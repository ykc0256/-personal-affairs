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updateLinks="always"/>
  <mc:AlternateContent xmlns:mc="http://schemas.openxmlformats.org/markup-compatibility/2006">
    <mc:Choice Requires="x15">
      <x15ac:absPath xmlns:x15ac="http://schemas.microsoft.com/office/spreadsheetml/2010/11/ac" url="https://bookang-my.sharepoint.com/personal/ykc_bkt21_com/Documents/"/>
    </mc:Choice>
  </mc:AlternateContent>
  <xr:revisionPtr revIDLastSave="0" documentId="8_{4725B5DC-85DA-4C8E-907B-C54F5FE6787F}" xr6:coauthVersionLast="47" xr6:coauthVersionMax="47" xr10:uidLastSave="{00000000-0000-0000-0000-000000000000}"/>
  <bookViews>
    <workbookView xWindow="28680" yWindow="-120" windowWidth="29040" windowHeight="15840" firstSheet="12" activeTab="12" xr2:uid="{F255C572-D9BA-4248-99D4-C4A6082A33D9}"/>
  </bookViews>
  <sheets>
    <sheet name="기계코드" sheetId="2" r:id="rId1"/>
    <sheet name="기자재코드" sheetId="6" r:id="rId2"/>
    <sheet name="재질코드" sheetId="7" state="hidden" r:id="rId3"/>
    <sheet name="공급업체코드" sheetId="5" r:id="rId4"/>
    <sheet name="열반응기" sheetId="39" r:id="rId5"/>
    <sheet name="보일러" sheetId="36" r:id="rId6"/>
    <sheet name="바이오가스 설비" sheetId="37" r:id="rId7"/>
    <sheet name="발전설비" sheetId="38" r:id="rId8"/>
    <sheet name="생물반응기" sheetId="34" r:id="rId9"/>
    <sheet name="제어반" sheetId="13" r:id="rId10"/>
    <sheet name="교반기" sheetId="16" r:id="rId11"/>
    <sheet name="펌프" sheetId="14" r:id="rId12"/>
    <sheet name="전동식밸브" sheetId="1" r:id="rId13"/>
    <sheet name="패키지부속품" sheetId="35" r:id="rId14"/>
    <sheet name="열교환기" sheetId="30" r:id="rId15"/>
    <sheet name="담체" sheetId="33" r:id="rId16"/>
    <sheet name="산기관" sheetId="26" r:id="rId17"/>
    <sheet name="탱크" sheetId="15" r:id="rId18"/>
    <sheet name="종합협잡물처리기" sheetId="8" r:id="rId19"/>
    <sheet name="송풍기" sheetId="12" r:id="rId20"/>
    <sheet name="수중포기기" sheetId="11" r:id="rId21"/>
    <sheet name="상등수배출장치" sheetId="10" r:id="rId22"/>
    <sheet name="부상분리장치" sheetId="17" r:id="rId23"/>
    <sheet name="컨베이어" sheetId="18" r:id="rId24"/>
    <sheet name="호퍼" sheetId="19" r:id="rId25"/>
    <sheet name="호이스트" sheetId="20" r:id="rId26"/>
    <sheet name="용수공급장치" sheetId="23" r:id="rId27"/>
    <sheet name="폴리머용해장치" sheetId="25" r:id="rId28"/>
    <sheet name="탈수기" sheetId="27" r:id="rId29"/>
    <sheet name="수문" sheetId="24" r:id="rId30"/>
    <sheet name="탈취설비" sheetId="21" r:id="rId31"/>
    <sheet name="공기압축기" sheetId="22" r:id="rId32"/>
    <sheet name="소독설비" sheetId="31" r:id="rId33"/>
  </sheets>
  <definedNames>
    <definedName name="_xlnm._FilterDatabase" localSheetId="3" hidden="1">공급업체코드!$B$4:$D$47</definedName>
    <definedName name="_xlnm._FilterDatabase" localSheetId="10" hidden="1">교반기!$AD$7:$AE$29</definedName>
    <definedName name="_xlnm._FilterDatabase" localSheetId="22" hidden="1">부상분리장치!$AR$4:$AS$35</definedName>
    <definedName name="_xlnm._FilterDatabase" localSheetId="16" hidden="1">산기관!$AM$7:$AN$71</definedName>
    <definedName name="_xlnm._FilterDatabase" localSheetId="21" hidden="1">상등수배출장치!$X$4:$Y$35</definedName>
    <definedName name="_xlnm._FilterDatabase" localSheetId="29" hidden="1">수문!$Y$4:$Z$35</definedName>
    <definedName name="_xlnm._FilterDatabase" localSheetId="20" hidden="1">수중포기기!$AC$4:$AD$35</definedName>
    <definedName name="_xlnm._FilterDatabase" localSheetId="2" hidden="1">재질코드!$B$4:$L$22</definedName>
    <definedName name="_xlnm._FilterDatabase" localSheetId="12" hidden="1">전동식밸브!$AG$4:$AH$44</definedName>
    <definedName name="_xlnm._FilterDatabase" localSheetId="9" hidden="1">제어반!$Z$4:$AA$35</definedName>
    <definedName name="_xlnm._FilterDatabase" localSheetId="18" hidden="1">종합협잡물처리기!$AF$4:$AG$44</definedName>
    <definedName name="_xlnm._FilterDatabase" localSheetId="23" hidden="1">컨베이어!$AD$4:$AE$35</definedName>
    <definedName name="_xlnm._FilterDatabase" localSheetId="28" hidden="1">탈수기!$AG$4:$AH$35</definedName>
    <definedName name="_xlnm._FilterDatabase" localSheetId="17" hidden="1">탱크!$AB$4:$AC$54</definedName>
    <definedName name="_xlnm._FilterDatabase" localSheetId="11" hidden="1">펌프!#REF!</definedName>
    <definedName name="_xlnm._FilterDatabase" localSheetId="24" hidden="1">호퍼!$AC$4:$AD$34</definedName>
    <definedName name="_xlnm._FilterDatabase" localSheetId="19" hidden="1">송풍기!$A$1:$AA$614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7" i="1" l="1" a="1"/>
  <c r="F127" i="1" s="1"/>
  <c r="D127" i="1" a="1"/>
  <c r="D127" i="1" s="1"/>
  <c r="F126" i="1" a="1"/>
  <c r="F126" i="1" s="1"/>
  <c r="D126" i="1" a="1"/>
  <c r="D126" i="1" s="1"/>
  <c r="F125" i="1" a="1"/>
  <c r="F125" i="1" s="1"/>
  <c r="D125" i="1" a="1"/>
  <c r="D125" i="1" s="1"/>
  <c r="F124" i="1" a="1"/>
  <c r="F124" i="1" s="1"/>
  <c r="D124" i="1" a="1"/>
  <c r="D124" i="1" s="1"/>
  <c r="F123" i="1" a="1"/>
  <c r="F123" i="1" s="1"/>
  <c r="D123" i="1" a="1"/>
  <c r="D123" i="1" s="1"/>
  <c r="F122" i="1" a="1"/>
  <c r="F122" i="1" s="1"/>
  <c r="D122" i="1" a="1"/>
  <c r="D122" i="1" s="1"/>
  <c r="F121" i="1" a="1"/>
  <c r="F121" i="1" s="1"/>
  <c r="D121" i="1" a="1"/>
  <c r="D121" i="1" s="1"/>
  <c r="F120" i="1" a="1"/>
  <c r="F120" i="1" s="1"/>
  <c r="D120" i="1" a="1"/>
  <c r="D120" i="1" s="1"/>
  <c r="F119" i="1" a="1"/>
  <c r="F119" i="1" s="1"/>
  <c r="D119" i="1" a="1"/>
  <c r="D119" i="1" s="1"/>
  <c r="F118" i="1" a="1"/>
  <c r="F118" i="1" s="1"/>
  <c r="D118" i="1" a="1"/>
  <c r="D118" i="1" s="1"/>
  <c r="F117" i="1" a="1"/>
  <c r="F117" i="1" s="1"/>
  <c r="D117" i="1" a="1"/>
  <c r="D117" i="1" s="1"/>
  <c r="F116" i="1" a="1"/>
  <c r="F116" i="1" s="1"/>
  <c r="D116" i="1" a="1"/>
  <c r="D116" i="1" s="1"/>
  <c r="F115" i="1" a="1"/>
  <c r="F115" i="1" s="1"/>
  <c r="D115" i="1" a="1"/>
  <c r="D115" i="1" s="1"/>
  <c r="F114" i="1" a="1"/>
  <c r="F114" i="1" s="1"/>
  <c r="D114" i="1" a="1"/>
  <c r="D114" i="1" s="1"/>
  <c r="F113" i="1" a="1"/>
  <c r="F113" i="1" s="1"/>
  <c r="D113" i="1" a="1"/>
  <c r="D113" i="1" s="1"/>
  <c r="F112" i="1" a="1"/>
  <c r="F112" i="1" s="1"/>
  <c r="D112" i="1" a="1"/>
  <c r="D112" i="1" s="1"/>
  <c r="F111" i="1" a="1"/>
  <c r="F111" i="1" s="1"/>
  <c r="D111" i="1" a="1"/>
  <c r="D111" i="1" s="1"/>
  <c r="F110" i="1" a="1"/>
  <c r="F110" i="1" s="1"/>
  <c r="D110" i="1" a="1"/>
  <c r="D110" i="1" s="1"/>
  <c r="F109" i="1" a="1"/>
  <c r="F109" i="1" s="1"/>
  <c r="D109" i="1" a="1"/>
  <c r="D109" i="1" s="1"/>
  <c r="F108" i="1" a="1"/>
  <c r="F108" i="1" s="1"/>
  <c r="D108" i="1" a="1"/>
  <c r="D108" i="1" s="1"/>
  <c r="F107" i="1" a="1"/>
  <c r="F107" i="1" s="1"/>
  <c r="D107" i="1" a="1"/>
  <c r="D107" i="1" s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F106" i="1" a="1"/>
  <c r="F106" i="1" s="1"/>
  <c r="D106" i="1" a="1"/>
  <c r="D106" i="1" s="1"/>
  <c r="B106" i="1" s="1"/>
  <c r="C23" i="39"/>
  <c r="C22" i="39"/>
  <c r="C21" i="39"/>
  <c r="C20" i="39"/>
  <c r="C19" i="39"/>
  <c r="C18" i="39"/>
  <c r="C17" i="39"/>
  <c r="C16" i="39"/>
  <c r="C15" i="39"/>
  <c r="C12" i="39"/>
  <c r="C11" i="39"/>
  <c r="C10" i="39"/>
  <c r="C9" i="39"/>
  <c r="C8" i="39"/>
  <c r="C7" i="39"/>
  <c r="C6" i="39"/>
  <c r="C5" i="39"/>
  <c r="C4" i="39"/>
  <c r="C3" i="39"/>
  <c r="C14" i="39"/>
  <c r="G23" i="39"/>
  <c r="G22" i="39"/>
  <c r="G21" i="39"/>
  <c r="G20" i="39"/>
  <c r="G19" i="39"/>
  <c r="G18" i="39"/>
  <c r="G17" i="39"/>
  <c r="G16" i="39"/>
  <c r="G15" i="39"/>
  <c r="G14" i="39"/>
  <c r="G12" i="39"/>
  <c r="G11" i="39"/>
  <c r="G10" i="39"/>
  <c r="G9" i="39"/>
  <c r="G8" i="39"/>
  <c r="G7" i="39"/>
  <c r="G6" i="39"/>
  <c r="G5" i="39"/>
  <c r="G4" i="39"/>
  <c r="G3" i="39"/>
  <c r="F23" i="39" a="1"/>
  <c r="F23" i="39" s="1"/>
  <c r="D23" i="39" a="1"/>
  <c r="D23" i="39" s="1"/>
  <c r="B23" i="39" s="1"/>
  <c r="F22" i="39" a="1"/>
  <c r="F22" i="39" s="1"/>
  <c r="D22" i="39" a="1"/>
  <c r="D22" i="39" s="1"/>
  <c r="B22" i="39" s="1"/>
  <c r="F21" i="39" a="1"/>
  <c r="F21" i="39" s="1"/>
  <c r="D21" i="39" a="1"/>
  <c r="D21" i="39" s="1"/>
  <c r="B21" i="39" s="1"/>
  <c r="F20" i="39" a="1"/>
  <c r="F20" i="39" s="1"/>
  <c r="D20" i="39" a="1"/>
  <c r="D20" i="39" s="1"/>
  <c r="B20" i="39" s="1"/>
  <c r="F19" i="39" a="1"/>
  <c r="F19" i="39" s="1"/>
  <c r="D19" i="39" a="1"/>
  <c r="D19" i="39" s="1"/>
  <c r="B19" i="39" s="1"/>
  <c r="F18" i="39" a="1"/>
  <c r="F18" i="39" s="1"/>
  <c r="D18" i="39" a="1"/>
  <c r="D18" i="39" s="1"/>
  <c r="B18" i="39" s="1"/>
  <c r="F17" i="39" a="1"/>
  <c r="F17" i="39" s="1"/>
  <c r="D17" i="39" a="1"/>
  <c r="D17" i="39" s="1"/>
  <c r="B17" i="39" s="1"/>
  <c r="F16" i="39" a="1"/>
  <c r="F16" i="39" s="1"/>
  <c r="D16" i="39" a="1"/>
  <c r="D16" i="39" s="1"/>
  <c r="B16" i="39" s="1"/>
  <c r="F15" i="39" a="1"/>
  <c r="F15" i="39" s="1"/>
  <c r="D15" i="39" a="1"/>
  <c r="D15" i="39" s="1"/>
  <c r="B15" i="39" s="1"/>
  <c r="F14" i="39" a="1"/>
  <c r="F14" i="39" s="1"/>
  <c r="D14" i="39" a="1"/>
  <c r="D14" i="39" s="1"/>
  <c r="B14" i="39" s="1"/>
  <c r="F12" i="39" a="1"/>
  <c r="F12" i="39" s="1"/>
  <c r="D12" i="39" a="1"/>
  <c r="D12" i="39" s="1"/>
  <c r="B12" i="39" s="1"/>
  <c r="F11" i="39" a="1"/>
  <c r="F11" i="39" s="1"/>
  <c r="D11" i="39" a="1"/>
  <c r="D11" i="39" s="1"/>
  <c r="B11" i="39" s="1"/>
  <c r="F10" i="39" a="1"/>
  <c r="F10" i="39" s="1"/>
  <c r="D10" i="39" a="1"/>
  <c r="D10" i="39" s="1"/>
  <c r="B10" i="39" s="1"/>
  <c r="F9" i="39" a="1"/>
  <c r="F9" i="39" s="1"/>
  <c r="D9" i="39" a="1"/>
  <c r="D9" i="39" s="1"/>
  <c r="B9" i="39" s="1"/>
  <c r="F8" i="39" a="1"/>
  <c r="F8" i="39" s="1"/>
  <c r="D8" i="39" a="1"/>
  <c r="D8" i="39" s="1"/>
  <c r="B8" i="39" s="1"/>
  <c r="F7" i="39" a="1"/>
  <c r="F7" i="39" s="1"/>
  <c r="D7" i="39" a="1"/>
  <c r="D7" i="39" s="1"/>
  <c r="B7" i="39" s="1"/>
  <c r="F6" i="39" a="1"/>
  <c r="F6" i="39" s="1"/>
  <c r="D6" i="39" a="1"/>
  <c r="D6" i="39" s="1"/>
  <c r="B6" i="39" s="1"/>
  <c r="F5" i="39" a="1"/>
  <c r="F5" i="39" s="1"/>
  <c r="D5" i="39" a="1"/>
  <c r="D5" i="39" s="1"/>
  <c r="B5" i="39" s="1"/>
  <c r="F4" i="39" a="1"/>
  <c r="F4" i="39" s="1"/>
  <c r="D4" i="39" a="1"/>
  <c r="D4" i="39" s="1"/>
  <c r="B4" i="39" s="1"/>
  <c r="F3" i="39" a="1"/>
  <c r="F3" i="39" s="1"/>
  <c r="D3" i="39" a="1"/>
  <c r="D3" i="39" s="1"/>
  <c r="B3" i="39" s="1"/>
  <c r="E270" i="2"/>
  <c r="E259" i="2"/>
  <c r="F18" i="34" a="1"/>
  <c r="F18" i="34" s="1"/>
  <c r="D18" i="34" a="1"/>
  <c r="D18" i="34" s="1"/>
  <c r="B18" i="34" s="1"/>
  <c r="F13" i="34" a="1"/>
  <c r="F13" i="34" s="1"/>
  <c r="D13" i="34" a="1"/>
  <c r="D13" i="34" s="1"/>
  <c r="B13" i="34" s="1"/>
  <c r="F11" i="34" a="1"/>
  <c r="F11" i="34" s="1"/>
  <c r="D11" i="34" a="1"/>
  <c r="D11" i="34" s="1"/>
  <c r="B11" i="34" s="1"/>
  <c r="F24" i="34" a="1"/>
  <c r="F24" i="34" s="1"/>
  <c r="D24" i="34" a="1"/>
  <c r="D24" i="34" s="1"/>
  <c r="B24" i="34" s="1"/>
  <c r="F23" i="34" a="1"/>
  <c r="F23" i="34" s="1"/>
  <c r="D23" i="34" a="1"/>
  <c r="D23" i="34" s="1"/>
  <c r="B23" i="34" s="1"/>
  <c r="F22" i="34" a="1"/>
  <c r="F22" i="34" s="1"/>
  <c r="D22" i="34" a="1"/>
  <c r="D22" i="34" s="1"/>
  <c r="B22" i="34" s="1"/>
  <c r="F21" i="34" a="1"/>
  <c r="F21" i="34" s="1"/>
  <c r="D21" i="34" a="1"/>
  <c r="D21" i="34" s="1"/>
  <c r="B21" i="34" s="1"/>
  <c r="F20" i="34" a="1"/>
  <c r="F20" i="34" s="1"/>
  <c r="D20" i="34" a="1"/>
  <c r="D20" i="34" s="1"/>
  <c r="B20" i="34" s="1"/>
  <c r="F19" i="34" a="1"/>
  <c r="F19" i="34" s="1"/>
  <c r="D19" i="34" a="1"/>
  <c r="D19" i="34" s="1"/>
  <c r="B19" i="34" s="1"/>
  <c r="U104" i="1" a="1"/>
  <c r="U104" i="1" s="1"/>
  <c r="U103" i="1" a="1"/>
  <c r="U103" i="1" s="1"/>
  <c r="U102" i="1" a="1"/>
  <c r="U102" i="1" s="1"/>
  <c r="U101" i="1" a="1"/>
  <c r="U101" i="1" s="1"/>
  <c r="U100" i="1" a="1"/>
  <c r="U100" i="1" s="1"/>
  <c r="U99" i="1" a="1"/>
  <c r="U99" i="1" s="1"/>
  <c r="U98" i="1" a="1"/>
  <c r="U98" i="1" s="1"/>
  <c r="U97" i="1" a="1"/>
  <c r="U97" i="1" s="1"/>
  <c r="U96" i="1" a="1"/>
  <c r="U96" i="1" s="1"/>
  <c r="U95" i="1" a="1"/>
  <c r="U95" i="1" s="1"/>
  <c r="U94" i="1" a="1"/>
  <c r="U94" i="1" s="1"/>
  <c r="U93" i="1" a="1"/>
  <c r="U93" i="1" s="1"/>
  <c r="F6" i="38" a="1"/>
  <c r="F6" i="38" s="1"/>
  <c r="D6" i="38" a="1"/>
  <c r="D6" i="38" s="1"/>
  <c r="B6" i="38"/>
  <c r="F5" i="38" a="1"/>
  <c r="F5" i="38" s="1"/>
  <c r="D5" i="38" a="1"/>
  <c r="D5" i="38" s="1"/>
  <c r="B5" i="38"/>
  <c r="E242" i="2"/>
  <c r="F45" i="37" a="1"/>
  <c r="F45" i="37" s="1"/>
  <c r="D45" i="37" a="1"/>
  <c r="D45" i="37" s="1"/>
  <c r="B45" i="37" s="1"/>
  <c r="F44" i="37" a="1"/>
  <c r="F44" i="37" s="1"/>
  <c r="D44" i="37" a="1"/>
  <c r="D44" i="37" s="1"/>
  <c r="B44" i="37" s="1"/>
  <c r="F43" i="37" a="1"/>
  <c r="F43" i="37" s="1"/>
  <c r="D43" i="37" a="1"/>
  <c r="D43" i="37" s="1"/>
  <c r="B43" i="37" s="1"/>
  <c r="F42" i="37" a="1"/>
  <c r="F42" i="37" s="1"/>
  <c r="D42" i="37" a="1"/>
  <c r="D42" i="37" s="1"/>
  <c r="B42" i="37" s="1"/>
  <c r="F41" i="37" a="1"/>
  <c r="F41" i="37" s="1"/>
  <c r="D41" i="37" a="1"/>
  <c r="D41" i="37" s="1"/>
  <c r="B41" i="37" s="1"/>
  <c r="F40" i="37" a="1"/>
  <c r="F40" i="37" s="1"/>
  <c r="D40" i="37" a="1"/>
  <c r="D40" i="37" s="1"/>
  <c r="B40" i="37" s="1"/>
  <c r="F39" i="37" a="1"/>
  <c r="F39" i="37" s="1"/>
  <c r="D39" i="37" a="1"/>
  <c r="D39" i="37" s="1"/>
  <c r="B39" i="37" s="1"/>
  <c r="F38" i="37" a="1"/>
  <c r="F38" i="37" s="1"/>
  <c r="D38" i="37" a="1"/>
  <c r="D38" i="37" s="1"/>
  <c r="B38" i="37" s="1"/>
  <c r="F37" i="37" a="1"/>
  <c r="F37" i="37" s="1"/>
  <c r="D37" i="37" a="1"/>
  <c r="D37" i="37" s="1"/>
  <c r="B37" i="37" s="1"/>
  <c r="F34" i="37" a="1"/>
  <c r="F34" i="37" s="1"/>
  <c r="D34" i="37" a="1"/>
  <c r="D34" i="37" s="1"/>
  <c r="B34" i="37" s="1"/>
  <c r="F33" i="37" a="1"/>
  <c r="F33" i="37" s="1"/>
  <c r="D33" i="37" a="1"/>
  <c r="D33" i="37" s="1"/>
  <c r="B33" i="37" s="1"/>
  <c r="F32" i="37" a="1"/>
  <c r="F32" i="37" s="1"/>
  <c r="D32" i="37" a="1"/>
  <c r="D32" i="37" s="1"/>
  <c r="B32" i="37" s="1"/>
  <c r="F31" i="37" a="1"/>
  <c r="F31" i="37" s="1"/>
  <c r="D31" i="37" a="1"/>
  <c r="D31" i="37" s="1"/>
  <c r="B31" i="37" s="1"/>
  <c r="F30" i="37" a="1"/>
  <c r="F30" i="37" s="1"/>
  <c r="D30" i="37" a="1"/>
  <c r="D30" i="37" s="1"/>
  <c r="B30" i="37" s="1"/>
  <c r="F29" i="37" a="1"/>
  <c r="F29" i="37" s="1"/>
  <c r="D29" i="37" a="1"/>
  <c r="D29" i="37" s="1"/>
  <c r="B29" i="37" s="1"/>
  <c r="F28" i="37" a="1"/>
  <c r="F28" i="37" s="1"/>
  <c r="D28" i="37" a="1"/>
  <c r="D28" i="37" s="1"/>
  <c r="B28" i="37" s="1"/>
  <c r="F27" i="37" a="1"/>
  <c r="F27" i="37" s="1"/>
  <c r="D27" i="37" a="1"/>
  <c r="D27" i="37" s="1"/>
  <c r="B27" i="37" s="1"/>
  <c r="F26" i="37" a="1"/>
  <c r="F26" i="37" s="1"/>
  <c r="D26" i="37" a="1"/>
  <c r="D26" i="37" s="1"/>
  <c r="B26" i="37" s="1"/>
  <c r="F23" i="37" a="1"/>
  <c r="F23" i="37" s="1"/>
  <c r="D23" i="37" a="1"/>
  <c r="D23" i="37" s="1"/>
  <c r="B23" i="37" s="1"/>
  <c r="F22" i="37" a="1"/>
  <c r="F22" i="37" s="1"/>
  <c r="D22" i="37" a="1"/>
  <c r="D22" i="37" s="1"/>
  <c r="B22" i="37" s="1"/>
  <c r="F21" i="37" a="1"/>
  <c r="F21" i="37" s="1"/>
  <c r="D21" i="37" a="1"/>
  <c r="D21" i="37" s="1"/>
  <c r="B21" i="37" s="1"/>
  <c r="F20" i="37" a="1"/>
  <c r="F20" i="37" s="1"/>
  <c r="D20" i="37" a="1"/>
  <c r="D20" i="37" s="1"/>
  <c r="B20" i="37" s="1"/>
  <c r="F19" i="37" a="1"/>
  <c r="F19" i="37" s="1"/>
  <c r="D19" i="37" a="1"/>
  <c r="D19" i="37" s="1"/>
  <c r="B19" i="37" s="1"/>
  <c r="F18" i="37" a="1"/>
  <c r="F18" i="37" s="1"/>
  <c r="D18" i="37" a="1"/>
  <c r="D18" i="37" s="1"/>
  <c r="B18" i="37" s="1"/>
  <c r="F17" i="37" a="1"/>
  <c r="F17" i="37" s="1"/>
  <c r="D17" i="37" a="1"/>
  <c r="D17" i="37" s="1"/>
  <c r="B17" i="37" s="1"/>
  <c r="F12" i="37" a="1"/>
  <c r="F12" i="37" s="1"/>
  <c r="D12" i="37" a="1"/>
  <c r="D12" i="37" s="1"/>
  <c r="B12" i="37" s="1"/>
  <c r="F11" i="37" a="1"/>
  <c r="F11" i="37" s="1"/>
  <c r="D11" i="37" a="1"/>
  <c r="D11" i="37" s="1"/>
  <c r="B11" i="37" s="1"/>
  <c r="F10" i="37" a="1"/>
  <c r="F10" i="37" s="1"/>
  <c r="D10" i="37" a="1"/>
  <c r="D10" i="37" s="1"/>
  <c r="B10" i="37" s="1"/>
  <c r="F9" i="37" a="1"/>
  <c r="F9" i="37" s="1"/>
  <c r="D9" i="37" a="1"/>
  <c r="D9" i="37" s="1"/>
  <c r="B9" i="37" s="1"/>
  <c r="F8" i="37" a="1"/>
  <c r="F8" i="37" s="1"/>
  <c r="D8" i="37" a="1"/>
  <c r="D8" i="37" s="1"/>
  <c r="B8" i="37" s="1"/>
  <c r="F7" i="37" a="1"/>
  <c r="F7" i="37" s="1"/>
  <c r="D7" i="37" a="1"/>
  <c r="D7" i="37" s="1"/>
  <c r="B7" i="37" s="1"/>
  <c r="F6" i="37" a="1"/>
  <c r="F6" i="37" s="1"/>
  <c r="D6" i="37" a="1"/>
  <c r="D6" i="37" s="1"/>
  <c r="B6" i="37" s="1"/>
  <c r="F104" i="1" a="1"/>
  <c r="F104" i="1" s="1"/>
  <c r="D104" i="1" a="1"/>
  <c r="D104" i="1" s="1"/>
  <c r="B104" i="1"/>
  <c r="F103" i="1" a="1"/>
  <c r="F103" i="1" s="1"/>
  <c r="D103" i="1" a="1"/>
  <c r="D103" i="1" s="1"/>
  <c r="B103" i="1"/>
  <c r="F102" i="1" a="1"/>
  <c r="F102" i="1" s="1"/>
  <c r="D102" i="1" a="1"/>
  <c r="D102" i="1" s="1"/>
  <c r="B102" i="1"/>
  <c r="F101" i="1" a="1"/>
  <c r="F101" i="1" s="1"/>
  <c r="D101" i="1" a="1"/>
  <c r="D101" i="1" s="1"/>
  <c r="B101" i="1"/>
  <c r="F100" i="1" a="1"/>
  <c r="F100" i="1" s="1"/>
  <c r="D100" i="1" a="1"/>
  <c r="D100" i="1" s="1"/>
  <c r="B100" i="1"/>
  <c r="F99" i="1" a="1"/>
  <c r="F99" i="1" s="1"/>
  <c r="D99" i="1" a="1"/>
  <c r="D99" i="1" s="1"/>
  <c r="B99" i="1"/>
  <c r="F98" i="1" a="1"/>
  <c r="F98" i="1" s="1"/>
  <c r="D98" i="1" a="1"/>
  <c r="D98" i="1" s="1"/>
  <c r="B98" i="1"/>
  <c r="F97" i="1" a="1"/>
  <c r="F97" i="1" s="1"/>
  <c r="D97" i="1" a="1"/>
  <c r="D97" i="1" s="1"/>
  <c r="B97" i="1"/>
  <c r="F96" i="1" a="1"/>
  <c r="F96" i="1" s="1"/>
  <c r="D96" i="1" a="1"/>
  <c r="D96" i="1" s="1"/>
  <c r="B96" i="1"/>
  <c r="F95" i="1" a="1"/>
  <c r="F95" i="1" s="1"/>
  <c r="D95" i="1" a="1"/>
  <c r="D95" i="1" s="1"/>
  <c r="B95" i="1"/>
  <c r="F94" i="1" a="1"/>
  <c r="F94" i="1" s="1"/>
  <c r="D94" i="1" a="1"/>
  <c r="D94" i="1" s="1"/>
  <c r="B94" i="1"/>
  <c r="F93" i="1" a="1"/>
  <c r="F93" i="1" s="1"/>
  <c r="D93" i="1" a="1"/>
  <c r="D93" i="1" s="1"/>
  <c r="B93" i="1" s="1"/>
  <c r="F323" i="14" a="1"/>
  <c r="F323" i="14" s="1"/>
  <c r="D323" i="14" a="1"/>
  <c r="D323" i="14" s="1"/>
  <c r="B323" i="14"/>
  <c r="F330" i="14" a="1"/>
  <c r="F330" i="14" s="1"/>
  <c r="D330" i="14" a="1"/>
  <c r="D330" i="14" s="1"/>
  <c r="B330" i="14"/>
  <c r="F329" i="14" a="1"/>
  <c r="F329" i="14" s="1"/>
  <c r="D329" i="14" a="1"/>
  <c r="D329" i="14" s="1"/>
  <c r="B329" i="14"/>
  <c r="F328" i="14" a="1"/>
  <c r="F328" i="14" s="1"/>
  <c r="D328" i="14" a="1"/>
  <c r="D328" i="14" s="1"/>
  <c r="B328" i="14"/>
  <c r="F327" i="14" a="1"/>
  <c r="F327" i="14" s="1"/>
  <c r="D327" i="14" a="1"/>
  <c r="D327" i="14" s="1"/>
  <c r="B327" i="14"/>
  <c r="F326" i="14" a="1"/>
  <c r="F326" i="14" s="1"/>
  <c r="D326" i="14" a="1"/>
  <c r="D326" i="14" s="1"/>
  <c r="B326" i="14"/>
  <c r="F325" i="14" a="1"/>
  <c r="F325" i="14" s="1"/>
  <c r="D325" i="14" a="1"/>
  <c r="D325" i="14" s="1"/>
  <c r="B325" i="14"/>
  <c r="F324" i="14" a="1"/>
  <c r="F324" i="14" s="1"/>
  <c r="D324" i="14" a="1"/>
  <c r="D324" i="14" s="1"/>
  <c r="B324" i="14"/>
  <c r="F322" i="14" a="1"/>
  <c r="F322" i="14" s="1"/>
  <c r="D322" i="14" a="1"/>
  <c r="D322" i="14" s="1"/>
  <c r="B322" i="14"/>
  <c r="F321" i="14" a="1"/>
  <c r="F321" i="14" s="1"/>
  <c r="D321" i="14" a="1"/>
  <c r="D321" i="14" s="1"/>
  <c r="B321" i="14"/>
  <c r="F320" i="14" a="1"/>
  <c r="F320" i="14" s="1"/>
  <c r="D320" i="14" a="1"/>
  <c r="D320" i="14" s="1"/>
  <c r="B320" i="14"/>
  <c r="F319" i="14" a="1"/>
  <c r="F319" i="14" s="1"/>
  <c r="D319" i="14" a="1"/>
  <c r="D319" i="14" s="1"/>
  <c r="B319" i="14"/>
  <c r="F318" i="14" a="1"/>
  <c r="F318" i="14" s="1"/>
  <c r="D318" i="14" a="1"/>
  <c r="D318" i="14" s="1"/>
  <c r="B318" i="14"/>
  <c r="F317" i="14" a="1"/>
  <c r="F317" i="14" s="1"/>
  <c r="D317" i="14" a="1"/>
  <c r="D317" i="14" s="1"/>
  <c r="B317" i="14"/>
  <c r="F316" i="14" a="1"/>
  <c r="F316" i="14" s="1"/>
  <c r="D316" i="14" a="1"/>
  <c r="D316" i="14" s="1"/>
  <c r="B316" i="14"/>
  <c r="F315" i="14" a="1"/>
  <c r="F315" i="14" s="1"/>
  <c r="D315" i="14" a="1"/>
  <c r="D315" i="14" s="1"/>
  <c r="B315" i="14"/>
  <c r="F314" i="14" a="1"/>
  <c r="F314" i="14" s="1"/>
  <c r="D314" i="14" a="1"/>
  <c r="D314" i="14" s="1"/>
  <c r="B314" i="14"/>
  <c r="F313" i="14" a="1"/>
  <c r="F313" i="14" s="1"/>
  <c r="D313" i="14" a="1"/>
  <c r="D313" i="14" s="1"/>
  <c r="B313" i="14"/>
  <c r="F312" i="14" a="1"/>
  <c r="F312" i="14" s="1"/>
  <c r="D312" i="14" a="1"/>
  <c r="D312" i="14" s="1"/>
  <c r="B312" i="14"/>
  <c r="F311" i="14" a="1"/>
  <c r="F311" i="14" s="1"/>
  <c r="D311" i="14" a="1"/>
  <c r="D311" i="14" s="1"/>
  <c r="B311" i="14"/>
  <c r="F310" i="14" a="1"/>
  <c r="F310" i="14" s="1"/>
  <c r="D310" i="14" a="1"/>
  <c r="D310" i="14" s="1"/>
  <c r="B310" i="14"/>
  <c r="F309" i="14" a="1"/>
  <c r="F309" i="14" s="1"/>
  <c r="D309" i="14" a="1"/>
  <c r="D309" i="14" s="1"/>
  <c r="B309" i="14" s="1"/>
  <c r="F33" i="16" a="1"/>
  <c r="F33" i="16" s="1"/>
  <c r="D33" i="16" a="1"/>
  <c r="D33" i="16" s="1"/>
  <c r="B33" i="16"/>
  <c r="F32" i="16" a="1"/>
  <c r="F32" i="16" s="1"/>
  <c r="D32" i="16" a="1"/>
  <c r="D32" i="16" s="1"/>
  <c r="B32" i="16"/>
  <c r="F31" i="16" a="1"/>
  <c r="F31" i="16" s="1"/>
  <c r="D31" i="16" a="1"/>
  <c r="D31" i="16" s="1"/>
  <c r="B31" i="16"/>
  <c r="F30" i="16" a="1"/>
  <c r="F30" i="16" s="1"/>
  <c r="D30" i="16" a="1"/>
  <c r="D30" i="16" s="1"/>
  <c r="B30" i="16" s="1"/>
  <c r="T20" i="13"/>
  <c r="P20" i="13"/>
  <c r="F20" i="13" a="1"/>
  <c r="F20" i="13" s="1"/>
  <c r="D20" i="13" a="1"/>
  <c r="D20" i="13" s="1"/>
  <c r="B20" i="13"/>
  <c r="T19" i="13"/>
  <c r="P19" i="13"/>
  <c r="F19" i="13" a="1"/>
  <c r="F19" i="13" s="1"/>
  <c r="D19" i="13" a="1"/>
  <c r="D19" i="13" s="1"/>
  <c r="B19" i="13"/>
  <c r="T18" i="13"/>
  <c r="P18" i="13"/>
  <c r="F18" i="13" a="1"/>
  <c r="F18" i="13" s="1"/>
  <c r="D18" i="13" a="1"/>
  <c r="D18" i="13" s="1"/>
  <c r="B18" i="13"/>
  <c r="T17" i="13"/>
  <c r="P17" i="13"/>
  <c r="F17" i="13" a="1"/>
  <c r="F17" i="13" s="1"/>
  <c r="D17" i="13" a="1"/>
  <c r="D17" i="13" s="1"/>
  <c r="B17" i="13"/>
  <c r="T16" i="13"/>
  <c r="P16" i="13"/>
  <c r="F16" i="13" a="1"/>
  <c r="F16" i="13" s="1"/>
  <c r="D16" i="13" a="1"/>
  <c r="D16" i="13" s="1"/>
  <c r="B16" i="13"/>
  <c r="T15" i="13"/>
  <c r="P15" i="13"/>
  <c r="F15" i="13" a="1"/>
  <c r="F15" i="13" s="1"/>
  <c r="D15" i="13" a="1"/>
  <c r="D15" i="13" s="1"/>
  <c r="B15" i="13"/>
  <c r="T14" i="13"/>
  <c r="P14" i="13"/>
  <c r="F14" i="13" a="1"/>
  <c r="F14" i="13" s="1"/>
  <c r="D14" i="13" a="1"/>
  <c r="D14" i="13" s="1"/>
  <c r="B14" i="13"/>
  <c r="F13" i="13" a="1"/>
  <c r="F13" i="13" s="1"/>
  <c r="D13" i="13" a="1"/>
  <c r="D13" i="13" s="1"/>
  <c r="B13" i="13" s="1"/>
  <c r="F17" i="34" a="1"/>
  <c r="F17" i="34" s="1"/>
  <c r="D17" i="34" a="1"/>
  <c r="D17" i="34" s="1"/>
  <c r="B17" i="34" s="1"/>
  <c r="F16" i="34" a="1"/>
  <c r="F16" i="34" s="1"/>
  <c r="D16" i="34" a="1"/>
  <c r="D16" i="34" s="1"/>
  <c r="B16" i="34" s="1"/>
  <c r="F15" i="34" a="1"/>
  <c r="F15" i="34" s="1"/>
  <c r="D15" i="34" a="1"/>
  <c r="D15" i="34" s="1"/>
  <c r="B15" i="34" s="1"/>
  <c r="F14" i="34" a="1"/>
  <c r="F14" i="34" s="1"/>
  <c r="D14" i="34" a="1"/>
  <c r="D14" i="34" s="1"/>
  <c r="B14" i="34" s="1"/>
  <c r="F12" i="34" a="1"/>
  <c r="F12" i="34" s="1"/>
  <c r="D12" i="34" a="1"/>
  <c r="D12" i="34" s="1"/>
  <c r="B12" i="34" s="1"/>
  <c r="F10" i="34" a="1"/>
  <c r="F10" i="34" s="1"/>
  <c r="D10" i="34" a="1"/>
  <c r="D10" i="34" s="1"/>
  <c r="B10" i="34" s="1"/>
  <c r="F9" i="34" a="1"/>
  <c r="F9" i="34" s="1"/>
  <c r="D9" i="34" a="1"/>
  <c r="D9" i="34" s="1"/>
  <c r="B9" i="34" s="1"/>
  <c r="F8" i="34" a="1"/>
  <c r="F8" i="34" s="1"/>
  <c r="D8" i="34" a="1"/>
  <c r="D8" i="34" s="1"/>
  <c r="B8" i="34" s="1"/>
  <c r="F4" i="38" a="1"/>
  <c r="F4" i="38" s="1"/>
  <c r="D4" i="38" a="1"/>
  <c r="D4" i="38" s="1"/>
  <c r="B4" i="38"/>
  <c r="F3" i="38" a="1"/>
  <c r="F3" i="38" s="1"/>
  <c r="D3" i="38" a="1"/>
  <c r="D3" i="38" s="1"/>
  <c r="B3" i="38"/>
  <c r="E256" i="2"/>
  <c r="F36" i="37" a="1"/>
  <c r="F36" i="37" s="1"/>
  <c r="D36" i="37" a="1"/>
  <c r="D36" i="37" s="1"/>
  <c r="B36" i="37" s="1"/>
  <c r="E252" i="2"/>
  <c r="E254" i="2"/>
  <c r="E253" i="2"/>
  <c r="E251" i="2"/>
  <c r="F25" i="37" a="1"/>
  <c r="F25" i="37" s="1"/>
  <c r="D25" i="37" a="1"/>
  <c r="D25" i="37" s="1"/>
  <c r="B25" i="37" s="1"/>
  <c r="E248" i="2"/>
  <c r="F16" i="37" a="1"/>
  <c r="F16" i="37" s="1"/>
  <c r="D16" i="37" a="1"/>
  <c r="D16" i="37" s="1"/>
  <c r="B16" i="37" s="1"/>
  <c r="F15" i="37" a="1"/>
  <c r="F15" i="37" s="1"/>
  <c r="D15" i="37" a="1"/>
  <c r="D15" i="37" s="1"/>
  <c r="B15" i="37" s="1"/>
  <c r="F14" i="37" a="1"/>
  <c r="F14" i="37" s="1"/>
  <c r="D14" i="37" a="1"/>
  <c r="D14" i="37" s="1"/>
  <c r="B14" i="37" s="1"/>
  <c r="F5" i="37" a="1"/>
  <c r="F5" i="37" s="1"/>
  <c r="D5" i="37" a="1"/>
  <c r="D5" i="37" s="1"/>
  <c r="B5" i="37" s="1"/>
  <c r="F4" i="37" a="1"/>
  <c r="F4" i="37" s="1"/>
  <c r="D4" i="37" a="1"/>
  <c r="D4" i="37" s="1"/>
  <c r="B4" i="37" s="1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30" i="36"/>
  <c r="F29" i="36" a="1"/>
  <c r="F29" i="36" s="1"/>
  <c r="D29" i="36" a="1"/>
  <c r="D29" i="36" s="1"/>
  <c r="F28" i="36" a="1"/>
  <c r="F28" i="36" s="1"/>
  <c r="D28" i="36" a="1"/>
  <c r="D28" i="36" s="1"/>
  <c r="B28" i="36"/>
  <c r="F27" i="36" a="1"/>
  <c r="F27" i="36" s="1"/>
  <c r="D27" i="36" a="1"/>
  <c r="D27" i="36" s="1"/>
  <c r="F26" i="36" a="1"/>
  <c r="F26" i="36" s="1"/>
  <c r="D26" i="36" a="1"/>
  <c r="D26" i="36" s="1"/>
  <c r="B26" i="36"/>
  <c r="F25" i="36" a="1"/>
  <c r="F25" i="36" s="1"/>
  <c r="D25" i="36" a="1"/>
  <c r="D25" i="36" s="1"/>
  <c r="F24" i="36" a="1"/>
  <c r="F24" i="36" s="1"/>
  <c r="D24" i="36" a="1"/>
  <c r="D24" i="36" s="1"/>
  <c r="B24" i="36"/>
  <c r="F23" i="36" a="1"/>
  <c r="F23" i="36" s="1"/>
  <c r="D23" i="36" a="1"/>
  <c r="D23" i="36" s="1"/>
  <c r="F22" i="36" a="1"/>
  <c r="F22" i="36" s="1"/>
  <c r="D22" i="36" a="1"/>
  <c r="D22" i="36" s="1"/>
  <c r="B22" i="36"/>
  <c r="F21" i="36" a="1"/>
  <c r="F21" i="36" s="1"/>
  <c r="D21" i="36" a="1"/>
  <c r="D21" i="36" s="1"/>
  <c r="F20" i="36" a="1"/>
  <c r="F20" i="36" s="1"/>
  <c r="D20" i="36" a="1"/>
  <c r="D20" i="36" s="1"/>
  <c r="B20" i="36"/>
  <c r="G34" i="36"/>
  <c r="B34" i="36" s="1"/>
  <c r="G33" i="36"/>
  <c r="B33" i="36" s="1"/>
  <c r="G32" i="36"/>
  <c r="B32" i="36" s="1"/>
  <c r="G31" i="36"/>
  <c r="B31" i="36" s="1"/>
  <c r="G29" i="36"/>
  <c r="B29" i="36" s="1"/>
  <c r="G27" i="36"/>
  <c r="B27" i="36" s="1"/>
  <c r="G25" i="36"/>
  <c r="B25" i="36" s="1"/>
  <c r="G23" i="36"/>
  <c r="B23" i="36" s="1"/>
  <c r="G21" i="36"/>
  <c r="B21" i="36" s="1"/>
  <c r="G19" i="36"/>
  <c r="F19" i="36" a="1"/>
  <c r="F19" i="36" s="1"/>
  <c r="D19" i="36" a="1"/>
  <c r="D19" i="36" s="1"/>
  <c r="B19" i="36" s="1"/>
  <c r="F18" i="36" a="1"/>
  <c r="F18" i="36" s="1"/>
  <c r="F17" i="36" a="1"/>
  <c r="F17" i="36" s="1"/>
  <c r="F16" i="36" a="1"/>
  <c r="F16" i="36" s="1"/>
  <c r="F15" i="36" a="1"/>
  <c r="F15" i="36" s="1"/>
  <c r="F14" i="36" a="1"/>
  <c r="F14" i="36" s="1"/>
  <c r="F13" i="36" a="1"/>
  <c r="F13" i="36" s="1"/>
  <c r="F12" i="36" a="1"/>
  <c r="F12" i="36" s="1"/>
  <c r="F11" i="36" a="1"/>
  <c r="F11" i="36" s="1"/>
  <c r="F10" i="36" a="1"/>
  <c r="F10" i="36" s="1"/>
  <c r="F9" i="36" a="1"/>
  <c r="F9" i="36" s="1"/>
  <c r="F8" i="36" a="1"/>
  <c r="F8" i="36" s="1"/>
  <c r="F7" i="36" a="1"/>
  <c r="F7" i="36" s="1"/>
  <c r="F6" i="36" a="1"/>
  <c r="F6" i="36" s="1"/>
  <c r="F5" i="36" a="1"/>
  <c r="F5" i="36" s="1"/>
  <c r="F4" i="36" a="1"/>
  <c r="F4" i="36" s="1"/>
  <c r="D18" i="36" a="1"/>
  <c r="D18" i="36" s="1"/>
  <c r="D17" i="36" a="1"/>
  <c r="D17" i="36" s="1"/>
  <c r="D16" i="36" a="1"/>
  <c r="D16" i="36" s="1"/>
  <c r="D15" i="36" a="1"/>
  <c r="D15" i="36" s="1"/>
  <c r="D14" i="36" a="1"/>
  <c r="D14" i="36" s="1"/>
  <c r="D13" i="36" a="1"/>
  <c r="D13" i="36" s="1"/>
  <c r="D12" i="36" a="1"/>
  <c r="D12" i="36" s="1"/>
  <c r="D11" i="36" a="1"/>
  <c r="D11" i="36" s="1"/>
  <c r="D10" i="36" a="1"/>
  <c r="D10" i="36" s="1"/>
  <c r="D9" i="36" a="1"/>
  <c r="D9" i="36" s="1"/>
  <c r="D8" i="36" a="1"/>
  <c r="D8" i="36" s="1"/>
  <c r="D7" i="36" a="1"/>
  <c r="D7" i="36" s="1"/>
  <c r="D6" i="36" a="1"/>
  <c r="D6" i="36" s="1"/>
  <c r="D5" i="36" a="1"/>
  <c r="D5" i="36" s="1"/>
  <c r="D4" i="36" a="1"/>
  <c r="D4" i="36" s="1"/>
  <c r="G16" i="36"/>
  <c r="G17" i="36"/>
  <c r="G18" i="36"/>
  <c r="G15" i="36"/>
  <c r="G4" i="36"/>
  <c r="G5" i="36"/>
  <c r="G6" i="36"/>
  <c r="G7" i="36"/>
  <c r="G8" i="36"/>
  <c r="G9" i="36"/>
  <c r="G10" i="36"/>
  <c r="G11" i="36"/>
  <c r="G12" i="36"/>
  <c r="G13" i="36"/>
  <c r="G14" i="36"/>
  <c r="G3" i="36"/>
  <c r="F3" i="37" a="1"/>
  <c r="F3" i="37" s="1"/>
  <c r="D3" i="37" a="1"/>
  <c r="D3" i="37" s="1"/>
  <c r="B3" i="37" s="1"/>
  <c r="F3" i="36" a="1"/>
  <c r="F3" i="36" s="1"/>
  <c r="D3" i="36" a="1"/>
  <c r="D3" i="36" s="1"/>
  <c r="B3" i="36" s="1"/>
  <c r="E245" i="2"/>
  <c r="E257" i="2"/>
  <c r="E249" i="2"/>
  <c r="E250" i="2"/>
  <c r="E246" i="2"/>
  <c r="E247" i="2"/>
  <c r="E243" i="2"/>
  <c r="E244" i="2"/>
  <c r="E240" i="2"/>
  <c r="E241" i="2"/>
  <c r="D7" i="35" a="1"/>
  <c r="D7" i="35" s="1"/>
  <c r="E238" i="2"/>
  <c r="E235" i="2"/>
  <c r="E236" i="2"/>
  <c r="E237" i="2"/>
  <c r="E234" i="2"/>
  <c r="E233" i="2"/>
  <c r="E225" i="2"/>
  <c r="E224" i="2"/>
  <c r="D15" i="17" a="1"/>
  <c r="D15" i="17" s="1"/>
  <c r="D14" i="17" a="1"/>
  <c r="D14" i="17" s="1"/>
  <c r="D30" i="35" a="1"/>
  <c r="D30" i="35"/>
  <c r="F31" i="35" a="1"/>
  <c r="F31" i="35" s="1"/>
  <c r="D31" i="35" a="1"/>
  <c r="D31" i="35" s="1"/>
  <c r="B31" i="35"/>
  <c r="F30" i="35" a="1"/>
  <c r="F30" i="35" s="1"/>
  <c r="B30" i="35"/>
  <c r="F29" i="35" a="1"/>
  <c r="F29" i="35" s="1"/>
  <c r="D29" i="35" a="1"/>
  <c r="D29" i="35" s="1"/>
  <c r="B29" i="35"/>
  <c r="F28" i="35" a="1"/>
  <c r="F28" i="35" s="1"/>
  <c r="D28" i="35" a="1"/>
  <c r="D28" i="35" s="1"/>
  <c r="B28" i="35"/>
  <c r="F27" i="35" a="1"/>
  <c r="F27" i="35" s="1"/>
  <c r="D27" i="35" a="1"/>
  <c r="D27" i="35" s="1"/>
  <c r="B27" i="35"/>
  <c r="F26" i="35" a="1"/>
  <c r="F26" i="35" s="1"/>
  <c r="D26" i="35" a="1"/>
  <c r="D26" i="35" s="1"/>
  <c r="B26" i="35"/>
  <c r="F25" i="35" a="1"/>
  <c r="F25" i="35" s="1"/>
  <c r="D25" i="35" a="1"/>
  <c r="D25" i="35" s="1"/>
  <c r="B25" i="35"/>
  <c r="AC46" i="26"/>
  <c r="AC47" i="26"/>
  <c r="AC48" i="26"/>
  <c r="AC49" i="26"/>
  <c r="AC50" i="26"/>
  <c r="AC51" i="26"/>
  <c r="AC52" i="26"/>
  <c r="AC53" i="26"/>
  <c r="AC54" i="26"/>
  <c r="AC55" i="26"/>
  <c r="AC56" i="26"/>
  <c r="AC57" i="26"/>
  <c r="AC58" i="26"/>
  <c r="AC59" i="26"/>
  <c r="AC60" i="26"/>
  <c r="AC61" i="26"/>
  <c r="AC62" i="26"/>
  <c r="AC63" i="26"/>
  <c r="AC64" i="26"/>
  <c r="AC65" i="26"/>
  <c r="AC66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7" i="26"/>
  <c r="AC88" i="26"/>
  <c r="AC89" i="26"/>
  <c r="AC90" i="26"/>
  <c r="AC91" i="26"/>
  <c r="AC92" i="26"/>
  <c r="AC93" i="26"/>
  <c r="AC94" i="26"/>
  <c r="AC95" i="26"/>
  <c r="AC96" i="26"/>
  <c r="AC97" i="26"/>
  <c r="AC98" i="26"/>
  <c r="AC99" i="26"/>
  <c r="AC100" i="26"/>
  <c r="AC101" i="26"/>
  <c r="AC102" i="26"/>
  <c r="AC103" i="26"/>
  <c r="AC104" i="26"/>
  <c r="AC105" i="26"/>
  <c r="AC106" i="26"/>
  <c r="AC107" i="26"/>
  <c r="AC108" i="26"/>
  <c r="AC109" i="26"/>
  <c r="AC110" i="26"/>
  <c r="AC111" i="26"/>
  <c r="AC112" i="26"/>
  <c r="AC113" i="26"/>
  <c r="AC114" i="26"/>
  <c r="AC115" i="26"/>
  <c r="AC116" i="26"/>
  <c r="AC117" i="26"/>
  <c r="AC118" i="26"/>
  <c r="AC119" i="26"/>
  <c r="AC120" i="26"/>
  <c r="AC121" i="26"/>
  <c r="AC122" i="26"/>
  <c r="AC123" i="26"/>
  <c r="AC124" i="26"/>
  <c r="AC125" i="26"/>
  <c r="AC126" i="26"/>
  <c r="AC127" i="26"/>
  <c r="AC128" i="26"/>
  <c r="AC129" i="26"/>
  <c r="AC130" i="26"/>
  <c r="AC131" i="26"/>
  <c r="AC132" i="26"/>
  <c r="AC133" i="26"/>
  <c r="AC134" i="26"/>
  <c r="AC135" i="26"/>
  <c r="AC136" i="26"/>
  <c r="AC137" i="26"/>
  <c r="AC138" i="26"/>
  <c r="AC139" i="26"/>
  <c r="AC140" i="26"/>
  <c r="AC141" i="26"/>
  <c r="AC142" i="26"/>
  <c r="AC143" i="26"/>
  <c r="AC144" i="26"/>
  <c r="AC145" i="26"/>
  <c r="AC146" i="26"/>
  <c r="AC147" i="26"/>
  <c r="AC148" i="26"/>
  <c r="AC149" i="26"/>
  <c r="AC150" i="26"/>
  <c r="AC151" i="26"/>
  <c r="AC152" i="26"/>
  <c r="AC153" i="26"/>
  <c r="AC154" i="26"/>
  <c r="AC155" i="26"/>
  <c r="AC156" i="26"/>
  <c r="AC157" i="26"/>
  <c r="AC158" i="26"/>
  <c r="AC159" i="26"/>
  <c r="AC160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2" i="26"/>
  <c r="AC173" i="26"/>
  <c r="AC174" i="26"/>
  <c r="AC175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3" i="26"/>
  <c r="AC194" i="26"/>
  <c r="AC195" i="26"/>
  <c r="AC196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1" i="26"/>
  <c r="AC212" i="26"/>
  <c r="AC213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25" i="26"/>
  <c r="AC226" i="26"/>
  <c r="AC227" i="26"/>
  <c r="AC228" i="26"/>
  <c r="AC229" i="26"/>
  <c r="AC230" i="26"/>
  <c r="AC231" i="26"/>
  <c r="AC232" i="26"/>
  <c r="AC233" i="26"/>
  <c r="AC234" i="26"/>
  <c r="AC235" i="26"/>
  <c r="AC236" i="26"/>
  <c r="AC237" i="26"/>
  <c r="AC238" i="26"/>
  <c r="AC239" i="26"/>
  <c r="AC240" i="26"/>
  <c r="AC241" i="26"/>
  <c r="AC242" i="26"/>
  <c r="AC243" i="26"/>
  <c r="AC244" i="26"/>
  <c r="AC245" i="26"/>
  <c r="AC246" i="26"/>
  <c r="AC247" i="26"/>
  <c r="AC248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3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4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09" i="26"/>
  <c r="AC310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3" i="26"/>
  <c r="AC324" i="26"/>
  <c r="AC325" i="26"/>
  <c r="AC326" i="26"/>
  <c r="AC327" i="26"/>
  <c r="AC328" i="26"/>
  <c r="AC329" i="26"/>
  <c r="AC330" i="26"/>
  <c r="AC331" i="26"/>
  <c r="AC332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3" i="26"/>
  <c r="AC354" i="26"/>
  <c r="AC355" i="26"/>
  <c r="AC356" i="26"/>
  <c r="AC357" i="26"/>
  <c r="AC358" i="26"/>
  <c r="AC359" i="26"/>
  <c r="AC360" i="26"/>
  <c r="AC361" i="26"/>
  <c r="AC362" i="26"/>
  <c r="AC363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2" i="26"/>
  <c r="AC383" i="26"/>
  <c r="AC384" i="26"/>
  <c r="AC385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4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8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7" i="26"/>
  <c r="AC468" i="26"/>
  <c r="AC469" i="26"/>
  <c r="AC470" i="26"/>
  <c r="AC471" i="26"/>
  <c r="AC472" i="26"/>
  <c r="AC473" i="26"/>
  <c r="AC474" i="26"/>
  <c r="AC475" i="26"/>
  <c r="AC476" i="26"/>
  <c r="AC477" i="26"/>
  <c r="AC478" i="26"/>
  <c r="AC479" i="26"/>
  <c r="AC480" i="26"/>
  <c r="AC481" i="26"/>
  <c r="AC482" i="26"/>
  <c r="AC483" i="26"/>
  <c r="AC484" i="26"/>
  <c r="AC485" i="26"/>
  <c r="AC486" i="26"/>
  <c r="AC487" i="26"/>
  <c r="AC488" i="26"/>
  <c r="AC489" i="26"/>
  <c r="AC490" i="26"/>
  <c r="AC491" i="26"/>
  <c r="AC492" i="26"/>
  <c r="AC493" i="26"/>
  <c r="AC494" i="26"/>
  <c r="AC495" i="26"/>
  <c r="AC496" i="26"/>
  <c r="AC497" i="26"/>
  <c r="AC498" i="26"/>
  <c r="AC499" i="26"/>
  <c r="AC500" i="26"/>
  <c r="AC501" i="26"/>
  <c r="AC502" i="26"/>
  <c r="AC503" i="26"/>
  <c r="AC504" i="26"/>
  <c r="AC505" i="26"/>
  <c r="AC506" i="26"/>
  <c r="AC507" i="26"/>
  <c r="AC508" i="26"/>
  <c r="AC509" i="26"/>
  <c r="AC510" i="26"/>
  <c r="AC511" i="26"/>
  <c r="AC512" i="26"/>
  <c r="AC513" i="26"/>
  <c r="AC514" i="26"/>
  <c r="AC515" i="26"/>
  <c r="AC516" i="26"/>
  <c r="AC517" i="26"/>
  <c r="AC518" i="26"/>
  <c r="AC519" i="26"/>
  <c r="AC520" i="26"/>
  <c r="AC521" i="26"/>
  <c r="AC522" i="26"/>
  <c r="AC523" i="26"/>
  <c r="AC524" i="26"/>
  <c r="AC525" i="26"/>
  <c r="AC526" i="26"/>
  <c r="AC527" i="26"/>
  <c r="AC528" i="26"/>
  <c r="AC529" i="26"/>
  <c r="AC530" i="26"/>
  <c r="AC531" i="26"/>
  <c r="AC532" i="26"/>
  <c r="AC533" i="26"/>
  <c r="AC534" i="26"/>
  <c r="AC535" i="26"/>
  <c r="AC536" i="26"/>
  <c r="AC537" i="26"/>
  <c r="AC538" i="26"/>
  <c r="AC539" i="26"/>
  <c r="AC540" i="26"/>
  <c r="AC541" i="26"/>
  <c r="AC542" i="26"/>
  <c r="AC543" i="26"/>
  <c r="AC544" i="26"/>
  <c r="AC545" i="26"/>
  <c r="AC546" i="26"/>
  <c r="AC547" i="26"/>
  <c r="AC548" i="26"/>
  <c r="AC549" i="26"/>
  <c r="AC550" i="26"/>
  <c r="AC551" i="26"/>
  <c r="AC552" i="26"/>
  <c r="AC553" i="26"/>
  <c r="AC554" i="26"/>
  <c r="AC555" i="26"/>
  <c r="AC556" i="26"/>
  <c r="AC557" i="26"/>
  <c r="AC558" i="26"/>
  <c r="AC559" i="26"/>
  <c r="AC560" i="26"/>
  <c r="AC561" i="26"/>
  <c r="AC562" i="26"/>
  <c r="AC563" i="26"/>
  <c r="AC564" i="26"/>
  <c r="AC565" i="26"/>
  <c r="AC566" i="26"/>
  <c r="AC567" i="26"/>
  <c r="AC568" i="26"/>
  <c r="AC569" i="26"/>
  <c r="AC570" i="26"/>
  <c r="AC571" i="26"/>
  <c r="AC572" i="26"/>
  <c r="AC573" i="26"/>
  <c r="AC574" i="26"/>
  <c r="AC575" i="26"/>
  <c r="AC576" i="26"/>
  <c r="AC577" i="26"/>
  <c r="AC578" i="26"/>
  <c r="AC579" i="26"/>
  <c r="AC580" i="26"/>
  <c r="AC581" i="26"/>
  <c r="AC582" i="26"/>
  <c r="AC583" i="26"/>
  <c r="AC584" i="26"/>
  <c r="AC585" i="26"/>
  <c r="AC586" i="26"/>
  <c r="AC587" i="26"/>
  <c r="AC588" i="26"/>
  <c r="AC589" i="26"/>
  <c r="AC590" i="26"/>
  <c r="AC591" i="26"/>
  <c r="AC592" i="26"/>
  <c r="AC593" i="26"/>
  <c r="AC594" i="26"/>
  <c r="AC595" i="26"/>
  <c r="AC596" i="26"/>
  <c r="AC597" i="26"/>
  <c r="AC598" i="26"/>
  <c r="AC599" i="26"/>
  <c r="AC600" i="26"/>
  <c r="AC601" i="26"/>
  <c r="AC602" i="26"/>
  <c r="AC603" i="26"/>
  <c r="AC604" i="26"/>
  <c r="AC605" i="26"/>
  <c r="AC606" i="26"/>
  <c r="AC607" i="26"/>
  <c r="AC608" i="26"/>
  <c r="AC609" i="26"/>
  <c r="AC610" i="26"/>
  <c r="AC611" i="26"/>
  <c r="AC612" i="26"/>
  <c r="AC613" i="26"/>
  <c r="AC614" i="26"/>
  <c r="AC615" i="26"/>
  <c r="AC616" i="26"/>
  <c r="AC617" i="26"/>
  <c r="AC618" i="26"/>
  <c r="AC619" i="26"/>
  <c r="AC620" i="26"/>
  <c r="AC621" i="26"/>
  <c r="AC622" i="26"/>
  <c r="AC623" i="26"/>
  <c r="AC624" i="26"/>
  <c r="AC625" i="26"/>
  <c r="AC626" i="26"/>
  <c r="AC627" i="26"/>
  <c r="AC628" i="26"/>
  <c r="AC629" i="26"/>
  <c r="AC630" i="26"/>
  <c r="AC631" i="26"/>
  <c r="AC632" i="26"/>
  <c r="AC633" i="26"/>
  <c r="AC634" i="26"/>
  <c r="AC635" i="26"/>
  <c r="AC636" i="26"/>
  <c r="AC637" i="26"/>
  <c r="AC638" i="26"/>
  <c r="AC639" i="26"/>
  <c r="AC640" i="26"/>
  <c r="AC641" i="26"/>
  <c r="AC642" i="26"/>
  <c r="AC643" i="26"/>
  <c r="AC644" i="26"/>
  <c r="AC645" i="26"/>
  <c r="AC646" i="26"/>
  <c r="AC647" i="26"/>
  <c r="AC648" i="26"/>
  <c r="AC649" i="26"/>
  <c r="AC650" i="26"/>
  <c r="AC651" i="26"/>
  <c r="AC652" i="26"/>
  <c r="AC653" i="26"/>
  <c r="AC654" i="26"/>
  <c r="AC655" i="26"/>
  <c r="AC656" i="26"/>
  <c r="AC657" i="26"/>
  <c r="AC658" i="26"/>
  <c r="AC659" i="26"/>
  <c r="AC660" i="26"/>
  <c r="AC661" i="26"/>
  <c r="AC662" i="26"/>
  <c r="AC663" i="26"/>
  <c r="AC664" i="26"/>
  <c r="AC665" i="26"/>
  <c r="AC666" i="26"/>
  <c r="AC667" i="26"/>
  <c r="AC668" i="26"/>
  <c r="AC669" i="26"/>
  <c r="AC670" i="26"/>
  <c r="AC671" i="26"/>
  <c r="AC672" i="26"/>
  <c r="AC673" i="26"/>
  <c r="AC674" i="26"/>
  <c r="AC675" i="26"/>
  <c r="AC676" i="26"/>
  <c r="AC677" i="26"/>
  <c r="AC678" i="26"/>
  <c r="AC679" i="26"/>
  <c r="AC680" i="26"/>
  <c r="AC681" i="26"/>
  <c r="AC682" i="26"/>
  <c r="AC683" i="26"/>
  <c r="AC684" i="26"/>
  <c r="AC685" i="26"/>
  <c r="AC686" i="26"/>
  <c r="AC687" i="26"/>
  <c r="AC688" i="26"/>
  <c r="AC689" i="26"/>
  <c r="AC690" i="26"/>
  <c r="AC691" i="26"/>
  <c r="AC692" i="26"/>
  <c r="AC693" i="26"/>
  <c r="AC694" i="26"/>
  <c r="AC695" i="26"/>
  <c r="AC696" i="26"/>
  <c r="AC697" i="26"/>
  <c r="AC698" i="26"/>
  <c r="AC699" i="26"/>
  <c r="AC700" i="26"/>
  <c r="AC701" i="26"/>
  <c r="AC702" i="26"/>
  <c r="AC703" i="26"/>
  <c r="AC704" i="26"/>
  <c r="AC705" i="26"/>
  <c r="AC706" i="26"/>
  <c r="AC707" i="26"/>
  <c r="AC708" i="26"/>
  <c r="AC709" i="26"/>
  <c r="AC710" i="26"/>
  <c r="AC711" i="26"/>
  <c r="AC712" i="26"/>
  <c r="AC713" i="26"/>
  <c r="AC714" i="26"/>
  <c r="AC715" i="26"/>
  <c r="AC716" i="26"/>
  <c r="AC717" i="26"/>
  <c r="AC718" i="26"/>
  <c r="AC719" i="26"/>
  <c r="AC720" i="26"/>
  <c r="AC721" i="26"/>
  <c r="AC722" i="26"/>
  <c r="AC723" i="26"/>
  <c r="AC724" i="26"/>
  <c r="AC725" i="26"/>
  <c r="AC726" i="26"/>
  <c r="AC727" i="26"/>
  <c r="AC728" i="26"/>
  <c r="AC729" i="26"/>
  <c r="AC730" i="26"/>
  <c r="AC731" i="26"/>
  <c r="AC732" i="26"/>
  <c r="AC733" i="26"/>
  <c r="AC734" i="26"/>
  <c r="AC735" i="26"/>
  <c r="AC736" i="26"/>
  <c r="AC737" i="26"/>
  <c r="AC738" i="26"/>
  <c r="AC739" i="26"/>
  <c r="AC740" i="26"/>
  <c r="AC741" i="26"/>
  <c r="AC742" i="26"/>
  <c r="AC743" i="26"/>
  <c r="AC744" i="26"/>
  <c r="AC745" i="26"/>
  <c r="AC746" i="26"/>
  <c r="AC747" i="26"/>
  <c r="AC748" i="26"/>
  <c r="AC749" i="26"/>
  <c r="AC750" i="26"/>
  <c r="AC751" i="26"/>
  <c r="AC752" i="26"/>
  <c r="AC753" i="26"/>
  <c r="AC754" i="26"/>
  <c r="AC755" i="26"/>
  <c r="AC756" i="26"/>
  <c r="AC757" i="26"/>
  <c r="AC758" i="26"/>
  <c r="AC759" i="26"/>
  <c r="AC760" i="26"/>
  <c r="AC761" i="26"/>
  <c r="AC762" i="26"/>
  <c r="AC763" i="26"/>
  <c r="AC764" i="26"/>
  <c r="AC765" i="26"/>
  <c r="AC766" i="26"/>
  <c r="AC767" i="26"/>
  <c r="AC768" i="26"/>
  <c r="AC769" i="26"/>
  <c r="AC770" i="26"/>
  <c r="AC771" i="26"/>
  <c r="AC772" i="26"/>
  <c r="AC773" i="26"/>
  <c r="AC774" i="26"/>
  <c r="AC775" i="26"/>
  <c r="AC776" i="26"/>
  <c r="AC777" i="26"/>
  <c r="AC778" i="26"/>
  <c r="AC779" i="26"/>
  <c r="AC780" i="26"/>
  <c r="AC781" i="26"/>
  <c r="AC782" i="26"/>
  <c r="AC783" i="26"/>
  <c r="AC784" i="26"/>
  <c r="AC785" i="26"/>
  <c r="AC786" i="26"/>
  <c r="AC787" i="26"/>
  <c r="AC788" i="26"/>
  <c r="AC789" i="26"/>
  <c r="AC790" i="26"/>
  <c r="AC791" i="26"/>
  <c r="AC792" i="26"/>
  <c r="AC793" i="26"/>
  <c r="AC794" i="26"/>
  <c r="AC795" i="26"/>
  <c r="AC796" i="26"/>
  <c r="AC797" i="26"/>
  <c r="AC798" i="26"/>
  <c r="AC799" i="26"/>
  <c r="AC800" i="26"/>
  <c r="AC801" i="26"/>
  <c r="AC802" i="26"/>
  <c r="AC803" i="26"/>
  <c r="AC804" i="26"/>
  <c r="AC805" i="26"/>
  <c r="AC806" i="26"/>
  <c r="AC807" i="26"/>
  <c r="AC808" i="26"/>
  <c r="AC809" i="26"/>
  <c r="AC810" i="26"/>
  <c r="AC811" i="26"/>
  <c r="AC812" i="26"/>
  <c r="AC813" i="26"/>
  <c r="AC814" i="26"/>
  <c r="AC815" i="26"/>
  <c r="AC816" i="26"/>
  <c r="AC817" i="26"/>
  <c r="AC818" i="26"/>
  <c r="AC819" i="26"/>
  <c r="AC820" i="26"/>
  <c r="AC821" i="26"/>
  <c r="AC822" i="26"/>
  <c r="AC823" i="26"/>
  <c r="AC824" i="26"/>
  <c r="AC825" i="26"/>
  <c r="AC826" i="26"/>
  <c r="AC827" i="26"/>
  <c r="AC828" i="26"/>
  <c r="AC829" i="26"/>
  <c r="AC830" i="26"/>
  <c r="AC831" i="26"/>
  <c r="AC832" i="26"/>
  <c r="AC833" i="26"/>
  <c r="AC834" i="26"/>
  <c r="AC835" i="26"/>
  <c r="AC836" i="26"/>
  <c r="AC837" i="26"/>
  <c r="AC838" i="26"/>
  <c r="AC839" i="26"/>
  <c r="AC840" i="26"/>
  <c r="AC841" i="26"/>
  <c r="AC842" i="26"/>
  <c r="AC843" i="26"/>
  <c r="AC844" i="26"/>
  <c r="AC845" i="26"/>
  <c r="AC846" i="26"/>
  <c r="AC847" i="26"/>
  <c r="AC848" i="26"/>
  <c r="AC849" i="26"/>
  <c r="AC850" i="26"/>
  <c r="AC851" i="26"/>
  <c r="AC852" i="26"/>
  <c r="AC853" i="26"/>
  <c r="AC854" i="26"/>
  <c r="AC855" i="26"/>
  <c r="AC856" i="26"/>
  <c r="AC857" i="26"/>
  <c r="AC858" i="26"/>
  <c r="AC859" i="26"/>
  <c r="AC860" i="26"/>
  <c r="AC861" i="26"/>
  <c r="AC862" i="26"/>
  <c r="AC863" i="26"/>
  <c r="AC864" i="26"/>
  <c r="AC865" i="26"/>
  <c r="AC866" i="26"/>
  <c r="AC867" i="26"/>
  <c r="AC868" i="26"/>
  <c r="AC869" i="26"/>
  <c r="AC870" i="26"/>
  <c r="AC871" i="26"/>
  <c r="AC872" i="26"/>
  <c r="AC873" i="26"/>
  <c r="AC874" i="26"/>
  <c r="AC875" i="26"/>
  <c r="AC876" i="26"/>
  <c r="AC877" i="26"/>
  <c r="AC878" i="26"/>
  <c r="AC879" i="26"/>
  <c r="AC880" i="26"/>
  <c r="AC881" i="26"/>
  <c r="AC882" i="26"/>
  <c r="AC883" i="26"/>
  <c r="AC884" i="26"/>
  <c r="AC885" i="26"/>
  <c r="AC886" i="26"/>
  <c r="AC887" i="26"/>
  <c r="AC888" i="26"/>
  <c r="AC889" i="26"/>
  <c r="AC890" i="26"/>
  <c r="AC891" i="26"/>
  <c r="AC892" i="26"/>
  <c r="AC893" i="26"/>
  <c r="AC894" i="26"/>
  <c r="AC895" i="26"/>
  <c r="AC896" i="26"/>
  <c r="AC897" i="26"/>
  <c r="AC898" i="26"/>
  <c r="AC899" i="26"/>
  <c r="AC900" i="26"/>
  <c r="AC901" i="26"/>
  <c r="AC902" i="26"/>
  <c r="AC903" i="26"/>
  <c r="AC904" i="26"/>
  <c r="AC905" i="26"/>
  <c r="AC906" i="26"/>
  <c r="AC907" i="26"/>
  <c r="AC908" i="26"/>
  <c r="AC909" i="26"/>
  <c r="AC910" i="26"/>
  <c r="AC911" i="26"/>
  <c r="AC912" i="26"/>
  <c r="AC913" i="26"/>
  <c r="AC914" i="26"/>
  <c r="AC915" i="26"/>
  <c r="AC916" i="26"/>
  <c r="AC917" i="26"/>
  <c r="AC918" i="26"/>
  <c r="AC919" i="26"/>
  <c r="AC920" i="26"/>
  <c r="AC921" i="26"/>
  <c r="AC922" i="26"/>
  <c r="AC923" i="26"/>
  <c r="AC924" i="26"/>
  <c r="AC925" i="26"/>
  <c r="AC926" i="26"/>
  <c r="AC927" i="26"/>
  <c r="AC928" i="26"/>
  <c r="AC929" i="26"/>
  <c r="AC930" i="26"/>
  <c r="AC931" i="26"/>
  <c r="AC932" i="26"/>
  <c r="AC933" i="26"/>
  <c r="AC934" i="26"/>
  <c r="AC935" i="26"/>
  <c r="AC936" i="26"/>
  <c r="AC937" i="26"/>
  <c r="AC938" i="26"/>
  <c r="AC939" i="26"/>
  <c r="AC940" i="26"/>
  <c r="AC941" i="26"/>
  <c r="AC942" i="26"/>
  <c r="AC943" i="26"/>
  <c r="AC944" i="26"/>
  <c r="AC945" i="26"/>
  <c r="AC946" i="26"/>
  <c r="AC947" i="26"/>
  <c r="AC948" i="26"/>
  <c r="AC949" i="26"/>
  <c r="AC950" i="26"/>
  <c r="AC951" i="26"/>
  <c r="AC952" i="26"/>
  <c r="AC953" i="26"/>
  <c r="AC954" i="26"/>
  <c r="AC955" i="26"/>
  <c r="AC956" i="26"/>
  <c r="AC957" i="26"/>
  <c r="AC958" i="26"/>
  <c r="AC959" i="26"/>
  <c r="AC960" i="26"/>
  <c r="AC961" i="26"/>
  <c r="AC962" i="26"/>
  <c r="AC963" i="26"/>
  <c r="AC964" i="26"/>
  <c r="AC965" i="26"/>
  <c r="AC966" i="26"/>
  <c r="AC967" i="26"/>
  <c r="AC968" i="26"/>
  <c r="AC969" i="26"/>
  <c r="AC970" i="26"/>
  <c r="AC971" i="26"/>
  <c r="AC972" i="26"/>
  <c r="AC973" i="26"/>
  <c r="AC974" i="26"/>
  <c r="AC975" i="26"/>
  <c r="AC976" i="26"/>
  <c r="AC977" i="26"/>
  <c r="AC978" i="26"/>
  <c r="AC979" i="26"/>
  <c r="AC980" i="26"/>
  <c r="AC981" i="26"/>
  <c r="AC982" i="26"/>
  <c r="AC983" i="26"/>
  <c r="AC984" i="26"/>
  <c r="AC985" i="26"/>
  <c r="AC986" i="26"/>
  <c r="AC987" i="26"/>
  <c r="AC988" i="26"/>
  <c r="AC989" i="26"/>
  <c r="AC990" i="26"/>
  <c r="AC991" i="26"/>
  <c r="AC992" i="26"/>
  <c r="AC993" i="26"/>
  <c r="AC994" i="26"/>
  <c r="AC995" i="26"/>
  <c r="AC996" i="26"/>
  <c r="AC997" i="26"/>
  <c r="AC998" i="26"/>
  <c r="AC999" i="26"/>
  <c r="AC1000" i="26"/>
  <c r="AC1001" i="26"/>
  <c r="AC1002" i="26"/>
  <c r="AC1003" i="26"/>
  <c r="AC1004" i="26"/>
  <c r="AC1005" i="26"/>
  <c r="AC1006" i="26"/>
  <c r="AC1007" i="26"/>
  <c r="AC1008" i="26"/>
  <c r="AC1009" i="26"/>
  <c r="AC1010" i="26"/>
  <c r="AC1011" i="26"/>
  <c r="AC1012" i="26"/>
  <c r="AC1013" i="26"/>
  <c r="AC1014" i="26"/>
  <c r="AC1015" i="26"/>
  <c r="AC1016" i="26"/>
  <c r="AC1017" i="26"/>
  <c r="AC1018" i="26"/>
  <c r="AC1019" i="26"/>
  <c r="AC1020" i="26"/>
  <c r="AC1021" i="26"/>
  <c r="AC1022" i="26"/>
  <c r="AC1023" i="26"/>
  <c r="AC1024" i="26"/>
  <c r="AC1025" i="26"/>
  <c r="AC1026" i="26"/>
  <c r="AC1027" i="26"/>
  <c r="AC1028" i="26"/>
  <c r="AC1029" i="26"/>
  <c r="AC1030" i="26"/>
  <c r="AC1031" i="26"/>
  <c r="AC1032" i="26"/>
  <c r="AC1033" i="26"/>
  <c r="AC1034" i="26"/>
  <c r="AC1035" i="26"/>
  <c r="AC1036" i="26"/>
  <c r="AC1037" i="26"/>
  <c r="AC1038" i="26"/>
  <c r="AC1039" i="26"/>
  <c r="AC1040" i="26"/>
  <c r="AC1041" i="26"/>
  <c r="AC1042" i="26"/>
  <c r="AC1043" i="26"/>
  <c r="AC45" i="26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65" i="33"/>
  <c r="L66" i="33"/>
  <c r="L67" i="33"/>
  <c r="L68" i="33"/>
  <c r="L69" i="33"/>
  <c r="L70" i="33"/>
  <c r="L71" i="33"/>
  <c r="L72" i="33"/>
  <c r="L73" i="33"/>
  <c r="L74" i="33"/>
  <c r="L75" i="33"/>
  <c r="L76" i="33"/>
  <c r="L77" i="33"/>
  <c r="L78" i="33"/>
  <c r="L79" i="33"/>
  <c r="L80" i="33"/>
  <c r="L81" i="33"/>
  <c r="L82" i="33"/>
  <c r="L83" i="33"/>
  <c r="L84" i="33"/>
  <c r="L85" i="33"/>
  <c r="L86" i="33"/>
  <c r="L87" i="33"/>
  <c r="L88" i="33"/>
  <c r="L89" i="33"/>
  <c r="L90" i="33"/>
  <c r="L91" i="33"/>
  <c r="L92" i="33"/>
  <c r="L93" i="33"/>
  <c r="L94" i="33"/>
  <c r="L95" i="33"/>
  <c r="L96" i="33"/>
  <c r="L97" i="33"/>
  <c r="L98" i="33"/>
  <c r="L99" i="33"/>
  <c r="L100" i="33"/>
  <c r="L101" i="33"/>
  <c r="L102" i="33"/>
  <c r="L103" i="33"/>
  <c r="L104" i="33"/>
  <c r="L105" i="33"/>
  <c r="L106" i="33"/>
  <c r="L107" i="33"/>
  <c r="L108" i="33"/>
  <c r="L109" i="33"/>
  <c r="L110" i="33"/>
  <c r="L111" i="33"/>
  <c r="L112" i="33"/>
  <c r="L113" i="33"/>
  <c r="L114" i="33"/>
  <c r="L115" i="33"/>
  <c r="L116" i="33"/>
  <c r="L117" i="33"/>
  <c r="L118" i="33"/>
  <c r="L119" i="33"/>
  <c r="L120" i="33"/>
  <c r="L121" i="33"/>
  <c r="L122" i="33"/>
  <c r="L123" i="33"/>
  <c r="L124" i="33"/>
  <c r="L125" i="33"/>
  <c r="L126" i="33"/>
  <c r="L127" i="33"/>
  <c r="L128" i="33"/>
  <c r="L129" i="33"/>
  <c r="L130" i="33"/>
  <c r="L131" i="33"/>
  <c r="L132" i="33"/>
  <c r="L133" i="33"/>
  <c r="L134" i="33"/>
  <c r="L135" i="33"/>
  <c r="L136" i="33"/>
  <c r="L137" i="33"/>
  <c r="L138" i="33"/>
  <c r="L139" i="33"/>
  <c r="L140" i="33"/>
  <c r="L141" i="33"/>
  <c r="L142" i="33"/>
  <c r="L143" i="33"/>
  <c r="L144" i="33"/>
  <c r="L145" i="33"/>
  <c r="L146" i="33"/>
  <c r="L147" i="33"/>
  <c r="L148" i="33"/>
  <c r="L149" i="33"/>
  <c r="L150" i="33"/>
  <c r="L151" i="33"/>
  <c r="L152" i="33"/>
  <c r="L153" i="33"/>
  <c r="L154" i="33"/>
  <c r="L155" i="33"/>
  <c r="L156" i="33"/>
  <c r="L157" i="33"/>
  <c r="L158" i="33"/>
  <c r="L159" i="33"/>
  <c r="L160" i="33"/>
  <c r="L161" i="33"/>
  <c r="L162" i="33"/>
  <c r="L163" i="33"/>
  <c r="L164" i="33"/>
  <c r="L165" i="33"/>
  <c r="L166" i="33"/>
  <c r="L167" i="33"/>
  <c r="L168" i="33"/>
  <c r="L169" i="33"/>
  <c r="L170" i="33"/>
  <c r="L171" i="33"/>
  <c r="L172" i="33"/>
  <c r="L173" i="33"/>
  <c r="L174" i="33"/>
  <c r="L175" i="33"/>
  <c r="L176" i="33"/>
  <c r="L177" i="33"/>
  <c r="L178" i="33"/>
  <c r="L179" i="33"/>
  <c r="L180" i="33"/>
  <c r="L181" i="33"/>
  <c r="L182" i="33"/>
  <c r="L183" i="33"/>
  <c r="L184" i="33"/>
  <c r="L185" i="33"/>
  <c r="L186" i="33"/>
  <c r="L187" i="33"/>
  <c r="L188" i="33"/>
  <c r="L189" i="33"/>
  <c r="L190" i="33"/>
  <c r="L191" i="33"/>
  <c r="L192" i="33"/>
  <c r="L193" i="33"/>
  <c r="L194" i="33"/>
  <c r="L195" i="33"/>
  <c r="L196" i="33"/>
  <c r="L197" i="33"/>
  <c r="L198" i="33"/>
  <c r="L199" i="33"/>
  <c r="L200" i="33"/>
  <c r="L201" i="33"/>
  <c r="L202" i="33"/>
  <c r="L203" i="33"/>
  <c r="L204" i="33"/>
  <c r="L205" i="33"/>
  <c r="L206" i="33"/>
  <c r="L207" i="33"/>
  <c r="L208" i="33"/>
  <c r="L209" i="33"/>
  <c r="L210" i="33"/>
  <c r="L211" i="33"/>
  <c r="L212" i="33"/>
  <c r="L213" i="33"/>
  <c r="L214" i="33"/>
  <c r="L215" i="33"/>
  <c r="L216" i="33"/>
  <c r="L217" i="33"/>
  <c r="L218" i="33"/>
  <c r="L219" i="33"/>
  <c r="L220" i="33"/>
  <c r="L221" i="33"/>
  <c r="L222" i="33"/>
  <c r="L223" i="33"/>
  <c r="L224" i="33"/>
  <c r="L225" i="33"/>
  <c r="L226" i="33"/>
  <c r="L227" i="33"/>
  <c r="L228" i="33"/>
  <c r="L229" i="33"/>
  <c r="L230" i="33"/>
  <c r="L231" i="33"/>
  <c r="L232" i="33"/>
  <c r="L233" i="33"/>
  <c r="L234" i="33"/>
  <c r="L235" i="33"/>
  <c r="L236" i="33"/>
  <c r="L237" i="33"/>
  <c r="L238" i="33"/>
  <c r="L239" i="33"/>
  <c r="L240" i="33"/>
  <c r="L241" i="33"/>
  <c r="L242" i="33"/>
  <c r="L243" i="33"/>
  <c r="L244" i="33"/>
  <c r="L245" i="33"/>
  <c r="L246" i="33"/>
  <c r="L247" i="33"/>
  <c r="L248" i="33"/>
  <c r="L249" i="33"/>
  <c r="L250" i="33"/>
  <c r="L251" i="33"/>
  <c r="L252" i="33"/>
  <c r="L253" i="33"/>
  <c r="L254" i="33"/>
  <c r="L255" i="33"/>
  <c r="L256" i="33"/>
  <c r="L257" i="33"/>
  <c r="L258" i="33"/>
  <c r="L259" i="33"/>
  <c r="L260" i="33"/>
  <c r="L261" i="33"/>
  <c r="L262" i="33"/>
  <c r="L263" i="33"/>
  <c r="L264" i="33"/>
  <c r="L265" i="33"/>
  <c r="L266" i="33"/>
  <c r="L267" i="33"/>
  <c r="L268" i="33"/>
  <c r="L269" i="33"/>
  <c r="L270" i="33"/>
  <c r="L271" i="33"/>
  <c r="L272" i="33"/>
  <c r="L273" i="33"/>
  <c r="L274" i="33"/>
  <c r="L275" i="33"/>
  <c r="L276" i="33"/>
  <c r="L277" i="33"/>
  <c r="L278" i="33"/>
  <c r="L279" i="33"/>
  <c r="L280" i="33"/>
  <c r="L281" i="33"/>
  <c r="L282" i="33"/>
  <c r="L283" i="33"/>
  <c r="L284" i="33"/>
  <c r="L285" i="33"/>
  <c r="L286" i="33"/>
  <c r="L287" i="33"/>
  <c r="L288" i="33"/>
  <c r="L289" i="33"/>
  <c r="L290" i="33"/>
  <c r="L291" i="33"/>
  <c r="L292" i="33"/>
  <c r="L293" i="33"/>
  <c r="L294" i="33"/>
  <c r="L295" i="33"/>
  <c r="L296" i="33"/>
  <c r="L297" i="33"/>
  <c r="L298" i="33"/>
  <c r="L299" i="33"/>
  <c r="L300" i="33"/>
  <c r="L301" i="33"/>
  <c r="L302" i="33"/>
  <c r="L303" i="33"/>
  <c r="L304" i="33"/>
  <c r="L305" i="33"/>
  <c r="L306" i="33"/>
  <c r="L307" i="33"/>
  <c r="L308" i="33"/>
  <c r="L309" i="33"/>
  <c r="L310" i="33"/>
  <c r="L311" i="33"/>
  <c r="L312" i="33"/>
  <c r="L313" i="33"/>
  <c r="L314" i="33"/>
  <c r="L315" i="33"/>
  <c r="L316" i="33"/>
  <c r="L317" i="33"/>
  <c r="L318" i="33"/>
  <c r="L319" i="33"/>
  <c r="L320" i="33"/>
  <c r="L321" i="33"/>
  <c r="L322" i="33"/>
  <c r="L323" i="33"/>
  <c r="L324" i="33"/>
  <c r="L325" i="33"/>
  <c r="L326" i="33"/>
  <c r="L327" i="33"/>
  <c r="L328" i="33"/>
  <c r="L329" i="33"/>
  <c r="L330" i="33"/>
  <c r="L331" i="33"/>
  <c r="L332" i="33"/>
  <c r="L333" i="33"/>
  <c r="L334" i="33"/>
  <c r="L335" i="33"/>
  <c r="L336" i="33"/>
  <c r="L337" i="33"/>
  <c r="L338" i="33"/>
  <c r="L339" i="33"/>
  <c r="L340" i="33"/>
  <c r="L341" i="33"/>
  <c r="L342" i="33"/>
  <c r="L343" i="33"/>
  <c r="L344" i="33"/>
  <c r="L345" i="33"/>
  <c r="L346" i="33"/>
  <c r="L347" i="33"/>
  <c r="L348" i="33"/>
  <c r="L349" i="33"/>
  <c r="L350" i="33"/>
  <c r="L351" i="33"/>
  <c r="L352" i="33"/>
  <c r="L353" i="33"/>
  <c r="L354" i="33"/>
  <c r="L355" i="33"/>
  <c r="L356" i="33"/>
  <c r="L357" i="33"/>
  <c r="L358" i="33"/>
  <c r="L359" i="33"/>
  <c r="L360" i="33"/>
  <c r="L361" i="33"/>
  <c r="L362" i="33"/>
  <c r="L363" i="33"/>
  <c r="L364" i="33"/>
  <c r="L365" i="33"/>
  <c r="L366" i="33"/>
  <c r="L367" i="33"/>
  <c r="L368" i="33"/>
  <c r="L369" i="33"/>
  <c r="L370" i="33"/>
  <c r="L371" i="33"/>
  <c r="L372" i="33"/>
  <c r="L373" i="33"/>
  <c r="L374" i="33"/>
  <c r="L375" i="33"/>
  <c r="L376" i="33"/>
  <c r="L377" i="33"/>
  <c r="L378" i="33"/>
  <c r="L379" i="33"/>
  <c r="L380" i="33"/>
  <c r="L381" i="33"/>
  <c r="L382" i="33"/>
  <c r="L383" i="33"/>
  <c r="L384" i="33"/>
  <c r="L385" i="33"/>
  <c r="L386" i="33"/>
  <c r="L387" i="33"/>
  <c r="L388" i="33"/>
  <c r="L389" i="33"/>
  <c r="L390" i="33"/>
  <c r="L391" i="33"/>
  <c r="L392" i="33"/>
  <c r="L393" i="33"/>
  <c r="L394" i="33"/>
  <c r="L395" i="33"/>
  <c r="L396" i="33"/>
  <c r="L397" i="33"/>
  <c r="L398" i="33"/>
  <c r="L399" i="33"/>
  <c r="L400" i="33"/>
  <c r="L401" i="33"/>
  <c r="L402" i="33"/>
  <c r="L403" i="33"/>
  <c r="L404" i="33"/>
  <c r="L405" i="33"/>
  <c r="L406" i="33"/>
  <c r="L407" i="33"/>
  <c r="L408" i="33"/>
  <c r="L409" i="33"/>
  <c r="L410" i="33"/>
  <c r="L411" i="33"/>
  <c r="L412" i="33"/>
  <c r="L413" i="33"/>
  <c r="L414" i="33"/>
  <c r="L415" i="33"/>
  <c r="L416" i="33"/>
  <c r="L417" i="33"/>
  <c r="L418" i="33"/>
  <c r="L419" i="33"/>
  <c r="L420" i="33"/>
  <c r="L421" i="33"/>
  <c r="L422" i="33"/>
  <c r="L423" i="33"/>
  <c r="L424" i="33"/>
  <c r="L425" i="33"/>
  <c r="L426" i="33"/>
  <c r="L427" i="33"/>
  <c r="L428" i="33"/>
  <c r="L429" i="33"/>
  <c r="L430" i="33"/>
  <c r="L431" i="33"/>
  <c r="L432" i="33"/>
  <c r="L433" i="33"/>
  <c r="L434" i="33"/>
  <c r="L435" i="33"/>
  <c r="L436" i="33"/>
  <c r="L437" i="33"/>
  <c r="L438" i="33"/>
  <c r="L439" i="33"/>
  <c r="L440" i="33"/>
  <c r="L441" i="33"/>
  <c r="L442" i="33"/>
  <c r="L443" i="33"/>
  <c r="L444" i="33"/>
  <c r="L445" i="33"/>
  <c r="L446" i="33"/>
  <c r="L447" i="33"/>
  <c r="L448" i="33"/>
  <c r="L449" i="33"/>
  <c r="L450" i="33"/>
  <c r="L451" i="33"/>
  <c r="L452" i="33"/>
  <c r="L453" i="33"/>
  <c r="L454" i="33"/>
  <c r="L455" i="33"/>
  <c r="L456" i="33"/>
  <c r="L457" i="33"/>
  <c r="L458" i="33"/>
  <c r="L459" i="33"/>
  <c r="L460" i="33"/>
  <c r="L461" i="33"/>
  <c r="L462" i="33"/>
  <c r="L463" i="33"/>
  <c r="L464" i="33"/>
  <c r="L465" i="33"/>
  <c r="L466" i="33"/>
  <c r="L467" i="33"/>
  <c r="L468" i="33"/>
  <c r="L469" i="33"/>
  <c r="L470" i="33"/>
  <c r="L471" i="33"/>
  <c r="L472" i="33"/>
  <c r="L473" i="33"/>
  <c r="L474" i="33"/>
  <c r="L475" i="33"/>
  <c r="L476" i="33"/>
  <c r="L477" i="33"/>
  <c r="L478" i="33"/>
  <c r="L479" i="33"/>
  <c r="L480" i="33"/>
  <c r="L481" i="33"/>
  <c r="L482" i="33"/>
  <c r="L483" i="33"/>
  <c r="L484" i="33"/>
  <c r="L485" i="33"/>
  <c r="L486" i="33"/>
  <c r="L487" i="33"/>
  <c r="L488" i="33"/>
  <c r="L489" i="33"/>
  <c r="L490" i="33"/>
  <c r="L491" i="33"/>
  <c r="L492" i="33"/>
  <c r="L493" i="33"/>
  <c r="L494" i="33"/>
  <c r="L495" i="33"/>
  <c r="L496" i="33"/>
  <c r="L497" i="33"/>
  <c r="L498" i="33"/>
  <c r="L499" i="33"/>
  <c r="L500" i="33"/>
  <c r="L501" i="33"/>
  <c r="L502" i="33"/>
  <c r="L503" i="33"/>
  <c r="L504" i="33"/>
  <c r="L505" i="33"/>
  <c r="L506" i="33"/>
  <c r="L507" i="33"/>
  <c r="L508" i="33"/>
  <c r="L509" i="33"/>
  <c r="L510" i="33"/>
  <c r="L511" i="33"/>
  <c r="L512" i="33"/>
  <c r="L513" i="33"/>
  <c r="L514" i="33"/>
  <c r="L515" i="33"/>
  <c r="L516" i="33"/>
  <c r="L517" i="33"/>
  <c r="L518" i="33"/>
  <c r="L519" i="33"/>
  <c r="L520" i="33"/>
  <c r="L521" i="33"/>
  <c r="L522" i="33"/>
  <c r="L523" i="33"/>
  <c r="L524" i="33"/>
  <c r="L525" i="33"/>
  <c r="L526" i="33"/>
  <c r="L527" i="33"/>
  <c r="L528" i="33"/>
  <c r="L529" i="33"/>
  <c r="L530" i="33"/>
  <c r="L531" i="33"/>
  <c r="L532" i="33"/>
  <c r="L533" i="33"/>
  <c r="L534" i="33"/>
  <c r="L535" i="33"/>
  <c r="L536" i="33"/>
  <c r="L537" i="33"/>
  <c r="L538" i="33"/>
  <c r="L539" i="33"/>
  <c r="L540" i="33"/>
  <c r="L541" i="33"/>
  <c r="L542" i="33"/>
  <c r="L543" i="33"/>
  <c r="L544" i="33"/>
  <c r="L545" i="33"/>
  <c r="L546" i="33"/>
  <c r="L547" i="33"/>
  <c r="L548" i="33"/>
  <c r="L549" i="33"/>
  <c r="L550" i="33"/>
  <c r="L551" i="33"/>
  <c r="L552" i="33"/>
  <c r="L553" i="33"/>
  <c r="L554" i="33"/>
  <c r="L555" i="33"/>
  <c r="L556" i="33"/>
  <c r="L557" i="33"/>
  <c r="L558" i="33"/>
  <c r="L559" i="33"/>
  <c r="L560" i="33"/>
  <c r="L561" i="33"/>
  <c r="L562" i="33"/>
  <c r="L563" i="33"/>
  <c r="L564" i="33"/>
  <c r="L565" i="33"/>
  <c r="L566" i="33"/>
  <c r="L567" i="33"/>
  <c r="L568" i="33"/>
  <c r="L569" i="33"/>
  <c r="L570" i="33"/>
  <c r="L571" i="33"/>
  <c r="L572" i="33"/>
  <c r="L573" i="33"/>
  <c r="L574" i="33"/>
  <c r="L575" i="33"/>
  <c r="L576" i="33"/>
  <c r="L577" i="33"/>
  <c r="L578" i="33"/>
  <c r="L579" i="33"/>
  <c r="L580" i="33"/>
  <c r="L581" i="33"/>
  <c r="L582" i="33"/>
  <c r="L583" i="33"/>
  <c r="L584" i="33"/>
  <c r="L585" i="33"/>
  <c r="L586" i="33"/>
  <c r="L587" i="33"/>
  <c r="L588" i="33"/>
  <c r="L589" i="33"/>
  <c r="L590" i="33"/>
  <c r="L591" i="33"/>
  <c r="L592" i="33"/>
  <c r="L593" i="33"/>
  <c r="L594" i="33"/>
  <c r="L595" i="33"/>
  <c r="L596" i="33"/>
  <c r="L597" i="33"/>
  <c r="L598" i="33"/>
  <c r="L599" i="33"/>
  <c r="L600" i="33"/>
  <c r="L601" i="33"/>
  <c r="L602" i="33"/>
  <c r="L603" i="33"/>
  <c r="L604" i="33"/>
  <c r="L605" i="33"/>
  <c r="L606" i="33"/>
  <c r="L607" i="33"/>
  <c r="L608" i="33"/>
  <c r="L609" i="33"/>
  <c r="L610" i="33"/>
  <c r="L611" i="33"/>
  <c r="L612" i="33"/>
  <c r="L613" i="33"/>
  <c r="L614" i="33"/>
  <c r="L615" i="33"/>
  <c r="L616" i="33"/>
  <c r="L617" i="33"/>
  <c r="L618" i="33"/>
  <c r="L619" i="33"/>
  <c r="L620" i="33"/>
  <c r="L621" i="33"/>
  <c r="L622" i="33"/>
  <c r="L623" i="33"/>
  <c r="L624" i="33"/>
  <c r="L625" i="33"/>
  <c r="L626" i="33"/>
  <c r="L627" i="33"/>
  <c r="L628" i="33"/>
  <c r="L629" i="33"/>
  <c r="L630" i="33"/>
  <c r="L631" i="33"/>
  <c r="L632" i="33"/>
  <c r="L633" i="33"/>
  <c r="L634" i="33"/>
  <c r="L635" i="33"/>
  <c r="L636" i="33"/>
  <c r="L637" i="33"/>
  <c r="L638" i="33"/>
  <c r="L639" i="33"/>
  <c r="L640" i="33"/>
  <c r="L641" i="33"/>
  <c r="L642" i="33"/>
  <c r="L643" i="33"/>
  <c r="L644" i="33"/>
  <c r="L645" i="33"/>
  <c r="L646" i="33"/>
  <c r="L647" i="33"/>
  <c r="L648" i="33"/>
  <c r="L649" i="33"/>
  <c r="L650" i="33"/>
  <c r="L651" i="33"/>
  <c r="L652" i="33"/>
  <c r="L653" i="33"/>
  <c r="L654" i="33"/>
  <c r="L655" i="33"/>
  <c r="L656" i="33"/>
  <c r="L657" i="33"/>
  <c r="L658" i="33"/>
  <c r="L659" i="33"/>
  <c r="L660" i="33"/>
  <c r="L661" i="33"/>
  <c r="L662" i="33"/>
  <c r="L663" i="33"/>
  <c r="L664" i="33"/>
  <c r="L665" i="33"/>
  <c r="L666" i="33"/>
  <c r="L667" i="33"/>
  <c r="L668" i="33"/>
  <c r="L669" i="33"/>
  <c r="L670" i="33"/>
  <c r="L671" i="33"/>
  <c r="L672" i="33"/>
  <c r="L673" i="33"/>
  <c r="L674" i="33"/>
  <c r="L675" i="33"/>
  <c r="L676" i="33"/>
  <c r="L677" i="33"/>
  <c r="L678" i="33"/>
  <c r="L679" i="33"/>
  <c r="L680" i="33"/>
  <c r="L681" i="33"/>
  <c r="L682" i="33"/>
  <c r="L683" i="33"/>
  <c r="L684" i="33"/>
  <c r="L685" i="33"/>
  <c r="L686" i="33"/>
  <c r="L687" i="33"/>
  <c r="L688" i="33"/>
  <c r="L689" i="33"/>
  <c r="L690" i="33"/>
  <c r="L691" i="33"/>
  <c r="L692" i="33"/>
  <c r="L693" i="33"/>
  <c r="L694" i="33"/>
  <c r="L695" i="33"/>
  <c r="L696" i="33"/>
  <c r="L697" i="33"/>
  <c r="L698" i="33"/>
  <c r="L699" i="33"/>
  <c r="L700" i="33"/>
  <c r="L701" i="33"/>
  <c r="L702" i="33"/>
  <c r="L703" i="33"/>
  <c r="L704" i="33"/>
  <c r="L705" i="33"/>
  <c r="L706" i="33"/>
  <c r="L707" i="33"/>
  <c r="L708" i="33"/>
  <c r="L709" i="33"/>
  <c r="L710" i="33"/>
  <c r="L711" i="33"/>
  <c r="L712" i="33"/>
  <c r="L713" i="33"/>
  <c r="L714" i="33"/>
  <c r="L715" i="33"/>
  <c r="L716" i="33"/>
  <c r="L717" i="33"/>
  <c r="L718" i="33"/>
  <c r="L719" i="33"/>
  <c r="L720" i="33"/>
  <c r="L721" i="33"/>
  <c r="L722" i="33"/>
  <c r="L723" i="33"/>
  <c r="L724" i="33"/>
  <c r="L725" i="33"/>
  <c r="L726" i="33"/>
  <c r="L727" i="33"/>
  <c r="L728" i="33"/>
  <c r="L729" i="33"/>
  <c r="L730" i="33"/>
  <c r="L731" i="33"/>
  <c r="L732" i="33"/>
  <c r="L733" i="33"/>
  <c r="L734" i="33"/>
  <c r="L735" i="33"/>
  <c r="L736" i="33"/>
  <c r="L737" i="33"/>
  <c r="L738" i="33"/>
  <c r="L739" i="33"/>
  <c r="L740" i="33"/>
  <c r="L741" i="33"/>
  <c r="L742" i="33"/>
  <c r="L743" i="33"/>
  <c r="L744" i="33"/>
  <c r="L745" i="33"/>
  <c r="L746" i="33"/>
  <c r="L747" i="33"/>
  <c r="L748" i="33"/>
  <c r="L749" i="33"/>
  <c r="L750" i="33"/>
  <c r="L751" i="33"/>
  <c r="L752" i="33"/>
  <c r="L753" i="33"/>
  <c r="L754" i="33"/>
  <c r="L755" i="33"/>
  <c r="L756" i="33"/>
  <c r="L757" i="33"/>
  <c r="L758" i="33"/>
  <c r="L759" i="33"/>
  <c r="L760" i="33"/>
  <c r="L761" i="33"/>
  <c r="L762" i="33"/>
  <c r="L763" i="33"/>
  <c r="L764" i="33"/>
  <c r="L765" i="33"/>
  <c r="L766" i="33"/>
  <c r="L767" i="33"/>
  <c r="L768" i="33"/>
  <c r="L769" i="33"/>
  <c r="L770" i="33"/>
  <c r="L771" i="33"/>
  <c r="L772" i="33"/>
  <c r="L773" i="33"/>
  <c r="L774" i="33"/>
  <c r="L775" i="33"/>
  <c r="L776" i="33"/>
  <c r="L777" i="33"/>
  <c r="L778" i="33"/>
  <c r="L779" i="33"/>
  <c r="L780" i="33"/>
  <c r="L781" i="33"/>
  <c r="L782" i="33"/>
  <c r="L783" i="33"/>
  <c r="L784" i="33"/>
  <c r="L785" i="33"/>
  <c r="L786" i="33"/>
  <c r="L787" i="33"/>
  <c r="L788" i="33"/>
  <c r="L789" i="33"/>
  <c r="L790" i="33"/>
  <c r="L791" i="33"/>
  <c r="L792" i="33"/>
  <c r="L793" i="33"/>
  <c r="L794" i="33"/>
  <c r="L795" i="33"/>
  <c r="L796" i="33"/>
  <c r="L797" i="33"/>
  <c r="L798" i="33"/>
  <c r="L799" i="33"/>
  <c r="L800" i="33"/>
  <c r="L801" i="33"/>
  <c r="L802" i="33"/>
  <c r="L803" i="33"/>
  <c r="L804" i="33"/>
  <c r="L805" i="33"/>
  <c r="L806" i="33"/>
  <c r="L807" i="33"/>
  <c r="L808" i="33"/>
  <c r="L809" i="33"/>
  <c r="L810" i="33"/>
  <c r="L811" i="33"/>
  <c r="L812" i="33"/>
  <c r="L813" i="33"/>
  <c r="L814" i="33"/>
  <c r="L815" i="33"/>
  <c r="L816" i="33"/>
  <c r="L817" i="33"/>
  <c r="L818" i="33"/>
  <c r="L819" i="33"/>
  <c r="L820" i="33"/>
  <c r="L821" i="33"/>
  <c r="L822" i="33"/>
  <c r="L823" i="33"/>
  <c r="L824" i="33"/>
  <c r="L825" i="33"/>
  <c r="L826" i="33"/>
  <c r="L827" i="33"/>
  <c r="L828" i="33"/>
  <c r="L829" i="33"/>
  <c r="L830" i="33"/>
  <c r="L831" i="33"/>
  <c r="L832" i="33"/>
  <c r="L833" i="33"/>
  <c r="L834" i="33"/>
  <c r="L835" i="33"/>
  <c r="L836" i="33"/>
  <c r="L837" i="33"/>
  <c r="L838" i="33"/>
  <c r="L839" i="33"/>
  <c r="L840" i="33"/>
  <c r="L841" i="33"/>
  <c r="L842" i="33"/>
  <c r="L843" i="33"/>
  <c r="L844" i="33"/>
  <c r="L845" i="33"/>
  <c r="L846" i="33"/>
  <c r="L847" i="33"/>
  <c r="L848" i="33"/>
  <c r="L849" i="33"/>
  <c r="L850" i="33"/>
  <c r="L851" i="33"/>
  <c r="L852" i="33"/>
  <c r="L853" i="33"/>
  <c r="L854" i="33"/>
  <c r="L855" i="33"/>
  <c r="L856" i="33"/>
  <c r="L857" i="33"/>
  <c r="L858" i="33"/>
  <c r="L859" i="33"/>
  <c r="L860" i="33"/>
  <c r="L861" i="33"/>
  <c r="L862" i="33"/>
  <c r="L863" i="33"/>
  <c r="L864" i="33"/>
  <c r="L865" i="33"/>
  <c r="L866" i="33"/>
  <c r="L867" i="33"/>
  <c r="L868" i="33"/>
  <c r="L869" i="33"/>
  <c r="L870" i="33"/>
  <c r="L871" i="33"/>
  <c r="L872" i="33"/>
  <c r="L873" i="33"/>
  <c r="L874" i="33"/>
  <c r="L875" i="33"/>
  <c r="L876" i="33"/>
  <c r="L877" i="33"/>
  <c r="L878" i="33"/>
  <c r="L879" i="33"/>
  <c r="L880" i="33"/>
  <c r="L881" i="33"/>
  <c r="L882" i="33"/>
  <c r="L883" i="33"/>
  <c r="L884" i="33"/>
  <c r="L885" i="33"/>
  <c r="L886" i="33"/>
  <c r="L887" i="33"/>
  <c r="L888" i="33"/>
  <c r="L889" i="33"/>
  <c r="L890" i="33"/>
  <c r="L891" i="33"/>
  <c r="L892" i="33"/>
  <c r="L893" i="33"/>
  <c r="L894" i="33"/>
  <c r="L895" i="33"/>
  <c r="L896" i="33"/>
  <c r="L897" i="33"/>
  <c r="L898" i="33"/>
  <c r="L899" i="33"/>
  <c r="L900" i="33"/>
  <c r="L901" i="33"/>
  <c r="L902" i="33"/>
  <c r="L903" i="33"/>
  <c r="L904" i="33"/>
  <c r="L905" i="33"/>
  <c r="L906" i="33"/>
  <c r="L907" i="33"/>
  <c r="L908" i="33"/>
  <c r="L909" i="33"/>
  <c r="L910" i="33"/>
  <c r="L911" i="33"/>
  <c r="L912" i="33"/>
  <c r="L913" i="33"/>
  <c r="L914" i="33"/>
  <c r="L915" i="33"/>
  <c r="L916" i="33"/>
  <c r="L917" i="33"/>
  <c r="L918" i="33"/>
  <c r="L919" i="33"/>
  <c r="L920" i="33"/>
  <c r="L921" i="33"/>
  <c r="L922" i="33"/>
  <c r="L923" i="33"/>
  <c r="L924" i="33"/>
  <c r="L925" i="33"/>
  <c r="L926" i="33"/>
  <c r="L927" i="33"/>
  <c r="L928" i="33"/>
  <c r="L929" i="33"/>
  <c r="L930" i="33"/>
  <c r="L931" i="33"/>
  <c r="L932" i="33"/>
  <c r="L933" i="33"/>
  <c r="L934" i="33"/>
  <c r="L935" i="33"/>
  <c r="L936" i="33"/>
  <c r="L937" i="33"/>
  <c r="L938" i="33"/>
  <c r="L939" i="33"/>
  <c r="L940" i="33"/>
  <c r="L941" i="33"/>
  <c r="L942" i="33"/>
  <c r="L943" i="33"/>
  <c r="L944" i="33"/>
  <c r="L945" i="33"/>
  <c r="L946" i="33"/>
  <c r="L947" i="33"/>
  <c r="L948" i="33"/>
  <c r="L949" i="33"/>
  <c r="L950" i="33"/>
  <c r="L951" i="33"/>
  <c r="L952" i="33"/>
  <c r="L953" i="33"/>
  <c r="L954" i="33"/>
  <c r="L955" i="33"/>
  <c r="L956" i="33"/>
  <c r="L957" i="33"/>
  <c r="L958" i="33"/>
  <c r="L959" i="33"/>
  <c r="L960" i="33"/>
  <c r="L961" i="33"/>
  <c r="L962" i="33"/>
  <c r="L963" i="33"/>
  <c r="L964" i="33"/>
  <c r="L965" i="33"/>
  <c r="L966" i="33"/>
  <c r="L967" i="33"/>
  <c r="L968" i="33"/>
  <c r="L969" i="33"/>
  <c r="L970" i="33"/>
  <c r="L971" i="33"/>
  <c r="L972" i="33"/>
  <c r="L973" i="33"/>
  <c r="L974" i="33"/>
  <c r="L975" i="33"/>
  <c r="L976" i="33"/>
  <c r="L977" i="33"/>
  <c r="L978" i="33"/>
  <c r="L979" i="33"/>
  <c r="L980" i="33"/>
  <c r="L981" i="33"/>
  <c r="L982" i="33"/>
  <c r="L983" i="33"/>
  <c r="L984" i="33"/>
  <c r="L985" i="33"/>
  <c r="L986" i="33"/>
  <c r="L987" i="33"/>
  <c r="L988" i="33"/>
  <c r="L989" i="33"/>
  <c r="L990" i="33"/>
  <c r="L991" i="33"/>
  <c r="L992" i="33"/>
  <c r="L993" i="33"/>
  <c r="L994" i="33"/>
  <c r="L995" i="33"/>
  <c r="L996" i="33"/>
  <c r="L997" i="33"/>
  <c r="L998" i="33"/>
  <c r="L999" i="33"/>
  <c r="L1000" i="33"/>
  <c r="L1001" i="33"/>
  <c r="L1002" i="33"/>
  <c r="L4" i="33"/>
  <c r="D47" i="26" a="1"/>
  <c r="D47" i="26"/>
  <c r="F47" i="26" a="1"/>
  <c r="F47" i="26"/>
  <c r="D48" i="26" a="1"/>
  <c r="D48" i="26"/>
  <c r="F48" i="26" a="1"/>
  <c r="F48" i="26"/>
  <c r="D49" i="26" a="1"/>
  <c r="D49" i="26"/>
  <c r="F49" i="26" a="1"/>
  <c r="F49" i="26"/>
  <c r="D50" i="26" a="1"/>
  <c r="D50" i="26"/>
  <c r="F50" i="26" a="1"/>
  <c r="F50" i="26"/>
  <c r="D51" i="26" a="1"/>
  <c r="D51" i="26"/>
  <c r="F51" i="26" a="1"/>
  <c r="F51" i="26"/>
  <c r="D52" i="26" a="1"/>
  <c r="D52" i="26"/>
  <c r="F52" i="26" a="1"/>
  <c r="F52" i="26"/>
  <c r="D53" i="26" a="1"/>
  <c r="D53" i="26"/>
  <c r="F53" i="26" a="1"/>
  <c r="F53" i="26"/>
  <c r="D54" i="26" a="1"/>
  <c r="D54" i="26"/>
  <c r="F54" i="26" a="1"/>
  <c r="F54" i="26"/>
  <c r="D55" i="26" a="1"/>
  <c r="D55" i="26"/>
  <c r="F55" i="26" a="1"/>
  <c r="F55" i="26"/>
  <c r="D56" i="26" a="1"/>
  <c r="D56" i="26"/>
  <c r="F56" i="26" a="1"/>
  <c r="F56" i="26"/>
  <c r="D57" i="26" a="1"/>
  <c r="D57" i="26"/>
  <c r="F57" i="26" a="1"/>
  <c r="F57" i="26"/>
  <c r="D58" i="26" a="1"/>
  <c r="D58" i="26"/>
  <c r="F58" i="26" a="1"/>
  <c r="F58" i="26"/>
  <c r="D59" i="26" a="1"/>
  <c r="D59" i="26"/>
  <c r="F59" i="26" a="1"/>
  <c r="F59" i="26"/>
  <c r="D60" i="26" a="1"/>
  <c r="D60" i="26"/>
  <c r="F60" i="26" a="1"/>
  <c r="F60" i="26"/>
  <c r="D61" i="26" a="1"/>
  <c r="D61" i="26"/>
  <c r="F61" i="26" a="1"/>
  <c r="F61" i="26"/>
  <c r="D62" i="26" a="1"/>
  <c r="D62" i="26"/>
  <c r="F62" i="26" a="1"/>
  <c r="F62" i="26"/>
  <c r="D63" i="26" a="1"/>
  <c r="D63" i="26"/>
  <c r="F63" i="26" a="1"/>
  <c r="F63" i="26"/>
  <c r="D64" i="26" a="1"/>
  <c r="D64" i="26"/>
  <c r="F64" i="26" a="1"/>
  <c r="F64" i="26"/>
  <c r="D65" i="26" a="1"/>
  <c r="D65" i="26"/>
  <c r="F65" i="26" a="1"/>
  <c r="F65" i="26"/>
  <c r="D66" i="26" a="1"/>
  <c r="D66" i="26"/>
  <c r="F66" i="26" a="1"/>
  <c r="F66" i="26"/>
  <c r="D67" i="26" a="1"/>
  <c r="D67" i="26"/>
  <c r="F67" i="26" a="1"/>
  <c r="F67" i="26"/>
  <c r="D68" i="26" a="1"/>
  <c r="D68" i="26"/>
  <c r="F68" i="26" a="1"/>
  <c r="F68" i="26"/>
  <c r="D69" i="26" a="1"/>
  <c r="D69" i="26"/>
  <c r="F69" i="26" a="1"/>
  <c r="F69" i="26"/>
  <c r="D70" i="26" a="1"/>
  <c r="D70" i="26"/>
  <c r="F70" i="26" a="1"/>
  <c r="F70" i="26"/>
  <c r="D71" i="26" a="1"/>
  <c r="D71" i="26"/>
  <c r="F71" i="26" a="1"/>
  <c r="F71" i="26"/>
  <c r="D72" i="26" a="1"/>
  <c r="D72" i="26"/>
  <c r="F72" i="26" a="1"/>
  <c r="F72" i="26"/>
  <c r="D73" i="26" a="1"/>
  <c r="D73" i="26"/>
  <c r="F73" i="26" a="1"/>
  <c r="F73" i="26"/>
  <c r="D74" i="26" a="1"/>
  <c r="D74" i="26"/>
  <c r="F74" i="26" a="1"/>
  <c r="F74" i="26"/>
  <c r="D75" i="26" a="1"/>
  <c r="D75" i="26"/>
  <c r="F75" i="26" a="1"/>
  <c r="F75" i="26"/>
  <c r="D76" i="26" a="1"/>
  <c r="D76" i="26"/>
  <c r="F76" i="26" a="1"/>
  <c r="F76" i="26"/>
  <c r="D77" i="26" a="1"/>
  <c r="D77" i="26"/>
  <c r="F77" i="26" a="1"/>
  <c r="F77" i="26"/>
  <c r="D78" i="26" a="1"/>
  <c r="D78" i="26"/>
  <c r="F78" i="26" a="1"/>
  <c r="F78" i="26"/>
  <c r="D79" i="26" a="1"/>
  <c r="D79" i="26"/>
  <c r="F79" i="26" a="1"/>
  <c r="F79" i="26"/>
  <c r="D80" i="26" a="1"/>
  <c r="D80" i="26"/>
  <c r="F80" i="26" a="1"/>
  <c r="F80" i="26"/>
  <c r="D81" i="26" a="1"/>
  <c r="D81" i="26"/>
  <c r="F81" i="26" a="1"/>
  <c r="F81" i="26"/>
  <c r="D82" i="26" a="1"/>
  <c r="D82" i="26"/>
  <c r="F82" i="26" a="1"/>
  <c r="F82" i="26"/>
  <c r="D83" i="26" a="1"/>
  <c r="D83" i="26"/>
  <c r="F83" i="26" a="1"/>
  <c r="F83" i="26"/>
  <c r="D84" i="26" a="1"/>
  <c r="D84" i="26"/>
  <c r="F84" i="26" a="1"/>
  <c r="F84" i="26"/>
  <c r="D85" i="26" a="1"/>
  <c r="D85" i="26"/>
  <c r="F85" i="26" a="1"/>
  <c r="F85" i="26"/>
  <c r="D86" i="26" a="1"/>
  <c r="D86" i="26"/>
  <c r="F86" i="26" a="1"/>
  <c r="F86" i="26"/>
  <c r="D87" i="26" a="1"/>
  <c r="D87" i="26"/>
  <c r="F87" i="26" a="1"/>
  <c r="F87" i="26"/>
  <c r="D88" i="26" a="1"/>
  <c r="D88" i="26"/>
  <c r="F88" i="26" a="1"/>
  <c r="F88" i="26"/>
  <c r="D89" i="26" a="1"/>
  <c r="D89" i="26"/>
  <c r="F89" i="26" a="1"/>
  <c r="F89" i="26"/>
  <c r="D90" i="26" a="1"/>
  <c r="D90" i="26"/>
  <c r="F90" i="26" a="1"/>
  <c r="F90" i="26"/>
  <c r="D91" i="26" a="1"/>
  <c r="D91" i="26"/>
  <c r="F91" i="26" a="1"/>
  <c r="F91" i="26"/>
  <c r="D92" i="26" a="1"/>
  <c r="D92" i="26"/>
  <c r="F92" i="26" a="1"/>
  <c r="F92" i="26"/>
  <c r="D93" i="26" a="1"/>
  <c r="D93" i="26"/>
  <c r="F93" i="26" a="1"/>
  <c r="F93" i="26"/>
  <c r="D94" i="26" a="1"/>
  <c r="D94" i="26"/>
  <c r="F94" i="26" a="1"/>
  <c r="F94" i="26"/>
  <c r="D95" i="26" a="1"/>
  <c r="D95" i="26"/>
  <c r="F95" i="26" a="1"/>
  <c r="F95" i="26"/>
  <c r="D96" i="26" a="1"/>
  <c r="D96" i="26"/>
  <c r="F96" i="26" a="1"/>
  <c r="F96" i="26"/>
  <c r="D97" i="26" a="1"/>
  <c r="D97" i="26"/>
  <c r="F97" i="26" a="1"/>
  <c r="F97" i="26"/>
  <c r="D98" i="26" a="1"/>
  <c r="D98" i="26"/>
  <c r="F98" i="26" a="1"/>
  <c r="F98" i="26"/>
  <c r="D99" i="26" a="1"/>
  <c r="D99" i="26"/>
  <c r="F99" i="26" a="1"/>
  <c r="F99" i="26"/>
  <c r="D100" i="26" a="1"/>
  <c r="D100" i="26"/>
  <c r="F100" i="26" a="1"/>
  <c r="F100" i="26"/>
  <c r="D101" i="26" a="1"/>
  <c r="D101" i="26"/>
  <c r="F101" i="26" a="1"/>
  <c r="F101" i="26"/>
  <c r="D102" i="26" a="1"/>
  <c r="D102" i="26"/>
  <c r="F102" i="26" a="1"/>
  <c r="F102" i="26"/>
  <c r="D103" i="26" a="1"/>
  <c r="D103" i="26"/>
  <c r="F103" i="26" a="1"/>
  <c r="F103" i="26"/>
  <c r="D104" i="26" a="1"/>
  <c r="D104" i="26"/>
  <c r="F104" i="26" a="1"/>
  <c r="F104" i="26"/>
  <c r="D105" i="26" a="1"/>
  <c r="D105" i="26"/>
  <c r="F105" i="26" a="1"/>
  <c r="F105" i="26"/>
  <c r="D106" i="26" a="1"/>
  <c r="D106" i="26"/>
  <c r="F106" i="26" a="1"/>
  <c r="F106" i="26"/>
  <c r="D107" i="26" a="1"/>
  <c r="D107" i="26"/>
  <c r="F107" i="26" a="1"/>
  <c r="F107" i="26"/>
  <c r="D108" i="26" a="1"/>
  <c r="D108" i="26"/>
  <c r="F108" i="26" a="1"/>
  <c r="F108" i="26"/>
  <c r="D109" i="26" a="1"/>
  <c r="D109" i="26"/>
  <c r="F109" i="26" a="1"/>
  <c r="F109" i="26"/>
  <c r="D110" i="26" a="1"/>
  <c r="D110" i="26"/>
  <c r="F110" i="26" a="1"/>
  <c r="F110" i="26"/>
  <c r="D111" i="26" a="1"/>
  <c r="D111" i="26"/>
  <c r="F111" i="26" a="1"/>
  <c r="F111" i="26"/>
  <c r="D112" i="26" a="1"/>
  <c r="D112" i="26"/>
  <c r="F112" i="26" a="1"/>
  <c r="F112" i="26"/>
  <c r="D113" i="26" a="1"/>
  <c r="D113" i="26"/>
  <c r="F113" i="26" a="1"/>
  <c r="F113" i="26"/>
  <c r="D114" i="26" a="1"/>
  <c r="D114" i="26"/>
  <c r="F114" i="26" a="1"/>
  <c r="F114" i="26"/>
  <c r="D115" i="26" a="1"/>
  <c r="D115" i="26"/>
  <c r="F115" i="26" a="1"/>
  <c r="F115" i="26"/>
  <c r="D116" i="26" a="1"/>
  <c r="D116" i="26"/>
  <c r="F116" i="26" a="1"/>
  <c r="F116" i="26"/>
  <c r="D117" i="26" a="1"/>
  <c r="D117" i="26"/>
  <c r="F117" i="26" a="1"/>
  <c r="F117" i="26"/>
  <c r="D118" i="26" a="1"/>
  <c r="D118" i="26"/>
  <c r="F118" i="26" a="1"/>
  <c r="F118" i="26"/>
  <c r="D119" i="26" a="1"/>
  <c r="D119" i="26"/>
  <c r="F119" i="26" a="1"/>
  <c r="F119" i="26"/>
  <c r="D120" i="26" a="1"/>
  <c r="D120" i="26"/>
  <c r="F120" i="26" a="1"/>
  <c r="F120" i="26"/>
  <c r="D121" i="26" a="1"/>
  <c r="D121" i="26"/>
  <c r="F121" i="26" a="1"/>
  <c r="F121" i="26"/>
  <c r="D122" i="26" a="1"/>
  <c r="D122" i="26"/>
  <c r="F122" i="26" a="1"/>
  <c r="F122" i="26"/>
  <c r="D123" i="26" a="1"/>
  <c r="D123" i="26"/>
  <c r="F123" i="26" a="1"/>
  <c r="F123" i="26"/>
  <c r="D124" i="26" a="1"/>
  <c r="D124" i="26"/>
  <c r="F124" i="26" a="1"/>
  <c r="F124" i="26"/>
  <c r="D125" i="26" a="1"/>
  <c r="D125" i="26"/>
  <c r="F125" i="26" a="1"/>
  <c r="F125" i="26"/>
  <c r="D126" i="26" a="1"/>
  <c r="D126" i="26"/>
  <c r="F126" i="26" a="1"/>
  <c r="F126" i="26"/>
  <c r="D127" i="26" a="1"/>
  <c r="D127" i="26"/>
  <c r="F127" i="26" a="1"/>
  <c r="F127" i="26"/>
  <c r="D128" i="26" a="1"/>
  <c r="D128" i="26"/>
  <c r="F128" i="26" a="1"/>
  <c r="F128" i="26"/>
  <c r="D129" i="26" a="1"/>
  <c r="D129" i="26"/>
  <c r="F129" i="26" a="1"/>
  <c r="F129" i="26"/>
  <c r="D130" i="26" a="1"/>
  <c r="D130" i="26"/>
  <c r="F130" i="26" a="1"/>
  <c r="F130" i="26"/>
  <c r="D131" i="26" a="1"/>
  <c r="D131" i="26"/>
  <c r="F131" i="26" a="1"/>
  <c r="F131" i="26"/>
  <c r="D132" i="26" a="1"/>
  <c r="D132" i="26"/>
  <c r="F132" i="26" a="1"/>
  <c r="F132" i="26"/>
  <c r="D133" i="26" a="1"/>
  <c r="D133" i="26"/>
  <c r="F133" i="26" a="1"/>
  <c r="F133" i="26"/>
  <c r="D134" i="26" a="1"/>
  <c r="D134" i="26"/>
  <c r="F134" i="26" a="1"/>
  <c r="F134" i="26"/>
  <c r="D135" i="26" a="1"/>
  <c r="D135" i="26"/>
  <c r="F135" i="26" a="1"/>
  <c r="F135" i="26"/>
  <c r="D136" i="26" a="1"/>
  <c r="D136" i="26"/>
  <c r="F136" i="26" a="1"/>
  <c r="F136" i="26"/>
  <c r="D137" i="26" a="1"/>
  <c r="D137" i="26"/>
  <c r="F137" i="26" a="1"/>
  <c r="F137" i="26"/>
  <c r="D138" i="26" a="1"/>
  <c r="D138" i="26"/>
  <c r="F138" i="26" a="1"/>
  <c r="F138" i="26"/>
  <c r="D139" i="26" a="1"/>
  <c r="D139" i="26"/>
  <c r="F139" i="26" a="1"/>
  <c r="F139" i="26"/>
  <c r="D140" i="26" a="1"/>
  <c r="D140" i="26"/>
  <c r="F140" i="26" a="1"/>
  <c r="F140" i="26"/>
  <c r="D141" i="26" a="1"/>
  <c r="D141" i="26"/>
  <c r="F141" i="26" a="1"/>
  <c r="F141" i="26"/>
  <c r="D142" i="26" a="1"/>
  <c r="D142" i="26"/>
  <c r="F142" i="26" a="1"/>
  <c r="F142" i="26"/>
  <c r="D143" i="26" a="1"/>
  <c r="D143" i="26"/>
  <c r="F143" i="26" a="1"/>
  <c r="F143" i="26"/>
  <c r="D144" i="26" a="1"/>
  <c r="D144" i="26"/>
  <c r="F144" i="26" a="1"/>
  <c r="F144" i="26"/>
  <c r="D145" i="26" a="1"/>
  <c r="D145" i="26"/>
  <c r="F145" i="26" a="1"/>
  <c r="F145" i="26"/>
  <c r="D146" i="26" a="1"/>
  <c r="D146" i="26"/>
  <c r="F146" i="26" a="1"/>
  <c r="F146" i="26"/>
  <c r="D147" i="26" a="1"/>
  <c r="D147" i="26"/>
  <c r="F147" i="26" a="1"/>
  <c r="F147" i="26"/>
  <c r="D148" i="26" a="1"/>
  <c r="D148" i="26"/>
  <c r="F148" i="26" a="1"/>
  <c r="F148" i="26"/>
  <c r="D149" i="26" a="1"/>
  <c r="D149" i="26"/>
  <c r="F149" i="26" a="1"/>
  <c r="F149" i="26"/>
  <c r="D150" i="26" a="1"/>
  <c r="D150" i="26"/>
  <c r="F150" i="26" a="1"/>
  <c r="F150" i="26"/>
  <c r="D151" i="26" a="1"/>
  <c r="D151" i="26"/>
  <c r="F151" i="26" a="1"/>
  <c r="F151" i="26"/>
  <c r="D152" i="26" a="1"/>
  <c r="D152" i="26"/>
  <c r="F152" i="26" a="1"/>
  <c r="F152" i="26"/>
  <c r="D153" i="26" a="1"/>
  <c r="D153" i="26"/>
  <c r="F153" i="26" a="1"/>
  <c r="F153" i="26"/>
  <c r="D154" i="26" a="1"/>
  <c r="D154" i="26"/>
  <c r="F154" i="26" a="1"/>
  <c r="F154" i="26"/>
  <c r="D155" i="26" a="1"/>
  <c r="D155" i="26"/>
  <c r="F155" i="26" a="1"/>
  <c r="F155" i="26"/>
  <c r="D156" i="26" a="1"/>
  <c r="D156" i="26"/>
  <c r="F156" i="26" a="1"/>
  <c r="F156" i="26"/>
  <c r="D157" i="26" a="1"/>
  <c r="D157" i="26"/>
  <c r="F157" i="26" a="1"/>
  <c r="F157" i="26"/>
  <c r="D158" i="26" a="1"/>
  <c r="D158" i="26"/>
  <c r="F158" i="26" a="1"/>
  <c r="F158" i="26"/>
  <c r="D159" i="26" a="1"/>
  <c r="D159" i="26"/>
  <c r="F159" i="26" a="1"/>
  <c r="F159" i="26"/>
  <c r="D160" i="26" a="1"/>
  <c r="D160" i="26"/>
  <c r="F160" i="26" a="1"/>
  <c r="F160" i="26"/>
  <c r="D161" i="26" a="1"/>
  <c r="D161" i="26"/>
  <c r="F161" i="26" a="1"/>
  <c r="F161" i="26"/>
  <c r="D162" i="26" a="1"/>
  <c r="D162" i="26"/>
  <c r="F162" i="26" a="1"/>
  <c r="F162" i="26"/>
  <c r="D163" i="26" a="1"/>
  <c r="D163" i="26"/>
  <c r="F163" i="26" a="1"/>
  <c r="F163" i="26"/>
  <c r="D164" i="26" a="1"/>
  <c r="D164" i="26"/>
  <c r="F164" i="26" a="1"/>
  <c r="F164" i="26"/>
  <c r="D165" i="26" a="1"/>
  <c r="D165" i="26"/>
  <c r="F165" i="26" a="1"/>
  <c r="F165" i="26"/>
  <c r="D166" i="26" a="1"/>
  <c r="D166" i="26"/>
  <c r="F166" i="26" a="1"/>
  <c r="F166" i="26"/>
  <c r="D167" i="26" a="1"/>
  <c r="D167" i="26"/>
  <c r="F167" i="26" a="1"/>
  <c r="F167" i="26"/>
  <c r="D168" i="26" a="1"/>
  <c r="D168" i="26"/>
  <c r="F168" i="26" a="1"/>
  <c r="F168" i="26"/>
  <c r="D169" i="26" a="1"/>
  <c r="D169" i="26"/>
  <c r="F169" i="26" a="1"/>
  <c r="F169" i="26"/>
  <c r="D170" i="26" a="1"/>
  <c r="D170" i="26"/>
  <c r="F170" i="26" a="1"/>
  <c r="F170" i="26"/>
  <c r="D171" i="26" a="1"/>
  <c r="D171" i="26"/>
  <c r="F171" i="26" a="1"/>
  <c r="F171" i="26"/>
  <c r="D172" i="26" a="1"/>
  <c r="D172" i="26"/>
  <c r="F172" i="26" a="1"/>
  <c r="F172" i="26"/>
  <c r="D173" i="26" a="1"/>
  <c r="D173" i="26"/>
  <c r="F173" i="26" a="1"/>
  <c r="F173" i="26"/>
  <c r="D174" i="26" a="1"/>
  <c r="D174" i="26"/>
  <c r="F174" i="26" a="1"/>
  <c r="F174" i="26"/>
  <c r="D175" i="26" a="1"/>
  <c r="D175" i="26"/>
  <c r="F175" i="26" a="1"/>
  <c r="F175" i="26"/>
  <c r="D176" i="26" a="1"/>
  <c r="D176" i="26"/>
  <c r="F176" i="26" a="1"/>
  <c r="F176" i="26"/>
  <c r="D177" i="26" a="1"/>
  <c r="D177" i="26"/>
  <c r="F177" i="26" a="1"/>
  <c r="F177" i="26"/>
  <c r="D178" i="26" a="1"/>
  <c r="D178" i="26"/>
  <c r="F178" i="26" a="1"/>
  <c r="F178" i="26"/>
  <c r="D179" i="26" a="1"/>
  <c r="D179" i="26"/>
  <c r="F179" i="26" a="1"/>
  <c r="F179" i="26"/>
  <c r="D180" i="26" a="1"/>
  <c r="D180" i="26"/>
  <c r="F180" i="26" a="1"/>
  <c r="F180" i="26"/>
  <c r="D181" i="26" a="1"/>
  <c r="D181" i="26"/>
  <c r="F181" i="26" a="1"/>
  <c r="F181" i="26"/>
  <c r="D182" i="26" a="1"/>
  <c r="D182" i="26"/>
  <c r="F182" i="26" a="1"/>
  <c r="F182" i="26"/>
  <c r="D183" i="26" a="1"/>
  <c r="D183" i="26"/>
  <c r="F183" i="26" a="1"/>
  <c r="F183" i="26"/>
  <c r="D184" i="26" a="1"/>
  <c r="D184" i="26"/>
  <c r="F184" i="26" a="1"/>
  <c r="F184" i="26"/>
  <c r="D185" i="26" a="1"/>
  <c r="D185" i="26"/>
  <c r="F185" i="26" a="1"/>
  <c r="F185" i="26"/>
  <c r="D186" i="26" a="1"/>
  <c r="D186" i="26"/>
  <c r="F186" i="26" a="1"/>
  <c r="F186" i="26"/>
  <c r="D187" i="26" a="1"/>
  <c r="D187" i="26"/>
  <c r="F187" i="26" a="1"/>
  <c r="F187" i="26"/>
  <c r="D188" i="26" a="1"/>
  <c r="D188" i="26"/>
  <c r="F188" i="26" a="1"/>
  <c r="F188" i="26"/>
  <c r="D189" i="26" a="1"/>
  <c r="D189" i="26"/>
  <c r="F189" i="26" a="1"/>
  <c r="F189" i="26"/>
  <c r="D190" i="26" a="1"/>
  <c r="D190" i="26"/>
  <c r="F190" i="26" a="1"/>
  <c r="F190" i="26"/>
  <c r="D191" i="26" a="1"/>
  <c r="D191" i="26"/>
  <c r="F191" i="26" a="1"/>
  <c r="F191" i="26"/>
  <c r="D192" i="26" a="1"/>
  <c r="D192" i="26"/>
  <c r="F192" i="26" a="1"/>
  <c r="F192" i="26"/>
  <c r="D193" i="26" a="1"/>
  <c r="D193" i="26"/>
  <c r="F193" i="26" a="1"/>
  <c r="F193" i="26"/>
  <c r="D194" i="26" a="1"/>
  <c r="D194" i="26"/>
  <c r="F194" i="26" a="1"/>
  <c r="F194" i="26"/>
  <c r="D195" i="26" a="1"/>
  <c r="D195" i="26"/>
  <c r="F195" i="26" a="1"/>
  <c r="F195" i="26"/>
  <c r="D196" i="26" a="1"/>
  <c r="D196" i="26"/>
  <c r="F196" i="26" a="1"/>
  <c r="F196" i="26"/>
  <c r="D197" i="26" a="1"/>
  <c r="D197" i="26"/>
  <c r="F197" i="26" a="1"/>
  <c r="F197" i="26"/>
  <c r="D198" i="26" a="1"/>
  <c r="D198" i="26"/>
  <c r="F198" i="26" a="1"/>
  <c r="F198" i="26"/>
  <c r="D199" i="26" a="1"/>
  <c r="D199" i="26"/>
  <c r="F199" i="26" a="1"/>
  <c r="F199" i="26"/>
  <c r="D200" i="26" a="1"/>
  <c r="D200" i="26"/>
  <c r="F200" i="26" a="1"/>
  <c r="F200" i="26"/>
  <c r="D201" i="26" a="1"/>
  <c r="D201" i="26"/>
  <c r="F201" i="26" a="1"/>
  <c r="F201" i="26"/>
  <c r="D202" i="26" a="1"/>
  <c r="D202" i="26"/>
  <c r="F202" i="26" a="1"/>
  <c r="F202" i="26"/>
  <c r="D203" i="26" a="1"/>
  <c r="D203" i="26"/>
  <c r="F203" i="26" a="1"/>
  <c r="F203" i="26"/>
  <c r="D204" i="26" a="1"/>
  <c r="D204" i="26"/>
  <c r="F204" i="26" a="1"/>
  <c r="F204" i="26"/>
  <c r="D205" i="26" a="1"/>
  <c r="D205" i="26"/>
  <c r="F205" i="26" a="1"/>
  <c r="F205" i="26"/>
  <c r="D206" i="26" a="1"/>
  <c r="D206" i="26"/>
  <c r="F206" i="26" a="1"/>
  <c r="F206" i="26"/>
  <c r="D207" i="26" a="1"/>
  <c r="D207" i="26"/>
  <c r="F207" i="26" a="1"/>
  <c r="F207" i="26"/>
  <c r="D208" i="26" a="1"/>
  <c r="D208" i="26"/>
  <c r="F208" i="26" a="1"/>
  <c r="F208" i="26"/>
  <c r="D209" i="26" a="1"/>
  <c r="D209" i="26"/>
  <c r="F209" i="26" a="1"/>
  <c r="F209" i="26"/>
  <c r="D210" i="26" a="1"/>
  <c r="D210" i="26"/>
  <c r="F210" i="26" a="1"/>
  <c r="F210" i="26"/>
  <c r="D211" i="26" a="1"/>
  <c r="D211" i="26"/>
  <c r="F211" i="26" a="1"/>
  <c r="F211" i="26"/>
  <c r="D212" i="26" a="1"/>
  <c r="D212" i="26"/>
  <c r="F212" i="26" a="1"/>
  <c r="F212" i="26"/>
  <c r="D213" i="26" a="1"/>
  <c r="D213" i="26"/>
  <c r="F213" i="26" a="1"/>
  <c r="F213" i="26"/>
  <c r="D214" i="26" a="1"/>
  <c r="D214" i="26"/>
  <c r="F214" i="26" a="1"/>
  <c r="F214" i="26"/>
  <c r="D215" i="26" a="1"/>
  <c r="D215" i="26"/>
  <c r="F215" i="26" a="1"/>
  <c r="F215" i="26"/>
  <c r="D216" i="26" a="1"/>
  <c r="D216" i="26"/>
  <c r="F216" i="26" a="1"/>
  <c r="F216" i="26"/>
  <c r="D217" i="26" a="1"/>
  <c r="D217" i="26"/>
  <c r="F217" i="26" a="1"/>
  <c r="F217" i="26"/>
  <c r="D218" i="26" a="1"/>
  <c r="D218" i="26"/>
  <c r="F218" i="26" a="1"/>
  <c r="F218" i="26"/>
  <c r="D219" i="26" a="1"/>
  <c r="D219" i="26"/>
  <c r="F219" i="26" a="1"/>
  <c r="F219" i="26"/>
  <c r="D220" i="26" a="1"/>
  <c r="D220" i="26"/>
  <c r="F220" i="26" a="1"/>
  <c r="F220" i="26"/>
  <c r="D221" i="26" a="1"/>
  <c r="D221" i="26"/>
  <c r="F221" i="26" a="1"/>
  <c r="F221" i="26"/>
  <c r="D222" i="26" a="1"/>
  <c r="D222" i="26"/>
  <c r="F222" i="26" a="1"/>
  <c r="F222" i="26"/>
  <c r="D223" i="26" a="1"/>
  <c r="D223" i="26"/>
  <c r="F223" i="26" a="1"/>
  <c r="F223" i="26"/>
  <c r="D224" i="26" a="1"/>
  <c r="D224" i="26"/>
  <c r="F224" i="26" a="1"/>
  <c r="F224" i="26"/>
  <c r="D225" i="26" a="1"/>
  <c r="D225" i="26"/>
  <c r="F225" i="26" a="1"/>
  <c r="F225" i="26"/>
  <c r="D226" i="26" a="1"/>
  <c r="D226" i="26"/>
  <c r="F226" i="26" a="1"/>
  <c r="F226" i="26"/>
  <c r="D227" i="26" a="1"/>
  <c r="D227" i="26"/>
  <c r="F227" i="26" a="1"/>
  <c r="F227" i="26"/>
  <c r="D228" i="26" a="1"/>
  <c r="D228" i="26"/>
  <c r="F228" i="26" a="1"/>
  <c r="F228" i="26"/>
  <c r="D229" i="26" a="1"/>
  <c r="D229" i="26"/>
  <c r="F229" i="26" a="1"/>
  <c r="F229" i="26"/>
  <c r="D230" i="26" a="1"/>
  <c r="D230" i="26"/>
  <c r="F230" i="26" a="1"/>
  <c r="F230" i="26"/>
  <c r="D231" i="26" a="1"/>
  <c r="D231" i="26"/>
  <c r="F231" i="26" a="1"/>
  <c r="F231" i="26"/>
  <c r="D232" i="26" a="1"/>
  <c r="D232" i="26"/>
  <c r="F232" i="26" a="1"/>
  <c r="F232" i="26"/>
  <c r="D233" i="26" a="1"/>
  <c r="D233" i="26"/>
  <c r="F233" i="26" a="1"/>
  <c r="F233" i="26"/>
  <c r="D234" i="26" a="1"/>
  <c r="D234" i="26"/>
  <c r="F234" i="26" a="1"/>
  <c r="F234" i="26"/>
  <c r="D235" i="26" a="1"/>
  <c r="D235" i="26"/>
  <c r="F235" i="26" a="1"/>
  <c r="F235" i="26"/>
  <c r="D236" i="26" a="1"/>
  <c r="D236" i="26"/>
  <c r="F236" i="26" a="1"/>
  <c r="F236" i="26"/>
  <c r="D237" i="26" a="1"/>
  <c r="D237" i="26"/>
  <c r="F237" i="26" a="1"/>
  <c r="F237" i="26"/>
  <c r="D238" i="26" a="1"/>
  <c r="D238" i="26"/>
  <c r="F238" i="26" a="1"/>
  <c r="F238" i="26"/>
  <c r="D239" i="26" a="1"/>
  <c r="D239" i="26"/>
  <c r="F239" i="26" a="1"/>
  <c r="F239" i="26"/>
  <c r="D240" i="26" a="1"/>
  <c r="D240" i="26"/>
  <c r="F240" i="26" a="1"/>
  <c r="F240" i="26"/>
  <c r="D241" i="26" a="1"/>
  <c r="D241" i="26"/>
  <c r="F241" i="26" a="1"/>
  <c r="F241" i="26"/>
  <c r="D242" i="26" a="1"/>
  <c r="D242" i="26"/>
  <c r="F242" i="26" a="1"/>
  <c r="F242" i="26"/>
  <c r="D243" i="26" a="1"/>
  <c r="D243" i="26"/>
  <c r="F243" i="26" a="1"/>
  <c r="F243" i="26"/>
  <c r="D244" i="26" a="1"/>
  <c r="D244" i="26"/>
  <c r="F244" i="26" a="1"/>
  <c r="F244" i="26"/>
  <c r="D245" i="26" a="1"/>
  <c r="D245" i="26"/>
  <c r="F245" i="26" a="1"/>
  <c r="F245" i="26"/>
  <c r="D246" i="26" a="1"/>
  <c r="D246" i="26"/>
  <c r="F246" i="26" a="1"/>
  <c r="F246" i="26"/>
  <c r="D247" i="26" a="1"/>
  <c r="D247" i="26"/>
  <c r="F247" i="26" a="1"/>
  <c r="F247" i="26"/>
  <c r="D248" i="26" a="1"/>
  <c r="D248" i="26"/>
  <c r="F248" i="26" a="1"/>
  <c r="F248" i="26"/>
  <c r="D249" i="26" a="1"/>
  <c r="D249" i="26"/>
  <c r="F249" i="26" a="1"/>
  <c r="F249" i="26"/>
  <c r="D250" i="26" a="1"/>
  <c r="D250" i="26"/>
  <c r="F250" i="26" a="1"/>
  <c r="F250" i="26"/>
  <c r="D251" i="26" a="1"/>
  <c r="D251" i="26"/>
  <c r="F251" i="26" a="1"/>
  <c r="F251" i="26"/>
  <c r="D252" i="26" a="1"/>
  <c r="D252" i="26"/>
  <c r="F252" i="26" a="1"/>
  <c r="F252" i="26"/>
  <c r="D253" i="26" a="1"/>
  <c r="D253" i="26"/>
  <c r="F253" i="26" a="1"/>
  <c r="F253" i="26"/>
  <c r="D254" i="26" a="1"/>
  <c r="D254" i="26"/>
  <c r="F254" i="26" a="1"/>
  <c r="F254" i="26"/>
  <c r="D255" i="26" a="1"/>
  <c r="D255" i="26"/>
  <c r="F255" i="26" a="1"/>
  <c r="F255" i="26"/>
  <c r="D256" i="26" a="1"/>
  <c r="D256" i="26"/>
  <c r="F256" i="26" a="1"/>
  <c r="F256" i="26"/>
  <c r="D257" i="26" a="1"/>
  <c r="D257" i="26"/>
  <c r="F257" i="26" a="1"/>
  <c r="F257" i="26"/>
  <c r="D258" i="26" a="1"/>
  <c r="D258" i="26"/>
  <c r="F258" i="26" a="1"/>
  <c r="F258" i="26"/>
  <c r="D259" i="26" a="1"/>
  <c r="D259" i="26"/>
  <c r="F259" i="26" a="1"/>
  <c r="F259" i="26"/>
  <c r="D260" i="26" a="1"/>
  <c r="D260" i="26"/>
  <c r="F260" i="26" a="1"/>
  <c r="F260" i="26"/>
  <c r="D261" i="26" a="1"/>
  <c r="D261" i="26"/>
  <c r="F261" i="26" a="1"/>
  <c r="F261" i="26"/>
  <c r="D262" i="26" a="1"/>
  <c r="D262" i="26"/>
  <c r="F262" i="26" a="1"/>
  <c r="F262" i="26"/>
  <c r="D263" i="26" a="1"/>
  <c r="D263" i="26"/>
  <c r="F263" i="26" a="1"/>
  <c r="F263" i="26"/>
  <c r="D264" i="26" a="1"/>
  <c r="D264" i="26"/>
  <c r="F264" i="26" a="1"/>
  <c r="F264" i="26"/>
  <c r="D265" i="26" a="1"/>
  <c r="D265" i="26"/>
  <c r="F265" i="26" a="1"/>
  <c r="F265" i="26"/>
  <c r="D266" i="26" a="1"/>
  <c r="D266" i="26"/>
  <c r="F266" i="26" a="1"/>
  <c r="F266" i="26"/>
  <c r="D267" i="26" a="1"/>
  <c r="D267" i="26"/>
  <c r="F267" i="26" a="1"/>
  <c r="F267" i="26"/>
  <c r="D268" i="26" a="1"/>
  <c r="D268" i="26"/>
  <c r="F268" i="26" a="1"/>
  <c r="F268" i="26"/>
  <c r="D269" i="26" a="1"/>
  <c r="D269" i="26"/>
  <c r="F269" i="26" a="1"/>
  <c r="F269" i="26"/>
  <c r="D270" i="26" a="1"/>
  <c r="D270" i="26"/>
  <c r="F270" i="26" a="1"/>
  <c r="F270" i="26"/>
  <c r="D271" i="26" a="1"/>
  <c r="D271" i="26"/>
  <c r="F271" i="26" a="1"/>
  <c r="F271" i="26"/>
  <c r="D272" i="26" a="1"/>
  <c r="D272" i="26"/>
  <c r="F272" i="26" a="1"/>
  <c r="F272" i="26"/>
  <c r="D273" i="26" a="1"/>
  <c r="D273" i="26"/>
  <c r="F273" i="26" a="1"/>
  <c r="F273" i="26"/>
  <c r="D274" i="26" a="1"/>
  <c r="D274" i="26"/>
  <c r="F274" i="26" a="1"/>
  <c r="F274" i="26"/>
  <c r="D275" i="26" a="1"/>
  <c r="D275" i="26"/>
  <c r="F275" i="26" a="1"/>
  <c r="F275" i="26"/>
  <c r="D276" i="26" a="1"/>
  <c r="D276" i="26"/>
  <c r="F276" i="26" a="1"/>
  <c r="F276" i="26"/>
  <c r="D277" i="26" a="1"/>
  <c r="D277" i="26"/>
  <c r="F277" i="26" a="1"/>
  <c r="F277" i="26"/>
  <c r="D278" i="26" a="1"/>
  <c r="D278" i="26"/>
  <c r="F278" i="26" a="1"/>
  <c r="F278" i="26"/>
  <c r="D279" i="26" a="1"/>
  <c r="D279" i="26"/>
  <c r="F279" i="26" a="1"/>
  <c r="F279" i="26"/>
  <c r="D280" i="26" a="1"/>
  <c r="D280" i="26"/>
  <c r="F280" i="26" a="1"/>
  <c r="F280" i="26"/>
  <c r="D281" i="26" a="1"/>
  <c r="D281" i="26"/>
  <c r="F281" i="26" a="1"/>
  <c r="F281" i="26"/>
  <c r="D282" i="26" a="1"/>
  <c r="D282" i="26"/>
  <c r="F282" i="26" a="1"/>
  <c r="F282" i="26"/>
  <c r="D283" i="26" a="1"/>
  <c r="D283" i="26"/>
  <c r="F283" i="26" a="1"/>
  <c r="F283" i="26"/>
  <c r="D284" i="26" a="1"/>
  <c r="D284" i="26"/>
  <c r="F284" i="26" a="1"/>
  <c r="F284" i="26"/>
  <c r="D285" i="26" a="1"/>
  <c r="D285" i="26"/>
  <c r="F285" i="26" a="1"/>
  <c r="F285" i="26"/>
  <c r="D286" i="26" a="1"/>
  <c r="D286" i="26"/>
  <c r="F286" i="26" a="1"/>
  <c r="F286" i="26"/>
  <c r="D287" i="26" a="1"/>
  <c r="D287" i="26"/>
  <c r="F287" i="26" a="1"/>
  <c r="F287" i="26"/>
  <c r="D288" i="26" a="1"/>
  <c r="D288" i="26"/>
  <c r="F288" i="26" a="1"/>
  <c r="F288" i="26"/>
  <c r="D289" i="26" a="1"/>
  <c r="D289" i="26"/>
  <c r="F289" i="26" a="1"/>
  <c r="F289" i="26"/>
  <c r="D290" i="26" a="1"/>
  <c r="D290" i="26"/>
  <c r="F290" i="26" a="1"/>
  <c r="F290" i="26"/>
  <c r="D291" i="26" a="1"/>
  <c r="D291" i="26"/>
  <c r="F291" i="26" a="1"/>
  <c r="F291" i="26"/>
  <c r="D292" i="26" a="1"/>
  <c r="D292" i="26"/>
  <c r="F292" i="26" a="1"/>
  <c r="F292" i="26"/>
  <c r="D293" i="26" a="1"/>
  <c r="D293" i="26"/>
  <c r="F293" i="26" a="1"/>
  <c r="F293" i="26"/>
  <c r="D294" i="26" a="1"/>
  <c r="D294" i="26"/>
  <c r="F294" i="26" a="1"/>
  <c r="F294" i="26"/>
  <c r="D295" i="26" a="1"/>
  <c r="D295" i="26"/>
  <c r="F295" i="26" a="1"/>
  <c r="F295" i="26"/>
  <c r="D296" i="26" a="1"/>
  <c r="D296" i="26"/>
  <c r="F296" i="26" a="1"/>
  <c r="F296" i="26"/>
  <c r="D297" i="26" a="1"/>
  <c r="D297" i="26"/>
  <c r="F297" i="26" a="1"/>
  <c r="F297" i="26"/>
  <c r="D298" i="26" a="1"/>
  <c r="D298" i="26"/>
  <c r="F298" i="26" a="1"/>
  <c r="F298" i="26"/>
  <c r="D299" i="26" a="1"/>
  <c r="D299" i="26"/>
  <c r="F299" i="26" a="1"/>
  <c r="F299" i="26"/>
  <c r="D300" i="26" a="1"/>
  <c r="D300" i="26"/>
  <c r="F300" i="26" a="1"/>
  <c r="F300" i="26"/>
  <c r="D301" i="26" a="1"/>
  <c r="D301" i="26"/>
  <c r="F301" i="26" a="1"/>
  <c r="F301" i="26"/>
  <c r="D302" i="26" a="1"/>
  <c r="D302" i="26"/>
  <c r="F302" i="26" a="1"/>
  <c r="F302" i="26"/>
  <c r="D303" i="26" a="1"/>
  <c r="D303" i="26"/>
  <c r="F303" i="26" a="1"/>
  <c r="F303" i="26"/>
  <c r="D304" i="26" a="1"/>
  <c r="D304" i="26"/>
  <c r="F304" i="26" a="1"/>
  <c r="F304" i="26"/>
  <c r="D305" i="26" a="1"/>
  <c r="D305" i="26"/>
  <c r="F305" i="26" a="1"/>
  <c r="F305" i="26"/>
  <c r="D306" i="26" a="1"/>
  <c r="D306" i="26"/>
  <c r="F306" i="26" a="1"/>
  <c r="F306" i="26"/>
  <c r="D307" i="26" a="1"/>
  <c r="D307" i="26"/>
  <c r="F307" i="26" a="1"/>
  <c r="F307" i="26"/>
  <c r="D308" i="26" a="1"/>
  <c r="D308" i="26"/>
  <c r="F308" i="26" a="1"/>
  <c r="F308" i="26"/>
  <c r="D309" i="26" a="1"/>
  <c r="D309" i="26"/>
  <c r="F309" i="26" a="1"/>
  <c r="F309" i="26"/>
  <c r="D310" i="26" a="1"/>
  <c r="D310" i="26"/>
  <c r="F310" i="26" a="1"/>
  <c r="F310" i="26"/>
  <c r="D311" i="26" a="1"/>
  <c r="D311" i="26"/>
  <c r="F311" i="26" a="1"/>
  <c r="F311" i="26"/>
  <c r="D312" i="26" a="1"/>
  <c r="D312" i="26"/>
  <c r="F312" i="26" a="1"/>
  <c r="F312" i="26"/>
  <c r="D313" i="26" a="1"/>
  <c r="D313" i="26"/>
  <c r="F313" i="26" a="1"/>
  <c r="F313" i="26"/>
  <c r="D314" i="26" a="1"/>
  <c r="D314" i="26"/>
  <c r="F314" i="26" a="1"/>
  <c r="F314" i="26"/>
  <c r="D315" i="26" a="1"/>
  <c r="D315" i="26"/>
  <c r="F315" i="26" a="1"/>
  <c r="F315" i="26"/>
  <c r="D316" i="26" a="1"/>
  <c r="D316" i="26"/>
  <c r="F316" i="26" a="1"/>
  <c r="F316" i="26"/>
  <c r="D317" i="26" a="1"/>
  <c r="D317" i="26"/>
  <c r="F317" i="26" a="1"/>
  <c r="F317" i="26"/>
  <c r="D318" i="26" a="1"/>
  <c r="D318" i="26"/>
  <c r="F318" i="26" a="1"/>
  <c r="F318" i="26"/>
  <c r="D319" i="26" a="1"/>
  <c r="D319" i="26"/>
  <c r="F319" i="26" a="1"/>
  <c r="F319" i="26"/>
  <c r="D320" i="26" a="1"/>
  <c r="D320" i="26"/>
  <c r="F320" i="26" a="1"/>
  <c r="F320" i="26"/>
  <c r="D321" i="26" a="1"/>
  <c r="D321" i="26"/>
  <c r="F321" i="26" a="1"/>
  <c r="F321" i="26"/>
  <c r="D322" i="26" a="1"/>
  <c r="D322" i="26"/>
  <c r="F322" i="26" a="1"/>
  <c r="F322" i="26"/>
  <c r="D323" i="26" a="1"/>
  <c r="D323" i="26"/>
  <c r="F323" i="26" a="1"/>
  <c r="F323" i="26"/>
  <c r="D324" i="26" a="1"/>
  <c r="D324" i="26"/>
  <c r="F324" i="26" a="1"/>
  <c r="F324" i="26"/>
  <c r="D325" i="26" a="1"/>
  <c r="D325" i="26"/>
  <c r="F325" i="26" a="1"/>
  <c r="F325" i="26"/>
  <c r="D326" i="26" a="1"/>
  <c r="D326" i="26"/>
  <c r="F326" i="26" a="1"/>
  <c r="F326" i="26"/>
  <c r="D327" i="26" a="1"/>
  <c r="D327" i="26"/>
  <c r="F327" i="26" a="1"/>
  <c r="F327" i="26"/>
  <c r="D328" i="26" a="1"/>
  <c r="D328" i="26"/>
  <c r="F328" i="26" a="1"/>
  <c r="F328" i="26"/>
  <c r="D329" i="26" a="1"/>
  <c r="D329" i="26"/>
  <c r="F329" i="26" a="1"/>
  <c r="F329" i="26"/>
  <c r="D330" i="26" a="1"/>
  <c r="D330" i="26"/>
  <c r="F330" i="26" a="1"/>
  <c r="F330" i="26"/>
  <c r="D331" i="26" a="1"/>
  <c r="D331" i="26"/>
  <c r="F331" i="26" a="1"/>
  <c r="F331" i="26"/>
  <c r="D332" i="26" a="1"/>
  <c r="D332" i="26"/>
  <c r="F332" i="26" a="1"/>
  <c r="F332" i="26"/>
  <c r="D333" i="26" a="1"/>
  <c r="D333" i="26"/>
  <c r="F333" i="26" a="1"/>
  <c r="F333" i="26"/>
  <c r="D334" i="26" a="1"/>
  <c r="D334" i="26"/>
  <c r="F334" i="26" a="1"/>
  <c r="F334" i="26"/>
  <c r="D335" i="26" a="1"/>
  <c r="D335" i="26"/>
  <c r="F335" i="26" a="1"/>
  <c r="F335" i="26"/>
  <c r="D336" i="26" a="1"/>
  <c r="D336" i="26"/>
  <c r="F336" i="26" a="1"/>
  <c r="F336" i="26"/>
  <c r="D337" i="26" a="1"/>
  <c r="D337" i="26"/>
  <c r="F337" i="26" a="1"/>
  <c r="F337" i="26"/>
  <c r="D338" i="26" a="1"/>
  <c r="D338" i="26"/>
  <c r="F338" i="26" a="1"/>
  <c r="F338" i="26"/>
  <c r="D339" i="26" a="1"/>
  <c r="D339" i="26"/>
  <c r="F339" i="26" a="1"/>
  <c r="F339" i="26"/>
  <c r="D340" i="26" a="1"/>
  <c r="D340" i="26"/>
  <c r="F340" i="26" a="1"/>
  <c r="F340" i="26"/>
  <c r="D341" i="26" a="1"/>
  <c r="D341" i="26"/>
  <c r="F341" i="26" a="1"/>
  <c r="F341" i="26"/>
  <c r="D342" i="26" a="1"/>
  <c r="D342" i="26"/>
  <c r="F342" i="26" a="1"/>
  <c r="F342" i="26"/>
  <c r="D343" i="26" a="1"/>
  <c r="D343" i="26"/>
  <c r="F343" i="26" a="1"/>
  <c r="F343" i="26"/>
  <c r="D344" i="26" a="1"/>
  <c r="D344" i="26"/>
  <c r="F344" i="26" a="1"/>
  <c r="F344" i="26"/>
  <c r="D345" i="26" a="1"/>
  <c r="D345" i="26"/>
  <c r="F345" i="26" a="1"/>
  <c r="F345" i="26"/>
  <c r="D346" i="26" a="1"/>
  <c r="D346" i="26"/>
  <c r="F346" i="26" a="1"/>
  <c r="F346" i="26"/>
  <c r="D347" i="26" a="1"/>
  <c r="D347" i="26"/>
  <c r="F347" i="26" a="1"/>
  <c r="F347" i="26"/>
  <c r="D348" i="26" a="1"/>
  <c r="D348" i="26"/>
  <c r="F348" i="26" a="1"/>
  <c r="F348" i="26"/>
  <c r="D349" i="26" a="1"/>
  <c r="D349" i="26"/>
  <c r="F349" i="26" a="1"/>
  <c r="F349" i="26"/>
  <c r="D350" i="26" a="1"/>
  <c r="D350" i="26"/>
  <c r="F350" i="26" a="1"/>
  <c r="F350" i="26"/>
  <c r="D351" i="26" a="1"/>
  <c r="D351" i="26"/>
  <c r="F351" i="26" a="1"/>
  <c r="F351" i="26"/>
  <c r="D352" i="26" a="1"/>
  <c r="D352" i="26"/>
  <c r="F352" i="26" a="1"/>
  <c r="F352" i="26"/>
  <c r="D353" i="26" a="1"/>
  <c r="D353" i="26"/>
  <c r="F353" i="26" a="1"/>
  <c r="F353" i="26"/>
  <c r="D354" i="26" a="1"/>
  <c r="D354" i="26"/>
  <c r="F354" i="26" a="1"/>
  <c r="F354" i="26"/>
  <c r="D355" i="26" a="1"/>
  <c r="D355" i="26"/>
  <c r="F355" i="26" a="1"/>
  <c r="F355" i="26"/>
  <c r="D356" i="26" a="1"/>
  <c r="D356" i="26"/>
  <c r="F356" i="26" a="1"/>
  <c r="F356" i="26"/>
  <c r="D357" i="26" a="1"/>
  <c r="D357" i="26"/>
  <c r="F357" i="26" a="1"/>
  <c r="F357" i="26"/>
  <c r="D358" i="26" a="1"/>
  <c r="D358" i="26"/>
  <c r="F358" i="26" a="1"/>
  <c r="F358" i="26"/>
  <c r="D359" i="26" a="1"/>
  <c r="D359" i="26"/>
  <c r="F359" i="26" a="1"/>
  <c r="F359" i="26"/>
  <c r="D360" i="26" a="1"/>
  <c r="D360" i="26"/>
  <c r="F360" i="26" a="1"/>
  <c r="F360" i="26"/>
  <c r="D361" i="26" a="1"/>
  <c r="D361" i="26"/>
  <c r="F361" i="26" a="1"/>
  <c r="F361" i="26"/>
  <c r="D362" i="26" a="1"/>
  <c r="D362" i="26"/>
  <c r="F362" i="26" a="1"/>
  <c r="F362" i="26"/>
  <c r="D363" i="26" a="1"/>
  <c r="D363" i="26"/>
  <c r="F363" i="26" a="1"/>
  <c r="F363" i="26"/>
  <c r="D364" i="26" a="1"/>
  <c r="D364" i="26"/>
  <c r="F364" i="26" a="1"/>
  <c r="F364" i="26"/>
  <c r="D365" i="26" a="1"/>
  <c r="D365" i="26"/>
  <c r="F365" i="26" a="1"/>
  <c r="F365" i="26"/>
  <c r="D366" i="26" a="1"/>
  <c r="D366" i="26"/>
  <c r="F366" i="26" a="1"/>
  <c r="F366" i="26"/>
  <c r="D367" i="26" a="1"/>
  <c r="D367" i="26"/>
  <c r="F367" i="26" a="1"/>
  <c r="F367" i="26"/>
  <c r="D368" i="26" a="1"/>
  <c r="D368" i="26"/>
  <c r="F368" i="26" a="1"/>
  <c r="F368" i="26"/>
  <c r="D369" i="26" a="1"/>
  <c r="D369" i="26"/>
  <c r="F369" i="26" a="1"/>
  <c r="F369" i="26"/>
  <c r="D370" i="26" a="1"/>
  <c r="D370" i="26"/>
  <c r="F370" i="26" a="1"/>
  <c r="F370" i="26"/>
  <c r="D371" i="26" a="1"/>
  <c r="D371" i="26"/>
  <c r="F371" i="26" a="1"/>
  <c r="F371" i="26"/>
  <c r="D372" i="26" a="1"/>
  <c r="D372" i="26"/>
  <c r="F372" i="26" a="1"/>
  <c r="F372" i="26"/>
  <c r="D373" i="26" a="1"/>
  <c r="D373" i="26"/>
  <c r="F373" i="26" a="1"/>
  <c r="F373" i="26"/>
  <c r="D374" i="26" a="1"/>
  <c r="D374" i="26"/>
  <c r="F374" i="26" a="1"/>
  <c r="F374" i="26"/>
  <c r="D375" i="26" a="1"/>
  <c r="D375" i="26"/>
  <c r="F375" i="26" a="1"/>
  <c r="F375" i="26"/>
  <c r="D376" i="26" a="1"/>
  <c r="D376" i="26"/>
  <c r="F376" i="26" a="1"/>
  <c r="F376" i="26"/>
  <c r="D377" i="26" a="1"/>
  <c r="D377" i="26"/>
  <c r="F377" i="26" a="1"/>
  <c r="F377" i="26"/>
  <c r="D378" i="26" a="1"/>
  <c r="D378" i="26"/>
  <c r="F378" i="26" a="1"/>
  <c r="F378" i="26"/>
  <c r="D379" i="26" a="1"/>
  <c r="D379" i="26"/>
  <c r="F379" i="26" a="1"/>
  <c r="F379" i="26"/>
  <c r="D380" i="26" a="1"/>
  <c r="D380" i="26"/>
  <c r="F380" i="26" a="1"/>
  <c r="F380" i="26"/>
  <c r="D381" i="26" a="1"/>
  <c r="D381" i="26"/>
  <c r="F381" i="26" a="1"/>
  <c r="F381" i="26"/>
  <c r="D382" i="26" a="1"/>
  <c r="D382" i="26"/>
  <c r="F382" i="26" a="1"/>
  <c r="F382" i="26"/>
  <c r="D383" i="26" a="1"/>
  <c r="D383" i="26"/>
  <c r="F383" i="26" a="1"/>
  <c r="F383" i="26"/>
  <c r="D384" i="26" a="1"/>
  <c r="D384" i="26"/>
  <c r="F384" i="26" a="1"/>
  <c r="F384" i="26"/>
  <c r="D385" i="26" a="1"/>
  <c r="D385" i="26"/>
  <c r="F385" i="26" a="1"/>
  <c r="F385" i="26"/>
  <c r="D386" i="26" a="1"/>
  <c r="D386" i="26"/>
  <c r="F386" i="26" a="1"/>
  <c r="F386" i="26"/>
  <c r="D387" i="26" a="1"/>
  <c r="D387" i="26"/>
  <c r="F387" i="26" a="1"/>
  <c r="F387" i="26"/>
  <c r="D388" i="26" a="1"/>
  <c r="D388" i="26"/>
  <c r="F388" i="26" a="1"/>
  <c r="F388" i="26"/>
  <c r="D389" i="26" a="1"/>
  <c r="D389" i="26"/>
  <c r="F389" i="26" a="1"/>
  <c r="F389" i="26"/>
  <c r="D390" i="26" a="1"/>
  <c r="D390" i="26"/>
  <c r="F390" i="26" a="1"/>
  <c r="F390" i="26"/>
  <c r="D391" i="26" a="1"/>
  <c r="D391" i="26"/>
  <c r="F391" i="26" a="1"/>
  <c r="F391" i="26"/>
  <c r="D392" i="26" a="1"/>
  <c r="D392" i="26"/>
  <c r="F392" i="26" a="1"/>
  <c r="F392" i="26"/>
  <c r="D393" i="26" a="1"/>
  <c r="D393" i="26"/>
  <c r="F393" i="26" a="1"/>
  <c r="F393" i="26"/>
  <c r="D394" i="26" a="1"/>
  <c r="D394" i="26"/>
  <c r="F394" i="26" a="1"/>
  <c r="F394" i="26"/>
  <c r="D395" i="26" a="1"/>
  <c r="D395" i="26"/>
  <c r="F395" i="26" a="1"/>
  <c r="F395" i="26"/>
  <c r="D396" i="26" a="1"/>
  <c r="D396" i="26"/>
  <c r="F396" i="26" a="1"/>
  <c r="F396" i="26"/>
  <c r="D397" i="26" a="1"/>
  <c r="D397" i="26"/>
  <c r="F397" i="26" a="1"/>
  <c r="F397" i="26"/>
  <c r="D398" i="26" a="1"/>
  <c r="D398" i="26"/>
  <c r="F398" i="26" a="1"/>
  <c r="F398" i="26"/>
  <c r="D399" i="26" a="1"/>
  <c r="D399" i="26"/>
  <c r="F399" i="26" a="1"/>
  <c r="F399" i="26"/>
  <c r="D400" i="26" a="1"/>
  <c r="D400" i="26"/>
  <c r="F400" i="26" a="1"/>
  <c r="F400" i="26"/>
  <c r="D401" i="26" a="1"/>
  <c r="D401" i="26"/>
  <c r="F401" i="26" a="1"/>
  <c r="F401" i="26"/>
  <c r="D402" i="26" a="1"/>
  <c r="D402" i="26"/>
  <c r="F402" i="26" a="1"/>
  <c r="F402" i="26"/>
  <c r="D403" i="26" a="1"/>
  <c r="D403" i="26"/>
  <c r="F403" i="26" a="1"/>
  <c r="F403" i="26"/>
  <c r="D404" i="26" a="1"/>
  <c r="D404" i="26"/>
  <c r="F404" i="26" a="1"/>
  <c r="F404" i="26"/>
  <c r="D405" i="26" a="1"/>
  <c r="D405" i="26"/>
  <c r="F405" i="26" a="1"/>
  <c r="F405" i="26"/>
  <c r="D406" i="26" a="1"/>
  <c r="D406" i="26"/>
  <c r="F406" i="26" a="1"/>
  <c r="F406" i="26"/>
  <c r="D407" i="26" a="1"/>
  <c r="D407" i="26"/>
  <c r="F407" i="26" a="1"/>
  <c r="F407" i="26"/>
  <c r="D408" i="26" a="1"/>
  <c r="D408" i="26"/>
  <c r="F408" i="26" a="1"/>
  <c r="F408" i="26"/>
  <c r="D409" i="26" a="1"/>
  <c r="D409" i="26"/>
  <c r="F409" i="26" a="1"/>
  <c r="F409" i="26"/>
  <c r="D410" i="26" a="1"/>
  <c r="D410" i="26"/>
  <c r="F410" i="26" a="1"/>
  <c r="F410" i="26"/>
  <c r="D411" i="26" a="1"/>
  <c r="D411" i="26"/>
  <c r="F411" i="26" a="1"/>
  <c r="F411" i="26"/>
  <c r="D412" i="26" a="1"/>
  <c r="D412" i="26"/>
  <c r="F412" i="26" a="1"/>
  <c r="F412" i="26"/>
  <c r="D413" i="26" a="1"/>
  <c r="D413" i="26"/>
  <c r="F413" i="26" a="1"/>
  <c r="F413" i="26"/>
  <c r="D414" i="26" a="1"/>
  <c r="D414" i="26"/>
  <c r="F414" i="26" a="1"/>
  <c r="F414" i="26"/>
  <c r="D415" i="26" a="1"/>
  <c r="D415" i="26"/>
  <c r="F415" i="26" a="1"/>
  <c r="F415" i="26"/>
  <c r="D416" i="26" a="1"/>
  <c r="D416" i="26"/>
  <c r="F416" i="26" a="1"/>
  <c r="F416" i="26"/>
  <c r="D417" i="26" a="1"/>
  <c r="D417" i="26"/>
  <c r="F417" i="26" a="1"/>
  <c r="F417" i="26"/>
  <c r="D418" i="26" a="1"/>
  <c r="D418" i="26"/>
  <c r="F418" i="26" a="1"/>
  <c r="F418" i="26"/>
  <c r="D419" i="26" a="1"/>
  <c r="D419" i="26"/>
  <c r="F419" i="26" a="1"/>
  <c r="F419" i="26"/>
  <c r="D420" i="26" a="1"/>
  <c r="D420" i="26"/>
  <c r="F420" i="26" a="1"/>
  <c r="F420" i="26"/>
  <c r="D421" i="26" a="1"/>
  <c r="D421" i="26"/>
  <c r="F421" i="26" a="1"/>
  <c r="F421" i="26"/>
  <c r="D422" i="26" a="1"/>
  <c r="D422" i="26"/>
  <c r="F422" i="26" a="1"/>
  <c r="F422" i="26"/>
  <c r="D423" i="26" a="1"/>
  <c r="D423" i="26"/>
  <c r="F423" i="26" a="1"/>
  <c r="F423" i="26"/>
  <c r="D424" i="26" a="1"/>
  <c r="D424" i="26"/>
  <c r="F424" i="26" a="1"/>
  <c r="F424" i="26"/>
  <c r="D425" i="26" a="1"/>
  <c r="D425" i="26"/>
  <c r="F425" i="26" a="1"/>
  <c r="F425" i="26"/>
  <c r="D426" i="26" a="1"/>
  <c r="D426" i="26"/>
  <c r="F426" i="26" a="1"/>
  <c r="F426" i="26"/>
  <c r="D427" i="26" a="1"/>
  <c r="D427" i="26"/>
  <c r="F427" i="26" a="1"/>
  <c r="F427" i="26"/>
  <c r="D428" i="26" a="1"/>
  <c r="D428" i="26"/>
  <c r="F428" i="26" a="1"/>
  <c r="F428" i="26"/>
  <c r="D429" i="26" a="1"/>
  <c r="D429" i="26"/>
  <c r="F429" i="26" a="1"/>
  <c r="F429" i="26"/>
  <c r="D430" i="26" a="1"/>
  <c r="D430" i="26"/>
  <c r="F430" i="26" a="1"/>
  <c r="F430" i="26"/>
  <c r="D431" i="26" a="1"/>
  <c r="D431" i="26"/>
  <c r="F431" i="26" a="1"/>
  <c r="F431" i="26"/>
  <c r="D432" i="26" a="1"/>
  <c r="D432" i="26"/>
  <c r="F432" i="26" a="1"/>
  <c r="F432" i="26"/>
  <c r="D433" i="26" a="1"/>
  <c r="D433" i="26"/>
  <c r="F433" i="26" a="1"/>
  <c r="F433" i="26"/>
  <c r="D434" i="26" a="1"/>
  <c r="D434" i="26"/>
  <c r="F434" i="26" a="1"/>
  <c r="F434" i="26"/>
  <c r="D435" i="26" a="1"/>
  <c r="D435" i="26"/>
  <c r="F435" i="26" a="1"/>
  <c r="F435" i="26"/>
  <c r="D436" i="26" a="1"/>
  <c r="D436" i="26"/>
  <c r="F436" i="26" a="1"/>
  <c r="F436" i="26"/>
  <c r="D437" i="26" a="1"/>
  <c r="D437" i="26"/>
  <c r="F437" i="26" a="1"/>
  <c r="F437" i="26"/>
  <c r="D438" i="26" a="1"/>
  <c r="D438" i="26"/>
  <c r="F438" i="26" a="1"/>
  <c r="F438" i="26"/>
  <c r="D439" i="26" a="1"/>
  <c r="D439" i="26"/>
  <c r="F439" i="26" a="1"/>
  <c r="F439" i="26"/>
  <c r="D440" i="26" a="1"/>
  <c r="D440" i="26"/>
  <c r="F440" i="26" a="1"/>
  <c r="F440" i="26"/>
  <c r="D441" i="26" a="1"/>
  <c r="D441" i="26"/>
  <c r="F441" i="26" a="1"/>
  <c r="F441" i="26"/>
  <c r="D442" i="26" a="1"/>
  <c r="D442" i="26"/>
  <c r="F442" i="26" a="1"/>
  <c r="F442" i="26"/>
  <c r="D443" i="26" a="1"/>
  <c r="D443" i="26"/>
  <c r="F443" i="26" a="1"/>
  <c r="F443" i="26"/>
  <c r="D444" i="26" a="1"/>
  <c r="D444" i="26"/>
  <c r="F444" i="26" a="1"/>
  <c r="F444" i="26"/>
  <c r="D445" i="26" a="1"/>
  <c r="D445" i="26"/>
  <c r="F445" i="26" a="1"/>
  <c r="F445" i="26"/>
  <c r="D446" i="26" a="1"/>
  <c r="D446" i="26"/>
  <c r="F446" i="26" a="1"/>
  <c r="F446" i="26"/>
  <c r="D447" i="26" a="1"/>
  <c r="D447" i="26"/>
  <c r="F447" i="26" a="1"/>
  <c r="F447" i="26"/>
  <c r="D448" i="26" a="1"/>
  <c r="D448" i="26"/>
  <c r="F448" i="26" a="1"/>
  <c r="F448" i="26"/>
  <c r="D449" i="26" a="1"/>
  <c r="D449" i="26"/>
  <c r="F449" i="26" a="1"/>
  <c r="F449" i="26"/>
  <c r="D450" i="26" a="1"/>
  <c r="D450" i="26"/>
  <c r="F450" i="26" a="1"/>
  <c r="F450" i="26"/>
  <c r="D451" i="26" a="1"/>
  <c r="D451" i="26"/>
  <c r="F451" i="26" a="1"/>
  <c r="F451" i="26"/>
  <c r="D452" i="26" a="1"/>
  <c r="D452" i="26"/>
  <c r="F452" i="26" a="1"/>
  <c r="F452" i="26"/>
  <c r="D453" i="26" a="1"/>
  <c r="D453" i="26"/>
  <c r="F453" i="26" a="1"/>
  <c r="F453" i="26"/>
  <c r="D454" i="26" a="1"/>
  <c r="D454" i="26"/>
  <c r="F454" i="26" a="1"/>
  <c r="F454" i="26"/>
  <c r="D455" i="26" a="1"/>
  <c r="D455" i="26"/>
  <c r="F455" i="26" a="1"/>
  <c r="F455" i="26"/>
  <c r="D456" i="26" a="1"/>
  <c r="D456" i="26"/>
  <c r="F456" i="26" a="1"/>
  <c r="F456" i="26"/>
  <c r="D457" i="26" a="1"/>
  <c r="D457" i="26"/>
  <c r="F457" i="26" a="1"/>
  <c r="F457" i="26"/>
  <c r="D458" i="26" a="1"/>
  <c r="D458" i="26"/>
  <c r="F458" i="26" a="1"/>
  <c r="F458" i="26"/>
  <c r="D459" i="26" a="1"/>
  <c r="D459" i="26"/>
  <c r="F459" i="26" a="1"/>
  <c r="F459" i="26"/>
  <c r="D460" i="26" a="1"/>
  <c r="D460" i="26"/>
  <c r="F460" i="26" a="1"/>
  <c r="F460" i="26"/>
  <c r="D461" i="26" a="1"/>
  <c r="D461" i="26"/>
  <c r="F461" i="26" a="1"/>
  <c r="F461" i="26"/>
  <c r="D462" i="26" a="1"/>
  <c r="D462" i="26"/>
  <c r="F462" i="26" a="1"/>
  <c r="F462" i="26"/>
  <c r="D463" i="26" a="1"/>
  <c r="D463" i="26"/>
  <c r="F463" i="26" a="1"/>
  <c r="F463" i="26"/>
  <c r="D464" i="26" a="1"/>
  <c r="D464" i="26"/>
  <c r="F464" i="26" a="1"/>
  <c r="F464" i="26"/>
  <c r="D465" i="26" a="1"/>
  <c r="D465" i="26"/>
  <c r="F465" i="26" a="1"/>
  <c r="F465" i="26"/>
  <c r="D466" i="26" a="1"/>
  <c r="D466" i="26"/>
  <c r="F466" i="26" a="1"/>
  <c r="F466" i="26"/>
  <c r="D467" i="26" a="1"/>
  <c r="D467" i="26"/>
  <c r="F467" i="26" a="1"/>
  <c r="F467" i="26"/>
  <c r="D468" i="26" a="1"/>
  <c r="D468" i="26"/>
  <c r="F468" i="26" a="1"/>
  <c r="F468" i="26"/>
  <c r="D469" i="26" a="1"/>
  <c r="D469" i="26"/>
  <c r="F469" i="26" a="1"/>
  <c r="F469" i="26"/>
  <c r="D470" i="26" a="1"/>
  <c r="D470" i="26"/>
  <c r="F470" i="26" a="1"/>
  <c r="F470" i="26"/>
  <c r="D471" i="26" a="1"/>
  <c r="D471" i="26"/>
  <c r="F471" i="26" a="1"/>
  <c r="F471" i="26"/>
  <c r="D472" i="26" a="1"/>
  <c r="D472" i="26"/>
  <c r="F472" i="26" a="1"/>
  <c r="F472" i="26"/>
  <c r="D473" i="26" a="1"/>
  <c r="D473" i="26"/>
  <c r="F473" i="26" a="1"/>
  <c r="F473" i="26"/>
  <c r="D474" i="26" a="1"/>
  <c r="D474" i="26"/>
  <c r="F474" i="26" a="1"/>
  <c r="F474" i="26"/>
  <c r="D475" i="26" a="1"/>
  <c r="D475" i="26"/>
  <c r="F475" i="26" a="1"/>
  <c r="F475" i="26"/>
  <c r="D476" i="26" a="1"/>
  <c r="D476" i="26"/>
  <c r="F476" i="26" a="1"/>
  <c r="F476" i="26"/>
  <c r="D477" i="26" a="1"/>
  <c r="D477" i="26"/>
  <c r="F477" i="26" a="1"/>
  <c r="F477" i="26"/>
  <c r="D478" i="26" a="1"/>
  <c r="D478" i="26"/>
  <c r="F478" i="26" a="1"/>
  <c r="F478" i="26"/>
  <c r="D479" i="26" a="1"/>
  <c r="D479" i="26"/>
  <c r="F479" i="26" a="1"/>
  <c r="F479" i="26"/>
  <c r="D480" i="26" a="1"/>
  <c r="D480" i="26"/>
  <c r="F480" i="26" a="1"/>
  <c r="F480" i="26"/>
  <c r="D481" i="26" a="1"/>
  <c r="D481" i="26"/>
  <c r="F481" i="26" a="1"/>
  <c r="F481" i="26"/>
  <c r="D482" i="26" a="1"/>
  <c r="D482" i="26"/>
  <c r="F482" i="26" a="1"/>
  <c r="F482" i="26"/>
  <c r="D483" i="26" a="1"/>
  <c r="D483" i="26"/>
  <c r="F483" i="26" a="1"/>
  <c r="F483" i="26"/>
  <c r="D484" i="26" a="1"/>
  <c r="D484" i="26"/>
  <c r="F484" i="26" a="1"/>
  <c r="F484" i="26"/>
  <c r="D485" i="26" a="1"/>
  <c r="D485" i="26"/>
  <c r="F485" i="26" a="1"/>
  <c r="F485" i="26"/>
  <c r="D486" i="26" a="1"/>
  <c r="D486" i="26"/>
  <c r="F486" i="26" a="1"/>
  <c r="F486" i="26"/>
  <c r="D487" i="26" a="1"/>
  <c r="D487" i="26"/>
  <c r="F487" i="26" a="1"/>
  <c r="F487" i="26"/>
  <c r="D488" i="26" a="1"/>
  <c r="D488" i="26"/>
  <c r="F488" i="26" a="1"/>
  <c r="F488" i="26"/>
  <c r="D489" i="26" a="1"/>
  <c r="D489" i="26"/>
  <c r="F489" i="26" a="1"/>
  <c r="F489" i="26"/>
  <c r="D490" i="26" a="1"/>
  <c r="D490" i="26"/>
  <c r="F490" i="26" a="1"/>
  <c r="F490" i="26"/>
  <c r="D491" i="26" a="1"/>
  <c r="D491" i="26"/>
  <c r="F491" i="26" a="1"/>
  <c r="F491" i="26"/>
  <c r="D492" i="26" a="1"/>
  <c r="D492" i="26"/>
  <c r="F492" i="26" a="1"/>
  <c r="F492" i="26"/>
  <c r="D493" i="26" a="1"/>
  <c r="D493" i="26"/>
  <c r="F493" i="26" a="1"/>
  <c r="F493" i="26"/>
  <c r="D494" i="26" a="1"/>
  <c r="D494" i="26"/>
  <c r="F494" i="26" a="1"/>
  <c r="F494" i="26"/>
  <c r="D495" i="26" a="1"/>
  <c r="D495" i="26"/>
  <c r="F495" i="26" a="1"/>
  <c r="F495" i="26"/>
  <c r="D496" i="26" a="1"/>
  <c r="D496" i="26"/>
  <c r="F496" i="26" a="1"/>
  <c r="F496" i="26"/>
  <c r="D497" i="26" a="1"/>
  <c r="D497" i="26"/>
  <c r="F497" i="26" a="1"/>
  <c r="F497" i="26"/>
  <c r="D498" i="26" a="1"/>
  <c r="D498" i="26"/>
  <c r="F498" i="26" a="1"/>
  <c r="F498" i="26"/>
  <c r="D499" i="26" a="1"/>
  <c r="D499" i="26"/>
  <c r="F499" i="26" a="1"/>
  <c r="F499" i="26"/>
  <c r="D500" i="26" a="1"/>
  <c r="D500" i="26"/>
  <c r="F500" i="26" a="1"/>
  <c r="F500" i="26"/>
  <c r="D501" i="26" a="1"/>
  <c r="D501" i="26"/>
  <c r="F501" i="26" a="1"/>
  <c r="F501" i="26"/>
  <c r="D502" i="26" a="1"/>
  <c r="D502" i="26"/>
  <c r="F502" i="26" a="1"/>
  <c r="F502" i="26"/>
  <c r="D503" i="26" a="1"/>
  <c r="D503" i="26"/>
  <c r="F503" i="26" a="1"/>
  <c r="F503" i="26"/>
  <c r="D504" i="26" a="1"/>
  <c r="D504" i="26"/>
  <c r="F504" i="26" a="1"/>
  <c r="F504" i="26"/>
  <c r="D505" i="26" a="1"/>
  <c r="D505" i="26"/>
  <c r="F505" i="26" a="1"/>
  <c r="F505" i="26"/>
  <c r="D506" i="26" a="1"/>
  <c r="D506" i="26"/>
  <c r="F506" i="26" a="1"/>
  <c r="F506" i="26"/>
  <c r="D507" i="26" a="1"/>
  <c r="D507" i="26"/>
  <c r="F507" i="26" a="1"/>
  <c r="F507" i="26"/>
  <c r="D508" i="26" a="1"/>
  <c r="D508" i="26"/>
  <c r="F508" i="26" a="1"/>
  <c r="F508" i="26"/>
  <c r="D509" i="26" a="1"/>
  <c r="D509" i="26"/>
  <c r="F509" i="26" a="1"/>
  <c r="F509" i="26"/>
  <c r="D510" i="26" a="1"/>
  <c r="D510" i="26"/>
  <c r="F510" i="26" a="1"/>
  <c r="F510" i="26"/>
  <c r="D511" i="26" a="1"/>
  <c r="D511" i="26"/>
  <c r="F511" i="26" a="1"/>
  <c r="F511" i="26"/>
  <c r="D512" i="26" a="1"/>
  <c r="D512" i="26"/>
  <c r="F512" i="26" a="1"/>
  <c r="F512" i="26"/>
  <c r="D513" i="26" a="1"/>
  <c r="D513" i="26"/>
  <c r="F513" i="26" a="1"/>
  <c r="F513" i="26"/>
  <c r="D514" i="26" a="1"/>
  <c r="D514" i="26"/>
  <c r="F514" i="26" a="1"/>
  <c r="F514" i="26"/>
  <c r="D515" i="26" a="1"/>
  <c r="D515" i="26"/>
  <c r="F515" i="26" a="1"/>
  <c r="F515" i="26"/>
  <c r="D516" i="26" a="1"/>
  <c r="D516" i="26"/>
  <c r="F516" i="26" a="1"/>
  <c r="F516" i="26"/>
  <c r="D517" i="26" a="1"/>
  <c r="D517" i="26"/>
  <c r="F517" i="26" a="1"/>
  <c r="F517" i="26"/>
  <c r="D518" i="26" a="1"/>
  <c r="D518" i="26"/>
  <c r="F518" i="26" a="1"/>
  <c r="F518" i="26"/>
  <c r="D519" i="26" a="1"/>
  <c r="D519" i="26"/>
  <c r="F519" i="26" a="1"/>
  <c r="F519" i="26"/>
  <c r="D520" i="26" a="1"/>
  <c r="D520" i="26"/>
  <c r="F520" i="26" a="1"/>
  <c r="F520" i="26"/>
  <c r="D521" i="26" a="1"/>
  <c r="D521" i="26"/>
  <c r="F521" i="26" a="1"/>
  <c r="F521" i="26"/>
  <c r="D522" i="26" a="1"/>
  <c r="D522" i="26"/>
  <c r="F522" i="26" a="1"/>
  <c r="F522" i="26"/>
  <c r="D523" i="26" a="1"/>
  <c r="D523" i="26"/>
  <c r="F523" i="26" a="1"/>
  <c r="F523" i="26"/>
  <c r="D524" i="26" a="1"/>
  <c r="D524" i="26"/>
  <c r="F524" i="26" a="1"/>
  <c r="F524" i="26"/>
  <c r="D525" i="26" a="1"/>
  <c r="D525" i="26"/>
  <c r="F525" i="26" a="1"/>
  <c r="F525" i="26"/>
  <c r="D526" i="26" a="1"/>
  <c r="D526" i="26"/>
  <c r="F526" i="26" a="1"/>
  <c r="F526" i="26"/>
  <c r="D527" i="26" a="1"/>
  <c r="D527" i="26"/>
  <c r="F527" i="26" a="1"/>
  <c r="F527" i="26"/>
  <c r="D528" i="26" a="1"/>
  <c r="D528" i="26"/>
  <c r="F528" i="26" a="1"/>
  <c r="F528" i="26"/>
  <c r="D529" i="26" a="1"/>
  <c r="D529" i="26"/>
  <c r="F529" i="26" a="1"/>
  <c r="F529" i="26"/>
  <c r="D530" i="26" a="1"/>
  <c r="D530" i="26"/>
  <c r="F530" i="26" a="1"/>
  <c r="F530" i="26"/>
  <c r="D531" i="26" a="1"/>
  <c r="D531" i="26"/>
  <c r="F531" i="26" a="1"/>
  <c r="F531" i="26"/>
  <c r="D532" i="26" a="1"/>
  <c r="D532" i="26"/>
  <c r="F532" i="26" a="1"/>
  <c r="F532" i="26"/>
  <c r="D533" i="26" a="1"/>
  <c r="D533" i="26"/>
  <c r="F533" i="26" a="1"/>
  <c r="F533" i="26"/>
  <c r="D534" i="26" a="1"/>
  <c r="D534" i="26"/>
  <c r="F534" i="26" a="1"/>
  <c r="F534" i="26"/>
  <c r="D535" i="26" a="1"/>
  <c r="D535" i="26"/>
  <c r="F535" i="26" a="1"/>
  <c r="F535" i="26"/>
  <c r="D536" i="26" a="1"/>
  <c r="D536" i="26"/>
  <c r="F536" i="26" a="1"/>
  <c r="F536" i="26"/>
  <c r="D537" i="26" a="1"/>
  <c r="D537" i="26"/>
  <c r="F537" i="26" a="1"/>
  <c r="F537" i="26"/>
  <c r="D538" i="26" a="1"/>
  <c r="D538" i="26"/>
  <c r="F538" i="26" a="1"/>
  <c r="F538" i="26"/>
  <c r="D539" i="26" a="1"/>
  <c r="D539" i="26"/>
  <c r="F539" i="26" a="1"/>
  <c r="F539" i="26"/>
  <c r="D540" i="26" a="1"/>
  <c r="D540" i="26"/>
  <c r="F540" i="26" a="1"/>
  <c r="F540" i="26"/>
  <c r="D541" i="26" a="1"/>
  <c r="D541" i="26"/>
  <c r="F541" i="26" a="1"/>
  <c r="F541" i="26"/>
  <c r="D542" i="26" a="1"/>
  <c r="D542" i="26"/>
  <c r="F542" i="26" a="1"/>
  <c r="F542" i="26"/>
  <c r="D543" i="26" a="1"/>
  <c r="D543" i="26"/>
  <c r="F543" i="26" a="1"/>
  <c r="F543" i="26"/>
  <c r="D544" i="26" a="1"/>
  <c r="D544" i="26"/>
  <c r="F544" i="26" a="1"/>
  <c r="F544" i="26"/>
  <c r="D545" i="26" a="1"/>
  <c r="D545" i="26"/>
  <c r="F545" i="26" a="1"/>
  <c r="F545" i="26"/>
  <c r="D546" i="26" a="1"/>
  <c r="D546" i="26"/>
  <c r="F546" i="26" a="1"/>
  <c r="F546" i="26"/>
  <c r="D547" i="26" a="1"/>
  <c r="D547" i="26"/>
  <c r="F547" i="26" a="1"/>
  <c r="F547" i="26"/>
  <c r="D548" i="26" a="1"/>
  <c r="D548" i="26"/>
  <c r="F548" i="26" a="1"/>
  <c r="F548" i="26"/>
  <c r="D549" i="26" a="1"/>
  <c r="D549" i="26"/>
  <c r="F549" i="26" a="1"/>
  <c r="F549" i="26"/>
  <c r="D550" i="26" a="1"/>
  <c r="D550" i="26"/>
  <c r="F550" i="26" a="1"/>
  <c r="F550" i="26"/>
  <c r="D551" i="26" a="1"/>
  <c r="D551" i="26"/>
  <c r="F551" i="26" a="1"/>
  <c r="F551" i="26"/>
  <c r="D552" i="26" a="1"/>
  <c r="D552" i="26"/>
  <c r="F552" i="26" a="1"/>
  <c r="F552" i="26"/>
  <c r="D553" i="26" a="1"/>
  <c r="D553" i="26"/>
  <c r="F553" i="26" a="1"/>
  <c r="F553" i="26"/>
  <c r="D554" i="26" a="1"/>
  <c r="D554" i="26"/>
  <c r="F554" i="26" a="1"/>
  <c r="F554" i="26"/>
  <c r="D555" i="26" a="1"/>
  <c r="D555" i="26"/>
  <c r="F555" i="26" a="1"/>
  <c r="F555" i="26"/>
  <c r="D556" i="26" a="1"/>
  <c r="D556" i="26"/>
  <c r="F556" i="26" a="1"/>
  <c r="F556" i="26"/>
  <c r="D557" i="26" a="1"/>
  <c r="D557" i="26"/>
  <c r="F557" i="26" a="1"/>
  <c r="F557" i="26"/>
  <c r="D558" i="26" a="1"/>
  <c r="D558" i="26"/>
  <c r="F558" i="26" a="1"/>
  <c r="F558" i="26"/>
  <c r="D559" i="26" a="1"/>
  <c r="D559" i="26"/>
  <c r="F559" i="26" a="1"/>
  <c r="F559" i="26"/>
  <c r="D560" i="26" a="1"/>
  <c r="D560" i="26"/>
  <c r="F560" i="26" a="1"/>
  <c r="F560" i="26"/>
  <c r="D561" i="26" a="1"/>
  <c r="D561" i="26"/>
  <c r="F561" i="26" a="1"/>
  <c r="F561" i="26"/>
  <c r="D562" i="26" a="1"/>
  <c r="D562" i="26"/>
  <c r="F562" i="26" a="1"/>
  <c r="F562" i="26"/>
  <c r="D563" i="26" a="1"/>
  <c r="D563" i="26"/>
  <c r="F563" i="26" a="1"/>
  <c r="F563" i="26"/>
  <c r="D564" i="26" a="1"/>
  <c r="D564" i="26"/>
  <c r="F564" i="26" a="1"/>
  <c r="F564" i="26"/>
  <c r="D565" i="26" a="1"/>
  <c r="D565" i="26"/>
  <c r="F565" i="26" a="1"/>
  <c r="F565" i="26"/>
  <c r="D566" i="26" a="1"/>
  <c r="D566" i="26"/>
  <c r="F566" i="26" a="1"/>
  <c r="F566" i="26"/>
  <c r="D567" i="26" a="1"/>
  <c r="D567" i="26"/>
  <c r="F567" i="26" a="1"/>
  <c r="F567" i="26"/>
  <c r="D568" i="26" a="1"/>
  <c r="D568" i="26"/>
  <c r="F568" i="26" a="1"/>
  <c r="F568" i="26"/>
  <c r="D569" i="26" a="1"/>
  <c r="D569" i="26"/>
  <c r="F569" i="26" a="1"/>
  <c r="F569" i="26"/>
  <c r="D570" i="26" a="1"/>
  <c r="D570" i="26"/>
  <c r="F570" i="26" a="1"/>
  <c r="F570" i="26"/>
  <c r="D571" i="26" a="1"/>
  <c r="D571" i="26"/>
  <c r="F571" i="26" a="1"/>
  <c r="F571" i="26"/>
  <c r="D572" i="26" a="1"/>
  <c r="D572" i="26"/>
  <c r="F572" i="26" a="1"/>
  <c r="F572" i="26"/>
  <c r="D573" i="26" a="1"/>
  <c r="D573" i="26"/>
  <c r="F573" i="26" a="1"/>
  <c r="F573" i="26"/>
  <c r="D574" i="26" a="1"/>
  <c r="D574" i="26"/>
  <c r="F574" i="26" a="1"/>
  <c r="F574" i="26"/>
  <c r="D575" i="26" a="1"/>
  <c r="D575" i="26"/>
  <c r="F575" i="26" a="1"/>
  <c r="F575" i="26"/>
  <c r="D576" i="26" a="1"/>
  <c r="D576" i="26"/>
  <c r="F576" i="26" a="1"/>
  <c r="F576" i="26"/>
  <c r="D577" i="26" a="1"/>
  <c r="D577" i="26"/>
  <c r="F577" i="26" a="1"/>
  <c r="F577" i="26"/>
  <c r="D578" i="26" a="1"/>
  <c r="D578" i="26"/>
  <c r="F578" i="26" a="1"/>
  <c r="F578" i="26"/>
  <c r="D579" i="26" a="1"/>
  <c r="D579" i="26"/>
  <c r="F579" i="26" a="1"/>
  <c r="F579" i="26"/>
  <c r="D580" i="26" a="1"/>
  <c r="D580" i="26"/>
  <c r="F580" i="26" a="1"/>
  <c r="F580" i="26"/>
  <c r="D581" i="26" a="1"/>
  <c r="D581" i="26"/>
  <c r="F581" i="26" a="1"/>
  <c r="F581" i="26"/>
  <c r="D582" i="26" a="1"/>
  <c r="D582" i="26"/>
  <c r="F582" i="26" a="1"/>
  <c r="F582" i="26"/>
  <c r="D583" i="26" a="1"/>
  <c r="D583" i="26"/>
  <c r="F583" i="26" a="1"/>
  <c r="F583" i="26"/>
  <c r="D584" i="26" a="1"/>
  <c r="D584" i="26"/>
  <c r="F584" i="26" a="1"/>
  <c r="F584" i="26"/>
  <c r="D585" i="26" a="1"/>
  <c r="D585" i="26"/>
  <c r="F585" i="26" a="1"/>
  <c r="F585" i="26"/>
  <c r="D586" i="26" a="1"/>
  <c r="D586" i="26"/>
  <c r="F586" i="26" a="1"/>
  <c r="F586" i="26"/>
  <c r="D587" i="26" a="1"/>
  <c r="D587" i="26"/>
  <c r="F587" i="26" a="1"/>
  <c r="F587" i="26"/>
  <c r="D588" i="26" a="1"/>
  <c r="D588" i="26"/>
  <c r="F588" i="26" a="1"/>
  <c r="F588" i="26"/>
  <c r="D589" i="26" a="1"/>
  <c r="D589" i="26"/>
  <c r="F589" i="26" a="1"/>
  <c r="F589" i="26"/>
  <c r="D590" i="26" a="1"/>
  <c r="D590" i="26"/>
  <c r="F590" i="26" a="1"/>
  <c r="F590" i="26"/>
  <c r="D591" i="26" a="1"/>
  <c r="D591" i="26"/>
  <c r="F591" i="26" a="1"/>
  <c r="F591" i="26"/>
  <c r="D592" i="26" a="1"/>
  <c r="D592" i="26"/>
  <c r="F592" i="26" a="1"/>
  <c r="F592" i="26"/>
  <c r="D593" i="26" a="1"/>
  <c r="D593" i="26"/>
  <c r="F593" i="26" a="1"/>
  <c r="F593" i="26"/>
  <c r="D594" i="26" a="1"/>
  <c r="D594" i="26"/>
  <c r="F594" i="26" a="1"/>
  <c r="F594" i="26"/>
  <c r="D595" i="26" a="1"/>
  <c r="D595" i="26"/>
  <c r="F595" i="26" a="1"/>
  <c r="F595" i="26"/>
  <c r="D596" i="26" a="1"/>
  <c r="D596" i="26"/>
  <c r="F596" i="26" a="1"/>
  <c r="F596" i="26"/>
  <c r="D597" i="26" a="1"/>
  <c r="D597" i="26"/>
  <c r="F597" i="26" a="1"/>
  <c r="F597" i="26"/>
  <c r="D598" i="26" a="1"/>
  <c r="D598" i="26"/>
  <c r="F598" i="26" a="1"/>
  <c r="F598" i="26"/>
  <c r="D599" i="26" a="1"/>
  <c r="D599" i="26"/>
  <c r="F599" i="26" a="1"/>
  <c r="F599" i="26"/>
  <c r="D600" i="26" a="1"/>
  <c r="D600" i="26"/>
  <c r="F600" i="26" a="1"/>
  <c r="F600" i="26"/>
  <c r="D601" i="26" a="1"/>
  <c r="D601" i="26"/>
  <c r="F601" i="26" a="1"/>
  <c r="F601" i="26"/>
  <c r="D602" i="26" a="1"/>
  <c r="D602" i="26"/>
  <c r="F602" i="26" a="1"/>
  <c r="F602" i="26"/>
  <c r="D603" i="26" a="1"/>
  <c r="D603" i="26"/>
  <c r="F603" i="26" a="1"/>
  <c r="F603" i="26"/>
  <c r="D604" i="26" a="1"/>
  <c r="D604" i="26"/>
  <c r="F604" i="26" a="1"/>
  <c r="F604" i="26"/>
  <c r="D605" i="26" a="1"/>
  <c r="D605" i="26"/>
  <c r="F605" i="26" a="1"/>
  <c r="F605" i="26"/>
  <c r="D606" i="26" a="1"/>
  <c r="D606" i="26"/>
  <c r="F606" i="26" a="1"/>
  <c r="F606" i="26"/>
  <c r="D607" i="26" a="1"/>
  <c r="D607" i="26"/>
  <c r="F607" i="26" a="1"/>
  <c r="F607" i="26"/>
  <c r="D608" i="26" a="1"/>
  <c r="D608" i="26"/>
  <c r="F608" i="26" a="1"/>
  <c r="F608" i="26"/>
  <c r="D609" i="26" a="1"/>
  <c r="D609" i="26"/>
  <c r="F609" i="26" a="1"/>
  <c r="F609" i="26"/>
  <c r="D610" i="26" a="1"/>
  <c r="D610" i="26"/>
  <c r="F610" i="26" a="1"/>
  <c r="F610" i="26"/>
  <c r="D611" i="26" a="1"/>
  <c r="D611" i="26"/>
  <c r="F611" i="26" a="1"/>
  <c r="F611" i="26"/>
  <c r="D612" i="26" a="1"/>
  <c r="D612" i="26"/>
  <c r="F612" i="26" a="1"/>
  <c r="F612" i="26"/>
  <c r="D613" i="26" a="1"/>
  <c r="D613" i="26"/>
  <c r="F613" i="26" a="1"/>
  <c r="F613" i="26"/>
  <c r="D614" i="26" a="1"/>
  <c r="D614" i="26"/>
  <c r="F614" i="26" a="1"/>
  <c r="F614" i="26"/>
  <c r="D615" i="26" a="1"/>
  <c r="D615" i="26"/>
  <c r="F615" i="26" a="1"/>
  <c r="F615" i="26"/>
  <c r="D616" i="26" a="1"/>
  <c r="D616" i="26"/>
  <c r="F616" i="26" a="1"/>
  <c r="F616" i="26"/>
  <c r="D617" i="26" a="1"/>
  <c r="D617" i="26"/>
  <c r="F617" i="26" a="1"/>
  <c r="F617" i="26"/>
  <c r="D618" i="26" a="1"/>
  <c r="D618" i="26"/>
  <c r="F618" i="26" a="1"/>
  <c r="F618" i="26"/>
  <c r="D619" i="26" a="1"/>
  <c r="D619" i="26"/>
  <c r="F619" i="26" a="1"/>
  <c r="F619" i="26"/>
  <c r="D620" i="26" a="1"/>
  <c r="D620" i="26"/>
  <c r="F620" i="26" a="1"/>
  <c r="F620" i="26"/>
  <c r="D621" i="26" a="1"/>
  <c r="D621" i="26"/>
  <c r="F621" i="26" a="1"/>
  <c r="F621" i="26"/>
  <c r="D622" i="26" a="1"/>
  <c r="D622" i="26"/>
  <c r="F622" i="26" a="1"/>
  <c r="F622" i="26"/>
  <c r="D623" i="26" a="1"/>
  <c r="D623" i="26"/>
  <c r="F623" i="26" a="1"/>
  <c r="F623" i="26"/>
  <c r="D624" i="26" a="1"/>
  <c r="D624" i="26"/>
  <c r="F624" i="26" a="1"/>
  <c r="F624" i="26"/>
  <c r="D625" i="26" a="1"/>
  <c r="D625" i="26"/>
  <c r="F625" i="26" a="1"/>
  <c r="F625" i="26"/>
  <c r="D626" i="26" a="1"/>
  <c r="D626" i="26"/>
  <c r="F626" i="26" a="1"/>
  <c r="F626" i="26"/>
  <c r="D627" i="26" a="1"/>
  <c r="D627" i="26"/>
  <c r="F627" i="26" a="1"/>
  <c r="F627" i="26"/>
  <c r="D628" i="26" a="1"/>
  <c r="D628" i="26"/>
  <c r="F628" i="26" a="1"/>
  <c r="F628" i="26"/>
  <c r="D629" i="26" a="1"/>
  <c r="D629" i="26"/>
  <c r="F629" i="26" a="1"/>
  <c r="F629" i="26"/>
  <c r="D630" i="26" a="1"/>
  <c r="D630" i="26"/>
  <c r="F630" i="26" a="1"/>
  <c r="F630" i="26"/>
  <c r="D631" i="26" a="1"/>
  <c r="D631" i="26"/>
  <c r="F631" i="26" a="1"/>
  <c r="F631" i="26"/>
  <c r="D632" i="26" a="1"/>
  <c r="D632" i="26"/>
  <c r="F632" i="26" a="1"/>
  <c r="F632" i="26"/>
  <c r="D633" i="26" a="1"/>
  <c r="D633" i="26"/>
  <c r="F633" i="26" a="1"/>
  <c r="F633" i="26"/>
  <c r="D634" i="26" a="1"/>
  <c r="D634" i="26"/>
  <c r="F634" i="26" a="1"/>
  <c r="F634" i="26"/>
  <c r="D635" i="26" a="1"/>
  <c r="D635" i="26"/>
  <c r="F635" i="26" a="1"/>
  <c r="F635" i="26"/>
  <c r="D636" i="26" a="1"/>
  <c r="D636" i="26"/>
  <c r="F636" i="26" a="1"/>
  <c r="F636" i="26"/>
  <c r="D637" i="26" a="1"/>
  <c r="D637" i="26"/>
  <c r="F637" i="26" a="1"/>
  <c r="F637" i="26"/>
  <c r="D638" i="26" a="1"/>
  <c r="D638" i="26"/>
  <c r="F638" i="26" a="1"/>
  <c r="F638" i="26"/>
  <c r="D639" i="26" a="1"/>
  <c r="D639" i="26"/>
  <c r="F639" i="26" a="1"/>
  <c r="F639" i="26"/>
  <c r="D640" i="26" a="1"/>
  <c r="D640" i="26"/>
  <c r="F640" i="26" a="1"/>
  <c r="F640" i="26"/>
  <c r="D641" i="26" a="1"/>
  <c r="D641" i="26"/>
  <c r="F641" i="26" a="1"/>
  <c r="F641" i="26"/>
  <c r="D642" i="26" a="1"/>
  <c r="D642" i="26"/>
  <c r="F642" i="26" a="1"/>
  <c r="F642" i="26"/>
  <c r="D643" i="26" a="1"/>
  <c r="D643" i="26"/>
  <c r="F643" i="26" a="1"/>
  <c r="F643" i="26"/>
  <c r="D644" i="26" a="1"/>
  <c r="D644" i="26"/>
  <c r="F644" i="26" a="1"/>
  <c r="F644" i="26"/>
  <c r="D645" i="26" a="1"/>
  <c r="D645" i="26"/>
  <c r="F645" i="26" a="1"/>
  <c r="F645" i="26"/>
  <c r="D646" i="26" a="1"/>
  <c r="D646" i="26"/>
  <c r="F646" i="26" a="1"/>
  <c r="F646" i="26"/>
  <c r="D647" i="26" a="1"/>
  <c r="D647" i="26"/>
  <c r="F647" i="26" a="1"/>
  <c r="F647" i="26"/>
  <c r="D648" i="26" a="1"/>
  <c r="D648" i="26"/>
  <c r="F648" i="26" a="1"/>
  <c r="F648" i="26"/>
  <c r="D649" i="26" a="1"/>
  <c r="D649" i="26"/>
  <c r="F649" i="26" a="1"/>
  <c r="F649" i="26"/>
  <c r="D650" i="26" a="1"/>
  <c r="D650" i="26"/>
  <c r="F650" i="26" a="1"/>
  <c r="F650" i="26"/>
  <c r="D651" i="26" a="1"/>
  <c r="D651" i="26"/>
  <c r="F651" i="26" a="1"/>
  <c r="F651" i="26"/>
  <c r="D652" i="26" a="1"/>
  <c r="D652" i="26"/>
  <c r="F652" i="26" a="1"/>
  <c r="F652" i="26"/>
  <c r="D653" i="26" a="1"/>
  <c r="D653" i="26"/>
  <c r="F653" i="26" a="1"/>
  <c r="F653" i="26"/>
  <c r="D654" i="26" a="1"/>
  <c r="D654" i="26"/>
  <c r="F654" i="26" a="1"/>
  <c r="F654" i="26"/>
  <c r="D655" i="26" a="1"/>
  <c r="D655" i="26"/>
  <c r="F655" i="26" a="1"/>
  <c r="F655" i="26"/>
  <c r="D656" i="26" a="1"/>
  <c r="D656" i="26"/>
  <c r="F656" i="26" a="1"/>
  <c r="F656" i="26"/>
  <c r="D657" i="26" a="1"/>
  <c r="D657" i="26"/>
  <c r="F657" i="26" a="1"/>
  <c r="F657" i="26"/>
  <c r="D658" i="26" a="1"/>
  <c r="D658" i="26"/>
  <c r="F658" i="26" a="1"/>
  <c r="F658" i="26"/>
  <c r="D659" i="26" a="1"/>
  <c r="D659" i="26"/>
  <c r="F659" i="26" a="1"/>
  <c r="F659" i="26"/>
  <c r="D660" i="26" a="1"/>
  <c r="D660" i="26"/>
  <c r="F660" i="26" a="1"/>
  <c r="F660" i="26"/>
  <c r="D661" i="26" a="1"/>
  <c r="D661" i="26"/>
  <c r="F661" i="26" a="1"/>
  <c r="F661" i="26"/>
  <c r="D662" i="26" a="1"/>
  <c r="D662" i="26"/>
  <c r="F662" i="26" a="1"/>
  <c r="F662" i="26"/>
  <c r="D663" i="26" a="1"/>
  <c r="D663" i="26"/>
  <c r="F663" i="26" a="1"/>
  <c r="F663" i="26"/>
  <c r="D664" i="26" a="1"/>
  <c r="D664" i="26"/>
  <c r="F664" i="26" a="1"/>
  <c r="F664" i="26"/>
  <c r="D665" i="26" a="1"/>
  <c r="D665" i="26"/>
  <c r="F665" i="26" a="1"/>
  <c r="F665" i="26"/>
  <c r="D666" i="26" a="1"/>
  <c r="D666" i="26"/>
  <c r="F666" i="26" a="1"/>
  <c r="F666" i="26"/>
  <c r="D667" i="26" a="1"/>
  <c r="D667" i="26"/>
  <c r="F667" i="26" a="1"/>
  <c r="F667" i="26"/>
  <c r="D668" i="26" a="1"/>
  <c r="D668" i="26"/>
  <c r="F668" i="26" a="1"/>
  <c r="F668" i="26"/>
  <c r="D669" i="26" a="1"/>
  <c r="D669" i="26"/>
  <c r="F669" i="26" a="1"/>
  <c r="F669" i="26"/>
  <c r="D670" i="26" a="1"/>
  <c r="D670" i="26"/>
  <c r="F670" i="26" a="1"/>
  <c r="F670" i="26"/>
  <c r="D671" i="26" a="1"/>
  <c r="D671" i="26"/>
  <c r="F671" i="26" a="1"/>
  <c r="F671" i="26"/>
  <c r="D672" i="26" a="1"/>
  <c r="D672" i="26"/>
  <c r="F672" i="26" a="1"/>
  <c r="F672" i="26"/>
  <c r="D673" i="26" a="1"/>
  <c r="D673" i="26"/>
  <c r="F673" i="26" a="1"/>
  <c r="F673" i="26"/>
  <c r="D674" i="26" a="1"/>
  <c r="D674" i="26"/>
  <c r="F674" i="26" a="1"/>
  <c r="F674" i="26"/>
  <c r="D675" i="26" a="1"/>
  <c r="D675" i="26"/>
  <c r="F675" i="26" a="1"/>
  <c r="F675" i="26"/>
  <c r="D676" i="26" a="1"/>
  <c r="D676" i="26"/>
  <c r="F676" i="26" a="1"/>
  <c r="F676" i="26"/>
  <c r="D677" i="26" a="1"/>
  <c r="D677" i="26"/>
  <c r="F677" i="26" a="1"/>
  <c r="F677" i="26"/>
  <c r="D678" i="26" a="1"/>
  <c r="D678" i="26"/>
  <c r="F678" i="26" a="1"/>
  <c r="F678" i="26"/>
  <c r="D679" i="26" a="1"/>
  <c r="D679" i="26"/>
  <c r="F679" i="26" a="1"/>
  <c r="F679" i="26"/>
  <c r="D680" i="26" a="1"/>
  <c r="D680" i="26"/>
  <c r="F680" i="26" a="1"/>
  <c r="F680" i="26"/>
  <c r="D681" i="26" a="1"/>
  <c r="D681" i="26"/>
  <c r="F681" i="26" a="1"/>
  <c r="F681" i="26"/>
  <c r="D682" i="26" a="1"/>
  <c r="D682" i="26"/>
  <c r="F682" i="26" a="1"/>
  <c r="F682" i="26"/>
  <c r="D683" i="26" a="1"/>
  <c r="D683" i="26"/>
  <c r="F683" i="26" a="1"/>
  <c r="F683" i="26"/>
  <c r="D684" i="26" a="1"/>
  <c r="D684" i="26"/>
  <c r="F684" i="26" a="1"/>
  <c r="F684" i="26"/>
  <c r="D685" i="26" a="1"/>
  <c r="D685" i="26"/>
  <c r="F685" i="26" a="1"/>
  <c r="F685" i="26"/>
  <c r="D686" i="26" a="1"/>
  <c r="D686" i="26"/>
  <c r="F686" i="26" a="1"/>
  <c r="F686" i="26"/>
  <c r="D687" i="26" a="1"/>
  <c r="D687" i="26"/>
  <c r="F687" i="26" a="1"/>
  <c r="F687" i="26"/>
  <c r="D688" i="26" a="1"/>
  <c r="D688" i="26"/>
  <c r="F688" i="26" a="1"/>
  <c r="F688" i="26"/>
  <c r="D689" i="26" a="1"/>
  <c r="D689" i="26"/>
  <c r="F689" i="26" a="1"/>
  <c r="F689" i="26"/>
  <c r="D690" i="26" a="1"/>
  <c r="D690" i="26"/>
  <c r="F690" i="26" a="1"/>
  <c r="F690" i="26"/>
  <c r="D691" i="26" a="1"/>
  <c r="D691" i="26"/>
  <c r="F691" i="26" a="1"/>
  <c r="F691" i="26"/>
  <c r="D692" i="26" a="1"/>
  <c r="D692" i="26"/>
  <c r="F692" i="26" a="1"/>
  <c r="F692" i="26"/>
  <c r="D693" i="26" a="1"/>
  <c r="D693" i="26"/>
  <c r="F693" i="26" a="1"/>
  <c r="F693" i="26"/>
  <c r="D694" i="26" a="1"/>
  <c r="D694" i="26"/>
  <c r="F694" i="26" a="1"/>
  <c r="F694" i="26"/>
  <c r="D695" i="26" a="1"/>
  <c r="D695" i="26"/>
  <c r="F695" i="26" a="1"/>
  <c r="F695" i="26"/>
  <c r="D696" i="26" a="1"/>
  <c r="D696" i="26"/>
  <c r="F696" i="26" a="1"/>
  <c r="F696" i="26"/>
  <c r="D697" i="26" a="1"/>
  <c r="D697" i="26"/>
  <c r="F697" i="26" a="1"/>
  <c r="F697" i="26"/>
  <c r="D698" i="26" a="1"/>
  <c r="D698" i="26"/>
  <c r="F698" i="26" a="1"/>
  <c r="F698" i="26"/>
  <c r="D699" i="26" a="1"/>
  <c r="D699" i="26"/>
  <c r="F699" i="26" a="1"/>
  <c r="F699" i="26"/>
  <c r="D700" i="26" a="1"/>
  <c r="D700" i="26"/>
  <c r="F700" i="26" a="1"/>
  <c r="F700" i="26"/>
  <c r="D701" i="26" a="1"/>
  <c r="D701" i="26"/>
  <c r="F701" i="26" a="1"/>
  <c r="F701" i="26"/>
  <c r="D702" i="26" a="1"/>
  <c r="D702" i="26"/>
  <c r="F702" i="26" a="1"/>
  <c r="F702" i="26"/>
  <c r="D703" i="26" a="1"/>
  <c r="D703" i="26"/>
  <c r="F703" i="26" a="1"/>
  <c r="F703" i="26"/>
  <c r="D704" i="26" a="1"/>
  <c r="D704" i="26"/>
  <c r="F704" i="26" a="1"/>
  <c r="F704" i="26"/>
  <c r="D705" i="26" a="1"/>
  <c r="D705" i="26"/>
  <c r="F705" i="26" a="1"/>
  <c r="F705" i="26"/>
  <c r="D706" i="26" a="1"/>
  <c r="D706" i="26"/>
  <c r="F706" i="26" a="1"/>
  <c r="F706" i="26"/>
  <c r="D707" i="26" a="1"/>
  <c r="D707" i="26"/>
  <c r="F707" i="26" a="1"/>
  <c r="F707" i="26"/>
  <c r="D708" i="26" a="1"/>
  <c r="D708" i="26"/>
  <c r="F708" i="26" a="1"/>
  <c r="F708" i="26"/>
  <c r="D709" i="26" a="1"/>
  <c r="D709" i="26"/>
  <c r="F709" i="26" a="1"/>
  <c r="F709" i="26"/>
  <c r="D710" i="26" a="1"/>
  <c r="D710" i="26"/>
  <c r="F710" i="26" a="1"/>
  <c r="F710" i="26"/>
  <c r="D711" i="26" a="1"/>
  <c r="D711" i="26"/>
  <c r="F711" i="26" a="1"/>
  <c r="F711" i="26"/>
  <c r="D712" i="26" a="1"/>
  <c r="D712" i="26"/>
  <c r="F712" i="26" a="1"/>
  <c r="F712" i="26"/>
  <c r="D713" i="26" a="1"/>
  <c r="D713" i="26"/>
  <c r="F713" i="26" a="1"/>
  <c r="F713" i="26"/>
  <c r="D714" i="26" a="1"/>
  <c r="D714" i="26"/>
  <c r="F714" i="26" a="1"/>
  <c r="F714" i="26"/>
  <c r="D715" i="26" a="1"/>
  <c r="D715" i="26"/>
  <c r="F715" i="26" a="1"/>
  <c r="F715" i="26"/>
  <c r="D716" i="26" a="1"/>
  <c r="D716" i="26"/>
  <c r="F716" i="26" a="1"/>
  <c r="F716" i="26"/>
  <c r="D717" i="26" a="1"/>
  <c r="D717" i="26"/>
  <c r="F717" i="26" a="1"/>
  <c r="F717" i="26"/>
  <c r="D718" i="26" a="1"/>
  <c r="D718" i="26"/>
  <c r="F718" i="26" a="1"/>
  <c r="F718" i="26"/>
  <c r="D719" i="26" a="1"/>
  <c r="D719" i="26"/>
  <c r="F719" i="26" a="1"/>
  <c r="F719" i="26"/>
  <c r="D720" i="26" a="1"/>
  <c r="D720" i="26"/>
  <c r="F720" i="26" a="1"/>
  <c r="F720" i="26"/>
  <c r="D721" i="26" a="1"/>
  <c r="D721" i="26"/>
  <c r="F721" i="26" a="1"/>
  <c r="F721" i="26"/>
  <c r="D722" i="26" a="1"/>
  <c r="D722" i="26"/>
  <c r="F722" i="26" a="1"/>
  <c r="F722" i="26"/>
  <c r="D723" i="26" a="1"/>
  <c r="D723" i="26"/>
  <c r="F723" i="26" a="1"/>
  <c r="F723" i="26"/>
  <c r="D724" i="26" a="1"/>
  <c r="D724" i="26"/>
  <c r="F724" i="26" a="1"/>
  <c r="F724" i="26"/>
  <c r="D725" i="26" a="1"/>
  <c r="D725" i="26"/>
  <c r="F725" i="26" a="1"/>
  <c r="F725" i="26"/>
  <c r="D726" i="26" a="1"/>
  <c r="D726" i="26"/>
  <c r="F726" i="26" a="1"/>
  <c r="F726" i="26"/>
  <c r="D727" i="26" a="1"/>
  <c r="D727" i="26"/>
  <c r="F727" i="26" a="1"/>
  <c r="F727" i="26"/>
  <c r="D728" i="26" a="1"/>
  <c r="D728" i="26"/>
  <c r="F728" i="26" a="1"/>
  <c r="F728" i="26"/>
  <c r="D729" i="26" a="1"/>
  <c r="D729" i="26"/>
  <c r="F729" i="26" a="1"/>
  <c r="F729" i="26"/>
  <c r="D730" i="26" a="1"/>
  <c r="D730" i="26"/>
  <c r="F730" i="26" a="1"/>
  <c r="F730" i="26"/>
  <c r="D731" i="26" a="1"/>
  <c r="D731" i="26"/>
  <c r="F731" i="26" a="1"/>
  <c r="F731" i="26"/>
  <c r="D732" i="26" a="1"/>
  <c r="D732" i="26"/>
  <c r="F732" i="26" a="1"/>
  <c r="F732" i="26"/>
  <c r="D733" i="26" a="1"/>
  <c r="D733" i="26"/>
  <c r="F733" i="26" a="1"/>
  <c r="F733" i="26"/>
  <c r="D734" i="26" a="1"/>
  <c r="D734" i="26"/>
  <c r="F734" i="26" a="1"/>
  <c r="F734" i="26"/>
  <c r="D735" i="26" a="1"/>
  <c r="D735" i="26"/>
  <c r="F735" i="26" a="1"/>
  <c r="F735" i="26"/>
  <c r="D736" i="26" a="1"/>
  <c r="D736" i="26"/>
  <c r="F736" i="26" a="1"/>
  <c r="F736" i="26"/>
  <c r="D737" i="26" a="1"/>
  <c r="D737" i="26"/>
  <c r="F737" i="26" a="1"/>
  <c r="F737" i="26"/>
  <c r="D738" i="26" a="1"/>
  <c r="D738" i="26"/>
  <c r="F738" i="26" a="1"/>
  <c r="F738" i="26"/>
  <c r="D739" i="26" a="1"/>
  <c r="D739" i="26"/>
  <c r="F739" i="26" a="1"/>
  <c r="F739" i="26"/>
  <c r="D740" i="26" a="1"/>
  <c r="D740" i="26"/>
  <c r="F740" i="26" a="1"/>
  <c r="F740" i="26"/>
  <c r="D741" i="26" a="1"/>
  <c r="D741" i="26"/>
  <c r="F741" i="26" a="1"/>
  <c r="F741" i="26"/>
  <c r="D742" i="26" a="1"/>
  <c r="D742" i="26"/>
  <c r="F742" i="26" a="1"/>
  <c r="F742" i="26"/>
  <c r="D743" i="26" a="1"/>
  <c r="D743" i="26"/>
  <c r="F743" i="26" a="1"/>
  <c r="F743" i="26"/>
  <c r="D744" i="26" a="1"/>
  <c r="D744" i="26"/>
  <c r="F744" i="26" a="1"/>
  <c r="F744" i="26"/>
  <c r="D745" i="26" a="1"/>
  <c r="D745" i="26"/>
  <c r="F745" i="26" a="1"/>
  <c r="F745" i="26"/>
  <c r="D746" i="26" a="1"/>
  <c r="D746" i="26"/>
  <c r="F746" i="26" a="1"/>
  <c r="F746" i="26"/>
  <c r="D747" i="26" a="1"/>
  <c r="D747" i="26"/>
  <c r="F747" i="26" a="1"/>
  <c r="F747" i="26"/>
  <c r="D748" i="26" a="1"/>
  <c r="D748" i="26"/>
  <c r="F748" i="26" a="1"/>
  <c r="F748" i="26"/>
  <c r="D749" i="26" a="1"/>
  <c r="D749" i="26"/>
  <c r="F749" i="26" a="1"/>
  <c r="F749" i="26"/>
  <c r="D750" i="26" a="1"/>
  <c r="D750" i="26"/>
  <c r="F750" i="26" a="1"/>
  <c r="F750" i="26"/>
  <c r="D751" i="26" a="1"/>
  <c r="D751" i="26"/>
  <c r="F751" i="26" a="1"/>
  <c r="F751" i="26"/>
  <c r="D752" i="26" a="1"/>
  <c r="D752" i="26"/>
  <c r="F752" i="26" a="1"/>
  <c r="F752" i="26"/>
  <c r="D753" i="26" a="1"/>
  <c r="D753" i="26"/>
  <c r="F753" i="26" a="1"/>
  <c r="F753" i="26"/>
  <c r="D754" i="26" a="1"/>
  <c r="D754" i="26"/>
  <c r="F754" i="26" a="1"/>
  <c r="F754" i="26"/>
  <c r="D755" i="26" a="1"/>
  <c r="D755" i="26"/>
  <c r="F755" i="26" a="1"/>
  <c r="F755" i="26"/>
  <c r="D756" i="26" a="1"/>
  <c r="D756" i="26"/>
  <c r="F756" i="26" a="1"/>
  <c r="F756" i="26"/>
  <c r="D757" i="26" a="1"/>
  <c r="D757" i="26"/>
  <c r="F757" i="26" a="1"/>
  <c r="F757" i="26"/>
  <c r="D758" i="26" a="1"/>
  <c r="D758" i="26"/>
  <c r="F758" i="26" a="1"/>
  <c r="F758" i="26"/>
  <c r="D759" i="26" a="1"/>
  <c r="D759" i="26"/>
  <c r="F759" i="26" a="1"/>
  <c r="F759" i="26"/>
  <c r="D760" i="26" a="1"/>
  <c r="D760" i="26"/>
  <c r="F760" i="26" a="1"/>
  <c r="F760" i="26"/>
  <c r="D761" i="26" a="1"/>
  <c r="D761" i="26"/>
  <c r="F761" i="26" a="1"/>
  <c r="F761" i="26"/>
  <c r="D762" i="26" a="1"/>
  <c r="D762" i="26"/>
  <c r="F762" i="26" a="1"/>
  <c r="F762" i="26"/>
  <c r="D763" i="26" a="1"/>
  <c r="D763" i="26"/>
  <c r="F763" i="26" a="1"/>
  <c r="F763" i="26"/>
  <c r="D764" i="26" a="1"/>
  <c r="D764" i="26"/>
  <c r="F764" i="26" a="1"/>
  <c r="F764" i="26"/>
  <c r="D765" i="26" a="1"/>
  <c r="D765" i="26"/>
  <c r="F765" i="26" a="1"/>
  <c r="F765" i="26"/>
  <c r="D766" i="26" a="1"/>
  <c r="D766" i="26"/>
  <c r="F766" i="26" a="1"/>
  <c r="F766" i="26"/>
  <c r="D767" i="26" a="1"/>
  <c r="D767" i="26"/>
  <c r="F767" i="26" a="1"/>
  <c r="F767" i="26"/>
  <c r="D768" i="26" a="1"/>
  <c r="D768" i="26"/>
  <c r="F768" i="26" a="1"/>
  <c r="F768" i="26"/>
  <c r="D769" i="26" a="1"/>
  <c r="D769" i="26"/>
  <c r="F769" i="26" a="1"/>
  <c r="F769" i="26"/>
  <c r="D770" i="26" a="1"/>
  <c r="D770" i="26"/>
  <c r="F770" i="26" a="1"/>
  <c r="F770" i="26"/>
  <c r="D771" i="26" a="1"/>
  <c r="D771" i="26"/>
  <c r="F771" i="26" a="1"/>
  <c r="F771" i="26"/>
  <c r="D772" i="26" a="1"/>
  <c r="D772" i="26"/>
  <c r="F772" i="26" a="1"/>
  <c r="F772" i="26"/>
  <c r="D773" i="26" a="1"/>
  <c r="D773" i="26"/>
  <c r="F773" i="26" a="1"/>
  <c r="F773" i="26"/>
  <c r="D774" i="26" a="1"/>
  <c r="D774" i="26"/>
  <c r="F774" i="26" a="1"/>
  <c r="F774" i="26"/>
  <c r="D775" i="26" a="1"/>
  <c r="D775" i="26"/>
  <c r="F775" i="26" a="1"/>
  <c r="F775" i="26"/>
  <c r="D776" i="26" a="1"/>
  <c r="D776" i="26"/>
  <c r="F776" i="26" a="1"/>
  <c r="F776" i="26"/>
  <c r="D777" i="26" a="1"/>
  <c r="D777" i="26"/>
  <c r="F777" i="26" a="1"/>
  <c r="F777" i="26"/>
  <c r="D778" i="26" a="1"/>
  <c r="D778" i="26" s="1"/>
  <c r="F778" i="26" a="1"/>
  <c r="F778" i="26" s="1"/>
  <c r="D779" i="26" a="1"/>
  <c r="D779" i="26"/>
  <c r="F779" i="26" a="1"/>
  <c r="F779" i="26" s="1"/>
  <c r="D780" i="26" a="1"/>
  <c r="D780" i="26" s="1"/>
  <c r="F780" i="26" a="1"/>
  <c r="F780" i="26"/>
  <c r="D781" i="26" a="1"/>
  <c r="D781" i="26" s="1"/>
  <c r="F781" i="26" a="1"/>
  <c r="F781" i="26" s="1"/>
  <c r="D782" i="26" a="1"/>
  <c r="D782" i="26"/>
  <c r="F782" i="26" a="1"/>
  <c r="F782" i="26" s="1"/>
  <c r="D783" i="26" a="1"/>
  <c r="D783" i="26" s="1"/>
  <c r="F783" i="26" a="1"/>
  <c r="F783" i="26"/>
  <c r="D784" i="26" a="1"/>
  <c r="D784" i="26" s="1"/>
  <c r="F784" i="26" a="1"/>
  <c r="F784" i="26" s="1"/>
  <c r="D785" i="26" a="1"/>
  <c r="D785" i="26"/>
  <c r="F785" i="26" a="1"/>
  <c r="F785" i="26" s="1"/>
  <c r="D786" i="26" a="1"/>
  <c r="D786" i="26" s="1"/>
  <c r="F786" i="26" a="1"/>
  <c r="F786" i="26"/>
  <c r="D787" i="26" a="1"/>
  <c r="D787" i="26" s="1"/>
  <c r="F787" i="26" a="1"/>
  <c r="F787" i="26" s="1"/>
  <c r="D788" i="26" a="1"/>
  <c r="D788" i="26"/>
  <c r="F788" i="26" a="1"/>
  <c r="F788" i="26" s="1"/>
  <c r="D789" i="26" a="1"/>
  <c r="D789" i="26" s="1"/>
  <c r="F789" i="26" a="1"/>
  <c r="F789" i="26"/>
  <c r="D790" i="26" a="1"/>
  <c r="D790" i="26" s="1"/>
  <c r="F790" i="26" a="1"/>
  <c r="F790" i="26" s="1"/>
  <c r="D791" i="26" a="1"/>
  <c r="D791" i="26"/>
  <c r="F791" i="26" a="1"/>
  <c r="F791" i="26" s="1"/>
  <c r="D792" i="26" a="1"/>
  <c r="D792" i="26" s="1"/>
  <c r="F792" i="26" a="1"/>
  <c r="F792" i="26"/>
  <c r="D793" i="26" a="1"/>
  <c r="D793" i="26" s="1"/>
  <c r="F793" i="26" a="1"/>
  <c r="F793" i="26" s="1"/>
  <c r="D794" i="26" a="1"/>
  <c r="D794" i="26"/>
  <c r="F794" i="26" a="1"/>
  <c r="F794" i="26" s="1"/>
  <c r="D795" i="26" a="1"/>
  <c r="D795" i="26" s="1"/>
  <c r="F795" i="26" a="1"/>
  <c r="F795" i="26"/>
  <c r="D796" i="26" a="1"/>
  <c r="D796" i="26" s="1"/>
  <c r="F796" i="26" a="1"/>
  <c r="F796" i="26" s="1"/>
  <c r="D797" i="26" a="1"/>
  <c r="D797" i="26"/>
  <c r="F797" i="26" a="1"/>
  <c r="F797" i="26" s="1"/>
  <c r="D798" i="26" a="1"/>
  <c r="D798" i="26" s="1"/>
  <c r="F798" i="26" a="1"/>
  <c r="F798" i="26"/>
  <c r="D799" i="26" a="1"/>
  <c r="D799" i="26"/>
  <c r="F799" i="26" a="1"/>
  <c r="F799" i="26" s="1"/>
  <c r="D800" i="26" a="1"/>
  <c r="D800" i="26"/>
  <c r="F800" i="26" a="1"/>
  <c r="F800" i="26" s="1"/>
  <c r="D801" i="26" a="1"/>
  <c r="D801" i="26" s="1"/>
  <c r="F801" i="26" a="1"/>
  <c r="F801" i="26"/>
  <c r="D802" i="26" a="1"/>
  <c r="D802" i="26"/>
  <c r="F802" i="26" a="1"/>
  <c r="F802" i="26" s="1"/>
  <c r="D803" i="26" a="1"/>
  <c r="D803" i="26"/>
  <c r="F803" i="26" a="1"/>
  <c r="F803" i="26" s="1"/>
  <c r="D804" i="26" a="1"/>
  <c r="D804" i="26" s="1"/>
  <c r="F804" i="26" a="1"/>
  <c r="F804" i="26"/>
  <c r="D805" i="26" a="1"/>
  <c r="D805" i="26"/>
  <c r="F805" i="26" a="1"/>
  <c r="F805" i="26" s="1"/>
  <c r="D806" i="26" a="1"/>
  <c r="D806" i="26"/>
  <c r="F806" i="26" a="1"/>
  <c r="F806" i="26" s="1"/>
  <c r="D807" i="26" a="1"/>
  <c r="D807" i="26" s="1"/>
  <c r="F807" i="26" a="1"/>
  <c r="F807" i="26"/>
  <c r="D808" i="26" a="1"/>
  <c r="D808" i="26"/>
  <c r="F808" i="26" a="1"/>
  <c r="F808" i="26" s="1"/>
  <c r="D809" i="26" a="1"/>
  <c r="D809" i="26"/>
  <c r="F809" i="26" a="1"/>
  <c r="F809" i="26" s="1"/>
  <c r="D810" i="26" a="1"/>
  <c r="D810" i="26" s="1"/>
  <c r="F810" i="26" a="1"/>
  <c r="F810" i="26"/>
  <c r="D811" i="26" a="1"/>
  <c r="D811" i="26"/>
  <c r="F811" i="26" a="1"/>
  <c r="F811" i="26" s="1"/>
  <c r="D812" i="26" a="1"/>
  <c r="D812" i="26"/>
  <c r="F812" i="26" a="1"/>
  <c r="F812" i="26" s="1"/>
  <c r="D813" i="26" a="1"/>
  <c r="D813" i="26" s="1"/>
  <c r="F813" i="26" a="1"/>
  <c r="F813" i="26"/>
  <c r="D814" i="26" a="1"/>
  <c r="D814" i="26"/>
  <c r="F814" i="26" a="1"/>
  <c r="F814" i="26" s="1"/>
  <c r="D815" i="26" a="1"/>
  <c r="D815" i="26"/>
  <c r="F815" i="26" a="1"/>
  <c r="F815" i="26" s="1"/>
  <c r="D816" i="26" a="1"/>
  <c r="D816" i="26" s="1"/>
  <c r="F816" i="26" a="1"/>
  <c r="F816" i="26"/>
  <c r="D817" i="26" a="1"/>
  <c r="D817" i="26"/>
  <c r="F817" i="26" a="1"/>
  <c r="F817" i="26" s="1"/>
  <c r="D818" i="26" a="1"/>
  <c r="D818" i="26"/>
  <c r="F818" i="26" a="1"/>
  <c r="F818" i="26" s="1"/>
  <c r="D819" i="26" a="1"/>
  <c r="D819" i="26" s="1"/>
  <c r="F819" i="26" a="1"/>
  <c r="F819" i="26"/>
  <c r="D820" i="26" a="1"/>
  <c r="D820" i="26"/>
  <c r="F820" i="26" a="1"/>
  <c r="F820" i="26" s="1"/>
  <c r="D821" i="26" a="1"/>
  <c r="D821" i="26"/>
  <c r="F821" i="26" a="1"/>
  <c r="F821" i="26" s="1"/>
  <c r="D822" i="26" a="1"/>
  <c r="D822" i="26" s="1"/>
  <c r="F822" i="26" a="1"/>
  <c r="F822" i="26"/>
  <c r="D823" i="26" a="1"/>
  <c r="D823" i="26"/>
  <c r="F823" i="26" a="1"/>
  <c r="F823" i="26" s="1"/>
  <c r="D824" i="26" a="1"/>
  <c r="D824" i="26"/>
  <c r="F824" i="26" a="1"/>
  <c r="F824" i="26" s="1"/>
  <c r="D825" i="26" a="1"/>
  <c r="D825" i="26" s="1"/>
  <c r="F825" i="26" a="1"/>
  <c r="F825" i="26"/>
  <c r="D826" i="26" a="1"/>
  <c r="D826" i="26"/>
  <c r="F826" i="26" a="1"/>
  <c r="F826" i="26" s="1"/>
  <c r="D827" i="26" a="1"/>
  <c r="D827" i="26"/>
  <c r="F827" i="26" a="1"/>
  <c r="F827" i="26" s="1"/>
  <c r="D828" i="26" a="1"/>
  <c r="D828" i="26" s="1"/>
  <c r="F828" i="26" a="1"/>
  <c r="F828" i="26"/>
  <c r="D829" i="26" a="1"/>
  <c r="D829" i="26"/>
  <c r="F829" i="26" a="1"/>
  <c r="F829" i="26" s="1"/>
  <c r="D830" i="26" a="1"/>
  <c r="D830" i="26"/>
  <c r="F830" i="26" a="1"/>
  <c r="F830" i="26" s="1"/>
  <c r="D831" i="26" a="1"/>
  <c r="D831" i="26" s="1"/>
  <c r="F831" i="26" a="1"/>
  <c r="F831" i="26"/>
  <c r="D832" i="26" a="1"/>
  <c r="D832" i="26"/>
  <c r="F832" i="26" a="1"/>
  <c r="F832" i="26" s="1"/>
  <c r="D833" i="26" a="1"/>
  <c r="D833" i="26"/>
  <c r="F833" i="26" a="1"/>
  <c r="F833" i="26" s="1"/>
  <c r="D834" i="26" a="1"/>
  <c r="D834" i="26" s="1"/>
  <c r="F834" i="26" a="1"/>
  <c r="F834" i="26"/>
  <c r="D835" i="26" a="1"/>
  <c r="D835" i="26"/>
  <c r="F835" i="26" a="1"/>
  <c r="F835" i="26" s="1"/>
  <c r="D836" i="26" a="1"/>
  <c r="D836" i="26"/>
  <c r="F836" i="26" a="1"/>
  <c r="F836" i="26" s="1"/>
  <c r="D837" i="26" a="1"/>
  <c r="D837" i="26" s="1"/>
  <c r="F837" i="26" a="1"/>
  <c r="F837" i="26"/>
  <c r="D838" i="26" a="1"/>
  <c r="D838" i="26"/>
  <c r="F838" i="26" a="1"/>
  <c r="F838" i="26" s="1"/>
  <c r="D839" i="26" a="1"/>
  <c r="D839" i="26"/>
  <c r="F839" i="26" a="1"/>
  <c r="F839" i="26" s="1"/>
  <c r="D840" i="26" a="1"/>
  <c r="D840" i="26" s="1"/>
  <c r="F840" i="26" a="1"/>
  <c r="F840" i="26"/>
  <c r="D841" i="26" a="1"/>
  <c r="D841" i="26"/>
  <c r="F841" i="26" a="1"/>
  <c r="F841" i="26" s="1"/>
  <c r="D842" i="26" a="1"/>
  <c r="D842" i="26"/>
  <c r="F842" i="26" a="1"/>
  <c r="F842" i="26" s="1"/>
  <c r="D843" i="26" a="1"/>
  <c r="D843" i="26" s="1"/>
  <c r="F843" i="26" a="1"/>
  <c r="F843" i="26"/>
  <c r="D844" i="26" a="1"/>
  <c r="D844" i="26"/>
  <c r="F844" i="26" a="1"/>
  <c r="F844" i="26" s="1"/>
  <c r="D845" i="26" a="1"/>
  <c r="D845" i="26"/>
  <c r="F845" i="26" a="1"/>
  <c r="F845" i="26" s="1"/>
  <c r="D846" i="26" a="1"/>
  <c r="D846" i="26" s="1"/>
  <c r="F846" i="26" a="1"/>
  <c r="F846" i="26"/>
  <c r="D847" i="26" a="1"/>
  <c r="D847" i="26"/>
  <c r="F847" i="26" a="1"/>
  <c r="F847" i="26" s="1"/>
  <c r="D848" i="26" a="1"/>
  <c r="D848" i="26"/>
  <c r="F848" i="26" a="1"/>
  <c r="F848" i="26" s="1"/>
  <c r="D849" i="26" a="1"/>
  <c r="D849" i="26" s="1"/>
  <c r="F849" i="26" a="1"/>
  <c r="F849" i="26"/>
  <c r="D850" i="26" a="1"/>
  <c r="D850" i="26"/>
  <c r="F850" i="26" a="1"/>
  <c r="F850" i="26" s="1"/>
  <c r="D851" i="26" a="1"/>
  <c r="D851" i="26"/>
  <c r="F851" i="26" a="1"/>
  <c r="F851" i="26" s="1"/>
  <c r="D852" i="26" a="1"/>
  <c r="D852" i="26" s="1"/>
  <c r="F852" i="26" a="1"/>
  <c r="F852" i="26"/>
  <c r="D853" i="26" a="1"/>
  <c r="D853" i="26"/>
  <c r="F853" i="26" a="1"/>
  <c r="F853" i="26" s="1"/>
  <c r="D854" i="26" a="1"/>
  <c r="D854" i="26"/>
  <c r="F854" i="26" a="1"/>
  <c r="F854" i="26" s="1"/>
  <c r="D855" i="26" a="1"/>
  <c r="D855" i="26" s="1"/>
  <c r="F855" i="26" a="1"/>
  <c r="F855" i="26"/>
  <c r="D856" i="26" a="1"/>
  <c r="D856" i="26"/>
  <c r="F856" i="26" a="1"/>
  <c r="F856" i="26" s="1"/>
  <c r="D857" i="26" a="1"/>
  <c r="D857" i="26"/>
  <c r="F857" i="26" a="1"/>
  <c r="F857" i="26" s="1"/>
  <c r="D858" i="26" a="1"/>
  <c r="D858" i="26" s="1"/>
  <c r="F858" i="26" a="1"/>
  <c r="F858" i="26"/>
  <c r="D859" i="26" a="1"/>
  <c r="D859" i="26"/>
  <c r="F859" i="26" a="1"/>
  <c r="F859" i="26" s="1"/>
  <c r="D860" i="26" a="1"/>
  <c r="D860" i="26"/>
  <c r="F860" i="26" a="1"/>
  <c r="F860" i="26" s="1"/>
  <c r="D861" i="26" a="1"/>
  <c r="D861" i="26" s="1"/>
  <c r="F861" i="26" a="1"/>
  <c r="F861" i="26"/>
  <c r="D862" i="26" a="1"/>
  <c r="D862" i="26"/>
  <c r="F862" i="26" a="1"/>
  <c r="F862" i="26" s="1"/>
  <c r="D863" i="26" a="1"/>
  <c r="D863" i="26" s="1"/>
  <c r="F863" i="26" a="1"/>
  <c r="F863" i="26" s="1"/>
  <c r="D864" i="26" a="1"/>
  <c r="D864" i="26" s="1"/>
  <c r="F864" i="26" a="1"/>
  <c r="F864" i="26"/>
  <c r="D865" i="26" a="1"/>
  <c r="D865" i="26" s="1"/>
  <c r="F865" i="26" a="1"/>
  <c r="F865" i="26" s="1"/>
  <c r="D866" i="26" a="1"/>
  <c r="D866" i="26" s="1"/>
  <c r="F866" i="26" a="1"/>
  <c r="F866" i="26" s="1"/>
  <c r="D867" i="26" a="1"/>
  <c r="D867" i="26" s="1"/>
  <c r="F867" i="26" a="1"/>
  <c r="F867" i="26"/>
  <c r="D868" i="26" a="1"/>
  <c r="D868" i="26" s="1"/>
  <c r="F868" i="26" a="1"/>
  <c r="F868" i="26" s="1"/>
  <c r="D869" i="26" a="1"/>
  <c r="D869" i="26"/>
  <c r="F869" i="26" a="1"/>
  <c r="F869" i="26" s="1"/>
  <c r="D870" i="26" a="1"/>
  <c r="D870" i="26" s="1"/>
  <c r="F870" i="26" a="1"/>
  <c r="F870" i="26" s="1"/>
  <c r="D871" i="26" a="1"/>
  <c r="D871" i="26" s="1"/>
  <c r="F871" i="26" a="1"/>
  <c r="F871" i="26" s="1"/>
  <c r="D872" i="26" a="1"/>
  <c r="D872" i="26"/>
  <c r="F872" i="26" a="1"/>
  <c r="F872" i="26" s="1"/>
  <c r="D873" i="26" a="1"/>
  <c r="D873" i="26" s="1"/>
  <c r="F873" i="26" a="1"/>
  <c r="F873" i="26"/>
  <c r="D874" i="26" a="1"/>
  <c r="D874" i="26"/>
  <c r="F874" i="26" a="1"/>
  <c r="F874" i="26" s="1"/>
  <c r="D875" i="26" a="1"/>
  <c r="D875" i="26"/>
  <c r="F875" i="26" a="1"/>
  <c r="F875" i="26" s="1"/>
  <c r="D876" i="26" a="1"/>
  <c r="D876" i="26" s="1"/>
  <c r="F876" i="26" a="1"/>
  <c r="F876" i="26" s="1"/>
  <c r="D877" i="26" a="1"/>
  <c r="D877" i="26"/>
  <c r="F877" i="26" a="1"/>
  <c r="F877" i="26" s="1"/>
  <c r="D878" i="26" a="1"/>
  <c r="D878" i="26"/>
  <c r="F878" i="26" a="1"/>
  <c r="F878" i="26"/>
  <c r="D879" i="26" a="1"/>
  <c r="D879" i="26" s="1"/>
  <c r="F879" i="26" a="1"/>
  <c r="F879" i="26"/>
  <c r="D880" i="26" a="1"/>
  <c r="D880" i="26" s="1"/>
  <c r="F880" i="26" a="1"/>
  <c r="F880" i="26" s="1"/>
  <c r="D881" i="26" a="1"/>
  <c r="D881" i="26" s="1"/>
  <c r="F881" i="26" a="1"/>
  <c r="F881" i="26"/>
  <c r="D882" i="26" a="1"/>
  <c r="D882" i="26" s="1"/>
  <c r="F882" i="26" a="1"/>
  <c r="F882" i="26"/>
  <c r="D883" i="26" a="1"/>
  <c r="D883" i="26"/>
  <c r="F883" i="26" a="1"/>
  <c r="F883" i="26" s="1"/>
  <c r="D884" i="26" a="1"/>
  <c r="D884" i="26"/>
  <c r="F884" i="26" a="1"/>
  <c r="F884" i="26" s="1"/>
  <c r="D885" i="26" a="1"/>
  <c r="D885" i="26" s="1"/>
  <c r="F885" i="26" a="1"/>
  <c r="F885" i="26" s="1"/>
  <c r="D886" i="26" a="1"/>
  <c r="D886" i="26"/>
  <c r="F886" i="26" a="1"/>
  <c r="F886" i="26" s="1"/>
  <c r="D887" i="26" a="1"/>
  <c r="D887" i="26"/>
  <c r="F887" i="26" a="1"/>
  <c r="F887" i="26"/>
  <c r="D888" i="26" a="1"/>
  <c r="D888" i="26" s="1"/>
  <c r="F888" i="26" a="1"/>
  <c r="F888" i="26"/>
  <c r="D889" i="26" a="1"/>
  <c r="D889" i="26" s="1"/>
  <c r="F889" i="26" a="1"/>
  <c r="F889" i="26" s="1"/>
  <c r="D890" i="26" a="1"/>
  <c r="D890" i="26" s="1"/>
  <c r="F890" i="26" a="1"/>
  <c r="F890" i="26"/>
  <c r="D891" i="26" a="1"/>
  <c r="D891" i="26" s="1"/>
  <c r="F891" i="26" a="1"/>
  <c r="F891" i="26"/>
  <c r="D892" i="26" a="1"/>
  <c r="D892" i="26"/>
  <c r="F892" i="26" a="1"/>
  <c r="F892" i="26" s="1"/>
  <c r="D893" i="26" a="1"/>
  <c r="D893" i="26"/>
  <c r="F893" i="26" a="1"/>
  <c r="F893" i="26" s="1"/>
  <c r="D894" i="26" a="1"/>
  <c r="D894" i="26" s="1"/>
  <c r="F894" i="26" a="1"/>
  <c r="F894" i="26" s="1"/>
  <c r="D895" i="26" a="1"/>
  <c r="D895" i="26"/>
  <c r="F895" i="26" a="1"/>
  <c r="F895" i="26" s="1"/>
  <c r="D896" i="26" a="1"/>
  <c r="D896" i="26"/>
  <c r="F896" i="26" a="1"/>
  <c r="F896" i="26"/>
  <c r="D897" i="26" a="1"/>
  <c r="D897" i="26" s="1"/>
  <c r="F897" i="26" a="1"/>
  <c r="F897" i="26"/>
  <c r="D898" i="26" a="1"/>
  <c r="D898" i="26" s="1"/>
  <c r="F898" i="26" a="1"/>
  <c r="F898" i="26" s="1"/>
  <c r="D899" i="26" a="1"/>
  <c r="D899" i="26" s="1"/>
  <c r="F899" i="26" a="1"/>
  <c r="F899" i="26"/>
  <c r="D900" i="26" a="1"/>
  <c r="D900" i="26" s="1"/>
  <c r="F900" i="26" a="1"/>
  <c r="F900" i="26"/>
  <c r="D901" i="26" a="1"/>
  <c r="D901" i="26"/>
  <c r="F901" i="26" a="1"/>
  <c r="F901" i="26" s="1"/>
  <c r="D902" i="26" a="1"/>
  <c r="D902" i="26"/>
  <c r="F902" i="26" a="1"/>
  <c r="F902" i="26" s="1"/>
  <c r="D903" i="26" a="1"/>
  <c r="D903" i="26" s="1"/>
  <c r="F903" i="26" a="1"/>
  <c r="F903" i="26" s="1"/>
  <c r="D904" i="26" a="1"/>
  <c r="D904" i="26"/>
  <c r="F904" i="26" a="1"/>
  <c r="F904" i="26" s="1"/>
  <c r="D905" i="26" a="1"/>
  <c r="D905" i="26"/>
  <c r="F905" i="26" a="1"/>
  <c r="F905" i="26"/>
  <c r="D906" i="26" a="1"/>
  <c r="D906" i="26" s="1"/>
  <c r="F906" i="26" a="1"/>
  <c r="F906" i="26"/>
  <c r="D907" i="26" a="1"/>
  <c r="D907" i="26" s="1"/>
  <c r="F907" i="26" a="1"/>
  <c r="F907" i="26" s="1"/>
  <c r="D908" i="26" a="1"/>
  <c r="D908" i="26" s="1"/>
  <c r="F908" i="26" a="1"/>
  <c r="F908" i="26"/>
  <c r="D909" i="26" a="1"/>
  <c r="D909" i="26" s="1"/>
  <c r="F909" i="26" a="1"/>
  <c r="F909" i="26"/>
  <c r="D910" i="26" a="1"/>
  <c r="D910" i="26"/>
  <c r="F910" i="26" a="1"/>
  <c r="F910" i="26" s="1"/>
  <c r="D911" i="26" a="1"/>
  <c r="D911" i="26"/>
  <c r="F911" i="26" a="1"/>
  <c r="F911" i="26" s="1"/>
  <c r="D912" i="26" a="1"/>
  <c r="D912" i="26" s="1"/>
  <c r="F912" i="26" a="1"/>
  <c r="F912" i="26" s="1"/>
  <c r="D913" i="26" a="1"/>
  <c r="D913" i="26"/>
  <c r="F913" i="26" a="1"/>
  <c r="F913" i="26" s="1"/>
  <c r="D914" i="26" a="1"/>
  <c r="D914" i="26"/>
  <c r="F914" i="26" a="1"/>
  <c r="F914" i="26"/>
  <c r="D915" i="26" a="1"/>
  <c r="D915" i="26" s="1"/>
  <c r="F915" i="26" a="1"/>
  <c r="F915" i="26" s="1"/>
  <c r="D916" i="26" a="1"/>
  <c r="D916" i="26" s="1"/>
  <c r="F916" i="26" a="1"/>
  <c r="F916" i="26" s="1"/>
  <c r="D917" i="26" a="1"/>
  <c r="D917" i="26"/>
  <c r="F917" i="26" a="1"/>
  <c r="F917" i="26" s="1"/>
  <c r="D918" i="26" a="1"/>
  <c r="D918" i="26" s="1"/>
  <c r="F918" i="26" a="1"/>
  <c r="F918" i="26" s="1"/>
  <c r="D919" i="26" a="1"/>
  <c r="D919" i="26" s="1"/>
  <c r="F919" i="26" a="1"/>
  <c r="F919" i="26" s="1"/>
  <c r="D920" i="26" a="1"/>
  <c r="D920" i="26" s="1"/>
  <c r="F920" i="26" a="1"/>
  <c r="F920" i="26"/>
  <c r="D921" i="26" a="1"/>
  <c r="D921" i="26" s="1"/>
  <c r="F921" i="26" a="1"/>
  <c r="F921" i="26" s="1"/>
  <c r="D922" i="26" a="1"/>
  <c r="D922" i="26" s="1"/>
  <c r="F922" i="26" a="1"/>
  <c r="F922" i="26" s="1"/>
  <c r="D923" i="26" a="1"/>
  <c r="D923" i="26"/>
  <c r="F923" i="26" a="1"/>
  <c r="F923" i="26"/>
  <c r="D924" i="26" a="1"/>
  <c r="D924" i="26" s="1"/>
  <c r="F924" i="26" a="1"/>
  <c r="F924" i="26" s="1"/>
  <c r="D925" i="26" a="1"/>
  <c r="D925" i="26" s="1"/>
  <c r="F925" i="26" a="1"/>
  <c r="F925" i="26" s="1"/>
  <c r="D926" i="26" a="1"/>
  <c r="D926" i="26"/>
  <c r="F926" i="26" a="1"/>
  <c r="F926" i="26" s="1"/>
  <c r="D927" i="26" a="1"/>
  <c r="D927" i="26" s="1"/>
  <c r="F927" i="26" a="1"/>
  <c r="F927" i="26" s="1"/>
  <c r="D928" i="26" a="1"/>
  <c r="D928" i="26" s="1"/>
  <c r="F928" i="26" a="1"/>
  <c r="F928" i="26" s="1"/>
  <c r="D929" i="26" a="1"/>
  <c r="D929" i="26" s="1"/>
  <c r="F929" i="26" a="1"/>
  <c r="F929" i="26"/>
  <c r="D930" i="26" a="1"/>
  <c r="D930" i="26" s="1"/>
  <c r="F930" i="26" a="1"/>
  <c r="F930" i="26" s="1"/>
  <c r="D931" i="26" a="1"/>
  <c r="D931" i="26" s="1"/>
  <c r="F931" i="26" a="1"/>
  <c r="F931" i="26" s="1"/>
  <c r="D932" i="26" a="1"/>
  <c r="D932" i="26"/>
  <c r="F932" i="26" a="1"/>
  <c r="F932" i="26"/>
  <c r="D933" i="26" a="1"/>
  <c r="D933" i="26" s="1"/>
  <c r="F933" i="26" a="1"/>
  <c r="F933" i="26" s="1"/>
  <c r="D934" i="26" a="1"/>
  <c r="D934" i="26" s="1"/>
  <c r="F934" i="26" a="1"/>
  <c r="F934" i="26" s="1"/>
  <c r="D935" i="26" a="1"/>
  <c r="D935" i="26" s="1"/>
  <c r="F935" i="26" a="1"/>
  <c r="F935" i="26" s="1"/>
  <c r="D936" i="26" a="1"/>
  <c r="D936" i="26"/>
  <c r="F936" i="26" a="1"/>
  <c r="F936" i="26" s="1"/>
  <c r="D937" i="26" a="1"/>
  <c r="D937" i="26" s="1"/>
  <c r="F937" i="26" a="1"/>
  <c r="F937" i="26"/>
  <c r="D938" i="26" a="1"/>
  <c r="D938" i="26"/>
  <c r="F938" i="26" a="1"/>
  <c r="F938" i="26" s="1"/>
  <c r="D939" i="26" a="1"/>
  <c r="D939" i="26"/>
  <c r="F939" i="26" a="1"/>
  <c r="F939" i="26" s="1"/>
  <c r="D940" i="26" a="1"/>
  <c r="D940" i="26" s="1"/>
  <c r="F940" i="26" a="1"/>
  <c r="F940" i="26" s="1"/>
  <c r="D941" i="26" a="1"/>
  <c r="D941" i="26" s="1"/>
  <c r="F941" i="26" a="1"/>
  <c r="F941" i="26"/>
  <c r="D942" i="26" a="1"/>
  <c r="D942" i="26" s="1"/>
  <c r="F942" i="26" a="1"/>
  <c r="F942" i="26" s="1"/>
  <c r="D943" i="26" a="1"/>
  <c r="D943" i="26" s="1"/>
  <c r="F943" i="26" a="1"/>
  <c r="F943" i="26"/>
  <c r="D944" i="26" a="1"/>
  <c r="D944" i="26" s="1"/>
  <c r="F944" i="26" a="1"/>
  <c r="F944" i="26"/>
  <c r="D945" i="26" a="1"/>
  <c r="D945" i="26" s="1"/>
  <c r="F945" i="26" a="1"/>
  <c r="F945" i="26" s="1"/>
  <c r="D946" i="26" a="1"/>
  <c r="D946" i="26" s="1"/>
  <c r="F946" i="26" a="1"/>
  <c r="F946" i="26" s="1"/>
  <c r="D947" i="26" a="1"/>
  <c r="D947" i="26" s="1"/>
  <c r="F947" i="26" a="1"/>
  <c r="F947" i="26" s="1"/>
  <c r="D948" i="26" a="1"/>
  <c r="D948" i="26" s="1"/>
  <c r="F948" i="26" a="1"/>
  <c r="F948" i="26" s="1"/>
  <c r="D949" i="26" a="1"/>
  <c r="D949" i="26" s="1"/>
  <c r="F949" i="26" a="1"/>
  <c r="F949" i="26" s="1"/>
  <c r="D950" i="26" a="1"/>
  <c r="D950" i="26" s="1"/>
  <c r="F950" i="26" a="1"/>
  <c r="F950" i="26" s="1"/>
  <c r="D951" i="26" a="1"/>
  <c r="D951" i="26" s="1"/>
  <c r="F951" i="26" a="1"/>
  <c r="F951" i="26" s="1"/>
  <c r="D952" i="26" a="1"/>
  <c r="D952" i="26" s="1"/>
  <c r="F952" i="26" a="1"/>
  <c r="F952" i="26"/>
  <c r="D953" i="26" a="1"/>
  <c r="D953" i="26" s="1"/>
  <c r="F953" i="26" a="1"/>
  <c r="F953" i="26" s="1"/>
  <c r="D954" i="26" a="1"/>
  <c r="D954" i="26" s="1"/>
  <c r="F954" i="26" a="1"/>
  <c r="F954" i="26" s="1"/>
  <c r="D955" i="26" a="1"/>
  <c r="D955" i="26" s="1"/>
  <c r="F955" i="26" a="1"/>
  <c r="F955" i="26"/>
  <c r="D956" i="26" a="1"/>
  <c r="D956" i="26" s="1"/>
  <c r="F956" i="26" a="1"/>
  <c r="F956" i="26" s="1"/>
  <c r="D957" i="26" a="1"/>
  <c r="D957" i="26" s="1"/>
  <c r="F957" i="26" a="1"/>
  <c r="F957" i="26" s="1"/>
  <c r="D958" i="26" a="1"/>
  <c r="D958" i="26" s="1"/>
  <c r="F958" i="26" a="1"/>
  <c r="F958" i="26" s="1"/>
  <c r="D959" i="26" a="1"/>
  <c r="D959" i="26" s="1"/>
  <c r="F959" i="26" a="1"/>
  <c r="F959" i="26" s="1"/>
  <c r="D960" i="26" a="1"/>
  <c r="D960" i="26" s="1"/>
  <c r="F960" i="26" a="1"/>
  <c r="F960" i="26" s="1"/>
  <c r="D961" i="26" a="1"/>
  <c r="D961" i="26" s="1"/>
  <c r="F961" i="26" a="1"/>
  <c r="F961" i="26" s="1"/>
  <c r="D962" i="26" a="1"/>
  <c r="D962" i="26" s="1"/>
  <c r="F962" i="26" a="1"/>
  <c r="F962" i="26" s="1"/>
  <c r="D963" i="26" a="1"/>
  <c r="D963" i="26" s="1"/>
  <c r="F963" i="26" a="1"/>
  <c r="F963" i="26" s="1"/>
  <c r="D964" i="26" a="1"/>
  <c r="D964" i="26" s="1"/>
  <c r="F964" i="26" a="1"/>
  <c r="F964" i="26" s="1"/>
  <c r="D965" i="26" a="1"/>
  <c r="D965" i="26" s="1"/>
  <c r="F965" i="26" a="1"/>
  <c r="F965" i="26" s="1"/>
  <c r="D966" i="26" a="1"/>
  <c r="D966" i="26" s="1"/>
  <c r="F966" i="26" a="1"/>
  <c r="F966" i="26" s="1"/>
  <c r="D967" i="26" a="1"/>
  <c r="D967" i="26" s="1"/>
  <c r="F967" i="26" a="1"/>
  <c r="F967" i="26" s="1"/>
  <c r="D968" i="26" a="1"/>
  <c r="D968" i="26" s="1"/>
  <c r="F968" i="26" a="1"/>
  <c r="F968" i="26" s="1"/>
  <c r="D969" i="26" a="1"/>
  <c r="D969" i="26" s="1"/>
  <c r="F969" i="26" a="1"/>
  <c r="F969" i="26" s="1"/>
  <c r="D970" i="26" a="1"/>
  <c r="D970" i="26" s="1"/>
  <c r="F970" i="26" a="1"/>
  <c r="F970" i="26" s="1"/>
  <c r="D971" i="26" a="1"/>
  <c r="D971" i="26" s="1"/>
  <c r="F971" i="26" a="1"/>
  <c r="F971" i="26" s="1"/>
  <c r="D972" i="26" a="1"/>
  <c r="D972" i="26" s="1"/>
  <c r="F972" i="26" a="1"/>
  <c r="F972" i="26" s="1"/>
  <c r="D973" i="26" a="1"/>
  <c r="D973" i="26" s="1"/>
  <c r="F973" i="26" a="1"/>
  <c r="F973" i="26" s="1"/>
  <c r="D974" i="26" a="1"/>
  <c r="D974" i="26" s="1"/>
  <c r="F974" i="26" a="1"/>
  <c r="F974" i="26" s="1"/>
  <c r="D975" i="26" a="1"/>
  <c r="D975" i="26" s="1"/>
  <c r="F975" i="26" a="1"/>
  <c r="F975" i="26" s="1"/>
  <c r="D976" i="26" a="1"/>
  <c r="D976" i="26" s="1"/>
  <c r="F976" i="26" a="1"/>
  <c r="F976" i="26" s="1"/>
  <c r="D977" i="26" a="1"/>
  <c r="D977" i="26" s="1"/>
  <c r="F977" i="26" a="1"/>
  <c r="F977" i="26" s="1"/>
  <c r="D978" i="26" a="1"/>
  <c r="D978" i="26"/>
  <c r="F978" i="26" a="1"/>
  <c r="F978" i="26" s="1"/>
  <c r="D979" i="26" a="1"/>
  <c r="D979" i="26" s="1"/>
  <c r="F979" i="26" a="1"/>
  <c r="F979" i="26" s="1"/>
  <c r="D980" i="26" a="1"/>
  <c r="D980" i="26" s="1"/>
  <c r="F980" i="26" a="1"/>
  <c r="F980" i="26" s="1"/>
  <c r="D981" i="26" a="1"/>
  <c r="D981" i="26" s="1"/>
  <c r="F981" i="26" a="1"/>
  <c r="F981" i="26" s="1"/>
  <c r="D982" i="26" a="1"/>
  <c r="D982" i="26" s="1"/>
  <c r="F982" i="26" a="1"/>
  <c r="F982" i="26" s="1"/>
  <c r="D983" i="26" a="1"/>
  <c r="D983" i="26" s="1"/>
  <c r="F983" i="26" a="1"/>
  <c r="F983" i="26" s="1"/>
  <c r="D984" i="26" a="1"/>
  <c r="D984" i="26" s="1"/>
  <c r="F984" i="26" a="1"/>
  <c r="F984" i="26" s="1"/>
  <c r="D985" i="26" a="1"/>
  <c r="D985" i="26" s="1"/>
  <c r="F985" i="26" a="1"/>
  <c r="F985" i="26" s="1"/>
  <c r="D986" i="26" a="1"/>
  <c r="D986" i="26" s="1"/>
  <c r="F986" i="26" a="1"/>
  <c r="F986" i="26" s="1"/>
  <c r="D987" i="26" a="1"/>
  <c r="D987" i="26" s="1"/>
  <c r="F987" i="26" a="1"/>
  <c r="F987" i="26" s="1"/>
  <c r="D988" i="26" a="1"/>
  <c r="D988" i="26" s="1"/>
  <c r="F988" i="26" a="1"/>
  <c r="F988" i="26" s="1"/>
  <c r="D989" i="26" a="1"/>
  <c r="D989" i="26" s="1"/>
  <c r="F989" i="26" a="1"/>
  <c r="F989" i="26" s="1"/>
  <c r="D990" i="26" a="1"/>
  <c r="D990" i="26" s="1"/>
  <c r="F990" i="26" a="1"/>
  <c r="F990" i="26" s="1"/>
  <c r="D991" i="26" a="1"/>
  <c r="D991" i="26" s="1"/>
  <c r="F991" i="26" a="1"/>
  <c r="F991" i="26" s="1"/>
  <c r="D992" i="26" a="1"/>
  <c r="D992" i="26" s="1"/>
  <c r="F992" i="26" a="1"/>
  <c r="F992" i="26" s="1"/>
  <c r="D993" i="26" a="1"/>
  <c r="D993" i="26" s="1"/>
  <c r="F993" i="26" a="1"/>
  <c r="F993" i="26" s="1"/>
  <c r="D994" i="26" a="1"/>
  <c r="D994" i="26" s="1"/>
  <c r="F994" i="26" a="1"/>
  <c r="F994" i="26" s="1"/>
  <c r="D995" i="26" a="1"/>
  <c r="D995" i="26" s="1"/>
  <c r="F995" i="26" a="1"/>
  <c r="F995" i="26" s="1"/>
  <c r="D996" i="26" a="1"/>
  <c r="D996" i="26" s="1"/>
  <c r="F996" i="26" a="1"/>
  <c r="F996" i="26" s="1"/>
  <c r="D997" i="26" a="1"/>
  <c r="D997" i="26" s="1"/>
  <c r="F997" i="26" a="1"/>
  <c r="F997" i="26" s="1"/>
  <c r="D998" i="26" a="1"/>
  <c r="D998" i="26" s="1"/>
  <c r="F998" i="26" a="1"/>
  <c r="F998" i="26" s="1"/>
  <c r="D999" i="26" a="1"/>
  <c r="D999" i="26" s="1"/>
  <c r="F999" i="26" a="1"/>
  <c r="F999" i="26" s="1"/>
  <c r="D1000" i="26" a="1"/>
  <c r="D1000" i="26" s="1"/>
  <c r="F1000" i="26" a="1"/>
  <c r="F1000" i="26"/>
  <c r="D1001" i="26" a="1"/>
  <c r="D1001" i="26" s="1"/>
  <c r="F1001" i="26" a="1"/>
  <c r="F1001" i="26"/>
  <c r="D1002" i="26" a="1"/>
  <c r="D1002" i="26" s="1"/>
  <c r="F1002" i="26" a="1"/>
  <c r="F1002" i="26" s="1"/>
  <c r="D1003" i="26" a="1"/>
  <c r="D1003" i="26" s="1"/>
  <c r="F1003" i="26" a="1"/>
  <c r="F1003" i="26" s="1"/>
  <c r="D1004" i="26" a="1"/>
  <c r="D1004" i="26" s="1"/>
  <c r="F1004" i="26" a="1"/>
  <c r="F1004" i="26" s="1"/>
  <c r="D1005" i="26" a="1"/>
  <c r="D1005" i="26" s="1"/>
  <c r="F1005" i="26" a="1"/>
  <c r="F1005" i="26" s="1"/>
  <c r="D1006" i="26" a="1"/>
  <c r="D1006" i="26" s="1"/>
  <c r="F1006" i="26" a="1"/>
  <c r="F1006" i="26" s="1"/>
  <c r="D1007" i="26" a="1"/>
  <c r="D1007" i="26" s="1"/>
  <c r="F1007" i="26" a="1"/>
  <c r="F1007" i="26" s="1"/>
  <c r="D1008" i="26" a="1"/>
  <c r="D1008" i="26"/>
  <c r="F1008" i="26" a="1"/>
  <c r="F1008" i="26" s="1"/>
  <c r="D1009" i="26" a="1"/>
  <c r="D1009" i="26" s="1"/>
  <c r="F1009" i="26" a="1"/>
  <c r="F1009" i="26" s="1"/>
  <c r="D1010" i="26" a="1"/>
  <c r="D1010" i="26" s="1"/>
  <c r="F1010" i="26" a="1"/>
  <c r="F1010" i="26" s="1"/>
  <c r="D1011" i="26" a="1"/>
  <c r="D1011" i="26" s="1"/>
  <c r="F1011" i="26" a="1"/>
  <c r="F1011" i="26" s="1"/>
  <c r="D1012" i="26" a="1"/>
  <c r="D1012" i="26" s="1"/>
  <c r="F1012" i="26" a="1"/>
  <c r="F1012" i="26" s="1"/>
  <c r="D1013" i="26" a="1"/>
  <c r="D1013" i="26" s="1"/>
  <c r="F1013" i="26" a="1"/>
  <c r="F1013" i="26" s="1"/>
  <c r="D1014" i="26" a="1"/>
  <c r="D1014" i="26" s="1"/>
  <c r="F1014" i="26" a="1"/>
  <c r="F1014" i="26" s="1"/>
  <c r="D1015" i="26" a="1"/>
  <c r="D1015" i="26" s="1"/>
  <c r="F1015" i="26" a="1"/>
  <c r="F1015" i="26" s="1"/>
  <c r="D1016" i="26" a="1"/>
  <c r="D1016" i="26" s="1"/>
  <c r="F1016" i="26" a="1"/>
  <c r="F1016" i="26" s="1"/>
  <c r="D1017" i="26" a="1"/>
  <c r="D1017" i="26" s="1"/>
  <c r="F1017" i="26" a="1"/>
  <c r="F1017" i="26" s="1"/>
  <c r="D1018" i="26" a="1"/>
  <c r="D1018" i="26" s="1"/>
  <c r="F1018" i="26" a="1"/>
  <c r="F1018" i="26" s="1"/>
  <c r="D1019" i="26" a="1"/>
  <c r="D1019" i="26" s="1"/>
  <c r="F1019" i="26" a="1"/>
  <c r="F1019" i="26" s="1"/>
  <c r="D1020" i="26" a="1"/>
  <c r="D1020" i="26" s="1"/>
  <c r="F1020" i="26" a="1"/>
  <c r="F1020" i="26" s="1"/>
  <c r="D1021" i="26" a="1"/>
  <c r="D1021" i="26" s="1"/>
  <c r="F1021" i="26" a="1"/>
  <c r="F1021" i="26" s="1"/>
  <c r="D1022" i="26" a="1"/>
  <c r="D1022" i="26" s="1"/>
  <c r="F1022" i="26" a="1"/>
  <c r="F1022" i="26" s="1"/>
  <c r="D1023" i="26" a="1"/>
  <c r="D1023" i="26" s="1"/>
  <c r="F1023" i="26" a="1"/>
  <c r="F1023" i="26" s="1"/>
  <c r="D1024" i="26" a="1"/>
  <c r="D1024" i="26" s="1"/>
  <c r="F1024" i="26" a="1"/>
  <c r="F1024" i="26" s="1"/>
  <c r="D1025" i="26" a="1"/>
  <c r="D1025" i="26" s="1"/>
  <c r="F1025" i="26" a="1"/>
  <c r="F1025" i="26" s="1"/>
  <c r="D1026" i="26" a="1"/>
  <c r="D1026" i="26" s="1"/>
  <c r="F1026" i="26" a="1"/>
  <c r="F1026" i="26" s="1"/>
  <c r="D1027" i="26" a="1"/>
  <c r="D1027" i="26" s="1"/>
  <c r="F1027" i="26" a="1"/>
  <c r="F1027" i="26" s="1"/>
  <c r="D1028" i="26" a="1"/>
  <c r="D1028" i="26" s="1"/>
  <c r="F1028" i="26" a="1"/>
  <c r="F1028" i="26" s="1"/>
  <c r="D1029" i="26" a="1"/>
  <c r="D1029" i="26"/>
  <c r="F1029" i="26" a="1"/>
  <c r="F1029" i="26" s="1"/>
  <c r="D1030" i="26" a="1"/>
  <c r="D1030" i="26" s="1"/>
  <c r="F1030" i="26" a="1"/>
  <c r="F1030" i="26" s="1"/>
  <c r="D1031" i="26" a="1"/>
  <c r="D1031" i="26" s="1"/>
  <c r="F1031" i="26" a="1"/>
  <c r="F1031" i="26"/>
  <c r="D1032" i="26" a="1"/>
  <c r="D1032" i="26" s="1"/>
  <c r="F1032" i="26" a="1"/>
  <c r="F1032" i="26" s="1"/>
  <c r="D1033" i="26" a="1"/>
  <c r="D1033" i="26" s="1"/>
  <c r="F1033" i="26" a="1"/>
  <c r="F1033" i="26" s="1"/>
  <c r="D1034" i="26" a="1"/>
  <c r="D1034" i="26" s="1"/>
  <c r="F1034" i="26" a="1"/>
  <c r="F1034" i="26" s="1"/>
  <c r="D1035" i="26" a="1"/>
  <c r="D1035" i="26" s="1"/>
  <c r="F1035" i="26" a="1"/>
  <c r="F1035" i="26" s="1"/>
  <c r="D1036" i="26" a="1"/>
  <c r="D1036" i="26" s="1"/>
  <c r="F1036" i="26" a="1"/>
  <c r="F1036" i="26" s="1"/>
  <c r="D1037" i="26" a="1"/>
  <c r="D1037" i="26" s="1"/>
  <c r="F1037" i="26" a="1"/>
  <c r="F1037" i="26" s="1"/>
  <c r="D1038" i="26" a="1"/>
  <c r="D1038" i="26" s="1"/>
  <c r="F1038" i="26" a="1"/>
  <c r="F1038" i="26" s="1"/>
  <c r="D1039" i="26" a="1"/>
  <c r="D1039" i="26" s="1"/>
  <c r="F1039" i="26" a="1"/>
  <c r="F1039" i="26" s="1"/>
  <c r="D1040" i="26" a="1"/>
  <c r="D1040" i="26" s="1"/>
  <c r="F1040" i="26" a="1"/>
  <c r="F1040" i="26" s="1"/>
  <c r="D1041" i="26" a="1"/>
  <c r="D1041" i="26" s="1"/>
  <c r="F1041" i="26" a="1"/>
  <c r="F1041" i="26" s="1"/>
  <c r="D1042" i="26" a="1"/>
  <c r="D1042" i="26" s="1"/>
  <c r="F1042" i="26" a="1"/>
  <c r="F1042" i="26" s="1"/>
  <c r="D1043" i="26" a="1"/>
  <c r="D1043" i="26" s="1"/>
  <c r="F1043" i="26" a="1"/>
  <c r="F1043" i="26" s="1"/>
  <c r="F46" i="26" a="1"/>
  <c r="F46" i="26" s="1"/>
  <c r="D46" i="26" a="1"/>
  <c r="D46" i="26" s="1"/>
  <c r="B46" i="26" s="1"/>
  <c r="F45" i="26" a="1"/>
  <c r="F45" i="26" s="1"/>
  <c r="D45" i="26" a="1"/>
  <c r="D45" i="26" s="1"/>
  <c r="B45" i="26" s="1"/>
  <c r="D1001" i="33" a="1"/>
  <c r="D1001" i="33"/>
  <c r="F1001" i="33" a="1"/>
  <c r="F1001" i="33"/>
  <c r="D1002" i="33" a="1"/>
  <c r="D1002" i="33"/>
  <c r="F1002" i="33" a="1"/>
  <c r="F1002" i="33"/>
  <c r="D6" i="33" a="1"/>
  <c r="D6" i="33"/>
  <c r="F6" i="33" a="1"/>
  <c r="F6" i="33"/>
  <c r="D7" i="33" a="1"/>
  <c r="D7" i="33"/>
  <c r="F7" i="33" a="1"/>
  <c r="F7" i="33"/>
  <c r="D8" i="33" a="1"/>
  <c r="D8" i="33"/>
  <c r="F8" i="33" a="1"/>
  <c r="F8" i="33"/>
  <c r="D9" i="33" a="1"/>
  <c r="D9" i="33"/>
  <c r="F9" i="33" a="1"/>
  <c r="F9" i="33"/>
  <c r="D10" i="33" a="1"/>
  <c r="D10" i="33"/>
  <c r="F10" i="33" a="1"/>
  <c r="F10" i="33"/>
  <c r="D11" i="33" a="1"/>
  <c r="D11" i="33"/>
  <c r="F11" i="33" a="1"/>
  <c r="F11" i="33"/>
  <c r="D12" i="33" a="1"/>
  <c r="D12" i="33"/>
  <c r="F12" i="33" a="1"/>
  <c r="F12" i="33"/>
  <c r="D13" i="33" a="1"/>
  <c r="D13" i="33"/>
  <c r="F13" i="33" a="1"/>
  <c r="F13" i="33"/>
  <c r="D14" i="33" a="1"/>
  <c r="D14" i="33"/>
  <c r="F14" i="33" a="1"/>
  <c r="F14" i="33"/>
  <c r="D15" i="33" a="1"/>
  <c r="D15" i="33"/>
  <c r="F15" i="33" a="1"/>
  <c r="F15" i="33"/>
  <c r="D16" i="33" a="1"/>
  <c r="D16" i="33"/>
  <c r="F16" i="33" a="1"/>
  <c r="F16" i="33"/>
  <c r="D17" i="33" a="1"/>
  <c r="D17" i="33"/>
  <c r="F17" i="33" a="1"/>
  <c r="F17" i="33"/>
  <c r="D18" i="33" a="1"/>
  <c r="D18" i="33"/>
  <c r="F18" i="33" a="1"/>
  <c r="F18" i="33"/>
  <c r="D19" i="33" a="1"/>
  <c r="D19" i="33"/>
  <c r="F19" i="33" a="1"/>
  <c r="F19" i="33"/>
  <c r="D20" i="33" a="1"/>
  <c r="D20" i="33"/>
  <c r="F20" i="33" a="1"/>
  <c r="F20" i="33"/>
  <c r="D21" i="33" a="1"/>
  <c r="D21" i="33"/>
  <c r="F21" i="33" a="1"/>
  <c r="F21" i="33"/>
  <c r="D22" i="33" a="1"/>
  <c r="D22" i="33"/>
  <c r="F22" i="33" a="1"/>
  <c r="F22" i="33"/>
  <c r="D23" i="33" a="1"/>
  <c r="D23" i="33"/>
  <c r="F23" i="33" a="1"/>
  <c r="F23" i="33"/>
  <c r="D24" i="33" a="1"/>
  <c r="D24" i="33"/>
  <c r="F24" i="33" a="1"/>
  <c r="F24" i="33"/>
  <c r="D25" i="33" a="1"/>
  <c r="D25" i="33"/>
  <c r="F25" i="33" a="1"/>
  <c r="F25" i="33"/>
  <c r="D26" i="33" a="1"/>
  <c r="D26" i="33"/>
  <c r="F26" i="33" a="1"/>
  <c r="F26" i="33"/>
  <c r="D27" i="33" a="1"/>
  <c r="D27" i="33"/>
  <c r="F27" i="33" a="1"/>
  <c r="F27" i="33"/>
  <c r="D28" i="33" a="1"/>
  <c r="D28" i="33"/>
  <c r="F28" i="33" a="1"/>
  <c r="F28" i="33"/>
  <c r="D29" i="33" a="1"/>
  <c r="D29" i="33"/>
  <c r="F29" i="33" a="1"/>
  <c r="F29" i="33"/>
  <c r="D30" i="33" a="1"/>
  <c r="D30" i="33"/>
  <c r="F30" i="33" a="1"/>
  <c r="F30" i="33"/>
  <c r="D31" i="33" a="1"/>
  <c r="D31" i="33"/>
  <c r="F31" i="33" a="1"/>
  <c r="F31" i="33"/>
  <c r="D32" i="33" a="1"/>
  <c r="D32" i="33"/>
  <c r="F32" i="33" a="1"/>
  <c r="F32" i="33"/>
  <c r="D33" i="33" a="1"/>
  <c r="D33" i="33"/>
  <c r="F33" i="33" a="1"/>
  <c r="F33" i="33"/>
  <c r="D34" i="33" a="1"/>
  <c r="D34" i="33"/>
  <c r="F34" i="33" a="1"/>
  <c r="F34" i="33"/>
  <c r="D35" i="33" a="1"/>
  <c r="D35" i="33"/>
  <c r="F35" i="33" a="1"/>
  <c r="F35" i="33"/>
  <c r="D36" i="33" a="1"/>
  <c r="D36" i="33"/>
  <c r="F36" i="33" a="1"/>
  <c r="F36" i="33"/>
  <c r="D37" i="33" a="1"/>
  <c r="D37" i="33"/>
  <c r="F37" i="33" a="1"/>
  <c r="F37" i="33"/>
  <c r="D38" i="33" a="1"/>
  <c r="D38" i="33"/>
  <c r="F38" i="33" a="1"/>
  <c r="F38" i="33"/>
  <c r="D39" i="33" a="1"/>
  <c r="D39" i="33"/>
  <c r="F39" i="33" a="1"/>
  <c r="F39" i="33"/>
  <c r="D40" i="33" a="1"/>
  <c r="D40" i="33"/>
  <c r="F40" i="33" a="1"/>
  <c r="F40" i="33"/>
  <c r="D41" i="33" a="1"/>
  <c r="D41" i="33"/>
  <c r="F41" i="33" a="1"/>
  <c r="F41" i="33"/>
  <c r="D42" i="33" a="1"/>
  <c r="D42" i="33"/>
  <c r="F42" i="33" a="1"/>
  <c r="F42" i="33"/>
  <c r="D43" i="33" a="1"/>
  <c r="D43" i="33"/>
  <c r="F43" i="33" a="1"/>
  <c r="F43" i="33"/>
  <c r="D44" i="33" a="1"/>
  <c r="D44" i="33"/>
  <c r="F44" i="33" a="1"/>
  <c r="F44" i="33"/>
  <c r="D45" i="33" a="1"/>
  <c r="D45" i="33"/>
  <c r="F45" i="33" a="1"/>
  <c r="F45" i="33"/>
  <c r="D46" i="33" a="1"/>
  <c r="D46" i="33"/>
  <c r="F46" i="33" a="1"/>
  <c r="F46" i="33"/>
  <c r="D47" i="33" a="1"/>
  <c r="D47" i="33"/>
  <c r="F47" i="33" a="1"/>
  <c r="F47" i="33"/>
  <c r="D48" i="33" a="1"/>
  <c r="D48" i="33"/>
  <c r="F48" i="33" a="1"/>
  <c r="F48" i="33"/>
  <c r="D49" i="33" a="1"/>
  <c r="D49" i="33"/>
  <c r="F49" i="33" a="1"/>
  <c r="F49" i="33"/>
  <c r="D50" i="33" a="1"/>
  <c r="D50" i="33"/>
  <c r="F50" i="33" a="1"/>
  <c r="F50" i="33"/>
  <c r="D51" i="33" a="1"/>
  <c r="D51" i="33"/>
  <c r="F51" i="33" a="1"/>
  <c r="F51" i="33"/>
  <c r="D52" i="33" a="1"/>
  <c r="D52" i="33"/>
  <c r="F52" i="33" a="1"/>
  <c r="F52" i="33"/>
  <c r="D53" i="33" a="1"/>
  <c r="D53" i="33"/>
  <c r="F53" i="33" a="1"/>
  <c r="F53" i="33"/>
  <c r="D54" i="33" a="1"/>
  <c r="D54" i="33"/>
  <c r="F54" i="33" a="1"/>
  <c r="F54" i="33"/>
  <c r="D55" i="33" a="1"/>
  <c r="D55" i="33"/>
  <c r="F55" i="33" a="1"/>
  <c r="F55" i="33"/>
  <c r="D56" i="33" a="1"/>
  <c r="D56" i="33"/>
  <c r="F56" i="33" a="1"/>
  <c r="F56" i="33"/>
  <c r="D57" i="33" a="1"/>
  <c r="D57" i="33"/>
  <c r="F57" i="33" a="1"/>
  <c r="F57" i="33"/>
  <c r="D58" i="33" a="1"/>
  <c r="D58" i="33"/>
  <c r="F58" i="33" a="1"/>
  <c r="F58" i="33"/>
  <c r="D59" i="33" a="1"/>
  <c r="D59" i="33"/>
  <c r="F59" i="33" a="1"/>
  <c r="F59" i="33"/>
  <c r="D60" i="33" a="1"/>
  <c r="D60" i="33"/>
  <c r="F60" i="33" a="1"/>
  <c r="F60" i="33"/>
  <c r="D61" i="33" a="1"/>
  <c r="D61" i="33"/>
  <c r="F61" i="33" a="1"/>
  <c r="F61" i="33"/>
  <c r="D62" i="33" a="1"/>
  <c r="D62" i="33"/>
  <c r="F62" i="33" a="1"/>
  <c r="F62" i="33"/>
  <c r="D63" i="33" a="1"/>
  <c r="D63" i="33"/>
  <c r="F63" i="33" a="1"/>
  <c r="F63" i="33"/>
  <c r="D64" i="33" a="1"/>
  <c r="D64" i="33"/>
  <c r="F64" i="33" a="1"/>
  <c r="F64" i="33"/>
  <c r="D65" i="33" a="1"/>
  <c r="D65" i="33"/>
  <c r="F65" i="33" a="1"/>
  <c r="F65" i="33"/>
  <c r="D66" i="33" a="1"/>
  <c r="D66" i="33"/>
  <c r="F66" i="33" a="1"/>
  <c r="F66" i="33"/>
  <c r="D67" i="33" a="1"/>
  <c r="D67" i="33"/>
  <c r="F67" i="33" a="1"/>
  <c r="F67" i="33"/>
  <c r="D68" i="33" a="1"/>
  <c r="D68" i="33"/>
  <c r="F68" i="33" a="1"/>
  <c r="F68" i="33"/>
  <c r="D69" i="33" a="1"/>
  <c r="D69" i="33"/>
  <c r="F69" i="33" a="1"/>
  <c r="F69" i="33"/>
  <c r="D70" i="33" a="1"/>
  <c r="D70" i="33"/>
  <c r="F70" i="33" a="1"/>
  <c r="F70" i="33"/>
  <c r="D71" i="33" a="1"/>
  <c r="D71" i="33"/>
  <c r="F71" i="33" a="1"/>
  <c r="F71" i="33"/>
  <c r="D72" i="33" a="1"/>
  <c r="D72" i="33"/>
  <c r="F72" i="33" a="1"/>
  <c r="F72" i="33"/>
  <c r="D73" i="33" a="1"/>
  <c r="D73" i="33"/>
  <c r="F73" i="33" a="1"/>
  <c r="F73" i="33"/>
  <c r="D74" i="33" a="1"/>
  <c r="D74" i="33"/>
  <c r="F74" i="33" a="1"/>
  <c r="F74" i="33"/>
  <c r="D75" i="33" a="1"/>
  <c r="D75" i="33"/>
  <c r="F75" i="33" a="1"/>
  <c r="F75" i="33"/>
  <c r="D76" i="33" a="1"/>
  <c r="D76" i="33"/>
  <c r="F76" i="33" a="1"/>
  <c r="F76" i="33"/>
  <c r="D77" i="33" a="1"/>
  <c r="D77" i="33"/>
  <c r="F77" i="33" a="1"/>
  <c r="F77" i="33"/>
  <c r="D78" i="33" a="1"/>
  <c r="D78" i="33"/>
  <c r="F78" i="33" a="1"/>
  <c r="F78" i="33"/>
  <c r="D79" i="33" a="1"/>
  <c r="D79" i="33"/>
  <c r="F79" i="33" a="1"/>
  <c r="F79" i="33"/>
  <c r="D80" i="33" a="1"/>
  <c r="D80" i="33"/>
  <c r="F80" i="33" a="1"/>
  <c r="F80" i="33"/>
  <c r="D81" i="33" a="1"/>
  <c r="D81" i="33"/>
  <c r="F81" i="33" a="1"/>
  <c r="F81" i="33"/>
  <c r="D82" i="33" a="1"/>
  <c r="D82" i="33"/>
  <c r="F82" i="33" a="1"/>
  <c r="F82" i="33"/>
  <c r="D83" i="33" a="1"/>
  <c r="D83" i="33"/>
  <c r="F83" i="33" a="1"/>
  <c r="F83" i="33"/>
  <c r="D84" i="33" a="1"/>
  <c r="D84" i="33"/>
  <c r="F84" i="33" a="1"/>
  <c r="F84" i="33"/>
  <c r="D85" i="33" a="1"/>
  <c r="D85" i="33"/>
  <c r="F85" i="33" a="1"/>
  <c r="F85" i="33"/>
  <c r="D86" i="33" a="1"/>
  <c r="D86" i="33"/>
  <c r="F86" i="33" a="1"/>
  <c r="F86" i="33"/>
  <c r="D87" i="33" a="1"/>
  <c r="D87" i="33"/>
  <c r="F87" i="33" a="1"/>
  <c r="F87" i="33"/>
  <c r="D88" i="33" a="1"/>
  <c r="D88" i="33"/>
  <c r="F88" i="33" a="1"/>
  <c r="F88" i="33"/>
  <c r="D89" i="33" a="1"/>
  <c r="D89" i="33"/>
  <c r="F89" i="33" a="1"/>
  <c r="F89" i="33"/>
  <c r="D90" i="33" a="1"/>
  <c r="D90" i="33"/>
  <c r="F90" i="33" a="1"/>
  <c r="F90" i="33"/>
  <c r="D91" i="33" a="1"/>
  <c r="D91" i="33"/>
  <c r="F91" i="33" a="1"/>
  <c r="F91" i="33"/>
  <c r="D92" i="33" a="1"/>
  <c r="D92" i="33"/>
  <c r="F92" i="33" a="1"/>
  <c r="F92" i="33"/>
  <c r="D93" i="33" a="1"/>
  <c r="D93" i="33"/>
  <c r="F93" i="33" a="1"/>
  <c r="F93" i="33"/>
  <c r="D94" i="33" a="1"/>
  <c r="D94" i="33"/>
  <c r="F94" i="33" a="1"/>
  <c r="F94" i="33"/>
  <c r="D95" i="33" a="1"/>
  <c r="D95" i="33"/>
  <c r="F95" i="33" a="1"/>
  <c r="F95" i="33"/>
  <c r="D96" i="33" a="1"/>
  <c r="D96" i="33"/>
  <c r="F96" i="33" a="1"/>
  <c r="F96" i="33"/>
  <c r="D97" i="33" a="1"/>
  <c r="D97" i="33"/>
  <c r="F97" i="33" a="1"/>
  <c r="F97" i="33"/>
  <c r="D98" i="33" a="1"/>
  <c r="D98" i="33"/>
  <c r="F98" i="33" a="1"/>
  <c r="F98" i="33"/>
  <c r="D99" i="33" a="1"/>
  <c r="D99" i="33"/>
  <c r="F99" i="33" a="1"/>
  <c r="F99" i="33"/>
  <c r="D100" i="33" a="1"/>
  <c r="D100" i="33"/>
  <c r="F100" i="33" a="1"/>
  <c r="F100" i="33"/>
  <c r="D101" i="33" a="1"/>
  <c r="D101" i="33"/>
  <c r="F101" i="33" a="1"/>
  <c r="F101" i="33"/>
  <c r="D102" i="33" a="1"/>
  <c r="D102" i="33"/>
  <c r="F102" i="33" a="1"/>
  <c r="F102" i="33"/>
  <c r="D103" i="33" a="1"/>
  <c r="D103" i="33"/>
  <c r="F103" i="33" a="1"/>
  <c r="F103" i="33"/>
  <c r="D104" i="33" a="1"/>
  <c r="D104" i="33"/>
  <c r="F104" i="33" a="1"/>
  <c r="F104" i="33"/>
  <c r="D105" i="33" a="1"/>
  <c r="D105" i="33"/>
  <c r="F105" i="33" a="1"/>
  <c r="F105" i="33"/>
  <c r="D106" i="33" a="1"/>
  <c r="D106" i="33"/>
  <c r="F106" i="33" a="1"/>
  <c r="F106" i="33"/>
  <c r="D107" i="33" a="1"/>
  <c r="D107" i="33"/>
  <c r="F107" i="33" a="1"/>
  <c r="F107" i="33"/>
  <c r="D108" i="33" a="1"/>
  <c r="D108" i="33"/>
  <c r="F108" i="33" a="1"/>
  <c r="F108" i="33"/>
  <c r="D109" i="33" a="1"/>
  <c r="D109" i="33"/>
  <c r="F109" i="33" a="1"/>
  <c r="F109" i="33"/>
  <c r="D110" i="33" a="1"/>
  <c r="D110" i="33"/>
  <c r="F110" i="33" a="1"/>
  <c r="F110" i="33"/>
  <c r="D111" i="33" a="1"/>
  <c r="D111" i="33"/>
  <c r="F111" i="33" a="1"/>
  <c r="F111" i="33"/>
  <c r="D112" i="33" a="1"/>
  <c r="D112" i="33"/>
  <c r="F112" i="33" a="1"/>
  <c r="F112" i="33"/>
  <c r="D113" i="33" a="1"/>
  <c r="D113" i="33"/>
  <c r="F113" i="33" a="1"/>
  <c r="F113" i="33"/>
  <c r="D114" i="33" a="1"/>
  <c r="D114" i="33"/>
  <c r="F114" i="33" a="1"/>
  <c r="F114" i="33"/>
  <c r="D115" i="33" a="1"/>
  <c r="D115" i="33"/>
  <c r="F115" i="33" a="1"/>
  <c r="F115" i="33"/>
  <c r="D116" i="33" a="1"/>
  <c r="D116" i="33"/>
  <c r="F116" i="33" a="1"/>
  <c r="F116" i="33"/>
  <c r="D117" i="33" a="1"/>
  <c r="D117" i="33"/>
  <c r="F117" i="33" a="1"/>
  <c r="F117" i="33"/>
  <c r="D118" i="33" a="1"/>
  <c r="D118" i="33"/>
  <c r="F118" i="33" a="1"/>
  <c r="F118" i="33"/>
  <c r="D119" i="33" a="1"/>
  <c r="D119" i="33"/>
  <c r="F119" i="33" a="1"/>
  <c r="F119" i="33"/>
  <c r="D120" i="33" a="1"/>
  <c r="D120" i="33"/>
  <c r="F120" i="33" a="1"/>
  <c r="F120" i="33"/>
  <c r="D121" i="33" a="1"/>
  <c r="D121" i="33"/>
  <c r="F121" i="33" a="1"/>
  <c r="F121" i="33"/>
  <c r="D122" i="33" a="1"/>
  <c r="D122" i="33"/>
  <c r="F122" i="33" a="1"/>
  <c r="F122" i="33"/>
  <c r="D123" i="33" a="1"/>
  <c r="D123" i="33"/>
  <c r="F123" i="33" a="1"/>
  <c r="F123" i="33"/>
  <c r="D124" i="33" a="1"/>
  <c r="D124" i="33"/>
  <c r="F124" i="33" a="1"/>
  <c r="F124" i="33"/>
  <c r="D125" i="33" a="1"/>
  <c r="D125" i="33"/>
  <c r="F125" i="33" a="1"/>
  <c r="F125" i="33"/>
  <c r="D126" i="33" a="1"/>
  <c r="D126" i="33"/>
  <c r="F126" i="33" a="1"/>
  <c r="F126" i="33"/>
  <c r="D127" i="33" a="1"/>
  <c r="D127" i="33"/>
  <c r="F127" i="33" a="1"/>
  <c r="F127" i="33"/>
  <c r="D128" i="33" a="1"/>
  <c r="D128" i="33"/>
  <c r="F128" i="33" a="1"/>
  <c r="F128" i="33"/>
  <c r="D129" i="33" a="1"/>
  <c r="D129" i="33"/>
  <c r="F129" i="33" a="1"/>
  <c r="F129" i="33"/>
  <c r="D130" i="33" a="1"/>
  <c r="D130" i="33"/>
  <c r="F130" i="33" a="1"/>
  <c r="F130" i="33"/>
  <c r="D131" i="33" a="1"/>
  <c r="D131" i="33"/>
  <c r="F131" i="33" a="1"/>
  <c r="F131" i="33"/>
  <c r="D132" i="33" a="1"/>
  <c r="D132" i="33"/>
  <c r="F132" i="33" a="1"/>
  <c r="F132" i="33"/>
  <c r="D133" i="33" a="1"/>
  <c r="D133" i="33"/>
  <c r="F133" i="33" a="1"/>
  <c r="F133" i="33"/>
  <c r="D134" i="33" a="1"/>
  <c r="D134" i="33"/>
  <c r="F134" i="33" a="1"/>
  <c r="F134" i="33"/>
  <c r="D135" i="33" a="1"/>
  <c r="D135" i="33"/>
  <c r="F135" i="33" a="1"/>
  <c r="F135" i="33"/>
  <c r="D136" i="33" a="1"/>
  <c r="D136" i="33"/>
  <c r="F136" i="33" a="1"/>
  <c r="F136" i="33"/>
  <c r="D137" i="33" a="1"/>
  <c r="D137" i="33"/>
  <c r="F137" i="33" a="1"/>
  <c r="F137" i="33"/>
  <c r="D138" i="33" a="1"/>
  <c r="D138" i="33"/>
  <c r="F138" i="33" a="1"/>
  <c r="F138" i="33"/>
  <c r="D139" i="33" a="1"/>
  <c r="D139" i="33"/>
  <c r="F139" i="33" a="1"/>
  <c r="F139" i="33"/>
  <c r="D140" i="33" a="1"/>
  <c r="D140" i="33"/>
  <c r="F140" i="33" a="1"/>
  <c r="F140" i="33"/>
  <c r="D141" i="33" a="1"/>
  <c r="D141" i="33"/>
  <c r="F141" i="33" a="1"/>
  <c r="F141" i="33"/>
  <c r="D142" i="33" a="1"/>
  <c r="D142" i="33"/>
  <c r="F142" i="33" a="1"/>
  <c r="F142" i="33"/>
  <c r="D143" i="33" a="1"/>
  <c r="D143" i="33"/>
  <c r="F143" i="33" a="1"/>
  <c r="F143" i="33"/>
  <c r="D144" i="33" a="1"/>
  <c r="D144" i="33"/>
  <c r="F144" i="33" a="1"/>
  <c r="F144" i="33"/>
  <c r="D145" i="33" a="1"/>
  <c r="D145" i="33"/>
  <c r="F145" i="33" a="1"/>
  <c r="F145" i="33"/>
  <c r="D146" i="33" a="1"/>
  <c r="D146" i="33"/>
  <c r="F146" i="33" a="1"/>
  <c r="F146" i="33"/>
  <c r="D147" i="33" a="1"/>
  <c r="D147" i="33"/>
  <c r="F147" i="33" a="1"/>
  <c r="F147" i="33"/>
  <c r="D148" i="33" a="1"/>
  <c r="D148" i="33"/>
  <c r="F148" i="33" a="1"/>
  <c r="F148" i="33"/>
  <c r="D149" i="33" a="1"/>
  <c r="D149" i="33"/>
  <c r="F149" i="33" a="1"/>
  <c r="F149" i="33"/>
  <c r="D150" i="33" a="1"/>
  <c r="D150" i="33"/>
  <c r="F150" i="33" a="1"/>
  <c r="F150" i="33"/>
  <c r="D151" i="33" a="1"/>
  <c r="D151" i="33"/>
  <c r="F151" i="33" a="1"/>
  <c r="F151" i="33"/>
  <c r="D152" i="33" a="1"/>
  <c r="D152" i="33"/>
  <c r="F152" i="33" a="1"/>
  <c r="F152" i="33"/>
  <c r="D153" i="33" a="1"/>
  <c r="D153" i="33"/>
  <c r="F153" i="33" a="1"/>
  <c r="F153" i="33"/>
  <c r="D154" i="33" a="1"/>
  <c r="D154" i="33"/>
  <c r="F154" i="33" a="1"/>
  <c r="F154" i="33"/>
  <c r="D155" i="33" a="1"/>
  <c r="D155" i="33"/>
  <c r="F155" i="33" a="1"/>
  <c r="F155" i="33"/>
  <c r="D156" i="33" a="1"/>
  <c r="D156" i="33"/>
  <c r="F156" i="33" a="1"/>
  <c r="F156" i="33"/>
  <c r="D157" i="33" a="1"/>
  <c r="D157" i="33"/>
  <c r="F157" i="33" a="1"/>
  <c r="F157" i="33"/>
  <c r="D158" i="33" a="1"/>
  <c r="D158" i="33"/>
  <c r="F158" i="33" a="1"/>
  <c r="F158" i="33"/>
  <c r="D159" i="33" a="1"/>
  <c r="D159" i="33"/>
  <c r="F159" i="33" a="1"/>
  <c r="F159" i="33"/>
  <c r="D160" i="33" a="1"/>
  <c r="D160" i="33"/>
  <c r="F160" i="33" a="1"/>
  <c r="F160" i="33"/>
  <c r="D161" i="33" a="1"/>
  <c r="D161" i="33"/>
  <c r="F161" i="33" a="1"/>
  <c r="F161" i="33"/>
  <c r="D162" i="33" a="1"/>
  <c r="D162" i="33"/>
  <c r="F162" i="33" a="1"/>
  <c r="F162" i="33"/>
  <c r="D163" i="33" a="1"/>
  <c r="D163" i="33"/>
  <c r="F163" i="33" a="1"/>
  <c r="F163" i="33"/>
  <c r="D164" i="33" a="1"/>
  <c r="D164" i="33"/>
  <c r="F164" i="33" a="1"/>
  <c r="F164" i="33"/>
  <c r="D165" i="33" a="1"/>
  <c r="D165" i="33"/>
  <c r="F165" i="33" a="1"/>
  <c r="F165" i="33"/>
  <c r="D166" i="33" a="1"/>
  <c r="D166" i="33"/>
  <c r="F166" i="33" a="1"/>
  <c r="F166" i="33"/>
  <c r="D167" i="33" a="1"/>
  <c r="D167" i="33"/>
  <c r="F167" i="33" a="1"/>
  <c r="F167" i="33"/>
  <c r="D168" i="33" a="1"/>
  <c r="D168" i="33"/>
  <c r="F168" i="33" a="1"/>
  <c r="F168" i="33"/>
  <c r="D169" i="33" a="1"/>
  <c r="D169" i="33"/>
  <c r="F169" i="33" a="1"/>
  <c r="F169" i="33"/>
  <c r="D170" i="33" a="1"/>
  <c r="D170" i="33"/>
  <c r="F170" i="33" a="1"/>
  <c r="F170" i="33"/>
  <c r="D171" i="33" a="1"/>
  <c r="D171" i="33"/>
  <c r="F171" i="33" a="1"/>
  <c r="F171" i="33"/>
  <c r="D172" i="33" a="1"/>
  <c r="D172" i="33"/>
  <c r="F172" i="33" a="1"/>
  <c r="F172" i="33"/>
  <c r="D173" i="33" a="1"/>
  <c r="D173" i="33"/>
  <c r="F173" i="33" a="1"/>
  <c r="F173" i="33"/>
  <c r="D174" i="33" a="1"/>
  <c r="D174" i="33"/>
  <c r="F174" i="33" a="1"/>
  <c r="F174" i="33"/>
  <c r="D175" i="33" a="1"/>
  <c r="D175" i="33"/>
  <c r="F175" i="33" a="1"/>
  <c r="F175" i="33"/>
  <c r="D176" i="33" a="1"/>
  <c r="D176" i="33"/>
  <c r="F176" i="33" a="1"/>
  <c r="F176" i="33"/>
  <c r="D177" i="33" a="1"/>
  <c r="D177" i="33"/>
  <c r="F177" i="33" a="1"/>
  <c r="F177" i="33"/>
  <c r="D178" i="33" a="1"/>
  <c r="D178" i="33"/>
  <c r="F178" i="33" a="1"/>
  <c r="F178" i="33"/>
  <c r="D179" i="33" a="1"/>
  <c r="D179" i="33"/>
  <c r="F179" i="33" a="1"/>
  <c r="F179" i="33"/>
  <c r="D180" i="33" a="1"/>
  <c r="D180" i="33"/>
  <c r="F180" i="33" a="1"/>
  <c r="F180" i="33"/>
  <c r="D181" i="33" a="1"/>
  <c r="D181" i="33"/>
  <c r="F181" i="33" a="1"/>
  <c r="F181" i="33"/>
  <c r="D182" i="33" a="1"/>
  <c r="D182" i="33"/>
  <c r="F182" i="33" a="1"/>
  <c r="F182" i="33"/>
  <c r="D183" i="33" a="1"/>
  <c r="D183" i="33"/>
  <c r="F183" i="33" a="1"/>
  <c r="F183" i="33"/>
  <c r="D184" i="33" a="1"/>
  <c r="D184" i="33"/>
  <c r="F184" i="33" a="1"/>
  <c r="F184" i="33"/>
  <c r="D185" i="33" a="1"/>
  <c r="D185" i="33"/>
  <c r="F185" i="33" a="1"/>
  <c r="F185" i="33"/>
  <c r="D186" i="33" a="1"/>
  <c r="D186" i="33"/>
  <c r="F186" i="33" a="1"/>
  <c r="F186" i="33"/>
  <c r="D187" i="33" a="1"/>
  <c r="D187" i="33"/>
  <c r="F187" i="33" a="1"/>
  <c r="F187" i="33"/>
  <c r="D188" i="33" a="1"/>
  <c r="D188" i="33"/>
  <c r="F188" i="33" a="1"/>
  <c r="F188" i="33"/>
  <c r="D189" i="33" a="1"/>
  <c r="D189" i="33"/>
  <c r="F189" i="33" a="1"/>
  <c r="F189" i="33"/>
  <c r="D190" i="33" a="1"/>
  <c r="D190" i="33"/>
  <c r="F190" i="33" a="1"/>
  <c r="F190" i="33"/>
  <c r="D191" i="33" a="1"/>
  <c r="D191" i="33"/>
  <c r="F191" i="33" a="1"/>
  <c r="F191" i="33"/>
  <c r="D192" i="33" a="1"/>
  <c r="D192" i="33"/>
  <c r="F192" i="33" a="1"/>
  <c r="F192" i="33"/>
  <c r="D193" i="33" a="1"/>
  <c r="D193" i="33"/>
  <c r="F193" i="33" a="1"/>
  <c r="F193" i="33"/>
  <c r="D194" i="33" a="1"/>
  <c r="D194" i="33"/>
  <c r="F194" i="33" a="1"/>
  <c r="F194" i="33"/>
  <c r="D195" i="33" a="1"/>
  <c r="D195" i="33"/>
  <c r="F195" i="33" a="1"/>
  <c r="F195" i="33"/>
  <c r="D196" i="33" a="1"/>
  <c r="D196" i="33"/>
  <c r="F196" i="33" a="1"/>
  <c r="F196" i="33"/>
  <c r="D197" i="33" a="1"/>
  <c r="D197" i="33"/>
  <c r="F197" i="33" a="1"/>
  <c r="F197" i="33"/>
  <c r="D198" i="33" a="1"/>
  <c r="D198" i="33"/>
  <c r="F198" i="33" a="1"/>
  <c r="F198" i="33"/>
  <c r="D199" i="33" a="1"/>
  <c r="D199" i="33"/>
  <c r="F199" i="33" a="1"/>
  <c r="F199" i="33"/>
  <c r="D200" i="33" a="1"/>
  <c r="D200" i="33"/>
  <c r="F200" i="33" a="1"/>
  <c r="F200" i="33"/>
  <c r="D201" i="33" a="1"/>
  <c r="D201" i="33"/>
  <c r="F201" i="33" a="1"/>
  <c r="F201" i="33"/>
  <c r="D202" i="33" a="1"/>
  <c r="D202" i="33"/>
  <c r="F202" i="33" a="1"/>
  <c r="F202" i="33"/>
  <c r="D203" i="33" a="1"/>
  <c r="D203" i="33"/>
  <c r="F203" i="33" a="1"/>
  <c r="F203" i="33"/>
  <c r="D204" i="33" a="1"/>
  <c r="D204" i="33"/>
  <c r="F204" i="33" a="1"/>
  <c r="F204" i="33"/>
  <c r="D205" i="33" a="1"/>
  <c r="D205" i="33"/>
  <c r="F205" i="33" a="1"/>
  <c r="F205" i="33"/>
  <c r="D206" i="33" a="1"/>
  <c r="D206" i="33"/>
  <c r="F206" i="33" a="1"/>
  <c r="F206" i="33"/>
  <c r="D207" i="33" a="1"/>
  <c r="D207" i="33"/>
  <c r="F207" i="33" a="1"/>
  <c r="F207" i="33"/>
  <c r="D208" i="33" a="1"/>
  <c r="D208" i="33"/>
  <c r="F208" i="33" a="1"/>
  <c r="F208" i="33"/>
  <c r="D209" i="33" a="1"/>
  <c r="D209" i="33"/>
  <c r="F209" i="33" a="1"/>
  <c r="F209" i="33"/>
  <c r="D210" i="33" a="1"/>
  <c r="D210" i="33"/>
  <c r="F210" i="33" a="1"/>
  <c r="F210" i="33"/>
  <c r="D211" i="33" a="1"/>
  <c r="D211" i="33"/>
  <c r="F211" i="33" a="1"/>
  <c r="F211" i="33"/>
  <c r="D212" i="33" a="1"/>
  <c r="D212" i="33"/>
  <c r="F212" i="33" a="1"/>
  <c r="F212" i="33"/>
  <c r="D213" i="33" a="1"/>
  <c r="D213" i="33"/>
  <c r="F213" i="33" a="1"/>
  <c r="F213" i="33"/>
  <c r="D214" i="33" a="1"/>
  <c r="D214" i="33"/>
  <c r="F214" i="33" a="1"/>
  <c r="F214" i="33"/>
  <c r="D215" i="33" a="1"/>
  <c r="D215" i="33"/>
  <c r="F215" i="33" a="1"/>
  <c r="F215" i="33"/>
  <c r="D216" i="33" a="1"/>
  <c r="D216" i="33"/>
  <c r="F216" i="33" a="1"/>
  <c r="F216" i="33"/>
  <c r="D217" i="33" a="1"/>
  <c r="D217" i="33"/>
  <c r="F217" i="33" a="1"/>
  <c r="F217" i="33"/>
  <c r="D218" i="33" a="1"/>
  <c r="D218" i="33"/>
  <c r="F218" i="33" a="1"/>
  <c r="F218" i="33"/>
  <c r="D219" i="33" a="1"/>
  <c r="D219" i="33"/>
  <c r="F219" i="33" a="1"/>
  <c r="F219" i="33"/>
  <c r="D220" i="33" a="1"/>
  <c r="D220" i="33"/>
  <c r="F220" i="33" a="1"/>
  <c r="F220" i="33"/>
  <c r="D221" i="33" a="1"/>
  <c r="D221" i="33"/>
  <c r="F221" i="33" a="1"/>
  <c r="F221" i="33"/>
  <c r="D222" i="33" a="1"/>
  <c r="D222" i="33"/>
  <c r="F222" i="33" a="1"/>
  <c r="F222" i="33"/>
  <c r="D223" i="33" a="1"/>
  <c r="D223" i="33"/>
  <c r="F223" i="33" a="1"/>
  <c r="F223" i="33"/>
  <c r="D224" i="33" a="1"/>
  <c r="D224" i="33"/>
  <c r="F224" i="33" a="1"/>
  <c r="F224" i="33"/>
  <c r="D225" i="33" a="1"/>
  <c r="D225" i="33"/>
  <c r="F225" i="33" a="1"/>
  <c r="F225" i="33"/>
  <c r="D226" i="33" a="1"/>
  <c r="D226" i="33"/>
  <c r="F226" i="33" a="1"/>
  <c r="F226" i="33"/>
  <c r="D227" i="33" a="1"/>
  <c r="D227" i="33"/>
  <c r="F227" i="33" a="1"/>
  <c r="F227" i="33"/>
  <c r="D228" i="33" a="1"/>
  <c r="D228" i="33"/>
  <c r="F228" i="33" a="1"/>
  <c r="F228" i="33"/>
  <c r="D229" i="33" a="1"/>
  <c r="D229" i="33"/>
  <c r="F229" i="33" a="1"/>
  <c r="F229" i="33"/>
  <c r="D230" i="33" a="1"/>
  <c r="D230" i="33"/>
  <c r="F230" i="33" a="1"/>
  <c r="F230" i="33"/>
  <c r="D231" i="33" a="1"/>
  <c r="D231" i="33"/>
  <c r="F231" i="33" a="1"/>
  <c r="F231" i="33"/>
  <c r="D232" i="33" a="1"/>
  <c r="D232" i="33"/>
  <c r="F232" i="33" a="1"/>
  <c r="F232" i="33"/>
  <c r="D233" i="33" a="1"/>
  <c r="D233" i="33"/>
  <c r="F233" i="33" a="1"/>
  <c r="F233" i="33"/>
  <c r="D234" i="33" a="1"/>
  <c r="D234" i="33"/>
  <c r="F234" i="33" a="1"/>
  <c r="F234" i="33"/>
  <c r="D235" i="33" a="1"/>
  <c r="D235" i="33"/>
  <c r="F235" i="33" a="1"/>
  <c r="F235" i="33"/>
  <c r="D236" i="33" a="1"/>
  <c r="D236" i="33"/>
  <c r="F236" i="33" a="1"/>
  <c r="F236" i="33"/>
  <c r="D237" i="33" a="1"/>
  <c r="D237" i="33"/>
  <c r="F237" i="33" a="1"/>
  <c r="F237" i="33"/>
  <c r="D238" i="33" a="1"/>
  <c r="D238" i="33"/>
  <c r="F238" i="33" a="1"/>
  <c r="F238" i="33"/>
  <c r="D239" i="33" a="1"/>
  <c r="D239" i="33"/>
  <c r="F239" i="33" a="1"/>
  <c r="F239" i="33"/>
  <c r="D240" i="33" a="1"/>
  <c r="D240" i="33"/>
  <c r="F240" i="33" a="1"/>
  <c r="F240" i="33"/>
  <c r="D241" i="33" a="1"/>
  <c r="D241" i="33"/>
  <c r="F241" i="33" a="1"/>
  <c r="F241" i="33"/>
  <c r="D242" i="33" a="1"/>
  <c r="D242" i="33"/>
  <c r="F242" i="33" a="1"/>
  <c r="F242" i="33"/>
  <c r="D243" i="33" a="1"/>
  <c r="D243" i="33"/>
  <c r="F243" i="33" a="1"/>
  <c r="F243" i="33"/>
  <c r="D244" i="33" a="1"/>
  <c r="D244" i="33"/>
  <c r="F244" i="33" a="1"/>
  <c r="F244" i="33"/>
  <c r="D245" i="33" a="1"/>
  <c r="D245" i="33"/>
  <c r="F245" i="33" a="1"/>
  <c r="F245" i="33"/>
  <c r="D246" i="33" a="1"/>
  <c r="D246" i="33"/>
  <c r="F246" i="33" a="1"/>
  <c r="F246" i="33"/>
  <c r="D247" i="33" a="1"/>
  <c r="D247" i="33"/>
  <c r="F247" i="33" a="1"/>
  <c r="F247" i="33"/>
  <c r="D248" i="33" a="1"/>
  <c r="D248" i="33"/>
  <c r="F248" i="33" a="1"/>
  <c r="F248" i="33"/>
  <c r="D249" i="33" a="1"/>
  <c r="D249" i="33"/>
  <c r="F249" i="33" a="1"/>
  <c r="F249" i="33"/>
  <c r="D250" i="33" a="1"/>
  <c r="D250" i="33"/>
  <c r="F250" i="33" a="1"/>
  <c r="F250" i="33"/>
  <c r="D251" i="33" a="1"/>
  <c r="D251" i="33"/>
  <c r="F251" i="33" a="1"/>
  <c r="F251" i="33"/>
  <c r="D252" i="33" a="1"/>
  <c r="D252" i="33"/>
  <c r="F252" i="33" a="1"/>
  <c r="F252" i="33"/>
  <c r="D253" i="33" a="1"/>
  <c r="D253" i="33"/>
  <c r="F253" i="33" a="1"/>
  <c r="F253" i="33"/>
  <c r="D254" i="33" a="1"/>
  <c r="D254" i="33"/>
  <c r="F254" i="33" a="1"/>
  <c r="F254" i="33"/>
  <c r="D255" i="33" a="1"/>
  <c r="D255" i="33"/>
  <c r="F255" i="33" a="1"/>
  <c r="F255" i="33"/>
  <c r="D256" i="33" a="1"/>
  <c r="D256" i="33"/>
  <c r="F256" i="33" a="1"/>
  <c r="F256" i="33"/>
  <c r="D257" i="33" a="1"/>
  <c r="D257" i="33"/>
  <c r="F257" i="33" a="1"/>
  <c r="F257" i="33"/>
  <c r="D258" i="33" a="1"/>
  <c r="D258" i="33"/>
  <c r="F258" i="33" a="1"/>
  <c r="F258" i="33"/>
  <c r="D259" i="33" a="1"/>
  <c r="D259" i="33"/>
  <c r="F259" i="33" a="1"/>
  <c r="F259" i="33"/>
  <c r="D260" i="33" a="1"/>
  <c r="D260" i="33"/>
  <c r="F260" i="33" a="1"/>
  <c r="F260" i="33"/>
  <c r="D261" i="33" a="1"/>
  <c r="D261" i="33"/>
  <c r="F261" i="33" a="1"/>
  <c r="F261" i="33"/>
  <c r="D262" i="33" a="1"/>
  <c r="D262" i="33"/>
  <c r="F262" i="33" a="1"/>
  <c r="F262" i="33"/>
  <c r="D263" i="33" a="1"/>
  <c r="D263" i="33"/>
  <c r="F263" i="33" a="1"/>
  <c r="F263" i="33"/>
  <c r="D264" i="33" a="1"/>
  <c r="D264" i="33"/>
  <c r="F264" i="33" a="1"/>
  <c r="F264" i="33"/>
  <c r="D265" i="33" a="1"/>
  <c r="D265" i="33"/>
  <c r="F265" i="33" a="1"/>
  <c r="F265" i="33"/>
  <c r="D266" i="33" a="1"/>
  <c r="D266" i="33"/>
  <c r="F266" i="33" a="1"/>
  <c r="F266" i="33"/>
  <c r="D267" i="33" a="1"/>
  <c r="D267" i="33"/>
  <c r="F267" i="33" a="1"/>
  <c r="F267" i="33"/>
  <c r="D268" i="33" a="1"/>
  <c r="D268" i="33"/>
  <c r="F268" i="33" a="1"/>
  <c r="F268" i="33"/>
  <c r="D269" i="33" a="1"/>
  <c r="D269" i="33"/>
  <c r="F269" i="33" a="1"/>
  <c r="F269" i="33"/>
  <c r="D270" i="33" a="1"/>
  <c r="D270" i="33"/>
  <c r="F270" i="33" a="1"/>
  <c r="F270" i="33"/>
  <c r="D271" i="33" a="1"/>
  <c r="D271" i="33"/>
  <c r="F271" i="33" a="1"/>
  <c r="F271" i="33"/>
  <c r="D272" i="33" a="1"/>
  <c r="D272" i="33"/>
  <c r="F272" i="33" a="1"/>
  <c r="F272" i="33"/>
  <c r="D273" i="33" a="1"/>
  <c r="D273" i="33"/>
  <c r="F273" i="33" a="1"/>
  <c r="F273" i="33"/>
  <c r="D274" i="33" a="1"/>
  <c r="D274" i="33"/>
  <c r="F274" i="33" a="1"/>
  <c r="F274" i="33"/>
  <c r="D275" i="33" a="1"/>
  <c r="D275" i="33"/>
  <c r="F275" i="33" a="1"/>
  <c r="F275" i="33"/>
  <c r="D276" i="33" a="1"/>
  <c r="D276" i="33"/>
  <c r="F276" i="33" a="1"/>
  <c r="F276" i="33"/>
  <c r="D277" i="33" a="1"/>
  <c r="D277" i="33"/>
  <c r="F277" i="33" a="1"/>
  <c r="F277" i="33"/>
  <c r="D278" i="33" a="1"/>
  <c r="D278" i="33"/>
  <c r="F278" i="33" a="1"/>
  <c r="F278" i="33"/>
  <c r="D279" i="33" a="1"/>
  <c r="D279" i="33"/>
  <c r="F279" i="33" a="1"/>
  <c r="F279" i="33"/>
  <c r="D280" i="33" a="1"/>
  <c r="D280" i="33"/>
  <c r="F280" i="33" a="1"/>
  <c r="F280" i="33"/>
  <c r="D281" i="33" a="1"/>
  <c r="D281" i="33"/>
  <c r="F281" i="33" a="1"/>
  <c r="F281" i="33"/>
  <c r="D282" i="33" a="1"/>
  <c r="D282" i="33"/>
  <c r="F282" i="33" a="1"/>
  <c r="F282" i="33"/>
  <c r="D283" i="33" a="1"/>
  <c r="D283" i="33"/>
  <c r="F283" i="33" a="1"/>
  <c r="F283" i="33"/>
  <c r="D284" i="33" a="1"/>
  <c r="D284" i="33"/>
  <c r="F284" i="33" a="1"/>
  <c r="F284" i="33"/>
  <c r="D285" i="33" a="1"/>
  <c r="D285" i="33"/>
  <c r="F285" i="33" a="1"/>
  <c r="F285" i="33"/>
  <c r="D286" i="33" a="1"/>
  <c r="D286" i="33"/>
  <c r="F286" i="33" a="1"/>
  <c r="F286" i="33"/>
  <c r="D287" i="33" a="1"/>
  <c r="D287" i="33"/>
  <c r="F287" i="33" a="1"/>
  <c r="F287" i="33"/>
  <c r="D288" i="33" a="1"/>
  <c r="D288" i="33"/>
  <c r="F288" i="33" a="1"/>
  <c r="F288" i="33"/>
  <c r="D289" i="33" a="1"/>
  <c r="D289" i="33"/>
  <c r="F289" i="33" a="1"/>
  <c r="F289" i="33"/>
  <c r="D290" i="33" a="1"/>
  <c r="D290" i="33"/>
  <c r="F290" i="33" a="1"/>
  <c r="F290" i="33"/>
  <c r="D291" i="33" a="1"/>
  <c r="D291" i="33"/>
  <c r="F291" i="33" a="1"/>
  <c r="F291" i="33"/>
  <c r="D292" i="33" a="1"/>
  <c r="D292" i="33"/>
  <c r="F292" i="33" a="1"/>
  <c r="F292" i="33"/>
  <c r="D293" i="33" a="1"/>
  <c r="D293" i="33"/>
  <c r="F293" i="33" a="1"/>
  <c r="F293" i="33"/>
  <c r="D294" i="33" a="1"/>
  <c r="D294" i="33"/>
  <c r="F294" i="33" a="1"/>
  <c r="F294" i="33"/>
  <c r="D295" i="33" a="1"/>
  <c r="D295" i="33"/>
  <c r="F295" i="33" a="1"/>
  <c r="F295" i="33"/>
  <c r="D296" i="33" a="1"/>
  <c r="D296" i="33"/>
  <c r="F296" i="33" a="1"/>
  <c r="F296" i="33"/>
  <c r="D297" i="33" a="1"/>
  <c r="D297" i="33"/>
  <c r="F297" i="33" a="1"/>
  <c r="F297" i="33"/>
  <c r="D298" i="33" a="1"/>
  <c r="D298" i="33"/>
  <c r="F298" i="33" a="1"/>
  <c r="F298" i="33"/>
  <c r="D299" i="33" a="1"/>
  <c r="D299" i="33"/>
  <c r="F299" i="33" a="1"/>
  <c r="F299" i="33"/>
  <c r="D300" i="33" a="1"/>
  <c r="D300" i="33"/>
  <c r="F300" i="33" a="1"/>
  <c r="F300" i="33"/>
  <c r="D301" i="33" a="1"/>
  <c r="D301" i="33"/>
  <c r="F301" i="33" a="1"/>
  <c r="F301" i="33"/>
  <c r="D302" i="33" a="1"/>
  <c r="D302" i="33"/>
  <c r="F302" i="33" a="1"/>
  <c r="F302" i="33"/>
  <c r="D303" i="33" a="1"/>
  <c r="D303" i="33"/>
  <c r="F303" i="33" a="1"/>
  <c r="F303" i="33"/>
  <c r="D304" i="33" a="1"/>
  <c r="D304" i="33"/>
  <c r="F304" i="33" a="1"/>
  <c r="F304" i="33"/>
  <c r="D305" i="33" a="1"/>
  <c r="D305" i="33"/>
  <c r="F305" i="33" a="1"/>
  <c r="F305" i="33"/>
  <c r="D306" i="33" a="1"/>
  <c r="D306" i="33"/>
  <c r="F306" i="33" a="1"/>
  <c r="F306" i="33"/>
  <c r="D307" i="33" a="1"/>
  <c r="D307" i="33"/>
  <c r="F307" i="33" a="1"/>
  <c r="F307" i="33"/>
  <c r="D308" i="33" a="1"/>
  <c r="D308" i="33"/>
  <c r="F308" i="33" a="1"/>
  <c r="F308" i="33"/>
  <c r="D309" i="33" a="1"/>
  <c r="D309" i="33"/>
  <c r="F309" i="33" a="1"/>
  <c r="F309" i="33"/>
  <c r="D310" i="33" a="1"/>
  <c r="D310" i="33"/>
  <c r="F310" i="33" a="1"/>
  <c r="F310" i="33"/>
  <c r="D311" i="33" a="1"/>
  <c r="D311" i="33"/>
  <c r="F311" i="33" a="1"/>
  <c r="F311" i="33"/>
  <c r="D312" i="33" a="1"/>
  <c r="D312" i="33"/>
  <c r="F312" i="33" a="1"/>
  <c r="F312" i="33"/>
  <c r="D313" i="33" a="1"/>
  <c r="D313" i="33"/>
  <c r="F313" i="33" a="1"/>
  <c r="F313" i="33"/>
  <c r="D314" i="33" a="1"/>
  <c r="D314" i="33"/>
  <c r="F314" i="33" a="1"/>
  <c r="F314" i="33"/>
  <c r="D315" i="33" a="1"/>
  <c r="D315" i="33"/>
  <c r="F315" i="33" a="1"/>
  <c r="F315" i="33"/>
  <c r="D316" i="33" a="1"/>
  <c r="D316" i="33"/>
  <c r="F316" i="33" a="1"/>
  <c r="F316" i="33"/>
  <c r="D317" i="33" a="1"/>
  <c r="D317" i="33"/>
  <c r="F317" i="33" a="1"/>
  <c r="F317" i="33"/>
  <c r="D318" i="33" a="1"/>
  <c r="D318" i="33"/>
  <c r="F318" i="33" a="1"/>
  <c r="F318" i="33"/>
  <c r="D319" i="33" a="1"/>
  <c r="D319" i="33"/>
  <c r="F319" i="33" a="1"/>
  <c r="F319" i="33"/>
  <c r="D320" i="33" a="1"/>
  <c r="D320" i="33"/>
  <c r="F320" i="33" a="1"/>
  <c r="F320" i="33"/>
  <c r="D321" i="33" a="1"/>
  <c r="D321" i="33"/>
  <c r="F321" i="33" a="1"/>
  <c r="F321" i="33"/>
  <c r="D322" i="33" a="1"/>
  <c r="D322" i="33" s="1"/>
  <c r="F322" i="33" a="1"/>
  <c r="F322" i="33"/>
  <c r="D323" i="33" a="1"/>
  <c r="D323" i="33" s="1"/>
  <c r="F323" i="33" a="1"/>
  <c r="F323" i="33"/>
  <c r="D324" i="33" a="1"/>
  <c r="D324" i="33"/>
  <c r="F324" i="33" a="1"/>
  <c r="F324" i="33"/>
  <c r="D325" i="33" a="1"/>
  <c r="D325" i="33" s="1"/>
  <c r="F325" i="33" a="1"/>
  <c r="F325" i="33"/>
  <c r="D326" i="33" a="1"/>
  <c r="D326" i="33" s="1"/>
  <c r="F326" i="33" a="1"/>
  <c r="F326" i="33"/>
  <c r="D327" i="33" a="1"/>
  <c r="D327" i="33"/>
  <c r="F327" i="33" a="1"/>
  <c r="F327" i="33"/>
  <c r="D328" i="33" a="1"/>
  <c r="D328" i="33" s="1"/>
  <c r="F328" i="33" a="1"/>
  <c r="F328" i="33"/>
  <c r="D329" i="33" a="1"/>
  <c r="D329" i="33" s="1"/>
  <c r="F329" i="33" a="1"/>
  <c r="F329" i="33"/>
  <c r="D330" i="33" a="1"/>
  <c r="D330" i="33" s="1"/>
  <c r="F330" i="33" a="1"/>
  <c r="F330" i="33"/>
  <c r="D331" i="33" a="1"/>
  <c r="D331" i="33" s="1"/>
  <c r="F331" i="33" a="1"/>
  <c r="F331" i="33"/>
  <c r="D332" i="33" a="1"/>
  <c r="D332" i="33" s="1"/>
  <c r="F332" i="33" a="1"/>
  <c r="F332" i="33"/>
  <c r="D333" i="33" a="1"/>
  <c r="D333" i="33"/>
  <c r="F333" i="33" a="1"/>
  <c r="F333" i="33"/>
  <c r="D334" i="33" a="1"/>
  <c r="D334" i="33" s="1"/>
  <c r="F334" i="33" a="1"/>
  <c r="F334" i="33"/>
  <c r="D335" i="33" a="1"/>
  <c r="D335" i="33" s="1"/>
  <c r="F335" i="33" a="1"/>
  <c r="F335" i="33"/>
  <c r="D336" i="33" a="1"/>
  <c r="D336" i="33" s="1"/>
  <c r="F336" i="33" a="1"/>
  <c r="F336" i="33"/>
  <c r="D337" i="33" a="1"/>
  <c r="D337" i="33" s="1"/>
  <c r="F337" i="33" a="1"/>
  <c r="F337" i="33"/>
  <c r="D338" i="33" a="1"/>
  <c r="D338" i="33" s="1"/>
  <c r="F338" i="33" a="1"/>
  <c r="F338" i="33"/>
  <c r="D339" i="33" a="1"/>
  <c r="D339" i="33" s="1"/>
  <c r="F339" i="33" a="1"/>
  <c r="F339" i="33"/>
  <c r="D340" i="33" a="1"/>
  <c r="D340" i="33" s="1"/>
  <c r="F340" i="33" a="1"/>
  <c r="F340" i="33"/>
  <c r="D341" i="33" a="1"/>
  <c r="D341" i="33" s="1"/>
  <c r="F341" i="33" a="1"/>
  <c r="F341" i="33"/>
  <c r="D342" i="33" a="1"/>
  <c r="D342" i="33" s="1"/>
  <c r="F342" i="33" a="1"/>
  <c r="F342" i="33"/>
  <c r="D343" i="33" a="1"/>
  <c r="D343" i="33" s="1"/>
  <c r="F343" i="33" a="1"/>
  <c r="F343" i="33"/>
  <c r="D344" i="33" a="1"/>
  <c r="D344" i="33" s="1"/>
  <c r="F344" i="33" a="1"/>
  <c r="F344" i="33"/>
  <c r="D345" i="33" a="1"/>
  <c r="D345" i="33" s="1"/>
  <c r="F345" i="33" a="1"/>
  <c r="F345" i="33"/>
  <c r="D346" i="33" a="1"/>
  <c r="D346" i="33" s="1"/>
  <c r="F346" i="33" a="1"/>
  <c r="F346" i="33"/>
  <c r="D347" i="33" a="1"/>
  <c r="D347" i="33" s="1"/>
  <c r="F347" i="33" a="1"/>
  <c r="F347" i="33"/>
  <c r="D348" i="33" a="1"/>
  <c r="D348" i="33" s="1"/>
  <c r="F348" i="33" a="1"/>
  <c r="F348" i="33"/>
  <c r="D349" i="33" a="1"/>
  <c r="D349" i="33" s="1"/>
  <c r="F349" i="33" a="1"/>
  <c r="F349" i="33"/>
  <c r="D350" i="33" a="1"/>
  <c r="D350" i="33" s="1"/>
  <c r="F350" i="33" a="1"/>
  <c r="F350" i="33"/>
  <c r="D351" i="33" a="1"/>
  <c r="D351" i="33" s="1"/>
  <c r="F351" i="33" a="1"/>
  <c r="F351" i="33"/>
  <c r="D352" i="33" a="1"/>
  <c r="D352" i="33" s="1"/>
  <c r="F352" i="33" a="1"/>
  <c r="F352" i="33"/>
  <c r="D353" i="33" a="1"/>
  <c r="D353" i="33" s="1"/>
  <c r="F353" i="33" a="1"/>
  <c r="F353" i="33"/>
  <c r="D354" i="33" a="1"/>
  <c r="D354" i="33" s="1"/>
  <c r="F354" i="33" a="1"/>
  <c r="F354" i="33"/>
  <c r="D355" i="33" a="1"/>
  <c r="D355" i="33" s="1"/>
  <c r="F355" i="33" a="1"/>
  <c r="F355" i="33"/>
  <c r="D356" i="33" a="1"/>
  <c r="D356" i="33" s="1"/>
  <c r="F356" i="33" a="1"/>
  <c r="F356" i="33"/>
  <c r="D357" i="33" a="1"/>
  <c r="D357" i="33" s="1"/>
  <c r="F357" i="33" a="1"/>
  <c r="F357" i="33"/>
  <c r="D358" i="33" a="1"/>
  <c r="D358" i="33" s="1"/>
  <c r="F358" i="33" a="1"/>
  <c r="F358" i="33"/>
  <c r="D359" i="33" a="1"/>
  <c r="D359" i="33" s="1"/>
  <c r="F359" i="33" a="1"/>
  <c r="F359" i="33"/>
  <c r="D360" i="33" a="1"/>
  <c r="D360" i="33" s="1"/>
  <c r="F360" i="33" a="1"/>
  <c r="F360" i="33"/>
  <c r="D361" i="33" a="1"/>
  <c r="D361" i="33" s="1"/>
  <c r="F361" i="33" a="1"/>
  <c r="F361" i="33"/>
  <c r="D362" i="33" a="1"/>
  <c r="D362" i="33" s="1"/>
  <c r="F362" i="33" a="1"/>
  <c r="F362" i="33"/>
  <c r="D363" i="33" a="1"/>
  <c r="D363" i="33" s="1"/>
  <c r="F363" i="33" a="1"/>
  <c r="F363" i="33"/>
  <c r="D364" i="33" a="1"/>
  <c r="D364" i="33" s="1"/>
  <c r="F364" i="33" a="1"/>
  <c r="F364" i="33"/>
  <c r="D365" i="33" a="1"/>
  <c r="D365" i="33" s="1"/>
  <c r="F365" i="33" a="1"/>
  <c r="F365" i="33"/>
  <c r="D366" i="33" a="1"/>
  <c r="D366" i="33" s="1"/>
  <c r="F366" i="33" a="1"/>
  <c r="F366" i="33"/>
  <c r="D367" i="33" a="1"/>
  <c r="D367" i="33" s="1"/>
  <c r="F367" i="33" a="1"/>
  <c r="F367" i="33"/>
  <c r="D368" i="33" a="1"/>
  <c r="D368" i="33" s="1"/>
  <c r="F368" i="33" a="1"/>
  <c r="F368" i="33"/>
  <c r="D369" i="33" a="1"/>
  <c r="D369" i="33" s="1"/>
  <c r="F369" i="33" a="1"/>
  <c r="F369" i="33"/>
  <c r="D370" i="33" a="1"/>
  <c r="D370" i="33" s="1"/>
  <c r="F370" i="33" a="1"/>
  <c r="F370" i="33"/>
  <c r="D371" i="33" a="1"/>
  <c r="D371" i="33" s="1"/>
  <c r="F371" i="33" a="1"/>
  <c r="F371" i="33"/>
  <c r="D372" i="33" a="1"/>
  <c r="D372" i="33" s="1"/>
  <c r="F372" i="33" a="1"/>
  <c r="F372" i="33"/>
  <c r="D373" i="33" a="1"/>
  <c r="D373" i="33" s="1"/>
  <c r="F373" i="33" a="1"/>
  <c r="F373" i="33"/>
  <c r="D374" i="33" a="1"/>
  <c r="D374" i="33" s="1"/>
  <c r="F374" i="33" a="1"/>
  <c r="F374" i="33"/>
  <c r="D375" i="33" a="1"/>
  <c r="D375" i="33" s="1"/>
  <c r="F375" i="33" a="1"/>
  <c r="F375" i="33"/>
  <c r="D376" i="33" a="1"/>
  <c r="D376" i="33" s="1"/>
  <c r="F376" i="33" a="1"/>
  <c r="F376" i="33"/>
  <c r="D377" i="33" a="1"/>
  <c r="D377" i="33" s="1"/>
  <c r="F377" i="33" a="1"/>
  <c r="F377" i="33"/>
  <c r="D378" i="33" a="1"/>
  <c r="D378" i="33" s="1"/>
  <c r="F378" i="33" a="1"/>
  <c r="F378" i="33"/>
  <c r="D379" i="33" a="1"/>
  <c r="D379" i="33" s="1"/>
  <c r="F379" i="33" a="1"/>
  <c r="F379" i="33"/>
  <c r="D380" i="33" a="1"/>
  <c r="D380" i="33" s="1"/>
  <c r="F380" i="33" a="1"/>
  <c r="F380" i="33"/>
  <c r="D381" i="33" a="1"/>
  <c r="D381" i="33" s="1"/>
  <c r="F381" i="33" a="1"/>
  <c r="F381" i="33"/>
  <c r="D382" i="33" a="1"/>
  <c r="D382" i="33" s="1"/>
  <c r="F382" i="33" a="1"/>
  <c r="F382" i="33"/>
  <c r="D383" i="33" a="1"/>
  <c r="D383" i="33" s="1"/>
  <c r="F383" i="33" a="1"/>
  <c r="F383" i="33"/>
  <c r="D384" i="33" a="1"/>
  <c r="D384" i="33" s="1"/>
  <c r="F384" i="33" a="1"/>
  <c r="F384" i="33"/>
  <c r="D385" i="33" a="1"/>
  <c r="D385" i="33" s="1"/>
  <c r="F385" i="33" a="1"/>
  <c r="F385" i="33"/>
  <c r="D386" i="33" a="1"/>
  <c r="D386" i="33" s="1"/>
  <c r="F386" i="33" a="1"/>
  <c r="F386" i="33"/>
  <c r="D387" i="33" a="1"/>
  <c r="D387" i="33" s="1"/>
  <c r="F387" i="33" a="1"/>
  <c r="F387" i="33"/>
  <c r="D388" i="33" a="1"/>
  <c r="D388" i="33" s="1"/>
  <c r="F388" i="33" a="1"/>
  <c r="F388" i="33"/>
  <c r="D389" i="33" a="1"/>
  <c r="D389" i="33" s="1"/>
  <c r="F389" i="33" a="1"/>
  <c r="F389" i="33"/>
  <c r="D390" i="33" a="1"/>
  <c r="D390" i="33" s="1"/>
  <c r="F390" i="33" a="1"/>
  <c r="F390" i="33"/>
  <c r="D391" i="33" a="1"/>
  <c r="D391" i="33" s="1"/>
  <c r="F391" i="33" a="1"/>
  <c r="F391" i="33"/>
  <c r="D392" i="33" a="1"/>
  <c r="D392" i="33" s="1"/>
  <c r="F392" i="33" a="1"/>
  <c r="F392" i="33"/>
  <c r="D393" i="33" a="1"/>
  <c r="D393" i="33" s="1"/>
  <c r="F393" i="33" a="1"/>
  <c r="F393" i="33"/>
  <c r="D394" i="33" a="1"/>
  <c r="D394" i="33" s="1"/>
  <c r="F394" i="33" a="1"/>
  <c r="F394" i="33"/>
  <c r="D395" i="33" a="1"/>
  <c r="D395" i="33" s="1"/>
  <c r="F395" i="33" a="1"/>
  <c r="F395" i="33"/>
  <c r="D396" i="33" a="1"/>
  <c r="D396" i="33" s="1"/>
  <c r="F396" i="33" a="1"/>
  <c r="F396" i="33"/>
  <c r="D397" i="33" a="1"/>
  <c r="D397" i="33" s="1"/>
  <c r="F397" i="33" a="1"/>
  <c r="F397" i="33"/>
  <c r="D398" i="33" a="1"/>
  <c r="D398" i="33" s="1"/>
  <c r="F398" i="33" a="1"/>
  <c r="F398" i="33"/>
  <c r="D399" i="33" a="1"/>
  <c r="D399" i="33" s="1"/>
  <c r="F399" i="33" a="1"/>
  <c r="F399" i="33"/>
  <c r="D400" i="33" a="1"/>
  <c r="D400" i="33" s="1"/>
  <c r="F400" i="33" a="1"/>
  <c r="F400" i="33"/>
  <c r="D401" i="33" a="1"/>
  <c r="D401" i="33" s="1"/>
  <c r="F401" i="33" a="1"/>
  <c r="F401" i="33"/>
  <c r="D402" i="33" a="1"/>
  <c r="D402" i="33" s="1"/>
  <c r="F402" i="33" a="1"/>
  <c r="F402" i="33"/>
  <c r="D403" i="33" a="1"/>
  <c r="D403" i="33" s="1"/>
  <c r="F403" i="33" a="1"/>
  <c r="F403" i="33"/>
  <c r="D404" i="33" a="1"/>
  <c r="D404" i="33" s="1"/>
  <c r="F404" i="33" a="1"/>
  <c r="F404" i="33"/>
  <c r="D405" i="33" a="1"/>
  <c r="D405" i="33" s="1"/>
  <c r="F405" i="33" a="1"/>
  <c r="F405" i="33"/>
  <c r="D406" i="33" a="1"/>
  <c r="D406" i="33" s="1"/>
  <c r="F406" i="33" a="1"/>
  <c r="F406" i="33"/>
  <c r="D407" i="33" a="1"/>
  <c r="D407" i="33" s="1"/>
  <c r="F407" i="33" a="1"/>
  <c r="F407" i="33"/>
  <c r="D408" i="33" a="1"/>
  <c r="D408" i="33" s="1"/>
  <c r="F408" i="33" a="1"/>
  <c r="F408" i="33"/>
  <c r="D409" i="33" a="1"/>
  <c r="D409" i="33" s="1"/>
  <c r="F409" i="33" a="1"/>
  <c r="F409" i="33"/>
  <c r="D410" i="33" a="1"/>
  <c r="D410" i="33" s="1"/>
  <c r="F410" i="33" a="1"/>
  <c r="F410" i="33"/>
  <c r="D411" i="33" a="1"/>
  <c r="D411" i="33" s="1"/>
  <c r="F411" i="33" a="1"/>
  <c r="F411" i="33"/>
  <c r="D412" i="33" a="1"/>
  <c r="D412" i="33" s="1"/>
  <c r="F412" i="33" a="1"/>
  <c r="F412" i="33"/>
  <c r="D413" i="33" a="1"/>
  <c r="D413" i="33" s="1"/>
  <c r="F413" i="33" a="1"/>
  <c r="F413" i="33"/>
  <c r="D414" i="33" a="1"/>
  <c r="D414" i="33" s="1"/>
  <c r="F414" i="33" a="1"/>
  <c r="F414" i="33"/>
  <c r="D415" i="33" a="1"/>
  <c r="D415" i="33" s="1"/>
  <c r="F415" i="33" a="1"/>
  <c r="F415" i="33"/>
  <c r="D416" i="33" a="1"/>
  <c r="D416" i="33" s="1"/>
  <c r="F416" i="33" a="1"/>
  <c r="F416" i="33"/>
  <c r="D417" i="33" a="1"/>
  <c r="D417" i="33" s="1"/>
  <c r="F417" i="33" a="1"/>
  <c r="F417" i="33"/>
  <c r="D418" i="33" a="1"/>
  <c r="D418" i="33" s="1"/>
  <c r="F418" i="33" a="1"/>
  <c r="F418" i="33"/>
  <c r="D419" i="33" a="1"/>
  <c r="D419" i="33" s="1"/>
  <c r="F419" i="33" a="1"/>
  <c r="F419" i="33"/>
  <c r="D420" i="33" a="1"/>
  <c r="D420" i="33" s="1"/>
  <c r="F420" i="33" a="1"/>
  <c r="F420" i="33"/>
  <c r="D421" i="33" a="1"/>
  <c r="D421" i="33" s="1"/>
  <c r="F421" i="33" a="1"/>
  <c r="F421" i="33"/>
  <c r="D422" i="33" a="1"/>
  <c r="D422" i="33" s="1"/>
  <c r="F422" i="33" a="1"/>
  <c r="F422" i="33"/>
  <c r="D423" i="33" a="1"/>
  <c r="D423" i="33" s="1"/>
  <c r="F423" i="33" a="1"/>
  <c r="F423" i="33"/>
  <c r="D424" i="33" a="1"/>
  <c r="D424" i="33" s="1"/>
  <c r="F424" i="33" a="1"/>
  <c r="F424" i="33"/>
  <c r="D425" i="33" a="1"/>
  <c r="D425" i="33" s="1"/>
  <c r="F425" i="33" a="1"/>
  <c r="F425" i="33"/>
  <c r="D426" i="33" a="1"/>
  <c r="D426" i="33" s="1"/>
  <c r="F426" i="33" a="1"/>
  <c r="F426" i="33"/>
  <c r="D427" i="33" a="1"/>
  <c r="D427" i="33" s="1"/>
  <c r="F427" i="33" a="1"/>
  <c r="F427" i="33"/>
  <c r="D428" i="33" a="1"/>
  <c r="D428" i="33" s="1"/>
  <c r="F428" i="33" a="1"/>
  <c r="F428" i="33"/>
  <c r="D429" i="33" a="1"/>
  <c r="D429" i="33" s="1"/>
  <c r="F429" i="33" a="1"/>
  <c r="F429" i="33"/>
  <c r="D430" i="33" a="1"/>
  <c r="D430" i="33" s="1"/>
  <c r="F430" i="33" a="1"/>
  <c r="F430" i="33"/>
  <c r="D431" i="33" a="1"/>
  <c r="D431" i="33" s="1"/>
  <c r="F431" i="33" a="1"/>
  <c r="F431" i="33"/>
  <c r="D432" i="33" a="1"/>
  <c r="D432" i="33" s="1"/>
  <c r="F432" i="33" a="1"/>
  <c r="F432" i="33"/>
  <c r="D433" i="33" a="1"/>
  <c r="D433" i="33" s="1"/>
  <c r="F433" i="33" a="1"/>
  <c r="F433" i="33"/>
  <c r="D434" i="33" a="1"/>
  <c r="D434" i="33" s="1"/>
  <c r="F434" i="33" a="1"/>
  <c r="F434" i="33"/>
  <c r="D435" i="33" a="1"/>
  <c r="D435" i="33" s="1"/>
  <c r="F435" i="33" a="1"/>
  <c r="F435" i="33"/>
  <c r="D436" i="33" a="1"/>
  <c r="D436" i="33" s="1"/>
  <c r="F436" i="33" a="1"/>
  <c r="F436" i="33"/>
  <c r="D437" i="33" a="1"/>
  <c r="D437" i="33" s="1"/>
  <c r="F437" i="33" a="1"/>
  <c r="F437" i="33"/>
  <c r="D438" i="33" a="1"/>
  <c r="D438" i="33" s="1"/>
  <c r="F438" i="33" a="1"/>
  <c r="F438" i="33"/>
  <c r="D439" i="33" a="1"/>
  <c r="D439" i="33" s="1"/>
  <c r="F439" i="33" a="1"/>
  <c r="F439" i="33"/>
  <c r="D440" i="33" a="1"/>
  <c r="D440" i="33" s="1"/>
  <c r="F440" i="33" a="1"/>
  <c r="F440" i="33"/>
  <c r="D441" i="33" a="1"/>
  <c r="D441" i="33" s="1"/>
  <c r="F441" i="33" a="1"/>
  <c r="F441" i="33"/>
  <c r="D442" i="33" a="1"/>
  <c r="D442" i="33" s="1"/>
  <c r="F442" i="33" a="1"/>
  <c r="F442" i="33"/>
  <c r="D443" i="33" a="1"/>
  <c r="D443" i="33" s="1"/>
  <c r="F443" i="33" a="1"/>
  <c r="F443" i="33"/>
  <c r="D444" i="33" a="1"/>
  <c r="D444" i="33" s="1"/>
  <c r="F444" i="33" a="1"/>
  <c r="F444" i="33"/>
  <c r="D445" i="33" a="1"/>
  <c r="D445" i="33" s="1"/>
  <c r="F445" i="33" a="1"/>
  <c r="F445" i="33"/>
  <c r="D446" i="33" a="1"/>
  <c r="D446" i="33" s="1"/>
  <c r="F446" i="33" a="1"/>
  <c r="F446" i="33"/>
  <c r="D447" i="33" a="1"/>
  <c r="D447" i="33" s="1"/>
  <c r="F447" i="33" a="1"/>
  <c r="F447" i="33"/>
  <c r="D448" i="33" a="1"/>
  <c r="D448" i="33" s="1"/>
  <c r="F448" i="33" a="1"/>
  <c r="F448" i="33"/>
  <c r="D449" i="33" a="1"/>
  <c r="D449" i="33" s="1"/>
  <c r="F449" i="33" a="1"/>
  <c r="F449" i="33"/>
  <c r="D450" i="33" a="1"/>
  <c r="D450" i="33" s="1"/>
  <c r="F450" i="33" a="1"/>
  <c r="F450" i="33"/>
  <c r="D451" i="33" a="1"/>
  <c r="D451" i="33" s="1"/>
  <c r="F451" i="33" a="1"/>
  <c r="F451" i="33"/>
  <c r="D452" i="33" a="1"/>
  <c r="D452" i="33" s="1"/>
  <c r="F452" i="33" a="1"/>
  <c r="F452" i="33"/>
  <c r="D453" i="33" a="1"/>
  <c r="D453" i="33" s="1"/>
  <c r="F453" i="33" a="1"/>
  <c r="F453" i="33"/>
  <c r="D454" i="33" a="1"/>
  <c r="D454" i="33" s="1"/>
  <c r="F454" i="33" a="1"/>
  <c r="F454" i="33"/>
  <c r="D455" i="33" a="1"/>
  <c r="D455" i="33" s="1"/>
  <c r="F455" i="33" a="1"/>
  <c r="F455" i="33"/>
  <c r="D456" i="33" a="1"/>
  <c r="D456" i="33" s="1"/>
  <c r="F456" i="33" a="1"/>
  <c r="F456" i="33"/>
  <c r="D457" i="33" a="1"/>
  <c r="D457" i="33" s="1"/>
  <c r="F457" i="33" a="1"/>
  <c r="F457" i="33"/>
  <c r="D458" i="33" a="1"/>
  <c r="D458" i="33" s="1"/>
  <c r="F458" i="33" a="1"/>
  <c r="F458" i="33"/>
  <c r="D459" i="33" a="1"/>
  <c r="D459" i="33" s="1"/>
  <c r="F459" i="33" a="1"/>
  <c r="F459" i="33"/>
  <c r="D460" i="33" a="1"/>
  <c r="D460" i="33" s="1"/>
  <c r="F460" i="33" a="1"/>
  <c r="F460" i="33"/>
  <c r="D461" i="33" a="1"/>
  <c r="D461" i="33" s="1"/>
  <c r="F461" i="33" a="1"/>
  <c r="F461" i="33"/>
  <c r="D462" i="33" a="1"/>
  <c r="D462" i="33" s="1"/>
  <c r="F462" i="33" a="1"/>
  <c r="F462" i="33"/>
  <c r="D463" i="33" a="1"/>
  <c r="D463" i="33" s="1"/>
  <c r="F463" i="33" a="1"/>
  <c r="F463" i="33"/>
  <c r="D464" i="33" a="1"/>
  <c r="D464" i="33" s="1"/>
  <c r="F464" i="33" a="1"/>
  <c r="F464" i="33"/>
  <c r="D465" i="33" a="1"/>
  <c r="D465" i="33" s="1"/>
  <c r="F465" i="33" a="1"/>
  <c r="F465" i="33"/>
  <c r="D466" i="33" a="1"/>
  <c r="D466" i="33" s="1"/>
  <c r="F466" i="33" a="1"/>
  <c r="F466" i="33"/>
  <c r="D467" i="33" a="1"/>
  <c r="D467" i="33" s="1"/>
  <c r="F467" i="33" a="1"/>
  <c r="F467" i="33"/>
  <c r="D468" i="33" a="1"/>
  <c r="D468" i="33" s="1"/>
  <c r="F468" i="33" a="1"/>
  <c r="F468" i="33"/>
  <c r="D469" i="33" a="1"/>
  <c r="D469" i="33" s="1"/>
  <c r="F469" i="33" a="1"/>
  <c r="F469" i="33"/>
  <c r="D470" i="33" a="1"/>
  <c r="D470" i="33" s="1"/>
  <c r="F470" i="33" a="1"/>
  <c r="F470" i="33"/>
  <c r="D471" i="33" a="1"/>
  <c r="D471" i="33" s="1"/>
  <c r="F471" i="33" a="1"/>
  <c r="F471" i="33"/>
  <c r="D472" i="33" a="1"/>
  <c r="D472" i="33" s="1"/>
  <c r="F472" i="33" a="1"/>
  <c r="F472" i="33"/>
  <c r="D473" i="33" a="1"/>
  <c r="D473" i="33" s="1"/>
  <c r="F473" i="33" a="1"/>
  <c r="F473" i="33"/>
  <c r="D474" i="33" a="1"/>
  <c r="D474" i="33" s="1"/>
  <c r="F474" i="33" a="1"/>
  <c r="F474" i="33"/>
  <c r="D475" i="33" a="1"/>
  <c r="D475" i="33" s="1"/>
  <c r="F475" i="33" a="1"/>
  <c r="F475" i="33"/>
  <c r="D476" i="33" a="1"/>
  <c r="D476" i="33" s="1"/>
  <c r="F476" i="33" a="1"/>
  <c r="F476" i="33"/>
  <c r="D477" i="33" a="1"/>
  <c r="D477" i="33" s="1"/>
  <c r="F477" i="33" a="1"/>
  <c r="F477" i="33"/>
  <c r="D478" i="33" a="1"/>
  <c r="D478" i="33" s="1"/>
  <c r="F478" i="33" a="1"/>
  <c r="F478" i="33"/>
  <c r="D479" i="33" a="1"/>
  <c r="D479" i="33" s="1"/>
  <c r="F479" i="33" a="1"/>
  <c r="F479" i="33"/>
  <c r="D480" i="33" a="1"/>
  <c r="D480" i="33" s="1"/>
  <c r="F480" i="33" a="1"/>
  <c r="F480" i="33"/>
  <c r="D481" i="33" a="1"/>
  <c r="D481" i="33" s="1"/>
  <c r="F481" i="33" a="1"/>
  <c r="F481" i="33"/>
  <c r="D482" i="33" a="1"/>
  <c r="D482" i="33" s="1"/>
  <c r="F482" i="33" a="1"/>
  <c r="F482" i="33"/>
  <c r="D483" i="33" a="1"/>
  <c r="D483" i="33" s="1"/>
  <c r="F483" i="33" a="1"/>
  <c r="F483" i="33"/>
  <c r="D484" i="33" a="1"/>
  <c r="D484" i="33" s="1"/>
  <c r="F484" i="33" a="1"/>
  <c r="F484" i="33"/>
  <c r="D485" i="33" a="1"/>
  <c r="D485" i="33" s="1"/>
  <c r="F485" i="33" a="1"/>
  <c r="F485" i="33"/>
  <c r="D486" i="33" a="1"/>
  <c r="D486" i="33" s="1"/>
  <c r="F486" i="33" a="1"/>
  <c r="F486" i="33"/>
  <c r="D487" i="33" a="1"/>
  <c r="D487" i="33" s="1"/>
  <c r="F487" i="33" a="1"/>
  <c r="F487" i="33"/>
  <c r="D488" i="33" a="1"/>
  <c r="D488" i="33" s="1"/>
  <c r="F488" i="33" a="1"/>
  <c r="F488" i="33"/>
  <c r="D489" i="33" a="1"/>
  <c r="D489" i="33" s="1"/>
  <c r="F489" i="33" a="1"/>
  <c r="F489" i="33"/>
  <c r="D490" i="33" a="1"/>
  <c r="D490" i="33" s="1"/>
  <c r="F490" i="33" a="1"/>
  <c r="F490" i="33"/>
  <c r="D491" i="33" a="1"/>
  <c r="D491" i="33" s="1"/>
  <c r="F491" i="33" a="1"/>
  <c r="F491" i="33"/>
  <c r="D492" i="33" a="1"/>
  <c r="D492" i="33" s="1"/>
  <c r="F492" i="33" a="1"/>
  <c r="F492" i="33"/>
  <c r="D493" i="33" a="1"/>
  <c r="D493" i="33" s="1"/>
  <c r="F493" i="33" a="1"/>
  <c r="F493" i="33"/>
  <c r="D494" i="33" a="1"/>
  <c r="D494" i="33" s="1"/>
  <c r="F494" i="33" a="1"/>
  <c r="F494" i="33"/>
  <c r="D495" i="33" a="1"/>
  <c r="D495" i="33" s="1"/>
  <c r="F495" i="33" a="1"/>
  <c r="F495" i="33"/>
  <c r="D496" i="33" a="1"/>
  <c r="D496" i="33" s="1"/>
  <c r="F496" i="33" a="1"/>
  <c r="F496" i="33"/>
  <c r="D497" i="33" a="1"/>
  <c r="D497" i="33" s="1"/>
  <c r="F497" i="33" a="1"/>
  <c r="F497" i="33"/>
  <c r="D498" i="33" a="1"/>
  <c r="D498" i="33" s="1"/>
  <c r="F498" i="33" a="1"/>
  <c r="F498" i="33"/>
  <c r="D499" i="33" a="1"/>
  <c r="D499" i="33" s="1"/>
  <c r="F499" i="33" a="1"/>
  <c r="F499" i="33"/>
  <c r="D500" i="33" a="1"/>
  <c r="D500" i="33" s="1"/>
  <c r="F500" i="33" a="1"/>
  <c r="F500" i="33"/>
  <c r="D501" i="33" a="1"/>
  <c r="D501" i="33" s="1"/>
  <c r="F501" i="33" a="1"/>
  <c r="F501" i="33"/>
  <c r="D502" i="33" a="1"/>
  <c r="D502" i="33" s="1"/>
  <c r="F502" i="33" a="1"/>
  <c r="F502" i="33"/>
  <c r="D503" i="33" a="1"/>
  <c r="D503" i="33" s="1"/>
  <c r="F503" i="33" a="1"/>
  <c r="F503" i="33"/>
  <c r="D504" i="33" a="1"/>
  <c r="D504" i="33" s="1"/>
  <c r="F504" i="33" a="1"/>
  <c r="F504" i="33"/>
  <c r="D505" i="33" a="1"/>
  <c r="D505" i="33" s="1"/>
  <c r="F505" i="33" a="1"/>
  <c r="F505" i="33"/>
  <c r="D506" i="33" a="1"/>
  <c r="D506" i="33" s="1"/>
  <c r="F506" i="33" a="1"/>
  <c r="F506" i="33"/>
  <c r="D507" i="33" a="1"/>
  <c r="D507" i="33" s="1"/>
  <c r="F507" i="33" a="1"/>
  <c r="F507" i="33"/>
  <c r="D508" i="33" a="1"/>
  <c r="D508" i="33" s="1"/>
  <c r="F508" i="33" a="1"/>
  <c r="F508" i="33"/>
  <c r="D509" i="33" a="1"/>
  <c r="D509" i="33" s="1"/>
  <c r="F509" i="33" a="1"/>
  <c r="F509" i="33"/>
  <c r="D510" i="33" a="1"/>
  <c r="D510" i="33" s="1"/>
  <c r="F510" i="33" a="1"/>
  <c r="F510" i="33"/>
  <c r="D511" i="33" a="1"/>
  <c r="D511" i="33" s="1"/>
  <c r="F511" i="33" a="1"/>
  <c r="F511" i="33"/>
  <c r="D512" i="33" a="1"/>
  <c r="D512" i="33" s="1"/>
  <c r="F512" i="33" a="1"/>
  <c r="F512" i="33"/>
  <c r="D513" i="33" a="1"/>
  <c r="D513" i="33" s="1"/>
  <c r="F513" i="33" a="1"/>
  <c r="F513" i="33"/>
  <c r="D514" i="33" a="1"/>
  <c r="D514" i="33" s="1"/>
  <c r="F514" i="33" a="1"/>
  <c r="F514" i="33"/>
  <c r="D515" i="33" a="1"/>
  <c r="D515" i="33" s="1"/>
  <c r="F515" i="33" a="1"/>
  <c r="F515" i="33"/>
  <c r="D516" i="33" a="1"/>
  <c r="D516" i="33" s="1"/>
  <c r="F516" i="33" a="1"/>
  <c r="F516" i="33"/>
  <c r="D517" i="33" a="1"/>
  <c r="D517" i="33" s="1"/>
  <c r="F517" i="33" a="1"/>
  <c r="F517" i="33"/>
  <c r="D518" i="33" a="1"/>
  <c r="D518" i="33" s="1"/>
  <c r="F518" i="33" a="1"/>
  <c r="F518" i="33"/>
  <c r="D519" i="33" a="1"/>
  <c r="D519" i="33" s="1"/>
  <c r="F519" i="33" a="1"/>
  <c r="F519" i="33"/>
  <c r="D520" i="33" a="1"/>
  <c r="D520" i="33" s="1"/>
  <c r="F520" i="33" a="1"/>
  <c r="F520" i="33"/>
  <c r="D521" i="33" a="1"/>
  <c r="D521" i="33" s="1"/>
  <c r="F521" i="33" a="1"/>
  <c r="F521" i="33"/>
  <c r="D522" i="33" a="1"/>
  <c r="D522" i="33" s="1"/>
  <c r="F522" i="33" a="1"/>
  <c r="F522" i="33"/>
  <c r="D523" i="33" a="1"/>
  <c r="D523" i="33" s="1"/>
  <c r="F523" i="33" a="1"/>
  <c r="F523" i="33"/>
  <c r="D524" i="33" a="1"/>
  <c r="D524" i="33" s="1"/>
  <c r="F524" i="33" a="1"/>
  <c r="F524" i="33"/>
  <c r="D525" i="33" a="1"/>
  <c r="D525" i="33" s="1"/>
  <c r="F525" i="33" a="1"/>
  <c r="F525" i="33"/>
  <c r="D526" i="33" a="1"/>
  <c r="D526" i="33" s="1"/>
  <c r="F526" i="33" a="1"/>
  <c r="F526" i="33"/>
  <c r="D527" i="33" a="1"/>
  <c r="D527" i="33" s="1"/>
  <c r="F527" i="33" a="1"/>
  <c r="F527" i="33"/>
  <c r="D528" i="33" a="1"/>
  <c r="D528" i="33" s="1"/>
  <c r="F528" i="33" a="1"/>
  <c r="F528" i="33"/>
  <c r="D529" i="33" a="1"/>
  <c r="D529" i="33" s="1"/>
  <c r="F529" i="33" a="1"/>
  <c r="F529" i="33"/>
  <c r="D530" i="33" a="1"/>
  <c r="D530" i="33" s="1"/>
  <c r="F530" i="33" a="1"/>
  <c r="F530" i="33"/>
  <c r="D531" i="33" a="1"/>
  <c r="D531" i="33" s="1"/>
  <c r="F531" i="33" a="1"/>
  <c r="F531" i="33"/>
  <c r="D532" i="33" a="1"/>
  <c r="D532" i="33" s="1"/>
  <c r="F532" i="33" a="1"/>
  <c r="F532" i="33"/>
  <c r="D533" i="33" a="1"/>
  <c r="D533" i="33" s="1"/>
  <c r="F533" i="33" a="1"/>
  <c r="F533" i="33"/>
  <c r="D534" i="33" a="1"/>
  <c r="D534" i="33" s="1"/>
  <c r="F534" i="33" a="1"/>
  <c r="F534" i="33"/>
  <c r="D535" i="33" a="1"/>
  <c r="D535" i="33" s="1"/>
  <c r="F535" i="33" a="1"/>
  <c r="F535" i="33"/>
  <c r="D536" i="33" a="1"/>
  <c r="D536" i="33" s="1"/>
  <c r="F536" i="33" a="1"/>
  <c r="F536" i="33"/>
  <c r="D537" i="33" a="1"/>
  <c r="D537" i="33" s="1"/>
  <c r="F537" i="33" a="1"/>
  <c r="F537" i="33"/>
  <c r="D538" i="33" a="1"/>
  <c r="D538" i="33" s="1"/>
  <c r="F538" i="33" a="1"/>
  <c r="F538" i="33"/>
  <c r="D539" i="33" a="1"/>
  <c r="D539" i="33" s="1"/>
  <c r="F539" i="33" a="1"/>
  <c r="F539" i="33"/>
  <c r="D540" i="33" a="1"/>
  <c r="D540" i="33" s="1"/>
  <c r="F540" i="33" a="1"/>
  <c r="F540" i="33"/>
  <c r="D541" i="33" a="1"/>
  <c r="D541" i="33" s="1"/>
  <c r="F541" i="33" a="1"/>
  <c r="F541" i="33"/>
  <c r="D542" i="33" a="1"/>
  <c r="D542" i="33" s="1"/>
  <c r="F542" i="33" a="1"/>
  <c r="F542" i="33"/>
  <c r="D543" i="33" a="1"/>
  <c r="D543" i="33" s="1"/>
  <c r="F543" i="33" a="1"/>
  <c r="F543" i="33"/>
  <c r="D544" i="33" a="1"/>
  <c r="D544" i="33" s="1"/>
  <c r="F544" i="33" a="1"/>
  <c r="F544" i="33"/>
  <c r="D545" i="33" a="1"/>
  <c r="D545" i="33" s="1"/>
  <c r="F545" i="33" a="1"/>
  <c r="F545" i="33"/>
  <c r="D546" i="33" a="1"/>
  <c r="D546" i="33" s="1"/>
  <c r="F546" i="33" a="1"/>
  <c r="F546" i="33"/>
  <c r="D547" i="33" a="1"/>
  <c r="D547" i="33" s="1"/>
  <c r="F547" i="33" a="1"/>
  <c r="F547" i="33"/>
  <c r="D548" i="33" a="1"/>
  <c r="D548" i="33" s="1"/>
  <c r="F548" i="33" a="1"/>
  <c r="F548" i="33"/>
  <c r="D549" i="33" a="1"/>
  <c r="D549" i="33" s="1"/>
  <c r="F549" i="33" a="1"/>
  <c r="F549" i="33"/>
  <c r="D550" i="33" a="1"/>
  <c r="D550" i="33" s="1"/>
  <c r="F550" i="33" a="1"/>
  <c r="F550" i="33"/>
  <c r="D551" i="33" a="1"/>
  <c r="D551" i="33" s="1"/>
  <c r="F551" i="33" a="1"/>
  <c r="F551" i="33"/>
  <c r="D552" i="33" a="1"/>
  <c r="D552" i="33" s="1"/>
  <c r="F552" i="33" a="1"/>
  <c r="F552" i="33"/>
  <c r="D553" i="33" a="1"/>
  <c r="D553" i="33" s="1"/>
  <c r="F553" i="33" a="1"/>
  <c r="F553" i="33"/>
  <c r="D554" i="33" a="1"/>
  <c r="D554" i="33" s="1"/>
  <c r="F554" i="33" a="1"/>
  <c r="F554" i="33"/>
  <c r="D555" i="33" a="1"/>
  <c r="D555" i="33" s="1"/>
  <c r="F555" i="33" a="1"/>
  <c r="F555" i="33"/>
  <c r="D556" i="33" a="1"/>
  <c r="D556" i="33" s="1"/>
  <c r="F556" i="33" a="1"/>
  <c r="F556" i="33"/>
  <c r="D557" i="33" a="1"/>
  <c r="D557" i="33" s="1"/>
  <c r="F557" i="33" a="1"/>
  <c r="F557" i="33"/>
  <c r="D558" i="33" a="1"/>
  <c r="D558" i="33" s="1"/>
  <c r="F558" i="33" a="1"/>
  <c r="F558" i="33"/>
  <c r="D559" i="33" a="1"/>
  <c r="D559" i="33" s="1"/>
  <c r="F559" i="33" a="1"/>
  <c r="F559" i="33"/>
  <c r="D560" i="33" a="1"/>
  <c r="D560" i="33" s="1"/>
  <c r="F560" i="33" a="1"/>
  <c r="F560" i="33"/>
  <c r="D561" i="33" a="1"/>
  <c r="D561" i="33" s="1"/>
  <c r="F561" i="33" a="1"/>
  <c r="F561" i="33"/>
  <c r="D562" i="33" a="1"/>
  <c r="D562" i="33" s="1"/>
  <c r="F562" i="33" a="1"/>
  <c r="F562" i="33"/>
  <c r="D563" i="33" a="1"/>
  <c r="D563" i="33" s="1"/>
  <c r="F563" i="33" a="1"/>
  <c r="F563" i="33"/>
  <c r="D564" i="33" a="1"/>
  <c r="D564" i="33" s="1"/>
  <c r="F564" i="33" a="1"/>
  <c r="F564" i="33"/>
  <c r="D565" i="33" a="1"/>
  <c r="D565" i="33" s="1"/>
  <c r="F565" i="33" a="1"/>
  <c r="F565" i="33"/>
  <c r="D566" i="33" a="1"/>
  <c r="D566" i="33" s="1"/>
  <c r="F566" i="33" a="1"/>
  <c r="F566" i="33"/>
  <c r="D567" i="33" a="1"/>
  <c r="D567" i="33" s="1"/>
  <c r="F567" i="33" a="1"/>
  <c r="F567" i="33"/>
  <c r="D568" i="33" a="1"/>
  <c r="D568" i="33" s="1"/>
  <c r="F568" i="33" a="1"/>
  <c r="F568" i="33"/>
  <c r="D569" i="33" a="1"/>
  <c r="D569" i="33" s="1"/>
  <c r="F569" i="33" a="1"/>
  <c r="F569" i="33"/>
  <c r="D570" i="33" a="1"/>
  <c r="D570" i="33" s="1"/>
  <c r="F570" i="33" a="1"/>
  <c r="F570" i="33"/>
  <c r="D571" i="33" a="1"/>
  <c r="D571" i="33" s="1"/>
  <c r="F571" i="33" a="1"/>
  <c r="F571" i="33"/>
  <c r="D572" i="33" a="1"/>
  <c r="D572" i="33" s="1"/>
  <c r="F572" i="33" a="1"/>
  <c r="F572" i="33"/>
  <c r="D573" i="33" a="1"/>
  <c r="D573" i="33" s="1"/>
  <c r="F573" i="33" a="1"/>
  <c r="F573" i="33"/>
  <c r="D574" i="33" a="1"/>
  <c r="D574" i="33" s="1"/>
  <c r="F574" i="33" a="1"/>
  <c r="F574" i="33"/>
  <c r="D575" i="33" a="1"/>
  <c r="D575" i="33" s="1"/>
  <c r="F575" i="33" a="1"/>
  <c r="F575" i="33"/>
  <c r="D576" i="33" a="1"/>
  <c r="D576" i="33" s="1"/>
  <c r="F576" i="33" a="1"/>
  <c r="F576" i="33"/>
  <c r="D577" i="33" a="1"/>
  <c r="D577" i="33" s="1"/>
  <c r="F577" i="33" a="1"/>
  <c r="F577" i="33"/>
  <c r="D578" i="33" a="1"/>
  <c r="D578" i="33" s="1"/>
  <c r="F578" i="33" a="1"/>
  <c r="F578" i="33"/>
  <c r="D579" i="33" a="1"/>
  <c r="D579" i="33" s="1"/>
  <c r="F579" i="33" a="1"/>
  <c r="F579" i="33"/>
  <c r="D580" i="33" a="1"/>
  <c r="D580" i="33" s="1"/>
  <c r="F580" i="33" a="1"/>
  <c r="F580" i="33"/>
  <c r="D581" i="33" a="1"/>
  <c r="D581" i="33" s="1"/>
  <c r="F581" i="33" a="1"/>
  <c r="F581" i="33"/>
  <c r="D582" i="33" a="1"/>
  <c r="D582" i="33" s="1"/>
  <c r="F582" i="33" a="1"/>
  <c r="F582" i="33"/>
  <c r="D583" i="33" a="1"/>
  <c r="D583" i="33" s="1"/>
  <c r="F583" i="33" a="1"/>
  <c r="F583" i="33"/>
  <c r="D584" i="33" a="1"/>
  <c r="D584" i="33" s="1"/>
  <c r="F584" i="33" a="1"/>
  <c r="F584" i="33"/>
  <c r="D585" i="33" a="1"/>
  <c r="D585" i="33" s="1"/>
  <c r="F585" i="33" a="1"/>
  <c r="F585" i="33"/>
  <c r="D586" i="33" a="1"/>
  <c r="D586" i="33" s="1"/>
  <c r="F586" i="33" a="1"/>
  <c r="F586" i="33"/>
  <c r="D587" i="33" a="1"/>
  <c r="D587" i="33" s="1"/>
  <c r="F587" i="33" a="1"/>
  <c r="F587" i="33"/>
  <c r="D588" i="33" a="1"/>
  <c r="D588" i="33" s="1"/>
  <c r="F588" i="33" a="1"/>
  <c r="F588" i="33"/>
  <c r="D589" i="33" a="1"/>
  <c r="D589" i="33" s="1"/>
  <c r="F589" i="33" a="1"/>
  <c r="F589" i="33"/>
  <c r="D590" i="33" a="1"/>
  <c r="D590" i="33" s="1"/>
  <c r="F590" i="33" a="1"/>
  <c r="F590" i="33"/>
  <c r="D591" i="33" a="1"/>
  <c r="D591" i="33" s="1"/>
  <c r="F591" i="33" a="1"/>
  <c r="F591" i="33"/>
  <c r="D592" i="33" a="1"/>
  <c r="D592" i="33" s="1"/>
  <c r="F592" i="33" a="1"/>
  <c r="F592" i="33"/>
  <c r="D593" i="33" a="1"/>
  <c r="D593" i="33" s="1"/>
  <c r="F593" i="33" a="1"/>
  <c r="F593" i="33"/>
  <c r="D594" i="33" a="1"/>
  <c r="D594" i="33" s="1"/>
  <c r="F594" i="33" a="1"/>
  <c r="F594" i="33" s="1"/>
  <c r="D595" i="33" a="1"/>
  <c r="D595" i="33" s="1"/>
  <c r="F595" i="33" a="1"/>
  <c r="F595" i="33"/>
  <c r="D596" i="33" a="1"/>
  <c r="D596" i="33" s="1"/>
  <c r="F596" i="33" a="1"/>
  <c r="F596" i="33"/>
  <c r="D597" i="33" a="1"/>
  <c r="D597" i="33" s="1"/>
  <c r="F597" i="33" a="1"/>
  <c r="F597" i="33" s="1"/>
  <c r="D598" i="33" a="1"/>
  <c r="D598" i="33" s="1"/>
  <c r="F598" i="33" a="1"/>
  <c r="F598" i="33"/>
  <c r="D599" i="33" a="1"/>
  <c r="D599" i="33" s="1"/>
  <c r="F599" i="33" a="1"/>
  <c r="F599" i="33"/>
  <c r="D600" i="33" a="1"/>
  <c r="D600" i="33" s="1"/>
  <c r="F600" i="33" a="1"/>
  <c r="F600" i="33" s="1"/>
  <c r="D601" i="33" a="1"/>
  <c r="D601" i="33" s="1"/>
  <c r="F601" i="33" a="1"/>
  <c r="F601" i="33"/>
  <c r="D602" i="33" a="1"/>
  <c r="D602" i="33" s="1"/>
  <c r="F602" i="33" a="1"/>
  <c r="F602" i="33"/>
  <c r="D603" i="33" a="1"/>
  <c r="D603" i="33" s="1"/>
  <c r="F603" i="33" a="1"/>
  <c r="F603" i="33" s="1"/>
  <c r="D604" i="33" a="1"/>
  <c r="D604" i="33" s="1"/>
  <c r="F604" i="33" a="1"/>
  <c r="F604" i="33"/>
  <c r="D605" i="33" a="1"/>
  <c r="D605" i="33" s="1"/>
  <c r="F605" i="33" a="1"/>
  <c r="F605" i="33"/>
  <c r="D606" i="33" a="1"/>
  <c r="D606" i="33" s="1"/>
  <c r="F606" i="33" a="1"/>
  <c r="F606" i="33" s="1"/>
  <c r="D607" i="33" a="1"/>
  <c r="D607" i="33" s="1"/>
  <c r="F607" i="33" a="1"/>
  <c r="F607" i="33"/>
  <c r="D608" i="33" a="1"/>
  <c r="D608" i="33" s="1"/>
  <c r="F608" i="33" a="1"/>
  <c r="F608" i="33" s="1"/>
  <c r="D609" i="33" a="1"/>
  <c r="D609" i="33" s="1"/>
  <c r="F609" i="33" a="1"/>
  <c r="F609" i="33" s="1"/>
  <c r="D610" i="33" a="1"/>
  <c r="D610" i="33" s="1"/>
  <c r="F610" i="33" a="1"/>
  <c r="F610" i="33"/>
  <c r="D611" i="33" a="1"/>
  <c r="D611" i="33" s="1"/>
  <c r="F611" i="33" a="1"/>
  <c r="F611" i="33" s="1"/>
  <c r="D612" i="33" a="1"/>
  <c r="D612" i="33" s="1"/>
  <c r="F612" i="33" a="1"/>
  <c r="F612" i="33" s="1"/>
  <c r="D613" i="33" a="1"/>
  <c r="D613" i="33" s="1"/>
  <c r="F613" i="33" a="1"/>
  <c r="F613" i="33"/>
  <c r="D614" i="33" a="1"/>
  <c r="D614" i="33" s="1"/>
  <c r="F614" i="33" a="1"/>
  <c r="F614" i="33" s="1"/>
  <c r="D615" i="33" a="1"/>
  <c r="D615" i="33" s="1"/>
  <c r="F615" i="33" a="1"/>
  <c r="F615" i="33" s="1"/>
  <c r="D616" i="33" a="1"/>
  <c r="D616" i="33" s="1"/>
  <c r="F616" i="33" a="1"/>
  <c r="F616" i="33"/>
  <c r="D617" i="33" a="1"/>
  <c r="D617" i="33" s="1"/>
  <c r="F617" i="33" a="1"/>
  <c r="F617" i="33" s="1"/>
  <c r="D618" i="33" a="1"/>
  <c r="D618" i="33" s="1"/>
  <c r="F618" i="33" a="1"/>
  <c r="F618" i="33" s="1"/>
  <c r="D619" i="33" a="1"/>
  <c r="D619" i="33" s="1"/>
  <c r="F619" i="33" a="1"/>
  <c r="F619" i="33"/>
  <c r="D620" i="33" a="1"/>
  <c r="D620" i="33" s="1"/>
  <c r="F620" i="33" a="1"/>
  <c r="F620" i="33" s="1"/>
  <c r="D621" i="33" a="1"/>
  <c r="D621" i="33" s="1"/>
  <c r="F621" i="33" a="1"/>
  <c r="F621" i="33" s="1"/>
  <c r="D622" i="33" a="1"/>
  <c r="D622" i="33" s="1"/>
  <c r="F622" i="33" a="1"/>
  <c r="F622" i="33"/>
  <c r="D623" i="33" a="1"/>
  <c r="D623" i="33" s="1"/>
  <c r="F623" i="33" a="1"/>
  <c r="F623" i="33" s="1"/>
  <c r="D624" i="33" a="1"/>
  <c r="D624" i="33" s="1"/>
  <c r="F624" i="33" a="1"/>
  <c r="F624" i="33" s="1"/>
  <c r="D625" i="33" a="1"/>
  <c r="D625" i="33" s="1"/>
  <c r="F625" i="33" a="1"/>
  <c r="F625" i="33"/>
  <c r="D626" i="33" a="1"/>
  <c r="D626" i="33" s="1"/>
  <c r="F626" i="33" a="1"/>
  <c r="F626" i="33" s="1"/>
  <c r="D627" i="33" a="1"/>
  <c r="D627" i="33" s="1"/>
  <c r="F627" i="33" a="1"/>
  <c r="F627" i="33" s="1"/>
  <c r="D628" i="33" a="1"/>
  <c r="D628" i="33" s="1"/>
  <c r="F628" i="33" a="1"/>
  <c r="F628" i="33"/>
  <c r="D629" i="33" a="1"/>
  <c r="D629" i="33" s="1"/>
  <c r="F629" i="33" a="1"/>
  <c r="F629" i="33" s="1"/>
  <c r="D630" i="33" a="1"/>
  <c r="D630" i="33" s="1"/>
  <c r="F630" i="33" a="1"/>
  <c r="F630" i="33" s="1"/>
  <c r="D631" i="33" a="1"/>
  <c r="D631" i="33" s="1"/>
  <c r="F631" i="33" a="1"/>
  <c r="F631" i="33"/>
  <c r="D632" i="33" a="1"/>
  <c r="D632" i="33" s="1"/>
  <c r="F632" i="33" a="1"/>
  <c r="F632" i="33" s="1"/>
  <c r="D633" i="33" a="1"/>
  <c r="D633" i="33" s="1"/>
  <c r="F633" i="33" a="1"/>
  <c r="F633" i="33" s="1"/>
  <c r="D634" i="33" a="1"/>
  <c r="D634" i="33" s="1"/>
  <c r="F634" i="33" a="1"/>
  <c r="F634" i="33"/>
  <c r="D635" i="33" a="1"/>
  <c r="D635" i="33" s="1"/>
  <c r="F635" i="33" a="1"/>
  <c r="F635" i="33" s="1"/>
  <c r="D636" i="33" a="1"/>
  <c r="D636" i="33" s="1"/>
  <c r="F636" i="33" a="1"/>
  <c r="F636" i="33" s="1"/>
  <c r="D637" i="33" a="1"/>
  <c r="D637" i="33" s="1"/>
  <c r="F637" i="33" a="1"/>
  <c r="F637" i="33"/>
  <c r="D638" i="33" a="1"/>
  <c r="D638" i="33" s="1"/>
  <c r="F638" i="33" a="1"/>
  <c r="F638" i="33" s="1"/>
  <c r="D639" i="33" a="1"/>
  <c r="D639" i="33" s="1"/>
  <c r="F639" i="33" a="1"/>
  <c r="F639" i="33" s="1"/>
  <c r="D640" i="33" a="1"/>
  <c r="D640" i="33" s="1"/>
  <c r="F640" i="33" a="1"/>
  <c r="F640" i="33"/>
  <c r="D641" i="33" a="1"/>
  <c r="D641" i="33" s="1"/>
  <c r="F641" i="33" a="1"/>
  <c r="F641" i="33" s="1"/>
  <c r="D642" i="33" a="1"/>
  <c r="D642" i="33" s="1"/>
  <c r="F642" i="33" a="1"/>
  <c r="F642" i="33" s="1"/>
  <c r="D643" i="33" a="1"/>
  <c r="D643" i="33" s="1"/>
  <c r="F643" i="33" a="1"/>
  <c r="F643" i="33"/>
  <c r="D644" i="33" a="1"/>
  <c r="D644" i="33" s="1"/>
  <c r="F644" i="33" a="1"/>
  <c r="F644" i="33" s="1"/>
  <c r="D645" i="33" a="1"/>
  <c r="D645" i="33" s="1"/>
  <c r="F645" i="33" a="1"/>
  <c r="F645" i="33" s="1"/>
  <c r="D646" i="33" a="1"/>
  <c r="D646" i="33" s="1"/>
  <c r="F646" i="33" a="1"/>
  <c r="F646" i="33"/>
  <c r="D647" i="33" a="1"/>
  <c r="D647" i="33" s="1"/>
  <c r="F647" i="33" a="1"/>
  <c r="F647" i="33" s="1"/>
  <c r="D648" i="33" a="1"/>
  <c r="D648" i="33" s="1"/>
  <c r="F648" i="33" a="1"/>
  <c r="F648" i="33" s="1"/>
  <c r="D649" i="33" a="1"/>
  <c r="D649" i="33" s="1"/>
  <c r="F649" i="33" a="1"/>
  <c r="F649" i="33"/>
  <c r="D650" i="33" a="1"/>
  <c r="D650" i="33" s="1"/>
  <c r="F650" i="33" a="1"/>
  <c r="F650" i="33" s="1"/>
  <c r="D651" i="33" a="1"/>
  <c r="D651" i="33" s="1"/>
  <c r="F651" i="33" a="1"/>
  <c r="F651" i="33" s="1"/>
  <c r="D652" i="33" a="1"/>
  <c r="D652" i="33" s="1"/>
  <c r="F652" i="33" a="1"/>
  <c r="F652" i="33"/>
  <c r="D653" i="33" a="1"/>
  <c r="D653" i="33" s="1"/>
  <c r="F653" i="33" a="1"/>
  <c r="F653" i="33" s="1"/>
  <c r="D654" i="33" a="1"/>
  <c r="D654" i="33" s="1"/>
  <c r="F654" i="33" a="1"/>
  <c r="F654" i="33" s="1"/>
  <c r="D655" i="33" a="1"/>
  <c r="D655" i="33" s="1"/>
  <c r="F655" i="33" a="1"/>
  <c r="F655" i="33"/>
  <c r="D656" i="33" a="1"/>
  <c r="D656" i="33" s="1"/>
  <c r="F656" i="33" a="1"/>
  <c r="F656" i="33" s="1"/>
  <c r="D657" i="33" a="1"/>
  <c r="D657" i="33" s="1"/>
  <c r="F657" i="33" a="1"/>
  <c r="F657" i="33" s="1"/>
  <c r="D658" i="33" a="1"/>
  <c r="D658" i="33" s="1"/>
  <c r="F658" i="33" a="1"/>
  <c r="F658" i="33"/>
  <c r="D659" i="33" a="1"/>
  <c r="D659" i="33" s="1"/>
  <c r="F659" i="33" a="1"/>
  <c r="F659" i="33" s="1"/>
  <c r="D660" i="33" a="1"/>
  <c r="D660" i="33" s="1"/>
  <c r="F660" i="33" a="1"/>
  <c r="F660" i="33" s="1"/>
  <c r="D661" i="33" a="1"/>
  <c r="D661" i="33" s="1"/>
  <c r="F661" i="33" a="1"/>
  <c r="F661" i="33"/>
  <c r="D662" i="33" a="1"/>
  <c r="D662" i="33" s="1"/>
  <c r="F662" i="33" a="1"/>
  <c r="F662" i="33" s="1"/>
  <c r="D663" i="33" a="1"/>
  <c r="D663" i="33" s="1"/>
  <c r="F663" i="33" a="1"/>
  <c r="F663" i="33" s="1"/>
  <c r="D664" i="33" a="1"/>
  <c r="D664" i="33" s="1"/>
  <c r="F664" i="33" a="1"/>
  <c r="F664" i="33"/>
  <c r="D665" i="33" a="1"/>
  <c r="D665" i="33" s="1"/>
  <c r="F665" i="33" a="1"/>
  <c r="F665" i="33" s="1"/>
  <c r="D666" i="33" a="1"/>
  <c r="D666" i="33" s="1"/>
  <c r="F666" i="33" a="1"/>
  <c r="F666" i="33" s="1"/>
  <c r="D667" i="33" a="1"/>
  <c r="D667" i="33" s="1"/>
  <c r="F667" i="33" a="1"/>
  <c r="F667" i="33"/>
  <c r="D668" i="33" a="1"/>
  <c r="D668" i="33" s="1"/>
  <c r="F668" i="33" a="1"/>
  <c r="F668" i="33" s="1"/>
  <c r="D669" i="33" a="1"/>
  <c r="D669" i="33" s="1"/>
  <c r="F669" i="33" a="1"/>
  <c r="F669" i="33" s="1"/>
  <c r="D670" i="33" a="1"/>
  <c r="D670" i="33" s="1"/>
  <c r="F670" i="33" a="1"/>
  <c r="F670" i="33"/>
  <c r="D671" i="33" a="1"/>
  <c r="D671" i="33" s="1"/>
  <c r="F671" i="33" a="1"/>
  <c r="F671" i="33" s="1"/>
  <c r="D672" i="33" a="1"/>
  <c r="D672" i="33" s="1"/>
  <c r="F672" i="33" a="1"/>
  <c r="F672" i="33" s="1"/>
  <c r="D673" i="33" a="1"/>
  <c r="D673" i="33" s="1"/>
  <c r="F673" i="33" a="1"/>
  <c r="F673" i="33"/>
  <c r="D674" i="33" a="1"/>
  <c r="D674" i="33" s="1"/>
  <c r="F674" i="33" a="1"/>
  <c r="F674" i="33" s="1"/>
  <c r="D675" i="33" a="1"/>
  <c r="D675" i="33" s="1"/>
  <c r="F675" i="33" a="1"/>
  <c r="F675" i="33" s="1"/>
  <c r="D676" i="33" a="1"/>
  <c r="D676" i="33" s="1"/>
  <c r="F676" i="33" a="1"/>
  <c r="F676" i="33"/>
  <c r="D677" i="33" a="1"/>
  <c r="D677" i="33" s="1"/>
  <c r="F677" i="33" a="1"/>
  <c r="F677" i="33" s="1"/>
  <c r="D678" i="33" a="1"/>
  <c r="D678" i="33" s="1"/>
  <c r="F678" i="33" a="1"/>
  <c r="F678" i="33" s="1"/>
  <c r="D679" i="33" a="1"/>
  <c r="D679" i="33" s="1"/>
  <c r="F679" i="33" a="1"/>
  <c r="F679" i="33"/>
  <c r="D680" i="33" a="1"/>
  <c r="D680" i="33" s="1"/>
  <c r="F680" i="33" a="1"/>
  <c r="F680" i="33" s="1"/>
  <c r="D681" i="33" a="1"/>
  <c r="D681" i="33" s="1"/>
  <c r="F681" i="33" a="1"/>
  <c r="F681" i="33" s="1"/>
  <c r="D682" i="33" a="1"/>
  <c r="D682" i="33" s="1"/>
  <c r="F682" i="33" a="1"/>
  <c r="F682" i="33"/>
  <c r="D683" i="33" a="1"/>
  <c r="D683" i="33" s="1"/>
  <c r="F683" i="33" a="1"/>
  <c r="F683" i="33" s="1"/>
  <c r="D684" i="33" a="1"/>
  <c r="D684" i="33" s="1"/>
  <c r="F684" i="33" a="1"/>
  <c r="F684" i="33" s="1"/>
  <c r="D685" i="33" a="1"/>
  <c r="D685" i="33" s="1"/>
  <c r="F685" i="33" a="1"/>
  <c r="F685" i="33" s="1"/>
  <c r="D686" i="33" a="1"/>
  <c r="D686" i="33" s="1"/>
  <c r="F686" i="33" a="1"/>
  <c r="F686" i="33"/>
  <c r="D687" i="33" a="1"/>
  <c r="D687" i="33" s="1"/>
  <c r="F687" i="33" a="1"/>
  <c r="F687" i="33" s="1"/>
  <c r="D688" i="33" a="1"/>
  <c r="D688" i="33" s="1"/>
  <c r="F688" i="33" a="1"/>
  <c r="F688" i="33" s="1"/>
  <c r="D689" i="33" a="1"/>
  <c r="D689" i="33" s="1"/>
  <c r="F689" i="33" a="1"/>
  <c r="F689" i="33"/>
  <c r="D690" i="33" a="1"/>
  <c r="D690" i="33" s="1"/>
  <c r="F690" i="33" a="1"/>
  <c r="F690" i="33" s="1"/>
  <c r="D691" i="33" a="1"/>
  <c r="D691" i="33" s="1"/>
  <c r="F691" i="33" a="1"/>
  <c r="F691" i="33" s="1"/>
  <c r="D692" i="33" a="1"/>
  <c r="D692" i="33" s="1"/>
  <c r="F692" i="33" a="1"/>
  <c r="F692" i="33"/>
  <c r="D693" i="33" a="1"/>
  <c r="D693" i="33" s="1"/>
  <c r="F693" i="33" a="1"/>
  <c r="F693" i="33" s="1"/>
  <c r="D694" i="33" a="1"/>
  <c r="D694" i="33" s="1"/>
  <c r="F694" i="33" a="1"/>
  <c r="F694" i="33" s="1"/>
  <c r="D695" i="33" a="1"/>
  <c r="D695" i="33" s="1"/>
  <c r="F695" i="33" a="1"/>
  <c r="F695" i="33"/>
  <c r="D696" i="33" a="1"/>
  <c r="D696" i="33" s="1"/>
  <c r="F696" i="33" a="1"/>
  <c r="F696" i="33" s="1"/>
  <c r="D697" i="33" a="1"/>
  <c r="D697" i="33" s="1"/>
  <c r="F697" i="33" a="1"/>
  <c r="F697" i="33" s="1"/>
  <c r="D698" i="33" a="1"/>
  <c r="D698" i="33" s="1"/>
  <c r="F698" i="33" a="1"/>
  <c r="F698" i="33"/>
  <c r="D699" i="33" a="1"/>
  <c r="D699" i="33" s="1"/>
  <c r="F699" i="33" a="1"/>
  <c r="F699" i="33" s="1"/>
  <c r="D700" i="33" a="1"/>
  <c r="D700" i="33" s="1"/>
  <c r="F700" i="33" a="1"/>
  <c r="F700" i="33" s="1"/>
  <c r="D701" i="33" a="1"/>
  <c r="D701" i="33" s="1"/>
  <c r="F701" i="33" a="1"/>
  <c r="F701" i="33"/>
  <c r="D702" i="33" a="1"/>
  <c r="D702" i="33" s="1"/>
  <c r="F702" i="33" a="1"/>
  <c r="F702" i="33" s="1"/>
  <c r="D703" i="33" a="1"/>
  <c r="D703" i="33" s="1"/>
  <c r="F703" i="33" a="1"/>
  <c r="F703" i="33" s="1"/>
  <c r="D704" i="33" a="1"/>
  <c r="D704" i="33" s="1"/>
  <c r="F704" i="33" a="1"/>
  <c r="F704" i="33"/>
  <c r="D705" i="33" a="1"/>
  <c r="D705" i="33" s="1"/>
  <c r="F705" i="33" a="1"/>
  <c r="F705" i="33" s="1"/>
  <c r="D706" i="33" a="1"/>
  <c r="D706" i="33" s="1"/>
  <c r="F706" i="33" a="1"/>
  <c r="F706" i="33" s="1"/>
  <c r="D707" i="33" a="1"/>
  <c r="D707" i="33" s="1"/>
  <c r="F707" i="33" a="1"/>
  <c r="F707" i="33"/>
  <c r="D708" i="33" a="1"/>
  <c r="D708" i="33" s="1"/>
  <c r="F708" i="33" a="1"/>
  <c r="F708" i="33" s="1"/>
  <c r="D709" i="33" a="1"/>
  <c r="D709" i="33" s="1"/>
  <c r="F709" i="33" a="1"/>
  <c r="F709" i="33" s="1"/>
  <c r="D710" i="33" a="1"/>
  <c r="D710" i="33" s="1"/>
  <c r="F710" i="33" a="1"/>
  <c r="F710" i="33"/>
  <c r="D711" i="33" a="1"/>
  <c r="D711" i="33" s="1"/>
  <c r="F711" i="33" a="1"/>
  <c r="F711" i="33" s="1"/>
  <c r="D712" i="33" a="1"/>
  <c r="D712" i="33" s="1"/>
  <c r="F712" i="33" a="1"/>
  <c r="F712" i="33" s="1"/>
  <c r="D713" i="33" a="1"/>
  <c r="D713" i="33" s="1"/>
  <c r="F713" i="33" a="1"/>
  <c r="F713" i="33"/>
  <c r="D714" i="33" a="1"/>
  <c r="D714" i="33" s="1"/>
  <c r="F714" i="33" a="1"/>
  <c r="F714" i="33" s="1"/>
  <c r="D715" i="33" a="1"/>
  <c r="D715" i="33" s="1"/>
  <c r="F715" i="33" a="1"/>
  <c r="F715" i="33" s="1"/>
  <c r="D716" i="33" a="1"/>
  <c r="D716" i="33" s="1"/>
  <c r="F716" i="33" a="1"/>
  <c r="F716" i="33"/>
  <c r="D717" i="33" a="1"/>
  <c r="D717" i="33" s="1"/>
  <c r="F717" i="33" a="1"/>
  <c r="F717" i="33" s="1"/>
  <c r="D718" i="33" a="1"/>
  <c r="D718" i="33" s="1"/>
  <c r="F718" i="33" a="1"/>
  <c r="F718" i="33" s="1"/>
  <c r="D719" i="33" a="1"/>
  <c r="D719" i="33" s="1"/>
  <c r="F719" i="33" a="1"/>
  <c r="F719" i="33"/>
  <c r="D720" i="33" a="1"/>
  <c r="D720" i="33" s="1"/>
  <c r="F720" i="33" a="1"/>
  <c r="F720" i="33" s="1"/>
  <c r="D721" i="33" a="1"/>
  <c r="D721" i="33" s="1"/>
  <c r="F721" i="33" a="1"/>
  <c r="F721" i="33" s="1"/>
  <c r="D722" i="33" a="1"/>
  <c r="D722" i="33" s="1"/>
  <c r="F722" i="33" a="1"/>
  <c r="F722" i="33"/>
  <c r="D723" i="33" a="1"/>
  <c r="D723" i="33" s="1"/>
  <c r="F723" i="33" a="1"/>
  <c r="F723" i="33" s="1"/>
  <c r="D724" i="33" a="1"/>
  <c r="D724" i="33" s="1"/>
  <c r="F724" i="33" a="1"/>
  <c r="F724" i="33" s="1"/>
  <c r="D725" i="33" a="1"/>
  <c r="D725" i="33" s="1"/>
  <c r="F725" i="33" a="1"/>
  <c r="F725" i="33"/>
  <c r="D726" i="33" a="1"/>
  <c r="D726" i="33" s="1"/>
  <c r="F726" i="33" a="1"/>
  <c r="F726" i="33" s="1"/>
  <c r="D727" i="33" a="1"/>
  <c r="D727" i="33" s="1"/>
  <c r="F727" i="33" a="1"/>
  <c r="F727" i="33" s="1"/>
  <c r="D728" i="33" a="1"/>
  <c r="D728" i="33" s="1"/>
  <c r="F728" i="33" a="1"/>
  <c r="F728" i="33"/>
  <c r="D729" i="33" a="1"/>
  <c r="D729" i="33" s="1"/>
  <c r="F729" i="33" a="1"/>
  <c r="F729" i="33" s="1"/>
  <c r="D730" i="33" a="1"/>
  <c r="D730" i="33" s="1"/>
  <c r="F730" i="33" a="1"/>
  <c r="F730" i="33" s="1"/>
  <c r="D731" i="33" a="1"/>
  <c r="D731" i="33" s="1"/>
  <c r="F731" i="33" a="1"/>
  <c r="F731" i="33"/>
  <c r="D732" i="33" a="1"/>
  <c r="D732" i="33" s="1"/>
  <c r="F732" i="33" a="1"/>
  <c r="F732" i="33" s="1"/>
  <c r="D733" i="33" a="1"/>
  <c r="D733" i="33" s="1"/>
  <c r="F733" i="33" a="1"/>
  <c r="F733" i="33" s="1"/>
  <c r="D734" i="33" a="1"/>
  <c r="D734" i="33" s="1"/>
  <c r="F734" i="33" a="1"/>
  <c r="F734" i="33"/>
  <c r="D735" i="33" a="1"/>
  <c r="D735" i="33" s="1"/>
  <c r="F735" i="33" a="1"/>
  <c r="F735" i="33" s="1"/>
  <c r="D736" i="33" a="1"/>
  <c r="D736" i="33" s="1"/>
  <c r="F736" i="33" a="1"/>
  <c r="F736" i="33" s="1"/>
  <c r="D737" i="33" a="1"/>
  <c r="D737" i="33" s="1"/>
  <c r="F737" i="33" a="1"/>
  <c r="F737" i="33"/>
  <c r="D738" i="33" a="1"/>
  <c r="D738" i="33" s="1"/>
  <c r="F738" i="33" a="1"/>
  <c r="F738" i="33" s="1"/>
  <c r="D739" i="33" a="1"/>
  <c r="D739" i="33" s="1"/>
  <c r="F739" i="33" a="1"/>
  <c r="F739" i="33" s="1"/>
  <c r="D740" i="33" a="1"/>
  <c r="D740" i="33" s="1"/>
  <c r="F740" i="33" a="1"/>
  <c r="F740" i="33"/>
  <c r="D741" i="33" a="1"/>
  <c r="D741" i="33" s="1"/>
  <c r="F741" i="33" a="1"/>
  <c r="F741" i="33" s="1"/>
  <c r="D742" i="33" a="1"/>
  <c r="D742" i="33" s="1"/>
  <c r="F742" i="33" a="1"/>
  <c r="F742" i="33" s="1"/>
  <c r="D743" i="33" a="1"/>
  <c r="D743" i="33" s="1"/>
  <c r="F743" i="33" a="1"/>
  <c r="F743" i="33"/>
  <c r="D744" i="33" a="1"/>
  <c r="D744" i="33" s="1"/>
  <c r="F744" i="33" a="1"/>
  <c r="F744" i="33" s="1"/>
  <c r="D745" i="33" a="1"/>
  <c r="D745" i="33" s="1"/>
  <c r="F745" i="33" a="1"/>
  <c r="F745" i="33" s="1"/>
  <c r="D746" i="33" a="1"/>
  <c r="D746" i="33" s="1"/>
  <c r="F746" i="33" a="1"/>
  <c r="F746" i="33" s="1"/>
  <c r="D747" i="33" a="1"/>
  <c r="D747" i="33" s="1"/>
  <c r="F747" i="33" a="1"/>
  <c r="F747" i="33"/>
  <c r="D748" i="33" a="1"/>
  <c r="D748" i="33" s="1"/>
  <c r="F748" i="33" a="1"/>
  <c r="F748" i="33" s="1"/>
  <c r="D749" i="33" a="1"/>
  <c r="D749" i="33" s="1"/>
  <c r="F749" i="33" a="1"/>
  <c r="F749" i="33" s="1"/>
  <c r="D750" i="33" a="1"/>
  <c r="D750" i="33" s="1"/>
  <c r="F750" i="33" a="1"/>
  <c r="F750" i="33"/>
  <c r="D751" i="33" a="1"/>
  <c r="D751" i="33" s="1"/>
  <c r="F751" i="33" a="1"/>
  <c r="F751" i="33" s="1"/>
  <c r="D752" i="33" a="1"/>
  <c r="D752" i="33" s="1"/>
  <c r="F752" i="33" a="1"/>
  <c r="F752" i="33"/>
  <c r="D753" i="33" a="1"/>
  <c r="D753" i="33" s="1"/>
  <c r="F753" i="33" a="1"/>
  <c r="F753" i="33"/>
  <c r="D754" i="33" a="1"/>
  <c r="D754" i="33" s="1"/>
  <c r="F754" i="33" a="1"/>
  <c r="F754" i="33" s="1"/>
  <c r="D755" i="33" a="1"/>
  <c r="D755" i="33" s="1"/>
  <c r="F755" i="33" a="1"/>
  <c r="F755" i="33"/>
  <c r="D756" i="33" a="1"/>
  <c r="D756" i="33" s="1"/>
  <c r="F756" i="33" a="1"/>
  <c r="F756" i="33"/>
  <c r="D757" i="33" a="1"/>
  <c r="D757" i="33" s="1"/>
  <c r="F757" i="33" a="1"/>
  <c r="F757" i="33" s="1"/>
  <c r="D758" i="33" a="1"/>
  <c r="D758" i="33" s="1"/>
  <c r="F758" i="33" a="1"/>
  <c r="F758" i="33"/>
  <c r="D759" i="33" a="1"/>
  <c r="D759" i="33" s="1"/>
  <c r="F759" i="33" a="1"/>
  <c r="F759" i="33"/>
  <c r="D760" i="33" a="1"/>
  <c r="D760" i="33" s="1"/>
  <c r="F760" i="33" a="1"/>
  <c r="F760" i="33" s="1"/>
  <c r="D761" i="33" a="1"/>
  <c r="D761" i="33" s="1"/>
  <c r="F761" i="33" a="1"/>
  <c r="F761" i="33"/>
  <c r="D762" i="33" a="1"/>
  <c r="D762" i="33" s="1"/>
  <c r="F762" i="33" a="1"/>
  <c r="F762" i="33"/>
  <c r="D763" i="33" a="1"/>
  <c r="D763" i="33" s="1"/>
  <c r="F763" i="33" a="1"/>
  <c r="F763" i="33" s="1"/>
  <c r="D764" i="33" a="1"/>
  <c r="D764" i="33" s="1"/>
  <c r="F764" i="33" a="1"/>
  <c r="F764" i="33"/>
  <c r="D765" i="33" a="1"/>
  <c r="D765" i="33" s="1"/>
  <c r="F765" i="33" a="1"/>
  <c r="F765" i="33"/>
  <c r="D766" i="33" a="1"/>
  <c r="D766" i="33" s="1"/>
  <c r="F766" i="33" a="1"/>
  <c r="F766" i="33" s="1"/>
  <c r="D767" i="33" a="1"/>
  <c r="D767" i="33" s="1"/>
  <c r="F767" i="33" a="1"/>
  <c r="F767" i="33"/>
  <c r="D768" i="33" a="1"/>
  <c r="D768" i="33" s="1"/>
  <c r="F768" i="33" a="1"/>
  <c r="F768" i="33"/>
  <c r="D769" i="33" a="1"/>
  <c r="D769" i="33" s="1"/>
  <c r="F769" i="33" a="1"/>
  <c r="F769" i="33" s="1"/>
  <c r="D770" i="33" a="1"/>
  <c r="D770" i="33" s="1"/>
  <c r="F770" i="33" a="1"/>
  <c r="F770" i="33"/>
  <c r="D771" i="33" a="1"/>
  <c r="D771" i="33" s="1"/>
  <c r="F771" i="33" a="1"/>
  <c r="F771" i="33"/>
  <c r="D772" i="33" a="1"/>
  <c r="D772" i="33" s="1"/>
  <c r="F772" i="33" a="1"/>
  <c r="F772" i="33" s="1"/>
  <c r="D773" i="33" a="1"/>
  <c r="D773" i="33" s="1"/>
  <c r="F773" i="33" a="1"/>
  <c r="F773" i="33"/>
  <c r="D774" i="33" a="1"/>
  <c r="D774" i="33" s="1"/>
  <c r="F774" i="33" a="1"/>
  <c r="F774" i="33"/>
  <c r="D775" i="33" a="1"/>
  <c r="D775" i="33" s="1"/>
  <c r="F775" i="33" a="1"/>
  <c r="F775" i="33" s="1"/>
  <c r="D776" i="33" a="1"/>
  <c r="D776" i="33" s="1"/>
  <c r="F776" i="33" a="1"/>
  <c r="F776" i="33"/>
  <c r="D777" i="33" a="1"/>
  <c r="D777" i="33" s="1"/>
  <c r="F777" i="33" a="1"/>
  <c r="F777" i="33"/>
  <c r="D778" i="33" a="1"/>
  <c r="D778" i="33" s="1"/>
  <c r="F778" i="33" a="1"/>
  <c r="F778" i="33" s="1"/>
  <c r="D779" i="33" a="1"/>
  <c r="D779" i="33" s="1"/>
  <c r="F779" i="33" a="1"/>
  <c r="F779" i="33"/>
  <c r="D780" i="33" a="1"/>
  <c r="D780" i="33" s="1"/>
  <c r="F780" i="33" a="1"/>
  <c r="F780" i="33"/>
  <c r="D781" i="33" a="1"/>
  <c r="D781" i="33" s="1"/>
  <c r="F781" i="33" a="1"/>
  <c r="F781" i="33" s="1"/>
  <c r="D782" i="33" a="1"/>
  <c r="D782" i="33" s="1"/>
  <c r="F782" i="33" a="1"/>
  <c r="F782" i="33"/>
  <c r="D783" i="33" a="1"/>
  <c r="D783" i="33" s="1"/>
  <c r="F783" i="33" a="1"/>
  <c r="F783" i="33"/>
  <c r="D784" i="33" a="1"/>
  <c r="D784" i="33" s="1"/>
  <c r="F784" i="33" a="1"/>
  <c r="F784" i="33" s="1"/>
  <c r="D785" i="33" a="1"/>
  <c r="D785" i="33" s="1"/>
  <c r="F785" i="33" a="1"/>
  <c r="F785" i="33"/>
  <c r="D786" i="33" a="1"/>
  <c r="D786" i="33" s="1"/>
  <c r="F786" i="33" a="1"/>
  <c r="F786" i="33"/>
  <c r="D787" i="33" a="1"/>
  <c r="D787" i="33" s="1"/>
  <c r="F787" i="33" a="1"/>
  <c r="F787" i="33" s="1"/>
  <c r="D788" i="33" a="1"/>
  <c r="D788" i="33" s="1"/>
  <c r="F788" i="33" a="1"/>
  <c r="F788" i="33"/>
  <c r="D789" i="33" a="1"/>
  <c r="D789" i="33" s="1"/>
  <c r="F789" i="33" a="1"/>
  <c r="F789" i="33"/>
  <c r="D790" i="33" a="1"/>
  <c r="D790" i="33" s="1"/>
  <c r="F790" i="33" a="1"/>
  <c r="F790" i="33" s="1"/>
  <c r="D791" i="33" a="1"/>
  <c r="D791" i="33" s="1"/>
  <c r="F791" i="33" a="1"/>
  <c r="F791" i="33"/>
  <c r="D792" i="33" a="1"/>
  <c r="D792" i="33" s="1"/>
  <c r="F792" i="33" a="1"/>
  <c r="F792" i="33"/>
  <c r="D793" i="33" a="1"/>
  <c r="D793" i="33" s="1"/>
  <c r="F793" i="33" a="1"/>
  <c r="F793" i="33" s="1"/>
  <c r="D794" i="33" a="1"/>
  <c r="D794" i="33" s="1"/>
  <c r="F794" i="33" a="1"/>
  <c r="F794" i="33"/>
  <c r="D795" i="33" a="1"/>
  <c r="D795" i="33" s="1"/>
  <c r="F795" i="33" a="1"/>
  <c r="F795" i="33"/>
  <c r="D796" i="33" a="1"/>
  <c r="D796" i="33" s="1"/>
  <c r="F796" i="33" a="1"/>
  <c r="F796" i="33" s="1"/>
  <c r="D797" i="33" a="1"/>
  <c r="D797" i="33" s="1"/>
  <c r="F797" i="33" a="1"/>
  <c r="F797" i="33"/>
  <c r="D798" i="33" a="1"/>
  <c r="D798" i="33" s="1"/>
  <c r="F798" i="33" a="1"/>
  <c r="F798" i="33"/>
  <c r="D799" i="33" a="1"/>
  <c r="D799" i="33" s="1"/>
  <c r="F799" i="33" a="1"/>
  <c r="F799" i="33" s="1"/>
  <c r="D800" i="33" a="1"/>
  <c r="D800" i="33" s="1"/>
  <c r="F800" i="33" a="1"/>
  <c r="F800" i="33"/>
  <c r="D801" i="33" a="1"/>
  <c r="D801" i="33" s="1"/>
  <c r="F801" i="33" a="1"/>
  <c r="F801" i="33"/>
  <c r="D802" i="33" a="1"/>
  <c r="D802" i="33" s="1"/>
  <c r="F802" i="33" a="1"/>
  <c r="F802" i="33" s="1"/>
  <c r="D803" i="33" a="1"/>
  <c r="D803" i="33" s="1"/>
  <c r="F803" i="33" a="1"/>
  <c r="F803" i="33"/>
  <c r="D804" i="33" a="1"/>
  <c r="D804" i="33" s="1"/>
  <c r="F804" i="33" a="1"/>
  <c r="F804" i="33"/>
  <c r="D805" i="33" a="1"/>
  <c r="D805" i="33" s="1"/>
  <c r="F805" i="33" a="1"/>
  <c r="F805" i="33" s="1"/>
  <c r="D806" i="33" a="1"/>
  <c r="D806" i="33" s="1"/>
  <c r="F806" i="33" a="1"/>
  <c r="F806" i="33"/>
  <c r="D807" i="33" a="1"/>
  <c r="D807" i="33" s="1"/>
  <c r="F807" i="33" a="1"/>
  <c r="F807" i="33"/>
  <c r="D808" i="33" a="1"/>
  <c r="D808" i="33" s="1"/>
  <c r="F808" i="33" a="1"/>
  <c r="F808" i="33" s="1"/>
  <c r="D809" i="33" a="1"/>
  <c r="D809" i="33" s="1"/>
  <c r="F809" i="33" a="1"/>
  <c r="F809" i="33"/>
  <c r="D810" i="33" a="1"/>
  <c r="D810" i="33" s="1"/>
  <c r="F810" i="33" a="1"/>
  <c r="F810" i="33"/>
  <c r="D811" i="33" a="1"/>
  <c r="D811" i="33" s="1"/>
  <c r="F811" i="33" a="1"/>
  <c r="F811" i="33" s="1"/>
  <c r="D812" i="33" a="1"/>
  <c r="D812" i="33" s="1"/>
  <c r="F812" i="33" a="1"/>
  <c r="F812" i="33"/>
  <c r="D813" i="33" a="1"/>
  <c r="D813" i="33" s="1"/>
  <c r="F813" i="33" a="1"/>
  <c r="F813" i="33"/>
  <c r="D814" i="33" a="1"/>
  <c r="D814" i="33" s="1"/>
  <c r="F814" i="33" a="1"/>
  <c r="F814" i="33" s="1"/>
  <c r="D815" i="33" a="1"/>
  <c r="D815" i="33" s="1"/>
  <c r="F815" i="33" a="1"/>
  <c r="F815" i="33"/>
  <c r="D816" i="33" a="1"/>
  <c r="D816" i="33" s="1"/>
  <c r="F816" i="33" a="1"/>
  <c r="F816" i="33"/>
  <c r="D817" i="33" a="1"/>
  <c r="D817" i="33" s="1"/>
  <c r="F817" i="33" a="1"/>
  <c r="F817" i="33" s="1"/>
  <c r="D818" i="33" a="1"/>
  <c r="D818" i="33" s="1"/>
  <c r="F818" i="33" a="1"/>
  <c r="F818" i="33"/>
  <c r="D819" i="33" a="1"/>
  <c r="D819" i="33" s="1"/>
  <c r="F819" i="33" a="1"/>
  <c r="F819" i="33"/>
  <c r="D820" i="33" a="1"/>
  <c r="D820" i="33" s="1"/>
  <c r="F820" i="33" a="1"/>
  <c r="F820" i="33" s="1"/>
  <c r="D821" i="33" a="1"/>
  <c r="D821" i="33" s="1"/>
  <c r="F821" i="33" a="1"/>
  <c r="F821" i="33"/>
  <c r="D822" i="33" a="1"/>
  <c r="D822" i="33" s="1"/>
  <c r="F822" i="33" a="1"/>
  <c r="F822" i="33"/>
  <c r="D823" i="33" a="1"/>
  <c r="D823" i="33" s="1"/>
  <c r="F823" i="33" a="1"/>
  <c r="F823" i="33" s="1"/>
  <c r="D824" i="33" a="1"/>
  <c r="D824" i="33" s="1"/>
  <c r="F824" i="33" a="1"/>
  <c r="F824" i="33"/>
  <c r="D825" i="33" a="1"/>
  <c r="D825" i="33" s="1"/>
  <c r="F825" i="33" a="1"/>
  <c r="F825" i="33"/>
  <c r="D826" i="33" a="1"/>
  <c r="D826" i="33" s="1"/>
  <c r="F826" i="33" a="1"/>
  <c r="F826" i="33" s="1"/>
  <c r="D827" i="33" a="1"/>
  <c r="D827" i="33" s="1"/>
  <c r="F827" i="33" a="1"/>
  <c r="F827" i="33"/>
  <c r="D828" i="33" a="1"/>
  <c r="D828" i="33" s="1"/>
  <c r="F828" i="33" a="1"/>
  <c r="F828" i="33"/>
  <c r="D829" i="33" a="1"/>
  <c r="D829" i="33" s="1"/>
  <c r="F829" i="33" a="1"/>
  <c r="F829" i="33" s="1"/>
  <c r="D830" i="33" a="1"/>
  <c r="D830" i="33" s="1"/>
  <c r="F830" i="33" a="1"/>
  <c r="F830" i="33"/>
  <c r="D831" i="33" a="1"/>
  <c r="D831" i="33" s="1"/>
  <c r="F831" i="33" a="1"/>
  <c r="F831" i="33"/>
  <c r="D832" i="33" a="1"/>
  <c r="D832" i="33" s="1"/>
  <c r="F832" i="33" a="1"/>
  <c r="F832" i="33" s="1"/>
  <c r="D833" i="33" a="1"/>
  <c r="D833" i="33" s="1"/>
  <c r="F833" i="33" a="1"/>
  <c r="F833" i="33"/>
  <c r="D834" i="33" a="1"/>
  <c r="D834" i="33" s="1"/>
  <c r="F834" i="33" a="1"/>
  <c r="F834" i="33"/>
  <c r="D835" i="33" a="1"/>
  <c r="D835" i="33" s="1"/>
  <c r="F835" i="33" a="1"/>
  <c r="F835" i="33" s="1"/>
  <c r="D836" i="33" a="1"/>
  <c r="D836" i="33" s="1"/>
  <c r="F836" i="33" a="1"/>
  <c r="F836" i="33"/>
  <c r="D837" i="33" a="1"/>
  <c r="D837" i="33" s="1"/>
  <c r="F837" i="33" a="1"/>
  <c r="F837" i="33"/>
  <c r="D838" i="33" a="1"/>
  <c r="D838" i="33" s="1"/>
  <c r="F838" i="33" a="1"/>
  <c r="F838" i="33" s="1"/>
  <c r="D839" i="33" a="1"/>
  <c r="D839" i="33" s="1"/>
  <c r="F839" i="33" a="1"/>
  <c r="F839" i="33"/>
  <c r="D840" i="33" a="1"/>
  <c r="D840" i="33" s="1"/>
  <c r="F840" i="33" a="1"/>
  <c r="F840" i="33"/>
  <c r="D841" i="33" a="1"/>
  <c r="D841" i="33" s="1"/>
  <c r="F841" i="33" a="1"/>
  <c r="F841" i="33" s="1"/>
  <c r="D842" i="33" a="1"/>
  <c r="D842" i="33" s="1"/>
  <c r="F842" i="33" a="1"/>
  <c r="F842" i="33"/>
  <c r="D843" i="33" a="1"/>
  <c r="D843" i="33" s="1"/>
  <c r="F843" i="33" a="1"/>
  <c r="F843" i="33"/>
  <c r="D844" i="33" a="1"/>
  <c r="D844" i="33" s="1"/>
  <c r="F844" i="33" a="1"/>
  <c r="F844" i="33" s="1"/>
  <c r="D845" i="33" a="1"/>
  <c r="D845" i="33" s="1"/>
  <c r="F845" i="33" a="1"/>
  <c r="F845" i="33"/>
  <c r="D846" i="33" a="1"/>
  <c r="D846" i="33" s="1"/>
  <c r="F846" i="33" a="1"/>
  <c r="F846" i="33"/>
  <c r="D847" i="33" a="1"/>
  <c r="D847" i="33" s="1"/>
  <c r="F847" i="33" a="1"/>
  <c r="F847" i="33" s="1"/>
  <c r="D848" i="33" a="1"/>
  <c r="D848" i="33" s="1"/>
  <c r="F848" i="33" a="1"/>
  <c r="F848" i="33"/>
  <c r="D849" i="33" a="1"/>
  <c r="D849" i="33" s="1"/>
  <c r="F849" i="33" a="1"/>
  <c r="F849" i="33"/>
  <c r="D850" i="33" a="1"/>
  <c r="D850" i="33" s="1"/>
  <c r="F850" i="33" a="1"/>
  <c r="F850" i="33" s="1"/>
  <c r="D851" i="33" a="1"/>
  <c r="D851" i="33" s="1"/>
  <c r="F851" i="33" a="1"/>
  <c r="F851" i="33"/>
  <c r="D852" i="33" a="1"/>
  <c r="D852" i="33" s="1"/>
  <c r="F852" i="33" a="1"/>
  <c r="F852" i="33"/>
  <c r="D853" i="33" a="1"/>
  <c r="D853" i="33" s="1"/>
  <c r="F853" i="33" a="1"/>
  <c r="F853" i="33" s="1"/>
  <c r="D854" i="33" a="1"/>
  <c r="D854" i="33" s="1"/>
  <c r="F854" i="33" a="1"/>
  <c r="F854" i="33"/>
  <c r="D855" i="33" a="1"/>
  <c r="D855" i="33" s="1"/>
  <c r="F855" i="33" a="1"/>
  <c r="F855" i="33"/>
  <c r="D856" i="33" a="1"/>
  <c r="D856" i="33" s="1"/>
  <c r="F856" i="33" a="1"/>
  <c r="F856" i="33" s="1"/>
  <c r="D857" i="33" a="1"/>
  <c r="D857" i="33" s="1"/>
  <c r="F857" i="33" a="1"/>
  <c r="F857" i="33"/>
  <c r="D858" i="33" a="1"/>
  <c r="D858" i="33" s="1"/>
  <c r="F858" i="33" a="1"/>
  <c r="F858" i="33"/>
  <c r="D859" i="33" a="1"/>
  <c r="D859" i="33" s="1"/>
  <c r="F859" i="33" a="1"/>
  <c r="F859" i="33" s="1"/>
  <c r="D860" i="33" a="1"/>
  <c r="D860" i="33" s="1"/>
  <c r="F860" i="33" a="1"/>
  <c r="F860" i="33"/>
  <c r="D861" i="33" a="1"/>
  <c r="D861" i="33" s="1"/>
  <c r="F861" i="33" a="1"/>
  <c r="F861" i="33"/>
  <c r="D862" i="33" a="1"/>
  <c r="D862" i="33" s="1"/>
  <c r="F862" i="33" a="1"/>
  <c r="F862" i="33" s="1"/>
  <c r="D863" i="33" a="1"/>
  <c r="D863" i="33" s="1"/>
  <c r="F863" i="33" a="1"/>
  <c r="F863" i="33"/>
  <c r="D864" i="33" a="1"/>
  <c r="D864" i="33" s="1"/>
  <c r="F864" i="33" a="1"/>
  <c r="F864" i="33"/>
  <c r="D865" i="33" a="1"/>
  <c r="D865" i="33" s="1"/>
  <c r="F865" i="33" a="1"/>
  <c r="F865" i="33" s="1"/>
  <c r="D866" i="33" a="1"/>
  <c r="D866" i="33" s="1"/>
  <c r="F866" i="33" a="1"/>
  <c r="F866" i="33"/>
  <c r="D867" i="33" a="1"/>
  <c r="D867" i="33" s="1"/>
  <c r="F867" i="33" a="1"/>
  <c r="F867" i="33"/>
  <c r="D868" i="33" a="1"/>
  <c r="D868" i="33" s="1"/>
  <c r="F868" i="33" a="1"/>
  <c r="F868" i="33" s="1"/>
  <c r="D869" i="33" a="1"/>
  <c r="D869" i="33" s="1"/>
  <c r="F869" i="33" a="1"/>
  <c r="F869" i="33"/>
  <c r="D870" i="33" a="1"/>
  <c r="D870" i="33" s="1"/>
  <c r="F870" i="33" a="1"/>
  <c r="F870" i="33"/>
  <c r="D871" i="33" a="1"/>
  <c r="D871" i="33" s="1"/>
  <c r="F871" i="33" a="1"/>
  <c r="F871" i="33" s="1"/>
  <c r="D872" i="33" a="1"/>
  <c r="D872" i="33" s="1"/>
  <c r="F872" i="33" a="1"/>
  <c r="F872" i="33"/>
  <c r="D873" i="33" a="1"/>
  <c r="D873" i="33" s="1"/>
  <c r="F873" i="33" a="1"/>
  <c r="F873" i="33"/>
  <c r="D874" i="33" a="1"/>
  <c r="D874" i="33" s="1"/>
  <c r="F874" i="33" a="1"/>
  <c r="F874" i="33" s="1"/>
  <c r="D875" i="33" a="1"/>
  <c r="D875" i="33" s="1"/>
  <c r="F875" i="33" a="1"/>
  <c r="F875" i="33"/>
  <c r="D876" i="33" a="1"/>
  <c r="D876" i="33" s="1"/>
  <c r="F876" i="33" a="1"/>
  <c r="F876" i="33"/>
  <c r="D877" i="33" a="1"/>
  <c r="D877" i="33" s="1"/>
  <c r="F877" i="33" a="1"/>
  <c r="F877" i="33" s="1"/>
  <c r="D878" i="33" a="1"/>
  <c r="D878" i="33" s="1"/>
  <c r="F878" i="33" a="1"/>
  <c r="F878" i="33" s="1"/>
  <c r="D879" i="33" a="1"/>
  <c r="D879" i="33" s="1"/>
  <c r="F879" i="33" a="1"/>
  <c r="F879" i="33"/>
  <c r="D880" i="33" a="1"/>
  <c r="D880" i="33" s="1"/>
  <c r="F880" i="33" a="1"/>
  <c r="F880" i="33" s="1"/>
  <c r="D881" i="33" a="1"/>
  <c r="D881" i="33" s="1"/>
  <c r="F881" i="33" a="1"/>
  <c r="F881" i="33" s="1"/>
  <c r="D882" i="33" a="1"/>
  <c r="D882" i="33" s="1"/>
  <c r="F882" i="33" a="1"/>
  <c r="F882" i="33"/>
  <c r="D883" i="33" a="1"/>
  <c r="D883" i="33" s="1"/>
  <c r="F883" i="33" a="1"/>
  <c r="F883" i="33" s="1"/>
  <c r="D884" i="33" a="1"/>
  <c r="D884" i="33" s="1"/>
  <c r="F884" i="33" a="1"/>
  <c r="F884" i="33" s="1"/>
  <c r="D885" i="33" a="1"/>
  <c r="D885" i="33" s="1"/>
  <c r="F885" i="33" a="1"/>
  <c r="F885" i="33"/>
  <c r="D886" i="33" a="1"/>
  <c r="D886" i="33" s="1"/>
  <c r="F886" i="33" a="1"/>
  <c r="F886" i="33" s="1"/>
  <c r="D887" i="33" a="1"/>
  <c r="D887" i="33" s="1"/>
  <c r="F887" i="33" a="1"/>
  <c r="F887" i="33" s="1"/>
  <c r="D888" i="33" a="1"/>
  <c r="D888" i="33" s="1"/>
  <c r="F888" i="33" a="1"/>
  <c r="F888" i="33"/>
  <c r="D889" i="33" a="1"/>
  <c r="D889" i="33" s="1"/>
  <c r="F889" i="33" a="1"/>
  <c r="F889" i="33" s="1"/>
  <c r="D890" i="33" a="1"/>
  <c r="D890" i="33" s="1"/>
  <c r="F890" i="33" a="1"/>
  <c r="F890" i="33" s="1"/>
  <c r="D891" i="33" a="1"/>
  <c r="D891" i="33" s="1"/>
  <c r="F891" i="33" a="1"/>
  <c r="F891" i="33"/>
  <c r="D892" i="33" a="1"/>
  <c r="D892" i="33" s="1"/>
  <c r="F892" i="33" a="1"/>
  <c r="F892" i="33" s="1"/>
  <c r="D893" i="33" a="1"/>
  <c r="D893" i="33" s="1"/>
  <c r="F893" i="33" a="1"/>
  <c r="F893" i="33"/>
  <c r="D894" i="33" a="1"/>
  <c r="D894" i="33" s="1"/>
  <c r="F894" i="33" a="1"/>
  <c r="F894" i="33" s="1"/>
  <c r="D895" i="33" a="1"/>
  <c r="D895" i="33" s="1"/>
  <c r="F895" i="33" a="1"/>
  <c r="F895" i="33" s="1"/>
  <c r="D896" i="33" a="1"/>
  <c r="D896" i="33" s="1"/>
  <c r="F896" i="33" a="1"/>
  <c r="F896" i="33"/>
  <c r="D897" i="33" a="1"/>
  <c r="D897" i="33" s="1"/>
  <c r="F897" i="33" a="1"/>
  <c r="F897" i="33" s="1"/>
  <c r="D898" i="33" a="1"/>
  <c r="D898" i="33" s="1"/>
  <c r="F898" i="33" a="1"/>
  <c r="F898" i="33" s="1"/>
  <c r="D899" i="33" a="1"/>
  <c r="D899" i="33" s="1"/>
  <c r="F899" i="33" a="1"/>
  <c r="F899" i="33"/>
  <c r="D900" i="33" a="1"/>
  <c r="D900" i="33" s="1"/>
  <c r="F900" i="33" a="1"/>
  <c r="F900" i="33" s="1"/>
  <c r="D901" i="33" a="1"/>
  <c r="D901" i="33" s="1"/>
  <c r="F901" i="33" a="1"/>
  <c r="F901" i="33" s="1"/>
  <c r="D902" i="33" a="1"/>
  <c r="D902" i="33" s="1"/>
  <c r="F902" i="33" a="1"/>
  <c r="F902" i="33"/>
  <c r="D903" i="33" a="1"/>
  <c r="D903" i="33" s="1"/>
  <c r="F903" i="33" a="1"/>
  <c r="F903" i="33" s="1"/>
  <c r="D904" i="33" a="1"/>
  <c r="D904" i="33" s="1"/>
  <c r="F904" i="33" a="1"/>
  <c r="F904" i="33" s="1"/>
  <c r="D905" i="33" a="1"/>
  <c r="D905" i="33" s="1"/>
  <c r="F905" i="33" a="1"/>
  <c r="F905" i="33"/>
  <c r="D906" i="33" a="1"/>
  <c r="D906" i="33" s="1"/>
  <c r="F906" i="33" a="1"/>
  <c r="F906" i="33" s="1"/>
  <c r="D907" i="33" a="1"/>
  <c r="D907" i="33" s="1"/>
  <c r="F907" i="33" a="1"/>
  <c r="F907" i="33" s="1"/>
  <c r="D908" i="33" a="1"/>
  <c r="D908" i="33" s="1"/>
  <c r="F908" i="33" a="1"/>
  <c r="F908" i="33"/>
  <c r="D909" i="33" a="1"/>
  <c r="D909" i="33" s="1"/>
  <c r="F909" i="33" a="1"/>
  <c r="F909" i="33" s="1"/>
  <c r="D910" i="33" a="1"/>
  <c r="D910" i="33" s="1"/>
  <c r="F910" i="33" a="1"/>
  <c r="F910" i="33" s="1"/>
  <c r="D911" i="33" a="1"/>
  <c r="D911" i="33" s="1"/>
  <c r="F911" i="33" a="1"/>
  <c r="F911" i="33"/>
  <c r="D912" i="33" a="1"/>
  <c r="D912" i="33" s="1"/>
  <c r="F912" i="33" a="1"/>
  <c r="F912" i="33" s="1"/>
  <c r="D913" i="33" a="1"/>
  <c r="D913" i="33" s="1"/>
  <c r="F913" i="33" a="1"/>
  <c r="F913" i="33" s="1"/>
  <c r="D914" i="33" a="1"/>
  <c r="D914" i="33" s="1"/>
  <c r="F914" i="33" a="1"/>
  <c r="F914" i="33"/>
  <c r="D915" i="33" a="1"/>
  <c r="D915" i="33" s="1"/>
  <c r="F915" i="33" a="1"/>
  <c r="F915" i="33" s="1"/>
  <c r="D916" i="33" a="1"/>
  <c r="D916" i="33" s="1"/>
  <c r="F916" i="33" a="1"/>
  <c r="F916" i="33" s="1"/>
  <c r="D917" i="33" a="1"/>
  <c r="D917" i="33" s="1"/>
  <c r="F917" i="33" a="1"/>
  <c r="F917" i="33"/>
  <c r="D918" i="33" a="1"/>
  <c r="D918" i="33" s="1"/>
  <c r="F918" i="33" a="1"/>
  <c r="F918" i="33" s="1"/>
  <c r="D919" i="33" a="1"/>
  <c r="D919" i="33" s="1"/>
  <c r="F919" i="33" a="1"/>
  <c r="F919" i="33" s="1"/>
  <c r="D920" i="33" a="1"/>
  <c r="D920" i="33" s="1"/>
  <c r="F920" i="33" a="1"/>
  <c r="F920" i="33"/>
  <c r="D921" i="33" a="1"/>
  <c r="D921" i="33" s="1"/>
  <c r="F921" i="33" a="1"/>
  <c r="F921" i="33" s="1"/>
  <c r="D922" i="33" a="1"/>
  <c r="D922" i="33" s="1"/>
  <c r="F922" i="33" a="1"/>
  <c r="F922" i="33" s="1"/>
  <c r="D923" i="33" a="1"/>
  <c r="D923" i="33" s="1"/>
  <c r="F923" i="33" a="1"/>
  <c r="F923" i="33"/>
  <c r="D924" i="33" a="1"/>
  <c r="D924" i="33" s="1"/>
  <c r="F924" i="33" a="1"/>
  <c r="F924" i="33" s="1"/>
  <c r="D925" i="33" a="1"/>
  <c r="D925" i="33" s="1"/>
  <c r="F925" i="33" a="1"/>
  <c r="F925" i="33" s="1"/>
  <c r="D926" i="33" a="1"/>
  <c r="D926" i="33" s="1"/>
  <c r="F926" i="33" a="1"/>
  <c r="F926" i="33"/>
  <c r="D927" i="33" a="1"/>
  <c r="D927" i="33" s="1"/>
  <c r="F927" i="33" a="1"/>
  <c r="F927" i="33" s="1"/>
  <c r="D928" i="33" a="1"/>
  <c r="D928" i="33" s="1"/>
  <c r="F928" i="33" a="1"/>
  <c r="F928" i="33" s="1"/>
  <c r="D929" i="33" a="1"/>
  <c r="D929" i="33" s="1"/>
  <c r="F929" i="33" a="1"/>
  <c r="F929" i="33"/>
  <c r="D930" i="33" a="1"/>
  <c r="D930" i="33" s="1"/>
  <c r="F930" i="33" a="1"/>
  <c r="F930" i="33" s="1"/>
  <c r="D931" i="33" a="1"/>
  <c r="D931" i="33" s="1"/>
  <c r="F931" i="33" a="1"/>
  <c r="F931" i="33" s="1"/>
  <c r="D932" i="33" a="1"/>
  <c r="D932" i="33" s="1"/>
  <c r="F932" i="33" a="1"/>
  <c r="F932" i="33"/>
  <c r="D933" i="33" a="1"/>
  <c r="D933" i="33" s="1"/>
  <c r="F933" i="33" a="1"/>
  <c r="F933" i="33" s="1"/>
  <c r="D934" i="33" a="1"/>
  <c r="D934" i="33" s="1"/>
  <c r="F934" i="33" a="1"/>
  <c r="F934" i="33" s="1"/>
  <c r="D935" i="33" a="1"/>
  <c r="D935" i="33" s="1"/>
  <c r="F935" i="33" a="1"/>
  <c r="F935" i="33"/>
  <c r="D936" i="33" a="1"/>
  <c r="D936" i="33" s="1"/>
  <c r="F936" i="33" a="1"/>
  <c r="F936" i="33" s="1"/>
  <c r="D937" i="33" a="1"/>
  <c r="D937" i="33" s="1"/>
  <c r="F937" i="33" a="1"/>
  <c r="F937" i="33" s="1"/>
  <c r="D938" i="33" a="1"/>
  <c r="D938" i="33" s="1"/>
  <c r="F938" i="33" a="1"/>
  <c r="F938" i="33"/>
  <c r="D939" i="33" a="1"/>
  <c r="D939" i="33" s="1"/>
  <c r="F939" i="33" a="1"/>
  <c r="F939" i="33" s="1"/>
  <c r="D940" i="33" a="1"/>
  <c r="D940" i="33" s="1"/>
  <c r="F940" i="33" a="1"/>
  <c r="F940" i="33" s="1"/>
  <c r="D941" i="33" a="1"/>
  <c r="D941" i="33" s="1"/>
  <c r="F941" i="33" a="1"/>
  <c r="F941" i="33"/>
  <c r="D942" i="33" a="1"/>
  <c r="D942" i="33" s="1"/>
  <c r="F942" i="33" a="1"/>
  <c r="F942" i="33" s="1"/>
  <c r="D943" i="33" a="1"/>
  <c r="D943" i="33" s="1"/>
  <c r="F943" i="33" a="1"/>
  <c r="F943" i="33" s="1"/>
  <c r="D944" i="33" a="1"/>
  <c r="D944" i="33" s="1"/>
  <c r="F944" i="33" a="1"/>
  <c r="F944" i="33"/>
  <c r="D945" i="33" a="1"/>
  <c r="D945" i="33" s="1"/>
  <c r="F945" i="33" a="1"/>
  <c r="F945" i="33" s="1"/>
  <c r="D946" i="33" a="1"/>
  <c r="D946" i="33" s="1"/>
  <c r="F946" i="33" a="1"/>
  <c r="F946" i="33" s="1"/>
  <c r="D947" i="33" a="1"/>
  <c r="D947" i="33" s="1"/>
  <c r="F947" i="33" a="1"/>
  <c r="F947" i="33"/>
  <c r="D948" i="33" a="1"/>
  <c r="D948" i="33" s="1"/>
  <c r="F948" i="33" a="1"/>
  <c r="F948" i="33" s="1"/>
  <c r="D949" i="33" a="1"/>
  <c r="D949" i="33" s="1"/>
  <c r="F949" i="33" a="1"/>
  <c r="F949" i="33" s="1"/>
  <c r="D950" i="33" a="1"/>
  <c r="D950" i="33" s="1"/>
  <c r="F950" i="33" a="1"/>
  <c r="F950" i="33"/>
  <c r="D951" i="33" a="1"/>
  <c r="D951" i="33" s="1"/>
  <c r="F951" i="33" a="1"/>
  <c r="F951" i="33" s="1"/>
  <c r="D952" i="33" a="1"/>
  <c r="D952" i="33" s="1"/>
  <c r="F952" i="33" a="1"/>
  <c r="F952" i="33" s="1"/>
  <c r="D953" i="33" a="1"/>
  <c r="D953" i="33" s="1"/>
  <c r="F953" i="33" a="1"/>
  <c r="F953" i="33"/>
  <c r="D954" i="33" a="1"/>
  <c r="D954" i="33" s="1"/>
  <c r="F954" i="33" a="1"/>
  <c r="F954" i="33" s="1"/>
  <c r="D955" i="33" a="1"/>
  <c r="D955" i="33" s="1"/>
  <c r="F955" i="33" a="1"/>
  <c r="F955" i="33" s="1"/>
  <c r="D956" i="33" a="1"/>
  <c r="D956" i="33" s="1"/>
  <c r="F956" i="33" a="1"/>
  <c r="F956" i="33"/>
  <c r="D957" i="33" a="1"/>
  <c r="D957" i="33" s="1"/>
  <c r="F957" i="33" a="1"/>
  <c r="F957" i="33" s="1"/>
  <c r="D958" i="33" a="1"/>
  <c r="D958" i="33" s="1"/>
  <c r="F958" i="33" a="1"/>
  <c r="F958" i="33" s="1"/>
  <c r="D959" i="33" a="1"/>
  <c r="D959" i="33" s="1"/>
  <c r="F959" i="33" a="1"/>
  <c r="F959" i="33"/>
  <c r="D960" i="33" a="1"/>
  <c r="D960" i="33" s="1"/>
  <c r="F960" i="33" a="1"/>
  <c r="F960" i="33" s="1"/>
  <c r="D961" i="33" a="1"/>
  <c r="D961" i="33" s="1"/>
  <c r="F961" i="33" a="1"/>
  <c r="F961" i="33" s="1"/>
  <c r="D962" i="33" a="1"/>
  <c r="D962" i="33" s="1"/>
  <c r="F962" i="33" a="1"/>
  <c r="F962" i="33"/>
  <c r="D963" i="33" a="1"/>
  <c r="D963" i="33" s="1"/>
  <c r="F963" i="33" a="1"/>
  <c r="F963" i="33" s="1"/>
  <c r="D964" i="33" a="1"/>
  <c r="D964" i="33" s="1"/>
  <c r="F964" i="33" a="1"/>
  <c r="F964" i="33" s="1"/>
  <c r="D965" i="33" a="1"/>
  <c r="D965" i="33" s="1"/>
  <c r="F965" i="33" a="1"/>
  <c r="F965" i="33"/>
  <c r="D966" i="33" a="1"/>
  <c r="D966" i="33" s="1"/>
  <c r="F966" i="33" a="1"/>
  <c r="F966" i="33" s="1"/>
  <c r="D967" i="33" a="1"/>
  <c r="D967" i="33" s="1"/>
  <c r="F967" i="33" a="1"/>
  <c r="F967" i="33"/>
  <c r="D968" i="33" a="1"/>
  <c r="D968" i="33" s="1"/>
  <c r="F968" i="33" a="1"/>
  <c r="F968" i="33"/>
  <c r="D969" i="33" a="1"/>
  <c r="D969" i="33" s="1"/>
  <c r="F969" i="33" a="1"/>
  <c r="F969" i="33" s="1"/>
  <c r="D970" i="33" a="1"/>
  <c r="D970" i="33" s="1"/>
  <c r="F970" i="33" a="1"/>
  <c r="F970" i="33" s="1"/>
  <c r="D971" i="33" a="1"/>
  <c r="D971" i="33" s="1"/>
  <c r="F971" i="33" a="1"/>
  <c r="F971" i="33"/>
  <c r="D972" i="33" a="1"/>
  <c r="D972" i="33" s="1"/>
  <c r="F972" i="33" a="1"/>
  <c r="F972" i="33" s="1"/>
  <c r="D973" i="33" a="1"/>
  <c r="D973" i="33" s="1"/>
  <c r="F973" i="33" a="1"/>
  <c r="F973" i="33" s="1"/>
  <c r="D974" i="33" a="1"/>
  <c r="D974" i="33" s="1"/>
  <c r="F974" i="33" a="1"/>
  <c r="F974" i="33"/>
  <c r="D975" i="33" a="1"/>
  <c r="D975" i="33" s="1"/>
  <c r="F975" i="33" a="1"/>
  <c r="F975" i="33" s="1"/>
  <c r="D976" i="33" a="1"/>
  <c r="D976" i="33" s="1"/>
  <c r="F976" i="33" a="1"/>
  <c r="F976" i="33" s="1"/>
  <c r="D977" i="33" a="1"/>
  <c r="D977" i="33" s="1"/>
  <c r="F977" i="33" a="1"/>
  <c r="F977" i="33"/>
  <c r="D978" i="33" a="1"/>
  <c r="D978" i="33" s="1"/>
  <c r="F978" i="33" a="1"/>
  <c r="F978" i="33" s="1"/>
  <c r="D979" i="33" a="1"/>
  <c r="D979" i="33" s="1"/>
  <c r="F979" i="33" a="1"/>
  <c r="F979" i="33" s="1"/>
  <c r="D980" i="33" a="1"/>
  <c r="D980" i="33" s="1"/>
  <c r="F980" i="33" a="1"/>
  <c r="F980" i="33"/>
  <c r="D981" i="33" a="1"/>
  <c r="D981" i="33" s="1"/>
  <c r="F981" i="33" a="1"/>
  <c r="F981" i="33" s="1"/>
  <c r="D982" i="33" a="1"/>
  <c r="D982" i="33" s="1"/>
  <c r="F982" i="33" a="1"/>
  <c r="F982" i="33" s="1"/>
  <c r="D983" i="33" a="1"/>
  <c r="D983" i="33" s="1"/>
  <c r="F983" i="33" a="1"/>
  <c r="F983" i="33"/>
  <c r="D984" i="33" a="1"/>
  <c r="D984" i="33" s="1"/>
  <c r="F984" i="33" a="1"/>
  <c r="F984" i="33" s="1"/>
  <c r="D985" i="33" a="1"/>
  <c r="D985" i="33" s="1"/>
  <c r="F985" i="33" a="1"/>
  <c r="F985" i="33" s="1"/>
  <c r="D986" i="33" a="1"/>
  <c r="D986" i="33" s="1"/>
  <c r="F986" i="33" a="1"/>
  <c r="F986" i="33"/>
  <c r="D987" i="33" a="1"/>
  <c r="D987" i="33" s="1"/>
  <c r="F987" i="33" a="1"/>
  <c r="F987" i="33" s="1"/>
  <c r="D988" i="33" a="1"/>
  <c r="D988" i="33" s="1"/>
  <c r="F988" i="33" a="1"/>
  <c r="F988" i="33" s="1"/>
  <c r="D989" i="33" a="1"/>
  <c r="D989" i="33" s="1"/>
  <c r="F989" i="33" a="1"/>
  <c r="F989" i="33"/>
  <c r="D990" i="33" a="1"/>
  <c r="D990" i="33" s="1"/>
  <c r="F990" i="33" a="1"/>
  <c r="F990" i="33" s="1"/>
  <c r="D991" i="33" a="1"/>
  <c r="D991" i="33" s="1"/>
  <c r="F991" i="33" a="1"/>
  <c r="F991" i="33" s="1"/>
  <c r="D992" i="33" a="1"/>
  <c r="D992" i="33" s="1"/>
  <c r="F992" i="33" a="1"/>
  <c r="F992" i="33"/>
  <c r="D993" i="33" a="1"/>
  <c r="D993" i="33" s="1"/>
  <c r="F993" i="33" a="1"/>
  <c r="F993" i="33" s="1"/>
  <c r="D994" i="33" a="1"/>
  <c r="D994" i="33" s="1"/>
  <c r="F994" i="33" a="1"/>
  <c r="F994" i="33" s="1"/>
  <c r="D995" i="33" a="1"/>
  <c r="D995" i="33" s="1"/>
  <c r="F995" i="33" a="1"/>
  <c r="F995" i="33"/>
  <c r="D996" i="33" a="1"/>
  <c r="D996" i="33" s="1"/>
  <c r="F996" i="33" a="1"/>
  <c r="F996" i="33" s="1"/>
  <c r="D997" i="33" a="1"/>
  <c r="D997" i="33" s="1"/>
  <c r="F997" i="33" a="1"/>
  <c r="F997" i="33" s="1"/>
  <c r="D998" i="33" a="1"/>
  <c r="D998" i="33" s="1"/>
  <c r="F998" i="33" a="1"/>
  <c r="F998" i="33"/>
  <c r="D999" i="33" a="1"/>
  <c r="D999" i="33" s="1"/>
  <c r="F999" i="33" a="1"/>
  <c r="F999" i="33" s="1"/>
  <c r="D1000" i="33" a="1"/>
  <c r="D1000" i="33" s="1"/>
  <c r="F1000" i="33" a="1"/>
  <c r="F1000" i="33" s="1"/>
  <c r="F5" i="33" a="1"/>
  <c r="F5" i="33" s="1"/>
  <c r="D5" i="33" a="1"/>
  <c r="D5" i="33" s="1"/>
  <c r="B5" i="33" s="1"/>
  <c r="F4" i="33" a="1"/>
  <c r="F4" i="33" s="1"/>
  <c r="D4" i="33" a="1"/>
  <c r="D4" i="33" s="1"/>
  <c r="B4" i="33" s="1"/>
  <c r="AI304" i="14"/>
  <c r="AI303" i="14"/>
  <c r="AI307" i="14"/>
  <c r="AI306" i="14"/>
  <c r="AI305" i="14"/>
  <c r="AI302" i="14"/>
  <c r="AI301" i="14"/>
  <c r="AI300" i="14"/>
  <c r="AI299" i="14"/>
  <c r="AI298" i="14"/>
  <c r="AI297" i="14"/>
  <c r="AI296" i="14"/>
  <c r="AI295" i="14"/>
  <c r="AI294" i="14"/>
  <c r="AI291" i="14"/>
  <c r="AI292" i="14"/>
  <c r="AI293" i="14"/>
  <c r="AI290" i="14"/>
  <c r="F307" i="14" a="1"/>
  <c r="F307" i="14" s="1"/>
  <c r="D307" i="14" a="1"/>
  <c r="D307" i="14" s="1"/>
  <c r="B307" i="14" s="1"/>
  <c r="F306" i="14" a="1"/>
  <c r="F306" i="14" s="1"/>
  <c r="D306" i="14" a="1"/>
  <c r="D306" i="14" s="1"/>
  <c r="B306" i="14" s="1"/>
  <c r="F305" i="14" a="1"/>
  <c r="F305" i="14" s="1"/>
  <c r="D305" i="14" a="1"/>
  <c r="D305" i="14" s="1"/>
  <c r="B305" i="14" s="1"/>
  <c r="F304" i="14" a="1"/>
  <c r="F304" i="14" s="1"/>
  <c r="D304" i="14" a="1"/>
  <c r="D304" i="14" s="1"/>
  <c r="B304" i="14" s="1"/>
  <c r="F303" i="14" a="1"/>
  <c r="F303" i="14" s="1"/>
  <c r="D303" i="14" a="1"/>
  <c r="D303" i="14" s="1"/>
  <c r="B303" i="14" s="1"/>
  <c r="F302" i="14" a="1"/>
  <c r="F302" i="14" s="1"/>
  <c r="D302" i="14" a="1"/>
  <c r="D302" i="14" s="1"/>
  <c r="B302" i="14" s="1"/>
  <c r="F301" i="14" a="1"/>
  <c r="F301" i="14" s="1"/>
  <c r="D301" i="14" a="1"/>
  <c r="D301" i="14" s="1"/>
  <c r="B301" i="14" s="1"/>
  <c r="F300" i="14" a="1"/>
  <c r="F300" i="14" s="1"/>
  <c r="D300" i="14" a="1"/>
  <c r="D300" i="14" s="1"/>
  <c r="B300" i="14" s="1"/>
  <c r="F299" i="14" a="1"/>
  <c r="F299" i="14" s="1"/>
  <c r="D299" i="14" a="1"/>
  <c r="D299" i="14" s="1"/>
  <c r="B299" i="14" s="1"/>
  <c r="F298" i="14" a="1"/>
  <c r="F298" i="14" s="1"/>
  <c r="D298" i="14" a="1"/>
  <c r="D298" i="14" s="1"/>
  <c r="B298" i="14" s="1"/>
  <c r="F297" i="14" a="1"/>
  <c r="F297" i="14" s="1"/>
  <c r="D297" i="14" a="1"/>
  <c r="D297" i="14" s="1"/>
  <c r="B297" i="14" s="1"/>
  <c r="F296" i="14" a="1"/>
  <c r="F296" i="14" s="1"/>
  <c r="D296" i="14" a="1"/>
  <c r="D296" i="14" s="1"/>
  <c r="B296" i="14" s="1"/>
  <c r="F295" i="14" a="1"/>
  <c r="F295" i="14" s="1"/>
  <c r="D295" i="14" a="1"/>
  <c r="D295" i="14" s="1"/>
  <c r="B295" i="14" s="1"/>
  <c r="F294" i="14" a="1"/>
  <c r="F294" i="14" s="1"/>
  <c r="D294" i="14" a="1"/>
  <c r="D294" i="14" s="1"/>
  <c r="B294" i="14" s="1"/>
  <c r="F293" i="14" a="1"/>
  <c r="F293" i="14" s="1"/>
  <c r="D293" i="14" a="1"/>
  <c r="D293" i="14" s="1"/>
  <c r="B293" i="14" s="1"/>
  <c r="F292" i="14" a="1"/>
  <c r="F292" i="14" s="1"/>
  <c r="D292" i="14" a="1"/>
  <c r="D292" i="14" s="1"/>
  <c r="B292" i="14" s="1"/>
  <c r="F291" i="14" a="1"/>
  <c r="F291" i="14" s="1"/>
  <c r="D291" i="14" a="1"/>
  <c r="D291" i="14" s="1"/>
  <c r="B291" i="14" s="1"/>
  <c r="F290" i="14" a="1"/>
  <c r="F290" i="14" s="1"/>
  <c r="D290" i="14" a="1"/>
  <c r="D290" i="14" s="1"/>
  <c r="B290" i="14" s="1"/>
  <c r="F24" i="35" a="1"/>
  <c r="F24" i="35" s="1"/>
  <c r="D24" i="35" a="1"/>
  <c r="D24" i="35" s="1"/>
  <c r="B24" i="35" s="1"/>
  <c r="F23" i="35" a="1"/>
  <c r="F23" i="35" s="1"/>
  <c r="D23" i="35" a="1"/>
  <c r="D23" i="35" s="1"/>
  <c r="B23" i="35" s="1"/>
  <c r="F22" i="35" a="1"/>
  <c r="F22" i="35" s="1"/>
  <c r="D22" i="35" a="1"/>
  <c r="D22" i="35" s="1"/>
  <c r="B22" i="35" s="1"/>
  <c r="F21" i="35" a="1"/>
  <c r="F21" i="35" s="1"/>
  <c r="D21" i="35" a="1"/>
  <c r="D21" i="35" s="1"/>
  <c r="B21" i="35" s="1"/>
  <c r="F20" i="35" a="1"/>
  <c r="F20" i="35" s="1"/>
  <c r="D20" i="35" a="1"/>
  <c r="D20" i="35" s="1"/>
  <c r="B20" i="35" s="1"/>
  <c r="F19" i="35" a="1"/>
  <c r="F19" i="35" s="1"/>
  <c r="D19" i="35" a="1"/>
  <c r="D19" i="35" s="1"/>
  <c r="B19" i="35" s="1"/>
  <c r="F18" i="35" a="1"/>
  <c r="F18" i="35" s="1"/>
  <c r="D18" i="35" a="1"/>
  <c r="D18" i="35" s="1"/>
  <c r="B18" i="35" s="1"/>
  <c r="F17" i="35" a="1"/>
  <c r="F17" i="35" s="1"/>
  <c r="D17" i="35" a="1"/>
  <c r="D17" i="35" s="1"/>
  <c r="B17" i="35" s="1"/>
  <c r="F16" i="35" a="1"/>
  <c r="F16" i="35" s="1"/>
  <c r="D16" i="35" a="1"/>
  <c r="D16" i="35" s="1"/>
  <c r="B16" i="35" s="1"/>
  <c r="F15" i="35" a="1"/>
  <c r="F15" i="35" s="1"/>
  <c r="D15" i="35" a="1"/>
  <c r="D15" i="35" s="1"/>
  <c r="F14" i="35" a="1"/>
  <c r="F14" i="35" s="1"/>
  <c r="D14" i="35" a="1"/>
  <c r="D14" i="35" s="1"/>
  <c r="F13" i="35" a="1"/>
  <c r="F13" i="35" s="1"/>
  <c r="D13" i="35" a="1"/>
  <c r="D13" i="35" s="1"/>
  <c r="B13" i="35" s="1"/>
  <c r="B14" i="35"/>
  <c r="B15" i="35"/>
  <c r="F12" i="35" a="1"/>
  <c r="F12" i="35" s="1"/>
  <c r="D12" i="35" a="1"/>
  <c r="D12" i="35" s="1"/>
  <c r="B12" i="35" s="1"/>
  <c r="F11" i="35" a="1"/>
  <c r="F11" i="35" s="1"/>
  <c r="D11" i="35" a="1"/>
  <c r="D11" i="35" s="1"/>
  <c r="B11" i="35" s="1"/>
  <c r="F10" i="35" a="1"/>
  <c r="F10" i="35" s="1"/>
  <c r="D10" i="35" a="1"/>
  <c r="D10" i="35" s="1"/>
  <c r="B10" i="35" s="1"/>
  <c r="F9" i="35" a="1"/>
  <c r="F9" i="35" s="1"/>
  <c r="D9" i="35" a="1"/>
  <c r="D9" i="35" s="1"/>
  <c r="B9" i="35" s="1"/>
  <c r="F8" i="35" a="1"/>
  <c r="F8" i="35" s="1"/>
  <c r="D8" i="35" a="1"/>
  <c r="D8" i="35" s="1"/>
  <c r="B8" i="35" s="1"/>
  <c r="F7" i="35" a="1"/>
  <c r="F7" i="35" s="1"/>
  <c r="B7" i="35"/>
  <c r="D3" i="35" a="1"/>
  <c r="D3" i="35" s="1"/>
  <c r="F3" i="35" a="1"/>
  <c r="F3" i="35"/>
  <c r="D4" i="35" a="1"/>
  <c r="D4" i="35" s="1"/>
  <c r="F4" i="35" a="1"/>
  <c r="F4" i="35"/>
  <c r="D5" i="35" a="1"/>
  <c r="D5" i="35" s="1"/>
  <c r="F5" i="35" a="1"/>
  <c r="F5" i="35"/>
  <c r="D6" i="35" a="1"/>
  <c r="D6" i="35" s="1"/>
  <c r="F6" i="35" a="1"/>
  <c r="F6" i="35"/>
  <c r="E231" i="2"/>
  <c r="E230" i="2"/>
  <c r="E229" i="2"/>
  <c r="E228" i="2"/>
  <c r="D11" i="13" a="1"/>
  <c r="D11" i="13" s="1"/>
  <c r="T614" i="12"/>
  <c r="F614" i="12" a="1"/>
  <c r="F614" i="12" s="1"/>
  <c r="D614" i="12" a="1"/>
  <c r="D614" i="12" s="1"/>
  <c r="B614" i="12" s="1"/>
  <c r="T613" i="12"/>
  <c r="F613" i="12" a="1"/>
  <c r="F613" i="12" s="1"/>
  <c r="D613" i="12" a="1"/>
  <c r="D613" i="12" s="1"/>
  <c r="B613" i="12" s="1"/>
  <c r="T612" i="12"/>
  <c r="F612" i="12" a="1"/>
  <c r="F612" i="12" s="1"/>
  <c r="D612" i="12" a="1"/>
  <c r="D612" i="12" s="1"/>
  <c r="B612" i="12" s="1"/>
  <c r="T611" i="12"/>
  <c r="F611" i="12" a="1"/>
  <c r="F611" i="12" s="1"/>
  <c r="D611" i="12" a="1"/>
  <c r="D611" i="12" s="1"/>
  <c r="B611" i="12" s="1"/>
  <c r="T610" i="12"/>
  <c r="F610" i="12" a="1"/>
  <c r="F610" i="12" s="1"/>
  <c r="D610" i="12" a="1"/>
  <c r="D610" i="12" s="1"/>
  <c r="B610" i="12" s="1"/>
  <c r="T609" i="12"/>
  <c r="F609" i="12" a="1"/>
  <c r="F609" i="12" s="1"/>
  <c r="D609" i="12" a="1"/>
  <c r="D609" i="12" s="1"/>
  <c r="B609" i="12" s="1"/>
  <c r="T608" i="12"/>
  <c r="F608" i="12" a="1"/>
  <c r="F608" i="12" s="1"/>
  <c r="D608" i="12" a="1"/>
  <c r="D608" i="12" s="1"/>
  <c r="B608" i="12" s="1"/>
  <c r="T607" i="12"/>
  <c r="F607" i="12" a="1"/>
  <c r="F607" i="12" s="1"/>
  <c r="D607" i="12" a="1"/>
  <c r="D607" i="12" s="1"/>
  <c r="B607" i="12" s="1"/>
  <c r="T606" i="12"/>
  <c r="F606" i="12" a="1"/>
  <c r="F606" i="12" s="1"/>
  <c r="D606" i="12" a="1"/>
  <c r="D606" i="12" s="1"/>
  <c r="B606" i="12" s="1"/>
  <c r="T605" i="12"/>
  <c r="F605" i="12" a="1"/>
  <c r="F605" i="12" s="1"/>
  <c r="D605" i="12" a="1"/>
  <c r="D605" i="12" s="1"/>
  <c r="B605" i="12" s="1"/>
  <c r="T604" i="12"/>
  <c r="F604" i="12" a="1"/>
  <c r="F604" i="12" s="1"/>
  <c r="D604" i="12" a="1"/>
  <c r="D604" i="12" s="1"/>
  <c r="B604" i="12" s="1"/>
  <c r="T603" i="12"/>
  <c r="F603" i="12" a="1"/>
  <c r="F603" i="12" s="1"/>
  <c r="D603" i="12" a="1"/>
  <c r="D603" i="12" s="1"/>
  <c r="B603" i="12" s="1"/>
  <c r="T602" i="12"/>
  <c r="F602" i="12" a="1"/>
  <c r="F602" i="12" s="1"/>
  <c r="D602" i="12" a="1"/>
  <c r="D602" i="12" s="1"/>
  <c r="B602" i="12" s="1"/>
  <c r="T601" i="12"/>
  <c r="F601" i="12" a="1"/>
  <c r="F601" i="12" s="1"/>
  <c r="D601" i="12" a="1"/>
  <c r="D601" i="12" s="1"/>
  <c r="B601" i="12" s="1"/>
  <c r="T600" i="12"/>
  <c r="F600" i="12" a="1"/>
  <c r="F600" i="12" s="1"/>
  <c r="D600" i="12" a="1"/>
  <c r="D600" i="12" s="1"/>
  <c r="B600" i="12" s="1"/>
  <c r="T599" i="12"/>
  <c r="F599" i="12" a="1"/>
  <c r="F599" i="12" s="1"/>
  <c r="D599" i="12" a="1"/>
  <c r="D599" i="12" s="1"/>
  <c r="B599" i="12" s="1"/>
  <c r="T598" i="12"/>
  <c r="F598" i="12" a="1"/>
  <c r="F598" i="12" s="1"/>
  <c r="D598" i="12" a="1"/>
  <c r="D598" i="12" s="1"/>
  <c r="B598" i="12" s="1"/>
  <c r="T597" i="12"/>
  <c r="F597" i="12" a="1"/>
  <c r="F597" i="12" s="1"/>
  <c r="D597" i="12" a="1"/>
  <c r="D597" i="12" s="1"/>
  <c r="B597" i="12" s="1"/>
  <c r="T596" i="12"/>
  <c r="F596" i="12" a="1"/>
  <c r="F596" i="12" s="1"/>
  <c r="D596" i="12" a="1"/>
  <c r="D596" i="12" s="1"/>
  <c r="B596" i="12" s="1"/>
  <c r="T595" i="12"/>
  <c r="F595" i="12" a="1"/>
  <c r="F595" i="12" s="1"/>
  <c r="D595" i="12" a="1"/>
  <c r="D595" i="12" s="1"/>
  <c r="B595" i="12" s="1"/>
  <c r="T594" i="12"/>
  <c r="F594" i="12" a="1"/>
  <c r="F594" i="12" s="1"/>
  <c r="D594" i="12" a="1"/>
  <c r="D594" i="12" s="1"/>
  <c r="B594" i="12" s="1"/>
  <c r="T593" i="12"/>
  <c r="F593" i="12" a="1"/>
  <c r="F593" i="12" s="1"/>
  <c r="D593" i="12" a="1"/>
  <c r="D593" i="12" s="1"/>
  <c r="B593" i="12" s="1"/>
  <c r="T592" i="12"/>
  <c r="F592" i="12" a="1"/>
  <c r="F592" i="12" s="1"/>
  <c r="D592" i="12" a="1"/>
  <c r="D592" i="12" s="1"/>
  <c r="B592" i="12" s="1"/>
  <c r="T591" i="12"/>
  <c r="F591" i="12" a="1"/>
  <c r="F591" i="12" s="1"/>
  <c r="D591" i="12" a="1"/>
  <c r="D591" i="12" s="1"/>
  <c r="B591" i="12" s="1"/>
  <c r="T590" i="12"/>
  <c r="F590" i="12" a="1"/>
  <c r="F590" i="12" s="1"/>
  <c r="D590" i="12" a="1"/>
  <c r="D590" i="12" s="1"/>
  <c r="B590" i="12" s="1"/>
  <c r="T589" i="12"/>
  <c r="F589" i="12" a="1"/>
  <c r="F589" i="12" s="1"/>
  <c r="D589" i="12" a="1"/>
  <c r="D589" i="12" s="1"/>
  <c r="B589" i="12" s="1"/>
  <c r="T588" i="12"/>
  <c r="F588" i="12" a="1"/>
  <c r="F588" i="12" s="1"/>
  <c r="D588" i="12" a="1"/>
  <c r="D588" i="12" s="1"/>
  <c r="B588" i="12" s="1"/>
  <c r="T587" i="12"/>
  <c r="F587" i="12" a="1"/>
  <c r="F587" i="12" s="1"/>
  <c r="D587" i="12" a="1"/>
  <c r="D587" i="12" s="1"/>
  <c r="B587" i="12" s="1"/>
  <c r="T586" i="12"/>
  <c r="F586" i="12" a="1"/>
  <c r="F586" i="12" s="1"/>
  <c r="D586" i="12" a="1"/>
  <c r="D586" i="12" s="1"/>
  <c r="B586" i="12" s="1"/>
  <c r="T585" i="12"/>
  <c r="F585" i="12" a="1"/>
  <c r="F585" i="12" s="1"/>
  <c r="D585" i="12" a="1"/>
  <c r="D585" i="12" s="1"/>
  <c r="B585" i="12" s="1"/>
  <c r="T584" i="12"/>
  <c r="F584" i="12" a="1"/>
  <c r="F584" i="12" s="1"/>
  <c r="D584" i="12" a="1"/>
  <c r="D584" i="12" s="1"/>
  <c r="B584" i="12" s="1"/>
  <c r="T583" i="12"/>
  <c r="F583" i="12" a="1"/>
  <c r="F583" i="12" s="1"/>
  <c r="D583" i="12" a="1"/>
  <c r="D583" i="12" s="1"/>
  <c r="B583" i="12" s="1"/>
  <c r="T582" i="12"/>
  <c r="F582" i="12" a="1"/>
  <c r="F582" i="12" s="1"/>
  <c r="D582" i="12" a="1"/>
  <c r="D582" i="12" s="1"/>
  <c r="B582" i="12" s="1"/>
  <c r="T581" i="12"/>
  <c r="F581" i="12" a="1"/>
  <c r="F581" i="12" s="1"/>
  <c r="D581" i="12" a="1"/>
  <c r="D581" i="12" s="1"/>
  <c r="B581" i="12" s="1"/>
  <c r="T580" i="12"/>
  <c r="F580" i="12" a="1"/>
  <c r="F580" i="12" s="1"/>
  <c r="D580" i="12" a="1"/>
  <c r="D580" i="12" s="1"/>
  <c r="B580" i="12" s="1"/>
  <c r="T579" i="12"/>
  <c r="F579" i="12" a="1"/>
  <c r="F579" i="12" s="1"/>
  <c r="D579" i="12" a="1"/>
  <c r="D579" i="12" s="1"/>
  <c r="B579" i="12" s="1"/>
  <c r="T578" i="12"/>
  <c r="F578" i="12" a="1"/>
  <c r="F578" i="12" s="1"/>
  <c r="D578" i="12" a="1"/>
  <c r="D578" i="12" s="1"/>
  <c r="B578" i="12" s="1"/>
  <c r="T577" i="12"/>
  <c r="F577" i="12" a="1"/>
  <c r="F577" i="12" s="1"/>
  <c r="D577" i="12" a="1"/>
  <c r="D577" i="12" s="1"/>
  <c r="B577" i="12" s="1"/>
  <c r="T576" i="12"/>
  <c r="F576" i="12" a="1"/>
  <c r="F576" i="12" s="1"/>
  <c r="D576" i="12" a="1"/>
  <c r="D576" i="12" s="1"/>
  <c r="B576" i="12" s="1"/>
  <c r="T575" i="12"/>
  <c r="F575" i="12" a="1"/>
  <c r="F575" i="12" s="1"/>
  <c r="D575" i="12" a="1"/>
  <c r="D575" i="12" s="1"/>
  <c r="B575" i="12" s="1"/>
  <c r="T574" i="12"/>
  <c r="F574" i="12" a="1"/>
  <c r="F574" i="12" s="1"/>
  <c r="D574" i="12" a="1"/>
  <c r="D574" i="12" s="1"/>
  <c r="B574" i="12" s="1"/>
  <c r="T573" i="12"/>
  <c r="F573" i="12" a="1"/>
  <c r="F573" i="12" s="1"/>
  <c r="D573" i="12" a="1"/>
  <c r="D573" i="12" s="1"/>
  <c r="B573" i="12" s="1"/>
  <c r="T572" i="12"/>
  <c r="F572" i="12" a="1"/>
  <c r="F572" i="12" s="1"/>
  <c r="D572" i="12" a="1"/>
  <c r="D572" i="12" s="1"/>
  <c r="B572" i="12" s="1"/>
  <c r="T571" i="12"/>
  <c r="F571" i="12" a="1"/>
  <c r="F571" i="12" s="1"/>
  <c r="D571" i="12" a="1"/>
  <c r="D571" i="12" s="1"/>
  <c r="B571" i="12" s="1"/>
  <c r="T570" i="12"/>
  <c r="F570" i="12" a="1"/>
  <c r="F570" i="12" s="1"/>
  <c r="D570" i="12" a="1"/>
  <c r="D570" i="12" s="1"/>
  <c r="B570" i="12" s="1"/>
  <c r="T569" i="12"/>
  <c r="F569" i="12" a="1"/>
  <c r="F569" i="12" s="1"/>
  <c r="D569" i="12" a="1"/>
  <c r="D569" i="12" s="1"/>
  <c r="B569" i="12" s="1"/>
  <c r="T568" i="12"/>
  <c r="F568" i="12" a="1"/>
  <c r="F568" i="12" s="1"/>
  <c r="D568" i="12" a="1"/>
  <c r="D568" i="12" s="1"/>
  <c r="B568" i="12" s="1"/>
  <c r="T567" i="12"/>
  <c r="F567" i="12" a="1"/>
  <c r="F567" i="12" s="1"/>
  <c r="D567" i="12" a="1"/>
  <c r="D567" i="12" s="1"/>
  <c r="B567" i="12" s="1"/>
  <c r="T566" i="12"/>
  <c r="F566" i="12" a="1"/>
  <c r="F566" i="12" s="1"/>
  <c r="D566" i="12" a="1"/>
  <c r="D566" i="12" s="1"/>
  <c r="B566" i="12" s="1"/>
  <c r="T565" i="12"/>
  <c r="F565" i="12" a="1"/>
  <c r="F565" i="12" s="1"/>
  <c r="D565" i="12" a="1"/>
  <c r="D565" i="12" s="1"/>
  <c r="B565" i="12" s="1"/>
  <c r="T564" i="12"/>
  <c r="F564" i="12" a="1"/>
  <c r="F564" i="12" s="1"/>
  <c r="D564" i="12" a="1"/>
  <c r="D564" i="12" s="1"/>
  <c r="B564" i="12" s="1"/>
  <c r="T563" i="12"/>
  <c r="F563" i="12" a="1"/>
  <c r="F563" i="12" s="1"/>
  <c r="D563" i="12" a="1"/>
  <c r="D563" i="12" s="1"/>
  <c r="B563" i="12" s="1"/>
  <c r="T562" i="12"/>
  <c r="F562" i="12" a="1"/>
  <c r="F562" i="12" s="1"/>
  <c r="D562" i="12" a="1"/>
  <c r="D562" i="12" s="1"/>
  <c r="B562" i="12" s="1"/>
  <c r="T561" i="12"/>
  <c r="F561" i="12" a="1"/>
  <c r="F561" i="12" s="1"/>
  <c r="D561" i="12" a="1"/>
  <c r="D561" i="12" s="1"/>
  <c r="B561" i="12" s="1"/>
  <c r="T560" i="12"/>
  <c r="F560" i="12" a="1"/>
  <c r="F560" i="12" s="1"/>
  <c r="D560" i="12" a="1"/>
  <c r="D560" i="12" s="1"/>
  <c r="B560" i="12" s="1"/>
  <c r="T559" i="12"/>
  <c r="F559" i="12" a="1"/>
  <c r="F559" i="12" s="1"/>
  <c r="D559" i="12" a="1"/>
  <c r="D559" i="12" s="1"/>
  <c r="B559" i="12" s="1"/>
  <c r="T558" i="12"/>
  <c r="F558" i="12" a="1"/>
  <c r="F558" i="12" s="1"/>
  <c r="D558" i="12" a="1"/>
  <c r="D558" i="12" s="1"/>
  <c r="B558" i="12" s="1"/>
  <c r="T557" i="12"/>
  <c r="F557" i="12" a="1"/>
  <c r="F557" i="12" s="1"/>
  <c r="D557" i="12" a="1"/>
  <c r="D557" i="12" s="1"/>
  <c r="B557" i="12" s="1"/>
  <c r="T556" i="12"/>
  <c r="F556" i="12" a="1"/>
  <c r="F556" i="12" s="1"/>
  <c r="D556" i="12" a="1"/>
  <c r="D556" i="12" s="1"/>
  <c r="B556" i="12" s="1"/>
  <c r="T555" i="12"/>
  <c r="F555" i="12" a="1"/>
  <c r="F555" i="12" s="1"/>
  <c r="D555" i="12" a="1"/>
  <c r="D555" i="12" s="1"/>
  <c r="B555" i="12" s="1"/>
  <c r="T554" i="12"/>
  <c r="F554" i="12" a="1"/>
  <c r="F554" i="12" s="1"/>
  <c r="D554" i="12" a="1"/>
  <c r="D554" i="12" s="1"/>
  <c r="B554" i="12" s="1"/>
  <c r="T553" i="12"/>
  <c r="F553" i="12" a="1"/>
  <c r="F553" i="12" s="1"/>
  <c r="D553" i="12" a="1"/>
  <c r="D553" i="12" s="1"/>
  <c r="B553" i="12" s="1"/>
  <c r="T552" i="12"/>
  <c r="F552" i="12" a="1"/>
  <c r="F552" i="12" s="1"/>
  <c r="D552" i="12" a="1"/>
  <c r="D552" i="12" s="1"/>
  <c r="B552" i="12" s="1"/>
  <c r="T551" i="12"/>
  <c r="F551" i="12" a="1"/>
  <c r="F551" i="12" s="1"/>
  <c r="D551" i="12" a="1"/>
  <c r="D551" i="12" s="1"/>
  <c r="B551" i="12" s="1"/>
  <c r="T550" i="12"/>
  <c r="F550" i="12" a="1"/>
  <c r="F550" i="12" s="1"/>
  <c r="D550" i="12" a="1"/>
  <c r="D550" i="12" s="1"/>
  <c r="B550" i="12" s="1"/>
  <c r="T549" i="12"/>
  <c r="F549" i="12" a="1"/>
  <c r="F549" i="12" s="1"/>
  <c r="D549" i="12" a="1"/>
  <c r="D549" i="12" s="1"/>
  <c r="B549" i="12" s="1"/>
  <c r="T548" i="12"/>
  <c r="F548" i="12" a="1"/>
  <c r="F548" i="12" s="1"/>
  <c r="D548" i="12" a="1"/>
  <c r="D548" i="12" s="1"/>
  <c r="B548" i="12" s="1"/>
  <c r="T547" i="12"/>
  <c r="F547" i="12" a="1"/>
  <c r="F547" i="12" s="1"/>
  <c r="D547" i="12" a="1"/>
  <c r="D547" i="12" s="1"/>
  <c r="B547" i="12" s="1"/>
  <c r="T546" i="12"/>
  <c r="F546" i="12" a="1"/>
  <c r="F546" i="12" s="1"/>
  <c r="D546" i="12" a="1"/>
  <c r="D546" i="12" s="1"/>
  <c r="B546" i="12" s="1"/>
  <c r="T545" i="12"/>
  <c r="F545" i="12" a="1"/>
  <c r="F545" i="12" s="1"/>
  <c r="D545" i="12" a="1"/>
  <c r="D545" i="12" s="1"/>
  <c r="B545" i="12" s="1"/>
  <c r="T544" i="12"/>
  <c r="F544" i="12" a="1"/>
  <c r="F544" i="12" s="1"/>
  <c r="D544" i="12" a="1"/>
  <c r="D544" i="12" s="1"/>
  <c r="B544" i="12" s="1"/>
  <c r="T543" i="12"/>
  <c r="F543" i="12" a="1"/>
  <c r="F543" i="12" s="1"/>
  <c r="D543" i="12" a="1"/>
  <c r="D543" i="12" s="1"/>
  <c r="B543" i="12" s="1"/>
  <c r="T542" i="12"/>
  <c r="F542" i="12" a="1"/>
  <c r="F542" i="12" s="1"/>
  <c r="D542" i="12" a="1"/>
  <c r="D542" i="12" s="1"/>
  <c r="B542" i="12" s="1"/>
  <c r="T541" i="12"/>
  <c r="F541" i="12" a="1"/>
  <c r="F541" i="12" s="1"/>
  <c r="D541" i="12" a="1"/>
  <c r="D541" i="12" s="1"/>
  <c r="B541" i="12" s="1"/>
  <c r="T540" i="12"/>
  <c r="F540" i="12" a="1"/>
  <c r="F540" i="12" s="1"/>
  <c r="D540" i="12" a="1"/>
  <c r="D540" i="12" s="1"/>
  <c r="B540" i="12" s="1"/>
  <c r="T539" i="12"/>
  <c r="F539" i="12" a="1"/>
  <c r="F539" i="12" s="1"/>
  <c r="D539" i="12" a="1"/>
  <c r="D539" i="12" s="1"/>
  <c r="B539" i="12" s="1"/>
  <c r="T538" i="12"/>
  <c r="F538" i="12" a="1"/>
  <c r="F538" i="12" s="1"/>
  <c r="D538" i="12" a="1"/>
  <c r="D538" i="12" s="1"/>
  <c r="B538" i="12" s="1"/>
  <c r="T537" i="12"/>
  <c r="F537" i="12" a="1"/>
  <c r="F537" i="12" s="1"/>
  <c r="D537" i="12" a="1"/>
  <c r="D537" i="12" s="1"/>
  <c r="B537" i="12" s="1"/>
  <c r="T536" i="12"/>
  <c r="F536" i="12" a="1"/>
  <c r="F536" i="12" s="1"/>
  <c r="D536" i="12" a="1"/>
  <c r="D536" i="12" s="1"/>
  <c r="B536" i="12" s="1"/>
  <c r="T535" i="12"/>
  <c r="F535" i="12" a="1"/>
  <c r="F535" i="12" s="1"/>
  <c r="D535" i="12" a="1"/>
  <c r="D535" i="12" s="1"/>
  <c r="B535" i="12" s="1"/>
  <c r="T534" i="12"/>
  <c r="F534" i="12" a="1"/>
  <c r="F534" i="12" s="1"/>
  <c r="D534" i="12" a="1"/>
  <c r="D534" i="12" s="1"/>
  <c r="B534" i="12" s="1"/>
  <c r="T533" i="12"/>
  <c r="F533" i="12" a="1"/>
  <c r="F533" i="12" s="1"/>
  <c r="D533" i="12" a="1"/>
  <c r="D533" i="12" s="1"/>
  <c r="B533" i="12" s="1"/>
  <c r="T532" i="12"/>
  <c r="F532" i="12" a="1"/>
  <c r="F532" i="12" s="1"/>
  <c r="D532" i="12" a="1"/>
  <c r="D532" i="12" s="1"/>
  <c r="B532" i="12" s="1"/>
  <c r="T531" i="12"/>
  <c r="F531" i="12" a="1"/>
  <c r="F531" i="12" s="1"/>
  <c r="D531" i="12" a="1"/>
  <c r="D531" i="12" s="1"/>
  <c r="B531" i="12" s="1"/>
  <c r="T530" i="12"/>
  <c r="F530" i="12" a="1"/>
  <c r="F530" i="12" s="1"/>
  <c r="D530" i="12" a="1"/>
  <c r="D530" i="12" s="1"/>
  <c r="B530" i="12" s="1"/>
  <c r="T529" i="12"/>
  <c r="F529" i="12" a="1"/>
  <c r="F529" i="12" s="1"/>
  <c r="D529" i="12" a="1"/>
  <c r="D529" i="12" s="1"/>
  <c r="B529" i="12" s="1"/>
  <c r="T528" i="12"/>
  <c r="F528" i="12" a="1"/>
  <c r="F528" i="12" s="1"/>
  <c r="D528" i="12" a="1"/>
  <c r="D528" i="12" s="1"/>
  <c r="B528" i="12" s="1"/>
  <c r="T527" i="12"/>
  <c r="F527" i="12" a="1"/>
  <c r="F527" i="12" s="1"/>
  <c r="D527" i="12" a="1"/>
  <c r="D527" i="12" s="1"/>
  <c r="B527" i="12" s="1"/>
  <c r="T526" i="12"/>
  <c r="F526" i="12" a="1"/>
  <c r="F526" i="12" s="1"/>
  <c r="D526" i="12" a="1"/>
  <c r="D526" i="12" s="1"/>
  <c r="B526" i="12" s="1"/>
  <c r="T525" i="12"/>
  <c r="F525" i="12" a="1"/>
  <c r="F525" i="12" s="1"/>
  <c r="D525" i="12" a="1"/>
  <c r="D525" i="12" s="1"/>
  <c r="B525" i="12" s="1"/>
  <c r="T524" i="12"/>
  <c r="F524" i="12" a="1"/>
  <c r="F524" i="12" s="1"/>
  <c r="D524" i="12" a="1"/>
  <c r="D524" i="12" s="1"/>
  <c r="B524" i="12" s="1"/>
  <c r="T523" i="12"/>
  <c r="F523" i="12" a="1"/>
  <c r="F523" i="12" s="1"/>
  <c r="D523" i="12" a="1"/>
  <c r="D523" i="12" s="1"/>
  <c r="B523" i="12" s="1"/>
  <c r="T522" i="12"/>
  <c r="F522" i="12" a="1"/>
  <c r="F522" i="12" s="1"/>
  <c r="D522" i="12" a="1"/>
  <c r="D522" i="12" s="1"/>
  <c r="B522" i="12" s="1"/>
  <c r="T521" i="12"/>
  <c r="F521" i="12" a="1"/>
  <c r="F521" i="12" s="1"/>
  <c r="D521" i="12" a="1"/>
  <c r="D521" i="12" s="1"/>
  <c r="B521" i="12" s="1"/>
  <c r="T520" i="12"/>
  <c r="F520" i="12" a="1"/>
  <c r="F520" i="12" s="1"/>
  <c r="D520" i="12" a="1"/>
  <c r="D520" i="12" s="1"/>
  <c r="B520" i="12" s="1"/>
  <c r="T519" i="12"/>
  <c r="F519" i="12" a="1"/>
  <c r="F519" i="12" s="1"/>
  <c r="D519" i="12" a="1"/>
  <c r="D519" i="12" s="1"/>
  <c r="B519" i="12" s="1"/>
  <c r="T518" i="12"/>
  <c r="F518" i="12" a="1"/>
  <c r="F518" i="12" s="1"/>
  <c r="D518" i="12" a="1"/>
  <c r="D518" i="12" s="1"/>
  <c r="B518" i="12" s="1"/>
  <c r="T517" i="12"/>
  <c r="F517" i="12" a="1"/>
  <c r="F517" i="12" s="1"/>
  <c r="D517" i="12" a="1"/>
  <c r="D517" i="12" s="1"/>
  <c r="B517" i="12" s="1"/>
  <c r="T516" i="12"/>
  <c r="F516" i="12" a="1"/>
  <c r="F516" i="12" s="1"/>
  <c r="D516" i="12" a="1"/>
  <c r="D516" i="12" s="1"/>
  <c r="B516" i="12" s="1"/>
  <c r="T515" i="12"/>
  <c r="F515" i="12" a="1"/>
  <c r="F515" i="12" s="1"/>
  <c r="D515" i="12" a="1"/>
  <c r="D515" i="12" s="1"/>
  <c r="B515" i="12" s="1"/>
  <c r="T514" i="12"/>
  <c r="F514" i="12" a="1"/>
  <c r="F514" i="12" s="1"/>
  <c r="D514" i="12" a="1"/>
  <c r="D514" i="12" s="1"/>
  <c r="B514" i="12" s="1"/>
  <c r="T513" i="12"/>
  <c r="F513" i="12" a="1"/>
  <c r="F513" i="12" s="1"/>
  <c r="D513" i="12" a="1"/>
  <c r="D513" i="12" s="1"/>
  <c r="B513" i="12" s="1"/>
  <c r="T512" i="12"/>
  <c r="F512" i="12" a="1"/>
  <c r="F512" i="12" s="1"/>
  <c r="D512" i="12" a="1"/>
  <c r="D512" i="12" s="1"/>
  <c r="B512" i="12" s="1"/>
  <c r="T511" i="12"/>
  <c r="F511" i="12" a="1"/>
  <c r="F511" i="12" s="1"/>
  <c r="D511" i="12" a="1"/>
  <c r="D511" i="12" s="1"/>
  <c r="B511" i="12" s="1"/>
  <c r="T510" i="12"/>
  <c r="F510" i="12" a="1"/>
  <c r="F510" i="12" s="1"/>
  <c r="D510" i="12" a="1"/>
  <c r="D510" i="12" s="1"/>
  <c r="B510" i="12" s="1"/>
  <c r="T509" i="12"/>
  <c r="F509" i="12" a="1"/>
  <c r="F509" i="12" s="1"/>
  <c r="D509" i="12" a="1"/>
  <c r="D509" i="12" s="1"/>
  <c r="B509" i="12" s="1"/>
  <c r="T508" i="12"/>
  <c r="F508" i="12" a="1"/>
  <c r="F508" i="12" s="1"/>
  <c r="D508" i="12" a="1"/>
  <c r="D508" i="12" s="1"/>
  <c r="B508" i="12" s="1"/>
  <c r="T507" i="12"/>
  <c r="F507" i="12" a="1"/>
  <c r="F507" i="12" s="1"/>
  <c r="D507" i="12" a="1"/>
  <c r="D507" i="12" s="1"/>
  <c r="B507" i="12" s="1"/>
  <c r="T506" i="12"/>
  <c r="F506" i="12" a="1"/>
  <c r="F506" i="12" s="1"/>
  <c r="D506" i="12" a="1"/>
  <c r="D506" i="12" s="1"/>
  <c r="B506" i="12" s="1"/>
  <c r="T505" i="12"/>
  <c r="F505" i="12" a="1"/>
  <c r="F505" i="12" s="1"/>
  <c r="D505" i="12" a="1"/>
  <c r="D505" i="12" s="1"/>
  <c r="B505" i="12" s="1"/>
  <c r="T504" i="12"/>
  <c r="F504" i="12" a="1"/>
  <c r="F504" i="12" s="1"/>
  <c r="D504" i="12" a="1"/>
  <c r="D504" i="12" s="1"/>
  <c r="B504" i="12" s="1"/>
  <c r="T503" i="12"/>
  <c r="F503" i="12" a="1"/>
  <c r="F503" i="12" s="1"/>
  <c r="D503" i="12" a="1"/>
  <c r="D503" i="12" s="1"/>
  <c r="B503" i="12" s="1"/>
  <c r="T502" i="12"/>
  <c r="F502" i="12" a="1"/>
  <c r="F502" i="12" s="1"/>
  <c r="D502" i="12" a="1"/>
  <c r="D502" i="12" s="1"/>
  <c r="B502" i="12" s="1"/>
  <c r="T501" i="12"/>
  <c r="F501" i="12" a="1"/>
  <c r="F501" i="12" s="1"/>
  <c r="D501" i="12" a="1"/>
  <c r="D501" i="12" s="1"/>
  <c r="B501" i="12" s="1"/>
  <c r="T500" i="12"/>
  <c r="F500" i="12" a="1"/>
  <c r="F500" i="12" s="1"/>
  <c r="D500" i="12" a="1"/>
  <c r="D500" i="12" s="1"/>
  <c r="B500" i="12" s="1"/>
  <c r="T499" i="12"/>
  <c r="F499" i="12" a="1"/>
  <c r="F499" i="12" s="1"/>
  <c r="D499" i="12" a="1"/>
  <c r="D499" i="12" s="1"/>
  <c r="B499" i="12" s="1"/>
  <c r="T498" i="12"/>
  <c r="F498" i="12" a="1"/>
  <c r="F498" i="12" s="1"/>
  <c r="D498" i="12" a="1"/>
  <c r="D498" i="12" s="1"/>
  <c r="B498" i="12" s="1"/>
  <c r="T497" i="12"/>
  <c r="F497" i="12" a="1"/>
  <c r="F497" i="12" s="1"/>
  <c r="D497" i="12" a="1"/>
  <c r="D497" i="12" s="1"/>
  <c r="T496" i="12"/>
  <c r="F496" i="12" a="1"/>
  <c r="F496" i="12" s="1"/>
  <c r="D496" i="12" a="1"/>
  <c r="D496" i="12" s="1"/>
  <c r="T495" i="12"/>
  <c r="F495" i="12" a="1"/>
  <c r="F495" i="12" s="1"/>
  <c r="D495" i="12" a="1"/>
  <c r="D495" i="12" s="1"/>
  <c r="T494" i="12"/>
  <c r="F494" i="12" a="1"/>
  <c r="F494" i="12" s="1"/>
  <c r="D494" i="12" a="1"/>
  <c r="D494" i="12" s="1"/>
  <c r="T493" i="12"/>
  <c r="F493" i="12" a="1"/>
  <c r="F493" i="12" s="1"/>
  <c r="D493" i="12" a="1"/>
  <c r="D493" i="12" s="1"/>
  <c r="T492" i="12"/>
  <c r="F492" i="12" a="1"/>
  <c r="F492" i="12" s="1"/>
  <c r="D492" i="12" a="1"/>
  <c r="D492" i="12" s="1"/>
  <c r="T491" i="12"/>
  <c r="F491" i="12" a="1"/>
  <c r="F491" i="12" s="1"/>
  <c r="D491" i="12" a="1"/>
  <c r="D491" i="12" s="1"/>
  <c r="T490" i="12"/>
  <c r="F490" i="12" a="1"/>
  <c r="F490" i="12" s="1"/>
  <c r="D490" i="12" a="1"/>
  <c r="D490" i="12" s="1"/>
  <c r="T489" i="12"/>
  <c r="F489" i="12" a="1"/>
  <c r="F489" i="12" s="1"/>
  <c r="D489" i="12" a="1"/>
  <c r="D489" i="12" s="1"/>
  <c r="T488" i="12"/>
  <c r="F488" i="12" a="1"/>
  <c r="F488" i="12" s="1"/>
  <c r="D488" i="12" a="1"/>
  <c r="D488" i="12" s="1"/>
  <c r="T487" i="12"/>
  <c r="F487" i="12" a="1"/>
  <c r="F487" i="12" s="1"/>
  <c r="D487" i="12" a="1"/>
  <c r="D487" i="12" s="1"/>
  <c r="T486" i="12"/>
  <c r="F486" i="12" a="1"/>
  <c r="F486" i="12" s="1"/>
  <c r="D486" i="12" a="1"/>
  <c r="D486" i="12" s="1"/>
  <c r="T485" i="12"/>
  <c r="F485" i="12" a="1"/>
  <c r="F485" i="12" s="1"/>
  <c r="D485" i="12" a="1"/>
  <c r="D485" i="12" s="1"/>
  <c r="T484" i="12"/>
  <c r="F484" i="12" a="1"/>
  <c r="F484" i="12" s="1"/>
  <c r="D484" i="12" a="1"/>
  <c r="D484" i="12" s="1"/>
  <c r="T483" i="12"/>
  <c r="F483" i="12" a="1"/>
  <c r="F483" i="12" s="1"/>
  <c r="D483" i="12" a="1"/>
  <c r="D483" i="12" s="1"/>
  <c r="T482" i="12"/>
  <c r="F482" i="12" a="1"/>
  <c r="F482" i="12" s="1"/>
  <c r="D482" i="12" a="1"/>
  <c r="D482" i="12" s="1"/>
  <c r="T481" i="12"/>
  <c r="F481" i="12" a="1"/>
  <c r="F481" i="12" s="1"/>
  <c r="D481" i="12" a="1"/>
  <c r="D481" i="12" s="1"/>
  <c r="T480" i="12"/>
  <c r="F480" i="12" a="1"/>
  <c r="F480" i="12" s="1"/>
  <c r="D480" i="12" a="1"/>
  <c r="D480" i="12" s="1"/>
  <c r="T479" i="12"/>
  <c r="F479" i="12" a="1"/>
  <c r="F479" i="12" s="1"/>
  <c r="D479" i="12" a="1"/>
  <c r="D479" i="12" s="1"/>
  <c r="T478" i="12"/>
  <c r="F478" i="12" a="1"/>
  <c r="F478" i="12" s="1"/>
  <c r="D478" i="12" a="1"/>
  <c r="D478" i="12" s="1"/>
  <c r="T477" i="12"/>
  <c r="F477" i="12" a="1"/>
  <c r="F477" i="12" s="1"/>
  <c r="D477" i="12" a="1"/>
  <c r="D477" i="12" s="1"/>
  <c r="T476" i="12"/>
  <c r="F476" i="12" a="1"/>
  <c r="F476" i="12" s="1"/>
  <c r="D476" i="12" a="1"/>
  <c r="D476" i="12" s="1"/>
  <c r="T475" i="12"/>
  <c r="F475" i="12" a="1"/>
  <c r="F475" i="12" s="1"/>
  <c r="D475" i="12" a="1"/>
  <c r="D475" i="12" s="1"/>
  <c r="T474" i="12"/>
  <c r="F474" i="12" a="1"/>
  <c r="F474" i="12" s="1"/>
  <c r="D474" i="12" a="1"/>
  <c r="D474" i="12" s="1"/>
  <c r="T473" i="12"/>
  <c r="F473" i="12" a="1"/>
  <c r="F473" i="12" s="1"/>
  <c r="D473" i="12" a="1"/>
  <c r="D473" i="12" s="1"/>
  <c r="T472" i="12"/>
  <c r="F472" i="12" a="1"/>
  <c r="F472" i="12" s="1"/>
  <c r="D472" i="12" a="1"/>
  <c r="D472" i="12" s="1"/>
  <c r="T471" i="12"/>
  <c r="F471" i="12" a="1"/>
  <c r="F471" i="12" s="1"/>
  <c r="D471" i="12" a="1"/>
  <c r="D471" i="12" s="1"/>
  <c r="T470" i="12"/>
  <c r="F470" i="12" a="1"/>
  <c r="F470" i="12" s="1"/>
  <c r="D470" i="12" a="1"/>
  <c r="D470" i="12" s="1"/>
  <c r="T469" i="12"/>
  <c r="F469" i="12" a="1"/>
  <c r="F469" i="12" s="1"/>
  <c r="D469" i="12" a="1"/>
  <c r="D469" i="12" s="1"/>
  <c r="T468" i="12"/>
  <c r="F468" i="12" a="1"/>
  <c r="F468" i="12" s="1"/>
  <c r="D468" i="12" a="1"/>
  <c r="D468" i="12" s="1"/>
  <c r="T467" i="12"/>
  <c r="F467" i="12" a="1"/>
  <c r="F467" i="12" s="1"/>
  <c r="D467" i="12" a="1"/>
  <c r="D467" i="12" s="1"/>
  <c r="T466" i="12"/>
  <c r="F466" i="12" a="1"/>
  <c r="F466" i="12" s="1"/>
  <c r="D466" i="12" a="1"/>
  <c r="D466" i="12" s="1"/>
  <c r="T465" i="12"/>
  <c r="F465" i="12" a="1"/>
  <c r="F465" i="12" s="1"/>
  <c r="D465" i="12" a="1"/>
  <c r="D465" i="12" s="1"/>
  <c r="T464" i="12"/>
  <c r="F464" i="12" a="1"/>
  <c r="F464" i="12" s="1"/>
  <c r="D464" i="12" a="1"/>
  <c r="D464" i="12" s="1"/>
  <c r="T463" i="12"/>
  <c r="F463" i="12" a="1"/>
  <c r="F463" i="12" s="1"/>
  <c r="D463" i="12" a="1"/>
  <c r="D463" i="12" s="1"/>
  <c r="T462" i="12"/>
  <c r="F462" i="12" a="1"/>
  <c r="F462" i="12" s="1"/>
  <c r="D462" i="12" a="1"/>
  <c r="D462" i="12" s="1"/>
  <c r="T461" i="12"/>
  <c r="F461" i="12" a="1"/>
  <c r="F461" i="12" s="1"/>
  <c r="D461" i="12" a="1"/>
  <c r="D461" i="12" s="1"/>
  <c r="T460" i="12"/>
  <c r="F460" i="12" a="1"/>
  <c r="F460" i="12" s="1"/>
  <c r="D460" i="12" a="1"/>
  <c r="D460" i="12" s="1"/>
  <c r="T459" i="12"/>
  <c r="F459" i="12" a="1"/>
  <c r="F459" i="12" s="1"/>
  <c r="D459" i="12" a="1"/>
  <c r="D459" i="12" s="1"/>
  <c r="T458" i="12"/>
  <c r="F458" i="12" a="1"/>
  <c r="F458" i="12" s="1"/>
  <c r="D458" i="12" a="1"/>
  <c r="D458" i="12" s="1"/>
  <c r="T457" i="12"/>
  <c r="F457" i="12" a="1"/>
  <c r="F457" i="12" s="1"/>
  <c r="D457" i="12" a="1"/>
  <c r="D457" i="12" s="1"/>
  <c r="T456" i="12"/>
  <c r="F456" i="12" a="1"/>
  <c r="F456" i="12" s="1"/>
  <c r="D456" i="12" a="1"/>
  <c r="D456" i="12" s="1"/>
  <c r="T455" i="12"/>
  <c r="F455" i="12" a="1"/>
  <c r="F455" i="12" s="1"/>
  <c r="D455" i="12" a="1"/>
  <c r="D455" i="12" s="1"/>
  <c r="T454" i="12"/>
  <c r="F454" i="12" a="1"/>
  <c r="F454" i="12" s="1"/>
  <c r="D454" i="12" a="1"/>
  <c r="D454" i="12" s="1"/>
  <c r="T453" i="12"/>
  <c r="F453" i="12" a="1"/>
  <c r="F453" i="12" s="1"/>
  <c r="D453" i="12" a="1"/>
  <c r="D453" i="12" s="1"/>
  <c r="T452" i="12"/>
  <c r="F452" i="12" a="1"/>
  <c r="F452" i="12" s="1"/>
  <c r="D452" i="12" a="1"/>
  <c r="D452" i="12" s="1"/>
  <c r="T451" i="12"/>
  <c r="F451" i="12" a="1"/>
  <c r="F451" i="12" s="1"/>
  <c r="D451" i="12" a="1"/>
  <c r="D451" i="12" s="1"/>
  <c r="T450" i="12"/>
  <c r="F450" i="12" a="1"/>
  <c r="F450" i="12" s="1"/>
  <c r="D450" i="12" a="1"/>
  <c r="D450" i="12" s="1"/>
  <c r="T449" i="12"/>
  <c r="F449" i="12" a="1"/>
  <c r="F449" i="12" s="1"/>
  <c r="D449" i="12" a="1"/>
  <c r="D449" i="12" s="1"/>
  <c r="T448" i="12"/>
  <c r="F448" i="12" a="1"/>
  <c r="F448" i="12" s="1"/>
  <c r="D448" i="12" a="1"/>
  <c r="D448" i="12" s="1"/>
  <c r="T447" i="12"/>
  <c r="F447" i="12" a="1"/>
  <c r="F447" i="12" s="1"/>
  <c r="D447" i="12" a="1"/>
  <c r="D447" i="12" s="1"/>
  <c r="T446" i="12"/>
  <c r="F446" i="12" a="1"/>
  <c r="F446" i="12" s="1"/>
  <c r="D446" i="12" a="1"/>
  <c r="D446" i="12" s="1"/>
  <c r="T445" i="12"/>
  <c r="F445" i="12" a="1"/>
  <c r="F445" i="12" s="1"/>
  <c r="D445" i="12" a="1"/>
  <c r="D445" i="12" s="1"/>
  <c r="T444" i="12"/>
  <c r="F444" i="12" a="1"/>
  <c r="F444" i="12" s="1"/>
  <c r="D444" i="12" a="1"/>
  <c r="D444" i="12" s="1"/>
  <c r="T443" i="12"/>
  <c r="F443" i="12" a="1"/>
  <c r="F443" i="12" s="1"/>
  <c r="D443" i="12" a="1"/>
  <c r="D443" i="12" s="1"/>
  <c r="T442" i="12"/>
  <c r="F442" i="12" a="1"/>
  <c r="F442" i="12" s="1"/>
  <c r="D442" i="12" a="1"/>
  <c r="D442" i="12" s="1"/>
  <c r="T441" i="12"/>
  <c r="F441" i="12" a="1"/>
  <c r="F441" i="12" s="1"/>
  <c r="D441" i="12" a="1"/>
  <c r="D441" i="12" s="1"/>
  <c r="T440" i="12"/>
  <c r="F440" i="12" a="1"/>
  <c r="F440" i="12" s="1"/>
  <c r="D440" i="12" a="1"/>
  <c r="D440" i="12" s="1"/>
  <c r="T439" i="12"/>
  <c r="F439" i="12" a="1"/>
  <c r="F439" i="12" s="1"/>
  <c r="D439" i="12" a="1"/>
  <c r="D439" i="12" s="1"/>
  <c r="T438" i="12"/>
  <c r="F438" i="12" a="1"/>
  <c r="F438" i="12" s="1"/>
  <c r="D438" i="12" a="1"/>
  <c r="D438" i="12" s="1"/>
  <c r="T437" i="12"/>
  <c r="F437" i="12" a="1"/>
  <c r="F437" i="12" s="1"/>
  <c r="D437" i="12" a="1"/>
  <c r="D437" i="12" s="1"/>
  <c r="T436" i="12"/>
  <c r="F436" i="12" a="1"/>
  <c r="F436" i="12" s="1"/>
  <c r="D436" i="12" a="1"/>
  <c r="D436" i="12" s="1"/>
  <c r="T435" i="12"/>
  <c r="F435" i="12" a="1"/>
  <c r="F435" i="12" s="1"/>
  <c r="D435" i="12" a="1"/>
  <c r="D435" i="12" s="1"/>
  <c r="T434" i="12"/>
  <c r="F434" i="12" a="1"/>
  <c r="F434" i="12" s="1"/>
  <c r="D434" i="12" a="1"/>
  <c r="D434" i="12" s="1"/>
  <c r="T433" i="12"/>
  <c r="F433" i="12" a="1"/>
  <c r="F433" i="12" s="1"/>
  <c r="D433" i="12" a="1"/>
  <c r="D433" i="12" s="1"/>
  <c r="T432" i="12"/>
  <c r="F432" i="12" a="1"/>
  <c r="F432" i="12" s="1"/>
  <c r="D432" i="12" a="1"/>
  <c r="D432" i="12" s="1"/>
  <c r="T431" i="12"/>
  <c r="F431" i="12" a="1"/>
  <c r="F431" i="12" s="1"/>
  <c r="D431" i="12" a="1"/>
  <c r="D431" i="12" s="1"/>
  <c r="T430" i="12"/>
  <c r="F430" i="12" a="1"/>
  <c r="F430" i="12" s="1"/>
  <c r="D430" i="12" a="1"/>
  <c r="D430" i="12" s="1"/>
  <c r="T429" i="12"/>
  <c r="F429" i="12" a="1"/>
  <c r="F429" i="12" s="1"/>
  <c r="D429" i="12" a="1"/>
  <c r="D429" i="12" s="1"/>
  <c r="T428" i="12"/>
  <c r="F428" i="12" a="1"/>
  <c r="F428" i="12" s="1"/>
  <c r="D428" i="12" a="1"/>
  <c r="D428" i="12" s="1"/>
  <c r="T427" i="12"/>
  <c r="F427" i="12" a="1"/>
  <c r="F427" i="12" s="1"/>
  <c r="D427" i="12" a="1"/>
  <c r="D427" i="12" s="1"/>
  <c r="T426" i="12"/>
  <c r="F426" i="12" a="1"/>
  <c r="F426" i="12" s="1"/>
  <c r="D426" i="12" a="1"/>
  <c r="D426" i="12" s="1"/>
  <c r="T425" i="12"/>
  <c r="F425" i="12" a="1"/>
  <c r="F425" i="12" s="1"/>
  <c r="D425" i="12" a="1"/>
  <c r="D425" i="12" s="1"/>
  <c r="T424" i="12"/>
  <c r="F424" i="12" a="1"/>
  <c r="F424" i="12" s="1"/>
  <c r="D424" i="12" a="1"/>
  <c r="D424" i="12" s="1"/>
  <c r="T423" i="12"/>
  <c r="F423" i="12" a="1"/>
  <c r="F423" i="12" s="1"/>
  <c r="D423" i="12" a="1"/>
  <c r="D423" i="12" s="1"/>
  <c r="T422" i="12"/>
  <c r="F422" i="12" a="1"/>
  <c r="F422" i="12" s="1"/>
  <c r="D422" i="12" a="1"/>
  <c r="D422" i="12" s="1"/>
  <c r="T421" i="12"/>
  <c r="F421" i="12" a="1"/>
  <c r="F421" i="12" s="1"/>
  <c r="D421" i="12" a="1"/>
  <c r="D421" i="12" s="1"/>
  <c r="T420" i="12"/>
  <c r="F420" i="12" a="1"/>
  <c r="F420" i="12" s="1"/>
  <c r="D420" i="12" a="1"/>
  <c r="D420" i="12" s="1"/>
  <c r="T419" i="12"/>
  <c r="F419" i="12" a="1"/>
  <c r="F419" i="12" s="1"/>
  <c r="D419" i="12" a="1"/>
  <c r="D419" i="12" s="1"/>
  <c r="T418" i="12"/>
  <c r="F418" i="12" a="1"/>
  <c r="F418" i="12" s="1"/>
  <c r="D418" i="12" a="1"/>
  <c r="D418" i="12" s="1"/>
  <c r="T417" i="12"/>
  <c r="F417" i="12" a="1"/>
  <c r="F417" i="12" s="1"/>
  <c r="D417" i="12" a="1"/>
  <c r="D417" i="12" s="1"/>
  <c r="T416" i="12"/>
  <c r="F416" i="12" a="1"/>
  <c r="F416" i="12" s="1"/>
  <c r="D416" i="12" a="1"/>
  <c r="D416" i="12" s="1"/>
  <c r="T415" i="12"/>
  <c r="F415" i="12" a="1"/>
  <c r="F415" i="12" s="1"/>
  <c r="D415" i="12" a="1"/>
  <c r="D415" i="12" s="1"/>
  <c r="T414" i="12"/>
  <c r="F414" i="12" a="1"/>
  <c r="F414" i="12" s="1"/>
  <c r="D414" i="12" a="1"/>
  <c r="D414" i="12" s="1"/>
  <c r="T413" i="12"/>
  <c r="F413" i="12" a="1"/>
  <c r="F413" i="12" s="1"/>
  <c r="D413" i="12" a="1"/>
  <c r="D413" i="12" s="1"/>
  <c r="T412" i="12"/>
  <c r="F412" i="12" a="1"/>
  <c r="F412" i="12" s="1"/>
  <c r="D412" i="12" a="1"/>
  <c r="D412" i="12" s="1"/>
  <c r="T411" i="12"/>
  <c r="F411" i="12" a="1"/>
  <c r="F411" i="12" s="1"/>
  <c r="D411" i="12" a="1"/>
  <c r="D411" i="12" s="1"/>
  <c r="T410" i="12"/>
  <c r="F410" i="12" a="1"/>
  <c r="F410" i="12" s="1"/>
  <c r="D410" i="12" a="1"/>
  <c r="D410" i="12" s="1"/>
  <c r="T409" i="12"/>
  <c r="F409" i="12" a="1"/>
  <c r="F409" i="12" s="1"/>
  <c r="D409" i="12" a="1"/>
  <c r="D409" i="12" s="1"/>
  <c r="T408" i="12"/>
  <c r="F408" i="12" a="1"/>
  <c r="F408" i="12" s="1"/>
  <c r="D408" i="12" a="1"/>
  <c r="D408" i="12" s="1"/>
  <c r="T407" i="12"/>
  <c r="F407" i="12" a="1"/>
  <c r="F407" i="12" s="1"/>
  <c r="D407" i="12" a="1"/>
  <c r="D407" i="12" s="1"/>
  <c r="T406" i="12"/>
  <c r="F406" i="12" a="1"/>
  <c r="F406" i="12" s="1"/>
  <c r="D406" i="12" a="1"/>
  <c r="D406" i="12" s="1"/>
  <c r="T405" i="12"/>
  <c r="F405" i="12" a="1"/>
  <c r="F405" i="12" s="1"/>
  <c r="D405" i="12" a="1"/>
  <c r="D405" i="12" s="1"/>
  <c r="T404" i="12"/>
  <c r="F404" i="12" a="1"/>
  <c r="F404" i="12" s="1"/>
  <c r="D404" i="12" a="1"/>
  <c r="D404" i="12" s="1"/>
  <c r="T403" i="12"/>
  <c r="F403" i="12" a="1"/>
  <c r="F403" i="12" s="1"/>
  <c r="D403" i="12" a="1"/>
  <c r="D403" i="12" s="1"/>
  <c r="T402" i="12"/>
  <c r="F402" i="12" a="1"/>
  <c r="F402" i="12" s="1"/>
  <c r="D402" i="12" a="1"/>
  <c r="D402" i="12" s="1"/>
  <c r="T401" i="12"/>
  <c r="F401" i="12" a="1"/>
  <c r="F401" i="12" s="1"/>
  <c r="D401" i="12" a="1"/>
  <c r="D401" i="12" s="1"/>
  <c r="T400" i="12"/>
  <c r="F400" i="12" a="1"/>
  <c r="F400" i="12" s="1"/>
  <c r="D400" i="12" a="1"/>
  <c r="D400" i="12" s="1"/>
  <c r="T399" i="12"/>
  <c r="F399" i="12" a="1"/>
  <c r="F399" i="12" s="1"/>
  <c r="D399" i="12" a="1"/>
  <c r="D399" i="12" s="1"/>
  <c r="T398" i="12"/>
  <c r="F398" i="12" a="1"/>
  <c r="F398" i="12" s="1"/>
  <c r="D398" i="12" a="1"/>
  <c r="D398" i="12" s="1"/>
  <c r="T397" i="12"/>
  <c r="F397" i="12" a="1"/>
  <c r="F397" i="12" s="1"/>
  <c r="D397" i="12" a="1"/>
  <c r="D397" i="12" s="1"/>
  <c r="T396" i="12"/>
  <c r="F396" i="12" a="1"/>
  <c r="F396" i="12" s="1"/>
  <c r="D396" i="12" a="1"/>
  <c r="D396" i="12" s="1"/>
  <c r="T395" i="12"/>
  <c r="F395" i="12" a="1"/>
  <c r="F395" i="12" s="1"/>
  <c r="D395" i="12" a="1"/>
  <c r="D395" i="12" s="1"/>
  <c r="T394" i="12"/>
  <c r="F394" i="12" a="1"/>
  <c r="F394" i="12" s="1"/>
  <c r="D394" i="12" a="1"/>
  <c r="D394" i="12" s="1"/>
  <c r="T393" i="12"/>
  <c r="F393" i="12" a="1"/>
  <c r="F393" i="12" s="1"/>
  <c r="D393" i="12" a="1"/>
  <c r="D393" i="12" s="1"/>
  <c r="T392" i="12"/>
  <c r="F392" i="12" a="1"/>
  <c r="F392" i="12" s="1"/>
  <c r="D392" i="12" a="1"/>
  <c r="D392" i="12" s="1"/>
  <c r="T391" i="12"/>
  <c r="F391" i="12" a="1"/>
  <c r="F391" i="12" s="1"/>
  <c r="D391" i="12" a="1"/>
  <c r="D391" i="12" s="1"/>
  <c r="T390" i="12"/>
  <c r="F390" i="12" a="1"/>
  <c r="F390" i="12" s="1"/>
  <c r="D390" i="12" a="1"/>
  <c r="D390" i="12" s="1"/>
  <c r="T389" i="12"/>
  <c r="F389" i="12" a="1"/>
  <c r="F389" i="12" s="1"/>
  <c r="D389" i="12" a="1"/>
  <c r="D389" i="12" s="1"/>
  <c r="T388" i="12"/>
  <c r="F388" i="12" a="1"/>
  <c r="F388" i="12" s="1"/>
  <c r="D388" i="12" a="1"/>
  <c r="D388" i="12" s="1"/>
  <c r="T387" i="12"/>
  <c r="F387" i="12" a="1"/>
  <c r="F387" i="12" s="1"/>
  <c r="D387" i="12" a="1"/>
  <c r="D387" i="12" s="1"/>
  <c r="T386" i="12"/>
  <c r="F386" i="12" a="1"/>
  <c r="F386" i="12" s="1"/>
  <c r="D386" i="12" a="1"/>
  <c r="D386" i="12" s="1"/>
  <c r="T385" i="12"/>
  <c r="F385" i="12" a="1"/>
  <c r="F385" i="12" s="1"/>
  <c r="D385" i="12" a="1"/>
  <c r="D385" i="12" s="1"/>
  <c r="T384" i="12"/>
  <c r="F384" i="12" a="1"/>
  <c r="F384" i="12" s="1"/>
  <c r="D384" i="12" a="1"/>
  <c r="D384" i="12" s="1"/>
  <c r="T383" i="12"/>
  <c r="F383" i="12" a="1"/>
  <c r="F383" i="12" s="1"/>
  <c r="D383" i="12" a="1"/>
  <c r="D383" i="12" s="1"/>
  <c r="T382" i="12"/>
  <c r="F382" i="12" a="1"/>
  <c r="F382" i="12" s="1"/>
  <c r="D382" i="12" a="1"/>
  <c r="D382" i="12" s="1"/>
  <c r="T381" i="12"/>
  <c r="F381" i="12" a="1"/>
  <c r="F381" i="12" s="1"/>
  <c r="D381" i="12" a="1"/>
  <c r="D381" i="12" s="1"/>
  <c r="T380" i="12"/>
  <c r="F380" i="12" a="1"/>
  <c r="F380" i="12" s="1"/>
  <c r="D380" i="12" a="1"/>
  <c r="D380" i="12" s="1"/>
  <c r="T379" i="12"/>
  <c r="F379" i="12" a="1"/>
  <c r="F379" i="12" s="1"/>
  <c r="D379" i="12" a="1"/>
  <c r="D379" i="12" s="1"/>
  <c r="T378" i="12"/>
  <c r="F378" i="12" a="1"/>
  <c r="F378" i="12" s="1"/>
  <c r="D378" i="12" a="1"/>
  <c r="D378" i="12" s="1"/>
  <c r="T377" i="12"/>
  <c r="F377" i="12" a="1"/>
  <c r="F377" i="12" s="1"/>
  <c r="D377" i="12" a="1"/>
  <c r="D377" i="12" s="1"/>
  <c r="T376" i="12"/>
  <c r="F376" i="12" a="1"/>
  <c r="F376" i="12" s="1"/>
  <c r="D376" i="12" a="1"/>
  <c r="D376" i="12" s="1"/>
  <c r="T375" i="12"/>
  <c r="F375" i="12" a="1"/>
  <c r="F375" i="12" s="1"/>
  <c r="D375" i="12" a="1"/>
  <c r="D375" i="12" s="1"/>
  <c r="T374" i="12"/>
  <c r="F374" i="12" a="1"/>
  <c r="F374" i="12" s="1"/>
  <c r="D374" i="12" a="1"/>
  <c r="D374" i="12" s="1"/>
  <c r="T373" i="12"/>
  <c r="F373" i="12" a="1"/>
  <c r="F373" i="12" s="1"/>
  <c r="D373" i="12" a="1"/>
  <c r="D373" i="12" s="1"/>
  <c r="U75" i="1" a="1"/>
  <c r="U75" i="1"/>
  <c r="U74" i="1" a="1"/>
  <c r="U74" i="1"/>
  <c r="U73" i="1" a="1"/>
  <c r="U73" i="1"/>
  <c r="U72" i="1" a="1"/>
  <c r="U72" i="1"/>
  <c r="U71" i="1" a="1"/>
  <c r="U71" i="1"/>
  <c r="U70" i="1" a="1"/>
  <c r="U70" i="1"/>
  <c r="U69" i="1" a="1"/>
  <c r="U69" i="1"/>
  <c r="U68" i="1" a="1"/>
  <c r="U68" i="1"/>
  <c r="U67" i="1" a="1"/>
  <c r="U67" i="1"/>
  <c r="U66" i="1" a="1"/>
  <c r="U66" i="1"/>
  <c r="U65" i="1" a="1"/>
  <c r="U65" i="1"/>
  <c r="U64" i="1" a="1"/>
  <c r="U64" i="1"/>
  <c r="U63" i="1" a="1"/>
  <c r="U63" i="1"/>
  <c r="U62" i="1" a="1"/>
  <c r="U62" i="1"/>
  <c r="U61" i="1" a="1"/>
  <c r="U61" i="1"/>
  <c r="U60" i="1" a="1"/>
  <c r="U60" i="1"/>
  <c r="F75" i="1" a="1"/>
  <c r="F75" i="1" s="1"/>
  <c r="D75" i="1" a="1"/>
  <c r="D75" i="1" s="1"/>
  <c r="F74" i="1" a="1"/>
  <c r="F74" i="1" s="1"/>
  <c r="D74" i="1" a="1"/>
  <c r="D74" i="1" s="1"/>
  <c r="F73" i="1" a="1"/>
  <c r="F73" i="1" s="1"/>
  <c r="D73" i="1" a="1"/>
  <c r="D73" i="1" s="1"/>
  <c r="B73" i="1" s="1"/>
  <c r="F72" i="1" a="1"/>
  <c r="F72" i="1" s="1"/>
  <c r="D72" i="1" a="1"/>
  <c r="D72" i="1" s="1"/>
  <c r="F71" i="1" a="1"/>
  <c r="F71" i="1" s="1"/>
  <c r="D71" i="1" a="1"/>
  <c r="D71" i="1" s="1"/>
  <c r="F70" i="1" a="1"/>
  <c r="F70" i="1" s="1"/>
  <c r="D70" i="1" a="1"/>
  <c r="D70" i="1" s="1"/>
  <c r="B70" i="1" s="1"/>
  <c r="F69" i="1" a="1"/>
  <c r="F69" i="1" s="1"/>
  <c r="D69" i="1" a="1"/>
  <c r="D69" i="1" s="1"/>
  <c r="F68" i="1" a="1"/>
  <c r="F68" i="1" s="1"/>
  <c r="D68" i="1" a="1"/>
  <c r="D68" i="1" s="1"/>
  <c r="F67" i="1" a="1"/>
  <c r="F67" i="1" s="1"/>
  <c r="D67" i="1" a="1"/>
  <c r="D67" i="1" s="1"/>
  <c r="B67" i="1" s="1"/>
  <c r="F66" i="1" a="1"/>
  <c r="F66" i="1" s="1"/>
  <c r="D66" i="1" a="1"/>
  <c r="D66" i="1" s="1"/>
  <c r="F65" i="1" a="1"/>
  <c r="F65" i="1" s="1"/>
  <c r="D65" i="1" a="1"/>
  <c r="D65" i="1" s="1"/>
  <c r="F64" i="1" a="1"/>
  <c r="F64" i="1" s="1"/>
  <c r="D64" i="1" a="1"/>
  <c r="D64" i="1" s="1"/>
  <c r="B64" i="1" s="1"/>
  <c r="F63" i="1" a="1"/>
  <c r="F63" i="1" s="1"/>
  <c r="D63" i="1" a="1"/>
  <c r="D63" i="1" s="1"/>
  <c r="F62" i="1" a="1"/>
  <c r="F62" i="1" s="1"/>
  <c r="D62" i="1" a="1"/>
  <c r="D62" i="1" s="1"/>
  <c r="F61" i="1" a="1"/>
  <c r="F61" i="1" s="1"/>
  <c r="D61" i="1" a="1"/>
  <c r="D61" i="1" s="1"/>
  <c r="B61" i="1" s="1"/>
  <c r="F60" i="1" a="1"/>
  <c r="F60" i="1" s="1"/>
  <c r="D60" i="1" a="1"/>
  <c r="D60" i="1" s="1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H4" i="31"/>
  <c r="H3" i="31"/>
  <c r="F11" i="13" a="1"/>
  <c r="F11" i="13" s="1"/>
  <c r="R28" i="16"/>
  <c r="F28" i="16" a="1"/>
  <c r="F28" i="16" s="1"/>
  <c r="D28" i="16" a="1"/>
  <c r="D28" i="16" s="1"/>
  <c r="B28" i="16" s="1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F40" i="15" a="1"/>
  <c r="F40" i="15" s="1"/>
  <c r="F39" i="15" a="1"/>
  <c r="F39" i="15" s="1"/>
  <c r="F38" i="15" a="1"/>
  <c r="F38" i="15" s="1"/>
  <c r="F37" i="15" a="1"/>
  <c r="F37" i="15" s="1"/>
  <c r="F36" i="15" a="1"/>
  <c r="F36" i="15" s="1"/>
  <c r="F35" i="15" a="1"/>
  <c r="F35" i="15" s="1"/>
  <c r="F34" i="15" a="1"/>
  <c r="F34" i="15" s="1"/>
  <c r="F33" i="15" a="1"/>
  <c r="F33" i="15" s="1"/>
  <c r="F32" i="15" a="1"/>
  <c r="F32" i="15" s="1"/>
  <c r="F31" i="15" a="1"/>
  <c r="F31" i="15" s="1"/>
  <c r="F30" i="15" a="1"/>
  <c r="F30" i="15" s="1"/>
  <c r="F29" i="15" a="1"/>
  <c r="F29" i="15" s="1"/>
  <c r="F28" i="15" a="1"/>
  <c r="F28" i="15" s="1"/>
  <c r="F27" i="15" a="1"/>
  <c r="F27" i="15" s="1"/>
  <c r="F26" i="15" a="1"/>
  <c r="F26" i="15" s="1"/>
  <c r="F25" i="15" a="1"/>
  <c r="F25" i="15" s="1"/>
  <c r="F24" i="15" a="1"/>
  <c r="F24" i="15" s="1"/>
  <c r="F23" i="15" a="1"/>
  <c r="F23" i="15" s="1"/>
  <c r="F22" i="15" a="1"/>
  <c r="F22" i="15" s="1"/>
  <c r="D40" i="15" a="1"/>
  <c r="D40" i="15" s="1"/>
  <c r="B40" i="15" s="1"/>
  <c r="D39" i="15" a="1"/>
  <c r="D39" i="15" s="1"/>
  <c r="D38" i="15" a="1"/>
  <c r="D38" i="15" s="1"/>
  <c r="B38" i="15" s="1"/>
  <c r="D37" i="15" a="1"/>
  <c r="D37" i="15" s="1"/>
  <c r="B37" i="15" s="1"/>
  <c r="D36" i="15" a="1"/>
  <c r="D36" i="15" s="1"/>
  <c r="D35" i="15" a="1"/>
  <c r="D35" i="15" s="1"/>
  <c r="B35" i="15" s="1"/>
  <c r="D34" i="15" a="1"/>
  <c r="D34" i="15" s="1"/>
  <c r="B34" i="15" s="1"/>
  <c r="D33" i="15" a="1"/>
  <c r="D33" i="15" s="1"/>
  <c r="D32" i="15" a="1"/>
  <c r="D32" i="15" s="1"/>
  <c r="B32" i="15" s="1"/>
  <c r="D31" i="15" a="1"/>
  <c r="D31" i="15" s="1"/>
  <c r="B31" i="15" s="1"/>
  <c r="D30" i="15" a="1"/>
  <c r="D30" i="15" s="1"/>
  <c r="D29" i="15" a="1"/>
  <c r="D29" i="15" s="1"/>
  <c r="D28" i="15" a="1"/>
  <c r="D28" i="15" s="1"/>
  <c r="B28" i="15" s="1"/>
  <c r="D27" i="15" a="1"/>
  <c r="D27" i="15" s="1"/>
  <c r="D26" i="15" a="1"/>
  <c r="D26" i="15" s="1"/>
  <c r="D25" i="15" a="1"/>
  <c r="D25" i="15" s="1"/>
  <c r="B25" i="15" s="1"/>
  <c r="D24" i="15" a="1"/>
  <c r="D24" i="15" s="1"/>
  <c r="D23" i="15" a="1"/>
  <c r="D23" i="15" s="1"/>
  <c r="D22" i="15" a="1"/>
  <c r="D22" i="15" s="1"/>
  <c r="B22" i="15" s="1"/>
  <c r="C152" i="2"/>
  <c r="C151" i="2"/>
  <c r="F6" i="34" a="1"/>
  <c r="F6" i="34" s="1"/>
  <c r="D6" i="34" a="1"/>
  <c r="D6" i="34" s="1"/>
  <c r="F5" i="34" a="1"/>
  <c r="F5" i="34" s="1"/>
  <c r="D5" i="34" a="1"/>
  <c r="D5" i="34" s="1"/>
  <c r="B5" i="34" s="1"/>
  <c r="F4" i="34" a="1"/>
  <c r="F4" i="34" s="1"/>
  <c r="D4" i="34" a="1"/>
  <c r="D4" i="34" s="1"/>
  <c r="F3" i="34" a="1"/>
  <c r="F3" i="34" s="1"/>
  <c r="D3" i="34" a="1"/>
  <c r="D3" i="34" s="1"/>
  <c r="F3" i="33" a="1"/>
  <c r="F3" i="33" s="1"/>
  <c r="D3" i="33" a="1"/>
  <c r="D3" i="33" s="1"/>
  <c r="B3" i="33" s="1"/>
  <c r="H4" i="30"/>
  <c r="H5" i="30"/>
  <c r="H6" i="30"/>
  <c r="H7" i="30"/>
  <c r="H8" i="30"/>
  <c r="H3" i="30"/>
  <c r="E226" i="2"/>
  <c r="E223" i="2"/>
  <c r="E221" i="2"/>
  <c r="E220" i="2"/>
  <c r="D11" i="14" a="1"/>
  <c r="D11" i="14" s="1"/>
  <c r="G279" i="14"/>
  <c r="G280" i="14"/>
  <c r="G281" i="14"/>
  <c r="G282" i="14"/>
  <c r="G283" i="14"/>
  <c r="G284" i="14"/>
  <c r="G285" i="14"/>
  <c r="G286" i="14"/>
  <c r="G287" i="14"/>
  <c r="G288" i="14"/>
  <c r="G289" i="14"/>
  <c r="G278" i="14"/>
  <c r="F289" i="14" a="1"/>
  <c r="F289" i="14" s="1"/>
  <c r="D289" i="14" a="1"/>
  <c r="D289" i="14" s="1"/>
  <c r="F4" i="31" a="1"/>
  <c r="F4" i="31"/>
  <c r="F3" i="31" a="1"/>
  <c r="F3" i="31" s="1"/>
  <c r="D4" i="31" a="1"/>
  <c r="D4" i="31" s="1"/>
  <c r="D3" i="31" a="1"/>
  <c r="D3" i="31" s="1"/>
  <c r="B3" i="31" s="1"/>
  <c r="F288" i="14" a="1"/>
  <c r="F288" i="14" s="1"/>
  <c r="D288" i="14" a="1"/>
  <c r="D288" i="14" s="1"/>
  <c r="F287" i="14" a="1"/>
  <c r="F287" i="14" s="1"/>
  <c r="D287" i="14" a="1"/>
  <c r="D287" i="14" s="1"/>
  <c r="F286" i="14" a="1"/>
  <c r="F286" i="14" s="1"/>
  <c r="D286" i="14" a="1"/>
  <c r="D286" i="14" s="1"/>
  <c r="B286" i="14" s="1"/>
  <c r="F285" i="14" a="1"/>
  <c r="F285" i="14" s="1"/>
  <c r="D285" i="14" a="1"/>
  <c r="D285" i="14" s="1"/>
  <c r="F284" i="14" a="1"/>
  <c r="F284" i="14" s="1"/>
  <c r="D284" i="14" a="1"/>
  <c r="D284" i="14" s="1"/>
  <c r="F283" i="14" a="1"/>
  <c r="F283" i="14" s="1"/>
  <c r="D283" i="14" a="1"/>
  <c r="D283" i="14" s="1"/>
  <c r="B283" i="14" s="1"/>
  <c r="F282" i="14" a="1"/>
  <c r="F282" i="14" s="1"/>
  <c r="D282" i="14" a="1"/>
  <c r="D282" i="14" s="1"/>
  <c r="F281" i="14" a="1"/>
  <c r="F281" i="14" s="1"/>
  <c r="D281" i="14" a="1"/>
  <c r="D281" i="14" s="1"/>
  <c r="F280" i="14" a="1"/>
  <c r="F280" i="14" s="1"/>
  <c r="D280" i="14" a="1"/>
  <c r="D280" i="14" s="1"/>
  <c r="B280" i="14" s="1"/>
  <c r="F279" i="14" a="1"/>
  <c r="F279" i="14" s="1"/>
  <c r="D279" i="14" a="1"/>
  <c r="D279" i="14" s="1"/>
  <c r="F278" i="14" a="1"/>
  <c r="F278" i="14" s="1"/>
  <c r="D278" i="14" a="1"/>
  <c r="D278" i="14" s="1"/>
  <c r="F36" i="24" a="1"/>
  <c r="F36" i="24" s="1"/>
  <c r="D36" i="24" a="1"/>
  <c r="D36" i="24" s="1"/>
  <c r="B36" i="24" s="1"/>
  <c r="F4" i="27" a="1"/>
  <c r="F4" i="27" s="1"/>
  <c r="F5" i="27" a="1"/>
  <c r="F5" i="27" s="1"/>
  <c r="F6" i="27" a="1"/>
  <c r="F6" i="27" s="1"/>
  <c r="F7" i="27" a="1"/>
  <c r="F7" i="27" s="1"/>
  <c r="F8" i="27" a="1"/>
  <c r="F8" i="27" s="1"/>
  <c r="F9" i="27" a="1"/>
  <c r="F9" i="27" s="1"/>
  <c r="F10" i="27" a="1"/>
  <c r="F10" i="27" s="1"/>
  <c r="F11" i="27" a="1"/>
  <c r="F11" i="27" s="1"/>
  <c r="F4" i="26" a="1"/>
  <c r="F4" i="26" s="1"/>
  <c r="F5" i="26" a="1"/>
  <c r="F5" i="26" s="1"/>
  <c r="F6" i="26" a="1"/>
  <c r="F6" i="26" s="1"/>
  <c r="F7" i="26" a="1"/>
  <c r="F7" i="26" s="1"/>
  <c r="F8" i="26" a="1"/>
  <c r="F8" i="26" s="1"/>
  <c r="F9" i="26" a="1"/>
  <c r="F9" i="26" s="1"/>
  <c r="F10" i="26" a="1"/>
  <c r="F10" i="26" s="1"/>
  <c r="F11" i="26" a="1"/>
  <c r="F11" i="26" s="1"/>
  <c r="F12" i="26" a="1"/>
  <c r="F12" i="26" s="1"/>
  <c r="F13" i="26" a="1"/>
  <c r="F13" i="26" s="1"/>
  <c r="F14" i="26" a="1"/>
  <c r="F14" i="26" s="1"/>
  <c r="F15" i="26" a="1"/>
  <c r="F15" i="26" s="1"/>
  <c r="F16" i="26" a="1"/>
  <c r="F16" i="26" s="1"/>
  <c r="F17" i="26" a="1"/>
  <c r="F17" i="26" s="1"/>
  <c r="F18" i="26" a="1"/>
  <c r="F18" i="26" s="1"/>
  <c r="F19" i="26" a="1"/>
  <c r="F19" i="26" s="1"/>
  <c r="F20" i="26" a="1"/>
  <c r="F20" i="26" s="1"/>
  <c r="F21" i="26" a="1"/>
  <c r="F21" i="26" s="1"/>
  <c r="F22" i="26" a="1"/>
  <c r="F22" i="26" s="1"/>
  <c r="F23" i="26" a="1"/>
  <c r="F23" i="26" s="1"/>
  <c r="F24" i="26" a="1"/>
  <c r="F24" i="26" s="1"/>
  <c r="F25" i="26" a="1"/>
  <c r="F25" i="26" s="1"/>
  <c r="F26" i="26" a="1"/>
  <c r="F26" i="26" s="1"/>
  <c r="F27" i="26" a="1"/>
  <c r="F27" i="26" s="1"/>
  <c r="F28" i="26" a="1"/>
  <c r="F28" i="26" s="1"/>
  <c r="F29" i="26" a="1"/>
  <c r="F29" i="26" s="1"/>
  <c r="F30" i="26" a="1"/>
  <c r="F30" i="26" s="1"/>
  <c r="F31" i="26" a="1"/>
  <c r="F31" i="26" s="1"/>
  <c r="F32" i="26" a="1"/>
  <c r="F32" i="26" s="1"/>
  <c r="F33" i="26" a="1"/>
  <c r="F33" i="26" s="1"/>
  <c r="F34" i="26" a="1"/>
  <c r="F34" i="26" s="1"/>
  <c r="F35" i="26" a="1"/>
  <c r="F35" i="26" s="1"/>
  <c r="F36" i="26" a="1"/>
  <c r="F36" i="26" s="1"/>
  <c r="F37" i="26" a="1"/>
  <c r="F37" i="26" s="1"/>
  <c r="F38" i="26" a="1"/>
  <c r="F38" i="26" s="1"/>
  <c r="F39" i="26" a="1"/>
  <c r="F39" i="26" s="1"/>
  <c r="F40" i="26" a="1"/>
  <c r="F40" i="26" s="1"/>
  <c r="F41" i="26" a="1"/>
  <c r="F41" i="26" s="1"/>
  <c r="F42" i="26" a="1"/>
  <c r="F42" i="26" s="1"/>
  <c r="F43" i="26" a="1"/>
  <c r="F43" i="26" s="1"/>
  <c r="F44" i="26" a="1"/>
  <c r="F44" i="26" s="1"/>
  <c r="D4" i="26" a="1"/>
  <c r="D4" i="26" s="1"/>
  <c r="D5" i="26" a="1"/>
  <c r="D5" i="26" s="1"/>
  <c r="D6" i="26" a="1"/>
  <c r="D6" i="26" s="1"/>
  <c r="D7" i="26" a="1"/>
  <c r="D7" i="26" s="1"/>
  <c r="D8" i="26" a="1"/>
  <c r="D8" i="26" s="1"/>
  <c r="D9" i="26" a="1"/>
  <c r="D9" i="26" s="1"/>
  <c r="D10" i="26" a="1"/>
  <c r="D10" i="26" s="1"/>
  <c r="D11" i="26" a="1"/>
  <c r="D11" i="26" s="1"/>
  <c r="D12" i="26" a="1"/>
  <c r="D12" i="26" s="1"/>
  <c r="D13" i="26" a="1"/>
  <c r="D13" i="26" s="1"/>
  <c r="D14" i="26" a="1"/>
  <c r="D14" i="26" s="1"/>
  <c r="D15" i="26" a="1"/>
  <c r="D15" i="26" s="1"/>
  <c r="D16" i="26" a="1"/>
  <c r="D16" i="26" s="1"/>
  <c r="D17" i="26" a="1"/>
  <c r="D17" i="26" s="1"/>
  <c r="D18" i="26" a="1"/>
  <c r="D18" i="26" s="1"/>
  <c r="D19" i="26" a="1"/>
  <c r="D19" i="26" s="1"/>
  <c r="D20" i="26" a="1"/>
  <c r="D20" i="26" s="1"/>
  <c r="D21" i="26" a="1"/>
  <c r="D21" i="26" s="1"/>
  <c r="D22" i="26" a="1"/>
  <c r="D22" i="26" s="1"/>
  <c r="D23" i="26" a="1"/>
  <c r="D23" i="26" s="1"/>
  <c r="D24" i="26" a="1"/>
  <c r="D24" i="26" s="1"/>
  <c r="D25" i="26" a="1"/>
  <c r="D25" i="26" s="1"/>
  <c r="D26" i="26" a="1"/>
  <c r="D26" i="26" s="1"/>
  <c r="D27" i="26" a="1"/>
  <c r="D27" i="26" s="1"/>
  <c r="D28" i="26" a="1"/>
  <c r="D28" i="26" s="1"/>
  <c r="D29" i="26" a="1"/>
  <c r="D29" i="26" s="1"/>
  <c r="D30" i="26" a="1"/>
  <c r="D30" i="26" s="1"/>
  <c r="D31" i="26" a="1"/>
  <c r="D31" i="26" s="1"/>
  <c r="D32" i="26" a="1"/>
  <c r="D32" i="26" s="1"/>
  <c r="D33" i="26" a="1"/>
  <c r="D33" i="26" s="1"/>
  <c r="D34" i="26" a="1"/>
  <c r="D34" i="26" s="1"/>
  <c r="D35" i="26" a="1"/>
  <c r="D35" i="26" s="1"/>
  <c r="D36" i="26" a="1"/>
  <c r="D36" i="26" s="1"/>
  <c r="D37" i="26" a="1"/>
  <c r="D37" i="26" s="1"/>
  <c r="D38" i="26" a="1"/>
  <c r="D38" i="26" s="1"/>
  <c r="D39" i="26" a="1"/>
  <c r="D39" i="26" s="1"/>
  <c r="D40" i="26" a="1"/>
  <c r="D40" i="26" s="1"/>
  <c r="D41" i="26" a="1"/>
  <c r="D41" i="26" s="1"/>
  <c r="D42" i="26" a="1"/>
  <c r="D42" i="26" s="1"/>
  <c r="D43" i="26" a="1"/>
  <c r="D43" i="26" s="1"/>
  <c r="D44" i="26" a="1"/>
  <c r="D44" i="26" s="1"/>
  <c r="F4" i="25" a="1"/>
  <c r="F4" i="25" s="1"/>
  <c r="F5" i="25" a="1"/>
  <c r="F5" i="25" s="1"/>
  <c r="F6" i="25" a="1"/>
  <c r="F6" i="25" s="1"/>
  <c r="F7" i="25" a="1"/>
  <c r="F7" i="25" s="1"/>
  <c r="F8" i="25" a="1"/>
  <c r="F8" i="25" s="1"/>
  <c r="F9" i="25" a="1"/>
  <c r="F9" i="25" s="1"/>
  <c r="F10" i="25" a="1"/>
  <c r="F10" i="25" s="1"/>
  <c r="F11" i="25" a="1"/>
  <c r="F11" i="25" s="1"/>
  <c r="F12" i="25" a="1"/>
  <c r="F12" i="25" s="1"/>
  <c r="F13" i="25" a="1"/>
  <c r="F13" i="25" s="1"/>
  <c r="F14" i="25" a="1"/>
  <c r="F14" i="25" s="1"/>
  <c r="F15" i="25" a="1"/>
  <c r="F15" i="25" s="1"/>
  <c r="F16" i="25" a="1"/>
  <c r="F16" i="25" s="1"/>
  <c r="F17" i="25" a="1"/>
  <c r="F17" i="25" s="1"/>
  <c r="F18" i="25" a="1"/>
  <c r="F18" i="25" s="1"/>
  <c r="F19" i="25" a="1"/>
  <c r="F19" i="25" s="1"/>
  <c r="F20" i="25" a="1"/>
  <c r="F20" i="25" s="1"/>
  <c r="F21" i="25" a="1"/>
  <c r="F21" i="25" s="1"/>
  <c r="F22" i="25" a="1"/>
  <c r="F22" i="25" s="1"/>
  <c r="F23" i="25" a="1"/>
  <c r="F23" i="25" s="1"/>
  <c r="F24" i="25" a="1"/>
  <c r="F24" i="25" s="1"/>
  <c r="F25" i="25" a="1"/>
  <c r="F25" i="25" s="1"/>
  <c r="F26" i="25" a="1"/>
  <c r="F26" i="25" s="1"/>
  <c r="F27" i="25" a="1"/>
  <c r="F27" i="25" s="1"/>
  <c r="F28" i="25" a="1"/>
  <c r="F28" i="25" s="1"/>
  <c r="D4" i="25" a="1"/>
  <c r="D4" i="25" s="1"/>
  <c r="D5" i="25" a="1"/>
  <c r="D5" i="25" s="1"/>
  <c r="D6" i="25" a="1"/>
  <c r="D6" i="25" s="1"/>
  <c r="D7" i="25" a="1"/>
  <c r="D7" i="25" s="1"/>
  <c r="D8" i="25" a="1"/>
  <c r="D8" i="25" s="1"/>
  <c r="D9" i="25" a="1"/>
  <c r="D9" i="25" s="1"/>
  <c r="D10" i="25" a="1"/>
  <c r="D10" i="25" s="1"/>
  <c r="D11" i="25" a="1"/>
  <c r="D11" i="25" s="1"/>
  <c r="D12" i="25" a="1"/>
  <c r="D12" i="25" s="1"/>
  <c r="D13" i="25" a="1"/>
  <c r="D13" i="25" s="1"/>
  <c r="D14" i="25" a="1"/>
  <c r="D14" i="25" s="1"/>
  <c r="D15" i="25" a="1"/>
  <c r="D15" i="25" s="1"/>
  <c r="D16" i="25" a="1"/>
  <c r="D16" i="25" s="1"/>
  <c r="D17" i="25" a="1"/>
  <c r="D17" i="25" s="1"/>
  <c r="D18" i="25" a="1"/>
  <c r="D18" i="25" s="1"/>
  <c r="D19" i="25" a="1"/>
  <c r="D19" i="25" s="1"/>
  <c r="D20" i="25" a="1"/>
  <c r="D20" i="25" s="1"/>
  <c r="D21" i="25" a="1"/>
  <c r="D21" i="25" s="1"/>
  <c r="D22" i="25" a="1"/>
  <c r="D22" i="25" s="1"/>
  <c r="D23" i="25" a="1"/>
  <c r="D23" i="25" s="1"/>
  <c r="D24" i="25" a="1"/>
  <c r="D24" i="25" s="1"/>
  <c r="D25" i="25" a="1"/>
  <c r="D25" i="25" s="1"/>
  <c r="D26" i="25" a="1"/>
  <c r="D26" i="25" s="1"/>
  <c r="D27" i="25" a="1"/>
  <c r="D27" i="25" s="1"/>
  <c r="D28" i="25" a="1"/>
  <c r="D28" i="25" s="1"/>
  <c r="F4" i="24" a="1"/>
  <c r="F4" i="24" s="1"/>
  <c r="F5" i="24" a="1"/>
  <c r="F5" i="24" s="1"/>
  <c r="F6" i="24" a="1"/>
  <c r="F6" i="24" s="1"/>
  <c r="F7" i="24" a="1"/>
  <c r="F7" i="24" s="1"/>
  <c r="F8" i="24" a="1"/>
  <c r="F8" i="24" s="1"/>
  <c r="F9" i="24" a="1"/>
  <c r="F9" i="24" s="1"/>
  <c r="F10" i="24" a="1"/>
  <c r="F10" i="24" s="1"/>
  <c r="F11" i="24" a="1"/>
  <c r="F11" i="24" s="1"/>
  <c r="F12" i="24" a="1"/>
  <c r="F12" i="24" s="1"/>
  <c r="F13" i="24" a="1"/>
  <c r="F13" i="24" s="1"/>
  <c r="F14" i="24" a="1"/>
  <c r="F14" i="24" s="1"/>
  <c r="F15" i="24" a="1"/>
  <c r="F15" i="24" s="1"/>
  <c r="F16" i="24" a="1"/>
  <c r="F16" i="24" s="1"/>
  <c r="F17" i="24" a="1"/>
  <c r="F17" i="24" s="1"/>
  <c r="F18" i="24" a="1"/>
  <c r="F18" i="24" s="1"/>
  <c r="F19" i="24" a="1"/>
  <c r="F19" i="24" s="1"/>
  <c r="F20" i="24" a="1"/>
  <c r="F20" i="24" s="1"/>
  <c r="F21" i="24" a="1"/>
  <c r="F21" i="24" s="1"/>
  <c r="F22" i="24" a="1"/>
  <c r="F22" i="24" s="1"/>
  <c r="F23" i="24" a="1"/>
  <c r="F23" i="24" s="1"/>
  <c r="F24" i="24" a="1"/>
  <c r="F24" i="24" s="1"/>
  <c r="F25" i="24" a="1"/>
  <c r="F25" i="24" s="1"/>
  <c r="F26" i="24" a="1"/>
  <c r="F26" i="24" s="1"/>
  <c r="F27" i="24" a="1"/>
  <c r="F27" i="24" s="1"/>
  <c r="F28" i="24" a="1"/>
  <c r="F28" i="24" s="1"/>
  <c r="F29" i="24" a="1"/>
  <c r="F29" i="24" s="1"/>
  <c r="F30" i="24" a="1"/>
  <c r="F30" i="24" s="1"/>
  <c r="F31" i="24" a="1"/>
  <c r="F31" i="24" s="1"/>
  <c r="F32" i="24" a="1"/>
  <c r="F32" i="24" s="1"/>
  <c r="F33" i="24" a="1"/>
  <c r="F33" i="24" s="1"/>
  <c r="F34" i="24" a="1"/>
  <c r="F34" i="24" s="1"/>
  <c r="F35" i="24" a="1"/>
  <c r="F35" i="24" s="1"/>
  <c r="D4" i="24" a="1"/>
  <c r="D4" i="24" s="1"/>
  <c r="D5" i="24" a="1"/>
  <c r="D5" i="24" s="1"/>
  <c r="D6" i="24" a="1"/>
  <c r="D6" i="24" s="1"/>
  <c r="D7" i="24" a="1"/>
  <c r="D7" i="24" s="1"/>
  <c r="D8" i="24" a="1"/>
  <c r="D8" i="24" s="1"/>
  <c r="D9" i="24" a="1"/>
  <c r="D9" i="24" s="1"/>
  <c r="D10" i="24" a="1"/>
  <c r="D10" i="24" s="1"/>
  <c r="D11" i="24" a="1"/>
  <c r="D11" i="24" s="1"/>
  <c r="D12" i="24" a="1"/>
  <c r="D12" i="24" s="1"/>
  <c r="D13" i="24" a="1"/>
  <c r="D13" i="24" s="1"/>
  <c r="D14" i="24" a="1"/>
  <c r="D14" i="24" s="1"/>
  <c r="D15" i="24" a="1"/>
  <c r="D15" i="24" s="1"/>
  <c r="D16" i="24" a="1"/>
  <c r="D16" i="24" s="1"/>
  <c r="D17" i="24" a="1"/>
  <c r="D17" i="24" s="1"/>
  <c r="D18" i="24" a="1"/>
  <c r="D18" i="24" s="1"/>
  <c r="D19" i="24" a="1"/>
  <c r="D19" i="24" s="1"/>
  <c r="D20" i="24" a="1"/>
  <c r="D20" i="24" s="1"/>
  <c r="D21" i="24" a="1"/>
  <c r="D21" i="24" s="1"/>
  <c r="D22" i="24" a="1"/>
  <c r="D22" i="24" s="1"/>
  <c r="D23" i="24" a="1"/>
  <c r="D23" i="24" s="1"/>
  <c r="D24" i="24" a="1"/>
  <c r="D24" i="24" s="1"/>
  <c r="D25" i="24" a="1"/>
  <c r="D25" i="24" s="1"/>
  <c r="D26" i="24" a="1"/>
  <c r="D26" i="24" s="1"/>
  <c r="D27" i="24" a="1"/>
  <c r="D27" i="24" s="1"/>
  <c r="D28" i="24" a="1"/>
  <c r="D28" i="24" s="1"/>
  <c r="D29" i="24" a="1"/>
  <c r="D29" i="24" s="1"/>
  <c r="D30" i="24" a="1"/>
  <c r="D30" i="24" s="1"/>
  <c r="D31" i="24" a="1"/>
  <c r="D31" i="24" s="1"/>
  <c r="D32" i="24" a="1"/>
  <c r="D32" i="24" s="1"/>
  <c r="D33" i="24" a="1"/>
  <c r="D33" i="24" s="1"/>
  <c r="D34" i="24" a="1"/>
  <c r="D34" i="24" s="1"/>
  <c r="D35" i="24" a="1"/>
  <c r="D35" i="24" s="1"/>
  <c r="F4" i="23" a="1"/>
  <c r="F4" i="23" s="1"/>
  <c r="F5" i="23" a="1"/>
  <c r="F5" i="23" s="1"/>
  <c r="F6" i="23" a="1"/>
  <c r="F6" i="23" s="1"/>
  <c r="F7" i="23" a="1"/>
  <c r="F7" i="23" s="1"/>
  <c r="F8" i="23" a="1"/>
  <c r="F8" i="23" s="1"/>
  <c r="F9" i="23" a="1"/>
  <c r="F9" i="23" s="1"/>
  <c r="F10" i="23" a="1"/>
  <c r="F10" i="23" s="1"/>
  <c r="F11" i="23" a="1"/>
  <c r="F11" i="23" s="1"/>
  <c r="F12" i="23" a="1"/>
  <c r="F12" i="23" s="1"/>
  <c r="F13" i="23" a="1"/>
  <c r="F13" i="23" s="1"/>
  <c r="F14" i="23" a="1"/>
  <c r="F14" i="23" s="1"/>
  <c r="D4" i="23" a="1"/>
  <c r="D4" i="23" s="1"/>
  <c r="D5" i="23" a="1"/>
  <c r="D5" i="23" s="1"/>
  <c r="D6" i="23" a="1"/>
  <c r="D6" i="23" s="1"/>
  <c r="D7" i="23" a="1"/>
  <c r="D7" i="23" s="1"/>
  <c r="D8" i="23" a="1"/>
  <c r="D8" i="23" s="1"/>
  <c r="D9" i="23" a="1"/>
  <c r="D9" i="23" s="1"/>
  <c r="D10" i="23" a="1"/>
  <c r="D10" i="23" s="1"/>
  <c r="D11" i="23" a="1"/>
  <c r="D11" i="23" s="1"/>
  <c r="D12" i="23" a="1"/>
  <c r="D12" i="23" s="1"/>
  <c r="D13" i="23" a="1"/>
  <c r="D13" i="23" s="1"/>
  <c r="D14" i="23" a="1"/>
  <c r="D14" i="23" s="1"/>
  <c r="D4" i="22" a="1"/>
  <c r="D4" i="22" s="1"/>
  <c r="D5" i="22" a="1"/>
  <c r="D5" i="22" s="1"/>
  <c r="D6" i="22" a="1"/>
  <c r="D6" i="22" s="1"/>
  <c r="D7" i="22" a="1"/>
  <c r="D7" i="22" s="1"/>
  <c r="F4" i="22" a="1"/>
  <c r="F4" i="22" s="1"/>
  <c r="F5" i="22" a="1"/>
  <c r="F5" i="22" s="1"/>
  <c r="F6" i="22" a="1"/>
  <c r="F6" i="22" s="1"/>
  <c r="F7" i="22" a="1"/>
  <c r="F7" i="22" s="1"/>
  <c r="D4" i="20" a="1"/>
  <c r="D4" i="20" s="1"/>
  <c r="D5" i="20" a="1"/>
  <c r="D5" i="20" s="1"/>
  <c r="D6" i="20" a="1"/>
  <c r="D6" i="20" s="1"/>
  <c r="D7" i="20" a="1"/>
  <c r="D7" i="20" s="1"/>
  <c r="D8" i="20" a="1"/>
  <c r="D8" i="20" s="1"/>
  <c r="D9" i="20" a="1"/>
  <c r="D9" i="20" s="1"/>
  <c r="D10" i="20" a="1"/>
  <c r="D10" i="20" s="1"/>
  <c r="F4" i="20" a="1"/>
  <c r="F4" i="20" s="1"/>
  <c r="F5" i="20" a="1"/>
  <c r="F5" i="20" s="1"/>
  <c r="F6" i="20" a="1"/>
  <c r="F6" i="20" s="1"/>
  <c r="F7" i="20" a="1"/>
  <c r="F7" i="20" s="1"/>
  <c r="F8" i="20" a="1"/>
  <c r="F8" i="20" s="1"/>
  <c r="F9" i="20" a="1"/>
  <c r="F9" i="20" s="1"/>
  <c r="F10" i="20" a="1"/>
  <c r="F10" i="20" s="1"/>
  <c r="D4" i="19" a="1"/>
  <c r="D4" i="19" s="1"/>
  <c r="D5" i="19" a="1"/>
  <c r="D5" i="19" s="1"/>
  <c r="D6" i="19" a="1"/>
  <c r="D6" i="19" s="1"/>
  <c r="D7" i="19" a="1"/>
  <c r="D7" i="19" s="1"/>
  <c r="D8" i="19" a="1"/>
  <c r="D8" i="19" s="1"/>
  <c r="D9" i="19" a="1"/>
  <c r="D9" i="19" s="1"/>
  <c r="D10" i="19" a="1"/>
  <c r="D10" i="19" s="1"/>
  <c r="F4" i="19" a="1"/>
  <c r="F4" i="19" s="1"/>
  <c r="F5" i="19" a="1"/>
  <c r="F5" i="19" s="1"/>
  <c r="F6" i="19" a="1"/>
  <c r="F6" i="19" s="1"/>
  <c r="F7" i="19" a="1"/>
  <c r="F7" i="19" s="1"/>
  <c r="F8" i="19" a="1"/>
  <c r="F8" i="19" s="1"/>
  <c r="F9" i="19" a="1"/>
  <c r="F9" i="19" s="1"/>
  <c r="F10" i="19" a="1"/>
  <c r="F10" i="19" s="1"/>
  <c r="D4" i="18" a="1"/>
  <c r="D4" i="18" s="1"/>
  <c r="D5" i="18" a="1"/>
  <c r="D5" i="18" s="1"/>
  <c r="D6" i="18" a="1"/>
  <c r="D6" i="18" s="1"/>
  <c r="D7" i="18" a="1"/>
  <c r="D7" i="18" s="1"/>
  <c r="F4" i="18" a="1"/>
  <c r="F4" i="18" s="1"/>
  <c r="F5" i="18" a="1"/>
  <c r="F5" i="18" s="1"/>
  <c r="F6" i="18" a="1"/>
  <c r="F6" i="18" s="1"/>
  <c r="F7" i="18" a="1"/>
  <c r="F7" i="18" s="1"/>
  <c r="D4" i="21" a="1"/>
  <c r="D4" i="21" s="1"/>
  <c r="D5" i="21" a="1"/>
  <c r="D5" i="21" s="1"/>
  <c r="D6" i="21" a="1"/>
  <c r="D6" i="21" s="1"/>
  <c r="D7" i="21" a="1"/>
  <c r="D7" i="21" s="1"/>
  <c r="D8" i="21" a="1"/>
  <c r="D8" i="21" s="1"/>
  <c r="D9" i="21" a="1"/>
  <c r="D9" i="21" s="1"/>
  <c r="D10" i="21" a="1"/>
  <c r="D10" i="21" s="1"/>
  <c r="D11" i="21" a="1"/>
  <c r="D11" i="21" s="1"/>
  <c r="D12" i="21" a="1"/>
  <c r="D12" i="21" s="1"/>
  <c r="D13" i="21" a="1"/>
  <c r="D13" i="21" s="1"/>
  <c r="D14" i="21" a="1"/>
  <c r="D14" i="21" s="1"/>
  <c r="D15" i="21" a="1"/>
  <c r="D15" i="21" s="1"/>
  <c r="D16" i="21" a="1"/>
  <c r="D16" i="21" s="1"/>
  <c r="D17" i="21" a="1"/>
  <c r="D17" i="21" s="1"/>
  <c r="D18" i="21" a="1"/>
  <c r="D18" i="21" s="1"/>
  <c r="D19" i="21" a="1"/>
  <c r="D19" i="21" s="1"/>
  <c r="D20" i="21" a="1"/>
  <c r="D20" i="21" s="1"/>
  <c r="D21" i="21" a="1"/>
  <c r="D21" i="21" s="1"/>
  <c r="D22" i="21" a="1"/>
  <c r="D22" i="21" s="1"/>
  <c r="D23" i="21" a="1"/>
  <c r="D23" i="21" s="1"/>
  <c r="D24" i="21" a="1"/>
  <c r="D24" i="21" s="1"/>
  <c r="D25" i="21" a="1"/>
  <c r="D25" i="21" s="1"/>
  <c r="D26" i="21" a="1"/>
  <c r="D26" i="21" s="1"/>
  <c r="D27" i="21" a="1"/>
  <c r="D27" i="21" s="1"/>
  <c r="F4" i="21" a="1"/>
  <c r="F4" i="21" s="1"/>
  <c r="F5" i="21" a="1"/>
  <c r="F5" i="21" s="1"/>
  <c r="F6" i="21" a="1"/>
  <c r="F6" i="21" s="1"/>
  <c r="F7" i="21" a="1"/>
  <c r="F7" i="21" s="1"/>
  <c r="F8" i="21" a="1"/>
  <c r="F8" i="21" s="1"/>
  <c r="F9" i="21" a="1"/>
  <c r="F9" i="21" s="1"/>
  <c r="F10" i="21" a="1"/>
  <c r="F10" i="21" s="1"/>
  <c r="F11" i="21" a="1"/>
  <c r="F11" i="21" s="1"/>
  <c r="F12" i="21" a="1"/>
  <c r="F12" i="21" s="1"/>
  <c r="F13" i="21" a="1"/>
  <c r="F13" i="21" s="1"/>
  <c r="F14" i="21" a="1"/>
  <c r="F14" i="21" s="1"/>
  <c r="F15" i="21" a="1"/>
  <c r="F15" i="21" s="1"/>
  <c r="F16" i="21" a="1"/>
  <c r="F16" i="21" s="1"/>
  <c r="F17" i="21" a="1"/>
  <c r="F17" i="21" s="1"/>
  <c r="F18" i="21" a="1"/>
  <c r="F18" i="21" s="1"/>
  <c r="F19" i="21" a="1"/>
  <c r="F19" i="21" s="1"/>
  <c r="F20" i="21" a="1"/>
  <c r="F20" i="21" s="1"/>
  <c r="F21" i="21" a="1"/>
  <c r="F21" i="21" s="1"/>
  <c r="F22" i="21" a="1"/>
  <c r="F22" i="21" s="1"/>
  <c r="F23" i="21" a="1"/>
  <c r="F23" i="21" s="1"/>
  <c r="F24" i="21" a="1"/>
  <c r="F24" i="21" s="1"/>
  <c r="F25" i="21" a="1"/>
  <c r="F25" i="21" s="1"/>
  <c r="F26" i="21" a="1"/>
  <c r="F26" i="21" s="1"/>
  <c r="F27" i="21" a="1"/>
  <c r="F27" i="21" s="1"/>
  <c r="D4" i="13" a="1"/>
  <c r="D4" i="13" s="1"/>
  <c r="D5" i="13" a="1"/>
  <c r="D5" i="13" s="1"/>
  <c r="D6" i="13" a="1"/>
  <c r="D6" i="13" s="1"/>
  <c r="D7" i="13" a="1"/>
  <c r="D7" i="13" s="1"/>
  <c r="D8" i="13" a="1"/>
  <c r="D8" i="13" s="1"/>
  <c r="D9" i="13" a="1"/>
  <c r="D9" i="13" s="1"/>
  <c r="D10" i="13" a="1"/>
  <c r="D10" i="13" s="1"/>
  <c r="F4" i="13" a="1"/>
  <c r="F4" i="13" s="1"/>
  <c r="F5" i="13" a="1"/>
  <c r="F5" i="13" s="1"/>
  <c r="F6" i="13" a="1"/>
  <c r="F6" i="13" s="1"/>
  <c r="F7" i="13" a="1"/>
  <c r="F7" i="13" s="1"/>
  <c r="F8" i="13" a="1"/>
  <c r="F8" i="13" s="1"/>
  <c r="F9" i="13" a="1"/>
  <c r="F9" i="13" s="1"/>
  <c r="F10" i="13" a="1"/>
  <c r="F10" i="13" s="1"/>
  <c r="D4" i="17" a="1"/>
  <c r="D4" i="17" s="1"/>
  <c r="D5" i="17" a="1"/>
  <c r="D5" i="17" s="1"/>
  <c r="D6" i="17" a="1"/>
  <c r="D6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F4" i="17" a="1"/>
  <c r="F4" i="17" s="1"/>
  <c r="F5" i="17" a="1"/>
  <c r="F5" i="17" s="1"/>
  <c r="F6" i="17" a="1"/>
  <c r="F6" i="17" s="1"/>
  <c r="F7" i="17" a="1"/>
  <c r="F7" i="17" s="1"/>
  <c r="F8" i="17" a="1"/>
  <c r="F8" i="17" s="1"/>
  <c r="F9" i="17" a="1"/>
  <c r="F9" i="17" s="1"/>
  <c r="F10" i="17" a="1"/>
  <c r="F10" i="17" s="1"/>
  <c r="F11" i="17" a="1"/>
  <c r="F11" i="17" s="1"/>
  <c r="F12" i="17" a="1"/>
  <c r="F12" i="17" s="1"/>
  <c r="F13" i="17" a="1"/>
  <c r="F13" i="17" s="1"/>
  <c r="F14" i="17" a="1"/>
  <c r="F14" i="17" s="1"/>
  <c r="B14" i="17" s="1"/>
  <c r="F15" i="17" a="1"/>
  <c r="F15" i="17" s="1"/>
  <c r="B15" i="17" s="1"/>
  <c r="F16" i="17" a="1"/>
  <c r="F16" i="17" s="1"/>
  <c r="F17" i="17" a="1"/>
  <c r="F17" i="17" s="1"/>
  <c r="F18" i="17" a="1"/>
  <c r="F18" i="17" s="1"/>
  <c r="F19" i="17" a="1"/>
  <c r="F19" i="17" s="1"/>
  <c r="F20" i="17" a="1"/>
  <c r="F20" i="17" s="1"/>
  <c r="F21" i="17" a="1"/>
  <c r="F21" i="17" s="1"/>
  <c r="F22" i="17" a="1"/>
  <c r="F22" i="17" s="1"/>
  <c r="F23" i="17" a="1"/>
  <c r="F23" i="17" s="1"/>
  <c r="F24" i="17" a="1"/>
  <c r="F24" i="17" s="1"/>
  <c r="F25" i="17" a="1"/>
  <c r="F25" i="17" s="1"/>
  <c r="F26" i="17" a="1"/>
  <c r="F26" i="17" s="1"/>
  <c r="F27" i="17" a="1"/>
  <c r="F27" i="17" s="1"/>
  <c r="D4" i="15" a="1"/>
  <c r="D4" i="15" s="1"/>
  <c r="D5" i="15" a="1"/>
  <c r="D5" i="15" s="1"/>
  <c r="D6" i="15" a="1"/>
  <c r="D6" i="15" s="1"/>
  <c r="D7" i="15" a="1"/>
  <c r="D7" i="15" s="1"/>
  <c r="D8" i="15" a="1"/>
  <c r="D8" i="15" s="1"/>
  <c r="D9" i="15" a="1"/>
  <c r="D9" i="15" s="1"/>
  <c r="D10" i="15" a="1"/>
  <c r="D10" i="15" s="1"/>
  <c r="D11" i="15" a="1"/>
  <c r="D11" i="15" s="1"/>
  <c r="D12" i="15" a="1"/>
  <c r="D12" i="15" s="1"/>
  <c r="D13" i="15" a="1"/>
  <c r="D13" i="15" s="1"/>
  <c r="D14" i="15" a="1"/>
  <c r="D14" i="15" s="1"/>
  <c r="D15" i="15" a="1"/>
  <c r="D15" i="15" s="1"/>
  <c r="D16" i="15" a="1"/>
  <c r="D16" i="15" s="1"/>
  <c r="D17" i="15" a="1"/>
  <c r="D17" i="15" s="1"/>
  <c r="D18" i="15" a="1"/>
  <c r="D18" i="15" s="1"/>
  <c r="D19" i="15" a="1"/>
  <c r="D19" i="15" s="1"/>
  <c r="D20" i="15" a="1"/>
  <c r="D20" i="15" s="1"/>
  <c r="D21" i="15" a="1"/>
  <c r="D21" i="15" s="1"/>
  <c r="D41" i="15" a="1"/>
  <c r="D41" i="15" s="1"/>
  <c r="D42" i="15" a="1"/>
  <c r="D42" i="15" s="1"/>
  <c r="D43" i="15" a="1"/>
  <c r="D43" i="15" s="1"/>
  <c r="D44" i="15" a="1"/>
  <c r="D44" i="15" s="1"/>
  <c r="D45" i="15" a="1"/>
  <c r="D45" i="15" s="1"/>
  <c r="D46" i="15" a="1"/>
  <c r="D46" i="15" s="1"/>
  <c r="D47" i="15" a="1"/>
  <c r="D47" i="15" s="1"/>
  <c r="D48" i="15" a="1"/>
  <c r="D48" i="15" s="1"/>
  <c r="D49" i="15" a="1"/>
  <c r="D49" i="15" s="1"/>
  <c r="D50" i="15" a="1"/>
  <c r="D50" i="15" s="1"/>
  <c r="D51" i="15" a="1"/>
  <c r="D51" i="15" s="1"/>
  <c r="D52" i="15" a="1"/>
  <c r="D52" i="15" s="1"/>
  <c r="D53" i="15" a="1"/>
  <c r="D53" i="15" s="1"/>
  <c r="D54" i="15" a="1"/>
  <c r="D54" i="15" s="1"/>
  <c r="D55" i="15" a="1"/>
  <c r="D55" i="15" s="1"/>
  <c r="D56" i="15" a="1"/>
  <c r="D56" i="15" s="1"/>
  <c r="D57" i="15" a="1"/>
  <c r="D57" i="15" s="1"/>
  <c r="D58" i="15" a="1"/>
  <c r="D58" i="15" s="1"/>
  <c r="D59" i="15" a="1"/>
  <c r="D59" i="15" s="1"/>
  <c r="D60" i="15" a="1"/>
  <c r="D60" i="15" s="1"/>
  <c r="D61" i="15" a="1"/>
  <c r="D61" i="15" s="1"/>
  <c r="D62" i="15" a="1"/>
  <c r="D62" i="15" s="1"/>
  <c r="D63" i="15" a="1"/>
  <c r="D63" i="15" s="1"/>
  <c r="D64" i="15" a="1"/>
  <c r="D64" i="15" s="1"/>
  <c r="D65" i="15" a="1"/>
  <c r="D65" i="15" s="1"/>
  <c r="D66" i="15" a="1"/>
  <c r="D66" i="15" s="1"/>
  <c r="D67" i="15" a="1"/>
  <c r="D67" i="15" s="1"/>
  <c r="D68" i="15" a="1"/>
  <c r="D68" i="15" s="1"/>
  <c r="D69" i="15" a="1"/>
  <c r="D69" i="15" s="1"/>
  <c r="D70" i="15" a="1"/>
  <c r="D70" i="15" s="1"/>
  <c r="D71" i="15" a="1"/>
  <c r="D71" i="15" s="1"/>
  <c r="D72" i="15" a="1"/>
  <c r="D72" i="15" s="1"/>
  <c r="D73" i="15" a="1"/>
  <c r="D73" i="15" s="1"/>
  <c r="D74" i="15" a="1"/>
  <c r="D74" i="15" s="1"/>
  <c r="D75" i="15" a="1"/>
  <c r="D75" i="15" s="1"/>
  <c r="D76" i="15" a="1"/>
  <c r="D76" i="15" s="1"/>
  <c r="D77" i="15" a="1"/>
  <c r="D77" i="15" s="1"/>
  <c r="D78" i="15" a="1"/>
  <c r="D78" i="15" s="1"/>
  <c r="D79" i="15" a="1"/>
  <c r="D79" i="15" s="1"/>
  <c r="D80" i="15" a="1"/>
  <c r="D80" i="15" s="1"/>
  <c r="D81" i="15" a="1"/>
  <c r="D81" i="15" s="1"/>
  <c r="D82" i="15" a="1"/>
  <c r="D82" i="15" s="1"/>
  <c r="D83" i="15" a="1"/>
  <c r="D83" i="15" s="1"/>
  <c r="D84" i="15" a="1"/>
  <c r="D84" i="15" s="1"/>
  <c r="D85" i="15" a="1"/>
  <c r="D85" i="15" s="1"/>
  <c r="D86" i="15" a="1"/>
  <c r="D86" i="15" s="1"/>
  <c r="D87" i="15" a="1"/>
  <c r="D87" i="15" s="1"/>
  <c r="D88" i="15" a="1"/>
  <c r="D88" i="15" s="1"/>
  <c r="D89" i="15" a="1"/>
  <c r="D89" i="15" s="1"/>
  <c r="D90" i="15" a="1"/>
  <c r="D90" i="15" s="1"/>
  <c r="D91" i="15" a="1"/>
  <c r="D91" i="15" s="1"/>
  <c r="D92" i="15" a="1"/>
  <c r="D92" i="15" s="1"/>
  <c r="D93" i="15" a="1"/>
  <c r="D93" i="15" s="1"/>
  <c r="D94" i="15" a="1"/>
  <c r="D94" i="15" s="1"/>
  <c r="D95" i="15" a="1"/>
  <c r="D95" i="15" s="1"/>
  <c r="D96" i="15" a="1"/>
  <c r="D96" i="15" s="1"/>
  <c r="D97" i="15" a="1"/>
  <c r="D97" i="15" s="1"/>
  <c r="D98" i="15" a="1"/>
  <c r="D98" i="15" s="1"/>
  <c r="F4" i="15" a="1"/>
  <c r="F4" i="15" s="1"/>
  <c r="F5" i="15" a="1"/>
  <c r="F5" i="15" s="1"/>
  <c r="F6" i="15" a="1"/>
  <c r="F6" i="15" s="1"/>
  <c r="F7" i="15" a="1"/>
  <c r="F7" i="15" s="1"/>
  <c r="F8" i="15" a="1"/>
  <c r="F8" i="15" s="1"/>
  <c r="F9" i="15" a="1"/>
  <c r="F9" i="15" s="1"/>
  <c r="F10" i="15" a="1"/>
  <c r="F10" i="15" s="1"/>
  <c r="F11" i="15" a="1"/>
  <c r="F11" i="15" s="1"/>
  <c r="F12" i="15" a="1"/>
  <c r="F12" i="15" s="1"/>
  <c r="F13" i="15" a="1"/>
  <c r="F13" i="15" s="1"/>
  <c r="F14" i="15" a="1"/>
  <c r="F14" i="15" s="1"/>
  <c r="F15" i="15" a="1"/>
  <c r="F15" i="15" s="1"/>
  <c r="F16" i="15" a="1"/>
  <c r="F16" i="15" s="1"/>
  <c r="F17" i="15" a="1"/>
  <c r="F17" i="15" s="1"/>
  <c r="F18" i="15" a="1"/>
  <c r="F18" i="15" s="1"/>
  <c r="F19" i="15" a="1"/>
  <c r="F19" i="15" s="1"/>
  <c r="F20" i="15" a="1"/>
  <c r="F20" i="15" s="1"/>
  <c r="F21" i="15" a="1"/>
  <c r="F21" i="15" s="1"/>
  <c r="F41" i="15" a="1"/>
  <c r="F41" i="15" s="1"/>
  <c r="F42" i="15" a="1"/>
  <c r="F42" i="15" s="1"/>
  <c r="F43" i="15" a="1"/>
  <c r="F43" i="15" s="1"/>
  <c r="F44" i="15" a="1"/>
  <c r="F44" i="15" s="1"/>
  <c r="F45" i="15" a="1"/>
  <c r="F45" i="15" s="1"/>
  <c r="F46" i="15" a="1"/>
  <c r="F46" i="15" s="1"/>
  <c r="F47" i="15" a="1"/>
  <c r="F47" i="15" s="1"/>
  <c r="F48" i="15" a="1"/>
  <c r="F48" i="15" s="1"/>
  <c r="F49" i="15" a="1"/>
  <c r="F49" i="15" s="1"/>
  <c r="F50" i="15" a="1"/>
  <c r="F50" i="15" s="1"/>
  <c r="F51" i="15" a="1"/>
  <c r="F51" i="15" s="1"/>
  <c r="F52" i="15" a="1"/>
  <c r="F52" i="15" s="1"/>
  <c r="F53" i="15" a="1"/>
  <c r="F53" i="15" s="1"/>
  <c r="F54" i="15" a="1"/>
  <c r="F54" i="15" s="1"/>
  <c r="F55" i="15" a="1"/>
  <c r="F55" i="15" s="1"/>
  <c r="F56" i="15" a="1"/>
  <c r="F56" i="15" s="1"/>
  <c r="F57" i="15" a="1"/>
  <c r="F57" i="15" s="1"/>
  <c r="F58" i="15" a="1"/>
  <c r="F58" i="15" s="1"/>
  <c r="F59" i="15" a="1"/>
  <c r="F59" i="15" s="1"/>
  <c r="F60" i="15" a="1"/>
  <c r="F60" i="15" s="1"/>
  <c r="F61" i="15" a="1"/>
  <c r="F61" i="15" s="1"/>
  <c r="F62" i="15" a="1"/>
  <c r="F62" i="15" s="1"/>
  <c r="F63" i="15" a="1"/>
  <c r="F63" i="15" s="1"/>
  <c r="F64" i="15" a="1"/>
  <c r="F64" i="15" s="1"/>
  <c r="F65" i="15" a="1"/>
  <c r="F65" i="15" s="1"/>
  <c r="F66" i="15" a="1"/>
  <c r="F66" i="15" s="1"/>
  <c r="F67" i="15" a="1"/>
  <c r="F67" i="15" s="1"/>
  <c r="F68" i="15" a="1"/>
  <c r="F68" i="15" s="1"/>
  <c r="F69" i="15" a="1"/>
  <c r="F69" i="15" s="1"/>
  <c r="F70" i="15" a="1"/>
  <c r="F70" i="15" s="1"/>
  <c r="F71" i="15" a="1"/>
  <c r="F71" i="15" s="1"/>
  <c r="F72" i="15" a="1"/>
  <c r="F72" i="15" s="1"/>
  <c r="F73" i="15" a="1"/>
  <c r="F73" i="15" s="1"/>
  <c r="F74" i="15" a="1"/>
  <c r="F74" i="15" s="1"/>
  <c r="F75" i="15" a="1"/>
  <c r="F75" i="15" s="1"/>
  <c r="F76" i="15" a="1"/>
  <c r="F76" i="15" s="1"/>
  <c r="F77" i="15" a="1"/>
  <c r="F77" i="15" s="1"/>
  <c r="F78" i="15" a="1"/>
  <c r="F78" i="15" s="1"/>
  <c r="F79" i="15" a="1"/>
  <c r="F79" i="15" s="1"/>
  <c r="F80" i="15" a="1"/>
  <c r="F80" i="15" s="1"/>
  <c r="F81" i="15" a="1"/>
  <c r="F81" i="15" s="1"/>
  <c r="F82" i="15" a="1"/>
  <c r="F82" i="15" s="1"/>
  <c r="F83" i="15" a="1"/>
  <c r="F83" i="15" s="1"/>
  <c r="F84" i="15" a="1"/>
  <c r="F84" i="15" s="1"/>
  <c r="F85" i="15" a="1"/>
  <c r="F85" i="15" s="1"/>
  <c r="F86" i="15" a="1"/>
  <c r="F86" i="15" s="1"/>
  <c r="F87" i="15" a="1"/>
  <c r="F87" i="15" s="1"/>
  <c r="F88" i="15" a="1"/>
  <c r="F88" i="15" s="1"/>
  <c r="F89" i="15" a="1"/>
  <c r="F89" i="15" s="1"/>
  <c r="F90" i="15" a="1"/>
  <c r="F90" i="15" s="1"/>
  <c r="F91" i="15" a="1"/>
  <c r="F91" i="15" s="1"/>
  <c r="F92" i="15" a="1"/>
  <c r="F92" i="15" s="1"/>
  <c r="F93" i="15" a="1"/>
  <c r="F93" i="15" s="1"/>
  <c r="F94" i="15" a="1"/>
  <c r="F94" i="15" s="1"/>
  <c r="F95" i="15" a="1"/>
  <c r="F95" i="15" s="1"/>
  <c r="F96" i="15" a="1"/>
  <c r="F96" i="15" s="1"/>
  <c r="F97" i="15" a="1"/>
  <c r="F97" i="15" s="1"/>
  <c r="F98" i="15" a="1"/>
  <c r="F98" i="15" s="1"/>
  <c r="F3" i="27" a="1"/>
  <c r="F3" i="27" s="1"/>
  <c r="F3" i="26" a="1"/>
  <c r="F3" i="26" s="1"/>
  <c r="F3" i="25" a="1"/>
  <c r="F3" i="25" s="1"/>
  <c r="F3" i="24" a="1"/>
  <c r="F3" i="24" s="1"/>
  <c r="F3" i="23" a="1"/>
  <c r="F3" i="23" s="1"/>
  <c r="F3" i="22" a="1"/>
  <c r="F3" i="22" s="1"/>
  <c r="F3" i="20" a="1"/>
  <c r="F3" i="20" s="1"/>
  <c r="F3" i="19" a="1"/>
  <c r="F3" i="19" s="1"/>
  <c r="F3" i="18" a="1"/>
  <c r="F3" i="18" s="1"/>
  <c r="F3" i="21" a="1"/>
  <c r="F3" i="21" s="1"/>
  <c r="F3" i="13" a="1"/>
  <c r="F3" i="13" s="1"/>
  <c r="F3" i="17" a="1"/>
  <c r="F3" i="17" s="1"/>
  <c r="D3" i="25" a="1"/>
  <c r="D3" i="25" s="1"/>
  <c r="D3" i="26" a="1"/>
  <c r="D3" i="26" s="1"/>
  <c r="D3" i="24" a="1"/>
  <c r="D3" i="24" s="1"/>
  <c r="D3" i="23" a="1"/>
  <c r="D3" i="23" s="1"/>
  <c r="D3" i="22" a="1"/>
  <c r="D3" i="22" s="1"/>
  <c r="D3" i="20" a="1"/>
  <c r="D3" i="20" s="1"/>
  <c r="D3" i="19" a="1"/>
  <c r="D3" i="19" s="1"/>
  <c r="D3" i="18" a="1"/>
  <c r="D3" i="18" s="1"/>
  <c r="D3" i="21" a="1"/>
  <c r="D3" i="21" s="1"/>
  <c r="D3" i="13" a="1"/>
  <c r="D3" i="13" s="1"/>
  <c r="D3" i="17" a="1"/>
  <c r="D3" i="17" s="1"/>
  <c r="F3" i="15" a="1"/>
  <c r="F3" i="15" s="1"/>
  <c r="D3" i="15" a="1"/>
  <c r="D3" i="15" s="1"/>
  <c r="F4" i="16" a="1"/>
  <c r="F4" i="16" s="1"/>
  <c r="F5" i="16" a="1"/>
  <c r="F5" i="16" s="1"/>
  <c r="F6" i="16" a="1"/>
  <c r="F6" i="16" s="1"/>
  <c r="F7" i="16" a="1"/>
  <c r="F7" i="16" s="1"/>
  <c r="F8" i="16" a="1"/>
  <c r="F8" i="16" s="1"/>
  <c r="F9" i="16" a="1"/>
  <c r="F9" i="16" s="1"/>
  <c r="F10" i="16" a="1"/>
  <c r="F10" i="16" s="1"/>
  <c r="F11" i="16" a="1"/>
  <c r="F11" i="16" s="1"/>
  <c r="F12" i="16" a="1"/>
  <c r="F12" i="16" s="1"/>
  <c r="F13" i="16" a="1"/>
  <c r="F13" i="16" s="1"/>
  <c r="F14" i="16" a="1"/>
  <c r="F14" i="16" s="1"/>
  <c r="F15" i="16" a="1"/>
  <c r="F15" i="16" s="1"/>
  <c r="F16" i="16" a="1"/>
  <c r="F16" i="16" s="1"/>
  <c r="F17" i="16" a="1"/>
  <c r="F17" i="16" s="1"/>
  <c r="F18" i="16" a="1"/>
  <c r="F18" i="16" s="1"/>
  <c r="F19" i="16" a="1"/>
  <c r="F19" i="16" s="1"/>
  <c r="F20" i="16" a="1"/>
  <c r="F20" i="16" s="1"/>
  <c r="F21" i="16" a="1"/>
  <c r="F21" i="16" s="1"/>
  <c r="F22" i="16" a="1"/>
  <c r="F22" i="16" s="1"/>
  <c r="F23" i="16" a="1"/>
  <c r="F23" i="16" s="1"/>
  <c r="F24" i="16" a="1"/>
  <c r="F24" i="16" s="1"/>
  <c r="F25" i="16" a="1"/>
  <c r="F25" i="16" s="1"/>
  <c r="F26" i="16" a="1"/>
  <c r="F26" i="16" s="1"/>
  <c r="F27" i="16" a="1"/>
  <c r="F27" i="16" s="1"/>
  <c r="F3" i="16" a="1"/>
  <c r="F3" i="16" s="1"/>
  <c r="D4" i="16" a="1"/>
  <c r="D4" i="16" s="1"/>
  <c r="D5" i="16" a="1"/>
  <c r="D5" i="16" s="1"/>
  <c r="D6" i="16" a="1"/>
  <c r="D6" i="16" s="1"/>
  <c r="D7" i="16" a="1"/>
  <c r="D7" i="16" s="1"/>
  <c r="D8" i="16" a="1"/>
  <c r="D8" i="16" s="1"/>
  <c r="D9" i="16" a="1"/>
  <c r="D9" i="16" s="1"/>
  <c r="D10" i="16" a="1"/>
  <c r="D10" i="16" s="1"/>
  <c r="D11" i="16" a="1"/>
  <c r="D11" i="16" s="1"/>
  <c r="D12" i="16" a="1"/>
  <c r="D12" i="16" s="1"/>
  <c r="D13" i="16" a="1"/>
  <c r="D13" i="16" s="1"/>
  <c r="D14" i="16" a="1"/>
  <c r="D14" i="16" s="1"/>
  <c r="D15" i="16" a="1"/>
  <c r="D15" i="16" s="1"/>
  <c r="D16" i="16" a="1"/>
  <c r="D16" i="16" s="1"/>
  <c r="D17" i="16" a="1"/>
  <c r="D17" i="16" s="1"/>
  <c r="D18" i="16" a="1"/>
  <c r="D18" i="16" s="1"/>
  <c r="D19" i="16" a="1"/>
  <c r="D19" i="16" s="1"/>
  <c r="D20" i="16" a="1"/>
  <c r="D20" i="16" s="1"/>
  <c r="D21" i="16" a="1"/>
  <c r="D21" i="16" s="1"/>
  <c r="D22" i="16" a="1"/>
  <c r="D22" i="16" s="1"/>
  <c r="D23" i="16" a="1"/>
  <c r="D23" i="16" s="1"/>
  <c r="D24" i="16" a="1"/>
  <c r="D24" i="16" s="1"/>
  <c r="D25" i="16" a="1"/>
  <c r="D25" i="16" s="1"/>
  <c r="D26" i="16" a="1"/>
  <c r="D26" i="16" s="1"/>
  <c r="D27" i="16" a="1"/>
  <c r="D27" i="16" s="1"/>
  <c r="D3" i="16" a="1"/>
  <c r="D3" i="16" s="1"/>
  <c r="D4" i="12" a="1"/>
  <c r="D4" i="12" s="1"/>
  <c r="D5" i="12" a="1"/>
  <c r="D5" i="12" s="1"/>
  <c r="D6" i="12" a="1"/>
  <c r="D6" i="12" s="1"/>
  <c r="D7" i="12" a="1"/>
  <c r="D7" i="12" s="1"/>
  <c r="D8" i="12" a="1"/>
  <c r="D8" i="12" s="1"/>
  <c r="D9" i="12" a="1"/>
  <c r="D9" i="12" s="1"/>
  <c r="D10" i="12" a="1"/>
  <c r="D10" i="12" s="1"/>
  <c r="D11" i="12" a="1"/>
  <c r="D11" i="12" s="1"/>
  <c r="D12" i="12" a="1"/>
  <c r="D12" i="12" s="1"/>
  <c r="D13" i="12" a="1"/>
  <c r="D13" i="12" s="1"/>
  <c r="D14" i="12" a="1"/>
  <c r="D14" i="12" s="1"/>
  <c r="D15" i="12" a="1"/>
  <c r="D15" i="12" s="1"/>
  <c r="D16" i="12" a="1"/>
  <c r="D16" i="12" s="1"/>
  <c r="D17" i="12" a="1"/>
  <c r="D17" i="12" s="1"/>
  <c r="D18" i="12" a="1"/>
  <c r="D18" i="12" s="1"/>
  <c r="D19" i="12" a="1"/>
  <c r="D19" i="12" s="1"/>
  <c r="D20" i="12" a="1"/>
  <c r="D20" i="12" s="1"/>
  <c r="D21" i="12" a="1"/>
  <c r="D21" i="12" s="1"/>
  <c r="D22" i="12" a="1"/>
  <c r="D22" i="12" s="1"/>
  <c r="D23" i="12" a="1"/>
  <c r="D23" i="12" s="1"/>
  <c r="D24" i="12" a="1"/>
  <c r="D24" i="12" s="1"/>
  <c r="D25" i="12" a="1"/>
  <c r="D25" i="12" s="1"/>
  <c r="D26" i="12" a="1"/>
  <c r="D26" i="12" s="1"/>
  <c r="D27" i="12" a="1"/>
  <c r="D27" i="12" s="1"/>
  <c r="D28" i="12" a="1"/>
  <c r="D28" i="12" s="1"/>
  <c r="D29" i="12" a="1"/>
  <c r="D29" i="12" s="1"/>
  <c r="D30" i="12" a="1"/>
  <c r="D30" i="12" s="1"/>
  <c r="D31" i="12" a="1"/>
  <c r="D31" i="12" s="1"/>
  <c r="D32" i="12" a="1"/>
  <c r="D32" i="12" s="1"/>
  <c r="D33" i="12" a="1"/>
  <c r="D33" i="12" s="1"/>
  <c r="D34" i="12" a="1"/>
  <c r="D34" i="12" s="1"/>
  <c r="D35" i="12" a="1"/>
  <c r="D35" i="12" s="1"/>
  <c r="D36" i="12" a="1"/>
  <c r="D36" i="12" s="1"/>
  <c r="D37" i="12" a="1"/>
  <c r="D37" i="12" s="1"/>
  <c r="D38" i="12" a="1"/>
  <c r="D38" i="12" s="1"/>
  <c r="D39" i="12" a="1"/>
  <c r="D39" i="12" s="1"/>
  <c r="D40" i="12" a="1"/>
  <c r="D40" i="12" s="1"/>
  <c r="D41" i="12" a="1"/>
  <c r="D41" i="12" s="1"/>
  <c r="D42" i="12" a="1"/>
  <c r="D42" i="12" s="1"/>
  <c r="D43" i="12" a="1"/>
  <c r="D43" i="12" s="1"/>
  <c r="D44" i="12" a="1"/>
  <c r="D44" i="12" s="1"/>
  <c r="D45" i="12" a="1"/>
  <c r="D45" i="12" s="1"/>
  <c r="D46" i="12" a="1"/>
  <c r="D46" i="12" s="1"/>
  <c r="D47" i="12" a="1"/>
  <c r="D47" i="12" s="1"/>
  <c r="D48" i="12" a="1"/>
  <c r="D48" i="12" s="1"/>
  <c r="D49" i="12" a="1"/>
  <c r="D49" i="12" s="1"/>
  <c r="D50" i="12" a="1"/>
  <c r="D50" i="12" s="1"/>
  <c r="D51" i="12" a="1"/>
  <c r="D51" i="12" s="1"/>
  <c r="D52" i="12" a="1"/>
  <c r="D52" i="12" s="1"/>
  <c r="D53" i="12" a="1"/>
  <c r="D53" i="12" s="1"/>
  <c r="D54" i="12" a="1"/>
  <c r="D54" i="12" s="1"/>
  <c r="D55" i="12" a="1"/>
  <c r="D55" i="12" s="1"/>
  <c r="D56" i="12" a="1"/>
  <c r="D56" i="12" s="1"/>
  <c r="D57" i="12" a="1"/>
  <c r="D57" i="12" s="1"/>
  <c r="D58" i="12" a="1"/>
  <c r="D58" i="12" s="1"/>
  <c r="D59" i="12" a="1"/>
  <c r="D59" i="12" s="1"/>
  <c r="D60" i="12" a="1"/>
  <c r="D60" i="12" s="1"/>
  <c r="D61" i="12" a="1"/>
  <c r="D61" i="12" s="1"/>
  <c r="D62" i="12" a="1"/>
  <c r="D62" i="12" s="1"/>
  <c r="D63" i="12" a="1"/>
  <c r="D63" i="12" s="1"/>
  <c r="D64" i="12" a="1"/>
  <c r="D64" i="12" s="1"/>
  <c r="D65" i="12" a="1"/>
  <c r="D65" i="12" s="1"/>
  <c r="D66" i="12" a="1"/>
  <c r="D66" i="12" s="1"/>
  <c r="D67" i="12" a="1"/>
  <c r="D67" i="12" s="1"/>
  <c r="D68" i="12" a="1"/>
  <c r="D68" i="12" s="1"/>
  <c r="D69" i="12" a="1"/>
  <c r="D69" i="12" s="1"/>
  <c r="D70" i="12" a="1"/>
  <c r="D70" i="12" s="1"/>
  <c r="D71" i="12" a="1"/>
  <c r="D71" i="12" s="1"/>
  <c r="D72" i="12" a="1"/>
  <c r="D72" i="12" s="1"/>
  <c r="D73" i="12" a="1"/>
  <c r="D73" i="12" s="1"/>
  <c r="D74" i="12" a="1"/>
  <c r="D74" i="12" s="1"/>
  <c r="D75" i="12" a="1"/>
  <c r="D75" i="12" s="1"/>
  <c r="D76" i="12" a="1"/>
  <c r="D76" i="12" s="1"/>
  <c r="D77" i="12" a="1"/>
  <c r="D77" i="12" s="1"/>
  <c r="D78" i="12" a="1"/>
  <c r="D78" i="12" s="1"/>
  <c r="D79" i="12" a="1"/>
  <c r="D79" i="12" s="1"/>
  <c r="D80" i="12" a="1"/>
  <c r="D80" i="12" s="1"/>
  <c r="D81" i="12" a="1"/>
  <c r="D81" i="12" s="1"/>
  <c r="D82" i="12" a="1"/>
  <c r="D82" i="12" s="1"/>
  <c r="D83" i="12" a="1"/>
  <c r="D83" i="12" s="1"/>
  <c r="D84" i="12" a="1"/>
  <c r="D84" i="12" s="1"/>
  <c r="D85" i="12" a="1"/>
  <c r="D85" i="12" s="1"/>
  <c r="D86" i="12" a="1"/>
  <c r="D86" i="12" s="1"/>
  <c r="D87" i="12" a="1"/>
  <c r="D87" i="12" s="1"/>
  <c r="D88" i="12" a="1"/>
  <c r="D88" i="12" s="1"/>
  <c r="D89" i="12" a="1"/>
  <c r="D89" i="12" s="1"/>
  <c r="D90" i="12" a="1"/>
  <c r="D90" i="12" s="1"/>
  <c r="D91" i="12" a="1"/>
  <c r="D91" i="12" s="1"/>
  <c r="D92" i="12" a="1"/>
  <c r="D92" i="12" s="1"/>
  <c r="D93" i="12" a="1"/>
  <c r="D93" i="12" s="1"/>
  <c r="D94" i="12" a="1"/>
  <c r="D94" i="12" s="1"/>
  <c r="D95" i="12" a="1"/>
  <c r="D95" i="12" s="1"/>
  <c r="D96" i="12" a="1"/>
  <c r="D96" i="12" s="1"/>
  <c r="D97" i="12" a="1"/>
  <c r="D97" i="12" s="1"/>
  <c r="D98" i="12" a="1"/>
  <c r="D98" i="12" s="1"/>
  <c r="D99" i="12" a="1"/>
  <c r="D99" i="12" s="1"/>
  <c r="D100" i="12" a="1"/>
  <c r="D100" i="12" s="1"/>
  <c r="D101" i="12" a="1"/>
  <c r="D101" i="12" s="1"/>
  <c r="D102" i="12" a="1"/>
  <c r="D102" i="12" s="1"/>
  <c r="D103" i="12" a="1"/>
  <c r="D103" i="12" s="1"/>
  <c r="D104" i="12" a="1"/>
  <c r="D104" i="12" s="1"/>
  <c r="D105" i="12" a="1"/>
  <c r="D105" i="12" s="1"/>
  <c r="D106" i="12" a="1"/>
  <c r="D106" i="12" s="1"/>
  <c r="D107" i="12" a="1"/>
  <c r="D107" i="12" s="1"/>
  <c r="D108" i="12" a="1"/>
  <c r="D108" i="12" s="1"/>
  <c r="D109" i="12" a="1"/>
  <c r="D109" i="12" s="1"/>
  <c r="D110" i="12" a="1"/>
  <c r="D110" i="12" s="1"/>
  <c r="D111" i="12" a="1"/>
  <c r="D111" i="12" s="1"/>
  <c r="D112" i="12" a="1"/>
  <c r="D112" i="12" s="1"/>
  <c r="D113" i="12" a="1"/>
  <c r="D113" i="12" s="1"/>
  <c r="D114" i="12" a="1"/>
  <c r="D114" i="12" s="1"/>
  <c r="D115" i="12" a="1"/>
  <c r="D115" i="12" s="1"/>
  <c r="D116" i="12" a="1"/>
  <c r="D116" i="12" s="1"/>
  <c r="D117" i="12" a="1"/>
  <c r="D117" i="12" s="1"/>
  <c r="D118" i="12" a="1"/>
  <c r="D118" i="12" s="1"/>
  <c r="D119" i="12" a="1"/>
  <c r="D119" i="12" s="1"/>
  <c r="D120" i="12" a="1"/>
  <c r="D120" i="12" s="1"/>
  <c r="D121" i="12" a="1"/>
  <c r="D121" i="12" s="1"/>
  <c r="D122" i="12" a="1"/>
  <c r="D122" i="12" s="1"/>
  <c r="D123" i="12" a="1"/>
  <c r="D123" i="12" s="1"/>
  <c r="D124" i="12" a="1"/>
  <c r="D124" i="12" s="1"/>
  <c r="D125" i="12" a="1"/>
  <c r="D125" i="12" s="1"/>
  <c r="D126" i="12" a="1"/>
  <c r="D126" i="12" s="1"/>
  <c r="D127" i="12" a="1"/>
  <c r="D127" i="12" s="1"/>
  <c r="D128" i="12" a="1"/>
  <c r="D128" i="12" s="1"/>
  <c r="D129" i="12" a="1"/>
  <c r="D129" i="12" s="1"/>
  <c r="D130" i="12" a="1"/>
  <c r="D130" i="12" s="1"/>
  <c r="D131" i="12" a="1"/>
  <c r="D131" i="12" s="1"/>
  <c r="D132" i="12" a="1"/>
  <c r="D132" i="12" s="1"/>
  <c r="D133" i="12" a="1"/>
  <c r="D133" i="12" s="1"/>
  <c r="D134" i="12" a="1"/>
  <c r="D134" i="12" s="1"/>
  <c r="D135" i="12" a="1"/>
  <c r="D135" i="12" s="1"/>
  <c r="D136" i="12" a="1"/>
  <c r="D136" i="12" s="1"/>
  <c r="D137" i="12" a="1"/>
  <c r="D137" i="12" s="1"/>
  <c r="D138" i="12" a="1"/>
  <c r="D138" i="12" s="1"/>
  <c r="D139" i="12" a="1"/>
  <c r="D139" i="12" s="1"/>
  <c r="D140" i="12" a="1"/>
  <c r="D140" i="12" s="1"/>
  <c r="D141" i="12" a="1"/>
  <c r="D141" i="12" s="1"/>
  <c r="D142" i="12" a="1"/>
  <c r="D142" i="12" s="1"/>
  <c r="D143" i="12" a="1"/>
  <c r="D143" i="12" s="1"/>
  <c r="D144" i="12" a="1"/>
  <c r="D144" i="12" s="1"/>
  <c r="D145" i="12" a="1"/>
  <c r="D145" i="12" s="1"/>
  <c r="D146" i="12" a="1"/>
  <c r="D146" i="12" s="1"/>
  <c r="D147" i="12" a="1"/>
  <c r="D147" i="12" s="1"/>
  <c r="D148" i="12" a="1"/>
  <c r="D148" i="12" s="1"/>
  <c r="D149" i="12" a="1"/>
  <c r="D149" i="12" s="1"/>
  <c r="D150" i="12" a="1"/>
  <c r="D150" i="12" s="1"/>
  <c r="D151" i="12" a="1"/>
  <c r="D151" i="12" s="1"/>
  <c r="D152" i="12" a="1"/>
  <c r="D152" i="12" s="1"/>
  <c r="D153" i="12" a="1"/>
  <c r="D153" i="12" s="1"/>
  <c r="D154" i="12" a="1"/>
  <c r="D154" i="12" s="1"/>
  <c r="D155" i="12" a="1"/>
  <c r="D155" i="12" s="1"/>
  <c r="D156" i="12" a="1"/>
  <c r="D156" i="12" s="1"/>
  <c r="D157" i="12" a="1"/>
  <c r="D157" i="12" s="1"/>
  <c r="D158" i="12" a="1"/>
  <c r="D158" i="12" s="1"/>
  <c r="D159" i="12" a="1"/>
  <c r="D159" i="12" s="1"/>
  <c r="D160" i="12" a="1"/>
  <c r="D160" i="12" s="1"/>
  <c r="D161" i="12" a="1"/>
  <c r="D161" i="12" s="1"/>
  <c r="D162" i="12" a="1"/>
  <c r="D162" i="12" s="1"/>
  <c r="D163" i="12" a="1"/>
  <c r="D163" i="12" s="1"/>
  <c r="D164" i="12" a="1"/>
  <c r="D164" i="12" s="1"/>
  <c r="D165" i="12" a="1"/>
  <c r="D165" i="12" s="1"/>
  <c r="D166" i="12" a="1"/>
  <c r="D166" i="12" s="1"/>
  <c r="D167" i="12" a="1"/>
  <c r="D167" i="12" s="1"/>
  <c r="D168" i="12" a="1"/>
  <c r="D168" i="12" s="1"/>
  <c r="D169" i="12" a="1"/>
  <c r="D169" i="12" s="1"/>
  <c r="D170" i="12" a="1"/>
  <c r="D170" i="12" s="1"/>
  <c r="D171" i="12" a="1"/>
  <c r="D171" i="12" s="1"/>
  <c r="D172" i="12" a="1"/>
  <c r="D172" i="12" s="1"/>
  <c r="D173" i="12" a="1"/>
  <c r="D173" i="12" s="1"/>
  <c r="D174" i="12" a="1"/>
  <c r="D174" i="12" s="1"/>
  <c r="D175" i="12" a="1"/>
  <c r="D175" i="12" s="1"/>
  <c r="D176" i="12" a="1"/>
  <c r="D176" i="12" s="1"/>
  <c r="D177" i="12" a="1"/>
  <c r="D177" i="12" s="1"/>
  <c r="D178" i="12" a="1"/>
  <c r="D178" i="12" s="1"/>
  <c r="D179" i="12" a="1"/>
  <c r="D179" i="12" s="1"/>
  <c r="D180" i="12" a="1"/>
  <c r="D180" i="12" s="1"/>
  <c r="D181" i="12" a="1"/>
  <c r="D181" i="12" s="1"/>
  <c r="D182" i="12" a="1"/>
  <c r="D182" i="12" s="1"/>
  <c r="D183" i="12" a="1"/>
  <c r="D183" i="12" s="1"/>
  <c r="D184" i="12" a="1"/>
  <c r="D184" i="12" s="1"/>
  <c r="D185" i="12" a="1"/>
  <c r="D185" i="12" s="1"/>
  <c r="D186" i="12" a="1"/>
  <c r="D186" i="12" s="1"/>
  <c r="D187" i="12" a="1"/>
  <c r="D187" i="12" s="1"/>
  <c r="D188" i="12" a="1"/>
  <c r="D188" i="12" s="1"/>
  <c r="D189" i="12" a="1"/>
  <c r="D189" i="12" s="1"/>
  <c r="D190" i="12" a="1"/>
  <c r="D190" i="12" s="1"/>
  <c r="D191" i="12" a="1"/>
  <c r="D191" i="12" s="1"/>
  <c r="D192" i="12" a="1"/>
  <c r="D192" i="12" s="1"/>
  <c r="D193" i="12" a="1"/>
  <c r="D193" i="12" s="1"/>
  <c r="D194" i="12" a="1"/>
  <c r="D194" i="12" s="1"/>
  <c r="D195" i="12" a="1"/>
  <c r="D195" i="12" s="1"/>
  <c r="D196" i="12" a="1"/>
  <c r="D196" i="12" s="1"/>
  <c r="D197" i="12" a="1"/>
  <c r="D197" i="12" s="1"/>
  <c r="D198" i="12" a="1"/>
  <c r="D198" i="12" s="1"/>
  <c r="D199" i="12" a="1"/>
  <c r="D199" i="12" s="1"/>
  <c r="D200" i="12" a="1"/>
  <c r="D200" i="12" s="1"/>
  <c r="D201" i="12" a="1"/>
  <c r="D201" i="12" s="1"/>
  <c r="D202" i="12" a="1"/>
  <c r="D202" i="12" s="1"/>
  <c r="D203" i="12" a="1"/>
  <c r="D203" i="12" s="1"/>
  <c r="D204" i="12" a="1"/>
  <c r="D204" i="12" s="1"/>
  <c r="D205" i="12" a="1"/>
  <c r="D205" i="12" s="1"/>
  <c r="D206" i="12" a="1"/>
  <c r="D206" i="12" s="1"/>
  <c r="D207" i="12" a="1"/>
  <c r="D207" i="12" s="1"/>
  <c r="D208" i="12" a="1"/>
  <c r="D208" i="12" s="1"/>
  <c r="D209" i="12" a="1"/>
  <c r="D209" i="12" s="1"/>
  <c r="D210" i="12" a="1"/>
  <c r="D210" i="12" s="1"/>
  <c r="D211" i="12" a="1"/>
  <c r="D211" i="12" s="1"/>
  <c r="D212" i="12" a="1"/>
  <c r="D212" i="12" s="1"/>
  <c r="D213" i="12" a="1"/>
  <c r="D213" i="12" s="1"/>
  <c r="D214" i="12" a="1"/>
  <c r="D214" i="12" s="1"/>
  <c r="D215" i="12" a="1"/>
  <c r="D215" i="12" s="1"/>
  <c r="D216" i="12" a="1"/>
  <c r="D216" i="12" s="1"/>
  <c r="D217" i="12" a="1"/>
  <c r="D217" i="12" s="1"/>
  <c r="D218" i="12" a="1"/>
  <c r="D218" i="12" s="1"/>
  <c r="D219" i="12" a="1"/>
  <c r="D219" i="12" s="1"/>
  <c r="D220" i="12" a="1"/>
  <c r="D220" i="12" s="1"/>
  <c r="D221" i="12" a="1"/>
  <c r="D221" i="12" s="1"/>
  <c r="D222" i="12" a="1"/>
  <c r="D222" i="12" s="1"/>
  <c r="D223" i="12" a="1"/>
  <c r="D223" i="12" s="1"/>
  <c r="D224" i="12" a="1"/>
  <c r="D224" i="12" s="1"/>
  <c r="D225" i="12" a="1"/>
  <c r="D225" i="12" s="1"/>
  <c r="D226" i="12" a="1"/>
  <c r="D226" i="12" s="1"/>
  <c r="D227" i="12" a="1"/>
  <c r="D227" i="12" s="1"/>
  <c r="D228" i="12" a="1"/>
  <c r="D228" i="12" s="1"/>
  <c r="D229" i="12" a="1"/>
  <c r="D229" i="12" s="1"/>
  <c r="D230" i="12" a="1"/>
  <c r="D230" i="12" s="1"/>
  <c r="D231" i="12" a="1"/>
  <c r="D231" i="12" s="1"/>
  <c r="D232" i="12" a="1"/>
  <c r="D232" i="12" s="1"/>
  <c r="D233" i="12" a="1"/>
  <c r="D233" i="12" s="1"/>
  <c r="D234" i="12" a="1"/>
  <c r="D234" i="12" s="1"/>
  <c r="D235" i="12" a="1"/>
  <c r="D235" i="12" s="1"/>
  <c r="D236" i="12" a="1"/>
  <c r="D236" i="12" s="1"/>
  <c r="D237" i="12" a="1"/>
  <c r="D237" i="12" s="1"/>
  <c r="D238" i="12" a="1"/>
  <c r="D238" i="12" s="1"/>
  <c r="D239" i="12" a="1"/>
  <c r="D239" i="12" s="1"/>
  <c r="D240" i="12" a="1"/>
  <c r="D240" i="12" s="1"/>
  <c r="D241" i="12" a="1"/>
  <c r="D241" i="12" s="1"/>
  <c r="D242" i="12" a="1"/>
  <c r="D242" i="12" s="1"/>
  <c r="D243" i="12" a="1"/>
  <c r="D243" i="12" s="1"/>
  <c r="D244" i="12" a="1"/>
  <c r="D244" i="12" s="1"/>
  <c r="D245" i="12" a="1"/>
  <c r="D245" i="12" s="1"/>
  <c r="D246" i="12" a="1"/>
  <c r="D246" i="12" s="1"/>
  <c r="D247" i="12" a="1"/>
  <c r="D247" i="12" s="1"/>
  <c r="D248" i="12" a="1"/>
  <c r="D248" i="12" s="1"/>
  <c r="D249" i="12" a="1"/>
  <c r="D249" i="12" s="1"/>
  <c r="D250" i="12" a="1"/>
  <c r="D250" i="12" s="1"/>
  <c r="D251" i="12" a="1"/>
  <c r="D251" i="12" s="1"/>
  <c r="D252" i="12" a="1"/>
  <c r="D252" i="12" s="1"/>
  <c r="D253" i="12" a="1"/>
  <c r="D253" i="12" s="1"/>
  <c r="D254" i="12" a="1"/>
  <c r="D254" i="12" s="1"/>
  <c r="D255" i="12" a="1"/>
  <c r="D255" i="12" s="1"/>
  <c r="D256" i="12" a="1"/>
  <c r="D256" i="12" s="1"/>
  <c r="D257" i="12" a="1"/>
  <c r="D257" i="12" s="1"/>
  <c r="D258" i="12" a="1"/>
  <c r="D258" i="12" s="1"/>
  <c r="D259" i="12" a="1"/>
  <c r="D259" i="12" s="1"/>
  <c r="D260" i="12" a="1"/>
  <c r="D260" i="12" s="1"/>
  <c r="D261" i="12" a="1"/>
  <c r="D261" i="12" s="1"/>
  <c r="D262" i="12" a="1"/>
  <c r="D262" i="12" s="1"/>
  <c r="D263" i="12" a="1"/>
  <c r="D263" i="12" s="1"/>
  <c r="D264" i="12" a="1"/>
  <c r="D264" i="12" s="1"/>
  <c r="D265" i="12" a="1"/>
  <c r="D265" i="12" s="1"/>
  <c r="D266" i="12" a="1"/>
  <c r="D266" i="12" s="1"/>
  <c r="D267" i="12" a="1"/>
  <c r="D267" i="12" s="1"/>
  <c r="D268" i="12" a="1"/>
  <c r="D268" i="12" s="1"/>
  <c r="D269" i="12" a="1"/>
  <c r="D269" i="12" s="1"/>
  <c r="D270" i="12" a="1"/>
  <c r="D270" i="12" s="1"/>
  <c r="D271" i="12" a="1"/>
  <c r="D271" i="12" s="1"/>
  <c r="D272" i="12" a="1"/>
  <c r="D272" i="12" s="1"/>
  <c r="D273" i="12" a="1"/>
  <c r="D273" i="12" s="1"/>
  <c r="D274" i="12" a="1"/>
  <c r="D274" i="12" s="1"/>
  <c r="D275" i="12" a="1"/>
  <c r="D275" i="12" s="1"/>
  <c r="D276" i="12" a="1"/>
  <c r="D276" i="12" s="1"/>
  <c r="D277" i="12" a="1"/>
  <c r="D277" i="12" s="1"/>
  <c r="D278" i="12" a="1"/>
  <c r="D278" i="12" s="1"/>
  <c r="D279" i="12" a="1"/>
  <c r="D279" i="12" s="1"/>
  <c r="D280" i="12" a="1"/>
  <c r="D280" i="12" s="1"/>
  <c r="D281" i="12" a="1"/>
  <c r="D281" i="12" s="1"/>
  <c r="D282" i="12" a="1"/>
  <c r="D282" i="12" s="1"/>
  <c r="D283" i="12" a="1"/>
  <c r="D283" i="12" s="1"/>
  <c r="D284" i="12" a="1"/>
  <c r="D284" i="12" s="1"/>
  <c r="D285" i="12" a="1"/>
  <c r="D285" i="12" s="1"/>
  <c r="D286" i="12" a="1"/>
  <c r="D286" i="12" s="1"/>
  <c r="D287" i="12" a="1"/>
  <c r="D287" i="12" s="1"/>
  <c r="D288" i="12" a="1"/>
  <c r="D288" i="12" s="1"/>
  <c r="D289" i="12" a="1"/>
  <c r="D289" i="12" s="1"/>
  <c r="D290" i="12" a="1"/>
  <c r="D290" i="12" s="1"/>
  <c r="D291" i="12" a="1"/>
  <c r="D291" i="12" s="1"/>
  <c r="D292" i="12" a="1"/>
  <c r="D292" i="12" s="1"/>
  <c r="D293" i="12" a="1"/>
  <c r="D293" i="12" s="1"/>
  <c r="D294" i="12" a="1"/>
  <c r="D294" i="12" s="1"/>
  <c r="D295" i="12" a="1"/>
  <c r="D295" i="12" s="1"/>
  <c r="D296" i="12" a="1"/>
  <c r="D296" i="12" s="1"/>
  <c r="D297" i="12" a="1"/>
  <c r="D297" i="12" s="1"/>
  <c r="D298" i="12" a="1"/>
  <c r="D298" i="12" s="1"/>
  <c r="D299" i="12" a="1"/>
  <c r="D299" i="12" s="1"/>
  <c r="D300" i="12" a="1"/>
  <c r="D300" i="12" s="1"/>
  <c r="D301" i="12" a="1"/>
  <c r="D301" i="12" s="1"/>
  <c r="D302" i="12" a="1"/>
  <c r="D302" i="12" s="1"/>
  <c r="D303" i="12" a="1"/>
  <c r="D303" i="12" s="1"/>
  <c r="D304" i="12" a="1"/>
  <c r="D304" i="12" s="1"/>
  <c r="D305" i="12" a="1"/>
  <c r="D305" i="12" s="1"/>
  <c r="D306" i="12" a="1"/>
  <c r="D306" i="12" s="1"/>
  <c r="D307" i="12" a="1"/>
  <c r="D307" i="12" s="1"/>
  <c r="D308" i="12" a="1"/>
  <c r="D308" i="12" s="1"/>
  <c r="D309" i="12" a="1"/>
  <c r="D309" i="12" s="1"/>
  <c r="D310" i="12" a="1"/>
  <c r="D310" i="12" s="1"/>
  <c r="D311" i="12" a="1"/>
  <c r="D311" i="12" s="1"/>
  <c r="D312" i="12" a="1"/>
  <c r="D312" i="12" s="1"/>
  <c r="D313" i="12" a="1"/>
  <c r="D313" i="12" s="1"/>
  <c r="D314" i="12" a="1"/>
  <c r="D314" i="12" s="1"/>
  <c r="D315" i="12" a="1"/>
  <c r="D315" i="12" s="1"/>
  <c r="D316" i="12" a="1"/>
  <c r="D316" i="12" s="1"/>
  <c r="D317" i="12" a="1"/>
  <c r="D317" i="12" s="1"/>
  <c r="D318" i="12" a="1"/>
  <c r="D318" i="12" s="1"/>
  <c r="D319" i="12" a="1"/>
  <c r="D319" i="12" s="1"/>
  <c r="D320" i="12" a="1"/>
  <c r="D320" i="12" s="1"/>
  <c r="D321" i="12" a="1"/>
  <c r="D321" i="12" s="1"/>
  <c r="D322" i="12" a="1"/>
  <c r="D322" i="12" s="1"/>
  <c r="D323" i="12" a="1"/>
  <c r="D323" i="12" s="1"/>
  <c r="D324" i="12" a="1"/>
  <c r="D324" i="12" s="1"/>
  <c r="D325" i="12" a="1"/>
  <c r="D325" i="12" s="1"/>
  <c r="D326" i="12" a="1"/>
  <c r="D326" i="12" s="1"/>
  <c r="D327" i="12" a="1"/>
  <c r="D327" i="12" s="1"/>
  <c r="D328" i="12" a="1"/>
  <c r="D328" i="12" s="1"/>
  <c r="D329" i="12" a="1"/>
  <c r="D329" i="12" s="1"/>
  <c r="D330" i="12" a="1"/>
  <c r="D330" i="12" s="1"/>
  <c r="D331" i="12" a="1"/>
  <c r="D331" i="12" s="1"/>
  <c r="D332" i="12" a="1"/>
  <c r="D332" i="12" s="1"/>
  <c r="D333" i="12" a="1"/>
  <c r="D333" i="12" s="1"/>
  <c r="D334" i="12" a="1"/>
  <c r="D334" i="12" s="1"/>
  <c r="D335" i="12" a="1"/>
  <c r="D335" i="12" s="1"/>
  <c r="D336" i="12" a="1"/>
  <c r="D336" i="12" s="1"/>
  <c r="D337" i="12" a="1"/>
  <c r="D337" i="12" s="1"/>
  <c r="D338" i="12" a="1"/>
  <c r="D338" i="12" s="1"/>
  <c r="D339" i="12" a="1"/>
  <c r="D339" i="12" s="1"/>
  <c r="D340" i="12" a="1"/>
  <c r="D340" i="12" s="1"/>
  <c r="D341" i="12" a="1"/>
  <c r="D341" i="12" s="1"/>
  <c r="D342" i="12" a="1"/>
  <c r="D342" i="12" s="1"/>
  <c r="D343" i="12" a="1"/>
  <c r="D343" i="12" s="1"/>
  <c r="D344" i="12" a="1"/>
  <c r="D344" i="12" s="1"/>
  <c r="D345" i="12" a="1"/>
  <c r="D345" i="12" s="1"/>
  <c r="D346" i="12" a="1"/>
  <c r="D346" i="12" s="1"/>
  <c r="D347" i="12" a="1"/>
  <c r="D347" i="12" s="1"/>
  <c r="D348" i="12" a="1"/>
  <c r="D348" i="12" s="1"/>
  <c r="D349" i="12" a="1"/>
  <c r="D349" i="12" s="1"/>
  <c r="D350" i="12" a="1"/>
  <c r="D350" i="12" s="1"/>
  <c r="D351" i="12" a="1"/>
  <c r="D351" i="12" s="1"/>
  <c r="D352" i="12" a="1"/>
  <c r="D352" i="12" s="1"/>
  <c r="D353" i="12" a="1"/>
  <c r="D353" i="12" s="1"/>
  <c r="D354" i="12" a="1"/>
  <c r="D354" i="12" s="1"/>
  <c r="D355" i="12" a="1"/>
  <c r="D355" i="12" s="1"/>
  <c r="D356" i="12" a="1"/>
  <c r="D356" i="12" s="1"/>
  <c r="D357" i="12" a="1"/>
  <c r="D357" i="12" s="1"/>
  <c r="D358" i="12" a="1"/>
  <c r="D358" i="12" s="1"/>
  <c r="D359" i="12" a="1"/>
  <c r="D359" i="12" s="1"/>
  <c r="D360" i="12" a="1"/>
  <c r="D360" i="12" s="1"/>
  <c r="D361" i="12" a="1"/>
  <c r="D361" i="12" s="1"/>
  <c r="D362" i="12" a="1"/>
  <c r="D362" i="12" s="1"/>
  <c r="D363" i="12" a="1"/>
  <c r="D363" i="12" s="1"/>
  <c r="D364" i="12" a="1"/>
  <c r="D364" i="12" s="1"/>
  <c r="D365" i="12" a="1"/>
  <c r="D365" i="12" s="1"/>
  <c r="D366" i="12" a="1"/>
  <c r="D366" i="12" s="1"/>
  <c r="D367" i="12" a="1"/>
  <c r="D367" i="12" s="1"/>
  <c r="D368" i="12" a="1"/>
  <c r="D368" i="12" s="1"/>
  <c r="D369" i="12" a="1"/>
  <c r="D369" i="12" s="1"/>
  <c r="D370" i="12" a="1"/>
  <c r="D370" i="12" s="1"/>
  <c r="D371" i="12" a="1"/>
  <c r="D371" i="12" s="1"/>
  <c r="D372" i="12" a="1"/>
  <c r="D372" i="12" s="1"/>
  <c r="F4" i="12" a="1"/>
  <c r="F4" i="12" s="1"/>
  <c r="F5" i="12" a="1"/>
  <c r="F5" i="12" s="1"/>
  <c r="F6" i="12" a="1"/>
  <c r="F6" i="12" s="1"/>
  <c r="F7" i="12" a="1"/>
  <c r="F7" i="12" s="1"/>
  <c r="F8" i="12" a="1"/>
  <c r="F8" i="12" s="1"/>
  <c r="F9" i="12" a="1"/>
  <c r="F9" i="12" s="1"/>
  <c r="F10" i="12" a="1"/>
  <c r="F10" i="12" s="1"/>
  <c r="F11" i="12" a="1"/>
  <c r="F11" i="12" s="1"/>
  <c r="F12" i="12" a="1"/>
  <c r="F12" i="12" s="1"/>
  <c r="F13" i="12" a="1"/>
  <c r="F13" i="12" s="1"/>
  <c r="F14" i="12" a="1"/>
  <c r="F14" i="12" s="1"/>
  <c r="F15" i="12" a="1"/>
  <c r="F15" i="12" s="1"/>
  <c r="F16" i="12" a="1"/>
  <c r="F16" i="12" s="1"/>
  <c r="F17" i="12" a="1"/>
  <c r="F17" i="12" s="1"/>
  <c r="F18" i="12" a="1"/>
  <c r="F18" i="12" s="1"/>
  <c r="F19" i="12" a="1"/>
  <c r="F19" i="12" s="1"/>
  <c r="F20" i="12" a="1"/>
  <c r="F20" i="12" s="1"/>
  <c r="F21" i="12" a="1"/>
  <c r="F21" i="12" s="1"/>
  <c r="F22" i="12" a="1"/>
  <c r="F22" i="12" s="1"/>
  <c r="F23" i="12" a="1"/>
  <c r="F23" i="12" s="1"/>
  <c r="F24" i="12" a="1"/>
  <c r="F24" i="12" s="1"/>
  <c r="F25" i="12" a="1"/>
  <c r="F25" i="12" s="1"/>
  <c r="F26" i="12" a="1"/>
  <c r="F26" i="12" s="1"/>
  <c r="F27" i="12" a="1"/>
  <c r="F27" i="12" s="1"/>
  <c r="F28" i="12" a="1"/>
  <c r="F28" i="12" s="1"/>
  <c r="F29" i="12" a="1"/>
  <c r="F29" i="12" s="1"/>
  <c r="F30" i="12" a="1"/>
  <c r="F30" i="12" s="1"/>
  <c r="F31" i="12" a="1"/>
  <c r="F31" i="12" s="1"/>
  <c r="F32" i="12" a="1"/>
  <c r="F32" i="12" s="1"/>
  <c r="F33" i="12" a="1"/>
  <c r="F33" i="12" s="1"/>
  <c r="F34" i="12" a="1"/>
  <c r="F34" i="12" s="1"/>
  <c r="F35" i="12" a="1"/>
  <c r="F35" i="12" s="1"/>
  <c r="F36" i="12" a="1"/>
  <c r="F36" i="12" s="1"/>
  <c r="F37" i="12" a="1"/>
  <c r="F37" i="12" s="1"/>
  <c r="F38" i="12" a="1"/>
  <c r="F38" i="12" s="1"/>
  <c r="F39" i="12" a="1"/>
  <c r="F39" i="12" s="1"/>
  <c r="F40" i="12" a="1"/>
  <c r="F40" i="12" s="1"/>
  <c r="F41" i="12" a="1"/>
  <c r="F41" i="12" s="1"/>
  <c r="F42" i="12" a="1"/>
  <c r="F42" i="12" s="1"/>
  <c r="F43" i="12" a="1"/>
  <c r="F43" i="12" s="1"/>
  <c r="F44" i="12" a="1"/>
  <c r="F44" i="12" s="1"/>
  <c r="F45" i="12" a="1"/>
  <c r="F45" i="12" s="1"/>
  <c r="F46" i="12" a="1"/>
  <c r="F46" i="12" s="1"/>
  <c r="F47" i="12" a="1"/>
  <c r="F47" i="12" s="1"/>
  <c r="F48" i="12" a="1"/>
  <c r="F48" i="12" s="1"/>
  <c r="F49" i="12" a="1"/>
  <c r="F49" i="12" s="1"/>
  <c r="F50" i="12" a="1"/>
  <c r="F50" i="12" s="1"/>
  <c r="F51" i="12" a="1"/>
  <c r="F51" i="12" s="1"/>
  <c r="F52" i="12" a="1"/>
  <c r="F52" i="12" s="1"/>
  <c r="F53" i="12" a="1"/>
  <c r="F53" i="12" s="1"/>
  <c r="F54" i="12" a="1"/>
  <c r="F54" i="12" s="1"/>
  <c r="F55" i="12" a="1"/>
  <c r="F55" i="12" s="1"/>
  <c r="F56" i="12" a="1"/>
  <c r="F56" i="12" s="1"/>
  <c r="F57" i="12" a="1"/>
  <c r="F57" i="12" s="1"/>
  <c r="F58" i="12" a="1"/>
  <c r="F58" i="12" s="1"/>
  <c r="F59" i="12" a="1"/>
  <c r="F59" i="12" s="1"/>
  <c r="F60" i="12" a="1"/>
  <c r="F60" i="12" s="1"/>
  <c r="F61" i="12" a="1"/>
  <c r="F61" i="12" s="1"/>
  <c r="F62" i="12" a="1"/>
  <c r="F62" i="12" s="1"/>
  <c r="F63" i="12" a="1"/>
  <c r="F63" i="12" s="1"/>
  <c r="F64" i="12" a="1"/>
  <c r="F64" i="12" s="1"/>
  <c r="F65" i="12" a="1"/>
  <c r="F65" i="12" s="1"/>
  <c r="F66" i="12" a="1"/>
  <c r="F66" i="12" s="1"/>
  <c r="F67" i="12" a="1"/>
  <c r="F67" i="12" s="1"/>
  <c r="F68" i="12" a="1"/>
  <c r="F68" i="12" s="1"/>
  <c r="F69" i="12" a="1"/>
  <c r="F69" i="12" s="1"/>
  <c r="F70" i="12" a="1"/>
  <c r="F70" i="12" s="1"/>
  <c r="F71" i="12" a="1"/>
  <c r="F71" i="12" s="1"/>
  <c r="F72" i="12" a="1"/>
  <c r="F72" i="12" s="1"/>
  <c r="F73" i="12" a="1"/>
  <c r="F73" i="12" s="1"/>
  <c r="F74" i="12" a="1"/>
  <c r="F74" i="12" s="1"/>
  <c r="F75" i="12" a="1"/>
  <c r="F75" i="12" s="1"/>
  <c r="F76" i="12" a="1"/>
  <c r="F76" i="12" s="1"/>
  <c r="F77" i="12" a="1"/>
  <c r="F77" i="12" s="1"/>
  <c r="F78" i="12" a="1"/>
  <c r="F78" i="12" s="1"/>
  <c r="F79" i="12" a="1"/>
  <c r="F79" i="12" s="1"/>
  <c r="F80" i="12" a="1"/>
  <c r="F80" i="12" s="1"/>
  <c r="F81" i="12" a="1"/>
  <c r="F81" i="12" s="1"/>
  <c r="F82" i="12" a="1"/>
  <c r="F82" i="12" s="1"/>
  <c r="F83" i="12" a="1"/>
  <c r="F83" i="12" s="1"/>
  <c r="F84" i="12" a="1"/>
  <c r="F84" i="12" s="1"/>
  <c r="F85" i="12" a="1"/>
  <c r="F85" i="12" s="1"/>
  <c r="F86" i="12" a="1"/>
  <c r="F86" i="12" s="1"/>
  <c r="F87" i="12" a="1"/>
  <c r="F87" i="12" s="1"/>
  <c r="F88" i="12" a="1"/>
  <c r="F88" i="12" s="1"/>
  <c r="F89" i="12" a="1"/>
  <c r="F89" i="12" s="1"/>
  <c r="F90" i="12" a="1"/>
  <c r="F90" i="12" s="1"/>
  <c r="F91" i="12" a="1"/>
  <c r="F91" i="12" s="1"/>
  <c r="F92" i="12" a="1"/>
  <c r="F92" i="12" s="1"/>
  <c r="F93" i="12" a="1"/>
  <c r="F93" i="12" s="1"/>
  <c r="F94" i="12" a="1"/>
  <c r="F94" i="12" s="1"/>
  <c r="F95" i="12" a="1"/>
  <c r="F95" i="12" s="1"/>
  <c r="F96" i="12" a="1"/>
  <c r="F96" i="12" s="1"/>
  <c r="F97" i="12" a="1"/>
  <c r="F97" i="12" s="1"/>
  <c r="F98" i="12" a="1"/>
  <c r="F98" i="12" s="1"/>
  <c r="F99" i="12" a="1"/>
  <c r="F99" i="12" s="1"/>
  <c r="F100" i="12" a="1"/>
  <c r="F100" i="12" s="1"/>
  <c r="F101" i="12" a="1"/>
  <c r="F101" i="12" s="1"/>
  <c r="F102" i="12" a="1"/>
  <c r="F102" i="12" s="1"/>
  <c r="F103" i="12" a="1"/>
  <c r="F103" i="12" s="1"/>
  <c r="F104" i="12" a="1"/>
  <c r="F104" i="12" s="1"/>
  <c r="F105" i="12" a="1"/>
  <c r="F105" i="12" s="1"/>
  <c r="F106" i="12" a="1"/>
  <c r="F106" i="12" s="1"/>
  <c r="F107" i="12" a="1"/>
  <c r="F107" i="12" s="1"/>
  <c r="F108" i="12" a="1"/>
  <c r="F108" i="12" s="1"/>
  <c r="F109" i="12" a="1"/>
  <c r="F109" i="12" s="1"/>
  <c r="F110" i="12" a="1"/>
  <c r="F110" i="12" s="1"/>
  <c r="F111" i="12" a="1"/>
  <c r="F111" i="12" s="1"/>
  <c r="F112" i="12" a="1"/>
  <c r="F112" i="12" s="1"/>
  <c r="F113" i="12" a="1"/>
  <c r="F113" i="12" s="1"/>
  <c r="F114" i="12" a="1"/>
  <c r="F114" i="12" s="1"/>
  <c r="F115" i="12" a="1"/>
  <c r="F115" i="12" s="1"/>
  <c r="F116" i="12" a="1"/>
  <c r="F116" i="12" s="1"/>
  <c r="F117" i="12" a="1"/>
  <c r="F117" i="12" s="1"/>
  <c r="F118" i="12" a="1"/>
  <c r="F118" i="12" s="1"/>
  <c r="F119" i="12" a="1"/>
  <c r="F119" i="12" s="1"/>
  <c r="F120" i="12" a="1"/>
  <c r="F120" i="12" s="1"/>
  <c r="F121" i="12" a="1"/>
  <c r="F121" i="12" s="1"/>
  <c r="F122" i="12" a="1"/>
  <c r="F122" i="12" s="1"/>
  <c r="F123" i="12" a="1"/>
  <c r="F123" i="12" s="1"/>
  <c r="F124" i="12" a="1"/>
  <c r="F124" i="12" s="1"/>
  <c r="F125" i="12" a="1"/>
  <c r="F125" i="12" s="1"/>
  <c r="F126" i="12" a="1"/>
  <c r="F126" i="12" s="1"/>
  <c r="F127" i="12" a="1"/>
  <c r="F127" i="12" s="1"/>
  <c r="F128" i="12" a="1"/>
  <c r="F128" i="12" s="1"/>
  <c r="F129" i="12" a="1"/>
  <c r="F129" i="12" s="1"/>
  <c r="F130" i="12" a="1"/>
  <c r="F130" i="12" s="1"/>
  <c r="F131" i="12" a="1"/>
  <c r="F131" i="12" s="1"/>
  <c r="F132" i="12" a="1"/>
  <c r="F132" i="12" s="1"/>
  <c r="F133" i="12" a="1"/>
  <c r="F133" i="12" s="1"/>
  <c r="F134" i="12" a="1"/>
  <c r="F134" i="12" s="1"/>
  <c r="F135" i="12" a="1"/>
  <c r="F135" i="12" s="1"/>
  <c r="F136" i="12" a="1"/>
  <c r="F136" i="12" s="1"/>
  <c r="F137" i="12" a="1"/>
  <c r="F137" i="12" s="1"/>
  <c r="F138" i="12" a="1"/>
  <c r="F138" i="12" s="1"/>
  <c r="F139" i="12" a="1"/>
  <c r="F139" i="12" s="1"/>
  <c r="F140" i="12" a="1"/>
  <c r="F140" i="12" s="1"/>
  <c r="F141" i="12" a="1"/>
  <c r="F141" i="12" s="1"/>
  <c r="F142" i="12" a="1"/>
  <c r="F142" i="12" s="1"/>
  <c r="F143" i="12" a="1"/>
  <c r="F143" i="12" s="1"/>
  <c r="F144" i="12" a="1"/>
  <c r="F144" i="12" s="1"/>
  <c r="F145" i="12" a="1"/>
  <c r="F145" i="12" s="1"/>
  <c r="F146" i="12" a="1"/>
  <c r="F146" i="12" s="1"/>
  <c r="F147" i="12" a="1"/>
  <c r="F147" i="12" s="1"/>
  <c r="F148" i="12" a="1"/>
  <c r="F148" i="12" s="1"/>
  <c r="F149" i="12" a="1"/>
  <c r="F149" i="12" s="1"/>
  <c r="F150" i="12" a="1"/>
  <c r="F150" i="12" s="1"/>
  <c r="F151" i="12" a="1"/>
  <c r="F151" i="12" s="1"/>
  <c r="F152" i="12" a="1"/>
  <c r="F152" i="12" s="1"/>
  <c r="F153" i="12" a="1"/>
  <c r="F153" i="12" s="1"/>
  <c r="F154" i="12" a="1"/>
  <c r="F154" i="12" s="1"/>
  <c r="F155" i="12" a="1"/>
  <c r="F155" i="12" s="1"/>
  <c r="F156" i="12" a="1"/>
  <c r="F156" i="12" s="1"/>
  <c r="F157" i="12" a="1"/>
  <c r="F157" i="12" s="1"/>
  <c r="F158" i="12" a="1"/>
  <c r="F158" i="12" s="1"/>
  <c r="F159" i="12" a="1"/>
  <c r="F159" i="12" s="1"/>
  <c r="F160" i="12" a="1"/>
  <c r="F160" i="12" s="1"/>
  <c r="F161" i="12" a="1"/>
  <c r="F161" i="12" s="1"/>
  <c r="F162" i="12" a="1"/>
  <c r="F162" i="12" s="1"/>
  <c r="F163" i="12" a="1"/>
  <c r="F163" i="12" s="1"/>
  <c r="F164" i="12" a="1"/>
  <c r="F164" i="12" s="1"/>
  <c r="F165" i="12" a="1"/>
  <c r="F165" i="12" s="1"/>
  <c r="F166" i="12" a="1"/>
  <c r="F166" i="12" s="1"/>
  <c r="F167" i="12" a="1"/>
  <c r="F167" i="12" s="1"/>
  <c r="F168" i="12" a="1"/>
  <c r="F168" i="12" s="1"/>
  <c r="F169" i="12" a="1"/>
  <c r="F169" i="12" s="1"/>
  <c r="F170" i="12" a="1"/>
  <c r="F170" i="12" s="1"/>
  <c r="F171" i="12" a="1"/>
  <c r="F171" i="12" s="1"/>
  <c r="F172" i="12" a="1"/>
  <c r="F172" i="12" s="1"/>
  <c r="F173" i="12" a="1"/>
  <c r="F173" i="12" s="1"/>
  <c r="F174" i="12" a="1"/>
  <c r="F174" i="12" s="1"/>
  <c r="F175" i="12" a="1"/>
  <c r="F175" i="12" s="1"/>
  <c r="F176" i="12" a="1"/>
  <c r="F176" i="12" s="1"/>
  <c r="F177" i="12" a="1"/>
  <c r="F177" i="12" s="1"/>
  <c r="F178" i="12" a="1"/>
  <c r="F178" i="12" s="1"/>
  <c r="F179" i="12" a="1"/>
  <c r="F179" i="12" s="1"/>
  <c r="F180" i="12" a="1"/>
  <c r="F180" i="12" s="1"/>
  <c r="F181" i="12" a="1"/>
  <c r="F181" i="12" s="1"/>
  <c r="F182" i="12" a="1"/>
  <c r="F182" i="12" s="1"/>
  <c r="F183" i="12" a="1"/>
  <c r="F183" i="12" s="1"/>
  <c r="F184" i="12" a="1"/>
  <c r="F184" i="12" s="1"/>
  <c r="F185" i="12" a="1"/>
  <c r="F185" i="12" s="1"/>
  <c r="F186" i="12" a="1"/>
  <c r="F186" i="12" s="1"/>
  <c r="F187" i="12" a="1"/>
  <c r="F187" i="12" s="1"/>
  <c r="F188" i="12" a="1"/>
  <c r="F188" i="12" s="1"/>
  <c r="F189" i="12" a="1"/>
  <c r="F189" i="12" s="1"/>
  <c r="F190" i="12" a="1"/>
  <c r="F190" i="12" s="1"/>
  <c r="F191" i="12" a="1"/>
  <c r="F191" i="12" s="1"/>
  <c r="F192" i="12" a="1"/>
  <c r="F192" i="12" s="1"/>
  <c r="F193" i="12" a="1"/>
  <c r="F193" i="12" s="1"/>
  <c r="F194" i="12" a="1"/>
  <c r="F194" i="12" s="1"/>
  <c r="F195" i="12" a="1"/>
  <c r="F195" i="12" s="1"/>
  <c r="F196" i="12" a="1"/>
  <c r="F196" i="12" s="1"/>
  <c r="F197" i="12" a="1"/>
  <c r="F197" i="12" s="1"/>
  <c r="F198" i="12" a="1"/>
  <c r="F198" i="12" s="1"/>
  <c r="F199" i="12" a="1"/>
  <c r="F199" i="12" s="1"/>
  <c r="F200" i="12" a="1"/>
  <c r="F200" i="12" s="1"/>
  <c r="F201" i="12" a="1"/>
  <c r="F201" i="12" s="1"/>
  <c r="F202" i="12" a="1"/>
  <c r="F202" i="12" s="1"/>
  <c r="F203" i="12" a="1"/>
  <c r="F203" i="12" s="1"/>
  <c r="F204" i="12" a="1"/>
  <c r="F204" i="12" s="1"/>
  <c r="F205" i="12" a="1"/>
  <c r="F205" i="12" s="1"/>
  <c r="F206" i="12" a="1"/>
  <c r="F206" i="12" s="1"/>
  <c r="F207" i="12" a="1"/>
  <c r="F207" i="12" s="1"/>
  <c r="F208" i="12" a="1"/>
  <c r="F208" i="12" s="1"/>
  <c r="F209" i="12" a="1"/>
  <c r="F209" i="12" s="1"/>
  <c r="F210" i="12" a="1"/>
  <c r="F210" i="12" s="1"/>
  <c r="F211" i="12" a="1"/>
  <c r="F211" i="12" s="1"/>
  <c r="F212" i="12" a="1"/>
  <c r="F212" i="12" s="1"/>
  <c r="F213" i="12" a="1"/>
  <c r="F213" i="12" s="1"/>
  <c r="F214" i="12" a="1"/>
  <c r="F214" i="12" s="1"/>
  <c r="F215" i="12" a="1"/>
  <c r="F215" i="12" s="1"/>
  <c r="F216" i="12" a="1"/>
  <c r="F216" i="12" s="1"/>
  <c r="F217" i="12" a="1"/>
  <c r="F217" i="12" s="1"/>
  <c r="F218" i="12" a="1"/>
  <c r="F218" i="12" s="1"/>
  <c r="F219" i="12" a="1"/>
  <c r="F219" i="12" s="1"/>
  <c r="F220" i="12" a="1"/>
  <c r="F220" i="12" s="1"/>
  <c r="F221" i="12" a="1"/>
  <c r="F221" i="12" s="1"/>
  <c r="F222" i="12" a="1"/>
  <c r="F222" i="12" s="1"/>
  <c r="F223" i="12" a="1"/>
  <c r="F223" i="12" s="1"/>
  <c r="F224" i="12" a="1"/>
  <c r="F224" i="12" s="1"/>
  <c r="F225" i="12" a="1"/>
  <c r="F225" i="12" s="1"/>
  <c r="F226" i="12" a="1"/>
  <c r="F226" i="12" s="1"/>
  <c r="F227" i="12" a="1"/>
  <c r="F227" i="12" s="1"/>
  <c r="F228" i="12" a="1"/>
  <c r="F228" i="12" s="1"/>
  <c r="F229" i="12" a="1"/>
  <c r="F229" i="12" s="1"/>
  <c r="F230" i="12" a="1"/>
  <c r="F230" i="12" s="1"/>
  <c r="F231" i="12" a="1"/>
  <c r="F231" i="12" s="1"/>
  <c r="F232" i="12" a="1"/>
  <c r="F232" i="12" s="1"/>
  <c r="F233" i="12" a="1"/>
  <c r="F233" i="12" s="1"/>
  <c r="F234" i="12" a="1"/>
  <c r="F234" i="12" s="1"/>
  <c r="F235" i="12" a="1"/>
  <c r="F235" i="12" s="1"/>
  <c r="F236" i="12" a="1"/>
  <c r="F236" i="12" s="1"/>
  <c r="F237" i="12" a="1"/>
  <c r="F237" i="12" s="1"/>
  <c r="F238" i="12" a="1"/>
  <c r="F238" i="12" s="1"/>
  <c r="F239" i="12" a="1"/>
  <c r="F239" i="12" s="1"/>
  <c r="F240" i="12" a="1"/>
  <c r="F240" i="12" s="1"/>
  <c r="F241" i="12" a="1"/>
  <c r="F241" i="12" s="1"/>
  <c r="F242" i="12" a="1"/>
  <c r="F242" i="12" s="1"/>
  <c r="F243" i="12" a="1"/>
  <c r="F243" i="12" s="1"/>
  <c r="F244" i="12" a="1"/>
  <c r="F244" i="12" s="1"/>
  <c r="F245" i="12" a="1"/>
  <c r="F245" i="12" s="1"/>
  <c r="F246" i="12" a="1"/>
  <c r="F246" i="12" s="1"/>
  <c r="F247" i="12" a="1"/>
  <c r="F247" i="12" s="1"/>
  <c r="F248" i="12" a="1"/>
  <c r="F248" i="12" s="1"/>
  <c r="F249" i="12" a="1"/>
  <c r="F249" i="12" s="1"/>
  <c r="F250" i="12" a="1"/>
  <c r="F250" i="12" s="1"/>
  <c r="F251" i="12" a="1"/>
  <c r="F251" i="12" s="1"/>
  <c r="F252" i="12" a="1"/>
  <c r="F252" i="12" s="1"/>
  <c r="F253" i="12" a="1"/>
  <c r="F253" i="12" s="1"/>
  <c r="F254" i="12" a="1"/>
  <c r="F254" i="12" s="1"/>
  <c r="F255" i="12" a="1"/>
  <c r="F255" i="12" s="1"/>
  <c r="F256" i="12" a="1"/>
  <c r="F256" i="12" s="1"/>
  <c r="F257" i="12" a="1"/>
  <c r="F257" i="12" s="1"/>
  <c r="F258" i="12" a="1"/>
  <c r="F258" i="12" s="1"/>
  <c r="F259" i="12" a="1"/>
  <c r="F259" i="12" s="1"/>
  <c r="F260" i="12" a="1"/>
  <c r="F260" i="12" s="1"/>
  <c r="F261" i="12" a="1"/>
  <c r="F261" i="12" s="1"/>
  <c r="F262" i="12" a="1"/>
  <c r="F262" i="12" s="1"/>
  <c r="F263" i="12" a="1"/>
  <c r="F263" i="12" s="1"/>
  <c r="F264" i="12" a="1"/>
  <c r="F264" i="12" s="1"/>
  <c r="F265" i="12" a="1"/>
  <c r="F265" i="12" s="1"/>
  <c r="F266" i="12" a="1"/>
  <c r="F266" i="12" s="1"/>
  <c r="F267" i="12" a="1"/>
  <c r="F267" i="12" s="1"/>
  <c r="F268" i="12" a="1"/>
  <c r="F268" i="12" s="1"/>
  <c r="F269" i="12" a="1"/>
  <c r="F269" i="12" s="1"/>
  <c r="F270" i="12" a="1"/>
  <c r="F270" i="12" s="1"/>
  <c r="F271" i="12" a="1"/>
  <c r="F271" i="12" s="1"/>
  <c r="F272" i="12" a="1"/>
  <c r="F272" i="12" s="1"/>
  <c r="F273" i="12" a="1"/>
  <c r="F273" i="12" s="1"/>
  <c r="F274" i="12" a="1"/>
  <c r="F274" i="12" s="1"/>
  <c r="F275" i="12" a="1"/>
  <c r="F275" i="12" s="1"/>
  <c r="F276" i="12" a="1"/>
  <c r="F276" i="12" s="1"/>
  <c r="F277" i="12" a="1"/>
  <c r="F277" i="12" s="1"/>
  <c r="F278" i="12" a="1"/>
  <c r="F278" i="12" s="1"/>
  <c r="F279" i="12" a="1"/>
  <c r="F279" i="12" s="1"/>
  <c r="F280" i="12" a="1"/>
  <c r="F280" i="12" s="1"/>
  <c r="F281" i="12" a="1"/>
  <c r="F281" i="12" s="1"/>
  <c r="F282" i="12" a="1"/>
  <c r="F282" i="12" s="1"/>
  <c r="F283" i="12" a="1"/>
  <c r="F283" i="12" s="1"/>
  <c r="F284" i="12" a="1"/>
  <c r="F284" i="12" s="1"/>
  <c r="F285" i="12" a="1"/>
  <c r="F285" i="12" s="1"/>
  <c r="F286" i="12" a="1"/>
  <c r="F286" i="12" s="1"/>
  <c r="F287" i="12" a="1"/>
  <c r="F287" i="12" s="1"/>
  <c r="F288" i="12" a="1"/>
  <c r="F288" i="12" s="1"/>
  <c r="F289" i="12" a="1"/>
  <c r="F289" i="12" s="1"/>
  <c r="F290" i="12" a="1"/>
  <c r="F290" i="12" s="1"/>
  <c r="F291" i="12" a="1"/>
  <c r="F291" i="12" s="1"/>
  <c r="F292" i="12" a="1"/>
  <c r="F292" i="12" s="1"/>
  <c r="F293" i="12" a="1"/>
  <c r="F293" i="12" s="1"/>
  <c r="F294" i="12" a="1"/>
  <c r="F294" i="12" s="1"/>
  <c r="F295" i="12" a="1"/>
  <c r="F295" i="12" s="1"/>
  <c r="F296" i="12" a="1"/>
  <c r="F296" i="12" s="1"/>
  <c r="F297" i="12" a="1"/>
  <c r="F297" i="12" s="1"/>
  <c r="F298" i="12" a="1"/>
  <c r="F298" i="12" s="1"/>
  <c r="F299" i="12" a="1"/>
  <c r="F299" i="12" s="1"/>
  <c r="F300" i="12" a="1"/>
  <c r="F300" i="12" s="1"/>
  <c r="F301" i="12" a="1"/>
  <c r="F301" i="12" s="1"/>
  <c r="F302" i="12" a="1"/>
  <c r="F302" i="12" s="1"/>
  <c r="F303" i="12" a="1"/>
  <c r="F303" i="12" s="1"/>
  <c r="F304" i="12" a="1"/>
  <c r="F304" i="12" s="1"/>
  <c r="F305" i="12" a="1"/>
  <c r="F305" i="12" s="1"/>
  <c r="F306" i="12" a="1"/>
  <c r="F306" i="12" s="1"/>
  <c r="F307" i="12" a="1"/>
  <c r="F307" i="12" s="1"/>
  <c r="F308" i="12" a="1"/>
  <c r="F308" i="12" s="1"/>
  <c r="F309" i="12" a="1"/>
  <c r="F309" i="12" s="1"/>
  <c r="F310" i="12" a="1"/>
  <c r="F310" i="12" s="1"/>
  <c r="F311" i="12" a="1"/>
  <c r="F311" i="12" s="1"/>
  <c r="F312" i="12" a="1"/>
  <c r="F312" i="12" s="1"/>
  <c r="F313" i="12" a="1"/>
  <c r="F313" i="12" s="1"/>
  <c r="F314" i="12" a="1"/>
  <c r="F314" i="12" s="1"/>
  <c r="F315" i="12" a="1"/>
  <c r="F315" i="12" s="1"/>
  <c r="F316" i="12" a="1"/>
  <c r="F316" i="12" s="1"/>
  <c r="F317" i="12" a="1"/>
  <c r="F317" i="12" s="1"/>
  <c r="F318" i="12" a="1"/>
  <c r="F318" i="12" s="1"/>
  <c r="F319" i="12" a="1"/>
  <c r="F319" i="12" s="1"/>
  <c r="F320" i="12" a="1"/>
  <c r="F320" i="12" s="1"/>
  <c r="F321" i="12" a="1"/>
  <c r="F321" i="12" s="1"/>
  <c r="F322" i="12" a="1"/>
  <c r="F322" i="12" s="1"/>
  <c r="F323" i="12" a="1"/>
  <c r="F323" i="12" s="1"/>
  <c r="F324" i="12" a="1"/>
  <c r="F324" i="12" s="1"/>
  <c r="F325" i="12" a="1"/>
  <c r="F325" i="12" s="1"/>
  <c r="F326" i="12" a="1"/>
  <c r="F326" i="12" s="1"/>
  <c r="F327" i="12" a="1"/>
  <c r="F327" i="12" s="1"/>
  <c r="F328" i="12" a="1"/>
  <c r="F328" i="12" s="1"/>
  <c r="F329" i="12" a="1"/>
  <c r="F329" i="12" s="1"/>
  <c r="F330" i="12" a="1"/>
  <c r="F330" i="12" s="1"/>
  <c r="F331" i="12" a="1"/>
  <c r="F331" i="12" s="1"/>
  <c r="F332" i="12" a="1"/>
  <c r="F332" i="12" s="1"/>
  <c r="F333" i="12" a="1"/>
  <c r="F333" i="12" s="1"/>
  <c r="F334" i="12" a="1"/>
  <c r="F334" i="12" s="1"/>
  <c r="F335" i="12" a="1"/>
  <c r="F335" i="12" s="1"/>
  <c r="F336" i="12" a="1"/>
  <c r="F336" i="12" s="1"/>
  <c r="F337" i="12" a="1"/>
  <c r="F337" i="12" s="1"/>
  <c r="F338" i="12" a="1"/>
  <c r="F338" i="12" s="1"/>
  <c r="F339" i="12" a="1"/>
  <c r="F339" i="12" s="1"/>
  <c r="F340" i="12" a="1"/>
  <c r="F340" i="12" s="1"/>
  <c r="F341" i="12" a="1"/>
  <c r="F341" i="12" s="1"/>
  <c r="F342" i="12" a="1"/>
  <c r="F342" i="12" s="1"/>
  <c r="F343" i="12" a="1"/>
  <c r="F343" i="12" s="1"/>
  <c r="F344" i="12" a="1"/>
  <c r="F344" i="12" s="1"/>
  <c r="F345" i="12" a="1"/>
  <c r="F345" i="12" s="1"/>
  <c r="F346" i="12" a="1"/>
  <c r="F346" i="12" s="1"/>
  <c r="F347" i="12" a="1"/>
  <c r="F347" i="12" s="1"/>
  <c r="F348" i="12" a="1"/>
  <c r="F348" i="12" s="1"/>
  <c r="F349" i="12" a="1"/>
  <c r="F349" i="12" s="1"/>
  <c r="F350" i="12" a="1"/>
  <c r="F350" i="12" s="1"/>
  <c r="F351" i="12" a="1"/>
  <c r="F351" i="12" s="1"/>
  <c r="F352" i="12" a="1"/>
  <c r="F352" i="12" s="1"/>
  <c r="F353" i="12" a="1"/>
  <c r="F353" i="12" s="1"/>
  <c r="F354" i="12" a="1"/>
  <c r="F354" i="12" s="1"/>
  <c r="F355" i="12" a="1"/>
  <c r="F355" i="12" s="1"/>
  <c r="F356" i="12" a="1"/>
  <c r="F356" i="12" s="1"/>
  <c r="F357" i="12" a="1"/>
  <c r="F357" i="12" s="1"/>
  <c r="F358" i="12" a="1"/>
  <c r="F358" i="12" s="1"/>
  <c r="F359" i="12" a="1"/>
  <c r="F359" i="12" s="1"/>
  <c r="F360" i="12" a="1"/>
  <c r="F360" i="12" s="1"/>
  <c r="F361" i="12" a="1"/>
  <c r="F361" i="12" s="1"/>
  <c r="F362" i="12" a="1"/>
  <c r="F362" i="12" s="1"/>
  <c r="F363" i="12" a="1"/>
  <c r="F363" i="12" s="1"/>
  <c r="F364" i="12" a="1"/>
  <c r="F364" i="12" s="1"/>
  <c r="F365" i="12" a="1"/>
  <c r="F365" i="12" s="1"/>
  <c r="F366" i="12" a="1"/>
  <c r="F366" i="12" s="1"/>
  <c r="F367" i="12" a="1"/>
  <c r="F367" i="12" s="1"/>
  <c r="F368" i="12" a="1"/>
  <c r="F368" i="12" s="1"/>
  <c r="F369" i="12" a="1"/>
  <c r="F369" i="12" s="1"/>
  <c r="F370" i="12" a="1"/>
  <c r="F370" i="12" s="1"/>
  <c r="F371" i="12" a="1"/>
  <c r="F371" i="12" s="1"/>
  <c r="F372" i="12" a="1"/>
  <c r="F372" i="12" s="1"/>
  <c r="F3" i="12" a="1"/>
  <c r="F3" i="12" s="1"/>
  <c r="D3" i="12" a="1"/>
  <c r="D3" i="12" s="1"/>
  <c r="D4" i="11" a="1"/>
  <c r="D4" i="11" s="1"/>
  <c r="D5" i="11" a="1"/>
  <c r="D5" i="11" s="1"/>
  <c r="D6" i="11" a="1"/>
  <c r="D6" i="11" s="1"/>
  <c r="D7" i="11" a="1"/>
  <c r="D7" i="11" s="1"/>
  <c r="D8" i="11" a="1"/>
  <c r="D8" i="11" s="1"/>
  <c r="D9" i="11" a="1"/>
  <c r="D9" i="11" s="1"/>
  <c r="D10" i="11" a="1"/>
  <c r="D10" i="11" s="1"/>
  <c r="F4" i="11" a="1"/>
  <c r="F4" i="11" s="1"/>
  <c r="F5" i="11" a="1"/>
  <c r="F5" i="11" s="1"/>
  <c r="F6" i="11" a="1"/>
  <c r="F6" i="11" s="1"/>
  <c r="F7" i="11" a="1"/>
  <c r="F7" i="11" s="1"/>
  <c r="F8" i="11" a="1"/>
  <c r="F8" i="11" s="1"/>
  <c r="F9" i="11" a="1"/>
  <c r="F9" i="11" s="1"/>
  <c r="F10" i="11" a="1"/>
  <c r="F10" i="11" s="1"/>
  <c r="F3" i="11" a="1"/>
  <c r="F3" i="11" s="1"/>
  <c r="D3" i="11" a="1"/>
  <c r="D3" i="11" s="1"/>
  <c r="D4" i="10" a="1"/>
  <c r="D4" i="10" s="1"/>
  <c r="D5" i="10" a="1"/>
  <c r="D5" i="10" s="1"/>
  <c r="D6" i="10" a="1"/>
  <c r="D6" i="10" s="1"/>
  <c r="D7" i="10" a="1"/>
  <c r="D7" i="10" s="1"/>
  <c r="D8" i="10" a="1"/>
  <c r="D8" i="10" s="1"/>
  <c r="D9" i="10" a="1"/>
  <c r="D9" i="10" s="1"/>
  <c r="F4" i="10" a="1"/>
  <c r="F4" i="10" s="1"/>
  <c r="F5" i="10" a="1"/>
  <c r="F5" i="10" s="1"/>
  <c r="F6" i="10" a="1"/>
  <c r="F6" i="10" s="1"/>
  <c r="F7" i="10" a="1"/>
  <c r="F7" i="10" s="1"/>
  <c r="F8" i="10" a="1"/>
  <c r="F8" i="10" s="1"/>
  <c r="F9" i="10" a="1"/>
  <c r="F9" i="10" s="1"/>
  <c r="F3" i="10" a="1"/>
  <c r="F3" i="10" s="1"/>
  <c r="D3" i="10" a="1"/>
  <c r="D3" i="10" s="1"/>
  <c r="F4" i="8" a="1"/>
  <c r="F4" i="8" s="1"/>
  <c r="F5" i="8" a="1"/>
  <c r="F5" i="8" s="1"/>
  <c r="F6" i="8" a="1"/>
  <c r="F6" i="8" s="1"/>
  <c r="F7" i="8" a="1"/>
  <c r="F7" i="8" s="1"/>
  <c r="F8" i="8" a="1"/>
  <c r="F8" i="8" s="1"/>
  <c r="F9" i="8" a="1"/>
  <c r="F9" i="8" s="1"/>
  <c r="F10" i="8" a="1"/>
  <c r="F10" i="8" s="1"/>
  <c r="F11" i="8" a="1"/>
  <c r="F11" i="8" s="1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3" i="8" a="1"/>
  <c r="F3" i="8" s="1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3" i="8" a="1"/>
  <c r="D3" i="8" s="1"/>
  <c r="D93" i="14" a="1"/>
  <c r="D93" i="14" s="1"/>
  <c r="D94" i="14" a="1"/>
  <c r="D94" i="14" s="1"/>
  <c r="D95" i="14" a="1"/>
  <c r="D95" i="14" s="1"/>
  <c r="D96" i="14" a="1"/>
  <c r="D96" i="14" s="1"/>
  <c r="D97" i="14" a="1"/>
  <c r="D97" i="14" s="1"/>
  <c r="D98" i="14" a="1"/>
  <c r="D98" i="14" s="1"/>
  <c r="D99" i="14" a="1"/>
  <c r="D99" i="14" s="1"/>
  <c r="D100" i="14" a="1"/>
  <c r="D100" i="14" s="1"/>
  <c r="D101" i="14" a="1"/>
  <c r="D101" i="14" s="1"/>
  <c r="D102" i="14" a="1"/>
  <c r="D102" i="14" s="1"/>
  <c r="D103" i="14" a="1"/>
  <c r="D103" i="14" s="1"/>
  <c r="D104" i="14" a="1"/>
  <c r="D104" i="14" s="1"/>
  <c r="D105" i="14" a="1"/>
  <c r="D105" i="14" s="1"/>
  <c r="D106" i="14" a="1"/>
  <c r="D106" i="14" s="1"/>
  <c r="D107" i="14" a="1"/>
  <c r="D107" i="14" s="1"/>
  <c r="D108" i="14" a="1"/>
  <c r="D108" i="14" s="1"/>
  <c r="D109" i="14" a="1"/>
  <c r="D109" i="14" s="1"/>
  <c r="D110" i="14" a="1"/>
  <c r="D110" i="14" s="1"/>
  <c r="D111" i="14" a="1"/>
  <c r="D111" i="14" s="1"/>
  <c r="D112" i="14" a="1"/>
  <c r="D112" i="14" s="1"/>
  <c r="D113" i="14" a="1"/>
  <c r="D113" i="14" s="1"/>
  <c r="D114" i="14" a="1"/>
  <c r="D114" i="14" s="1"/>
  <c r="D115" i="14" a="1"/>
  <c r="D115" i="14" s="1"/>
  <c r="D116" i="14" a="1"/>
  <c r="D116" i="14" s="1"/>
  <c r="D117" i="14" a="1"/>
  <c r="D117" i="14" s="1"/>
  <c r="D118" i="14" a="1"/>
  <c r="D118" i="14" s="1"/>
  <c r="D119" i="14" a="1"/>
  <c r="D119" i="14" s="1"/>
  <c r="D120" i="14" a="1"/>
  <c r="D120" i="14" s="1"/>
  <c r="D121" i="14" a="1"/>
  <c r="D121" i="14" s="1"/>
  <c r="D122" i="14" a="1"/>
  <c r="D122" i="14" s="1"/>
  <c r="D123" i="14" a="1"/>
  <c r="D123" i="14" s="1"/>
  <c r="D124" i="14" a="1"/>
  <c r="D124" i="14" s="1"/>
  <c r="D125" i="14" a="1"/>
  <c r="D125" i="14" s="1"/>
  <c r="D126" i="14" a="1"/>
  <c r="D126" i="14" s="1"/>
  <c r="D127" i="14" a="1"/>
  <c r="D127" i="14" s="1"/>
  <c r="D128" i="14" a="1"/>
  <c r="D128" i="14" s="1"/>
  <c r="D129" i="14" a="1"/>
  <c r="D129" i="14" s="1"/>
  <c r="D130" i="14" a="1"/>
  <c r="D130" i="14" s="1"/>
  <c r="D131" i="14" a="1"/>
  <c r="D131" i="14" s="1"/>
  <c r="D132" i="14" a="1"/>
  <c r="D132" i="14" s="1"/>
  <c r="D133" i="14" a="1"/>
  <c r="D133" i="14" s="1"/>
  <c r="D134" i="14" a="1"/>
  <c r="D134" i="14" s="1"/>
  <c r="D135" i="14" a="1"/>
  <c r="D135" i="14" s="1"/>
  <c r="D136" i="14" a="1"/>
  <c r="D136" i="14" s="1"/>
  <c r="D137" i="14" a="1"/>
  <c r="D137" i="14" s="1"/>
  <c r="D138" i="14" a="1"/>
  <c r="D138" i="14" s="1"/>
  <c r="D139" i="14" a="1"/>
  <c r="D139" i="14" s="1"/>
  <c r="D140" i="14" a="1"/>
  <c r="D140" i="14" s="1"/>
  <c r="D141" i="14" a="1"/>
  <c r="D141" i="14" s="1"/>
  <c r="D142" i="14" a="1"/>
  <c r="D142" i="14" s="1"/>
  <c r="D143" i="14" a="1"/>
  <c r="D143" i="14" s="1"/>
  <c r="D144" i="14" a="1"/>
  <c r="D144" i="14" s="1"/>
  <c r="D145" i="14" a="1"/>
  <c r="D145" i="14" s="1"/>
  <c r="D146" i="14" a="1"/>
  <c r="D146" i="14" s="1"/>
  <c r="D147" i="14" a="1"/>
  <c r="D147" i="14" s="1"/>
  <c r="D148" i="14" a="1"/>
  <c r="D148" i="14" s="1"/>
  <c r="D149" i="14" a="1"/>
  <c r="D149" i="14" s="1"/>
  <c r="D150" i="14" a="1"/>
  <c r="D150" i="14" s="1"/>
  <c r="D151" i="14" a="1"/>
  <c r="D151" i="14" s="1"/>
  <c r="D152" i="14" a="1"/>
  <c r="D152" i="14" s="1"/>
  <c r="D153" i="14" a="1"/>
  <c r="D153" i="14" s="1"/>
  <c r="D154" i="14" a="1"/>
  <c r="D154" i="14" s="1"/>
  <c r="D155" i="14" a="1"/>
  <c r="D155" i="14" s="1"/>
  <c r="D156" i="14" a="1"/>
  <c r="D156" i="14" s="1"/>
  <c r="D157" i="14" a="1"/>
  <c r="D157" i="14" s="1"/>
  <c r="D158" i="14" a="1"/>
  <c r="D158" i="14" s="1"/>
  <c r="D159" i="14" a="1"/>
  <c r="D159" i="14" s="1"/>
  <c r="D160" i="14" a="1"/>
  <c r="D160" i="14" s="1"/>
  <c r="D161" i="14" a="1"/>
  <c r="D161" i="14" s="1"/>
  <c r="D162" i="14" a="1"/>
  <c r="D162" i="14" s="1"/>
  <c r="D163" i="14" a="1"/>
  <c r="D163" i="14" s="1"/>
  <c r="D164" i="14" a="1"/>
  <c r="D164" i="14" s="1"/>
  <c r="D165" i="14" a="1"/>
  <c r="D165" i="14" s="1"/>
  <c r="D166" i="14" a="1"/>
  <c r="D166" i="14" s="1"/>
  <c r="D167" i="14" a="1"/>
  <c r="D167" i="14" s="1"/>
  <c r="D168" i="14" a="1"/>
  <c r="D168" i="14" s="1"/>
  <c r="D169" i="14" a="1"/>
  <c r="D169" i="14" s="1"/>
  <c r="D170" i="14" a="1"/>
  <c r="D170" i="14" s="1"/>
  <c r="D171" i="14" a="1"/>
  <c r="D171" i="14" s="1"/>
  <c r="D172" i="14" a="1"/>
  <c r="D172" i="14" s="1"/>
  <c r="D173" i="14" a="1"/>
  <c r="D173" i="14" s="1"/>
  <c r="D174" i="14" a="1"/>
  <c r="D174" i="14" s="1"/>
  <c r="D175" i="14" a="1"/>
  <c r="D175" i="14" s="1"/>
  <c r="D176" i="14" a="1"/>
  <c r="D176" i="14" s="1"/>
  <c r="D177" i="14" a="1"/>
  <c r="D177" i="14" s="1"/>
  <c r="D178" i="14" a="1"/>
  <c r="D178" i="14" s="1"/>
  <c r="D179" i="14" a="1"/>
  <c r="D179" i="14" s="1"/>
  <c r="D180" i="14" a="1"/>
  <c r="D180" i="14" s="1"/>
  <c r="D181" i="14" a="1"/>
  <c r="D181" i="14" s="1"/>
  <c r="D182" i="14" a="1"/>
  <c r="D182" i="14" s="1"/>
  <c r="D183" i="14" a="1"/>
  <c r="D183" i="14" s="1"/>
  <c r="D184" i="14" a="1"/>
  <c r="D184" i="14" s="1"/>
  <c r="D185" i="14" a="1"/>
  <c r="D185" i="14" s="1"/>
  <c r="D186" i="14" a="1"/>
  <c r="D186" i="14" s="1"/>
  <c r="D187" i="14" a="1"/>
  <c r="D187" i="14" s="1"/>
  <c r="D188" i="14" a="1"/>
  <c r="D188" i="14" s="1"/>
  <c r="D189" i="14" a="1"/>
  <c r="D189" i="14" s="1"/>
  <c r="D190" i="14" a="1"/>
  <c r="D190" i="14" s="1"/>
  <c r="D191" i="14" a="1"/>
  <c r="D191" i="14" s="1"/>
  <c r="D192" i="14" a="1"/>
  <c r="D192" i="14" s="1"/>
  <c r="D193" i="14" a="1"/>
  <c r="D193" i="14" s="1"/>
  <c r="D194" i="14" a="1"/>
  <c r="D194" i="14" s="1"/>
  <c r="D195" i="14" a="1"/>
  <c r="D195" i="14" s="1"/>
  <c r="D196" i="14" a="1"/>
  <c r="D196" i="14" s="1"/>
  <c r="D197" i="14" a="1"/>
  <c r="D197" i="14" s="1"/>
  <c r="D198" i="14" a="1"/>
  <c r="D198" i="14" s="1"/>
  <c r="D199" i="14" a="1"/>
  <c r="D199" i="14" s="1"/>
  <c r="D200" i="14" a="1"/>
  <c r="D200" i="14" s="1"/>
  <c r="D4" i="14" a="1"/>
  <c r="D4" i="14" s="1"/>
  <c r="D5" i="14" a="1"/>
  <c r="D5" i="14" s="1"/>
  <c r="D6" i="14" a="1"/>
  <c r="D6" i="14" s="1"/>
  <c r="D7" i="14" a="1"/>
  <c r="D7" i="14" s="1"/>
  <c r="D8" i="14" a="1"/>
  <c r="D8" i="14" s="1"/>
  <c r="D9" i="14" a="1"/>
  <c r="D9" i="14" s="1"/>
  <c r="D10" i="14" a="1"/>
  <c r="D10" i="14" s="1"/>
  <c r="D12" i="14" a="1"/>
  <c r="D12" i="14" s="1"/>
  <c r="D13" i="14" a="1"/>
  <c r="D13" i="14" s="1"/>
  <c r="D14" i="14" a="1"/>
  <c r="D14" i="14" s="1"/>
  <c r="D15" i="14" a="1"/>
  <c r="D15" i="14" s="1"/>
  <c r="D16" i="14" a="1"/>
  <c r="D16" i="14" s="1"/>
  <c r="D17" i="14" a="1"/>
  <c r="D17" i="14" s="1"/>
  <c r="D18" i="14" a="1"/>
  <c r="D18" i="14" s="1"/>
  <c r="D19" i="14" a="1"/>
  <c r="D19" i="14" s="1"/>
  <c r="D20" i="14" a="1"/>
  <c r="D20" i="14" s="1"/>
  <c r="D21" i="14" a="1"/>
  <c r="D21" i="14" s="1"/>
  <c r="D22" i="14" a="1"/>
  <c r="D22" i="14" s="1"/>
  <c r="D23" i="14" a="1"/>
  <c r="D23" i="14" s="1"/>
  <c r="D24" i="14" a="1"/>
  <c r="D24" i="14" s="1"/>
  <c r="D25" i="14" a="1"/>
  <c r="D25" i="14" s="1"/>
  <c r="D26" i="14" a="1"/>
  <c r="D26" i="14" s="1"/>
  <c r="D27" i="14" a="1"/>
  <c r="D27" i="14" s="1"/>
  <c r="D28" i="14" a="1"/>
  <c r="D28" i="14" s="1"/>
  <c r="D29" i="14" a="1"/>
  <c r="D29" i="14" s="1"/>
  <c r="D30" i="14" a="1"/>
  <c r="D30" i="14" s="1"/>
  <c r="D31" i="14" a="1"/>
  <c r="D31" i="14" s="1"/>
  <c r="D32" i="14" a="1"/>
  <c r="D32" i="14" s="1"/>
  <c r="D33" i="14" a="1"/>
  <c r="D33" i="14" s="1"/>
  <c r="D34" i="14" a="1"/>
  <c r="D34" i="14" s="1"/>
  <c r="D35" i="14" a="1"/>
  <c r="D35" i="14" s="1"/>
  <c r="D36" i="14" a="1"/>
  <c r="D36" i="14" s="1"/>
  <c r="D37" i="14" a="1"/>
  <c r="D37" i="14" s="1"/>
  <c r="D38" i="14" a="1"/>
  <c r="D38" i="14" s="1"/>
  <c r="D39" i="14" a="1"/>
  <c r="D39" i="14" s="1"/>
  <c r="D40" i="14" a="1"/>
  <c r="D40" i="14" s="1"/>
  <c r="D41" i="14" a="1"/>
  <c r="D41" i="14" s="1"/>
  <c r="D42" i="14" a="1"/>
  <c r="D42" i="14" s="1"/>
  <c r="D43" i="14" a="1"/>
  <c r="D43" i="14" s="1"/>
  <c r="D44" i="14" a="1"/>
  <c r="D44" i="14" s="1"/>
  <c r="D45" i="14" a="1"/>
  <c r="D45" i="14" s="1"/>
  <c r="D46" i="14" a="1"/>
  <c r="D46" i="14" s="1"/>
  <c r="D47" i="14" a="1"/>
  <c r="D47" i="14" s="1"/>
  <c r="D48" i="14" a="1"/>
  <c r="D48" i="14" s="1"/>
  <c r="D49" i="14" a="1"/>
  <c r="D49" i="14" s="1"/>
  <c r="D50" i="14" a="1"/>
  <c r="D50" i="14" s="1"/>
  <c r="D51" i="14" a="1"/>
  <c r="D51" i="14" s="1"/>
  <c r="D52" i="14" a="1"/>
  <c r="D52" i="14" s="1"/>
  <c r="D53" i="14" a="1"/>
  <c r="D53" i="14" s="1"/>
  <c r="D54" i="14" a="1"/>
  <c r="D54" i="14" s="1"/>
  <c r="D55" i="14" a="1"/>
  <c r="D55" i="14" s="1"/>
  <c r="D56" i="14" a="1"/>
  <c r="D56" i="14" s="1"/>
  <c r="D57" i="14" a="1"/>
  <c r="D57" i="14" s="1"/>
  <c r="D58" i="14" a="1"/>
  <c r="D58" i="14" s="1"/>
  <c r="D59" i="14" a="1"/>
  <c r="D59" i="14" s="1"/>
  <c r="D60" i="14" a="1"/>
  <c r="D60" i="14" s="1"/>
  <c r="D61" i="14" a="1"/>
  <c r="D61" i="14" s="1"/>
  <c r="D62" i="14" a="1"/>
  <c r="D62" i="14" s="1"/>
  <c r="D63" i="14" a="1"/>
  <c r="D63" i="14" s="1"/>
  <c r="D64" i="14" a="1"/>
  <c r="D64" i="14" s="1"/>
  <c r="D65" i="14" a="1"/>
  <c r="D65" i="14" s="1"/>
  <c r="D66" i="14" a="1"/>
  <c r="D66" i="14" s="1"/>
  <c r="D67" i="14" a="1"/>
  <c r="D67" i="14" s="1"/>
  <c r="D68" i="14" a="1"/>
  <c r="D68" i="14" s="1"/>
  <c r="D69" i="14" a="1"/>
  <c r="D69" i="14" s="1"/>
  <c r="D70" i="14" a="1"/>
  <c r="D70" i="14" s="1"/>
  <c r="D71" i="14" a="1"/>
  <c r="D71" i="14" s="1"/>
  <c r="D72" i="14" a="1"/>
  <c r="D72" i="14" s="1"/>
  <c r="D73" i="14" a="1"/>
  <c r="D73" i="14" s="1"/>
  <c r="D74" i="14" a="1"/>
  <c r="D74" i="14" s="1"/>
  <c r="D75" i="14" a="1"/>
  <c r="D75" i="14" s="1"/>
  <c r="D76" i="14" a="1"/>
  <c r="D76" i="14" s="1"/>
  <c r="D77" i="14" a="1"/>
  <c r="D77" i="14" s="1"/>
  <c r="D78" i="14" a="1"/>
  <c r="D78" i="14" s="1"/>
  <c r="D79" i="14" a="1"/>
  <c r="D79" i="14" s="1"/>
  <c r="D80" i="14" a="1"/>
  <c r="D80" i="14" s="1"/>
  <c r="D81" i="14" a="1"/>
  <c r="D81" i="14" s="1"/>
  <c r="D82" i="14" a="1"/>
  <c r="D82" i="14" s="1"/>
  <c r="D83" i="14" a="1"/>
  <c r="D83" i="14" s="1"/>
  <c r="D84" i="14" a="1"/>
  <c r="D84" i="14" s="1"/>
  <c r="D85" i="14" a="1"/>
  <c r="D85" i="14" s="1"/>
  <c r="D86" i="14" a="1"/>
  <c r="D86" i="14" s="1"/>
  <c r="D87" i="14" a="1"/>
  <c r="D87" i="14" s="1"/>
  <c r="D88" i="14" a="1"/>
  <c r="D88" i="14" s="1"/>
  <c r="D89" i="14" a="1"/>
  <c r="D89" i="14" s="1"/>
  <c r="D90" i="14" a="1"/>
  <c r="D90" i="14" s="1"/>
  <c r="D91" i="14" a="1"/>
  <c r="D91" i="14" s="1"/>
  <c r="D92" i="14" a="1"/>
  <c r="D92" i="14" s="1"/>
  <c r="D201" i="14" a="1"/>
  <c r="D201" i="14" s="1"/>
  <c r="D202" i="14" a="1"/>
  <c r="D202" i="14" s="1"/>
  <c r="D203" i="14" a="1"/>
  <c r="D203" i="14" s="1"/>
  <c r="D204" i="14" a="1"/>
  <c r="D204" i="14" s="1"/>
  <c r="D205" i="14" a="1"/>
  <c r="D205" i="14" s="1"/>
  <c r="D206" i="14" a="1"/>
  <c r="D206" i="14" s="1"/>
  <c r="D207" i="14" a="1"/>
  <c r="D207" i="14" s="1"/>
  <c r="D208" i="14" a="1"/>
  <c r="D208" i="14" s="1"/>
  <c r="D209" i="14" a="1"/>
  <c r="D209" i="14" s="1"/>
  <c r="D210" i="14" a="1"/>
  <c r="D210" i="14" s="1"/>
  <c r="D211" i="14" a="1"/>
  <c r="D211" i="14" s="1"/>
  <c r="D212" i="14" a="1"/>
  <c r="D212" i="14" s="1"/>
  <c r="D213" i="14" a="1"/>
  <c r="D213" i="14" s="1"/>
  <c r="D214" i="14" a="1"/>
  <c r="D214" i="14" s="1"/>
  <c r="D215" i="14" a="1"/>
  <c r="D215" i="14" s="1"/>
  <c r="D216" i="14" a="1"/>
  <c r="D216" i="14" s="1"/>
  <c r="D217" i="14" a="1"/>
  <c r="D217" i="14" s="1"/>
  <c r="D218" i="14" a="1"/>
  <c r="D218" i="14" s="1"/>
  <c r="D219" i="14" a="1"/>
  <c r="D219" i="14" s="1"/>
  <c r="D220" i="14" a="1"/>
  <c r="D220" i="14" s="1"/>
  <c r="D221" i="14" a="1"/>
  <c r="D221" i="14" s="1"/>
  <c r="D222" i="14" a="1"/>
  <c r="D222" i="14" s="1"/>
  <c r="D223" i="14" a="1"/>
  <c r="D223" i="14" s="1"/>
  <c r="D224" i="14" a="1"/>
  <c r="D224" i="14" s="1"/>
  <c r="D225" i="14" a="1"/>
  <c r="D225" i="14" s="1"/>
  <c r="D226" i="14" a="1"/>
  <c r="D226" i="14" s="1"/>
  <c r="D227" i="14" a="1"/>
  <c r="D227" i="14" s="1"/>
  <c r="D228" i="14" a="1"/>
  <c r="D228" i="14" s="1"/>
  <c r="D229" i="14" a="1"/>
  <c r="D229" i="14" s="1"/>
  <c r="D230" i="14" a="1"/>
  <c r="D230" i="14" s="1"/>
  <c r="D231" i="14" a="1"/>
  <c r="D231" i="14" s="1"/>
  <c r="D232" i="14" a="1"/>
  <c r="D232" i="14" s="1"/>
  <c r="D233" i="14" a="1"/>
  <c r="D233" i="14" s="1"/>
  <c r="D234" i="14" a="1"/>
  <c r="D234" i="14" s="1"/>
  <c r="D235" i="14" a="1"/>
  <c r="D235" i="14" s="1"/>
  <c r="D236" i="14" a="1"/>
  <c r="D236" i="14" s="1"/>
  <c r="D237" i="14" a="1"/>
  <c r="D237" i="14" s="1"/>
  <c r="D238" i="14" a="1"/>
  <c r="D238" i="14" s="1"/>
  <c r="D239" i="14" a="1"/>
  <c r="D239" i="14" s="1"/>
  <c r="D240" i="14" a="1"/>
  <c r="D240" i="14" s="1"/>
  <c r="D241" i="14" a="1"/>
  <c r="D241" i="14" s="1"/>
  <c r="D242" i="14" a="1"/>
  <c r="D242" i="14" s="1"/>
  <c r="D243" i="14" a="1"/>
  <c r="D243" i="14" s="1"/>
  <c r="D244" i="14" a="1"/>
  <c r="D244" i="14" s="1"/>
  <c r="D245" i="14" a="1"/>
  <c r="D245" i="14" s="1"/>
  <c r="D246" i="14" a="1"/>
  <c r="D246" i="14" s="1"/>
  <c r="D247" i="14" a="1"/>
  <c r="D247" i="14" s="1"/>
  <c r="D248" i="14" a="1"/>
  <c r="D248" i="14" s="1"/>
  <c r="D249" i="14" a="1"/>
  <c r="D249" i="14" s="1"/>
  <c r="D250" i="14" a="1"/>
  <c r="D250" i="14" s="1"/>
  <c r="D251" i="14" a="1"/>
  <c r="D251" i="14" s="1"/>
  <c r="D252" i="14" a="1"/>
  <c r="D252" i="14" s="1"/>
  <c r="D253" i="14" a="1"/>
  <c r="D253" i="14" s="1"/>
  <c r="D254" i="14" a="1"/>
  <c r="D254" i="14" s="1"/>
  <c r="D255" i="14" a="1"/>
  <c r="D255" i="14" s="1"/>
  <c r="D256" i="14" a="1"/>
  <c r="D256" i="14" s="1"/>
  <c r="D257" i="14" a="1"/>
  <c r="D257" i="14" s="1"/>
  <c r="D258" i="14" a="1"/>
  <c r="D258" i="14" s="1"/>
  <c r="D259" i="14" a="1"/>
  <c r="D259" i="14" s="1"/>
  <c r="D260" i="14" a="1"/>
  <c r="D260" i="14" s="1"/>
  <c r="D261" i="14" a="1"/>
  <c r="D261" i="14" s="1"/>
  <c r="D262" i="14" a="1"/>
  <c r="D262" i="14" s="1"/>
  <c r="D263" i="14" a="1"/>
  <c r="D263" i="14" s="1"/>
  <c r="D264" i="14" a="1"/>
  <c r="D264" i="14" s="1"/>
  <c r="D265" i="14" a="1"/>
  <c r="D265" i="14" s="1"/>
  <c r="D266" i="14" a="1"/>
  <c r="D266" i="14" s="1"/>
  <c r="D267" i="14" a="1"/>
  <c r="D267" i="14" s="1"/>
  <c r="D268" i="14" a="1"/>
  <c r="D268" i="14" s="1"/>
  <c r="D269" i="14" a="1"/>
  <c r="D269" i="14" s="1"/>
  <c r="D270" i="14" a="1"/>
  <c r="D270" i="14" s="1"/>
  <c r="D271" i="14" a="1"/>
  <c r="D271" i="14" s="1"/>
  <c r="D272" i="14" a="1"/>
  <c r="D272" i="14" s="1"/>
  <c r="D273" i="14" a="1"/>
  <c r="D273" i="14" s="1"/>
  <c r="D274" i="14" a="1"/>
  <c r="D274" i="14" s="1"/>
  <c r="D275" i="14" a="1"/>
  <c r="D275" i="14" s="1"/>
  <c r="D276" i="14" a="1"/>
  <c r="D276" i="14" s="1"/>
  <c r="D277" i="14" a="1"/>
  <c r="D277" i="14" s="1"/>
  <c r="F4" i="14" a="1"/>
  <c r="F4" i="14" s="1"/>
  <c r="F5" i="14" a="1"/>
  <c r="F5" i="14" s="1"/>
  <c r="F6" i="14" a="1"/>
  <c r="F6" i="14" s="1"/>
  <c r="F7" i="14" a="1"/>
  <c r="F7" i="14" s="1"/>
  <c r="F8" i="14" a="1"/>
  <c r="F8" i="14" s="1"/>
  <c r="F9" i="14" a="1"/>
  <c r="F9" i="14" s="1"/>
  <c r="F10" i="14" a="1"/>
  <c r="F10" i="14" s="1"/>
  <c r="F11" i="14" a="1"/>
  <c r="F11" i="14" s="1"/>
  <c r="F12" i="14" a="1"/>
  <c r="F12" i="14" s="1"/>
  <c r="F13" i="14" a="1"/>
  <c r="F13" i="14" s="1"/>
  <c r="F14" i="14" a="1"/>
  <c r="F14" i="14" s="1"/>
  <c r="F15" i="14" a="1"/>
  <c r="F15" i="14" s="1"/>
  <c r="F16" i="14" a="1"/>
  <c r="F16" i="14" s="1"/>
  <c r="F17" i="14" a="1"/>
  <c r="F17" i="14" s="1"/>
  <c r="F18" i="14" a="1"/>
  <c r="F18" i="14" s="1"/>
  <c r="F19" i="14" a="1"/>
  <c r="F19" i="14" s="1"/>
  <c r="F20" i="14" a="1"/>
  <c r="F20" i="14" s="1"/>
  <c r="F21" i="14" a="1"/>
  <c r="F21" i="14" s="1"/>
  <c r="F22" i="14" a="1"/>
  <c r="F22" i="14" s="1"/>
  <c r="F23" i="14" a="1"/>
  <c r="F23" i="14" s="1"/>
  <c r="F24" i="14" a="1"/>
  <c r="F24" i="14" s="1"/>
  <c r="F25" i="14" a="1"/>
  <c r="F25" i="14" s="1"/>
  <c r="F26" i="14" a="1"/>
  <c r="F26" i="14" s="1"/>
  <c r="F27" i="14" a="1"/>
  <c r="F27" i="14" s="1"/>
  <c r="F28" i="14" a="1"/>
  <c r="F28" i="14" s="1"/>
  <c r="F29" i="14" a="1"/>
  <c r="F29" i="14" s="1"/>
  <c r="F30" i="14" a="1"/>
  <c r="F30" i="14" s="1"/>
  <c r="F31" i="14" a="1"/>
  <c r="F31" i="14" s="1"/>
  <c r="F32" i="14" a="1"/>
  <c r="F32" i="14" s="1"/>
  <c r="F33" i="14" a="1"/>
  <c r="F33" i="14" s="1"/>
  <c r="F34" i="14" a="1"/>
  <c r="F34" i="14" s="1"/>
  <c r="F35" i="14" a="1"/>
  <c r="F35" i="14" s="1"/>
  <c r="F36" i="14" a="1"/>
  <c r="F36" i="14" s="1"/>
  <c r="F37" i="14" a="1"/>
  <c r="F37" i="14" s="1"/>
  <c r="F38" i="14" a="1"/>
  <c r="F38" i="14" s="1"/>
  <c r="F39" i="14" a="1"/>
  <c r="F39" i="14" s="1"/>
  <c r="F40" i="14" a="1"/>
  <c r="F40" i="14" s="1"/>
  <c r="F41" i="14" a="1"/>
  <c r="F41" i="14" s="1"/>
  <c r="F42" i="14" a="1"/>
  <c r="F42" i="14" s="1"/>
  <c r="F43" i="14" a="1"/>
  <c r="F43" i="14" s="1"/>
  <c r="F44" i="14" a="1"/>
  <c r="F44" i="14" s="1"/>
  <c r="F45" i="14" a="1"/>
  <c r="F45" i="14" s="1"/>
  <c r="F46" i="14" a="1"/>
  <c r="F46" i="14" s="1"/>
  <c r="F47" i="14" a="1"/>
  <c r="F47" i="14" s="1"/>
  <c r="F48" i="14" a="1"/>
  <c r="F48" i="14" s="1"/>
  <c r="F49" i="14" a="1"/>
  <c r="F49" i="14" s="1"/>
  <c r="F50" i="14" a="1"/>
  <c r="F50" i="14" s="1"/>
  <c r="F51" i="14" a="1"/>
  <c r="F51" i="14" s="1"/>
  <c r="F52" i="14" a="1"/>
  <c r="F52" i="14" s="1"/>
  <c r="F53" i="14" a="1"/>
  <c r="F53" i="14" s="1"/>
  <c r="F54" i="14" a="1"/>
  <c r="F54" i="14" s="1"/>
  <c r="F55" i="14" a="1"/>
  <c r="F55" i="14" s="1"/>
  <c r="F56" i="14" a="1"/>
  <c r="F56" i="14" s="1"/>
  <c r="F57" i="14" a="1"/>
  <c r="F57" i="14" s="1"/>
  <c r="F58" i="14" a="1"/>
  <c r="F58" i="14" s="1"/>
  <c r="F59" i="14" a="1"/>
  <c r="F59" i="14" s="1"/>
  <c r="F60" i="14" a="1"/>
  <c r="F60" i="14" s="1"/>
  <c r="F61" i="14" a="1"/>
  <c r="F61" i="14" s="1"/>
  <c r="F62" i="14" a="1"/>
  <c r="F62" i="14" s="1"/>
  <c r="F63" i="14" a="1"/>
  <c r="F63" i="14" s="1"/>
  <c r="F64" i="14" a="1"/>
  <c r="F64" i="14" s="1"/>
  <c r="F65" i="14" a="1"/>
  <c r="F65" i="14" s="1"/>
  <c r="F66" i="14" a="1"/>
  <c r="F66" i="14" s="1"/>
  <c r="F67" i="14" a="1"/>
  <c r="F67" i="14" s="1"/>
  <c r="F68" i="14" a="1"/>
  <c r="F68" i="14" s="1"/>
  <c r="F69" i="14" a="1"/>
  <c r="F69" i="14" s="1"/>
  <c r="F70" i="14" a="1"/>
  <c r="F70" i="14" s="1"/>
  <c r="F71" i="14" a="1"/>
  <c r="F71" i="14" s="1"/>
  <c r="F72" i="14" a="1"/>
  <c r="F72" i="14" s="1"/>
  <c r="F73" i="14" a="1"/>
  <c r="F73" i="14" s="1"/>
  <c r="F74" i="14" a="1"/>
  <c r="F74" i="14" s="1"/>
  <c r="F75" i="14" a="1"/>
  <c r="F75" i="14" s="1"/>
  <c r="F76" i="14" a="1"/>
  <c r="F76" i="14" s="1"/>
  <c r="F77" i="14" a="1"/>
  <c r="F77" i="14" s="1"/>
  <c r="F78" i="14" a="1"/>
  <c r="F78" i="14" s="1"/>
  <c r="F79" i="14" a="1"/>
  <c r="F79" i="14" s="1"/>
  <c r="F80" i="14" a="1"/>
  <c r="F80" i="14" s="1"/>
  <c r="F81" i="14" a="1"/>
  <c r="F81" i="14" s="1"/>
  <c r="F82" i="14" a="1"/>
  <c r="F82" i="14" s="1"/>
  <c r="F83" i="14" a="1"/>
  <c r="F83" i="14" s="1"/>
  <c r="F84" i="14" a="1"/>
  <c r="F84" i="14" s="1"/>
  <c r="F85" i="14" a="1"/>
  <c r="F85" i="14" s="1"/>
  <c r="F86" i="14" a="1"/>
  <c r="F86" i="14" s="1"/>
  <c r="F87" i="14" a="1"/>
  <c r="F87" i="14" s="1"/>
  <c r="F88" i="14" a="1"/>
  <c r="F88" i="14" s="1"/>
  <c r="F89" i="14" a="1"/>
  <c r="F89" i="14" s="1"/>
  <c r="F90" i="14" a="1"/>
  <c r="F90" i="14" s="1"/>
  <c r="F91" i="14" a="1"/>
  <c r="F91" i="14" s="1"/>
  <c r="F92" i="14" a="1"/>
  <c r="F92" i="14" s="1"/>
  <c r="F93" i="14" a="1"/>
  <c r="F93" i="14" s="1"/>
  <c r="F94" i="14" a="1"/>
  <c r="F94" i="14" s="1"/>
  <c r="F95" i="14" a="1"/>
  <c r="F95" i="14" s="1"/>
  <c r="F96" i="14" a="1"/>
  <c r="F96" i="14" s="1"/>
  <c r="F97" i="14" a="1"/>
  <c r="F97" i="14" s="1"/>
  <c r="F98" i="14" a="1"/>
  <c r="F98" i="14" s="1"/>
  <c r="F99" i="14" a="1"/>
  <c r="F99" i="14" s="1"/>
  <c r="F100" i="14" a="1"/>
  <c r="F100" i="14" s="1"/>
  <c r="F101" i="14" a="1"/>
  <c r="F101" i="14" s="1"/>
  <c r="F102" i="14" a="1"/>
  <c r="F102" i="14" s="1"/>
  <c r="F103" i="14" a="1"/>
  <c r="F103" i="14" s="1"/>
  <c r="F104" i="14" a="1"/>
  <c r="F104" i="14" s="1"/>
  <c r="F105" i="14" a="1"/>
  <c r="F105" i="14" s="1"/>
  <c r="F106" i="14" a="1"/>
  <c r="F106" i="14" s="1"/>
  <c r="F107" i="14" a="1"/>
  <c r="F107" i="14" s="1"/>
  <c r="F108" i="14" a="1"/>
  <c r="F108" i="14" s="1"/>
  <c r="F109" i="14" a="1"/>
  <c r="F109" i="14" s="1"/>
  <c r="F110" i="14" a="1"/>
  <c r="F110" i="14" s="1"/>
  <c r="F111" i="14" a="1"/>
  <c r="F111" i="14" s="1"/>
  <c r="F112" i="14" a="1"/>
  <c r="F112" i="14" s="1"/>
  <c r="F113" i="14" a="1"/>
  <c r="F113" i="14" s="1"/>
  <c r="F114" i="14" a="1"/>
  <c r="F114" i="14" s="1"/>
  <c r="F115" i="14" a="1"/>
  <c r="F115" i="14" s="1"/>
  <c r="F116" i="14" a="1"/>
  <c r="F116" i="14" s="1"/>
  <c r="F117" i="14" a="1"/>
  <c r="F117" i="14" s="1"/>
  <c r="F118" i="14" a="1"/>
  <c r="F118" i="14" s="1"/>
  <c r="F119" i="14" a="1"/>
  <c r="F119" i="14" s="1"/>
  <c r="F120" i="14" a="1"/>
  <c r="F120" i="14" s="1"/>
  <c r="F121" i="14" a="1"/>
  <c r="F121" i="14" s="1"/>
  <c r="F122" i="14" a="1"/>
  <c r="F122" i="14" s="1"/>
  <c r="F123" i="14" a="1"/>
  <c r="F123" i="14" s="1"/>
  <c r="F124" i="14" a="1"/>
  <c r="F124" i="14" s="1"/>
  <c r="F125" i="14" a="1"/>
  <c r="F125" i="14" s="1"/>
  <c r="F126" i="14" a="1"/>
  <c r="F126" i="14" s="1"/>
  <c r="F127" i="14" a="1"/>
  <c r="F127" i="14" s="1"/>
  <c r="F128" i="14" a="1"/>
  <c r="F128" i="14" s="1"/>
  <c r="F129" i="14" a="1"/>
  <c r="F129" i="14" s="1"/>
  <c r="F130" i="14" a="1"/>
  <c r="F130" i="14" s="1"/>
  <c r="F131" i="14" a="1"/>
  <c r="F131" i="14" s="1"/>
  <c r="F132" i="14" a="1"/>
  <c r="F132" i="14" s="1"/>
  <c r="F133" i="14" a="1"/>
  <c r="F133" i="14" s="1"/>
  <c r="F134" i="14" a="1"/>
  <c r="F134" i="14" s="1"/>
  <c r="F135" i="14" a="1"/>
  <c r="F135" i="14" s="1"/>
  <c r="F136" i="14" a="1"/>
  <c r="F136" i="14" s="1"/>
  <c r="F137" i="14" a="1"/>
  <c r="F137" i="14" s="1"/>
  <c r="F138" i="14" a="1"/>
  <c r="F138" i="14" s="1"/>
  <c r="F139" i="14" a="1"/>
  <c r="F139" i="14" s="1"/>
  <c r="F140" i="14" a="1"/>
  <c r="F140" i="14" s="1"/>
  <c r="F141" i="14" a="1"/>
  <c r="F141" i="14" s="1"/>
  <c r="F142" i="14" a="1"/>
  <c r="F142" i="14" s="1"/>
  <c r="F143" i="14" a="1"/>
  <c r="F143" i="14" s="1"/>
  <c r="F144" i="14" a="1"/>
  <c r="F144" i="14" s="1"/>
  <c r="F145" i="14" a="1"/>
  <c r="F145" i="14" s="1"/>
  <c r="F146" i="14" a="1"/>
  <c r="F146" i="14" s="1"/>
  <c r="F147" i="14" a="1"/>
  <c r="F147" i="14" s="1"/>
  <c r="F148" i="14" a="1"/>
  <c r="F148" i="14" s="1"/>
  <c r="F149" i="14" a="1"/>
  <c r="F149" i="14" s="1"/>
  <c r="F150" i="14" a="1"/>
  <c r="F150" i="14" s="1"/>
  <c r="F151" i="14" a="1"/>
  <c r="F151" i="14" s="1"/>
  <c r="F152" i="14" a="1"/>
  <c r="F152" i="14" s="1"/>
  <c r="F153" i="14" a="1"/>
  <c r="F153" i="14" s="1"/>
  <c r="F154" i="14" a="1"/>
  <c r="F154" i="14" s="1"/>
  <c r="F155" i="14" a="1"/>
  <c r="F155" i="14" s="1"/>
  <c r="F156" i="14" a="1"/>
  <c r="F156" i="14" s="1"/>
  <c r="F157" i="14" a="1"/>
  <c r="F157" i="14" s="1"/>
  <c r="F158" i="14" a="1"/>
  <c r="F158" i="14" s="1"/>
  <c r="F159" i="14" a="1"/>
  <c r="F159" i="14" s="1"/>
  <c r="F160" i="14" a="1"/>
  <c r="F160" i="14" s="1"/>
  <c r="F161" i="14" a="1"/>
  <c r="F161" i="14" s="1"/>
  <c r="F162" i="14" a="1"/>
  <c r="F162" i="14" s="1"/>
  <c r="F163" i="14" a="1"/>
  <c r="F163" i="14" s="1"/>
  <c r="F164" i="14" a="1"/>
  <c r="F164" i="14" s="1"/>
  <c r="F165" i="14" a="1"/>
  <c r="F165" i="14" s="1"/>
  <c r="F166" i="14" a="1"/>
  <c r="F166" i="14" s="1"/>
  <c r="F167" i="14" a="1"/>
  <c r="F167" i="14" s="1"/>
  <c r="F168" i="14" a="1"/>
  <c r="F168" i="14" s="1"/>
  <c r="F169" i="14" a="1"/>
  <c r="F169" i="14" s="1"/>
  <c r="F170" i="14" a="1"/>
  <c r="F170" i="14" s="1"/>
  <c r="F171" i="14" a="1"/>
  <c r="F171" i="14" s="1"/>
  <c r="F172" i="14" a="1"/>
  <c r="F172" i="14" s="1"/>
  <c r="F173" i="14" a="1"/>
  <c r="F173" i="14" s="1"/>
  <c r="F174" i="14" a="1"/>
  <c r="F174" i="14" s="1"/>
  <c r="F175" i="14" a="1"/>
  <c r="F175" i="14" s="1"/>
  <c r="F176" i="14" a="1"/>
  <c r="F176" i="14" s="1"/>
  <c r="F177" i="14" a="1"/>
  <c r="F177" i="14" s="1"/>
  <c r="F178" i="14" a="1"/>
  <c r="F178" i="14" s="1"/>
  <c r="F179" i="14" a="1"/>
  <c r="F179" i="14" s="1"/>
  <c r="F180" i="14" a="1"/>
  <c r="F180" i="14" s="1"/>
  <c r="F181" i="14" a="1"/>
  <c r="F181" i="14" s="1"/>
  <c r="F182" i="14" a="1"/>
  <c r="F182" i="14" s="1"/>
  <c r="F183" i="14" a="1"/>
  <c r="F183" i="14" s="1"/>
  <c r="F184" i="14" a="1"/>
  <c r="F184" i="14" s="1"/>
  <c r="F185" i="14" a="1"/>
  <c r="F185" i="14" s="1"/>
  <c r="F186" i="14" a="1"/>
  <c r="F186" i="14" s="1"/>
  <c r="F187" i="14" a="1"/>
  <c r="F187" i="14" s="1"/>
  <c r="F188" i="14" a="1"/>
  <c r="F188" i="14" s="1"/>
  <c r="F189" i="14" a="1"/>
  <c r="F189" i="14" s="1"/>
  <c r="F190" i="14" a="1"/>
  <c r="F190" i="14" s="1"/>
  <c r="F191" i="14" a="1"/>
  <c r="F191" i="14" s="1"/>
  <c r="F192" i="14" a="1"/>
  <c r="F192" i="14" s="1"/>
  <c r="F193" i="14" a="1"/>
  <c r="F193" i="14" s="1"/>
  <c r="F194" i="14" a="1"/>
  <c r="F194" i="14" s="1"/>
  <c r="F195" i="14" a="1"/>
  <c r="F195" i="14" s="1"/>
  <c r="F196" i="14" a="1"/>
  <c r="F196" i="14" s="1"/>
  <c r="F197" i="14" a="1"/>
  <c r="F197" i="14" s="1"/>
  <c r="F198" i="14" a="1"/>
  <c r="F198" i="14" s="1"/>
  <c r="F199" i="14" a="1"/>
  <c r="F199" i="14" s="1"/>
  <c r="F200" i="14" a="1"/>
  <c r="F200" i="14" s="1"/>
  <c r="F201" i="14" a="1"/>
  <c r="F201" i="14" s="1"/>
  <c r="F202" i="14" a="1"/>
  <c r="F202" i="14" s="1"/>
  <c r="F203" i="14" a="1"/>
  <c r="F203" i="14" s="1"/>
  <c r="F204" i="14" a="1"/>
  <c r="F204" i="14" s="1"/>
  <c r="F205" i="14" a="1"/>
  <c r="F205" i="14" s="1"/>
  <c r="F206" i="14" a="1"/>
  <c r="F206" i="14" s="1"/>
  <c r="F207" i="14" a="1"/>
  <c r="F207" i="14" s="1"/>
  <c r="F208" i="14" a="1"/>
  <c r="F208" i="14" s="1"/>
  <c r="F209" i="14" a="1"/>
  <c r="F209" i="14" s="1"/>
  <c r="F210" i="14" a="1"/>
  <c r="F210" i="14" s="1"/>
  <c r="F211" i="14" a="1"/>
  <c r="F211" i="14" s="1"/>
  <c r="F212" i="14" a="1"/>
  <c r="F212" i="14" s="1"/>
  <c r="F213" i="14" a="1"/>
  <c r="F213" i="14" s="1"/>
  <c r="F214" i="14" a="1"/>
  <c r="F214" i="14" s="1"/>
  <c r="F215" i="14" a="1"/>
  <c r="F215" i="14" s="1"/>
  <c r="F216" i="14" a="1"/>
  <c r="F216" i="14" s="1"/>
  <c r="F217" i="14" a="1"/>
  <c r="F217" i="14" s="1"/>
  <c r="F218" i="14" a="1"/>
  <c r="F218" i="14" s="1"/>
  <c r="F219" i="14" a="1"/>
  <c r="F219" i="14" s="1"/>
  <c r="F220" i="14" a="1"/>
  <c r="F220" i="14" s="1"/>
  <c r="F221" i="14" a="1"/>
  <c r="F221" i="14" s="1"/>
  <c r="F222" i="14" a="1"/>
  <c r="F222" i="14" s="1"/>
  <c r="F223" i="14" a="1"/>
  <c r="F223" i="14" s="1"/>
  <c r="F224" i="14" a="1"/>
  <c r="F224" i="14" s="1"/>
  <c r="F225" i="14" a="1"/>
  <c r="F225" i="14" s="1"/>
  <c r="F226" i="14" a="1"/>
  <c r="F226" i="14" s="1"/>
  <c r="F227" i="14" a="1"/>
  <c r="F227" i="14" s="1"/>
  <c r="F228" i="14" a="1"/>
  <c r="F228" i="14" s="1"/>
  <c r="F229" i="14" a="1"/>
  <c r="F229" i="14" s="1"/>
  <c r="F230" i="14" a="1"/>
  <c r="F230" i="14" s="1"/>
  <c r="F231" i="14" a="1"/>
  <c r="F231" i="14" s="1"/>
  <c r="F232" i="14" a="1"/>
  <c r="F232" i="14" s="1"/>
  <c r="F233" i="14" a="1"/>
  <c r="F233" i="14" s="1"/>
  <c r="F234" i="14" a="1"/>
  <c r="F234" i="14" s="1"/>
  <c r="F235" i="14" a="1"/>
  <c r="F235" i="14" s="1"/>
  <c r="F236" i="14" a="1"/>
  <c r="F236" i="14" s="1"/>
  <c r="F237" i="14" a="1"/>
  <c r="F237" i="14" s="1"/>
  <c r="F238" i="14" a="1"/>
  <c r="F238" i="14" s="1"/>
  <c r="F239" i="14" a="1"/>
  <c r="F239" i="14" s="1"/>
  <c r="F240" i="14" a="1"/>
  <c r="F240" i="14" s="1"/>
  <c r="F241" i="14" a="1"/>
  <c r="F241" i="14" s="1"/>
  <c r="F242" i="14" a="1"/>
  <c r="F242" i="14" s="1"/>
  <c r="F243" i="14" a="1"/>
  <c r="F243" i="14" s="1"/>
  <c r="F244" i="14" a="1"/>
  <c r="F244" i="14" s="1"/>
  <c r="F245" i="14" a="1"/>
  <c r="F245" i="14" s="1"/>
  <c r="F246" i="14" a="1"/>
  <c r="F246" i="14" s="1"/>
  <c r="F247" i="14" a="1"/>
  <c r="F247" i="14" s="1"/>
  <c r="F248" i="14" a="1"/>
  <c r="F248" i="14" s="1"/>
  <c r="F249" i="14" a="1"/>
  <c r="F249" i="14" s="1"/>
  <c r="F250" i="14" a="1"/>
  <c r="F250" i="14" s="1"/>
  <c r="F251" i="14" a="1"/>
  <c r="F251" i="14" s="1"/>
  <c r="F252" i="14" a="1"/>
  <c r="F252" i="14" s="1"/>
  <c r="F253" i="14" a="1"/>
  <c r="F253" i="14" s="1"/>
  <c r="F254" i="14" a="1"/>
  <c r="F254" i="14" s="1"/>
  <c r="F255" i="14" a="1"/>
  <c r="F255" i="14" s="1"/>
  <c r="F256" i="14" a="1"/>
  <c r="F256" i="14" s="1"/>
  <c r="F257" i="14" a="1"/>
  <c r="F257" i="14" s="1"/>
  <c r="F258" i="14" a="1"/>
  <c r="F258" i="14" s="1"/>
  <c r="F259" i="14" a="1"/>
  <c r="F259" i="14" s="1"/>
  <c r="F260" i="14" a="1"/>
  <c r="F260" i="14" s="1"/>
  <c r="F261" i="14" a="1"/>
  <c r="F261" i="14" s="1"/>
  <c r="F262" i="14" a="1"/>
  <c r="F262" i="14" s="1"/>
  <c r="F263" i="14" a="1"/>
  <c r="F263" i="14" s="1"/>
  <c r="F264" i="14" a="1"/>
  <c r="F264" i="14" s="1"/>
  <c r="F265" i="14" a="1"/>
  <c r="F265" i="14" s="1"/>
  <c r="F266" i="14" a="1"/>
  <c r="F266" i="14" s="1"/>
  <c r="F267" i="14" a="1"/>
  <c r="F267" i="14" s="1"/>
  <c r="F268" i="14" a="1"/>
  <c r="F268" i="14" s="1"/>
  <c r="F269" i="14" a="1"/>
  <c r="F269" i="14" s="1"/>
  <c r="F270" i="14" a="1"/>
  <c r="F270" i="14" s="1"/>
  <c r="F271" i="14" a="1"/>
  <c r="F271" i="14" s="1"/>
  <c r="F272" i="14" a="1"/>
  <c r="F272" i="14" s="1"/>
  <c r="F273" i="14" a="1"/>
  <c r="F273" i="14" s="1"/>
  <c r="F274" i="14" a="1"/>
  <c r="F274" i="14" s="1"/>
  <c r="F275" i="14" a="1"/>
  <c r="F275" i="14" s="1"/>
  <c r="F276" i="14" a="1"/>
  <c r="F276" i="14" s="1"/>
  <c r="F277" i="14" a="1"/>
  <c r="F277" i="14" s="1"/>
  <c r="F3" i="14" a="1"/>
  <c r="F3" i="14" s="1"/>
  <c r="D3" i="14" a="1"/>
  <c r="D3" i="14" s="1"/>
  <c r="D77" i="1" a="1"/>
  <c r="D77" i="1" s="1"/>
  <c r="F77" i="1" a="1"/>
  <c r="F77" i="1" s="1"/>
  <c r="D78" i="1" a="1"/>
  <c r="D78" i="1" s="1"/>
  <c r="F78" i="1" a="1"/>
  <c r="F78" i="1" s="1"/>
  <c r="D79" i="1" a="1"/>
  <c r="D79" i="1" s="1"/>
  <c r="F79" i="1" a="1"/>
  <c r="F79" i="1" s="1"/>
  <c r="D80" i="1" a="1"/>
  <c r="D80" i="1" s="1"/>
  <c r="F80" i="1" a="1"/>
  <c r="F80" i="1" s="1"/>
  <c r="D81" i="1" a="1"/>
  <c r="D81" i="1" s="1"/>
  <c r="F81" i="1" a="1"/>
  <c r="F81" i="1" s="1"/>
  <c r="D82" i="1" a="1"/>
  <c r="D82" i="1" s="1"/>
  <c r="F82" i="1" a="1"/>
  <c r="F82" i="1" s="1"/>
  <c r="D83" i="1" a="1"/>
  <c r="D83" i="1" s="1"/>
  <c r="F83" i="1" a="1"/>
  <c r="F83" i="1" s="1"/>
  <c r="D84" i="1" a="1"/>
  <c r="D84" i="1" s="1"/>
  <c r="F84" i="1" a="1"/>
  <c r="F84" i="1" s="1"/>
  <c r="D85" i="1" a="1"/>
  <c r="D85" i="1" s="1"/>
  <c r="F85" i="1" a="1"/>
  <c r="F85" i="1" s="1"/>
  <c r="D86" i="1" a="1"/>
  <c r="D86" i="1" s="1"/>
  <c r="F86" i="1" a="1"/>
  <c r="F86" i="1" s="1"/>
  <c r="D87" i="1" a="1"/>
  <c r="D87" i="1" s="1"/>
  <c r="F87" i="1" a="1"/>
  <c r="F87" i="1" s="1"/>
  <c r="D88" i="1" a="1"/>
  <c r="D88" i="1" s="1"/>
  <c r="F88" i="1" a="1"/>
  <c r="F88" i="1" s="1"/>
  <c r="D89" i="1" a="1"/>
  <c r="D89" i="1" s="1"/>
  <c r="F89" i="1" a="1"/>
  <c r="F89" i="1" s="1"/>
  <c r="D90" i="1" a="1"/>
  <c r="D90" i="1" s="1"/>
  <c r="F90" i="1" a="1"/>
  <c r="F90" i="1" s="1"/>
  <c r="D91" i="1" a="1"/>
  <c r="D91" i="1" s="1"/>
  <c r="F91" i="1" a="1"/>
  <c r="F91" i="1" s="1"/>
  <c r="D76" i="1" a="1"/>
  <c r="D76" i="1" s="1"/>
  <c r="F76" i="1" a="1"/>
  <c r="F76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3" i="1" a="1"/>
  <c r="F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3" i="1" a="1"/>
  <c r="D3" i="1" s="1"/>
  <c r="F4" i="30" a="1"/>
  <c r="F4" i="30" s="1"/>
  <c r="F5" i="30" a="1"/>
  <c r="F5" i="30" s="1"/>
  <c r="F6" i="30" a="1"/>
  <c r="F6" i="30" s="1"/>
  <c r="F7" i="30" a="1"/>
  <c r="F7" i="30" s="1"/>
  <c r="F8" i="30" a="1"/>
  <c r="F8" i="30" s="1"/>
  <c r="F3" i="30" a="1"/>
  <c r="F3" i="30" s="1"/>
  <c r="D4" i="30" a="1"/>
  <c r="D4" i="30" s="1"/>
  <c r="D5" i="30" a="1"/>
  <c r="D5" i="30" s="1"/>
  <c r="D6" i="30" a="1"/>
  <c r="D6" i="30" s="1"/>
  <c r="D7" i="30" a="1"/>
  <c r="D7" i="30" s="1"/>
  <c r="D8" i="30" a="1"/>
  <c r="D8" i="30" s="1"/>
  <c r="D3" i="30" a="1"/>
  <c r="D3" i="30" s="1"/>
  <c r="U3" i="27"/>
  <c r="U4" i="27"/>
  <c r="U5" i="27"/>
  <c r="U6" i="27"/>
  <c r="U7" i="27"/>
  <c r="U8" i="27"/>
  <c r="U9" i="27"/>
  <c r="U10" i="27"/>
  <c r="U11" i="27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T3" i="23"/>
  <c r="T4" i="23"/>
  <c r="T5" i="23"/>
  <c r="T6" i="23"/>
  <c r="T7" i="23"/>
  <c r="T8" i="23"/>
  <c r="T9" i="23"/>
  <c r="T10" i="23"/>
  <c r="T11" i="23"/>
  <c r="T12" i="23"/>
  <c r="T13" i="23"/>
  <c r="T14" i="23"/>
  <c r="R7" i="22"/>
  <c r="R6" i="22"/>
  <c r="R5" i="22"/>
  <c r="R4" i="22"/>
  <c r="R3" i="22"/>
  <c r="S10" i="20"/>
  <c r="S9" i="20"/>
  <c r="S8" i="20"/>
  <c r="S7" i="20"/>
  <c r="S6" i="20"/>
  <c r="S5" i="20"/>
  <c r="S4" i="20"/>
  <c r="S3" i="20"/>
  <c r="Q4" i="19"/>
  <c r="Q5" i="19"/>
  <c r="Q6" i="19"/>
  <c r="Q7" i="19"/>
  <c r="Q8" i="19"/>
  <c r="Q9" i="19"/>
  <c r="Q10" i="19"/>
  <c r="Q3" i="19"/>
  <c r="R7" i="18"/>
  <c r="R6" i="18"/>
  <c r="R5" i="18"/>
  <c r="R4" i="18"/>
  <c r="R3" i="18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3" i="21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3" i="15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4" i="16"/>
  <c r="R5" i="16"/>
  <c r="R3" i="16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4" i="8"/>
  <c r="T3" i="8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131" i="12"/>
  <c r="B478" i="12" l="1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26" i="15"/>
  <c r="B29" i="15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3" i="30"/>
  <c r="B6" i="30"/>
  <c r="B57" i="1"/>
  <c r="B54" i="1"/>
  <c r="B51" i="1"/>
  <c r="B48" i="1"/>
  <c r="B45" i="1"/>
  <c r="B42" i="1"/>
  <c r="B39" i="1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171" i="14"/>
  <c r="B8" i="30"/>
  <c r="B5" i="30"/>
  <c r="B59" i="1"/>
  <c r="B56" i="1"/>
  <c r="B53" i="1"/>
  <c r="B50" i="1"/>
  <c r="B47" i="1"/>
  <c r="B44" i="1"/>
  <c r="B41" i="1"/>
  <c r="B38" i="1"/>
  <c r="B7" i="30"/>
  <c r="B4" i="30"/>
  <c r="B58" i="1"/>
  <c r="B55" i="1"/>
  <c r="B52" i="1"/>
  <c r="B49" i="1"/>
  <c r="B46" i="1"/>
  <c r="B43" i="1"/>
  <c r="B40" i="1"/>
  <c r="B37" i="1"/>
  <c r="B44" i="26"/>
  <c r="B279" i="14"/>
  <c r="B282" i="14"/>
  <c r="B285" i="14"/>
  <c r="B288" i="14"/>
  <c r="B4" i="31"/>
  <c r="B4" i="34"/>
  <c r="B23" i="15"/>
  <c r="B60" i="1"/>
  <c r="B63" i="1"/>
  <c r="B66" i="1"/>
  <c r="B69" i="1"/>
  <c r="B72" i="1"/>
  <c r="B75" i="1"/>
  <c r="B278" i="14"/>
  <c r="B281" i="14"/>
  <c r="B284" i="14"/>
  <c r="B287" i="14"/>
  <c r="B289" i="14"/>
  <c r="B3" i="34"/>
  <c r="B6" i="34"/>
  <c r="B24" i="15"/>
  <c r="B27" i="15"/>
  <c r="B30" i="15"/>
  <c r="B33" i="15"/>
  <c r="B36" i="15"/>
  <c r="B39" i="15"/>
  <c r="B62" i="1"/>
  <c r="B65" i="1"/>
  <c r="B68" i="1"/>
  <c r="B71" i="1"/>
  <c r="B74" i="1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11" i="13"/>
  <c r="B1043" i="26"/>
  <c r="B1042" i="26"/>
  <c r="B1041" i="26"/>
  <c r="B1040" i="26"/>
  <c r="B1039" i="26"/>
  <c r="B1038" i="26"/>
  <c r="B1037" i="26"/>
  <c r="B1036" i="26"/>
  <c r="B1035" i="26"/>
  <c r="B1034" i="26"/>
  <c r="B1033" i="26"/>
  <c r="B1032" i="26"/>
  <c r="B1031" i="26"/>
  <c r="B1030" i="26"/>
  <c r="B1029" i="26"/>
  <c r="B1028" i="26"/>
  <c r="B1027" i="26"/>
  <c r="B1026" i="26"/>
  <c r="B1025" i="26"/>
  <c r="B1024" i="26"/>
  <c r="B1023" i="26"/>
  <c r="B1022" i="26"/>
  <c r="B1021" i="26"/>
  <c r="B1020" i="26"/>
  <c r="B1019" i="26"/>
  <c r="B1018" i="26"/>
  <c r="B1017" i="26"/>
  <c r="B1016" i="26"/>
  <c r="B1015" i="26"/>
  <c r="B1014" i="26"/>
  <c r="B1013" i="26"/>
  <c r="B1012" i="26"/>
  <c r="B1011" i="26"/>
  <c r="B1010" i="26"/>
  <c r="B1009" i="26"/>
  <c r="B1008" i="26"/>
  <c r="B1007" i="26"/>
  <c r="B1006" i="26"/>
  <c r="B1005" i="26"/>
  <c r="B1004" i="26"/>
  <c r="B1003" i="26"/>
  <c r="B1002" i="26"/>
  <c r="B1001" i="26"/>
  <c r="B1000" i="26"/>
  <c r="B999" i="26"/>
  <c r="B998" i="26"/>
  <c r="B997" i="26"/>
  <c r="B996" i="26"/>
  <c r="B995" i="26"/>
  <c r="B994" i="26"/>
  <c r="B993" i="26"/>
  <c r="B992" i="26"/>
  <c r="B991" i="26"/>
  <c r="B990" i="26"/>
  <c r="B989" i="26"/>
  <c r="B988" i="26"/>
  <c r="B987" i="26"/>
  <c r="B986" i="26"/>
  <c r="B985" i="26"/>
  <c r="B984" i="26"/>
  <c r="B983" i="26"/>
  <c r="B982" i="26"/>
  <c r="B981" i="26"/>
  <c r="B980" i="26"/>
  <c r="B979" i="26"/>
  <c r="B978" i="26"/>
  <c r="B977" i="26"/>
  <c r="B976" i="26"/>
  <c r="B975" i="26"/>
  <c r="B974" i="26"/>
  <c r="B973" i="26"/>
  <c r="B972" i="26"/>
  <c r="B971" i="26"/>
  <c r="B970" i="26"/>
  <c r="B969" i="26"/>
  <c r="B968" i="26"/>
  <c r="B967" i="26"/>
  <c r="B966" i="26"/>
  <c r="B965" i="26"/>
  <c r="B964" i="26"/>
  <c r="B963" i="26"/>
  <c r="B962" i="26"/>
  <c r="B961" i="26"/>
  <c r="B960" i="26"/>
  <c r="B959" i="26"/>
  <c r="B958" i="26"/>
  <c r="B957" i="26"/>
  <c r="B956" i="26"/>
  <c r="B955" i="26"/>
  <c r="B954" i="26"/>
  <c r="B953" i="26"/>
  <c r="B952" i="26"/>
  <c r="B951" i="26"/>
  <c r="B950" i="26"/>
  <c r="B949" i="26"/>
  <c r="B948" i="26"/>
  <c r="B947" i="26"/>
  <c r="B946" i="26"/>
  <c r="B945" i="26"/>
  <c r="B944" i="26"/>
  <c r="B943" i="26"/>
  <c r="B942" i="26"/>
  <c r="B941" i="26"/>
  <c r="B940" i="26"/>
  <c r="B939" i="26"/>
  <c r="B938" i="26"/>
  <c r="B937" i="26"/>
  <c r="B936" i="26"/>
  <c r="B935" i="26"/>
  <c r="B934" i="26"/>
  <c r="B933" i="26"/>
  <c r="B932" i="26"/>
  <c r="B931" i="26"/>
  <c r="B930" i="26"/>
  <c r="B929" i="26"/>
  <c r="B928" i="26"/>
  <c r="B927" i="26"/>
  <c r="B926" i="26"/>
  <c r="B925" i="26"/>
  <c r="B924" i="26"/>
  <c r="B923" i="26"/>
  <c r="B922" i="26"/>
  <c r="B921" i="26"/>
  <c r="B920" i="26"/>
  <c r="B919" i="26"/>
  <c r="B918" i="26"/>
  <c r="B917" i="26"/>
  <c r="B916" i="26"/>
  <c r="B915" i="26"/>
  <c r="B914" i="26"/>
  <c r="B913" i="26"/>
  <c r="B912" i="26"/>
  <c r="B911" i="26"/>
  <c r="B910" i="26"/>
  <c r="B909" i="26"/>
  <c r="B908" i="26"/>
  <c r="B907" i="26"/>
  <c r="B906" i="26"/>
  <c r="B905" i="26"/>
  <c r="B904" i="26"/>
  <c r="B903" i="26"/>
  <c r="B902" i="26"/>
  <c r="B901" i="26"/>
  <c r="B900" i="26"/>
  <c r="B899" i="26"/>
  <c r="B898" i="26"/>
  <c r="B897" i="26"/>
  <c r="B896" i="26"/>
  <c r="B895" i="26"/>
  <c r="B894" i="26"/>
  <c r="B893" i="26"/>
  <c r="B892" i="26"/>
  <c r="B891" i="26"/>
  <c r="B890" i="26"/>
  <c r="B889" i="26"/>
  <c r="B888" i="26"/>
  <c r="B887" i="26"/>
  <c r="B886" i="26"/>
  <c r="B885" i="26"/>
  <c r="B884" i="26"/>
  <c r="B883" i="26"/>
  <c r="B882" i="26"/>
  <c r="B881" i="26"/>
  <c r="B880" i="26"/>
  <c r="B879" i="26"/>
  <c r="B878" i="26"/>
  <c r="B877" i="26"/>
  <c r="B876" i="26"/>
  <c r="B875" i="26"/>
  <c r="B874" i="26"/>
  <c r="B873" i="26"/>
  <c r="B872" i="26"/>
  <c r="B871" i="26"/>
  <c r="B870" i="26"/>
  <c r="B869" i="26"/>
  <c r="B868" i="26"/>
  <c r="B867" i="26"/>
  <c r="B866" i="26"/>
  <c r="B865" i="26"/>
  <c r="B864" i="26"/>
  <c r="B863" i="26"/>
  <c r="B862" i="26"/>
  <c r="B861" i="26"/>
  <c r="B860" i="26"/>
  <c r="B859" i="26"/>
  <c r="B858" i="26"/>
  <c r="B857" i="26"/>
  <c r="B856" i="26"/>
  <c r="B855" i="26"/>
  <c r="B854" i="26"/>
  <c r="B853" i="26"/>
  <c r="B852" i="26"/>
  <c r="B851" i="26"/>
  <c r="B850" i="26"/>
  <c r="B849" i="26"/>
  <c r="B848" i="26"/>
  <c r="B847" i="26"/>
  <c r="B846" i="26"/>
  <c r="B845" i="26"/>
  <c r="B844" i="26"/>
  <c r="B843" i="26"/>
  <c r="B842" i="26"/>
  <c r="B841" i="26"/>
  <c r="B840" i="26"/>
  <c r="B839" i="26"/>
  <c r="B838" i="26"/>
  <c r="B837" i="26"/>
  <c r="B836" i="26"/>
  <c r="B835" i="26"/>
  <c r="B834" i="26"/>
  <c r="B833" i="26"/>
  <c r="B832" i="26"/>
  <c r="B831" i="26"/>
  <c r="B830" i="26"/>
  <c r="B829" i="26"/>
  <c r="B828" i="26"/>
  <c r="B827" i="26"/>
  <c r="B826" i="26"/>
  <c r="B825" i="26"/>
  <c r="B824" i="26"/>
  <c r="B823" i="26"/>
  <c r="B822" i="26"/>
  <c r="B821" i="26"/>
  <c r="B820" i="26"/>
  <c r="B819" i="26"/>
  <c r="B818" i="26"/>
  <c r="B817" i="26"/>
  <c r="B816" i="26"/>
  <c r="B815" i="26"/>
  <c r="B814" i="26"/>
  <c r="B813" i="26"/>
  <c r="B812" i="26"/>
  <c r="B811" i="26"/>
  <c r="B810" i="26"/>
  <c r="B809" i="26"/>
  <c r="B808" i="26"/>
  <c r="B807" i="26"/>
  <c r="B806" i="26"/>
  <c r="B805" i="26"/>
  <c r="B804" i="26"/>
  <c r="B803" i="26"/>
  <c r="B802" i="26"/>
  <c r="B801" i="26"/>
  <c r="B800" i="26"/>
  <c r="B799" i="26"/>
  <c r="B798" i="26"/>
  <c r="B797" i="26"/>
  <c r="B796" i="26"/>
  <c r="B795" i="26"/>
  <c r="B794" i="26"/>
  <c r="B793" i="26"/>
  <c r="B792" i="26"/>
  <c r="B791" i="26"/>
  <c r="B790" i="26"/>
  <c r="B789" i="26"/>
  <c r="B788" i="26"/>
  <c r="B787" i="26"/>
  <c r="B786" i="26"/>
  <c r="B785" i="26"/>
  <c r="B784" i="26"/>
  <c r="B783" i="26"/>
  <c r="B782" i="26"/>
  <c r="B781" i="26"/>
  <c r="B780" i="26"/>
  <c r="B779" i="26"/>
  <c r="B778" i="26"/>
  <c r="B777" i="26"/>
  <c r="B776" i="26"/>
  <c r="B775" i="26"/>
  <c r="B774" i="26"/>
  <c r="B773" i="26"/>
  <c r="B772" i="26"/>
  <c r="B771" i="26"/>
  <c r="B770" i="26"/>
  <c r="B769" i="26"/>
  <c r="B768" i="26"/>
  <c r="B767" i="26"/>
  <c r="B766" i="26"/>
  <c r="B765" i="26"/>
  <c r="B764" i="26"/>
  <c r="B763" i="26"/>
  <c r="B762" i="26"/>
  <c r="B761" i="26"/>
  <c r="B760" i="26"/>
  <c r="B759" i="26"/>
  <c r="B758" i="26"/>
  <c r="B757" i="26"/>
  <c r="B756" i="26"/>
  <c r="B755" i="26"/>
  <c r="B754" i="26"/>
  <c r="B753" i="26"/>
  <c r="B752" i="26"/>
  <c r="B751" i="26"/>
  <c r="B750" i="26"/>
  <c r="B749" i="26"/>
  <c r="B748" i="26"/>
  <c r="B747" i="26"/>
  <c r="B746" i="26"/>
  <c r="B745" i="26"/>
  <c r="B744" i="26"/>
  <c r="B743" i="26"/>
  <c r="B742" i="26"/>
  <c r="B741" i="26"/>
  <c r="B740" i="26"/>
  <c r="B739" i="26"/>
  <c r="B738" i="26"/>
  <c r="B737" i="26"/>
  <c r="B736" i="26"/>
  <c r="B735" i="26"/>
  <c r="B734" i="26"/>
  <c r="B733" i="26"/>
  <c r="B732" i="26"/>
  <c r="B731" i="26"/>
  <c r="B730" i="26"/>
  <c r="B729" i="26"/>
  <c r="B728" i="26"/>
  <c r="B727" i="26"/>
  <c r="B726" i="26"/>
  <c r="B725" i="26"/>
  <c r="B724" i="26"/>
  <c r="B723" i="26"/>
  <c r="B722" i="26"/>
  <c r="B721" i="26"/>
  <c r="B720" i="26"/>
  <c r="B719" i="26"/>
  <c r="B718" i="26"/>
  <c r="B717" i="26"/>
  <c r="B716" i="26"/>
  <c r="B715" i="26"/>
  <c r="B714" i="26"/>
  <c r="B713" i="26"/>
  <c r="B712" i="26"/>
  <c r="B711" i="26"/>
  <c r="B710" i="26"/>
  <c r="B709" i="26"/>
  <c r="B708" i="26"/>
  <c r="B707" i="26"/>
  <c r="B706" i="26"/>
  <c r="B705" i="26"/>
  <c r="B704" i="26"/>
  <c r="B703" i="26"/>
  <c r="B702" i="26"/>
  <c r="B701" i="26"/>
  <c r="B700" i="26"/>
  <c r="B699" i="26"/>
  <c r="B698" i="26"/>
  <c r="B697" i="26"/>
  <c r="B696" i="26"/>
  <c r="B695" i="26"/>
  <c r="B694" i="26"/>
  <c r="B693" i="26"/>
  <c r="B692" i="26"/>
  <c r="B691" i="26"/>
  <c r="B690" i="26"/>
  <c r="B689" i="26"/>
  <c r="B688" i="26"/>
  <c r="B687" i="26"/>
  <c r="B686" i="26"/>
  <c r="B685" i="26"/>
  <c r="B684" i="26"/>
  <c r="B683" i="26"/>
  <c r="B682" i="26"/>
  <c r="B681" i="26"/>
  <c r="B680" i="26"/>
  <c r="B679" i="26"/>
  <c r="B678" i="26"/>
  <c r="B677" i="26"/>
  <c r="B676" i="26"/>
  <c r="B675" i="26"/>
  <c r="B674" i="26"/>
  <c r="B673" i="26"/>
  <c r="B672" i="26"/>
  <c r="B671" i="26"/>
  <c r="B670" i="26"/>
  <c r="B669" i="26"/>
  <c r="B668" i="26"/>
  <c r="B667" i="26"/>
  <c r="B666" i="26"/>
  <c r="B665" i="26"/>
  <c r="B664" i="26"/>
  <c r="B663" i="26"/>
  <c r="B662" i="26"/>
  <c r="B661" i="26"/>
  <c r="B660" i="26"/>
  <c r="B659" i="26"/>
  <c r="B658" i="26"/>
  <c r="B657" i="26"/>
  <c r="B656" i="26"/>
  <c r="B655" i="26"/>
  <c r="B654" i="26"/>
  <c r="B653" i="26"/>
  <c r="B652" i="26"/>
  <c r="B651" i="26"/>
  <c r="B650" i="26"/>
  <c r="B649" i="26"/>
  <c r="B648" i="26"/>
  <c r="B647" i="26"/>
  <c r="B646" i="26"/>
  <c r="B645" i="26"/>
  <c r="B644" i="26"/>
  <c r="B643" i="26"/>
  <c r="B642" i="26"/>
  <c r="B641" i="26"/>
  <c r="B640" i="26"/>
  <c r="B639" i="26"/>
  <c r="B638" i="26"/>
  <c r="B637" i="26"/>
  <c r="B636" i="26"/>
  <c r="B635" i="26"/>
  <c r="B634" i="26"/>
  <c r="B633" i="26"/>
  <c r="B632" i="26"/>
  <c r="B631" i="26"/>
  <c r="B630" i="26"/>
  <c r="B629" i="26"/>
  <c r="B628" i="26"/>
  <c r="B627" i="26"/>
  <c r="B626" i="26"/>
  <c r="B625" i="26"/>
  <c r="B624" i="26"/>
  <c r="B623" i="26"/>
  <c r="B622" i="26"/>
  <c r="B621" i="26"/>
  <c r="B620" i="26"/>
  <c r="B619" i="26"/>
  <c r="B618" i="26"/>
  <c r="B617" i="26"/>
  <c r="B616" i="26"/>
  <c r="B615" i="26"/>
  <c r="B614" i="26"/>
  <c r="B613" i="26"/>
  <c r="B612" i="26"/>
  <c r="B611" i="26"/>
  <c r="B610" i="26"/>
  <c r="B609" i="26"/>
  <c r="B608" i="26"/>
  <c r="B607" i="26"/>
  <c r="B606" i="26"/>
  <c r="B605" i="26"/>
  <c r="B604" i="26"/>
  <c r="B603" i="26"/>
  <c r="B602" i="26"/>
  <c r="B601" i="26"/>
  <c r="B600" i="26"/>
  <c r="B599" i="26"/>
  <c r="B598" i="26"/>
  <c r="B597" i="26"/>
  <c r="B596" i="26"/>
  <c r="B595" i="26"/>
  <c r="B594" i="26"/>
  <c r="B593" i="26"/>
  <c r="B592" i="26"/>
  <c r="B591" i="26"/>
  <c r="B590" i="26"/>
  <c r="B589" i="26"/>
  <c r="B588" i="26"/>
  <c r="B587" i="26"/>
  <c r="B586" i="26"/>
  <c r="B585" i="26"/>
  <c r="B584" i="26"/>
  <c r="B583" i="26"/>
  <c r="B582" i="26"/>
  <c r="B581" i="26"/>
  <c r="B580" i="26"/>
  <c r="B579" i="26"/>
  <c r="B578" i="26"/>
  <c r="B577" i="26"/>
  <c r="B576" i="26"/>
  <c r="B575" i="26"/>
  <c r="B574" i="26"/>
  <c r="B573" i="26"/>
  <c r="B572" i="26"/>
  <c r="B571" i="26"/>
  <c r="B570" i="26"/>
  <c r="B569" i="26"/>
  <c r="B568" i="26"/>
  <c r="B567" i="26"/>
  <c r="B566" i="26"/>
  <c r="B565" i="26"/>
  <c r="B564" i="26"/>
  <c r="B563" i="26"/>
  <c r="B562" i="26"/>
  <c r="B561" i="26"/>
  <c r="B560" i="26"/>
  <c r="B559" i="26"/>
  <c r="B558" i="26"/>
  <c r="B557" i="26"/>
  <c r="B556" i="26"/>
  <c r="B555" i="26"/>
  <c r="B554" i="26"/>
  <c r="B553" i="26"/>
  <c r="B552" i="26"/>
  <c r="B551" i="26"/>
  <c r="B550" i="26"/>
  <c r="B549" i="26"/>
  <c r="B548" i="26"/>
  <c r="B547" i="26"/>
  <c r="B546" i="26"/>
  <c r="B545" i="26"/>
  <c r="B544" i="26"/>
  <c r="B543" i="26"/>
  <c r="B542" i="26"/>
  <c r="B541" i="26"/>
  <c r="B540" i="26"/>
  <c r="B539" i="26"/>
  <c r="B538" i="26"/>
  <c r="B537" i="26"/>
  <c r="B536" i="26"/>
  <c r="B535" i="26"/>
  <c r="B534" i="26"/>
  <c r="B533" i="26"/>
  <c r="B532" i="26"/>
  <c r="B531" i="26"/>
  <c r="B530" i="26"/>
  <c r="B529" i="26"/>
  <c r="B528" i="26"/>
  <c r="B527" i="26"/>
  <c r="B526" i="26"/>
  <c r="B525" i="26"/>
  <c r="B524" i="26"/>
  <c r="B523" i="26"/>
  <c r="B522" i="26"/>
  <c r="B521" i="26"/>
  <c r="B520" i="26"/>
  <c r="B519" i="26"/>
  <c r="B518" i="26"/>
  <c r="B517" i="26"/>
  <c r="B516" i="26"/>
  <c r="B515" i="26"/>
  <c r="B514" i="26"/>
  <c r="B513" i="26"/>
  <c r="B512" i="26"/>
  <c r="B511" i="26"/>
  <c r="B510" i="26"/>
  <c r="B509" i="26"/>
  <c r="B508" i="26"/>
  <c r="B507" i="26"/>
  <c r="B506" i="26"/>
  <c r="B505" i="26"/>
  <c r="B504" i="26"/>
  <c r="B503" i="26"/>
  <c r="B502" i="26"/>
  <c r="B501" i="26"/>
  <c r="B500" i="26"/>
  <c r="B499" i="26"/>
  <c r="B498" i="26"/>
  <c r="B497" i="26"/>
  <c r="B496" i="26"/>
  <c r="B495" i="26"/>
  <c r="B494" i="26"/>
  <c r="B493" i="26"/>
  <c r="B492" i="26"/>
  <c r="B491" i="26"/>
  <c r="B490" i="26"/>
  <c r="B489" i="26"/>
  <c r="B488" i="26"/>
  <c r="B487" i="26"/>
  <c r="B486" i="26"/>
  <c r="B485" i="26"/>
  <c r="B484" i="26"/>
  <c r="B483" i="26"/>
  <c r="B482" i="26"/>
  <c r="B481" i="26"/>
  <c r="B480" i="26"/>
  <c r="B479" i="26"/>
  <c r="B478" i="26"/>
  <c r="B477" i="26"/>
  <c r="B476" i="26"/>
  <c r="B475" i="26"/>
  <c r="B474" i="26"/>
  <c r="B473" i="26"/>
  <c r="B472" i="26"/>
  <c r="B471" i="26"/>
  <c r="B470" i="26"/>
  <c r="B469" i="26"/>
  <c r="B468" i="26"/>
  <c r="B467" i="26"/>
  <c r="B466" i="26"/>
  <c r="B465" i="26"/>
  <c r="B464" i="26"/>
  <c r="B463" i="26"/>
  <c r="B462" i="26"/>
  <c r="B461" i="26"/>
  <c r="B460" i="26"/>
  <c r="B459" i="26"/>
  <c r="B458" i="26"/>
  <c r="B457" i="26"/>
  <c r="B456" i="26"/>
  <c r="B455" i="26"/>
  <c r="B454" i="26"/>
  <c r="B453" i="26"/>
  <c r="B452" i="26"/>
  <c r="B451" i="26"/>
  <c r="B450" i="26"/>
  <c r="B449" i="26"/>
  <c r="B448" i="26"/>
  <c r="B447" i="26"/>
  <c r="B446" i="26"/>
  <c r="B445" i="26"/>
  <c r="B444" i="26"/>
  <c r="B443" i="26"/>
  <c r="B442" i="26"/>
  <c r="B441" i="26"/>
  <c r="B440" i="26"/>
  <c r="B439" i="26"/>
  <c r="B438" i="26"/>
  <c r="B437" i="26"/>
  <c r="B436" i="26"/>
  <c r="B435" i="26"/>
  <c r="B434" i="26"/>
  <c r="B433" i="26"/>
  <c r="B432" i="26"/>
  <c r="B431" i="26"/>
  <c r="B430" i="26"/>
  <c r="B429" i="26"/>
  <c r="B428" i="26"/>
  <c r="B427" i="26"/>
  <c r="B426" i="26"/>
  <c r="B425" i="26"/>
  <c r="B424" i="26"/>
  <c r="B423" i="26"/>
  <c r="B422" i="26"/>
  <c r="B421" i="26"/>
  <c r="B420" i="26"/>
  <c r="B419" i="26"/>
  <c r="B418" i="26"/>
  <c r="B417" i="26"/>
  <c r="B416" i="26"/>
  <c r="B415" i="26"/>
  <c r="B414" i="26"/>
  <c r="B413" i="26"/>
  <c r="B412" i="26"/>
  <c r="B411" i="26"/>
  <c r="B410" i="26"/>
  <c r="B409" i="26"/>
  <c r="B408" i="26"/>
  <c r="B407" i="26"/>
  <c r="B406" i="26"/>
  <c r="B405" i="26"/>
  <c r="B404" i="26"/>
  <c r="B403" i="26"/>
  <c r="B402" i="26"/>
  <c r="B401" i="26"/>
  <c r="B400" i="26"/>
  <c r="B399" i="26"/>
  <c r="B398" i="26"/>
  <c r="B397" i="26"/>
  <c r="B396" i="26"/>
  <c r="B395" i="26"/>
  <c r="B394" i="26"/>
  <c r="B393" i="26"/>
  <c r="B392" i="26"/>
  <c r="B391" i="26"/>
  <c r="B390" i="26"/>
  <c r="B389" i="26"/>
  <c r="B388" i="26"/>
  <c r="B387" i="26"/>
  <c r="B386" i="26"/>
  <c r="B385" i="26"/>
  <c r="B384" i="26"/>
  <c r="B383" i="26"/>
  <c r="B382" i="26"/>
  <c r="B381" i="26"/>
  <c r="B380" i="26"/>
  <c r="B379" i="26"/>
  <c r="B378" i="26"/>
  <c r="B377" i="26"/>
  <c r="B376" i="26"/>
  <c r="B375" i="26"/>
  <c r="B374" i="26"/>
  <c r="B373" i="26"/>
  <c r="B372" i="26"/>
  <c r="B371" i="26"/>
  <c r="B370" i="26"/>
  <c r="B369" i="26"/>
  <c r="B368" i="26"/>
  <c r="B367" i="26"/>
  <c r="B366" i="26"/>
  <c r="B365" i="26"/>
  <c r="B364" i="26"/>
  <c r="B363" i="26"/>
  <c r="B362" i="26"/>
  <c r="B361" i="26"/>
  <c r="B360" i="26"/>
  <c r="B359" i="26"/>
  <c r="B358" i="26"/>
  <c r="B357" i="26"/>
  <c r="B356" i="26"/>
  <c r="B355" i="26"/>
  <c r="B354" i="26"/>
  <c r="B353" i="26"/>
  <c r="B352" i="26"/>
  <c r="B351" i="26"/>
  <c r="B350" i="26"/>
  <c r="B349" i="26"/>
  <c r="B348" i="26"/>
  <c r="B347" i="26"/>
  <c r="B346" i="26"/>
  <c r="B345" i="26"/>
  <c r="B344" i="26"/>
  <c r="B343" i="26"/>
  <c r="B342" i="26"/>
  <c r="B341" i="26"/>
  <c r="B340" i="26"/>
  <c r="B339" i="26"/>
  <c r="B338" i="26"/>
  <c r="B337" i="26"/>
  <c r="B336" i="26"/>
  <c r="B335" i="26"/>
  <c r="B334" i="26"/>
  <c r="B333" i="26"/>
  <c r="B332" i="26"/>
  <c r="B331" i="26"/>
  <c r="B330" i="26"/>
  <c r="B329" i="26"/>
  <c r="B328" i="26"/>
  <c r="B327" i="26"/>
  <c r="B326" i="26"/>
  <c r="B325" i="26"/>
  <c r="B324" i="26"/>
  <c r="B323" i="26"/>
  <c r="B322" i="26"/>
  <c r="B321" i="26"/>
  <c r="B320" i="26"/>
  <c r="B319" i="26"/>
  <c r="B318" i="26"/>
  <c r="B317" i="26"/>
  <c r="B316" i="26"/>
  <c r="B315" i="26"/>
  <c r="B314" i="26"/>
  <c r="B313" i="26"/>
  <c r="B312" i="26"/>
  <c r="B311" i="26"/>
  <c r="B310" i="26"/>
  <c r="B309" i="26"/>
  <c r="B308" i="26"/>
  <c r="B307" i="26"/>
  <c r="B306" i="26"/>
  <c r="B305" i="26"/>
  <c r="B304" i="26"/>
  <c r="B303" i="26"/>
  <c r="B302" i="26"/>
  <c r="B301" i="26"/>
  <c r="B300" i="26"/>
  <c r="B299" i="26"/>
  <c r="B298" i="26"/>
  <c r="B297" i="26"/>
  <c r="B296" i="26"/>
  <c r="B295" i="26"/>
  <c r="B294" i="26"/>
  <c r="B293" i="26"/>
  <c r="B292" i="26"/>
  <c r="B291" i="26"/>
  <c r="B290" i="26"/>
  <c r="B289" i="26"/>
  <c r="B288" i="26"/>
  <c r="B287" i="26"/>
  <c r="B286" i="26"/>
  <c r="B285" i="26"/>
  <c r="B284" i="26"/>
  <c r="B283" i="26"/>
  <c r="B282" i="26"/>
  <c r="B281" i="26"/>
  <c r="B280" i="26"/>
  <c r="B279" i="26"/>
  <c r="B278" i="26"/>
  <c r="B277" i="26"/>
  <c r="B276" i="26"/>
  <c r="B275" i="26"/>
  <c r="B274" i="26"/>
  <c r="B273" i="26"/>
  <c r="B272" i="26"/>
  <c r="B271" i="26"/>
  <c r="B270" i="26"/>
  <c r="B269" i="26"/>
  <c r="B268" i="26"/>
  <c r="B267" i="26"/>
  <c r="B266" i="26"/>
  <c r="B265" i="26"/>
  <c r="B264" i="26"/>
  <c r="B263" i="26"/>
  <c r="B262" i="26"/>
  <c r="B261" i="26"/>
  <c r="B260" i="26"/>
  <c r="B259" i="26"/>
  <c r="B258" i="26"/>
  <c r="B257" i="26"/>
  <c r="B256" i="26"/>
  <c r="B255" i="26"/>
  <c r="B254" i="26"/>
  <c r="B253" i="26"/>
  <c r="B252" i="26"/>
  <c r="B251" i="26"/>
  <c r="B250" i="26"/>
  <c r="B249" i="26"/>
  <c r="B248" i="26"/>
  <c r="B247" i="26"/>
  <c r="B246" i="26"/>
  <c r="B245" i="26"/>
  <c r="B244" i="26"/>
  <c r="B243" i="26"/>
  <c r="B242" i="26"/>
  <c r="B241" i="26"/>
  <c r="B240" i="26"/>
  <c r="B239" i="26"/>
  <c r="B238" i="26"/>
  <c r="B237" i="26"/>
  <c r="B236" i="26"/>
  <c r="B235" i="26"/>
  <c r="B234" i="26"/>
  <c r="B233" i="26"/>
  <c r="B232" i="26"/>
  <c r="B231" i="26"/>
  <c r="B230" i="26"/>
  <c r="B229" i="26"/>
  <c r="B228" i="26"/>
  <c r="B227" i="26"/>
  <c r="B226" i="26"/>
  <c r="B225" i="26"/>
  <c r="B224" i="26"/>
  <c r="B223" i="26"/>
  <c r="B222" i="26"/>
  <c r="B221" i="26"/>
  <c r="B220" i="26"/>
  <c r="B219" i="26"/>
  <c r="B218" i="26"/>
  <c r="B217" i="26"/>
  <c r="B216" i="26"/>
  <c r="B215" i="26"/>
  <c r="B214" i="26"/>
  <c r="B213" i="26"/>
  <c r="B212" i="26"/>
  <c r="B211" i="26"/>
  <c r="B210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3" i="26"/>
  <c r="B172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B154" i="26"/>
  <c r="B153" i="26"/>
  <c r="B152" i="26"/>
  <c r="B151" i="26"/>
  <c r="B150" i="26"/>
  <c r="B149" i="26"/>
  <c r="B148" i="26"/>
  <c r="B147" i="26"/>
  <c r="B146" i="26"/>
  <c r="B145" i="26"/>
  <c r="B144" i="26"/>
  <c r="B143" i="26"/>
  <c r="B142" i="26"/>
  <c r="B141" i="26"/>
  <c r="B140" i="26"/>
  <c r="B139" i="26"/>
  <c r="B138" i="26"/>
  <c r="B137" i="26"/>
  <c r="B136" i="26"/>
  <c r="B135" i="26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874" i="33"/>
  <c r="B865" i="33"/>
  <c r="B856" i="33"/>
  <c r="B847" i="33"/>
  <c r="B835" i="33"/>
  <c r="B790" i="33"/>
  <c r="B781" i="33"/>
  <c r="B871" i="33"/>
  <c r="B862" i="33"/>
  <c r="B853" i="33"/>
  <c r="B844" i="33"/>
  <c r="B796" i="33"/>
  <c r="B787" i="33"/>
  <c r="B735" i="33"/>
  <c r="B868" i="33"/>
  <c r="B859" i="33"/>
  <c r="B850" i="33"/>
  <c r="B841" i="33"/>
  <c r="B793" i="33"/>
  <c r="B784" i="33"/>
  <c r="B733" i="33"/>
  <c r="B999" i="33"/>
  <c r="B998" i="33"/>
  <c r="B997" i="33"/>
  <c r="B996" i="33"/>
  <c r="B995" i="33"/>
  <c r="B994" i="33"/>
  <c r="B992" i="33"/>
  <c r="B990" i="33"/>
  <c r="B989" i="33"/>
  <c r="B988" i="33"/>
  <c r="B987" i="33"/>
  <c r="B986" i="33"/>
  <c r="B985" i="33"/>
  <c r="B983" i="33"/>
  <c r="B981" i="33"/>
  <c r="B980" i="33"/>
  <c r="B979" i="33"/>
  <c r="B978" i="33"/>
  <c r="B977" i="33"/>
  <c r="B976" i="33"/>
  <c r="B974" i="33"/>
  <c r="B972" i="33"/>
  <c r="B971" i="33"/>
  <c r="B970" i="33"/>
  <c r="B969" i="33"/>
  <c r="B968" i="33"/>
  <c r="B967" i="33"/>
  <c r="B966" i="33"/>
  <c r="B965" i="33"/>
  <c r="B964" i="33"/>
  <c r="B962" i="33"/>
  <c r="B961" i="33"/>
  <c r="B959" i="33"/>
  <c r="B958" i="33"/>
  <c r="B956" i="33"/>
  <c r="B955" i="33"/>
  <c r="B954" i="33"/>
  <c r="B953" i="33"/>
  <c r="B952" i="33"/>
  <c r="B950" i="33"/>
  <c r="B948" i="33"/>
  <c r="B947" i="33"/>
  <c r="B946" i="33"/>
  <c r="B945" i="33"/>
  <c r="B944" i="33"/>
  <c r="B943" i="33"/>
  <c r="B941" i="33"/>
  <c r="B939" i="33"/>
  <c r="B938" i="33"/>
  <c r="B937" i="33"/>
  <c r="B936" i="33"/>
  <c r="B935" i="33"/>
  <c r="B934" i="33"/>
  <c r="B932" i="33"/>
  <c r="B930" i="33"/>
  <c r="B929" i="33"/>
  <c r="B928" i="33"/>
  <c r="B927" i="33"/>
  <c r="B926" i="33"/>
  <c r="B925" i="33"/>
  <c r="B923" i="33"/>
  <c r="B921" i="33"/>
  <c r="B920" i="33"/>
  <c r="B919" i="33"/>
  <c r="B918" i="33"/>
  <c r="B917" i="33"/>
  <c r="B916" i="33"/>
  <c r="B914" i="33"/>
  <c r="B912" i="33"/>
  <c r="B911" i="33"/>
  <c r="B910" i="33"/>
  <c r="B909" i="33"/>
  <c r="B908" i="33"/>
  <c r="B907" i="33"/>
  <c r="B905" i="33"/>
  <c r="B903" i="33"/>
  <c r="B902" i="33"/>
  <c r="B901" i="33"/>
  <c r="B900" i="33"/>
  <c r="B899" i="33"/>
  <c r="B898" i="33"/>
  <c r="B896" i="33"/>
  <c r="B894" i="33"/>
  <c r="B893" i="33"/>
  <c r="B892" i="33"/>
  <c r="B891" i="33"/>
  <c r="B890" i="33"/>
  <c r="B889" i="33"/>
  <c r="B888" i="33"/>
  <c r="B887" i="33"/>
  <c r="B886" i="33"/>
  <c r="B885" i="33"/>
  <c r="B883" i="33"/>
  <c r="B882" i="33"/>
  <c r="B881" i="33"/>
  <c r="B880" i="33"/>
  <c r="B879" i="33"/>
  <c r="B877" i="33"/>
  <c r="B875" i="33"/>
  <c r="B873" i="33"/>
  <c r="B872" i="33"/>
  <c r="B870" i="33"/>
  <c r="B869" i="33"/>
  <c r="B867" i="33"/>
  <c r="B866" i="33"/>
  <c r="B864" i="33"/>
  <c r="B863" i="33"/>
  <c r="B861" i="33"/>
  <c r="B860" i="33"/>
  <c r="B858" i="33"/>
  <c r="B857" i="33"/>
  <c r="B855" i="33"/>
  <c r="B854" i="33"/>
  <c r="B852" i="33"/>
  <c r="B851" i="33"/>
  <c r="B849" i="33"/>
  <c r="B848" i="33"/>
  <c r="B846" i="33"/>
  <c r="B845" i="33"/>
  <c r="B843" i="33"/>
  <c r="B842" i="33"/>
  <c r="B840" i="33"/>
  <c r="B839" i="33"/>
  <c r="B837" i="33"/>
  <c r="B836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5" i="33"/>
  <c r="B794" i="33"/>
  <c r="B792" i="33"/>
  <c r="B791" i="33"/>
  <c r="B789" i="33"/>
  <c r="B788" i="33"/>
  <c r="B786" i="33"/>
  <c r="B785" i="33"/>
  <c r="B783" i="33"/>
  <c r="B782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4" i="33"/>
  <c r="B743" i="33"/>
  <c r="B742" i="33"/>
  <c r="B741" i="33"/>
  <c r="B740" i="33"/>
  <c r="B739" i="33"/>
  <c r="B738" i="33"/>
  <c r="B737" i="33"/>
  <c r="B734" i="33"/>
  <c r="B731" i="33"/>
  <c r="B730" i="33"/>
  <c r="B726" i="33"/>
  <c r="B725" i="33"/>
  <c r="B724" i="33"/>
  <c r="B722" i="33"/>
  <c r="B719" i="33"/>
  <c r="B717" i="33"/>
  <c r="B716" i="33"/>
  <c r="B715" i="33"/>
  <c r="B713" i="33"/>
  <c r="B710" i="33"/>
  <c r="B708" i="33"/>
  <c r="B707" i="33"/>
  <c r="B706" i="33"/>
  <c r="B704" i="33"/>
  <c r="B701" i="33"/>
  <c r="B699" i="33"/>
  <c r="B698" i="33"/>
  <c r="B697" i="33"/>
  <c r="B695" i="33"/>
  <c r="B692" i="33"/>
  <c r="B690" i="33"/>
  <c r="B689" i="33"/>
  <c r="B688" i="33"/>
  <c r="B686" i="33"/>
  <c r="B683" i="33"/>
  <c r="B682" i="33"/>
  <c r="B681" i="33"/>
  <c r="B680" i="33"/>
  <c r="B679" i="33"/>
  <c r="B677" i="33"/>
  <c r="B676" i="33"/>
  <c r="B674" i="33"/>
  <c r="B673" i="33"/>
  <c r="B672" i="33"/>
  <c r="B671" i="33"/>
  <c r="B670" i="33"/>
  <c r="B669" i="33"/>
  <c r="B667" i="33"/>
  <c r="B664" i="33"/>
  <c r="B662" i="33"/>
  <c r="B661" i="33"/>
  <c r="B660" i="33"/>
  <c r="B658" i="33"/>
  <c r="B655" i="33"/>
  <c r="B653" i="33"/>
  <c r="B652" i="33"/>
  <c r="B651" i="33"/>
  <c r="B649" i="33"/>
  <c r="B646" i="33"/>
  <c r="B644" i="33"/>
  <c r="B643" i="33"/>
  <c r="B642" i="33"/>
  <c r="B640" i="33"/>
  <c r="B637" i="33"/>
  <c r="B635" i="33"/>
  <c r="B634" i="33"/>
  <c r="B633" i="33"/>
  <c r="B631" i="33"/>
  <c r="B628" i="33"/>
  <c r="B626" i="33"/>
  <c r="B625" i="33"/>
  <c r="B624" i="33"/>
  <c r="B622" i="33"/>
  <c r="B619" i="33"/>
  <c r="B617" i="33"/>
  <c r="B616" i="33"/>
  <c r="B615" i="33"/>
  <c r="B613" i="33"/>
  <c r="B610" i="33"/>
  <c r="B608" i="33"/>
  <c r="B607" i="33"/>
  <c r="B606" i="33"/>
  <c r="B605" i="33"/>
  <c r="B604" i="33"/>
  <c r="B603" i="33"/>
  <c r="B602" i="33"/>
  <c r="B601" i="33"/>
  <c r="B600" i="33"/>
  <c r="B599" i="33"/>
  <c r="B598" i="33"/>
  <c r="B596" i="33"/>
  <c r="B595" i="33"/>
  <c r="B1002" i="33"/>
  <c r="B1001" i="33"/>
  <c r="B1000" i="33"/>
  <c r="B993" i="33"/>
  <c r="B991" i="33"/>
  <c r="B984" i="33"/>
  <c r="B982" i="33"/>
  <c r="B975" i="33"/>
  <c r="B973" i="33"/>
  <c r="B951" i="33"/>
  <c r="B949" i="33"/>
  <c r="B942" i="33"/>
  <c r="B940" i="33"/>
  <c r="B933" i="33"/>
  <c r="B931" i="33"/>
  <c r="B924" i="33"/>
  <c r="B922" i="33"/>
  <c r="B915" i="33"/>
  <c r="B913" i="33"/>
  <c r="B906" i="33"/>
  <c r="B904" i="33"/>
  <c r="B897" i="33"/>
  <c r="B895" i="33"/>
  <c r="B884" i="33"/>
  <c r="B963" i="33"/>
  <c r="B960" i="33"/>
  <c r="B957" i="33"/>
  <c r="B878" i="33"/>
  <c r="B745" i="33"/>
  <c r="B736" i="33"/>
  <c r="B876" i="33"/>
  <c r="B838" i="33"/>
  <c r="B732" i="33"/>
  <c r="B729" i="33"/>
  <c r="B727" i="33"/>
  <c r="B720" i="33"/>
  <c r="B718" i="33"/>
  <c r="B711" i="33"/>
  <c r="B709" i="33"/>
  <c r="B702" i="33"/>
  <c r="B700" i="33"/>
  <c r="B693" i="33"/>
  <c r="B691" i="33"/>
  <c r="B684" i="33"/>
  <c r="B675" i="33"/>
  <c r="B728" i="33"/>
  <c r="B723" i="33"/>
  <c r="B721" i="33"/>
  <c r="B714" i="33"/>
  <c r="B712" i="33"/>
  <c r="B705" i="33"/>
  <c r="B703" i="33"/>
  <c r="B696" i="33"/>
  <c r="B694" i="33"/>
  <c r="B687" i="33"/>
  <c r="B685" i="33"/>
  <c r="B678" i="33"/>
  <c r="B665" i="33"/>
  <c r="B663" i="33"/>
  <c r="B656" i="33"/>
  <c r="B654" i="33"/>
  <c r="B647" i="33"/>
  <c r="B645" i="33"/>
  <c r="B638" i="33"/>
  <c r="B636" i="33"/>
  <c r="B629" i="33"/>
  <c r="B627" i="33"/>
  <c r="B620" i="33"/>
  <c r="B618" i="33"/>
  <c r="B611" i="33"/>
  <c r="B609" i="33"/>
  <c r="B668" i="33"/>
  <c r="B666" i="33"/>
  <c r="B659" i="33"/>
  <c r="B657" i="33"/>
  <c r="B650" i="33"/>
  <c r="B648" i="33"/>
  <c r="B641" i="33"/>
  <c r="B639" i="33"/>
  <c r="B632" i="33"/>
  <c r="B630" i="33"/>
  <c r="B623" i="33"/>
  <c r="B621" i="33"/>
  <c r="B614" i="33"/>
  <c r="B612" i="33"/>
  <c r="B597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212" i="14"/>
  <c r="B6" i="35"/>
  <c r="B5" i="35"/>
  <c r="B4" i="35"/>
  <c r="B3" i="35"/>
  <c r="B76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10" i="19"/>
  <c r="B9" i="19"/>
  <c r="B8" i="19"/>
  <c r="B7" i="19"/>
  <c r="B42" i="26"/>
  <c r="B26" i="26"/>
  <c r="B9" i="26"/>
  <c r="AI277" i="14"/>
  <c r="AI276" i="14"/>
  <c r="AI275" i="14"/>
  <c r="AI274" i="14"/>
  <c r="AI273" i="14"/>
  <c r="AI272" i="14"/>
  <c r="AI271" i="14"/>
  <c r="AI270" i="14"/>
  <c r="AI269" i="14"/>
  <c r="AI268" i="14"/>
  <c r="AI267" i="14"/>
  <c r="AI266" i="14"/>
  <c r="AI265" i="14"/>
  <c r="AI264" i="14"/>
  <c r="AI263" i="14"/>
  <c r="AI262" i="14"/>
  <c r="AI261" i="14"/>
  <c r="AI260" i="14"/>
  <c r="AI259" i="14"/>
  <c r="AI258" i="14"/>
  <c r="AI257" i="14"/>
  <c r="AI256" i="14"/>
  <c r="AI255" i="14"/>
  <c r="AI254" i="14"/>
  <c r="AI253" i="14"/>
  <c r="AI252" i="14"/>
  <c r="AI251" i="14"/>
  <c r="AI250" i="14"/>
  <c r="AI249" i="14"/>
  <c r="AI248" i="14"/>
  <c r="AI247" i="14"/>
  <c r="AI246" i="14"/>
  <c r="AI245" i="14"/>
  <c r="AI244" i="14"/>
  <c r="AI243" i="14"/>
  <c r="AI242" i="14"/>
  <c r="AI241" i="14"/>
  <c r="AI240" i="14"/>
  <c r="AI239" i="14"/>
  <c r="AI238" i="14"/>
  <c r="AI237" i="14"/>
  <c r="AI236" i="14"/>
  <c r="AI235" i="14"/>
  <c r="AI234" i="14"/>
  <c r="AI233" i="14"/>
  <c r="AI232" i="14"/>
  <c r="AI231" i="14"/>
  <c r="AI230" i="14"/>
  <c r="AI229" i="14"/>
  <c r="AI228" i="14"/>
  <c r="AI227" i="14"/>
  <c r="AI226" i="14"/>
  <c r="AI225" i="14"/>
  <c r="AI224" i="14"/>
  <c r="B13" i="23"/>
  <c r="B146" i="12"/>
  <c r="B26" i="17"/>
  <c r="B25" i="17"/>
  <c r="B24" i="17"/>
  <c r="B22" i="17"/>
  <c r="B21" i="17"/>
  <c r="B20" i="17"/>
  <c r="B19" i="17"/>
  <c r="B18" i="17"/>
  <c r="B17" i="17"/>
  <c r="B16" i="17"/>
  <c r="B13" i="17"/>
  <c r="B12" i="17"/>
  <c r="B11" i="17"/>
  <c r="B10" i="17"/>
  <c r="B8" i="17"/>
  <c r="B4" i="17"/>
  <c r="B10" i="13"/>
  <c r="B33" i="12"/>
  <c r="B49" i="12"/>
  <c r="B65" i="12"/>
  <c r="B81" i="12"/>
  <c r="B97" i="12"/>
  <c r="B18" i="26" l="1"/>
  <c r="B34" i="26"/>
  <c r="B28" i="25"/>
  <c r="B7" i="23"/>
  <c r="B4" i="20"/>
  <c r="B7" i="20"/>
  <c r="B10" i="20"/>
  <c r="B8" i="20"/>
  <c r="B5" i="20"/>
  <c r="B9" i="20"/>
  <c r="B6" i="20"/>
  <c r="B10" i="21"/>
  <c r="B3" i="21"/>
  <c r="B3" i="13"/>
  <c r="B23" i="17"/>
  <c r="B3" i="17"/>
  <c r="B6" i="17"/>
  <c r="B7" i="17"/>
  <c r="B27" i="17"/>
  <c r="B5" i="17"/>
  <c r="B9" i="17"/>
  <c r="B12" i="16"/>
  <c r="B5" i="16"/>
  <c r="B4" i="16"/>
  <c r="B218" i="12"/>
  <c r="B202" i="12"/>
  <c r="B201" i="12"/>
  <c r="B178" i="12"/>
  <c r="B89" i="12"/>
  <c r="B25" i="12"/>
  <c r="B162" i="12"/>
  <c r="B114" i="12"/>
  <c r="B41" i="12"/>
  <c r="B130" i="12"/>
  <c r="B234" i="12"/>
  <c r="B246" i="12"/>
  <c r="B370" i="12"/>
  <c r="B57" i="12"/>
  <c r="B73" i="12"/>
  <c r="B311" i="12"/>
  <c r="B259" i="12"/>
  <c r="B337" i="12"/>
  <c r="B367" i="12"/>
  <c r="B352" i="12"/>
  <c r="B336" i="12"/>
  <c r="B320" i="12"/>
  <c r="B304" i="12"/>
  <c r="B288" i="12"/>
  <c r="B272" i="12"/>
  <c r="B256" i="12"/>
  <c r="B241" i="12"/>
  <c r="B225" i="12"/>
  <c r="B209" i="12"/>
  <c r="B194" i="12"/>
  <c r="B164" i="12"/>
  <c r="B148" i="12"/>
  <c r="B132" i="12"/>
  <c r="B116" i="12"/>
  <c r="B329" i="12"/>
  <c r="B297" i="12"/>
  <c r="B279" i="12"/>
  <c r="B232" i="12"/>
  <c r="B185" i="12"/>
  <c r="B155" i="12"/>
  <c r="B355" i="12"/>
  <c r="B323" i="12"/>
  <c r="B275" i="12"/>
  <c r="B244" i="12"/>
  <c r="B228" i="12"/>
  <c r="B197" i="12"/>
  <c r="B181" i="12"/>
  <c r="B151" i="12"/>
  <c r="B135" i="12"/>
  <c r="B119" i="12"/>
  <c r="B368" i="12"/>
  <c r="B353" i="12"/>
  <c r="B321" i="12"/>
  <c r="B289" i="12"/>
  <c r="B273" i="12"/>
  <c r="B257" i="12"/>
  <c r="B242" i="12"/>
  <c r="B226" i="12"/>
  <c r="B210" i="12"/>
  <c r="B195" i="12"/>
  <c r="B179" i="12"/>
  <c r="B165" i="12"/>
  <c r="B149" i="12"/>
  <c r="B133" i="12"/>
  <c r="B117" i="12"/>
  <c r="B366" i="12"/>
  <c r="B351" i="12"/>
  <c r="B335" i="12"/>
  <c r="B319" i="12"/>
  <c r="B303" i="12"/>
  <c r="B287" i="12"/>
  <c r="B271" i="12"/>
  <c r="B255" i="12"/>
  <c r="B240" i="12"/>
  <c r="B224" i="12"/>
  <c r="B208" i="12"/>
  <c r="B193" i="12"/>
  <c r="B163" i="12"/>
  <c r="B147" i="12"/>
  <c r="B131" i="12"/>
  <c r="B115" i="12"/>
  <c r="B247" i="12"/>
  <c r="B286" i="12"/>
  <c r="B327" i="12"/>
  <c r="B350" i="12"/>
  <c r="B223" i="12"/>
  <c r="B317" i="12"/>
  <c r="B238" i="12"/>
  <c r="B145" i="12"/>
  <c r="B363" i="12"/>
  <c r="B348" i="12"/>
  <c r="B316" i="12"/>
  <c r="B300" i="12"/>
  <c r="B284" i="12"/>
  <c r="B268" i="12"/>
  <c r="B252" i="12"/>
  <c r="B237" i="12"/>
  <c r="B221" i="12"/>
  <c r="B205" i="12"/>
  <c r="B190" i="12"/>
  <c r="B160" i="12"/>
  <c r="B144" i="12"/>
  <c r="B128" i="12"/>
  <c r="B112" i="12"/>
  <c r="B345" i="12"/>
  <c r="B313" i="12"/>
  <c r="B359" i="12"/>
  <c r="B263" i="12"/>
  <c r="B216" i="12"/>
  <c r="B171" i="12"/>
  <c r="B139" i="12"/>
  <c r="B123" i="12"/>
  <c r="B339" i="12"/>
  <c r="B291" i="12"/>
  <c r="B365" i="12"/>
  <c r="B318" i="12"/>
  <c r="B302" i="12"/>
  <c r="B270" i="12"/>
  <c r="B254" i="12"/>
  <c r="B207" i="12"/>
  <c r="B192" i="12"/>
  <c r="B177" i="12"/>
  <c r="B364" i="12"/>
  <c r="B333" i="12"/>
  <c r="B301" i="12"/>
  <c r="B285" i="12"/>
  <c r="B269" i="12"/>
  <c r="B222" i="12"/>
  <c r="B206" i="12"/>
  <c r="B191" i="12"/>
  <c r="B176" i="12"/>
  <c r="B129" i="12"/>
  <c r="B113" i="12"/>
  <c r="B362" i="12"/>
  <c r="B347" i="12"/>
  <c r="B331" i="12"/>
  <c r="B315" i="12"/>
  <c r="B299" i="12"/>
  <c r="B283" i="12"/>
  <c r="B267" i="12"/>
  <c r="B251" i="12"/>
  <c r="B236" i="12"/>
  <c r="B220" i="12"/>
  <c r="B204" i="12"/>
  <c r="B189" i="12"/>
  <c r="B175" i="12"/>
  <c r="B159" i="12"/>
  <c r="B143" i="12"/>
  <c r="B127" i="12"/>
  <c r="B111" i="12"/>
  <c r="B173" i="12"/>
  <c r="B334" i="12"/>
  <c r="B239" i="12"/>
  <c r="B349" i="12"/>
  <c r="B253" i="12"/>
  <c r="B161" i="12"/>
  <c r="B104" i="12"/>
  <c r="B346" i="12"/>
  <c r="B330" i="12"/>
  <c r="B314" i="12"/>
  <c r="B298" i="12"/>
  <c r="B282" i="12"/>
  <c r="B266" i="12"/>
  <c r="B250" i="12"/>
  <c r="B235" i="12"/>
  <c r="B219" i="12"/>
  <c r="B203" i="12"/>
  <c r="B188" i="12"/>
  <c r="B174" i="12"/>
  <c r="B158" i="12"/>
  <c r="B142" i="12"/>
  <c r="B126" i="12"/>
  <c r="B110" i="12"/>
  <c r="B281" i="12"/>
  <c r="B141" i="12"/>
  <c r="B125" i="12"/>
  <c r="B109" i="12"/>
  <c r="B360" i="12"/>
  <c r="B344" i="12"/>
  <c r="B328" i="12"/>
  <c r="B312" i="12"/>
  <c r="B296" i="12"/>
  <c r="B280" i="12"/>
  <c r="B264" i="12"/>
  <c r="B248" i="12"/>
  <c r="B233" i="12"/>
  <c r="B217" i="12"/>
  <c r="B186" i="12"/>
  <c r="B172" i="12"/>
  <c r="B156" i="12"/>
  <c r="B140" i="12"/>
  <c r="B124" i="12"/>
  <c r="B108" i="12"/>
  <c r="B249" i="12"/>
  <c r="B265" i="12"/>
  <c r="B358" i="12"/>
  <c r="B342" i="12"/>
  <c r="B326" i="12"/>
  <c r="B310" i="12"/>
  <c r="B294" i="12"/>
  <c r="B278" i="12"/>
  <c r="B262" i="12"/>
  <c r="B231" i="12"/>
  <c r="B215" i="12"/>
  <c r="B200" i="12"/>
  <c r="B184" i="12"/>
  <c r="B170" i="12"/>
  <c r="B154" i="12"/>
  <c r="B138" i="12"/>
  <c r="B122" i="12"/>
  <c r="B106" i="12"/>
  <c r="B343" i="12"/>
  <c r="B372" i="12"/>
  <c r="B341" i="12"/>
  <c r="B325" i="12"/>
  <c r="B293" i="12"/>
  <c r="B261" i="12"/>
  <c r="B230" i="12"/>
  <c r="B199" i="12"/>
  <c r="B169" i="12"/>
  <c r="B137" i="12"/>
  <c r="B121" i="12"/>
  <c r="B105" i="12"/>
  <c r="B357" i="12"/>
  <c r="B309" i="12"/>
  <c r="B277" i="12"/>
  <c r="B214" i="12"/>
  <c r="B183" i="12"/>
  <c r="B153" i="12"/>
  <c r="B371" i="12"/>
  <c r="B356" i="12"/>
  <c r="B340" i="12"/>
  <c r="B324" i="12"/>
  <c r="B308" i="12"/>
  <c r="B292" i="12"/>
  <c r="B276" i="12"/>
  <c r="B260" i="12"/>
  <c r="B245" i="12"/>
  <c r="B229" i="12"/>
  <c r="B213" i="12"/>
  <c r="B198" i="12"/>
  <c r="B182" i="12"/>
  <c r="B168" i="12"/>
  <c r="B152" i="12"/>
  <c r="B136" i="12"/>
  <c r="B120" i="12"/>
  <c r="B361" i="12"/>
  <c r="B157" i="12"/>
  <c r="B187" i="12"/>
  <c r="B212" i="12"/>
  <c r="B369" i="12"/>
  <c r="B354" i="12"/>
  <c r="B338" i="12"/>
  <c r="B322" i="12"/>
  <c r="B306" i="12"/>
  <c r="B290" i="12"/>
  <c r="B274" i="12"/>
  <c r="B258" i="12"/>
  <c r="B243" i="12"/>
  <c r="B227" i="12"/>
  <c r="B211" i="12"/>
  <c r="B196" i="12"/>
  <c r="B180" i="12"/>
  <c r="B166" i="12"/>
  <c r="B150" i="12"/>
  <c r="B134" i="12"/>
  <c r="B118" i="12"/>
  <c r="B295" i="12"/>
  <c r="B307" i="12"/>
  <c r="B167" i="12"/>
  <c r="B305" i="12"/>
  <c r="B9" i="11"/>
  <c r="B110" i="14"/>
  <c r="B97" i="14"/>
  <c r="B113" i="14"/>
  <c r="B100" i="14"/>
  <c r="B116" i="14"/>
  <c r="B101" i="14"/>
  <c r="B102" i="14"/>
  <c r="B271" i="14"/>
  <c r="B105" i="14"/>
  <c r="B108" i="14"/>
  <c r="B109" i="14"/>
  <c r="B273" i="14"/>
  <c r="B257" i="14"/>
  <c r="B265" i="14"/>
  <c r="B19" i="14"/>
  <c r="B262" i="14"/>
  <c r="B246" i="14"/>
  <c r="B230" i="14"/>
  <c r="B274" i="14"/>
  <c r="B249" i="14"/>
  <c r="B231" i="14"/>
  <c r="B241" i="14"/>
  <c r="B233" i="14"/>
  <c r="B263" i="14"/>
  <c r="B5" i="14"/>
  <c r="B21" i="14"/>
  <c r="B276" i="14"/>
  <c r="B260" i="14"/>
  <c r="B244" i="14"/>
  <c r="B228" i="14"/>
  <c r="B242" i="14"/>
  <c r="B225" i="14"/>
  <c r="B16" i="14"/>
  <c r="B18" i="14"/>
  <c r="B247" i="14"/>
  <c r="B20" i="14"/>
  <c r="B277" i="14"/>
  <c r="B261" i="14"/>
  <c r="B245" i="14"/>
  <c r="B229" i="14"/>
  <c r="B6" i="14"/>
  <c r="B22" i="14"/>
  <c r="B275" i="14"/>
  <c r="B259" i="14"/>
  <c r="B243" i="14"/>
  <c r="B227" i="14"/>
  <c r="B226" i="14"/>
  <c r="B9" i="14"/>
  <c r="B272" i="14"/>
  <c r="B256" i="14"/>
  <c r="B240" i="14"/>
  <c r="B239" i="14"/>
  <c r="B238" i="14"/>
  <c r="B25" i="14"/>
  <c r="B10" i="14"/>
  <c r="B237" i="14"/>
  <c r="B13" i="14"/>
  <c r="B268" i="14"/>
  <c r="B252" i="14"/>
  <c r="B236" i="14"/>
  <c r="B7" i="14"/>
  <c r="B258" i="14"/>
  <c r="B8" i="14"/>
  <c r="B255" i="14"/>
  <c r="B11" i="14"/>
  <c r="B24" i="14"/>
  <c r="B254" i="14"/>
  <c r="B12" i="14"/>
  <c r="B23" i="14"/>
  <c r="B269" i="14"/>
  <c r="B14" i="14"/>
  <c r="B267" i="14"/>
  <c r="B251" i="14"/>
  <c r="B270" i="14"/>
  <c r="B253" i="14"/>
  <c r="B235" i="14"/>
  <c r="B15" i="14"/>
  <c r="B266" i="14"/>
  <c r="B250" i="14"/>
  <c r="B234" i="14"/>
  <c r="B17" i="14"/>
  <c r="B264" i="14"/>
  <c r="B248" i="14"/>
  <c r="B232" i="14"/>
  <c r="B9" i="13"/>
  <c r="B8" i="13"/>
  <c r="B7" i="13"/>
  <c r="B6" i="13"/>
  <c r="B5" i="13"/>
  <c r="B4" i="13"/>
  <c r="B5" i="18"/>
  <c r="B6" i="18"/>
  <c r="B7" i="18"/>
  <c r="B3" i="23"/>
  <c r="B4" i="23"/>
  <c r="B5" i="23"/>
  <c r="B6" i="23"/>
  <c r="B3" i="18"/>
  <c r="B4" i="18"/>
  <c r="B8" i="23"/>
  <c r="B9" i="23"/>
  <c r="B10" i="23"/>
  <c r="B11" i="23"/>
  <c r="B12" i="23"/>
  <c r="B14" i="23"/>
  <c r="B30" i="14"/>
  <c r="B4" i="22"/>
  <c r="B5" i="22"/>
  <c r="B6" i="22"/>
  <c r="B7" i="22"/>
  <c r="B3" i="22"/>
  <c r="B203" i="14"/>
  <c r="B222" i="14"/>
  <c r="B214" i="14"/>
  <c r="B3" i="20"/>
  <c r="B66" i="12"/>
  <c r="B58" i="12"/>
  <c r="B50" i="12"/>
  <c r="B42" i="12"/>
  <c r="B34" i="12"/>
  <c r="B26" i="12"/>
  <c r="B195" i="14"/>
  <c r="B104" i="14"/>
  <c r="B112" i="14"/>
  <c r="B98" i="14"/>
  <c r="B106" i="14"/>
  <c r="B114" i="14"/>
  <c r="B62" i="12"/>
  <c r="B54" i="12"/>
  <c r="B46" i="12"/>
  <c r="B38" i="12"/>
  <c r="B30" i="12"/>
  <c r="B22" i="12"/>
  <c r="B101" i="12"/>
  <c r="B93" i="12"/>
  <c r="B85" i="12"/>
  <c r="B77" i="12"/>
  <c r="B69" i="12"/>
  <c r="B61" i="12"/>
  <c r="B53" i="12"/>
  <c r="B45" i="12"/>
  <c r="B37" i="12"/>
  <c r="B29" i="12"/>
  <c r="B21" i="12"/>
  <c r="B65" i="14"/>
  <c r="B199" i="14"/>
  <c r="B218" i="14"/>
  <c r="B210" i="14"/>
  <c r="B13" i="12"/>
  <c r="B17" i="12"/>
  <c r="B100" i="12"/>
  <c r="B92" i="12"/>
  <c r="B84" i="12"/>
  <c r="B76" i="12"/>
  <c r="B68" i="12"/>
  <c r="B60" i="12"/>
  <c r="B52" i="12"/>
  <c r="B44" i="12"/>
  <c r="B36" i="12"/>
  <c r="B28" i="12"/>
  <c r="B20" i="12"/>
  <c r="B3" i="19"/>
  <c r="B63" i="14"/>
  <c r="B5" i="26"/>
  <c r="B22" i="26"/>
  <c r="B30" i="26"/>
  <c r="B38" i="26"/>
  <c r="B13" i="16"/>
  <c r="B107" i="12"/>
  <c r="B9" i="10"/>
  <c r="B3" i="12"/>
  <c r="B7" i="12"/>
  <c r="B15" i="12"/>
  <c r="B96" i="12"/>
  <c r="B88" i="12"/>
  <c r="B80" i="12"/>
  <c r="B72" i="12"/>
  <c r="B64" i="12"/>
  <c r="B56" i="12"/>
  <c r="B48" i="12"/>
  <c r="B40" i="12"/>
  <c r="B32" i="12"/>
  <c r="B24" i="12"/>
  <c r="B5" i="19"/>
  <c r="B99" i="14"/>
  <c r="B103" i="14"/>
  <c r="B107" i="14"/>
  <c r="B111" i="14"/>
  <c r="B115" i="14"/>
  <c r="B25" i="16"/>
  <c r="B64" i="14"/>
  <c r="B3" i="15"/>
  <c r="B103" i="12"/>
  <c r="B95" i="12"/>
  <c r="B87" i="12"/>
  <c r="B79" i="12"/>
  <c r="B71" i="12"/>
  <c r="B63" i="12"/>
  <c r="B55" i="12"/>
  <c r="B47" i="12"/>
  <c r="B39" i="12"/>
  <c r="B31" i="12"/>
  <c r="B23" i="12"/>
  <c r="B69" i="14"/>
  <c r="B5" i="10"/>
  <c r="B4" i="12"/>
  <c r="B8" i="12"/>
  <c r="B12" i="12"/>
  <c r="B16" i="12"/>
  <c r="B102" i="12"/>
  <c r="B94" i="12"/>
  <c r="B86" i="12"/>
  <c r="B78" i="12"/>
  <c r="B70" i="12"/>
  <c r="B4" i="19"/>
  <c r="B67" i="14"/>
  <c r="B5" i="12"/>
  <c r="B9" i="12"/>
  <c r="B51" i="14"/>
  <c r="B53" i="14"/>
  <c r="B55" i="14"/>
  <c r="B57" i="14"/>
  <c r="B59" i="14"/>
  <c r="B61" i="14"/>
  <c r="B99" i="12"/>
  <c r="B91" i="12"/>
  <c r="B83" i="12"/>
  <c r="B75" i="12"/>
  <c r="B67" i="12"/>
  <c r="B59" i="12"/>
  <c r="B51" i="12"/>
  <c r="B43" i="12"/>
  <c r="B35" i="12"/>
  <c r="B27" i="12"/>
  <c r="B19" i="12"/>
  <c r="B68" i="14"/>
  <c r="B6" i="12"/>
  <c r="B10" i="12"/>
  <c r="B14" i="12"/>
  <c r="B18" i="12"/>
  <c r="B98" i="12"/>
  <c r="B90" i="12"/>
  <c r="B82" i="12"/>
  <c r="B74" i="12"/>
  <c r="B3" i="16"/>
  <c r="B6" i="19"/>
  <c r="B50" i="14"/>
  <c r="B66" i="14"/>
  <c r="B7" i="16"/>
  <c r="B3" i="14"/>
  <c r="B52" i="14"/>
  <c r="B54" i="14"/>
  <c r="B56" i="14"/>
  <c r="B58" i="14"/>
  <c r="B60" i="14"/>
  <c r="B62" i="14"/>
  <c r="B140" i="14"/>
  <c r="B136" i="14"/>
  <c r="B132" i="14"/>
  <c r="B128" i="14"/>
  <c r="B124" i="14"/>
  <c r="B120" i="14"/>
  <c r="B144" i="14"/>
  <c r="B167" i="14"/>
  <c r="B163" i="14"/>
  <c r="B159" i="14"/>
  <c r="B155" i="14"/>
  <c r="B151" i="14"/>
  <c r="B147" i="14"/>
  <c r="B205" i="14"/>
  <c r="B197" i="14"/>
  <c r="B216" i="14"/>
  <c r="B208" i="14"/>
  <c r="B49" i="14"/>
  <c r="B47" i="14"/>
  <c r="B45" i="14"/>
  <c r="B43" i="14"/>
  <c r="B41" i="14"/>
  <c r="B39" i="14"/>
  <c r="B37" i="14"/>
  <c r="B35" i="14"/>
  <c r="B33" i="14"/>
  <c r="B31" i="14"/>
  <c r="B29" i="14"/>
  <c r="B27" i="14"/>
  <c r="B96" i="14"/>
  <c r="B94" i="14"/>
  <c r="B92" i="14"/>
  <c r="B90" i="14"/>
  <c r="B88" i="14"/>
  <c r="B86" i="14"/>
  <c r="B84" i="14"/>
  <c r="B82" i="14"/>
  <c r="B80" i="14"/>
  <c r="B78" i="14"/>
  <c r="B76" i="14"/>
  <c r="B74" i="14"/>
  <c r="B72" i="14"/>
  <c r="B70" i="14"/>
  <c r="B15" i="16"/>
  <c r="B143" i="14"/>
  <c r="B139" i="14"/>
  <c r="B135" i="14"/>
  <c r="B131" i="14"/>
  <c r="B127" i="14"/>
  <c r="B123" i="14"/>
  <c r="B119" i="14"/>
  <c r="B166" i="14"/>
  <c r="B162" i="14"/>
  <c r="B158" i="14"/>
  <c r="B154" i="14"/>
  <c r="B150" i="14"/>
  <c r="B146" i="14"/>
  <c r="B170" i="14"/>
  <c r="B142" i="14"/>
  <c r="B138" i="14"/>
  <c r="B134" i="14"/>
  <c r="B130" i="14"/>
  <c r="B126" i="14"/>
  <c r="B122" i="14"/>
  <c r="B118" i="14"/>
  <c r="B169" i="14"/>
  <c r="B165" i="14"/>
  <c r="B161" i="14"/>
  <c r="B157" i="14"/>
  <c r="B153" i="14"/>
  <c r="B149" i="14"/>
  <c r="B145" i="14"/>
  <c r="B193" i="14"/>
  <c r="B196" i="14"/>
  <c r="B201" i="14"/>
  <c r="B220" i="14"/>
  <c r="B332" i="12"/>
  <c r="B6" i="16"/>
  <c r="B48" i="14"/>
  <c r="B46" i="14"/>
  <c r="B44" i="14"/>
  <c r="B42" i="14"/>
  <c r="B40" i="14"/>
  <c r="B38" i="14"/>
  <c r="B36" i="14"/>
  <c r="B34" i="14"/>
  <c r="B32" i="14"/>
  <c r="B28" i="14"/>
  <c r="B26" i="14"/>
  <c r="B95" i="14"/>
  <c r="B93" i="14"/>
  <c r="B91" i="14"/>
  <c r="B89" i="14"/>
  <c r="B87" i="14"/>
  <c r="B85" i="14"/>
  <c r="B83" i="14"/>
  <c r="B81" i="14"/>
  <c r="B79" i="14"/>
  <c r="B77" i="14"/>
  <c r="B75" i="14"/>
  <c r="B73" i="14"/>
  <c r="B71" i="14"/>
  <c r="B14" i="26"/>
  <c r="B21" i="16"/>
  <c r="B22" i="16"/>
  <c r="B141" i="14"/>
  <c r="B137" i="14"/>
  <c r="B133" i="14"/>
  <c r="B129" i="14"/>
  <c r="B125" i="14"/>
  <c r="B121" i="14"/>
  <c r="B117" i="14"/>
  <c r="B168" i="14"/>
  <c r="B164" i="14"/>
  <c r="B160" i="14"/>
  <c r="B156" i="14"/>
  <c r="B152" i="14"/>
  <c r="B148" i="14"/>
  <c r="B194" i="14"/>
  <c r="B192" i="14"/>
  <c r="B190" i="14"/>
  <c r="B188" i="14"/>
  <c r="B186" i="14"/>
  <c r="B184" i="14"/>
  <c r="B182" i="14"/>
  <c r="B180" i="14"/>
  <c r="B178" i="14"/>
  <c r="B176" i="14"/>
  <c r="B174" i="14"/>
  <c r="B172" i="14"/>
  <c r="B206" i="14"/>
  <c r="B3" i="27"/>
  <c r="B5" i="27"/>
  <c r="B7" i="27"/>
  <c r="B9" i="27"/>
  <c r="B11" i="27"/>
  <c r="B6" i="26"/>
  <c r="B11" i="26"/>
  <c r="B15" i="26"/>
  <c r="B19" i="26"/>
  <c r="B23" i="26"/>
  <c r="B27" i="26"/>
  <c r="B31" i="26"/>
  <c r="B35" i="26"/>
  <c r="B39" i="26"/>
  <c r="B204" i="14"/>
  <c r="B202" i="14"/>
  <c r="B200" i="14"/>
  <c r="B198" i="14"/>
  <c r="B223" i="14"/>
  <c r="B221" i="14"/>
  <c r="B219" i="14"/>
  <c r="B217" i="14"/>
  <c r="B215" i="14"/>
  <c r="B213" i="14"/>
  <c r="B211" i="14"/>
  <c r="B209" i="14"/>
  <c r="B207" i="14"/>
  <c r="B7" i="26"/>
  <c r="B12" i="26"/>
  <c r="B16" i="26"/>
  <c r="B20" i="26"/>
  <c r="B24" i="26"/>
  <c r="B28" i="26"/>
  <c r="B32" i="26"/>
  <c r="B36" i="26"/>
  <c r="B40" i="26"/>
  <c r="B191" i="14"/>
  <c r="B189" i="14"/>
  <c r="B187" i="14"/>
  <c r="B185" i="14"/>
  <c r="B183" i="14"/>
  <c r="B181" i="14"/>
  <c r="B179" i="14"/>
  <c r="B177" i="14"/>
  <c r="B175" i="14"/>
  <c r="B173" i="14"/>
  <c r="B43" i="26"/>
  <c r="B4" i="27"/>
  <c r="B6" i="27"/>
  <c r="B8" i="27"/>
  <c r="B10" i="27"/>
  <c r="B4" i="26"/>
  <c r="B8" i="26"/>
  <c r="B13" i="26"/>
  <c r="B17" i="26"/>
  <c r="B21" i="26"/>
  <c r="B25" i="26"/>
  <c r="B29" i="26"/>
  <c r="B33" i="26"/>
  <c r="B37" i="26"/>
  <c r="B41" i="26"/>
  <c r="B4" i="14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24" i="14"/>
  <c r="B10" i="26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20" i="16"/>
  <c r="B18" i="16"/>
  <c r="B17" i="16"/>
  <c r="B16" i="16"/>
  <c r="B19" i="16"/>
  <c r="B26" i="16"/>
  <c r="B24" i="16"/>
  <c r="B23" i="16"/>
  <c r="B27" i="16"/>
  <c r="B4" i="21"/>
  <c r="B5" i="21"/>
  <c r="B6" i="21"/>
  <c r="B7" i="21"/>
  <c r="B8" i="21"/>
  <c r="B9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1" i="16"/>
  <c r="B10" i="16"/>
  <c r="B9" i="16"/>
  <c r="B8" i="16"/>
  <c r="B10" i="15"/>
  <c r="B9" i="15"/>
  <c r="B8" i="15"/>
  <c r="B7" i="15"/>
  <c r="B6" i="15"/>
  <c r="B5" i="15"/>
  <c r="B4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21" i="15"/>
  <c r="B20" i="15"/>
  <c r="B19" i="15"/>
  <c r="B18" i="15"/>
  <c r="B17" i="15"/>
  <c r="B16" i="15"/>
  <c r="B15" i="15"/>
  <c r="B14" i="15"/>
  <c r="B13" i="15"/>
  <c r="B12" i="15"/>
  <c r="B11" i="15"/>
  <c r="B14" i="16"/>
  <c r="B10" i="11"/>
  <c r="B11" i="12"/>
  <c r="B6" i="10"/>
  <c r="B3" i="11"/>
  <c r="B3" i="10"/>
  <c r="B7" i="10"/>
  <c r="B4" i="10"/>
  <c r="B8" i="10"/>
  <c r="B6" i="11"/>
  <c r="B7" i="11"/>
  <c r="B4" i="11"/>
  <c r="B8" i="11"/>
  <c r="B5" i="11"/>
  <c r="U4" i="1" a="1"/>
  <c r="U4" i="1" s="1"/>
  <c r="U5" i="1" a="1"/>
  <c r="U5" i="1" s="1"/>
  <c r="U6" i="1" a="1"/>
  <c r="U6" i="1" s="1"/>
  <c r="U7" i="1" a="1"/>
  <c r="U7" i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/>
  <c r="U3" i="1" a="1"/>
  <c r="U3" i="1" s="1"/>
  <c r="B5" i="8" l="1"/>
  <c r="B9" i="8"/>
  <c r="B6" i="8"/>
  <c r="B10" i="8"/>
  <c r="B14" i="8"/>
  <c r="B11" i="8"/>
  <c r="B3" i="8"/>
  <c r="B7" i="8"/>
  <c r="B4" i="8"/>
  <c r="B8" i="8"/>
  <c r="B12" i="8"/>
  <c r="B18" i="8"/>
  <c r="B17" i="8"/>
  <c r="B16" i="8"/>
  <c r="B15" i="8"/>
  <c r="B13" i="8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" i="1"/>
  <c r="B5" i="1" l="1"/>
  <c r="B4" i="1"/>
  <c r="B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최윤규</author>
  </authors>
  <commentList>
    <comment ref="A19" authorId="0" shapeId="0" xr:uid="{CF9BF09B-CCE8-42E2-BECC-D74F56A2225A}">
      <text>
        <r>
          <rPr>
            <sz val="11"/>
            <color theme="1"/>
            <rFont val="맑은 고딕"/>
            <family val="2"/>
            <charset val="129"/>
            <scheme val="minor"/>
          </rPr>
          <t>용량 추가 필요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<sst xmlns="http://schemas.openxmlformats.org/spreadsheetml/2006/main" count="29637" uniqueCount="2300">
  <si>
    <t>system_code</t>
  </si>
  <si>
    <t>code_group</t>
  </si>
  <si>
    <t>code_key</t>
    <phoneticPr fontId="2" type="noConversion"/>
  </si>
  <si>
    <t>parent_key</t>
  </si>
  <si>
    <t>code_value</t>
  </si>
  <si>
    <t>code_value_en</t>
  </si>
  <si>
    <t>code_level</t>
  </si>
  <si>
    <t>is_leaf</t>
    <phoneticPr fontId="2" type="noConversion"/>
  </si>
  <si>
    <t>code_order</t>
  </si>
  <si>
    <t>iso15926_rdl</t>
  </si>
  <si>
    <t>description</t>
  </si>
  <si>
    <t>WAI_DESIGN_APP</t>
    <phoneticPr fontId="2" type="noConversion"/>
  </si>
  <si>
    <t>EQUIPMENT</t>
    <phoneticPr fontId="2" type="noConversion"/>
  </si>
  <si>
    <t>EQUIP</t>
    <phoneticPr fontId="2" type="noConversion"/>
  </si>
  <si>
    <t>기계</t>
    <phoneticPr fontId="2" type="noConversion"/>
  </si>
  <si>
    <t>Equipment</t>
    <phoneticPr fontId="2" type="noConversion"/>
  </si>
  <si>
    <t>ELECTRIC_VALVE</t>
    <phoneticPr fontId="2" type="noConversion"/>
  </si>
  <si>
    <t>M_VALV</t>
    <phoneticPr fontId="2" type="noConversion"/>
  </si>
  <si>
    <t>자동 밸브</t>
  </si>
  <si>
    <t>Automatic Valve</t>
  </si>
  <si>
    <t>M_VAV01</t>
  </si>
  <si>
    <t>M_VALV</t>
  </si>
  <si>
    <t>게이트 밸브(슬루스 밸브)</t>
  </si>
  <si>
    <t>Gate Valve</t>
  </si>
  <si>
    <t>M_VAV0101</t>
  </si>
  <si>
    <t>전동식(1상식) 게이트 밸브(슬루스 밸브)</t>
  </si>
  <si>
    <t>Motorized 1-Phase Gate Valve</t>
  </si>
  <si>
    <t>M_VAV0102</t>
  </si>
  <si>
    <t>전동식(2상식) 게이트 밸브(슬루스 밸브)</t>
  </si>
  <si>
    <t>Motorized 2-Phase Gate Valve</t>
  </si>
  <si>
    <t>M_VAV0103</t>
  </si>
  <si>
    <t>유압식 게이트 밸브(슬루스 밸브)</t>
  </si>
  <si>
    <t>Hydraulic Gate Valve</t>
  </si>
  <si>
    <t>M_VAV0104</t>
  </si>
  <si>
    <t>공압식 게이트 밸브(슬루스 밸브)</t>
  </si>
  <si>
    <t>Pneumatic Gate Valve</t>
  </si>
  <si>
    <t>M_VAV0105</t>
  </si>
  <si>
    <t>전동식 나이프 게이트 밸브</t>
  </si>
  <si>
    <t>Motorized Knife Gate Valve</t>
  </si>
  <si>
    <t>ELECTRIC_VALVE</t>
  </si>
  <si>
    <t>M_VAV02</t>
  </si>
  <si>
    <t>버터플라이밸브</t>
  </si>
  <si>
    <t>Butterfly Valve</t>
  </si>
  <si>
    <t>M_VAV0201</t>
  </si>
  <si>
    <t>전동식(1상식) 버터플라이 밸브</t>
  </si>
  <si>
    <t>Motorized 1-Phase Butterfly Valve</t>
  </si>
  <si>
    <t>M_VAV0202</t>
  </si>
  <si>
    <t>전동식(2상식) 버터플라이 밸브</t>
  </si>
  <si>
    <t>Motorized 2-Phase Butterfly Valve</t>
  </si>
  <si>
    <t>M_VAV0203</t>
  </si>
  <si>
    <t>유압식 버터플라이 밸브</t>
  </si>
  <si>
    <t>Hydraulic Butterfly Valve</t>
  </si>
  <si>
    <t>M_VAV0204</t>
    <phoneticPr fontId="2" type="noConversion"/>
  </si>
  <si>
    <t>공압식 버터플라이 밸브</t>
  </si>
  <si>
    <t>Pneumatic Butterfly Valve</t>
  </si>
  <si>
    <t>M_VAV0205</t>
  </si>
  <si>
    <t>공압식 버터플라이 컨트롤밸브</t>
  </si>
  <si>
    <t>Pneumatic Butterfly Control Valve</t>
  </si>
  <si>
    <t>M_VAV03</t>
  </si>
  <si>
    <t>체크밸브</t>
  </si>
  <si>
    <t>Check Valve</t>
  </si>
  <si>
    <t>M_VAV0301</t>
  </si>
  <si>
    <t>전동식(1상식) 체크 밸브</t>
  </si>
  <si>
    <t>Motorized 1-Phase Check Valve</t>
  </si>
  <si>
    <t>M_VAV0302</t>
  </si>
  <si>
    <t>전동식(2상식) 체크 밸브</t>
  </si>
  <si>
    <t>Motorized 2-Phase Check Valve</t>
  </si>
  <si>
    <t>M_VAV0303</t>
  </si>
  <si>
    <t>유압식 체크 밸브</t>
  </si>
  <si>
    <t>Hydraulic Check Valve</t>
  </si>
  <si>
    <t>M_VAV0304</t>
  </si>
  <si>
    <t>공압식 체크 밸브</t>
  </si>
  <si>
    <t>Pneumatic Check Valve</t>
  </si>
  <si>
    <t>M_VAV04</t>
  </si>
  <si>
    <t>볼밸브</t>
  </si>
  <si>
    <t>Ball Valve</t>
  </si>
  <si>
    <t>M_VAV0401</t>
  </si>
  <si>
    <t>전동식(1상식) 볼 밸브</t>
  </si>
  <si>
    <t>Motorized 1-Phase Ball Valve</t>
  </si>
  <si>
    <t>M_VAV0402</t>
  </si>
  <si>
    <t>전동식(2상식) 볼 밸브</t>
  </si>
  <si>
    <t>Motorized 2-Phase Ball Valve</t>
  </si>
  <si>
    <t>M_VAV0403</t>
  </si>
  <si>
    <t>유압식 볼 밸브</t>
  </si>
  <si>
    <t xml:space="preserve">Hydraulic Ball Valve </t>
  </si>
  <si>
    <t>M_VAV0404</t>
  </si>
  <si>
    <t>공압식 볼 밸브</t>
  </si>
  <si>
    <t>Pneumatic Ball Valve</t>
  </si>
  <si>
    <t>M_VAV05</t>
  </si>
  <si>
    <t>다이아프램밸브</t>
    <phoneticPr fontId="2" type="noConversion"/>
  </si>
  <si>
    <t>Diaphragm Valve</t>
  </si>
  <si>
    <t>M_VAV0501</t>
  </si>
  <si>
    <t>전동식(1상식) 다이아프램밸브 밸브</t>
  </si>
  <si>
    <t>Motorized 1-Phase Diaphragm Valve</t>
  </si>
  <si>
    <t>M_VAV0502</t>
  </si>
  <si>
    <t>전동식(2상식) 다이아프램밸브 밸브</t>
  </si>
  <si>
    <t>Motorized 2-Phase Diaphragm Valve</t>
  </si>
  <si>
    <t>M_VAV0503</t>
  </si>
  <si>
    <t>유압식 다이아프램밸브 밸브</t>
  </si>
  <si>
    <t xml:space="preserve">Hydraulic Diaphragm Valve </t>
  </si>
  <si>
    <t>M_VAV0504</t>
  </si>
  <si>
    <t>공압식 다이아프램밸브 밸브</t>
  </si>
  <si>
    <t>Pneumatic Diaphragm Valve</t>
  </si>
  <si>
    <t>M_VAV06</t>
  </si>
  <si>
    <t>글로우버밸브</t>
  </si>
  <si>
    <t>Globe Valve</t>
  </si>
  <si>
    <t>M_VAV0601</t>
  </si>
  <si>
    <t>전동식(1상식) 글로우버 밸브</t>
  </si>
  <si>
    <t>Motorized 1-Phase Globe Valve</t>
  </si>
  <si>
    <t>M_VAV0602</t>
  </si>
  <si>
    <t>전동식(2상식) 글로우버 밸브</t>
  </si>
  <si>
    <t>Motorized 2-Phase Globe Valve</t>
  </si>
  <si>
    <t>M_VAV0603</t>
  </si>
  <si>
    <t>유압식 글로우버 밸브</t>
  </si>
  <si>
    <t>Hydraulic Globe Valve</t>
  </si>
  <si>
    <t>M_VAV0604</t>
  </si>
  <si>
    <t>공압식 글로우버 밸브</t>
  </si>
  <si>
    <t>Pneumatic Globe Valve</t>
  </si>
  <si>
    <t>M_VAV07</t>
  </si>
  <si>
    <t>자동제어밸브</t>
  </si>
  <si>
    <t>Control Valve</t>
    <phoneticPr fontId="2" type="noConversion"/>
  </si>
  <si>
    <t>M_VAV0701</t>
  </si>
  <si>
    <t>감압밸브</t>
  </si>
  <si>
    <t>Pressure Reducing Valve</t>
  </si>
  <si>
    <t>M_VAV0702</t>
  </si>
  <si>
    <t>차압밸브</t>
  </si>
  <si>
    <t>Differential Pressure Valve</t>
  </si>
  <si>
    <t>M_VAV0703</t>
  </si>
  <si>
    <t>밸런싱밸브</t>
  </si>
  <si>
    <t>Balancing Valve</t>
  </si>
  <si>
    <t>M_VAV0704</t>
  </si>
  <si>
    <t>수위조절밸브</t>
  </si>
  <si>
    <t>Level Control Valve</t>
  </si>
  <si>
    <t>M_VAV0705</t>
  </si>
  <si>
    <t>온도조절밸브</t>
  </si>
  <si>
    <t>Temperature Control Valve</t>
  </si>
  <si>
    <t>M_VAV0706</t>
  </si>
  <si>
    <t>차압유량조절밸브</t>
  </si>
  <si>
    <t>Differential Pressure Flow Control Valve</t>
  </si>
  <si>
    <t>M_VAV99</t>
  </si>
  <si>
    <t>기타 밸브</t>
    <phoneticPr fontId="2" type="noConversion"/>
  </si>
  <si>
    <t>Other Types of Valves</t>
  </si>
  <si>
    <t>PUMPS</t>
    <phoneticPr fontId="2" type="noConversion"/>
  </si>
  <si>
    <t>M_PUMP</t>
    <phoneticPr fontId="2" type="noConversion"/>
  </si>
  <si>
    <t>펌프</t>
    <phoneticPr fontId="2" type="noConversion"/>
  </si>
  <si>
    <t>Pump</t>
    <phoneticPr fontId="2" type="noConversion"/>
  </si>
  <si>
    <t>RDS16765614</t>
    <phoneticPr fontId="2" type="noConversion"/>
  </si>
  <si>
    <t>M_PMP01</t>
    <phoneticPr fontId="2" type="noConversion"/>
  </si>
  <si>
    <t>M_PUMP</t>
  </si>
  <si>
    <t>활성 슬러지 펌프</t>
    <phoneticPr fontId="2" type="noConversion"/>
  </si>
  <si>
    <t>Activated Sludge Pump</t>
  </si>
  <si>
    <t>RDS416834</t>
    <phoneticPr fontId="2" type="noConversion"/>
  </si>
  <si>
    <t>M_PMP02</t>
  </si>
  <si>
    <t>원심펌프</t>
  </si>
  <si>
    <t>Centrifugal Pump</t>
  </si>
  <si>
    <t>RDS16765074</t>
    <phoneticPr fontId="2" type="noConversion"/>
  </si>
  <si>
    <t>M_PMP0201</t>
  </si>
  <si>
    <t>축류펌프</t>
  </si>
  <si>
    <t>Axial Flow Pump</t>
  </si>
  <si>
    <t>RDS12957286</t>
    <phoneticPr fontId="2" type="noConversion"/>
  </si>
  <si>
    <t>M_PMP0202</t>
  </si>
  <si>
    <t>원심하수펌프</t>
    <phoneticPr fontId="2" type="noConversion"/>
  </si>
  <si>
    <t>Centrifugal Sewage PUMP</t>
  </si>
  <si>
    <t>RDS12957061</t>
  </si>
  <si>
    <t>M_PMP0203</t>
  </si>
  <si>
    <t>반경류형펌프</t>
  </si>
  <si>
    <t>Radial Flow Pump</t>
  </si>
  <si>
    <t>RDS402783451</t>
  </si>
  <si>
    <t>M_PMP020301</t>
  </si>
  <si>
    <t>볼류터펌프</t>
  </si>
  <si>
    <t>Volute Pump</t>
  </si>
  <si>
    <t>M_PMP0204</t>
  </si>
  <si>
    <t>육상원심펌프</t>
    <phoneticPr fontId="2" type="noConversion"/>
  </si>
  <si>
    <t>Horizontal Centrifugal Pump</t>
  </si>
  <si>
    <t>M_PMP0205</t>
  </si>
  <si>
    <t>인라인펌프</t>
  </si>
  <si>
    <t>In-line Pump</t>
  </si>
  <si>
    <t>온수 공급용</t>
  </si>
  <si>
    <t>M_PMP03</t>
  </si>
  <si>
    <t>수중모터펌프</t>
    <phoneticPr fontId="2" type="noConversion"/>
  </si>
  <si>
    <t>Submersible Motor Pump</t>
  </si>
  <si>
    <t>M_PMP0301</t>
  </si>
  <si>
    <t>수중오수모터펌프</t>
  </si>
  <si>
    <t>RDS16766379</t>
  </si>
  <si>
    <t>M_PMP0302</t>
    <phoneticPr fontId="2" type="noConversion"/>
  </si>
  <si>
    <t>M_PMP03</t>
    <phoneticPr fontId="2" type="noConversion"/>
  </si>
  <si>
    <t>수중오수모터펌프(자동탈착식)</t>
    <phoneticPr fontId="2" type="noConversion"/>
  </si>
  <si>
    <t>Submersible Motor Pump(Automatic Coupling)</t>
  </si>
  <si>
    <t>M_PMP0303</t>
    <phoneticPr fontId="2" type="noConversion"/>
  </si>
  <si>
    <t>수중오수모터펌프(VVVF)</t>
    <phoneticPr fontId="2" type="noConversion"/>
  </si>
  <si>
    <t>Submersible Motor Pump(VVVF)</t>
  </si>
  <si>
    <t>M_PMP04</t>
  </si>
  <si>
    <t>약품펌프</t>
    <phoneticPr fontId="2" type="noConversion"/>
  </si>
  <si>
    <t>Chemical Injection Pump</t>
  </si>
  <si>
    <t>RDS305684</t>
  </si>
  <si>
    <t>M_PMP05</t>
  </si>
  <si>
    <t>양수펌프</t>
    <phoneticPr fontId="2" type="noConversion"/>
  </si>
  <si>
    <t>Lift Pump</t>
  </si>
  <si>
    <t>RDS409804301</t>
  </si>
  <si>
    <t>M_PMP06</t>
  </si>
  <si>
    <t>무폐쇄형 펌프</t>
    <phoneticPr fontId="2" type="noConversion"/>
  </si>
  <si>
    <t>Non-Clog Pump</t>
  </si>
  <si>
    <t>M_PMP0601</t>
  </si>
  <si>
    <t>스프르트펌프</t>
  </si>
  <si>
    <t>Spurt Pump</t>
  </si>
  <si>
    <t>RDS416924</t>
  </si>
  <si>
    <t>WAI_DESIGN_APP</t>
    <phoneticPr fontId="1" type="noConversion"/>
  </si>
  <si>
    <t>PUMPS</t>
    <phoneticPr fontId="1" type="noConversion"/>
  </si>
  <si>
    <t>M_PMP0602</t>
  </si>
  <si>
    <t>스프르트펌프(VVVF)</t>
  </si>
  <si>
    <t>Spurt Pump(VVVF)</t>
  </si>
  <si>
    <t>M_PMP07</t>
  </si>
  <si>
    <t>용적형 펌프</t>
    <phoneticPr fontId="2" type="noConversion"/>
  </si>
  <si>
    <t>Positive Displacement Pump</t>
  </si>
  <si>
    <t>RDS416969</t>
  </si>
  <si>
    <t>M_PMP0701</t>
  </si>
  <si>
    <t>왕복동펌프</t>
    <phoneticPr fontId="2" type="noConversion"/>
  </si>
  <si>
    <t>Reciprocating Pump</t>
  </si>
  <si>
    <t>RDS400026131</t>
  </si>
  <si>
    <t>M_PMP070101</t>
  </si>
  <si>
    <t>다이아프램펌프</t>
  </si>
  <si>
    <t>Diaphragm Pump</t>
  </si>
  <si>
    <t>RDS420749</t>
  </si>
  <si>
    <t>M_PMP08</t>
  </si>
  <si>
    <t>회전펌프</t>
    <phoneticPr fontId="2" type="noConversion"/>
  </si>
  <si>
    <t>Rotary Pump</t>
  </si>
  <si>
    <t>RDS433979</t>
  </si>
  <si>
    <t>M_PMP0801</t>
  </si>
  <si>
    <t>기어펌프</t>
    <phoneticPr fontId="2" type="noConversion"/>
  </si>
  <si>
    <t>Gear Pump</t>
  </si>
  <si>
    <t>RDS6231100</t>
  </si>
  <si>
    <t>M_PMP0802</t>
  </si>
  <si>
    <t>마그네틱 로터리 펌프</t>
    <phoneticPr fontId="2" type="noConversion"/>
  </si>
  <si>
    <t>Magnetic Drive Rotary Pump</t>
  </si>
  <si>
    <t>RDS432809</t>
  </si>
  <si>
    <t>M_PMP0803</t>
  </si>
  <si>
    <t>스크류펌프</t>
    <phoneticPr fontId="2" type="noConversion"/>
  </si>
  <si>
    <t>Screw Pump</t>
  </si>
  <si>
    <t>RDS814049</t>
  </si>
  <si>
    <t>M_PMP080301</t>
  </si>
  <si>
    <t>일축스크류(모노)펌프</t>
  </si>
  <si>
    <t>Eccentric Helical Rotor Pump</t>
  </si>
  <si>
    <t>M_PMP080302</t>
  </si>
  <si>
    <t>일축스크류(모노)펌프(VVVF)</t>
  </si>
  <si>
    <t>Eccentric Helical Rotor Pump(VVVF)</t>
  </si>
  <si>
    <t>M_PMP09</t>
  </si>
  <si>
    <t>부스터펌프(VVVF)</t>
    <phoneticPr fontId="2" type="noConversion"/>
  </si>
  <si>
    <t>Pipeline Booster Pump(VVVF)</t>
  </si>
  <si>
    <t>M_PMP10</t>
  </si>
  <si>
    <t>전동기 직렬펌프</t>
    <phoneticPr fontId="2" type="noConversion"/>
  </si>
  <si>
    <t>Electric Motor Series Pump</t>
    <phoneticPr fontId="2" type="noConversion"/>
  </si>
  <si>
    <t>RDS12957691</t>
  </si>
  <si>
    <t>M_PMP11</t>
  </si>
  <si>
    <t>오수용펌프</t>
    <phoneticPr fontId="2" type="noConversion"/>
  </si>
  <si>
    <t>Sewage Pump</t>
  </si>
  <si>
    <t>RDS16765569</t>
  </si>
  <si>
    <t>M_PMP12</t>
  </si>
  <si>
    <t>슬러지펌프</t>
    <phoneticPr fontId="2" type="noConversion"/>
  </si>
  <si>
    <t>Sludge Pump</t>
  </si>
  <si>
    <t>RDS426409661</t>
  </si>
  <si>
    <t>M_PMP13</t>
  </si>
  <si>
    <t>배수펌프</t>
  </si>
  <si>
    <t>Sump Pump</t>
  </si>
  <si>
    <t>RDS417104</t>
  </si>
  <si>
    <t>M_PMP14</t>
  </si>
  <si>
    <t>진공펌프</t>
    <phoneticPr fontId="2" type="noConversion"/>
  </si>
  <si>
    <t>Vacuum Pump</t>
  </si>
  <si>
    <t>RDS437129</t>
  </si>
  <si>
    <t>M_PMP1401</t>
  </si>
  <si>
    <t>이젝터</t>
    <phoneticPr fontId="2" type="noConversion"/>
  </si>
  <si>
    <t>Ejector</t>
  </si>
  <si>
    <t>RDS5770157</t>
  </si>
  <si>
    <t>M_PMP140101</t>
    <phoneticPr fontId="2" type="noConversion"/>
  </si>
  <si>
    <t>에어이젝터</t>
    <phoneticPr fontId="2" type="noConversion"/>
  </si>
  <si>
    <t>Air Ejector</t>
  </si>
  <si>
    <t>M_PMP1402</t>
  </si>
  <si>
    <t>수봉식 진공펌프</t>
  </si>
  <si>
    <t>Liquid Ring Vacuum Pump</t>
  </si>
  <si>
    <t>M_PMP99</t>
  </si>
  <si>
    <t>기타 펌프</t>
    <phoneticPr fontId="2" type="noConversion"/>
  </si>
  <si>
    <t>Other Types of Pumps</t>
    <phoneticPr fontId="2" type="noConversion"/>
  </si>
  <si>
    <t>CSNGRU</t>
    <phoneticPr fontId="2" type="noConversion"/>
  </si>
  <si>
    <t>M_CSGR</t>
  </si>
  <si>
    <t>협잡물종합처리기</t>
    <phoneticPr fontId="2" type="noConversion"/>
  </si>
  <si>
    <t>Combined Screenings and Grit Removal Unit</t>
    <phoneticPr fontId="2" type="noConversion"/>
  </si>
  <si>
    <t>M_CSG01</t>
  </si>
  <si>
    <t>침사 및 협잡물 제거설비</t>
    <phoneticPr fontId="2" type="noConversion"/>
  </si>
  <si>
    <t>Screenings and Grit Removal Unit</t>
    <phoneticPr fontId="2" type="noConversion"/>
  </si>
  <si>
    <t>M_CSG99</t>
  </si>
  <si>
    <t>기타  협잡물종합처리기</t>
    <phoneticPr fontId="2" type="noConversion"/>
  </si>
  <si>
    <t>Other Types of SGRU</t>
    <phoneticPr fontId="2" type="noConversion"/>
  </si>
  <si>
    <t>A_BLOWER</t>
    <phoneticPr fontId="2" type="noConversion"/>
  </si>
  <si>
    <t>M_AEBL</t>
    <phoneticPr fontId="2" type="noConversion"/>
  </si>
  <si>
    <t>송풍기</t>
    <phoneticPr fontId="2" type="noConversion"/>
  </si>
  <si>
    <t>Aeration Blower</t>
    <phoneticPr fontId="2" type="noConversion"/>
  </si>
  <si>
    <t>M_AEB01</t>
  </si>
  <si>
    <t>M_AEBL</t>
  </si>
  <si>
    <t>터보 블로워</t>
    <phoneticPr fontId="2" type="noConversion"/>
  </si>
  <si>
    <t>Turbo Blower</t>
    <phoneticPr fontId="2" type="noConversion"/>
  </si>
  <si>
    <t>M_AEB0101</t>
  </si>
  <si>
    <t>터보 블로워(VVVF)</t>
    <phoneticPr fontId="2" type="noConversion"/>
  </si>
  <si>
    <t>Turbo Blower(VVVF)</t>
  </si>
  <si>
    <t>A_BLOWER</t>
  </si>
  <si>
    <t>M_AEB0102</t>
  </si>
  <si>
    <t>단단 터보 블로워</t>
    <phoneticPr fontId="2" type="noConversion"/>
  </si>
  <si>
    <t>Single-Stage Turbo Blower</t>
  </si>
  <si>
    <t>M_AEB0103</t>
  </si>
  <si>
    <t>다단 터보 블로워</t>
    <phoneticPr fontId="2" type="noConversion"/>
  </si>
  <si>
    <t>Multi-Stage Turbo Blower</t>
  </si>
  <si>
    <t>M_AEB02</t>
  </si>
  <si>
    <t>다익 블로워</t>
    <phoneticPr fontId="2" type="noConversion"/>
  </si>
  <si>
    <t>Diaphragm Blower</t>
  </si>
  <si>
    <t>M_AEB03</t>
  </si>
  <si>
    <t>축류 블로워</t>
    <phoneticPr fontId="2" type="noConversion"/>
  </si>
  <si>
    <t>Axial Flow Blower</t>
  </si>
  <si>
    <t>M_AEB04</t>
  </si>
  <si>
    <t>로터리 블로워</t>
    <phoneticPr fontId="2" type="noConversion"/>
  </si>
  <si>
    <t>Rotary Blower</t>
  </si>
  <si>
    <t>M_AEB0401</t>
  </si>
  <si>
    <t>루츠 블로워</t>
    <phoneticPr fontId="2" type="noConversion"/>
  </si>
  <si>
    <t>Roots Blower</t>
  </si>
  <si>
    <t>M_AEB0402</t>
    <phoneticPr fontId="2" type="noConversion"/>
  </si>
  <si>
    <t>루츠 블로워(VVVF)</t>
    <phoneticPr fontId="2" type="noConversion"/>
  </si>
  <si>
    <t>Roots Blower(VVVF)</t>
  </si>
  <si>
    <t>M_AEB05</t>
  </si>
  <si>
    <t>소형휀, 환풍기</t>
  </si>
  <si>
    <t>Ventilation Fan/Exhaust Fan</t>
  </si>
  <si>
    <t>M_AEB06</t>
  </si>
  <si>
    <t>링 블로워</t>
  </si>
  <si>
    <t>Ring Blower</t>
  </si>
  <si>
    <t>M_AEB99</t>
  </si>
  <si>
    <t>기타 송풍기</t>
    <phoneticPr fontId="2" type="noConversion"/>
  </si>
  <si>
    <t>Other Types of Air Blowers</t>
    <phoneticPr fontId="2" type="noConversion"/>
  </si>
  <si>
    <t>AGITATOR</t>
    <phoneticPr fontId="2" type="noConversion"/>
  </si>
  <si>
    <t>M_AGTR</t>
  </si>
  <si>
    <t>교반기</t>
    <phoneticPr fontId="2" type="noConversion"/>
  </si>
  <si>
    <t>Agitator</t>
    <phoneticPr fontId="2" type="noConversion"/>
  </si>
  <si>
    <t>AGITATOR</t>
  </si>
  <si>
    <t>M_AGT01</t>
  </si>
  <si>
    <t>플래시믹서</t>
  </si>
  <si>
    <t>Flash Mixer</t>
  </si>
  <si>
    <t>M_AGT02</t>
  </si>
  <si>
    <t>펌프확산방식 교반기</t>
  </si>
  <si>
    <t>Pump Circulation Mixer</t>
  </si>
  <si>
    <t>M_AGT03</t>
  </si>
  <si>
    <t>고정오리피스식</t>
  </si>
  <si>
    <t>Fixed Orifice Type</t>
  </si>
  <si>
    <t>M_AGT04</t>
  </si>
  <si>
    <t>인라인블렌더식</t>
  </si>
  <si>
    <t>Inline Blender Type</t>
  </si>
  <si>
    <t>M_AGT05</t>
  </si>
  <si>
    <t>터빈형</t>
  </si>
  <si>
    <t>Turbine Type Mixer</t>
  </si>
  <si>
    <t>M_AGT06</t>
  </si>
  <si>
    <t>프로펠러형</t>
  </si>
  <si>
    <t>Propeller Type Mixer</t>
  </si>
  <si>
    <t>M_AGT0601</t>
  </si>
  <si>
    <t>수중횡축 프로펠러형</t>
  </si>
  <si>
    <t>Submersible Horizontal Propeller Mixer</t>
  </si>
  <si>
    <t>M_AGT0602</t>
  </si>
  <si>
    <t>수중횡축 프로펠러형 (인양장치, 모니터링유니트 포함)</t>
  </si>
  <si>
    <t>Submersible Horizontal Propeller Mixer (with Lifting Device &amp; Monitoring Unit)</t>
  </si>
  <si>
    <t>M_AGT0603</t>
  </si>
  <si>
    <t>혐기성소화조 수중교반기</t>
  </si>
  <si>
    <t>Anaerobic Digester Submersible Mixer</t>
  </si>
  <si>
    <t>M_AGT07</t>
  </si>
  <si>
    <t>하이드로포일</t>
  </si>
  <si>
    <t>Hydrofoil Agitator</t>
  </si>
  <si>
    <t>M_AGT0701</t>
  </si>
  <si>
    <t>수직 입축 하이드로포일형</t>
  </si>
  <si>
    <t>Vertical Shaft Hydrofoil Agitator</t>
  </si>
  <si>
    <t>M_AGT0702</t>
  </si>
  <si>
    <t>수직 입축 하이드로포일형 (AMX)</t>
  </si>
  <si>
    <t>Vertical Shaft Hydrofoil Agitator (AMX)</t>
  </si>
  <si>
    <t>M_AGT08</t>
  </si>
  <si>
    <t>피치드블레이드</t>
  </si>
  <si>
    <t>Pitched Blade Agitator</t>
  </si>
  <si>
    <t>M_AGT09</t>
  </si>
  <si>
    <t>급속혼화 압축 교반기</t>
  </si>
  <si>
    <t>High-Speed Rapid Mixing Agitator</t>
  </si>
  <si>
    <t>M_AGT99</t>
  </si>
  <si>
    <t>기타 교반기</t>
    <phoneticPr fontId="2" type="noConversion"/>
  </si>
  <si>
    <t>Other Types of Agitator</t>
    <phoneticPr fontId="2" type="noConversion"/>
  </si>
  <si>
    <t>AQUARATOR</t>
    <phoneticPr fontId="2" type="noConversion"/>
  </si>
  <si>
    <t>M_AQRT</t>
  </si>
  <si>
    <t>수중포기기</t>
    <phoneticPr fontId="2" type="noConversion"/>
  </si>
  <si>
    <t>Aerator</t>
    <phoneticPr fontId="2" type="noConversion"/>
  </si>
  <si>
    <t>M_AQR01</t>
  </si>
  <si>
    <t>산기식</t>
  </si>
  <si>
    <t>Diffusion Aerator</t>
  </si>
  <si>
    <t>M_AQR02</t>
  </si>
  <si>
    <t>간헐식</t>
  </si>
  <si>
    <t>Intermittent Aerator</t>
  </si>
  <si>
    <t>M_AQR03</t>
  </si>
  <si>
    <t>노즐식</t>
  </si>
  <si>
    <t>Nozzle Aerator</t>
  </si>
  <si>
    <t>M_AQR04</t>
  </si>
  <si>
    <t>대류식</t>
  </si>
  <si>
    <t>Convection Aerator</t>
  </si>
  <si>
    <t>M_AQR05</t>
  </si>
  <si>
    <t>수중포기기(인양장치 제외)</t>
  </si>
  <si>
    <t>Submersible Aerator(Excluding Lifting Device)</t>
  </si>
  <si>
    <t>M_AQR99</t>
  </si>
  <si>
    <t>기타 수중포기기</t>
    <phoneticPr fontId="2" type="noConversion"/>
  </si>
  <si>
    <t>Other Types of Aerator</t>
  </si>
  <si>
    <t>F_DECANT</t>
    <phoneticPr fontId="2" type="noConversion"/>
  </si>
  <si>
    <t>M_FDCT</t>
  </si>
  <si>
    <t>상등수 배출장치</t>
    <phoneticPr fontId="2" type="noConversion"/>
  </si>
  <si>
    <t>Floating Decanter</t>
    <phoneticPr fontId="2" type="noConversion"/>
  </si>
  <si>
    <t>M_FDC01</t>
  </si>
  <si>
    <t>무동력 부력식</t>
  </si>
  <si>
    <t>Non-Powered Floating Decanter</t>
  </si>
  <si>
    <t>M_FDC02</t>
  </si>
  <si>
    <t>회전식 디켄터</t>
  </si>
  <si>
    <t>Rotary Decanter</t>
  </si>
  <si>
    <t>M_FDC03</t>
  </si>
  <si>
    <t>자연부상식 디켄터</t>
  </si>
  <si>
    <t>M_FDC99</t>
  </si>
  <si>
    <t>기타 상등수 배출장치</t>
    <phoneticPr fontId="2" type="noConversion"/>
  </si>
  <si>
    <t>Other Types of Floating Decanters</t>
    <phoneticPr fontId="2" type="noConversion"/>
  </si>
  <si>
    <t>DAFLOAT</t>
    <phoneticPr fontId="2" type="noConversion"/>
  </si>
  <si>
    <t>M_DAFT</t>
  </si>
  <si>
    <t>부상분리장치</t>
    <phoneticPr fontId="2" type="noConversion"/>
  </si>
  <si>
    <t>Dissolved Air Flotation</t>
  </si>
  <si>
    <t>M_DAF01</t>
  </si>
  <si>
    <t>부상분리장치(Conv.)</t>
    <phoneticPr fontId="2" type="noConversion"/>
  </si>
  <si>
    <t>Dissolved Air Flotation(Conv.)</t>
  </si>
  <si>
    <t>WAI_DESIGN_APP</t>
  </si>
  <si>
    <t>DAFLOAT</t>
  </si>
  <si>
    <t>M_DAF02</t>
  </si>
  <si>
    <t>선회와류 부상분리장치</t>
  </si>
  <si>
    <t>Vortex Dissolved Air Flotation</t>
  </si>
  <si>
    <t>M_DAF0201</t>
  </si>
  <si>
    <t>선회와류 부상분리장치 일반</t>
  </si>
  <si>
    <t>Vortex Dissolved Air Flotation (General)</t>
  </si>
  <si>
    <t>M_DAF0202</t>
  </si>
  <si>
    <t>선회와류 부상분리장치 고농도</t>
  </si>
  <si>
    <t>Vortex Dissolved Air Flotation (High-Conc.)</t>
  </si>
  <si>
    <t>M_DAF020201</t>
  </si>
  <si>
    <t>선회와류 부상분리장치 고농도 (7~15㎥/d)</t>
  </si>
  <si>
    <t>Vortex Dissolved Air Flotation (High-Conc., 7~15㎥/d)</t>
  </si>
  <si>
    <t>M_DAF020202</t>
  </si>
  <si>
    <t>선회와류 부상분리장치 고농도 (20~75㎥/d)</t>
  </si>
  <si>
    <t>Vortex Dissolved Air Flotation (High-Conc., 20~75㎥/d)</t>
  </si>
  <si>
    <t>M_DAF020203</t>
  </si>
  <si>
    <t>선회와류 부상분리장치 고농도 (100~150㎥/d)</t>
  </si>
  <si>
    <t>Vortex Dissolved Air Flotation (High-Conc., 100~150㎥/d)</t>
  </si>
  <si>
    <t>M_DAF0203</t>
  </si>
  <si>
    <t>선회와류 부상분리장치 총인</t>
  </si>
  <si>
    <t>Vortex Dissolved Air Flotation (TP)</t>
  </si>
  <si>
    <t>M_DAF99</t>
  </si>
  <si>
    <t>기타 부상분리장치</t>
    <phoneticPr fontId="2" type="noConversion"/>
  </si>
  <si>
    <t>Other Types of Dissolved Air Flotation</t>
  </si>
  <si>
    <t>TOWER</t>
    <phoneticPr fontId="2" type="noConversion"/>
  </si>
  <si>
    <t>M_TOWR</t>
  </si>
  <si>
    <t>타워</t>
    <phoneticPr fontId="2" type="noConversion"/>
  </si>
  <si>
    <t>Tower</t>
  </si>
  <si>
    <t>M_TWR01</t>
  </si>
  <si>
    <t>입체 타워 고정형</t>
  </si>
  <si>
    <t>입체 타워 고정형</t>
    <phoneticPr fontId="2" type="noConversion"/>
  </si>
  <si>
    <t>TOWER</t>
  </si>
  <si>
    <t>M_TWR99</t>
  </si>
  <si>
    <t>기타 타워</t>
    <phoneticPr fontId="2" type="noConversion"/>
  </si>
  <si>
    <t>Other Types of Towers</t>
    <phoneticPr fontId="2" type="noConversion"/>
  </si>
  <si>
    <t>C_PANEL</t>
    <phoneticPr fontId="2" type="noConversion"/>
  </si>
  <si>
    <t>M_CTRP</t>
  </si>
  <si>
    <t>제어반</t>
    <phoneticPr fontId="2" type="noConversion"/>
  </si>
  <si>
    <t>Control Panel</t>
    <phoneticPr fontId="2" type="noConversion"/>
  </si>
  <si>
    <t>M_CTR01</t>
  </si>
  <si>
    <t>종합제어반(계측기 포함/전기공사비 별도)</t>
  </si>
  <si>
    <t>Integrated Control Panel(Including Instruments / Electrical Work Excluded)</t>
  </si>
  <si>
    <t>M_CTR0101</t>
  </si>
  <si>
    <t>SBR 가축분뇨 제어반</t>
  </si>
  <si>
    <t>SBR Livestock Manure Control Panel</t>
  </si>
  <si>
    <t>M_CTR0102</t>
  </si>
  <si>
    <t>SBR 하수 제어반</t>
  </si>
  <si>
    <t>SBR Sewage Control Panel</t>
  </si>
  <si>
    <t>M_CTR0103</t>
  </si>
  <si>
    <t>AMX 제어반</t>
  </si>
  <si>
    <t>AMX Control Panel</t>
  </si>
  <si>
    <t>M_CTR0104</t>
  </si>
  <si>
    <t>AAD 제어반</t>
  </si>
  <si>
    <t>AAD Control Panel</t>
  </si>
  <si>
    <t>M_CTR02</t>
  </si>
  <si>
    <t>종합제어반(계측기 미포함/전기공사비 별도)</t>
  </si>
  <si>
    <t>Integrated Control Panel(Excluding Instruments / Electrical Work Excluded)</t>
  </si>
  <si>
    <t>M_CTR0201</t>
  </si>
  <si>
    <t>BBF 하수 제어반</t>
    <phoneticPr fontId="2" type="noConversion"/>
  </si>
  <si>
    <t>BBF Sewage Control Panel</t>
  </si>
  <si>
    <t>M_CTR03</t>
  </si>
  <si>
    <t>옥내자립형(생물반응조 계측기 포함)</t>
    <phoneticPr fontId="2" type="noConversion"/>
  </si>
  <si>
    <t>Indoor Free-Standing Control Panel(Including Bioreactor Instruments)</t>
  </si>
  <si>
    <t>M_CTR99</t>
  </si>
  <si>
    <t>기타 제어반</t>
    <phoneticPr fontId="2" type="noConversion"/>
  </si>
  <si>
    <t>Other Types of Control Panels</t>
  </si>
  <si>
    <t>TANKS</t>
    <phoneticPr fontId="2" type="noConversion"/>
  </si>
  <si>
    <t>M_TANK</t>
  </si>
  <si>
    <t>탱크</t>
    <phoneticPr fontId="2" type="noConversion"/>
  </si>
  <si>
    <t>Tank</t>
    <phoneticPr fontId="2" type="noConversion"/>
  </si>
  <si>
    <t>M_TNK01</t>
  </si>
  <si>
    <t>PE 탱크</t>
  </si>
  <si>
    <t>PE Tank</t>
  </si>
  <si>
    <t>M_TNK0101</t>
  </si>
  <si>
    <t>PE 원형 탱크</t>
  </si>
  <si>
    <t>PE Round Tank</t>
  </si>
  <si>
    <t>M_TNK0102</t>
  </si>
  <si>
    <t>PE 원형 탱크 (교반기 포함)</t>
  </si>
  <si>
    <t>PE Round Tank (w/Mixer)</t>
  </si>
  <si>
    <t>M_TNK02</t>
  </si>
  <si>
    <t>STS제 원형탱크</t>
  </si>
  <si>
    <t>Stainless Steel Round Tank</t>
  </si>
  <si>
    <t>M_TNK03</t>
  </si>
  <si>
    <t>STS제 각형탱크</t>
  </si>
  <si>
    <t>Stainless Steel Rectangular Tank</t>
  </si>
  <si>
    <t>M_TNK99</t>
  </si>
  <si>
    <t>기타 탱크</t>
    <phoneticPr fontId="2" type="noConversion"/>
  </si>
  <si>
    <t>Other Types of Tanks</t>
  </si>
  <si>
    <t>DISINFECT</t>
    <phoneticPr fontId="2" type="noConversion"/>
  </si>
  <si>
    <t>M_DSIE</t>
  </si>
  <si>
    <t>소독설비</t>
    <phoneticPr fontId="2" type="noConversion"/>
  </si>
  <si>
    <t>Disinfection Equipment</t>
    <phoneticPr fontId="2" type="noConversion"/>
  </si>
  <si>
    <t>M_DSI01</t>
  </si>
  <si>
    <t>관로형 UV 소독기</t>
  </si>
  <si>
    <t>Pipe Type UV Disinfection</t>
  </si>
  <si>
    <t>M_DSI02</t>
  </si>
  <si>
    <t>수로형 UV 소독기</t>
  </si>
  <si>
    <t>Open Channel UV Disinfection</t>
  </si>
  <si>
    <t>M_DSI10</t>
  </si>
  <si>
    <t>M_DSIE</t>
    <phoneticPr fontId="2" type="noConversion"/>
  </si>
  <si>
    <t>열교환기</t>
    <phoneticPr fontId="2" type="noConversion"/>
  </si>
  <si>
    <t>Heat Exchanger</t>
    <phoneticPr fontId="2" type="noConversion"/>
  </si>
  <si>
    <t>M_DSI99</t>
  </si>
  <si>
    <t>기타 소독설비</t>
    <phoneticPr fontId="2" type="noConversion"/>
  </si>
  <si>
    <t>Other Types of Disinfection Equipment</t>
    <phoneticPr fontId="2" type="noConversion"/>
  </si>
  <si>
    <t>DEHYDRT</t>
    <phoneticPr fontId="2" type="noConversion"/>
  </si>
  <si>
    <t>M_DHYD</t>
  </si>
  <si>
    <t>탈수기</t>
    <phoneticPr fontId="2" type="noConversion"/>
  </si>
  <si>
    <t>Dehydrator</t>
    <phoneticPr fontId="2" type="noConversion"/>
  </si>
  <si>
    <t>M_DHY01</t>
  </si>
  <si>
    <t>진공탈수기식</t>
  </si>
  <si>
    <t>Vacuum Dehydrator</t>
  </si>
  <si>
    <t>DEHYDRT</t>
  </si>
  <si>
    <t>M_DHY02</t>
  </si>
  <si>
    <t>원심탈수기</t>
  </si>
  <si>
    <t>Centrifugal Dehydrator</t>
  </si>
  <si>
    <t>M_DHY03</t>
  </si>
  <si>
    <t>조립탈수기</t>
  </si>
  <si>
    <t>M_DHY04</t>
  </si>
  <si>
    <t>필터프래스</t>
  </si>
  <si>
    <t>Filter Press</t>
  </si>
  <si>
    <t>M_DHY05</t>
  </si>
  <si>
    <t>벨트프레스</t>
  </si>
  <si>
    <t>Belt Press</t>
  </si>
  <si>
    <t>M_DHY06</t>
  </si>
  <si>
    <t>스크류프레스</t>
  </si>
  <si>
    <t>Screw Press</t>
  </si>
  <si>
    <t>M_DHY99</t>
  </si>
  <si>
    <t>기타 탈수기</t>
    <phoneticPr fontId="2" type="noConversion"/>
  </si>
  <si>
    <t>Other Types of Dehydrators</t>
    <phoneticPr fontId="2" type="noConversion"/>
  </si>
  <si>
    <t>COVEYOR</t>
    <phoneticPr fontId="2" type="noConversion"/>
  </si>
  <si>
    <t>M_CVYR</t>
  </si>
  <si>
    <t>컨베이어</t>
    <phoneticPr fontId="2" type="noConversion"/>
  </si>
  <si>
    <t>Conveyor</t>
    <phoneticPr fontId="2" type="noConversion"/>
  </si>
  <si>
    <t>M_CVR01</t>
  </si>
  <si>
    <t>스크류 컨베이어</t>
  </si>
  <si>
    <t>Screw Conveyor</t>
  </si>
  <si>
    <t>M_CVR0101</t>
  </si>
  <si>
    <t>무주축 스크류 컨베이어</t>
  </si>
  <si>
    <t>Shaftless Screw Conveyor</t>
  </si>
  <si>
    <t>M_CVR02</t>
  </si>
  <si>
    <t>트러프형 벨트 컨베이어(STS 덮개)</t>
  </si>
  <si>
    <t>Trough Belt Conveyor(STS Cover)</t>
  </si>
  <si>
    <t>M_CVR03</t>
  </si>
  <si>
    <t>공기압 컨베이어(버터플라이형식)</t>
  </si>
  <si>
    <t>Pneumatic Conveyor(Butterfly Type)</t>
  </si>
  <si>
    <t>M_CVR04</t>
  </si>
  <si>
    <t>공기압 컨베이어(돔형식)</t>
  </si>
  <si>
    <t>Pneumatic Conveyor(Dome Type)</t>
  </si>
  <si>
    <t>M_CVR99</t>
  </si>
  <si>
    <t>기타 컨베이어</t>
    <phoneticPr fontId="2" type="noConversion"/>
  </si>
  <si>
    <t>Other Types of Conveyors</t>
  </si>
  <si>
    <t>HOPPER</t>
    <phoneticPr fontId="2" type="noConversion"/>
  </si>
  <si>
    <t>M_HPPR</t>
  </si>
  <si>
    <t>호퍼</t>
    <phoneticPr fontId="2" type="noConversion"/>
  </si>
  <si>
    <t>Hopper</t>
    <phoneticPr fontId="2" type="noConversion"/>
  </si>
  <si>
    <t>M_HPP01</t>
  </si>
  <si>
    <t>유압식 케익호퍼</t>
  </si>
  <si>
    <t>Hydraulic Powered Hopper</t>
  </si>
  <si>
    <t>M_HPP0101</t>
  </si>
  <si>
    <t>강판제 유압식 각형호퍼(거치식)</t>
  </si>
  <si>
    <t>M_HPP02</t>
    <phoneticPr fontId="2" type="noConversion"/>
  </si>
  <si>
    <t>M_HPPR</t>
    <phoneticPr fontId="2" type="noConversion"/>
  </si>
  <si>
    <t>유압식 케익호퍼(워크웨이 포함)</t>
    <phoneticPr fontId="2" type="noConversion"/>
  </si>
  <si>
    <t>Hydraulic Powered Hopper(Including Walkway)</t>
  </si>
  <si>
    <t>M_HPP99</t>
  </si>
  <si>
    <t>기타 호퍼</t>
    <phoneticPr fontId="2" type="noConversion"/>
  </si>
  <si>
    <t>Other Types of Hoppers</t>
    <phoneticPr fontId="2" type="noConversion"/>
  </si>
  <si>
    <t>HOIST</t>
    <phoneticPr fontId="2" type="noConversion"/>
  </si>
  <si>
    <t>M_HSTS</t>
  </si>
  <si>
    <t>호이스트</t>
    <phoneticPr fontId="2" type="noConversion"/>
  </si>
  <si>
    <t>Hoist</t>
  </si>
  <si>
    <t>HOIST</t>
  </si>
  <si>
    <t>M_HST01</t>
  </si>
  <si>
    <t>전동 모노레일 호이스트</t>
  </si>
  <si>
    <t>Electric Monorail Hoist</t>
  </si>
  <si>
    <t>M_HST02</t>
  </si>
  <si>
    <t>수동 지주식 호이스트</t>
  </si>
  <si>
    <t>Manual Column Mounted Hoist</t>
  </si>
  <si>
    <t>M_HST99</t>
  </si>
  <si>
    <t>기타 호이스트</t>
    <phoneticPr fontId="2" type="noConversion"/>
  </si>
  <si>
    <t>Other Types of Hoists</t>
    <phoneticPr fontId="2" type="noConversion"/>
  </si>
  <si>
    <t>DEODOR</t>
    <phoneticPr fontId="2" type="noConversion"/>
  </si>
  <si>
    <t>M_DODR</t>
  </si>
  <si>
    <t>탈취설비</t>
    <phoneticPr fontId="2" type="noConversion"/>
  </si>
  <si>
    <t>Deodorizer</t>
    <phoneticPr fontId="2" type="noConversion"/>
  </si>
  <si>
    <t>M_DOD01</t>
  </si>
  <si>
    <t>바이오필터탈취기</t>
  </si>
  <si>
    <t>Biofilter Deodorizer</t>
  </si>
  <si>
    <t>M_DOD02</t>
  </si>
  <si>
    <t>약액세정식 탈취기</t>
  </si>
  <si>
    <t>Chemical Scrubber Deodorizer</t>
  </si>
  <si>
    <t>M_DOD99</t>
  </si>
  <si>
    <t>기타 탈취설비</t>
    <phoneticPr fontId="2" type="noConversion"/>
  </si>
  <si>
    <t>Other Types of Deodorizers</t>
    <phoneticPr fontId="2" type="noConversion"/>
  </si>
  <si>
    <t>ARBOX</t>
    <phoneticPr fontId="2" type="noConversion"/>
  </si>
  <si>
    <t>M_ARBX</t>
  </si>
  <si>
    <t>암롤박스</t>
    <phoneticPr fontId="2" type="noConversion"/>
  </si>
  <si>
    <t>Arm Roll Box</t>
    <phoneticPr fontId="2" type="noConversion"/>
  </si>
  <si>
    <t>M_ARB01</t>
  </si>
  <si>
    <t>암롤박스(Conv.)</t>
    <phoneticPr fontId="2" type="noConversion"/>
  </si>
  <si>
    <t>Arm Roll Box(Conv.)</t>
  </si>
  <si>
    <t>M_ARB02</t>
  </si>
  <si>
    <t>협잡물박스</t>
  </si>
  <si>
    <t>Screenings Box</t>
  </si>
  <si>
    <t>M_ARB99</t>
  </si>
  <si>
    <t>기타 암롤박스</t>
    <phoneticPr fontId="2" type="noConversion"/>
  </si>
  <si>
    <t>Other Types of Arm Roll Box</t>
    <phoneticPr fontId="2" type="noConversion"/>
  </si>
  <si>
    <t>A_COMP</t>
    <phoneticPr fontId="2" type="noConversion"/>
  </si>
  <si>
    <t>M_ACOM</t>
  </si>
  <si>
    <t>공기압축기</t>
    <phoneticPr fontId="2" type="noConversion"/>
  </si>
  <si>
    <t>Air Compressor</t>
    <phoneticPr fontId="2" type="noConversion"/>
  </si>
  <si>
    <t>M_ACP01</t>
    <phoneticPr fontId="2" type="noConversion"/>
  </si>
  <si>
    <t>피스톤식</t>
    <phoneticPr fontId="2" type="noConversion"/>
  </si>
  <si>
    <t>Piston Air Compressor</t>
  </si>
  <si>
    <t>M_ACP02</t>
  </si>
  <si>
    <t>공기압축 설비</t>
  </si>
  <si>
    <t>Compressed Air System</t>
  </si>
  <si>
    <t>M_ACP99</t>
    <phoneticPr fontId="2" type="noConversion"/>
  </si>
  <si>
    <t>기타 공기압축기</t>
    <phoneticPr fontId="2" type="noConversion"/>
  </si>
  <si>
    <t>Other Types of Air Compressors</t>
    <phoneticPr fontId="2" type="noConversion"/>
  </si>
  <si>
    <t>W_SUPPLY</t>
    <phoneticPr fontId="2" type="noConversion"/>
  </si>
  <si>
    <t>M_WSPL</t>
  </si>
  <si>
    <t>용수공급장치</t>
    <phoneticPr fontId="2" type="noConversion"/>
  </si>
  <si>
    <t xml:space="preserve">Water Supply Equipment </t>
  </si>
  <si>
    <t>M_WSP01</t>
  </si>
  <si>
    <t>용수공급장치(부스터펌프 시스템)</t>
  </si>
  <si>
    <t>Water Supply Equipment(Booster Pump System)</t>
  </si>
  <si>
    <t>M_WSP99</t>
  </si>
  <si>
    <t>기타 용수공급장치</t>
    <phoneticPr fontId="2" type="noConversion"/>
  </si>
  <si>
    <t>P_DISSOLV</t>
    <phoneticPr fontId="2" type="noConversion"/>
  </si>
  <si>
    <t>M_PDSV</t>
  </si>
  <si>
    <t>폴리머용해장치</t>
    <phoneticPr fontId="2" type="noConversion"/>
  </si>
  <si>
    <t>Polymer Dissolving Unit</t>
  </si>
  <si>
    <t>M_PDS01</t>
  </si>
  <si>
    <t>분말 연속용해 공급장치</t>
  </si>
  <si>
    <t>Dry Polymer Dissolving Unit</t>
  </si>
  <si>
    <t>P_DISSOLV</t>
    <phoneticPr fontId="1" type="noConversion"/>
  </si>
  <si>
    <t>M_PDS02</t>
  </si>
  <si>
    <t>액상 연속용해 공급장치</t>
  </si>
  <si>
    <t>Liquid Polymer Dissolving Unit</t>
  </si>
  <si>
    <t>M_PDS99</t>
  </si>
  <si>
    <t>기타 폴리머용해장치</t>
    <phoneticPr fontId="2" type="noConversion"/>
  </si>
  <si>
    <t>Other Types of PDUs</t>
    <phoneticPr fontId="2" type="noConversion"/>
  </si>
  <si>
    <t>W_GATE</t>
    <phoneticPr fontId="2" type="noConversion"/>
  </si>
  <si>
    <t>M_WCGT</t>
  </si>
  <si>
    <t>수문</t>
    <phoneticPr fontId="2" type="noConversion"/>
  </si>
  <si>
    <t>Water Control Gates</t>
    <phoneticPr fontId="2" type="noConversion"/>
  </si>
  <si>
    <t>M_WCG01</t>
  </si>
  <si>
    <t>비금속 수동수문</t>
  </si>
  <si>
    <t>Non-Metallic Manual Water Gate</t>
    <phoneticPr fontId="2" type="noConversion"/>
  </si>
  <si>
    <t>M_WCG02</t>
  </si>
  <si>
    <t>자동수문</t>
  </si>
  <si>
    <t>Gate</t>
    <phoneticPr fontId="2" type="noConversion"/>
  </si>
  <si>
    <t>M_WCG99</t>
  </si>
  <si>
    <t>기타 수문</t>
    <phoneticPr fontId="2" type="noConversion"/>
  </si>
  <si>
    <t>Other Types of WCGs</t>
    <phoneticPr fontId="2" type="noConversion"/>
  </si>
  <si>
    <t>DIFFUSER</t>
    <phoneticPr fontId="2" type="noConversion"/>
  </si>
  <si>
    <t>M_TDIF</t>
  </si>
  <si>
    <t>산기장치</t>
  </si>
  <si>
    <t>Diffuser</t>
  </si>
  <si>
    <t>M_TDIF01</t>
  </si>
  <si>
    <t>파이프 다공관식 산기관</t>
  </si>
  <si>
    <t>Perforated Pipe Diffuser</t>
  </si>
  <si>
    <t>M_TDIF02</t>
  </si>
  <si>
    <t>타공식 파이프 산기관</t>
  </si>
  <si>
    <t>Drilled Pipe Diffuser</t>
  </si>
  <si>
    <t>M_TDIF03</t>
  </si>
  <si>
    <t>멤브레인 산기관</t>
  </si>
  <si>
    <t>Membrane Diffuser</t>
  </si>
  <si>
    <t>M_TDIF04</t>
  </si>
  <si>
    <t>Air lift type 산기관(쿠카이)</t>
  </si>
  <si>
    <t>Air Lift Type Diffuser(Kukai)</t>
  </si>
  <si>
    <t>M_TDIF05</t>
  </si>
  <si>
    <t>Ball snipper 산기관</t>
    <phoneticPr fontId="2" type="noConversion"/>
  </si>
  <si>
    <t>Ball Snipper Diffuser</t>
  </si>
  <si>
    <t>M_TDIF06</t>
  </si>
  <si>
    <t>STS 산기관</t>
  </si>
  <si>
    <t>Stainless Steel Diffuser</t>
  </si>
  <si>
    <t>M_TDIF99</t>
  </si>
  <si>
    <t>기타 산기장치</t>
    <phoneticPr fontId="2" type="noConversion"/>
  </si>
  <si>
    <t>Other Types of Diffusers</t>
    <phoneticPr fontId="2" type="noConversion"/>
  </si>
  <si>
    <t>H_EXCHANGER</t>
  </si>
  <si>
    <t>M_HEXC</t>
  </si>
  <si>
    <t>EQUIP</t>
  </si>
  <si>
    <t>열교환기</t>
  </si>
  <si>
    <t>Heat Exchanger</t>
  </si>
  <si>
    <t>M_HEX01</t>
  </si>
  <si>
    <t>이중관식 열교환기</t>
  </si>
  <si>
    <t>Double Pipe Heat Exchanger</t>
  </si>
  <si>
    <t>M_HEX99</t>
  </si>
  <si>
    <t>기타 열교환기</t>
  </si>
  <si>
    <t>Other Types of Heat Exchanger</t>
  </si>
  <si>
    <t>MEDIA</t>
  </si>
  <si>
    <t>M_MEDI</t>
  </si>
  <si>
    <t>담체</t>
  </si>
  <si>
    <t>Media</t>
  </si>
  <si>
    <t>M_MED01</t>
  </si>
  <si>
    <t>유동상 담체</t>
  </si>
  <si>
    <t>Moving Bed Biofilm Media</t>
  </si>
  <si>
    <t>M_MED99</t>
  </si>
  <si>
    <t>기타 담체</t>
  </si>
  <si>
    <t>Other Types of Media</t>
  </si>
  <si>
    <t>B_REACTOR</t>
  </si>
  <si>
    <t>M_BRX</t>
  </si>
  <si>
    <t>생물반응기</t>
  </si>
  <si>
    <t>Bioreactor</t>
  </si>
  <si>
    <t>M_BRX01</t>
  </si>
  <si>
    <t>Air-lift Type 그래뉼 생성장치</t>
  </si>
  <si>
    <t>Air-lift Type Granular Reactor</t>
  </si>
  <si>
    <t>M_BRX02</t>
  </si>
  <si>
    <t>혐기성소화조</t>
  </si>
  <si>
    <t>Anaerobic Digester</t>
  </si>
  <si>
    <t>M_BRX0201</t>
  </si>
  <si>
    <t>ASBR</t>
  </si>
  <si>
    <t>M_BRX99</t>
  </si>
  <si>
    <t>기타 생물반응기</t>
  </si>
  <si>
    <t>Other Types of Bioreactor</t>
  </si>
  <si>
    <t>PKG_ACCS</t>
  </si>
  <si>
    <t>M_PKAC</t>
  </si>
  <si>
    <t>패키지 부속품</t>
  </si>
  <si>
    <t>Package Accessories</t>
  </si>
  <si>
    <t>M_PKA01</t>
  </si>
  <si>
    <t>AGR 패키지 부속품</t>
  </si>
  <si>
    <t>Air-lift Type Granular Reactor Package Accessories</t>
  </si>
  <si>
    <t>M_PKA0101</t>
  </si>
  <si>
    <t>전동 버터플라이 밸브 (AGR)</t>
  </si>
  <si>
    <t>Motorized Butterfly Valve (AGR)</t>
  </si>
  <si>
    <t>M_PKA0102</t>
  </si>
  <si>
    <t>스프르트펌프 (AGR)</t>
  </si>
  <si>
    <t>Spurt Pump (AGR)</t>
  </si>
  <si>
    <t>M_PKA0103</t>
  </si>
  <si>
    <t>링 블로워 (AGR)</t>
  </si>
  <si>
    <t>Ring Blower (AGR)</t>
  </si>
  <si>
    <t>BOILER</t>
  </si>
  <si>
    <t>M_BLR</t>
  </si>
  <si>
    <t>보일러</t>
  </si>
  <si>
    <t>Boiler</t>
  </si>
  <si>
    <t>M_BLR01</t>
  </si>
  <si>
    <t>증기 보일러</t>
  </si>
  <si>
    <t>Steam Boiler</t>
  </si>
  <si>
    <t>M_BLR0101</t>
  </si>
  <si>
    <t>노통연관식 증기 보일러 (가스)</t>
  </si>
  <si>
    <t>Fire Tube Steam Boiler (Gas)</t>
  </si>
  <si>
    <t>M_BLR0102</t>
  </si>
  <si>
    <t>M_BLR02</t>
  </si>
  <si>
    <t>온수 보일러</t>
  </si>
  <si>
    <t>Hot Water Boiler</t>
  </si>
  <si>
    <t>M_BLR0201</t>
  </si>
  <si>
    <t>노통연관식 온수 보일러 (가스)</t>
  </si>
  <si>
    <t>Fire Tube Hot water Boiler (Gas)</t>
  </si>
  <si>
    <t>M_BLR0202</t>
  </si>
  <si>
    <t>BG_FACILITY</t>
  </si>
  <si>
    <t>M_BGF</t>
  </si>
  <si>
    <t>바이오가스 설비</t>
  </si>
  <si>
    <t>Biogas Facility</t>
  </si>
  <si>
    <t>M_BGF01</t>
  </si>
  <si>
    <t>소화가스 저장조</t>
  </si>
  <si>
    <t>Biogas Holder</t>
  </si>
  <si>
    <t>견적 / 용량</t>
  </si>
  <si>
    <t>M_BGF0101</t>
  </si>
  <si>
    <t>이중막 가스 저장조</t>
  </si>
  <si>
    <t>Double Mambrane Gas Holder</t>
  </si>
  <si>
    <t>돔형, 구형</t>
  </si>
  <si>
    <t>M_BGF0102</t>
  </si>
  <si>
    <t>M_BGF02</t>
  </si>
  <si>
    <t>탈황설비</t>
  </si>
  <si>
    <t>Desulfurization System</t>
  </si>
  <si>
    <t>견적 / 흠</t>
  </si>
  <si>
    <t>M_BGF0201</t>
  </si>
  <si>
    <t>건식 탈황설비</t>
  </si>
  <si>
    <t>Dry Flue Gas Desulfurization System</t>
  </si>
  <si>
    <t>건식, 습식</t>
  </si>
  <si>
    <t>M_BGF0202</t>
  </si>
  <si>
    <t>M_BGF03</t>
  </si>
  <si>
    <t>제습설비</t>
  </si>
  <si>
    <t>Dehumidification System</t>
  </si>
  <si>
    <t>견적</t>
  </si>
  <si>
    <t>M_BGF0301</t>
  </si>
  <si>
    <t>냉각식 제습기</t>
  </si>
  <si>
    <t>Compressor Type Dehumidification System</t>
  </si>
  <si>
    <t>냉각식, 흡착식, 열전</t>
  </si>
  <si>
    <t>M_BGF0302</t>
  </si>
  <si>
    <t>M_BGF04</t>
  </si>
  <si>
    <t>잉여가스 연소기</t>
  </si>
  <si>
    <t>Off-gas Flare</t>
  </si>
  <si>
    <t>M_BGF0401</t>
  </si>
  <si>
    <t>노내연소식 잉여가스 연소기</t>
  </si>
  <si>
    <t>In-Furnace Excess Gas Burner</t>
  </si>
  <si>
    <t>M_BGF0402</t>
  </si>
  <si>
    <t>M_BGF05</t>
  </si>
  <si>
    <t>실록산 제거설비</t>
  </si>
  <si>
    <t>Siloxane Removal Unit</t>
  </si>
  <si>
    <t>M_BGF0501</t>
  </si>
  <si>
    <t>흡착식 실록산 제거설비</t>
  </si>
  <si>
    <t>Adsorption-based Siloxane Removal Unit</t>
  </si>
  <si>
    <t>M_BGF0502</t>
  </si>
  <si>
    <t>POWER_GEN</t>
  </si>
  <si>
    <t>M_PGEN</t>
  </si>
  <si>
    <t>발전설비</t>
  </si>
  <si>
    <t>Power Generation System</t>
  </si>
  <si>
    <t>M_PGE01</t>
  </si>
  <si>
    <t>가스 발전기</t>
  </si>
  <si>
    <t>Gas Generator</t>
  </si>
  <si>
    <t>M_PGE0101</t>
  </si>
  <si>
    <t>가스 엔진 발전기</t>
  </si>
  <si>
    <t>Gas Engine Generator</t>
  </si>
  <si>
    <t>T_REACTOR</t>
  </si>
  <si>
    <t>M_THMR</t>
  </si>
  <si>
    <t>열반응기</t>
  </si>
  <si>
    <t>Thermal Reactor</t>
  </si>
  <si>
    <t>M_THM01</t>
  </si>
  <si>
    <t>열가수분해 반응기</t>
  </si>
  <si>
    <t>Thermal Hydrolysis Reactor</t>
  </si>
  <si>
    <t>M_THM0101</t>
  </si>
  <si>
    <t>열가수분해설비(D2-2)</t>
  </si>
  <si>
    <t>Thermal Hydrolysis Process(D2-2)</t>
  </si>
  <si>
    <t>M_THM0102</t>
  </si>
  <si>
    <t>열가수분해설비(D2-3)</t>
  </si>
  <si>
    <t>Thermal Hydrolysis Process(D2-3)</t>
  </si>
  <si>
    <t>M_THM0103</t>
  </si>
  <si>
    <t>열가수분해설비(D2-4)</t>
  </si>
  <si>
    <t>Thermal Hydrolysis Process(D2-4)</t>
  </si>
  <si>
    <t>M_THM0104</t>
  </si>
  <si>
    <t>열가수분해설비(D3-3)</t>
  </si>
  <si>
    <t>Thermal Hydrolysis Process(D3-3)</t>
  </si>
  <si>
    <t>M_THM0105</t>
  </si>
  <si>
    <t>열가수분해설비(D3-4)</t>
  </si>
  <si>
    <t>Thermal Hydrolysis Process(D3-4)</t>
  </si>
  <si>
    <t>M_THM0106</t>
  </si>
  <si>
    <t>열가수분해설비(D6-3)</t>
  </si>
  <si>
    <t>Thermal Hydrolysis Process(D6-3)</t>
  </si>
  <si>
    <t>M_THM0107</t>
  </si>
  <si>
    <t>열가수분해설비(D6-4)</t>
  </si>
  <si>
    <t>Thermal Hydrolysis Process(D6-4)</t>
  </si>
  <si>
    <t>M_THM0108</t>
  </si>
  <si>
    <t>열가수분해설비(D9-3)</t>
  </si>
  <si>
    <t>Thermal Hydrolysis Process(D9-3)</t>
  </si>
  <si>
    <t>M_THM0109</t>
  </si>
  <si>
    <t>열가수분해설비(D9-4)</t>
  </si>
  <si>
    <t>Thermal Hydrolysis Process(D9-4)</t>
  </si>
  <si>
    <t>M_THM0110</t>
  </si>
  <si>
    <t>열가수분해설비(D12-4)</t>
  </si>
  <si>
    <t>Thermal Hydrolysis Process(D12-4)</t>
  </si>
  <si>
    <t>M_THM02</t>
  </si>
  <si>
    <t>수열탄화 반응기</t>
  </si>
  <si>
    <t>HydroThermal Carbonization Reactor</t>
  </si>
  <si>
    <t>M_THM0201</t>
  </si>
  <si>
    <t>수열탄화설비(2D-2)</t>
  </si>
  <si>
    <t>HydroThermal Carbonization(2D-2)</t>
  </si>
  <si>
    <t>M_THM0202</t>
  </si>
  <si>
    <t>수열탄화설비(2D-3)</t>
  </si>
  <si>
    <t>HydroThermal Carbonization(2D-3)</t>
  </si>
  <si>
    <t>M_THM0203</t>
  </si>
  <si>
    <t>수열탄화설비(2D-4)</t>
  </si>
  <si>
    <t>HydroThermal Carbonization(2D-4)</t>
  </si>
  <si>
    <t>M_THM0204</t>
  </si>
  <si>
    <t>수열탄화설비(3D-3)</t>
  </si>
  <si>
    <t>HydroThermal Carbonization(3D-3)</t>
  </si>
  <si>
    <t>M_THM0205</t>
  </si>
  <si>
    <t>수열탄화설비(3D-4)</t>
  </si>
  <si>
    <t>HydroThermal Carbonization(3D-4)</t>
  </si>
  <si>
    <t>M_THM0206</t>
  </si>
  <si>
    <t>수열탄화설비(6D-3)</t>
  </si>
  <si>
    <t>HydroThermal Carbonization(6D-3)</t>
  </si>
  <si>
    <t>M_THM0207</t>
  </si>
  <si>
    <t>수열탄화설비(6D-4)</t>
  </si>
  <si>
    <t>HydroThermal Carbonization(6D-4)</t>
  </si>
  <si>
    <t>M_THM0208</t>
  </si>
  <si>
    <t>수열탄화설비(9D-3)</t>
  </si>
  <si>
    <t>HydroThermal Carbonization(9D-3)</t>
  </si>
  <si>
    <t>M_THM0209</t>
  </si>
  <si>
    <t>수열탄화설비(9D-4)</t>
  </si>
  <si>
    <t>HydroThermal Carbonization(9D-4)</t>
  </si>
  <si>
    <t>M_THM0210</t>
  </si>
  <si>
    <t>수열탄화설비(12D-4)</t>
  </si>
  <si>
    <t>HydroThermal Carbonization(12D-4)</t>
  </si>
  <si>
    <t>그룹코드</t>
    <phoneticPr fontId="2" type="noConversion"/>
  </si>
  <si>
    <t>코드</t>
    <phoneticPr fontId="2" type="noConversion"/>
  </si>
  <si>
    <t>부모코드</t>
    <phoneticPr fontId="2" type="noConversion"/>
  </si>
  <si>
    <t>코드값명(국문명)</t>
    <phoneticPr fontId="2" type="noConversion"/>
  </si>
  <si>
    <t>코드값명(영문명)</t>
    <phoneticPr fontId="2" type="noConversion"/>
  </si>
  <si>
    <t>레벨</t>
    <phoneticPr fontId="2" type="noConversion"/>
  </si>
  <si>
    <t>순서</t>
    <phoneticPr fontId="2" type="noConversion"/>
  </si>
  <si>
    <t>ARTEFACT</t>
    <phoneticPr fontId="2" type="noConversion"/>
  </si>
  <si>
    <t>ARTF</t>
    <phoneticPr fontId="2" type="noConversion"/>
  </si>
  <si>
    <t>기자재</t>
    <phoneticPr fontId="2" type="noConversion"/>
  </si>
  <si>
    <t>Artefact</t>
    <phoneticPr fontId="2" type="noConversion"/>
  </si>
  <si>
    <t>EQUIP_PARTS</t>
    <phoneticPr fontId="2" type="noConversion"/>
  </si>
  <si>
    <t>EQP_PTS</t>
  </si>
  <si>
    <t>기계 부품</t>
    <phoneticPr fontId="2" type="noConversion"/>
  </si>
  <si>
    <t>Equipment Parts</t>
    <phoneticPr fontId="2" type="noConversion"/>
  </si>
  <si>
    <t>P_MOTR</t>
    <phoneticPr fontId="2" type="noConversion"/>
  </si>
  <si>
    <t>EQP_PTS</t>
    <phoneticPr fontId="2" type="noConversion"/>
  </si>
  <si>
    <t>펌프 모터</t>
  </si>
  <si>
    <t>Pump Motor</t>
  </si>
  <si>
    <t>P_MOT01</t>
    <phoneticPr fontId="2" type="noConversion"/>
  </si>
  <si>
    <t>P_MOTR</t>
  </si>
  <si>
    <t>유도전동기(삼성전폐)</t>
    <phoneticPr fontId="2" type="noConversion"/>
  </si>
  <si>
    <t>P_MOT02</t>
    <phoneticPr fontId="2" type="noConversion"/>
  </si>
  <si>
    <t>유도전동기(삼성반폐)</t>
    <phoneticPr fontId="2" type="noConversion"/>
  </si>
  <si>
    <t>P_MOT99</t>
  </si>
  <si>
    <t>기타 펌프모터</t>
    <phoneticPr fontId="2" type="noConversion"/>
  </si>
  <si>
    <t>Other Types of Pump Motors</t>
    <phoneticPr fontId="2" type="noConversion"/>
  </si>
  <si>
    <t>S_VALV</t>
    <phoneticPr fontId="2" type="noConversion"/>
  </si>
  <si>
    <t>밸브 실링</t>
    <phoneticPr fontId="2" type="noConversion"/>
  </si>
  <si>
    <t>Valve Sealing</t>
    <phoneticPr fontId="2" type="noConversion"/>
  </si>
  <si>
    <t>S_VAV01</t>
    <phoneticPr fontId="2" type="noConversion"/>
  </si>
  <si>
    <t>E_VAV_SL</t>
    <phoneticPr fontId="2" type="noConversion"/>
  </si>
  <si>
    <t>고무 시트(EPDM)</t>
    <phoneticPr fontId="2" type="noConversion"/>
  </si>
  <si>
    <t>EPDM Seat</t>
    <phoneticPr fontId="2" type="noConversion"/>
  </si>
  <si>
    <t>S_VAV02</t>
  </si>
  <si>
    <t>메탈 시트</t>
  </si>
  <si>
    <t>Metal Seat</t>
    <phoneticPr fontId="2" type="noConversion"/>
  </si>
  <si>
    <t>S_VAV03</t>
  </si>
  <si>
    <t>더블 디스크</t>
  </si>
  <si>
    <t>Double Disk</t>
    <phoneticPr fontId="2" type="noConversion"/>
  </si>
  <si>
    <t>S_VAV04</t>
    <phoneticPr fontId="2" type="noConversion"/>
  </si>
  <si>
    <t>플렉서블 웻지 디스크</t>
  </si>
  <si>
    <t>Flexible Wedge Disk</t>
    <phoneticPr fontId="2" type="noConversion"/>
  </si>
  <si>
    <t>S_VAV05</t>
  </si>
  <si>
    <t>분리형 디스크</t>
  </si>
  <si>
    <t>Split Disk</t>
    <phoneticPr fontId="2" type="noConversion"/>
  </si>
  <si>
    <t>S_VAV99</t>
    <phoneticPr fontId="2" type="noConversion"/>
  </si>
  <si>
    <t>기타 씰링</t>
    <phoneticPr fontId="2" type="noConversion"/>
  </si>
  <si>
    <t>Other Types of Sealing</t>
    <phoneticPr fontId="2" type="noConversion"/>
  </si>
  <si>
    <t>P_DAFP</t>
    <phoneticPr fontId="2" type="noConversion"/>
  </si>
  <si>
    <t>부상분리 동력장치</t>
    <phoneticPr fontId="2" type="noConversion"/>
  </si>
  <si>
    <t>DAF 동력장치</t>
    <phoneticPr fontId="2" type="noConversion"/>
  </si>
  <si>
    <t>P_DAF01</t>
    <phoneticPr fontId="2" type="noConversion"/>
  </si>
  <si>
    <t>부상분리장치 일반</t>
    <phoneticPr fontId="2" type="noConversion"/>
  </si>
  <si>
    <t>P_DAF02</t>
  </si>
  <si>
    <t>선회 와류 부상분리(vDAF)</t>
    <phoneticPr fontId="2" type="noConversion"/>
  </si>
  <si>
    <t>P_DAF03</t>
  </si>
  <si>
    <t>용존공기 부상분리</t>
  </si>
  <si>
    <t>P_DAF04</t>
  </si>
  <si>
    <t>가압부상</t>
  </si>
  <si>
    <t>P_DAF99</t>
    <phoneticPr fontId="2" type="noConversion"/>
  </si>
  <si>
    <t>Other Types of DAF</t>
    <phoneticPr fontId="2" type="noConversion"/>
  </si>
  <si>
    <t>A_LENT</t>
    <phoneticPr fontId="2" type="noConversion"/>
  </si>
  <si>
    <t>기자재 길이</t>
    <phoneticPr fontId="2" type="noConversion"/>
  </si>
  <si>
    <t>EQUIP_PARTS</t>
  </si>
  <si>
    <t>A_LEN01</t>
    <phoneticPr fontId="2" type="noConversion"/>
  </si>
  <si>
    <t>스크류 컨베이어 길이</t>
    <phoneticPr fontId="2" type="noConversion"/>
  </si>
  <si>
    <t>A_LEN02</t>
  </si>
  <si>
    <t>전동 모노레일 호이스트 레일</t>
    <phoneticPr fontId="2" type="noConversion"/>
  </si>
  <si>
    <t>A_LEN99</t>
    <phoneticPr fontId="2" type="noConversion"/>
  </si>
  <si>
    <t>기타 기자재 길이</t>
    <phoneticPr fontId="2" type="noConversion"/>
  </si>
  <si>
    <t>Other Types of Length</t>
  </si>
  <si>
    <t>S_SYST</t>
  </si>
  <si>
    <t>기동방식</t>
  </si>
  <si>
    <t>Starting System</t>
  </si>
  <si>
    <t>S_SYS01</t>
  </si>
  <si>
    <t>직입기동</t>
  </si>
  <si>
    <t>Direct On Line</t>
  </si>
  <si>
    <t>S_SYS02</t>
  </si>
  <si>
    <t>인버터</t>
  </si>
  <si>
    <t>Variable Voltage Variable Frequency</t>
  </si>
  <si>
    <t>S_SYS03</t>
  </si>
  <si>
    <t>소프트스타터</t>
  </si>
  <si>
    <t>Soft Start</t>
  </si>
  <si>
    <t>S_SYS04</t>
  </si>
  <si>
    <t>MOP</t>
  </si>
  <si>
    <t>Motor Operated Panel</t>
  </si>
  <si>
    <t>S_SYS99</t>
  </si>
  <si>
    <t>기타 기동방식</t>
  </si>
  <si>
    <t>Other Types of Starting Method</t>
  </si>
  <si>
    <t>code_key</t>
  </si>
  <si>
    <t>MATERIALS</t>
    <phoneticPr fontId="2" type="noConversion"/>
  </si>
  <si>
    <t>MATER</t>
    <phoneticPr fontId="2" type="noConversion"/>
  </si>
  <si>
    <t>재질</t>
  </si>
  <si>
    <t>Materials</t>
  </si>
  <si>
    <t>MATERIALS_KS</t>
    <phoneticPr fontId="2" type="noConversion"/>
  </si>
  <si>
    <t>MATER_KS</t>
    <phoneticPr fontId="2" type="noConversion"/>
  </si>
  <si>
    <t>한국규격(KS)에 의한 표시기호</t>
    <phoneticPr fontId="2" type="noConversion"/>
  </si>
  <si>
    <t>GCD</t>
    <phoneticPr fontId="2" type="noConversion"/>
  </si>
  <si>
    <t>구상흑연주철(GCD)</t>
    <phoneticPr fontId="2" type="noConversion"/>
  </si>
  <si>
    <t>Graphite Casting Ductile</t>
    <phoneticPr fontId="2" type="noConversion"/>
  </si>
  <si>
    <t>GCD450</t>
    <phoneticPr fontId="2" type="noConversion"/>
  </si>
  <si>
    <t>Graphite Casting Ductile(450)</t>
    <phoneticPr fontId="2" type="noConversion"/>
  </si>
  <si>
    <t>YES</t>
  </si>
  <si>
    <t>밸브</t>
    <phoneticPr fontId="2" type="noConversion"/>
  </si>
  <si>
    <t>SCPH</t>
    <phoneticPr fontId="2" type="noConversion"/>
  </si>
  <si>
    <t>고온고압용 주강(SCPH)</t>
    <phoneticPr fontId="2" type="noConversion"/>
  </si>
  <si>
    <t>Steel Casting Pressure High Temperature</t>
    <phoneticPr fontId="2" type="noConversion"/>
  </si>
  <si>
    <t>SCPH2</t>
    <phoneticPr fontId="2" type="noConversion"/>
  </si>
  <si>
    <t>Steel Casting Pressure High Temperature(2)</t>
    <phoneticPr fontId="2" type="noConversion"/>
  </si>
  <si>
    <t>SSC</t>
    <phoneticPr fontId="2" type="noConversion"/>
  </si>
  <si>
    <t>스테인리스 주강(SSC)</t>
    <phoneticPr fontId="2" type="noConversion"/>
  </si>
  <si>
    <t>Steel Casting Stainless</t>
    <phoneticPr fontId="2" type="noConversion"/>
  </si>
  <si>
    <t>주로 SCS로 표시하며 JIS에서도 사용</t>
    <phoneticPr fontId="2" type="noConversion"/>
  </si>
  <si>
    <t>SSC13</t>
    <phoneticPr fontId="2" type="noConversion"/>
  </si>
  <si>
    <t>MATER</t>
  </si>
  <si>
    <t>Steel Casting Stainless(13)</t>
    <phoneticPr fontId="2" type="noConversion"/>
  </si>
  <si>
    <t>밸브, 스프르트펌프</t>
    <phoneticPr fontId="2" type="noConversion"/>
  </si>
  <si>
    <t>STEEL_FORGING</t>
    <phoneticPr fontId="2" type="noConversion"/>
  </si>
  <si>
    <t>탄소강 단강(SF)</t>
    <phoneticPr fontId="2" type="noConversion"/>
  </si>
  <si>
    <t>Carbon Steel Forgings</t>
  </si>
  <si>
    <t>SF440A</t>
    <phoneticPr fontId="2" type="noConversion"/>
  </si>
  <si>
    <t>Carbon Steel Forgings(440A)</t>
    <phoneticPr fontId="2" type="noConversion"/>
  </si>
  <si>
    <t>GRAY_CAST</t>
    <phoneticPr fontId="2" type="noConversion"/>
  </si>
  <si>
    <t>회주철(GC)</t>
    <phoneticPr fontId="2" type="noConversion"/>
  </si>
  <si>
    <t>Gray Cast Iron</t>
    <phoneticPr fontId="2" type="noConversion"/>
  </si>
  <si>
    <t>GC200</t>
    <phoneticPr fontId="2" type="noConversion"/>
  </si>
  <si>
    <t>Gray Cast Iron(200)</t>
    <phoneticPr fontId="2" type="noConversion"/>
  </si>
  <si>
    <t>스프르트펌프</t>
    <phoneticPr fontId="2" type="noConversion"/>
  </si>
  <si>
    <t>GC250</t>
  </si>
  <si>
    <t>Gray Cast Iron(250)</t>
  </si>
  <si>
    <t>STEEL_MACH_C</t>
    <phoneticPr fontId="2" type="noConversion"/>
  </si>
  <si>
    <t>기계 구조용 탄소 강재(SM)</t>
    <phoneticPr fontId="2" type="noConversion"/>
  </si>
  <si>
    <t>Steel Machine Carbon</t>
    <phoneticPr fontId="2" type="noConversion"/>
  </si>
  <si>
    <t>SM45C</t>
    <phoneticPr fontId="2" type="noConversion"/>
  </si>
  <si>
    <t>Steel Machine Carbon(45)</t>
    <phoneticPr fontId="2" type="noConversion"/>
  </si>
  <si>
    <t xml:space="preserve">모노펌프부품 </t>
  </si>
  <si>
    <t>SNCM</t>
    <phoneticPr fontId="2" type="noConversion"/>
  </si>
  <si>
    <t>니켈 크롬 몰리브덴강(SNCM)</t>
    <phoneticPr fontId="2" type="noConversion"/>
  </si>
  <si>
    <t>Steel Nickel Chromium Molybdenum</t>
    <phoneticPr fontId="2" type="noConversion"/>
  </si>
  <si>
    <t>SNCM21</t>
  </si>
  <si>
    <t>SNCM</t>
  </si>
  <si>
    <t>Steel Nickel Chromium Molybdenum(21)</t>
    <phoneticPr fontId="2" type="noConversion"/>
  </si>
  <si>
    <t>STD</t>
    <phoneticPr fontId="2" type="noConversion"/>
  </si>
  <si>
    <t>합금공구강(STD)</t>
    <phoneticPr fontId="2" type="noConversion"/>
  </si>
  <si>
    <t>Steel Tool Dies</t>
    <phoneticPr fontId="2" type="noConversion"/>
  </si>
  <si>
    <t>STD11</t>
  </si>
  <si>
    <t>Steel Tool Dies(11)</t>
    <phoneticPr fontId="2" type="noConversion"/>
  </si>
  <si>
    <t xml:space="preserve">모노펌프부품 </t>
    <phoneticPr fontId="2" type="noConversion"/>
  </si>
  <si>
    <t>STD11_STS304</t>
    <phoneticPr fontId="2" type="noConversion"/>
  </si>
  <si>
    <t>STD</t>
  </si>
  <si>
    <t>STD11/STS304</t>
  </si>
  <si>
    <t>STAINLESS_STEEL</t>
    <phoneticPr fontId="2" type="noConversion"/>
  </si>
  <si>
    <t>스테인리스강(STS)</t>
    <phoneticPr fontId="2" type="noConversion"/>
  </si>
  <si>
    <t>Stainless Steel</t>
    <phoneticPr fontId="2" type="noConversion"/>
  </si>
  <si>
    <t>STS304</t>
  </si>
  <si>
    <t>STS304</t>
    <phoneticPr fontId="2" type="noConversion"/>
  </si>
  <si>
    <t>Stainless Steel(304)</t>
    <phoneticPr fontId="2" type="noConversion"/>
  </si>
  <si>
    <t>STS304_HCr</t>
    <phoneticPr fontId="2" type="noConversion"/>
  </si>
  <si>
    <t>STAINLESS_STEEL</t>
  </si>
  <si>
    <t>STS304 고크롬</t>
    <phoneticPr fontId="2" type="noConversion"/>
  </si>
  <si>
    <t>Stainless Steel(304) High Chromium</t>
    <phoneticPr fontId="2" type="noConversion"/>
  </si>
  <si>
    <t>STS316</t>
    <phoneticPr fontId="2" type="noConversion"/>
  </si>
  <si>
    <t>STS316 몰리브덴</t>
    <phoneticPr fontId="2" type="noConversion"/>
  </si>
  <si>
    <t>Stainless Steel(316) Molybdenum</t>
    <phoneticPr fontId="2" type="noConversion"/>
  </si>
  <si>
    <t>MATERIALS_RUBBER</t>
    <phoneticPr fontId="2" type="noConversion"/>
  </si>
  <si>
    <t>MATER_RUBBER</t>
    <phoneticPr fontId="2" type="noConversion"/>
  </si>
  <si>
    <t>고무 표시기호</t>
    <phoneticPr fontId="2" type="noConversion"/>
  </si>
  <si>
    <t>Rubber</t>
    <phoneticPr fontId="2" type="noConversion"/>
  </si>
  <si>
    <t>NBR</t>
    <phoneticPr fontId="2" type="noConversion"/>
  </si>
  <si>
    <t>니트릴 고무(NBR)</t>
    <phoneticPr fontId="2" type="noConversion"/>
  </si>
  <si>
    <t>Nitrile Butadiene Rubber</t>
    <phoneticPr fontId="2" type="noConversion"/>
  </si>
  <si>
    <t>MATERIALS</t>
  </si>
  <si>
    <t>NBR_EPDM</t>
    <phoneticPr fontId="2" type="noConversion"/>
  </si>
  <si>
    <t>NBR/EPDM</t>
  </si>
  <si>
    <t>EPDM</t>
  </si>
  <si>
    <t>에틸렌 프로필렌 고무(EPDM)</t>
    <phoneticPr fontId="2" type="noConversion"/>
  </si>
  <si>
    <t>Ethylene Propylene Diene Monomer</t>
    <phoneticPr fontId="2" type="noConversion"/>
  </si>
  <si>
    <t>FKM</t>
    <phoneticPr fontId="2" type="noConversion"/>
  </si>
  <si>
    <t>불소화 엘라스토머(FKM)</t>
    <phoneticPr fontId="2" type="noConversion"/>
  </si>
  <si>
    <t>Fluoropolymer</t>
    <phoneticPr fontId="2" type="noConversion"/>
  </si>
  <si>
    <t>VITON</t>
    <phoneticPr fontId="2" type="noConversion"/>
  </si>
  <si>
    <t>Viton™</t>
    <phoneticPr fontId="2" type="noConversion"/>
  </si>
  <si>
    <t>Viton™</t>
  </si>
  <si>
    <t>듀퐁사 브랜드</t>
    <phoneticPr fontId="2" type="noConversion"/>
  </si>
  <si>
    <t>MATERIALS_PLASTIC</t>
    <phoneticPr fontId="2" type="noConversion"/>
  </si>
  <si>
    <t>MATER_PLASTIC</t>
    <phoneticPr fontId="2" type="noConversion"/>
  </si>
  <si>
    <t>플라스틱 표시기호</t>
    <phoneticPr fontId="2" type="noConversion"/>
  </si>
  <si>
    <t>Plastic</t>
    <phoneticPr fontId="2" type="noConversion"/>
  </si>
  <si>
    <t>PP</t>
    <phoneticPr fontId="2" type="noConversion"/>
  </si>
  <si>
    <t xml:space="preserve">폴리프로필렌(PP) </t>
    <phoneticPr fontId="2" type="noConversion"/>
  </si>
  <si>
    <t>Polypropylene</t>
    <phoneticPr fontId="2" type="noConversion"/>
  </si>
  <si>
    <t>다이아프램펌프</t>
    <phoneticPr fontId="2" type="noConversion"/>
  </si>
  <si>
    <t>PVDF</t>
    <phoneticPr fontId="2" type="noConversion"/>
  </si>
  <si>
    <t>폴리비닐리덴 플루오라이드(PVDF)</t>
    <phoneticPr fontId="2" type="noConversion"/>
  </si>
  <si>
    <t>Polyvinylidene Fluoride</t>
    <phoneticPr fontId="2" type="noConversion"/>
  </si>
  <si>
    <t>MATERIALS_JIS</t>
    <phoneticPr fontId="2" type="noConversion"/>
  </si>
  <si>
    <t>MATER_JIS</t>
    <phoneticPr fontId="2" type="noConversion"/>
  </si>
  <si>
    <t>일본규격(JIS)에 의한 표시기호</t>
    <phoneticPr fontId="2" type="noConversion"/>
  </si>
  <si>
    <t>MATERIALS_JIS</t>
  </si>
  <si>
    <t>SKD</t>
  </si>
  <si>
    <t>MATER_JIS</t>
  </si>
  <si>
    <t>합금공구강(SKD)</t>
  </si>
  <si>
    <t>Steel Kougu Dice(SKD)</t>
  </si>
  <si>
    <t>KS규격 STD11과 매우 유사</t>
  </si>
  <si>
    <t>SKD11</t>
  </si>
  <si>
    <t>스테인리스강(SUS)</t>
  </si>
  <si>
    <t>Steel Use Stainless(SUS)</t>
  </si>
  <si>
    <t>SUS304</t>
  </si>
  <si>
    <t>Stainless Steel(304)</t>
  </si>
  <si>
    <t>KS규격 STS304와 동일</t>
  </si>
  <si>
    <t>MOB99</t>
  </si>
  <si>
    <t>기타 재질</t>
  </si>
  <si>
    <t>Other Types of Materials</t>
  </si>
  <si>
    <t>vendor_id</t>
  </si>
  <si>
    <t>vendor_name_en</t>
  </si>
  <si>
    <t>vendor_name_kr</t>
  </si>
  <si>
    <t>VM_0000</t>
    <phoneticPr fontId="2" type="noConversion"/>
  </si>
  <si>
    <t>Non-designated company</t>
  </si>
  <si>
    <t>미지정업체</t>
  </si>
  <si>
    <t>VM_BKT</t>
  </si>
  <si>
    <t>BKT</t>
  </si>
  <si>
    <t>(주)부강테크</t>
  </si>
  <si>
    <t>VM_BKT_SJ</t>
    <phoneticPr fontId="4" type="noConversion"/>
  </si>
  <si>
    <t>BKT/SJ</t>
  </si>
  <si>
    <t>(주)부강테크/삼진</t>
  </si>
  <si>
    <t>VM_BKT_CD_VM</t>
    <phoneticPr fontId="4" type="noConversion"/>
  </si>
  <si>
    <t>BKT/CS</t>
    <phoneticPr fontId="4" type="noConversion"/>
  </si>
  <si>
    <t>(주)부강테크/창신</t>
    <phoneticPr fontId="4" type="noConversion"/>
  </si>
  <si>
    <t>VM_BKT_TM</t>
    <phoneticPr fontId="4" type="noConversion"/>
  </si>
  <si>
    <t>BKT/TM</t>
  </si>
  <si>
    <t>(주)부강테크/터보맥스</t>
  </si>
  <si>
    <t>VM_BKT_HS</t>
    <phoneticPr fontId="4" type="noConversion"/>
  </si>
  <si>
    <t>BKT/HS</t>
  </si>
  <si>
    <t>(주)부강테크/한신테크노</t>
  </si>
  <si>
    <t>VM_HDHD_ELC</t>
    <phoneticPr fontId="4" type="noConversion"/>
  </si>
  <si>
    <t>HD Hyundai electric</t>
  </si>
  <si>
    <t>HD현대일렉트릭</t>
    <phoneticPr fontId="4" type="noConversion"/>
  </si>
  <si>
    <t>VM_LS_ELC</t>
    <phoneticPr fontId="4" type="noConversion"/>
  </si>
  <si>
    <t>LS ELECTRIC</t>
    <phoneticPr fontId="4" type="noConversion"/>
  </si>
  <si>
    <t>VM_KB_ELC</t>
    <phoneticPr fontId="4" type="noConversion"/>
  </si>
  <si>
    <t>KyuongBo Electric</t>
  </si>
  <si>
    <t>경보전기</t>
    <phoneticPr fontId="4" type="noConversion"/>
  </si>
  <si>
    <t>VM_KW_COMP</t>
    <phoneticPr fontId="4" type="noConversion"/>
  </si>
  <si>
    <t>Kyungwon Compressor</t>
    <phoneticPr fontId="4" type="noConversion"/>
  </si>
  <si>
    <t>경원콤프레샤</t>
    <phoneticPr fontId="4" type="noConversion"/>
  </si>
  <si>
    <t>VM_KJ_IND</t>
    <phoneticPr fontId="4" type="noConversion"/>
  </si>
  <si>
    <t>Kyungjin Industrial</t>
  </si>
  <si>
    <t>경진산업</t>
    <phoneticPr fontId="4" type="noConversion"/>
  </si>
  <si>
    <t>VM_INTL_ELC</t>
    <phoneticPr fontId="4" type="noConversion"/>
  </si>
  <si>
    <t>International Electric Co.,Ltd</t>
    <phoneticPr fontId="4" type="noConversion"/>
  </si>
  <si>
    <t>국제전기</t>
    <phoneticPr fontId="4" type="noConversion"/>
  </si>
  <si>
    <t>VM_DD_ENG</t>
    <phoneticPr fontId="4" type="noConversion"/>
  </si>
  <si>
    <t>Daibong Engineering</t>
  </si>
  <si>
    <t>대봉엔지니어링</t>
  </si>
  <si>
    <t>VM_DS_ENG</t>
    <phoneticPr fontId="4" type="noConversion"/>
  </si>
  <si>
    <t>DaeSeung Engineering</t>
  </si>
  <si>
    <t>대승엔지니어링</t>
  </si>
  <si>
    <t>VM_DA_MACH</t>
  </si>
  <si>
    <t>Dong-A Machinery</t>
  </si>
  <si>
    <t>동아기공</t>
    <phoneticPr fontId="4" type="noConversion"/>
  </si>
  <si>
    <t>VM_DA_ELC</t>
    <phoneticPr fontId="4" type="noConversion"/>
  </si>
  <si>
    <t>Dong-A electric</t>
  </si>
  <si>
    <t>동아전기공업(주)</t>
  </si>
  <si>
    <t>VM_DJI_MACH</t>
    <phoneticPr fontId="4" type="noConversion"/>
  </si>
  <si>
    <t>Dongjin Industrial machinery</t>
  </si>
  <si>
    <t>동진기공</t>
    <phoneticPr fontId="4" type="noConversion"/>
  </si>
  <si>
    <t>VM_DH_ENG</t>
    <phoneticPr fontId="4" type="noConversion"/>
  </si>
  <si>
    <t>Donghai Engineering</t>
  </si>
  <si>
    <t>동해엔지니어링</t>
    <phoneticPr fontId="4" type="noConversion"/>
  </si>
  <si>
    <t>VM_DS_ELC</t>
    <phoneticPr fontId="4" type="noConversion"/>
  </si>
  <si>
    <t>DS ELC</t>
  </si>
  <si>
    <t>디에스이엘씨㈜</t>
    <phoneticPr fontId="4" type="noConversion"/>
  </si>
  <si>
    <t>VM_MONAS</t>
    <phoneticPr fontId="4" type="noConversion"/>
  </si>
  <si>
    <t>Monas</t>
  </si>
  <si>
    <t>모나스펌프(주)</t>
    <phoneticPr fontId="4" type="noConversion"/>
  </si>
  <si>
    <t>VM_BANDO_C</t>
  </si>
  <si>
    <t>Bando Crane</t>
  </si>
  <si>
    <t>반도 호이스트크레인</t>
    <phoneticPr fontId="4" type="noConversion"/>
  </si>
  <si>
    <t>VM_BUMHAN</t>
    <phoneticPr fontId="4" type="noConversion"/>
  </si>
  <si>
    <t>Bumhan</t>
    <phoneticPr fontId="4" type="noConversion"/>
  </si>
  <si>
    <t>범한</t>
    <phoneticPr fontId="4" type="noConversion"/>
  </si>
  <si>
    <t>VM_VITZRO_ELC</t>
    <phoneticPr fontId="4" type="noConversion"/>
  </si>
  <si>
    <t>Vitzro Electric</t>
    <phoneticPr fontId="4" type="noConversion"/>
  </si>
  <si>
    <t>비츠로이엠</t>
    <phoneticPr fontId="4" type="noConversion"/>
  </si>
  <si>
    <t>VM_SSH_ELC</t>
    <phoneticPr fontId="4" type="noConversion"/>
  </si>
  <si>
    <t>Samshin Heavt Electric Co., Ltd</t>
    <phoneticPr fontId="4" type="noConversion"/>
  </si>
  <si>
    <t>삼신중전기공업주식회사</t>
    <phoneticPr fontId="4" type="noConversion"/>
  </si>
  <si>
    <t>VM_SAMJUNG</t>
    <phoneticPr fontId="4" type="noConversion"/>
  </si>
  <si>
    <t>Samjung</t>
    <phoneticPr fontId="4" type="noConversion"/>
  </si>
  <si>
    <t>삼정특장</t>
    <phoneticPr fontId="4" type="noConversion"/>
  </si>
  <si>
    <t>VM_SAMJIN</t>
    <phoneticPr fontId="4" type="noConversion"/>
  </si>
  <si>
    <t>Samjin Industrial Co., Ltd</t>
    <phoneticPr fontId="4" type="noConversion"/>
  </si>
  <si>
    <t>삼진공업</t>
    <phoneticPr fontId="4" type="noConversion"/>
  </si>
  <si>
    <t>VM_SH_IND</t>
    <phoneticPr fontId="4" type="noConversion"/>
  </si>
  <si>
    <t>SAMHEUNG</t>
  </si>
  <si>
    <t>삼흥산업</t>
    <phoneticPr fontId="4" type="noConversion"/>
  </si>
  <si>
    <t>VM_SEIN_ENC</t>
  </si>
  <si>
    <t>SEIN ENC</t>
  </si>
  <si>
    <t>세인이엔씨</t>
    <phoneticPr fontId="4" type="noConversion"/>
  </si>
  <si>
    <t>VM_SA_ELC</t>
    <phoneticPr fontId="4" type="noConversion"/>
  </si>
  <si>
    <t>Shina electric</t>
  </si>
  <si>
    <t>신아전기</t>
    <phoneticPr fontId="4" type="noConversion"/>
  </si>
  <si>
    <t>VM_AILP_IND</t>
    <phoneticPr fontId="4" type="noConversion"/>
  </si>
  <si>
    <t>Ail Plastics industrial</t>
  </si>
  <si>
    <t>아일수지공업㈜</t>
    <phoneticPr fontId="4" type="noConversion"/>
  </si>
  <si>
    <t>VM_ECOSET</t>
    <phoneticPr fontId="4" type="noConversion"/>
  </si>
  <si>
    <t>Ecoset</t>
  </si>
  <si>
    <t>에코셋</t>
  </si>
  <si>
    <t>VM_WONJIN</t>
    <phoneticPr fontId="4" type="noConversion"/>
  </si>
  <si>
    <t>Wonjin</t>
  </si>
  <si>
    <t>원진</t>
    <phoneticPr fontId="4" type="noConversion"/>
  </si>
  <si>
    <t>VM_ENPR</t>
    <phoneticPr fontId="4" type="noConversion"/>
  </si>
  <si>
    <t>Electromagnetic Noise Pioneer Research</t>
  </si>
  <si>
    <t>이엔피알</t>
    <phoneticPr fontId="4" type="noConversion"/>
  </si>
  <si>
    <t>VM_ECOWO</t>
    <phoneticPr fontId="4" type="noConversion"/>
  </si>
  <si>
    <t>Ecowo</t>
  </si>
  <si>
    <t>이코우</t>
  </si>
  <si>
    <t>VM_EWH_SYS</t>
  </si>
  <si>
    <t>Ewha</t>
    <phoneticPr fontId="4" type="noConversion"/>
  </si>
  <si>
    <t>이화에코시스템</t>
    <phoneticPr fontId="4" type="noConversion"/>
  </si>
  <si>
    <t>VM_JF_TECH</t>
    <phoneticPr fontId="4" type="noConversion"/>
  </si>
  <si>
    <t>Jungsoo Flow Tech</t>
  </si>
  <si>
    <t>정수플로우텍</t>
    <phoneticPr fontId="4" type="noConversion"/>
  </si>
  <si>
    <t>VM_CEIL_ELC</t>
    <phoneticPr fontId="4" type="noConversion"/>
  </si>
  <si>
    <t>Cheil electric</t>
  </si>
  <si>
    <t>제일일렉트릭</t>
    <phoneticPr fontId="4" type="noConversion"/>
  </si>
  <si>
    <t>VM_CB_ENG</t>
    <phoneticPr fontId="4" type="noConversion"/>
  </si>
  <si>
    <t>Cheonboe Engineering</t>
  </si>
  <si>
    <t>천보엔지니어링</t>
  </si>
  <si>
    <t>VM_CS_IND</t>
    <phoneticPr fontId="4" type="noConversion"/>
  </si>
  <si>
    <t>Cheonsei</t>
  </si>
  <si>
    <t>천세산업(주)</t>
    <phoneticPr fontId="4" type="noConversion"/>
  </si>
  <si>
    <t>VM_KPAC_CO</t>
  </si>
  <si>
    <t>K-Pack Korea Co., Ltd</t>
    <phoneticPr fontId="4" type="noConversion"/>
  </si>
  <si>
    <t>케이팩코리아</t>
    <phoneticPr fontId="4" type="noConversion"/>
  </si>
  <si>
    <t>VM_KP_ELC</t>
  </si>
  <si>
    <t>KP ELECTRIC</t>
  </si>
  <si>
    <t>케이피일렉트릭(주)</t>
    <phoneticPr fontId="4" type="noConversion"/>
  </si>
  <si>
    <t>VM_TMAX</t>
    <phoneticPr fontId="4" type="noConversion"/>
  </si>
  <si>
    <t>Turbomax</t>
  </si>
  <si>
    <t>터보맥스</t>
    <phoneticPr fontId="4" type="noConversion"/>
  </si>
  <si>
    <t>VM_PYUNGIL</t>
    <phoneticPr fontId="4" type="noConversion"/>
  </si>
  <si>
    <t>Pyungil</t>
  </si>
  <si>
    <t>평일</t>
    <phoneticPr fontId="4" type="noConversion"/>
  </si>
  <si>
    <t>VM_KW_TECH</t>
    <phoneticPr fontId="4" type="noConversion"/>
  </si>
  <si>
    <t>Korea Water Technology</t>
    <phoneticPr fontId="4" type="noConversion"/>
  </si>
  <si>
    <t>한국워터테크놀로지</t>
    <phoneticPr fontId="4" type="noConversion"/>
  </si>
  <si>
    <t>VM_KF_MACH</t>
    <phoneticPr fontId="4" type="noConversion"/>
  </si>
  <si>
    <t xml:space="preserve">Korea Fluid Machinery Co.,Ltd </t>
    <phoneticPr fontId="4" type="noConversion"/>
  </si>
  <si>
    <t>한국유체기계</t>
    <phoneticPr fontId="4" type="noConversion"/>
  </si>
  <si>
    <t>VM_KE_MACH</t>
    <phoneticPr fontId="4" type="noConversion"/>
  </si>
  <si>
    <t>Korea Environmental Machinery</t>
  </si>
  <si>
    <t>한국환경기계㈜</t>
    <phoneticPr fontId="4" type="noConversion"/>
  </si>
  <si>
    <t>VM_HD_VALVE</t>
    <phoneticPr fontId="4" type="noConversion"/>
  </si>
  <si>
    <t>Hyundai Valve</t>
    <phoneticPr fontId="4" type="noConversion"/>
  </si>
  <si>
    <t>현대밸브</t>
    <phoneticPr fontId="4" type="noConversion"/>
  </si>
  <si>
    <t>VM_WJ_MACH</t>
  </si>
  <si>
    <t>WOO JIN MACH, Co., Ltd</t>
  </si>
  <si>
    <t>우진열기</t>
  </si>
  <si>
    <t>VM_SJ_MTEC</t>
  </si>
  <si>
    <t>Sungjin M-Tec Co., Ltd</t>
  </si>
  <si>
    <t>성진엠텍</t>
  </si>
  <si>
    <t>VM_DB_ENG</t>
  </si>
  <si>
    <t>DAI BONG ENGINEERING</t>
  </si>
  <si>
    <t>(주)대봉엔지니어링</t>
  </si>
  <si>
    <t>VM_DY_BLR</t>
  </si>
  <si>
    <t>DAEYEOL BOILER Co,. Ltd</t>
  </si>
  <si>
    <t>(주)대열보일러</t>
  </si>
  <si>
    <t>VM_TSNTEC</t>
  </si>
  <si>
    <t>TSNTEC Co., Ltd</t>
  </si>
  <si>
    <t>(주)티에스엔텍</t>
  </si>
  <si>
    <t>VM_WILO</t>
  </si>
  <si>
    <t>Wilo Pumps Ltd.</t>
  </si>
  <si>
    <t>윌로펌프(주)</t>
  </si>
  <si>
    <t>VM_DH_GEN</t>
  </si>
  <si>
    <t>DAEHAN GENERATOR Co., Ltd.</t>
  </si>
  <si>
    <t>대한발전기(주)</t>
  </si>
  <si>
    <t>장비코드</t>
    <phoneticPr fontId="2" type="noConversion"/>
  </si>
  <si>
    <t>장비유형</t>
    <phoneticPr fontId="2" type="noConversion"/>
  </si>
  <si>
    <t>공급업체명</t>
    <phoneticPr fontId="2" type="noConversion"/>
  </si>
  <si>
    <t>모델명</t>
    <phoneticPr fontId="2" type="noConversion"/>
  </si>
  <si>
    <t>용량(㎥)</t>
  </si>
  <si>
    <t>수량</t>
  </si>
  <si>
    <t>단위</t>
  </si>
  <si>
    <t>호표(1)</t>
  </si>
  <si>
    <t>분류</t>
  </si>
  <si>
    <t>단가(원)</t>
    <phoneticPr fontId="2" type="noConversion"/>
  </si>
  <si>
    <t>견적가(원)</t>
    <phoneticPr fontId="2" type="noConversion"/>
  </si>
  <si>
    <t>단가출처</t>
    <phoneticPr fontId="1" type="noConversion"/>
  </si>
  <si>
    <t>사용여부</t>
    <phoneticPr fontId="2" type="noConversion"/>
  </si>
  <si>
    <t>장비설명</t>
    <phoneticPr fontId="2" type="noConversion"/>
  </si>
  <si>
    <t>단위시스템코드</t>
    <phoneticPr fontId="1" type="noConversion"/>
  </si>
  <si>
    <t>equipment_code</t>
    <phoneticPr fontId="4" type="noConversion"/>
  </si>
  <si>
    <t>작업용 필드</t>
    <phoneticPr fontId="2" type="noConversion"/>
  </si>
  <si>
    <t>equipment_type</t>
    <phoneticPr fontId="2" type="noConversion"/>
  </si>
  <si>
    <t>model_number</t>
  </si>
  <si>
    <t>i_capacity_m3</t>
  </si>
  <si>
    <t>i_no_EA</t>
  </si>
  <si>
    <t>s_unit_NONE</t>
  </si>
  <si>
    <t>s_primary_item_no_NONE</t>
  </si>
  <si>
    <t>s_remark_NONE</t>
  </si>
  <si>
    <t>o_unit_price_KRW</t>
  </si>
  <si>
    <t>o_invoice_price_KRW</t>
  </si>
  <si>
    <t>o_price_reference</t>
    <phoneticPr fontId="1" type="noConversion"/>
  </si>
  <si>
    <t>is_active</t>
  </si>
  <si>
    <t>unit_system_code</t>
    <phoneticPr fontId="1" type="noConversion"/>
  </si>
  <si>
    <t>식</t>
  </si>
  <si>
    <t>공법</t>
  </si>
  <si>
    <t>견적가</t>
  </si>
  <si>
    <t>열량(kcal/hr)</t>
  </si>
  <si>
    <t>용량(kg/h)</t>
  </si>
  <si>
    <t>동력(kW)</t>
    <phoneticPr fontId="2" type="noConversion"/>
  </si>
  <si>
    <t>기동방식</t>
    <phoneticPr fontId="2" type="noConversion"/>
  </si>
  <si>
    <t>정격전압(V)</t>
    <phoneticPr fontId="2" type="noConversion"/>
  </si>
  <si>
    <t>효율(%)</t>
    <phoneticPr fontId="2" type="noConversion"/>
  </si>
  <si>
    <t>역률(%)</t>
    <phoneticPr fontId="2" type="noConversion"/>
  </si>
  <si>
    <t>수용율(%)</t>
    <phoneticPr fontId="2" type="noConversion"/>
  </si>
  <si>
    <t>총중량(kg)</t>
    <phoneticPr fontId="2" type="noConversion"/>
  </si>
  <si>
    <t>i_calorie_kcal_h</t>
  </si>
  <si>
    <t>i_capacity_kg_h</t>
  </si>
  <si>
    <t>s_power_kW</t>
  </si>
  <si>
    <t>s_ctrl_method</t>
    <phoneticPr fontId="2" type="noConversion"/>
  </si>
  <si>
    <t>s_rated_volt_V</t>
    <phoneticPr fontId="2" type="noConversion"/>
  </si>
  <si>
    <t>s_efficiency_percent</t>
    <phoneticPr fontId="2" type="noConversion"/>
  </si>
  <si>
    <t>s_pwr_factor_percent</t>
    <phoneticPr fontId="2" type="noConversion"/>
  </si>
  <si>
    <t>s_demand_factor_percent</t>
    <phoneticPr fontId="2" type="noConversion"/>
  </si>
  <si>
    <t>s_total_wgt_kg</t>
  </si>
  <si>
    <t>물가자료26년4월호908Page</t>
  </si>
  <si>
    <t>초저녹스 고효율 콘덴싱 보일러</t>
  </si>
  <si>
    <t>초저녹스 고효율 콘덴싱 중온수 보일러</t>
  </si>
  <si>
    <t>DMXR-1.5PG</t>
  </si>
  <si>
    <t>DMXR-2.5PG</t>
  </si>
  <si>
    <t>DMXR-3.5PG</t>
  </si>
  <si>
    <t>DMXR-4.5PG</t>
  </si>
  <si>
    <t>DMXR-5.5PG</t>
  </si>
  <si>
    <t>DMXR-6.5PG</t>
  </si>
  <si>
    <t>용량(N㎥/hr)</t>
  </si>
  <si>
    <t>단위</t>
    <phoneticPr fontId="2" type="noConversion"/>
  </si>
  <si>
    <t>호표(1)</t>
    <phoneticPr fontId="2" type="noConversion"/>
  </si>
  <si>
    <t>분류</t>
    <phoneticPr fontId="2" type="noConversion"/>
  </si>
  <si>
    <t>i_capacity_Nm3_h</t>
  </si>
  <si>
    <t>s_demand_factor_percent</t>
  </si>
  <si>
    <t>s_total_wgt_kg</t>
    <phoneticPr fontId="2" type="noConversion"/>
  </si>
  <si>
    <t>s_unit_NONE</t>
    <phoneticPr fontId="2" type="noConversion"/>
  </si>
  <si>
    <t>s_primary_item_no_NONE</t>
    <phoneticPr fontId="2" type="noConversion"/>
  </si>
  <si>
    <t>s_remark_NONE</t>
    <phoneticPr fontId="2" type="noConversion"/>
  </si>
  <si>
    <t>대</t>
  </si>
  <si>
    <t>견적 필요</t>
  </si>
  <si>
    <t>최대 동력(kW)</t>
  </si>
  <si>
    <t>i_max_power_kW</t>
  </si>
  <si>
    <t>외경(mm)</t>
  </si>
  <si>
    <t>전고(m)</t>
    <phoneticPr fontId="2" type="noConversion"/>
  </si>
  <si>
    <t>s_dia_mm</t>
    <phoneticPr fontId="2" type="noConversion"/>
  </si>
  <si>
    <t>s_height_m</t>
    <phoneticPr fontId="2" type="noConversion"/>
  </si>
  <si>
    <t>AGR2</t>
  </si>
  <si>
    <t>AGR10</t>
  </si>
  <si>
    <t>AGR15</t>
  </si>
  <si>
    <t>AGR20</t>
  </si>
  <si>
    <t>최소 시설용량 기준(㎥/d)</t>
  </si>
  <si>
    <t>최대 시설용량 기준(㎥/d)</t>
  </si>
  <si>
    <t>지수(Basin)</t>
  </si>
  <si>
    <t>s_min_capacity_m3_d</t>
    <phoneticPr fontId="2" type="noConversion"/>
  </si>
  <si>
    <t>i_max_capacity_m3_d</t>
  </si>
  <si>
    <t>i_Basin_Basin</t>
  </si>
  <si>
    <t>s_power_kW</t>
    <phoneticPr fontId="2" type="noConversion"/>
  </si>
  <si>
    <t>description</t>
    <phoneticPr fontId="2" type="noConversion"/>
  </si>
  <si>
    <t>BCS가축분뇨</t>
  </si>
  <si>
    <t>SET</t>
    <phoneticPr fontId="2" type="noConversion"/>
  </si>
  <si>
    <t>공법</t>
    <phoneticPr fontId="2" type="noConversion"/>
  </si>
  <si>
    <t>2지 기준</t>
  </si>
  <si>
    <t>BCS하수</t>
  </si>
  <si>
    <t>4지 기준</t>
  </si>
  <si>
    <t>BBF하수</t>
  </si>
  <si>
    <t>8지 기준</t>
  </si>
  <si>
    <t>12지 기준</t>
  </si>
  <si>
    <t>SET</t>
  </si>
  <si>
    <t>1지 기준</t>
  </si>
  <si>
    <t>회전수(rpm)</t>
    <phoneticPr fontId="2" type="noConversion"/>
  </si>
  <si>
    <t>교반용적(㎥)</t>
    <phoneticPr fontId="2" type="noConversion"/>
  </si>
  <si>
    <t>s_no_revolutions_rpm</t>
    <phoneticPr fontId="2" type="noConversion"/>
  </si>
  <si>
    <t>i_agitated_volume_m3</t>
  </si>
  <si>
    <t>SMS-044-2B</t>
  </si>
  <si>
    <t>삼진공업</t>
  </si>
  <si>
    <t>EA</t>
    <phoneticPr fontId="2" type="noConversion"/>
  </si>
  <si>
    <t>일반</t>
    <phoneticPr fontId="2" type="noConversion"/>
  </si>
  <si>
    <t>SMS-084-2B</t>
  </si>
  <si>
    <t>SMS-154-3B</t>
  </si>
  <si>
    <t>물가자료25년10월호1362Page</t>
  </si>
  <si>
    <t>SMS-158-3B</t>
  </si>
  <si>
    <t>SMS-224-3B</t>
  </si>
  <si>
    <t>SMS-374-3B</t>
  </si>
  <si>
    <t>SMS-228-3B</t>
  </si>
  <si>
    <t>SMS-554-3B</t>
  </si>
  <si>
    <t>SMS-754-3B</t>
  </si>
  <si>
    <t>SMS-378-3B</t>
  </si>
  <si>
    <t>SMS-5512-3B</t>
  </si>
  <si>
    <t>SMS-7512-3B</t>
  </si>
  <si>
    <t>SMS-11012-3B</t>
  </si>
  <si>
    <t>SMS-15016-3B</t>
  </si>
  <si>
    <t>SMS-22016-3B</t>
  </si>
  <si>
    <t>SMS-30016-3B</t>
  </si>
  <si>
    <t>JFAF-27, 하이드로포일형 교반기</t>
  </si>
  <si>
    <t>ECO-VHM-1</t>
  </si>
  <si>
    <t>JFAF-37, 하이드로포일형 교반기</t>
  </si>
  <si>
    <t>ECO-VHM-2</t>
  </si>
  <si>
    <t>JFAF-47, 하이드로포일형 교반기</t>
  </si>
  <si>
    <t>ECO-VHM-3</t>
  </si>
  <si>
    <t>845-0.75kW-4P, AMX조 교반기 (변경)</t>
  </si>
  <si>
    <t>845-1.5kW-4P, AMX조 교반기</t>
  </si>
  <si>
    <t>855-2.2kW-4P, AMX조 교반기</t>
  </si>
  <si>
    <t>855-3.7kW-4P, AMX조 교반기</t>
  </si>
  <si>
    <t>860-5.5kW-4P, AMX조 교반기</t>
  </si>
  <si>
    <t>880-11kW-4P, AMX조 교반기</t>
  </si>
  <si>
    <t>SMX-4-15, 수중 프로펠러 믹서</t>
  </si>
  <si>
    <t>EA</t>
  </si>
  <si>
    <t>최소 용량(㎥/min)</t>
    <phoneticPr fontId="2" type="noConversion"/>
  </si>
  <si>
    <t>최대 용량(㎥/min)</t>
  </si>
  <si>
    <t>최소 용량(㎥/hr)</t>
    <phoneticPr fontId="2" type="noConversion"/>
  </si>
  <si>
    <t>최대 용량(㎥/hr)</t>
    <phoneticPr fontId="2" type="noConversion"/>
  </si>
  <si>
    <t>최소 용량(ml/min)</t>
    <phoneticPr fontId="2" type="noConversion"/>
  </si>
  <si>
    <t>최대 용량(mL/min)</t>
  </si>
  <si>
    <t>최소 양정(m)</t>
    <phoneticPr fontId="2" type="noConversion"/>
  </si>
  <si>
    <t>최대 양정(m)</t>
    <phoneticPr fontId="2" type="noConversion"/>
  </si>
  <si>
    <t>최소 압력(kg/㎠)</t>
    <phoneticPr fontId="2" type="noConversion"/>
  </si>
  <si>
    <t>최대 압력(kg/㎠)</t>
    <phoneticPr fontId="2" type="noConversion"/>
  </si>
  <si>
    <t>토출관경(mm)</t>
    <phoneticPr fontId="2" type="noConversion"/>
  </si>
  <si>
    <t>최소 동력(kW)</t>
  </si>
  <si>
    <t>케이싱 재질</t>
    <phoneticPr fontId="2" type="noConversion"/>
  </si>
  <si>
    <t>임펠라 재질</t>
    <phoneticPr fontId="2" type="noConversion"/>
  </si>
  <si>
    <t>회전자스크류 재질</t>
    <phoneticPr fontId="2" type="noConversion"/>
  </si>
  <si>
    <t>고정자 재질</t>
    <phoneticPr fontId="2" type="noConversion"/>
  </si>
  <si>
    <t>헤드 재질</t>
    <phoneticPr fontId="2" type="noConversion"/>
  </si>
  <si>
    <t>equipment_code</t>
  </si>
  <si>
    <t>s_min_capacity_m3_min</t>
    <phoneticPr fontId="2" type="noConversion"/>
  </si>
  <si>
    <t>i_max_capacity_m3_min</t>
  </si>
  <si>
    <t>s_min_capacity_m3_h</t>
  </si>
  <si>
    <t>i_max_capacity_m3_h</t>
  </si>
  <si>
    <t>s_min_capacity_mL_min</t>
  </si>
  <si>
    <t>i_max_capacity_mL_min</t>
  </si>
  <si>
    <t>s_min_pump_head_m</t>
    <phoneticPr fontId="2" type="noConversion"/>
  </si>
  <si>
    <t>s_max_pump_head_m</t>
  </si>
  <si>
    <t>s_min_press_kg_cm2</t>
    <phoneticPr fontId="2" type="noConversion"/>
  </si>
  <si>
    <t>s_max_press_kg_cm2</t>
    <phoneticPr fontId="2" type="noConversion"/>
  </si>
  <si>
    <t>s_discharge_dia_mm</t>
    <phoneticPr fontId="2" type="noConversion"/>
  </si>
  <si>
    <t>i_min_power_kW</t>
  </si>
  <si>
    <t>i_casing_material_NONE</t>
  </si>
  <si>
    <t>i_impeller_material_NONE</t>
  </si>
  <si>
    <t>i_rotor_material_NONE</t>
  </si>
  <si>
    <t>i_stator_material_NONE</t>
  </si>
  <si>
    <t>i_head_material_NONE</t>
  </si>
  <si>
    <t>50 KSE 0.75T, 수중 모터 펌프(탈착장치)</t>
  </si>
  <si>
    <t>수중오수모터펌프(자동탈착식)</t>
  </si>
  <si>
    <t>동해엔지니어링</t>
    <phoneticPr fontId="2" type="noConversion"/>
  </si>
  <si>
    <t>50DHS-0.75</t>
  </si>
  <si>
    <t>GC200</t>
  </si>
  <si>
    <t>물가자료25년10월호1364Page</t>
  </si>
  <si>
    <t>80 KSE 1.5T, 수중 모터 펌프(탈착장치)</t>
  </si>
  <si>
    <t>80DHS-1.5</t>
  </si>
  <si>
    <t>80 KSE 2.2T, 수중 모터 펌프(탈착장치)</t>
  </si>
  <si>
    <t>80DHS-2.2</t>
  </si>
  <si>
    <t>80 KSE 3.7T, 수중 모터 펌프(탈착장치)</t>
  </si>
  <si>
    <t>80DHS-3.7</t>
  </si>
  <si>
    <t>100 KSE 5.5T, 수중 모터 펌프(탈착장치)</t>
  </si>
  <si>
    <t>100DHS-5.5</t>
  </si>
  <si>
    <t>100 KSE 7.5T, 수중 모터 펌프(탈착장치)</t>
  </si>
  <si>
    <t>100DHS-7.5</t>
  </si>
  <si>
    <t>150 KSE 11T, 수중 모터 펌프(탈착장치)</t>
  </si>
  <si>
    <t>150DHS-3.7</t>
  </si>
  <si>
    <t>150DHS-5.5</t>
  </si>
  <si>
    <t>150DHS-7.5</t>
  </si>
  <si>
    <t>150DHS-11</t>
  </si>
  <si>
    <t>150DHS-15</t>
  </si>
  <si>
    <t>150 KSE 15T, 수중 모터 펌프(탈착장치)</t>
  </si>
  <si>
    <t>150DHS-19</t>
  </si>
  <si>
    <t>150DHS-22</t>
  </si>
  <si>
    <t>200 KSE 22T, 수중 모터 펌프(탈착장치)</t>
  </si>
  <si>
    <t>150DHS-30</t>
  </si>
  <si>
    <t>200DHS-11</t>
  </si>
  <si>
    <t>200DHS-15</t>
  </si>
  <si>
    <t>200DHS-22</t>
  </si>
  <si>
    <t>200 KSE 37T, 수중 모터 펌프(탈착장치)</t>
  </si>
  <si>
    <t>200DHS-30</t>
  </si>
  <si>
    <t>200DHS-37</t>
  </si>
  <si>
    <t>200DHS-55</t>
  </si>
  <si>
    <t>250 KSE 30T, 수중 모터 펌프(탈착장치)</t>
  </si>
  <si>
    <t>250DHS-11</t>
  </si>
  <si>
    <t>250DHS-15</t>
  </si>
  <si>
    <t>250DHS-22</t>
  </si>
  <si>
    <t>250DHS-30</t>
  </si>
  <si>
    <t>250 KSE 37T, 수중 모터 펌프(탈착장치)</t>
  </si>
  <si>
    <t>250DHS-37</t>
  </si>
  <si>
    <t>250 KSE 45T, 수중 모터 펌프(탈착장치)</t>
  </si>
  <si>
    <t>250DHS-45</t>
  </si>
  <si>
    <t>250 KSE 55T, 수중 모터 펌프(탈착장치)</t>
  </si>
  <si>
    <t>250DHS-55</t>
  </si>
  <si>
    <t>250 KSE 75T, 수중 모터 펌프(탈착장치)</t>
  </si>
  <si>
    <t>250DHS-75</t>
  </si>
  <si>
    <t>300 KSE 22T, 수중 모터 펌프(탈착장치)</t>
  </si>
  <si>
    <t>300DHS-15</t>
  </si>
  <si>
    <t>300 KSE 37T, 수중 모터 펌프(탈착장치)</t>
  </si>
  <si>
    <t>300DHS-22</t>
  </si>
  <si>
    <t>300DHS-30</t>
  </si>
  <si>
    <t>300 KSE 45T, 수중 모터 펌프(탈착장치)</t>
  </si>
  <si>
    <t>300DHS-37</t>
  </si>
  <si>
    <t>300DHS-45</t>
  </si>
  <si>
    <t>300 KSE 55T, 수중 모터 펌프(탈착장치)</t>
  </si>
  <si>
    <t>300DHS-55</t>
  </si>
  <si>
    <t>300 KSE 75T, 수중 모터 펌프(탈착장치)</t>
  </si>
  <si>
    <t>300DHS-75</t>
  </si>
  <si>
    <t>400 KSE 37T, 수중 모터 펌프(탈착장치)</t>
  </si>
  <si>
    <t>400DHS-22</t>
  </si>
  <si>
    <t>400DHS-37</t>
  </si>
  <si>
    <t>400 KSE 45T, 수중 모터 펌프(탈착장치)</t>
  </si>
  <si>
    <t>400DHS-45</t>
  </si>
  <si>
    <t>400 KSE 55T, 수중 모터 펌프(탈착장치)</t>
  </si>
  <si>
    <t>400DHS-55</t>
  </si>
  <si>
    <t>400 KSE 75T, 수중 모터 펌프(탈착장치)</t>
  </si>
  <si>
    <t>400DHS-75</t>
  </si>
  <si>
    <t>400DHS-110</t>
  </si>
  <si>
    <t>400DHS-150</t>
  </si>
  <si>
    <t>500 KSE 37T, 수중 모터 펌프(탈착장치)</t>
  </si>
  <si>
    <t>500DHS-45</t>
  </si>
  <si>
    <t>500 KSE 55T, 수중 모터 펌프(탈착장치)</t>
  </si>
  <si>
    <t>500DHS-55</t>
  </si>
  <si>
    <t>500 KSE 75T, 수중 모터 펌프(탈착장치)</t>
  </si>
  <si>
    <t>500DHS-75</t>
  </si>
  <si>
    <t>500DHS-110</t>
  </si>
  <si>
    <t>500DHS-150</t>
  </si>
  <si>
    <t>50 KSE 0.75T, 수중 모터 펌프</t>
  </si>
  <si>
    <t>수중오수모터펌프(VVVF)</t>
  </si>
  <si>
    <t>80 KSE 1.5T, 수중 모터 펌프</t>
  </si>
  <si>
    <t>80 KSE 2.2T, 수중 모터 펌프</t>
  </si>
  <si>
    <t>80 KSE 3.7T, 수중 모터 펌프</t>
  </si>
  <si>
    <t>100 KSE 5.5T, 수중 모터 펌프</t>
  </si>
  <si>
    <t>100 KSE 7.5T, 수중 모터 펌프</t>
  </si>
  <si>
    <t>150 KSE 11T, 수중 모터 펌프</t>
  </si>
  <si>
    <t>150 KSE 15T, 수중 모터 펌프</t>
  </si>
  <si>
    <t>200 KSE 22T, 수중 모터 펌프</t>
  </si>
  <si>
    <t>200 KSE 37T, 수중 모터 펌프</t>
  </si>
  <si>
    <t>250 KSE 30T, 수중 모터 펌프</t>
  </si>
  <si>
    <t>250 KSE 37T, 수중 모터 펌프</t>
  </si>
  <si>
    <t>250 KSE 45T, 수중 모터 펌프</t>
  </si>
  <si>
    <t>250 KSE 55T, 수중 모터 펌프</t>
  </si>
  <si>
    <t>250 KSE 75T, 수중 모터 펌프</t>
  </si>
  <si>
    <t>300 KSE 22T, 수중 모터 펌프</t>
  </si>
  <si>
    <t>300 KSE 37T, 수중 모터 펌프</t>
  </si>
  <si>
    <t>300 KSE 45T, 수중 모터 펌프</t>
  </si>
  <si>
    <t>300 KSE 55T, 수중 모터 펌프</t>
  </si>
  <si>
    <t>300 KSE 75T, 수중 모터 펌프</t>
  </si>
  <si>
    <t>400 KSE 37T, 수중 모터 펌프</t>
  </si>
  <si>
    <t>400 KSE 45T, 수중 모터 펌프</t>
  </si>
  <si>
    <t>400 KSE 55T, 수중 모터 펌프</t>
  </si>
  <si>
    <t>동해엔지니어링</t>
  </si>
  <si>
    <t>400 KSE 75T, 수중 모터 펌프</t>
  </si>
  <si>
    <t>500 KSE 37T, 수중 모터 펌프</t>
  </si>
  <si>
    <t>500 KSE 55T, 수중 모터 펌프</t>
  </si>
  <si>
    <t>500 KSE 75T, 수중 모터 펌프</t>
  </si>
  <si>
    <t>SH 40, 스프르트 펌프</t>
  </si>
  <si>
    <t>정수플로우텍</t>
  </si>
  <si>
    <t>JNP4040160</t>
  </si>
  <si>
    <t>SSC13</t>
  </si>
  <si>
    <t>SH 50, 스프르트 펌프</t>
  </si>
  <si>
    <t>JNP5040160</t>
  </si>
  <si>
    <t>JNP5050200</t>
  </si>
  <si>
    <t>JNP5050250</t>
  </si>
  <si>
    <t>SH 65, 스프르트 펌프</t>
  </si>
  <si>
    <t>JNP6550200</t>
  </si>
  <si>
    <t>SH 80, 스프르트 펌프</t>
  </si>
  <si>
    <t>JNP8065200</t>
  </si>
  <si>
    <t>JNP8065250</t>
  </si>
  <si>
    <t>JNP8080200A</t>
  </si>
  <si>
    <t>JNP8080200B</t>
  </si>
  <si>
    <t>SH 100, 스프르트 펌프</t>
  </si>
  <si>
    <t>JNP10080200A</t>
  </si>
  <si>
    <t>JNP10080200B</t>
  </si>
  <si>
    <t>JNP10080250</t>
  </si>
  <si>
    <t>JNP100100200</t>
  </si>
  <si>
    <t>SH 125, 스프르트 펌프</t>
  </si>
  <si>
    <t>JNP125100200</t>
  </si>
  <si>
    <t>JNP125100250</t>
  </si>
  <si>
    <t>SH 150, 스프르트 펌프</t>
  </si>
  <si>
    <t>JNP150125250</t>
  </si>
  <si>
    <t>JNP150125380</t>
  </si>
  <si>
    <t>SH 200, 스프르트 펌프</t>
  </si>
  <si>
    <t>JNP200150250</t>
  </si>
  <si>
    <t>JNP200150380</t>
  </si>
  <si>
    <t>SH 250, 스프르트 펌프</t>
  </si>
  <si>
    <t>JNP250200380</t>
  </si>
  <si>
    <t>SH 300, 스프르트 펌프</t>
  </si>
  <si>
    <t>JNP300250380</t>
  </si>
  <si>
    <t>JNP300300380</t>
  </si>
  <si>
    <t>SH 350, 스프르트 펌프</t>
  </si>
  <si>
    <t>JNP350300380</t>
  </si>
  <si>
    <t>SH 400, 스프르트 펌프</t>
  </si>
  <si>
    <t>JNP400350430</t>
  </si>
  <si>
    <t>JNP500450550</t>
  </si>
  <si>
    <t>모노펌프, KA15</t>
  </si>
  <si>
    <t>모나스펌프(주)</t>
  </si>
  <si>
    <t>KA15</t>
  </si>
  <si>
    <t>모노펌프, KA20</t>
  </si>
  <si>
    <t>KA20</t>
  </si>
  <si>
    <t>모노펌프, KA30</t>
  </si>
  <si>
    <t>KA30</t>
  </si>
  <si>
    <t>모노펌프, KA40</t>
  </si>
  <si>
    <t>KA40</t>
  </si>
  <si>
    <t>모노펌프, KA50</t>
  </si>
  <si>
    <t>KA50</t>
  </si>
  <si>
    <t>모노펌프, KA60</t>
  </si>
  <si>
    <t>KA60</t>
  </si>
  <si>
    <t>모노펌프, KA80</t>
  </si>
  <si>
    <t>KA80</t>
  </si>
  <si>
    <t>모노펌프, KA100</t>
  </si>
  <si>
    <t>KA100</t>
  </si>
  <si>
    <t>모노펌프, KA120</t>
  </si>
  <si>
    <t>KA120</t>
  </si>
  <si>
    <t>모노펌프, KA150</t>
  </si>
  <si>
    <t>KA150</t>
  </si>
  <si>
    <t>DS-8-3</t>
  </si>
  <si>
    <t>DS-10-3</t>
  </si>
  <si>
    <t>DS-15</t>
  </si>
  <si>
    <t>DS-20</t>
  </si>
  <si>
    <t>DS-30</t>
  </si>
  <si>
    <t>DS-30S</t>
  </si>
  <si>
    <t>DS-40</t>
  </si>
  <si>
    <t>DS-50</t>
  </si>
  <si>
    <t>모노펌프, KA69</t>
  </si>
  <si>
    <t>DS-60</t>
  </si>
  <si>
    <t>DS-60S</t>
  </si>
  <si>
    <t>DS-74</t>
  </si>
  <si>
    <t>모노펌프, KA89</t>
  </si>
  <si>
    <t>DS-80</t>
  </si>
  <si>
    <t>DS-80S</t>
  </si>
  <si>
    <t>DS-100</t>
  </si>
  <si>
    <t>DS-100S</t>
  </si>
  <si>
    <t>DS-120</t>
  </si>
  <si>
    <t>DS-140</t>
  </si>
  <si>
    <t>DS-150</t>
  </si>
  <si>
    <t>천세산업(주)</t>
  </si>
  <si>
    <t>KD-21H</t>
  </si>
  <si>
    <t>PP</t>
  </si>
  <si>
    <t>물가자료25년10월호1353Page</t>
  </si>
  <si>
    <t>KD-61H</t>
  </si>
  <si>
    <t>KD-12H</t>
  </si>
  <si>
    <t>KD-22H</t>
  </si>
  <si>
    <t>KD-52H</t>
  </si>
  <si>
    <t>KD-82H</t>
  </si>
  <si>
    <t>KD-13H</t>
  </si>
  <si>
    <t>KD-23H</t>
  </si>
  <si>
    <t>KD-33L</t>
  </si>
  <si>
    <t>KD-43L</t>
  </si>
  <si>
    <t>KD-73L</t>
  </si>
  <si>
    <t>KD-53L</t>
  </si>
  <si>
    <t>KD-63L</t>
  </si>
  <si>
    <t>KD-33H</t>
  </si>
  <si>
    <t>KD-73H</t>
  </si>
  <si>
    <t>KD-43H</t>
  </si>
  <si>
    <t>KD-63H</t>
  </si>
  <si>
    <t>KD-93M</t>
  </si>
  <si>
    <t>KD-14N</t>
  </si>
  <si>
    <t>KD-14M</t>
  </si>
  <si>
    <t>KD-14H</t>
  </si>
  <si>
    <t>KD-14G</t>
  </si>
  <si>
    <t>KD-24L</t>
  </si>
  <si>
    <t>KD-24S</t>
  </si>
  <si>
    <t>KD-24H</t>
  </si>
  <si>
    <t>KD-34H</t>
  </si>
  <si>
    <t>KD-54L</t>
  </si>
  <si>
    <t>PVDF</t>
  </si>
  <si>
    <t>WOP-1-300</t>
  </si>
  <si>
    <t>일반</t>
  </si>
  <si>
    <t>TURE</t>
  </si>
  <si>
    <t>WOP-1-450</t>
  </si>
  <si>
    <t>WOP-1-600</t>
  </si>
  <si>
    <t>WOP-1-800</t>
  </si>
  <si>
    <t>WOP-1-1000</t>
  </si>
  <si>
    <t>WOP-1-1200</t>
  </si>
  <si>
    <t>WOP-1-1400</t>
  </si>
  <si>
    <t>WOP-1-1700</t>
  </si>
  <si>
    <t>WOP-1-2000</t>
  </si>
  <si>
    <t>WOP-1-2400</t>
  </si>
  <si>
    <t>WOP-1-3000</t>
  </si>
  <si>
    <t>WOP-1-4000</t>
  </si>
  <si>
    <t>모노펌프, KA15 (260312 추가)</t>
  </si>
  <si>
    <t>물가자료26년3월호1346Page</t>
  </si>
  <si>
    <t>모노펌프, KA20 (260312 추가)</t>
  </si>
  <si>
    <t>모노펌프, KA30 (260312 추가)</t>
  </si>
  <si>
    <t>모노펌프, KA40 (260312 추가)</t>
  </si>
  <si>
    <t>모노펌프, KA50 (260312 추가)</t>
  </si>
  <si>
    <t>모노펌프, KA60 (260312 추가)</t>
  </si>
  <si>
    <t>모노펌프, KA69 (260312 추가)</t>
  </si>
  <si>
    <t>모노펌프, KA80 (260312 추가)</t>
  </si>
  <si>
    <t>모노펌프, KA89 (260312 추가)</t>
  </si>
  <si>
    <t>모노펌프, KA100 (260312 추가)</t>
  </si>
  <si>
    <t>모노펌프, KA120 (260312 추가)</t>
  </si>
  <si>
    <t>모노펌프, KA150 (260312 추가)</t>
  </si>
  <si>
    <t>PIL-4003D</t>
  </si>
  <si>
    <t>물가자료26년3월호1340Page</t>
  </si>
  <si>
    <t>PIL-4005D</t>
  </si>
  <si>
    <t>PIL-5005D</t>
  </si>
  <si>
    <t>PIL-5008D</t>
  </si>
  <si>
    <t>PIL-6505D</t>
  </si>
  <si>
    <t>PIL-6508D</t>
  </si>
  <si>
    <t>PIL-8008D</t>
  </si>
  <si>
    <t>PIL-8010D</t>
  </si>
  <si>
    <t>PIL-8015D</t>
  </si>
  <si>
    <t>PIL-1010D</t>
  </si>
  <si>
    <t>PIL-1015D</t>
  </si>
  <si>
    <t>PIL-1020D</t>
  </si>
  <si>
    <t>PIL-1215D</t>
  </si>
  <si>
    <t>PIL-1220D</t>
  </si>
  <si>
    <t>PIL-1225D</t>
  </si>
  <si>
    <t>PIL-1230D</t>
  </si>
  <si>
    <t>PIL-1525D</t>
  </si>
  <si>
    <t>PIL-1530D</t>
  </si>
  <si>
    <t>PIL-1540D</t>
  </si>
  <si>
    <t>PIL-2040D</t>
  </si>
  <si>
    <t>PIL-2050D</t>
  </si>
  <si>
    <t>PIL-2060D</t>
  </si>
  <si>
    <t>관경(mm)</t>
    <phoneticPr fontId="2" type="noConversion"/>
  </si>
  <si>
    <t>압력(㎏/㎠)</t>
    <phoneticPr fontId="2" type="noConversion"/>
  </si>
  <si>
    <t>씰링방식</t>
    <phoneticPr fontId="2" type="noConversion"/>
  </si>
  <si>
    <t>본체재질</t>
    <phoneticPr fontId="2" type="noConversion"/>
  </si>
  <si>
    <t>장비설명</t>
  </si>
  <si>
    <t>i_diameter_mm</t>
  </si>
  <si>
    <t>i_pressure_kgf_cm2</t>
    <phoneticPr fontId="2" type="noConversion"/>
  </si>
  <si>
    <t>s_ctrl_method</t>
  </si>
  <si>
    <t>i_sealing_type_NONE</t>
  </si>
  <si>
    <t>i_body_material_NONE</t>
  </si>
  <si>
    <t>전동식 버터플라이밸브, 200A</t>
  </si>
  <si>
    <t>전동식(1상식) 버터플라이 밸브</t>
    <phoneticPr fontId="2" type="noConversion"/>
  </si>
  <si>
    <t>경진산업</t>
  </si>
  <si>
    <t>고무 시트(EPDM)</t>
  </si>
  <si>
    <t>물가자료25년10월호846Page</t>
  </si>
  <si>
    <t>전동식 버터플라이밸브, 250A</t>
  </si>
  <si>
    <t>GCD450</t>
  </si>
  <si>
    <t>전동식 버터플라이밸브, 300A</t>
  </si>
  <si>
    <t>전동식 버터플라이밸브, 350A</t>
  </si>
  <si>
    <t>전동식 버터플라이밸브, 400A</t>
  </si>
  <si>
    <t>전동식 버터플라이밸브, 450A</t>
  </si>
  <si>
    <t>전동식 버터플라이밸브, 500A</t>
  </si>
  <si>
    <t>전동식 버터플라이밸브, 600A</t>
  </si>
  <si>
    <t>전동식 버터플라이밸브, 700A</t>
  </si>
  <si>
    <t>전동식 버터플라이밸브, 800A</t>
  </si>
  <si>
    <t>전동식 버터플라이밸브, 900A</t>
  </si>
  <si>
    <t>전동식 버터플라이밸브, 1000A</t>
  </si>
  <si>
    <t>전동식 버터플라이밸브, 1100A</t>
  </si>
  <si>
    <t>전동식 버터플라이밸브, 1200A</t>
  </si>
  <si>
    <t>전동식 버터플라이밸브, 1350A</t>
  </si>
  <si>
    <t>전동식 버터플라이밸브, 1500A</t>
  </si>
  <si>
    <t>공압식 버터플라이밸브 (싱글), 200A</t>
  </si>
  <si>
    <t>공압식 버터플라이밸브 (싱글), 250A</t>
  </si>
  <si>
    <t>공압식 버터플라이밸브 (싱글), 300A</t>
  </si>
  <si>
    <t>공압식 버터플라이밸브 (싱글), 350A</t>
  </si>
  <si>
    <t>공압식 버터플라이밸브 (싱글), 400A</t>
  </si>
  <si>
    <t>공압식 버터플라이밸브 (싱글), 450A</t>
  </si>
  <si>
    <t>공압식 버터플라이밸브 (싱글), 500A</t>
  </si>
  <si>
    <t>공압식 버터플라이밸브 (싱글), 600A</t>
  </si>
  <si>
    <t>공압식 버터플라이밸브 (싱글), 700A</t>
  </si>
  <si>
    <t>공압식 버터플라이밸브 (싱글), 800A</t>
  </si>
  <si>
    <t>공압식 버터플라이밸브 (싱글), 900A</t>
  </si>
  <si>
    <t>공압식 버터플라이밸브 (싱글), 1000A</t>
  </si>
  <si>
    <t>현대밸브</t>
  </si>
  <si>
    <t>물가자료25년10월호856Page</t>
  </si>
  <si>
    <t>물가자료26년3월호854Page</t>
  </si>
  <si>
    <t>공압식 버터플라이밸브 (싱글), 40A</t>
  </si>
  <si>
    <t>공압식 버터플라이밸브 (싱글), 50A</t>
  </si>
  <si>
    <t>공압식 버터플라이밸브 (싱글), 65A</t>
  </si>
  <si>
    <t>공압식 버터플라이밸브 (싱글), 80A</t>
  </si>
  <si>
    <t>공압식 버터플라이밸브 (싱글), 100A</t>
  </si>
  <si>
    <t>공압식 버터플라이밸브 (싱글), 125A</t>
  </si>
  <si>
    <t>공압식 버터플라이밸브 (싱글), 150A</t>
  </si>
  <si>
    <t>물가자료26년4월호856Page</t>
  </si>
  <si>
    <t>전동식 나이프게이트밸브, 50A</t>
  </si>
  <si>
    <t>전동식 나이프게이트밸브, 65A</t>
  </si>
  <si>
    <t>전동식 나이프게이트밸브, 80A</t>
  </si>
  <si>
    <t>전동식 나이프게이트밸브, 100A</t>
  </si>
  <si>
    <t>전동식 나이프게이트밸브, 125A</t>
  </si>
  <si>
    <t>전동식 나이프게이트밸브, 150A</t>
  </si>
  <si>
    <t>전동식 나이프게이트밸브, 200A</t>
  </si>
  <si>
    <t>전동식 나이프게이트밸브, 250A</t>
  </si>
  <si>
    <t>전동식 나이프게이트밸브, 300A</t>
  </si>
  <si>
    <t>전동식 나이프게이트밸브, 350A</t>
  </si>
  <si>
    <t>전동식 나이프게이트밸브, 400A</t>
  </si>
  <si>
    <t>전동식 나이프게이트밸브, 450A</t>
  </si>
  <si>
    <t>전동식 나이프게이트밸브, 500A</t>
  </si>
  <si>
    <t>전동식 나이프게이트밸브, 600A</t>
  </si>
  <si>
    <t>전동식 나이프게이트밸브, 700A</t>
  </si>
  <si>
    <t>전동식 나이프게이트밸브, 800A</t>
  </si>
  <si>
    <t>전동식 나이프게이트밸브, 900A</t>
  </si>
  <si>
    <t>전동식 나이프게이트밸브, 1000A</t>
  </si>
  <si>
    <t>전동식 나이프게이트밸브, 1100A</t>
  </si>
  <si>
    <t>전동식 나이프게이트밸브, 1200A</t>
  </si>
  <si>
    <t>전동식 나이프게이트밸브, 1350A</t>
  </si>
  <si>
    <t>전동식 나이프게이트밸브, 1500A</t>
  </si>
  <si>
    <t>장비코드</t>
  </si>
  <si>
    <t>장비유형</t>
  </si>
  <si>
    <t>공급업체명</t>
  </si>
  <si>
    <t>모델명</t>
  </si>
  <si>
    <t>관경(mm)</t>
  </si>
  <si>
    <t>토출압력(mmAq)</t>
    <phoneticPr fontId="2" type="noConversion"/>
  </si>
  <si>
    <t>동력(kW)</t>
  </si>
  <si>
    <t>정격전압(V)</t>
  </si>
  <si>
    <t>효율(%)</t>
  </si>
  <si>
    <t>역률(%)</t>
  </si>
  <si>
    <t>수용율(%)</t>
  </si>
  <si>
    <t>총중량(kg)</t>
  </si>
  <si>
    <t>단가(원)</t>
  </si>
  <si>
    <t>견적가(원)</t>
  </si>
  <si>
    <t>단가출처</t>
  </si>
  <si>
    <t>사용여부</t>
  </si>
  <si>
    <t>단위시스템코드</t>
  </si>
  <si>
    <t>작업용 필드</t>
  </si>
  <si>
    <t>equipment_type</t>
  </si>
  <si>
    <t>i_discharge_pressure_mmAq</t>
    <phoneticPr fontId="2" type="noConversion"/>
  </si>
  <si>
    <t>s_rated_volt_V</t>
  </si>
  <si>
    <t>s_efficiency_percent</t>
  </si>
  <si>
    <t>s_pwr_factor_percent</t>
  </si>
  <si>
    <t>o_price_reference</t>
  </si>
  <si>
    <t>unit_system_code</t>
  </si>
  <si>
    <t>전동식 버터플라이밸브, 32A</t>
  </si>
  <si>
    <t>전동밸브 AGR(2㎥)</t>
  </si>
  <si>
    <t>AGR SKID 포함</t>
  </si>
  <si>
    <t>전동식 버터플라이밸브, 80A</t>
  </si>
  <si>
    <t>전동밸브 AGR(10㎥)</t>
  </si>
  <si>
    <t>전동식 버터플라이밸브, 100A</t>
  </si>
  <si>
    <t>전동밸브 AGR(15㎥)</t>
  </si>
  <si>
    <t>전동식 버터플라이밸브, 150A</t>
  </si>
  <si>
    <t>전동밸브 AGR(20㎥)</t>
  </si>
  <si>
    <t>스프르트펌프 AGR(2㎥)</t>
  </si>
  <si>
    <t>스프르트펌프 AGR(10㎥)</t>
  </si>
  <si>
    <t>스프르트펌프 AGR(15㎥)</t>
  </si>
  <si>
    <t>스프르트펌프 AGR(20㎥)</t>
  </si>
  <si>
    <t>링블로워, iHG-029</t>
  </si>
  <si>
    <t>링블로워 AGR</t>
  </si>
  <si>
    <t>AGR SKID 포함 (상세설계 필요)</t>
  </si>
  <si>
    <t>링블로워, iHG-129</t>
  </si>
  <si>
    <t>링블로워, iHG-229</t>
  </si>
  <si>
    <t>링블로워, iHG-329</t>
  </si>
  <si>
    <t>링블로워, iHG-339</t>
  </si>
  <si>
    <t>링블로워, iHG-429</t>
  </si>
  <si>
    <t>링블로워, iHG-439</t>
  </si>
  <si>
    <t>링블로워, iHG-529</t>
  </si>
  <si>
    <t>링블로워, iHG-629</t>
  </si>
  <si>
    <t>링블로워, iHG-639</t>
  </si>
  <si>
    <t>링블로워, iHG-729</t>
  </si>
  <si>
    <t>링블로워, iHG-829</t>
  </si>
  <si>
    <t>링블로워, iHG-929</t>
  </si>
  <si>
    <t>링블로워, iHG-939</t>
  </si>
  <si>
    <t>내관 관경(mm)</t>
  </si>
  <si>
    <t>외관 관경(mm)</t>
  </si>
  <si>
    <t>s_inner_dia_mm</t>
  </si>
  <si>
    <t>s_outer_dia_mm</t>
  </si>
  <si>
    <t>이중관식 열교환기, 25A</t>
  </si>
  <si>
    <t>이중관식 열교환기, 40A</t>
  </si>
  <si>
    <t>이중관식 열교환기, 65A</t>
  </si>
  <si>
    <t>이중관식 열교환기, 80A</t>
  </si>
  <si>
    <t>이중관식 열교환기, 100A</t>
  </si>
  <si>
    <t>이중관식 열교환기, 150A</t>
  </si>
  <si>
    <t>용적(㎥)</t>
  </si>
  <si>
    <t>i_volume_m3</t>
  </si>
  <si>
    <t>산기면적(m2)</t>
  </si>
  <si>
    <t>최소 용량(mL/min)</t>
  </si>
  <si>
    <t>헤더개수</t>
  </si>
  <si>
    <t>헤더관경</t>
  </si>
  <si>
    <t>노즐관경</t>
  </si>
  <si>
    <r>
      <t xml:space="preserve">직경 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 xml:space="preserve"> (mm)</t>
    </r>
    <phoneticPr fontId="2" type="noConversion"/>
  </si>
  <si>
    <t>i_diffuse_area_m2</t>
  </si>
  <si>
    <t>i_min_capacity_mL_min</t>
  </si>
  <si>
    <t>i_no_NONE</t>
  </si>
  <si>
    <t>s_no_header</t>
  </si>
  <si>
    <t>s_h_dia_phi_mm</t>
  </si>
  <si>
    <t>s_n_dia_phi_mm</t>
  </si>
  <si>
    <t>s_dia_phi_mm</t>
  </si>
  <si>
    <t>세인이엔씨</t>
  </si>
  <si>
    <t>KA-L</t>
  </si>
  <si>
    <t>폭(m)</t>
    <phoneticPr fontId="2" type="noConversion"/>
  </si>
  <si>
    <t>길이(m)</t>
    <phoneticPr fontId="2" type="noConversion"/>
  </si>
  <si>
    <t>외경(m)</t>
    <phoneticPr fontId="2" type="noConversion"/>
  </si>
  <si>
    <t>수면고(m)</t>
    <phoneticPr fontId="2" type="noConversion"/>
  </si>
  <si>
    <t>s_width_m</t>
    <phoneticPr fontId="2" type="noConversion"/>
  </si>
  <si>
    <t>s_length_m</t>
    <phoneticPr fontId="2" type="noConversion"/>
  </si>
  <si>
    <t>s_dia_m</t>
    <phoneticPr fontId="2" type="noConversion"/>
  </si>
  <si>
    <t>s_water_height_m</t>
    <phoneticPr fontId="2" type="noConversion"/>
  </si>
  <si>
    <t>PE 원형탱크, HJ-002</t>
  </si>
  <si>
    <t>아일수지공업㈜</t>
    <phoneticPr fontId="2" type="noConversion"/>
  </si>
  <si>
    <t>EG-200</t>
  </si>
  <si>
    <t>물가자료25년10월호884Page</t>
  </si>
  <si>
    <t>PE 원형탱크, HJ-004</t>
  </si>
  <si>
    <t>EG-400</t>
  </si>
  <si>
    <t>PE 원형탱크, HJ-005</t>
  </si>
  <si>
    <t>EG-500</t>
  </si>
  <si>
    <t>PE 원형탱크, HJ-006</t>
  </si>
  <si>
    <t>EG-600</t>
  </si>
  <si>
    <t>PE 원형탱크, HJ-008</t>
  </si>
  <si>
    <t>EG-800</t>
  </si>
  <si>
    <t>PE 원형탱크, HJ-010</t>
  </si>
  <si>
    <t>EG-1000</t>
  </si>
  <si>
    <t>PE 원형탱크, HJ-015</t>
  </si>
  <si>
    <t>EG-1500</t>
  </si>
  <si>
    <t>PE 원형탱크, HJ-020</t>
  </si>
  <si>
    <t>EG-2000</t>
  </si>
  <si>
    <t>PE 원형탱크, HJ-030</t>
  </si>
  <si>
    <t>EG-3000</t>
  </si>
  <si>
    <t>PE 원형탱크, HJ-040</t>
  </si>
  <si>
    <t>EG-4000</t>
  </si>
  <si>
    <t>PE 원형탱크, HJ-050</t>
  </si>
  <si>
    <t>EG-5000</t>
  </si>
  <si>
    <t>PE 원형탱크, HJ-060</t>
  </si>
  <si>
    <t>EG-6000</t>
  </si>
  <si>
    <t>PE 원형탱크, HJ-080</t>
  </si>
  <si>
    <t>EG-8000</t>
  </si>
  <si>
    <t>PE 원형탱크, HJ-100</t>
  </si>
  <si>
    <t>EG-10000</t>
  </si>
  <si>
    <t>PE 원형탱크, HJ-150</t>
  </si>
  <si>
    <t>EG-15000</t>
  </si>
  <si>
    <t>PE 원형탱크, HJ-200</t>
  </si>
  <si>
    <t>EG-20000</t>
  </si>
  <si>
    <t>PE 원형탱크, HJ-300</t>
  </si>
  <si>
    <t>EG-30000</t>
  </si>
  <si>
    <t>PE 원형탱크, HG-400</t>
  </si>
  <si>
    <t>EG-40000</t>
  </si>
  <si>
    <t>PE 원형탱크, HG-500</t>
  </si>
  <si>
    <t>EG-50000</t>
  </si>
  <si>
    <t>원형 STS 탱크_3</t>
  </si>
  <si>
    <t>원진</t>
  </si>
  <si>
    <t>WJ</t>
  </si>
  <si>
    <t>물가자료25년10월호885Page</t>
  </si>
  <si>
    <t>원형 STS 탱크_5</t>
  </si>
  <si>
    <t>원형 STS 탱크_6</t>
  </si>
  <si>
    <t>원형 STS 탱크_8</t>
  </si>
  <si>
    <t>원형 STS 탱크_10</t>
  </si>
  <si>
    <t>원형 STS 탱크_15</t>
  </si>
  <si>
    <t>원형 STS 탱크_20</t>
  </si>
  <si>
    <t>원형 STS 탱크_25</t>
  </si>
  <si>
    <t>원형 STS 탱크_30</t>
  </si>
  <si>
    <t>원형 STS 탱크_40</t>
  </si>
  <si>
    <t>원형 STS 탱크_50</t>
  </si>
  <si>
    <t>원형 STS 탱크_60</t>
  </si>
  <si>
    <t>원형 STS 탱크_70</t>
  </si>
  <si>
    <t>원형 STS 탱크_80</t>
  </si>
  <si>
    <t>원형 STS 탱크_90</t>
  </si>
  <si>
    <t>원형 STS 탱크_100</t>
  </si>
  <si>
    <t>원형 STS 탱크_120</t>
  </si>
  <si>
    <t>원형 STS 탱크_150</t>
  </si>
  <si>
    <t>원형 STS 탱크_180</t>
  </si>
  <si>
    <t>원형 STS 탱크_200</t>
  </si>
  <si>
    <t>원형 STS 탱크_250</t>
  </si>
  <si>
    <t>원형 STS 탱크_300</t>
  </si>
  <si>
    <t>원형 STS 탱크_350</t>
  </si>
  <si>
    <t>사각STS탱크_6</t>
  </si>
  <si>
    <t>WJPC-N</t>
  </si>
  <si>
    <t>사각STS탱크_8</t>
  </si>
  <si>
    <t>사각STS탱크_10</t>
  </si>
  <si>
    <t>사각STS탱크_12</t>
  </si>
  <si>
    <t>사각STS탱크_15</t>
  </si>
  <si>
    <t>사각STS탱크_20</t>
  </si>
  <si>
    <t>사각STS탱크_25</t>
  </si>
  <si>
    <t>사각STS탱크_30</t>
  </si>
  <si>
    <t>사각STS탱크_35</t>
  </si>
  <si>
    <t>사각STS탱크_40</t>
  </si>
  <si>
    <t>사각STS탱크_45</t>
  </si>
  <si>
    <t>사각STS탱크_50</t>
  </si>
  <si>
    <t>사각STS탱크_55</t>
  </si>
  <si>
    <t>사각STS탱크_60</t>
  </si>
  <si>
    <t>사각STS탱크_65</t>
  </si>
  <si>
    <t>사각STS탱크_70</t>
  </si>
  <si>
    <t>사각STS탱크_75</t>
  </si>
  <si>
    <t>사각STS탱크_80</t>
  </si>
  <si>
    <t>사각STS탱크_85</t>
  </si>
  <si>
    <t>사각STS탱크_90</t>
  </si>
  <si>
    <t>사각STS탱크_95</t>
  </si>
  <si>
    <t>사각STS탱크_100</t>
  </si>
  <si>
    <t>사각STS탱크_110</t>
  </si>
  <si>
    <t>사각STS탱크_120</t>
  </si>
  <si>
    <t>사각STS탱크_130</t>
  </si>
  <si>
    <t>사각STS탱크_140</t>
  </si>
  <si>
    <t>사각STS탱크_150</t>
  </si>
  <si>
    <t>사각STS탱크_160</t>
  </si>
  <si>
    <t>사각STS탱크_170</t>
  </si>
  <si>
    <t>사각STS탱크_180</t>
  </si>
  <si>
    <t>사각STS탱크_190</t>
  </si>
  <si>
    <t>사각STS탱크_200</t>
  </si>
  <si>
    <t>사각STS탱크_220</t>
  </si>
  <si>
    <t>사각STS탱크_250</t>
  </si>
  <si>
    <t>사각STS탱크_280</t>
  </si>
  <si>
    <t>최대 용량(㎥/h)</t>
  </si>
  <si>
    <t>유입관경(mm)</t>
    <phoneticPr fontId="2" type="noConversion"/>
  </si>
  <si>
    <t>s_inlet_dia_mm</t>
    <phoneticPr fontId="2" type="noConversion"/>
  </si>
  <si>
    <t>s_body_material</t>
    <phoneticPr fontId="2" type="noConversion"/>
  </si>
  <si>
    <t>침사 및 협잡물 제거설비</t>
  </si>
  <si>
    <t>DS-IT-050</t>
  </si>
  <si>
    <t>물가자료25년10월호1028Page</t>
  </si>
  <si>
    <t>DS-IT-150</t>
  </si>
  <si>
    <t>DS-IT-250</t>
  </si>
  <si>
    <t>DS-IT-350</t>
  </si>
  <si>
    <t>DS-IT-400</t>
  </si>
  <si>
    <t>대승엔지니어링</t>
    <phoneticPr fontId="2" type="noConversion"/>
  </si>
  <si>
    <t>DS-IT-450</t>
  </si>
  <si>
    <t>DS-IT-500</t>
  </si>
  <si>
    <t>DS-IT-600</t>
  </si>
  <si>
    <t>DS-IT-700</t>
  </si>
  <si>
    <t>동진기공</t>
  </si>
  <si>
    <t>DMT</t>
  </si>
  <si>
    <t>물가자료25년10월호1001Page</t>
  </si>
  <si>
    <t>동진기공</t>
    <phoneticPr fontId="2" type="noConversion"/>
  </si>
  <si>
    <t>최대 용량(㎥/min)</t>
    <phoneticPr fontId="2" type="noConversion"/>
  </si>
  <si>
    <t>유형 없음</t>
  </si>
  <si>
    <t>터보 블로워(VVVF)</t>
  </si>
  <si>
    <t>MAX10-C60</t>
  </si>
  <si>
    <t>MAX20-C60</t>
  </si>
  <si>
    <t>MAX30-C60</t>
  </si>
  <si>
    <t>MAX30-C70</t>
  </si>
  <si>
    <t>MAX40-C60</t>
  </si>
  <si>
    <t>MAX40-C80</t>
  </si>
  <si>
    <t>MAX40-C90</t>
  </si>
  <si>
    <t>MAX50-C40</t>
  </si>
  <si>
    <t>MAX50-C60</t>
  </si>
  <si>
    <t>MAX50-C80</t>
  </si>
  <si>
    <t>MAX50-C100</t>
  </si>
  <si>
    <t>MAX75-C40</t>
  </si>
  <si>
    <t>MAX75-C60</t>
  </si>
  <si>
    <t>MAX75-C80</t>
  </si>
  <si>
    <t>MAX75-C100</t>
  </si>
  <si>
    <t>MAX75-C150</t>
  </si>
  <si>
    <t>MAX100-C40</t>
  </si>
  <si>
    <t>MAX100-C60</t>
  </si>
  <si>
    <t>MAX100-C80</t>
  </si>
  <si>
    <t>MAX100-C100</t>
  </si>
  <si>
    <t>MAX100-C150</t>
  </si>
  <si>
    <t>MAX150-C40</t>
  </si>
  <si>
    <t>MAX150-C60</t>
  </si>
  <si>
    <t>MAX150-C70</t>
  </si>
  <si>
    <t>MAX150-C80</t>
  </si>
  <si>
    <t>MAX150-C100</t>
  </si>
  <si>
    <t>MAX150-C120</t>
  </si>
  <si>
    <t>MAX200-C40</t>
  </si>
  <si>
    <t>MAX200-C60</t>
  </si>
  <si>
    <t>MAX200-C70</t>
  </si>
  <si>
    <t>MAX200-C80</t>
  </si>
  <si>
    <t>MAX200-C100</t>
  </si>
  <si>
    <t>MAX200-C150</t>
  </si>
  <si>
    <t>MAX250-C60</t>
  </si>
  <si>
    <t>MAX250-C80</t>
  </si>
  <si>
    <t>MAX250-C100</t>
  </si>
  <si>
    <t>MAX250-C120</t>
  </si>
  <si>
    <t>MAX300-C40</t>
  </si>
  <si>
    <t>MAX300-C60</t>
  </si>
  <si>
    <t>MAX300-C80</t>
  </si>
  <si>
    <t>MAX300-C100</t>
  </si>
  <si>
    <t>MAX300-C120</t>
  </si>
  <si>
    <t>MAX300-C150</t>
  </si>
  <si>
    <t>MAX400-C60</t>
  </si>
  <si>
    <t>MAX400-C80</t>
  </si>
  <si>
    <t>MAX400-C100</t>
  </si>
  <si>
    <t>MAX400-C120</t>
  </si>
  <si>
    <t>MAX500-C60</t>
  </si>
  <si>
    <t>MAX500-C80</t>
  </si>
  <si>
    <t>MAX500-C100</t>
  </si>
  <si>
    <t>MAX600-C60</t>
  </si>
  <si>
    <t>MAX600-C80</t>
  </si>
  <si>
    <t>MAX600-C100</t>
  </si>
  <si>
    <t>MAX600-C120</t>
  </si>
  <si>
    <t>MAX800-C60</t>
  </si>
  <si>
    <t>MAX800-C80</t>
  </si>
  <si>
    <t>MAX800-C100</t>
  </si>
  <si>
    <t>루츠 블로워(VVVF)</t>
  </si>
  <si>
    <t>한국유체기계</t>
  </si>
  <si>
    <t>EK-50</t>
  </si>
  <si>
    <t>견적필요</t>
  </si>
  <si>
    <t>EK-65</t>
  </si>
  <si>
    <t>EK-80</t>
  </si>
  <si>
    <t>SL-50</t>
  </si>
  <si>
    <t>SL-65</t>
  </si>
  <si>
    <t>SL-80</t>
  </si>
  <si>
    <t>SL-100</t>
  </si>
  <si>
    <t>SL-125</t>
  </si>
  <si>
    <t>SL-125L</t>
  </si>
  <si>
    <t>SL-150</t>
  </si>
  <si>
    <t>SL-150L</t>
  </si>
  <si>
    <t>SL-200</t>
  </si>
  <si>
    <t>EK-100</t>
  </si>
  <si>
    <t>EK-125</t>
  </si>
  <si>
    <t>EK-150</t>
  </si>
  <si>
    <t>EK-200</t>
  </si>
  <si>
    <t>EK-250</t>
  </si>
  <si>
    <t>EK-300</t>
  </si>
  <si>
    <t>EK-350</t>
  </si>
  <si>
    <t>EK-400</t>
  </si>
  <si>
    <t>EK-500</t>
  </si>
  <si>
    <t>추가(3D등록 완료함_EK모델만)</t>
  </si>
  <si>
    <t>루츠 블로워</t>
  </si>
  <si>
    <t>추가</t>
  </si>
  <si>
    <t>산소전달량(kg.O2/hr)</t>
    <phoneticPr fontId="2" type="noConversion"/>
  </si>
  <si>
    <t>i_o2_transfer_rate_kgO2_h</t>
  </si>
  <si>
    <t>AQR-22D</t>
  </si>
  <si>
    <t>공법기자재(정격전류 7.1A)</t>
  </si>
  <si>
    <t>AQR-37D</t>
  </si>
  <si>
    <t>공법기자재(정격전류 10.7A)</t>
  </si>
  <si>
    <t>AQR-55D</t>
  </si>
  <si>
    <t>공법기자재(정격전류 16.6A)</t>
  </si>
  <si>
    <t>AQR-75D</t>
  </si>
  <si>
    <t>공법기자재(정격전류 22.3A)</t>
  </si>
  <si>
    <t>AQR-110D</t>
  </si>
  <si>
    <t>공법기자재(정격전류 31.8A)</t>
  </si>
  <si>
    <t>AQR-150D</t>
  </si>
  <si>
    <t>공법기자재(정격전류 45.8A)</t>
  </si>
  <si>
    <t>AQR-220D</t>
  </si>
  <si>
    <t>공법기자재</t>
  </si>
  <si>
    <t>AQR-300D</t>
  </si>
  <si>
    <t>BKD-80</t>
  </si>
  <si>
    <t>BKD-100</t>
  </si>
  <si>
    <t>BKD-125</t>
  </si>
  <si>
    <t>BKD-150</t>
  </si>
  <si>
    <t>BKD-200</t>
  </si>
  <si>
    <t>BKD-250</t>
  </si>
  <si>
    <t>BKD-300</t>
  </si>
  <si>
    <t>처리용량(㎥/h)</t>
  </si>
  <si>
    <t>혼화조 폭(m)</t>
    <phoneticPr fontId="2" type="noConversion"/>
  </si>
  <si>
    <t>혼화조 길이(m)</t>
    <phoneticPr fontId="2" type="noConversion"/>
  </si>
  <si>
    <t>혼화조 유효높이(m)</t>
    <phoneticPr fontId="2" type="noConversion"/>
  </si>
  <si>
    <t>혼화조 높이(m)</t>
    <phoneticPr fontId="2" type="noConversion"/>
  </si>
  <si>
    <t>응집조 폭(m)</t>
    <phoneticPr fontId="2" type="noConversion"/>
  </si>
  <si>
    <t>응집조 길이(m)</t>
    <phoneticPr fontId="2" type="noConversion"/>
  </si>
  <si>
    <t>응집조 유효높이(m)</t>
    <phoneticPr fontId="2" type="noConversion"/>
  </si>
  <si>
    <t>응집조 높이(m)</t>
    <phoneticPr fontId="2" type="noConversion"/>
  </si>
  <si>
    <t>부상조 폭(m)</t>
    <phoneticPr fontId="2" type="noConversion"/>
  </si>
  <si>
    <t>부상조 길이(m)</t>
    <phoneticPr fontId="2" type="noConversion"/>
  </si>
  <si>
    <t>부상조 총 길이(m)</t>
    <phoneticPr fontId="2" type="noConversion"/>
  </si>
  <si>
    <t>부상조 유효높이(m)</t>
    <phoneticPr fontId="2" type="noConversion"/>
  </si>
  <si>
    <t>부상조 높이(m)</t>
    <phoneticPr fontId="2" type="noConversion"/>
  </si>
  <si>
    <t>노즐용량(LPM)</t>
    <phoneticPr fontId="2" type="noConversion"/>
  </si>
  <si>
    <t>노즐 개수</t>
    <phoneticPr fontId="2" type="noConversion"/>
  </si>
  <si>
    <t>i_capacity_m3_h</t>
  </si>
  <si>
    <t>s_w_mix_tank_m</t>
    <phoneticPr fontId="2" type="noConversion"/>
  </si>
  <si>
    <t>s_l_mix_tank_m</t>
    <phoneticPr fontId="2" type="noConversion"/>
  </si>
  <si>
    <t>s_he_mix_tank_m</t>
    <phoneticPr fontId="2" type="noConversion"/>
  </si>
  <si>
    <t>s_h_mix_tank_m</t>
    <phoneticPr fontId="2" type="noConversion"/>
  </si>
  <si>
    <t>s_w_floc_tank_m</t>
    <phoneticPr fontId="2" type="noConversion"/>
  </si>
  <si>
    <t>s_l_floc_tank_m</t>
    <phoneticPr fontId="2" type="noConversion"/>
  </si>
  <si>
    <t>s_he_floc_tank_m</t>
    <phoneticPr fontId="2" type="noConversion"/>
  </si>
  <si>
    <t>s_h_floc_tank_m</t>
    <phoneticPr fontId="2" type="noConversion"/>
  </si>
  <si>
    <t>s_w_float_tank_m</t>
    <phoneticPr fontId="2" type="noConversion"/>
  </si>
  <si>
    <t>s_l_float_tank_m</t>
    <phoneticPr fontId="2" type="noConversion"/>
  </si>
  <si>
    <t>s_tl_float_tankm</t>
    <phoneticPr fontId="2" type="noConversion"/>
  </si>
  <si>
    <t>s_he_float_tank_m</t>
    <phoneticPr fontId="2" type="noConversion"/>
  </si>
  <si>
    <t>s_h_float_tank_m</t>
    <phoneticPr fontId="2" type="noConversion"/>
  </si>
  <si>
    <t>s_capacity_nozzle_l_m</t>
    <phoneticPr fontId="2" type="noConversion"/>
  </si>
  <si>
    <t>s_no_nozzle</t>
    <phoneticPr fontId="2" type="noConversion"/>
  </si>
  <si>
    <t>VDAF-07</t>
  </si>
  <si>
    <t>VDAF-10</t>
  </si>
  <si>
    <t>VDAF-15</t>
  </si>
  <si>
    <t>VDAF-20</t>
  </si>
  <si>
    <t>VDAF-30</t>
  </si>
  <si>
    <t>VDAF-50</t>
  </si>
  <si>
    <t>VDAF-75</t>
  </si>
  <si>
    <t>VDAF-100</t>
  </si>
  <si>
    <t>VDAF-150</t>
  </si>
  <si>
    <t>VDAF-200</t>
  </si>
  <si>
    <t>VDAF-07-H</t>
  </si>
  <si>
    <t>VDAF-10-H</t>
  </si>
  <si>
    <t>VDAF-15-H</t>
  </si>
  <si>
    <t>VDAF-20-H</t>
  </si>
  <si>
    <t>VDAF-30-H</t>
  </si>
  <si>
    <t>VDAF-50-H</t>
  </si>
  <si>
    <t>VDAF-75-H</t>
  </si>
  <si>
    <t>VDAF-100-H</t>
  </si>
  <si>
    <t>VDAF-150-H</t>
  </si>
  <si>
    <t>VDAF-30-TP</t>
  </si>
  <si>
    <t>VDAF-50-TP</t>
  </si>
  <si>
    <t>VDAF-75-TP</t>
  </si>
  <si>
    <t>VDAF-100-TP</t>
  </si>
  <si>
    <t>VDAF-150-TP</t>
  </si>
  <si>
    <t>VDAF-200-TP</t>
  </si>
  <si>
    <r>
      <rPr>
        <sz val="11"/>
        <color rgb="FF000000"/>
        <rFont val="Aptos Narrow"/>
        <scheme val="minor"/>
      </rPr>
      <t xml:space="preserve">직경 </t>
    </r>
    <r>
      <rPr>
        <sz val="11"/>
        <color rgb="FF000000"/>
        <rFont val="Calibri"/>
      </rPr>
      <t>Φ</t>
    </r>
    <r>
      <rPr>
        <sz val="11"/>
        <color rgb="FF000000"/>
        <rFont val="Aptos Narrow"/>
        <scheme val="minor"/>
      </rPr>
      <t xml:space="preserve"> (mm)</t>
    </r>
  </si>
  <si>
    <t>벨트 길이</t>
    <phoneticPr fontId="2" type="noConversion"/>
  </si>
  <si>
    <t>3D</t>
  </si>
  <si>
    <t>i_dia_phi_mm</t>
  </si>
  <si>
    <t>s_len_m</t>
    <phoneticPr fontId="2" type="noConversion"/>
  </si>
  <si>
    <t>한국환경기계㈜</t>
  </si>
  <si>
    <t>KSC-01</t>
  </si>
  <si>
    <t>물가자료25년10월호1026Page</t>
  </si>
  <si>
    <t>KSC-02</t>
  </si>
  <si>
    <t>DCY-250</t>
  </si>
  <si>
    <t>물가자료25년10월호1027Page</t>
  </si>
  <si>
    <t>DCY-300</t>
  </si>
  <si>
    <t>DCY-350</t>
  </si>
  <si>
    <t>용량(㎥)</t>
    <phoneticPr fontId="2" type="noConversion"/>
  </si>
  <si>
    <t>유압식 케익호퍼(워크웨이 포함)</t>
  </si>
  <si>
    <t>용량(t)</t>
  </si>
  <si>
    <t>인양(m)</t>
  </si>
  <si>
    <t>주행(m)</t>
  </si>
  <si>
    <t>i_capacity_tonne</t>
  </si>
  <si>
    <t>i_lift_height_m</t>
  </si>
  <si>
    <t>s_travelling_len_m</t>
  </si>
  <si>
    <t>반도 호이스트크레인</t>
  </si>
  <si>
    <t>물가자료25년10월호1308Page</t>
  </si>
  <si>
    <t>용량(㎥/min)</t>
  </si>
  <si>
    <t>펌프 수량</t>
  </si>
  <si>
    <t>토출관경(mm)</t>
  </si>
  <si>
    <t>i_capacity_m3_min</t>
  </si>
  <si>
    <t>i_max_pump_head_m</t>
  </si>
  <si>
    <t>i_no_pumps_NONE</t>
  </si>
  <si>
    <t>동아기공</t>
  </si>
  <si>
    <t>DLP-40-2.2</t>
  </si>
  <si>
    <t>물가자료25년10월호1355Page</t>
  </si>
  <si>
    <t>DLP-40-3.7</t>
  </si>
  <si>
    <t>DLP-50-5.5</t>
  </si>
  <si>
    <t>DLP-50-7.5</t>
  </si>
  <si>
    <t>DLP-50-11</t>
  </si>
  <si>
    <t>DLP-65-15</t>
  </si>
  <si>
    <t>DLP-65-19</t>
  </si>
  <si>
    <t>DLP-65-22</t>
  </si>
  <si>
    <t>DLP-80-30</t>
  </si>
  <si>
    <t>DLP-80-37</t>
  </si>
  <si>
    <t>DLP-125-45</t>
  </si>
  <si>
    <t>DLP-125-55</t>
  </si>
  <si>
    <t>용량(㎥/h)</t>
  </si>
  <si>
    <t>케이팩코리아</t>
  </si>
  <si>
    <t>KP-1000EV</t>
  </si>
  <si>
    <t>물가자료25년10월호1032Page</t>
  </si>
  <si>
    <t>KP-2000EV</t>
  </si>
  <si>
    <t>KP-3000EV</t>
  </si>
  <si>
    <t>KP-4000EV</t>
  </si>
  <si>
    <t>KP-5000EV</t>
  </si>
  <si>
    <t>KP-6000EV</t>
  </si>
  <si>
    <t>KP-8000EV</t>
  </si>
  <si>
    <t>KP-10000EV</t>
  </si>
  <si>
    <t>KP-12000EV</t>
  </si>
  <si>
    <t>KP-14000EV</t>
  </si>
  <si>
    <t>KP-16000EV</t>
  </si>
  <si>
    <t>KP-18000EV</t>
  </si>
  <si>
    <t>KP-20000EV</t>
  </si>
  <si>
    <t>KP-1000EM</t>
  </si>
  <si>
    <t>KP-2000EM</t>
  </si>
  <si>
    <t>KP-3000EM</t>
  </si>
  <si>
    <t>KP-4000EM</t>
  </si>
  <si>
    <t>KP-5000EM</t>
  </si>
  <si>
    <t>KP-6000EM</t>
  </si>
  <si>
    <t>KP-8000EM</t>
  </si>
  <si>
    <t>KP-10000EM</t>
  </si>
  <si>
    <t>3D유형X</t>
  </si>
  <si>
    <t>KP-12000EM</t>
  </si>
  <si>
    <t>KP-14000EM</t>
  </si>
  <si>
    <t>KP-16000EM</t>
  </si>
  <si>
    <t>KP-18000EM</t>
  </si>
  <si>
    <t>KP-20000EM</t>
  </si>
  <si>
    <t>최소 용량(㎥/h)</t>
  </si>
  <si>
    <t>유입관경(mm)</t>
  </si>
  <si>
    <t>반류수 토출관경(mm)</t>
  </si>
  <si>
    <t>s_inlet_dia_mm</t>
  </si>
  <si>
    <t>s_discharge_dia_mm</t>
  </si>
  <si>
    <t>s_min_power_kW</t>
  </si>
  <si>
    <t>이화에코시스템</t>
  </si>
  <si>
    <t>EWHA250MTD</t>
  </si>
  <si>
    <t>물가자료25년10월호1035Page</t>
  </si>
  <si>
    <t>EWHA300MTD</t>
  </si>
  <si>
    <t>EWHA350MTD</t>
  </si>
  <si>
    <t>EWHA400MTD</t>
  </si>
  <si>
    <t>EWHA450MTD</t>
  </si>
  <si>
    <t>EWHA500MTD</t>
  </si>
  <si>
    <t>EWHA550MTD</t>
  </si>
  <si>
    <t>EWHA620MTD</t>
  </si>
  <si>
    <t>EWHA720MTD</t>
  </si>
  <si>
    <t>폭(mm)</t>
  </si>
  <si>
    <t>높이(mm)</t>
  </si>
  <si>
    <t>i_width_mm</t>
  </si>
  <si>
    <t>i_height_mm</t>
  </si>
  <si>
    <t>i_dia_mm</t>
  </si>
  <si>
    <t>물가자료25년10월호217Page</t>
  </si>
  <si>
    <t>ECO-BT</t>
  </si>
  <si>
    <t>EWHA-MS</t>
  </si>
  <si>
    <t>용량(L/min)</t>
  </si>
  <si>
    <t>i_capacity_L_min</t>
  </si>
  <si>
    <t>피스톤식</t>
  </si>
  <si>
    <t>경원콤프레샤</t>
  </si>
  <si>
    <t>AR5</t>
  </si>
  <si>
    <t>AR7</t>
  </si>
  <si>
    <t>AR10</t>
  </si>
  <si>
    <t>AR15</t>
  </si>
  <si>
    <t>AR20</t>
  </si>
  <si>
    <t>`</t>
    <phoneticPr fontId="2" type="noConversion"/>
  </si>
  <si>
    <t>최대 용량(㎥/hr)</t>
  </si>
  <si>
    <t>속도(m/hr)</t>
  </si>
  <si>
    <t>전기용량(kW)</t>
  </si>
  <si>
    <t>FLUX(LMH)</t>
  </si>
  <si>
    <t>계열</t>
  </si>
  <si>
    <t>i_velocity_m_h</t>
  </si>
  <si>
    <t>i_power_copacity_kW</t>
  </si>
  <si>
    <t>i_flux_L_m2_hr</t>
  </si>
  <si>
    <t>i_train_train</t>
  </si>
  <si>
    <t>DYC-UV50</t>
  </si>
  <si>
    <t>DYC-UV100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</si>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</sst>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_);[Red]\(0\)"/>
    <numFmt numFmtId="177" formatCode="0;[Red]0"/>
    <numFmt numFmtId="178" formatCode="0.00;[Red]0.00"/>
    <numFmt numFmtId="179" formatCode="0.00_);[Red]\(0.00\)"/>
    <numFmt numFmtId="180" formatCode="#,##0_);[Red]\(#,##0\)"/>
    <numFmt numFmtId="181" formatCode="0.0"/>
    <numFmt numFmtId="182" formatCode="#,##0.00_);[Red]\(#,##0.00\)"/>
    <numFmt numFmtId="183" formatCode="_(* #,##0.00_);_(* \(#,##0.00\);_(* &quot;-&quot;_);_(@_)"/>
    <numFmt numFmtId="184" formatCode="_(* #,##0_);_(* \(#,##0\);_(* &quot;-&quot;_);_(@_)"/>
    <numFmt numFmtId="185" formatCode="0.000"/>
    <numFmt numFmtId="186" formatCode="0.0;[Red]0.0"/>
    <numFmt numFmtId="187" formatCode="0.000;[Red]0.000"/>
  </numFmts>
  <fonts count="4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b/>
      <sz val="11"/>
      <color theme="3" tint="0.24997711111789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rgb="FF000000"/>
      <name val="Aptos Narrow"/>
      <family val="2"/>
    </font>
    <font>
      <sz val="10"/>
      <color rgb="FFFF0000"/>
      <name val="Arial"/>
      <family val="2"/>
    </font>
    <font>
      <sz val="10"/>
      <color rgb="FFFF0000"/>
      <name val="맑은 고딕"/>
      <family val="2"/>
      <charset val="129"/>
    </font>
    <font>
      <sz val="11"/>
      <color theme="1"/>
      <name val="Calibri"/>
      <family val="2"/>
      <charset val="161"/>
    </font>
    <font>
      <sz val="11"/>
      <color rgb="FF000000"/>
      <name val="맑은 고딕"/>
      <family val="3"/>
    </font>
    <font>
      <b/>
      <sz val="11"/>
      <color rgb="FF0070C0"/>
      <name val="맑은 고딕"/>
      <family val="3"/>
    </font>
    <font>
      <b/>
      <sz val="11"/>
      <name val="맑은 고딕"/>
      <family val="3"/>
    </font>
    <font>
      <b/>
      <sz val="11"/>
      <color theme="3" tint="0.249977111117893"/>
      <name val="맑은 고딕"/>
      <family val="3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HY중고딕"/>
      <family val="1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  <font>
      <b/>
      <sz val="11"/>
      <color rgb="FF215C9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0000"/>
      <name val="맑은 고딕"/>
      <charset val="1"/>
    </font>
    <font>
      <sz val="11"/>
      <color rgb="FF000000"/>
      <name val="Malgun Gothic"/>
      <family val="3"/>
    </font>
    <font>
      <sz val="10"/>
      <color rgb="FF000000"/>
      <name val="HY중고딕"/>
      <family val="1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Aptos Narrow"/>
      <scheme val="minor"/>
    </font>
    <font>
      <sz val="11"/>
      <color rgb="FF000000"/>
      <name val="Calibri"/>
    </font>
    <font>
      <sz val="11"/>
      <color theme="1"/>
      <name val="Malgun Gothic"/>
      <family val="3"/>
    </font>
    <font>
      <sz val="11"/>
      <name val="Malgun Gothic"/>
      <family val="3"/>
    </font>
    <font>
      <sz val="11"/>
      <color rgb="FF000000"/>
      <name val="Malgun Gothic"/>
      <charset val="1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6" fillId="0" borderId="0"/>
    <xf numFmtId="0" fontId="7" fillId="0" borderId="0">
      <alignment vertical="center"/>
    </xf>
    <xf numFmtId="0" fontId="34" fillId="0" borderId="0">
      <alignment vertical="center"/>
    </xf>
  </cellStyleXfs>
  <cellXfs count="352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3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6" fillId="5" borderId="3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5" fillId="4" borderId="2" xfId="0" applyFont="1" applyFill="1" applyBorder="1" applyAlignment="1">
      <alignment horizontal="center" vertical="top"/>
    </xf>
    <xf numFmtId="0" fontId="11" fillId="0" borderId="7" xfId="0" applyFont="1" applyBorder="1" applyAlignment="1">
      <alignment vertical="center" wrapText="1"/>
    </xf>
    <xf numFmtId="0" fontId="13" fillId="7" borderId="0" xfId="0" applyFont="1" applyFill="1">
      <alignment vertical="center"/>
    </xf>
    <xf numFmtId="0" fontId="13" fillId="7" borderId="0" xfId="0" applyFont="1" applyFill="1" applyAlignment="1">
      <alignment vertical="center" wrapText="1"/>
    </xf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14" fillId="0" borderId="0" xfId="0" applyFont="1">
      <alignment vertical="center"/>
    </xf>
    <xf numFmtId="0" fontId="13" fillId="8" borderId="0" xfId="0" applyFont="1" applyFill="1">
      <alignment vertical="center"/>
    </xf>
    <xf numFmtId="0" fontId="13" fillId="8" borderId="0" xfId="0" applyFont="1" applyFill="1" applyAlignment="1">
      <alignment horizontal="left" vertical="center"/>
    </xf>
    <xf numFmtId="0" fontId="0" fillId="8" borderId="0" xfId="0" applyFill="1">
      <alignment vertical="center"/>
    </xf>
    <xf numFmtId="0" fontId="13" fillId="9" borderId="0" xfId="0" applyFont="1" applyFill="1">
      <alignment vertical="center"/>
    </xf>
    <xf numFmtId="0" fontId="13" fillId="10" borderId="0" xfId="0" applyFont="1" applyFill="1">
      <alignment vertical="center"/>
    </xf>
    <xf numFmtId="0" fontId="0" fillId="9" borderId="0" xfId="0" applyFill="1">
      <alignment vertical="center"/>
    </xf>
    <xf numFmtId="0" fontId="13" fillId="0" borderId="0" xfId="0" applyFont="1">
      <alignment vertical="center"/>
    </xf>
    <xf numFmtId="0" fontId="9" fillId="10" borderId="0" xfId="0" applyFont="1" applyFill="1">
      <alignment vertical="center"/>
    </xf>
    <xf numFmtId="0" fontId="9" fillId="9" borderId="0" xfId="0" applyFont="1" applyFill="1">
      <alignment vertical="center"/>
    </xf>
    <xf numFmtId="0" fontId="9" fillId="8" borderId="0" xfId="0" applyFont="1" applyFill="1">
      <alignment vertical="center"/>
    </xf>
    <xf numFmtId="0" fontId="7" fillId="9" borderId="0" xfId="0" applyFont="1" applyFill="1">
      <alignment vertical="center"/>
    </xf>
    <xf numFmtId="0" fontId="5" fillId="12" borderId="1" xfId="0" applyFont="1" applyFill="1" applyBorder="1" applyAlignment="1">
      <alignment horizontal="center" vertical="top"/>
    </xf>
    <xf numFmtId="0" fontId="16" fillId="0" borderId="0" xfId="2"/>
    <xf numFmtId="0" fontId="13" fillId="0" borderId="0" xfId="2" applyFont="1" applyAlignment="1">
      <alignment vertical="center"/>
    </xf>
    <xf numFmtId="0" fontId="13" fillId="2" borderId="8" xfId="2" applyFont="1" applyFill="1" applyBorder="1" applyAlignment="1">
      <alignment vertical="center"/>
    </xf>
    <xf numFmtId="0" fontId="13" fillId="0" borderId="7" xfId="0" applyFont="1" applyBorder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6" fillId="14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0" fontId="5" fillId="14" borderId="2" xfId="0" applyFont="1" applyFill="1" applyBorder="1" applyAlignment="1">
      <alignment horizontal="center" vertical="top"/>
    </xf>
    <xf numFmtId="0" fontId="6" fillId="5" borderId="10" xfId="0" applyFont="1" applyFill="1" applyBorder="1" applyAlignment="1">
      <alignment horizontal="center" vertical="top"/>
    </xf>
    <xf numFmtId="176" fontId="0" fillId="0" borderId="0" xfId="0" applyNumberFormat="1">
      <alignment vertical="center"/>
    </xf>
    <xf numFmtId="0" fontId="6" fillId="5" borderId="5" xfId="0" applyFont="1" applyFill="1" applyBorder="1" applyAlignment="1">
      <alignment horizontal="center" vertical="top"/>
    </xf>
    <xf numFmtId="0" fontId="13" fillId="0" borderId="9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5" fillId="8" borderId="2" xfId="0" applyFont="1" applyFill="1" applyBorder="1" applyAlignment="1">
      <alignment horizontal="center" vertical="top"/>
    </xf>
    <xf numFmtId="177" fontId="13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0" fillId="0" borderId="7" xfId="0" applyNumberFormat="1" applyBorder="1">
      <alignment vertical="center"/>
    </xf>
    <xf numFmtId="177" fontId="13" fillId="0" borderId="9" xfId="0" applyNumberFormat="1" applyFont="1" applyBorder="1">
      <alignment vertical="center"/>
    </xf>
    <xf numFmtId="177" fontId="13" fillId="0" borderId="7" xfId="0" applyNumberFormat="1" applyFont="1" applyBorder="1">
      <alignment vertical="center"/>
    </xf>
    <xf numFmtId="177" fontId="10" fillId="0" borderId="0" xfId="1" applyNumberFormat="1" applyFont="1">
      <alignment vertical="center"/>
    </xf>
    <xf numFmtId="177" fontId="13" fillId="0" borderId="0" xfId="0" applyNumberFormat="1" applyFont="1" applyAlignment="1">
      <alignment vertical="center" wrapText="1"/>
    </xf>
    <xf numFmtId="178" fontId="0" fillId="0" borderId="0" xfId="0" applyNumberFormat="1">
      <alignment vertical="center"/>
    </xf>
    <xf numFmtId="178" fontId="13" fillId="0" borderId="0" xfId="0" applyNumberFormat="1" applyFont="1" applyAlignment="1">
      <alignment vertical="center" wrapText="1"/>
    </xf>
    <xf numFmtId="178" fontId="13" fillId="0" borderId="0" xfId="0" applyNumberFormat="1" applyFont="1">
      <alignment vertical="center"/>
    </xf>
    <xf numFmtId="0" fontId="6" fillId="3" borderId="1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0" fontId="5" fillId="3" borderId="10" xfId="0" applyFont="1" applyFill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1" fillId="0" borderId="0" xfId="0" applyFont="1">
      <alignment vertical="center"/>
    </xf>
    <xf numFmtId="0" fontId="8" fillId="9" borderId="0" xfId="0" applyFont="1" applyFill="1">
      <alignment vertical="center"/>
    </xf>
    <xf numFmtId="0" fontId="9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5" fillId="5" borderId="2" xfId="0" applyFont="1" applyFill="1" applyBorder="1" applyAlignment="1">
      <alignment horizontal="center" vertical="top"/>
    </xf>
    <xf numFmtId="178" fontId="13" fillId="0" borderId="0" xfId="0" applyNumberFormat="1" applyFont="1" applyAlignment="1">
      <alignment horizontal="right" vertical="center" wrapText="1"/>
    </xf>
    <xf numFmtId="178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77" fontId="13" fillId="0" borderId="9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top"/>
    </xf>
    <xf numFmtId="0" fontId="13" fillId="0" borderId="7" xfId="0" applyFont="1" applyBorder="1" applyAlignment="1">
      <alignment vertical="center" wrapText="1"/>
    </xf>
    <xf numFmtId="0" fontId="2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15" borderId="1" xfId="0" applyFont="1" applyFill="1" applyBorder="1" applyAlignment="1">
      <alignment horizontal="center" vertical="top"/>
    </xf>
    <xf numFmtId="0" fontId="7" fillId="0" borderId="0" xfId="3" applyAlignment="1">
      <alignment vertical="center" wrapText="1"/>
    </xf>
    <xf numFmtId="0" fontId="22" fillId="14" borderId="2" xfId="0" applyFont="1" applyFill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2" fillId="12" borderId="1" xfId="0" applyFont="1" applyFill="1" applyBorder="1" applyAlignment="1">
      <alignment horizontal="center" vertical="top"/>
    </xf>
    <xf numFmtId="0" fontId="22" fillId="3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0" fontId="22" fillId="3" borderId="2" xfId="0" applyFont="1" applyFill="1" applyBorder="1" applyAlignment="1">
      <alignment horizontal="center" vertical="top"/>
    </xf>
    <xf numFmtId="0" fontId="24" fillId="5" borderId="1" xfId="0" applyFont="1" applyFill="1" applyBorder="1" applyAlignment="1">
      <alignment horizontal="center" vertical="top"/>
    </xf>
    <xf numFmtId="0" fontId="24" fillId="14" borderId="1" xfId="0" applyFont="1" applyFill="1" applyBorder="1" applyAlignment="1">
      <alignment horizontal="center" vertical="top"/>
    </xf>
    <xf numFmtId="0" fontId="24" fillId="5" borderId="10" xfId="0" applyFont="1" applyFill="1" applyBorder="1" applyAlignment="1">
      <alignment horizontal="center" vertical="top"/>
    </xf>
    <xf numFmtId="0" fontId="24" fillId="5" borderId="3" xfId="0" applyFont="1" applyFill="1" applyBorder="1" applyAlignment="1">
      <alignment horizontal="center" vertical="top"/>
    </xf>
    <xf numFmtId="0" fontId="22" fillId="4" borderId="2" xfId="0" applyFont="1" applyFill="1" applyBorder="1" applyAlignment="1">
      <alignment horizontal="center" vertical="top"/>
    </xf>
    <xf numFmtId="0" fontId="24" fillId="4" borderId="3" xfId="0" applyFont="1" applyFill="1" applyBorder="1" applyAlignment="1">
      <alignment horizontal="center" vertical="top"/>
    </xf>
    <xf numFmtId="0" fontId="22" fillId="2" borderId="2" xfId="0" applyFont="1" applyFill="1" applyBorder="1" applyAlignment="1">
      <alignment horizontal="center" vertical="top"/>
    </xf>
    <xf numFmtId="0" fontId="0" fillId="0" borderId="0" xfId="3" applyFont="1" applyAlignment="1">
      <alignment vertical="center" wrapText="1"/>
    </xf>
    <xf numFmtId="0" fontId="0" fillId="0" borderId="0" xfId="2" applyFont="1"/>
    <xf numFmtId="0" fontId="24" fillId="3" borderId="1" xfId="0" applyFont="1" applyFill="1" applyBorder="1" applyAlignment="1">
      <alignment horizontal="center" vertical="top"/>
    </xf>
    <xf numFmtId="0" fontId="0" fillId="0" borderId="11" xfId="0" applyBorder="1">
      <alignment vertical="center"/>
    </xf>
    <xf numFmtId="0" fontId="22" fillId="5" borderId="2" xfId="0" applyFont="1" applyFill="1" applyBorder="1" applyAlignment="1">
      <alignment horizontal="center" vertical="top"/>
    </xf>
    <xf numFmtId="0" fontId="22" fillId="3" borderId="3" xfId="0" applyFont="1" applyFill="1" applyBorder="1" applyAlignment="1">
      <alignment horizontal="center" vertical="top"/>
    </xf>
    <xf numFmtId="0" fontId="22" fillId="3" borderId="10" xfId="0" applyFont="1" applyFill="1" applyBorder="1" applyAlignment="1">
      <alignment horizontal="center" vertical="top"/>
    </xf>
    <xf numFmtId="0" fontId="24" fillId="3" borderId="4" xfId="0" applyFont="1" applyFill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177" fontId="0" fillId="0" borderId="11" xfId="0" applyNumberFormat="1" applyBorder="1">
      <alignment vertical="center"/>
    </xf>
    <xf numFmtId="0" fontId="5" fillId="4" borderId="13" xfId="0" applyFont="1" applyFill="1" applyBorder="1" applyAlignment="1">
      <alignment horizontal="center" vertical="top"/>
    </xf>
    <xf numFmtId="0" fontId="24" fillId="4" borderId="12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24" fillId="5" borderId="6" xfId="0" applyFont="1" applyFill="1" applyBorder="1" applyAlignment="1">
      <alignment horizontal="center" vertical="top"/>
    </xf>
    <xf numFmtId="0" fontId="13" fillId="16" borderId="0" xfId="0" applyFont="1" applyFill="1">
      <alignment vertical="center"/>
    </xf>
    <xf numFmtId="0" fontId="9" fillId="16" borderId="0" xfId="0" applyFont="1" applyFill="1">
      <alignment vertical="center"/>
    </xf>
    <xf numFmtId="0" fontId="13" fillId="17" borderId="0" xfId="0" applyFont="1" applyFill="1" applyAlignment="1">
      <alignment horizontal="right" vertical="center"/>
    </xf>
    <xf numFmtId="0" fontId="13" fillId="16" borderId="0" xfId="0" applyFont="1" applyFill="1" applyAlignment="1">
      <alignment horizontal="right" vertical="center"/>
    </xf>
    <xf numFmtId="0" fontId="13" fillId="0" borderId="0" xfId="0" applyFont="1" applyAlignment="1"/>
    <xf numFmtId="176" fontId="0" fillId="0" borderId="6" xfId="0" applyNumberForma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179" fontId="0" fillId="0" borderId="0" xfId="0" applyNumberFormat="1">
      <alignment vertical="center"/>
    </xf>
    <xf numFmtId="0" fontId="13" fillId="0" borderId="11" xfId="0" applyFont="1" applyBorder="1">
      <alignment vertical="center"/>
    </xf>
    <xf numFmtId="182" fontId="0" fillId="0" borderId="0" xfId="0" applyNumberFormat="1">
      <alignment vertical="center"/>
    </xf>
    <xf numFmtId="183" fontId="0" fillId="0" borderId="0" xfId="3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5" fillId="0" borderId="11" xfId="0" applyFont="1" applyBorder="1" applyAlignment="1">
      <alignment horizontal="right" vertical="center"/>
    </xf>
    <xf numFmtId="184" fontId="0" fillId="0" borderId="0" xfId="3" applyNumberFormat="1" applyFont="1" applyAlignment="1">
      <alignment horizontal="center" vertical="center"/>
    </xf>
    <xf numFmtId="180" fontId="0" fillId="0" borderId="0" xfId="0" applyNumberFormat="1">
      <alignment vertical="center"/>
    </xf>
    <xf numFmtId="180" fontId="0" fillId="0" borderId="11" xfId="0" applyNumberFormat="1" applyBorder="1">
      <alignment vertical="center"/>
    </xf>
    <xf numFmtId="0" fontId="25" fillId="0" borderId="0" xfId="3" applyFont="1" applyAlignment="1">
      <alignment horizontal="right" vertical="center" wrapText="1"/>
    </xf>
    <xf numFmtId="0" fontId="25" fillId="0" borderId="11" xfId="3" applyFont="1" applyBorder="1" applyAlignment="1">
      <alignment horizontal="right" vertical="center" wrapText="1"/>
    </xf>
    <xf numFmtId="0" fontId="26" fillId="0" borderId="11" xfId="3" applyFont="1" applyBorder="1" applyAlignment="1">
      <alignment horizontal="left" vertical="center" wrapText="1"/>
    </xf>
    <xf numFmtId="0" fontId="25" fillId="0" borderId="0" xfId="0" applyFont="1" applyAlignment="1">
      <alignment horizontal="right" vertical="center"/>
    </xf>
    <xf numFmtId="0" fontId="13" fillId="0" borderId="15" xfId="0" applyFont="1" applyBorder="1">
      <alignment vertical="center"/>
    </xf>
    <xf numFmtId="0" fontId="13" fillId="0" borderId="17" xfId="0" applyFont="1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8" fillId="0" borderId="15" xfId="0" applyFont="1" applyBorder="1">
      <alignment vertical="center"/>
    </xf>
    <xf numFmtId="0" fontId="0" fillId="0" borderId="9" xfId="0" applyBorder="1">
      <alignment vertical="center"/>
    </xf>
    <xf numFmtId="185" fontId="8" fillId="0" borderId="0" xfId="0" applyNumberFormat="1" applyFont="1">
      <alignment vertical="center"/>
    </xf>
    <xf numFmtId="177" fontId="0" fillId="0" borderId="9" xfId="0" applyNumberFormat="1" applyBorder="1">
      <alignment vertical="center"/>
    </xf>
    <xf numFmtId="177" fontId="13" fillId="0" borderId="16" xfId="0" applyNumberFormat="1" applyFont="1" applyBorder="1">
      <alignment vertical="center"/>
    </xf>
    <xf numFmtId="177" fontId="13" fillId="0" borderId="15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176" fontId="0" fillId="0" borderId="7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8" fillId="0" borderId="11" xfId="0" applyFont="1" applyBorder="1">
      <alignment vertical="center"/>
    </xf>
    <xf numFmtId="177" fontId="8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1" fontId="7" fillId="0" borderId="11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8" fontId="8" fillId="0" borderId="0" xfId="0" applyNumberFormat="1" applyFont="1" applyAlignment="1">
      <alignment vertical="center" wrapText="1"/>
    </xf>
    <xf numFmtId="177" fontId="8" fillId="0" borderId="0" xfId="0" applyNumberFormat="1" applyFont="1" applyAlignment="1">
      <alignment vertical="center" wrapText="1"/>
    </xf>
    <xf numFmtId="181" fontId="8" fillId="0" borderId="0" xfId="0" applyNumberFormat="1" applyFont="1">
      <alignment vertical="center"/>
    </xf>
    <xf numFmtId="178" fontId="8" fillId="0" borderId="0" xfId="0" applyNumberFormat="1" applyFont="1">
      <alignment vertical="center"/>
    </xf>
    <xf numFmtId="0" fontId="7" fillId="0" borderId="11" xfId="0" applyFont="1" applyBorder="1">
      <alignment vertical="center"/>
    </xf>
    <xf numFmtId="177" fontId="13" fillId="0" borderId="14" xfId="0" applyNumberFormat="1" applyFont="1" applyBorder="1">
      <alignment vertical="center"/>
    </xf>
    <xf numFmtId="177" fontId="13" fillId="0" borderId="11" xfId="0" applyNumberFormat="1" applyFont="1" applyBorder="1">
      <alignment vertical="center"/>
    </xf>
    <xf numFmtId="177" fontId="10" fillId="0" borderId="0" xfId="1" applyNumberFormat="1" applyFont="1" applyFill="1">
      <alignment vertical="center"/>
    </xf>
    <xf numFmtId="0" fontId="7" fillId="0" borderId="16" xfId="3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horizontal="right" vertical="center"/>
    </xf>
    <xf numFmtId="0" fontId="0" fillId="0" borderId="15" xfId="0" applyBorder="1">
      <alignment vertical="center"/>
    </xf>
    <xf numFmtId="0" fontId="27" fillId="0" borderId="0" xfId="0" applyFont="1">
      <alignment vertical="center"/>
    </xf>
    <xf numFmtId="0" fontId="22" fillId="5" borderId="18" xfId="0" applyFont="1" applyFill="1" applyBorder="1" applyAlignment="1">
      <alignment horizontal="center" vertical="top"/>
    </xf>
    <xf numFmtId="177" fontId="13" fillId="0" borderId="20" xfId="0" applyNumberFormat="1" applyFont="1" applyBorder="1">
      <alignment vertical="center"/>
    </xf>
    <xf numFmtId="0" fontId="0" fillId="0" borderId="20" xfId="0" applyBorder="1">
      <alignment vertical="center"/>
    </xf>
    <xf numFmtId="0" fontId="22" fillId="5" borderId="21" xfId="0" applyFont="1" applyFill="1" applyBorder="1" applyAlignment="1">
      <alignment horizontal="center" vertical="top"/>
    </xf>
    <xf numFmtId="0" fontId="22" fillId="5" borderId="13" xfId="0" applyFont="1" applyFill="1" applyBorder="1" applyAlignment="1">
      <alignment horizontal="center" vertical="top"/>
    </xf>
    <xf numFmtId="0" fontId="28" fillId="0" borderId="0" xfId="0" applyFont="1">
      <alignment vertical="center"/>
    </xf>
    <xf numFmtId="0" fontId="29" fillId="6" borderId="0" xfId="0" applyFont="1" applyFill="1" applyAlignment="1">
      <alignment horizontal="center" vertical="center"/>
    </xf>
    <xf numFmtId="0" fontId="30" fillId="7" borderId="0" xfId="0" applyFont="1" applyFill="1">
      <alignment vertical="center"/>
    </xf>
    <xf numFmtId="0" fontId="30" fillId="7" borderId="0" xfId="0" applyFont="1" applyFill="1" applyAlignment="1">
      <alignment vertical="center" wrapText="1"/>
    </xf>
    <xf numFmtId="0" fontId="30" fillId="7" borderId="0" xfId="0" applyFont="1" applyFill="1" applyAlignment="1">
      <alignment horizontal="left" vertical="center"/>
    </xf>
    <xf numFmtId="0" fontId="30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right" vertical="center"/>
    </xf>
    <xf numFmtId="0" fontId="30" fillId="8" borderId="0" xfId="0" applyFont="1" applyFill="1">
      <alignment vertical="center"/>
    </xf>
    <xf numFmtId="0" fontId="30" fillId="8" borderId="0" xfId="0" applyFont="1" applyFill="1" applyAlignment="1">
      <alignment horizontal="left" vertical="center"/>
    </xf>
    <xf numFmtId="0" fontId="28" fillId="8" borderId="0" xfId="0" applyFont="1" applyFill="1">
      <alignment vertical="center"/>
    </xf>
    <xf numFmtId="0" fontId="30" fillId="9" borderId="0" xfId="0" applyFont="1" applyFill="1">
      <alignment vertical="center"/>
    </xf>
    <xf numFmtId="0" fontId="30" fillId="10" borderId="0" xfId="0" applyFont="1" applyFill="1">
      <alignment vertical="center"/>
    </xf>
    <xf numFmtId="0" fontId="31" fillId="19" borderId="0" xfId="0" applyFont="1" applyFill="1">
      <alignment vertical="center"/>
    </xf>
    <xf numFmtId="0" fontId="28" fillId="9" borderId="0" xfId="0" applyFont="1" applyFill="1">
      <alignment vertical="center"/>
    </xf>
    <xf numFmtId="0" fontId="30" fillId="0" borderId="0" xfId="0" applyFont="1">
      <alignment vertical="center"/>
    </xf>
    <xf numFmtId="0" fontId="31" fillId="9" borderId="0" xfId="0" applyFont="1" applyFill="1">
      <alignment vertical="center"/>
    </xf>
    <xf numFmtId="0" fontId="31" fillId="10" borderId="0" xfId="0" applyFont="1" applyFill="1">
      <alignment vertical="center"/>
    </xf>
    <xf numFmtId="0" fontId="31" fillId="8" borderId="0" xfId="0" applyFont="1" applyFill="1">
      <alignment vertical="center"/>
    </xf>
    <xf numFmtId="0" fontId="31" fillId="0" borderId="0" xfId="0" applyFont="1">
      <alignment vertical="center"/>
    </xf>
    <xf numFmtId="0" fontId="28" fillId="11" borderId="0" xfId="0" applyFont="1" applyFill="1">
      <alignment vertical="center"/>
    </xf>
    <xf numFmtId="0" fontId="32" fillId="9" borderId="0" xfId="0" applyFont="1" applyFill="1">
      <alignment vertical="center"/>
    </xf>
    <xf numFmtId="0" fontId="0" fillId="18" borderId="0" xfId="0" applyFill="1">
      <alignment vertical="center"/>
    </xf>
    <xf numFmtId="0" fontId="28" fillId="0" borderId="0" xfId="0" applyFont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3" fillId="22" borderId="2" xfId="0" applyFont="1" applyFill="1" applyBorder="1" applyAlignment="1">
      <alignment horizontal="center" vertical="center"/>
    </xf>
    <xf numFmtId="0" fontId="33" fillId="23" borderId="2" xfId="0" applyFont="1" applyFill="1" applyBorder="1" applyAlignment="1">
      <alignment horizontal="center" vertical="center"/>
    </xf>
    <xf numFmtId="0" fontId="33" fillId="22" borderId="21" xfId="0" applyFont="1" applyFill="1" applyBorder="1" applyAlignment="1">
      <alignment horizontal="center" vertical="center"/>
    </xf>
    <xf numFmtId="0" fontId="33" fillId="22" borderId="3" xfId="0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/>
    </xf>
    <xf numFmtId="0" fontId="33" fillId="24" borderId="5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8" fillId="18" borderId="0" xfId="0" applyFont="1" applyFill="1">
      <alignment vertical="center"/>
    </xf>
    <xf numFmtId="0" fontId="0" fillId="18" borderId="0" xfId="0" applyFill="1" applyAlignment="1"/>
    <xf numFmtId="0" fontId="0" fillId="18" borderId="7" xfId="0" applyFill="1" applyBorder="1">
      <alignment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22" fillId="4" borderId="14" xfId="0" applyFont="1" applyFill="1" applyBorder="1" applyAlignment="1">
      <alignment horizontal="center" vertical="top"/>
    </xf>
    <xf numFmtId="0" fontId="22" fillId="4" borderId="22" xfId="0" applyFont="1" applyFill="1" applyBorder="1" applyAlignment="1">
      <alignment horizontal="center" vertical="top"/>
    </xf>
    <xf numFmtId="177" fontId="0" fillId="0" borderId="20" xfId="0" applyNumberFormat="1" applyBorder="1">
      <alignment vertical="center"/>
    </xf>
    <xf numFmtId="177" fontId="10" fillId="0" borderId="20" xfId="1" applyNumberFormat="1" applyFont="1" applyBorder="1">
      <alignment vertical="center"/>
    </xf>
    <xf numFmtId="177" fontId="0" fillId="0" borderId="23" xfId="0" applyNumberForma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35" fillId="24" borderId="8" xfId="0" applyFont="1" applyFill="1" applyBorder="1" applyAlignment="1">
      <alignment horizontal="center" vertical="center"/>
    </xf>
    <xf numFmtId="0" fontId="35" fillId="25" borderId="8" xfId="0" applyFont="1" applyFill="1" applyBorder="1" applyAlignment="1">
      <alignment horizontal="center" vertical="center"/>
    </xf>
    <xf numFmtId="0" fontId="0" fillId="13" borderId="11" xfId="0" applyFill="1" applyBorder="1">
      <alignment vertical="center"/>
    </xf>
    <xf numFmtId="14" fontId="0" fillId="0" borderId="0" xfId="0" applyNumberFormat="1" applyAlignment="1">
      <alignment vertical="center" wrapText="1"/>
    </xf>
    <xf numFmtId="0" fontId="0" fillId="14" borderId="0" xfId="0" applyFill="1">
      <alignment vertical="center"/>
    </xf>
    <xf numFmtId="0" fontId="28" fillId="13" borderId="0" xfId="0" applyFont="1" applyFill="1">
      <alignment vertical="center"/>
    </xf>
    <xf numFmtId="0" fontId="0" fillId="12" borderId="0" xfId="0" applyFill="1">
      <alignment vertical="center"/>
    </xf>
    <xf numFmtId="2" fontId="8" fillId="0" borderId="17" xfId="0" applyNumberFormat="1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176" fontId="24" fillId="4" borderId="3" xfId="0" applyNumberFormat="1" applyFont="1" applyFill="1" applyBorder="1" applyAlignment="1">
      <alignment horizontal="center" vertical="top"/>
    </xf>
    <xf numFmtId="1" fontId="8" fillId="0" borderId="11" xfId="0" applyNumberFormat="1" applyFont="1" applyBorder="1" applyAlignment="1">
      <alignment vertical="center" wrapText="1"/>
    </xf>
    <xf numFmtId="0" fontId="24" fillId="4" borderId="5" xfId="0" applyFont="1" applyFill="1" applyBorder="1" applyAlignment="1">
      <alignment horizontal="center" vertical="top"/>
    </xf>
    <xf numFmtId="177" fontId="10" fillId="0" borderId="0" xfId="1" applyNumberFormat="1" applyFont="1" applyBorder="1">
      <alignment vertical="center"/>
    </xf>
    <xf numFmtId="0" fontId="22" fillId="4" borderId="9" xfId="0" applyFont="1" applyFill="1" applyBorder="1" applyAlignment="1">
      <alignment horizontal="center" vertical="top"/>
    </xf>
    <xf numFmtId="0" fontId="24" fillId="4" borderId="26" xfId="0" applyFont="1" applyFill="1" applyBorder="1" applyAlignment="1">
      <alignment horizontal="center" vertical="top"/>
    </xf>
    <xf numFmtId="177" fontId="13" fillId="0" borderId="16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top"/>
    </xf>
    <xf numFmtId="177" fontId="0" fillId="0" borderId="0" xfId="0" applyNumberFormat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0" xfId="0" applyFont="1">
      <alignment vertical="center"/>
    </xf>
    <xf numFmtId="185" fontId="21" fillId="0" borderId="0" xfId="0" applyNumberFormat="1" applyFont="1">
      <alignment vertical="center"/>
    </xf>
    <xf numFmtId="0" fontId="22" fillId="21" borderId="2" xfId="0" applyFont="1" applyFill="1" applyBorder="1" applyAlignment="1">
      <alignment horizontal="center" vertical="center"/>
    </xf>
    <xf numFmtId="0" fontId="21" fillId="18" borderId="0" xfId="0" applyFont="1" applyFill="1">
      <alignment vertical="center"/>
    </xf>
    <xf numFmtId="177" fontId="0" fillId="18" borderId="0" xfId="0" applyNumberFormat="1" applyFill="1">
      <alignment vertical="center"/>
    </xf>
    <xf numFmtId="178" fontId="0" fillId="18" borderId="0" xfId="0" applyNumberFormat="1" applyFill="1">
      <alignment vertical="center"/>
    </xf>
    <xf numFmtId="0" fontId="0" fillId="18" borderId="11" xfId="0" applyFill="1" applyBorder="1">
      <alignment vertical="center"/>
    </xf>
    <xf numFmtId="0" fontId="30" fillId="13" borderId="0" xfId="0" applyFont="1" applyFill="1">
      <alignment vertical="center"/>
    </xf>
    <xf numFmtId="0" fontId="8" fillId="18" borderId="0" xfId="0" applyFont="1" applyFill="1" applyAlignment="1">
      <alignment vertical="center" wrapText="1"/>
    </xf>
    <xf numFmtId="0" fontId="27" fillId="18" borderId="0" xfId="0" applyFont="1" applyFill="1">
      <alignment vertical="center"/>
    </xf>
    <xf numFmtId="0" fontId="8" fillId="26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3" fillId="22" borderId="8" xfId="0" applyFont="1" applyFill="1" applyBorder="1" applyAlignment="1">
      <alignment horizontal="center" vertical="center"/>
    </xf>
    <xf numFmtId="0" fontId="33" fillId="23" borderId="8" xfId="0" applyFont="1" applyFill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33" fillId="24" borderId="8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182" fontId="0" fillId="18" borderId="0" xfId="0" applyNumberFormat="1" applyFill="1">
      <alignment vertical="center"/>
    </xf>
    <xf numFmtId="2" fontId="0" fillId="0" borderId="0" xfId="3" applyNumberFormat="1" applyFont="1" applyAlignment="1">
      <alignment vertical="center" wrapText="1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185" fontId="0" fillId="0" borderId="0" xfId="0" applyNumberFormat="1">
      <alignment vertical="center"/>
    </xf>
    <xf numFmtId="181" fontId="0" fillId="0" borderId="0" xfId="0" applyNumberFormat="1">
      <alignment vertical="center"/>
    </xf>
    <xf numFmtId="2" fontId="8" fillId="0" borderId="0" xfId="0" applyNumberFormat="1" applyFont="1">
      <alignment vertical="center"/>
    </xf>
    <xf numFmtId="177" fontId="13" fillId="18" borderId="17" xfId="0" applyNumberFormat="1" applyFont="1" applyFill="1" applyBorder="1" applyAlignment="1">
      <alignment horizontal="center" vertical="center"/>
    </xf>
    <xf numFmtId="177" fontId="13" fillId="18" borderId="7" xfId="0" applyNumberFormat="1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vertical="center" wrapText="1"/>
    </xf>
    <xf numFmtId="0" fontId="13" fillId="18" borderId="11" xfId="0" applyFont="1" applyFill="1" applyBorder="1">
      <alignment vertical="center"/>
    </xf>
    <xf numFmtId="0" fontId="13" fillId="18" borderId="0" xfId="2" applyFont="1" applyFill="1" applyAlignment="1">
      <alignment vertical="center"/>
    </xf>
    <xf numFmtId="0" fontId="0" fillId="18" borderId="0" xfId="2" applyFont="1" applyFill="1"/>
    <xf numFmtId="0" fontId="30" fillId="18" borderId="0" xfId="0" applyFont="1" applyFill="1">
      <alignment vertical="center"/>
    </xf>
    <xf numFmtId="0" fontId="0" fillId="0" borderId="27" xfId="3" applyFont="1" applyBorder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0" fillId="3" borderId="0" xfId="0" applyFill="1" applyAlignment="1"/>
    <xf numFmtId="0" fontId="0" fillId="0" borderId="0" xfId="0" applyAlignment="1">
      <alignment horizontal="center"/>
    </xf>
    <xf numFmtId="187" fontId="13" fillId="0" borderId="11" xfId="0" applyNumberFormat="1" applyFont="1" applyBorder="1">
      <alignment vertical="center"/>
    </xf>
    <xf numFmtId="0" fontId="0" fillId="12" borderId="0" xfId="0" applyFill="1" applyAlignment="1">
      <alignment horizontal="center" vertical="center"/>
    </xf>
    <xf numFmtId="0" fontId="37" fillId="9" borderId="0" xfId="0" applyFont="1" applyFill="1">
      <alignment vertical="center"/>
    </xf>
    <xf numFmtId="0" fontId="42" fillId="9" borderId="0" xfId="0" applyFont="1" applyFill="1">
      <alignment vertical="center"/>
    </xf>
    <xf numFmtId="0" fontId="43" fillId="9" borderId="0" xfId="0" applyFont="1" applyFill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37" fillId="8" borderId="0" xfId="0" applyFont="1" applyFill="1">
      <alignment vertical="center"/>
    </xf>
    <xf numFmtId="0" fontId="42" fillId="8" borderId="0" xfId="0" applyFont="1" applyFill="1">
      <alignment vertical="center"/>
    </xf>
    <xf numFmtId="0" fontId="22" fillId="21" borderId="21" xfId="0" applyFont="1" applyFill="1" applyBorder="1" applyAlignment="1">
      <alignment horizontal="center" vertical="center"/>
    </xf>
    <xf numFmtId="0" fontId="0" fillId="0" borderId="20" xfId="3" applyFont="1" applyBorder="1" applyAlignment="1">
      <alignment vertical="center" wrapText="1"/>
    </xf>
    <xf numFmtId="0" fontId="22" fillId="5" borderId="28" xfId="0" applyFont="1" applyFill="1" applyBorder="1" applyAlignment="1">
      <alignment horizontal="center" vertical="top"/>
    </xf>
    <xf numFmtId="0" fontId="44" fillId="0" borderId="0" xfId="0" applyFont="1">
      <alignment vertical="center"/>
    </xf>
    <xf numFmtId="0" fontId="6" fillId="5" borderId="2" xfId="0" applyFont="1" applyFill="1" applyBorder="1" applyAlignment="1">
      <alignment horizontal="center" vertical="top"/>
    </xf>
    <xf numFmtId="0" fontId="22" fillId="3" borderId="8" xfId="0" applyFont="1" applyFill="1" applyBorder="1" applyAlignment="1">
      <alignment horizontal="center" vertical="top"/>
    </xf>
    <xf numFmtId="0" fontId="6" fillId="15" borderId="2" xfId="0" applyFont="1" applyFill="1" applyBorder="1" applyAlignment="1">
      <alignment horizontal="center" vertical="top"/>
    </xf>
    <xf numFmtId="0" fontId="6" fillId="3" borderId="29" xfId="0" applyFont="1" applyFill="1" applyBorder="1" applyAlignment="1">
      <alignment horizontal="center" vertical="top"/>
    </xf>
    <xf numFmtId="0" fontId="0" fillId="0" borderId="11" xfId="3" applyFont="1" applyBorder="1" applyAlignment="1">
      <alignment vertical="center" wrapText="1"/>
    </xf>
    <xf numFmtId="0" fontId="5" fillId="5" borderId="8" xfId="0" applyFont="1" applyFill="1" applyBorder="1" applyAlignment="1">
      <alignment horizontal="center" vertical="top"/>
    </xf>
    <xf numFmtId="2" fontId="0" fillId="0" borderId="0" xfId="0" applyNumberFormat="1">
      <alignment vertical="center"/>
    </xf>
    <xf numFmtId="0" fontId="38" fillId="0" borderId="0" xfId="0" applyFont="1">
      <alignment vertical="center"/>
    </xf>
    <xf numFmtId="0" fontId="38" fillId="0" borderId="16" xfId="0" applyFont="1" applyBorder="1">
      <alignment vertical="center"/>
    </xf>
    <xf numFmtId="0" fontId="38" fillId="0" borderId="17" xfId="0" applyFont="1" applyBorder="1">
      <alignment vertical="center"/>
    </xf>
    <xf numFmtId="0" fontId="38" fillId="0" borderId="4" xfId="0" applyFont="1" applyBorder="1">
      <alignment vertical="center"/>
    </xf>
    <xf numFmtId="187" fontId="0" fillId="0" borderId="11" xfId="0" applyNumberFormat="1" applyBorder="1">
      <alignment vertical="center"/>
    </xf>
    <xf numFmtId="0" fontId="36" fillId="0" borderId="0" xfId="0" applyFont="1">
      <alignment vertical="center"/>
    </xf>
    <xf numFmtId="0" fontId="39" fillId="0" borderId="0" xfId="0" applyFont="1">
      <alignment vertical="center"/>
    </xf>
    <xf numFmtId="0" fontId="22" fillId="0" borderId="4" xfId="0" applyFont="1" applyBorder="1" applyAlignment="1">
      <alignment horizontal="center" vertical="top"/>
    </xf>
    <xf numFmtId="0" fontId="0" fillId="0" borderId="20" xfId="3" applyFont="1" applyBorder="1" applyAlignment="1">
      <alignment horizontal="center" vertical="center" wrapText="1"/>
    </xf>
    <xf numFmtId="177" fontId="0" fillId="0" borderId="20" xfId="0" applyNumberFormat="1" applyBorder="1" applyAlignment="1">
      <alignment horizontal="center" vertical="center"/>
    </xf>
    <xf numFmtId="0" fontId="0" fillId="0" borderId="0" xfId="3" applyFont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top"/>
    </xf>
    <xf numFmtId="177" fontId="13" fillId="0" borderId="14" xfId="0" applyNumberFormat="1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0" fillId="0" borderId="24" xfId="0" applyNumberFormat="1" applyBorder="1">
      <alignment vertical="center"/>
    </xf>
    <xf numFmtId="0" fontId="28" fillId="18" borderId="0" xfId="0" applyFont="1" applyFill="1">
      <alignment vertical="center"/>
    </xf>
  </cellXfs>
  <cellStyles count="5">
    <cellStyle name="경고문" xfId="1" builtinId="11"/>
    <cellStyle name="표준" xfId="0" builtinId="0"/>
    <cellStyle name="표준 2" xfId="2" xr:uid="{1DF8E1A0-76ED-45A9-B9CF-AF064B739076}"/>
    <cellStyle name="표준 2 3" xfId="3" xr:uid="{07142AC6-D31A-48B0-BB7B-E6C8D046DAF9}"/>
    <cellStyle name="표준 4" xfId="4" xr:uid="{D09EECD8-9368-4B3A-A65E-5FD62F4F1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252F5C-6835-4060-BE3C-044362C52517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92ee09b3-4706-473e-89c1-91b8d350ced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E389-F5D8-47AE-9F41-12E6A095A935}">
  <sheetPr>
    <tabColor theme="7"/>
  </sheetPr>
  <dimension ref="A2:M280"/>
  <sheetViews>
    <sheetView topLeftCell="A42" zoomScale="70" zoomScaleNormal="70" workbookViewId="0">
      <selection activeCell="G13" sqref="G13"/>
    </sheetView>
  </sheetViews>
  <sheetFormatPr defaultRowHeight="16.5"/>
  <cols>
    <col min="2" max="2" width="16.5" bestFit="1" customWidth="1"/>
    <col min="3" max="3" width="15.25" bestFit="1" customWidth="1"/>
    <col min="4" max="4" width="13.875" bestFit="1" customWidth="1"/>
    <col min="5" max="5" width="11.75" bestFit="1" customWidth="1"/>
    <col min="6" max="6" width="45.25" customWidth="1"/>
    <col min="7" max="7" width="75.625" bestFit="1" customWidth="1"/>
    <col min="8" max="8" width="10.25" bestFit="1" customWidth="1"/>
    <col min="9" max="9" width="6.75" bestFit="1" customWidth="1"/>
    <col min="10" max="10" width="11" bestFit="1" customWidth="1"/>
    <col min="11" max="11" width="12.625" bestFit="1" customWidth="1"/>
    <col min="12" max="12" width="35.25" bestFit="1" customWidth="1"/>
  </cols>
  <sheetData>
    <row r="2" spans="1:12">
      <c r="A2" s="181"/>
      <c r="B2" s="182" t="s">
        <v>0</v>
      </c>
      <c r="C2" s="182" t="s">
        <v>1</v>
      </c>
      <c r="D2" s="182" t="s">
        <v>2</v>
      </c>
      <c r="E2" s="182" t="s">
        <v>3</v>
      </c>
      <c r="F2" s="182" t="s">
        <v>4</v>
      </c>
      <c r="G2" s="182" t="s">
        <v>5</v>
      </c>
      <c r="H2" s="182" t="s">
        <v>6</v>
      </c>
      <c r="I2" s="182" t="s">
        <v>7</v>
      </c>
      <c r="J2" s="182" t="s">
        <v>8</v>
      </c>
      <c r="K2" s="182" t="s">
        <v>9</v>
      </c>
      <c r="L2" s="182" t="s">
        <v>10</v>
      </c>
    </row>
    <row r="3" spans="1:12">
      <c r="A3" s="181"/>
      <c r="B3" s="183" t="s">
        <v>11</v>
      </c>
      <c r="C3" s="184" t="s">
        <v>12</v>
      </c>
      <c r="D3" s="185" t="s">
        <v>13</v>
      </c>
      <c r="E3" s="186"/>
      <c r="F3" s="185" t="s">
        <v>14</v>
      </c>
      <c r="G3" s="187" t="s">
        <v>15</v>
      </c>
      <c r="H3" s="188">
        <v>1</v>
      </c>
      <c r="I3" s="188"/>
      <c r="J3" s="188">
        <v>1</v>
      </c>
      <c r="K3" s="188"/>
      <c r="L3" s="188"/>
    </row>
    <row r="4" spans="1:12">
      <c r="A4" s="181"/>
      <c r="B4" s="189" t="s">
        <v>11</v>
      </c>
      <c r="C4" s="189" t="s">
        <v>16</v>
      </c>
      <c r="D4" s="189" t="s">
        <v>17</v>
      </c>
      <c r="E4" s="190" t="s">
        <v>13</v>
      </c>
      <c r="F4" s="189" t="s">
        <v>18</v>
      </c>
      <c r="G4" s="189" t="s">
        <v>19</v>
      </c>
      <c r="H4" s="191">
        <v>2</v>
      </c>
      <c r="I4" s="191"/>
      <c r="J4" s="191">
        <v>1</v>
      </c>
      <c r="K4" s="191"/>
      <c r="L4" s="191"/>
    </row>
    <row r="5" spans="1:12">
      <c r="A5" s="204"/>
      <c r="B5" s="192" t="s">
        <v>11</v>
      </c>
      <c r="C5" s="192" t="s">
        <v>16</v>
      </c>
      <c r="D5" s="193" t="s">
        <v>20</v>
      </c>
      <c r="E5" s="192" t="s">
        <v>21</v>
      </c>
      <c r="F5" s="194" t="s">
        <v>22</v>
      </c>
      <c r="G5" s="195" t="s">
        <v>23</v>
      </c>
      <c r="H5" s="195">
        <v>3</v>
      </c>
      <c r="I5" s="195"/>
      <c r="J5" s="195">
        <v>1</v>
      </c>
      <c r="K5" s="195"/>
      <c r="L5" s="195"/>
    </row>
    <row r="6" spans="1:12">
      <c r="A6" s="204"/>
      <c r="B6" s="196" t="s">
        <v>11</v>
      </c>
      <c r="C6" s="196" t="s">
        <v>16</v>
      </c>
      <c r="D6" s="196" t="s">
        <v>24</v>
      </c>
      <c r="E6" s="196" t="s">
        <v>20</v>
      </c>
      <c r="F6" s="196" t="s">
        <v>25</v>
      </c>
      <c r="G6" s="196" t="s">
        <v>26</v>
      </c>
      <c r="H6" s="196">
        <v>4</v>
      </c>
      <c r="I6" s="196" t="b">
        <v>1</v>
      </c>
      <c r="J6" s="196">
        <v>1</v>
      </c>
      <c r="K6" s="196"/>
      <c r="L6" s="196"/>
    </row>
    <row r="7" spans="1:12">
      <c r="B7" s="196" t="s">
        <v>11</v>
      </c>
      <c r="C7" s="196" t="s">
        <v>16</v>
      </c>
      <c r="D7" s="196" t="s">
        <v>27</v>
      </c>
      <c r="E7" s="196" t="s">
        <v>20</v>
      </c>
      <c r="F7" s="196" t="s">
        <v>28</v>
      </c>
      <c r="G7" s="196" t="s">
        <v>29</v>
      </c>
      <c r="H7" s="196">
        <v>4</v>
      </c>
      <c r="I7" s="196" t="b">
        <v>1</v>
      </c>
      <c r="J7" s="196">
        <v>2</v>
      </c>
      <c r="K7" s="196"/>
      <c r="L7" s="181"/>
    </row>
    <row r="8" spans="1:12">
      <c r="B8" s="196" t="s">
        <v>11</v>
      </c>
      <c r="C8" s="196" t="s">
        <v>16</v>
      </c>
      <c r="D8" s="196" t="s">
        <v>30</v>
      </c>
      <c r="E8" s="196" t="s">
        <v>20</v>
      </c>
      <c r="F8" s="196" t="s">
        <v>31</v>
      </c>
      <c r="G8" s="196" t="s">
        <v>32</v>
      </c>
      <c r="H8" s="196">
        <v>4</v>
      </c>
      <c r="I8" s="196" t="b">
        <v>1</v>
      </c>
      <c r="J8" s="196">
        <v>3</v>
      </c>
      <c r="K8" s="196"/>
      <c r="L8" s="181"/>
    </row>
    <row r="9" spans="1:12">
      <c r="B9" s="196" t="s">
        <v>11</v>
      </c>
      <c r="C9" s="196" t="s">
        <v>16</v>
      </c>
      <c r="D9" s="196" t="s">
        <v>33</v>
      </c>
      <c r="E9" s="196" t="s">
        <v>20</v>
      </c>
      <c r="F9" s="196" t="s">
        <v>34</v>
      </c>
      <c r="G9" s="196" t="s">
        <v>35</v>
      </c>
      <c r="H9" s="196">
        <v>4</v>
      </c>
      <c r="I9" s="196" t="b">
        <v>1</v>
      </c>
      <c r="J9" s="196">
        <v>4</v>
      </c>
      <c r="K9" s="181"/>
      <c r="L9" s="181"/>
    </row>
    <row r="10" spans="1:12">
      <c r="A10" s="203"/>
      <c r="B10" s="311" t="s">
        <v>11</v>
      </c>
      <c r="C10" s="311" t="s">
        <v>16</v>
      </c>
      <c r="D10" s="311" t="s">
        <v>36</v>
      </c>
      <c r="E10" s="311" t="s">
        <v>20</v>
      </c>
      <c r="F10" s="311" t="s">
        <v>37</v>
      </c>
      <c r="G10" s="311" t="s">
        <v>38</v>
      </c>
      <c r="H10" s="311">
        <v>4</v>
      </c>
      <c r="I10" s="311" t="b">
        <v>1</v>
      </c>
      <c r="J10" s="311">
        <v>5</v>
      </c>
      <c r="K10" s="351"/>
      <c r="L10" s="351"/>
    </row>
    <row r="11" spans="1:12">
      <c r="B11" s="192" t="s">
        <v>11</v>
      </c>
      <c r="C11" s="192" t="s">
        <v>39</v>
      </c>
      <c r="D11" s="193" t="s">
        <v>40</v>
      </c>
      <c r="E11" s="192" t="s">
        <v>21</v>
      </c>
      <c r="F11" s="194" t="s">
        <v>41</v>
      </c>
      <c r="G11" s="195" t="s">
        <v>42</v>
      </c>
      <c r="H11" s="195">
        <v>3</v>
      </c>
      <c r="I11" s="195"/>
      <c r="J11" s="195">
        <v>2</v>
      </c>
      <c r="K11" s="195"/>
      <c r="L11" s="195"/>
    </row>
    <row r="12" spans="1:12">
      <c r="B12" s="196" t="s">
        <v>11</v>
      </c>
      <c r="C12" s="196" t="s">
        <v>16</v>
      </c>
      <c r="D12" s="196" t="s">
        <v>43</v>
      </c>
      <c r="E12" s="196" t="s">
        <v>40</v>
      </c>
      <c r="F12" s="278" t="s">
        <v>44</v>
      </c>
      <c r="G12" s="196" t="s">
        <v>45</v>
      </c>
      <c r="H12" s="196">
        <v>4</v>
      </c>
      <c r="I12" s="196" t="b">
        <v>1</v>
      </c>
      <c r="J12" s="196">
        <v>1</v>
      </c>
      <c r="K12" s="181"/>
      <c r="L12" s="196"/>
    </row>
    <row r="13" spans="1:12">
      <c r="B13" s="196" t="s">
        <v>11</v>
      </c>
      <c r="C13" s="196" t="s">
        <v>16</v>
      </c>
      <c r="D13" s="196" t="s">
        <v>46</v>
      </c>
      <c r="E13" s="196" t="s">
        <v>40</v>
      </c>
      <c r="F13" s="196" t="s">
        <v>47</v>
      </c>
      <c r="G13" s="196" t="s">
        <v>48</v>
      </c>
      <c r="H13" s="196">
        <v>4</v>
      </c>
      <c r="I13" s="196" t="b">
        <v>1</v>
      </c>
      <c r="J13" s="196">
        <v>2</v>
      </c>
      <c r="K13" s="181"/>
      <c r="L13" s="181"/>
    </row>
    <row r="14" spans="1:12">
      <c r="A14" s="204"/>
      <c r="B14" s="196" t="s">
        <v>11</v>
      </c>
      <c r="C14" s="196" t="s">
        <v>16</v>
      </c>
      <c r="D14" s="196" t="s">
        <v>49</v>
      </c>
      <c r="E14" s="196" t="s">
        <v>40</v>
      </c>
      <c r="F14" s="196" t="s">
        <v>50</v>
      </c>
      <c r="G14" s="196" t="s">
        <v>51</v>
      </c>
      <c r="H14" s="196">
        <v>4</v>
      </c>
      <c r="I14" s="196" t="b">
        <v>1</v>
      </c>
      <c r="J14" s="196">
        <v>3</v>
      </c>
      <c r="K14" s="181"/>
      <c r="L14" s="181"/>
    </row>
    <row r="15" spans="1:12">
      <c r="A15" s="204"/>
      <c r="B15" s="196" t="s">
        <v>11</v>
      </c>
      <c r="C15" s="196" t="s">
        <v>16</v>
      </c>
      <c r="D15" s="196" t="s">
        <v>52</v>
      </c>
      <c r="E15" s="196" t="s">
        <v>40</v>
      </c>
      <c r="F15" s="278" t="s">
        <v>53</v>
      </c>
      <c r="G15" s="196" t="s">
        <v>54</v>
      </c>
      <c r="H15" s="196">
        <v>4</v>
      </c>
      <c r="I15" s="196" t="b">
        <v>1</v>
      </c>
      <c r="J15" s="196">
        <v>4</v>
      </c>
      <c r="K15" s="181"/>
      <c r="L15" s="181"/>
    </row>
    <row r="16" spans="1:12">
      <c r="A16" s="204"/>
      <c r="B16" s="181" t="s">
        <v>11</v>
      </c>
      <c r="C16" s="181" t="s">
        <v>16</v>
      </c>
      <c r="D16" s="181" t="s">
        <v>55</v>
      </c>
      <c r="E16" s="181" t="s">
        <v>40</v>
      </c>
      <c r="F16" s="246" t="s">
        <v>56</v>
      </c>
      <c r="G16" s="181" t="s">
        <v>57</v>
      </c>
      <c r="H16" s="181">
        <v>4</v>
      </c>
      <c r="I16" s="181" t="b">
        <v>1</v>
      </c>
      <c r="J16" s="181">
        <v>5</v>
      </c>
      <c r="K16" s="181"/>
      <c r="L16" s="181"/>
    </row>
    <row r="17" spans="1:12">
      <c r="A17" s="204"/>
      <c r="B17" s="192" t="s">
        <v>11</v>
      </c>
      <c r="C17" s="192" t="s">
        <v>39</v>
      </c>
      <c r="D17" s="193" t="s">
        <v>58</v>
      </c>
      <c r="E17" s="192" t="s">
        <v>21</v>
      </c>
      <c r="F17" s="194" t="s">
        <v>59</v>
      </c>
      <c r="G17" s="195" t="s">
        <v>60</v>
      </c>
      <c r="H17" s="195">
        <v>3</v>
      </c>
      <c r="I17" s="195"/>
      <c r="J17" s="195">
        <v>3</v>
      </c>
      <c r="K17" s="195"/>
      <c r="L17" s="195"/>
    </row>
    <row r="18" spans="1:12">
      <c r="A18" s="204"/>
      <c r="B18" s="196" t="s">
        <v>11</v>
      </c>
      <c r="C18" s="196" t="s">
        <v>16</v>
      </c>
      <c r="D18" s="196" t="s">
        <v>61</v>
      </c>
      <c r="E18" s="196" t="s">
        <v>58</v>
      </c>
      <c r="F18" s="196" t="s">
        <v>62</v>
      </c>
      <c r="G18" s="196" t="s">
        <v>63</v>
      </c>
      <c r="H18" s="196">
        <v>4</v>
      </c>
      <c r="I18" s="196" t="b">
        <v>1</v>
      </c>
      <c r="J18" s="196">
        <v>1</v>
      </c>
      <c r="K18" s="181"/>
      <c r="L18" s="196"/>
    </row>
    <row r="19" spans="1:12">
      <c r="A19" s="204"/>
      <c r="B19" s="196" t="s">
        <v>11</v>
      </c>
      <c r="C19" s="196" t="s">
        <v>16</v>
      </c>
      <c r="D19" s="196" t="s">
        <v>64</v>
      </c>
      <c r="E19" s="196" t="s">
        <v>58</v>
      </c>
      <c r="F19" s="196" t="s">
        <v>65</v>
      </c>
      <c r="G19" s="196" t="s">
        <v>66</v>
      </c>
      <c r="H19" s="196">
        <v>4</v>
      </c>
      <c r="I19" s="196" t="b">
        <v>1</v>
      </c>
      <c r="J19" s="196">
        <v>2</v>
      </c>
      <c r="K19" s="181"/>
      <c r="L19" s="181"/>
    </row>
    <row r="20" spans="1:12">
      <c r="A20" s="204"/>
      <c r="B20" s="196" t="s">
        <v>11</v>
      </c>
      <c r="C20" s="196" t="s">
        <v>16</v>
      </c>
      <c r="D20" s="196" t="s">
        <v>67</v>
      </c>
      <c r="E20" s="196" t="s">
        <v>58</v>
      </c>
      <c r="F20" s="196" t="s">
        <v>68</v>
      </c>
      <c r="G20" s="196" t="s">
        <v>69</v>
      </c>
      <c r="H20" s="196">
        <v>4</v>
      </c>
      <c r="I20" s="196" t="b">
        <v>1</v>
      </c>
      <c r="J20" s="196">
        <v>3</v>
      </c>
      <c r="K20" s="181"/>
      <c r="L20" s="181"/>
    </row>
    <row r="21" spans="1:12">
      <c r="A21" s="204"/>
      <c r="B21" s="196" t="s">
        <v>11</v>
      </c>
      <c r="C21" s="196" t="s">
        <v>16</v>
      </c>
      <c r="D21" s="196" t="s">
        <v>70</v>
      </c>
      <c r="E21" s="196" t="s">
        <v>58</v>
      </c>
      <c r="F21" s="196" t="s">
        <v>71</v>
      </c>
      <c r="G21" s="196" t="s">
        <v>72</v>
      </c>
      <c r="H21" s="196">
        <v>4</v>
      </c>
      <c r="I21" s="196" t="b">
        <v>1</v>
      </c>
      <c r="J21" s="196">
        <v>4</v>
      </c>
      <c r="K21" s="181"/>
      <c r="L21" s="181"/>
    </row>
    <row r="22" spans="1:12">
      <c r="A22" s="204"/>
      <c r="B22" s="192" t="s">
        <v>11</v>
      </c>
      <c r="C22" s="192" t="s">
        <v>39</v>
      </c>
      <c r="D22" s="193" t="s">
        <v>73</v>
      </c>
      <c r="E22" s="192" t="s">
        <v>21</v>
      </c>
      <c r="F22" s="197" t="s">
        <v>74</v>
      </c>
      <c r="G22" s="195" t="s">
        <v>75</v>
      </c>
      <c r="H22" s="195">
        <v>3</v>
      </c>
      <c r="I22" s="195"/>
      <c r="J22" s="195">
        <v>4</v>
      </c>
      <c r="K22" s="195"/>
      <c r="L22" s="195"/>
    </row>
    <row r="23" spans="1:12">
      <c r="A23" s="204"/>
      <c r="B23" s="196" t="s">
        <v>11</v>
      </c>
      <c r="C23" s="196" t="s">
        <v>16</v>
      </c>
      <c r="D23" s="196" t="s">
        <v>76</v>
      </c>
      <c r="E23" s="196" t="s">
        <v>73</v>
      </c>
      <c r="F23" s="196" t="s">
        <v>77</v>
      </c>
      <c r="G23" s="196" t="s">
        <v>78</v>
      </c>
      <c r="H23" s="196">
        <v>4</v>
      </c>
      <c r="I23" s="196" t="b">
        <v>1</v>
      </c>
      <c r="J23" s="196">
        <v>1</v>
      </c>
      <c r="K23" s="181"/>
      <c r="L23" s="196"/>
    </row>
    <row r="24" spans="1:12">
      <c r="A24" s="204"/>
      <c r="B24" s="196" t="s">
        <v>11</v>
      </c>
      <c r="C24" s="196" t="s">
        <v>16</v>
      </c>
      <c r="D24" s="196" t="s">
        <v>79</v>
      </c>
      <c r="E24" s="196" t="s">
        <v>73</v>
      </c>
      <c r="F24" s="196" t="s">
        <v>80</v>
      </c>
      <c r="G24" s="196" t="s">
        <v>81</v>
      </c>
      <c r="H24" s="196">
        <v>4</v>
      </c>
      <c r="I24" s="196" t="b">
        <v>1</v>
      </c>
      <c r="J24" s="196">
        <v>2</v>
      </c>
      <c r="K24" s="181"/>
      <c r="L24" s="181"/>
    </row>
    <row r="25" spans="1:12">
      <c r="A25" s="204"/>
      <c r="B25" s="196" t="s">
        <v>11</v>
      </c>
      <c r="C25" s="196" t="s">
        <v>16</v>
      </c>
      <c r="D25" s="196" t="s">
        <v>82</v>
      </c>
      <c r="E25" s="196" t="s">
        <v>73</v>
      </c>
      <c r="F25" s="196" t="s">
        <v>83</v>
      </c>
      <c r="G25" s="196" t="s">
        <v>84</v>
      </c>
      <c r="H25" s="196">
        <v>4</v>
      </c>
      <c r="I25" s="196" t="b">
        <v>1</v>
      </c>
      <c r="J25" s="196">
        <v>3</v>
      </c>
      <c r="K25" s="181"/>
      <c r="L25" s="181"/>
    </row>
    <row r="26" spans="1:12">
      <c r="A26" s="204"/>
      <c r="B26" s="196" t="s">
        <v>11</v>
      </c>
      <c r="C26" s="196" t="s">
        <v>16</v>
      </c>
      <c r="D26" s="196" t="s">
        <v>85</v>
      </c>
      <c r="E26" s="196" t="s">
        <v>73</v>
      </c>
      <c r="F26" s="196" t="s">
        <v>86</v>
      </c>
      <c r="G26" s="196" t="s">
        <v>87</v>
      </c>
      <c r="H26" s="196">
        <v>4</v>
      </c>
      <c r="I26" s="196" t="b">
        <v>1</v>
      </c>
      <c r="J26" s="196">
        <v>4</v>
      </c>
      <c r="K26" s="181"/>
      <c r="L26" s="181"/>
    </row>
    <row r="27" spans="1:12">
      <c r="A27" s="204"/>
      <c r="B27" s="192" t="s">
        <v>11</v>
      </c>
      <c r="C27" s="192" t="s">
        <v>39</v>
      </c>
      <c r="D27" s="193" t="s">
        <v>88</v>
      </c>
      <c r="E27" s="192" t="s">
        <v>21</v>
      </c>
      <c r="F27" s="197" t="s">
        <v>89</v>
      </c>
      <c r="G27" s="195" t="s">
        <v>90</v>
      </c>
      <c r="H27" s="195">
        <v>3</v>
      </c>
      <c r="I27" s="195"/>
      <c r="J27" s="195">
        <v>5</v>
      </c>
      <c r="K27" s="195"/>
      <c r="L27" s="195"/>
    </row>
    <row r="28" spans="1:12">
      <c r="A28" s="204"/>
      <c r="B28" s="196" t="s">
        <v>11</v>
      </c>
      <c r="C28" s="196" t="s">
        <v>16</v>
      </c>
      <c r="D28" s="196" t="s">
        <v>91</v>
      </c>
      <c r="E28" s="196" t="s">
        <v>88</v>
      </c>
      <c r="F28" s="196" t="s">
        <v>92</v>
      </c>
      <c r="G28" s="196" t="s">
        <v>93</v>
      </c>
      <c r="H28" s="181">
        <v>4</v>
      </c>
      <c r="I28" s="196" t="b">
        <v>1</v>
      </c>
      <c r="J28" s="196">
        <v>1</v>
      </c>
      <c r="K28" s="181"/>
      <c r="L28" s="196"/>
    </row>
    <row r="29" spans="1:12">
      <c r="A29" s="204"/>
      <c r="B29" s="196" t="s">
        <v>11</v>
      </c>
      <c r="C29" s="196" t="s">
        <v>16</v>
      </c>
      <c r="D29" s="196" t="s">
        <v>94</v>
      </c>
      <c r="E29" s="196" t="s">
        <v>88</v>
      </c>
      <c r="F29" s="196" t="s">
        <v>95</v>
      </c>
      <c r="G29" s="196" t="s">
        <v>96</v>
      </c>
      <c r="H29" s="181">
        <v>4</v>
      </c>
      <c r="I29" s="196" t="b">
        <v>1</v>
      </c>
      <c r="J29" s="196">
        <v>2</v>
      </c>
      <c r="K29" s="181"/>
      <c r="L29" s="181"/>
    </row>
    <row r="30" spans="1:12">
      <c r="A30" s="204"/>
      <c r="B30" s="196" t="s">
        <v>11</v>
      </c>
      <c r="C30" s="196" t="s">
        <v>16</v>
      </c>
      <c r="D30" s="196" t="s">
        <v>97</v>
      </c>
      <c r="E30" s="196" t="s">
        <v>88</v>
      </c>
      <c r="F30" s="196" t="s">
        <v>98</v>
      </c>
      <c r="G30" s="196" t="s">
        <v>99</v>
      </c>
      <c r="H30" s="181">
        <v>4</v>
      </c>
      <c r="I30" s="196" t="b">
        <v>1</v>
      </c>
      <c r="J30" s="196">
        <v>3</v>
      </c>
      <c r="K30" s="181"/>
      <c r="L30" s="181"/>
    </row>
    <row r="31" spans="1:12">
      <c r="A31" s="204"/>
      <c r="B31" s="196" t="s">
        <v>11</v>
      </c>
      <c r="C31" s="196" t="s">
        <v>16</v>
      </c>
      <c r="D31" s="196" t="s">
        <v>100</v>
      </c>
      <c r="E31" s="196" t="s">
        <v>88</v>
      </c>
      <c r="F31" s="196" t="s">
        <v>101</v>
      </c>
      <c r="G31" s="196" t="s">
        <v>102</v>
      </c>
      <c r="H31" s="181">
        <v>4</v>
      </c>
      <c r="I31" s="196" t="b">
        <v>1</v>
      </c>
      <c r="J31" s="196">
        <v>4</v>
      </c>
      <c r="K31" s="181"/>
      <c r="L31" s="181"/>
    </row>
    <row r="32" spans="1:12">
      <c r="A32" s="204"/>
      <c r="B32" s="192" t="s">
        <v>11</v>
      </c>
      <c r="C32" s="192" t="s">
        <v>39</v>
      </c>
      <c r="D32" s="193" t="s">
        <v>103</v>
      </c>
      <c r="E32" s="192" t="s">
        <v>21</v>
      </c>
      <c r="F32" s="197" t="s">
        <v>104</v>
      </c>
      <c r="G32" s="195" t="s">
        <v>105</v>
      </c>
      <c r="H32" s="195">
        <v>3</v>
      </c>
      <c r="I32" s="195"/>
      <c r="J32" s="195">
        <v>6</v>
      </c>
      <c r="K32" s="195"/>
      <c r="L32" s="195"/>
    </row>
    <row r="33" spans="1:12">
      <c r="A33" s="204"/>
      <c r="B33" s="196" t="s">
        <v>11</v>
      </c>
      <c r="C33" s="196" t="s">
        <v>39</v>
      </c>
      <c r="D33" s="196" t="s">
        <v>106</v>
      </c>
      <c r="E33" s="196" t="s">
        <v>103</v>
      </c>
      <c r="F33" s="196" t="s">
        <v>107</v>
      </c>
      <c r="G33" s="196" t="s">
        <v>108</v>
      </c>
      <c r="H33" s="181">
        <v>4</v>
      </c>
      <c r="I33" s="196" t="b">
        <v>1</v>
      </c>
      <c r="J33" s="196">
        <v>1</v>
      </c>
      <c r="K33" s="181"/>
      <c r="L33" s="196"/>
    </row>
    <row r="34" spans="1:12">
      <c r="A34" s="204"/>
      <c r="B34" s="196" t="s">
        <v>11</v>
      </c>
      <c r="C34" s="196" t="s">
        <v>39</v>
      </c>
      <c r="D34" s="196" t="s">
        <v>109</v>
      </c>
      <c r="E34" s="196" t="s">
        <v>103</v>
      </c>
      <c r="F34" s="196" t="s">
        <v>110</v>
      </c>
      <c r="G34" s="196" t="s">
        <v>111</v>
      </c>
      <c r="H34" s="181">
        <v>4</v>
      </c>
      <c r="I34" s="196" t="b">
        <v>1</v>
      </c>
      <c r="J34" s="196">
        <v>2</v>
      </c>
      <c r="K34" s="181"/>
      <c r="L34" s="181"/>
    </row>
    <row r="35" spans="1:12">
      <c r="A35" s="204"/>
      <c r="B35" s="196" t="s">
        <v>11</v>
      </c>
      <c r="C35" s="196" t="s">
        <v>39</v>
      </c>
      <c r="D35" s="196" t="s">
        <v>112</v>
      </c>
      <c r="E35" s="196" t="s">
        <v>103</v>
      </c>
      <c r="F35" s="196" t="s">
        <v>113</v>
      </c>
      <c r="G35" s="196" t="s">
        <v>114</v>
      </c>
      <c r="H35" s="181">
        <v>4</v>
      </c>
      <c r="I35" s="196" t="b">
        <v>1</v>
      </c>
      <c r="J35" s="196">
        <v>3</v>
      </c>
      <c r="K35" s="181"/>
      <c r="L35" s="181"/>
    </row>
    <row r="36" spans="1:12">
      <c r="A36" s="204"/>
      <c r="B36" s="196" t="s">
        <v>11</v>
      </c>
      <c r="C36" s="196" t="s">
        <v>39</v>
      </c>
      <c r="D36" s="196" t="s">
        <v>115</v>
      </c>
      <c r="E36" s="196" t="s">
        <v>103</v>
      </c>
      <c r="F36" s="196" t="s">
        <v>116</v>
      </c>
      <c r="G36" s="196" t="s">
        <v>117</v>
      </c>
      <c r="H36" s="181">
        <v>4</v>
      </c>
      <c r="I36" s="196" t="b">
        <v>1</v>
      </c>
      <c r="J36" s="196">
        <v>4</v>
      </c>
      <c r="K36" s="181"/>
      <c r="L36" s="181"/>
    </row>
    <row r="37" spans="1:12">
      <c r="A37" s="204"/>
      <c r="B37" s="192" t="s">
        <v>11</v>
      </c>
      <c r="C37" s="192" t="s">
        <v>39</v>
      </c>
      <c r="D37" s="193" t="s">
        <v>118</v>
      </c>
      <c r="E37" s="192" t="s">
        <v>21</v>
      </c>
      <c r="F37" s="198" t="s">
        <v>119</v>
      </c>
      <c r="G37" s="195" t="s">
        <v>120</v>
      </c>
      <c r="H37" s="195">
        <v>3</v>
      </c>
      <c r="I37" s="195"/>
      <c r="J37" s="195">
        <v>7</v>
      </c>
      <c r="K37" s="195"/>
      <c r="L37" s="195"/>
    </row>
    <row r="38" spans="1:12">
      <c r="A38" s="204"/>
      <c r="B38" s="196" t="s">
        <v>11</v>
      </c>
      <c r="C38" s="196" t="s">
        <v>39</v>
      </c>
      <c r="D38" s="196" t="s">
        <v>121</v>
      </c>
      <c r="E38" s="196" t="s">
        <v>118</v>
      </c>
      <c r="F38" s="181" t="s">
        <v>122</v>
      </c>
      <c r="G38" s="181" t="s">
        <v>123</v>
      </c>
      <c r="H38" s="181">
        <v>4</v>
      </c>
      <c r="I38" s="196" t="b">
        <v>1</v>
      </c>
      <c r="J38" s="196">
        <v>1</v>
      </c>
      <c r="K38" s="181"/>
      <c r="L38" s="181"/>
    </row>
    <row r="39" spans="1:12">
      <c r="A39" s="204"/>
      <c r="B39" s="196" t="s">
        <v>11</v>
      </c>
      <c r="C39" s="196" t="s">
        <v>39</v>
      </c>
      <c r="D39" s="196" t="s">
        <v>124</v>
      </c>
      <c r="E39" s="196" t="s">
        <v>118</v>
      </c>
      <c r="F39" s="181" t="s">
        <v>125</v>
      </c>
      <c r="G39" s="181" t="s">
        <v>126</v>
      </c>
      <c r="H39" s="181">
        <v>4</v>
      </c>
      <c r="I39" s="196" t="b">
        <v>1</v>
      </c>
      <c r="J39" s="196">
        <v>2</v>
      </c>
      <c r="K39" s="181"/>
      <c r="L39" s="181"/>
    </row>
    <row r="40" spans="1:12">
      <c r="A40" s="204"/>
      <c r="B40" s="196" t="s">
        <v>11</v>
      </c>
      <c r="C40" s="196" t="s">
        <v>39</v>
      </c>
      <c r="D40" s="196" t="s">
        <v>127</v>
      </c>
      <c r="E40" s="196" t="s">
        <v>118</v>
      </c>
      <c r="F40" s="196" t="s">
        <v>128</v>
      </c>
      <c r="G40" s="196" t="s">
        <v>129</v>
      </c>
      <c r="H40" s="181">
        <v>4</v>
      </c>
      <c r="I40" s="196" t="b">
        <v>1</v>
      </c>
      <c r="J40" s="196">
        <v>3</v>
      </c>
      <c r="K40" s="181"/>
      <c r="L40" s="181"/>
    </row>
    <row r="41" spans="1:12">
      <c r="A41" s="204"/>
      <c r="B41" s="196" t="s">
        <v>11</v>
      </c>
      <c r="C41" s="196" t="s">
        <v>39</v>
      </c>
      <c r="D41" s="196" t="s">
        <v>130</v>
      </c>
      <c r="E41" s="196" t="s">
        <v>118</v>
      </c>
      <c r="F41" s="196" t="s">
        <v>131</v>
      </c>
      <c r="G41" s="196" t="s">
        <v>132</v>
      </c>
      <c r="H41" s="181">
        <v>4</v>
      </c>
      <c r="I41" s="196" t="b">
        <v>1</v>
      </c>
      <c r="J41" s="196">
        <v>4</v>
      </c>
      <c r="K41" s="181"/>
      <c r="L41" s="181"/>
    </row>
    <row r="42" spans="1:12">
      <c r="A42" s="204"/>
      <c r="B42" s="196" t="s">
        <v>11</v>
      </c>
      <c r="C42" s="196" t="s">
        <v>39</v>
      </c>
      <c r="D42" s="196" t="s">
        <v>133</v>
      </c>
      <c r="E42" s="196" t="s">
        <v>118</v>
      </c>
      <c r="F42" s="196" t="s">
        <v>134</v>
      </c>
      <c r="G42" s="196" t="s">
        <v>135</v>
      </c>
      <c r="H42" s="181">
        <v>4</v>
      </c>
      <c r="I42" s="196" t="b">
        <v>1</v>
      </c>
      <c r="J42" s="196">
        <v>5</v>
      </c>
      <c r="K42" s="181"/>
      <c r="L42" s="181"/>
    </row>
    <row r="43" spans="1:12">
      <c r="A43" s="204"/>
      <c r="B43" s="196" t="s">
        <v>11</v>
      </c>
      <c r="C43" s="196" t="s">
        <v>39</v>
      </c>
      <c r="D43" s="196" t="s">
        <v>136</v>
      </c>
      <c r="E43" s="196" t="s">
        <v>118</v>
      </c>
      <c r="F43" s="196" t="s">
        <v>137</v>
      </c>
      <c r="G43" s="196" t="s">
        <v>138</v>
      </c>
      <c r="H43" s="181">
        <v>4</v>
      </c>
      <c r="I43" s="196" t="b">
        <v>1</v>
      </c>
      <c r="J43" s="196">
        <v>6</v>
      </c>
      <c r="K43" s="181"/>
      <c r="L43" s="181"/>
    </row>
    <row r="44" spans="1:12">
      <c r="A44" s="204"/>
      <c r="B44" s="192" t="s">
        <v>11</v>
      </c>
      <c r="C44" s="192" t="s">
        <v>39</v>
      </c>
      <c r="D44" s="192" t="s">
        <v>139</v>
      </c>
      <c r="E44" s="192" t="s">
        <v>21</v>
      </c>
      <c r="F44" s="197" t="s">
        <v>140</v>
      </c>
      <c r="G44" s="195" t="s">
        <v>141</v>
      </c>
      <c r="H44" s="195">
        <v>3</v>
      </c>
      <c r="I44" s="192" t="b">
        <v>1</v>
      </c>
      <c r="J44" s="195">
        <v>8</v>
      </c>
      <c r="K44" s="195"/>
      <c r="L44" s="195"/>
    </row>
    <row r="45" spans="1:12">
      <c r="A45" s="181"/>
      <c r="B45" s="189" t="s">
        <v>11</v>
      </c>
      <c r="C45" s="189" t="s">
        <v>142</v>
      </c>
      <c r="D45" s="189" t="s">
        <v>143</v>
      </c>
      <c r="E45" s="190" t="s">
        <v>13</v>
      </c>
      <c r="F45" s="199" t="s">
        <v>144</v>
      </c>
      <c r="G45" s="191" t="s">
        <v>145</v>
      </c>
      <c r="H45" s="191">
        <v>2</v>
      </c>
      <c r="I45" s="191"/>
      <c r="J45" s="191">
        <v>2</v>
      </c>
      <c r="K45" s="191" t="s">
        <v>146</v>
      </c>
      <c r="L45" s="191"/>
    </row>
    <row r="46" spans="1:12">
      <c r="A46" s="181"/>
      <c r="B46" s="192" t="s">
        <v>11</v>
      </c>
      <c r="C46" s="192" t="s">
        <v>142</v>
      </c>
      <c r="D46" s="192" t="s">
        <v>147</v>
      </c>
      <c r="E46" s="195" t="s">
        <v>148</v>
      </c>
      <c r="F46" s="197" t="s">
        <v>149</v>
      </c>
      <c r="G46" s="192" t="s">
        <v>150</v>
      </c>
      <c r="H46" s="192">
        <v>3</v>
      </c>
      <c r="I46" s="192" t="b">
        <v>1</v>
      </c>
      <c r="J46" s="192">
        <v>1</v>
      </c>
      <c r="K46" s="192" t="s">
        <v>151</v>
      </c>
      <c r="L46" s="195"/>
    </row>
    <row r="47" spans="1:12">
      <c r="A47" s="181"/>
      <c r="B47" s="192" t="s">
        <v>11</v>
      </c>
      <c r="C47" s="192" t="s">
        <v>142</v>
      </c>
      <c r="D47" s="192" t="s">
        <v>152</v>
      </c>
      <c r="E47" s="195" t="s">
        <v>148</v>
      </c>
      <c r="F47" s="197" t="s">
        <v>153</v>
      </c>
      <c r="G47" s="192" t="s">
        <v>154</v>
      </c>
      <c r="H47" s="192">
        <v>3</v>
      </c>
      <c r="I47" s="192"/>
      <c r="J47" s="192">
        <v>2</v>
      </c>
      <c r="K47" s="192" t="s">
        <v>155</v>
      </c>
      <c r="L47" s="195"/>
    </row>
    <row r="48" spans="1:12">
      <c r="A48" s="181"/>
      <c r="B48" s="196" t="s">
        <v>11</v>
      </c>
      <c r="C48" s="196" t="s">
        <v>142</v>
      </c>
      <c r="D48" s="196" t="s">
        <v>156</v>
      </c>
      <c r="E48" s="181" t="s">
        <v>152</v>
      </c>
      <c r="F48" s="196" t="s">
        <v>157</v>
      </c>
      <c r="G48" s="196" t="s">
        <v>158</v>
      </c>
      <c r="H48" s="196">
        <v>4</v>
      </c>
      <c r="I48" s="196" t="b">
        <v>1</v>
      </c>
      <c r="J48" s="196">
        <v>1</v>
      </c>
      <c r="K48" s="196" t="s">
        <v>159</v>
      </c>
      <c r="L48" s="181"/>
    </row>
    <row r="49" spans="1:12">
      <c r="A49" s="181"/>
      <c r="B49" s="196" t="s">
        <v>11</v>
      </c>
      <c r="C49" s="196" t="s">
        <v>142</v>
      </c>
      <c r="D49" s="196" t="s">
        <v>160</v>
      </c>
      <c r="E49" s="181" t="s">
        <v>152</v>
      </c>
      <c r="F49" s="196" t="s">
        <v>161</v>
      </c>
      <c r="G49" s="196" t="s">
        <v>162</v>
      </c>
      <c r="H49" s="196">
        <v>4</v>
      </c>
      <c r="I49" s="196" t="b">
        <v>1</v>
      </c>
      <c r="J49" s="196">
        <v>2</v>
      </c>
      <c r="K49" s="196" t="s">
        <v>163</v>
      </c>
      <c r="L49" s="181"/>
    </row>
    <row r="50" spans="1:12">
      <c r="A50" s="181"/>
      <c r="B50" s="196" t="s">
        <v>11</v>
      </c>
      <c r="C50" s="196" t="s">
        <v>142</v>
      </c>
      <c r="D50" s="196" t="s">
        <v>164</v>
      </c>
      <c r="E50" s="181" t="s">
        <v>152</v>
      </c>
      <c r="F50" s="196" t="s">
        <v>165</v>
      </c>
      <c r="G50" s="196" t="s">
        <v>166</v>
      </c>
      <c r="H50" s="196">
        <v>4</v>
      </c>
      <c r="I50" s="196" t="b">
        <v>1</v>
      </c>
      <c r="J50" s="196">
        <v>3</v>
      </c>
      <c r="K50" s="196" t="s">
        <v>167</v>
      </c>
      <c r="L50" s="181"/>
    </row>
    <row r="51" spans="1:12">
      <c r="A51" s="181"/>
      <c r="B51" s="196" t="s">
        <v>11</v>
      </c>
      <c r="C51" s="196" t="s">
        <v>142</v>
      </c>
      <c r="D51" s="196" t="s">
        <v>168</v>
      </c>
      <c r="E51" s="181" t="s">
        <v>164</v>
      </c>
      <c r="F51" s="196" t="s">
        <v>169</v>
      </c>
      <c r="G51" s="196" t="s">
        <v>170</v>
      </c>
      <c r="H51" s="196">
        <v>4</v>
      </c>
      <c r="I51" s="196" t="b">
        <v>1</v>
      </c>
      <c r="J51" s="196">
        <v>4</v>
      </c>
      <c r="K51" s="196"/>
      <c r="L51" s="181"/>
    </row>
    <row r="52" spans="1:12">
      <c r="A52" s="181"/>
      <c r="B52" s="196" t="s">
        <v>11</v>
      </c>
      <c r="C52" s="196" t="s">
        <v>142</v>
      </c>
      <c r="D52" s="196" t="s">
        <v>171</v>
      </c>
      <c r="E52" s="181" t="s">
        <v>152</v>
      </c>
      <c r="F52" s="196" t="s">
        <v>172</v>
      </c>
      <c r="G52" s="196" t="s">
        <v>173</v>
      </c>
      <c r="H52" s="196">
        <v>4</v>
      </c>
      <c r="I52" s="196" t="b">
        <v>1</v>
      </c>
      <c r="J52" s="196">
        <v>5</v>
      </c>
      <c r="K52" s="196"/>
      <c r="L52" s="181"/>
    </row>
    <row r="53" spans="1:12">
      <c r="A53" s="131">
        <v>260416</v>
      </c>
      <c r="B53" s="196" t="s">
        <v>11</v>
      </c>
      <c r="C53" s="196" t="s">
        <v>142</v>
      </c>
      <c r="D53" s="196" t="s">
        <v>174</v>
      </c>
      <c r="E53" s="181" t="s">
        <v>152</v>
      </c>
      <c r="F53" s="196" t="s">
        <v>175</v>
      </c>
      <c r="G53" s="196" t="s">
        <v>176</v>
      </c>
      <c r="H53" s="196">
        <v>4</v>
      </c>
      <c r="I53" s="196" t="b">
        <v>1</v>
      </c>
      <c r="J53" s="196">
        <v>6</v>
      </c>
      <c r="K53" s="196"/>
      <c r="L53" s="181" t="s">
        <v>177</v>
      </c>
    </row>
    <row r="54" spans="1:12">
      <c r="A54" s="181"/>
      <c r="B54" s="192" t="s">
        <v>11</v>
      </c>
      <c r="C54" s="192" t="s">
        <v>142</v>
      </c>
      <c r="D54" s="192" t="s">
        <v>178</v>
      </c>
      <c r="E54" s="195" t="s">
        <v>148</v>
      </c>
      <c r="F54" s="197" t="s">
        <v>179</v>
      </c>
      <c r="G54" s="192" t="s">
        <v>180</v>
      </c>
      <c r="H54" s="192">
        <v>3</v>
      </c>
      <c r="I54" s="192"/>
      <c r="J54" s="192">
        <v>3</v>
      </c>
      <c r="K54" s="195"/>
      <c r="L54" s="195"/>
    </row>
    <row r="55" spans="1:12">
      <c r="A55" s="181"/>
      <c r="B55" s="196" t="s">
        <v>11</v>
      </c>
      <c r="C55" s="196" t="s">
        <v>142</v>
      </c>
      <c r="D55" s="196" t="s">
        <v>181</v>
      </c>
      <c r="E55" s="181" t="s">
        <v>178</v>
      </c>
      <c r="F55" s="196" t="s">
        <v>182</v>
      </c>
      <c r="G55" s="196" t="s">
        <v>180</v>
      </c>
      <c r="H55" s="196">
        <v>4</v>
      </c>
      <c r="I55" s="196" t="b">
        <v>1</v>
      </c>
      <c r="J55" s="196">
        <v>1</v>
      </c>
      <c r="K55" s="196" t="s">
        <v>183</v>
      </c>
      <c r="L55" s="181"/>
    </row>
    <row r="56" spans="1:12">
      <c r="A56" s="181"/>
      <c r="B56" s="196" t="s">
        <v>11</v>
      </c>
      <c r="C56" s="196" t="s">
        <v>142</v>
      </c>
      <c r="D56" s="196" t="s">
        <v>184</v>
      </c>
      <c r="E56" s="181" t="s">
        <v>185</v>
      </c>
      <c r="F56" s="196" t="s">
        <v>186</v>
      </c>
      <c r="G56" s="196" t="s">
        <v>187</v>
      </c>
      <c r="H56" s="196">
        <v>4</v>
      </c>
      <c r="I56" s="196" t="b">
        <v>1</v>
      </c>
      <c r="J56" s="196">
        <v>2</v>
      </c>
      <c r="K56" s="181"/>
      <c r="L56" s="181"/>
    </row>
    <row r="57" spans="1:12">
      <c r="A57" s="181"/>
      <c r="B57" s="196" t="s">
        <v>11</v>
      </c>
      <c r="C57" s="196" t="s">
        <v>142</v>
      </c>
      <c r="D57" s="196" t="s">
        <v>188</v>
      </c>
      <c r="E57" s="181" t="s">
        <v>185</v>
      </c>
      <c r="F57" s="196" t="s">
        <v>189</v>
      </c>
      <c r="G57" s="196" t="s">
        <v>190</v>
      </c>
      <c r="H57" s="196">
        <v>4</v>
      </c>
      <c r="I57" s="196" t="b">
        <v>1</v>
      </c>
      <c r="J57" s="196">
        <v>3</v>
      </c>
      <c r="K57" s="196"/>
      <c r="L57" s="181"/>
    </row>
    <row r="58" spans="1:12">
      <c r="A58" s="181"/>
      <c r="B58" s="192" t="s">
        <v>11</v>
      </c>
      <c r="C58" s="192" t="s">
        <v>142</v>
      </c>
      <c r="D58" s="192" t="s">
        <v>191</v>
      </c>
      <c r="E58" s="195" t="s">
        <v>148</v>
      </c>
      <c r="F58" s="197" t="s">
        <v>192</v>
      </c>
      <c r="G58" s="192" t="s">
        <v>193</v>
      </c>
      <c r="H58" s="192">
        <v>3</v>
      </c>
      <c r="I58" s="192" t="b">
        <v>1</v>
      </c>
      <c r="J58" s="192">
        <v>4</v>
      </c>
      <c r="K58" s="192" t="s">
        <v>194</v>
      </c>
      <c r="L58" s="195"/>
    </row>
    <row r="59" spans="1:12">
      <c r="A59" s="181"/>
      <c r="B59" s="192" t="s">
        <v>11</v>
      </c>
      <c r="C59" s="192" t="s">
        <v>142</v>
      </c>
      <c r="D59" s="192" t="s">
        <v>195</v>
      </c>
      <c r="E59" s="195" t="s">
        <v>148</v>
      </c>
      <c r="F59" s="197" t="s">
        <v>196</v>
      </c>
      <c r="G59" s="192" t="s">
        <v>197</v>
      </c>
      <c r="H59" s="192">
        <v>3</v>
      </c>
      <c r="I59" s="192" t="b">
        <v>1</v>
      </c>
      <c r="J59" s="192">
        <v>5</v>
      </c>
      <c r="K59" s="192" t="s">
        <v>198</v>
      </c>
      <c r="L59" s="195"/>
    </row>
    <row r="60" spans="1:12">
      <c r="A60" s="181"/>
      <c r="B60" s="192" t="s">
        <v>11</v>
      </c>
      <c r="C60" s="192" t="s">
        <v>142</v>
      </c>
      <c r="D60" s="192" t="s">
        <v>199</v>
      </c>
      <c r="E60" s="195" t="s">
        <v>148</v>
      </c>
      <c r="F60" s="197" t="s">
        <v>200</v>
      </c>
      <c r="G60" s="192" t="s">
        <v>201</v>
      </c>
      <c r="H60" s="192">
        <v>3</v>
      </c>
      <c r="I60" s="192"/>
      <c r="J60" s="192">
        <v>6</v>
      </c>
      <c r="K60" s="192"/>
      <c r="L60" s="195"/>
    </row>
    <row r="61" spans="1:12">
      <c r="A61" s="181"/>
      <c r="B61" s="196" t="s">
        <v>11</v>
      </c>
      <c r="C61" s="196" t="s">
        <v>142</v>
      </c>
      <c r="D61" s="196" t="s">
        <v>202</v>
      </c>
      <c r="E61" s="181" t="s">
        <v>199</v>
      </c>
      <c r="F61" s="196" t="s">
        <v>203</v>
      </c>
      <c r="G61" s="196" t="s">
        <v>204</v>
      </c>
      <c r="H61" s="196">
        <v>4</v>
      </c>
      <c r="I61" s="196" t="b">
        <v>1</v>
      </c>
      <c r="J61" s="196">
        <v>1</v>
      </c>
      <c r="K61" s="196" t="s">
        <v>205</v>
      </c>
      <c r="L61" s="181"/>
    </row>
    <row r="62" spans="1:12">
      <c r="A62" s="181"/>
      <c r="B62" s="196" t="s">
        <v>206</v>
      </c>
      <c r="C62" s="196" t="s">
        <v>207</v>
      </c>
      <c r="D62" s="196" t="s">
        <v>208</v>
      </c>
      <c r="E62" s="181" t="s">
        <v>199</v>
      </c>
      <c r="F62" s="196" t="s">
        <v>209</v>
      </c>
      <c r="G62" s="196" t="s">
        <v>210</v>
      </c>
      <c r="H62" s="196">
        <v>4</v>
      </c>
      <c r="I62" s="196" t="b">
        <v>1</v>
      </c>
      <c r="J62" s="196">
        <v>2</v>
      </c>
      <c r="K62" s="196"/>
      <c r="L62" s="181"/>
    </row>
    <row r="63" spans="1:12">
      <c r="A63" s="181"/>
      <c r="B63" s="192" t="s">
        <v>11</v>
      </c>
      <c r="C63" s="192" t="s">
        <v>142</v>
      </c>
      <c r="D63" s="192" t="s">
        <v>211</v>
      </c>
      <c r="E63" s="195" t="s">
        <v>148</v>
      </c>
      <c r="F63" s="197" t="s">
        <v>212</v>
      </c>
      <c r="G63" s="192" t="s">
        <v>213</v>
      </c>
      <c r="H63" s="192">
        <v>3</v>
      </c>
      <c r="I63" s="192"/>
      <c r="J63" s="192">
        <v>7</v>
      </c>
      <c r="K63" s="192" t="s">
        <v>214</v>
      </c>
      <c r="L63" s="195"/>
    </row>
    <row r="64" spans="1:12">
      <c r="A64" s="181"/>
      <c r="B64" s="196" t="s">
        <v>11</v>
      </c>
      <c r="C64" s="196" t="s">
        <v>142</v>
      </c>
      <c r="D64" s="196" t="s">
        <v>215</v>
      </c>
      <c r="E64" s="181" t="s">
        <v>211</v>
      </c>
      <c r="F64" s="196" t="s">
        <v>216</v>
      </c>
      <c r="G64" s="196" t="s">
        <v>217</v>
      </c>
      <c r="H64" s="196">
        <v>4</v>
      </c>
      <c r="I64" s="196" t="b">
        <v>1</v>
      </c>
      <c r="J64" s="196">
        <v>1</v>
      </c>
      <c r="K64" s="196" t="s">
        <v>218</v>
      </c>
      <c r="L64" s="181"/>
    </row>
    <row r="65" spans="1:12">
      <c r="A65" s="181"/>
      <c r="B65" s="196" t="s">
        <v>11</v>
      </c>
      <c r="C65" s="196" t="s">
        <v>142</v>
      </c>
      <c r="D65" s="196" t="s">
        <v>219</v>
      </c>
      <c r="E65" s="181" t="s">
        <v>215</v>
      </c>
      <c r="F65" s="196" t="s">
        <v>220</v>
      </c>
      <c r="G65" s="196" t="s">
        <v>221</v>
      </c>
      <c r="H65" s="196">
        <v>4</v>
      </c>
      <c r="I65" s="196" t="b">
        <v>1</v>
      </c>
      <c r="J65" s="196">
        <v>2</v>
      </c>
      <c r="K65" s="196" t="s">
        <v>222</v>
      </c>
      <c r="L65" s="181"/>
    </row>
    <row r="66" spans="1:12">
      <c r="A66" s="181"/>
      <c r="B66" s="192" t="s">
        <v>11</v>
      </c>
      <c r="C66" s="192" t="s">
        <v>142</v>
      </c>
      <c r="D66" s="192" t="s">
        <v>223</v>
      </c>
      <c r="E66" s="195" t="s">
        <v>148</v>
      </c>
      <c r="F66" s="197" t="s">
        <v>224</v>
      </c>
      <c r="G66" s="192" t="s">
        <v>225</v>
      </c>
      <c r="H66" s="192">
        <v>3</v>
      </c>
      <c r="I66" s="192"/>
      <c r="J66" s="192">
        <v>8</v>
      </c>
      <c r="K66" s="192" t="s">
        <v>226</v>
      </c>
      <c r="L66" s="195"/>
    </row>
    <row r="67" spans="1:12">
      <c r="A67" s="181"/>
      <c r="B67" s="196" t="s">
        <v>11</v>
      </c>
      <c r="C67" s="196" t="s">
        <v>142</v>
      </c>
      <c r="D67" s="196" t="s">
        <v>227</v>
      </c>
      <c r="E67" s="181" t="s">
        <v>223</v>
      </c>
      <c r="F67" s="196" t="s">
        <v>228</v>
      </c>
      <c r="G67" s="196" t="s">
        <v>229</v>
      </c>
      <c r="H67" s="196">
        <v>4</v>
      </c>
      <c r="I67" s="196" t="b">
        <v>1</v>
      </c>
      <c r="J67" s="196">
        <v>1</v>
      </c>
      <c r="K67" s="196" t="s">
        <v>230</v>
      </c>
      <c r="L67" s="181"/>
    </row>
    <row r="68" spans="1:12">
      <c r="A68" s="181"/>
      <c r="B68" s="196" t="s">
        <v>11</v>
      </c>
      <c r="C68" s="196" t="s">
        <v>142</v>
      </c>
      <c r="D68" s="196" t="s">
        <v>231</v>
      </c>
      <c r="E68" s="181" t="s">
        <v>223</v>
      </c>
      <c r="F68" s="196" t="s">
        <v>232</v>
      </c>
      <c r="G68" s="196" t="s">
        <v>233</v>
      </c>
      <c r="H68" s="196">
        <v>4</v>
      </c>
      <c r="I68" s="196" t="b">
        <v>1</v>
      </c>
      <c r="J68" s="196">
        <v>2</v>
      </c>
      <c r="K68" s="196" t="s">
        <v>234</v>
      </c>
      <c r="L68" s="181"/>
    </row>
    <row r="69" spans="1:12">
      <c r="A69" s="181"/>
      <c r="B69" s="196" t="s">
        <v>11</v>
      </c>
      <c r="C69" s="196" t="s">
        <v>142</v>
      </c>
      <c r="D69" s="196" t="s">
        <v>235</v>
      </c>
      <c r="E69" s="181" t="s">
        <v>223</v>
      </c>
      <c r="F69" s="196" t="s">
        <v>236</v>
      </c>
      <c r="G69" s="196" t="s">
        <v>237</v>
      </c>
      <c r="H69" s="196">
        <v>4</v>
      </c>
      <c r="I69" s="196" t="b">
        <v>1</v>
      </c>
      <c r="J69" s="196">
        <v>3</v>
      </c>
      <c r="K69" s="196" t="s">
        <v>238</v>
      </c>
      <c r="L69" s="181"/>
    </row>
    <row r="70" spans="1:12">
      <c r="A70" s="181"/>
      <c r="B70" s="196" t="s">
        <v>11</v>
      </c>
      <c r="C70" s="196" t="s">
        <v>142</v>
      </c>
      <c r="D70" s="196" t="s">
        <v>239</v>
      </c>
      <c r="E70" s="181" t="s">
        <v>235</v>
      </c>
      <c r="F70" s="196" t="s">
        <v>240</v>
      </c>
      <c r="G70" s="196" t="s">
        <v>241</v>
      </c>
      <c r="H70" s="196">
        <v>4</v>
      </c>
      <c r="I70" s="196" t="b">
        <v>1</v>
      </c>
      <c r="J70" s="196">
        <v>4</v>
      </c>
      <c r="K70" s="196"/>
      <c r="L70" s="181"/>
    </row>
    <row r="71" spans="1:12">
      <c r="A71" s="204"/>
      <c r="B71" s="196" t="s">
        <v>11</v>
      </c>
      <c r="C71" s="196" t="s">
        <v>142</v>
      </c>
      <c r="D71" s="311" t="s">
        <v>242</v>
      </c>
      <c r="E71" s="181" t="s">
        <v>235</v>
      </c>
      <c r="F71" s="196" t="s">
        <v>243</v>
      </c>
      <c r="G71" s="196" t="s">
        <v>244</v>
      </c>
      <c r="H71" s="196">
        <v>4</v>
      </c>
      <c r="I71" s="196" t="b">
        <v>1</v>
      </c>
      <c r="J71" s="196">
        <v>5</v>
      </c>
      <c r="K71" s="196"/>
      <c r="L71" s="181"/>
    </row>
    <row r="72" spans="1:12">
      <c r="A72" s="181"/>
      <c r="B72" s="192" t="s">
        <v>11</v>
      </c>
      <c r="C72" s="192" t="s">
        <v>142</v>
      </c>
      <c r="D72" s="192" t="s">
        <v>245</v>
      </c>
      <c r="E72" s="195" t="s">
        <v>148</v>
      </c>
      <c r="F72" s="197" t="s">
        <v>246</v>
      </c>
      <c r="G72" s="192" t="s">
        <v>247</v>
      </c>
      <c r="H72" s="192">
        <v>3</v>
      </c>
      <c r="I72" s="192" t="b">
        <v>1</v>
      </c>
      <c r="J72" s="192">
        <v>9</v>
      </c>
      <c r="K72" s="197"/>
      <c r="L72" s="195"/>
    </row>
    <row r="73" spans="1:12">
      <c r="A73" s="181"/>
      <c r="B73" s="192" t="s">
        <v>11</v>
      </c>
      <c r="C73" s="192" t="s">
        <v>142</v>
      </c>
      <c r="D73" s="197" t="s">
        <v>248</v>
      </c>
      <c r="E73" s="195" t="s">
        <v>148</v>
      </c>
      <c r="F73" s="197" t="s">
        <v>249</v>
      </c>
      <c r="G73" s="197" t="s">
        <v>250</v>
      </c>
      <c r="H73" s="197">
        <v>3</v>
      </c>
      <c r="I73" s="192" t="b">
        <v>1</v>
      </c>
      <c r="J73" s="197">
        <v>10</v>
      </c>
      <c r="K73" s="192" t="s">
        <v>251</v>
      </c>
      <c r="L73" s="195"/>
    </row>
    <row r="74" spans="1:12">
      <c r="A74" s="181"/>
      <c r="B74" s="192" t="s">
        <v>11</v>
      </c>
      <c r="C74" s="192" t="s">
        <v>142</v>
      </c>
      <c r="D74" s="192" t="s">
        <v>252</v>
      </c>
      <c r="E74" s="195" t="s">
        <v>148</v>
      </c>
      <c r="F74" s="197" t="s">
        <v>253</v>
      </c>
      <c r="G74" s="192" t="s">
        <v>254</v>
      </c>
      <c r="H74" s="192">
        <v>3</v>
      </c>
      <c r="I74" s="192" t="b">
        <v>1</v>
      </c>
      <c r="J74" s="192">
        <v>11</v>
      </c>
      <c r="K74" s="192" t="s">
        <v>255</v>
      </c>
      <c r="L74" s="195"/>
    </row>
    <row r="75" spans="1:12">
      <c r="A75" s="181"/>
      <c r="B75" s="192" t="s">
        <v>11</v>
      </c>
      <c r="C75" s="192" t="s">
        <v>142</v>
      </c>
      <c r="D75" s="192" t="s">
        <v>256</v>
      </c>
      <c r="E75" s="195" t="s">
        <v>148</v>
      </c>
      <c r="F75" s="197" t="s">
        <v>257</v>
      </c>
      <c r="G75" s="192" t="s">
        <v>258</v>
      </c>
      <c r="H75" s="192">
        <v>3</v>
      </c>
      <c r="I75" s="192" t="b">
        <v>1</v>
      </c>
      <c r="J75" s="192">
        <v>12</v>
      </c>
      <c r="K75" s="192" t="s">
        <v>259</v>
      </c>
      <c r="L75" s="195"/>
    </row>
    <row r="76" spans="1:12">
      <c r="A76" s="181"/>
      <c r="B76" s="192" t="s">
        <v>11</v>
      </c>
      <c r="C76" s="192" t="s">
        <v>142</v>
      </c>
      <c r="D76" s="192" t="s">
        <v>260</v>
      </c>
      <c r="E76" s="195" t="s">
        <v>148</v>
      </c>
      <c r="F76" s="197" t="s">
        <v>261</v>
      </c>
      <c r="G76" s="192" t="s">
        <v>262</v>
      </c>
      <c r="H76" s="192">
        <v>3</v>
      </c>
      <c r="I76" s="192" t="b">
        <v>1</v>
      </c>
      <c r="J76" s="192">
        <v>13</v>
      </c>
      <c r="K76" s="192" t="s">
        <v>263</v>
      </c>
      <c r="L76" s="195"/>
    </row>
    <row r="77" spans="1:12">
      <c r="A77" s="181"/>
      <c r="B77" s="192" t="s">
        <v>11</v>
      </c>
      <c r="C77" s="192" t="s">
        <v>142</v>
      </c>
      <c r="D77" s="192" t="s">
        <v>264</v>
      </c>
      <c r="E77" s="195" t="s">
        <v>148</v>
      </c>
      <c r="F77" s="197" t="s">
        <v>265</v>
      </c>
      <c r="G77" s="192" t="s">
        <v>266</v>
      </c>
      <c r="H77" s="192">
        <v>3</v>
      </c>
      <c r="I77" s="192"/>
      <c r="J77" s="192">
        <v>14</v>
      </c>
      <c r="K77" s="192" t="s">
        <v>267</v>
      </c>
      <c r="L77" s="195"/>
    </row>
    <row r="78" spans="1:12">
      <c r="B78" s="196" t="s">
        <v>11</v>
      </c>
      <c r="C78" s="196" t="s">
        <v>142</v>
      </c>
      <c r="D78" s="196" t="s">
        <v>268</v>
      </c>
      <c r="E78" s="181" t="s">
        <v>264</v>
      </c>
      <c r="F78" s="196" t="s">
        <v>269</v>
      </c>
      <c r="G78" s="196" t="s">
        <v>270</v>
      </c>
      <c r="H78" s="196">
        <v>4</v>
      </c>
      <c r="I78" s="196" t="b">
        <v>1</v>
      </c>
      <c r="J78" s="196">
        <v>1</v>
      </c>
      <c r="K78" s="196" t="s">
        <v>271</v>
      </c>
      <c r="L78" s="181"/>
    </row>
    <row r="79" spans="1:12">
      <c r="B79" s="196" t="s">
        <v>11</v>
      </c>
      <c r="C79" s="196" t="s">
        <v>142</v>
      </c>
      <c r="D79" s="196" t="s">
        <v>272</v>
      </c>
      <c r="E79" s="181" t="s">
        <v>268</v>
      </c>
      <c r="F79" s="196" t="s">
        <v>273</v>
      </c>
      <c r="G79" s="196" t="s">
        <v>274</v>
      </c>
      <c r="H79" s="196">
        <v>4</v>
      </c>
      <c r="I79" s="196" t="b">
        <v>1</v>
      </c>
      <c r="J79" s="196">
        <v>2</v>
      </c>
      <c r="K79" s="196"/>
      <c r="L79" s="181"/>
    </row>
    <row r="80" spans="1:12">
      <c r="A80" s="204"/>
      <c r="B80" s="181" t="s">
        <v>11</v>
      </c>
      <c r="C80" s="181" t="s">
        <v>142</v>
      </c>
      <c r="D80" s="246" t="s">
        <v>275</v>
      </c>
      <c r="E80" s="181" t="s">
        <v>264</v>
      </c>
      <c r="F80" s="181" t="s">
        <v>276</v>
      </c>
      <c r="G80" s="181" t="s">
        <v>277</v>
      </c>
      <c r="H80" s="181">
        <v>4</v>
      </c>
      <c r="I80" s="181" t="b">
        <v>1</v>
      </c>
      <c r="J80" s="181">
        <v>3</v>
      </c>
      <c r="K80" s="181"/>
      <c r="L80" s="181"/>
    </row>
    <row r="81" spans="1:12">
      <c r="A81" s="181"/>
      <c r="B81" s="192" t="s">
        <v>11</v>
      </c>
      <c r="C81" s="192" t="s">
        <v>142</v>
      </c>
      <c r="D81" s="192" t="s">
        <v>278</v>
      </c>
      <c r="E81" s="195" t="s">
        <v>148</v>
      </c>
      <c r="F81" s="197" t="s">
        <v>279</v>
      </c>
      <c r="G81" s="195" t="s">
        <v>280</v>
      </c>
      <c r="H81" s="192">
        <v>3</v>
      </c>
      <c r="I81" s="192" t="b">
        <v>1</v>
      </c>
      <c r="J81" s="192">
        <v>15</v>
      </c>
      <c r="K81" s="195"/>
      <c r="L81" s="195"/>
    </row>
    <row r="82" spans="1:12">
      <c r="A82" s="181"/>
      <c r="B82" s="189" t="s">
        <v>11</v>
      </c>
      <c r="C82" s="191" t="s">
        <v>281</v>
      </c>
      <c r="D82" s="191" t="s">
        <v>282</v>
      </c>
      <c r="E82" s="191" t="s">
        <v>13</v>
      </c>
      <c r="F82" s="199" t="s">
        <v>283</v>
      </c>
      <c r="G82" s="191" t="s">
        <v>284</v>
      </c>
      <c r="H82" s="191">
        <v>2</v>
      </c>
      <c r="I82" s="191"/>
      <c r="J82" s="191">
        <v>3</v>
      </c>
      <c r="K82" s="191"/>
      <c r="L82" s="191"/>
    </row>
    <row r="83" spans="1:12">
      <c r="A83" s="181"/>
      <c r="B83" s="192" t="s">
        <v>11</v>
      </c>
      <c r="C83" s="195" t="s">
        <v>281</v>
      </c>
      <c r="D83" s="192" t="s">
        <v>285</v>
      </c>
      <c r="E83" s="195" t="s">
        <v>282</v>
      </c>
      <c r="F83" s="197" t="s">
        <v>286</v>
      </c>
      <c r="G83" s="195" t="s">
        <v>287</v>
      </c>
      <c r="H83" s="195">
        <v>3</v>
      </c>
      <c r="I83" s="192" t="b">
        <v>1</v>
      </c>
      <c r="J83" s="195">
        <v>1</v>
      </c>
      <c r="K83" s="195"/>
      <c r="L83" s="195"/>
    </row>
    <row r="84" spans="1:12">
      <c r="A84" s="181"/>
      <c r="B84" s="192" t="s">
        <v>11</v>
      </c>
      <c r="C84" s="195" t="s">
        <v>281</v>
      </c>
      <c r="D84" s="195" t="s">
        <v>288</v>
      </c>
      <c r="E84" s="195" t="s">
        <v>282</v>
      </c>
      <c r="F84" s="197" t="s">
        <v>289</v>
      </c>
      <c r="G84" s="195" t="s">
        <v>290</v>
      </c>
      <c r="H84" s="195">
        <v>3</v>
      </c>
      <c r="I84" s="192" t="b">
        <v>1</v>
      </c>
      <c r="J84" s="195">
        <v>1</v>
      </c>
      <c r="K84" s="195"/>
      <c r="L84" s="195"/>
    </row>
    <row r="85" spans="1:12">
      <c r="A85" s="181"/>
      <c r="B85" s="189" t="s">
        <v>11</v>
      </c>
      <c r="C85" s="191" t="s">
        <v>291</v>
      </c>
      <c r="D85" s="189" t="s">
        <v>292</v>
      </c>
      <c r="E85" s="191" t="s">
        <v>13</v>
      </c>
      <c r="F85" s="199" t="s">
        <v>293</v>
      </c>
      <c r="G85" s="191" t="s">
        <v>294</v>
      </c>
      <c r="H85" s="191">
        <v>2</v>
      </c>
      <c r="I85" s="191"/>
      <c r="J85" s="191">
        <v>4</v>
      </c>
      <c r="K85" s="191"/>
      <c r="L85" s="191"/>
    </row>
    <row r="86" spans="1:12">
      <c r="A86" s="181"/>
      <c r="B86" s="196" t="s">
        <v>11</v>
      </c>
      <c r="C86" s="195" t="s">
        <v>291</v>
      </c>
      <c r="D86" s="192" t="s">
        <v>295</v>
      </c>
      <c r="E86" s="195" t="s">
        <v>296</v>
      </c>
      <c r="F86" s="197" t="s">
        <v>297</v>
      </c>
      <c r="G86" s="195" t="s">
        <v>298</v>
      </c>
      <c r="H86" s="195">
        <v>3</v>
      </c>
      <c r="I86" s="195"/>
      <c r="J86" s="195">
        <v>1</v>
      </c>
      <c r="K86" s="195"/>
      <c r="L86" s="195"/>
    </row>
    <row r="87" spans="1:12">
      <c r="A87" s="181"/>
      <c r="B87" s="196" t="s">
        <v>11</v>
      </c>
      <c r="C87" s="181" t="s">
        <v>291</v>
      </c>
      <c r="D87" s="196" t="s">
        <v>299</v>
      </c>
      <c r="E87" s="181" t="s">
        <v>295</v>
      </c>
      <c r="F87" s="196" t="s">
        <v>300</v>
      </c>
      <c r="G87" s="181" t="s">
        <v>301</v>
      </c>
      <c r="H87" s="181">
        <v>4</v>
      </c>
      <c r="I87" s="196" t="b">
        <v>1</v>
      </c>
      <c r="J87" s="181">
        <v>1</v>
      </c>
      <c r="K87" s="181"/>
      <c r="L87" s="181"/>
    </row>
    <row r="88" spans="1:12">
      <c r="A88" s="181"/>
      <c r="B88" s="196" t="s">
        <v>11</v>
      </c>
      <c r="C88" s="181" t="s">
        <v>302</v>
      </c>
      <c r="D88" s="196" t="s">
        <v>303</v>
      </c>
      <c r="E88" s="181" t="s">
        <v>295</v>
      </c>
      <c r="F88" s="196" t="s">
        <v>304</v>
      </c>
      <c r="G88" s="196" t="s">
        <v>305</v>
      </c>
      <c r="H88" s="181">
        <v>4</v>
      </c>
      <c r="I88" s="196" t="b">
        <v>1</v>
      </c>
      <c r="J88" s="181">
        <v>2</v>
      </c>
      <c r="K88" s="181"/>
      <c r="L88" s="181"/>
    </row>
    <row r="89" spans="1:12">
      <c r="A89" s="181"/>
      <c r="B89" s="196" t="s">
        <v>11</v>
      </c>
      <c r="C89" s="181" t="s">
        <v>302</v>
      </c>
      <c r="D89" s="196" t="s">
        <v>306</v>
      </c>
      <c r="E89" s="181" t="s">
        <v>295</v>
      </c>
      <c r="F89" s="196" t="s">
        <v>307</v>
      </c>
      <c r="G89" s="196" t="s">
        <v>308</v>
      </c>
      <c r="H89" s="181">
        <v>4</v>
      </c>
      <c r="I89" s="196" t="b">
        <v>1</v>
      </c>
      <c r="J89" s="181">
        <v>3</v>
      </c>
      <c r="K89" s="181"/>
      <c r="L89" s="181"/>
    </row>
    <row r="90" spans="1:12">
      <c r="A90" s="181"/>
      <c r="B90" s="192" t="s">
        <v>11</v>
      </c>
      <c r="C90" s="195" t="s">
        <v>291</v>
      </c>
      <c r="D90" s="192" t="s">
        <v>309</v>
      </c>
      <c r="E90" s="195" t="s">
        <v>296</v>
      </c>
      <c r="F90" s="197" t="s">
        <v>310</v>
      </c>
      <c r="G90" s="197" t="s">
        <v>311</v>
      </c>
      <c r="H90" s="195">
        <v>3</v>
      </c>
      <c r="I90" s="192" t="b">
        <v>1</v>
      </c>
      <c r="J90" s="195">
        <v>2</v>
      </c>
      <c r="K90" s="195"/>
      <c r="L90" s="195"/>
    </row>
    <row r="91" spans="1:12">
      <c r="A91" s="181"/>
      <c r="B91" s="192" t="s">
        <v>11</v>
      </c>
      <c r="C91" s="195" t="s">
        <v>291</v>
      </c>
      <c r="D91" s="192" t="s">
        <v>312</v>
      </c>
      <c r="E91" s="195" t="s">
        <v>296</v>
      </c>
      <c r="F91" s="197" t="s">
        <v>313</v>
      </c>
      <c r="G91" s="197" t="s">
        <v>314</v>
      </c>
      <c r="H91" s="195">
        <v>3</v>
      </c>
      <c r="I91" s="192" t="b">
        <v>1</v>
      </c>
      <c r="J91" s="195">
        <v>3</v>
      </c>
      <c r="K91" s="195"/>
      <c r="L91" s="195"/>
    </row>
    <row r="92" spans="1:12">
      <c r="A92" s="181"/>
      <c r="B92" s="192" t="s">
        <v>11</v>
      </c>
      <c r="C92" s="195" t="s">
        <v>291</v>
      </c>
      <c r="D92" s="192" t="s">
        <v>315</v>
      </c>
      <c r="E92" s="195" t="s">
        <v>296</v>
      </c>
      <c r="F92" s="197" t="s">
        <v>316</v>
      </c>
      <c r="G92" s="197" t="s">
        <v>317</v>
      </c>
      <c r="H92" s="195">
        <v>3</v>
      </c>
      <c r="I92" s="192"/>
      <c r="J92" s="195">
        <v>4</v>
      </c>
      <c r="K92" s="195"/>
      <c r="L92" s="195"/>
    </row>
    <row r="93" spans="1:12">
      <c r="A93" s="181"/>
      <c r="B93" s="196" t="s">
        <v>11</v>
      </c>
      <c r="C93" s="181" t="s">
        <v>302</v>
      </c>
      <c r="D93" s="196" t="s">
        <v>318</v>
      </c>
      <c r="E93" s="181" t="s">
        <v>315</v>
      </c>
      <c r="F93" s="196" t="s">
        <v>319</v>
      </c>
      <c r="G93" s="196" t="s">
        <v>320</v>
      </c>
      <c r="H93" s="181">
        <v>4</v>
      </c>
      <c r="I93" s="196" t="b">
        <v>1</v>
      </c>
      <c r="J93" s="181">
        <v>1</v>
      </c>
      <c r="K93" s="181"/>
      <c r="L93" s="181"/>
    </row>
    <row r="94" spans="1:12">
      <c r="A94" s="181"/>
      <c r="B94" s="196" t="s">
        <v>11</v>
      </c>
      <c r="C94" s="181" t="s">
        <v>302</v>
      </c>
      <c r="D94" s="196" t="s">
        <v>321</v>
      </c>
      <c r="E94" s="181" t="s">
        <v>315</v>
      </c>
      <c r="F94" s="196" t="s">
        <v>322</v>
      </c>
      <c r="G94" s="196" t="s">
        <v>323</v>
      </c>
      <c r="H94" s="181">
        <v>4</v>
      </c>
      <c r="I94" s="196" t="b">
        <v>1</v>
      </c>
      <c r="J94" s="181">
        <v>2</v>
      </c>
      <c r="K94" s="181"/>
      <c r="L94" s="181"/>
    </row>
    <row r="95" spans="1:12">
      <c r="A95" s="181"/>
      <c r="B95" s="192" t="s">
        <v>11</v>
      </c>
      <c r="C95" s="195" t="s">
        <v>291</v>
      </c>
      <c r="D95" s="192" t="s">
        <v>324</v>
      </c>
      <c r="E95" s="195" t="s">
        <v>296</v>
      </c>
      <c r="F95" s="197" t="s">
        <v>325</v>
      </c>
      <c r="G95" s="192" t="s">
        <v>326</v>
      </c>
      <c r="H95" s="195">
        <v>3</v>
      </c>
      <c r="I95" s="192" t="b">
        <v>1</v>
      </c>
      <c r="J95" s="195">
        <v>5</v>
      </c>
      <c r="K95" s="195"/>
      <c r="L95" s="195"/>
    </row>
    <row r="96" spans="1:12">
      <c r="A96" s="181"/>
      <c r="B96" s="192" t="s">
        <v>11</v>
      </c>
      <c r="C96" s="195" t="s">
        <v>291</v>
      </c>
      <c r="D96" s="192" t="s">
        <v>327</v>
      </c>
      <c r="E96" s="195" t="s">
        <v>296</v>
      </c>
      <c r="F96" s="197" t="s">
        <v>328</v>
      </c>
      <c r="G96" s="192" t="s">
        <v>329</v>
      </c>
      <c r="H96" s="195">
        <v>3</v>
      </c>
      <c r="I96" s="192" t="b">
        <v>1</v>
      </c>
      <c r="J96" s="195">
        <v>6</v>
      </c>
      <c r="K96" s="195"/>
      <c r="L96" s="195"/>
    </row>
    <row r="97" spans="1:12">
      <c r="A97" s="181"/>
      <c r="B97" s="192" t="s">
        <v>11</v>
      </c>
      <c r="C97" s="195" t="s">
        <v>291</v>
      </c>
      <c r="D97" s="192" t="s">
        <v>330</v>
      </c>
      <c r="E97" s="195" t="s">
        <v>296</v>
      </c>
      <c r="F97" s="197" t="s">
        <v>331</v>
      </c>
      <c r="G97" s="192" t="s">
        <v>332</v>
      </c>
      <c r="H97" s="195">
        <v>3</v>
      </c>
      <c r="I97" s="192" t="b">
        <v>1</v>
      </c>
      <c r="J97" s="195">
        <v>99</v>
      </c>
      <c r="K97" s="195"/>
      <c r="L97" s="195"/>
    </row>
    <row r="98" spans="1:12">
      <c r="A98" s="181"/>
      <c r="B98" s="189" t="s">
        <v>11</v>
      </c>
      <c r="C98" s="191" t="s">
        <v>333</v>
      </c>
      <c r="D98" s="189" t="s">
        <v>334</v>
      </c>
      <c r="E98" s="191" t="s">
        <v>13</v>
      </c>
      <c r="F98" s="189" t="s">
        <v>335</v>
      </c>
      <c r="G98" s="191" t="s">
        <v>336</v>
      </c>
      <c r="H98" s="191">
        <v>2</v>
      </c>
      <c r="I98" s="191"/>
      <c r="J98" s="191">
        <v>5</v>
      </c>
      <c r="K98" s="191"/>
      <c r="L98" s="191"/>
    </row>
    <row r="99" spans="1:12">
      <c r="A99" s="181"/>
      <c r="B99" s="192" t="s">
        <v>11</v>
      </c>
      <c r="C99" s="195" t="s">
        <v>337</v>
      </c>
      <c r="D99" s="192" t="s">
        <v>338</v>
      </c>
      <c r="E99" s="195" t="s">
        <v>334</v>
      </c>
      <c r="F99" s="197" t="s">
        <v>339</v>
      </c>
      <c r="G99" s="192" t="s">
        <v>340</v>
      </c>
      <c r="H99" s="195">
        <v>3</v>
      </c>
      <c r="I99" s="192" t="b">
        <v>1</v>
      </c>
      <c r="J99" s="195">
        <v>1</v>
      </c>
      <c r="K99" s="195"/>
      <c r="L99" s="195"/>
    </row>
    <row r="100" spans="1:12">
      <c r="A100" s="181"/>
      <c r="B100" s="192" t="s">
        <v>11</v>
      </c>
      <c r="C100" s="195" t="s">
        <v>337</v>
      </c>
      <c r="D100" s="192" t="s">
        <v>341</v>
      </c>
      <c r="E100" s="195" t="s">
        <v>334</v>
      </c>
      <c r="F100" s="197" t="s">
        <v>342</v>
      </c>
      <c r="G100" s="192" t="s">
        <v>343</v>
      </c>
      <c r="H100" s="195">
        <v>3</v>
      </c>
      <c r="I100" s="192" t="b">
        <v>1</v>
      </c>
      <c r="J100" s="195">
        <v>2</v>
      </c>
      <c r="K100" s="195"/>
      <c r="L100" s="195"/>
    </row>
    <row r="101" spans="1:12">
      <c r="A101" s="181"/>
      <c r="B101" s="192" t="s">
        <v>11</v>
      </c>
      <c r="C101" s="195" t="s">
        <v>337</v>
      </c>
      <c r="D101" s="192" t="s">
        <v>344</v>
      </c>
      <c r="E101" s="195" t="s">
        <v>334</v>
      </c>
      <c r="F101" s="197" t="s">
        <v>345</v>
      </c>
      <c r="G101" s="192" t="s">
        <v>346</v>
      </c>
      <c r="H101" s="195">
        <v>3</v>
      </c>
      <c r="I101" s="192" t="b">
        <v>1</v>
      </c>
      <c r="J101" s="195">
        <v>3</v>
      </c>
      <c r="K101" s="195"/>
      <c r="L101" s="195"/>
    </row>
    <row r="102" spans="1:12">
      <c r="A102" s="181"/>
      <c r="B102" s="192" t="s">
        <v>11</v>
      </c>
      <c r="C102" s="195" t="s">
        <v>337</v>
      </c>
      <c r="D102" s="192" t="s">
        <v>347</v>
      </c>
      <c r="E102" s="195" t="s">
        <v>334</v>
      </c>
      <c r="F102" s="197" t="s">
        <v>348</v>
      </c>
      <c r="G102" s="192" t="s">
        <v>349</v>
      </c>
      <c r="H102" s="195">
        <v>3</v>
      </c>
      <c r="I102" s="192" t="b">
        <v>1</v>
      </c>
      <c r="J102" s="195">
        <v>4</v>
      </c>
      <c r="K102" s="195"/>
      <c r="L102" s="195"/>
    </row>
    <row r="103" spans="1:12">
      <c r="A103" s="181"/>
      <c r="B103" s="192" t="s">
        <v>11</v>
      </c>
      <c r="C103" s="195" t="s">
        <v>337</v>
      </c>
      <c r="D103" s="192" t="s">
        <v>350</v>
      </c>
      <c r="E103" s="195" t="s">
        <v>334</v>
      </c>
      <c r="F103" s="197" t="s">
        <v>351</v>
      </c>
      <c r="G103" s="192" t="s">
        <v>352</v>
      </c>
      <c r="H103" s="195">
        <v>3</v>
      </c>
      <c r="I103" s="192" t="b">
        <v>1</v>
      </c>
      <c r="J103" s="195">
        <v>5</v>
      </c>
      <c r="K103" s="195"/>
      <c r="L103" s="195"/>
    </row>
    <row r="104" spans="1:12">
      <c r="A104" s="181"/>
      <c r="B104" s="192" t="s">
        <v>11</v>
      </c>
      <c r="C104" s="195" t="s">
        <v>337</v>
      </c>
      <c r="D104" s="192" t="s">
        <v>353</v>
      </c>
      <c r="E104" s="195" t="s">
        <v>334</v>
      </c>
      <c r="F104" s="197" t="s">
        <v>354</v>
      </c>
      <c r="G104" s="192" t="s">
        <v>355</v>
      </c>
      <c r="H104" s="195">
        <v>3</v>
      </c>
      <c r="I104" s="192"/>
      <c r="J104" s="195">
        <v>6</v>
      </c>
      <c r="K104" s="195"/>
      <c r="L104" s="195"/>
    </row>
    <row r="105" spans="1:12">
      <c r="A105" s="181"/>
      <c r="B105" s="196" t="s">
        <v>11</v>
      </c>
      <c r="C105" s="181" t="s">
        <v>333</v>
      </c>
      <c r="D105" s="196" t="s">
        <v>356</v>
      </c>
      <c r="E105" s="181" t="s">
        <v>353</v>
      </c>
      <c r="F105" s="200" t="s">
        <v>357</v>
      </c>
      <c r="G105" s="200" t="s">
        <v>358</v>
      </c>
      <c r="H105" s="181">
        <v>4</v>
      </c>
      <c r="I105" s="196" t="b">
        <v>1</v>
      </c>
      <c r="J105" s="181">
        <v>1</v>
      </c>
      <c r="K105" s="181"/>
      <c r="L105" s="181"/>
    </row>
    <row r="106" spans="1:12">
      <c r="A106" s="181"/>
      <c r="B106" s="196" t="s">
        <v>11</v>
      </c>
      <c r="C106" s="181" t="s">
        <v>333</v>
      </c>
      <c r="D106" s="196" t="s">
        <v>359</v>
      </c>
      <c r="E106" s="181" t="s">
        <v>353</v>
      </c>
      <c r="F106" s="200" t="s">
        <v>360</v>
      </c>
      <c r="G106" s="200" t="s">
        <v>361</v>
      </c>
      <c r="H106" s="181">
        <v>4</v>
      </c>
      <c r="I106" s="196" t="b">
        <v>1</v>
      </c>
      <c r="J106" s="181">
        <v>2</v>
      </c>
      <c r="K106" s="181"/>
      <c r="L106" s="181"/>
    </row>
    <row r="107" spans="1:12">
      <c r="A107" s="131">
        <v>260416</v>
      </c>
      <c r="B107" s="196" t="s">
        <v>11</v>
      </c>
      <c r="C107" s="181" t="s">
        <v>333</v>
      </c>
      <c r="D107" s="196" t="s">
        <v>362</v>
      </c>
      <c r="E107" s="181" t="s">
        <v>353</v>
      </c>
      <c r="F107" s="200" t="s">
        <v>363</v>
      </c>
      <c r="G107" s="200" t="s">
        <v>364</v>
      </c>
      <c r="H107" s="181">
        <v>4</v>
      </c>
      <c r="I107" s="196" t="b">
        <v>1</v>
      </c>
      <c r="J107" s="181">
        <v>3</v>
      </c>
      <c r="K107" s="181"/>
      <c r="L107" s="181"/>
    </row>
    <row r="108" spans="1:12">
      <c r="A108" s="181"/>
      <c r="B108" s="192" t="s">
        <v>11</v>
      </c>
      <c r="C108" s="195" t="s">
        <v>333</v>
      </c>
      <c r="D108" s="192" t="s">
        <v>365</v>
      </c>
      <c r="E108" s="195" t="s">
        <v>334</v>
      </c>
      <c r="F108" s="197" t="s">
        <v>366</v>
      </c>
      <c r="G108" s="197" t="s">
        <v>367</v>
      </c>
      <c r="H108" s="195">
        <v>3</v>
      </c>
      <c r="I108" s="195"/>
      <c r="J108" s="195">
        <v>7</v>
      </c>
      <c r="K108" s="195"/>
      <c r="L108" s="195"/>
    </row>
    <row r="109" spans="1:12">
      <c r="A109" s="181"/>
      <c r="B109" s="196" t="s">
        <v>11</v>
      </c>
      <c r="C109" s="181" t="s">
        <v>333</v>
      </c>
      <c r="D109" s="196" t="s">
        <v>368</v>
      </c>
      <c r="E109" s="181" t="s">
        <v>365</v>
      </c>
      <c r="F109" s="200" t="s">
        <v>369</v>
      </c>
      <c r="G109" s="200" t="s">
        <v>370</v>
      </c>
      <c r="H109" s="181">
        <v>4</v>
      </c>
      <c r="I109" s="196" t="b">
        <v>1</v>
      </c>
      <c r="J109" s="181">
        <v>1</v>
      </c>
      <c r="K109" s="181"/>
      <c r="L109" s="181"/>
    </row>
    <row r="110" spans="1:12">
      <c r="A110" s="204"/>
      <c r="B110" s="196" t="s">
        <v>11</v>
      </c>
      <c r="C110" s="181" t="s">
        <v>333</v>
      </c>
      <c r="D110" s="285" t="s">
        <v>371</v>
      </c>
      <c r="E110" s="181" t="s">
        <v>365</v>
      </c>
      <c r="F110" s="200" t="s">
        <v>372</v>
      </c>
      <c r="G110" s="200" t="s">
        <v>373</v>
      </c>
      <c r="H110" s="181">
        <v>4</v>
      </c>
      <c r="I110" s="196" t="b">
        <v>1</v>
      </c>
      <c r="J110" s="181">
        <v>2</v>
      </c>
      <c r="K110" s="181"/>
      <c r="L110" s="181"/>
    </row>
    <row r="111" spans="1:12">
      <c r="A111" s="181"/>
      <c r="B111" s="192" t="s">
        <v>11</v>
      </c>
      <c r="C111" s="195" t="s">
        <v>333</v>
      </c>
      <c r="D111" s="192" t="s">
        <v>374</v>
      </c>
      <c r="E111" s="195" t="s">
        <v>334</v>
      </c>
      <c r="F111" s="197" t="s">
        <v>375</v>
      </c>
      <c r="G111" s="197" t="s">
        <v>376</v>
      </c>
      <c r="H111" s="195">
        <v>3</v>
      </c>
      <c r="I111" s="192" t="b">
        <v>1</v>
      </c>
      <c r="J111" s="195">
        <v>8</v>
      </c>
      <c r="K111" s="195"/>
      <c r="L111" s="195"/>
    </row>
    <row r="112" spans="1:12">
      <c r="A112" s="181"/>
      <c r="B112" s="192" t="s">
        <v>11</v>
      </c>
      <c r="C112" s="195" t="s">
        <v>333</v>
      </c>
      <c r="D112" s="192" t="s">
        <v>377</v>
      </c>
      <c r="E112" s="195" t="s">
        <v>334</v>
      </c>
      <c r="F112" s="197" t="s">
        <v>378</v>
      </c>
      <c r="G112" s="197" t="s">
        <v>379</v>
      </c>
      <c r="H112" s="195">
        <v>3</v>
      </c>
      <c r="I112" s="192" t="b">
        <v>1</v>
      </c>
      <c r="J112" s="195">
        <v>9</v>
      </c>
      <c r="K112" s="195"/>
      <c r="L112" s="195"/>
    </row>
    <row r="113" spans="1:12">
      <c r="A113" s="181"/>
      <c r="B113" s="192" t="s">
        <v>11</v>
      </c>
      <c r="C113" s="195" t="s">
        <v>333</v>
      </c>
      <c r="D113" s="192" t="s">
        <v>380</v>
      </c>
      <c r="E113" s="195" t="s">
        <v>334</v>
      </c>
      <c r="F113" s="197" t="s">
        <v>381</v>
      </c>
      <c r="G113" s="192" t="s">
        <v>382</v>
      </c>
      <c r="H113" s="195">
        <v>3</v>
      </c>
      <c r="I113" s="192" t="b">
        <v>1</v>
      </c>
      <c r="J113" s="195">
        <v>10</v>
      </c>
      <c r="K113" s="195"/>
      <c r="L113" s="195"/>
    </row>
    <row r="114" spans="1:12">
      <c r="A114" s="181"/>
      <c r="B114" s="189" t="s">
        <v>11</v>
      </c>
      <c r="C114" s="191" t="s">
        <v>383</v>
      </c>
      <c r="D114" s="189" t="s">
        <v>384</v>
      </c>
      <c r="E114" s="191" t="s">
        <v>13</v>
      </c>
      <c r="F114" s="199" t="s">
        <v>385</v>
      </c>
      <c r="G114" s="199" t="s">
        <v>386</v>
      </c>
      <c r="H114" s="191">
        <v>2</v>
      </c>
      <c r="I114" s="191"/>
      <c r="J114" s="191">
        <v>6</v>
      </c>
      <c r="K114" s="191"/>
      <c r="L114" s="191"/>
    </row>
    <row r="115" spans="1:12">
      <c r="A115" s="181"/>
      <c r="B115" s="192" t="s">
        <v>11</v>
      </c>
      <c r="C115" s="195" t="s">
        <v>383</v>
      </c>
      <c r="D115" s="192" t="s">
        <v>387</v>
      </c>
      <c r="E115" s="192" t="s">
        <v>384</v>
      </c>
      <c r="F115" s="197" t="s">
        <v>388</v>
      </c>
      <c r="G115" s="192" t="s">
        <v>389</v>
      </c>
      <c r="H115" s="195">
        <v>3</v>
      </c>
      <c r="I115" s="192" t="b">
        <v>1</v>
      </c>
      <c r="J115" s="195">
        <v>1</v>
      </c>
      <c r="K115" s="195"/>
      <c r="L115" s="195"/>
    </row>
    <row r="116" spans="1:12">
      <c r="A116" s="181"/>
      <c r="B116" s="192" t="s">
        <v>11</v>
      </c>
      <c r="C116" s="195" t="s">
        <v>383</v>
      </c>
      <c r="D116" s="192" t="s">
        <v>390</v>
      </c>
      <c r="E116" s="192" t="s">
        <v>384</v>
      </c>
      <c r="F116" s="197" t="s">
        <v>391</v>
      </c>
      <c r="G116" s="192" t="s">
        <v>392</v>
      </c>
      <c r="H116" s="195">
        <v>3</v>
      </c>
      <c r="I116" s="192" t="b">
        <v>1</v>
      </c>
      <c r="J116" s="195">
        <v>2</v>
      </c>
      <c r="K116" s="195"/>
      <c r="L116" s="195"/>
    </row>
    <row r="117" spans="1:12">
      <c r="A117" s="181"/>
      <c r="B117" s="192" t="s">
        <v>11</v>
      </c>
      <c r="C117" s="195" t="s">
        <v>383</v>
      </c>
      <c r="D117" s="192" t="s">
        <v>393</v>
      </c>
      <c r="E117" s="192" t="s">
        <v>384</v>
      </c>
      <c r="F117" s="197" t="s">
        <v>394</v>
      </c>
      <c r="G117" s="192" t="s">
        <v>395</v>
      </c>
      <c r="H117" s="195">
        <v>3</v>
      </c>
      <c r="I117" s="192" t="b">
        <v>1</v>
      </c>
      <c r="J117" s="195">
        <v>3</v>
      </c>
      <c r="K117" s="195"/>
      <c r="L117" s="195"/>
    </row>
    <row r="118" spans="1:12">
      <c r="A118" s="181"/>
      <c r="B118" s="192" t="s">
        <v>11</v>
      </c>
      <c r="C118" s="195" t="s">
        <v>383</v>
      </c>
      <c r="D118" s="192" t="s">
        <v>396</v>
      </c>
      <c r="E118" s="192" t="s">
        <v>384</v>
      </c>
      <c r="F118" s="197" t="s">
        <v>397</v>
      </c>
      <c r="G118" s="192" t="s">
        <v>398</v>
      </c>
      <c r="H118" s="195">
        <v>3</v>
      </c>
      <c r="I118" s="192" t="b">
        <v>1</v>
      </c>
      <c r="J118" s="195">
        <v>4</v>
      </c>
      <c r="K118" s="195"/>
      <c r="L118" s="195"/>
    </row>
    <row r="119" spans="1:12">
      <c r="A119" s="181"/>
      <c r="B119" s="192" t="s">
        <v>11</v>
      </c>
      <c r="C119" s="195" t="s">
        <v>383</v>
      </c>
      <c r="D119" s="192" t="s">
        <v>399</v>
      </c>
      <c r="E119" s="192" t="s">
        <v>384</v>
      </c>
      <c r="F119" s="197" t="s">
        <v>400</v>
      </c>
      <c r="G119" s="192" t="s">
        <v>401</v>
      </c>
      <c r="H119" s="195">
        <v>3</v>
      </c>
      <c r="I119" s="192" t="b">
        <v>1</v>
      </c>
      <c r="J119" s="195">
        <v>5</v>
      </c>
      <c r="K119" s="195"/>
      <c r="L119" s="195"/>
    </row>
    <row r="120" spans="1:12">
      <c r="A120" s="181"/>
      <c r="B120" s="192" t="s">
        <v>11</v>
      </c>
      <c r="C120" s="195" t="s">
        <v>383</v>
      </c>
      <c r="D120" s="192" t="s">
        <v>402</v>
      </c>
      <c r="E120" s="192" t="s">
        <v>384</v>
      </c>
      <c r="F120" s="197" t="s">
        <v>403</v>
      </c>
      <c r="G120" s="192" t="s">
        <v>404</v>
      </c>
      <c r="H120" s="195">
        <v>3</v>
      </c>
      <c r="I120" s="192" t="b">
        <v>1</v>
      </c>
      <c r="J120" s="195">
        <v>6</v>
      </c>
      <c r="K120" s="195"/>
      <c r="L120" s="195"/>
    </row>
    <row r="121" spans="1:12">
      <c r="A121" s="181"/>
      <c r="B121" s="189" t="s">
        <v>11</v>
      </c>
      <c r="C121" s="191" t="s">
        <v>405</v>
      </c>
      <c r="D121" s="189" t="s">
        <v>406</v>
      </c>
      <c r="E121" s="191" t="s">
        <v>13</v>
      </c>
      <c r="F121" s="189" t="s">
        <v>407</v>
      </c>
      <c r="G121" s="191" t="s">
        <v>408</v>
      </c>
      <c r="H121" s="191">
        <v>2</v>
      </c>
      <c r="I121" s="191"/>
      <c r="J121" s="191">
        <v>7</v>
      </c>
      <c r="K121" s="191"/>
      <c r="L121" s="191"/>
    </row>
    <row r="122" spans="1:12">
      <c r="A122" s="181"/>
      <c r="B122" s="192" t="s">
        <v>11</v>
      </c>
      <c r="C122" s="195" t="s">
        <v>405</v>
      </c>
      <c r="D122" s="192" t="s">
        <v>409</v>
      </c>
      <c r="E122" s="195" t="s">
        <v>406</v>
      </c>
      <c r="F122" s="197" t="s">
        <v>410</v>
      </c>
      <c r="G122" s="192" t="s">
        <v>411</v>
      </c>
      <c r="H122" s="195">
        <v>3</v>
      </c>
      <c r="I122" s="192" t="b">
        <v>1</v>
      </c>
      <c r="J122" s="195">
        <v>1</v>
      </c>
      <c r="K122" s="195"/>
      <c r="L122" s="195"/>
    </row>
    <row r="123" spans="1:12">
      <c r="A123" s="181"/>
      <c r="B123" s="192" t="s">
        <v>11</v>
      </c>
      <c r="C123" s="195" t="s">
        <v>405</v>
      </c>
      <c r="D123" s="192" t="s">
        <v>412</v>
      </c>
      <c r="E123" s="195" t="s">
        <v>406</v>
      </c>
      <c r="F123" s="197" t="s">
        <v>413</v>
      </c>
      <c r="G123" s="192" t="s">
        <v>414</v>
      </c>
      <c r="H123" s="195">
        <v>3</v>
      </c>
      <c r="I123" s="192" t="b">
        <v>1</v>
      </c>
      <c r="J123" s="195">
        <v>2</v>
      </c>
      <c r="K123" s="195"/>
      <c r="L123" s="195"/>
    </row>
    <row r="124" spans="1:12">
      <c r="A124" s="181"/>
      <c r="B124" s="192" t="s">
        <v>11</v>
      </c>
      <c r="C124" s="195" t="s">
        <v>405</v>
      </c>
      <c r="D124" s="192" t="s">
        <v>415</v>
      </c>
      <c r="E124" s="195" t="s">
        <v>406</v>
      </c>
      <c r="F124" s="197" t="s">
        <v>416</v>
      </c>
      <c r="G124" s="192" t="s">
        <v>416</v>
      </c>
      <c r="H124" s="195">
        <v>3</v>
      </c>
      <c r="I124" s="192" t="b">
        <v>1</v>
      </c>
      <c r="J124" s="195">
        <v>3</v>
      </c>
      <c r="K124" s="195"/>
      <c r="L124" s="195"/>
    </row>
    <row r="125" spans="1:12">
      <c r="A125" s="181"/>
      <c r="B125" s="192" t="s">
        <v>11</v>
      </c>
      <c r="C125" s="195" t="s">
        <v>405</v>
      </c>
      <c r="D125" s="192" t="s">
        <v>417</v>
      </c>
      <c r="E125" s="195" t="s">
        <v>406</v>
      </c>
      <c r="F125" s="197" t="s">
        <v>418</v>
      </c>
      <c r="G125" s="192" t="s">
        <v>419</v>
      </c>
      <c r="H125" s="195">
        <v>3</v>
      </c>
      <c r="I125" s="192" t="b">
        <v>1</v>
      </c>
      <c r="J125" s="195">
        <v>4</v>
      </c>
      <c r="K125" s="195"/>
      <c r="L125" s="195"/>
    </row>
    <row r="126" spans="1:12">
      <c r="A126" s="181"/>
      <c r="B126" s="189" t="s">
        <v>11</v>
      </c>
      <c r="C126" s="191" t="s">
        <v>420</v>
      </c>
      <c r="D126" s="189" t="s">
        <v>421</v>
      </c>
      <c r="E126" s="191" t="s">
        <v>13</v>
      </c>
      <c r="F126" s="199" t="s">
        <v>422</v>
      </c>
      <c r="G126" s="189" t="s">
        <v>423</v>
      </c>
      <c r="H126" s="191">
        <v>2</v>
      </c>
      <c r="I126" s="189"/>
      <c r="J126" s="191">
        <v>8</v>
      </c>
      <c r="K126" s="191"/>
      <c r="L126" s="191"/>
    </row>
    <row r="127" spans="1:12">
      <c r="A127" s="181"/>
      <c r="B127" s="192" t="s">
        <v>11</v>
      </c>
      <c r="C127" s="195" t="s">
        <v>420</v>
      </c>
      <c r="D127" s="192" t="s">
        <v>424</v>
      </c>
      <c r="E127" s="195" t="s">
        <v>421</v>
      </c>
      <c r="F127" s="197" t="s">
        <v>425</v>
      </c>
      <c r="G127" s="197" t="s">
        <v>426</v>
      </c>
      <c r="H127" s="195">
        <v>3</v>
      </c>
      <c r="I127" s="192" t="b">
        <v>1</v>
      </c>
      <c r="J127" s="195">
        <v>1</v>
      </c>
      <c r="K127" s="195"/>
      <c r="L127" s="195"/>
    </row>
    <row r="128" spans="1:12">
      <c r="A128" s="181"/>
      <c r="B128" s="192" t="s">
        <v>427</v>
      </c>
      <c r="C128" s="195" t="s">
        <v>428</v>
      </c>
      <c r="D128" s="192" t="s">
        <v>429</v>
      </c>
      <c r="E128" s="195" t="s">
        <v>421</v>
      </c>
      <c r="F128" s="197" t="s">
        <v>430</v>
      </c>
      <c r="G128" s="197" t="s">
        <v>431</v>
      </c>
      <c r="H128" s="195">
        <v>3</v>
      </c>
      <c r="I128" s="192"/>
      <c r="J128" s="195">
        <v>2</v>
      </c>
      <c r="K128" s="195"/>
      <c r="L128" s="195"/>
    </row>
    <row r="129" spans="1:12">
      <c r="A129" s="181"/>
      <c r="B129" s="196" t="s">
        <v>427</v>
      </c>
      <c r="C129" s="196" t="s">
        <v>428</v>
      </c>
      <c r="D129" s="196" t="s">
        <v>432</v>
      </c>
      <c r="E129" s="181" t="s">
        <v>429</v>
      </c>
      <c r="F129" s="200" t="s">
        <v>433</v>
      </c>
      <c r="G129" s="200" t="s">
        <v>434</v>
      </c>
      <c r="H129" s="181">
        <v>4</v>
      </c>
      <c r="I129" s="196" t="b">
        <v>1</v>
      </c>
      <c r="J129" s="181">
        <v>1</v>
      </c>
      <c r="K129" s="181"/>
      <c r="L129" s="181"/>
    </row>
    <row r="130" spans="1:12">
      <c r="A130" s="181"/>
      <c r="B130" s="196" t="s">
        <v>427</v>
      </c>
      <c r="C130" s="196" t="s">
        <v>428</v>
      </c>
      <c r="D130" s="196" t="s">
        <v>435</v>
      </c>
      <c r="E130" s="181" t="s">
        <v>429</v>
      </c>
      <c r="F130" s="200" t="s">
        <v>436</v>
      </c>
      <c r="G130" s="200" t="s">
        <v>437</v>
      </c>
      <c r="H130" s="181">
        <v>4</v>
      </c>
      <c r="I130" s="196" t="b">
        <v>1</v>
      </c>
      <c r="J130" s="181">
        <v>2</v>
      </c>
      <c r="K130" s="181"/>
      <c r="L130" s="181"/>
    </row>
    <row r="131" spans="1:12">
      <c r="A131" s="181"/>
      <c r="B131" s="196" t="s">
        <v>427</v>
      </c>
      <c r="C131" s="196" t="s">
        <v>428</v>
      </c>
      <c r="D131" s="196" t="s">
        <v>438</v>
      </c>
      <c r="E131" s="181" t="s">
        <v>429</v>
      </c>
      <c r="F131" s="200" t="s">
        <v>439</v>
      </c>
      <c r="G131" s="200" t="s">
        <v>440</v>
      </c>
      <c r="H131" s="181">
        <v>4</v>
      </c>
      <c r="I131" s="196" t="b">
        <v>1</v>
      </c>
      <c r="J131" s="181">
        <v>3</v>
      </c>
      <c r="K131" s="181"/>
      <c r="L131" s="181"/>
    </row>
    <row r="132" spans="1:12">
      <c r="A132" s="181"/>
      <c r="B132" s="196" t="s">
        <v>427</v>
      </c>
      <c r="C132" s="196" t="s">
        <v>428</v>
      </c>
      <c r="D132" s="196" t="s">
        <v>441</v>
      </c>
      <c r="E132" s="181" t="s">
        <v>429</v>
      </c>
      <c r="F132" s="200" t="s">
        <v>442</v>
      </c>
      <c r="G132" s="200" t="s">
        <v>443</v>
      </c>
      <c r="H132" s="181">
        <v>4</v>
      </c>
      <c r="I132" s="196" t="b">
        <v>1</v>
      </c>
      <c r="J132" s="181">
        <v>4</v>
      </c>
      <c r="K132" s="181"/>
      <c r="L132" s="181"/>
    </row>
    <row r="133" spans="1:12">
      <c r="A133" s="181"/>
      <c r="B133" s="196" t="s">
        <v>427</v>
      </c>
      <c r="C133" s="196" t="s">
        <v>428</v>
      </c>
      <c r="D133" s="196" t="s">
        <v>444</v>
      </c>
      <c r="E133" s="181" t="s">
        <v>429</v>
      </c>
      <c r="F133" s="200" t="s">
        <v>445</v>
      </c>
      <c r="G133" s="200" t="s">
        <v>446</v>
      </c>
      <c r="H133" s="181">
        <v>4</v>
      </c>
      <c r="I133" s="196" t="b">
        <v>1</v>
      </c>
      <c r="J133" s="181">
        <v>5</v>
      </c>
      <c r="K133" s="181"/>
      <c r="L133" s="181"/>
    </row>
    <row r="134" spans="1:12">
      <c r="A134" s="181"/>
      <c r="B134" s="196" t="s">
        <v>427</v>
      </c>
      <c r="C134" s="196" t="s">
        <v>428</v>
      </c>
      <c r="D134" s="196" t="s">
        <v>447</v>
      </c>
      <c r="E134" s="181" t="s">
        <v>429</v>
      </c>
      <c r="F134" s="200" t="s">
        <v>448</v>
      </c>
      <c r="G134" s="200" t="s">
        <v>449</v>
      </c>
      <c r="H134" s="181">
        <v>4</v>
      </c>
      <c r="I134" s="196" t="b">
        <v>1</v>
      </c>
      <c r="J134" s="181">
        <v>6</v>
      </c>
      <c r="K134" s="181"/>
      <c r="L134" s="181"/>
    </row>
    <row r="135" spans="1:12">
      <c r="A135" s="181"/>
      <c r="B135" s="192" t="s">
        <v>11</v>
      </c>
      <c r="C135" s="195" t="s">
        <v>420</v>
      </c>
      <c r="D135" s="192" t="s">
        <v>450</v>
      </c>
      <c r="E135" s="195" t="s">
        <v>421</v>
      </c>
      <c r="F135" s="197" t="s">
        <v>451</v>
      </c>
      <c r="G135" s="195" t="s">
        <v>452</v>
      </c>
      <c r="H135" s="195">
        <v>3</v>
      </c>
      <c r="I135" s="192" t="b">
        <v>1</v>
      </c>
      <c r="J135" s="195">
        <v>3</v>
      </c>
      <c r="K135" s="195"/>
      <c r="L135" s="195"/>
    </row>
    <row r="136" spans="1:12">
      <c r="A136" s="181"/>
      <c r="B136" s="189" t="s">
        <v>11</v>
      </c>
      <c r="C136" s="191" t="s">
        <v>453</v>
      </c>
      <c r="D136" s="189" t="s">
        <v>454</v>
      </c>
      <c r="E136" s="191" t="s">
        <v>13</v>
      </c>
      <c r="F136" s="189" t="s">
        <v>455</v>
      </c>
      <c r="G136" s="199" t="s">
        <v>456</v>
      </c>
      <c r="H136" s="191">
        <v>2</v>
      </c>
      <c r="I136" s="191"/>
      <c r="J136" s="191">
        <v>9</v>
      </c>
      <c r="K136" s="191"/>
      <c r="L136" s="191"/>
    </row>
    <row r="137" spans="1:12">
      <c r="A137" s="181"/>
      <c r="B137" s="192" t="s">
        <v>11</v>
      </c>
      <c r="C137" s="195" t="s">
        <v>453</v>
      </c>
      <c r="D137" s="192" t="s">
        <v>457</v>
      </c>
      <c r="E137" s="192" t="s">
        <v>454</v>
      </c>
      <c r="F137" s="192" t="s">
        <v>458</v>
      </c>
      <c r="G137" s="192" t="s">
        <v>459</v>
      </c>
      <c r="H137" s="195">
        <v>3</v>
      </c>
      <c r="I137" s="192" t="b">
        <v>1</v>
      </c>
      <c r="J137" s="195">
        <v>1</v>
      </c>
      <c r="K137" s="195"/>
      <c r="L137" s="195"/>
    </row>
    <row r="138" spans="1:12">
      <c r="A138" s="181"/>
      <c r="B138" s="192" t="s">
        <v>11</v>
      </c>
      <c r="C138" s="195" t="s">
        <v>460</v>
      </c>
      <c r="D138" s="192" t="s">
        <v>461</v>
      </c>
      <c r="E138" s="195" t="s">
        <v>454</v>
      </c>
      <c r="F138" s="192" t="s">
        <v>462</v>
      </c>
      <c r="G138" s="192" t="s">
        <v>463</v>
      </c>
      <c r="H138" s="195">
        <v>3</v>
      </c>
      <c r="I138" s="192" t="b">
        <v>1</v>
      </c>
      <c r="J138" s="195">
        <v>2</v>
      </c>
      <c r="K138" s="195"/>
      <c r="L138" s="195"/>
    </row>
    <row r="139" spans="1:12">
      <c r="A139" s="181"/>
      <c r="B139" s="189" t="s">
        <v>11</v>
      </c>
      <c r="C139" s="191" t="s">
        <v>464</v>
      </c>
      <c r="D139" s="189" t="s">
        <v>465</v>
      </c>
      <c r="E139" s="191" t="s">
        <v>13</v>
      </c>
      <c r="F139" s="189" t="s">
        <v>466</v>
      </c>
      <c r="G139" s="191" t="s">
        <v>467</v>
      </c>
      <c r="H139" s="191">
        <v>2</v>
      </c>
      <c r="I139" s="191"/>
      <c r="J139" s="191">
        <v>10</v>
      </c>
      <c r="K139" s="191"/>
      <c r="L139" s="191"/>
    </row>
    <row r="140" spans="1:12">
      <c r="A140" s="181"/>
      <c r="B140" s="192" t="s">
        <v>11</v>
      </c>
      <c r="C140" s="195" t="s">
        <v>464</v>
      </c>
      <c r="D140" s="192" t="s">
        <v>468</v>
      </c>
      <c r="E140" s="195" t="s">
        <v>465</v>
      </c>
      <c r="F140" s="197" t="s">
        <v>469</v>
      </c>
      <c r="G140" s="192" t="s">
        <v>470</v>
      </c>
      <c r="H140" s="195">
        <v>3</v>
      </c>
      <c r="I140" s="195"/>
      <c r="J140" s="195">
        <v>1</v>
      </c>
      <c r="K140" s="195"/>
      <c r="L140" s="195"/>
    </row>
    <row r="141" spans="1:12">
      <c r="A141" s="181"/>
      <c r="B141" s="196" t="s">
        <v>11</v>
      </c>
      <c r="C141" s="201" t="s">
        <v>464</v>
      </c>
      <c r="D141" s="196" t="s">
        <v>471</v>
      </c>
      <c r="E141" s="181" t="s">
        <v>468</v>
      </c>
      <c r="F141" s="196" t="s">
        <v>472</v>
      </c>
      <c r="G141" s="196" t="s">
        <v>473</v>
      </c>
      <c r="H141" s="181">
        <v>4</v>
      </c>
      <c r="I141" s="196" t="b">
        <v>1</v>
      </c>
      <c r="J141" s="181">
        <v>1</v>
      </c>
      <c r="K141" s="181"/>
      <c r="L141" s="181"/>
    </row>
    <row r="142" spans="1:12">
      <c r="A142" s="181"/>
      <c r="B142" s="196" t="s">
        <v>11</v>
      </c>
      <c r="C142" s="201" t="s">
        <v>464</v>
      </c>
      <c r="D142" s="196" t="s">
        <v>474</v>
      </c>
      <c r="E142" s="181" t="s">
        <v>468</v>
      </c>
      <c r="F142" s="196" t="s">
        <v>475</v>
      </c>
      <c r="G142" s="196" t="s">
        <v>476</v>
      </c>
      <c r="H142" s="181">
        <v>4</v>
      </c>
      <c r="I142" s="196" t="b">
        <v>1</v>
      </c>
      <c r="J142" s="181">
        <v>2</v>
      </c>
      <c r="K142" s="181"/>
      <c r="L142" s="181"/>
    </row>
    <row r="143" spans="1:12">
      <c r="A143" s="204"/>
      <c r="B143" s="196" t="s">
        <v>11</v>
      </c>
      <c r="C143" s="201" t="s">
        <v>464</v>
      </c>
      <c r="D143" s="196" t="s">
        <v>477</v>
      </c>
      <c r="E143" s="181" t="s">
        <v>468</v>
      </c>
      <c r="F143" s="196" t="s">
        <v>478</v>
      </c>
      <c r="G143" s="196" t="s">
        <v>479</v>
      </c>
      <c r="H143" s="181">
        <v>4</v>
      </c>
      <c r="I143" s="196" t="b">
        <v>1</v>
      </c>
      <c r="J143" s="181">
        <v>3</v>
      </c>
      <c r="K143" s="181"/>
      <c r="L143" s="181"/>
    </row>
    <row r="144" spans="1:12">
      <c r="A144" s="131">
        <v>260416</v>
      </c>
      <c r="B144" s="196" t="s">
        <v>11</v>
      </c>
      <c r="C144" s="201" t="s">
        <v>464</v>
      </c>
      <c r="D144" s="196" t="s">
        <v>480</v>
      </c>
      <c r="E144" s="181" t="s">
        <v>468</v>
      </c>
      <c r="F144" s="196" t="s">
        <v>481</v>
      </c>
      <c r="G144" s="196" t="s">
        <v>482</v>
      </c>
      <c r="H144" s="181">
        <v>4</v>
      </c>
      <c r="I144" s="196" t="b">
        <v>1</v>
      </c>
      <c r="J144" s="181">
        <v>4</v>
      </c>
      <c r="K144" s="181"/>
      <c r="L144" s="181"/>
    </row>
    <row r="145" spans="1:13">
      <c r="A145" s="181"/>
      <c r="B145" s="192" t="s">
        <v>11</v>
      </c>
      <c r="C145" s="195" t="s">
        <v>464</v>
      </c>
      <c r="D145" s="192" t="s">
        <v>483</v>
      </c>
      <c r="E145" s="195" t="s">
        <v>465</v>
      </c>
      <c r="F145" s="197" t="s">
        <v>484</v>
      </c>
      <c r="G145" s="192" t="s">
        <v>485</v>
      </c>
      <c r="H145" s="195">
        <v>3</v>
      </c>
      <c r="I145" s="195"/>
      <c r="J145" s="195">
        <v>2</v>
      </c>
      <c r="K145" s="195"/>
      <c r="L145" s="195"/>
    </row>
    <row r="146" spans="1:13">
      <c r="A146" s="181"/>
      <c r="B146" s="196" t="s">
        <v>11</v>
      </c>
      <c r="C146" s="201" t="s">
        <v>464</v>
      </c>
      <c r="D146" s="196" t="s">
        <v>486</v>
      </c>
      <c r="E146" s="181" t="s">
        <v>483</v>
      </c>
      <c r="F146" s="196" t="s">
        <v>487</v>
      </c>
      <c r="G146" s="196" t="s">
        <v>488</v>
      </c>
      <c r="H146" s="181">
        <v>4</v>
      </c>
      <c r="I146" s="196" t="b">
        <v>1</v>
      </c>
      <c r="J146" s="181">
        <v>1</v>
      </c>
      <c r="K146" s="181"/>
      <c r="L146" s="181"/>
    </row>
    <row r="147" spans="1:13">
      <c r="A147" s="181"/>
      <c r="B147" s="192" t="s">
        <v>11</v>
      </c>
      <c r="C147" s="195" t="s">
        <v>464</v>
      </c>
      <c r="D147" s="192" t="s">
        <v>489</v>
      </c>
      <c r="E147" s="195" t="s">
        <v>465</v>
      </c>
      <c r="F147" s="197" t="s">
        <v>490</v>
      </c>
      <c r="G147" s="192" t="s">
        <v>491</v>
      </c>
      <c r="H147" s="195">
        <v>3</v>
      </c>
      <c r="I147" s="192" t="b">
        <v>1</v>
      </c>
      <c r="J147" s="195">
        <v>3</v>
      </c>
      <c r="K147" s="195"/>
      <c r="L147" s="195"/>
    </row>
    <row r="148" spans="1:13">
      <c r="A148" s="181"/>
      <c r="B148" s="192" t="s">
        <v>11</v>
      </c>
      <c r="C148" s="195" t="s">
        <v>464</v>
      </c>
      <c r="D148" s="192" t="s">
        <v>492</v>
      </c>
      <c r="E148" s="195" t="s">
        <v>465</v>
      </c>
      <c r="F148" s="197" t="s">
        <v>493</v>
      </c>
      <c r="G148" s="192" t="s">
        <v>494</v>
      </c>
      <c r="H148" s="195">
        <v>3</v>
      </c>
      <c r="I148" s="192" t="b">
        <v>1</v>
      </c>
      <c r="J148" s="195">
        <v>4</v>
      </c>
      <c r="K148" s="195"/>
      <c r="L148" s="195"/>
    </row>
    <row r="149" spans="1:13">
      <c r="A149" s="181"/>
      <c r="B149" s="189" t="s">
        <v>11</v>
      </c>
      <c r="C149" s="191" t="s">
        <v>495</v>
      </c>
      <c r="D149" s="189" t="s">
        <v>496</v>
      </c>
      <c r="E149" s="191" t="s">
        <v>13</v>
      </c>
      <c r="F149" s="189" t="s">
        <v>497</v>
      </c>
      <c r="G149" s="189" t="s">
        <v>498</v>
      </c>
      <c r="H149" s="191">
        <v>2</v>
      </c>
      <c r="I149" s="191"/>
      <c r="J149" s="191">
        <v>11</v>
      </c>
      <c r="K149" s="191"/>
      <c r="L149" s="191"/>
    </row>
    <row r="150" spans="1:13">
      <c r="A150" s="181"/>
      <c r="B150" s="192" t="s">
        <v>11</v>
      </c>
      <c r="C150" s="195" t="s">
        <v>495</v>
      </c>
      <c r="D150" s="192" t="s">
        <v>499</v>
      </c>
      <c r="E150" s="195" t="s">
        <v>496</v>
      </c>
      <c r="F150" s="197" t="s">
        <v>500</v>
      </c>
      <c r="G150" s="192" t="s">
        <v>501</v>
      </c>
      <c r="H150" s="195">
        <v>3</v>
      </c>
      <c r="I150" s="192" t="b">
        <v>1</v>
      </c>
      <c r="J150" s="195">
        <v>1</v>
      </c>
      <c r="K150" s="195"/>
      <c r="L150" s="195"/>
    </row>
    <row r="151" spans="1:13">
      <c r="A151" s="204"/>
      <c r="B151" s="196" t="s">
        <v>11</v>
      </c>
      <c r="C151" s="201" t="str">
        <f>C150</f>
        <v>TANKS</v>
      </c>
      <c r="D151" s="196" t="s">
        <v>502</v>
      </c>
      <c r="E151" s="181" t="s">
        <v>499</v>
      </c>
      <c r="F151" s="196" t="s">
        <v>503</v>
      </c>
      <c r="G151" s="196" t="s">
        <v>504</v>
      </c>
      <c r="H151" s="181">
        <v>4</v>
      </c>
      <c r="I151" s="196" t="b">
        <v>1</v>
      </c>
      <c r="J151" s="181">
        <v>1</v>
      </c>
      <c r="K151" s="181"/>
      <c r="L151" s="181"/>
    </row>
    <row r="152" spans="1:13">
      <c r="A152" s="204"/>
      <c r="B152" s="196" t="s">
        <v>11</v>
      </c>
      <c r="C152" s="201" t="str">
        <f>C150</f>
        <v>TANKS</v>
      </c>
      <c r="D152" s="196" t="s">
        <v>505</v>
      </c>
      <c r="E152" s="181" t="s">
        <v>499</v>
      </c>
      <c r="F152" s="196" t="s">
        <v>506</v>
      </c>
      <c r="G152" s="196" t="s">
        <v>507</v>
      </c>
      <c r="H152" s="181">
        <v>4</v>
      </c>
      <c r="I152" s="196" t="b">
        <v>1</v>
      </c>
      <c r="J152" s="181">
        <v>2</v>
      </c>
      <c r="K152" s="181"/>
      <c r="L152" s="181"/>
    </row>
    <row r="153" spans="1:13">
      <c r="A153" s="181"/>
      <c r="B153" s="192" t="s">
        <v>11</v>
      </c>
      <c r="C153" s="195" t="s">
        <v>495</v>
      </c>
      <c r="D153" s="192" t="s">
        <v>508</v>
      </c>
      <c r="E153" s="195" t="s">
        <v>496</v>
      </c>
      <c r="F153" s="197" t="s">
        <v>509</v>
      </c>
      <c r="G153" s="192" t="s">
        <v>510</v>
      </c>
      <c r="H153" s="195">
        <v>3</v>
      </c>
      <c r="I153" s="192" t="b">
        <v>1</v>
      </c>
      <c r="J153" s="195">
        <v>2</v>
      </c>
      <c r="K153" s="195"/>
      <c r="L153" s="195"/>
    </row>
    <row r="154" spans="1:13">
      <c r="A154" s="181"/>
      <c r="B154" s="192" t="s">
        <v>11</v>
      </c>
      <c r="C154" s="195" t="s">
        <v>495</v>
      </c>
      <c r="D154" s="192" t="s">
        <v>511</v>
      </c>
      <c r="E154" s="195" t="s">
        <v>496</v>
      </c>
      <c r="F154" s="197" t="s">
        <v>512</v>
      </c>
      <c r="G154" s="192" t="s">
        <v>513</v>
      </c>
      <c r="H154" s="195">
        <v>3</v>
      </c>
      <c r="I154" s="192" t="b">
        <v>1</v>
      </c>
      <c r="J154" s="195">
        <v>3</v>
      </c>
      <c r="K154" s="195"/>
      <c r="L154" s="195"/>
    </row>
    <row r="155" spans="1:13">
      <c r="A155" s="181"/>
      <c r="B155" s="192" t="s">
        <v>11</v>
      </c>
      <c r="C155" s="195" t="s">
        <v>495</v>
      </c>
      <c r="D155" s="192" t="s">
        <v>514</v>
      </c>
      <c r="E155" s="195" t="s">
        <v>496</v>
      </c>
      <c r="F155" s="197" t="s">
        <v>515</v>
      </c>
      <c r="G155" s="195" t="s">
        <v>516</v>
      </c>
      <c r="H155" s="195">
        <v>3</v>
      </c>
      <c r="I155" s="192" t="b">
        <v>1</v>
      </c>
      <c r="J155" s="195">
        <v>5</v>
      </c>
      <c r="K155" s="195"/>
      <c r="L155" s="195"/>
    </row>
    <row r="156" spans="1:13">
      <c r="A156" s="181"/>
      <c r="B156" s="189" t="s">
        <v>11</v>
      </c>
      <c r="C156" s="191" t="s">
        <v>517</v>
      </c>
      <c r="D156" s="189" t="s">
        <v>518</v>
      </c>
      <c r="E156" s="191" t="s">
        <v>13</v>
      </c>
      <c r="F156" s="199" t="s">
        <v>519</v>
      </c>
      <c r="G156" s="189" t="s">
        <v>520</v>
      </c>
      <c r="H156" s="191">
        <v>2</v>
      </c>
      <c r="I156" s="191"/>
      <c r="J156" s="191">
        <v>12</v>
      </c>
      <c r="K156" s="191"/>
      <c r="L156" s="191"/>
    </row>
    <row r="157" spans="1:13">
      <c r="A157" s="181"/>
      <c r="B157" s="192" t="s">
        <v>11</v>
      </c>
      <c r="C157" s="195" t="s">
        <v>517</v>
      </c>
      <c r="D157" s="192" t="s">
        <v>521</v>
      </c>
      <c r="E157" s="192" t="s">
        <v>518</v>
      </c>
      <c r="F157" s="197" t="s">
        <v>522</v>
      </c>
      <c r="G157" s="192" t="s">
        <v>523</v>
      </c>
      <c r="H157" s="195">
        <v>3</v>
      </c>
      <c r="I157" s="192" t="b">
        <v>1</v>
      </c>
      <c r="J157" s="195">
        <v>1</v>
      </c>
      <c r="K157" s="195"/>
      <c r="L157" s="195"/>
    </row>
    <row r="158" spans="1:13">
      <c r="A158" s="181"/>
      <c r="B158" s="192" t="s">
        <v>11</v>
      </c>
      <c r="C158" s="195" t="s">
        <v>517</v>
      </c>
      <c r="D158" s="192" t="s">
        <v>524</v>
      </c>
      <c r="E158" s="192" t="s">
        <v>518</v>
      </c>
      <c r="F158" s="197" t="s">
        <v>525</v>
      </c>
      <c r="G158" s="192" t="s">
        <v>526</v>
      </c>
      <c r="H158" s="195">
        <v>3</v>
      </c>
      <c r="I158" s="192" t="b">
        <v>1</v>
      </c>
      <c r="J158" s="195">
        <v>2</v>
      </c>
      <c r="K158" s="195"/>
      <c r="L158" s="195"/>
    </row>
    <row r="159" spans="1:13">
      <c r="A159" s="181"/>
      <c r="B159" s="192" t="s">
        <v>11</v>
      </c>
      <c r="C159" s="192" t="s">
        <v>517</v>
      </c>
      <c r="D159" s="192" t="s">
        <v>527</v>
      </c>
      <c r="E159" s="192" t="s">
        <v>528</v>
      </c>
      <c r="F159" s="192" t="s">
        <v>529</v>
      </c>
      <c r="G159" s="192" t="s">
        <v>530</v>
      </c>
      <c r="H159" s="192">
        <v>3</v>
      </c>
      <c r="I159" s="192" t="b">
        <v>1</v>
      </c>
      <c r="J159" s="192">
        <v>3</v>
      </c>
      <c r="K159" s="192"/>
      <c r="L159" s="192"/>
      <c r="M159" s="196"/>
    </row>
    <row r="160" spans="1:13">
      <c r="A160" s="181"/>
      <c r="B160" s="192" t="s">
        <v>11</v>
      </c>
      <c r="C160" s="195" t="s">
        <v>517</v>
      </c>
      <c r="D160" s="192" t="s">
        <v>531</v>
      </c>
      <c r="E160" s="192" t="s">
        <v>518</v>
      </c>
      <c r="F160" s="197" t="s">
        <v>532</v>
      </c>
      <c r="G160" s="192" t="s">
        <v>533</v>
      </c>
      <c r="H160" s="195">
        <v>3</v>
      </c>
      <c r="I160" s="192" t="b">
        <v>1</v>
      </c>
      <c r="J160" s="195">
        <v>4</v>
      </c>
      <c r="K160" s="195"/>
      <c r="L160" s="195"/>
    </row>
    <row r="161" spans="1:12">
      <c r="A161" s="181"/>
      <c r="B161" s="189" t="s">
        <v>11</v>
      </c>
      <c r="C161" s="191" t="s">
        <v>534</v>
      </c>
      <c r="D161" s="189" t="s">
        <v>535</v>
      </c>
      <c r="E161" s="191" t="s">
        <v>13</v>
      </c>
      <c r="F161" s="189" t="s">
        <v>536</v>
      </c>
      <c r="G161" s="189" t="s">
        <v>537</v>
      </c>
      <c r="H161" s="191">
        <v>2</v>
      </c>
      <c r="I161" s="191"/>
      <c r="J161" s="191">
        <v>13</v>
      </c>
      <c r="K161" s="191"/>
      <c r="L161" s="191"/>
    </row>
    <row r="162" spans="1:12">
      <c r="A162" s="181"/>
      <c r="B162" s="192" t="s">
        <v>11</v>
      </c>
      <c r="C162" s="195" t="s">
        <v>534</v>
      </c>
      <c r="D162" s="192" t="s">
        <v>538</v>
      </c>
      <c r="E162" s="195" t="s">
        <v>535</v>
      </c>
      <c r="F162" s="197" t="s">
        <v>539</v>
      </c>
      <c r="G162" s="192" t="s">
        <v>540</v>
      </c>
      <c r="H162" s="195">
        <v>3</v>
      </c>
      <c r="I162" s="192" t="b">
        <v>1</v>
      </c>
      <c r="J162" s="195">
        <v>1</v>
      </c>
      <c r="K162" s="195"/>
      <c r="L162" s="195"/>
    </row>
    <row r="163" spans="1:12">
      <c r="A163" s="181"/>
      <c r="B163" s="192" t="s">
        <v>11</v>
      </c>
      <c r="C163" s="195" t="s">
        <v>541</v>
      </c>
      <c r="D163" s="192" t="s">
        <v>542</v>
      </c>
      <c r="E163" s="195" t="s">
        <v>535</v>
      </c>
      <c r="F163" s="197" t="s">
        <v>543</v>
      </c>
      <c r="G163" s="192" t="s">
        <v>544</v>
      </c>
      <c r="H163" s="195">
        <v>3</v>
      </c>
      <c r="I163" s="192" t="b">
        <v>1</v>
      </c>
      <c r="J163" s="195">
        <v>2</v>
      </c>
      <c r="K163" s="195"/>
      <c r="L163" s="195"/>
    </row>
    <row r="164" spans="1:12">
      <c r="A164" s="181"/>
      <c r="B164" s="192" t="s">
        <v>11</v>
      </c>
      <c r="C164" s="195" t="s">
        <v>534</v>
      </c>
      <c r="D164" s="192" t="s">
        <v>545</v>
      </c>
      <c r="E164" s="195" t="s">
        <v>535</v>
      </c>
      <c r="F164" s="197" t="s">
        <v>546</v>
      </c>
      <c r="G164" s="192" t="s">
        <v>546</v>
      </c>
      <c r="H164" s="195">
        <v>3</v>
      </c>
      <c r="I164" s="192" t="b">
        <v>1</v>
      </c>
      <c r="J164" s="195">
        <v>3</v>
      </c>
      <c r="K164" s="195"/>
      <c r="L164" s="195"/>
    </row>
    <row r="165" spans="1:12">
      <c r="A165" s="181"/>
      <c r="B165" s="192" t="s">
        <v>11</v>
      </c>
      <c r="C165" s="195" t="s">
        <v>534</v>
      </c>
      <c r="D165" s="192" t="s">
        <v>547</v>
      </c>
      <c r="E165" s="195" t="s">
        <v>535</v>
      </c>
      <c r="F165" s="197" t="s">
        <v>548</v>
      </c>
      <c r="G165" s="192" t="s">
        <v>549</v>
      </c>
      <c r="H165" s="195">
        <v>3</v>
      </c>
      <c r="I165" s="192" t="b">
        <v>1</v>
      </c>
      <c r="J165" s="195">
        <v>4</v>
      </c>
      <c r="K165" s="195"/>
      <c r="L165" s="195"/>
    </row>
    <row r="166" spans="1:12">
      <c r="A166" s="181"/>
      <c r="B166" s="192" t="s">
        <v>11</v>
      </c>
      <c r="C166" s="195" t="s">
        <v>534</v>
      </c>
      <c r="D166" s="192" t="s">
        <v>550</v>
      </c>
      <c r="E166" s="195" t="s">
        <v>535</v>
      </c>
      <c r="F166" s="197" t="s">
        <v>551</v>
      </c>
      <c r="G166" s="192" t="s">
        <v>552</v>
      </c>
      <c r="H166" s="195">
        <v>3</v>
      </c>
      <c r="I166" s="192" t="b">
        <v>1</v>
      </c>
      <c r="J166" s="195">
        <v>5</v>
      </c>
      <c r="K166" s="195"/>
      <c r="L166" s="195"/>
    </row>
    <row r="167" spans="1:12">
      <c r="A167" s="181"/>
      <c r="B167" s="192" t="s">
        <v>11</v>
      </c>
      <c r="C167" s="195" t="s">
        <v>534</v>
      </c>
      <c r="D167" s="192" t="s">
        <v>553</v>
      </c>
      <c r="E167" s="195" t="s">
        <v>535</v>
      </c>
      <c r="F167" s="197" t="s">
        <v>554</v>
      </c>
      <c r="G167" s="192" t="s">
        <v>555</v>
      </c>
      <c r="H167" s="195">
        <v>3</v>
      </c>
      <c r="I167" s="192" t="b">
        <v>1</v>
      </c>
      <c r="J167" s="195">
        <v>6</v>
      </c>
      <c r="K167" s="195"/>
      <c r="L167" s="195"/>
    </row>
    <row r="168" spans="1:12">
      <c r="A168" s="181"/>
      <c r="B168" s="192" t="s">
        <v>11</v>
      </c>
      <c r="C168" s="195" t="s">
        <v>534</v>
      </c>
      <c r="D168" s="192" t="s">
        <v>556</v>
      </c>
      <c r="E168" s="195" t="s">
        <v>535</v>
      </c>
      <c r="F168" s="197" t="s">
        <v>557</v>
      </c>
      <c r="G168" s="192" t="s">
        <v>558</v>
      </c>
      <c r="H168" s="195">
        <v>3</v>
      </c>
      <c r="I168" s="192" t="b">
        <v>1</v>
      </c>
      <c r="J168" s="195">
        <v>7</v>
      </c>
      <c r="K168" s="195"/>
      <c r="L168" s="195"/>
    </row>
    <row r="169" spans="1:12">
      <c r="A169" s="181"/>
      <c r="B169" s="189" t="s">
        <v>11</v>
      </c>
      <c r="C169" s="191" t="s">
        <v>559</v>
      </c>
      <c r="D169" s="189" t="s">
        <v>560</v>
      </c>
      <c r="E169" s="191" t="s">
        <v>13</v>
      </c>
      <c r="F169" s="189" t="s">
        <v>561</v>
      </c>
      <c r="G169" s="189" t="s">
        <v>562</v>
      </c>
      <c r="H169" s="191">
        <v>2</v>
      </c>
      <c r="I169" s="191"/>
      <c r="J169" s="191">
        <v>14</v>
      </c>
      <c r="K169" s="191"/>
      <c r="L169" s="191"/>
    </row>
    <row r="170" spans="1:12">
      <c r="A170" s="181"/>
      <c r="B170" s="192" t="s">
        <v>11</v>
      </c>
      <c r="C170" s="195" t="s">
        <v>559</v>
      </c>
      <c r="D170" s="192" t="s">
        <v>563</v>
      </c>
      <c r="E170" s="195" t="s">
        <v>560</v>
      </c>
      <c r="F170" s="197" t="s">
        <v>564</v>
      </c>
      <c r="G170" s="192" t="s">
        <v>565</v>
      </c>
      <c r="H170" s="195">
        <v>3</v>
      </c>
      <c r="I170" s="192" t="b">
        <v>1</v>
      </c>
      <c r="J170" s="195">
        <v>1</v>
      </c>
      <c r="K170" s="195"/>
      <c r="L170" s="195"/>
    </row>
    <row r="171" spans="1:12">
      <c r="A171" s="181"/>
      <c r="B171" s="196" t="s">
        <v>11</v>
      </c>
      <c r="C171" s="181" t="s">
        <v>559</v>
      </c>
      <c r="D171" s="196" t="s">
        <v>566</v>
      </c>
      <c r="E171" s="181" t="s">
        <v>560</v>
      </c>
      <c r="F171" s="200" t="s">
        <v>567</v>
      </c>
      <c r="G171" s="196" t="s">
        <v>568</v>
      </c>
      <c r="H171" s="181">
        <v>3</v>
      </c>
      <c r="I171" s="196" t="b">
        <v>1</v>
      </c>
      <c r="J171" s="181">
        <v>2</v>
      </c>
      <c r="K171" s="181"/>
      <c r="L171" s="181"/>
    </row>
    <row r="172" spans="1:12">
      <c r="A172" s="181"/>
      <c r="B172" s="192" t="s">
        <v>11</v>
      </c>
      <c r="C172" s="195" t="s">
        <v>559</v>
      </c>
      <c r="D172" s="192" t="s">
        <v>569</v>
      </c>
      <c r="E172" s="195" t="s">
        <v>560</v>
      </c>
      <c r="F172" s="197" t="s">
        <v>570</v>
      </c>
      <c r="G172" s="192" t="s">
        <v>571</v>
      </c>
      <c r="H172" s="195">
        <v>3</v>
      </c>
      <c r="I172" s="192" t="b">
        <v>1</v>
      </c>
      <c r="J172" s="195">
        <v>3</v>
      </c>
      <c r="K172" s="195"/>
      <c r="L172" s="195"/>
    </row>
    <row r="173" spans="1:12">
      <c r="A173" s="181"/>
      <c r="B173" s="192" t="s">
        <v>11</v>
      </c>
      <c r="C173" s="195" t="s">
        <v>559</v>
      </c>
      <c r="D173" s="192" t="s">
        <v>572</v>
      </c>
      <c r="E173" s="195" t="s">
        <v>560</v>
      </c>
      <c r="F173" s="197" t="s">
        <v>573</v>
      </c>
      <c r="G173" s="192" t="s">
        <v>574</v>
      </c>
      <c r="H173" s="195">
        <v>3</v>
      </c>
      <c r="I173" s="192" t="b">
        <v>1</v>
      </c>
      <c r="J173" s="195">
        <v>4</v>
      </c>
      <c r="K173" s="195"/>
      <c r="L173" s="195"/>
    </row>
    <row r="174" spans="1:12">
      <c r="A174" s="181"/>
      <c r="B174" s="192" t="s">
        <v>11</v>
      </c>
      <c r="C174" s="195" t="s">
        <v>559</v>
      </c>
      <c r="D174" s="192" t="s">
        <v>575</v>
      </c>
      <c r="E174" s="195" t="s">
        <v>560</v>
      </c>
      <c r="F174" s="197" t="s">
        <v>576</v>
      </c>
      <c r="G174" s="192" t="s">
        <v>577</v>
      </c>
      <c r="H174" s="195">
        <v>3</v>
      </c>
      <c r="I174" s="192" t="b">
        <v>1</v>
      </c>
      <c r="J174" s="195">
        <v>5</v>
      </c>
      <c r="K174" s="195"/>
      <c r="L174" s="195"/>
    </row>
    <row r="175" spans="1:12">
      <c r="A175" s="181"/>
      <c r="B175" s="192" t="s">
        <v>11</v>
      </c>
      <c r="C175" s="195" t="s">
        <v>559</v>
      </c>
      <c r="D175" s="192" t="s">
        <v>578</v>
      </c>
      <c r="E175" s="195" t="s">
        <v>560</v>
      </c>
      <c r="F175" s="197" t="s">
        <v>579</v>
      </c>
      <c r="G175" s="192" t="s">
        <v>580</v>
      </c>
      <c r="H175" s="195">
        <v>3</v>
      </c>
      <c r="I175" s="192" t="b">
        <v>1</v>
      </c>
      <c r="J175" s="195">
        <v>6</v>
      </c>
      <c r="K175" s="195"/>
      <c r="L175" s="195"/>
    </row>
    <row r="176" spans="1:12">
      <c r="A176" s="181"/>
      <c r="B176" s="189" t="s">
        <v>11</v>
      </c>
      <c r="C176" s="191" t="s">
        <v>581</v>
      </c>
      <c r="D176" s="189" t="s">
        <v>582</v>
      </c>
      <c r="E176" s="191" t="s">
        <v>13</v>
      </c>
      <c r="F176" s="189" t="s">
        <v>583</v>
      </c>
      <c r="G176" s="189" t="s">
        <v>584</v>
      </c>
      <c r="H176" s="191">
        <v>2</v>
      </c>
      <c r="I176" s="191"/>
      <c r="J176" s="191">
        <v>15</v>
      </c>
      <c r="K176" s="191"/>
      <c r="L176" s="191"/>
    </row>
    <row r="177" spans="1:12">
      <c r="A177" s="181"/>
      <c r="B177" s="192" t="s">
        <v>11</v>
      </c>
      <c r="C177" s="195" t="s">
        <v>581</v>
      </c>
      <c r="D177" s="192" t="s">
        <v>585</v>
      </c>
      <c r="E177" s="195" t="s">
        <v>582</v>
      </c>
      <c r="F177" s="197" t="s">
        <v>586</v>
      </c>
      <c r="G177" s="192" t="s">
        <v>587</v>
      </c>
      <c r="H177" s="195">
        <v>3</v>
      </c>
      <c r="I177" s="192"/>
      <c r="J177" s="195">
        <v>1</v>
      </c>
      <c r="K177" s="195"/>
      <c r="L177" s="195"/>
    </row>
    <row r="178" spans="1:12">
      <c r="A178" s="181"/>
      <c r="B178" s="196" t="s">
        <v>11</v>
      </c>
      <c r="C178" s="181" t="s">
        <v>581</v>
      </c>
      <c r="D178" s="196" t="s">
        <v>588</v>
      </c>
      <c r="E178" s="181" t="s">
        <v>585</v>
      </c>
      <c r="F178" s="196" t="s">
        <v>589</v>
      </c>
      <c r="G178" s="196" t="s">
        <v>589</v>
      </c>
      <c r="H178" s="181">
        <v>4</v>
      </c>
      <c r="I178" s="196" t="b">
        <v>1</v>
      </c>
      <c r="J178" s="181">
        <v>1</v>
      </c>
      <c r="K178" s="181"/>
      <c r="L178" s="181"/>
    </row>
    <row r="179" spans="1:12">
      <c r="A179" s="181"/>
      <c r="B179" s="192" t="s">
        <v>11</v>
      </c>
      <c r="C179" s="192" t="s">
        <v>581</v>
      </c>
      <c r="D179" s="192" t="s">
        <v>590</v>
      </c>
      <c r="E179" s="192" t="s">
        <v>591</v>
      </c>
      <c r="F179" s="192" t="s">
        <v>592</v>
      </c>
      <c r="G179" s="192" t="s">
        <v>593</v>
      </c>
      <c r="H179" s="192">
        <v>3</v>
      </c>
      <c r="I179" s="192" t="b">
        <v>1</v>
      </c>
      <c r="J179" s="192">
        <v>2</v>
      </c>
      <c r="K179" s="195"/>
      <c r="L179" s="195"/>
    </row>
    <row r="180" spans="1:12">
      <c r="A180" s="181"/>
      <c r="B180" s="192" t="s">
        <v>11</v>
      </c>
      <c r="C180" s="195" t="s">
        <v>581</v>
      </c>
      <c r="D180" s="192" t="s">
        <v>594</v>
      </c>
      <c r="E180" s="195" t="s">
        <v>582</v>
      </c>
      <c r="F180" s="197" t="s">
        <v>595</v>
      </c>
      <c r="G180" s="192" t="s">
        <v>596</v>
      </c>
      <c r="H180" s="195">
        <v>3</v>
      </c>
      <c r="I180" s="192" t="b">
        <v>1</v>
      </c>
      <c r="J180" s="195">
        <v>2</v>
      </c>
      <c r="K180" s="195"/>
      <c r="L180" s="195"/>
    </row>
    <row r="181" spans="1:12">
      <c r="A181" s="181"/>
      <c r="B181" s="189" t="s">
        <v>11</v>
      </c>
      <c r="C181" s="191" t="s">
        <v>597</v>
      </c>
      <c r="D181" s="189" t="s">
        <v>598</v>
      </c>
      <c r="E181" s="191" t="s">
        <v>13</v>
      </c>
      <c r="F181" s="189" t="s">
        <v>599</v>
      </c>
      <c r="G181" s="189" t="s">
        <v>600</v>
      </c>
      <c r="H181" s="191">
        <v>2</v>
      </c>
      <c r="I181" s="191"/>
      <c r="J181" s="191">
        <v>16</v>
      </c>
      <c r="K181" s="191"/>
      <c r="L181" s="191"/>
    </row>
    <row r="182" spans="1:12">
      <c r="A182" s="181"/>
      <c r="B182" s="192" t="s">
        <v>11</v>
      </c>
      <c r="C182" s="195" t="s">
        <v>601</v>
      </c>
      <c r="D182" s="192" t="s">
        <v>602</v>
      </c>
      <c r="E182" s="195" t="s">
        <v>598</v>
      </c>
      <c r="F182" s="197" t="s">
        <v>603</v>
      </c>
      <c r="G182" s="192" t="s">
        <v>604</v>
      </c>
      <c r="H182" s="195">
        <v>3</v>
      </c>
      <c r="I182" s="192" t="b">
        <v>1</v>
      </c>
      <c r="J182" s="195">
        <v>1</v>
      </c>
      <c r="K182" s="195"/>
      <c r="L182" s="195"/>
    </row>
    <row r="183" spans="1:12">
      <c r="A183" s="181"/>
      <c r="B183" s="192" t="s">
        <v>11</v>
      </c>
      <c r="C183" s="195" t="s">
        <v>601</v>
      </c>
      <c r="D183" s="192" t="s">
        <v>605</v>
      </c>
      <c r="E183" s="195" t="s">
        <v>598</v>
      </c>
      <c r="F183" s="197" t="s">
        <v>606</v>
      </c>
      <c r="G183" s="192" t="s">
        <v>607</v>
      </c>
      <c r="H183" s="195">
        <v>3</v>
      </c>
      <c r="I183" s="192" t="b">
        <v>1</v>
      </c>
      <c r="J183" s="195">
        <v>2</v>
      </c>
      <c r="K183" s="195"/>
      <c r="L183" s="195"/>
    </row>
    <row r="184" spans="1:12">
      <c r="A184" s="181"/>
      <c r="B184" s="192" t="s">
        <v>11</v>
      </c>
      <c r="C184" s="195" t="s">
        <v>601</v>
      </c>
      <c r="D184" s="192" t="s">
        <v>608</v>
      </c>
      <c r="E184" s="195" t="s">
        <v>598</v>
      </c>
      <c r="F184" s="197" t="s">
        <v>609</v>
      </c>
      <c r="G184" s="192" t="s">
        <v>610</v>
      </c>
      <c r="H184" s="195">
        <v>3</v>
      </c>
      <c r="I184" s="192" t="b">
        <v>1</v>
      </c>
      <c r="J184" s="195">
        <v>3</v>
      </c>
      <c r="K184" s="195"/>
      <c r="L184" s="195"/>
    </row>
    <row r="185" spans="1:12">
      <c r="A185" s="181"/>
      <c r="B185" s="189" t="s">
        <v>11</v>
      </c>
      <c r="C185" s="191" t="s">
        <v>611</v>
      </c>
      <c r="D185" s="189" t="s">
        <v>612</v>
      </c>
      <c r="E185" s="191" t="s">
        <v>13</v>
      </c>
      <c r="F185" s="189" t="s">
        <v>613</v>
      </c>
      <c r="G185" s="189" t="s">
        <v>614</v>
      </c>
      <c r="H185" s="191">
        <v>2</v>
      </c>
      <c r="I185" s="191"/>
      <c r="J185" s="191">
        <v>17</v>
      </c>
      <c r="K185" s="191"/>
      <c r="L185" s="191"/>
    </row>
    <row r="186" spans="1:12">
      <c r="A186" s="181"/>
      <c r="B186" s="192" t="s">
        <v>11</v>
      </c>
      <c r="C186" s="195" t="s">
        <v>611</v>
      </c>
      <c r="D186" s="192" t="s">
        <v>615</v>
      </c>
      <c r="E186" s="195" t="s">
        <v>612</v>
      </c>
      <c r="F186" s="192" t="s">
        <v>616</v>
      </c>
      <c r="G186" s="192" t="s">
        <v>617</v>
      </c>
      <c r="H186" s="195">
        <v>3</v>
      </c>
      <c r="I186" s="192" t="b">
        <v>1</v>
      </c>
      <c r="J186" s="195">
        <v>1</v>
      </c>
      <c r="K186" s="195"/>
      <c r="L186" s="195"/>
    </row>
    <row r="187" spans="1:12">
      <c r="A187" s="181"/>
      <c r="B187" s="192" t="s">
        <v>11</v>
      </c>
      <c r="C187" s="195" t="s">
        <v>611</v>
      </c>
      <c r="D187" s="192" t="s">
        <v>618</v>
      </c>
      <c r="E187" s="195" t="s">
        <v>612</v>
      </c>
      <c r="F187" s="192" t="s">
        <v>619</v>
      </c>
      <c r="G187" s="192" t="s">
        <v>620</v>
      </c>
      <c r="H187" s="195">
        <v>3</v>
      </c>
      <c r="I187" s="192" t="b">
        <v>1</v>
      </c>
      <c r="J187" s="195">
        <v>2</v>
      </c>
      <c r="K187" s="195"/>
      <c r="L187" s="195"/>
    </row>
    <row r="188" spans="1:12">
      <c r="A188" s="181"/>
      <c r="B188" s="192" t="s">
        <v>11</v>
      </c>
      <c r="C188" s="195" t="s">
        <v>611</v>
      </c>
      <c r="D188" s="192" t="s">
        <v>621</v>
      </c>
      <c r="E188" s="195" t="s">
        <v>612</v>
      </c>
      <c r="F188" s="192" t="s">
        <v>622</v>
      </c>
      <c r="G188" s="192" t="s">
        <v>623</v>
      </c>
      <c r="H188" s="195">
        <v>3</v>
      </c>
      <c r="I188" s="192" t="b">
        <v>1</v>
      </c>
      <c r="J188" s="195">
        <v>3</v>
      </c>
      <c r="K188" s="195"/>
      <c r="L188" s="195"/>
    </row>
    <row r="189" spans="1:12">
      <c r="A189" s="181"/>
      <c r="B189" s="189" t="s">
        <v>11</v>
      </c>
      <c r="C189" s="191" t="s">
        <v>624</v>
      </c>
      <c r="D189" s="191" t="s">
        <v>625</v>
      </c>
      <c r="E189" s="191" t="s">
        <v>13</v>
      </c>
      <c r="F189" s="191" t="s">
        <v>626</v>
      </c>
      <c r="G189" s="191" t="s">
        <v>627</v>
      </c>
      <c r="H189" s="191">
        <v>2</v>
      </c>
      <c r="I189" s="191"/>
      <c r="J189" s="191">
        <v>18</v>
      </c>
      <c r="K189" s="191"/>
      <c r="L189" s="191"/>
    </row>
    <row r="190" spans="1:12">
      <c r="A190" s="181"/>
      <c r="B190" s="192" t="s">
        <v>11</v>
      </c>
      <c r="C190" s="192" t="s">
        <v>11</v>
      </c>
      <c r="D190" s="195" t="s">
        <v>628</v>
      </c>
      <c r="E190" s="195" t="s">
        <v>625</v>
      </c>
      <c r="F190" s="197" t="s">
        <v>629</v>
      </c>
      <c r="G190" s="195" t="s">
        <v>630</v>
      </c>
      <c r="H190" s="197">
        <v>3</v>
      </c>
      <c r="I190" s="192" t="b">
        <v>1</v>
      </c>
      <c r="J190" s="195">
        <v>1</v>
      </c>
      <c r="K190" s="202"/>
      <c r="L190" s="195"/>
    </row>
    <row r="191" spans="1:12">
      <c r="A191" s="181"/>
      <c r="B191" s="192" t="s">
        <v>11</v>
      </c>
      <c r="C191" s="195" t="s">
        <v>624</v>
      </c>
      <c r="D191" s="195" t="s">
        <v>631</v>
      </c>
      <c r="E191" s="195" t="s">
        <v>625</v>
      </c>
      <c r="F191" s="197" t="s">
        <v>632</v>
      </c>
      <c r="G191" s="195" t="s">
        <v>633</v>
      </c>
      <c r="H191" s="197">
        <v>3</v>
      </c>
      <c r="I191" s="192" t="b">
        <v>1</v>
      </c>
      <c r="J191" s="195">
        <v>2</v>
      </c>
      <c r="K191" s="202"/>
      <c r="L191" s="195"/>
    </row>
    <row r="192" spans="1:12">
      <c r="A192" s="181"/>
      <c r="B192" s="192" t="s">
        <v>11</v>
      </c>
      <c r="C192" s="195" t="s">
        <v>624</v>
      </c>
      <c r="D192" s="195" t="s">
        <v>634</v>
      </c>
      <c r="E192" s="195" t="s">
        <v>625</v>
      </c>
      <c r="F192" s="197" t="s">
        <v>635</v>
      </c>
      <c r="G192" s="195" t="s">
        <v>636</v>
      </c>
      <c r="H192" s="197">
        <v>3</v>
      </c>
      <c r="I192" s="192" t="b">
        <v>1</v>
      </c>
      <c r="J192" s="195">
        <v>3</v>
      </c>
      <c r="K192" s="195"/>
      <c r="L192" s="195"/>
    </row>
    <row r="193" spans="1:12">
      <c r="A193" s="181"/>
      <c r="B193" s="189" t="s">
        <v>11</v>
      </c>
      <c r="C193" s="191" t="s">
        <v>637</v>
      </c>
      <c r="D193" s="189" t="s">
        <v>638</v>
      </c>
      <c r="E193" s="191" t="s">
        <v>13</v>
      </c>
      <c r="F193" s="189" t="s">
        <v>639</v>
      </c>
      <c r="G193" s="189" t="s">
        <v>640</v>
      </c>
      <c r="H193" s="191">
        <v>2</v>
      </c>
      <c r="I193" s="191"/>
      <c r="J193" s="191">
        <v>19</v>
      </c>
      <c r="K193" s="191"/>
      <c r="L193" s="191"/>
    </row>
    <row r="194" spans="1:12">
      <c r="A194" s="181"/>
      <c r="B194" s="192" t="s">
        <v>11</v>
      </c>
      <c r="C194" s="195" t="s">
        <v>637</v>
      </c>
      <c r="D194" s="195" t="s">
        <v>641</v>
      </c>
      <c r="E194" s="192" t="s">
        <v>638</v>
      </c>
      <c r="F194" s="195" t="s">
        <v>642</v>
      </c>
      <c r="G194" s="195" t="s">
        <v>643</v>
      </c>
      <c r="H194" s="197">
        <v>3</v>
      </c>
      <c r="I194" s="192" t="b">
        <v>1</v>
      </c>
      <c r="J194" s="195">
        <v>1</v>
      </c>
      <c r="K194" s="195"/>
      <c r="L194" s="195"/>
    </row>
    <row r="195" spans="1:12">
      <c r="A195" s="181"/>
      <c r="B195" s="192" t="s">
        <v>11</v>
      </c>
      <c r="C195" s="195" t="s">
        <v>637</v>
      </c>
      <c r="D195" s="195" t="s">
        <v>644</v>
      </c>
      <c r="E195" s="192" t="s">
        <v>638</v>
      </c>
      <c r="F195" s="195" t="s">
        <v>645</v>
      </c>
      <c r="G195" s="195" t="s">
        <v>646</v>
      </c>
      <c r="H195" s="197">
        <v>3</v>
      </c>
      <c r="I195" s="192" t="b">
        <v>1</v>
      </c>
      <c r="J195" s="195">
        <v>2</v>
      </c>
      <c r="K195" s="195"/>
      <c r="L195" s="195"/>
    </row>
    <row r="196" spans="1:12">
      <c r="A196" s="181"/>
      <c r="B196" s="192" t="s">
        <v>11</v>
      </c>
      <c r="C196" s="195" t="s">
        <v>637</v>
      </c>
      <c r="D196" s="195" t="s">
        <v>647</v>
      </c>
      <c r="E196" s="192" t="s">
        <v>638</v>
      </c>
      <c r="F196" s="195" t="s">
        <v>648</v>
      </c>
      <c r="G196" s="195" t="s">
        <v>649</v>
      </c>
      <c r="H196" s="197">
        <v>3</v>
      </c>
      <c r="I196" s="192" t="b">
        <v>1</v>
      </c>
      <c r="J196" s="195">
        <v>3</v>
      </c>
      <c r="K196" s="195"/>
      <c r="L196" s="195"/>
    </row>
    <row r="197" spans="1:12">
      <c r="A197" s="181"/>
      <c r="B197" s="189" t="s">
        <v>11</v>
      </c>
      <c r="C197" s="191" t="s">
        <v>650</v>
      </c>
      <c r="D197" s="189" t="s">
        <v>651</v>
      </c>
      <c r="E197" s="191" t="s">
        <v>13</v>
      </c>
      <c r="F197" s="189" t="s">
        <v>652</v>
      </c>
      <c r="G197" s="191" t="s">
        <v>653</v>
      </c>
      <c r="H197" s="191">
        <v>2</v>
      </c>
      <c r="I197" s="191"/>
      <c r="J197" s="191">
        <v>20</v>
      </c>
      <c r="K197" s="191"/>
      <c r="L197" s="191"/>
    </row>
    <row r="198" spans="1:12">
      <c r="A198" s="181"/>
      <c r="B198" s="192" t="s">
        <v>11</v>
      </c>
      <c r="C198" s="195" t="s">
        <v>650</v>
      </c>
      <c r="D198" s="192" t="s">
        <v>654</v>
      </c>
      <c r="E198" s="195" t="s">
        <v>651</v>
      </c>
      <c r="F198" s="197" t="s">
        <v>655</v>
      </c>
      <c r="G198" s="192" t="s">
        <v>656</v>
      </c>
      <c r="H198" s="197">
        <v>3</v>
      </c>
      <c r="I198" s="192" t="b">
        <v>1</v>
      </c>
      <c r="J198" s="195">
        <v>1</v>
      </c>
      <c r="K198" s="195"/>
      <c r="L198" s="195"/>
    </row>
    <row r="199" spans="1:12">
      <c r="A199" s="181"/>
      <c r="B199" s="192" t="s">
        <v>11</v>
      </c>
      <c r="C199" s="195" t="s">
        <v>650</v>
      </c>
      <c r="D199" s="192" t="s">
        <v>657</v>
      </c>
      <c r="E199" s="195" t="s">
        <v>651</v>
      </c>
      <c r="F199" s="197" t="s">
        <v>658</v>
      </c>
      <c r="G199" s="195" t="s">
        <v>649</v>
      </c>
      <c r="H199" s="197">
        <v>3</v>
      </c>
      <c r="I199" s="192" t="b">
        <v>1</v>
      </c>
      <c r="J199" s="195">
        <v>2</v>
      </c>
      <c r="K199" s="195"/>
      <c r="L199" s="195"/>
    </row>
    <row r="200" spans="1:12">
      <c r="A200" s="181"/>
      <c r="B200" s="189" t="s">
        <v>11</v>
      </c>
      <c r="C200" s="191" t="s">
        <v>659</v>
      </c>
      <c r="D200" s="189" t="s">
        <v>660</v>
      </c>
      <c r="E200" s="191" t="s">
        <v>13</v>
      </c>
      <c r="F200" s="189" t="s">
        <v>661</v>
      </c>
      <c r="G200" s="191" t="s">
        <v>662</v>
      </c>
      <c r="H200" s="191">
        <v>2</v>
      </c>
      <c r="I200" s="191"/>
      <c r="J200" s="191">
        <v>21</v>
      </c>
      <c r="K200" s="191"/>
      <c r="L200" s="191"/>
    </row>
    <row r="201" spans="1:12">
      <c r="A201" s="181"/>
      <c r="B201" s="192" t="s">
        <v>11</v>
      </c>
      <c r="C201" s="195" t="s">
        <v>659</v>
      </c>
      <c r="D201" s="192" t="s">
        <v>663</v>
      </c>
      <c r="E201" s="195" t="s">
        <v>660</v>
      </c>
      <c r="F201" s="197" t="s">
        <v>664</v>
      </c>
      <c r="G201" s="192" t="s">
        <v>665</v>
      </c>
      <c r="H201" s="197">
        <v>3</v>
      </c>
      <c r="I201" s="192" t="b">
        <v>1</v>
      </c>
      <c r="J201" s="195">
        <v>1</v>
      </c>
      <c r="K201" s="195"/>
      <c r="L201" s="195"/>
    </row>
    <row r="202" spans="1:12">
      <c r="A202" s="181"/>
      <c r="B202" s="192" t="s">
        <v>206</v>
      </c>
      <c r="C202" s="195" t="s">
        <v>666</v>
      </c>
      <c r="D202" s="192" t="s">
        <v>667</v>
      </c>
      <c r="E202" s="195" t="s">
        <v>660</v>
      </c>
      <c r="F202" s="197" t="s">
        <v>668</v>
      </c>
      <c r="G202" s="197" t="s">
        <v>669</v>
      </c>
      <c r="H202" s="197">
        <v>3</v>
      </c>
      <c r="I202" s="192" t="b">
        <v>1</v>
      </c>
      <c r="J202" s="195">
        <v>2</v>
      </c>
      <c r="K202" s="195"/>
      <c r="L202" s="195"/>
    </row>
    <row r="203" spans="1:12">
      <c r="A203" s="181"/>
      <c r="B203" s="192" t="s">
        <v>11</v>
      </c>
      <c r="C203" s="195" t="s">
        <v>659</v>
      </c>
      <c r="D203" s="192" t="s">
        <v>670</v>
      </c>
      <c r="E203" s="195" t="s">
        <v>660</v>
      </c>
      <c r="F203" s="197" t="s">
        <v>671</v>
      </c>
      <c r="G203" s="195" t="s">
        <v>672</v>
      </c>
      <c r="H203" s="197">
        <v>3</v>
      </c>
      <c r="I203" s="192" t="b">
        <v>1</v>
      </c>
      <c r="J203" s="195">
        <v>3</v>
      </c>
      <c r="K203" s="195"/>
      <c r="L203" s="195"/>
    </row>
    <row r="204" spans="1:12">
      <c r="A204" s="181"/>
      <c r="B204" s="189" t="s">
        <v>11</v>
      </c>
      <c r="C204" s="191" t="s">
        <v>673</v>
      </c>
      <c r="D204" s="189" t="s">
        <v>674</v>
      </c>
      <c r="E204" s="191" t="s">
        <v>13</v>
      </c>
      <c r="F204" s="189" t="s">
        <v>675</v>
      </c>
      <c r="G204" s="189" t="s">
        <v>676</v>
      </c>
      <c r="H204" s="191">
        <v>2</v>
      </c>
      <c r="I204" s="191"/>
      <c r="J204" s="191">
        <v>22</v>
      </c>
      <c r="K204" s="191"/>
      <c r="L204" s="191"/>
    </row>
    <row r="205" spans="1:12">
      <c r="A205" s="181"/>
      <c r="B205" s="192" t="s">
        <v>11</v>
      </c>
      <c r="C205" s="195" t="s">
        <v>673</v>
      </c>
      <c r="D205" s="192" t="s">
        <v>677</v>
      </c>
      <c r="E205" s="195" t="s">
        <v>674</v>
      </c>
      <c r="F205" s="197" t="s">
        <v>678</v>
      </c>
      <c r="G205" s="195" t="s">
        <v>679</v>
      </c>
      <c r="H205" s="197">
        <v>3</v>
      </c>
      <c r="I205" s="192" t="b">
        <v>1</v>
      </c>
      <c r="J205" s="195">
        <v>1</v>
      </c>
      <c r="K205" s="195"/>
      <c r="L205" s="195"/>
    </row>
    <row r="206" spans="1:12">
      <c r="A206" s="181"/>
      <c r="B206" s="192" t="s">
        <v>11</v>
      </c>
      <c r="C206" s="195" t="s">
        <v>673</v>
      </c>
      <c r="D206" s="192" t="s">
        <v>680</v>
      </c>
      <c r="E206" s="195" t="s">
        <v>674</v>
      </c>
      <c r="F206" s="197" t="s">
        <v>681</v>
      </c>
      <c r="G206" s="195" t="s">
        <v>682</v>
      </c>
      <c r="H206" s="197">
        <v>3</v>
      </c>
      <c r="I206" s="192" t="b">
        <v>1</v>
      </c>
      <c r="J206" s="195">
        <v>2</v>
      </c>
      <c r="K206" s="195"/>
      <c r="L206" s="195"/>
    </row>
    <row r="207" spans="1:12">
      <c r="A207" s="181"/>
      <c r="B207" s="192" t="s">
        <v>11</v>
      </c>
      <c r="C207" s="195" t="s">
        <v>673</v>
      </c>
      <c r="D207" s="192" t="s">
        <v>683</v>
      </c>
      <c r="E207" s="195" t="s">
        <v>674</v>
      </c>
      <c r="F207" s="197" t="s">
        <v>684</v>
      </c>
      <c r="G207" s="195" t="s">
        <v>685</v>
      </c>
      <c r="H207" s="197">
        <v>3</v>
      </c>
      <c r="I207" s="192" t="b">
        <v>1</v>
      </c>
      <c r="J207" s="195">
        <v>3</v>
      </c>
      <c r="K207" s="195"/>
      <c r="L207" s="195"/>
    </row>
    <row r="208" spans="1:12">
      <c r="A208" s="181"/>
      <c r="B208" s="189" t="s">
        <v>11</v>
      </c>
      <c r="C208" s="191" t="s">
        <v>686</v>
      </c>
      <c r="D208" s="189" t="s">
        <v>687</v>
      </c>
      <c r="E208" s="191" t="s">
        <v>13</v>
      </c>
      <c r="F208" s="199" t="s">
        <v>688</v>
      </c>
      <c r="G208" s="189" t="s">
        <v>689</v>
      </c>
      <c r="H208" s="191">
        <v>2</v>
      </c>
      <c r="I208" s="191"/>
      <c r="J208" s="191">
        <v>23</v>
      </c>
      <c r="K208" s="191"/>
      <c r="L208" s="191"/>
    </row>
    <row r="209" spans="1:12">
      <c r="B209" s="192" t="s">
        <v>11</v>
      </c>
      <c r="C209" s="195" t="s">
        <v>686</v>
      </c>
      <c r="D209" s="195" t="s">
        <v>690</v>
      </c>
      <c r="E209" s="195" t="s">
        <v>687</v>
      </c>
      <c r="F209" s="197" t="s">
        <v>691</v>
      </c>
      <c r="G209" s="197" t="s">
        <v>692</v>
      </c>
      <c r="H209" s="197">
        <v>3</v>
      </c>
      <c r="I209" s="192" t="b">
        <v>1</v>
      </c>
      <c r="J209" s="195">
        <v>1</v>
      </c>
      <c r="K209" s="195"/>
      <c r="L209" s="195"/>
    </row>
    <row r="210" spans="1:12">
      <c r="B210" s="192" t="s">
        <v>11</v>
      </c>
      <c r="C210" s="195" t="s">
        <v>686</v>
      </c>
      <c r="D210" s="195" t="s">
        <v>693</v>
      </c>
      <c r="E210" s="195" t="s">
        <v>687</v>
      </c>
      <c r="F210" s="197" t="s">
        <v>694</v>
      </c>
      <c r="G210" s="197" t="s">
        <v>695</v>
      </c>
      <c r="H210" s="197">
        <v>3</v>
      </c>
      <c r="I210" s="192" t="b">
        <v>1</v>
      </c>
      <c r="J210" s="195">
        <v>2</v>
      </c>
      <c r="K210" s="195"/>
      <c r="L210" s="195"/>
    </row>
    <row r="211" spans="1:12">
      <c r="B211" s="192" t="s">
        <v>11</v>
      </c>
      <c r="C211" s="195" t="s">
        <v>686</v>
      </c>
      <c r="D211" s="195" t="s">
        <v>696</v>
      </c>
      <c r="E211" s="195" t="s">
        <v>687</v>
      </c>
      <c r="F211" s="197" t="s">
        <v>697</v>
      </c>
      <c r="G211" s="197" t="s">
        <v>698</v>
      </c>
      <c r="H211" s="197">
        <v>3</v>
      </c>
      <c r="I211" s="192" t="b">
        <v>1</v>
      </c>
      <c r="J211" s="195">
        <v>3</v>
      </c>
      <c r="K211" s="195"/>
      <c r="L211" s="195"/>
    </row>
    <row r="212" spans="1:12">
      <c r="B212" s="192" t="s">
        <v>11</v>
      </c>
      <c r="C212" s="195" t="s">
        <v>686</v>
      </c>
      <c r="D212" s="195" t="s">
        <v>699</v>
      </c>
      <c r="E212" s="195" t="s">
        <v>687</v>
      </c>
      <c r="F212" s="197" t="s">
        <v>700</v>
      </c>
      <c r="G212" s="197" t="s">
        <v>701</v>
      </c>
      <c r="H212" s="197">
        <v>3</v>
      </c>
      <c r="I212" s="192" t="b">
        <v>1</v>
      </c>
      <c r="J212" s="195">
        <v>4</v>
      </c>
      <c r="K212" s="195"/>
      <c r="L212" s="195"/>
    </row>
    <row r="213" spans="1:12">
      <c r="B213" s="192" t="s">
        <v>11</v>
      </c>
      <c r="C213" s="195" t="s">
        <v>686</v>
      </c>
      <c r="D213" s="195" t="s">
        <v>702</v>
      </c>
      <c r="E213" s="195" t="s">
        <v>687</v>
      </c>
      <c r="F213" s="197" t="s">
        <v>703</v>
      </c>
      <c r="G213" s="197" t="s">
        <v>704</v>
      </c>
      <c r="H213" s="197">
        <v>3</v>
      </c>
      <c r="I213" s="192" t="b">
        <v>1</v>
      </c>
      <c r="J213" s="195">
        <v>5</v>
      </c>
      <c r="K213" s="195"/>
      <c r="L213" s="195"/>
    </row>
    <row r="214" spans="1:12">
      <c r="B214" s="192" t="s">
        <v>11</v>
      </c>
      <c r="C214" s="195" t="s">
        <v>686</v>
      </c>
      <c r="D214" s="195" t="s">
        <v>705</v>
      </c>
      <c r="E214" s="195" t="s">
        <v>687</v>
      </c>
      <c r="F214" s="197" t="s">
        <v>706</v>
      </c>
      <c r="G214" s="197" t="s">
        <v>707</v>
      </c>
      <c r="H214" s="197">
        <v>3</v>
      </c>
      <c r="I214" s="192" t="b">
        <v>1</v>
      </c>
      <c r="J214" s="195">
        <v>6</v>
      </c>
      <c r="K214" s="195"/>
      <c r="L214" s="195"/>
    </row>
    <row r="215" spans="1:12">
      <c r="B215" s="192" t="s">
        <v>11</v>
      </c>
      <c r="C215" s="195" t="s">
        <v>686</v>
      </c>
      <c r="D215" s="195" t="s">
        <v>708</v>
      </c>
      <c r="E215" s="195" t="s">
        <v>687</v>
      </c>
      <c r="F215" s="197" t="s">
        <v>709</v>
      </c>
      <c r="G215" s="195" t="s">
        <v>710</v>
      </c>
      <c r="H215" s="197">
        <v>3</v>
      </c>
      <c r="I215" s="192" t="b">
        <v>1</v>
      </c>
      <c r="J215" s="195">
        <v>7</v>
      </c>
      <c r="K215" s="195"/>
      <c r="L215" s="195"/>
    </row>
    <row r="216" spans="1:12">
      <c r="A216" s="10"/>
      <c r="B216" s="189" t="s">
        <v>427</v>
      </c>
      <c r="C216" s="189" t="s">
        <v>711</v>
      </c>
      <c r="D216" s="189" t="s">
        <v>712</v>
      </c>
      <c r="E216" s="189" t="s">
        <v>713</v>
      </c>
      <c r="F216" s="189" t="s">
        <v>714</v>
      </c>
      <c r="G216" s="189" t="s">
        <v>715</v>
      </c>
      <c r="H216" s="189">
        <v>2</v>
      </c>
      <c r="I216" s="189"/>
      <c r="J216" s="189">
        <v>24</v>
      </c>
      <c r="K216" s="191"/>
      <c r="L216" s="191"/>
    </row>
    <row r="217" spans="1:12">
      <c r="A217" s="10"/>
      <c r="B217" s="195" t="s">
        <v>427</v>
      </c>
      <c r="C217" s="195" t="s">
        <v>711</v>
      </c>
      <c r="D217" s="246" t="s">
        <v>716</v>
      </c>
      <c r="E217" s="195" t="s">
        <v>712</v>
      </c>
      <c r="F217" s="195" t="s">
        <v>717</v>
      </c>
      <c r="G217" s="195" t="s">
        <v>718</v>
      </c>
      <c r="H217" s="195">
        <v>3</v>
      </c>
      <c r="I217" s="192" t="b">
        <v>1</v>
      </c>
      <c r="J217" s="195">
        <v>1</v>
      </c>
      <c r="K217" s="195"/>
      <c r="L217" s="195"/>
    </row>
    <row r="218" spans="1:12">
      <c r="A218" s="10"/>
      <c r="B218" s="192" t="s">
        <v>11</v>
      </c>
      <c r="C218" s="195" t="s">
        <v>711</v>
      </c>
      <c r="D218" s="195" t="s">
        <v>719</v>
      </c>
      <c r="E218" s="195" t="s">
        <v>712</v>
      </c>
      <c r="F218" s="197" t="s">
        <v>720</v>
      </c>
      <c r="G218" s="195" t="s">
        <v>721</v>
      </c>
      <c r="H218" s="197">
        <v>3</v>
      </c>
      <c r="I218" s="192" t="b">
        <v>1</v>
      </c>
      <c r="J218" s="195">
        <v>2</v>
      </c>
      <c r="K218" s="195"/>
      <c r="L218" s="195"/>
    </row>
    <row r="219" spans="1:12">
      <c r="A219" s="10"/>
      <c r="B219" s="189" t="s">
        <v>427</v>
      </c>
      <c r="C219" s="189" t="s">
        <v>722</v>
      </c>
      <c r="D219" s="189" t="s">
        <v>723</v>
      </c>
      <c r="E219" s="189" t="s">
        <v>713</v>
      </c>
      <c r="F219" s="189" t="s">
        <v>724</v>
      </c>
      <c r="G219" s="189" t="s">
        <v>725</v>
      </c>
      <c r="H219" s="189">
        <v>2</v>
      </c>
      <c r="I219" s="189"/>
      <c r="J219" s="189">
        <v>25</v>
      </c>
      <c r="K219" s="191"/>
      <c r="L219" s="191"/>
    </row>
    <row r="220" spans="1:12">
      <c r="A220" s="10"/>
      <c r="B220" s="195" t="s">
        <v>427</v>
      </c>
      <c r="C220" s="195" t="s">
        <v>722</v>
      </c>
      <c r="D220" s="246" t="s">
        <v>726</v>
      </c>
      <c r="E220" s="195" t="str">
        <f>D219</f>
        <v>M_MEDI</v>
      </c>
      <c r="F220" s="195" t="s">
        <v>727</v>
      </c>
      <c r="G220" s="195" t="s">
        <v>728</v>
      </c>
      <c r="H220" s="195">
        <v>3</v>
      </c>
      <c r="I220" s="192" t="b">
        <v>1</v>
      </c>
      <c r="J220" s="195">
        <v>1</v>
      </c>
      <c r="K220" s="195"/>
      <c r="L220" s="195"/>
    </row>
    <row r="221" spans="1:12">
      <c r="A221" s="10"/>
      <c r="B221" s="192" t="s">
        <v>11</v>
      </c>
      <c r="C221" s="195" t="s">
        <v>722</v>
      </c>
      <c r="D221" s="195" t="s">
        <v>729</v>
      </c>
      <c r="E221" s="195" t="str">
        <f>D219</f>
        <v>M_MEDI</v>
      </c>
      <c r="F221" s="197" t="s">
        <v>730</v>
      </c>
      <c r="G221" s="195" t="s">
        <v>731</v>
      </c>
      <c r="H221" s="197">
        <v>3</v>
      </c>
      <c r="I221" s="192" t="b">
        <v>1</v>
      </c>
      <c r="J221" s="195">
        <v>2</v>
      </c>
      <c r="K221" s="195"/>
      <c r="L221" s="195"/>
    </row>
    <row r="222" spans="1:12">
      <c r="A222" s="10"/>
      <c r="B222" s="189" t="s">
        <v>427</v>
      </c>
      <c r="C222" s="189" t="s">
        <v>732</v>
      </c>
      <c r="D222" s="189" t="s">
        <v>733</v>
      </c>
      <c r="E222" s="189" t="s">
        <v>713</v>
      </c>
      <c r="F222" s="189" t="s">
        <v>734</v>
      </c>
      <c r="G222" s="189" t="s">
        <v>735</v>
      </c>
      <c r="H222" s="189">
        <v>2</v>
      </c>
      <c r="I222" s="189"/>
      <c r="J222" s="189">
        <v>26</v>
      </c>
      <c r="K222" s="191"/>
      <c r="L222" s="191"/>
    </row>
    <row r="223" spans="1:12">
      <c r="A223" s="10"/>
      <c r="B223" s="195" t="s">
        <v>427</v>
      </c>
      <c r="C223" s="195" t="s">
        <v>732</v>
      </c>
      <c r="D223" s="246" t="s">
        <v>736</v>
      </c>
      <c r="E223" s="195" t="str">
        <f>D222</f>
        <v>M_BRX</v>
      </c>
      <c r="F223" s="195" t="s">
        <v>737</v>
      </c>
      <c r="G223" s="195" t="s">
        <v>738</v>
      </c>
      <c r="H223" s="195">
        <v>3</v>
      </c>
      <c r="I223" s="192" t="b">
        <v>1</v>
      </c>
      <c r="J223" s="195">
        <v>1</v>
      </c>
      <c r="K223" s="195"/>
      <c r="L223" s="195"/>
    </row>
    <row r="224" spans="1:12">
      <c r="A224" s="131">
        <v>260416</v>
      </c>
      <c r="B224" s="195" t="s">
        <v>427</v>
      </c>
      <c r="C224" s="195" t="s">
        <v>732</v>
      </c>
      <c r="D224" s="246" t="s">
        <v>739</v>
      </c>
      <c r="E224" s="195" t="str">
        <f>D222</f>
        <v>M_BRX</v>
      </c>
      <c r="F224" s="195" t="s">
        <v>740</v>
      </c>
      <c r="G224" s="195" t="s">
        <v>741</v>
      </c>
      <c r="H224" s="195">
        <v>3</v>
      </c>
      <c r="I224" s="192" t="b">
        <v>1</v>
      </c>
      <c r="J224" s="195">
        <v>2</v>
      </c>
      <c r="K224" s="195"/>
      <c r="L224" s="195"/>
    </row>
    <row r="225" spans="1:12">
      <c r="A225" s="131">
        <v>260416</v>
      </c>
      <c r="B225" s="181" t="s">
        <v>427</v>
      </c>
      <c r="C225" s="181" t="s">
        <v>732</v>
      </c>
      <c r="D225" s="181" t="s">
        <v>742</v>
      </c>
      <c r="E225" s="181" t="str">
        <f>D224</f>
        <v>M_BRX02</v>
      </c>
      <c r="F225" s="181" t="s">
        <v>743</v>
      </c>
      <c r="G225" s="181" t="s">
        <v>743</v>
      </c>
      <c r="H225" s="181">
        <v>4</v>
      </c>
      <c r="I225" s="196" t="b">
        <v>1</v>
      </c>
      <c r="J225" s="181">
        <v>1</v>
      </c>
      <c r="K225" s="181"/>
      <c r="L225" s="181"/>
    </row>
    <row r="226" spans="1:12">
      <c r="A226" s="10"/>
      <c r="B226" s="192" t="s">
        <v>11</v>
      </c>
      <c r="C226" s="195" t="s">
        <v>732</v>
      </c>
      <c r="D226" s="195" t="s">
        <v>744</v>
      </c>
      <c r="E226" s="195" t="str">
        <f>D222</f>
        <v>M_BRX</v>
      </c>
      <c r="F226" s="197" t="s">
        <v>745</v>
      </c>
      <c r="G226" s="195" t="s">
        <v>746</v>
      </c>
      <c r="H226" s="197">
        <v>3</v>
      </c>
      <c r="I226" s="192" t="b">
        <v>1</v>
      </c>
      <c r="J226" s="195">
        <v>99</v>
      </c>
      <c r="K226" s="195"/>
      <c r="L226" s="195"/>
    </row>
    <row r="227" spans="1:12">
      <c r="A227" s="10"/>
      <c r="B227" s="189" t="s">
        <v>427</v>
      </c>
      <c r="C227" s="189" t="s">
        <v>747</v>
      </c>
      <c r="D227" s="189" t="s">
        <v>748</v>
      </c>
      <c r="E227" s="189" t="s">
        <v>713</v>
      </c>
      <c r="F227" s="189" t="s">
        <v>749</v>
      </c>
      <c r="G227" s="189" t="s">
        <v>750</v>
      </c>
      <c r="H227" s="189">
        <v>2</v>
      </c>
      <c r="I227" s="189"/>
      <c r="J227" s="189">
        <v>27</v>
      </c>
      <c r="K227" s="191"/>
      <c r="L227" s="191"/>
    </row>
    <row r="228" spans="1:12">
      <c r="A228" s="10"/>
      <c r="B228" s="192" t="s">
        <v>11</v>
      </c>
      <c r="C228" s="195" t="s">
        <v>747</v>
      </c>
      <c r="D228" s="195" t="s">
        <v>751</v>
      </c>
      <c r="E228" s="195" t="str">
        <f>D227</f>
        <v>M_PKAC</v>
      </c>
      <c r="F228" s="197" t="s">
        <v>752</v>
      </c>
      <c r="G228" s="197" t="s">
        <v>753</v>
      </c>
      <c r="H228" s="197">
        <v>3</v>
      </c>
      <c r="I228" s="192" t="b">
        <v>1</v>
      </c>
      <c r="J228" s="195">
        <v>1</v>
      </c>
      <c r="K228" s="195"/>
      <c r="L228" s="195"/>
    </row>
    <row r="229" spans="1:12">
      <c r="A229" s="10"/>
      <c r="B229" s="196" t="s">
        <v>427</v>
      </c>
      <c r="C229" s="196" t="s">
        <v>747</v>
      </c>
      <c r="D229" s="196" t="s">
        <v>754</v>
      </c>
      <c r="E229" s="181" t="str">
        <f>D228</f>
        <v>M_PKA01</v>
      </c>
      <c r="F229" s="200" t="s">
        <v>755</v>
      </c>
      <c r="G229" s="200" t="s">
        <v>756</v>
      </c>
      <c r="H229" s="181">
        <v>4</v>
      </c>
      <c r="I229" s="196" t="b">
        <v>1</v>
      </c>
      <c r="J229" s="181">
        <v>1</v>
      </c>
      <c r="K229" s="181"/>
      <c r="L229" s="181"/>
    </row>
    <row r="230" spans="1:12">
      <c r="A230" s="10"/>
      <c r="B230" s="196" t="s">
        <v>427</v>
      </c>
      <c r="C230" s="196" t="s">
        <v>747</v>
      </c>
      <c r="D230" s="196" t="s">
        <v>757</v>
      </c>
      <c r="E230" s="181" t="str">
        <f>D228</f>
        <v>M_PKA01</v>
      </c>
      <c r="F230" s="200" t="s">
        <v>758</v>
      </c>
      <c r="G230" s="200" t="s">
        <v>759</v>
      </c>
      <c r="H230" s="181">
        <v>4</v>
      </c>
      <c r="I230" s="196" t="b">
        <v>1</v>
      </c>
      <c r="J230" s="181">
        <v>2</v>
      </c>
      <c r="K230" s="181"/>
      <c r="L230" s="181"/>
    </row>
    <row r="231" spans="1:12">
      <c r="A231" s="10"/>
      <c r="B231" s="196" t="s">
        <v>427</v>
      </c>
      <c r="C231" s="196" t="s">
        <v>747</v>
      </c>
      <c r="D231" s="196" t="s">
        <v>760</v>
      </c>
      <c r="E231" s="181" t="str">
        <f>D228</f>
        <v>M_PKA01</v>
      </c>
      <c r="F231" s="200" t="s">
        <v>761</v>
      </c>
      <c r="G231" s="200" t="s">
        <v>762</v>
      </c>
      <c r="H231" s="181">
        <v>4</v>
      </c>
      <c r="I231" s="196" t="b">
        <v>1</v>
      </c>
      <c r="J231" s="181">
        <v>3</v>
      </c>
      <c r="K231" s="181"/>
      <c r="L231" s="181"/>
    </row>
    <row r="232" spans="1:12">
      <c r="A232" s="131">
        <v>260416</v>
      </c>
      <c r="B232" s="189" t="s">
        <v>427</v>
      </c>
      <c r="C232" s="189" t="s">
        <v>763</v>
      </c>
      <c r="D232" s="189" t="s">
        <v>764</v>
      </c>
      <c r="E232" s="189" t="s">
        <v>713</v>
      </c>
      <c r="F232" s="189" t="s">
        <v>765</v>
      </c>
      <c r="G232" s="189" t="s">
        <v>766</v>
      </c>
      <c r="H232" s="189">
        <v>2</v>
      </c>
      <c r="I232" s="189"/>
      <c r="J232" s="189">
        <v>28</v>
      </c>
      <c r="K232" s="191"/>
      <c r="L232" s="191"/>
    </row>
    <row r="233" spans="1:12">
      <c r="A233" s="131">
        <v>260416</v>
      </c>
      <c r="B233" s="192" t="s">
        <v>11</v>
      </c>
      <c r="C233" s="195" t="s">
        <v>763</v>
      </c>
      <c r="D233" s="195" t="s">
        <v>767</v>
      </c>
      <c r="E233" s="195" t="str">
        <f>D232</f>
        <v>M_BLR</v>
      </c>
      <c r="F233" s="197" t="s">
        <v>768</v>
      </c>
      <c r="G233" s="197" t="s">
        <v>769</v>
      </c>
      <c r="H233" s="197">
        <v>3</v>
      </c>
      <c r="I233" s="192" t="b">
        <v>1</v>
      </c>
      <c r="J233" s="195">
        <v>1</v>
      </c>
      <c r="K233" s="195"/>
      <c r="L233" s="195"/>
    </row>
    <row r="234" spans="1:12">
      <c r="A234" s="131">
        <v>260416</v>
      </c>
      <c r="B234" s="196" t="s">
        <v>427</v>
      </c>
      <c r="C234" s="196" t="s">
        <v>763</v>
      </c>
      <c r="D234" s="196" t="s">
        <v>770</v>
      </c>
      <c r="E234" s="181" t="str">
        <f>D233</f>
        <v>M_BLR01</v>
      </c>
      <c r="F234" s="200" t="s">
        <v>771</v>
      </c>
      <c r="G234" s="200" t="s">
        <v>772</v>
      </c>
      <c r="H234" s="181">
        <v>4</v>
      </c>
      <c r="I234" s="196" t="b">
        <v>1</v>
      </c>
      <c r="J234" s="181">
        <v>1</v>
      </c>
      <c r="K234" s="181"/>
      <c r="L234" s="181"/>
    </row>
    <row r="235" spans="1:12">
      <c r="A235" s="131">
        <v>260416</v>
      </c>
      <c r="B235" s="196" t="s">
        <v>427</v>
      </c>
      <c r="C235" s="196" t="s">
        <v>763</v>
      </c>
      <c r="D235" s="196" t="s">
        <v>773</v>
      </c>
      <c r="E235" s="181" t="str">
        <f>D233</f>
        <v>M_BLR01</v>
      </c>
      <c r="F235" s="200"/>
      <c r="G235" s="200"/>
      <c r="H235" s="181">
        <v>4</v>
      </c>
      <c r="I235" s="196" t="b">
        <v>1</v>
      </c>
      <c r="J235" s="181">
        <v>2</v>
      </c>
      <c r="K235" s="181"/>
      <c r="L235" s="181"/>
    </row>
    <row r="236" spans="1:12">
      <c r="A236" s="131">
        <v>260416</v>
      </c>
      <c r="B236" s="318" t="s">
        <v>11</v>
      </c>
      <c r="C236" s="319" t="s">
        <v>763</v>
      </c>
      <c r="D236" s="319" t="s">
        <v>774</v>
      </c>
      <c r="E236" s="319" t="str">
        <f>D232</f>
        <v>M_BLR</v>
      </c>
      <c r="F236" s="320" t="s">
        <v>775</v>
      </c>
      <c r="G236" s="320" t="s">
        <v>776</v>
      </c>
      <c r="H236" s="320">
        <v>3</v>
      </c>
      <c r="I236" s="318" t="b">
        <v>1</v>
      </c>
      <c r="J236" s="319">
        <v>2</v>
      </c>
      <c r="K236" s="319"/>
      <c r="L236" s="319"/>
    </row>
    <row r="237" spans="1:12">
      <c r="A237" s="131">
        <v>260416</v>
      </c>
      <c r="B237" s="278" t="s">
        <v>427</v>
      </c>
      <c r="C237" s="278" t="s">
        <v>763</v>
      </c>
      <c r="D237" s="278" t="s">
        <v>777</v>
      </c>
      <c r="E237" s="321" t="str">
        <f>D236</f>
        <v>M_BLR02</v>
      </c>
      <c r="F237" s="322" t="s">
        <v>778</v>
      </c>
      <c r="G237" s="322" t="s">
        <v>779</v>
      </c>
      <c r="H237" s="321">
        <v>4</v>
      </c>
      <c r="I237" s="278" t="b">
        <v>1</v>
      </c>
      <c r="J237" s="321">
        <v>1</v>
      </c>
      <c r="K237" s="321"/>
      <c r="L237" s="321"/>
    </row>
    <row r="238" spans="1:12">
      <c r="A238" s="131">
        <v>260416</v>
      </c>
      <c r="B238" s="278" t="s">
        <v>427</v>
      </c>
      <c r="C238" s="278" t="s">
        <v>763</v>
      </c>
      <c r="D238" s="278" t="s">
        <v>780</v>
      </c>
      <c r="E238" s="321" t="str">
        <f>D236</f>
        <v>M_BLR02</v>
      </c>
      <c r="F238" s="322"/>
      <c r="G238" s="322"/>
      <c r="H238" s="321">
        <v>4</v>
      </c>
      <c r="I238" s="278" t="b">
        <v>1</v>
      </c>
      <c r="J238" s="321">
        <v>2</v>
      </c>
      <c r="K238" s="321"/>
      <c r="L238" s="321"/>
    </row>
    <row r="239" spans="1:12">
      <c r="A239" s="131">
        <v>260416</v>
      </c>
      <c r="B239" s="323" t="s">
        <v>427</v>
      </c>
      <c r="C239" s="323" t="s">
        <v>781</v>
      </c>
      <c r="D239" s="323" t="s">
        <v>782</v>
      </c>
      <c r="E239" s="323" t="s">
        <v>713</v>
      </c>
      <c r="F239" s="323" t="s">
        <v>783</v>
      </c>
      <c r="G239" s="323" t="s">
        <v>784</v>
      </c>
      <c r="H239" s="323">
        <v>2</v>
      </c>
      <c r="I239" s="323"/>
      <c r="J239" s="323">
        <v>29</v>
      </c>
      <c r="K239" s="324"/>
      <c r="L239" s="324"/>
    </row>
    <row r="240" spans="1:12">
      <c r="A240" s="131">
        <v>260416</v>
      </c>
      <c r="B240" s="318" t="s">
        <v>11</v>
      </c>
      <c r="C240" s="319" t="s">
        <v>781</v>
      </c>
      <c r="D240" s="319" t="s">
        <v>785</v>
      </c>
      <c r="E240" s="319" t="str">
        <f>D239</f>
        <v>M_BGF</v>
      </c>
      <c r="F240" s="320" t="s">
        <v>786</v>
      </c>
      <c r="G240" s="320" t="s">
        <v>787</v>
      </c>
      <c r="H240" s="320">
        <v>3</v>
      </c>
      <c r="I240" s="318" t="b">
        <v>1</v>
      </c>
      <c r="J240" s="319">
        <v>1</v>
      </c>
      <c r="K240" s="319"/>
      <c r="L240" s="319" t="s">
        <v>788</v>
      </c>
    </row>
    <row r="241" spans="1:12">
      <c r="A241" s="131">
        <v>260416</v>
      </c>
      <c r="B241" s="278" t="s">
        <v>427</v>
      </c>
      <c r="C241" s="278" t="s">
        <v>781</v>
      </c>
      <c r="D241" s="278" t="s">
        <v>789</v>
      </c>
      <c r="E241" s="321" t="str">
        <f>D240</f>
        <v>M_BGF01</v>
      </c>
      <c r="F241" s="322" t="s">
        <v>790</v>
      </c>
      <c r="G241" s="322" t="s">
        <v>791</v>
      </c>
      <c r="H241" s="321">
        <v>4</v>
      </c>
      <c r="I241" s="278" t="b">
        <v>1</v>
      </c>
      <c r="J241" s="321">
        <v>1</v>
      </c>
      <c r="K241" s="321"/>
      <c r="L241" s="321" t="s">
        <v>792</v>
      </c>
    </row>
    <row r="242" spans="1:12">
      <c r="A242" s="131">
        <v>260416</v>
      </c>
      <c r="B242" s="278" t="s">
        <v>427</v>
      </c>
      <c r="C242" s="278" t="s">
        <v>781</v>
      </c>
      <c r="D242" s="278" t="s">
        <v>793</v>
      </c>
      <c r="E242" s="321" t="str">
        <f>D240</f>
        <v>M_BGF01</v>
      </c>
      <c r="F242" s="322"/>
      <c r="G242" s="322"/>
      <c r="H242" s="321">
        <v>4</v>
      </c>
      <c r="I242" s="278" t="b">
        <v>1</v>
      </c>
      <c r="J242" s="321">
        <v>2</v>
      </c>
      <c r="K242" s="321"/>
      <c r="L242" s="321"/>
    </row>
    <row r="243" spans="1:12">
      <c r="A243" s="131">
        <v>260416</v>
      </c>
      <c r="B243" s="318" t="s">
        <v>11</v>
      </c>
      <c r="C243" s="319" t="s">
        <v>781</v>
      </c>
      <c r="D243" s="319" t="s">
        <v>794</v>
      </c>
      <c r="E243" s="319" t="str">
        <f>D239</f>
        <v>M_BGF</v>
      </c>
      <c r="F243" s="320" t="s">
        <v>795</v>
      </c>
      <c r="G243" s="320" t="s">
        <v>796</v>
      </c>
      <c r="H243" s="320">
        <v>3</v>
      </c>
      <c r="I243" s="318" t="b">
        <v>1</v>
      </c>
      <c r="J243" s="319">
        <v>2</v>
      </c>
      <c r="K243" s="319"/>
      <c r="L243" s="319" t="s">
        <v>797</v>
      </c>
    </row>
    <row r="244" spans="1:12">
      <c r="A244" s="131">
        <v>260416</v>
      </c>
      <c r="B244" s="278" t="s">
        <v>427</v>
      </c>
      <c r="C244" s="278" t="s">
        <v>781</v>
      </c>
      <c r="D244" s="278" t="s">
        <v>798</v>
      </c>
      <c r="E244" s="321" t="str">
        <f>D243</f>
        <v>M_BGF02</v>
      </c>
      <c r="F244" s="322" t="s">
        <v>799</v>
      </c>
      <c r="G244" s="322" t="s">
        <v>800</v>
      </c>
      <c r="H244" s="321">
        <v>4</v>
      </c>
      <c r="I244" s="278" t="b">
        <v>1</v>
      </c>
      <c r="J244" s="321">
        <v>1</v>
      </c>
      <c r="K244" s="321"/>
      <c r="L244" s="321" t="s">
        <v>801</v>
      </c>
    </row>
    <row r="245" spans="1:12">
      <c r="A245" s="131">
        <v>260416</v>
      </c>
      <c r="B245" s="278" t="s">
        <v>427</v>
      </c>
      <c r="C245" s="278" t="s">
        <v>781</v>
      </c>
      <c r="D245" s="278" t="s">
        <v>802</v>
      </c>
      <c r="E245" s="321" t="str">
        <f>D243</f>
        <v>M_BGF02</v>
      </c>
      <c r="F245" s="322"/>
      <c r="G245" s="322"/>
      <c r="H245" s="321">
        <v>4</v>
      </c>
      <c r="I245" s="278" t="b">
        <v>1</v>
      </c>
      <c r="J245" s="321">
        <v>2</v>
      </c>
      <c r="K245" s="321"/>
      <c r="L245" s="321"/>
    </row>
    <row r="246" spans="1:12">
      <c r="A246" s="131">
        <v>260416</v>
      </c>
      <c r="B246" s="318" t="s">
        <v>11</v>
      </c>
      <c r="C246" s="319" t="s">
        <v>781</v>
      </c>
      <c r="D246" s="319" t="s">
        <v>803</v>
      </c>
      <c r="E246" s="319" t="str">
        <f>D239</f>
        <v>M_BGF</v>
      </c>
      <c r="F246" s="320" t="s">
        <v>804</v>
      </c>
      <c r="G246" s="320" t="s">
        <v>805</v>
      </c>
      <c r="H246" s="320">
        <v>3</v>
      </c>
      <c r="I246" s="318" t="b">
        <v>1</v>
      </c>
      <c r="J246" s="319">
        <v>3</v>
      </c>
      <c r="K246" s="319"/>
      <c r="L246" s="319" t="s">
        <v>806</v>
      </c>
    </row>
    <row r="247" spans="1:12">
      <c r="A247" s="131">
        <v>260416</v>
      </c>
      <c r="B247" s="278" t="s">
        <v>427</v>
      </c>
      <c r="C247" s="278" t="s">
        <v>781</v>
      </c>
      <c r="D247" s="278" t="s">
        <v>807</v>
      </c>
      <c r="E247" s="321" t="str">
        <f>D246</f>
        <v>M_BGF03</v>
      </c>
      <c r="F247" s="322" t="s">
        <v>808</v>
      </c>
      <c r="G247" s="322" t="s">
        <v>809</v>
      </c>
      <c r="H247" s="321">
        <v>4</v>
      </c>
      <c r="I247" s="278" t="b">
        <v>1</v>
      </c>
      <c r="J247" s="321">
        <v>1</v>
      </c>
      <c r="K247" s="321"/>
      <c r="L247" s="321" t="s">
        <v>810</v>
      </c>
    </row>
    <row r="248" spans="1:12">
      <c r="A248" s="131">
        <v>260416</v>
      </c>
      <c r="B248" s="278" t="s">
        <v>427</v>
      </c>
      <c r="C248" s="278" t="s">
        <v>781</v>
      </c>
      <c r="D248" s="278" t="s">
        <v>811</v>
      </c>
      <c r="E248" s="321" t="str">
        <f>D246</f>
        <v>M_BGF03</v>
      </c>
      <c r="F248" s="322"/>
      <c r="G248" s="322"/>
      <c r="H248" s="321">
        <v>4</v>
      </c>
      <c r="I248" s="278" t="b">
        <v>1</v>
      </c>
      <c r="J248" s="321">
        <v>2</v>
      </c>
      <c r="K248" s="321"/>
      <c r="L248" s="321"/>
    </row>
    <row r="249" spans="1:12">
      <c r="A249" s="131">
        <v>260416</v>
      </c>
      <c r="B249" s="318" t="s">
        <v>11</v>
      </c>
      <c r="C249" s="319" t="s">
        <v>781</v>
      </c>
      <c r="D249" s="319" t="s">
        <v>812</v>
      </c>
      <c r="E249" s="319" t="str">
        <f>D239</f>
        <v>M_BGF</v>
      </c>
      <c r="F249" s="320" t="s">
        <v>813</v>
      </c>
      <c r="G249" s="320" t="s">
        <v>814</v>
      </c>
      <c r="H249" s="320">
        <v>3</v>
      </c>
      <c r="I249" s="318" t="b">
        <v>1</v>
      </c>
      <c r="J249" s="319">
        <v>4</v>
      </c>
      <c r="K249" s="319"/>
      <c r="L249" s="319"/>
    </row>
    <row r="250" spans="1:12">
      <c r="A250" s="131">
        <v>260416</v>
      </c>
      <c r="B250" s="278" t="s">
        <v>427</v>
      </c>
      <c r="C250" s="278" t="s">
        <v>781</v>
      </c>
      <c r="D250" s="278" t="s">
        <v>815</v>
      </c>
      <c r="E250" s="321" t="str">
        <f>D249</f>
        <v>M_BGF04</v>
      </c>
      <c r="F250" s="322" t="s">
        <v>816</v>
      </c>
      <c r="G250" s="322" t="s">
        <v>817</v>
      </c>
      <c r="H250" s="321">
        <v>4</v>
      </c>
      <c r="I250" s="278" t="b">
        <v>1</v>
      </c>
      <c r="J250" s="321">
        <v>1</v>
      </c>
      <c r="K250" s="321"/>
      <c r="L250" s="321"/>
    </row>
    <row r="251" spans="1:12">
      <c r="A251" s="131">
        <v>260416</v>
      </c>
      <c r="B251" s="278" t="s">
        <v>427</v>
      </c>
      <c r="C251" s="278" t="s">
        <v>781</v>
      </c>
      <c r="D251" s="278" t="s">
        <v>818</v>
      </c>
      <c r="E251" s="321" t="str">
        <f>D249</f>
        <v>M_BGF04</v>
      </c>
      <c r="F251" s="322"/>
      <c r="G251" s="322"/>
      <c r="H251" s="321">
        <v>4</v>
      </c>
      <c r="I251" s="278" t="b">
        <v>1</v>
      </c>
      <c r="J251" s="321">
        <v>2</v>
      </c>
      <c r="K251" s="321"/>
      <c r="L251" s="321"/>
    </row>
    <row r="252" spans="1:12">
      <c r="A252" s="131">
        <v>260416</v>
      </c>
      <c r="B252" s="318" t="s">
        <v>11</v>
      </c>
      <c r="C252" s="319" t="s">
        <v>781</v>
      </c>
      <c r="D252" s="319" t="s">
        <v>819</v>
      </c>
      <c r="E252" s="319" t="str">
        <f>D239</f>
        <v>M_BGF</v>
      </c>
      <c r="F252" s="320" t="s">
        <v>820</v>
      </c>
      <c r="G252" s="320" t="s">
        <v>821</v>
      </c>
      <c r="H252" s="320">
        <v>3</v>
      </c>
      <c r="I252" s="318" t="b">
        <v>1</v>
      </c>
      <c r="J252" s="319">
        <v>5</v>
      </c>
      <c r="K252" s="319"/>
      <c r="L252" s="319"/>
    </row>
    <row r="253" spans="1:12">
      <c r="A253" s="131">
        <v>260416</v>
      </c>
      <c r="B253" s="278" t="s">
        <v>427</v>
      </c>
      <c r="C253" s="278" t="s">
        <v>781</v>
      </c>
      <c r="D253" s="278" t="s">
        <v>822</v>
      </c>
      <c r="E253" s="321" t="str">
        <f>D252</f>
        <v>M_BGF05</v>
      </c>
      <c r="F253" s="322" t="s">
        <v>823</v>
      </c>
      <c r="G253" s="322" t="s">
        <v>824</v>
      </c>
      <c r="H253" s="321">
        <v>4</v>
      </c>
      <c r="I253" s="278" t="b">
        <v>1</v>
      </c>
      <c r="J253" s="321">
        <v>1</v>
      </c>
      <c r="K253" s="321"/>
      <c r="L253" s="321"/>
    </row>
    <row r="254" spans="1:12">
      <c r="A254" s="131">
        <v>260416</v>
      </c>
      <c r="B254" s="278" t="s">
        <v>427</v>
      </c>
      <c r="C254" s="278" t="s">
        <v>781</v>
      </c>
      <c r="D254" s="278" t="s">
        <v>825</v>
      </c>
      <c r="E254" s="321" t="str">
        <f>D252</f>
        <v>M_BGF05</v>
      </c>
      <c r="F254" s="322"/>
      <c r="G254" s="322"/>
      <c r="H254" s="321">
        <v>4</v>
      </c>
      <c r="I254" s="278" t="b">
        <v>1</v>
      </c>
      <c r="J254" s="321">
        <v>2</v>
      </c>
      <c r="K254" s="321"/>
      <c r="L254" s="321"/>
    </row>
    <row r="255" spans="1:12">
      <c r="A255" s="131">
        <v>260416</v>
      </c>
      <c r="B255" s="323" t="s">
        <v>427</v>
      </c>
      <c r="C255" s="323" t="s">
        <v>826</v>
      </c>
      <c r="D255" s="323" t="s">
        <v>827</v>
      </c>
      <c r="E255" s="323" t="s">
        <v>713</v>
      </c>
      <c r="F255" s="323" t="s">
        <v>828</v>
      </c>
      <c r="G255" s="323" t="s">
        <v>829</v>
      </c>
      <c r="H255" s="323">
        <v>2</v>
      </c>
      <c r="I255" s="323"/>
      <c r="J255" s="323">
        <v>30</v>
      </c>
      <c r="K255" s="324"/>
      <c r="L255" s="324"/>
    </row>
    <row r="256" spans="1:12">
      <c r="A256" s="131">
        <v>260416</v>
      </c>
      <c r="B256" s="318" t="s">
        <v>11</v>
      </c>
      <c r="C256" s="319" t="s">
        <v>826</v>
      </c>
      <c r="D256" s="319" t="s">
        <v>830</v>
      </c>
      <c r="E256" s="319" t="str">
        <f>D255</f>
        <v>M_PGEN</v>
      </c>
      <c r="F256" s="320" t="s">
        <v>831</v>
      </c>
      <c r="G256" s="320" t="s">
        <v>832</v>
      </c>
      <c r="H256" s="320">
        <v>3</v>
      </c>
      <c r="I256" s="318" t="b">
        <v>1</v>
      </c>
      <c r="J256" s="319">
        <v>1</v>
      </c>
      <c r="K256" s="319"/>
      <c r="L256" s="319"/>
    </row>
    <row r="257" spans="1:12">
      <c r="A257" s="131">
        <v>260416</v>
      </c>
      <c r="B257" s="278" t="s">
        <v>427</v>
      </c>
      <c r="C257" s="278" t="s">
        <v>826</v>
      </c>
      <c r="D257" s="278" t="s">
        <v>833</v>
      </c>
      <c r="E257" s="321" t="str">
        <f>D256</f>
        <v>M_PGE01</v>
      </c>
      <c r="F257" s="322" t="s">
        <v>834</v>
      </c>
      <c r="G257" s="322" t="s">
        <v>835</v>
      </c>
      <c r="H257" s="321">
        <v>4</v>
      </c>
      <c r="I257" s="278" t="b">
        <v>1</v>
      </c>
      <c r="J257" s="321">
        <v>1</v>
      </c>
      <c r="K257" s="321"/>
      <c r="L257" s="321"/>
    </row>
    <row r="258" spans="1:12">
      <c r="A258" s="131">
        <v>260427</v>
      </c>
      <c r="B258" s="323" t="s">
        <v>427</v>
      </c>
      <c r="C258" s="323" t="s">
        <v>836</v>
      </c>
      <c r="D258" s="323" t="s">
        <v>837</v>
      </c>
      <c r="E258" s="323" t="s">
        <v>713</v>
      </c>
      <c r="F258" s="323" t="s">
        <v>838</v>
      </c>
      <c r="G258" s="323" t="s">
        <v>839</v>
      </c>
      <c r="H258" s="323">
        <v>2</v>
      </c>
      <c r="I258" s="323"/>
      <c r="J258" s="323">
        <v>31</v>
      </c>
      <c r="K258" s="324"/>
      <c r="L258" s="324"/>
    </row>
    <row r="259" spans="1:12">
      <c r="A259" s="131">
        <v>260427</v>
      </c>
      <c r="B259" s="318" t="s">
        <v>11</v>
      </c>
      <c r="C259" s="319" t="s">
        <v>836</v>
      </c>
      <c r="D259" s="319" t="s">
        <v>840</v>
      </c>
      <c r="E259" s="319" t="str">
        <f>D258</f>
        <v>M_THMR</v>
      </c>
      <c r="F259" s="320" t="s">
        <v>841</v>
      </c>
      <c r="G259" s="320" t="s">
        <v>842</v>
      </c>
      <c r="H259" s="320">
        <v>3</v>
      </c>
      <c r="I259" s="318" t="b">
        <v>1</v>
      </c>
      <c r="J259" s="319">
        <v>1</v>
      </c>
      <c r="K259" s="319"/>
      <c r="L259" s="319"/>
    </row>
    <row r="260" spans="1:12">
      <c r="A260" s="131">
        <v>260427</v>
      </c>
      <c r="B260" s="278" t="s">
        <v>427</v>
      </c>
      <c r="C260" s="278" t="s">
        <v>836</v>
      </c>
      <c r="D260" s="278" t="s">
        <v>843</v>
      </c>
      <c r="E260" s="321" t="s">
        <v>840</v>
      </c>
      <c r="F260" s="322" t="s">
        <v>844</v>
      </c>
      <c r="G260" s="322" t="s">
        <v>845</v>
      </c>
      <c r="H260" s="321">
        <v>4</v>
      </c>
      <c r="I260" s="278" t="b">
        <v>1</v>
      </c>
      <c r="J260" s="321">
        <v>1</v>
      </c>
      <c r="K260" s="321"/>
      <c r="L260" s="321"/>
    </row>
    <row r="261" spans="1:12">
      <c r="A261" s="131">
        <v>260427</v>
      </c>
      <c r="B261" s="278" t="s">
        <v>427</v>
      </c>
      <c r="C261" s="278" t="s">
        <v>836</v>
      </c>
      <c r="D261" s="278" t="s">
        <v>846</v>
      </c>
      <c r="E261" s="321" t="s">
        <v>840</v>
      </c>
      <c r="F261" s="322" t="s">
        <v>847</v>
      </c>
      <c r="G261" s="322" t="s">
        <v>848</v>
      </c>
      <c r="H261" s="321">
        <v>4</v>
      </c>
      <c r="I261" s="278" t="b">
        <v>1</v>
      </c>
      <c r="J261" s="321">
        <v>2</v>
      </c>
      <c r="K261" s="321"/>
      <c r="L261" s="321"/>
    </row>
    <row r="262" spans="1:12">
      <c r="A262" s="131">
        <v>260427</v>
      </c>
      <c r="B262" s="278" t="s">
        <v>427</v>
      </c>
      <c r="C262" s="278" t="s">
        <v>836</v>
      </c>
      <c r="D262" s="278" t="s">
        <v>849</v>
      </c>
      <c r="E262" s="321" t="s">
        <v>840</v>
      </c>
      <c r="F262" s="322" t="s">
        <v>850</v>
      </c>
      <c r="G262" s="322" t="s">
        <v>851</v>
      </c>
      <c r="H262" s="321">
        <v>4</v>
      </c>
      <c r="I262" s="278" t="b">
        <v>1</v>
      </c>
      <c r="J262" s="321">
        <v>3</v>
      </c>
      <c r="K262" s="321"/>
      <c r="L262" s="321"/>
    </row>
    <row r="263" spans="1:12">
      <c r="A263" s="131">
        <v>260427</v>
      </c>
      <c r="B263" s="278" t="s">
        <v>427</v>
      </c>
      <c r="C263" s="278" t="s">
        <v>836</v>
      </c>
      <c r="D263" s="278" t="s">
        <v>852</v>
      </c>
      <c r="E263" s="321" t="s">
        <v>840</v>
      </c>
      <c r="F263" s="322" t="s">
        <v>853</v>
      </c>
      <c r="G263" s="322" t="s">
        <v>854</v>
      </c>
      <c r="H263" s="321">
        <v>4</v>
      </c>
      <c r="I263" s="278" t="b">
        <v>1</v>
      </c>
      <c r="J263" s="321">
        <v>4</v>
      </c>
      <c r="K263" s="321"/>
      <c r="L263" s="321"/>
    </row>
    <row r="264" spans="1:12">
      <c r="A264" s="131">
        <v>260427</v>
      </c>
      <c r="B264" s="278" t="s">
        <v>427</v>
      </c>
      <c r="C264" s="278" t="s">
        <v>836</v>
      </c>
      <c r="D264" s="278" t="s">
        <v>855</v>
      </c>
      <c r="E264" s="321" t="s">
        <v>840</v>
      </c>
      <c r="F264" s="322" t="s">
        <v>856</v>
      </c>
      <c r="G264" s="322" t="s">
        <v>857</v>
      </c>
      <c r="H264" s="321">
        <v>4</v>
      </c>
      <c r="I264" s="278" t="b">
        <v>1</v>
      </c>
      <c r="J264" s="321">
        <v>5</v>
      </c>
      <c r="K264" s="321"/>
      <c r="L264" s="321"/>
    </row>
    <row r="265" spans="1:12">
      <c r="A265" s="131">
        <v>260427</v>
      </c>
      <c r="B265" s="278" t="s">
        <v>427</v>
      </c>
      <c r="C265" s="278" t="s">
        <v>836</v>
      </c>
      <c r="D265" s="278" t="s">
        <v>858</v>
      </c>
      <c r="E265" s="321" t="s">
        <v>840</v>
      </c>
      <c r="F265" s="322" t="s">
        <v>859</v>
      </c>
      <c r="G265" s="322" t="s">
        <v>860</v>
      </c>
      <c r="H265" s="321">
        <v>4</v>
      </c>
      <c r="I265" s="278" t="b">
        <v>1</v>
      </c>
      <c r="J265" s="321">
        <v>6</v>
      </c>
      <c r="K265" s="321"/>
      <c r="L265" s="321"/>
    </row>
    <row r="266" spans="1:12">
      <c r="A266" s="131">
        <v>260427</v>
      </c>
      <c r="B266" s="278" t="s">
        <v>427</v>
      </c>
      <c r="C266" s="278" t="s">
        <v>836</v>
      </c>
      <c r="D266" s="278" t="s">
        <v>861</v>
      </c>
      <c r="E266" s="321" t="s">
        <v>840</v>
      </c>
      <c r="F266" s="322" t="s">
        <v>862</v>
      </c>
      <c r="G266" s="322" t="s">
        <v>863</v>
      </c>
      <c r="H266" s="321">
        <v>4</v>
      </c>
      <c r="I266" s="278" t="b">
        <v>1</v>
      </c>
      <c r="J266" s="321">
        <v>7</v>
      </c>
      <c r="K266" s="321"/>
      <c r="L266" s="321"/>
    </row>
    <row r="267" spans="1:12">
      <c r="A267" s="131">
        <v>260427</v>
      </c>
      <c r="B267" s="278" t="s">
        <v>427</v>
      </c>
      <c r="C267" s="278" t="s">
        <v>836</v>
      </c>
      <c r="D267" s="278" t="s">
        <v>864</v>
      </c>
      <c r="E267" s="321" t="s">
        <v>840</v>
      </c>
      <c r="F267" s="322" t="s">
        <v>865</v>
      </c>
      <c r="G267" s="322" t="s">
        <v>866</v>
      </c>
      <c r="H267" s="321">
        <v>4</v>
      </c>
      <c r="I267" s="278" t="b">
        <v>1</v>
      </c>
      <c r="J267" s="321">
        <v>8</v>
      </c>
      <c r="K267" s="321"/>
      <c r="L267" s="321"/>
    </row>
    <row r="268" spans="1:12">
      <c r="A268" s="131">
        <v>260427</v>
      </c>
      <c r="B268" s="278" t="s">
        <v>427</v>
      </c>
      <c r="C268" s="278" t="s">
        <v>836</v>
      </c>
      <c r="D268" s="278" t="s">
        <v>867</v>
      </c>
      <c r="E268" s="321" t="s">
        <v>840</v>
      </c>
      <c r="F268" s="322" t="s">
        <v>868</v>
      </c>
      <c r="G268" s="322" t="s">
        <v>869</v>
      </c>
      <c r="H268" s="321">
        <v>4</v>
      </c>
      <c r="I268" s="278" t="b">
        <v>1</v>
      </c>
      <c r="J268" s="321">
        <v>9</v>
      </c>
      <c r="K268" s="321"/>
      <c r="L268" s="321"/>
    </row>
    <row r="269" spans="1:12">
      <c r="A269" s="131">
        <v>260427</v>
      </c>
      <c r="B269" s="278" t="s">
        <v>427</v>
      </c>
      <c r="C269" s="278" t="s">
        <v>836</v>
      </c>
      <c r="D269" s="278" t="s">
        <v>870</v>
      </c>
      <c r="E269" s="321" t="s">
        <v>840</v>
      </c>
      <c r="F269" s="322" t="s">
        <v>871</v>
      </c>
      <c r="G269" s="322" t="s">
        <v>872</v>
      </c>
      <c r="H269" s="321">
        <v>4</v>
      </c>
      <c r="I269" s="278" t="b">
        <v>1</v>
      </c>
      <c r="J269" s="321">
        <v>10</v>
      </c>
      <c r="K269" s="321"/>
      <c r="L269" s="321"/>
    </row>
    <row r="270" spans="1:12">
      <c r="A270" s="131">
        <v>260427</v>
      </c>
      <c r="B270" s="318" t="s">
        <v>11</v>
      </c>
      <c r="C270" s="319" t="s">
        <v>836</v>
      </c>
      <c r="D270" s="319" t="s">
        <v>873</v>
      </c>
      <c r="E270" s="319" t="str">
        <f>D258</f>
        <v>M_THMR</v>
      </c>
      <c r="F270" s="320" t="s">
        <v>874</v>
      </c>
      <c r="G270" s="320" t="s">
        <v>875</v>
      </c>
      <c r="H270" s="320">
        <v>3</v>
      </c>
      <c r="I270" s="318" t="b">
        <v>1</v>
      </c>
      <c r="J270" s="319">
        <v>2</v>
      </c>
      <c r="K270" s="319"/>
      <c r="L270" s="319"/>
    </row>
    <row r="271" spans="1:12">
      <c r="A271" s="131">
        <v>260427</v>
      </c>
      <c r="B271" s="278" t="s">
        <v>427</v>
      </c>
      <c r="C271" s="278" t="s">
        <v>836</v>
      </c>
      <c r="D271" s="278" t="s">
        <v>876</v>
      </c>
      <c r="E271" s="321" t="s">
        <v>873</v>
      </c>
      <c r="F271" s="322" t="s">
        <v>877</v>
      </c>
      <c r="G271" s="322" t="s">
        <v>878</v>
      </c>
      <c r="H271" s="321">
        <v>4</v>
      </c>
      <c r="I271" s="278" t="b">
        <v>1</v>
      </c>
      <c r="J271" s="321">
        <v>1</v>
      </c>
      <c r="K271" s="321"/>
      <c r="L271" s="321"/>
    </row>
    <row r="272" spans="1:12">
      <c r="A272" s="131">
        <v>260427</v>
      </c>
      <c r="B272" s="278" t="s">
        <v>427</v>
      </c>
      <c r="C272" s="278" t="s">
        <v>836</v>
      </c>
      <c r="D272" s="278" t="s">
        <v>879</v>
      </c>
      <c r="E272" s="321" t="s">
        <v>873</v>
      </c>
      <c r="F272" s="322" t="s">
        <v>880</v>
      </c>
      <c r="G272" s="322" t="s">
        <v>881</v>
      </c>
      <c r="H272" s="321">
        <v>4</v>
      </c>
      <c r="I272" s="278" t="b">
        <v>1</v>
      </c>
      <c r="J272" s="321">
        <v>2</v>
      </c>
      <c r="K272" s="321"/>
      <c r="L272" s="321"/>
    </row>
    <row r="273" spans="1:12">
      <c r="A273" s="131">
        <v>260427</v>
      </c>
      <c r="B273" s="278" t="s">
        <v>427</v>
      </c>
      <c r="C273" s="278" t="s">
        <v>836</v>
      </c>
      <c r="D273" s="278" t="s">
        <v>882</v>
      </c>
      <c r="E273" s="321" t="s">
        <v>873</v>
      </c>
      <c r="F273" s="322" t="s">
        <v>883</v>
      </c>
      <c r="G273" s="322" t="s">
        <v>884</v>
      </c>
      <c r="H273" s="321">
        <v>4</v>
      </c>
      <c r="I273" s="278" t="b">
        <v>1</v>
      </c>
      <c r="J273" s="321">
        <v>3</v>
      </c>
      <c r="K273" s="321"/>
      <c r="L273" s="321"/>
    </row>
    <row r="274" spans="1:12">
      <c r="A274" s="131">
        <v>260427</v>
      </c>
      <c r="B274" s="278" t="s">
        <v>427</v>
      </c>
      <c r="C274" s="278" t="s">
        <v>836</v>
      </c>
      <c r="D274" s="278" t="s">
        <v>885</v>
      </c>
      <c r="E274" s="321" t="s">
        <v>873</v>
      </c>
      <c r="F274" s="322" t="s">
        <v>886</v>
      </c>
      <c r="G274" s="322" t="s">
        <v>887</v>
      </c>
      <c r="H274" s="321">
        <v>4</v>
      </c>
      <c r="I274" s="278" t="b">
        <v>1</v>
      </c>
      <c r="J274" s="321">
        <v>4</v>
      </c>
      <c r="K274" s="321"/>
      <c r="L274" s="321"/>
    </row>
    <row r="275" spans="1:12">
      <c r="A275" s="131">
        <v>260427</v>
      </c>
      <c r="B275" s="278" t="s">
        <v>427</v>
      </c>
      <c r="C275" s="278" t="s">
        <v>836</v>
      </c>
      <c r="D275" s="278" t="s">
        <v>888</v>
      </c>
      <c r="E275" s="321" t="s">
        <v>873</v>
      </c>
      <c r="F275" s="322" t="s">
        <v>889</v>
      </c>
      <c r="G275" s="322" t="s">
        <v>890</v>
      </c>
      <c r="H275" s="321">
        <v>4</v>
      </c>
      <c r="I275" s="278" t="b">
        <v>1</v>
      </c>
      <c r="J275" s="321">
        <v>5</v>
      </c>
      <c r="K275" s="321"/>
      <c r="L275" s="321"/>
    </row>
    <row r="276" spans="1:12">
      <c r="A276" s="131">
        <v>260427</v>
      </c>
      <c r="B276" s="278" t="s">
        <v>427</v>
      </c>
      <c r="C276" s="278" t="s">
        <v>836</v>
      </c>
      <c r="D276" s="278" t="s">
        <v>891</v>
      </c>
      <c r="E276" s="321" t="s">
        <v>873</v>
      </c>
      <c r="F276" s="322" t="s">
        <v>892</v>
      </c>
      <c r="G276" s="322" t="s">
        <v>893</v>
      </c>
      <c r="H276" s="321">
        <v>4</v>
      </c>
      <c r="I276" s="278" t="b">
        <v>1</v>
      </c>
      <c r="J276" s="321">
        <v>6</v>
      </c>
      <c r="K276" s="321"/>
      <c r="L276" s="321"/>
    </row>
    <row r="277" spans="1:12">
      <c r="A277" s="131">
        <v>260427</v>
      </c>
      <c r="B277" s="278" t="s">
        <v>427</v>
      </c>
      <c r="C277" s="278" t="s">
        <v>836</v>
      </c>
      <c r="D277" s="278" t="s">
        <v>894</v>
      </c>
      <c r="E277" s="321" t="s">
        <v>873</v>
      </c>
      <c r="F277" s="322" t="s">
        <v>895</v>
      </c>
      <c r="G277" s="322" t="s">
        <v>896</v>
      </c>
      <c r="H277" s="321">
        <v>4</v>
      </c>
      <c r="I277" s="278" t="b">
        <v>1</v>
      </c>
      <c r="J277" s="321">
        <v>7</v>
      </c>
      <c r="K277" s="321"/>
      <c r="L277" s="321"/>
    </row>
    <row r="278" spans="1:12">
      <c r="A278" s="131">
        <v>260427</v>
      </c>
      <c r="B278" s="278" t="s">
        <v>427</v>
      </c>
      <c r="C278" s="278" t="s">
        <v>836</v>
      </c>
      <c r="D278" s="278" t="s">
        <v>897</v>
      </c>
      <c r="E278" s="321" t="s">
        <v>873</v>
      </c>
      <c r="F278" s="322" t="s">
        <v>898</v>
      </c>
      <c r="G278" s="322" t="s">
        <v>899</v>
      </c>
      <c r="H278" s="321">
        <v>4</v>
      </c>
      <c r="I278" s="278" t="b">
        <v>1</v>
      </c>
      <c r="J278" s="321">
        <v>8</v>
      </c>
      <c r="K278" s="321"/>
      <c r="L278" s="321"/>
    </row>
    <row r="279" spans="1:12">
      <c r="A279" s="131">
        <v>260427</v>
      </c>
      <c r="B279" s="278" t="s">
        <v>427</v>
      </c>
      <c r="C279" s="278" t="s">
        <v>836</v>
      </c>
      <c r="D279" s="278" t="s">
        <v>900</v>
      </c>
      <c r="E279" s="321" t="s">
        <v>873</v>
      </c>
      <c r="F279" s="322" t="s">
        <v>901</v>
      </c>
      <c r="G279" s="322" t="s">
        <v>902</v>
      </c>
      <c r="H279" s="321">
        <v>4</v>
      </c>
      <c r="I279" s="278" t="b">
        <v>1</v>
      </c>
      <c r="J279" s="321">
        <v>9</v>
      </c>
      <c r="K279" s="321"/>
      <c r="L279" s="321"/>
    </row>
    <row r="280" spans="1:12">
      <c r="A280" s="131">
        <v>260427</v>
      </c>
      <c r="B280" s="278" t="s">
        <v>427</v>
      </c>
      <c r="C280" s="278" t="s">
        <v>836</v>
      </c>
      <c r="D280" s="278" t="s">
        <v>903</v>
      </c>
      <c r="E280" s="321" t="s">
        <v>873</v>
      </c>
      <c r="F280" s="322" t="s">
        <v>904</v>
      </c>
      <c r="G280" s="322" t="s">
        <v>905</v>
      </c>
      <c r="H280" s="321">
        <v>4</v>
      </c>
      <c r="I280" s="278" t="b">
        <v>1</v>
      </c>
      <c r="J280" s="321">
        <v>10</v>
      </c>
      <c r="K280" s="321"/>
      <c r="L280" s="32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1066-1DEB-4E41-A8F3-6EAE4DFFB0BD}">
  <sheetPr>
    <tabColor theme="1" tint="0.499984740745262"/>
  </sheetPr>
  <dimension ref="C2:I31"/>
  <sheetViews>
    <sheetView zoomScale="85" zoomScaleNormal="85" workbookViewId="0">
      <selection activeCell="G10" sqref="G10"/>
    </sheetView>
  </sheetViews>
  <sheetFormatPr defaultRowHeight="16.5"/>
  <cols>
    <col min="3" max="3" width="13.625" bestFit="1" customWidth="1"/>
    <col min="4" max="5" width="9.625" bestFit="1" customWidth="1"/>
    <col min="6" max="6" width="27.625" bestFit="1" customWidth="1"/>
    <col min="7" max="7" width="33.5" customWidth="1"/>
    <col min="8" max="9" width="5.25" bestFit="1" customWidth="1"/>
  </cols>
  <sheetData>
    <row r="2" spans="3:9">
      <c r="C2" s="44" t="s">
        <v>906</v>
      </c>
      <c r="D2" s="44" t="s">
        <v>907</v>
      </c>
      <c r="E2" s="44" t="s">
        <v>908</v>
      </c>
      <c r="F2" s="44" t="s">
        <v>909</v>
      </c>
      <c r="G2" s="45" t="s">
        <v>910</v>
      </c>
      <c r="H2" s="45" t="s">
        <v>911</v>
      </c>
      <c r="I2" s="45" t="s">
        <v>912</v>
      </c>
    </row>
    <row r="3" spans="3:9">
      <c r="C3" s="46" t="s">
        <v>913</v>
      </c>
      <c r="D3" s="46" t="s">
        <v>914</v>
      </c>
      <c r="E3" s="46"/>
      <c r="F3" s="46" t="s">
        <v>915</v>
      </c>
      <c r="G3" s="46" t="s">
        <v>916</v>
      </c>
      <c r="H3" s="46">
        <v>1</v>
      </c>
      <c r="I3" s="46"/>
    </row>
    <row r="4" spans="3:9">
      <c r="C4" s="28" t="s">
        <v>917</v>
      </c>
      <c r="D4" s="29" t="s">
        <v>918</v>
      </c>
      <c r="E4" s="29" t="s">
        <v>914</v>
      </c>
      <c r="F4" s="29" t="s">
        <v>919</v>
      </c>
      <c r="G4" s="47" t="s">
        <v>920</v>
      </c>
      <c r="H4" s="48">
        <v>2</v>
      </c>
      <c r="I4" s="30">
        <v>1</v>
      </c>
    </row>
    <row r="5" spans="3:9">
      <c r="C5" s="31" t="s">
        <v>917</v>
      </c>
      <c r="D5" s="31" t="s">
        <v>921</v>
      </c>
      <c r="E5" s="49" t="s">
        <v>922</v>
      </c>
      <c r="F5" s="31" t="s">
        <v>923</v>
      </c>
      <c r="G5" s="31" t="s">
        <v>924</v>
      </c>
      <c r="H5" s="33">
        <v>3</v>
      </c>
      <c r="I5" s="33">
        <v>1</v>
      </c>
    </row>
    <row r="6" spans="3:9">
      <c r="C6" s="34" t="s">
        <v>917</v>
      </c>
      <c r="D6" t="s">
        <v>925</v>
      </c>
      <c r="E6" s="34" t="s">
        <v>926</v>
      </c>
      <c r="F6" s="34" t="s">
        <v>927</v>
      </c>
      <c r="G6" s="34" t="s">
        <v>927</v>
      </c>
      <c r="H6">
        <v>4</v>
      </c>
      <c r="I6">
        <v>1</v>
      </c>
    </row>
    <row r="7" spans="3:9">
      <c r="C7" s="34" t="s">
        <v>917</v>
      </c>
      <c r="D7" t="s">
        <v>928</v>
      </c>
      <c r="E7" s="34" t="s">
        <v>926</v>
      </c>
      <c r="F7" s="34" t="s">
        <v>929</v>
      </c>
      <c r="G7" s="34" t="s">
        <v>929</v>
      </c>
      <c r="H7">
        <v>4</v>
      </c>
      <c r="I7">
        <v>2</v>
      </c>
    </row>
    <row r="8" spans="3:9">
      <c r="C8" s="34" t="s">
        <v>917</v>
      </c>
      <c r="D8" t="s">
        <v>930</v>
      </c>
      <c r="E8" s="34" t="s">
        <v>926</v>
      </c>
      <c r="F8" s="34" t="s">
        <v>931</v>
      </c>
      <c r="G8" s="34" t="s">
        <v>932</v>
      </c>
      <c r="H8">
        <v>4</v>
      </c>
      <c r="I8">
        <v>3</v>
      </c>
    </row>
    <row r="9" spans="3:9" ht="31.15" customHeight="1">
      <c r="C9" s="31" t="s">
        <v>917</v>
      </c>
      <c r="D9" s="31" t="s">
        <v>933</v>
      </c>
      <c r="E9" s="49" t="s">
        <v>922</v>
      </c>
      <c r="F9" s="31" t="s">
        <v>934</v>
      </c>
      <c r="G9" s="31" t="s">
        <v>935</v>
      </c>
      <c r="H9" s="33">
        <v>3</v>
      </c>
      <c r="I9" s="33">
        <v>2</v>
      </c>
    </row>
    <row r="10" spans="3:9" ht="22.15" customHeight="1">
      <c r="C10" s="34" t="s">
        <v>917</v>
      </c>
      <c r="D10" s="34" t="s">
        <v>936</v>
      </c>
      <c r="E10" s="34" t="s">
        <v>937</v>
      </c>
      <c r="F10" s="50" t="s">
        <v>938</v>
      </c>
      <c r="G10" s="50" t="s">
        <v>939</v>
      </c>
      <c r="H10" s="6">
        <v>4</v>
      </c>
      <c r="I10">
        <v>1</v>
      </c>
    </row>
    <row r="11" spans="3:9">
      <c r="C11" s="34" t="s">
        <v>917</v>
      </c>
      <c r="D11" s="34" t="s">
        <v>940</v>
      </c>
      <c r="E11" s="34" t="s">
        <v>937</v>
      </c>
      <c r="F11" s="34" t="s">
        <v>941</v>
      </c>
      <c r="G11" s="34" t="s">
        <v>942</v>
      </c>
      <c r="H11" s="6">
        <v>4</v>
      </c>
      <c r="I11">
        <v>2</v>
      </c>
    </row>
    <row r="12" spans="3:9">
      <c r="C12" s="34" t="s">
        <v>917</v>
      </c>
      <c r="D12" s="34" t="s">
        <v>943</v>
      </c>
      <c r="E12" s="34" t="s">
        <v>937</v>
      </c>
      <c r="F12" s="34" t="s">
        <v>944</v>
      </c>
      <c r="G12" s="34" t="s">
        <v>945</v>
      </c>
      <c r="H12" s="6">
        <v>4</v>
      </c>
      <c r="I12">
        <v>3</v>
      </c>
    </row>
    <row r="13" spans="3:9">
      <c r="C13" s="34" t="s">
        <v>917</v>
      </c>
      <c r="D13" s="34" t="s">
        <v>946</v>
      </c>
      <c r="E13" s="34" t="s">
        <v>937</v>
      </c>
      <c r="F13" s="34" t="s">
        <v>947</v>
      </c>
      <c r="G13" s="34" t="s">
        <v>948</v>
      </c>
      <c r="H13" s="6">
        <v>4</v>
      </c>
      <c r="I13">
        <v>4</v>
      </c>
    </row>
    <row r="14" spans="3:9">
      <c r="C14" s="34" t="s">
        <v>917</v>
      </c>
      <c r="D14" s="34" t="s">
        <v>949</v>
      </c>
      <c r="E14" s="34" t="s">
        <v>937</v>
      </c>
      <c r="F14" s="51" t="s">
        <v>950</v>
      </c>
      <c r="G14" s="34" t="s">
        <v>951</v>
      </c>
      <c r="H14" s="6">
        <v>4</v>
      </c>
      <c r="I14">
        <v>5</v>
      </c>
    </row>
    <row r="15" spans="3:9" ht="26.45" customHeight="1">
      <c r="C15" s="34" t="s">
        <v>917</v>
      </c>
      <c r="D15" s="34" t="s">
        <v>952</v>
      </c>
      <c r="E15" s="34" t="s">
        <v>937</v>
      </c>
      <c r="F15" s="52" t="s">
        <v>953</v>
      </c>
      <c r="G15" s="52" t="s">
        <v>954</v>
      </c>
      <c r="H15" s="6">
        <v>4</v>
      </c>
      <c r="I15">
        <v>6</v>
      </c>
    </row>
    <row r="16" spans="3:9" ht="31.15" customHeight="1">
      <c r="C16" s="31" t="s">
        <v>917</v>
      </c>
      <c r="D16" s="31" t="s">
        <v>955</v>
      </c>
      <c r="E16" s="49" t="s">
        <v>922</v>
      </c>
      <c r="F16" s="38" t="s">
        <v>956</v>
      </c>
      <c r="G16" s="38" t="s">
        <v>957</v>
      </c>
      <c r="H16" s="38">
        <v>3</v>
      </c>
      <c r="I16" s="33">
        <v>3</v>
      </c>
    </row>
    <row r="17" spans="3:9">
      <c r="C17" s="34" t="s">
        <v>917</v>
      </c>
      <c r="D17" s="34" t="s">
        <v>958</v>
      </c>
      <c r="E17" s="34" t="s">
        <v>955</v>
      </c>
      <c r="F17" s="34" t="s">
        <v>959</v>
      </c>
      <c r="G17" s="34" t="s">
        <v>959</v>
      </c>
      <c r="H17" s="6">
        <v>4</v>
      </c>
      <c r="I17">
        <v>4</v>
      </c>
    </row>
    <row r="18" spans="3:9">
      <c r="C18" s="34" t="s">
        <v>917</v>
      </c>
      <c r="D18" s="34" t="s">
        <v>960</v>
      </c>
      <c r="E18" s="34" t="s">
        <v>955</v>
      </c>
      <c r="F18" s="34" t="s">
        <v>961</v>
      </c>
      <c r="G18" s="34" t="s">
        <v>961</v>
      </c>
      <c r="H18" s="6">
        <v>4</v>
      </c>
      <c r="I18">
        <v>2</v>
      </c>
    </row>
    <row r="19" spans="3:9">
      <c r="C19" s="34" t="s">
        <v>917</v>
      </c>
      <c r="D19" s="34" t="s">
        <v>962</v>
      </c>
      <c r="E19" s="34" t="s">
        <v>955</v>
      </c>
      <c r="F19" s="34" t="s">
        <v>963</v>
      </c>
      <c r="G19" s="34" t="s">
        <v>963</v>
      </c>
      <c r="H19" s="6">
        <v>4</v>
      </c>
      <c r="I19">
        <v>3</v>
      </c>
    </row>
    <row r="20" spans="3:9">
      <c r="C20" s="34" t="s">
        <v>917</v>
      </c>
      <c r="D20" s="34" t="s">
        <v>964</v>
      </c>
      <c r="E20" s="34" t="s">
        <v>955</v>
      </c>
      <c r="F20" s="34" t="s">
        <v>965</v>
      </c>
      <c r="G20" s="34" t="s">
        <v>965</v>
      </c>
      <c r="H20" s="6">
        <v>4</v>
      </c>
      <c r="I20">
        <v>4</v>
      </c>
    </row>
    <row r="21" spans="3:9">
      <c r="C21" s="34" t="s">
        <v>917</v>
      </c>
      <c r="D21" s="34" t="s">
        <v>966</v>
      </c>
      <c r="E21" s="34" t="s">
        <v>955</v>
      </c>
      <c r="F21" s="34" t="s">
        <v>451</v>
      </c>
      <c r="G21" s="52" t="s">
        <v>967</v>
      </c>
      <c r="H21" s="6">
        <v>4</v>
      </c>
      <c r="I21">
        <v>5</v>
      </c>
    </row>
    <row r="22" spans="3:9" ht="23.45" customHeight="1">
      <c r="C22" s="31" t="s">
        <v>917</v>
      </c>
      <c r="D22" s="31" t="s">
        <v>968</v>
      </c>
      <c r="E22" s="49" t="s">
        <v>922</v>
      </c>
      <c r="F22" s="31" t="s">
        <v>969</v>
      </c>
      <c r="G22" s="33" t="s">
        <v>969</v>
      </c>
      <c r="H22" s="38">
        <v>3</v>
      </c>
      <c r="I22" s="33">
        <v>4</v>
      </c>
    </row>
    <row r="23" spans="3:9">
      <c r="C23" s="34" t="s">
        <v>970</v>
      </c>
      <c r="D23" s="34" t="s">
        <v>971</v>
      </c>
      <c r="E23" s="34" t="s">
        <v>968</v>
      </c>
      <c r="F23" s="34" t="s">
        <v>972</v>
      </c>
      <c r="G23" s="34" t="s">
        <v>972</v>
      </c>
      <c r="H23" s="6">
        <v>4</v>
      </c>
      <c r="I23">
        <v>1</v>
      </c>
    </row>
    <row r="24" spans="3:9">
      <c r="C24" s="34" t="s">
        <v>917</v>
      </c>
      <c r="D24" s="34" t="s">
        <v>973</v>
      </c>
      <c r="E24" s="34" t="s">
        <v>968</v>
      </c>
      <c r="F24" s="34" t="s">
        <v>974</v>
      </c>
      <c r="G24" s="34" t="s">
        <v>974</v>
      </c>
      <c r="H24" s="6">
        <v>4</v>
      </c>
      <c r="I24">
        <v>2</v>
      </c>
    </row>
    <row r="25" spans="3:9">
      <c r="C25" s="34" t="s">
        <v>917</v>
      </c>
      <c r="D25" s="34" t="s">
        <v>975</v>
      </c>
      <c r="E25" s="34" t="s">
        <v>968</v>
      </c>
      <c r="F25" s="34" t="s">
        <v>976</v>
      </c>
      <c r="G25" s="34" t="s">
        <v>977</v>
      </c>
      <c r="H25" s="6">
        <v>4</v>
      </c>
      <c r="I25">
        <v>3</v>
      </c>
    </row>
    <row r="26" spans="3:9">
      <c r="C26" s="31" t="s">
        <v>970</v>
      </c>
      <c r="D26" s="31" t="s">
        <v>978</v>
      </c>
      <c r="E26" s="49" t="s">
        <v>918</v>
      </c>
      <c r="F26" s="31" t="s">
        <v>979</v>
      </c>
      <c r="G26" s="33" t="s">
        <v>980</v>
      </c>
      <c r="H26" s="33">
        <v>3</v>
      </c>
      <c r="I26" s="33">
        <v>5</v>
      </c>
    </row>
    <row r="27" spans="3:9">
      <c r="C27" s="34" t="s">
        <v>970</v>
      </c>
      <c r="D27" s="34" t="s">
        <v>981</v>
      </c>
      <c r="E27" s="34" t="s">
        <v>978</v>
      </c>
      <c r="F27" s="34" t="s">
        <v>982</v>
      </c>
      <c r="G27" s="34" t="s">
        <v>983</v>
      </c>
      <c r="H27" s="6">
        <v>4</v>
      </c>
      <c r="I27">
        <v>1</v>
      </c>
    </row>
    <row r="28" spans="3:9">
      <c r="C28" s="34" t="s">
        <v>970</v>
      </c>
      <c r="D28" s="34" t="s">
        <v>984</v>
      </c>
      <c r="E28" s="34" t="s">
        <v>978</v>
      </c>
      <c r="F28" s="34" t="s">
        <v>985</v>
      </c>
      <c r="G28" s="34" t="s">
        <v>986</v>
      </c>
      <c r="H28" s="6">
        <v>4</v>
      </c>
      <c r="I28">
        <v>2</v>
      </c>
    </row>
    <row r="29" spans="3:9">
      <c r="C29" s="34" t="s">
        <v>970</v>
      </c>
      <c r="D29" s="34" t="s">
        <v>987</v>
      </c>
      <c r="E29" s="34" t="s">
        <v>978</v>
      </c>
      <c r="F29" s="34" t="s">
        <v>988</v>
      </c>
      <c r="G29" s="34" t="s">
        <v>989</v>
      </c>
      <c r="H29" s="6">
        <v>4</v>
      </c>
      <c r="I29">
        <v>3</v>
      </c>
    </row>
    <row r="30" spans="3:9">
      <c r="C30" s="34" t="s">
        <v>970</v>
      </c>
      <c r="D30" s="34" t="s">
        <v>990</v>
      </c>
      <c r="E30" s="34" t="s">
        <v>978</v>
      </c>
      <c r="F30" s="34" t="s">
        <v>991</v>
      </c>
      <c r="G30" s="34" t="s">
        <v>992</v>
      </c>
      <c r="H30" s="6">
        <v>4</v>
      </c>
      <c r="I30">
        <v>4</v>
      </c>
    </row>
    <row r="31" spans="3:9">
      <c r="C31" s="34" t="s">
        <v>970</v>
      </c>
      <c r="D31" s="34" t="s">
        <v>993</v>
      </c>
      <c r="E31" s="34" t="s">
        <v>978</v>
      </c>
      <c r="F31" s="34" t="s">
        <v>994</v>
      </c>
      <c r="G31" s="34" t="s">
        <v>995</v>
      </c>
      <c r="H31" s="6">
        <v>4</v>
      </c>
      <c r="I31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3F36-EBE4-497D-82E3-E2DAD9564EB2}">
  <sheetPr>
    <tabColor theme="1" tint="0.499984740745262"/>
  </sheetPr>
  <dimension ref="B2:M41"/>
  <sheetViews>
    <sheetView zoomScale="85" zoomScaleNormal="85" workbookViewId="0">
      <selection activeCell="G45" sqref="G45"/>
    </sheetView>
  </sheetViews>
  <sheetFormatPr defaultRowHeight="16.5"/>
  <cols>
    <col min="2" max="2" width="16.625" bestFit="1" customWidth="1"/>
    <col min="3" max="3" width="20" customWidth="1"/>
    <col min="4" max="5" width="16.25" bestFit="1" customWidth="1"/>
    <col min="6" max="6" width="27.625" bestFit="1" customWidth="1"/>
    <col min="7" max="7" width="39.375" bestFit="1" customWidth="1"/>
    <col min="8" max="8" width="5.25" bestFit="1" customWidth="1"/>
    <col min="10" max="10" width="17.5" customWidth="1"/>
    <col min="11" max="11" width="17.875" bestFit="1" customWidth="1"/>
    <col min="12" max="12" width="33.125" bestFit="1" customWidth="1"/>
  </cols>
  <sheetData>
    <row r="2" spans="2:13">
      <c r="B2" s="11" t="s">
        <v>0</v>
      </c>
      <c r="C2" s="11" t="s">
        <v>1</v>
      </c>
      <c r="D2" s="11" t="s">
        <v>996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77"/>
    </row>
    <row r="3" spans="2:13">
      <c r="B3" s="21" t="s">
        <v>11</v>
      </c>
      <c r="C3" s="22" t="s">
        <v>997</v>
      </c>
      <c r="D3" s="23" t="s">
        <v>998</v>
      </c>
      <c r="E3" s="24"/>
      <c r="F3" s="23" t="s">
        <v>999</v>
      </c>
      <c r="G3" s="25" t="s">
        <v>1000</v>
      </c>
      <c r="H3" s="26">
        <v>1</v>
      </c>
      <c r="I3" s="127"/>
      <c r="J3" s="26">
        <v>1</v>
      </c>
      <c r="K3" s="55"/>
      <c r="L3" s="79"/>
      <c r="M3" s="77"/>
    </row>
    <row r="4" spans="2:13">
      <c r="B4" s="29" t="s">
        <v>11</v>
      </c>
      <c r="C4" s="80" t="s">
        <v>1001</v>
      </c>
      <c r="D4" s="29" t="s">
        <v>1002</v>
      </c>
      <c r="E4" s="29" t="s">
        <v>998</v>
      </c>
      <c r="F4" s="29" t="s">
        <v>1003</v>
      </c>
      <c r="G4" s="29" t="s">
        <v>1003</v>
      </c>
      <c r="H4" s="48">
        <v>2</v>
      </c>
      <c r="I4" s="128"/>
      <c r="J4" s="48">
        <v>1</v>
      </c>
      <c r="K4" s="81"/>
      <c r="L4" s="82"/>
      <c r="M4" s="77"/>
    </row>
    <row r="5" spans="2:13">
      <c r="B5" s="31" t="s">
        <v>427</v>
      </c>
      <c r="C5" s="31" t="s">
        <v>1001</v>
      </c>
      <c r="D5" s="31" t="s">
        <v>1004</v>
      </c>
      <c r="E5" s="33" t="s">
        <v>1002</v>
      </c>
      <c r="F5" s="31" t="s">
        <v>1005</v>
      </c>
      <c r="G5" s="31" t="s">
        <v>1006</v>
      </c>
      <c r="H5" s="33">
        <v>3</v>
      </c>
      <c r="I5" s="32"/>
      <c r="J5" s="33">
        <v>1</v>
      </c>
      <c r="K5" s="33"/>
      <c r="L5" s="36"/>
      <c r="M5" s="83"/>
    </row>
    <row r="6" spans="2:13">
      <c r="B6" s="34" t="s">
        <v>427</v>
      </c>
      <c r="C6" s="34" t="s">
        <v>1001</v>
      </c>
      <c r="D6" s="34" t="s">
        <v>1007</v>
      </c>
      <c r="E6" t="s">
        <v>1004</v>
      </c>
      <c r="F6" s="34" t="s">
        <v>1007</v>
      </c>
      <c r="G6" s="34" t="s">
        <v>1008</v>
      </c>
      <c r="H6">
        <v>4</v>
      </c>
      <c r="I6" s="34" t="s">
        <v>1009</v>
      </c>
      <c r="J6">
        <v>1</v>
      </c>
      <c r="L6" s="8"/>
      <c r="M6" s="84" t="s">
        <v>1010</v>
      </c>
    </row>
    <row r="7" spans="2:13">
      <c r="B7" s="31" t="s">
        <v>427</v>
      </c>
      <c r="C7" s="31" t="s">
        <v>1001</v>
      </c>
      <c r="D7" s="31" t="s">
        <v>1011</v>
      </c>
      <c r="E7" s="33" t="s">
        <v>1002</v>
      </c>
      <c r="F7" s="31" t="s">
        <v>1012</v>
      </c>
      <c r="G7" s="31" t="s">
        <v>1013</v>
      </c>
      <c r="H7" s="33">
        <v>3</v>
      </c>
      <c r="I7" s="32"/>
      <c r="J7" s="33">
        <v>2</v>
      </c>
      <c r="K7" s="33"/>
      <c r="L7" s="36"/>
      <c r="M7" s="27"/>
    </row>
    <row r="8" spans="2:13">
      <c r="B8" s="34" t="s">
        <v>427</v>
      </c>
      <c r="C8" s="34" t="s">
        <v>1001</v>
      </c>
      <c r="D8" s="34" t="s">
        <v>1014</v>
      </c>
      <c r="E8" s="7" t="s">
        <v>1011</v>
      </c>
      <c r="F8" s="34" t="s">
        <v>1014</v>
      </c>
      <c r="G8" s="34" t="s">
        <v>1015</v>
      </c>
      <c r="H8">
        <v>4</v>
      </c>
      <c r="I8" s="34" t="s">
        <v>1009</v>
      </c>
      <c r="J8">
        <v>1</v>
      </c>
      <c r="L8" s="8"/>
      <c r="M8" s="27" t="s">
        <v>1010</v>
      </c>
    </row>
    <row r="9" spans="2:13">
      <c r="B9" s="31" t="s">
        <v>427</v>
      </c>
      <c r="C9" s="31" t="s">
        <v>1001</v>
      </c>
      <c r="D9" s="31" t="s">
        <v>1016</v>
      </c>
      <c r="E9" s="33" t="s">
        <v>1002</v>
      </c>
      <c r="F9" s="31" t="s">
        <v>1017</v>
      </c>
      <c r="G9" s="31" t="s">
        <v>1018</v>
      </c>
      <c r="H9" s="33">
        <v>3</v>
      </c>
      <c r="I9" s="32"/>
      <c r="J9" s="33">
        <v>3</v>
      </c>
      <c r="K9" s="33"/>
      <c r="L9" s="36" t="s">
        <v>1019</v>
      </c>
      <c r="M9" s="77"/>
    </row>
    <row r="10" spans="2:13">
      <c r="B10" s="34" t="s">
        <v>427</v>
      </c>
      <c r="C10" s="34" t="s">
        <v>1001</v>
      </c>
      <c r="D10" s="34" t="s">
        <v>1020</v>
      </c>
      <c r="E10" s="7" t="s">
        <v>1021</v>
      </c>
      <c r="F10" s="34" t="s">
        <v>1020</v>
      </c>
      <c r="G10" s="34" t="s">
        <v>1022</v>
      </c>
      <c r="H10">
        <v>4</v>
      </c>
      <c r="I10" s="34" t="s">
        <v>1009</v>
      </c>
      <c r="J10">
        <v>1</v>
      </c>
      <c r="L10" s="8"/>
      <c r="M10" s="84" t="s">
        <v>1023</v>
      </c>
    </row>
    <row r="11" spans="2:13">
      <c r="B11" s="31" t="s">
        <v>11</v>
      </c>
      <c r="C11" s="31" t="s">
        <v>1001</v>
      </c>
      <c r="D11" s="31" t="s">
        <v>1024</v>
      </c>
      <c r="E11" s="33" t="s">
        <v>1002</v>
      </c>
      <c r="F11" s="31" t="s">
        <v>1025</v>
      </c>
      <c r="G11" s="31" t="s">
        <v>1026</v>
      </c>
      <c r="H11" s="33">
        <v>3</v>
      </c>
      <c r="I11" s="32"/>
      <c r="J11" s="33">
        <v>4</v>
      </c>
      <c r="K11" s="33"/>
      <c r="L11" s="36"/>
      <c r="M11" s="77"/>
    </row>
    <row r="12" spans="2:13">
      <c r="B12" s="34" t="s">
        <v>427</v>
      </c>
      <c r="C12" s="34" t="s">
        <v>1001</v>
      </c>
      <c r="D12" s="34" t="s">
        <v>1027</v>
      </c>
      <c r="E12" t="s">
        <v>1024</v>
      </c>
      <c r="F12" s="34" t="s">
        <v>1027</v>
      </c>
      <c r="G12" s="34" t="s">
        <v>1028</v>
      </c>
      <c r="H12">
        <v>4</v>
      </c>
      <c r="I12" s="34" t="s">
        <v>1009</v>
      </c>
      <c r="J12">
        <v>1</v>
      </c>
      <c r="L12" s="8"/>
      <c r="M12" s="84" t="s">
        <v>1010</v>
      </c>
    </row>
    <row r="13" spans="2:13">
      <c r="B13" s="31" t="s">
        <v>427</v>
      </c>
      <c r="C13" s="31" t="s">
        <v>1001</v>
      </c>
      <c r="D13" s="31" t="s">
        <v>1029</v>
      </c>
      <c r="E13" s="33" t="s">
        <v>1002</v>
      </c>
      <c r="F13" s="31" t="s">
        <v>1030</v>
      </c>
      <c r="G13" s="31" t="s">
        <v>1031</v>
      </c>
      <c r="H13" s="33">
        <v>3</v>
      </c>
      <c r="I13" s="32"/>
      <c r="J13" s="33">
        <v>5</v>
      </c>
      <c r="K13" s="33"/>
      <c r="L13" s="36"/>
      <c r="M13" s="27"/>
    </row>
    <row r="14" spans="2:13">
      <c r="B14" s="34" t="s">
        <v>427</v>
      </c>
      <c r="C14" s="34" t="s">
        <v>1001</v>
      </c>
      <c r="D14" s="34" t="s">
        <v>1032</v>
      </c>
      <c r="E14" s="7" t="s">
        <v>1021</v>
      </c>
      <c r="F14" s="34" t="s">
        <v>1032</v>
      </c>
      <c r="G14" s="34" t="s">
        <v>1033</v>
      </c>
      <c r="H14">
        <v>4</v>
      </c>
      <c r="I14" s="34" t="s">
        <v>1009</v>
      </c>
      <c r="J14">
        <v>1</v>
      </c>
      <c r="L14" s="8"/>
      <c r="M14" s="27" t="s">
        <v>1034</v>
      </c>
    </row>
    <row r="15" spans="2:13">
      <c r="B15" s="34" t="s">
        <v>427</v>
      </c>
      <c r="C15" s="34" t="s">
        <v>1001</v>
      </c>
      <c r="D15" s="34" t="s">
        <v>1035</v>
      </c>
      <c r="E15" s="7" t="s">
        <v>1021</v>
      </c>
      <c r="F15" s="34" t="s">
        <v>1035</v>
      </c>
      <c r="G15" s="34" t="s">
        <v>1036</v>
      </c>
      <c r="H15">
        <v>4</v>
      </c>
      <c r="I15" s="34" t="s">
        <v>1009</v>
      </c>
      <c r="J15">
        <v>2</v>
      </c>
      <c r="L15" s="8"/>
      <c r="M15" s="27" t="s">
        <v>240</v>
      </c>
    </row>
    <row r="16" spans="2:13">
      <c r="B16" s="31" t="s">
        <v>427</v>
      </c>
      <c r="C16" s="31" t="s">
        <v>1001</v>
      </c>
      <c r="D16" s="31" t="s">
        <v>1037</v>
      </c>
      <c r="E16" s="33" t="s">
        <v>1002</v>
      </c>
      <c r="F16" s="31" t="s">
        <v>1038</v>
      </c>
      <c r="G16" s="31" t="s">
        <v>1039</v>
      </c>
      <c r="H16" s="33">
        <v>3</v>
      </c>
      <c r="I16" s="32"/>
      <c r="J16" s="33">
        <v>6</v>
      </c>
      <c r="K16" s="33"/>
      <c r="L16" s="36"/>
      <c r="M16" s="27"/>
    </row>
    <row r="17" spans="2:13">
      <c r="B17" s="34" t="s">
        <v>427</v>
      </c>
      <c r="C17" s="34" t="s">
        <v>1001</v>
      </c>
      <c r="D17" s="34" t="s">
        <v>1040</v>
      </c>
      <c r="E17" s="7" t="s">
        <v>1037</v>
      </c>
      <c r="F17" s="34" t="s">
        <v>1040</v>
      </c>
      <c r="G17" s="34" t="s">
        <v>1041</v>
      </c>
      <c r="H17">
        <v>4</v>
      </c>
      <c r="I17" s="34" t="s">
        <v>1009</v>
      </c>
      <c r="J17">
        <v>1</v>
      </c>
      <c r="L17" s="8"/>
      <c r="M17" s="27" t="s">
        <v>1042</v>
      </c>
    </row>
    <row r="18" spans="2:13">
      <c r="B18" s="31" t="s">
        <v>427</v>
      </c>
      <c r="C18" s="31" t="s">
        <v>1001</v>
      </c>
      <c r="D18" s="31" t="s">
        <v>1043</v>
      </c>
      <c r="E18" s="33" t="s">
        <v>1002</v>
      </c>
      <c r="F18" s="31" t="s">
        <v>1044</v>
      </c>
      <c r="G18" s="31" t="s">
        <v>1045</v>
      </c>
      <c r="H18" s="33">
        <v>3</v>
      </c>
      <c r="I18" s="32"/>
      <c r="J18" s="33">
        <v>7</v>
      </c>
      <c r="K18" s="33"/>
      <c r="L18" s="36"/>
      <c r="M18" s="27"/>
    </row>
    <row r="19" spans="2:13">
      <c r="B19" s="34" t="s">
        <v>427</v>
      </c>
      <c r="C19" s="34" t="s">
        <v>1001</v>
      </c>
      <c r="D19" s="34" t="s">
        <v>1046</v>
      </c>
      <c r="E19" t="s">
        <v>1047</v>
      </c>
      <c r="F19" s="34" t="s">
        <v>1046</v>
      </c>
      <c r="G19" s="34" t="s">
        <v>1048</v>
      </c>
      <c r="H19">
        <v>4</v>
      </c>
      <c r="I19" s="34" t="s">
        <v>1009</v>
      </c>
      <c r="J19">
        <v>1</v>
      </c>
      <c r="L19" s="8"/>
      <c r="M19" s="27" t="s">
        <v>1042</v>
      </c>
    </row>
    <row r="20" spans="2:13">
      <c r="B20" s="31" t="s">
        <v>427</v>
      </c>
      <c r="C20" s="31" t="s">
        <v>1001</v>
      </c>
      <c r="D20" s="31" t="s">
        <v>1049</v>
      </c>
      <c r="E20" s="33" t="s">
        <v>1002</v>
      </c>
      <c r="F20" s="31" t="s">
        <v>1050</v>
      </c>
      <c r="G20" s="31" t="s">
        <v>1051</v>
      </c>
      <c r="H20" s="33">
        <v>3</v>
      </c>
      <c r="I20" s="32"/>
      <c r="J20" s="33">
        <v>8</v>
      </c>
      <c r="K20" s="33"/>
      <c r="L20" s="36"/>
      <c r="M20" s="27"/>
    </row>
    <row r="21" spans="2:13">
      <c r="B21" s="34" t="s">
        <v>427</v>
      </c>
      <c r="C21" s="34" t="s">
        <v>1001</v>
      </c>
      <c r="D21" s="34" t="s">
        <v>1052</v>
      </c>
      <c r="E21" s="7" t="s">
        <v>1049</v>
      </c>
      <c r="F21" s="34" t="s">
        <v>1052</v>
      </c>
      <c r="G21" s="34" t="s">
        <v>1053</v>
      </c>
      <c r="H21">
        <v>4</v>
      </c>
      <c r="I21" s="34" t="s">
        <v>1009</v>
      </c>
      <c r="J21">
        <v>1</v>
      </c>
      <c r="L21" s="8"/>
      <c r="M21" s="27" t="s">
        <v>1054</v>
      </c>
    </row>
    <row r="22" spans="2:13">
      <c r="B22" s="34" t="s">
        <v>427</v>
      </c>
      <c r="C22" s="34" t="s">
        <v>1001</v>
      </c>
      <c r="D22" s="34" t="s">
        <v>1055</v>
      </c>
      <c r="E22" t="s">
        <v>1056</v>
      </c>
      <c r="F22" s="34" t="s">
        <v>1057</v>
      </c>
      <c r="G22" s="34" t="s">
        <v>1057</v>
      </c>
      <c r="H22">
        <v>4</v>
      </c>
      <c r="I22" s="34" t="s">
        <v>1009</v>
      </c>
      <c r="J22">
        <v>2</v>
      </c>
      <c r="L22" s="8"/>
      <c r="M22" s="27" t="s">
        <v>1054</v>
      </c>
    </row>
    <row r="23" spans="2:13">
      <c r="B23" s="31" t="s">
        <v>427</v>
      </c>
      <c r="C23" s="31" t="s">
        <v>1001</v>
      </c>
      <c r="D23" s="31" t="s">
        <v>1058</v>
      </c>
      <c r="E23" s="33" t="s">
        <v>1002</v>
      </c>
      <c r="F23" s="31" t="s">
        <v>1059</v>
      </c>
      <c r="G23" s="31" t="s">
        <v>1060</v>
      </c>
      <c r="H23" s="33">
        <v>3</v>
      </c>
      <c r="I23" s="32"/>
      <c r="J23" s="33">
        <v>9</v>
      </c>
      <c r="K23" s="33"/>
      <c r="L23" s="36"/>
      <c r="M23" s="27"/>
    </row>
    <row r="24" spans="2:13">
      <c r="B24" s="34" t="s">
        <v>427</v>
      </c>
      <c r="C24" s="34" t="s">
        <v>1001</v>
      </c>
      <c r="D24" s="34" t="s">
        <v>1061</v>
      </c>
      <c r="E24" s="7" t="s">
        <v>1058</v>
      </c>
      <c r="F24" s="34" t="s">
        <v>1062</v>
      </c>
      <c r="G24" s="34" t="s">
        <v>1063</v>
      </c>
      <c r="H24">
        <v>4</v>
      </c>
      <c r="I24" s="34" t="s">
        <v>1009</v>
      </c>
      <c r="J24">
        <v>1</v>
      </c>
      <c r="L24" s="8"/>
      <c r="M24" s="27" t="s">
        <v>1042</v>
      </c>
    </row>
    <row r="25" spans="2:13">
      <c r="B25" s="34" t="s">
        <v>427</v>
      </c>
      <c r="C25" s="34" t="s">
        <v>1001</v>
      </c>
      <c r="D25" s="34" t="s">
        <v>1064</v>
      </c>
      <c r="E25" t="s">
        <v>1065</v>
      </c>
      <c r="F25" s="34" t="s">
        <v>1066</v>
      </c>
      <c r="G25" s="34" t="s">
        <v>1067</v>
      </c>
      <c r="H25">
        <v>4</v>
      </c>
      <c r="I25" s="34" t="s">
        <v>1009</v>
      </c>
      <c r="J25">
        <v>2</v>
      </c>
      <c r="L25" s="8"/>
      <c r="M25" s="27" t="s">
        <v>1042</v>
      </c>
    </row>
    <row r="26" spans="2:13">
      <c r="B26" s="34" t="s">
        <v>427</v>
      </c>
      <c r="C26" s="34" t="s">
        <v>1001</v>
      </c>
      <c r="D26" s="34" t="s">
        <v>1068</v>
      </c>
      <c r="E26" s="7" t="s">
        <v>1065</v>
      </c>
      <c r="F26" s="34" t="s">
        <v>1069</v>
      </c>
      <c r="G26" s="34" t="s">
        <v>1070</v>
      </c>
      <c r="H26">
        <v>4</v>
      </c>
      <c r="I26" s="34" t="s">
        <v>1009</v>
      </c>
      <c r="J26">
        <v>3</v>
      </c>
      <c r="L26" s="8"/>
      <c r="M26" s="27" t="s">
        <v>1042</v>
      </c>
    </row>
    <row r="27" spans="2:13">
      <c r="B27" s="29" t="s">
        <v>11</v>
      </c>
      <c r="C27" s="80" t="s">
        <v>1071</v>
      </c>
      <c r="D27" s="29" t="s">
        <v>1072</v>
      </c>
      <c r="E27" s="29" t="s">
        <v>998</v>
      </c>
      <c r="F27" s="29" t="s">
        <v>1073</v>
      </c>
      <c r="G27" s="29" t="s">
        <v>1074</v>
      </c>
      <c r="H27" s="30">
        <v>2</v>
      </c>
      <c r="I27" s="125"/>
      <c r="J27" s="30">
        <v>2</v>
      </c>
      <c r="K27" s="30"/>
      <c r="L27" s="37"/>
      <c r="M27" s="27"/>
    </row>
    <row r="28" spans="2:13">
      <c r="B28" s="31" t="s">
        <v>427</v>
      </c>
      <c r="C28" s="31" t="s">
        <v>997</v>
      </c>
      <c r="D28" s="31" t="s">
        <v>1075</v>
      </c>
      <c r="E28" s="33" t="s">
        <v>1072</v>
      </c>
      <c r="F28" s="31" t="s">
        <v>1076</v>
      </c>
      <c r="G28" s="31" t="s">
        <v>1077</v>
      </c>
      <c r="H28" s="33">
        <v>3</v>
      </c>
      <c r="I28" s="32" t="s">
        <v>1009</v>
      </c>
      <c r="J28" s="33">
        <v>1</v>
      </c>
      <c r="K28" s="33"/>
      <c r="L28" s="36"/>
      <c r="M28" s="27" t="s">
        <v>1042</v>
      </c>
    </row>
    <row r="29" spans="2:13">
      <c r="B29" s="31" t="s">
        <v>427</v>
      </c>
      <c r="C29" s="31" t="s">
        <v>1078</v>
      </c>
      <c r="D29" s="31" t="s">
        <v>1079</v>
      </c>
      <c r="E29" s="33" t="s">
        <v>1072</v>
      </c>
      <c r="F29" s="31" t="s">
        <v>1080</v>
      </c>
      <c r="G29" s="31" t="s">
        <v>1080</v>
      </c>
      <c r="H29" s="33">
        <v>3</v>
      </c>
      <c r="I29" s="32" t="s">
        <v>1009</v>
      </c>
      <c r="J29" s="33">
        <v>2</v>
      </c>
      <c r="K29" s="33"/>
      <c r="L29" s="36"/>
      <c r="M29" s="27" t="s">
        <v>1042</v>
      </c>
    </row>
    <row r="30" spans="2:13">
      <c r="B30" s="31" t="s">
        <v>427</v>
      </c>
      <c r="C30" s="31" t="s">
        <v>1078</v>
      </c>
      <c r="D30" s="31" t="s">
        <v>1081</v>
      </c>
      <c r="E30" s="33" t="s">
        <v>1072</v>
      </c>
      <c r="F30" s="31" t="s">
        <v>1082</v>
      </c>
      <c r="G30" s="31" t="s">
        <v>1083</v>
      </c>
      <c r="H30" s="33">
        <v>3</v>
      </c>
      <c r="I30" s="32" t="s">
        <v>1009</v>
      </c>
      <c r="J30" s="33">
        <v>3</v>
      </c>
      <c r="K30" s="33"/>
      <c r="L30" s="36"/>
      <c r="M30" s="27" t="s">
        <v>1042</v>
      </c>
    </row>
    <row r="31" spans="2:13">
      <c r="B31" s="31" t="s">
        <v>427</v>
      </c>
      <c r="C31" s="31" t="s">
        <v>1078</v>
      </c>
      <c r="D31" s="31" t="s">
        <v>1084</v>
      </c>
      <c r="E31" s="33" t="s">
        <v>1072</v>
      </c>
      <c r="F31" s="31" t="s">
        <v>1085</v>
      </c>
      <c r="G31" s="31" t="s">
        <v>1086</v>
      </c>
      <c r="H31" s="33">
        <v>3</v>
      </c>
      <c r="I31" s="32"/>
      <c r="J31" s="33">
        <v>4</v>
      </c>
      <c r="K31" s="33"/>
      <c r="L31" s="36"/>
      <c r="M31" s="27"/>
    </row>
    <row r="32" spans="2:13">
      <c r="B32" s="34" t="s">
        <v>11</v>
      </c>
      <c r="C32" s="34" t="s">
        <v>1078</v>
      </c>
      <c r="D32" s="34" t="s">
        <v>1087</v>
      </c>
      <c r="E32" s="7" t="s">
        <v>1084</v>
      </c>
      <c r="F32" s="34" t="s">
        <v>1088</v>
      </c>
      <c r="G32" s="34" t="s">
        <v>1089</v>
      </c>
      <c r="H32">
        <v>4</v>
      </c>
      <c r="I32" s="34" t="s">
        <v>1009</v>
      </c>
      <c r="J32">
        <v>1</v>
      </c>
      <c r="L32" s="8" t="s">
        <v>1090</v>
      </c>
      <c r="M32" s="27" t="s">
        <v>1042</v>
      </c>
    </row>
    <row r="33" spans="2:13">
      <c r="B33" s="29" t="s">
        <v>11</v>
      </c>
      <c r="C33" s="80" t="s">
        <v>1091</v>
      </c>
      <c r="D33" s="29" t="s">
        <v>1092</v>
      </c>
      <c r="E33" s="29" t="s">
        <v>998</v>
      </c>
      <c r="F33" s="29" t="s">
        <v>1093</v>
      </c>
      <c r="G33" s="29" t="s">
        <v>1094</v>
      </c>
      <c r="H33" s="30">
        <v>2</v>
      </c>
      <c r="I33" s="125"/>
      <c r="J33" s="30">
        <v>3</v>
      </c>
      <c r="K33" s="30"/>
      <c r="L33" s="37"/>
      <c r="M33" s="27"/>
    </row>
    <row r="34" spans="2:13">
      <c r="B34" s="31" t="s">
        <v>427</v>
      </c>
      <c r="C34" s="31" t="s">
        <v>1078</v>
      </c>
      <c r="D34" s="31" t="s">
        <v>1095</v>
      </c>
      <c r="E34" s="78" t="s">
        <v>1092</v>
      </c>
      <c r="F34" s="31" t="s">
        <v>1096</v>
      </c>
      <c r="G34" s="31" t="s">
        <v>1097</v>
      </c>
      <c r="H34" s="33">
        <v>3</v>
      </c>
      <c r="I34" s="32" t="s">
        <v>1009</v>
      </c>
      <c r="J34" s="33">
        <v>1</v>
      </c>
      <c r="K34" s="33"/>
      <c r="L34" s="36"/>
      <c r="M34" s="27" t="s">
        <v>1098</v>
      </c>
    </row>
    <row r="35" spans="2:13">
      <c r="B35" s="31" t="s">
        <v>427</v>
      </c>
      <c r="C35" s="31" t="s">
        <v>1078</v>
      </c>
      <c r="D35" s="31" t="s">
        <v>1099</v>
      </c>
      <c r="E35" s="78" t="s">
        <v>1092</v>
      </c>
      <c r="F35" s="31" t="s">
        <v>1100</v>
      </c>
      <c r="G35" s="31" t="s">
        <v>1101</v>
      </c>
      <c r="H35" s="33">
        <v>3</v>
      </c>
      <c r="I35" s="32" t="s">
        <v>1009</v>
      </c>
      <c r="J35" s="33">
        <v>2</v>
      </c>
      <c r="K35" s="33"/>
      <c r="L35" s="36"/>
      <c r="M35" s="27" t="s">
        <v>1098</v>
      </c>
    </row>
    <row r="36" spans="2:13">
      <c r="B36" s="29" t="s">
        <v>11</v>
      </c>
      <c r="C36" s="80" t="s">
        <v>1102</v>
      </c>
      <c r="D36" s="29" t="s">
        <v>1103</v>
      </c>
      <c r="E36" s="29" t="s">
        <v>998</v>
      </c>
      <c r="F36" s="29" t="s">
        <v>1104</v>
      </c>
      <c r="G36" s="47" t="s">
        <v>1104</v>
      </c>
      <c r="H36" s="48">
        <v>2</v>
      </c>
      <c r="I36" s="128"/>
      <c r="J36" s="48">
        <v>4</v>
      </c>
      <c r="K36" s="81"/>
      <c r="L36" s="82"/>
      <c r="M36" s="77"/>
    </row>
    <row r="37" spans="2:13">
      <c r="B37" s="32" t="s">
        <v>427</v>
      </c>
      <c r="C37" s="32" t="s">
        <v>1105</v>
      </c>
      <c r="D37" s="32" t="s">
        <v>1106</v>
      </c>
      <c r="E37" s="32" t="s">
        <v>1107</v>
      </c>
      <c r="F37" s="32" t="s">
        <v>1108</v>
      </c>
      <c r="G37" s="32" t="s">
        <v>1109</v>
      </c>
      <c r="H37" s="32">
        <v>3</v>
      </c>
      <c r="I37" s="32"/>
      <c r="J37" s="32">
        <v>1</v>
      </c>
      <c r="K37" s="32"/>
      <c r="L37" s="35" t="s">
        <v>1110</v>
      </c>
      <c r="M37" s="27" t="s">
        <v>1042</v>
      </c>
    </row>
    <row r="38" spans="2:13">
      <c r="B38" s="34" t="s">
        <v>427</v>
      </c>
      <c r="C38" s="34" t="s">
        <v>1105</v>
      </c>
      <c r="D38" s="34" t="s">
        <v>1111</v>
      </c>
      <c r="E38" s="34" t="s">
        <v>1107</v>
      </c>
      <c r="F38" s="34" t="s">
        <v>1111</v>
      </c>
      <c r="G38" s="34" t="s">
        <v>1111</v>
      </c>
      <c r="H38" s="34">
        <v>4</v>
      </c>
      <c r="I38" s="34" t="s">
        <v>1009</v>
      </c>
      <c r="J38" s="34">
        <v>1</v>
      </c>
      <c r="K38" s="34"/>
      <c r="L38" s="8" t="s">
        <v>1110</v>
      </c>
      <c r="M38" s="27"/>
    </row>
    <row r="39" spans="2:13">
      <c r="B39" s="32" t="s">
        <v>427</v>
      </c>
      <c r="C39" s="32" t="s">
        <v>1105</v>
      </c>
      <c r="D39" s="32"/>
      <c r="E39" s="32"/>
      <c r="F39" s="32" t="s">
        <v>1112</v>
      </c>
      <c r="G39" s="32" t="s">
        <v>1113</v>
      </c>
      <c r="H39" s="32">
        <v>3</v>
      </c>
      <c r="I39" s="32"/>
      <c r="J39" s="32"/>
      <c r="K39" s="32"/>
      <c r="L39" s="35"/>
      <c r="M39" s="27"/>
    </row>
    <row r="40" spans="2:13">
      <c r="B40" s="34" t="s">
        <v>427</v>
      </c>
      <c r="C40" s="34" t="s">
        <v>1105</v>
      </c>
      <c r="D40" s="34" t="s">
        <v>1061</v>
      </c>
      <c r="E40" s="34" t="s">
        <v>1065</v>
      </c>
      <c r="F40" s="34" t="s">
        <v>1114</v>
      </c>
      <c r="G40" s="34" t="s">
        <v>1115</v>
      </c>
      <c r="H40" s="34">
        <v>4</v>
      </c>
      <c r="I40" s="34" t="s">
        <v>1009</v>
      </c>
      <c r="J40" s="34">
        <v>1</v>
      </c>
      <c r="K40" s="34"/>
      <c r="L40" s="8" t="s">
        <v>1116</v>
      </c>
      <c r="M40" s="27" t="s">
        <v>1042</v>
      </c>
    </row>
    <row r="41" spans="2:13">
      <c r="B41" s="125" t="s">
        <v>427</v>
      </c>
      <c r="C41" s="125" t="s">
        <v>1078</v>
      </c>
      <c r="D41" s="125" t="s">
        <v>1117</v>
      </c>
      <c r="E41" s="125" t="s">
        <v>1021</v>
      </c>
      <c r="F41" s="125" t="s">
        <v>1118</v>
      </c>
      <c r="G41" s="125" t="s">
        <v>1119</v>
      </c>
      <c r="H41" s="125">
        <v>2</v>
      </c>
      <c r="I41" s="125"/>
      <c r="J41" s="125">
        <v>5</v>
      </c>
      <c r="K41" s="125"/>
      <c r="L41" s="126"/>
      <c r="M41" s="27"/>
    </row>
  </sheetData>
  <sortState xmlns:xlrd2="http://schemas.microsoft.com/office/spreadsheetml/2017/richdata2" ref="B4:L22">
    <sortCondition ref="L4:L22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B40F-715A-46D7-AD71-742F22B4CD46}">
  <sheetPr>
    <tabColor theme="1" tint="0.499984740745262"/>
  </sheetPr>
  <dimension ref="A2:D56"/>
  <sheetViews>
    <sheetView topLeftCell="A38" zoomScale="85" zoomScaleNormal="85" workbookViewId="0">
      <selection activeCell="I71" sqref="I71"/>
    </sheetView>
  </sheetViews>
  <sheetFormatPr defaultRowHeight="16.5"/>
  <cols>
    <col min="2" max="2" width="15.375" bestFit="1" customWidth="1"/>
    <col min="3" max="3" width="36.375" bestFit="1" customWidth="1"/>
    <col min="4" max="4" width="22.125" bestFit="1" customWidth="1"/>
  </cols>
  <sheetData>
    <row r="2" spans="2:4">
      <c r="B2" s="42" t="s">
        <v>1120</v>
      </c>
      <c r="C2" s="42" t="s">
        <v>1121</v>
      </c>
      <c r="D2" s="42" t="s">
        <v>1122</v>
      </c>
    </row>
    <row r="3" spans="2:4">
      <c r="B3" s="41" t="s">
        <v>1123</v>
      </c>
      <c r="C3" s="41" t="s">
        <v>1124</v>
      </c>
      <c r="D3" s="41" t="s">
        <v>1125</v>
      </c>
    </row>
    <row r="4" spans="2:4">
      <c r="B4" s="41" t="s">
        <v>1126</v>
      </c>
      <c r="C4" s="41" t="s">
        <v>1127</v>
      </c>
      <c r="D4" s="41" t="s">
        <v>1128</v>
      </c>
    </row>
    <row r="5" spans="2:4">
      <c r="B5" s="34" t="s">
        <v>1129</v>
      </c>
      <c r="C5" s="34" t="s">
        <v>1130</v>
      </c>
      <c r="D5" s="34" t="s">
        <v>1131</v>
      </c>
    </row>
    <row r="6" spans="2:4">
      <c r="B6" s="34" t="s">
        <v>1132</v>
      </c>
      <c r="C6" s="34" t="s">
        <v>1133</v>
      </c>
      <c r="D6" s="34" t="s">
        <v>1134</v>
      </c>
    </row>
    <row r="7" spans="2:4">
      <c r="B7" s="34" t="s">
        <v>1135</v>
      </c>
      <c r="C7" s="34" t="s">
        <v>1136</v>
      </c>
      <c r="D7" s="34" t="s">
        <v>1137</v>
      </c>
    </row>
    <row r="8" spans="2:4">
      <c r="B8" s="34" t="s">
        <v>1138</v>
      </c>
      <c r="C8" s="34" t="s">
        <v>1139</v>
      </c>
      <c r="D8" s="34" t="s">
        <v>1140</v>
      </c>
    </row>
    <row r="9" spans="2:4">
      <c r="B9" s="34" t="s">
        <v>1141</v>
      </c>
      <c r="C9" s="1" t="s">
        <v>1142</v>
      </c>
      <c r="D9" s="1" t="s">
        <v>1143</v>
      </c>
    </row>
    <row r="10" spans="2:4">
      <c r="B10" s="1" t="s">
        <v>1144</v>
      </c>
      <c r="C10" s="1" t="s">
        <v>1145</v>
      </c>
      <c r="D10" s="1" t="s">
        <v>1145</v>
      </c>
    </row>
    <row r="11" spans="2:4">
      <c r="B11" s="34" t="s">
        <v>1146</v>
      </c>
      <c r="C11" s="1" t="s">
        <v>1147</v>
      </c>
      <c r="D11" s="1" t="s">
        <v>1148</v>
      </c>
    </row>
    <row r="12" spans="2:4">
      <c r="B12" s="34" t="s">
        <v>1149</v>
      </c>
      <c r="C12" s="34" t="s">
        <v>1150</v>
      </c>
      <c r="D12" s="34" t="s">
        <v>1151</v>
      </c>
    </row>
    <row r="13" spans="2:4">
      <c r="B13" s="34" t="s">
        <v>1152</v>
      </c>
      <c r="C13" s="34" t="s">
        <v>1153</v>
      </c>
      <c r="D13" s="34" t="s">
        <v>1154</v>
      </c>
    </row>
    <row r="14" spans="2:4">
      <c r="B14" s="34" t="s">
        <v>1155</v>
      </c>
      <c r="C14" s="1" t="s">
        <v>1156</v>
      </c>
      <c r="D14" s="1" t="s">
        <v>1157</v>
      </c>
    </row>
    <row r="15" spans="2:4">
      <c r="B15" s="34" t="s">
        <v>1158</v>
      </c>
      <c r="C15" s="34" t="s">
        <v>1159</v>
      </c>
      <c r="D15" s="34" t="s">
        <v>1160</v>
      </c>
    </row>
    <row r="16" spans="2:4">
      <c r="B16" s="34" t="s">
        <v>1161</v>
      </c>
      <c r="C16" s="34" t="s">
        <v>1162</v>
      </c>
      <c r="D16" s="34" t="s">
        <v>1163</v>
      </c>
    </row>
    <row r="17" spans="2:4">
      <c r="B17" s="34" t="s">
        <v>1164</v>
      </c>
      <c r="C17" s="34" t="s">
        <v>1165</v>
      </c>
      <c r="D17" s="34" t="s">
        <v>1166</v>
      </c>
    </row>
    <row r="18" spans="2:4">
      <c r="B18" s="34" t="s">
        <v>1167</v>
      </c>
      <c r="C18" s="1" t="s">
        <v>1168</v>
      </c>
      <c r="D18" s="1" t="s">
        <v>1169</v>
      </c>
    </row>
    <row r="19" spans="2:4">
      <c r="B19" s="34" t="s">
        <v>1170</v>
      </c>
      <c r="C19" s="34" t="s">
        <v>1171</v>
      </c>
      <c r="D19" s="34" t="s">
        <v>1172</v>
      </c>
    </row>
    <row r="20" spans="2:4">
      <c r="B20" s="34" t="s">
        <v>1173</v>
      </c>
      <c r="C20" s="34" t="s">
        <v>1174</v>
      </c>
      <c r="D20" s="34" t="s">
        <v>1175</v>
      </c>
    </row>
    <row r="21" spans="2:4">
      <c r="B21" s="34" t="s">
        <v>1176</v>
      </c>
      <c r="C21" s="1" t="s">
        <v>1177</v>
      </c>
      <c r="D21" s="1" t="s">
        <v>1178</v>
      </c>
    </row>
    <row r="22" spans="2:4">
      <c r="B22" s="34" t="s">
        <v>1179</v>
      </c>
      <c r="C22" s="34" t="s">
        <v>1180</v>
      </c>
      <c r="D22" s="34" t="s">
        <v>1181</v>
      </c>
    </row>
    <row r="23" spans="2:4">
      <c r="B23" s="129" t="s">
        <v>1182</v>
      </c>
      <c r="C23" s="129" t="s">
        <v>1183</v>
      </c>
      <c r="D23" s="129" t="s">
        <v>1184</v>
      </c>
    </row>
    <row r="24" spans="2:4">
      <c r="B24" s="34" t="s">
        <v>1185</v>
      </c>
      <c r="C24" s="1" t="s">
        <v>1186</v>
      </c>
      <c r="D24" s="1" t="s">
        <v>1187</v>
      </c>
    </row>
    <row r="25" spans="2:4">
      <c r="B25" s="1" t="s">
        <v>1188</v>
      </c>
      <c r="C25" s="1" t="s">
        <v>1189</v>
      </c>
      <c r="D25" s="1" t="s">
        <v>1190</v>
      </c>
    </row>
    <row r="26" spans="2:4">
      <c r="B26" s="34" t="s">
        <v>1191</v>
      </c>
      <c r="C26" s="1" t="s">
        <v>1192</v>
      </c>
      <c r="D26" s="1" t="s">
        <v>1193</v>
      </c>
    </row>
    <row r="27" spans="2:4">
      <c r="B27" s="34" t="s">
        <v>1194</v>
      </c>
      <c r="C27" s="34" t="s">
        <v>1195</v>
      </c>
      <c r="D27" s="34" t="s">
        <v>1196</v>
      </c>
    </row>
    <row r="28" spans="2:4">
      <c r="B28" s="34" t="s">
        <v>1197</v>
      </c>
      <c r="C28" s="34" t="s">
        <v>1198</v>
      </c>
      <c r="D28" s="34" t="s">
        <v>1199</v>
      </c>
    </row>
    <row r="29" spans="2:4">
      <c r="B29" s="34" t="s">
        <v>1200</v>
      </c>
      <c r="C29" s="34" t="s">
        <v>1201</v>
      </c>
      <c r="D29" s="34" t="s">
        <v>1202</v>
      </c>
    </row>
    <row r="30" spans="2:4">
      <c r="B30" s="34" t="s">
        <v>1203</v>
      </c>
      <c r="C30" s="34" t="s">
        <v>1204</v>
      </c>
      <c r="D30" s="34" t="s">
        <v>1205</v>
      </c>
    </row>
    <row r="31" spans="2:4">
      <c r="B31" s="34" t="s">
        <v>1206</v>
      </c>
      <c r="C31" s="1" t="s">
        <v>1207</v>
      </c>
      <c r="D31" s="1" t="s">
        <v>1208</v>
      </c>
    </row>
    <row r="32" spans="2:4">
      <c r="B32" s="34" t="s">
        <v>1209</v>
      </c>
      <c r="C32" s="34" t="s">
        <v>1210</v>
      </c>
      <c r="D32" s="34" t="s">
        <v>1211</v>
      </c>
    </row>
    <row r="33" spans="2:4">
      <c r="B33" s="34" t="s">
        <v>1212</v>
      </c>
      <c r="C33" s="34" t="s">
        <v>1213</v>
      </c>
      <c r="D33" s="34" t="s">
        <v>1214</v>
      </c>
    </row>
    <row r="34" spans="2:4">
      <c r="B34" s="34" t="s">
        <v>1215</v>
      </c>
      <c r="C34" s="34" t="s">
        <v>1216</v>
      </c>
      <c r="D34" s="34" t="s">
        <v>1217</v>
      </c>
    </row>
    <row r="35" spans="2:4">
      <c r="B35" s="34" t="s">
        <v>1218</v>
      </c>
      <c r="C35" s="1" t="s">
        <v>1219</v>
      </c>
      <c r="D35" s="1" t="s">
        <v>1220</v>
      </c>
    </row>
    <row r="36" spans="2:4">
      <c r="B36" s="34" t="s">
        <v>1221</v>
      </c>
      <c r="C36" s="34" t="s">
        <v>1222</v>
      </c>
      <c r="D36" s="34" t="s">
        <v>1223</v>
      </c>
    </row>
    <row r="37" spans="2:4">
      <c r="B37" s="34" t="s">
        <v>1224</v>
      </c>
      <c r="C37" s="34" t="s">
        <v>1225</v>
      </c>
      <c r="D37" s="34" t="s">
        <v>1226</v>
      </c>
    </row>
    <row r="38" spans="2:4">
      <c r="B38" s="34" t="s">
        <v>1227</v>
      </c>
      <c r="C38" s="34" t="s">
        <v>1228</v>
      </c>
      <c r="D38" s="34" t="s">
        <v>1229</v>
      </c>
    </row>
    <row r="39" spans="2:4">
      <c r="B39" s="34" t="s">
        <v>1230</v>
      </c>
      <c r="C39" s="1" t="s">
        <v>1231</v>
      </c>
      <c r="D39" s="1" t="s">
        <v>1232</v>
      </c>
    </row>
    <row r="40" spans="2:4">
      <c r="B40" s="34" t="s">
        <v>1233</v>
      </c>
      <c r="C40" s="34" t="s">
        <v>1234</v>
      </c>
      <c r="D40" s="34" t="s">
        <v>1235</v>
      </c>
    </row>
    <row r="41" spans="2:4">
      <c r="B41" s="34" t="s">
        <v>1236</v>
      </c>
      <c r="C41" s="34" t="s">
        <v>1237</v>
      </c>
      <c r="D41" s="34" t="s">
        <v>1238</v>
      </c>
    </row>
    <row r="42" spans="2:4">
      <c r="B42" s="34" t="s">
        <v>1239</v>
      </c>
      <c r="C42" s="34" t="s">
        <v>1240</v>
      </c>
      <c r="D42" s="34" t="s">
        <v>1241</v>
      </c>
    </row>
    <row r="43" spans="2:4">
      <c r="B43" s="34" t="s">
        <v>1242</v>
      </c>
      <c r="C43" s="1" t="s">
        <v>1243</v>
      </c>
      <c r="D43" s="1" t="s">
        <v>1244</v>
      </c>
    </row>
    <row r="44" spans="2:4">
      <c r="B44" s="34" t="s">
        <v>1245</v>
      </c>
      <c r="C44" s="34" t="s">
        <v>1246</v>
      </c>
      <c r="D44" s="34" t="s">
        <v>1247</v>
      </c>
    </row>
    <row r="45" spans="2:4">
      <c r="B45" s="1" t="s">
        <v>1248</v>
      </c>
      <c r="C45" s="1" t="s">
        <v>1249</v>
      </c>
      <c r="D45" s="1" t="s">
        <v>1250</v>
      </c>
    </row>
    <row r="46" spans="2:4">
      <c r="B46" s="34" t="s">
        <v>1251</v>
      </c>
      <c r="C46" s="34" t="s">
        <v>1252</v>
      </c>
      <c r="D46" s="34" t="s">
        <v>1253</v>
      </c>
    </row>
    <row r="47" spans="2:4">
      <c r="B47" s="34" t="s">
        <v>1254</v>
      </c>
      <c r="C47" s="34" t="s">
        <v>1255</v>
      </c>
      <c r="D47" s="34" t="s">
        <v>1256</v>
      </c>
    </row>
    <row r="48" spans="2:4">
      <c r="B48" s="34" t="s">
        <v>1257</v>
      </c>
      <c r="C48" s="34" t="s">
        <v>1258</v>
      </c>
      <c r="D48" s="34" t="s">
        <v>1259</v>
      </c>
    </row>
    <row r="49" spans="1:4">
      <c r="B49" s="34" t="s">
        <v>1260</v>
      </c>
      <c r="C49" s="34" t="s">
        <v>1261</v>
      </c>
      <c r="D49" s="34" t="s">
        <v>1262</v>
      </c>
    </row>
    <row r="50" spans="1:4">
      <c r="B50" t="s">
        <v>1263</v>
      </c>
      <c r="C50" t="s">
        <v>1264</v>
      </c>
      <c r="D50" t="s">
        <v>1265</v>
      </c>
    </row>
    <row r="51" spans="1:4">
      <c r="B51" t="s">
        <v>1266</v>
      </c>
      <c r="C51" t="s">
        <v>1267</v>
      </c>
      <c r="D51" t="s">
        <v>1268</v>
      </c>
    </row>
    <row r="52" spans="1:4">
      <c r="A52" s="131">
        <v>260312</v>
      </c>
      <c r="B52" t="s">
        <v>1269</v>
      </c>
      <c r="C52" t="s">
        <v>1270</v>
      </c>
      <c r="D52" t="s">
        <v>1271</v>
      </c>
    </row>
    <row r="53" spans="1:4">
      <c r="B53" t="s">
        <v>1272</v>
      </c>
      <c r="C53" t="s">
        <v>1273</v>
      </c>
      <c r="D53" t="s">
        <v>1274</v>
      </c>
    </row>
    <row r="54" spans="1:4">
      <c r="B54" t="s">
        <v>1275</v>
      </c>
      <c r="C54" t="s">
        <v>1276</v>
      </c>
      <c r="D54" t="s">
        <v>1277</v>
      </c>
    </row>
    <row r="55" spans="1:4">
      <c r="B55" t="s">
        <v>1278</v>
      </c>
      <c r="C55" t="s">
        <v>1279</v>
      </c>
      <c r="D55" t="s">
        <v>1280</v>
      </c>
    </row>
    <row r="56" spans="1:4">
      <c r="B56" t="s">
        <v>1281</v>
      </c>
      <c r="C56" t="s">
        <v>1282</v>
      </c>
      <c r="D56" t="s">
        <v>1283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8F0F-7856-4491-B559-455E83336B79}">
  <sheetPr>
    <tabColor rgb="FF00B050"/>
  </sheetPr>
  <dimension ref="A1:Z354"/>
  <sheetViews>
    <sheetView workbookViewId="0">
      <selection activeCell="D4" sqref="D4"/>
    </sheetView>
  </sheetViews>
  <sheetFormatPr defaultRowHeight="16.5"/>
  <cols>
    <col min="2" max="2" width="31.625" customWidth="1"/>
    <col min="3" max="3" width="27.875" bestFit="1" customWidth="1"/>
    <col min="4" max="4" width="16.75" bestFit="1" customWidth="1"/>
    <col min="5" max="5" width="15.25" customWidth="1"/>
    <col min="6" max="6" width="16" customWidth="1"/>
    <col min="7" max="7" width="38.375" customWidth="1"/>
    <col min="8" max="8" width="20.25" style="178" customWidth="1"/>
    <col min="9" max="9" width="20.25" customWidth="1"/>
    <col min="10" max="10" width="13.375" style="277" bestFit="1" customWidth="1"/>
    <col min="11" max="11" width="25.875" bestFit="1" customWidth="1"/>
    <col min="12" max="12" width="16.625" style="113" bestFit="1" customWidth="1"/>
    <col min="13" max="13" width="18.25" bestFit="1" customWidth="1"/>
    <col min="14" max="14" width="21.25" bestFit="1" customWidth="1"/>
    <col min="15" max="15" width="18" style="113" bestFit="1" customWidth="1"/>
    <col min="16" max="16" width="9.25" bestFit="1" customWidth="1"/>
    <col min="17" max="17" width="11.875" bestFit="1" customWidth="1"/>
    <col min="18" max="18" width="18.125" bestFit="1" customWidth="1"/>
  </cols>
  <sheetData>
    <row r="1" spans="1:26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1288</v>
      </c>
      <c r="I1" s="10" t="s">
        <v>1289</v>
      </c>
      <c r="J1" s="10" t="s">
        <v>1290</v>
      </c>
      <c r="K1" s="10" t="s">
        <v>1291</v>
      </c>
      <c r="L1" s="10" t="s">
        <v>1292</v>
      </c>
      <c r="M1" s="10" t="s">
        <v>1293</v>
      </c>
      <c r="N1" s="17" t="s">
        <v>1294</v>
      </c>
      <c r="O1" s="61" t="s">
        <v>1295</v>
      </c>
      <c r="P1" s="10" t="s">
        <v>1296</v>
      </c>
      <c r="Q1" s="10" t="s">
        <v>1297</v>
      </c>
      <c r="R1" s="210" t="s">
        <v>1298</v>
      </c>
      <c r="S1" s="10"/>
      <c r="T1" s="10"/>
      <c r="U1" s="10"/>
      <c r="V1" s="10"/>
      <c r="W1" s="10"/>
      <c r="X1" s="10"/>
      <c r="Y1" s="10"/>
      <c r="Z1" s="10"/>
    </row>
    <row r="2" spans="1:26">
      <c r="A2" s="1"/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343" t="s">
        <v>1302</v>
      </c>
      <c r="H2" s="330" t="s">
        <v>1303</v>
      </c>
      <c r="I2" s="347" t="s">
        <v>1304</v>
      </c>
      <c r="J2" s="176" t="s">
        <v>1305</v>
      </c>
      <c r="K2" s="114" t="s">
        <v>1306</v>
      </c>
      <c r="L2" s="180" t="s">
        <v>1307</v>
      </c>
      <c r="M2" s="234" t="s">
        <v>1308</v>
      </c>
      <c r="N2" s="235" t="s">
        <v>1309</v>
      </c>
      <c r="O2" s="241" t="s">
        <v>1310</v>
      </c>
      <c r="P2" s="109" t="s">
        <v>1311</v>
      </c>
      <c r="Q2" s="100" t="s">
        <v>10</v>
      </c>
      <c r="R2" s="242" t="s">
        <v>1312</v>
      </c>
      <c r="S2" s="1"/>
      <c r="T2" s="1"/>
      <c r="U2" s="1"/>
      <c r="V2" s="1"/>
      <c r="W2" s="1"/>
      <c r="X2" s="41"/>
      <c r="Y2" s="41"/>
      <c r="Z2" s="41"/>
    </row>
    <row r="3" spans="1:26">
      <c r="B3" s="1" t="str">
        <f>D3&amp;"_"&amp;F3&amp;"_"&amp;H3&amp;"_"&amp;I3</f>
        <v>M_THM0101_VM_BKT_2_2</v>
      </c>
      <c r="C3" s="92" t="str">
        <f>기계코드!F260</f>
        <v>열가수분해설비(D2-2)</v>
      </c>
      <c r="D3" s="92" t="str" cm="1">
        <f t="array" ref="D3">INDEX(기계코드!$D$4:$D$1022,MATCH(1,(C3=기계코드!$F$4:$F$1022)*1,0))</f>
        <v>M_THM0101</v>
      </c>
      <c r="E3" s="92" t="s">
        <v>1128</v>
      </c>
      <c r="F3" s="92" t="str" cm="1">
        <f t="array" ref="F3">INDEX(공급업체코드!$B$3:$B$1000,MATCH(1,(E3=공급업체코드!$D$3:$D$1000)*1,0))</f>
        <v>VM_BKT</v>
      </c>
      <c r="G3" s="228" t="str">
        <f>C3</f>
        <v>열가수분해설비(D2-2)</v>
      </c>
      <c r="H3" s="344">
        <v>2</v>
      </c>
      <c r="I3" s="346">
        <v>2</v>
      </c>
      <c r="J3" s="230" t="s">
        <v>1313</v>
      </c>
      <c r="K3" s="10"/>
      <c r="L3" s="348" t="s">
        <v>1314</v>
      </c>
      <c r="M3" s="350">
        <v>999</v>
      </c>
      <c r="N3" s="239"/>
      <c r="O3" s="240" t="s">
        <v>1315</v>
      </c>
      <c r="P3" s="1" t="b">
        <v>1</v>
      </c>
      <c r="R3" s="34"/>
      <c r="X3" s="41"/>
      <c r="Y3" s="41"/>
      <c r="Z3" s="41"/>
    </row>
    <row r="4" spans="1:26">
      <c r="B4" s="1" t="str">
        <f t="shared" ref="B4:B23" si="0">D4&amp;"_"&amp;F4&amp;"_"&amp;H4&amp;"_"&amp;I4</f>
        <v>M_THM0102_VM_BKT_2_3</v>
      </c>
      <c r="C4" s="92" t="str">
        <f>기계코드!F261</f>
        <v>열가수분해설비(D2-3)</v>
      </c>
      <c r="D4" s="92" t="str" cm="1">
        <f t="array" ref="D4">INDEX(기계코드!$D$4:$D$1022,MATCH(1,(C4=기계코드!$F$4:$F$1022)*1,0))</f>
        <v>M_THM0102</v>
      </c>
      <c r="E4" s="92" t="s">
        <v>1128</v>
      </c>
      <c r="F4" s="92" t="str" cm="1">
        <f t="array" ref="F4">INDEX(공급업체코드!$B$3:$B$1000,MATCH(1,(E4=공급업체코드!$D$3:$D$1000)*1,0))</f>
        <v>VM_BKT</v>
      </c>
      <c r="G4" s="228" t="str">
        <f t="shared" ref="G4:G23" si="1">C4</f>
        <v>열가수분해설비(D2-3)</v>
      </c>
      <c r="H4" s="344">
        <v>2</v>
      </c>
      <c r="I4" s="346">
        <v>3</v>
      </c>
      <c r="J4" s="231" t="s">
        <v>1313</v>
      </c>
      <c r="L4" s="349" t="s">
        <v>1314</v>
      </c>
      <c r="M4" s="64">
        <v>999</v>
      </c>
      <c r="O4" s="113" t="s">
        <v>1315</v>
      </c>
      <c r="P4" s="1" t="b">
        <v>1</v>
      </c>
      <c r="X4" s="111"/>
      <c r="Y4" s="111"/>
      <c r="Z4" s="111"/>
    </row>
    <row r="5" spans="1:26">
      <c r="B5" s="1" t="str">
        <f t="shared" si="0"/>
        <v>M_THM0103_VM_BKT_2_4</v>
      </c>
      <c r="C5" s="92" t="str">
        <f>기계코드!F262</f>
        <v>열가수분해설비(D2-4)</v>
      </c>
      <c r="D5" s="92" t="str" cm="1">
        <f t="array" ref="D5">INDEX(기계코드!$D$4:$D$1022,MATCH(1,(C5=기계코드!$F$4:$F$1022)*1,0))</f>
        <v>M_THM0103</v>
      </c>
      <c r="E5" s="92" t="s">
        <v>1128</v>
      </c>
      <c r="F5" s="92" t="str" cm="1">
        <f t="array" ref="F5">INDEX(공급업체코드!$B$3:$B$1000,MATCH(1,(E5=공급업체코드!$D$3:$D$1000)*1,0))</f>
        <v>VM_BKT</v>
      </c>
      <c r="G5" s="228" t="str">
        <f t="shared" si="1"/>
        <v>열가수분해설비(D2-4)</v>
      </c>
      <c r="H5" s="344">
        <v>2</v>
      </c>
      <c r="I5" s="346">
        <v>4</v>
      </c>
      <c r="J5" s="231" t="s">
        <v>1313</v>
      </c>
      <c r="L5" s="349" t="s">
        <v>1314</v>
      </c>
      <c r="M5" s="64">
        <v>999</v>
      </c>
      <c r="O5" s="113" t="s">
        <v>1315</v>
      </c>
      <c r="P5" s="1" t="b">
        <v>1</v>
      </c>
      <c r="X5" s="111"/>
      <c r="Y5" s="111"/>
      <c r="Z5" s="41"/>
    </row>
    <row r="6" spans="1:26">
      <c r="B6" s="1" t="str">
        <f t="shared" si="0"/>
        <v>M_THM0104_VM_BKT_3_3</v>
      </c>
      <c r="C6" s="92" t="str">
        <f>기계코드!F263</f>
        <v>열가수분해설비(D3-3)</v>
      </c>
      <c r="D6" s="92" t="str" cm="1">
        <f t="array" ref="D6">INDEX(기계코드!$D$4:$D$1022,MATCH(1,(C6=기계코드!$F$4:$F$1022)*1,0))</f>
        <v>M_THM0104</v>
      </c>
      <c r="E6" s="92" t="s">
        <v>1128</v>
      </c>
      <c r="F6" s="92" t="str" cm="1">
        <f t="array" ref="F6">INDEX(공급업체코드!$B$3:$B$1000,MATCH(1,(E6=공급업체코드!$D$3:$D$1000)*1,0))</f>
        <v>VM_BKT</v>
      </c>
      <c r="G6" s="228" t="str">
        <f t="shared" si="1"/>
        <v>열가수분해설비(D3-3)</v>
      </c>
      <c r="H6" s="345">
        <v>3</v>
      </c>
      <c r="I6" s="265">
        <v>3</v>
      </c>
      <c r="J6" s="231" t="s">
        <v>1313</v>
      </c>
      <c r="L6" s="349" t="s">
        <v>1314</v>
      </c>
      <c r="M6" s="64">
        <v>999</v>
      </c>
      <c r="O6" s="113" t="s">
        <v>1315</v>
      </c>
      <c r="P6" s="1" t="b">
        <v>1</v>
      </c>
      <c r="X6" s="41"/>
      <c r="Y6" s="41"/>
      <c r="Z6" s="41"/>
    </row>
    <row r="7" spans="1:26">
      <c r="B7" s="1" t="str">
        <f t="shared" si="0"/>
        <v>M_THM0105_VM_BKT_3_4</v>
      </c>
      <c r="C7" s="92" t="str">
        <f>기계코드!F264</f>
        <v>열가수분해설비(D3-4)</v>
      </c>
      <c r="D7" s="92" t="str" cm="1">
        <f t="array" ref="D7">INDEX(기계코드!$D$4:$D$1022,MATCH(1,(C7=기계코드!$F$4:$F$1022)*1,0))</f>
        <v>M_THM0105</v>
      </c>
      <c r="E7" s="92" t="s">
        <v>1128</v>
      </c>
      <c r="F7" s="92" t="str" cm="1">
        <f t="array" ref="F7">INDEX(공급업체코드!$B$3:$B$1000,MATCH(1,(E7=공급업체코드!$D$3:$D$1000)*1,0))</f>
        <v>VM_BKT</v>
      </c>
      <c r="G7" s="228" t="str">
        <f t="shared" si="1"/>
        <v>열가수분해설비(D3-4)</v>
      </c>
      <c r="H7" s="345">
        <v>3</v>
      </c>
      <c r="I7" s="265">
        <v>4</v>
      </c>
      <c r="J7" s="231" t="s">
        <v>1313</v>
      </c>
      <c r="L7" s="349" t="s">
        <v>1314</v>
      </c>
      <c r="M7" s="64">
        <v>999</v>
      </c>
      <c r="O7" s="113" t="s">
        <v>1315</v>
      </c>
      <c r="P7" s="1" t="b">
        <v>1</v>
      </c>
      <c r="X7" s="41"/>
      <c r="Y7" s="41"/>
      <c r="Z7" s="41"/>
    </row>
    <row r="8" spans="1:26">
      <c r="B8" s="1" t="str">
        <f t="shared" si="0"/>
        <v>M_THM0106_VM_BKT_6_3</v>
      </c>
      <c r="C8" s="92" t="str">
        <f>기계코드!F265</f>
        <v>열가수분해설비(D6-3)</v>
      </c>
      <c r="D8" s="92" t="str" cm="1">
        <f t="array" ref="D8">INDEX(기계코드!$D$4:$D$1022,MATCH(1,(C8=기계코드!$F$4:$F$1022)*1,0))</f>
        <v>M_THM0106</v>
      </c>
      <c r="E8" s="92" t="s">
        <v>1128</v>
      </c>
      <c r="F8" s="92" t="str" cm="1">
        <f t="array" ref="F8">INDEX(공급업체코드!$B$3:$B$1000,MATCH(1,(E8=공급업체코드!$D$3:$D$1000)*1,0))</f>
        <v>VM_BKT</v>
      </c>
      <c r="G8" s="228" t="str">
        <f t="shared" si="1"/>
        <v>열가수분해설비(D6-3)</v>
      </c>
      <c r="H8" s="345">
        <v>6</v>
      </c>
      <c r="I8" s="265">
        <v>3</v>
      </c>
      <c r="J8" s="231" t="s">
        <v>1313</v>
      </c>
      <c r="L8" s="349" t="s">
        <v>1314</v>
      </c>
      <c r="M8" s="64">
        <v>999</v>
      </c>
      <c r="O8" s="113" t="s">
        <v>1315</v>
      </c>
      <c r="P8" s="1" t="b">
        <v>1</v>
      </c>
      <c r="X8" s="41"/>
      <c r="Y8" s="41"/>
      <c r="Z8" s="41"/>
    </row>
    <row r="9" spans="1:26">
      <c r="B9" s="1" t="str">
        <f t="shared" si="0"/>
        <v>M_THM0107_VM_BKT_6_4</v>
      </c>
      <c r="C9" s="92" t="str">
        <f>기계코드!F266</f>
        <v>열가수분해설비(D6-4)</v>
      </c>
      <c r="D9" s="92" t="str" cm="1">
        <f t="array" ref="D9">INDEX(기계코드!$D$4:$D$1022,MATCH(1,(C9=기계코드!$F$4:$F$1022)*1,0))</f>
        <v>M_THM0107</v>
      </c>
      <c r="E9" s="92" t="s">
        <v>1128</v>
      </c>
      <c r="F9" s="92" t="str" cm="1">
        <f t="array" ref="F9">INDEX(공급업체코드!$B$3:$B$1000,MATCH(1,(E9=공급업체코드!$D$3:$D$1000)*1,0))</f>
        <v>VM_BKT</v>
      </c>
      <c r="G9" s="228" t="str">
        <f t="shared" si="1"/>
        <v>열가수분해설비(D6-4)</v>
      </c>
      <c r="H9" s="345">
        <v>6</v>
      </c>
      <c r="I9" s="265">
        <v>4</v>
      </c>
      <c r="J9" s="231" t="s">
        <v>1313</v>
      </c>
      <c r="L9" s="349" t="s">
        <v>1314</v>
      </c>
      <c r="M9" s="64">
        <v>999</v>
      </c>
      <c r="O9" s="113" t="s">
        <v>1315</v>
      </c>
      <c r="P9" s="1" t="b">
        <v>1</v>
      </c>
      <c r="X9" s="111"/>
      <c r="Y9" s="111"/>
      <c r="Z9" s="41"/>
    </row>
    <row r="10" spans="1:26">
      <c r="B10" s="1" t="str">
        <f t="shared" si="0"/>
        <v>M_THM0108_VM_BKT_9_3</v>
      </c>
      <c r="C10" s="92" t="str">
        <f>기계코드!F267</f>
        <v>열가수분해설비(D9-3)</v>
      </c>
      <c r="D10" s="92" t="str" cm="1">
        <f t="array" ref="D10">INDEX(기계코드!$D$4:$D$1022,MATCH(1,(C10=기계코드!$F$4:$F$1022)*1,0))</f>
        <v>M_THM0108</v>
      </c>
      <c r="E10" s="92" t="s">
        <v>1128</v>
      </c>
      <c r="F10" s="92" t="str" cm="1">
        <f t="array" ref="F10">INDEX(공급업체코드!$B$3:$B$1000,MATCH(1,(E10=공급업체코드!$D$3:$D$1000)*1,0))</f>
        <v>VM_BKT</v>
      </c>
      <c r="G10" s="228" t="str">
        <f t="shared" si="1"/>
        <v>열가수분해설비(D9-3)</v>
      </c>
      <c r="H10" s="345">
        <v>9</v>
      </c>
      <c r="I10" s="265">
        <v>3</v>
      </c>
      <c r="J10" s="231" t="s">
        <v>1313</v>
      </c>
      <c r="L10" s="349" t="s">
        <v>1314</v>
      </c>
      <c r="M10" s="64">
        <v>999</v>
      </c>
      <c r="O10" s="113" t="s">
        <v>1315</v>
      </c>
      <c r="P10" s="1" t="b">
        <v>1</v>
      </c>
      <c r="X10" s="41"/>
      <c r="Y10" s="41"/>
      <c r="Z10" s="41"/>
    </row>
    <row r="11" spans="1:26">
      <c r="B11" s="1" t="str">
        <f t="shared" si="0"/>
        <v>M_THM0109_VM_BKT_9_4</v>
      </c>
      <c r="C11" s="92" t="str">
        <f>기계코드!F268</f>
        <v>열가수분해설비(D9-4)</v>
      </c>
      <c r="D11" s="92" t="str" cm="1">
        <f t="array" ref="D11">INDEX(기계코드!$D$4:$D$1022,MATCH(1,(C11=기계코드!$F$4:$F$1022)*1,0))</f>
        <v>M_THM0109</v>
      </c>
      <c r="E11" s="92" t="s">
        <v>1128</v>
      </c>
      <c r="F11" s="92" t="str" cm="1">
        <f t="array" ref="F11">INDEX(공급업체코드!$B$3:$B$1000,MATCH(1,(E11=공급업체코드!$D$3:$D$1000)*1,0))</f>
        <v>VM_BKT</v>
      </c>
      <c r="G11" s="228" t="str">
        <f t="shared" si="1"/>
        <v>열가수분해설비(D9-4)</v>
      </c>
      <c r="H11" s="345">
        <v>9</v>
      </c>
      <c r="I11" s="265">
        <v>4</v>
      </c>
      <c r="J11" s="231" t="s">
        <v>1313</v>
      </c>
      <c r="L11" s="349" t="s">
        <v>1314</v>
      </c>
      <c r="M11" s="64">
        <v>999</v>
      </c>
      <c r="O11" s="113" t="s">
        <v>1315</v>
      </c>
      <c r="P11" s="1" t="b">
        <v>1</v>
      </c>
      <c r="X11" s="41"/>
      <c r="Y11" s="41"/>
      <c r="Z11" s="41"/>
    </row>
    <row r="12" spans="1:26">
      <c r="B12" s="1" t="str">
        <f t="shared" si="0"/>
        <v>M_THM0110_VM_BKT_12_4</v>
      </c>
      <c r="C12" s="92" t="str">
        <f>기계코드!F269</f>
        <v>열가수분해설비(D12-4)</v>
      </c>
      <c r="D12" s="92" t="str" cm="1">
        <f t="array" ref="D12">INDEX(기계코드!$D$4:$D$1022,MATCH(1,(C12=기계코드!$F$4:$F$1022)*1,0))</f>
        <v>M_THM0110</v>
      </c>
      <c r="E12" s="92" t="s">
        <v>1128</v>
      </c>
      <c r="F12" s="92" t="str" cm="1">
        <f t="array" ref="F12">INDEX(공급업체코드!$B$3:$B$1000,MATCH(1,(E12=공급업체코드!$D$3:$D$1000)*1,0))</f>
        <v>VM_BKT</v>
      </c>
      <c r="G12" s="228" t="str">
        <f t="shared" si="1"/>
        <v>열가수분해설비(D12-4)</v>
      </c>
      <c r="H12" s="345">
        <v>12</v>
      </c>
      <c r="I12" s="265">
        <v>4</v>
      </c>
      <c r="J12" s="231" t="s">
        <v>1313</v>
      </c>
      <c r="L12" s="349" t="s">
        <v>1314</v>
      </c>
      <c r="M12" s="64">
        <v>999</v>
      </c>
      <c r="O12" s="113" t="s">
        <v>1315</v>
      </c>
      <c r="P12" s="1" t="b">
        <v>1</v>
      </c>
      <c r="X12" s="41"/>
      <c r="Y12" s="41"/>
      <c r="Z12" s="41"/>
    </row>
    <row r="13" spans="1:26">
      <c r="B13" s="1"/>
      <c r="C13" s="92"/>
      <c r="D13" s="92"/>
      <c r="E13" s="92"/>
      <c r="F13" s="92"/>
      <c r="H13" s="236"/>
      <c r="I13" s="64"/>
      <c r="J13" s="231"/>
      <c r="L13" s="349"/>
      <c r="M13" s="64"/>
      <c r="P13" s="1"/>
      <c r="X13" s="111"/>
      <c r="Y13" s="111"/>
      <c r="Z13" s="41"/>
    </row>
    <row r="14" spans="1:26">
      <c r="B14" s="1" t="str">
        <f t="shared" si="0"/>
        <v>M_THM0201_VM_BKT_2_2</v>
      </c>
      <c r="C14" s="92" t="str">
        <f>기계코드!F271</f>
        <v>수열탄화설비(2D-2)</v>
      </c>
      <c r="D14" s="92" t="str" cm="1">
        <f t="array" ref="D14">INDEX(기계코드!$D$4:$D$1022,MATCH(1,(C14=기계코드!$F$4:$F$1022)*1,0))</f>
        <v>M_THM0201</v>
      </c>
      <c r="E14" s="92" t="s">
        <v>1128</v>
      </c>
      <c r="F14" s="92" t="str" cm="1">
        <f t="array" ref="F14">INDEX(공급업체코드!$B$3:$B$1000,MATCH(1,(E14=공급업체코드!$D$3:$D$1000)*1,0))</f>
        <v>VM_BKT</v>
      </c>
      <c r="G14" s="228" t="str">
        <f t="shared" si="1"/>
        <v>수열탄화설비(2D-2)</v>
      </c>
      <c r="H14" s="344">
        <v>2</v>
      </c>
      <c r="I14" s="346">
        <v>2</v>
      </c>
      <c r="J14" s="231" t="s">
        <v>1313</v>
      </c>
      <c r="K14" s="10"/>
      <c r="L14" s="349" t="s">
        <v>1314</v>
      </c>
      <c r="M14" s="64">
        <v>999</v>
      </c>
      <c r="O14" s="113" t="s">
        <v>1315</v>
      </c>
      <c r="P14" s="1" t="b">
        <v>1</v>
      </c>
      <c r="R14" s="34"/>
      <c r="X14" s="41"/>
      <c r="Y14" s="41"/>
      <c r="Z14" s="41"/>
    </row>
    <row r="15" spans="1:26">
      <c r="B15" s="1" t="str">
        <f t="shared" si="0"/>
        <v>M_THM0202_VM_BKT_2_3</v>
      </c>
      <c r="C15" s="92" t="str">
        <f>기계코드!F272</f>
        <v>수열탄화설비(2D-3)</v>
      </c>
      <c r="D15" s="92" t="str" cm="1">
        <f t="array" ref="D15">INDEX(기계코드!$D$4:$D$1022,MATCH(1,(C15=기계코드!$F$4:$F$1022)*1,0))</f>
        <v>M_THM0202</v>
      </c>
      <c r="E15" s="92" t="s">
        <v>1128</v>
      </c>
      <c r="F15" s="92" t="str" cm="1">
        <f t="array" ref="F15">INDEX(공급업체코드!$B$3:$B$1000,MATCH(1,(E15=공급업체코드!$D$3:$D$1000)*1,0))</f>
        <v>VM_BKT</v>
      </c>
      <c r="G15" s="228" t="str">
        <f t="shared" si="1"/>
        <v>수열탄화설비(2D-3)</v>
      </c>
      <c r="H15" s="344">
        <v>2</v>
      </c>
      <c r="I15" s="346">
        <v>3</v>
      </c>
      <c r="J15" s="231" t="s">
        <v>1313</v>
      </c>
      <c r="L15" s="349" t="s">
        <v>1314</v>
      </c>
      <c r="M15" s="64">
        <v>999</v>
      </c>
      <c r="O15" s="113" t="s">
        <v>1315</v>
      </c>
      <c r="P15" s="1" t="b">
        <v>1</v>
      </c>
      <c r="X15" s="41"/>
      <c r="Y15" s="41"/>
      <c r="Z15" s="41"/>
    </row>
    <row r="16" spans="1:26">
      <c r="B16" s="1" t="str">
        <f t="shared" si="0"/>
        <v>M_THM0203_VM_BKT_2_4</v>
      </c>
      <c r="C16" s="92" t="str">
        <f>기계코드!F273</f>
        <v>수열탄화설비(2D-4)</v>
      </c>
      <c r="D16" s="92" t="str" cm="1">
        <f t="array" ref="D16">INDEX(기계코드!$D$4:$D$1022,MATCH(1,(C16=기계코드!$F$4:$F$1022)*1,0))</f>
        <v>M_THM0203</v>
      </c>
      <c r="E16" s="92" t="s">
        <v>1128</v>
      </c>
      <c r="F16" s="92" t="str" cm="1">
        <f t="array" ref="F16">INDEX(공급업체코드!$B$3:$B$1000,MATCH(1,(E16=공급업체코드!$D$3:$D$1000)*1,0))</f>
        <v>VM_BKT</v>
      </c>
      <c r="G16" s="228" t="str">
        <f t="shared" si="1"/>
        <v>수열탄화설비(2D-4)</v>
      </c>
      <c r="H16" s="344">
        <v>2</v>
      </c>
      <c r="I16" s="346">
        <v>4</v>
      </c>
      <c r="J16" s="231" t="s">
        <v>1313</v>
      </c>
      <c r="L16" s="349" t="s">
        <v>1314</v>
      </c>
      <c r="M16" s="64">
        <v>999</v>
      </c>
      <c r="O16" s="113" t="s">
        <v>1315</v>
      </c>
      <c r="P16" s="1" t="b">
        <v>1</v>
      </c>
      <c r="X16" s="41"/>
      <c r="Y16" s="41"/>
      <c r="Z16" s="41"/>
    </row>
    <row r="17" spans="2:26">
      <c r="B17" s="1" t="str">
        <f t="shared" si="0"/>
        <v>M_THM0204_VM_BKT_3_3</v>
      </c>
      <c r="C17" s="92" t="str">
        <f>기계코드!F274</f>
        <v>수열탄화설비(3D-3)</v>
      </c>
      <c r="D17" s="92" t="str" cm="1">
        <f t="array" ref="D17">INDEX(기계코드!$D$4:$D$1022,MATCH(1,(C17=기계코드!$F$4:$F$1022)*1,0))</f>
        <v>M_THM0204</v>
      </c>
      <c r="E17" s="92" t="s">
        <v>1128</v>
      </c>
      <c r="F17" s="92" t="str" cm="1">
        <f t="array" ref="F17">INDEX(공급업체코드!$B$3:$B$1000,MATCH(1,(E17=공급업체코드!$D$3:$D$1000)*1,0))</f>
        <v>VM_BKT</v>
      </c>
      <c r="G17" s="228" t="str">
        <f t="shared" si="1"/>
        <v>수열탄화설비(3D-3)</v>
      </c>
      <c r="H17" s="345">
        <v>3</v>
      </c>
      <c r="I17" s="265">
        <v>3</v>
      </c>
      <c r="J17" s="231" t="s">
        <v>1313</v>
      </c>
      <c r="L17" s="349" t="s">
        <v>1314</v>
      </c>
      <c r="M17" s="64">
        <v>999</v>
      </c>
      <c r="O17" s="113" t="s">
        <v>1315</v>
      </c>
      <c r="P17" s="1" t="b">
        <v>1</v>
      </c>
      <c r="X17" s="111"/>
      <c r="Y17" s="111"/>
      <c r="Z17" s="41"/>
    </row>
    <row r="18" spans="2:26">
      <c r="B18" s="1" t="str">
        <f t="shared" si="0"/>
        <v>M_THM0205_VM_BKT_3_4</v>
      </c>
      <c r="C18" s="92" t="str">
        <f>기계코드!F275</f>
        <v>수열탄화설비(3D-4)</v>
      </c>
      <c r="D18" s="92" t="str" cm="1">
        <f t="array" ref="D18">INDEX(기계코드!$D$4:$D$1022,MATCH(1,(C18=기계코드!$F$4:$F$1022)*1,0))</f>
        <v>M_THM0205</v>
      </c>
      <c r="E18" s="92" t="s">
        <v>1128</v>
      </c>
      <c r="F18" s="92" t="str" cm="1">
        <f t="array" ref="F18">INDEX(공급업체코드!$B$3:$B$1000,MATCH(1,(E18=공급업체코드!$D$3:$D$1000)*1,0))</f>
        <v>VM_BKT</v>
      </c>
      <c r="G18" s="228" t="str">
        <f t="shared" si="1"/>
        <v>수열탄화설비(3D-4)</v>
      </c>
      <c r="H18" s="345">
        <v>3</v>
      </c>
      <c r="I18" s="265">
        <v>4</v>
      </c>
      <c r="J18" s="231" t="s">
        <v>1313</v>
      </c>
      <c r="L18" s="349" t="s">
        <v>1314</v>
      </c>
      <c r="M18" s="64">
        <v>999</v>
      </c>
      <c r="O18" s="113" t="s">
        <v>1315</v>
      </c>
      <c r="P18" s="1" t="b">
        <v>1</v>
      </c>
      <c r="X18" s="41"/>
      <c r="Y18" s="41"/>
      <c r="Z18" s="41"/>
    </row>
    <row r="19" spans="2:26">
      <c r="B19" s="1" t="str">
        <f t="shared" si="0"/>
        <v>M_THM0206_VM_BKT_6_3</v>
      </c>
      <c r="C19" s="92" t="str">
        <f>기계코드!F276</f>
        <v>수열탄화설비(6D-3)</v>
      </c>
      <c r="D19" s="92" t="str" cm="1">
        <f t="array" ref="D19">INDEX(기계코드!$D$4:$D$1022,MATCH(1,(C19=기계코드!$F$4:$F$1022)*1,0))</f>
        <v>M_THM0206</v>
      </c>
      <c r="E19" s="92" t="s">
        <v>1128</v>
      </c>
      <c r="F19" s="92" t="str" cm="1">
        <f t="array" ref="F19">INDEX(공급업체코드!$B$3:$B$1000,MATCH(1,(E19=공급업체코드!$D$3:$D$1000)*1,0))</f>
        <v>VM_BKT</v>
      </c>
      <c r="G19" s="228" t="str">
        <f t="shared" si="1"/>
        <v>수열탄화설비(6D-3)</v>
      </c>
      <c r="H19" s="345">
        <v>6</v>
      </c>
      <c r="I19" s="265">
        <v>3</v>
      </c>
      <c r="J19" s="231" t="s">
        <v>1313</v>
      </c>
      <c r="L19" s="349" t="s">
        <v>1314</v>
      </c>
      <c r="M19" s="64">
        <v>999</v>
      </c>
      <c r="O19" s="113" t="s">
        <v>1315</v>
      </c>
      <c r="P19" s="1" t="b">
        <v>1</v>
      </c>
      <c r="X19" s="41"/>
      <c r="Y19" s="41"/>
      <c r="Z19" s="41"/>
    </row>
    <row r="20" spans="2:26">
      <c r="B20" s="1" t="str">
        <f t="shared" si="0"/>
        <v>M_THM0207_VM_BKT_6_4</v>
      </c>
      <c r="C20" s="92" t="str">
        <f>기계코드!F277</f>
        <v>수열탄화설비(6D-4)</v>
      </c>
      <c r="D20" s="92" t="str" cm="1">
        <f t="array" ref="D20">INDEX(기계코드!$D$4:$D$1022,MATCH(1,(C20=기계코드!$F$4:$F$1022)*1,0))</f>
        <v>M_THM0207</v>
      </c>
      <c r="E20" s="92" t="s">
        <v>1128</v>
      </c>
      <c r="F20" s="92" t="str" cm="1">
        <f t="array" ref="F20">INDEX(공급업체코드!$B$3:$B$1000,MATCH(1,(E20=공급업체코드!$D$3:$D$1000)*1,0))</f>
        <v>VM_BKT</v>
      </c>
      <c r="G20" s="228" t="str">
        <f t="shared" si="1"/>
        <v>수열탄화설비(6D-4)</v>
      </c>
      <c r="H20" s="345">
        <v>6</v>
      </c>
      <c r="I20" s="265">
        <v>4</v>
      </c>
      <c r="J20" s="231" t="s">
        <v>1313</v>
      </c>
      <c r="L20" s="349" t="s">
        <v>1314</v>
      </c>
      <c r="M20" s="64">
        <v>999</v>
      </c>
      <c r="O20" s="113" t="s">
        <v>1315</v>
      </c>
      <c r="P20" s="1" t="b">
        <v>1</v>
      </c>
      <c r="X20" s="111"/>
      <c r="Y20" s="111"/>
      <c r="Z20" s="41"/>
    </row>
    <row r="21" spans="2:26">
      <c r="B21" s="1" t="str">
        <f t="shared" si="0"/>
        <v>M_THM0208_VM_BKT_9_3</v>
      </c>
      <c r="C21" s="92" t="str">
        <f>기계코드!F278</f>
        <v>수열탄화설비(9D-3)</v>
      </c>
      <c r="D21" s="92" t="str" cm="1">
        <f t="array" ref="D21">INDEX(기계코드!$D$4:$D$1022,MATCH(1,(C21=기계코드!$F$4:$F$1022)*1,0))</f>
        <v>M_THM0208</v>
      </c>
      <c r="E21" s="92" t="s">
        <v>1128</v>
      </c>
      <c r="F21" s="92" t="str" cm="1">
        <f t="array" ref="F21">INDEX(공급업체코드!$B$3:$B$1000,MATCH(1,(E21=공급업체코드!$D$3:$D$1000)*1,0))</f>
        <v>VM_BKT</v>
      </c>
      <c r="G21" s="228" t="str">
        <f t="shared" si="1"/>
        <v>수열탄화설비(9D-3)</v>
      </c>
      <c r="H21" s="345">
        <v>9</v>
      </c>
      <c r="I21" s="265">
        <v>3</v>
      </c>
      <c r="J21" s="231" t="s">
        <v>1313</v>
      </c>
      <c r="L21" s="349" t="s">
        <v>1314</v>
      </c>
      <c r="M21" s="64">
        <v>999</v>
      </c>
      <c r="O21" s="113" t="s">
        <v>1315</v>
      </c>
      <c r="P21" s="1" t="b">
        <v>1</v>
      </c>
      <c r="X21" s="41"/>
      <c r="Y21" s="41"/>
      <c r="Z21" s="41"/>
    </row>
    <row r="22" spans="2:26">
      <c r="B22" s="1" t="str">
        <f t="shared" si="0"/>
        <v>M_THM0209_VM_BKT_9_4</v>
      </c>
      <c r="C22" s="92" t="str">
        <f>기계코드!F279</f>
        <v>수열탄화설비(9D-4)</v>
      </c>
      <c r="D22" s="92" t="str" cm="1">
        <f t="array" ref="D22">INDEX(기계코드!$D$4:$D$1022,MATCH(1,(C22=기계코드!$F$4:$F$1022)*1,0))</f>
        <v>M_THM0209</v>
      </c>
      <c r="E22" s="92" t="s">
        <v>1128</v>
      </c>
      <c r="F22" s="92" t="str" cm="1">
        <f t="array" ref="F22">INDEX(공급업체코드!$B$3:$B$1000,MATCH(1,(E22=공급업체코드!$D$3:$D$1000)*1,0))</f>
        <v>VM_BKT</v>
      </c>
      <c r="G22" s="228" t="str">
        <f t="shared" si="1"/>
        <v>수열탄화설비(9D-4)</v>
      </c>
      <c r="H22" s="345">
        <v>9</v>
      </c>
      <c r="I22" s="265">
        <v>4</v>
      </c>
      <c r="J22" s="231" t="s">
        <v>1313</v>
      </c>
      <c r="L22" s="349" t="s">
        <v>1314</v>
      </c>
      <c r="M22" s="64">
        <v>999</v>
      </c>
      <c r="O22" s="113" t="s">
        <v>1315</v>
      </c>
      <c r="P22" s="1" t="b">
        <v>1</v>
      </c>
      <c r="X22" s="111"/>
      <c r="Y22" s="111"/>
      <c r="Z22" s="111"/>
    </row>
    <row r="23" spans="2:26">
      <c r="B23" s="1" t="str">
        <f t="shared" si="0"/>
        <v>M_THM0210_VM_BKT_12_4</v>
      </c>
      <c r="C23" s="92" t="str">
        <f>기계코드!F280</f>
        <v>수열탄화설비(12D-4)</v>
      </c>
      <c r="D23" s="92" t="str" cm="1">
        <f t="array" ref="D23">INDEX(기계코드!$D$4:$D$1022,MATCH(1,(C23=기계코드!$F$4:$F$1022)*1,0))</f>
        <v>M_THM0210</v>
      </c>
      <c r="E23" s="92" t="s">
        <v>1128</v>
      </c>
      <c r="F23" s="92" t="str" cm="1">
        <f t="array" ref="F23">INDEX(공급업체코드!$B$3:$B$1000,MATCH(1,(E23=공급업체코드!$D$3:$D$1000)*1,0))</f>
        <v>VM_BKT</v>
      </c>
      <c r="G23" s="228" t="str">
        <f t="shared" si="1"/>
        <v>수열탄화설비(12D-4)</v>
      </c>
      <c r="H23" s="345">
        <v>12</v>
      </c>
      <c r="I23" s="265">
        <v>4</v>
      </c>
      <c r="J23" s="231" t="s">
        <v>1313</v>
      </c>
      <c r="L23" s="349" t="s">
        <v>1314</v>
      </c>
      <c r="M23" s="64">
        <v>999</v>
      </c>
      <c r="O23" s="113" t="s">
        <v>1315</v>
      </c>
      <c r="P23" s="1" t="b">
        <v>1</v>
      </c>
      <c r="X23" s="41"/>
      <c r="Y23" s="41"/>
      <c r="Z23" s="41"/>
    </row>
    <row r="24" spans="2:26">
      <c r="B24" s="1"/>
      <c r="C24" s="92"/>
      <c r="D24" s="92"/>
      <c r="E24" s="92"/>
      <c r="F24" s="92"/>
      <c r="H24" s="236"/>
      <c r="I24" s="64"/>
      <c r="J24" s="231"/>
      <c r="L24" s="169"/>
      <c r="M24" s="64"/>
      <c r="P24" s="1"/>
      <c r="X24" s="41"/>
      <c r="Y24" s="41"/>
      <c r="Z24" s="41"/>
    </row>
    <row r="25" spans="2:26">
      <c r="B25" s="1"/>
      <c r="C25" s="92"/>
      <c r="D25" s="92"/>
      <c r="E25" s="92"/>
      <c r="F25" s="92"/>
      <c r="H25" s="236"/>
      <c r="I25" s="64"/>
      <c r="J25" s="231"/>
      <c r="L25" s="169"/>
      <c r="M25" s="64"/>
      <c r="P25" s="1"/>
      <c r="X25" s="41"/>
      <c r="Y25" s="41"/>
      <c r="Z25" s="41"/>
    </row>
    <row r="26" spans="2:26">
      <c r="B26" s="1"/>
      <c r="C26" s="92"/>
      <c r="D26" s="92"/>
      <c r="E26" s="92"/>
      <c r="F26" s="92"/>
      <c r="H26" s="236"/>
      <c r="I26" s="64"/>
      <c r="J26" s="231"/>
      <c r="L26" s="169"/>
      <c r="M26" s="64"/>
      <c r="P26" s="1"/>
      <c r="X26" s="41"/>
      <c r="Y26" s="41"/>
      <c r="Z26" s="41"/>
    </row>
    <row r="27" spans="2:26">
      <c r="B27" s="1"/>
      <c r="C27" s="92"/>
      <c r="D27" s="92"/>
      <c r="E27" s="92"/>
      <c r="F27" s="92"/>
      <c r="H27" s="236"/>
      <c r="I27" s="64"/>
      <c r="J27" s="231"/>
      <c r="L27" s="169"/>
      <c r="M27" s="64"/>
      <c r="P27" s="1"/>
    </row>
    <row r="28" spans="2:26">
      <c r="B28" s="1"/>
      <c r="C28" s="92"/>
      <c r="D28" s="92"/>
      <c r="E28" s="92"/>
      <c r="F28" s="92"/>
      <c r="H28" s="236"/>
      <c r="I28" s="64"/>
      <c r="J28" s="231"/>
      <c r="L28" s="169"/>
      <c r="M28" s="64"/>
      <c r="P28" s="1"/>
    </row>
    <row r="29" spans="2:26">
      <c r="B29" s="1"/>
      <c r="C29" s="92"/>
      <c r="D29" s="92"/>
      <c r="E29" s="92"/>
      <c r="F29" s="92"/>
      <c r="H29" s="236"/>
      <c r="I29" s="64"/>
      <c r="J29" s="231"/>
      <c r="L29" s="169"/>
      <c r="M29" s="64"/>
      <c r="P29" s="1"/>
    </row>
    <row r="30" spans="2:26">
      <c r="B30" s="1"/>
      <c r="C30" s="92"/>
      <c r="D30" s="92"/>
      <c r="E30" s="92"/>
      <c r="F30" s="92"/>
      <c r="H30" s="236"/>
      <c r="I30" s="64"/>
      <c r="J30" s="231"/>
      <c r="L30" s="169"/>
      <c r="M30" s="64"/>
      <c r="P30" s="1"/>
    </row>
    <row r="31" spans="2:26">
      <c r="B31" s="1"/>
      <c r="C31" s="92"/>
      <c r="D31" s="92"/>
      <c r="E31" s="92"/>
      <c r="F31" s="92"/>
      <c r="H31" s="236"/>
      <c r="I31" s="64"/>
      <c r="J31" s="231"/>
      <c r="L31" s="169"/>
      <c r="M31" s="64"/>
      <c r="P31" s="1"/>
    </row>
    <row r="32" spans="2:26">
      <c r="B32" s="1"/>
      <c r="C32" s="92"/>
      <c r="D32" s="92"/>
      <c r="E32" s="92"/>
      <c r="F32" s="92"/>
      <c r="H32" s="236"/>
      <c r="I32" s="64"/>
      <c r="J32" s="231"/>
      <c r="L32" s="169"/>
      <c r="M32" s="64"/>
      <c r="P32" s="1"/>
    </row>
    <row r="33" spans="2:16">
      <c r="B33" s="1"/>
      <c r="C33" s="92"/>
      <c r="D33" s="92"/>
      <c r="E33" s="92"/>
      <c r="F33" s="92"/>
      <c r="H33" s="236"/>
      <c r="I33" s="64"/>
      <c r="J33" s="231"/>
      <c r="L33" s="169"/>
      <c r="M33" s="64"/>
      <c r="P33" s="1"/>
    </row>
    <row r="34" spans="2:16">
      <c r="B34" s="1"/>
      <c r="C34" s="92"/>
      <c r="D34" s="92"/>
      <c r="E34" s="92"/>
      <c r="F34" s="92"/>
      <c r="H34" s="236"/>
      <c r="I34" s="64"/>
      <c r="J34" s="231"/>
      <c r="L34" s="169"/>
      <c r="M34" s="64"/>
      <c r="P34" s="1"/>
    </row>
    <row r="35" spans="2:16">
      <c r="B35" s="1"/>
      <c r="C35" s="92"/>
      <c r="D35" s="92"/>
      <c r="E35" s="92"/>
      <c r="F35" s="92"/>
      <c r="H35" s="236"/>
      <c r="I35" s="64"/>
      <c r="J35" s="231"/>
      <c r="L35" s="169"/>
      <c r="M35" s="64"/>
      <c r="P35" s="1"/>
    </row>
    <row r="36" spans="2:16">
      <c r="B36" s="1"/>
      <c r="C36" s="92"/>
      <c r="D36" s="92"/>
      <c r="E36" s="92"/>
      <c r="F36" s="92"/>
      <c r="H36" s="236"/>
      <c r="I36" s="64"/>
      <c r="J36" s="231"/>
      <c r="L36" s="169"/>
      <c r="M36" s="64"/>
      <c r="P36" s="1"/>
    </row>
    <row r="37" spans="2:16">
      <c r="B37" s="1"/>
      <c r="C37" s="92"/>
      <c r="D37" s="92"/>
      <c r="E37" s="92"/>
      <c r="F37" s="92"/>
      <c r="H37" s="236"/>
      <c r="I37" s="64"/>
      <c r="J37" s="231"/>
      <c r="L37" s="169"/>
      <c r="M37" s="64"/>
      <c r="P37" s="1"/>
    </row>
    <row r="38" spans="2:16">
      <c r="B38" s="1"/>
      <c r="C38" s="92"/>
      <c r="D38" s="92"/>
      <c r="E38" s="92"/>
      <c r="F38" s="92"/>
      <c r="H38" s="236"/>
      <c r="I38" s="64"/>
      <c r="J38" s="231"/>
      <c r="L38" s="169"/>
      <c r="M38" s="64"/>
      <c r="P38" s="1"/>
    </row>
    <row r="39" spans="2:16">
      <c r="B39" s="1"/>
      <c r="C39" s="92"/>
      <c r="D39" s="92"/>
      <c r="E39" s="92"/>
      <c r="F39" s="92"/>
      <c r="H39" s="236"/>
      <c r="I39" s="64"/>
      <c r="J39" s="231"/>
      <c r="L39" s="169"/>
      <c r="M39" s="64"/>
      <c r="P39" s="1"/>
    </row>
    <row r="40" spans="2:16">
      <c r="B40" s="1"/>
      <c r="C40" s="92"/>
      <c r="D40" s="92"/>
      <c r="E40" s="92"/>
      <c r="F40" s="92"/>
      <c r="H40" s="236"/>
      <c r="I40" s="64"/>
      <c r="J40" s="231"/>
      <c r="L40" s="169"/>
      <c r="M40" s="64"/>
      <c r="P40" s="1"/>
    </row>
    <row r="41" spans="2:16">
      <c r="B41" s="1"/>
      <c r="C41" s="92"/>
      <c r="D41" s="92"/>
      <c r="E41" s="92"/>
      <c r="F41" s="92"/>
      <c r="H41" s="236"/>
      <c r="I41" s="64"/>
      <c r="J41" s="231"/>
      <c r="L41" s="169"/>
      <c r="M41" s="64"/>
      <c r="P41" s="1"/>
    </row>
    <row r="42" spans="2:16">
      <c r="B42" s="1"/>
      <c r="C42" s="92"/>
      <c r="D42" s="92"/>
      <c r="E42" s="92"/>
      <c r="F42" s="92"/>
      <c r="H42" s="236"/>
      <c r="I42" s="64"/>
      <c r="J42" s="231"/>
      <c r="L42" s="169"/>
      <c r="M42" s="64"/>
      <c r="P42" s="1"/>
    </row>
    <row r="43" spans="2:16">
      <c r="B43" s="1"/>
      <c r="C43" s="92"/>
      <c r="D43" s="92"/>
      <c r="E43" s="92"/>
      <c r="F43" s="92"/>
      <c r="H43" s="236"/>
      <c r="I43" s="64"/>
      <c r="J43" s="231"/>
      <c r="L43" s="169"/>
      <c r="M43" s="64"/>
      <c r="P43" s="1"/>
    </row>
    <row r="44" spans="2:16">
      <c r="B44" s="1"/>
      <c r="C44" s="92"/>
      <c r="D44" s="92"/>
      <c r="E44" s="92"/>
      <c r="F44" s="92"/>
      <c r="H44" s="236"/>
      <c r="I44" s="64"/>
      <c r="J44" s="231"/>
      <c r="L44" s="169"/>
      <c r="M44" s="64"/>
      <c r="P44" s="1"/>
    </row>
    <row r="45" spans="2:16">
      <c r="B45" s="1"/>
      <c r="C45" s="92"/>
      <c r="D45" s="92"/>
      <c r="E45" s="92"/>
      <c r="F45" s="92"/>
      <c r="H45" s="236"/>
      <c r="I45" s="64"/>
      <c r="J45" s="231"/>
      <c r="L45" s="169"/>
      <c r="M45" s="64"/>
      <c r="P45" s="1"/>
    </row>
    <row r="46" spans="2:16">
      <c r="B46" s="1"/>
      <c r="C46" s="92"/>
      <c r="D46" s="92"/>
      <c r="E46" s="92"/>
      <c r="F46" s="92"/>
      <c r="H46" s="236"/>
      <c r="I46" s="64"/>
      <c r="J46" s="231"/>
      <c r="L46" s="169"/>
      <c r="M46" s="64"/>
      <c r="P46" s="1"/>
    </row>
    <row r="47" spans="2:16">
      <c r="B47" s="1"/>
      <c r="C47" s="92"/>
      <c r="D47" s="92"/>
      <c r="E47" s="92"/>
      <c r="F47" s="92"/>
      <c r="H47" s="236"/>
      <c r="I47" s="64"/>
      <c r="J47" s="231"/>
      <c r="L47" s="169"/>
      <c r="M47" s="64"/>
      <c r="P47" s="1"/>
    </row>
    <row r="48" spans="2:16">
      <c r="B48" s="1"/>
      <c r="C48" s="92"/>
      <c r="D48" s="92"/>
      <c r="E48" s="92"/>
      <c r="F48" s="92"/>
      <c r="H48" s="236"/>
      <c r="I48" s="64"/>
      <c r="J48" s="231"/>
      <c r="L48" s="169"/>
      <c r="M48" s="64"/>
      <c r="P48" s="1"/>
    </row>
    <row r="49" spans="2:16">
      <c r="B49" s="1"/>
      <c r="C49" s="92"/>
      <c r="D49" s="92"/>
      <c r="E49" s="92"/>
      <c r="F49" s="92"/>
      <c r="H49" s="236"/>
      <c r="I49" s="64"/>
      <c r="J49" s="231"/>
      <c r="L49" s="169"/>
      <c r="M49" s="64"/>
      <c r="P49" s="1"/>
    </row>
    <row r="50" spans="2:16">
      <c r="B50" s="1"/>
      <c r="C50" s="92"/>
      <c r="D50" s="92"/>
      <c r="E50" s="92"/>
      <c r="F50" s="92"/>
      <c r="H50" s="236"/>
      <c r="I50" s="64"/>
      <c r="J50" s="231"/>
      <c r="L50" s="169"/>
      <c r="M50" s="64"/>
      <c r="P50" s="1"/>
    </row>
    <row r="51" spans="2:16">
      <c r="B51" s="1"/>
      <c r="C51" s="92"/>
      <c r="D51" s="92"/>
      <c r="E51" s="92"/>
      <c r="F51" s="92"/>
      <c r="H51" s="236"/>
      <c r="I51" s="64"/>
      <c r="J51" s="231"/>
      <c r="L51" s="169"/>
      <c r="M51" s="64"/>
      <c r="P51" s="1"/>
    </row>
    <row r="52" spans="2:16">
      <c r="B52" s="1"/>
      <c r="C52" s="92"/>
      <c r="D52" s="92"/>
      <c r="E52" s="92"/>
      <c r="F52" s="92"/>
      <c r="H52" s="236"/>
      <c r="I52" s="64"/>
      <c r="J52" s="231"/>
      <c r="L52" s="169"/>
      <c r="M52" s="64"/>
      <c r="P52" s="1"/>
    </row>
    <row r="53" spans="2:16">
      <c r="B53" s="1"/>
      <c r="C53" s="92"/>
      <c r="D53" s="92"/>
      <c r="E53" s="92"/>
      <c r="F53" s="92"/>
      <c r="H53" s="236"/>
      <c r="I53" s="64"/>
      <c r="J53" s="231"/>
      <c r="L53" s="169"/>
      <c r="M53" s="64"/>
      <c r="P53" s="1"/>
    </row>
    <row r="54" spans="2:16">
      <c r="B54" s="1"/>
      <c r="C54" s="92"/>
      <c r="D54" s="92"/>
      <c r="E54" s="92"/>
      <c r="F54" s="92"/>
      <c r="H54" s="236"/>
      <c r="I54" s="64"/>
      <c r="J54" s="231"/>
      <c r="L54" s="169"/>
      <c r="M54" s="64"/>
      <c r="P54" s="1"/>
    </row>
    <row r="55" spans="2:16">
      <c r="B55" s="1"/>
      <c r="C55" s="92"/>
      <c r="D55" s="92"/>
      <c r="E55" s="92"/>
      <c r="F55" s="92"/>
      <c r="H55" s="236"/>
      <c r="I55" s="64"/>
      <c r="J55" s="231"/>
      <c r="L55" s="169"/>
      <c r="M55" s="64"/>
      <c r="P55" s="1"/>
    </row>
    <row r="56" spans="2:16">
      <c r="B56" s="1"/>
      <c r="C56" s="92"/>
      <c r="D56" s="92"/>
      <c r="E56" s="92"/>
      <c r="F56" s="92"/>
      <c r="H56" s="236"/>
      <c r="I56" s="64"/>
      <c r="J56" s="231"/>
      <c r="L56" s="169"/>
      <c r="M56" s="64"/>
      <c r="P56" s="1"/>
    </row>
    <row r="57" spans="2:16">
      <c r="B57" s="1"/>
      <c r="C57" s="92"/>
      <c r="D57" s="92"/>
      <c r="E57" s="92"/>
      <c r="F57" s="92"/>
      <c r="H57" s="236"/>
      <c r="I57" s="64"/>
      <c r="J57" s="231"/>
      <c r="L57" s="169"/>
      <c r="M57" s="64"/>
      <c r="P57" s="1"/>
    </row>
    <row r="58" spans="2:16">
      <c r="B58" s="1"/>
      <c r="C58" s="92"/>
      <c r="D58" s="92"/>
      <c r="E58" s="92"/>
      <c r="F58" s="92"/>
      <c r="H58" s="236"/>
      <c r="I58" s="64"/>
      <c r="J58" s="231"/>
      <c r="L58" s="169"/>
      <c r="M58" s="64"/>
      <c r="P58" s="1"/>
    </row>
    <row r="59" spans="2:16">
      <c r="B59" s="1"/>
      <c r="C59" s="92"/>
      <c r="D59" s="92"/>
      <c r="E59" s="92"/>
      <c r="F59" s="92"/>
      <c r="H59" s="236"/>
      <c r="I59" s="64"/>
      <c r="J59" s="231"/>
      <c r="L59" s="169"/>
      <c r="M59" s="64"/>
      <c r="P59" s="1"/>
    </row>
    <row r="60" spans="2:16">
      <c r="B60" s="1"/>
      <c r="C60" s="92"/>
      <c r="D60" s="92"/>
      <c r="E60" s="92"/>
      <c r="F60" s="92"/>
      <c r="H60" s="236"/>
      <c r="I60" s="64"/>
      <c r="J60" s="231"/>
      <c r="L60" s="169"/>
      <c r="M60" s="64"/>
      <c r="P60" s="1"/>
    </row>
    <row r="61" spans="2:16">
      <c r="B61" s="1"/>
      <c r="C61" s="92"/>
      <c r="D61" s="92"/>
      <c r="E61" s="92"/>
      <c r="F61" s="92"/>
      <c r="H61" s="236"/>
      <c r="I61" s="64"/>
      <c r="J61" s="231"/>
      <c r="L61" s="169"/>
      <c r="M61" s="64"/>
      <c r="P61" s="1"/>
    </row>
    <row r="62" spans="2:16">
      <c r="B62" s="1"/>
      <c r="C62" s="92"/>
      <c r="D62" s="92"/>
      <c r="E62" s="92"/>
      <c r="F62" s="92"/>
      <c r="H62" s="236"/>
      <c r="I62" s="64"/>
      <c r="J62" s="231"/>
      <c r="L62" s="169"/>
      <c r="M62" s="64"/>
      <c r="P62" s="1"/>
    </row>
    <row r="63" spans="2:16">
      <c r="B63" s="1"/>
      <c r="C63" s="92"/>
      <c r="D63" s="92"/>
      <c r="E63" s="92"/>
      <c r="F63" s="92"/>
      <c r="H63" s="236"/>
      <c r="I63" s="64"/>
      <c r="J63" s="231"/>
      <c r="L63" s="169"/>
      <c r="M63" s="64"/>
      <c r="P63" s="1"/>
    </row>
    <row r="64" spans="2:16">
      <c r="B64" s="1"/>
      <c r="C64" s="92"/>
      <c r="D64" s="92"/>
      <c r="E64" s="92"/>
      <c r="F64" s="92"/>
      <c r="H64" s="236"/>
      <c r="I64" s="64"/>
      <c r="J64" s="231"/>
      <c r="L64" s="169"/>
      <c r="M64" s="64"/>
      <c r="P64" s="1"/>
    </row>
    <row r="65" spans="8:13">
      <c r="H65" s="236"/>
      <c r="I65" s="64"/>
      <c r="J65" s="231"/>
      <c r="L65" s="169"/>
      <c r="M65" s="64"/>
    </row>
    <row r="66" spans="8:13">
      <c r="H66" s="236"/>
      <c r="I66" s="64"/>
      <c r="J66" s="231"/>
      <c r="L66" s="169"/>
      <c r="M66" s="64"/>
    </row>
    <row r="67" spans="8:13">
      <c r="H67" s="236"/>
      <c r="I67" s="64"/>
      <c r="J67" s="231"/>
      <c r="L67" s="169"/>
      <c r="M67" s="64"/>
    </row>
    <row r="68" spans="8:13">
      <c r="H68" s="236"/>
      <c r="I68" s="64"/>
      <c r="J68" s="231"/>
      <c r="L68" s="169"/>
      <c r="M68" s="64"/>
    </row>
    <row r="69" spans="8:13">
      <c r="H69" s="236"/>
      <c r="I69" s="64"/>
      <c r="J69" s="231"/>
      <c r="L69" s="169"/>
      <c r="M69" s="64"/>
    </row>
    <row r="70" spans="8:13">
      <c r="H70" s="236"/>
      <c r="I70" s="64"/>
      <c r="J70" s="231"/>
      <c r="L70" s="169"/>
      <c r="M70" s="64"/>
    </row>
    <row r="71" spans="8:13">
      <c r="H71" s="236"/>
      <c r="I71" s="64"/>
      <c r="J71" s="231"/>
      <c r="L71" s="169"/>
      <c r="M71" s="64"/>
    </row>
    <row r="72" spans="8:13">
      <c r="H72" s="236"/>
      <c r="I72" s="64"/>
      <c r="J72" s="231"/>
      <c r="L72" s="169"/>
    </row>
    <row r="73" spans="8:13">
      <c r="J73" s="231"/>
      <c r="L73" s="169"/>
    </row>
    <row r="74" spans="8:13">
      <c r="J74" s="231"/>
      <c r="L74" s="169"/>
    </row>
    <row r="75" spans="8:13">
      <c r="J75" s="231"/>
      <c r="L75" s="169"/>
    </row>
    <row r="76" spans="8:13">
      <c r="J76" s="231"/>
      <c r="L76" s="169"/>
    </row>
    <row r="77" spans="8:13">
      <c r="J77" s="231"/>
      <c r="L77" s="169"/>
    </row>
    <row r="78" spans="8:13">
      <c r="J78" s="231"/>
      <c r="L78" s="169"/>
    </row>
    <row r="79" spans="8:13">
      <c r="J79" s="231"/>
      <c r="L79" s="169"/>
    </row>
    <row r="80" spans="8:13">
      <c r="J80" s="231"/>
      <c r="L80" s="169"/>
    </row>
    <row r="81" spans="10:12">
      <c r="J81" s="231"/>
      <c r="L81" s="169"/>
    </row>
    <row r="82" spans="10:12">
      <c r="J82" s="231"/>
      <c r="L82" s="169"/>
    </row>
    <row r="83" spans="10:12">
      <c r="J83" s="231"/>
      <c r="L83" s="169"/>
    </row>
    <row r="84" spans="10:12">
      <c r="J84" s="231"/>
      <c r="L84" s="169"/>
    </row>
    <row r="85" spans="10:12">
      <c r="J85" s="231"/>
      <c r="L85" s="169"/>
    </row>
    <row r="86" spans="10:12">
      <c r="J86" s="231"/>
      <c r="L86" s="169"/>
    </row>
    <row r="87" spans="10:12">
      <c r="J87" s="231"/>
      <c r="L87" s="169"/>
    </row>
    <row r="88" spans="10:12">
      <c r="J88" s="231"/>
      <c r="L88" s="169"/>
    </row>
    <row r="89" spans="10:12">
      <c r="J89" s="231"/>
      <c r="L89" s="169"/>
    </row>
    <row r="90" spans="10:12">
      <c r="J90" s="231"/>
      <c r="L90" s="169"/>
    </row>
    <row r="91" spans="10:12">
      <c r="J91" s="231"/>
      <c r="L91" s="169"/>
    </row>
    <row r="92" spans="10:12">
      <c r="J92" s="231"/>
      <c r="L92" s="169"/>
    </row>
    <row r="93" spans="10:12">
      <c r="J93" s="231"/>
      <c r="L93" s="169"/>
    </row>
    <row r="94" spans="10:12">
      <c r="J94" s="231"/>
      <c r="L94" s="169"/>
    </row>
    <row r="95" spans="10:12">
      <c r="J95" s="231"/>
      <c r="L95" s="169"/>
    </row>
    <row r="96" spans="10:12">
      <c r="J96" s="231"/>
      <c r="L96" s="169"/>
    </row>
    <row r="97" spans="10:12">
      <c r="J97" s="231"/>
      <c r="L97" s="169"/>
    </row>
    <row r="98" spans="10:12">
      <c r="J98" s="231"/>
      <c r="L98" s="169"/>
    </row>
    <row r="99" spans="10:12">
      <c r="J99" s="231"/>
      <c r="L99" s="169"/>
    </row>
    <row r="100" spans="10:12">
      <c r="J100" s="231"/>
      <c r="L100" s="169"/>
    </row>
    <row r="101" spans="10:12">
      <c r="J101" s="231"/>
      <c r="L101" s="169"/>
    </row>
    <row r="102" spans="10:12">
      <c r="J102" s="231"/>
      <c r="L102" s="169"/>
    </row>
    <row r="103" spans="10:12">
      <c r="J103" s="231"/>
      <c r="L103" s="169"/>
    </row>
    <row r="104" spans="10:12">
      <c r="J104" s="231"/>
      <c r="L104" s="169"/>
    </row>
    <row r="105" spans="10:12">
      <c r="J105" s="231"/>
      <c r="L105" s="169"/>
    </row>
    <row r="106" spans="10:12">
      <c r="J106" s="231"/>
      <c r="L106" s="169"/>
    </row>
    <row r="107" spans="10:12">
      <c r="J107" s="231"/>
      <c r="L107" s="169"/>
    </row>
    <row r="108" spans="10:12">
      <c r="J108" s="231"/>
      <c r="L108" s="169"/>
    </row>
    <row r="109" spans="10:12">
      <c r="J109" s="231"/>
      <c r="L109" s="169"/>
    </row>
    <row r="110" spans="10:12">
      <c r="J110" s="231"/>
      <c r="L110" s="169"/>
    </row>
    <row r="111" spans="10:12">
      <c r="J111" s="231"/>
      <c r="L111" s="169"/>
    </row>
    <row r="112" spans="10:12">
      <c r="J112" s="231"/>
      <c r="L112" s="169"/>
    </row>
    <row r="113" spans="10:10">
      <c r="J113" s="231"/>
    </row>
    <row r="114" spans="10:10">
      <c r="J114" s="231"/>
    </row>
    <row r="115" spans="10:10">
      <c r="J115" s="231"/>
    </row>
    <row r="116" spans="10:10">
      <c r="J116" s="231"/>
    </row>
    <row r="117" spans="10:10">
      <c r="J117" s="231"/>
    </row>
    <row r="118" spans="10:10">
      <c r="J118" s="231"/>
    </row>
    <row r="119" spans="10:10">
      <c r="J119" s="231"/>
    </row>
    <row r="120" spans="10:10">
      <c r="J120" s="231"/>
    </row>
    <row r="121" spans="10:10">
      <c r="J121" s="231"/>
    </row>
    <row r="122" spans="10:10">
      <c r="J122" s="231"/>
    </row>
    <row r="123" spans="10:10">
      <c r="J123" s="231"/>
    </row>
    <row r="124" spans="10:10">
      <c r="J124" s="231"/>
    </row>
    <row r="125" spans="10:10">
      <c r="J125" s="231"/>
    </row>
    <row r="126" spans="10:10">
      <c r="J126" s="231"/>
    </row>
    <row r="127" spans="10:10">
      <c r="J127" s="231"/>
    </row>
    <row r="128" spans="10:10">
      <c r="J128" s="231"/>
    </row>
    <row r="129" spans="10:10">
      <c r="J129" s="231"/>
    </row>
    <row r="130" spans="10:10">
      <c r="J130" s="231"/>
    </row>
    <row r="131" spans="10:10">
      <c r="J131" s="231"/>
    </row>
    <row r="132" spans="10:10">
      <c r="J132" s="231"/>
    </row>
    <row r="133" spans="10:10">
      <c r="J133" s="231"/>
    </row>
    <row r="134" spans="10:10">
      <c r="J134" s="231"/>
    </row>
    <row r="135" spans="10:10">
      <c r="J135" s="231"/>
    </row>
    <row r="136" spans="10:10">
      <c r="J136" s="231"/>
    </row>
    <row r="137" spans="10:10">
      <c r="J137" s="231"/>
    </row>
    <row r="138" spans="10:10">
      <c r="J138" s="231"/>
    </row>
    <row r="139" spans="10:10">
      <c r="J139" s="231"/>
    </row>
    <row r="140" spans="10:10">
      <c r="J140" s="231"/>
    </row>
    <row r="141" spans="10:10">
      <c r="J141" s="231"/>
    </row>
    <row r="142" spans="10:10">
      <c r="J142" s="231"/>
    </row>
    <row r="143" spans="10:10">
      <c r="J143" s="231"/>
    </row>
    <row r="144" spans="10:10">
      <c r="J144" s="231"/>
    </row>
    <row r="145" spans="10:10">
      <c r="J145" s="231"/>
    </row>
    <row r="146" spans="10:10">
      <c r="J146" s="231"/>
    </row>
    <row r="147" spans="10:10">
      <c r="J147" s="231"/>
    </row>
    <row r="148" spans="10:10">
      <c r="J148" s="231"/>
    </row>
    <row r="149" spans="10:10">
      <c r="J149" s="231"/>
    </row>
    <row r="150" spans="10:10">
      <c r="J150" s="231"/>
    </row>
    <row r="151" spans="10:10">
      <c r="J151" s="231"/>
    </row>
    <row r="152" spans="10:10">
      <c r="J152" s="231"/>
    </row>
    <row r="153" spans="10:10">
      <c r="J153" s="231"/>
    </row>
    <row r="154" spans="10:10">
      <c r="J154" s="231"/>
    </row>
    <row r="155" spans="10:10">
      <c r="J155" s="231"/>
    </row>
    <row r="156" spans="10:10">
      <c r="J156" s="231"/>
    </row>
    <row r="157" spans="10:10">
      <c r="J157" s="231"/>
    </row>
    <row r="158" spans="10:10">
      <c r="J158" s="231"/>
    </row>
    <row r="159" spans="10:10">
      <c r="J159" s="231"/>
    </row>
    <row r="160" spans="10:10">
      <c r="J160" s="231"/>
    </row>
    <row r="161" spans="10:10">
      <c r="J161" s="231"/>
    </row>
    <row r="162" spans="10:10">
      <c r="J162" s="231"/>
    </row>
    <row r="163" spans="10:10">
      <c r="J163" s="231"/>
    </row>
    <row r="164" spans="10:10">
      <c r="J164" s="231"/>
    </row>
    <row r="165" spans="10:10">
      <c r="J165" s="231"/>
    </row>
    <row r="166" spans="10:10">
      <c r="J166" s="231"/>
    </row>
    <row r="167" spans="10:10">
      <c r="J167" s="231"/>
    </row>
    <row r="168" spans="10:10">
      <c r="J168" s="231"/>
    </row>
    <row r="169" spans="10:10">
      <c r="J169" s="231"/>
    </row>
    <row r="170" spans="10:10">
      <c r="J170" s="231"/>
    </row>
    <row r="171" spans="10:10">
      <c r="J171" s="231"/>
    </row>
    <row r="172" spans="10:10">
      <c r="J172" s="231"/>
    </row>
    <row r="173" spans="10:10">
      <c r="J173" s="231"/>
    </row>
    <row r="174" spans="10:10">
      <c r="J174" s="231"/>
    </row>
    <row r="175" spans="10:10">
      <c r="J175" s="231"/>
    </row>
    <row r="176" spans="10:10">
      <c r="J176" s="231"/>
    </row>
    <row r="177" spans="10:10">
      <c r="J177" s="231"/>
    </row>
    <row r="178" spans="10:10">
      <c r="J178" s="231"/>
    </row>
    <row r="179" spans="10:10">
      <c r="J179" s="231"/>
    </row>
    <row r="180" spans="10:10">
      <c r="J180" s="231"/>
    </row>
    <row r="181" spans="10:10">
      <c r="J181" s="231"/>
    </row>
    <row r="182" spans="10:10">
      <c r="J182" s="231"/>
    </row>
    <row r="183" spans="10:10">
      <c r="J183" s="231"/>
    </row>
    <row r="184" spans="10:10">
      <c r="J184" s="231"/>
    </row>
    <row r="185" spans="10:10">
      <c r="J185" s="231"/>
    </row>
    <row r="186" spans="10:10">
      <c r="J186" s="231"/>
    </row>
    <row r="187" spans="10:10">
      <c r="J187" s="231"/>
    </row>
    <row r="188" spans="10:10">
      <c r="J188" s="231"/>
    </row>
    <row r="189" spans="10:10">
      <c r="J189" s="231"/>
    </row>
    <row r="190" spans="10:10">
      <c r="J190" s="231"/>
    </row>
    <row r="191" spans="10:10">
      <c r="J191" s="231"/>
    </row>
    <row r="192" spans="10:10">
      <c r="J192" s="231"/>
    </row>
    <row r="193" spans="10:10">
      <c r="J193" s="231"/>
    </row>
    <row r="194" spans="10:10">
      <c r="J194" s="231"/>
    </row>
    <row r="195" spans="10:10">
      <c r="J195" s="231"/>
    </row>
    <row r="196" spans="10:10">
      <c r="J196" s="231"/>
    </row>
    <row r="197" spans="10:10">
      <c r="J197" s="231"/>
    </row>
    <row r="198" spans="10:10">
      <c r="J198" s="231"/>
    </row>
    <row r="199" spans="10:10">
      <c r="J199" s="231"/>
    </row>
    <row r="200" spans="10:10">
      <c r="J200" s="231"/>
    </row>
    <row r="201" spans="10:10">
      <c r="J201" s="231"/>
    </row>
    <row r="202" spans="10:10">
      <c r="J202" s="231"/>
    </row>
    <row r="203" spans="10:10">
      <c r="J203" s="231"/>
    </row>
    <row r="204" spans="10:10">
      <c r="J204" s="231"/>
    </row>
    <row r="205" spans="10:10">
      <c r="J205" s="231"/>
    </row>
    <row r="206" spans="10:10">
      <c r="J206" s="231"/>
    </row>
    <row r="207" spans="10:10">
      <c r="J207" s="231"/>
    </row>
    <row r="208" spans="10:10">
      <c r="J208" s="231"/>
    </row>
    <row r="209" spans="10:10">
      <c r="J209" s="231"/>
    </row>
    <row r="210" spans="10:10">
      <c r="J210" s="231"/>
    </row>
    <row r="211" spans="10:10">
      <c r="J211" s="231"/>
    </row>
    <row r="212" spans="10:10">
      <c r="J212" s="231"/>
    </row>
    <row r="213" spans="10:10">
      <c r="J213" s="231"/>
    </row>
    <row r="214" spans="10:10">
      <c r="J214" s="231"/>
    </row>
    <row r="215" spans="10:10">
      <c r="J215" s="231"/>
    </row>
    <row r="216" spans="10:10">
      <c r="J216" s="231"/>
    </row>
    <row r="217" spans="10:10">
      <c r="J217" s="231"/>
    </row>
    <row r="218" spans="10:10">
      <c r="J218" s="231"/>
    </row>
    <row r="219" spans="10:10">
      <c r="J219" s="231"/>
    </row>
    <row r="220" spans="10:10">
      <c r="J220" s="231"/>
    </row>
    <row r="221" spans="10:10">
      <c r="J221" s="231"/>
    </row>
    <row r="222" spans="10:10">
      <c r="J222" s="231"/>
    </row>
    <row r="223" spans="10:10">
      <c r="J223" s="231"/>
    </row>
    <row r="224" spans="10:10">
      <c r="J224" s="231"/>
    </row>
    <row r="225" spans="10:10">
      <c r="J225" s="231"/>
    </row>
    <row r="226" spans="10:10">
      <c r="J226" s="231"/>
    </row>
    <row r="227" spans="10:10">
      <c r="J227" s="231"/>
    </row>
    <row r="228" spans="10:10">
      <c r="J228" s="231"/>
    </row>
    <row r="229" spans="10:10">
      <c r="J229" s="231"/>
    </row>
    <row r="230" spans="10:10">
      <c r="J230" s="231"/>
    </row>
    <row r="231" spans="10:10">
      <c r="J231" s="231"/>
    </row>
    <row r="232" spans="10:10">
      <c r="J232" s="231"/>
    </row>
    <row r="233" spans="10:10">
      <c r="J233" s="231"/>
    </row>
    <row r="234" spans="10:10">
      <c r="J234" s="231"/>
    </row>
    <row r="235" spans="10:10">
      <c r="J235" s="231"/>
    </row>
    <row r="236" spans="10:10">
      <c r="J236" s="231"/>
    </row>
    <row r="237" spans="10:10">
      <c r="J237" s="231"/>
    </row>
    <row r="238" spans="10:10">
      <c r="J238" s="231"/>
    </row>
    <row r="239" spans="10:10">
      <c r="J239" s="231"/>
    </row>
    <row r="240" spans="10:10">
      <c r="J240" s="231"/>
    </row>
    <row r="241" spans="10:10">
      <c r="J241" s="231"/>
    </row>
    <row r="242" spans="10:10">
      <c r="J242" s="231"/>
    </row>
    <row r="243" spans="10:10">
      <c r="J243" s="231"/>
    </row>
    <row r="244" spans="10:10">
      <c r="J244" s="231"/>
    </row>
    <row r="245" spans="10:10">
      <c r="J245" s="231"/>
    </row>
    <row r="246" spans="10:10">
      <c r="J246" s="231"/>
    </row>
    <row r="247" spans="10:10">
      <c r="J247" s="231"/>
    </row>
    <row r="248" spans="10:10">
      <c r="J248" s="231"/>
    </row>
    <row r="249" spans="10:10">
      <c r="J249" s="231"/>
    </row>
    <row r="250" spans="10:10">
      <c r="J250" s="231"/>
    </row>
    <row r="251" spans="10:10">
      <c r="J251" s="231"/>
    </row>
    <row r="252" spans="10:10">
      <c r="J252" s="231"/>
    </row>
    <row r="253" spans="10:10">
      <c r="J253" s="231"/>
    </row>
    <row r="254" spans="10:10">
      <c r="J254" s="231"/>
    </row>
    <row r="255" spans="10:10">
      <c r="J255" s="231"/>
    </row>
    <row r="256" spans="10:10">
      <c r="J256" s="231"/>
    </row>
    <row r="257" spans="10:10">
      <c r="J257" s="231"/>
    </row>
    <row r="258" spans="10:10">
      <c r="J258" s="231"/>
    </row>
    <row r="259" spans="10:10">
      <c r="J259" s="231"/>
    </row>
    <row r="260" spans="10:10">
      <c r="J260" s="231"/>
    </row>
    <row r="261" spans="10:10">
      <c r="J261" s="231"/>
    </row>
    <row r="262" spans="10:10">
      <c r="J262" s="231"/>
    </row>
    <row r="263" spans="10:10">
      <c r="J263" s="231"/>
    </row>
    <row r="264" spans="10:10">
      <c r="J264" s="231"/>
    </row>
    <row r="265" spans="10:10">
      <c r="J265" s="231"/>
    </row>
    <row r="266" spans="10:10">
      <c r="J266" s="231"/>
    </row>
    <row r="267" spans="10:10">
      <c r="J267" s="231"/>
    </row>
    <row r="268" spans="10:10">
      <c r="J268" s="231"/>
    </row>
    <row r="269" spans="10:10">
      <c r="J269" s="231"/>
    </row>
    <row r="270" spans="10:10">
      <c r="J270" s="231"/>
    </row>
    <row r="271" spans="10:10">
      <c r="J271" s="231"/>
    </row>
    <row r="272" spans="10:10">
      <c r="J272" s="231"/>
    </row>
    <row r="273" spans="10:10">
      <c r="J273" s="231"/>
    </row>
    <row r="274" spans="10:10">
      <c r="J274" s="231"/>
    </row>
    <row r="275" spans="10:10">
      <c r="J275" s="231"/>
    </row>
    <row r="276" spans="10:10">
      <c r="J276" s="231"/>
    </row>
    <row r="277" spans="10:10">
      <c r="J277" s="231"/>
    </row>
    <row r="278" spans="10:10">
      <c r="J278" s="231"/>
    </row>
    <row r="279" spans="10:10">
      <c r="J279" s="231"/>
    </row>
    <row r="280" spans="10:10">
      <c r="J280" s="231"/>
    </row>
    <row r="281" spans="10:10">
      <c r="J281" s="231"/>
    </row>
    <row r="282" spans="10:10">
      <c r="J282" s="231"/>
    </row>
    <row r="283" spans="10:10">
      <c r="J283" s="231"/>
    </row>
    <row r="284" spans="10:10">
      <c r="J284" s="231"/>
    </row>
    <row r="285" spans="10:10">
      <c r="J285" s="231"/>
    </row>
    <row r="286" spans="10:10">
      <c r="J286" s="231"/>
    </row>
    <row r="287" spans="10:10">
      <c r="J287" s="231"/>
    </row>
    <row r="288" spans="10:10">
      <c r="J288" s="231"/>
    </row>
    <row r="289" spans="10:10">
      <c r="J289" s="231"/>
    </row>
    <row r="290" spans="10:10">
      <c r="J290" s="231"/>
    </row>
    <row r="291" spans="10:10">
      <c r="J291" s="231"/>
    </row>
    <row r="292" spans="10:10">
      <c r="J292" s="231"/>
    </row>
    <row r="293" spans="10:10">
      <c r="J293" s="231"/>
    </row>
    <row r="294" spans="10:10">
      <c r="J294" s="231"/>
    </row>
    <row r="295" spans="10:10">
      <c r="J295" s="231"/>
    </row>
    <row r="296" spans="10:10">
      <c r="J296" s="231"/>
    </row>
    <row r="297" spans="10:10">
      <c r="J297" s="231"/>
    </row>
    <row r="298" spans="10:10">
      <c r="J298" s="231"/>
    </row>
    <row r="299" spans="10:10">
      <c r="J299" s="231"/>
    </row>
    <row r="300" spans="10:10">
      <c r="J300" s="231"/>
    </row>
    <row r="301" spans="10:10">
      <c r="J301" s="231"/>
    </row>
    <row r="302" spans="10:10">
      <c r="J302" s="231"/>
    </row>
    <row r="303" spans="10:10">
      <c r="J303" s="231"/>
    </row>
    <row r="304" spans="10:10">
      <c r="J304" s="231"/>
    </row>
    <row r="305" spans="10:10">
      <c r="J305" s="231"/>
    </row>
    <row r="306" spans="10:10">
      <c r="J306" s="231"/>
    </row>
    <row r="307" spans="10:10">
      <c r="J307" s="231"/>
    </row>
    <row r="308" spans="10:10">
      <c r="J308" s="231"/>
    </row>
    <row r="309" spans="10:10">
      <c r="J309" s="231"/>
    </row>
    <row r="310" spans="10:10">
      <c r="J310" s="231"/>
    </row>
    <row r="311" spans="10:10">
      <c r="J311" s="231"/>
    </row>
    <row r="312" spans="10:10">
      <c r="J312" s="231"/>
    </row>
    <row r="313" spans="10:10">
      <c r="J313" s="231"/>
    </row>
    <row r="314" spans="10:10">
      <c r="J314" s="231"/>
    </row>
    <row r="315" spans="10:10">
      <c r="J315" s="231"/>
    </row>
    <row r="316" spans="10:10">
      <c r="J316" s="231"/>
    </row>
    <row r="317" spans="10:10">
      <c r="J317" s="231"/>
    </row>
    <row r="318" spans="10:10">
      <c r="J318" s="231"/>
    </row>
    <row r="319" spans="10:10">
      <c r="J319" s="231"/>
    </row>
    <row r="320" spans="10:10">
      <c r="J320" s="231"/>
    </row>
    <row r="321" spans="10:10">
      <c r="J321" s="231"/>
    </row>
    <row r="322" spans="10:10">
      <c r="J322" s="231"/>
    </row>
    <row r="323" spans="10:10">
      <c r="J323" s="231"/>
    </row>
    <row r="324" spans="10:10">
      <c r="J324" s="231"/>
    </row>
    <row r="325" spans="10:10">
      <c r="J325" s="231"/>
    </row>
    <row r="326" spans="10:10">
      <c r="J326" s="231"/>
    </row>
    <row r="327" spans="10:10">
      <c r="J327" s="231"/>
    </row>
    <row r="328" spans="10:10">
      <c r="J328" s="231"/>
    </row>
    <row r="329" spans="10:10">
      <c r="J329" s="231"/>
    </row>
    <row r="330" spans="10:10">
      <c r="J330" s="231"/>
    </row>
    <row r="331" spans="10:10">
      <c r="J331" s="231"/>
    </row>
    <row r="332" spans="10:10">
      <c r="J332" s="231"/>
    </row>
    <row r="333" spans="10:10">
      <c r="J333" s="231"/>
    </row>
    <row r="334" spans="10:10">
      <c r="J334" s="231"/>
    </row>
    <row r="335" spans="10:10">
      <c r="J335" s="231"/>
    </row>
    <row r="336" spans="10:10">
      <c r="J336" s="231"/>
    </row>
    <row r="337" spans="10:10">
      <c r="J337" s="231"/>
    </row>
    <row r="338" spans="10:10">
      <c r="J338" s="231"/>
    </row>
    <row r="339" spans="10:10">
      <c r="J339" s="231"/>
    </row>
    <row r="340" spans="10:10">
      <c r="J340" s="231"/>
    </row>
    <row r="341" spans="10:10">
      <c r="J341" s="231"/>
    </row>
    <row r="342" spans="10:10">
      <c r="J342" s="231"/>
    </row>
    <row r="343" spans="10:10">
      <c r="J343" s="231"/>
    </row>
    <row r="344" spans="10:10">
      <c r="J344" s="231"/>
    </row>
    <row r="345" spans="10:10">
      <c r="J345" s="231"/>
    </row>
    <row r="346" spans="10:10">
      <c r="J346" s="231"/>
    </row>
    <row r="347" spans="10:10">
      <c r="J347" s="231"/>
    </row>
    <row r="348" spans="10:10">
      <c r="J348" s="231"/>
    </row>
    <row r="349" spans="10:10">
      <c r="J349" s="231"/>
    </row>
    <row r="350" spans="10:10">
      <c r="J350" s="231"/>
    </row>
    <row r="351" spans="10:10">
      <c r="J351" s="231"/>
    </row>
    <row r="352" spans="10:10">
      <c r="J352" s="231"/>
    </row>
    <row r="353" spans="10:10">
      <c r="J353" s="231"/>
    </row>
    <row r="354" spans="10:10">
      <c r="J354" s="231"/>
    </row>
  </sheetData>
  <dataValidations count="1">
    <dataValidation allowBlank="1" showInputMessage="1" showErrorMessage="1" sqref="E14:E23 E3:E12 C3:C12 C14:C23" xr:uid="{B07B694A-54FC-40CA-8B84-A3BAC9E8A9E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68A357-EAC6-467C-B768-1A39F6A9C50B}">
          <x14:formula1>
            <xm:f>기계코드!$F$5:$F$43</xm:f>
          </x14:formula1>
          <xm:sqref>C13 C24:C64</xm:sqref>
        </x14:dataValidation>
        <x14:dataValidation type="list" allowBlank="1" showInputMessage="1" showErrorMessage="1" xr:uid="{4669AF9C-904E-4C46-8A78-E7334DEBB1EE}">
          <x14:formula1>
            <xm:f>공급업체코드!$D$3:$D$103</xm:f>
          </x14:formula1>
          <xm:sqref>E13 E24:E64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981B-44D8-46D9-AED3-471718A2A4BD}">
  <sheetPr>
    <tabColor rgb="FFFFFF00"/>
  </sheetPr>
  <dimension ref="A1:AG371"/>
  <sheetViews>
    <sheetView workbookViewId="0">
      <selection activeCell="C41" sqref="C41"/>
    </sheetView>
  </sheetViews>
  <sheetFormatPr defaultRowHeight="16.5"/>
  <cols>
    <col min="1" max="1" width="20.625" customWidth="1"/>
    <col min="2" max="2" width="43" customWidth="1"/>
    <col min="3" max="3" width="34" customWidth="1"/>
    <col min="4" max="4" width="16.75" bestFit="1" customWidth="1"/>
    <col min="5" max="5" width="18" customWidth="1"/>
    <col min="6" max="6" width="11.125" bestFit="1" customWidth="1"/>
    <col min="7" max="7" width="15.625" bestFit="1" customWidth="1"/>
    <col min="8" max="9" width="19.625" customWidth="1"/>
    <col min="10" max="10" width="15.625" style="178" customWidth="1"/>
    <col min="11" max="12" width="15.625" customWidth="1"/>
    <col min="13" max="13" width="20.25" bestFit="1" customWidth="1"/>
    <col min="14" max="14" width="21.375" bestFit="1" customWidth="1"/>
    <col min="15" max="15" width="25.625" bestFit="1" customWidth="1"/>
    <col min="16" max="16" width="15.25" bestFit="1" customWidth="1"/>
    <col min="17" max="17" width="13.375" bestFit="1" customWidth="1"/>
    <col min="18" max="18" width="25.875" bestFit="1" customWidth="1"/>
    <col min="19" max="19" width="16.625" bestFit="1" customWidth="1"/>
    <col min="20" max="20" width="18.25" bestFit="1" customWidth="1"/>
    <col min="21" max="21" width="21.25" bestFit="1" customWidth="1"/>
    <col min="22" max="22" width="29.125" bestFit="1" customWidth="1"/>
    <col min="23" max="23" width="9.25" bestFit="1" customWidth="1"/>
    <col min="24" max="24" width="34.625" customWidth="1"/>
    <col min="25" max="25" width="18.125" style="113" bestFit="1" customWidth="1"/>
  </cols>
  <sheetData>
    <row r="1" spans="1:33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249" t="s">
        <v>1316</v>
      </c>
      <c r="I1" s="10" t="s">
        <v>1317</v>
      </c>
      <c r="J1" s="10" t="s">
        <v>1318</v>
      </c>
      <c r="K1" s="10" t="s">
        <v>1319</v>
      </c>
      <c r="L1" s="10" t="s">
        <v>1320</v>
      </c>
      <c r="M1" s="10" t="s">
        <v>1321</v>
      </c>
      <c r="N1" s="10" t="s">
        <v>1322</v>
      </c>
      <c r="O1" s="10" t="s">
        <v>1323</v>
      </c>
      <c r="P1" s="10" t="s">
        <v>1324</v>
      </c>
      <c r="Q1" s="10" t="s">
        <v>1290</v>
      </c>
      <c r="R1" s="10" t="s">
        <v>1291</v>
      </c>
      <c r="S1" s="10" t="s">
        <v>1292</v>
      </c>
      <c r="T1" s="10" t="s">
        <v>1293</v>
      </c>
      <c r="U1" s="17" t="s">
        <v>1294</v>
      </c>
      <c r="V1" s="61" t="s">
        <v>1295</v>
      </c>
      <c r="W1" s="10" t="s">
        <v>1296</v>
      </c>
      <c r="X1" s="10" t="s">
        <v>1297</v>
      </c>
      <c r="Y1" s="210" t="s">
        <v>1298</v>
      </c>
      <c r="Z1" s="10"/>
      <c r="AA1" s="10"/>
      <c r="AB1" s="10"/>
      <c r="AC1" s="10"/>
      <c r="AD1" s="10"/>
      <c r="AE1" s="10"/>
      <c r="AF1" s="10"/>
      <c r="AG1" s="10"/>
    </row>
    <row r="2" spans="1:33">
      <c r="A2" s="1"/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23" t="s">
        <v>1302</v>
      </c>
      <c r="H2" s="325" t="s">
        <v>1325</v>
      </c>
      <c r="I2" s="330" t="s">
        <v>1326</v>
      </c>
      <c r="J2" s="331" t="s">
        <v>1327</v>
      </c>
      <c r="K2" s="5" t="s">
        <v>1328</v>
      </c>
      <c r="L2" s="53" t="s">
        <v>1329</v>
      </c>
      <c r="M2" s="5" t="s">
        <v>1330</v>
      </c>
      <c r="N2" s="5" t="s">
        <v>1331</v>
      </c>
      <c r="O2" s="57" t="s">
        <v>1332</v>
      </c>
      <c r="P2" s="327" t="s">
        <v>1333</v>
      </c>
      <c r="Q2" s="176" t="s">
        <v>1305</v>
      </c>
      <c r="R2" s="114" t="s">
        <v>1306</v>
      </c>
      <c r="S2" s="180" t="s">
        <v>1307</v>
      </c>
      <c r="T2" s="234" t="s">
        <v>1308</v>
      </c>
      <c r="U2" s="235" t="s">
        <v>1309</v>
      </c>
      <c r="V2" s="241" t="s">
        <v>1310</v>
      </c>
      <c r="W2" s="109" t="s">
        <v>1311</v>
      </c>
      <c r="X2" s="100" t="s">
        <v>10</v>
      </c>
      <c r="Y2" s="242" t="s">
        <v>1312</v>
      </c>
      <c r="Z2" s="1"/>
      <c r="AA2" s="1"/>
      <c r="AB2" s="1"/>
      <c r="AC2" s="1"/>
      <c r="AD2" s="1"/>
      <c r="AE2" s="41"/>
      <c r="AF2" s="41"/>
      <c r="AG2" s="41"/>
    </row>
    <row r="3" spans="1:33">
      <c r="A3" s="203"/>
      <c r="B3" s="1" t="str">
        <f>D3&amp;"_"&amp;F3&amp;"_"&amp;G3&amp;"_"&amp;I3</f>
        <v>M_BLR0101_VM_DY_BLR_DMXR-100PG_1000</v>
      </c>
      <c r="C3" s="92" t="s">
        <v>771</v>
      </c>
      <c r="D3" s="92" t="str" cm="1">
        <f t="array" ref="D3">INDEX(기계코드!$D$4:$D$1022,MATCH(1,(C3=기계코드!$F$4:$F$1022)*1,0))</f>
        <v>M_BLR0101</v>
      </c>
      <c r="E3" s="92" t="s">
        <v>1274</v>
      </c>
      <c r="F3" s="92" t="str" cm="1">
        <f t="array" ref="F3">INDEX(공급업체코드!$B$3:$B$1000,MATCH(1,(E3=공급업체코드!$D$3:$D$1000)*1,0))</f>
        <v>VM_DY_BLR</v>
      </c>
      <c r="G3" s="113" t="str">
        <f>"DMXR-"&amp;LEFT(I3,3)&amp;"PG"</f>
        <v>DMXR-100PG</v>
      </c>
      <c r="H3" s="110"/>
      <c r="I3" s="110">
        <v>1000</v>
      </c>
      <c r="J3" s="326">
        <f>2.2*2+3.7</f>
        <v>8.1000000000000014</v>
      </c>
      <c r="K3" s="110" t="s">
        <v>990</v>
      </c>
      <c r="L3" s="110">
        <v>380</v>
      </c>
      <c r="M3" s="110">
        <v>0.99</v>
      </c>
      <c r="N3" s="110">
        <v>0.9</v>
      </c>
      <c r="O3" s="110">
        <v>90</v>
      </c>
      <c r="P3">
        <v>6600</v>
      </c>
      <c r="Q3" s="230" t="s">
        <v>1313</v>
      </c>
      <c r="R3" s="10"/>
      <c r="S3" s="232"/>
      <c r="T3" s="238">
        <v>125900000</v>
      </c>
      <c r="U3" s="239"/>
      <c r="V3" s="240" t="s">
        <v>1334</v>
      </c>
      <c r="W3" s="1" t="b">
        <v>1</v>
      </c>
      <c r="X3" t="s">
        <v>1335</v>
      </c>
      <c r="Y3" s="133"/>
      <c r="AE3" s="41"/>
      <c r="AF3" s="41"/>
      <c r="AG3" s="41"/>
    </row>
    <row r="4" spans="1:33">
      <c r="A4" s="203"/>
      <c r="B4" s="1" t="str">
        <f t="shared" ref="B4:B19" si="0">D4&amp;"_"&amp;F4&amp;"_"&amp;G4&amp;"_"&amp;I4</f>
        <v>M_BLR0101_VM_DY_BLR_DMXR-150PG_1500</v>
      </c>
      <c r="C4" s="92" t="s">
        <v>771</v>
      </c>
      <c r="D4" s="92" t="str" cm="1">
        <f t="array" ref="D4">INDEX(기계코드!$D$4:$D$1022,MATCH(1,(C4=기계코드!$F$4:$F$1022)*1,0))</f>
        <v>M_BLR0101</v>
      </c>
      <c r="E4" s="92" t="s">
        <v>1274</v>
      </c>
      <c r="F4" s="92" t="str" cm="1">
        <f t="array" ref="F4">INDEX(공급업체코드!$B$3:$B$1000,MATCH(1,(E4=공급업체코드!$D$3:$D$1000)*1,0))</f>
        <v>VM_DY_BLR</v>
      </c>
      <c r="G4" s="113" t="str">
        <f t="shared" ref="G4:G15" si="1">"DMXR-"&amp;LEFT(I4,3)&amp;"PG"</f>
        <v>DMXR-150PG</v>
      </c>
      <c r="H4" s="110"/>
      <c r="I4" s="110">
        <v>1500</v>
      </c>
      <c r="J4" s="326">
        <f>2.2*2+5.5</f>
        <v>9.9</v>
      </c>
      <c r="K4" s="110" t="s">
        <v>990</v>
      </c>
      <c r="L4" s="110">
        <v>380</v>
      </c>
      <c r="M4" s="110">
        <v>0.99</v>
      </c>
      <c r="N4" s="110">
        <v>0.9</v>
      </c>
      <c r="O4" s="110">
        <v>90</v>
      </c>
      <c r="P4">
        <v>7600</v>
      </c>
      <c r="Q4" s="231" t="s">
        <v>1313</v>
      </c>
      <c r="R4" s="10"/>
      <c r="S4" s="233"/>
      <c r="T4" s="236">
        <v>136400000</v>
      </c>
      <c r="V4" s="113" t="s">
        <v>1334</v>
      </c>
      <c r="W4" s="1" t="b">
        <v>1</v>
      </c>
      <c r="X4" t="s">
        <v>1335</v>
      </c>
      <c r="Y4" s="133"/>
      <c r="AE4" s="41"/>
      <c r="AF4" s="41"/>
      <c r="AG4" s="41"/>
    </row>
    <row r="5" spans="1:33">
      <c r="A5" s="203"/>
      <c r="B5" s="1" t="str">
        <f t="shared" si="0"/>
        <v>M_BLR0101_VM_DY_BLR_DMXR-200PG_2000</v>
      </c>
      <c r="C5" s="92" t="s">
        <v>771</v>
      </c>
      <c r="D5" s="92" t="str" cm="1">
        <f t="array" ref="D5">INDEX(기계코드!$D$4:$D$1022,MATCH(1,(C5=기계코드!$F$4:$F$1022)*1,0))</f>
        <v>M_BLR0101</v>
      </c>
      <c r="E5" s="92" t="s">
        <v>1274</v>
      </c>
      <c r="F5" s="92" t="str" cm="1">
        <f t="array" ref="F5">INDEX(공급업체코드!$B$3:$B$1000,MATCH(1,(E5=공급업체코드!$D$3:$D$1000)*1,0))</f>
        <v>VM_DY_BLR</v>
      </c>
      <c r="G5" s="113" t="str">
        <f t="shared" si="1"/>
        <v>DMXR-200PG</v>
      </c>
      <c r="H5" s="110"/>
      <c r="I5" s="110">
        <v>2000</v>
      </c>
      <c r="J5" s="326">
        <f>3*2+11</f>
        <v>17</v>
      </c>
      <c r="K5" s="110" t="s">
        <v>990</v>
      </c>
      <c r="L5" s="110">
        <v>380</v>
      </c>
      <c r="M5" s="110">
        <v>0.99</v>
      </c>
      <c r="N5" s="110">
        <v>0.9</v>
      </c>
      <c r="O5" s="110">
        <v>90</v>
      </c>
      <c r="P5">
        <v>8200</v>
      </c>
      <c r="Q5" s="231" t="s">
        <v>1313</v>
      </c>
      <c r="R5" s="10"/>
      <c r="S5" s="233"/>
      <c r="T5" s="236">
        <v>155400000</v>
      </c>
      <c r="V5" s="113" t="s">
        <v>1334</v>
      </c>
      <c r="W5" s="1" t="b">
        <v>1</v>
      </c>
      <c r="X5" t="s">
        <v>1335</v>
      </c>
      <c r="Y5" s="133"/>
      <c r="AE5" s="41"/>
      <c r="AF5" s="41"/>
      <c r="AG5" s="41"/>
    </row>
    <row r="6" spans="1:33">
      <c r="A6" s="203"/>
      <c r="B6" s="1" t="str">
        <f t="shared" si="0"/>
        <v>M_BLR0101_VM_DY_BLR_DMXR-250PG_2500</v>
      </c>
      <c r="C6" s="92" t="s">
        <v>771</v>
      </c>
      <c r="D6" s="92" t="str" cm="1">
        <f t="array" ref="D6">INDEX(기계코드!$D$4:$D$1022,MATCH(1,(C6=기계코드!$F$4:$F$1022)*1,0))</f>
        <v>M_BLR0101</v>
      </c>
      <c r="E6" s="92" t="s">
        <v>1274</v>
      </c>
      <c r="F6" s="92" t="str" cm="1">
        <f t="array" ref="F6">INDEX(공급업체코드!$B$3:$B$1000,MATCH(1,(E6=공급업체코드!$D$3:$D$1000)*1,0))</f>
        <v>VM_DY_BLR</v>
      </c>
      <c r="G6" s="113" t="str">
        <f t="shared" si="1"/>
        <v>DMXR-250PG</v>
      </c>
      <c r="H6" s="110"/>
      <c r="I6" s="110">
        <v>2500</v>
      </c>
      <c r="J6" s="326">
        <f>3*2+11</f>
        <v>17</v>
      </c>
      <c r="K6" s="110" t="s">
        <v>990</v>
      </c>
      <c r="L6" s="110">
        <v>380</v>
      </c>
      <c r="M6" s="110">
        <v>0.99</v>
      </c>
      <c r="N6" s="110">
        <v>0.9</v>
      </c>
      <c r="O6" s="110">
        <v>90</v>
      </c>
      <c r="P6">
        <v>8600</v>
      </c>
      <c r="Q6" s="231" t="s">
        <v>1313</v>
      </c>
      <c r="R6" s="10"/>
      <c r="S6" s="233"/>
      <c r="T6" s="236">
        <v>159100000</v>
      </c>
      <c r="V6" s="113" t="s">
        <v>1334</v>
      </c>
      <c r="W6" s="1" t="b">
        <v>1</v>
      </c>
      <c r="X6" t="s">
        <v>1335</v>
      </c>
      <c r="Y6" s="133"/>
      <c r="AE6" s="41"/>
      <c r="AF6" s="41"/>
      <c r="AG6" s="41"/>
    </row>
    <row r="7" spans="1:33">
      <c r="A7" s="203"/>
      <c r="B7" s="1" t="str">
        <f t="shared" si="0"/>
        <v>M_BLR0101_VM_DY_BLR_DMXR-300PG_3000</v>
      </c>
      <c r="C7" s="92" t="s">
        <v>771</v>
      </c>
      <c r="D7" s="92" t="str" cm="1">
        <f t="array" ref="D7">INDEX(기계코드!$D$4:$D$1022,MATCH(1,(C7=기계코드!$F$4:$F$1022)*1,0))</f>
        <v>M_BLR0101</v>
      </c>
      <c r="E7" s="92" t="s">
        <v>1274</v>
      </c>
      <c r="F7" s="92" t="str" cm="1">
        <f t="array" ref="F7">INDEX(공급업체코드!$B$3:$B$1000,MATCH(1,(E7=공급업체코드!$D$3:$D$1000)*1,0))</f>
        <v>VM_DY_BLR</v>
      </c>
      <c r="G7" s="113" t="str">
        <f t="shared" si="1"/>
        <v>DMXR-300PG</v>
      </c>
      <c r="H7" s="110"/>
      <c r="I7" s="110">
        <v>3000</v>
      </c>
      <c r="J7" s="326">
        <f>4*2+15</f>
        <v>23</v>
      </c>
      <c r="K7" s="110" t="s">
        <v>990</v>
      </c>
      <c r="L7" s="110">
        <v>380</v>
      </c>
      <c r="M7" s="110">
        <v>0.99</v>
      </c>
      <c r="N7" s="110">
        <v>0.9</v>
      </c>
      <c r="O7" s="110">
        <v>90</v>
      </c>
      <c r="P7">
        <v>9200</v>
      </c>
      <c r="Q7" s="231" t="s">
        <v>1313</v>
      </c>
      <c r="R7" s="10"/>
      <c r="S7" s="233"/>
      <c r="T7" s="236">
        <v>168900000</v>
      </c>
      <c r="V7" s="113" t="s">
        <v>1334</v>
      </c>
      <c r="W7" s="1" t="b">
        <v>1</v>
      </c>
      <c r="X7" t="s">
        <v>1335</v>
      </c>
      <c r="Y7" s="133"/>
      <c r="AE7" s="41"/>
      <c r="AF7" s="41"/>
      <c r="AG7" s="41"/>
    </row>
    <row r="8" spans="1:33">
      <c r="A8" s="203"/>
      <c r="B8" s="1" t="str">
        <f t="shared" si="0"/>
        <v>M_BLR0101_VM_DY_BLR_DMXR-350PG_3500</v>
      </c>
      <c r="C8" s="92" t="s">
        <v>771</v>
      </c>
      <c r="D8" s="92" t="str" cm="1">
        <f t="array" ref="D8">INDEX(기계코드!$D$4:$D$1022,MATCH(1,(C8=기계코드!$F$4:$F$1022)*1,0))</f>
        <v>M_BLR0101</v>
      </c>
      <c r="E8" s="92" t="s">
        <v>1274</v>
      </c>
      <c r="F8" s="92" t="str" cm="1">
        <f t="array" ref="F8">INDEX(공급업체코드!$B$3:$B$1000,MATCH(1,(E8=공급업체코드!$D$3:$D$1000)*1,0))</f>
        <v>VM_DY_BLR</v>
      </c>
      <c r="G8" s="113" t="str">
        <f t="shared" si="1"/>
        <v>DMXR-350PG</v>
      </c>
      <c r="H8" s="110"/>
      <c r="I8" s="110">
        <v>3500</v>
      </c>
      <c r="J8" s="326">
        <f>4*2+15</f>
        <v>23</v>
      </c>
      <c r="K8" s="110" t="s">
        <v>990</v>
      </c>
      <c r="L8" s="110">
        <v>380</v>
      </c>
      <c r="M8" s="110">
        <v>0.99</v>
      </c>
      <c r="N8" s="110">
        <v>0.9</v>
      </c>
      <c r="O8" s="110">
        <v>90</v>
      </c>
      <c r="P8">
        <v>10300</v>
      </c>
      <c r="Q8" s="231" t="s">
        <v>1313</v>
      </c>
      <c r="R8" s="10"/>
      <c r="S8" s="233"/>
      <c r="T8" s="236">
        <v>177700000</v>
      </c>
      <c r="V8" s="113" t="s">
        <v>1334</v>
      </c>
      <c r="W8" s="1" t="b">
        <v>1</v>
      </c>
      <c r="X8" t="s">
        <v>1335</v>
      </c>
      <c r="AE8" s="41"/>
      <c r="AF8" s="41"/>
      <c r="AG8" s="41"/>
    </row>
    <row r="9" spans="1:33">
      <c r="A9" s="203"/>
      <c r="B9" s="1" t="str">
        <f t="shared" si="0"/>
        <v>M_BLR0101_VM_DY_BLR_DMXR-400PG_4000</v>
      </c>
      <c r="C9" s="92" t="s">
        <v>771</v>
      </c>
      <c r="D9" s="92" t="str" cm="1">
        <f t="array" ref="D9">INDEX(기계코드!$D$4:$D$1022,MATCH(1,(C9=기계코드!$F$4:$F$1022)*1,0))</f>
        <v>M_BLR0101</v>
      </c>
      <c r="E9" s="92" t="s">
        <v>1274</v>
      </c>
      <c r="F9" s="92" t="str" cm="1">
        <f t="array" ref="F9">INDEX(공급업체코드!$B$3:$B$1000,MATCH(1,(E9=공급업체코드!$D$3:$D$1000)*1,0))</f>
        <v>VM_DY_BLR</v>
      </c>
      <c r="G9" s="113" t="str">
        <f t="shared" si="1"/>
        <v>DMXR-400PG</v>
      </c>
      <c r="I9">
        <v>4000</v>
      </c>
      <c r="J9" s="326">
        <f>4*2+18.5</f>
        <v>26.5</v>
      </c>
      <c r="K9" s="110" t="s">
        <v>990</v>
      </c>
      <c r="L9" s="110">
        <v>380</v>
      </c>
      <c r="M9" s="110">
        <v>0.99</v>
      </c>
      <c r="N9" s="110">
        <v>0.9</v>
      </c>
      <c r="O9" s="110">
        <v>90</v>
      </c>
      <c r="P9">
        <v>12200</v>
      </c>
      <c r="Q9" s="231" t="s">
        <v>1313</v>
      </c>
      <c r="S9" s="233"/>
      <c r="T9" s="236">
        <v>187700000</v>
      </c>
      <c r="V9" s="113" t="s">
        <v>1334</v>
      </c>
      <c r="W9" s="1" t="b">
        <v>1</v>
      </c>
      <c r="X9" t="s">
        <v>1335</v>
      </c>
      <c r="AE9" s="111"/>
      <c r="AF9" s="111"/>
      <c r="AG9" s="41"/>
    </row>
    <row r="10" spans="1:33">
      <c r="A10" s="203"/>
      <c r="B10" s="1" t="str">
        <f t="shared" si="0"/>
        <v>M_BLR0101_VM_DY_BLR_DMXR-450PG_4500</v>
      </c>
      <c r="C10" s="92" t="s">
        <v>771</v>
      </c>
      <c r="D10" s="92" t="str" cm="1">
        <f t="array" ref="D10">INDEX(기계코드!$D$4:$D$1022,MATCH(1,(C10=기계코드!$F$4:$F$1022)*1,0))</f>
        <v>M_BLR0101</v>
      </c>
      <c r="E10" s="92" t="s">
        <v>1274</v>
      </c>
      <c r="F10" s="92" t="str" cm="1">
        <f t="array" ref="F10">INDEX(공급업체코드!$B$3:$B$1000,MATCH(1,(E10=공급업체코드!$D$3:$D$1000)*1,0))</f>
        <v>VM_DY_BLR</v>
      </c>
      <c r="G10" s="113" t="str">
        <f t="shared" si="1"/>
        <v>DMXR-450PG</v>
      </c>
      <c r="I10">
        <v>4500</v>
      </c>
      <c r="J10" s="326">
        <f>4*2+22</f>
        <v>30</v>
      </c>
      <c r="K10" s="110" t="s">
        <v>990</v>
      </c>
      <c r="L10" s="110">
        <v>380</v>
      </c>
      <c r="M10" s="110">
        <v>0.99</v>
      </c>
      <c r="N10" s="110">
        <v>0.9</v>
      </c>
      <c r="O10" s="110">
        <v>90</v>
      </c>
      <c r="P10">
        <v>12600</v>
      </c>
      <c r="Q10" s="231" t="s">
        <v>1313</v>
      </c>
      <c r="S10" s="233"/>
      <c r="T10" s="236">
        <v>204500000</v>
      </c>
      <c r="V10" s="113" t="s">
        <v>1334</v>
      </c>
      <c r="W10" s="1" t="b">
        <v>1</v>
      </c>
      <c r="X10" t="s">
        <v>1335</v>
      </c>
      <c r="AE10" s="111"/>
      <c r="AF10" s="111"/>
      <c r="AG10" s="111"/>
    </row>
    <row r="11" spans="1:33">
      <c r="A11" s="203"/>
      <c r="B11" s="1" t="str">
        <f t="shared" si="0"/>
        <v>M_BLR0101_VM_DY_BLR_DMXR-500PG_5000</v>
      </c>
      <c r="C11" s="92" t="s">
        <v>771</v>
      </c>
      <c r="D11" s="92" t="str" cm="1">
        <f t="array" ref="D11">INDEX(기계코드!$D$4:$D$1022,MATCH(1,(C11=기계코드!$F$4:$F$1022)*1,0))</f>
        <v>M_BLR0101</v>
      </c>
      <c r="E11" s="92" t="s">
        <v>1274</v>
      </c>
      <c r="F11" s="92" t="str" cm="1">
        <f t="array" ref="F11">INDEX(공급업체코드!$B$3:$B$1000,MATCH(1,(E11=공급업체코드!$D$3:$D$1000)*1,0))</f>
        <v>VM_DY_BLR</v>
      </c>
      <c r="G11" s="113" t="str">
        <f t="shared" si="1"/>
        <v>DMXR-500PG</v>
      </c>
      <c r="I11">
        <v>5000</v>
      </c>
      <c r="J11" s="326">
        <f>4*2+22</f>
        <v>30</v>
      </c>
      <c r="K11" s="110" t="s">
        <v>990</v>
      </c>
      <c r="L11" s="110">
        <v>380</v>
      </c>
      <c r="M11" s="110">
        <v>0.99</v>
      </c>
      <c r="N11" s="110">
        <v>0.9</v>
      </c>
      <c r="O11" s="110">
        <v>90</v>
      </c>
      <c r="P11">
        <v>19100</v>
      </c>
      <c r="Q11" s="231" t="s">
        <v>1313</v>
      </c>
      <c r="S11" s="233"/>
      <c r="T11" s="236">
        <v>219100000</v>
      </c>
      <c r="V11" s="113" t="s">
        <v>1334</v>
      </c>
      <c r="W11" s="1" t="b">
        <v>1</v>
      </c>
      <c r="X11" t="s">
        <v>1335</v>
      </c>
      <c r="AE11" s="111"/>
      <c r="AF11" s="111"/>
      <c r="AG11" s="41"/>
    </row>
    <row r="12" spans="1:33">
      <c r="A12" s="203"/>
      <c r="B12" s="1" t="str">
        <f t="shared" si="0"/>
        <v>M_BLR0101_VM_DY_BLR_DMXR-600PG_6000</v>
      </c>
      <c r="C12" s="92" t="s">
        <v>771</v>
      </c>
      <c r="D12" s="92" t="str" cm="1">
        <f t="array" ref="D12">INDEX(기계코드!$D$4:$D$1022,MATCH(1,(C12=기계코드!$F$4:$F$1022)*1,0))</f>
        <v>M_BLR0101</v>
      </c>
      <c r="E12" s="92" t="s">
        <v>1274</v>
      </c>
      <c r="F12" s="92" t="str" cm="1">
        <f t="array" ref="F12">INDEX(공급업체코드!$B$3:$B$1000,MATCH(1,(E12=공급업체코드!$D$3:$D$1000)*1,0))</f>
        <v>VM_DY_BLR</v>
      </c>
      <c r="G12" s="113" t="str">
        <f t="shared" si="1"/>
        <v>DMXR-600PG</v>
      </c>
      <c r="H12" s="64"/>
      <c r="I12" s="64">
        <v>6000</v>
      </c>
      <c r="J12" s="326">
        <f>5.5*2+30</f>
        <v>41</v>
      </c>
      <c r="K12" s="110" t="s">
        <v>990</v>
      </c>
      <c r="L12" s="110">
        <v>380</v>
      </c>
      <c r="M12" s="110">
        <v>0.99</v>
      </c>
      <c r="N12" s="110">
        <v>0.9</v>
      </c>
      <c r="O12" s="110">
        <v>90</v>
      </c>
      <c r="P12">
        <v>23600</v>
      </c>
      <c r="Q12" s="231" t="s">
        <v>1313</v>
      </c>
      <c r="S12" s="233"/>
      <c r="T12" s="236">
        <v>238500000</v>
      </c>
      <c r="V12" s="113" t="s">
        <v>1334</v>
      </c>
      <c r="W12" s="1" t="b">
        <v>1</v>
      </c>
      <c r="X12" t="s">
        <v>1335</v>
      </c>
      <c r="AE12" s="41"/>
      <c r="AF12" s="41"/>
      <c r="AG12" s="41"/>
    </row>
    <row r="13" spans="1:33">
      <c r="A13" s="203"/>
      <c r="B13" s="1" t="str">
        <f t="shared" si="0"/>
        <v>M_BLR0101_VM_DY_BLR_DMXR-700PG_7000</v>
      </c>
      <c r="C13" s="92" t="s">
        <v>771</v>
      </c>
      <c r="D13" s="92" t="str" cm="1">
        <f t="array" ref="D13">INDEX(기계코드!$D$4:$D$1022,MATCH(1,(C13=기계코드!$F$4:$F$1022)*1,0))</f>
        <v>M_BLR0101</v>
      </c>
      <c r="E13" s="92" t="s">
        <v>1274</v>
      </c>
      <c r="F13" s="92" t="str" cm="1">
        <f t="array" ref="F13">INDEX(공급업체코드!$B$3:$B$1000,MATCH(1,(E13=공급업체코드!$D$3:$D$1000)*1,0))</f>
        <v>VM_DY_BLR</v>
      </c>
      <c r="G13" s="113" t="str">
        <f t="shared" si="1"/>
        <v>DMXR-700PG</v>
      </c>
      <c r="H13" s="64"/>
      <c r="I13" s="64">
        <v>7000</v>
      </c>
      <c r="J13" s="326">
        <f>5.5*2+30</f>
        <v>41</v>
      </c>
      <c r="K13" s="110" t="s">
        <v>990</v>
      </c>
      <c r="L13" s="110">
        <v>380</v>
      </c>
      <c r="M13" s="110">
        <v>0.99</v>
      </c>
      <c r="N13" s="110">
        <v>0.9</v>
      </c>
      <c r="O13" s="110">
        <v>90</v>
      </c>
      <c r="P13">
        <v>27600</v>
      </c>
      <c r="Q13" s="231" t="s">
        <v>1313</v>
      </c>
      <c r="S13" s="233"/>
      <c r="T13" s="178">
        <v>266100000</v>
      </c>
      <c r="V13" s="113" t="s">
        <v>1334</v>
      </c>
      <c r="W13" s="1" t="b">
        <v>1</v>
      </c>
      <c r="X13" t="s">
        <v>1335</v>
      </c>
      <c r="AE13" s="111"/>
      <c r="AF13" s="111"/>
      <c r="AG13" s="41"/>
    </row>
    <row r="14" spans="1:33">
      <c r="A14" s="203"/>
      <c r="B14" s="1" t="str">
        <f t="shared" si="0"/>
        <v>M_BLR0101_VM_DY_BLR_DMXR-800PG_8000</v>
      </c>
      <c r="C14" s="92" t="s">
        <v>771</v>
      </c>
      <c r="D14" s="92" t="str" cm="1">
        <f t="array" ref="D14">INDEX(기계코드!$D$4:$D$1022,MATCH(1,(C14=기계코드!$F$4:$F$1022)*1,0))</f>
        <v>M_BLR0101</v>
      </c>
      <c r="E14" s="92" t="s">
        <v>1274</v>
      </c>
      <c r="F14" s="92" t="str" cm="1">
        <f t="array" ref="F14">INDEX(공급업체코드!$B$3:$B$1000,MATCH(1,(E14=공급업체코드!$D$3:$D$1000)*1,0))</f>
        <v>VM_DY_BLR</v>
      </c>
      <c r="G14" s="113" t="str">
        <f t="shared" si="1"/>
        <v>DMXR-800PG</v>
      </c>
      <c r="H14" s="64"/>
      <c r="I14" s="64">
        <v>8000</v>
      </c>
      <c r="J14" s="326">
        <f>7.5*2+37</f>
        <v>52</v>
      </c>
      <c r="K14" s="110" t="s">
        <v>990</v>
      </c>
      <c r="L14" s="110">
        <v>380</v>
      </c>
      <c r="M14" s="110">
        <v>0.99</v>
      </c>
      <c r="N14" s="110">
        <v>0.9</v>
      </c>
      <c r="O14" s="110">
        <v>90</v>
      </c>
      <c r="P14">
        <v>28200</v>
      </c>
      <c r="Q14" s="231" t="s">
        <v>1313</v>
      </c>
      <c r="S14" s="233"/>
      <c r="T14" s="178">
        <v>272800000</v>
      </c>
      <c r="V14" s="113" t="s">
        <v>1334</v>
      </c>
      <c r="W14" s="1" t="b">
        <v>1</v>
      </c>
      <c r="X14" t="s">
        <v>1335</v>
      </c>
      <c r="AE14" s="41"/>
      <c r="AF14" s="41"/>
      <c r="AG14" s="41"/>
    </row>
    <row r="15" spans="1:33">
      <c r="A15" s="203"/>
      <c r="B15" s="1" t="str">
        <f t="shared" si="0"/>
        <v>M_BLR0101_VM_DY_BLR_DMXR-1000PG_10000</v>
      </c>
      <c r="C15" s="92" t="s">
        <v>771</v>
      </c>
      <c r="D15" s="92" t="str" cm="1">
        <f t="array" ref="D15">INDEX(기계코드!$D$4:$D$1022,MATCH(1,(C15=기계코드!$F$4:$F$1022)*1,0))</f>
        <v>M_BLR0101</v>
      </c>
      <c r="E15" s="92" t="s">
        <v>1274</v>
      </c>
      <c r="F15" s="92" t="str" cm="1">
        <f t="array" ref="F15">INDEX(공급업체코드!$B$3:$B$1000,MATCH(1,(E15=공급업체코드!$D$3:$D$1000)*1,0))</f>
        <v>VM_DY_BLR</v>
      </c>
      <c r="G15" s="113" t="str">
        <f>"DMXR-"&amp;LEFT(I15,4)&amp;"PG"</f>
        <v>DMXR-1000PG</v>
      </c>
      <c r="H15" s="64"/>
      <c r="I15" s="64">
        <v>10000</v>
      </c>
      <c r="J15" s="326">
        <f>7.5*2+45</f>
        <v>60</v>
      </c>
      <c r="K15" s="110" t="s">
        <v>990</v>
      </c>
      <c r="L15" s="110">
        <v>380</v>
      </c>
      <c r="M15" s="110">
        <v>0.99</v>
      </c>
      <c r="N15" s="110">
        <v>0.9</v>
      </c>
      <c r="O15" s="110">
        <v>90</v>
      </c>
      <c r="P15">
        <v>28300</v>
      </c>
      <c r="Q15" s="231" t="s">
        <v>1313</v>
      </c>
      <c r="S15" s="233"/>
      <c r="T15" s="178">
        <v>333500000</v>
      </c>
      <c r="V15" s="113" t="s">
        <v>1334</v>
      </c>
      <c r="W15" s="1" t="b">
        <v>1</v>
      </c>
      <c r="X15" t="s">
        <v>1335</v>
      </c>
      <c r="AE15" s="41"/>
      <c r="AF15" s="41"/>
      <c r="AG15" s="41"/>
    </row>
    <row r="16" spans="1:33">
      <c r="A16" s="203"/>
      <c r="B16" s="1" t="str">
        <f t="shared" si="0"/>
        <v>M_BLR0101_VM_DY_BLR_DMXR-1200PG_12000</v>
      </c>
      <c r="C16" s="92" t="s">
        <v>771</v>
      </c>
      <c r="D16" s="92" t="str" cm="1">
        <f t="array" ref="D16">INDEX(기계코드!$D$4:$D$1022,MATCH(1,(C16=기계코드!$F$4:$F$1022)*1,0))</f>
        <v>M_BLR0101</v>
      </c>
      <c r="E16" s="92" t="s">
        <v>1274</v>
      </c>
      <c r="F16" s="92" t="str" cm="1">
        <f t="array" ref="F16">INDEX(공급업체코드!$B$3:$B$1000,MATCH(1,(E16=공급업체코드!$D$3:$D$1000)*1,0))</f>
        <v>VM_DY_BLR</v>
      </c>
      <c r="G16" s="113" t="str">
        <f t="shared" ref="G16:G18" si="2">"DMXR-"&amp;LEFT(I16,4)&amp;"PG"</f>
        <v>DMXR-1200PG</v>
      </c>
      <c r="H16" s="64"/>
      <c r="I16" s="64">
        <v>12000</v>
      </c>
      <c r="J16" s="326">
        <f>11*2+55</f>
        <v>77</v>
      </c>
      <c r="K16" s="110" t="s">
        <v>990</v>
      </c>
      <c r="L16" s="110">
        <v>380</v>
      </c>
      <c r="M16" s="110">
        <v>0.99</v>
      </c>
      <c r="N16" s="110">
        <v>0.9</v>
      </c>
      <c r="O16" s="110">
        <v>90</v>
      </c>
      <c r="P16">
        <v>35200</v>
      </c>
      <c r="Q16" s="231" t="s">
        <v>1313</v>
      </c>
      <c r="S16" s="233"/>
      <c r="T16" s="178">
        <v>403600000</v>
      </c>
      <c r="V16" s="113" t="s">
        <v>1334</v>
      </c>
      <c r="W16" s="1" t="b">
        <v>1</v>
      </c>
      <c r="X16" t="s">
        <v>1335</v>
      </c>
      <c r="AE16" s="111"/>
      <c r="AF16" s="111"/>
      <c r="AG16" s="41"/>
    </row>
    <row r="17" spans="1:33">
      <c r="A17" s="203"/>
      <c r="B17" s="1" t="str">
        <f t="shared" si="0"/>
        <v>M_BLR0101_VM_DY_BLR_DMXR-1500PG_15000</v>
      </c>
      <c r="C17" s="92" t="s">
        <v>771</v>
      </c>
      <c r="D17" s="92" t="str" cm="1">
        <f t="array" ref="D17">INDEX(기계코드!$D$4:$D$1022,MATCH(1,(C17=기계코드!$F$4:$F$1022)*1,0))</f>
        <v>M_BLR0101</v>
      </c>
      <c r="E17" s="92" t="s">
        <v>1274</v>
      </c>
      <c r="F17" s="92" t="str" cm="1">
        <f t="array" ref="F17">INDEX(공급업체코드!$B$3:$B$1000,MATCH(1,(E17=공급업체코드!$D$3:$D$1000)*1,0))</f>
        <v>VM_DY_BLR</v>
      </c>
      <c r="G17" s="113" t="str">
        <f t="shared" si="2"/>
        <v>DMXR-1500PG</v>
      </c>
      <c r="H17" s="64"/>
      <c r="I17" s="64">
        <v>15000</v>
      </c>
      <c r="J17" s="326">
        <f>15*2+75</f>
        <v>105</v>
      </c>
      <c r="K17" s="110" t="s">
        <v>990</v>
      </c>
      <c r="L17" s="110">
        <v>380</v>
      </c>
      <c r="M17" s="110">
        <v>0.99</v>
      </c>
      <c r="N17" s="110">
        <v>0.9</v>
      </c>
      <c r="O17" s="110">
        <v>90</v>
      </c>
      <c r="P17">
        <v>36800</v>
      </c>
      <c r="Q17" s="231" t="s">
        <v>1313</v>
      </c>
      <c r="S17" s="233"/>
      <c r="T17" s="178">
        <v>426600000</v>
      </c>
      <c r="V17" s="113" t="s">
        <v>1334</v>
      </c>
      <c r="W17" s="1" t="b">
        <v>1</v>
      </c>
      <c r="X17" t="s">
        <v>1335</v>
      </c>
      <c r="AE17" s="41"/>
      <c r="AF17" s="41"/>
      <c r="AG17" s="41"/>
    </row>
    <row r="18" spans="1:33">
      <c r="A18" s="203"/>
      <c r="B18" s="1" t="str">
        <f t="shared" si="0"/>
        <v>M_BLR0101_VM_DY_BLR_DMXR-2000PG_20000</v>
      </c>
      <c r="C18" s="92" t="s">
        <v>771</v>
      </c>
      <c r="D18" s="92" t="str" cm="1">
        <f t="array" ref="D18">INDEX(기계코드!$D$4:$D$1022,MATCH(1,(C18=기계코드!$F$4:$F$1022)*1,0))</f>
        <v>M_BLR0101</v>
      </c>
      <c r="E18" s="92" t="s">
        <v>1274</v>
      </c>
      <c r="F18" s="92" t="str" cm="1">
        <f t="array" ref="F18">INDEX(공급업체코드!$B$3:$B$1000,MATCH(1,(E18=공급업체코드!$D$3:$D$1000)*1,0))</f>
        <v>VM_DY_BLR</v>
      </c>
      <c r="G18" s="113" t="str">
        <f t="shared" si="2"/>
        <v>DMXR-2000PG</v>
      </c>
      <c r="H18" s="64"/>
      <c r="I18" s="64">
        <v>20000</v>
      </c>
      <c r="J18" s="326">
        <f>15*2+90</f>
        <v>120</v>
      </c>
      <c r="K18" s="110" t="s">
        <v>990</v>
      </c>
      <c r="L18" s="110">
        <v>380</v>
      </c>
      <c r="M18" s="110">
        <v>0.99</v>
      </c>
      <c r="N18" s="110">
        <v>0.9</v>
      </c>
      <c r="O18" s="110">
        <v>90</v>
      </c>
      <c r="P18">
        <v>44600</v>
      </c>
      <c r="Q18" s="231" t="s">
        <v>1313</v>
      </c>
      <c r="S18" s="233"/>
      <c r="T18" s="236">
        <v>526600000</v>
      </c>
      <c r="V18" s="113" t="s">
        <v>1334</v>
      </c>
      <c r="W18" s="1" t="b">
        <v>1</v>
      </c>
      <c r="X18" t="s">
        <v>1335</v>
      </c>
      <c r="AE18" s="41"/>
      <c r="AF18" s="41"/>
      <c r="AG18" s="41"/>
    </row>
    <row r="19" spans="1:33">
      <c r="A19" s="203"/>
      <c r="B19" s="1" t="str">
        <f>D19&amp;"_"&amp;F19&amp;"_"&amp;G19&amp;"_"&amp;H19</f>
        <v>M_BLR0201_VM_DY_BLR_DMXR-1PG_1000000</v>
      </c>
      <c r="C19" s="92" t="s">
        <v>778</v>
      </c>
      <c r="D19" s="92" t="str" cm="1">
        <f t="array" ref="D19">INDEX(기계코드!$D$4:$D$1022,MATCH(1,(C19=기계코드!$F$4:$F$1022)*1,0))</f>
        <v>M_BLR0201</v>
      </c>
      <c r="E19" s="92" t="s">
        <v>1274</v>
      </c>
      <c r="F19" s="92" t="str" cm="1">
        <f t="array" ref="F19">INDEX(공급업체코드!$B$3:$B$1000,MATCH(1,(E19=공급업체코드!$D$3:$D$1000)*1,0))</f>
        <v>VM_DY_BLR</v>
      </c>
      <c r="G19" s="113" t="str">
        <f>"DMXR-"&amp;LEFT(H19,1)&amp;"PG"</f>
        <v>DMXR-1PG</v>
      </c>
      <c r="H19" s="64">
        <v>1000000</v>
      </c>
      <c r="I19" s="64"/>
      <c r="J19" s="326">
        <f>2.2*2+5.5</f>
        <v>9.9</v>
      </c>
      <c r="K19" s="110" t="s">
        <v>990</v>
      </c>
      <c r="L19" s="110">
        <v>380</v>
      </c>
      <c r="M19" s="110">
        <v>0.99</v>
      </c>
      <c r="N19" s="110">
        <v>0.9</v>
      </c>
      <c r="O19" s="110">
        <v>90</v>
      </c>
      <c r="P19">
        <v>7600</v>
      </c>
      <c r="Q19" s="231" t="s">
        <v>1313</v>
      </c>
      <c r="S19" s="233"/>
      <c r="T19" s="236">
        <v>117700000</v>
      </c>
      <c r="V19" s="113" t="s">
        <v>1334</v>
      </c>
      <c r="W19" s="1" t="b">
        <v>1</v>
      </c>
      <c r="X19" t="s">
        <v>1336</v>
      </c>
      <c r="AE19" s="111"/>
      <c r="AF19" s="111"/>
      <c r="AG19" s="41"/>
    </row>
    <row r="20" spans="1:33">
      <c r="A20" s="203"/>
      <c r="B20" s="1" t="str">
        <f t="shared" ref="B20:B33" si="3">D20&amp;"_"&amp;F20&amp;"_"&amp;G20&amp;"_"&amp;H20</f>
        <v>M_BLR0201_VM_DY_BLR_DMXR-1.5PG_1500000</v>
      </c>
      <c r="C20" s="92" t="s">
        <v>778</v>
      </c>
      <c r="D20" s="92" t="str" cm="1">
        <f t="array" ref="D20">INDEX(기계코드!$D$4:$D$1022,MATCH(1,(C20=기계코드!$F$4:$F$1022)*1,0))</f>
        <v>M_BLR0201</v>
      </c>
      <c r="E20" s="92" t="s">
        <v>1274</v>
      </c>
      <c r="F20" s="92" t="str" cm="1">
        <f t="array" ref="F20">INDEX(공급업체코드!$B$3:$B$1000,MATCH(1,(E20=공급업체코드!$D$3:$D$1000)*1,0))</f>
        <v>VM_DY_BLR</v>
      </c>
      <c r="G20" s="113" t="s">
        <v>1337</v>
      </c>
      <c r="H20" s="64">
        <v>1500000</v>
      </c>
      <c r="I20" s="64"/>
      <c r="J20" s="326">
        <f>3*2+11</f>
        <v>17</v>
      </c>
      <c r="K20" s="110" t="s">
        <v>990</v>
      </c>
      <c r="L20" s="110">
        <v>380</v>
      </c>
      <c r="M20" s="110">
        <v>0.99</v>
      </c>
      <c r="N20" s="110">
        <v>0.9</v>
      </c>
      <c r="O20" s="110">
        <v>90</v>
      </c>
      <c r="P20">
        <v>8600</v>
      </c>
      <c r="Q20" s="231" t="s">
        <v>1313</v>
      </c>
      <c r="S20" s="233"/>
      <c r="T20" s="236">
        <v>138700000</v>
      </c>
      <c r="V20" s="113" t="s">
        <v>1334</v>
      </c>
      <c r="W20" s="1" t="b">
        <v>1</v>
      </c>
      <c r="X20" t="s">
        <v>1336</v>
      </c>
      <c r="AE20" s="111"/>
      <c r="AF20" s="111"/>
      <c r="AG20" s="41"/>
    </row>
    <row r="21" spans="1:33">
      <c r="A21" s="203"/>
      <c r="B21" s="1" t="str">
        <f t="shared" si="3"/>
        <v>M_BLR0201_VM_DY_BLR_DMXR-2PG_2000000</v>
      </c>
      <c r="C21" s="92" t="s">
        <v>778</v>
      </c>
      <c r="D21" s="92" t="str" cm="1">
        <f t="array" ref="D21">INDEX(기계코드!$D$4:$D$1022,MATCH(1,(C21=기계코드!$F$4:$F$1022)*1,0))</f>
        <v>M_BLR0201</v>
      </c>
      <c r="E21" s="92" t="s">
        <v>1274</v>
      </c>
      <c r="F21" s="92" t="str" cm="1">
        <f t="array" ref="F21">INDEX(공급업체코드!$B$3:$B$1000,MATCH(1,(E21=공급업체코드!$D$3:$D$1000)*1,0))</f>
        <v>VM_DY_BLR</v>
      </c>
      <c r="G21" s="113" t="str">
        <f t="shared" ref="G21:G29" si="4">"DMXR-"&amp;LEFT(H21,1)&amp;"PG"</f>
        <v>DMXR-2PG</v>
      </c>
      <c r="H21" s="64">
        <v>2000000</v>
      </c>
      <c r="I21" s="64"/>
      <c r="J21" s="326">
        <f>4*2+15</f>
        <v>23</v>
      </c>
      <c r="K21" s="110" t="s">
        <v>990</v>
      </c>
      <c r="L21" s="110">
        <v>380</v>
      </c>
      <c r="M21" s="110">
        <v>0.99</v>
      </c>
      <c r="N21" s="110">
        <v>0.9</v>
      </c>
      <c r="O21" s="110">
        <v>90</v>
      </c>
      <c r="P21">
        <v>9200</v>
      </c>
      <c r="Q21" s="231" t="s">
        <v>1313</v>
      </c>
      <c r="S21" s="233"/>
      <c r="T21" s="236">
        <v>148400000</v>
      </c>
      <c r="V21" s="113" t="s">
        <v>1334</v>
      </c>
      <c r="W21" s="1" t="b">
        <v>1</v>
      </c>
      <c r="X21" t="s">
        <v>1336</v>
      </c>
      <c r="AE21" s="111"/>
      <c r="AF21" s="111"/>
      <c r="AG21" s="111"/>
    </row>
    <row r="22" spans="1:33">
      <c r="A22" s="203"/>
      <c r="B22" s="1" t="str">
        <f t="shared" si="3"/>
        <v>M_BLR0201_VM_DY_BLR_DMXR-2.5PG_2500000</v>
      </c>
      <c r="C22" s="92" t="s">
        <v>778</v>
      </c>
      <c r="D22" s="92" t="str" cm="1">
        <f t="array" ref="D22">INDEX(기계코드!$D$4:$D$1022,MATCH(1,(C22=기계코드!$F$4:$F$1022)*1,0))</f>
        <v>M_BLR0201</v>
      </c>
      <c r="E22" s="92" t="s">
        <v>1274</v>
      </c>
      <c r="F22" s="92" t="str" cm="1">
        <f t="array" ref="F22">INDEX(공급업체코드!$B$3:$B$1000,MATCH(1,(E22=공급업체코드!$D$3:$D$1000)*1,0))</f>
        <v>VM_DY_BLR</v>
      </c>
      <c r="G22" s="113" t="s">
        <v>1338</v>
      </c>
      <c r="H22" s="64">
        <v>2500000</v>
      </c>
      <c r="I22" s="64"/>
      <c r="J22" s="326">
        <f>4*2+18.5</f>
        <v>26.5</v>
      </c>
      <c r="K22" s="110" t="s">
        <v>990</v>
      </c>
      <c r="L22" s="110">
        <v>380</v>
      </c>
      <c r="M22" s="110">
        <v>0.99</v>
      </c>
      <c r="N22" s="110">
        <v>0.9</v>
      </c>
      <c r="O22" s="110">
        <v>90</v>
      </c>
      <c r="P22">
        <v>12200</v>
      </c>
      <c r="Q22" s="231" t="s">
        <v>1313</v>
      </c>
      <c r="S22" s="233"/>
      <c r="T22" s="237">
        <v>166300000</v>
      </c>
      <c r="V22" s="113" t="s">
        <v>1334</v>
      </c>
      <c r="W22" s="1" t="b">
        <v>1</v>
      </c>
      <c r="X22" t="s">
        <v>1336</v>
      </c>
      <c r="AE22" s="111"/>
      <c r="AF22" s="111"/>
      <c r="AG22" s="41"/>
    </row>
    <row r="23" spans="1:33">
      <c r="A23" s="203"/>
      <c r="B23" s="1" t="str">
        <f t="shared" si="3"/>
        <v>M_BLR0201_VM_DY_BLR_DMXR-3PG_3000000</v>
      </c>
      <c r="C23" s="92" t="s">
        <v>778</v>
      </c>
      <c r="D23" s="92" t="str" cm="1">
        <f t="array" ref="D23">INDEX(기계코드!$D$4:$D$1022,MATCH(1,(C23=기계코드!$F$4:$F$1022)*1,0))</f>
        <v>M_BLR0201</v>
      </c>
      <c r="E23" s="92" t="s">
        <v>1274</v>
      </c>
      <c r="F23" s="92" t="str" cm="1">
        <f t="array" ref="F23">INDEX(공급업체코드!$B$3:$B$1000,MATCH(1,(E23=공급업체코드!$D$3:$D$1000)*1,0))</f>
        <v>VM_DY_BLR</v>
      </c>
      <c r="G23" s="113" t="str">
        <f t="shared" si="4"/>
        <v>DMXR-3PG</v>
      </c>
      <c r="H23" s="64">
        <v>3000000</v>
      </c>
      <c r="I23" s="64"/>
      <c r="J23" s="326">
        <f>4*2+22</f>
        <v>30</v>
      </c>
      <c r="K23" s="110" t="s">
        <v>990</v>
      </c>
      <c r="L23" s="110">
        <v>380</v>
      </c>
      <c r="M23" s="110">
        <v>0.99</v>
      </c>
      <c r="N23" s="110">
        <v>0.9</v>
      </c>
      <c r="O23" s="110">
        <v>90</v>
      </c>
      <c r="P23">
        <v>12600</v>
      </c>
      <c r="Q23" s="231" t="s">
        <v>1313</v>
      </c>
      <c r="S23" s="233"/>
      <c r="T23" s="236">
        <v>179600000</v>
      </c>
      <c r="V23" s="113" t="s">
        <v>1334</v>
      </c>
      <c r="W23" s="1" t="b">
        <v>1</v>
      </c>
      <c r="X23" t="s">
        <v>1336</v>
      </c>
      <c r="AE23" s="41"/>
      <c r="AF23" s="41"/>
      <c r="AG23" s="41"/>
    </row>
    <row r="24" spans="1:33">
      <c r="A24" s="203"/>
      <c r="B24" s="1" t="str">
        <f t="shared" si="3"/>
        <v>M_BLR0201_VM_DY_BLR_DMXR-3.5PG_3500000</v>
      </c>
      <c r="C24" s="92" t="s">
        <v>778</v>
      </c>
      <c r="D24" s="92" t="str" cm="1">
        <f t="array" ref="D24">INDEX(기계코드!$D$4:$D$1022,MATCH(1,(C24=기계코드!$F$4:$F$1022)*1,0))</f>
        <v>M_BLR0201</v>
      </c>
      <c r="E24" s="92" t="s">
        <v>1274</v>
      </c>
      <c r="F24" s="92" t="str" cm="1">
        <f t="array" ref="F24">INDEX(공급업체코드!$B$3:$B$1000,MATCH(1,(E24=공급업체코드!$D$3:$D$1000)*1,0))</f>
        <v>VM_DY_BLR</v>
      </c>
      <c r="G24" s="113" t="s">
        <v>1339</v>
      </c>
      <c r="H24" s="64">
        <v>3500000</v>
      </c>
      <c r="I24" s="64"/>
      <c r="J24" s="326">
        <f>4*2+22</f>
        <v>30</v>
      </c>
      <c r="K24" s="110" t="s">
        <v>990</v>
      </c>
      <c r="L24" s="110">
        <v>380</v>
      </c>
      <c r="M24" s="110">
        <v>0.99</v>
      </c>
      <c r="N24" s="110">
        <v>0.9</v>
      </c>
      <c r="O24" s="110">
        <v>90</v>
      </c>
      <c r="P24">
        <v>19100</v>
      </c>
      <c r="Q24" s="231" t="s">
        <v>1313</v>
      </c>
      <c r="S24" s="233"/>
      <c r="T24" s="236">
        <v>195700000</v>
      </c>
      <c r="V24" s="113" t="s">
        <v>1334</v>
      </c>
      <c r="W24" s="1" t="b">
        <v>1</v>
      </c>
      <c r="X24" t="s">
        <v>1336</v>
      </c>
      <c r="AE24" s="41"/>
      <c r="AF24" s="41"/>
      <c r="AG24" s="41"/>
    </row>
    <row r="25" spans="1:33">
      <c r="A25" s="203"/>
      <c r="B25" s="1" t="str">
        <f t="shared" si="3"/>
        <v>M_BLR0201_VM_DY_BLR_DMXR-4PG_4000000</v>
      </c>
      <c r="C25" s="92" t="s">
        <v>778</v>
      </c>
      <c r="D25" s="92" t="str" cm="1">
        <f t="array" ref="D25">INDEX(기계코드!$D$4:$D$1022,MATCH(1,(C25=기계코드!$F$4:$F$1022)*1,0))</f>
        <v>M_BLR0201</v>
      </c>
      <c r="E25" s="92" t="s">
        <v>1274</v>
      </c>
      <c r="F25" s="92" t="str" cm="1">
        <f t="array" ref="F25">INDEX(공급업체코드!$B$3:$B$1000,MATCH(1,(E25=공급업체코드!$D$3:$D$1000)*1,0))</f>
        <v>VM_DY_BLR</v>
      </c>
      <c r="G25" s="113" t="str">
        <f t="shared" si="4"/>
        <v>DMXR-4PG</v>
      </c>
      <c r="H25" s="64">
        <v>4000000</v>
      </c>
      <c r="I25" s="64"/>
      <c r="J25" s="326">
        <f>5.5*2+30</f>
        <v>41</v>
      </c>
      <c r="K25" s="110" t="s">
        <v>990</v>
      </c>
      <c r="L25" s="110">
        <v>380</v>
      </c>
      <c r="M25" s="110">
        <v>0.99</v>
      </c>
      <c r="N25" s="110">
        <v>0.9</v>
      </c>
      <c r="O25" s="110">
        <v>90</v>
      </c>
      <c r="P25">
        <v>23600</v>
      </c>
      <c r="Q25" s="231" t="s">
        <v>1313</v>
      </c>
      <c r="S25" s="233"/>
      <c r="T25" s="236">
        <v>214500000</v>
      </c>
      <c r="V25" s="113" t="s">
        <v>1334</v>
      </c>
      <c r="W25" s="1" t="b">
        <v>1</v>
      </c>
      <c r="X25" t="s">
        <v>1336</v>
      </c>
      <c r="AE25" s="41"/>
      <c r="AF25" s="41"/>
      <c r="AG25" s="41"/>
    </row>
    <row r="26" spans="1:33">
      <c r="A26" s="203"/>
      <c r="B26" s="1" t="str">
        <f t="shared" si="3"/>
        <v>M_BLR0201_VM_DY_BLR_DMXR-4.5PG_4500000</v>
      </c>
      <c r="C26" s="92" t="s">
        <v>778</v>
      </c>
      <c r="D26" s="92" t="str" cm="1">
        <f t="array" ref="D26">INDEX(기계코드!$D$4:$D$1022,MATCH(1,(C26=기계코드!$F$4:$F$1022)*1,0))</f>
        <v>M_BLR0201</v>
      </c>
      <c r="E26" s="92" t="s">
        <v>1274</v>
      </c>
      <c r="F26" s="92" t="str" cm="1">
        <f t="array" ref="F26">INDEX(공급업체코드!$B$3:$B$1000,MATCH(1,(E26=공급업체코드!$D$3:$D$1000)*1,0))</f>
        <v>VM_DY_BLR</v>
      </c>
      <c r="G26" s="113" t="s">
        <v>1340</v>
      </c>
      <c r="H26" s="64">
        <v>4500000</v>
      </c>
      <c r="I26" s="64"/>
      <c r="J26" s="326">
        <f>5.5*2+30</f>
        <v>41</v>
      </c>
      <c r="K26" s="110" t="s">
        <v>990</v>
      </c>
      <c r="L26" s="110">
        <v>380</v>
      </c>
      <c r="M26" s="110">
        <v>0.99</v>
      </c>
      <c r="N26" s="110">
        <v>0.9</v>
      </c>
      <c r="O26" s="110">
        <v>90</v>
      </c>
      <c r="P26">
        <v>27600</v>
      </c>
      <c r="Q26" s="231" t="s">
        <v>1313</v>
      </c>
      <c r="S26" s="233"/>
      <c r="T26" s="236">
        <v>240000000</v>
      </c>
      <c r="V26" s="113" t="s">
        <v>1334</v>
      </c>
      <c r="W26" s="1" t="b">
        <v>1</v>
      </c>
      <c r="X26" t="s">
        <v>1336</v>
      </c>
      <c r="AE26" s="111"/>
      <c r="AF26" s="111"/>
      <c r="AG26" s="41"/>
    </row>
    <row r="27" spans="1:33">
      <c r="A27" s="203"/>
      <c r="B27" s="1" t="str">
        <f t="shared" si="3"/>
        <v>M_BLR0201_VM_DY_BLR_DMXR-5PG_5000000</v>
      </c>
      <c r="C27" s="92" t="s">
        <v>778</v>
      </c>
      <c r="D27" s="92" t="str" cm="1">
        <f t="array" ref="D27">INDEX(기계코드!$D$4:$D$1022,MATCH(1,(C27=기계코드!$F$4:$F$1022)*1,0))</f>
        <v>M_BLR0201</v>
      </c>
      <c r="E27" s="92" t="s">
        <v>1274</v>
      </c>
      <c r="F27" s="92" t="str" cm="1">
        <f t="array" ref="F27">INDEX(공급업체코드!$B$3:$B$1000,MATCH(1,(E27=공급업체코드!$D$3:$D$1000)*1,0))</f>
        <v>VM_DY_BLR</v>
      </c>
      <c r="G27" s="113" t="str">
        <f t="shared" si="4"/>
        <v>DMXR-5PG</v>
      </c>
      <c r="H27" s="64">
        <v>5000000</v>
      </c>
      <c r="I27" s="64"/>
      <c r="J27" s="326">
        <f>7.5*2+37</f>
        <v>52</v>
      </c>
      <c r="K27" s="110" t="s">
        <v>990</v>
      </c>
      <c r="L27" s="110">
        <v>380</v>
      </c>
      <c r="M27" s="110">
        <v>0.99</v>
      </c>
      <c r="N27" s="110">
        <v>0.9</v>
      </c>
      <c r="O27" s="110">
        <v>90</v>
      </c>
      <c r="P27">
        <v>28200</v>
      </c>
      <c r="Q27" s="231" t="s">
        <v>1313</v>
      </c>
      <c r="S27" s="233"/>
      <c r="T27" s="236">
        <v>247100000</v>
      </c>
      <c r="V27" s="113" t="s">
        <v>1334</v>
      </c>
      <c r="W27" s="1" t="b">
        <v>1</v>
      </c>
      <c r="X27" t="s">
        <v>1336</v>
      </c>
      <c r="AE27" s="41"/>
      <c r="AF27" s="41"/>
      <c r="AG27" s="41"/>
    </row>
    <row r="28" spans="1:33">
      <c r="A28" s="203"/>
      <c r="B28" s="1" t="str">
        <f t="shared" si="3"/>
        <v>M_BLR0201_VM_DY_BLR_DMXR-5.5PG_5500000</v>
      </c>
      <c r="C28" s="92" t="s">
        <v>778</v>
      </c>
      <c r="D28" s="92" t="str" cm="1">
        <f t="array" ref="D28">INDEX(기계코드!$D$4:$D$1022,MATCH(1,(C28=기계코드!$F$4:$F$1022)*1,0))</f>
        <v>M_BLR0201</v>
      </c>
      <c r="E28" s="92" t="s">
        <v>1274</v>
      </c>
      <c r="F28" s="92" t="str" cm="1">
        <f t="array" ref="F28">INDEX(공급업체코드!$B$3:$B$1000,MATCH(1,(E28=공급업체코드!$D$3:$D$1000)*1,0))</f>
        <v>VM_DY_BLR</v>
      </c>
      <c r="G28" s="113" t="s">
        <v>1341</v>
      </c>
      <c r="H28" s="64">
        <v>5500000</v>
      </c>
      <c r="I28" s="64"/>
      <c r="J28" s="326">
        <f>7.5*2+37</f>
        <v>52</v>
      </c>
      <c r="K28" s="110" t="s">
        <v>990</v>
      </c>
      <c r="L28" s="110">
        <v>380</v>
      </c>
      <c r="M28" s="110">
        <v>0.99</v>
      </c>
      <c r="N28" s="110">
        <v>0.9</v>
      </c>
      <c r="O28" s="110">
        <v>90</v>
      </c>
      <c r="P28">
        <v>28200</v>
      </c>
      <c r="Q28" s="231" t="s">
        <v>1313</v>
      </c>
      <c r="S28" s="233"/>
      <c r="T28" s="236">
        <v>247100000</v>
      </c>
      <c r="V28" s="113" t="s">
        <v>1334</v>
      </c>
      <c r="W28" s="1" t="b">
        <v>1</v>
      </c>
      <c r="X28" t="s">
        <v>1336</v>
      </c>
      <c r="AE28" s="41"/>
      <c r="AF28" s="41"/>
      <c r="AG28" s="41"/>
    </row>
    <row r="29" spans="1:33">
      <c r="A29" s="203"/>
      <c r="B29" s="1" t="str">
        <f t="shared" si="3"/>
        <v>M_BLR0201_VM_DY_BLR_DMXR-6PG_6000000</v>
      </c>
      <c r="C29" s="92" t="s">
        <v>778</v>
      </c>
      <c r="D29" s="92" t="str" cm="1">
        <f t="array" ref="D29">INDEX(기계코드!$D$4:$D$1022,MATCH(1,(C29=기계코드!$F$4:$F$1022)*1,0))</f>
        <v>M_BLR0201</v>
      </c>
      <c r="E29" s="92" t="s">
        <v>1274</v>
      </c>
      <c r="F29" s="92" t="str" cm="1">
        <f t="array" ref="F29">INDEX(공급업체코드!$B$3:$B$1000,MATCH(1,(E29=공급업체코드!$D$3:$D$1000)*1,0))</f>
        <v>VM_DY_BLR</v>
      </c>
      <c r="G29" s="113" t="str">
        <f t="shared" si="4"/>
        <v>DMXR-6PG</v>
      </c>
      <c r="H29" s="64">
        <v>6000000</v>
      </c>
      <c r="I29" s="64"/>
      <c r="J29" s="326">
        <f>7.5*2+45</f>
        <v>60</v>
      </c>
      <c r="K29" s="110" t="s">
        <v>990</v>
      </c>
      <c r="L29" s="110">
        <v>380</v>
      </c>
      <c r="M29" s="110">
        <v>0.99</v>
      </c>
      <c r="N29" s="110">
        <v>0.9</v>
      </c>
      <c r="O29" s="110">
        <v>90</v>
      </c>
      <c r="P29">
        <v>28300</v>
      </c>
      <c r="Q29" s="231" t="s">
        <v>1313</v>
      </c>
      <c r="S29" s="233"/>
      <c r="T29" s="236">
        <v>304000000</v>
      </c>
      <c r="V29" s="113" t="s">
        <v>1334</v>
      </c>
      <c r="W29" s="1" t="b">
        <v>1</v>
      </c>
      <c r="X29" t="s">
        <v>1336</v>
      </c>
      <c r="AE29" s="41"/>
      <c r="AF29" s="41"/>
      <c r="AG29" s="41"/>
    </row>
    <row r="30" spans="1:33">
      <c r="A30" s="203"/>
      <c r="B30" s="1" t="str">
        <f t="shared" si="3"/>
        <v>M_BLR0201_VM_DY_BLR_DMXR-6.5PG_6500000</v>
      </c>
      <c r="C30" s="92" t="s">
        <v>778</v>
      </c>
      <c r="D30" s="92" t="str" cm="1">
        <f t="array" ref="D30">INDEX(기계코드!$D$4:$D$1022,MATCH(1,(C30=기계코드!$F$4:$F$1022)*1,0))</f>
        <v>M_BLR0201</v>
      </c>
      <c r="E30" s="92" t="s">
        <v>1274</v>
      </c>
      <c r="F30" s="92" t="str" cm="1">
        <f t="array" ref="F30">INDEX(공급업체코드!$B$3:$B$1000,MATCH(1,(E30=공급업체코드!$D$3:$D$1000)*1,0))</f>
        <v>VM_DY_BLR</v>
      </c>
      <c r="G30" s="113" t="s">
        <v>1342</v>
      </c>
      <c r="H30" s="64">
        <v>6500000</v>
      </c>
      <c r="I30" s="64"/>
      <c r="J30" s="326">
        <f>7.5*2+45</f>
        <v>60</v>
      </c>
      <c r="K30" s="110" t="s">
        <v>990</v>
      </c>
      <c r="L30" s="110">
        <v>380</v>
      </c>
      <c r="M30" s="110">
        <v>0.99</v>
      </c>
      <c r="N30" s="110">
        <v>0.9</v>
      </c>
      <c r="O30" s="110">
        <v>90</v>
      </c>
      <c r="P30">
        <v>28300</v>
      </c>
      <c r="Q30" s="231" t="s">
        <v>1313</v>
      </c>
      <c r="S30" s="233"/>
      <c r="T30" s="236">
        <v>304000000</v>
      </c>
      <c r="V30" s="113" t="s">
        <v>1334</v>
      </c>
      <c r="W30" s="1" t="b">
        <v>1</v>
      </c>
      <c r="X30" t="s">
        <v>1336</v>
      </c>
      <c r="AE30" s="111"/>
      <c r="AF30" s="111"/>
      <c r="AG30" s="41"/>
    </row>
    <row r="31" spans="1:33">
      <c r="A31" s="203"/>
      <c r="B31" s="1" t="str">
        <f t="shared" si="3"/>
        <v>M_BLR0201_VM_DY_BLR_DMXR-7PG_7000000</v>
      </c>
      <c r="C31" s="92" t="s">
        <v>778</v>
      </c>
      <c r="D31" s="92" t="str" cm="1">
        <f t="array" ref="D31">INDEX(기계코드!$D$4:$D$1022,MATCH(1,(C31=기계코드!$F$4:$F$1022)*1,0))</f>
        <v>M_BLR0201</v>
      </c>
      <c r="E31" s="92" t="s">
        <v>1274</v>
      </c>
      <c r="F31" s="92" t="str" cm="1">
        <f t="array" ref="F31">INDEX(공급업체코드!$B$3:$B$1000,MATCH(1,(E31=공급업체코드!$D$3:$D$1000)*1,0))</f>
        <v>VM_DY_BLR</v>
      </c>
      <c r="G31" s="113" t="str">
        <f>"DMXR-"&amp;LEFT(H31,1)&amp;"PG"</f>
        <v>DMXR-7PG</v>
      </c>
      <c r="H31" s="64">
        <v>7000000</v>
      </c>
      <c r="I31" s="64"/>
      <c r="J31" s="326">
        <f>11*2+55</f>
        <v>77</v>
      </c>
      <c r="K31" s="110" t="s">
        <v>990</v>
      </c>
      <c r="L31" s="110">
        <v>380</v>
      </c>
      <c r="M31" s="110">
        <v>0.99</v>
      </c>
      <c r="N31" s="110">
        <v>0.9</v>
      </c>
      <c r="O31" s="110">
        <v>90</v>
      </c>
      <c r="P31">
        <v>35200</v>
      </c>
      <c r="Q31" s="231" t="s">
        <v>1313</v>
      </c>
      <c r="S31" s="233"/>
      <c r="T31" s="236">
        <v>364200000</v>
      </c>
      <c r="V31" s="113" t="s">
        <v>1334</v>
      </c>
      <c r="W31" s="1" t="b">
        <v>1</v>
      </c>
      <c r="X31" t="s">
        <v>1336</v>
      </c>
      <c r="AE31" s="41"/>
      <c r="AF31" s="41"/>
      <c r="AG31" s="41"/>
    </row>
    <row r="32" spans="1:33">
      <c r="A32" s="203"/>
      <c r="B32" s="1" t="str">
        <f t="shared" si="3"/>
        <v>M_BLR0201_VM_DY_BLR_DMXR-8PG_8000000</v>
      </c>
      <c r="C32" s="92" t="s">
        <v>778</v>
      </c>
      <c r="D32" s="92" t="str" cm="1">
        <f t="array" ref="D32">INDEX(기계코드!$D$4:$D$1022,MATCH(1,(C32=기계코드!$F$4:$F$1022)*1,0))</f>
        <v>M_BLR0201</v>
      </c>
      <c r="E32" s="92" t="s">
        <v>1274</v>
      </c>
      <c r="F32" s="92" t="str" cm="1">
        <f t="array" ref="F32">INDEX(공급업체코드!$B$3:$B$1000,MATCH(1,(E32=공급업체코드!$D$3:$D$1000)*1,0))</f>
        <v>VM_DY_BLR</v>
      </c>
      <c r="G32" s="113" t="str">
        <f>"DMXR-"&amp;LEFT(H32,1)&amp;"PG"</f>
        <v>DMXR-8PG</v>
      </c>
      <c r="H32" s="64">
        <v>8000000</v>
      </c>
      <c r="I32" s="64"/>
      <c r="J32" s="326">
        <f>11*2+55</f>
        <v>77</v>
      </c>
      <c r="K32" s="110" t="s">
        <v>990</v>
      </c>
      <c r="L32" s="110">
        <v>380</v>
      </c>
      <c r="M32" s="110">
        <v>0.99</v>
      </c>
      <c r="N32" s="110">
        <v>0.9</v>
      </c>
      <c r="O32" s="110">
        <v>90</v>
      </c>
      <c r="P32">
        <v>35200</v>
      </c>
      <c r="Q32" s="231" t="s">
        <v>1313</v>
      </c>
      <c r="S32" s="233"/>
      <c r="T32" s="236">
        <v>364200000</v>
      </c>
      <c r="V32" s="113" t="s">
        <v>1334</v>
      </c>
      <c r="W32" s="1" t="b">
        <v>1</v>
      </c>
      <c r="X32" t="s">
        <v>1336</v>
      </c>
      <c r="AE32" s="41"/>
      <c r="AF32" s="41"/>
      <c r="AG32" s="41"/>
    </row>
    <row r="33" spans="1:33">
      <c r="A33" s="203"/>
      <c r="B33" s="1" t="str">
        <f t="shared" si="3"/>
        <v>M_BLR0201_VM_DY_BLR_DMXR-10PG_10000000</v>
      </c>
      <c r="C33" s="92" t="s">
        <v>778</v>
      </c>
      <c r="D33" s="92" t="str" cm="1">
        <f t="array" ref="D33">INDEX(기계코드!$D$4:$D$1022,MATCH(1,(C33=기계코드!$F$4:$F$1022)*1,0))</f>
        <v>M_BLR0201</v>
      </c>
      <c r="E33" s="92" t="s">
        <v>1274</v>
      </c>
      <c r="F33" s="92" t="str" cm="1">
        <f t="array" ref="F33">INDEX(공급업체코드!$B$3:$B$1000,MATCH(1,(E33=공급업체코드!$D$3:$D$1000)*1,0))</f>
        <v>VM_DY_BLR</v>
      </c>
      <c r="G33" s="113" t="str">
        <f>"DMXR-"&amp;LEFT(H33,2)&amp;"PG"</f>
        <v>DMXR-10PG</v>
      </c>
      <c r="H33" s="64">
        <v>10000000</v>
      </c>
      <c r="I33" s="64"/>
      <c r="J33" s="326">
        <f>15*2+75</f>
        <v>105</v>
      </c>
      <c r="K33" s="110" t="s">
        <v>990</v>
      </c>
      <c r="L33" s="110">
        <v>380</v>
      </c>
      <c r="M33" s="110">
        <v>0.99</v>
      </c>
      <c r="N33" s="110">
        <v>0.9</v>
      </c>
      <c r="O33" s="110">
        <v>90</v>
      </c>
      <c r="P33">
        <v>36800</v>
      </c>
      <c r="Q33" s="231" t="s">
        <v>1313</v>
      </c>
      <c r="S33" s="233"/>
      <c r="T33" s="236">
        <v>390300000</v>
      </c>
      <c r="V33" s="113" t="s">
        <v>1334</v>
      </c>
      <c r="W33" s="1" t="b">
        <v>1</v>
      </c>
      <c r="X33" t="s">
        <v>1336</v>
      </c>
      <c r="AE33" s="41"/>
      <c r="AF33" s="41"/>
      <c r="AG33" s="41"/>
    </row>
    <row r="34" spans="1:33">
      <c r="A34" s="203"/>
      <c r="B34" s="1" t="str">
        <f t="shared" ref="B34" si="5">D34&amp;"_"&amp;F34&amp;"_"&amp;G34&amp;"_"&amp;H34</f>
        <v>M_BLR0201_VM_DY_BLR_DMXR-13PG_13000000</v>
      </c>
      <c r="C34" s="92" t="s">
        <v>778</v>
      </c>
      <c r="D34" s="92" t="str" cm="1">
        <f t="array" ref="D34">INDEX(기계코드!$D$4:$D$1022,MATCH(1,(C34=기계코드!$F$4:$F$1022)*1,0))</f>
        <v>M_BLR0201</v>
      </c>
      <c r="E34" s="92" t="s">
        <v>1274</v>
      </c>
      <c r="F34" s="92" t="str" cm="1">
        <f t="array" ref="F34">INDEX(공급업체코드!$B$3:$B$1000,MATCH(1,(E34=공급업체코드!$D$3:$D$1000)*1,0))</f>
        <v>VM_DY_BLR</v>
      </c>
      <c r="G34" s="113" t="str">
        <f>"DMXR-"&amp;LEFT(H34,2)&amp;"PG"</f>
        <v>DMXR-13PG</v>
      </c>
      <c r="H34" s="64">
        <v>13000000</v>
      </c>
      <c r="I34" s="64"/>
      <c r="J34" s="326">
        <f>15*2+90</f>
        <v>120</v>
      </c>
      <c r="K34" s="110" t="s">
        <v>990</v>
      </c>
      <c r="L34" s="110">
        <v>380</v>
      </c>
      <c r="M34" s="110">
        <v>0.99</v>
      </c>
      <c r="N34" s="110">
        <v>0.9</v>
      </c>
      <c r="O34" s="110">
        <v>90</v>
      </c>
      <c r="P34">
        <v>44600</v>
      </c>
      <c r="Q34" s="231" t="s">
        <v>1313</v>
      </c>
      <c r="S34" s="233"/>
      <c r="T34" s="236">
        <v>493500000</v>
      </c>
      <c r="V34" s="113" t="s">
        <v>1334</v>
      </c>
      <c r="W34" s="1" t="b">
        <v>1</v>
      </c>
      <c r="X34" t="s">
        <v>1336</v>
      </c>
      <c r="AE34" s="111"/>
      <c r="AF34" s="111"/>
      <c r="AG34" s="41"/>
    </row>
    <row r="35" spans="1:33">
      <c r="B35" s="1"/>
      <c r="C35" s="92"/>
      <c r="D35" s="92"/>
      <c r="E35" s="92"/>
      <c r="F35" s="92"/>
      <c r="G35" s="18"/>
      <c r="H35" s="64"/>
      <c r="I35" s="64"/>
      <c r="J35" s="236"/>
      <c r="K35" s="64"/>
      <c r="L35" s="64"/>
      <c r="M35" s="64"/>
      <c r="N35" s="64"/>
      <c r="O35" s="64"/>
      <c r="Q35" s="231"/>
      <c r="S35" s="233"/>
      <c r="T35" s="236"/>
      <c r="V35" s="113"/>
      <c r="W35" s="1"/>
      <c r="AE35" s="41"/>
      <c r="AF35" s="41"/>
      <c r="AG35" s="41"/>
    </row>
    <row r="36" spans="1:33">
      <c r="B36" s="1"/>
      <c r="C36" s="92"/>
      <c r="D36" s="92"/>
      <c r="E36" s="92"/>
      <c r="F36" s="92"/>
      <c r="G36" s="18"/>
      <c r="H36" s="64"/>
      <c r="I36" s="64"/>
      <c r="J36" s="236"/>
      <c r="K36" s="64"/>
      <c r="L36" s="64"/>
      <c r="M36" s="64"/>
      <c r="N36" s="64"/>
      <c r="O36" s="64"/>
      <c r="Q36" s="231"/>
      <c r="S36" s="233"/>
      <c r="T36" s="236"/>
      <c r="V36" s="113"/>
      <c r="W36" s="1"/>
      <c r="AE36" s="41"/>
      <c r="AF36" s="41"/>
      <c r="AG36" s="41"/>
    </row>
    <row r="37" spans="1:33">
      <c r="B37" s="1"/>
      <c r="C37" s="92"/>
      <c r="D37" s="92"/>
      <c r="E37" s="92"/>
      <c r="F37" s="92"/>
      <c r="G37" s="18"/>
      <c r="H37" s="64"/>
      <c r="I37" s="64"/>
      <c r="J37" s="236"/>
      <c r="K37" s="64"/>
      <c r="L37" s="64"/>
      <c r="M37" s="64"/>
      <c r="N37" s="64"/>
      <c r="O37" s="64"/>
      <c r="Q37" s="231"/>
      <c r="S37" s="233"/>
      <c r="T37" s="236"/>
      <c r="V37" s="113"/>
      <c r="W37" s="1"/>
      <c r="AE37" s="111"/>
      <c r="AF37" s="111"/>
      <c r="AG37" s="41"/>
    </row>
    <row r="38" spans="1:33">
      <c r="B38" s="1"/>
      <c r="C38" s="92"/>
      <c r="D38" s="92"/>
      <c r="E38" s="92"/>
      <c r="F38" s="92"/>
      <c r="G38" s="18"/>
      <c r="H38" s="64"/>
      <c r="I38" s="64"/>
      <c r="J38" s="236"/>
      <c r="K38" s="64"/>
      <c r="L38" s="64"/>
      <c r="M38" s="64"/>
      <c r="N38" s="64"/>
      <c r="O38" s="64"/>
      <c r="Q38" s="177"/>
      <c r="S38" s="63"/>
      <c r="T38" s="236"/>
      <c r="V38" s="113"/>
      <c r="W38" s="1"/>
      <c r="AE38" s="41"/>
      <c r="AF38" s="41"/>
      <c r="AG38" s="41"/>
    </row>
    <row r="39" spans="1:33">
      <c r="B39" s="1"/>
      <c r="C39" s="92"/>
      <c r="D39" s="92"/>
      <c r="E39" s="92"/>
      <c r="F39" s="92"/>
      <c r="G39" s="18"/>
      <c r="H39" s="64"/>
      <c r="I39" s="64"/>
      <c r="J39" s="236"/>
      <c r="K39" s="64"/>
      <c r="L39" s="64"/>
      <c r="M39" s="64"/>
      <c r="N39" s="64"/>
      <c r="O39" s="64"/>
      <c r="Q39" s="177"/>
      <c r="S39" s="63"/>
      <c r="T39" s="236"/>
      <c r="V39" s="113"/>
      <c r="W39" s="1"/>
      <c r="AE39" s="111"/>
      <c r="AF39" s="111"/>
      <c r="AG39" s="111"/>
    </row>
    <row r="40" spans="1:33">
      <c r="B40" s="1"/>
      <c r="C40" s="92"/>
      <c r="D40" s="92"/>
      <c r="E40" s="92"/>
      <c r="F40" s="92"/>
      <c r="G40" s="18"/>
      <c r="H40" s="64"/>
      <c r="I40" s="64"/>
      <c r="J40" s="236"/>
      <c r="K40" s="64"/>
      <c r="L40" s="64"/>
      <c r="M40" s="64"/>
      <c r="N40" s="64"/>
      <c r="O40" s="64"/>
      <c r="Q40" s="177"/>
      <c r="S40" s="63"/>
      <c r="T40" s="236"/>
      <c r="V40" s="113"/>
      <c r="W40" s="1"/>
      <c r="AE40" s="41"/>
      <c r="AF40" s="41"/>
      <c r="AG40" s="41"/>
    </row>
    <row r="41" spans="1:33">
      <c r="B41" s="1"/>
      <c r="C41" s="92"/>
      <c r="D41" s="92"/>
      <c r="E41" s="92"/>
      <c r="F41" s="92"/>
      <c r="G41" s="18"/>
      <c r="H41" s="64"/>
      <c r="I41" s="64"/>
      <c r="J41" s="236"/>
      <c r="K41" s="64"/>
      <c r="L41" s="64"/>
      <c r="M41" s="64"/>
      <c r="N41" s="64"/>
      <c r="O41" s="64"/>
      <c r="Q41" s="177"/>
      <c r="S41" s="63"/>
      <c r="T41" s="236"/>
      <c r="V41" s="113"/>
      <c r="W41" s="1"/>
      <c r="AE41" s="41"/>
      <c r="AF41" s="41"/>
      <c r="AG41" s="41"/>
    </row>
    <row r="42" spans="1:33">
      <c r="B42" s="1"/>
      <c r="C42" s="92"/>
      <c r="D42" s="92"/>
      <c r="E42" s="92"/>
      <c r="F42" s="92"/>
      <c r="G42" s="18"/>
      <c r="H42" s="64"/>
      <c r="I42" s="64"/>
      <c r="J42" s="236"/>
      <c r="K42" s="64"/>
      <c r="L42" s="64"/>
      <c r="M42" s="64"/>
      <c r="N42" s="64"/>
      <c r="O42" s="64"/>
      <c r="Q42" s="177"/>
      <c r="S42" s="63"/>
      <c r="T42" s="236"/>
      <c r="V42" s="113"/>
      <c r="W42" s="1"/>
      <c r="AE42" s="41"/>
      <c r="AF42" s="41"/>
      <c r="AG42" s="41"/>
    </row>
    <row r="43" spans="1:33">
      <c r="B43" s="1"/>
      <c r="C43" s="92"/>
      <c r="D43" s="92"/>
      <c r="E43" s="92"/>
      <c r="F43" s="92"/>
      <c r="G43" s="18"/>
      <c r="H43" s="64"/>
      <c r="I43" s="64"/>
      <c r="J43" s="236"/>
      <c r="K43" s="64"/>
      <c r="L43" s="64"/>
      <c r="M43" s="64"/>
      <c r="N43" s="64"/>
      <c r="O43" s="64"/>
      <c r="Q43" s="177"/>
      <c r="S43" s="63"/>
      <c r="T43" s="236"/>
      <c r="V43" s="113"/>
      <c r="W43" s="1"/>
      <c r="AE43" s="41"/>
      <c r="AF43" s="41"/>
      <c r="AG43" s="41"/>
    </row>
    <row r="44" spans="1:33">
      <c r="B44" s="1"/>
      <c r="C44" s="92"/>
      <c r="D44" s="92"/>
      <c r="E44" s="92"/>
      <c r="F44" s="92"/>
      <c r="G44" s="18"/>
      <c r="H44" s="64"/>
      <c r="I44" s="64"/>
      <c r="J44" s="236"/>
      <c r="K44" s="64"/>
      <c r="L44" s="64"/>
      <c r="M44" s="64"/>
      <c r="N44" s="64"/>
      <c r="O44" s="64"/>
      <c r="Q44" s="177"/>
      <c r="S44" s="63"/>
      <c r="T44" s="236"/>
      <c r="V44" s="113"/>
      <c r="W44" s="1"/>
    </row>
    <row r="45" spans="1:33">
      <c r="B45" s="1"/>
      <c r="C45" s="92"/>
      <c r="D45" s="92"/>
      <c r="E45" s="92"/>
      <c r="F45" s="92"/>
      <c r="G45" s="18"/>
      <c r="H45" s="64"/>
      <c r="I45" s="64"/>
      <c r="J45" s="236"/>
      <c r="K45" s="64"/>
      <c r="L45" s="64"/>
      <c r="M45" s="64"/>
      <c r="N45" s="64"/>
      <c r="O45" s="64"/>
      <c r="Q45" s="177"/>
      <c r="S45" s="63"/>
      <c r="T45" s="236"/>
      <c r="V45" s="113"/>
      <c r="W45" s="1"/>
    </row>
    <row r="46" spans="1:33">
      <c r="B46" s="1"/>
      <c r="C46" s="92"/>
      <c r="D46" s="92"/>
      <c r="E46" s="92"/>
      <c r="F46" s="92"/>
      <c r="G46" s="18"/>
      <c r="H46" s="64"/>
      <c r="I46" s="64"/>
      <c r="J46" s="236"/>
      <c r="K46" s="64"/>
      <c r="L46" s="64"/>
      <c r="M46" s="64"/>
      <c r="N46" s="64"/>
      <c r="O46" s="64"/>
      <c r="Q46" s="177"/>
      <c r="S46" s="63"/>
      <c r="T46" s="236"/>
      <c r="V46" s="113"/>
      <c r="W46" s="1"/>
    </row>
    <row r="47" spans="1:33">
      <c r="B47" s="1"/>
      <c r="C47" s="92"/>
      <c r="D47" s="92"/>
      <c r="E47" s="92"/>
      <c r="F47" s="92"/>
      <c r="G47" s="18"/>
      <c r="H47" s="64"/>
      <c r="I47" s="64"/>
      <c r="J47" s="236"/>
      <c r="K47" s="64"/>
      <c r="L47" s="64"/>
      <c r="M47" s="64"/>
      <c r="N47" s="64"/>
      <c r="O47" s="64"/>
      <c r="Q47" s="177"/>
      <c r="S47" s="63"/>
      <c r="T47" s="236"/>
      <c r="V47" s="113"/>
      <c r="W47" s="1"/>
    </row>
    <row r="48" spans="1:33">
      <c r="B48" s="1"/>
      <c r="C48" s="92"/>
      <c r="D48" s="92"/>
      <c r="E48" s="92"/>
      <c r="F48" s="92"/>
      <c r="G48" s="18"/>
      <c r="H48" s="64"/>
      <c r="I48" s="64"/>
      <c r="J48" s="236"/>
      <c r="K48" s="64"/>
      <c r="L48" s="64"/>
      <c r="M48" s="64"/>
      <c r="N48" s="64"/>
      <c r="O48" s="64"/>
      <c r="Q48" s="177"/>
      <c r="S48" s="63"/>
      <c r="T48" s="236"/>
      <c r="V48" s="113"/>
      <c r="W48" s="1"/>
    </row>
    <row r="49" spans="2:23">
      <c r="B49" s="1"/>
      <c r="C49" s="92"/>
      <c r="D49" s="92"/>
      <c r="E49" s="92"/>
      <c r="F49" s="92"/>
      <c r="G49" s="18"/>
      <c r="H49" s="64"/>
      <c r="I49" s="64"/>
      <c r="J49" s="236"/>
      <c r="K49" s="64"/>
      <c r="L49" s="64"/>
      <c r="M49" s="64"/>
      <c r="N49" s="64"/>
      <c r="O49" s="64"/>
      <c r="Q49" s="177"/>
      <c r="S49" s="63"/>
      <c r="T49" s="236"/>
      <c r="V49" s="113"/>
      <c r="W49" s="1"/>
    </row>
    <row r="50" spans="2:23">
      <c r="B50" s="1"/>
      <c r="C50" s="92"/>
      <c r="D50" s="92"/>
      <c r="E50" s="92"/>
      <c r="F50" s="92"/>
      <c r="G50" s="18"/>
      <c r="H50" s="64"/>
      <c r="I50" s="64"/>
      <c r="J50" s="236"/>
      <c r="K50" s="64"/>
      <c r="L50" s="64"/>
      <c r="M50" s="64"/>
      <c r="N50" s="64"/>
      <c r="O50" s="64"/>
      <c r="Q50" s="177"/>
      <c r="S50" s="63"/>
      <c r="T50" s="236"/>
      <c r="V50" s="113"/>
      <c r="W50" s="1"/>
    </row>
    <row r="51" spans="2:23">
      <c r="B51" s="1"/>
      <c r="C51" s="92"/>
      <c r="D51" s="92"/>
      <c r="E51" s="92"/>
      <c r="F51" s="92"/>
      <c r="G51" s="18"/>
      <c r="H51" s="64"/>
      <c r="I51" s="64"/>
      <c r="J51" s="236"/>
      <c r="K51" s="64"/>
      <c r="L51" s="64"/>
      <c r="M51" s="64"/>
      <c r="N51" s="64"/>
      <c r="O51" s="64"/>
      <c r="Q51" s="177"/>
      <c r="S51" s="63"/>
      <c r="T51" s="236"/>
      <c r="V51" s="113"/>
      <c r="W51" s="1"/>
    </row>
    <row r="52" spans="2:23">
      <c r="B52" s="1"/>
      <c r="C52" s="92"/>
      <c r="D52" s="92"/>
      <c r="E52" s="92"/>
      <c r="F52" s="92"/>
      <c r="G52" s="18"/>
      <c r="H52" s="64"/>
      <c r="I52" s="64"/>
      <c r="J52" s="236"/>
      <c r="K52" s="64"/>
      <c r="L52" s="64"/>
      <c r="M52" s="64"/>
      <c r="N52" s="64"/>
      <c r="O52" s="64"/>
      <c r="Q52" s="177"/>
      <c r="S52" s="63"/>
      <c r="T52" s="236"/>
      <c r="V52" s="113"/>
      <c r="W52" s="1"/>
    </row>
    <row r="53" spans="2:23">
      <c r="B53" s="1"/>
      <c r="C53" s="92"/>
      <c r="D53" s="92"/>
      <c r="E53" s="92"/>
      <c r="F53" s="92"/>
      <c r="G53" s="18"/>
      <c r="H53" s="64"/>
      <c r="I53" s="64"/>
      <c r="J53" s="236"/>
      <c r="K53" s="64"/>
      <c r="L53" s="64"/>
      <c r="M53" s="64"/>
      <c r="N53" s="64"/>
      <c r="O53" s="64"/>
      <c r="Q53" s="177"/>
      <c r="S53" s="63"/>
      <c r="T53" s="236"/>
      <c r="V53" s="113"/>
      <c r="W53" s="1"/>
    </row>
    <row r="54" spans="2:23">
      <c r="B54" s="1"/>
      <c r="C54" s="92"/>
      <c r="D54" s="92"/>
      <c r="E54" s="92"/>
      <c r="F54" s="92"/>
      <c r="G54" s="18"/>
      <c r="H54" s="64"/>
      <c r="I54" s="64"/>
      <c r="J54" s="236"/>
      <c r="K54" s="64"/>
      <c r="L54" s="64"/>
      <c r="M54" s="64"/>
      <c r="N54" s="64"/>
      <c r="O54" s="64"/>
      <c r="Q54" s="177"/>
      <c r="S54" s="63"/>
      <c r="T54" s="236"/>
      <c r="V54" s="113"/>
      <c r="W54" s="1"/>
    </row>
    <row r="55" spans="2:23">
      <c r="B55" s="1"/>
      <c r="C55" s="92"/>
      <c r="D55" s="92"/>
      <c r="E55" s="92"/>
      <c r="F55" s="92"/>
      <c r="G55" s="18"/>
      <c r="H55" s="64"/>
      <c r="I55" s="64"/>
      <c r="J55" s="236"/>
      <c r="K55" s="64"/>
      <c r="L55" s="64"/>
      <c r="M55" s="64"/>
      <c r="N55" s="64"/>
      <c r="O55" s="64"/>
      <c r="Q55" s="177"/>
      <c r="S55" s="63"/>
      <c r="T55" s="236"/>
      <c r="V55" s="113"/>
      <c r="W55" s="1"/>
    </row>
    <row r="56" spans="2:23">
      <c r="B56" s="1"/>
      <c r="C56" s="92"/>
      <c r="D56" s="92"/>
      <c r="E56" s="92"/>
      <c r="F56" s="92"/>
      <c r="G56" s="18"/>
      <c r="H56" s="64"/>
      <c r="I56" s="64"/>
      <c r="J56" s="236"/>
      <c r="K56" s="64"/>
      <c r="L56" s="64"/>
      <c r="M56" s="64"/>
      <c r="N56" s="64"/>
      <c r="O56" s="64"/>
      <c r="Q56" s="177"/>
      <c r="S56" s="63"/>
      <c r="T56" s="236"/>
      <c r="V56" s="113"/>
      <c r="W56" s="1"/>
    </row>
    <row r="57" spans="2:23">
      <c r="B57" s="1"/>
      <c r="C57" s="92"/>
      <c r="D57" s="92"/>
      <c r="E57" s="92"/>
      <c r="F57" s="92"/>
      <c r="G57" s="18"/>
      <c r="H57" s="64"/>
      <c r="I57" s="64"/>
      <c r="J57" s="236"/>
      <c r="K57" s="64"/>
      <c r="L57" s="64"/>
      <c r="M57" s="64"/>
      <c r="N57" s="64"/>
      <c r="O57" s="64"/>
      <c r="Q57" s="177"/>
      <c r="S57" s="63"/>
      <c r="T57" s="236"/>
      <c r="V57" s="113"/>
      <c r="W57" s="1"/>
    </row>
    <row r="58" spans="2:23">
      <c r="B58" s="1"/>
      <c r="C58" s="92"/>
      <c r="D58" s="92"/>
      <c r="E58" s="92"/>
      <c r="F58" s="92"/>
      <c r="G58" s="18"/>
      <c r="H58" s="64"/>
      <c r="I58" s="64"/>
      <c r="J58" s="236"/>
      <c r="K58" s="64"/>
      <c r="L58" s="64"/>
      <c r="M58" s="64"/>
      <c r="N58" s="64"/>
      <c r="O58" s="64"/>
      <c r="Q58" s="177"/>
      <c r="S58" s="63"/>
      <c r="T58" s="236"/>
      <c r="V58" s="113"/>
      <c r="W58" s="1"/>
    </row>
    <row r="59" spans="2:23">
      <c r="B59" s="1"/>
      <c r="C59" s="92"/>
      <c r="D59" s="92"/>
      <c r="E59" s="92"/>
      <c r="F59" s="92"/>
      <c r="G59" s="18"/>
      <c r="H59" s="64"/>
      <c r="I59" s="64"/>
      <c r="J59" s="236"/>
      <c r="K59" s="64"/>
      <c r="L59" s="64"/>
      <c r="M59" s="64"/>
      <c r="N59" s="64"/>
      <c r="O59" s="64"/>
      <c r="Q59" s="177"/>
      <c r="S59" s="63"/>
      <c r="T59" s="236"/>
      <c r="V59" s="113"/>
      <c r="W59" s="1"/>
    </row>
    <row r="60" spans="2:23">
      <c r="B60" s="1"/>
      <c r="C60" s="92"/>
      <c r="D60" s="92"/>
      <c r="E60" s="92"/>
      <c r="F60" s="92"/>
      <c r="G60" s="18"/>
      <c r="H60" s="64"/>
      <c r="I60" s="64"/>
      <c r="J60" s="236"/>
      <c r="K60" s="64"/>
      <c r="L60" s="64"/>
      <c r="M60" s="64"/>
      <c r="N60" s="64"/>
      <c r="O60" s="64"/>
      <c r="Q60" s="177"/>
      <c r="S60" s="63"/>
      <c r="T60" s="236"/>
      <c r="V60" s="113"/>
      <c r="W60" s="1"/>
    </row>
    <row r="61" spans="2:23">
      <c r="B61" s="1"/>
      <c r="C61" s="92"/>
      <c r="D61" s="92"/>
      <c r="E61" s="92"/>
      <c r="F61" s="92"/>
      <c r="G61" s="18"/>
      <c r="H61" s="64"/>
      <c r="I61" s="64"/>
      <c r="J61" s="236"/>
      <c r="K61" s="64"/>
      <c r="L61" s="64"/>
      <c r="M61" s="64"/>
      <c r="N61" s="64"/>
      <c r="O61" s="64"/>
      <c r="Q61" s="177"/>
      <c r="S61" s="63"/>
      <c r="T61" s="236"/>
      <c r="V61" s="113"/>
      <c r="W61" s="1"/>
    </row>
    <row r="62" spans="2:23">
      <c r="B62" s="1"/>
      <c r="C62" s="92"/>
      <c r="D62" s="92"/>
      <c r="E62" s="92"/>
      <c r="F62" s="92"/>
      <c r="G62" s="18"/>
      <c r="H62" s="64"/>
      <c r="I62" s="64"/>
      <c r="J62" s="236"/>
      <c r="K62" s="64"/>
      <c r="L62" s="64"/>
      <c r="M62" s="64"/>
      <c r="N62" s="64"/>
      <c r="O62" s="64"/>
      <c r="Q62" s="177"/>
      <c r="S62" s="63"/>
      <c r="T62" s="236"/>
      <c r="V62" s="113"/>
      <c r="W62" s="1"/>
    </row>
    <row r="63" spans="2:23">
      <c r="B63" s="1"/>
      <c r="C63" s="92"/>
      <c r="D63" s="92"/>
      <c r="E63" s="92"/>
      <c r="F63" s="92"/>
      <c r="G63" s="18"/>
      <c r="H63" s="64"/>
      <c r="I63" s="64"/>
      <c r="J63" s="236"/>
      <c r="K63" s="64"/>
      <c r="L63" s="64"/>
      <c r="M63" s="64"/>
      <c r="N63" s="64"/>
      <c r="O63" s="64"/>
      <c r="Q63" s="177"/>
      <c r="S63" s="63"/>
      <c r="T63" s="236"/>
      <c r="V63" s="113"/>
      <c r="W63" s="1"/>
    </row>
    <row r="64" spans="2:23">
      <c r="B64" s="1"/>
      <c r="C64" s="92"/>
      <c r="D64" s="92"/>
      <c r="E64" s="92"/>
      <c r="F64" s="92"/>
      <c r="G64" s="18"/>
      <c r="H64" s="64"/>
      <c r="I64" s="64"/>
      <c r="J64" s="236"/>
      <c r="K64" s="64"/>
      <c r="L64" s="64"/>
      <c r="M64" s="64"/>
      <c r="N64" s="64"/>
      <c r="O64" s="64"/>
      <c r="Q64" s="177"/>
      <c r="S64" s="63"/>
      <c r="T64" s="236"/>
      <c r="V64" s="113"/>
      <c r="W64" s="1"/>
    </row>
    <row r="65" spans="2:23">
      <c r="B65" s="1"/>
      <c r="C65" s="92"/>
      <c r="D65" s="92"/>
      <c r="E65" s="92"/>
      <c r="F65" s="92"/>
      <c r="G65" s="18"/>
      <c r="H65" s="64"/>
      <c r="I65" s="64"/>
      <c r="J65" s="236"/>
      <c r="K65" s="64"/>
      <c r="L65" s="64"/>
      <c r="M65" s="64"/>
      <c r="N65" s="64"/>
      <c r="O65" s="64"/>
      <c r="Q65" s="177"/>
      <c r="S65" s="63"/>
      <c r="T65" s="236"/>
      <c r="V65" s="113"/>
      <c r="W65" s="1"/>
    </row>
    <row r="66" spans="2:23">
      <c r="B66" s="1"/>
      <c r="C66" s="92"/>
      <c r="D66" s="92"/>
      <c r="E66" s="92"/>
      <c r="F66" s="92"/>
      <c r="G66" s="18"/>
      <c r="H66" s="64"/>
      <c r="I66" s="64"/>
      <c r="J66" s="236"/>
      <c r="K66" s="64"/>
      <c r="L66" s="64"/>
      <c r="M66" s="64"/>
      <c r="N66" s="64"/>
      <c r="O66" s="64"/>
      <c r="Q66" s="177"/>
      <c r="S66" s="63"/>
      <c r="T66" s="236"/>
      <c r="V66" s="113"/>
      <c r="W66" s="1"/>
    </row>
    <row r="67" spans="2:23">
      <c r="B67" s="1"/>
      <c r="C67" s="92"/>
      <c r="D67" s="92"/>
      <c r="E67" s="92"/>
      <c r="F67" s="92"/>
      <c r="G67" s="18"/>
      <c r="H67" s="64"/>
      <c r="I67" s="64"/>
      <c r="J67" s="236"/>
      <c r="K67" s="64"/>
      <c r="L67" s="64"/>
      <c r="M67" s="64"/>
      <c r="N67" s="64"/>
      <c r="O67" s="64"/>
      <c r="Q67" s="177"/>
      <c r="S67" s="63"/>
      <c r="T67" s="236"/>
      <c r="V67" s="113"/>
      <c r="W67" s="1"/>
    </row>
    <row r="68" spans="2:23">
      <c r="B68" s="1"/>
      <c r="C68" s="92"/>
      <c r="D68" s="92"/>
      <c r="E68" s="92"/>
      <c r="F68" s="92"/>
      <c r="G68" s="18"/>
      <c r="H68" s="64"/>
      <c r="I68" s="64"/>
      <c r="J68" s="236"/>
      <c r="K68" s="64"/>
      <c r="L68" s="64"/>
      <c r="M68" s="64"/>
      <c r="N68" s="64"/>
      <c r="O68" s="64"/>
      <c r="Q68" s="177"/>
      <c r="S68" s="63"/>
      <c r="T68" s="236"/>
      <c r="V68" s="113"/>
      <c r="W68" s="1"/>
    </row>
    <row r="69" spans="2:23">
      <c r="B69" s="1"/>
      <c r="C69" s="92"/>
      <c r="D69" s="92"/>
      <c r="E69" s="92"/>
      <c r="F69" s="92"/>
      <c r="G69" s="18"/>
      <c r="H69" s="64"/>
      <c r="I69" s="64"/>
      <c r="J69" s="236"/>
      <c r="K69" s="64"/>
      <c r="L69" s="64"/>
      <c r="M69" s="64"/>
      <c r="N69" s="64"/>
      <c r="O69" s="64"/>
      <c r="Q69" s="177"/>
      <c r="S69" s="63"/>
      <c r="T69" s="236"/>
      <c r="V69" s="113"/>
      <c r="W69" s="1"/>
    </row>
    <row r="70" spans="2:23">
      <c r="B70" s="1"/>
      <c r="C70" s="92"/>
      <c r="D70" s="92"/>
      <c r="E70" s="92"/>
      <c r="F70" s="92"/>
      <c r="G70" s="18"/>
      <c r="H70" s="64"/>
      <c r="I70" s="64"/>
      <c r="J70" s="236"/>
      <c r="K70" s="64"/>
      <c r="L70" s="64"/>
      <c r="M70" s="64"/>
      <c r="N70" s="64"/>
      <c r="O70" s="64"/>
      <c r="Q70" s="177"/>
      <c r="S70" s="63"/>
      <c r="T70" s="236"/>
      <c r="V70" s="113"/>
      <c r="W70" s="1"/>
    </row>
    <row r="71" spans="2:23">
      <c r="B71" s="1"/>
      <c r="C71" s="92"/>
      <c r="D71" s="92"/>
      <c r="E71" s="92"/>
      <c r="F71" s="92"/>
      <c r="G71" s="18"/>
      <c r="H71" s="64"/>
      <c r="I71" s="64"/>
      <c r="J71" s="236"/>
      <c r="K71" s="64"/>
      <c r="L71" s="64"/>
      <c r="M71" s="64"/>
      <c r="N71" s="64"/>
      <c r="O71" s="64"/>
      <c r="Q71" s="177"/>
      <c r="S71" s="63"/>
      <c r="T71" s="236"/>
      <c r="V71" s="113"/>
      <c r="W71" s="1"/>
    </row>
    <row r="72" spans="2:23">
      <c r="B72" s="1"/>
      <c r="C72" s="92"/>
      <c r="D72" s="92"/>
      <c r="E72" s="92"/>
      <c r="F72" s="92"/>
      <c r="G72" s="18"/>
      <c r="H72" s="64"/>
      <c r="I72" s="64"/>
      <c r="J72" s="236"/>
      <c r="K72" s="64"/>
      <c r="L72" s="64"/>
      <c r="M72" s="64"/>
      <c r="N72" s="64"/>
      <c r="O72" s="64"/>
      <c r="Q72" s="177"/>
      <c r="S72" s="63"/>
      <c r="T72" s="236"/>
      <c r="V72" s="113"/>
      <c r="W72" s="1"/>
    </row>
    <row r="73" spans="2:23">
      <c r="B73" s="1"/>
      <c r="C73" s="92"/>
      <c r="D73" s="92"/>
      <c r="E73" s="92"/>
      <c r="F73" s="92"/>
      <c r="G73" s="18"/>
      <c r="H73" s="64"/>
      <c r="I73" s="64"/>
      <c r="J73" s="236"/>
      <c r="K73" s="64"/>
      <c r="L73" s="64"/>
      <c r="M73" s="64"/>
      <c r="N73" s="64"/>
      <c r="O73" s="64"/>
      <c r="Q73" s="177"/>
      <c r="S73" s="63"/>
      <c r="T73" s="236"/>
      <c r="V73" s="113"/>
      <c r="W73" s="1"/>
    </row>
    <row r="74" spans="2:23">
      <c r="B74" s="1"/>
      <c r="C74" s="92"/>
      <c r="D74" s="92"/>
      <c r="E74" s="92"/>
      <c r="F74" s="92"/>
      <c r="G74" s="18"/>
      <c r="H74" s="64"/>
      <c r="I74" s="64"/>
      <c r="J74" s="236"/>
      <c r="K74" s="64"/>
      <c r="L74" s="64"/>
      <c r="M74" s="64"/>
      <c r="N74" s="64"/>
      <c r="O74" s="64"/>
      <c r="Q74" s="177"/>
      <c r="S74" s="63"/>
      <c r="T74" s="236"/>
      <c r="V74" s="113"/>
      <c r="W74" s="1"/>
    </row>
    <row r="75" spans="2:23">
      <c r="B75" s="1"/>
      <c r="C75" s="92"/>
      <c r="D75" s="92"/>
      <c r="E75" s="92"/>
      <c r="F75" s="92"/>
      <c r="G75" s="18"/>
      <c r="H75" s="64"/>
      <c r="I75" s="64"/>
      <c r="J75" s="236"/>
      <c r="K75" s="64"/>
      <c r="L75" s="64"/>
      <c r="M75" s="64"/>
      <c r="N75" s="64"/>
      <c r="O75" s="64"/>
      <c r="Q75" s="177"/>
      <c r="S75" s="63"/>
      <c r="T75" s="236"/>
      <c r="V75" s="113"/>
      <c r="W75" s="1"/>
    </row>
    <row r="76" spans="2:23">
      <c r="B76" s="1"/>
      <c r="C76" s="92"/>
      <c r="D76" s="92"/>
      <c r="E76" s="92"/>
      <c r="F76" s="92"/>
      <c r="G76" s="18"/>
      <c r="H76" s="64"/>
      <c r="I76" s="64"/>
      <c r="J76" s="236"/>
      <c r="K76" s="64"/>
      <c r="L76" s="64"/>
      <c r="M76" s="64"/>
      <c r="N76" s="64"/>
      <c r="O76" s="64"/>
      <c r="Q76" s="177"/>
      <c r="S76" s="63"/>
      <c r="T76" s="236"/>
      <c r="V76" s="113"/>
      <c r="W76" s="1"/>
    </row>
    <row r="77" spans="2:23">
      <c r="B77" s="1"/>
      <c r="C77" s="92"/>
      <c r="D77" s="92"/>
      <c r="E77" s="92"/>
      <c r="F77" s="92"/>
      <c r="G77" s="18"/>
      <c r="H77" s="64"/>
      <c r="I77" s="64"/>
      <c r="J77" s="236"/>
      <c r="K77" s="64"/>
      <c r="L77" s="64"/>
      <c r="M77" s="64"/>
      <c r="N77" s="64"/>
      <c r="O77" s="64"/>
      <c r="Q77" s="177"/>
      <c r="S77" s="63"/>
      <c r="T77" s="236"/>
      <c r="V77" s="113"/>
      <c r="W77" s="1"/>
    </row>
    <row r="78" spans="2:23">
      <c r="B78" s="1"/>
      <c r="C78" s="92"/>
      <c r="D78" s="92"/>
      <c r="E78" s="92"/>
      <c r="F78" s="92"/>
      <c r="G78" s="18"/>
      <c r="H78" s="64"/>
      <c r="I78" s="64"/>
      <c r="J78" s="236"/>
      <c r="K78" s="64"/>
      <c r="L78" s="64"/>
      <c r="M78" s="64"/>
      <c r="N78" s="64"/>
      <c r="O78" s="64"/>
      <c r="Q78" s="177"/>
      <c r="S78" s="63"/>
      <c r="T78" s="236"/>
      <c r="V78" s="113"/>
      <c r="W78" s="1"/>
    </row>
    <row r="79" spans="2:23">
      <c r="B79" s="1"/>
      <c r="C79" s="92"/>
      <c r="D79" s="92"/>
      <c r="E79" s="92"/>
      <c r="F79" s="92"/>
      <c r="G79" s="18"/>
      <c r="H79" s="64"/>
      <c r="I79" s="64"/>
      <c r="J79" s="236"/>
      <c r="K79" s="64"/>
      <c r="L79" s="64"/>
      <c r="M79" s="64"/>
      <c r="N79" s="64"/>
      <c r="O79" s="64"/>
      <c r="Q79" s="177"/>
      <c r="S79" s="63"/>
      <c r="T79" s="236"/>
      <c r="V79" s="113"/>
      <c r="W79" s="1"/>
    </row>
    <row r="80" spans="2:23">
      <c r="B80" s="1"/>
      <c r="C80" s="92"/>
      <c r="D80" s="92"/>
      <c r="E80" s="92"/>
      <c r="F80" s="92"/>
      <c r="G80" s="18"/>
      <c r="H80" s="64"/>
      <c r="I80" s="64"/>
      <c r="J80" s="236"/>
      <c r="K80" s="64"/>
      <c r="L80" s="64"/>
      <c r="M80" s="64"/>
      <c r="N80" s="64"/>
      <c r="O80" s="64"/>
      <c r="Q80" s="177"/>
      <c r="S80" s="63"/>
      <c r="T80" s="236"/>
      <c r="V80" s="113"/>
      <c r="W80" s="1"/>
    </row>
    <row r="81" spans="2:23">
      <c r="B81" s="1"/>
      <c r="C81" s="92"/>
      <c r="D81" s="92"/>
      <c r="E81" s="92"/>
      <c r="F81" s="92"/>
      <c r="G81" s="18"/>
      <c r="H81" s="64"/>
      <c r="I81" s="64"/>
      <c r="J81" s="236"/>
      <c r="K81" s="64"/>
      <c r="L81" s="64"/>
      <c r="M81" s="64"/>
      <c r="N81" s="64"/>
      <c r="O81" s="64"/>
      <c r="Q81" s="177"/>
      <c r="S81" s="63"/>
      <c r="T81" s="236"/>
      <c r="V81" s="113"/>
      <c r="W81" s="1"/>
    </row>
    <row r="82" spans="2:23">
      <c r="G82" s="18"/>
      <c r="H82" s="64"/>
      <c r="I82" s="64"/>
      <c r="J82" s="236"/>
      <c r="K82" s="64"/>
      <c r="L82" s="64"/>
      <c r="M82" s="64"/>
      <c r="N82" s="64"/>
      <c r="O82" s="64"/>
      <c r="Q82" s="177"/>
      <c r="S82" s="63"/>
      <c r="T82" s="236"/>
      <c r="V82" s="113"/>
    </row>
    <row r="83" spans="2:23">
      <c r="G83" s="18"/>
      <c r="H83" s="64"/>
      <c r="I83" s="64"/>
      <c r="J83" s="236"/>
      <c r="K83" s="64"/>
      <c r="L83" s="64"/>
      <c r="M83" s="64"/>
      <c r="N83" s="64"/>
      <c r="O83" s="64"/>
      <c r="Q83" s="177"/>
      <c r="S83" s="63"/>
      <c r="T83" s="236"/>
      <c r="V83" s="113"/>
    </row>
    <row r="84" spans="2:23">
      <c r="G84" s="18"/>
      <c r="H84" s="64"/>
      <c r="I84" s="64"/>
      <c r="J84" s="236"/>
      <c r="K84" s="64"/>
      <c r="L84" s="64"/>
      <c r="M84" s="64"/>
      <c r="N84" s="64"/>
      <c r="O84" s="64"/>
      <c r="Q84" s="177"/>
      <c r="S84" s="63"/>
      <c r="T84" s="236"/>
      <c r="V84" s="113"/>
    </row>
    <row r="85" spans="2:23">
      <c r="G85" s="18"/>
      <c r="H85" s="64"/>
      <c r="I85" s="64"/>
      <c r="J85" s="236"/>
      <c r="K85" s="64"/>
      <c r="L85" s="64"/>
      <c r="M85" s="64"/>
      <c r="N85" s="64"/>
      <c r="O85" s="64"/>
      <c r="Q85" s="177"/>
      <c r="S85" s="63"/>
      <c r="T85" s="236"/>
      <c r="V85" s="113"/>
    </row>
    <row r="86" spans="2:23">
      <c r="G86" s="18"/>
      <c r="H86" s="64"/>
      <c r="I86" s="64"/>
      <c r="J86" s="236"/>
      <c r="K86" s="64"/>
      <c r="L86" s="64"/>
      <c r="M86" s="64"/>
      <c r="N86" s="64"/>
      <c r="O86" s="64"/>
      <c r="Q86" s="177"/>
      <c r="S86" s="63"/>
      <c r="T86" s="236"/>
      <c r="V86" s="113"/>
    </row>
    <row r="87" spans="2:23">
      <c r="G87" s="18"/>
      <c r="H87" s="64"/>
      <c r="I87" s="64"/>
      <c r="J87" s="236"/>
      <c r="K87" s="64"/>
      <c r="L87" s="64"/>
      <c r="M87" s="64"/>
      <c r="N87" s="64"/>
      <c r="O87" s="64"/>
      <c r="Q87" s="177"/>
      <c r="S87" s="63"/>
      <c r="T87" s="236"/>
      <c r="V87" s="113"/>
    </row>
    <row r="88" spans="2:23">
      <c r="G88" s="18"/>
      <c r="H88" s="64"/>
      <c r="I88" s="64"/>
      <c r="J88" s="236"/>
      <c r="K88" s="64"/>
      <c r="L88" s="64"/>
      <c r="M88" s="64"/>
      <c r="N88" s="64"/>
      <c r="O88" s="64"/>
      <c r="Q88" s="177"/>
      <c r="S88" s="63"/>
      <c r="T88" s="236"/>
      <c r="V88" s="113"/>
    </row>
    <row r="89" spans="2:23">
      <c r="G89" s="18"/>
      <c r="H89" s="64"/>
      <c r="I89" s="64"/>
      <c r="J89" s="236"/>
      <c r="K89" s="64"/>
      <c r="L89" s="64"/>
      <c r="M89" s="64"/>
      <c r="N89" s="64"/>
      <c r="O89" s="64"/>
      <c r="Q89" s="177"/>
      <c r="S89" s="63"/>
      <c r="T89" s="178"/>
      <c r="V89" s="113"/>
    </row>
    <row r="90" spans="2:23">
      <c r="G90" s="18"/>
      <c r="Q90" s="177"/>
      <c r="S90" s="63"/>
      <c r="T90" s="178"/>
      <c r="V90" s="113"/>
    </row>
    <row r="91" spans="2:23">
      <c r="G91" s="18"/>
      <c r="Q91" s="177"/>
      <c r="S91" s="63"/>
      <c r="T91" s="178"/>
      <c r="V91" s="113"/>
    </row>
    <row r="92" spans="2:23">
      <c r="G92" s="18"/>
      <c r="Q92" s="177"/>
      <c r="S92" s="63"/>
      <c r="T92" s="178"/>
      <c r="V92" s="113"/>
    </row>
    <row r="93" spans="2:23">
      <c r="G93" s="18"/>
      <c r="Q93" s="177"/>
      <c r="S93" s="63"/>
      <c r="T93" s="178"/>
      <c r="V93" s="113"/>
    </row>
    <row r="94" spans="2:23">
      <c r="G94" s="18"/>
      <c r="Q94" s="177"/>
      <c r="S94" s="63"/>
      <c r="T94" s="178"/>
      <c r="V94" s="113"/>
    </row>
    <row r="95" spans="2:23">
      <c r="G95" s="18"/>
      <c r="Q95" s="177"/>
      <c r="S95" s="63"/>
      <c r="T95" s="178"/>
      <c r="V95" s="113"/>
    </row>
    <row r="96" spans="2:23">
      <c r="G96" s="18"/>
      <c r="Q96" s="177"/>
      <c r="S96" s="63"/>
      <c r="T96" s="178"/>
      <c r="V96" s="113"/>
    </row>
    <row r="97" spans="7:22">
      <c r="G97" s="18"/>
      <c r="Q97" s="177"/>
      <c r="S97" s="63"/>
      <c r="T97" s="178"/>
      <c r="V97" s="113"/>
    </row>
    <row r="98" spans="7:22">
      <c r="G98" s="18"/>
      <c r="Q98" s="177"/>
      <c r="S98" s="63"/>
      <c r="T98" s="178"/>
      <c r="V98" s="113"/>
    </row>
    <row r="99" spans="7:22">
      <c r="G99" s="18"/>
      <c r="Q99" s="177"/>
      <c r="S99" s="63"/>
      <c r="T99" s="178"/>
      <c r="V99" s="113"/>
    </row>
    <row r="100" spans="7:22">
      <c r="G100" s="18"/>
      <c r="Q100" s="177"/>
      <c r="S100" s="63"/>
      <c r="T100" s="178"/>
      <c r="V100" s="113"/>
    </row>
    <row r="101" spans="7:22">
      <c r="G101" s="18"/>
      <c r="Q101" s="177"/>
      <c r="S101" s="63"/>
      <c r="T101" s="178"/>
      <c r="V101" s="113"/>
    </row>
    <row r="102" spans="7:22">
      <c r="G102" s="18"/>
      <c r="Q102" s="177"/>
      <c r="S102" s="63"/>
      <c r="T102" s="178"/>
      <c r="V102" s="113"/>
    </row>
    <row r="103" spans="7:22">
      <c r="G103" s="18"/>
      <c r="Q103" s="177"/>
      <c r="S103" s="63"/>
      <c r="T103" s="178"/>
      <c r="V103" s="113"/>
    </row>
    <row r="104" spans="7:22">
      <c r="G104" s="18"/>
      <c r="Q104" s="177"/>
      <c r="S104" s="63"/>
      <c r="T104" s="178"/>
      <c r="V104" s="113"/>
    </row>
    <row r="105" spans="7:22">
      <c r="G105" s="18"/>
      <c r="Q105" s="177"/>
      <c r="S105" s="63"/>
      <c r="T105" s="178"/>
      <c r="V105" s="113"/>
    </row>
    <row r="106" spans="7:22">
      <c r="G106" s="18"/>
      <c r="Q106" s="177"/>
      <c r="S106" s="63"/>
      <c r="T106" s="178"/>
      <c r="V106" s="113"/>
    </row>
    <row r="107" spans="7:22">
      <c r="G107" s="18"/>
      <c r="Q107" s="177"/>
      <c r="S107" s="63"/>
      <c r="T107" s="178"/>
      <c r="V107" s="113"/>
    </row>
    <row r="108" spans="7:22">
      <c r="G108" s="18"/>
      <c r="Q108" s="177"/>
      <c r="S108" s="63"/>
      <c r="T108" s="178"/>
      <c r="V108" s="113"/>
    </row>
    <row r="109" spans="7:22">
      <c r="G109" s="18"/>
      <c r="Q109" s="177"/>
      <c r="S109" s="63"/>
      <c r="T109" s="178"/>
      <c r="V109" s="113"/>
    </row>
    <row r="110" spans="7:22">
      <c r="G110" s="18"/>
      <c r="Q110" s="177"/>
      <c r="S110" s="63"/>
      <c r="T110" s="178"/>
      <c r="V110" s="113"/>
    </row>
    <row r="111" spans="7:22">
      <c r="G111" s="18"/>
      <c r="Q111" s="177"/>
      <c r="S111" s="63"/>
      <c r="T111" s="178"/>
      <c r="V111" s="113"/>
    </row>
    <row r="112" spans="7:22">
      <c r="G112" s="18"/>
      <c r="Q112" s="177"/>
      <c r="S112" s="63"/>
      <c r="T112" s="178"/>
      <c r="V112" s="113"/>
    </row>
    <row r="113" spans="7:22">
      <c r="G113" s="18"/>
      <c r="Q113" s="177"/>
      <c r="S113" s="63"/>
      <c r="T113" s="178"/>
      <c r="V113" s="113"/>
    </row>
    <row r="114" spans="7:22">
      <c r="G114" s="18"/>
      <c r="Q114" s="177"/>
      <c r="S114" s="63"/>
      <c r="T114" s="178"/>
      <c r="V114" s="113"/>
    </row>
    <row r="115" spans="7:22">
      <c r="G115" s="18"/>
      <c r="Q115" s="177"/>
      <c r="S115" s="63"/>
      <c r="T115" s="178"/>
      <c r="V115" s="113"/>
    </row>
    <row r="116" spans="7:22">
      <c r="G116" s="18"/>
      <c r="Q116" s="177"/>
      <c r="S116" s="63"/>
      <c r="T116" s="178"/>
      <c r="V116" s="113"/>
    </row>
    <row r="117" spans="7:22">
      <c r="G117" s="18"/>
      <c r="Q117" s="177"/>
      <c r="S117" s="63"/>
      <c r="T117" s="178"/>
      <c r="V117" s="113"/>
    </row>
    <row r="118" spans="7:22">
      <c r="G118" s="18"/>
      <c r="Q118" s="177"/>
      <c r="S118" s="63"/>
      <c r="T118" s="178"/>
      <c r="V118" s="113"/>
    </row>
    <row r="119" spans="7:22">
      <c r="G119" s="18"/>
      <c r="Q119" s="177"/>
      <c r="S119" s="63"/>
      <c r="T119" s="178"/>
      <c r="V119" s="113"/>
    </row>
    <row r="120" spans="7:22">
      <c r="G120" s="18"/>
      <c r="Q120" s="177"/>
      <c r="S120" s="63"/>
      <c r="T120" s="178"/>
      <c r="V120" s="113"/>
    </row>
    <row r="121" spans="7:22">
      <c r="G121" s="18"/>
      <c r="Q121" s="177"/>
      <c r="S121" s="63"/>
      <c r="T121" s="178"/>
      <c r="V121" s="113"/>
    </row>
    <row r="122" spans="7:22">
      <c r="G122" s="18"/>
      <c r="Q122" s="177"/>
      <c r="S122" s="63"/>
      <c r="T122" s="178"/>
      <c r="V122" s="113"/>
    </row>
    <row r="123" spans="7:22">
      <c r="G123" s="18"/>
      <c r="Q123" s="177"/>
      <c r="S123" s="63"/>
      <c r="T123" s="178"/>
      <c r="V123" s="113"/>
    </row>
    <row r="124" spans="7:22">
      <c r="G124" s="18"/>
      <c r="Q124" s="177"/>
      <c r="S124" s="63"/>
      <c r="T124" s="178"/>
      <c r="V124" s="113"/>
    </row>
    <row r="125" spans="7:22">
      <c r="G125" s="18"/>
      <c r="Q125" s="177"/>
      <c r="S125" s="63"/>
      <c r="T125" s="178"/>
      <c r="V125" s="113"/>
    </row>
    <row r="126" spans="7:22">
      <c r="G126" s="18"/>
      <c r="Q126" s="177"/>
      <c r="S126" s="63"/>
      <c r="T126" s="178"/>
      <c r="V126" s="113"/>
    </row>
    <row r="127" spans="7:22">
      <c r="G127" s="18"/>
      <c r="Q127" s="177"/>
      <c r="S127" s="63"/>
      <c r="T127" s="178"/>
      <c r="V127" s="113"/>
    </row>
    <row r="128" spans="7:22">
      <c r="G128" s="18"/>
      <c r="Q128" s="177"/>
      <c r="S128" s="63"/>
      <c r="T128" s="178"/>
      <c r="V128" s="113"/>
    </row>
    <row r="129" spans="7:22">
      <c r="G129" s="18"/>
      <c r="Q129" s="177"/>
      <c r="S129" s="63"/>
      <c r="T129" s="178"/>
      <c r="V129" s="113"/>
    </row>
    <row r="130" spans="7:22">
      <c r="G130" s="18"/>
      <c r="Q130" s="177"/>
      <c r="T130" s="178"/>
      <c r="V130" s="113"/>
    </row>
    <row r="131" spans="7:22">
      <c r="G131" s="18"/>
      <c r="Q131" s="177"/>
      <c r="T131" s="178"/>
      <c r="V131" s="113"/>
    </row>
    <row r="132" spans="7:22">
      <c r="G132" s="18"/>
      <c r="Q132" s="177"/>
      <c r="T132" s="178"/>
      <c r="V132" s="113"/>
    </row>
    <row r="133" spans="7:22">
      <c r="G133" s="18"/>
      <c r="Q133" s="177"/>
      <c r="T133" s="178"/>
      <c r="V133" s="113"/>
    </row>
    <row r="134" spans="7:22">
      <c r="G134" s="18"/>
      <c r="Q134" s="177"/>
      <c r="T134" s="178"/>
      <c r="V134" s="113"/>
    </row>
    <row r="135" spans="7:22">
      <c r="G135" s="18"/>
      <c r="Q135" s="177"/>
      <c r="T135" s="178"/>
      <c r="V135" s="113"/>
    </row>
    <row r="136" spans="7:22">
      <c r="G136" s="18"/>
      <c r="Q136" s="177"/>
      <c r="T136" s="178"/>
      <c r="V136" s="113"/>
    </row>
    <row r="137" spans="7:22">
      <c r="G137" s="18"/>
      <c r="Q137" s="177"/>
      <c r="T137" s="178"/>
      <c r="V137" s="113"/>
    </row>
    <row r="138" spans="7:22">
      <c r="G138" s="18"/>
      <c r="Q138" s="177"/>
      <c r="T138" s="178"/>
      <c r="V138" s="113"/>
    </row>
    <row r="139" spans="7:22">
      <c r="G139" s="18"/>
      <c r="Q139" s="177"/>
      <c r="T139" s="178"/>
      <c r="V139" s="113"/>
    </row>
    <row r="140" spans="7:22">
      <c r="G140" s="18"/>
      <c r="Q140" s="177"/>
      <c r="T140" s="178"/>
      <c r="V140" s="113"/>
    </row>
    <row r="141" spans="7:22">
      <c r="G141" s="18"/>
      <c r="Q141" s="177"/>
      <c r="T141" s="178"/>
      <c r="V141" s="113"/>
    </row>
    <row r="142" spans="7:22">
      <c r="G142" s="18"/>
      <c r="Q142" s="177"/>
      <c r="T142" s="178"/>
      <c r="V142" s="113"/>
    </row>
    <row r="143" spans="7:22">
      <c r="G143" s="18"/>
      <c r="Q143" s="177"/>
      <c r="T143" s="178"/>
      <c r="V143" s="113"/>
    </row>
    <row r="144" spans="7:22">
      <c r="G144" s="18"/>
      <c r="Q144" s="177"/>
      <c r="T144" s="178"/>
      <c r="V144" s="113"/>
    </row>
    <row r="145" spans="7:22">
      <c r="G145" s="18"/>
      <c r="Q145" s="177"/>
      <c r="T145" s="178"/>
      <c r="V145" s="113"/>
    </row>
    <row r="146" spans="7:22">
      <c r="G146" s="18"/>
      <c r="Q146" s="177"/>
      <c r="T146" s="178"/>
      <c r="V146" s="113"/>
    </row>
    <row r="147" spans="7:22">
      <c r="G147" s="18"/>
      <c r="Q147" s="177"/>
      <c r="T147" s="178"/>
      <c r="V147" s="113"/>
    </row>
    <row r="148" spans="7:22">
      <c r="G148" s="18"/>
      <c r="Q148" s="177"/>
      <c r="T148" s="178"/>
      <c r="V148" s="113"/>
    </row>
    <row r="149" spans="7:22">
      <c r="G149" s="18"/>
      <c r="Q149" s="177"/>
      <c r="T149" s="178"/>
      <c r="V149" s="113"/>
    </row>
    <row r="150" spans="7:22">
      <c r="G150" s="18"/>
      <c r="Q150" s="177"/>
      <c r="T150" s="178"/>
      <c r="V150" s="113"/>
    </row>
    <row r="151" spans="7:22">
      <c r="G151" s="18"/>
      <c r="Q151" s="177"/>
      <c r="T151" s="178"/>
      <c r="V151" s="113"/>
    </row>
    <row r="152" spans="7:22">
      <c r="G152" s="18"/>
      <c r="Q152" s="177"/>
      <c r="T152" s="178"/>
      <c r="V152" s="113"/>
    </row>
    <row r="153" spans="7:22">
      <c r="G153" s="18"/>
      <c r="Q153" s="177"/>
      <c r="T153" s="178"/>
      <c r="V153" s="113"/>
    </row>
    <row r="154" spans="7:22">
      <c r="G154" s="18"/>
      <c r="Q154" s="177"/>
      <c r="T154" s="178"/>
      <c r="V154" s="113"/>
    </row>
    <row r="155" spans="7:22">
      <c r="G155" s="18"/>
      <c r="Q155" s="177"/>
      <c r="T155" s="178"/>
      <c r="V155" s="113"/>
    </row>
    <row r="156" spans="7:22">
      <c r="G156" s="18"/>
      <c r="Q156" s="177"/>
      <c r="T156" s="178"/>
      <c r="V156" s="113"/>
    </row>
    <row r="157" spans="7:22">
      <c r="G157" s="18"/>
      <c r="Q157" s="177"/>
      <c r="T157" s="178"/>
      <c r="V157" s="113"/>
    </row>
    <row r="158" spans="7:22">
      <c r="G158" s="18"/>
      <c r="Q158" s="177"/>
      <c r="T158" s="178"/>
      <c r="V158" s="113"/>
    </row>
    <row r="159" spans="7:22">
      <c r="G159" s="18"/>
      <c r="Q159" s="177"/>
      <c r="T159" s="178"/>
      <c r="V159" s="113"/>
    </row>
    <row r="160" spans="7:22">
      <c r="G160" s="18"/>
      <c r="Q160" s="177"/>
      <c r="T160" s="178"/>
      <c r="V160" s="113"/>
    </row>
    <row r="161" spans="7:22">
      <c r="G161" s="18"/>
      <c r="Q161" s="177"/>
      <c r="T161" s="178"/>
      <c r="V161" s="113"/>
    </row>
    <row r="162" spans="7:22">
      <c r="G162" s="18"/>
      <c r="Q162" s="177"/>
      <c r="T162" s="178"/>
      <c r="V162" s="113"/>
    </row>
    <row r="163" spans="7:22">
      <c r="G163" s="18"/>
      <c r="Q163" s="177"/>
      <c r="T163" s="178"/>
      <c r="V163" s="113"/>
    </row>
    <row r="164" spans="7:22">
      <c r="G164" s="18"/>
      <c r="Q164" s="177"/>
      <c r="T164" s="178"/>
      <c r="V164" s="113"/>
    </row>
    <row r="165" spans="7:22">
      <c r="G165" s="18"/>
      <c r="Q165" s="177"/>
      <c r="T165" s="178"/>
      <c r="V165" s="113"/>
    </row>
    <row r="166" spans="7:22">
      <c r="G166" s="18"/>
      <c r="Q166" s="177"/>
      <c r="T166" s="178"/>
      <c r="V166" s="113"/>
    </row>
    <row r="167" spans="7:22">
      <c r="G167" s="18"/>
      <c r="Q167" s="177"/>
      <c r="T167" s="178"/>
      <c r="V167" s="113"/>
    </row>
    <row r="168" spans="7:22">
      <c r="G168" s="18"/>
      <c r="Q168" s="177"/>
      <c r="T168" s="178"/>
      <c r="V168" s="113"/>
    </row>
    <row r="169" spans="7:22">
      <c r="G169" s="18"/>
      <c r="Q169" s="177"/>
      <c r="T169" s="178"/>
      <c r="V169" s="113"/>
    </row>
    <row r="170" spans="7:22">
      <c r="G170" s="18"/>
      <c r="Q170" s="177"/>
      <c r="T170" s="178"/>
      <c r="V170" s="113"/>
    </row>
    <row r="171" spans="7:22">
      <c r="G171" s="18"/>
      <c r="Q171" s="177"/>
      <c r="T171" s="178"/>
      <c r="V171" s="113"/>
    </row>
    <row r="172" spans="7:22">
      <c r="G172" s="18"/>
      <c r="Q172" s="177"/>
      <c r="T172" s="178"/>
      <c r="V172" s="113"/>
    </row>
    <row r="173" spans="7:22">
      <c r="G173" s="18"/>
      <c r="Q173" s="177"/>
      <c r="T173" s="178"/>
      <c r="V173" s="113"/>
    </row>
    <row r="174" spans="7:22">
      <c r="G174" s="18"/>
      <c r="Q174" s="177"/>
      <c r="T174" s="178"/>
      <c r="V174" s="113"/>
    </row>
    <row r="175" spans="7:22">
      <c r="G175" s="18"/>
      <c r="Q175" s="177"/>
      <c r="T175" s="178"/>
      <c r="V175" s="113"/>
    </row>
    <row r="176" spans="7:22">
      <c r="G176" s="18"/>
      <c r="Q176" s="177"/>
      <c r="T176" s="178"/>
      <c r="V176" s="113"/>
    </row>
    <row r="177" spans="7:22">
      <c r="G177" s="18"/>
      <c r="Q177" s="177"/>
      <c r="T177" s="178"/>
      <c r="V177" s="113"/>
    </row>
    <row r="178" spans="7:22">
      <c r="G178" s="18"/>
      <c r="Q178" s="177"/>
      <c r="T178" s="178"/>
      <c r="V178" s="113"/>
    </row>
    <row r="179" spans="7:22">
      <c r="G179" s="18"/>
      <c r="Q179" s="177"/>
      <c r="T179" s="178"/>
      <c r="V179" s="113"/>
    </row>
    <row r="180" spans="7:22">
      <c r="G180" s="18"/>
      <c r="Q180" s="177"/>
      <c r="T180" s="178"/>
      <c r="V180" s="113"/>
    </row>
    <row r="181" spans="7:22">
      <c r="G181" s="18"/>
      <c r="Q181" s="177"/>
      <c r="T181" s="178"/>
      <c r="V181" s="113"/>
    </row>
    <row r="182" spans="7:22">
      <c r="G182" s="18"/>
      <c r="Q182" s="177"/>
      <c r="T182" s="178"/>
      <c r="V182" s="113"/>
    </row>
    <row r="183" spans="7:22">
      <c r="G183" s="18"/>
      <c r="Q183" s="177"/>
      <c r="T183" s="178"/>
      <c r="V183" s="113"/>
    </row>
    <row r="184" spans="7:22">
      <c r="G184" s="18"/>
      <c r="Q184" s="177"/>
      <c r="T184" s="178"/>
      <c r="V184" s="113"/>
    </row>
    <row r="185" spans="7:22">
      <c r="G185" s="18"/>
      <c r="Q185" s="177"/>
      <c r="T185" s="178"/>
      <c r="V185" s="113"/>
    </row>
    <row r="186" spans="7:22">
      <c r="G186" s="18"/>
      <c r="Q186" s="177"/>
      <c r="T186" s="178"/>
      <c r="V186" s="113"/>
    </row>
    <row r="187" spans="7:22">
      <c r="G187" s="18"/>
      <c r="Q187" s="177"/>
      <c r="T187" s="178"/>
      <c r="V187" s="113"/>
    </row>
    <row r="188" spans="7:22">
      <c r="G188" s="18"/>
      <c r="Q188" s="177"/>
      <c r="T188" s="178"/>
      <c r="V188" s="113"/>
    </row>
    <row r="189" spans="7:22">
      <c r="G189" s="18"/>
      <c r="Q189" s="177"/>
      <c r="T189" s="178"/>
      <c r="V189" s="113"/>
    </row>
    <row r="190" spans="7:22">
      <c r="G190" s="18"/>
      <c r="Q190" s="177"/>
      <c r="T190" s="178"/>
      <c r="V190" s="113"/>
    </row>
    <row r="191" spans="7:22">
      <c r="G191" s="18"/>
      <c r="Q191" s="177"/>
      <c r="T191" s="178"/>
      <c r="V191" s="113"/>
    </row>
    <row r="192" spans="7:22">
      <c r="G192" s="18"/>
      <c r="Q192" s="177"/>
      <c r="T192" s="178"/>
      <c r="V192" s="113"/>
    </row>
    <row r="193" spans="7:22">
      <c r="G193" s="18"/>
      <c r="Q193" s="177"/>
      <c r="T193" s="178"/>
      <c r="V193" s="113"/>
    </row>
    <row r="194" spans="7:22">
      <c r="G194" s="18"/>
      <c r="Q194" s="177"/>
      <c r="T194" s="178"/>
      <c r="V194" s="113"/>
    </row>
    <row r="195" spans="7:22">
      <c r="G195" s="18"/>
      <c r="Q195" s="177"/>
      <c r="T195" s="178"/>
      <c r="V195" s="113"/>
    </row>
    <row r="196" spans="7:22">
      <c r="G196" s="18"/>
      <c r="Q196" s="177"/>
      <c r="T196" s="178"/>
      <c r="V196" s="113"/>
    </row>
    <row r="197" spans="7:22">
      <c r="G197" s="18"/>
      <c r="Q197" s="177"/>
      <c r="T197" s="178"/>
      <c r="V197" s="113"/>
    </row>
    <row r="198" spans="7:22">
      <c r="G198" s="18"/>
      <c r="Q198" s="177"/>
      <c r="T198" s="178"/>
      <c r="V198" s="113"/>
    </row>
    <row r="199" spans="7:22">
      <c r="G199" s="18"/>
      <c r="Q199" s="177"/>
      <c r="T199" s="178"/>
      <c r="V199" s="113"/>
    </row>
    <row r="200" spans="7:22">
      <c r="G200" s="18"/>
      <c r="Q200" s="177"/>
      <c r="T200" s="178"/>
      <c r="V200" s="113"/>
    </row>
    <row r="201" spans="7:22">
      <c r="G201" s="18"/>
      <c r="Q201" s="177"/>
      <c r="T201" s="178"/>
      <c r="V201" s="113"/>
    </row>
    <row r="202" spans="7:22">
      <c r="G202" s="18"/>
      <c r="Q202" s="177"/>
      <c r="T202" s="178"/>
      <c r="V202" s="113"/>
    </row>
    <row r="203" spans="7:22">
      <c r="G203" s="18"/>
      <c r="Q203" s="177"/>
      <c r="T203" s="178"/>
      <c r="V203" s="113"/>
    </row>
    <row r="204" spans="7:22">
      <c r="G204" s="18"/>
      <c r="Q204" s="177"/>
      <c r="T204" s="178"/>
      <c r="V204" s="113"/>
    </row>
    <row r="205" spans="7:22">
      <c r="G205" s="18"/>
      <c r="Q205" s="177"/>
      <c r="T205" s="178"/>
      <c r="V205" s="113"/>
    </row>
    <row r="206" spans="7:22">
      <c r="G206" s="18"/>
      <c r="Q206" s="177"/>
      <c r="T206" s="178"/>
      <c r="V206" s="113"/>
    </row>
    <row r="207" spans="7:22">
      <c r="G207" s="18"/>
      <c r="Q207" s="177"/>
      <c r="T207" s="178"/>
      <c r="V207" s="113"/>
    </row>
    <row r="208" spans="7:22">
      <c r="G208" s="18"/>
      <c r="Q208" s="177"/>
      <c r="T208" s="178"/>
      <c r="V208" s="113"/>
    </row>
    <row r="209" spans="7:22">
      <c r="G209" s="18"/>
      <c r="Q209" s="177"/>
      <c r="T209" s="178"/>
      <c r="V209" s="113"/>
    </row>
    <row r="210" spans="7:22">
      <c r="G210" s="18"/>
      <c r="Q210" s="177"/>
      <c r="T210" s="178"/>
      <c r="V210" s="113"/>
    </row>
    <row r="211" spans="7:22">
      <c r="G211" s="18"/>
      <c r="Q211" s="177"/>
      <c r="T211" s="178"/>
      <c r="V211" s="113"/>
    </row>
    <row r="212" spans="7:22">
      <c r="G212" s="18"/>
      <c r="Q212" s="177"/>
      <c r="T212" s="178"/>
      <c r="V212" s="113"/>
    </row>
    <row r="213" spans="7:22">
      <c r="G213" s="18"/>
      <c r="Q213" s="177"/>
      <c r="T213" s="178"/>
      <c r="V213" s="113"/>
    </row>
    <row r="214" spans="7:22">
      <c r="G214" s="18"/>
      <c r="Q214" s="177"/>
      <c r="T214" s="178"/>
      <c r="V214" s="113"/>
    </row>
    <row r="215" spans="7:22">
      <c r="G215" s="18"/>
      <c r="Q215" s="177"/>
      <c r="T215" s="178"/>
      <c r="V215" s="113"/>
    </row>
    <row r="216" spans="7:22">
      <c r="G216" s="18"/>
      <c r="Q216" s="177"/>
      <c r="T216" s="178"/>
      <c r="V216" s="113"/>
    </row>
    <row r="217" spans="7:22">
      <c r="G217" s="18"/>
      <c r="Q217" s="177"/>
      <c r="T217" s="178"/>
      <c r="V217" s="113"/>
    </row>
    <row r="218" spans="7:22">
      <c r="G218" s="18"/>
      <c r="Q218" s="177"/>
      <c r="T218" s="178"/>
      <c r="V218" s="113"/>
    </row>
    <row r="219" spans="7:22">
      <c r="G219" s="18"/>
      <c r="Q219" s="177"/>
      <c r="T219" s="178"/>
      <c r="V219" s="113"/>
    </row>
    <row r="220" spans="7:22">
      <c r="G220" s="18"/>
      <c r="Q220" s="177"/>
      <c r="T220" s="178"/>
      <c r="V220" s="113"/>
    </row>
    <row r="221" spans="7:22">
      <c r="G221" s="18"/>
      <c r="Q221" s="177"/>
      <c r="T221" s="178"/>
      <c r="V221" s="113"/>
    </row>
    <row r="222" spans="7:22">
      <c r="G222" s="18"/>
      <c r="Q222" s="177"/>
      <c r="T222" s="178"/>
      <c r="V222" s="113"/>
    </row>
    <row r="223" spans="7:22">
      <c r="G223" s="18"/>
      <c r="Q223" s="177"/>
      <c r="T223" s="178"/>
      <c r="V223" s="113"/>
    </row>
    <row r="224" spans="7:22">
      <c r="G224" s="18"/>
      <c r="Q224" s="177"/>
      <c r="T224" s="178"/>
      <c r="V224" s="113"/>
    </row>
    <row r="225" spans="7:22">
      <c r="G225" s="18"/>
      <c r="Q225" s="177"/>
      <c r="T225" s="178"/>
      <c r="V225" s="113"/>
    </row>
    <row r="226" spans="7:22">
      <c r="G226" s="18"/>
      <c r="Q226" s="177"/>
      <c r="T226" s="178"/>
      <c r="V226" s="113"/>
    </row>
    <row r="227" spans="7:22">
      <c r="G227" s="18"/>
      <c r="Q227" s="177"/>
      <c r="T227" s="178"/>
      <c r="V227" s="113"/>
    </row>
    <row r="228" spans="7:22">
      <c r="G228" s="18"/>
      <c r="Q228" s="177"/>
      <c r="T228" s="178"/>
      <c r="V228" s="113"/>
    </row>
    <row r="229" spans="7:22">
      <c r="G229" s="18"/>
      <c r="Q229" s="177"/>
      <c r="T229" s="178"/>
      <c r="V229" s="113"/>
    </row>
    <row r="230" spans="7:22">
      <c r="G230" s="18"/>
      <c r="Q230" s="177"/>
      <c r="T230" s="178"/>
      <c r="V230" s="113"/>
    </row>
    <row r="231" spans="7:22">
      <c r="G231" s="18"/>
      <c r="Q231" s="177"/>
      <c r="T231" s="178"/>
      <c r="V231" s="113"/>
    </row>
    <row r="232" spans="7:22">
      <c r="G232" s="18"/>
      <c r="Q232" s="177"/>
      <c r="T232" s="178"/>
      <c r="V232" s="113"/>
    </row>
    <row r="233" spans="7:22">
      <c r="G233" s="18"/>
      <c r="Q233" s="177"/>
      <c r="T233" s="178"/>
      <c r="V233" s="113"/>
    </row>
    <row r="234" spans="7:22">
      <c r="G234" s="18"/>
      <c r="Q234" s="177"/>
      <c r="T234" s="178"/>
      <c r="V234" s="113"/>
    </row>
    <row r="235" spans="7:22">
      <c r="G235" s="18"/>
      <c r="Q235" s="177"/>
      <c r="T235" s="178"/>
      <c r="V235" s="113"/>
    </row>
    <row r="236" spans="7:22">
      <c r="G236" s="18"/>
      <c r="Q236" s="177"/>
      <c r="T236" s="178"/>
      <c r="V236" s="113"/>
    </row>
    <row r="237" spans="7:22">
      <c r="G237" s="18"/>
      <c r="Q237" s="177"/>
      <c r="T237" s="178"/>
      <c r="V237" s="113"/>
    </row>
    <row r="238" spans="7:22">
      <c r="G238" s="18"/>
      <c r="Q238" s="177"/>
      <c r="T238" s="178"/>
      <c r="V238" s="113"/>
    </row>
    <row r="239" spans="7:22">
      <c r="G239" s="18"/>
      <c r="Q239" s="177"/>
      <c r="T239" s="178"/>
      <c r="V239" s="113"/>
    </row>
    <row r="240" spans="7:22">
      <c r="G240" s="18"/>
      <c r="Q240" s="177"/>
      <c r="T240" s="178"/>
      <c r="V240" s="113"/>
    </row>
    <row r="241" spans="7:22">
      <c r="G241" s="18"/>
      <c r="Q241" s="177"/>
      <c r="T241" s="178"/>
      <c r="V241" s="113"/>
    </row>
    <row r="242" spans="7:22">
      <c r="G242" s="18"/>
      <c r="Q242" s="177"/>
      <c r="T242" s="178"/>
      <c r="V242" s="113"/>
    </row>
    <row r="243" spans="7:22">
      <c r="G243" s="18"/>
      <c r="Q243" s="177"/>
      <c r="T243" s="178"/>
      <c r="V243" s="113"/>
    </row>
    <row r="244" spans="7:22">
      <c r="G244" s="18"/>
      <c r="Q244" s="177"/>
      <c r="T244" s="178"/>
      <c r="V244" s="113"/>
    </row>
    <row r="245" spans="7:22">
      <c r="G245" s="18"/>
      <c r="Q245" s="177"/>
      <c r="T245" s="178"/>
      <c r="V245" s="113"/>
    </row>
    <row r="246" spans="7:22">
      <c r="G246" s="18"/>
      <c r="Q246" s="177"/>
      <c r="T246" s="178"/>
      <c r="V246" s="113"/>
    </row>
    <row r="247" spans="7:22">
      <c r="G247" s="18"/>
      <c r="Q247" s="177"/>
      <c r="T247" s="178"/>
      <c r="V247" s="113"/>
    </row>
    <row r="248" spans="7:22">
      <c r="G248" s="18"/>
      <c r="Q248" s="177"/>
      <c r="T248" s="178"/>
      <c r="V248" s="113"/>
    </row>
    <row r="249" spans="7:22">
      <c r="G249" s="18"/>
      <c r="Q249" s="177"/>
      <c r="T249" s="178"/>
      <c r="V249" s="113"/>
    </row>
    <row r="250" spans="7:22">
      <c r="G250" s="18"/>
      <c r="Q250" s="177"/>
      <c r="T250" s="178"/>
      <c r="V250" s="113"/>
    </row>
    <row r="251" spans="7:22">
      <c r="G251" s="18"/>
      <c r="Q251" s="177"/>
      <c r="T251" s="178"/>
      <c r="V251" s="113"/>
    </row>
    <row r="252" spans="7:22">
      <c r="G252" s="18"/>
      <c r="Q252" s="177"/>
      <c r="T252" s="178"/>
      <c r="V252" s="113"/>
    </row>
    <row r="253" spans="7:22">
      <c r="G253" s="18"/>
      <c r="Q253" s="177"/>
      <c r="T253" s="178"/>
      <c r="V253" s="113"/>
    </row>
    <row r="254" spans="7:22">
      <c r="G254" s="18"/>
      <c r="Q254" s="177"/>
      <c r="T254" s="178"/>
      <c r="V254" s="113"/>
    </row>
    <row r="255" spans="7:22">
      <c r="G255" s="18"/>
      <c r="Q255" s="177"/>
      <c r="T255" s="178"/>
      <c r="V255" s="113"/>
    </row>
    <row r="256" spans="7:22">
      <c r="G256" s="18"/>
      <c r="Q256" s="177"/>
      <c r="T256" s="178"/>
      <c r="V256" s="113"/>
    </row>
    <row r="257" spans="7:22">
      <c r="G257" s="18"/>
      <c r="Q257" s="177"/>
      <c r="T257" s="178"/>
      <c r="V257" s="113"/>
    </row>
    <row r="258" spans="7:22">
      <c r="G258" s="18"/>
      <c r="Q258" s="177"/>
      <c r="T258" s="178"/>
      <c r="V258" s="113"/>
    </row>
    <row r="259" spans="7:22">
      <c r="G259" s="18"/>
      <c r="Q259" s="177"/>
      <c r="T259" s="178"/>
      <c r="V259" s="113"/>
    </row>
    <row r="260" spans="7:22">
      <c r="G260" s="18"/>
      <c r="Q260" s="177"/>
      <c r="T260" s="178"/>
      <c r="V260" s="113"/>
    </row>
    <row r="261" spans="7:22">
      <c r="G261" s="18"/>
      <c r="Q261" s="177"/>
      <c r="T261" s="178"/>
      <c r="V261" s="113"/>
    </row>
    <row r="262" spans="7:22">
      <c r="G262" s="18"/>
      <c r="Q262" s="177"/>
      <c r="T262" s="178"/>
      <c r="V262" s="113"/>
    </row>
    <row r="263" spans="7:22">
      <c r="G263" s="18"/>
      <c r="Q263" s="177"/>
      <c r="T263" s="178"/>
      <c r="V263" s="113"/>
    </row>
    <row r="264" spans="7:22">
      <c r="G264" s="18"/>
      <c r="Q264" s="177"/>
      <c r="T264" s="178"/>
      <c r="V264" s="113"/>
    </row>
    <row r="265" spans="7:22">
      <c r="G265" s="18"/>
      <c r="Q265" s="177"/>
      <c r="T265" s="178"/>
      <c r="V265" s="113"/>
    </row>
    <row r="266" spans="7:22">
      <c r="G266" s="18"/>
      <c r="Q266" s="177"/>
      <c r="T266" s="178"/>
      <c r="V266" s="113"/>
    </row>
    <row r="267" spans="7:22">
      <c r="G267" s="18"/>
      <c r="Q267" s="177"/>
      <c r="T267" s="178"/>
      <c r="V267" s="113"/>
    </row>
    <row r="268" spans="7:22">
      <c r="G268" s="18"/>
      <c r="Q268" s="177"/>
      <c r="T268" s="178"/>
      <c r="V268" s="113"/>
    </row>
    <row r="269" spans="7:22">
      <c r="G269" s="18"/>
      <c r="Q269" s="177"/>
      <c r="T269" s="178"/>
      <c r="V269" s="113"/>
    </row>
    <row r="270" spans="7:22">
      <c r="G270" s="18"/>
      <c r="Q270" s="177"/>
      <c r="T270" s="178"/>
      <c r="V270" s="113"/>
    </row>
    <row r="271" spans="7:22">
      <c r="G271" s="18"/>
      <c r="Q271" s="177"/>
      <c r="T271" s="178"/>
      <c r="V271" s="113"/>
    </row>
    <row r="272" spans="7:22">
      <c r="G272" s="18"/>
      <c r="Q272" s="177"/>
      <c r="T272" s="178"/>
      <c r="V272" s="113"/>
    </row>
    <row r="273" spans="7:22">
      <c r="G273" s="18"/>
      <c r="Q273" s="177"/>
      <c r="T273" s="178"/>
      <c r="V273" s="113"/>
    </row>
    <row r="274" spans="7:22">
      <c r="G274" s="18"/>
      <c r="Q274" s="177"/>
      <c r="T274" s="178"/>
      <c r="V274" s="113"/>
    </row>
    <row r="275" spans="7:22">
      <c r="G275" s="18"/>
      <c r="Q275" s="177"/>
      <c r="T275" s="178"/>
      <c r="V275" s="113"/>
    </row>
    <row r="276" spans="7:22">
      <c r="G276" s="18"/>
      <c r="Q276" s="177"/>
      <c r="T276" s="178"/>
      <c r="V276" s="113"/>
    </row>
    <row r="277" spans="7:22">
      <c r="G277" s="18"/>
      <c r="Q277" s="177"/>
      <c r="T277" s="178"/>
      <c r="V277" s="113"/>
    </row>
    <row r="278" spans="7:22">
      <c r="G278" s="18"/>
      <c r="Q278" s="177"/>
      <c r="T278" s="178"/>
      <c r="V278" s="113"/>
    </row>
    <row r="279" spans="7:22">
      <c r="G279" s="18"/>
      <c r="Q279" s="177"/>
      <c r="T279" s="178"/>
      <c r="V279" s="113"/>
    </row>
    <row r="280" spans="7:22">
      <c r="G280" s="18"/>
      <c r="Q280" s="177"/>
      <c r="T280" s="178"/>
      <c r="V280" s="113"/>
    </row>
    <row r="281" spans="7:22">
      <c r="G281" s="18"/>
      <c r="Q281" s="177"/>
      <c r="T281" s="178"/>
      <c r="V281" s="113"/>
    </row>
    <row r="282" spans="7:22">
      <c r="G282" s="18"/>
      <c r="Q282" s="177"/>
      <c r="T282" s="178"/>
      <c r="V282" s="113"/>
    </row>
    <row r="283" spans="7:22">
      <c r="G283" s="18"/>
      <c r="Q283" s="177"/>
      <c r="T283" s="178"/>
      <c r="V283" s="113"/>
    </row>
    <row r="284" spans="7:22">
      <c r="G284" s="18"/>
      <c r="Q284" s="177"/>
      <c r="T284" s="178"/>
      <c r="V284" s="113"/>
    </row>
    <row r="285" spans="7:22">
      <c r="G285" s="18"/>
      <c r="Q285" s="177"/>
      <c r="T285" s="178"/>
      <c r="V285" s="113"/>
    </row>
    <row r="286" spans="7:22">
      <c r="G286" s="18"/>
      <c r="Q286" s="177"/>
      <c r="T286" s="178"/>
      <c r="V286" s="113"/>
    </row>
    <row r="287" spans="7:22">
      <c r="G287" s="18"/>
      <c r="Q287" s="177"/>
      <c r="T287" s="178"/>
      <c r="V287" s="113"/>
    </row>
    <row r="288" spans="7:22">
      <c r="G288" s="18"/>
      <c r="Q288" s="177"/>
      <c r="T288" s="178"/>
      <c r="V288" s="113"/>
    </row>
    <row r="289" spans="7:22">
      <c r="G289" s="18"/>
      <c r="Q289" s="177"/>
      <c r="T289" s="178"/>
      <c r="V289" s="113"/>
    </row>
    <row r="290" spans="7:22">
      <c r="G290" s="18"/>
      <c r="Q290" s="177"/>
      <c r="T290" s="178"/>
      <c r="V290" s="113"/>
    </row>
    <row r="291" spans="7:22">
      <c r="G291" s="18"/>
      <c r="Q291" s="177"/>
      <c r="T291" s="178"/>
      <c r="V291" s="113"/>
    </row>
    <row r="292" spans="7:22">
      <c r="G292" s="18"/>
      <c r="Q292" s="177"/>
      <c r="T292" s="178"/>
      <c r="V292" s="113"/>
    </row>
    <row r="293" spans="7:22">
      <c r="G293" s="18"/>
      <c r="Q293" s="177"/>
      <c r="T293" s="178"/>
      <c r="V293" s="113"/>
    </row>
    <row r="294" spans="7:22">
      <c r="G294" s="18"/>
      <c r="Q294" s="177"/>
      <c r="T294" s="178"/>
      <c r="V294" s="113"/>
    </row>
    <row r="295" spans="7:22">
      <c r="G295" s="18"/>
      <c r="Q295" s="177"/>
      <c r="T295" s="178"/>
      <c r="V295" s="113"/>
    </row>
    <row r="296" spans="7:22">
      <c r="G296" s="18"/>
      <c r="Q296" s="177"/>
      <c r="T296" s="178"/>
      <c r="V296" s="113"/>
    </row>
    <row r="297" spans="7:22">
      <c r="G297" s="18"/>
      <c r="Q297" s="177"/>
      <c r="T297" s="178"/>
      <c r="V297" s="113"/>
    </row>
    <row r="298" spans="7:22">
      <c r="G298" s="18"/>
      <c r="Q298" s="177"/>
      <c r="T298" s="178"/>
      <c r="V298" s="113"/>
    </row>
    <row r="299" spans="7:22">
      <c r="G299" s="18"/>
      <c r="Q299" s="177"/>
      <c r="T299" s="178"/>
      <c r="V299" s="113"/>
    </row>
    <row r="300" spans="7:22">
      <c r="G300" s="18"/>
      <c r="Q300" s="177"/>
      <c r="T300" s="178"/>
      <c r="V300" s="113"/>
    </row>
    <row r="301" spans="7:22">
      <c r="G301" s="18"/>
      <c r="Q301" s="177"/>
      <c r="T301" s="178"/>
      <c r="V301" s="113"/>
    </row>
    <row r="302" spans="7:22">
      <c r="G302" s="18"/>
      <c r="Q302" s="177"/>
      <c r="T302" s="178"/>
      <c r="V302" s="113"/>
    </row>
    <row r="303" spans="7:22">
      <c r="G303" s="18"/>
      <c r="Q303" s="177"/>
      <c r="T303" s="178"/>
      <c r="V303" s="113"/>
    </row>
    <row r="304" spans="7:22">
      <c r="G304" s="18"/>
      <c r="Q304" s="177"/>
      <c r="T304" s="178"/>
      <c r="V304" s="113"/>
    </row>
    <row r="305" spans="7:22">
      <c r="G305" s="18"/>
      <c r="Q305" s="177"/>
      <c r="T305" s="178"/>
      <c r="V305" s="113"/>
    </row>
    <row r="306" spans="7:22">
      <c r="G306" s="18"/>
      <c r="Q306" s="177"/>
      <c r="T306" s="178"/>
      <c r="V306" s="113"/>
    </row>
    <row r="307" spans="7:22">
      <c r="G307" s="18"/>
      <c r="Q307" s="177"/>
      <c r="T307" s="178"/>
      <c r="V307" s="113"/>
    </row>
    <row r="308" spans="7:22">
      <c r="G308" s="18"/>
      <c r="Q308" s="177"/>
      <c r="T308" s="178"/>
      <c r="V308" s="113"/>
    </row>
    <row r="309" spans="7:22">
      <c r="G309" s="18"/>
      <c r="Q309" s="177"/>
      <c r="T309" s="178"/>
      <c r="V309" s="113"/>
    </row>
    <row r="310" spans="7:22">
      <c r="G310" s="18"/>
      <c r="Q310" s="177"/>
      <c r="T310" s="178"/>
      <c r="V310" s="113"/>
    </row>
    <row r="311" spans="7:22">
      <c r="G311" s="18"/>
      <c r="Q311" s="177"/>
      <c r="T311" s="178"/>
      <c r="V311" s="113"/>
    </row>
    <row r="312" spans="7:22">
      <c r="G312" s="18"/>
      <c r="Q312" s="177"/>
      <c r="T312" s="178"/>
      <c r="V312" s="113"/>
    </row>
    <row r="313" spans="7:22">
      <c r="G313" s="18"/>
      <c r="Q313" s="177"/>
      <c r="T313" s="178"/>
      <c r="V313" s="113"/>
    </row>
    <row r="314" spans="7:22">
      <c r="G314" s="18"/>
      <c r="Q314" s="177"/>
      <c r="T314" s="178"/>
      <c r="V314" s="113"/>
    </row>
    <row r="315" spans="7:22">
      <c r="G315" s="18"/>
      <c r="Q315" s="177"/>
      <c r="T315" s="178"/>
      <c r="V315" s="113"/>
    </row>
    <row r="316" spans="7:22">
      <c r="G316" s="18"/>
      <c r="Q316" s="177"/>
      <c r="T316" s="178"/>
      <c r="V316" s="113"/>
    </row>
    <row r="317" spans="7:22">
      <c r="G317" s="18"/>
      <c r="Q317" s="177"/>
      <c r="T317" s="178"/>
      <c r="V317" s="113"/>
    </row>
    <row r="318" spans="7:22">
      <c r="G318" s="18"/>
      <c r="Q318" s="177"/>
      <c r="T318" s="178"/>
      <c r="V318" s="113"/>
    </row>
    <row r="319" spans="7:22">
      <c r="G319" s="18"/>
      <c r="Q319" s="177"/>
      <c r="T319" s="178"/>
      <c r="V319" s="113"/>
    </row>
    <row r="320" spans="7:22">
      <c r="G320" s="18"/>
      <c r="Q320" s="177"/>
      <c r="T320" s="178"/>
      <c r="V320" s="113"/>
    </row>
    <row r="321" spans="7:22">
      <c r="G321" s="18"/>
      <c r="Q321" s="177"/>
      <c r="T321" s="178"/>
      <c r="V321" s="113"/>
    </row>
    <row r="322" spans="7:22">
      <c r="G322" s="18"/>
      <c r="Q322" s="177"/>
      <c r="T322" s="178"/>
      <c r="V322" s="113"/>
    </row>
    <row r="323" spans="7:22">
      <c r="G323" s="18"/>
      <c r="Q323" s="177"/>
      <c r="T323" s="178"/>
      <c r="V323" s="113"/>
    </row>
    <row r="324" spans="7:22">
      <c r="G324" s="18"/>
      <c r="Q324" s="177"/>
      <c r="T324" s="178"/>
      <c r="V324" s="113"/>
    </row>
    <row r="325" spans="7:22">
      <c r="G325" s="18"/>
      <c r="Q325" s="177"/>
      <c r="T325" s="178"/>
      <c r="V325" s="113"/>
    </row>
    <row r="326" spans="7:22">
      <c r="G326" s="18"/>
      <c r="Q326" s="177"/>
      <c r="T326" s="178"/>
      <c r="V326" s="113"/>
    </row>
    <row r="327" spans="7:22">
      <c r="G327" s="18"/>
      <c r="Q327" s="177"/>
      <c r="T327" s="178"/>
      <c r="V327" s="113"/>
    </row>
    <row r="328" spans="7:22">
      <c r="G328" s="18"/>
      <c r="Q328" s="177"/>
      <c r="T328" s="178"/>
      <c r="V328" s="113"/>
    </row>
    <row r="329" spans="7:22">
      <c r="G329" s="18"/>
      <c r="Q329" s="177"/>
      <c r="T329" s="178"/>
      <c r="V329" s="113"/>
    </row>
    <row r="330" spans="7:22">
      <c r="G330" s="18"/>
      <c r="Q330" s="177"/>
      <c r="T330" s="178"/>
      <c r="V330" s="113"/>
    </row>
    <row r="331" spans="7:22">
      <c r="G331" s="18"/>
      <c r="Q331" s="177"/>
      <c r="T331" s="178"/>
      <c r="V331" s="113"/>
    </row>
    <row r="332" spans="7:22">
      <c r="G332" s="18"/>
      <c r="Q332" s="177"/>
      <c r="T332" s="178"/>
      <c r="V332" s="113"/>
    </row>
    <row r="333" spans="7:22">
      <c r="G333" s="18"/>
      <c r="Q333" s="177"/>
      <c r="T333" s="178"/>
      <c r="V333" s="113"/>
    </row>
    <row r="334" spans="7:22">
      <c r="G334" s="18"/>
      <c r="Q334" s="177"/>
      <c r="T334" s="178"/>
      <c r="V334" s="113"/>
    </row>
    <row r="335" spans="7:22">
      <c r="G335" s="18"/>
      <c r="Q335" s="177"/>
      <c r="T335" s="178"/>
      <c r="V335" s="113"/>
    </row>
    <row r="336" spans="7:22">
      <c r="G336" s="18"/>
      <c r="Q336" s="177"/>
      <c r="T336" s="178"/>
      <c r="V336" s="113"/>
    </row>
    <row r="337" spans="7:22">
      <c r="G337" s="18"/>
      <c r="Q337" s="177"/>
      <c r="T337" s="178"/>
      <c r="V337" s="113"/>
    </row>
    <row r="338" spans="7:22">
      <c r="G338" s="18"/>
      <c r="Q338" s="177"/>
      <c r="T338" s="178"/>
      <c r="V338" s="113"/>
    </row>
    <row r="339" spans="7:22">
      <c r="G339" s="18"/>
      <c r="Q339" s="177"/>
      <c r="T339" s="178"/>
      <c r="V339" s="113"/>
    </row>
    <row r="340" spans="7:22">
      <c r="G340" s="18"/>
      <c r="Q340" s="177"/>
      <c r="T340" s="178"/>
      <c r="V340" s="113"/>
    </row>
    <row r="341" spans="7:22">
      <c r="G341" s="18"/>
      <c r="Q341" s="177"/>
      <c r="T341" s="178"/>
      <c r="V341" s="113"/>
    </row>
    <row r="342" spans="7:22">
      <c r="G342" s="18"/>
      <c r="Q342" s="177"/>
      <c r="T342" s="178"/>
      <c r="V342" s="113"/>
    </row>
    <row r="343" spans="7:22">
      <c r="G343" s="18"/>
      <c r="Q343" s="177"/>
      <c r="T343" s="178"/>
      <c r="V343" s="113"/>
    </row>
    <row r="344" spans="7:22">
      <c r="G344" s="18"/>
      <c r="Q344" s="177"/>
      <c r="T344" s="178"/>
      <c r="V344" s="113"/>
    </row>
    <row r="345" spans="7:22">
      <c r="G345" s="18"/>
      <c r="Q345" s="177"/>
      <c r="T345" s="178"/>
      <c r="V345" s="113"/>
    </row>
    <row r="346" spans="7:22">
      <c r="G346" s="18"/>
      <c r="Q346" s="177"/>
      <c r="T346" s="178"/>
      <c r="V346" s="113"/>
    </row>
    <row r="347" spans="7:22">
      <c r="G347" s="18"/>
      <c r="Q347" s="177"/>
      <c r="T347" s="178"/>
      <c r="V347" s="113"/>
    </row>
    <row r="348" spans="7:22">
      <c r="G348" s="18"/>
      <c r="Q348" s="177"/>
      <c r="T348" s="178"/>
      <c r="V348" s="113"/>
    </row>
    <row r="349" spans="7:22">
      <c r="G349" s="18"/>
      <c r="Q349" s="177"/>
      <c r="T349" s="178"/>
      <c r="V349" s="113"/>
    </row>
    <row r="350" spans="7:22">
      <c r="G350" s="18"/>
      <c r="Q350" s="177"/>
      <c r="T350" s="178"/>
      <c r="V350" s="113"/>
    </row>
    <row r="351" spans="7:22">
      <c r="G351" s="18"/>
      <c r="Q351" s="177"/>
      <c r="T351" s="178"/>
      <c r="V351" s="113"/>
    </row>
    <row r="352" spans="7:22">
      <c r="G352" s="18"/>
      <c r="Q352" s="177"/>
      <c r="T352" s="178"/>
      <c r="V352" s="113"/>
    </row>
    <row r="353" spans="7:22">
      <c r="G353" s="18"/>
      <c r="Q353" s="177"/>
      <c r="T353" s="178"/>
      <c r="V353" s="113"/>
    </row>
    <row r="354" spans="7:22">
      <c r="G354" s="18"/>
      <c r="Q354" s="177"/>
      <c r="T354" s="178"/>
      <c r="V354" s="113"/>
    </row>
    <row r="355" spans="7:22">
      <c r="G355" s="18"/>
      <c r="Q355" s="177"/>
      <c r="T355" s="178"/>
      <c r="V355" s="113"/>
    </row>
    <row r="356" spans="7:22">
      <c r="G356" s="18"/>
      <c r="Q356" s="177"/>
      <c r="T356" s="178"/>
      <c r="V356" s="113"/>
    </row>
    <row r="357" spans="7:22">
      <c r="G357" s="18"/>
      <c r="Q357" s="177"/>
      <c r="T357" s="178"/>
      <c r="V357" s="113"/>
    </row>
    <row r="358" spans="7:22">
      <c r="G358" s="18"/>
      <c r="Q358" s="177"/>
      <c r="T358" s="178"/>
      <c r="V358" s="113"/>
    </row>
    <row r="359" spans="7:22">
      <c r="G359" s="18"/>
      <c r="Q359" s="177"/>
      <c r="T359" s="178"/>
      <c r="V359" s="113"/>
    </row>
    <row r="360" spans="7:22">
      <c r="G360" s="18"/>
      <c r="Q360" s="177"/>
      <c r="T360" s="178"/>
      <c r="V360" s="113"/>
    </row>
    <row r="361" spans="7:22">
      <c r="G361" s="18"/>
      <c r="Q361" s="177"/>
      <c r="T361" s="178"/>
      <c r="V361" s="113"/>
    </row>
    <row r="362" spans="7:22">
      <c r="G362" s="18"/>
      <c r="Q362" s="177"/>
      <c r="T362" s="178"/>
      <c r="V362" s="113"/>
    </row>
    <row r="363" spans="7:22">
      <c r="G363" s="18"/>
      <c r="Q363" s="177"/>
      <c r="T363" s="178"/>
      <c r="V363" s="113"/>
    </row>
    <row r="364" spans="7:22">
      <c r="G364" s="18"/>
      <c r="Q364" s="177"/>
      <c r="T364" s="178"/>
      <c r="V364" s="113"/>
    </row>
    <row r="365" spans="7:22">
      <c r="G365" s="18"/>
      <c r="Q365" s="177"/>
      <c r="T365" s="178"/>
      <c r="V365" s="113"/>
    </row>
    <row r="366" spans="7:22">
      <c r="G366" s="18"/>
      <c r="Q366" s="177"/>
      <c r="T366" s="178"/>
      <c r="V366" s="113"/>
    </row>
    <row r="367" spans="7:22">
      <c r="G367" s="18"/>
      <c r="Q367" s="177"/>
      <c r="T367" s="178"/>
      <c r="V367" s="113"/>
    </row>
    <row r="368" spans="7:22">
      <c r="G368" s="18"/>
      <c r="Q368" s="177"/>
      <c r="T368" s="178"/>
      <c r="V368" s="113"/>
    </row>
    <row r="369" spans="7:22">
      <c r="G369" s="18"/>
      <c r="Q369" s="177"/>
      <c r="T369" s="178"/>
      <c r="V369" s="113"/>
    </row>
    <row r="370" spans="7:22">
      <c r="G370" s="18"/>
      <c r="Q370" s="177"/>
      <c r="T370" s="178"/>
      <c r="V370" s="113"/>
    </row>
    <row r="371" spans="7:22">
      <c r="G371" s="18"/>
      <c r="Q371" s="177"/>
      <c r="T371" s="178"/>
      <c r="V371" s="113"/>
    </row>
  </sheetData>
  <dataValidations count="1">
    <dataValidation allowBlank="1" showInputMessage="1" showErrorMessage="1" sqref="C3:C34 E3:E34" xr:uid="{0360E3B6-2EA5-42B4-9B70-7D28103D98E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FB9A8F-83B9-4DD7-9F0F-74F74B325C26}">
          <x14:formula1>
            <xm:f>기계코드!$F$5:$F$43</xm:f>
          </x14:formula1>
          <xm:sqref>C35:C81</xm:sqref>
        </x14:dataValidation>
        <x14:dataValidation type="list" allowBlank="1" showInputMessage="1" showErrorMessage="1" xr:uid="{629F2D81-3B0F-4C99-822D-D7A5F1E2AF21}">
          <x14:formula1>
            <xm:f>공급업체코드!$D$3:$D$103</xm:f>
          </x14:formula1>
          <xm:sqref>E35:E81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99FA-EFA5-4054-BD18-B72BEE2ABA7F}">
  <sheetPr>
    <tabColor rgb="FFFFFF00"/>
  </sheetPr>
  <dimension ref="A1:AF338"/>
  <sheetViews>
    <sheetView workbookViewId="0">
      <selection activeCell="H24" sqref="H24"/>
    </sheetView>
  </sheetViews>
  <sheetFormatPr defaultRowHeight="16.5"/>
  <cols>
    <col min="1" max="1" width="14.375" customWidth="1"/>
    <col min="2" max="2" width="28.875" bestFit="1" customWidth="1"/>
    <col min="3" max="3" width="37" customWidth="1"/>
    <col min="4" max="4" width="16.75" bestFit="1" customWidth="1"/>
    <col min="5" max="5" width="15.25" bestFit="1" customWidth="1"/>
    <col min="6" max="6" width="14.5" bestFit="1" customWidth="1"/>
    <col min="7" max="7" width="15.625" bestFit="1" customWidth="1"/>
    <col min="8" max="8" width="21.5" style="113" bestFit="1" customWidth="1"/>
    <col min="9" max="9" width="13" bestFit="1" customWidth="1"/>
    <col min="10" max="10" width="14.375" bestFit="1" customWidth="1"/>
    <col min="11" max="11" width="14.75" bestFit="1" customWidth="1"/>
    <col min="12" max="12" width="20.25" bestFit="1" customWidth="1"/>
    <col min="13" max="13" width="21.375" bestFit="1" customWidth="1"/>
    <col min="14" max="14" width="25.625" bestFit="1" customWidth="1"/>
    <col min="15" max="15" width="15.25" bestFit="1" customWidth="1"/>
    <col min="16" max="16" width="13.375" bestFit="1" customWidth="1"/>
    <col min="17" max="17" width="25.875" bestFit="1" customWidth="1"/>
    <col min="18" max="18" width="16.625" bestFit="1" customWidth="1"/>
    <col min="19" max="19" width="18.25" bestFit="1" customWidth="1"/>
    <col min="20" max="20" width="21.25" bestFit="1" customWidth="1"/>
    <col min="21" max="21" width="29.125" bestFit="1" customWidth="1"/>
    <col min="22" max="22" width="9.25" bestFit="1" customWidth="1"/>
    <col min="23" max="23" width="18" bestFit="1" customWidth="1"/>
    <col min="24" max="24" width="18.125" bestFit="1" customWidth="1"/>
  </cols>
  <sheetData>
    <row r="1" spans="1:32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1343</v>
      </c>
      <c r="I1" s="10" t="s">
        <v>1318</v>
      </c>
      <c r="J1" s="10" t="s">
        <v>1319</v>
      </c>
      <c r="K1" s="10" t="s">
        <v>1320</v>
      </c>
      <c r="L1" s="10" t="s">
        <v>1321</v>
      </c>
      <c r="M1" s="10" t="s">
        <v>1322</v>
      </c>
      <c r="N1" s="10" t="s">
        <v>1323</v>
      </c>
      <c r="O1" s="10" t="s">
        <v>1324</v>
      </c>
      <c r="P1" s="131" t="s">
        <v>1344</v>
      </c>
      <c r="Q1" s="131" t="s">
        <v>1345</v>
      </c>
      <c r="R1" s="131" t="s">
        <v>1346</v>
      </c>
      <c r="S1" s="10" t="s">
        <v>1293</v>
      </c>
      <c r="T1" s="17" t="s">
        <v>1294</v>
      </c>
      <c r="U1" s="61" t="s">
        <v>1295</v>
      </c>
      <c r="V1" s="10" t="s">
        <v>1296</v>
      </c>
      <c r="W1" s="10" t="s">
        <v>1297</v>
      </c>
      <c r="X1" s="210" t="s">
        <v>1298</v>
      </c>
      <c r="Y1" s="10"/>
      <c r="Z1" s="10"/>
      <c r="AA1" s="10"/>
      <c r="AB1" s="10"/>
      <c r="AC1" s="10"/>
      <c r="AD1" s="10"/>
      <c r="AE1" s="10"/>
      <c r="AF1" s="10"/>
    </row>
    <row r="2" spans="1:32">
      <c r="A2" s="1"/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73" t="s">
        <v>1347</v>
      </c>
      <c r="I2" s="329" t="s">
        <v>1327</v>
      </c>
      <c r="J2" s="5" t="s">
        <v>1328</v>
      </c>
      <c r="K2" s="53" t="s">
        <v>1329</v>
      </c>
      <c r="L2" s="5" t="s">
        <v>1330</v>
      </c>
      <c r="M2" s="5" t="s">
        <v>1331</v>
      </c>
      <c r="N2" s="57" t="s">
        <v>1348</v>
      </c>
      <c r="O2" s="5" t="s">
        <v>1349</v>
      </c>
      <c r="P2" s="5" t="s">
        <v>1350</v>
      </c>
      <c r="Q2" s="5" t="s">
        <v>1351</v>
      </c>
      <c r="R2" s="5" t="s">
        <v>1352</v>
      </c>
      <c r="S2" s="19" t="s">
        <v>1308</v>
      </c>
      <c r="T2" s="16" t="s">
        <v>1309</v>
      </c>
      <c r="U2" s="241" t="s">
        <v>1310</v>
      </c>
      <c r="V2" s="54" t="s">
        <v>1311</v>
      </c>
      <c r="W2" s="3" t="s">
        <v>10</v>
      </c>
      <c r="X2" s="242" t="s">
        <v>1312</v>
      </c>
      <c r="Y2" s="1"/>
      <c r="Z2" s="1"/>
      <c r="AA2" s="1"/>
      <c r="AB2" s="1"/>
      <c r="AC2" s="1"/>
      <c r="AD2" s="41"/>
      <c r="AE2" s="41"/>
      <c r="AF2" s="41"/>
    </row>
    <row r="3" spans="1:32">
      <c r="A3" s="203"/>
      <c r="B3" s="1" t="str">
        <f>D3&amp;"_"&amp;F3&amp;"_"&amp;H3</f>
        <v>M_BGF0101_VM_0000_500</v>
      </c>
      <c r="C3" s="328" t="s">
        <v>790</v>
      </c>
      <c r="D3" s="7" t="str" cm="1">
        <f t="array" ref="D3">INDEX(기계코드!$D$4:$D$1022,MATCH(1,(C3=기계코드!$F$4:$F$1022)*1,0))</f>
        <v>M_BGF0101</v>
      </c>
      <c r="E3" s="7" t="s">
        <v>1125</v>
      </c>
      <c r="F3" s="7" t="str" cm="1">
        <f t="array" ref="F3">INDEX(공급업체코드!$B$3:$B$1000,MATCH(1,(E3=공급업체코드!$D$3:$D$1000)*1,0))</f>
        <v>VM_0000</v>
      </c>
      <c r="G3" s="18"/>
      <c r="H3" s="119">
        <v>500</v>
      </c>
      <c r="I3" s="70"/>
      <c r="J3" s="7"/>
      <c r="K3" s="7"/>
      <c r="L3" s="151"/>
      <c r="M3" s="7"/>
      <c r="N3" s="7"/>
      <c r="O3" s="64"/>
      <c r="P3" s="272" t="s">
        <v>1353</v>
      </c>
      <c r="Q3" s="10"/>
      <c r="R3" s="273"/>
      <c r="S3" s="64">
        <v>0</v>
      </c>
      <c r="T3" s="64"/>
      <c r="U3" s="65" t="s">
        <v>1354</v>
      </c>
      <c r="V3" s="1" t="b">
        <v>1</v>
      </c>
      <c r="X3" s="133"/>
      <c r="AD3" s="41"/>
      <c r="AE3" s="41"/>
      <c r="AF3" s="41"/>
    </row>
    <row r="4" spans="1:32">
      <c r="A4" s="203"/>
      <c r="B4" s="1" t="str">
        <f>D4&amp;"_"&amp;F4&amp;"_"&amp;H4</f>
        <v>M_BGF0101_VM_0000_1000</v>
      </c>
      <c r="C4" s="328" t="s">
        <v>790</v>
      </c>
      <c r="D4" s="7" t="str" cm="1">
        <f t="array" ref="D4">INDEX(기계코드!$D$4:$D$1022,MATCH(1,(C4=기계코드!$F$4:$F$1022)*1,0))</f>
        <v>M_BGF0101</v>
      </c>
      <c r="E4" s="7" t="s">
        <v>1125</v>
      </c>
      <c r="F4" s="7" t="str" cm="1">
        <f t="array" ref="F4">INDEX(공급업체코드!$B$3:$B$1000,MATCH(1,(E4=공급업체코드!$D$3:$D$1000)*1,0))</f>
        <v>VM_0000</v>
      </c>
      <c r="G4" s="18"/>
      <c r="H4" s="119">
        <v>1000</v>
      </c>
      <c r="I4" s="70"/>
      <c r="J4" s="7"/>
      <c r="K4" s="7"/>
      <c r="L4" s="151"/>
      <c r="M4" s="7"/>
      <c r="N4" s="7"/>
      <c r="O4" s="64"/>
      <c r="P4" s="274" t="s">
        <v>1353</v>
      </c>
      <c r="Q4" s="10"/>
      <c r="R4" s="275"/>
      <c r="S4" s="64">
        <v>0</v>
      </c>
      <c r="T4" s="64"/>
      <c r="U4" s="18" t="s">
        <v>1354</v>
      </c>
      <c r="V4" s="1" t="b">
        <v>1</v>
      </c>
      <c r="X4" s="133"/>
      <c r="AD4" s="41"/>
      <c r="AE4" s="41"/>
      <c r="AF4" s="41"/>
    </row>
    <row r="5" spans="1:32">
      <c r="A5" s="203"/>
      <c r="B5" s="1" t="str">
        <f>D5&amp;"_"&amp;F5&amp;"_"&amp;H5</f>
        <v>M_BGF0101_VM_0000_1500</v>
      </c>
      <c r="C5" s="328" t="s">
        <v>790</v>
      </c>
      <c r="D5" s="7" t="str" cm="1">
        <f t="array" ref="D5">INDEX(기계코드!$D$4:$D$1022,MATCH(1,(C5=기계코드!$F$4:$F$1022)*1,0))</f>
        <v>M_BGF0101</v>
      </c>
      <c r="E5" s="7" t="s">
        <v>1125</v>
      </c>
      <c r="F5" s="7" t="str" cm="1">
        <f t="array" ref="F5">INDEX(공급업체코드!$B$3:$B$1000,MATCH(1,(E5=공급업체코드!$D$3:$D$1000)*1,0))</f>
        <v>VM_0000</v>
      </c>
      <c r="G5" s="18"/>
      <c r="H5" s="119">
        <v>1500</v>
      </c>
      <c r="I5" s="70"/>
      <c r="J5" s="7"/>
      <c r="K5" s="7"/>
      <c r="L5" s="151"/>
      <c r="M5" s="7"/>
      <c r="N5" s="7"/>
      <c r="O5" s="64"/>
      <c r="P5" s="274" t="s">
        <v>1353</v>
      </c>
      <c r="Q5" s="10"/>
      <c r="R5" s="275"/>
      <c r="S5" s="64">
        <v>0</v>
      </c>
      <c r="T5" s="64"/>
      <c r="U5" s="18" t="s">
        <v>1354</v>
      </c>
      <c r="V5" s="1" t="b">
        <v>1</v>
      </c>
      <c r="X5" s="133"/>
      <c r="AD5" s="41"/>
      <c r="AE5" s="41"/>
      <c r="AF5" s="41"/>
    </row>
    <row r="6" spans="1:32">
      <c r="A6" s="203"/>
      <c r="B6" s="1" t="str">
        <f>D6&amp;"_"&amp;F6&amp;"_"&amp;H6</f>
        <v>M_BGF0101_VM_0000_2000</v>
      </c>
      <c r="C6" s="328" t="s">
        <v>790</v>
      </c>
      <c r="D6" s="7" t="str" cm="1">
        <f t="array" ref="D6">INDEX(기계코드!$D$4:$D$1022,MATCH(1,(C6=기계코드!$F$4:$F$1022)*1,0))</f>
        <v>M_BGF0101</v>
      </c>
      <c r="E6" s="7" t="s">
        <v>1125</v>
      </c>
      <c r="F6" s="7" t="str" cm="1">
        <f t="array" ref="F6">INDEX(공급업체코드!$B$3:$B$1000,MATCH(1,(E6=공급업체코드!$D$3:$D$1000)*1,0))</f>
        <v>VM_0000</v>
      </c>
      <c r="G6" s="18"/>
      <c r="H6" s="119">
        <v>2000</v>
      </c>
      <c r="I6" s="70"/>
      <c r="J6" s="7"/>
      <c r="K6" s="7"/>
      <c r="L6" s="151"/>
      <c r="M6" s="7"/>
      <c r="N6" s="7"/>
      <c r="O6" s="64"/>
      <c r="P6" s="274" t="s">
        <v>1353</v>
      </c>
      <c r="Q6" s="10"/>
      <c r="R6" s="275"/>
      <c r="S6" s="64">
        <v>0</v>
      </c>
      <c r="T6" s="64"/>
      <c r="U6" s="18" t="s">
        <v>1354</v>
      </c>
      <c r="V6" s="1" t="b">
        <v>1</v>
      </c>
      <c r="X6" s="133"/>
      <c r="AD6" s="41"/>
      <c r="AE6" s="41"/>
      <c r="AF6" s="41"/>
    </row>
    <row r="7" spans="1:32">
      <c r="A7" s="203"/>
      <c r="B7" s="1" t="str">
        <f>D7&amp;"_"&amp;F7&amp;"_"&amp;H7</f>
        <v>M_BGF0101_VM_0000_2500</v>
      </c>
      <c r="C7" s="328" t="s">
        <v>790</v>
      </c>
      <c r="D7" s="7" t="str" cm="1">
        <f t="array" ref="D7">INDEX(기계코드!$D$4:$D$1022,MATCH(1,(C7=기계코드!$F$4:$F$1022)*1,0))</f>
        <v>M_BGF0101</v>
      </c>
      <c r="E7" s="7" t="s">
        <v>1125</v>
      </c>
      <c r="F7" s="7" t="str" cm="1">
        <f t="array" ref="F7">INDEX(공급업체코드!$B$3:$B$1000,MATCH(1,(E7=공급업체코드!$D$3:$D$1000)*1,0))</f>
        <v>VM_0000</v>
      </c>
      <c r="G7" s="18"/>
      <c r="H7" s="119">
        <v>2500</v>
      </c>
      <c r="I7" s="70"/>
      <c r="J7" s="7"/>
      <c r="K7" s="7"/>
      <c r="L7" s="151"/>
      <c r="M7" s="7"/>
      <c r="N7" s="7"/>
      <c r="O7" s="64"/>
      <c r="P7" s="274" t="s">
        <v>1353</v>
      </c>
      <c r="Q7" s="10"/>
      <c r="R7" s="275"/>
      <c r="S7" s="64">
        <v>0</v>
      </c>
      <c r="T7" s="64"/>
      <c r="U7" s="18" t="s">
        <v>1354</v>
      </c>
      <c r="V7" s="1" t="b">
        <v>1</v>
      </c>
      <c r="X7" s="133"/>
      <c r="AD7" s="41"/>
      <c r="AE7" s="41"/>
      <c r="AF7" s="41"/>
    </row>
    <row r="8" spans="1:32">
      <c r="A8" s="203"/>
      <c r="B8" s="1" t="str">
        <f>D8&amp;"_"&amp;F8&amp;"_"&amp;H8</f>
        <v>M_BGF0101_VM_0000_3000</v>
      </c>
      <c r="C8" s="328" t="s">
        <v>790</v>
      </c>
      <c r="D8" s="7" t="str" cm="1">
        <f t="array" ref="D8">INDEX(기계코드!$D$4:$D$1022,MATCH(1,(C8=기계코드!$F$4:$F$1022)*1,0))</f>
        <v>M_BGF0101</v>
      </c>
      <c r="E8" s="7" t="s">
        <v>1125</v>
      </c>
      <c r="F8" s="7" t="str" cm="1">
        <f t="array" ref="F8">INDEX(공급업체코드!$B$3:$B$1000,MATCH(1,(E8=공급업체코드!$D$3:$D$1000)*1,0))</f>
        <v>VM_0000</v>
      </c>
      <c r="G8" s="18"/>
      <c r="H8" s="119">
        <v>3000</v>
      </c>
      <c r="I8" s="70"/>
      <c r="J8" s="7"/>
      <c r="K8" s="7"/>
      <c r="L8" s="151"/>
      <c r="M8" s="7"/>
      <c r="N8" s="7"/>
      <c r="O8" s="64"/>
      <c r="P8" s="274" t="s">
        <v>1353</v>
      </c>
      <c r="Q8" s="10"/>
      <c r="R8" s="275"/>
      <c r="S8" s="64">
        <v>0</v>
      </c>
      <c r="T8" s="64"/>
      <c r="U8" s="18" t="s">
        <v>1354</v>
      </c>
      <c r="V8" s="1" t="b">
        <v>1</v>
      </c>
      <c r="X8" s="133"/>
      <c r="AD8" s="41"/>
      <c r="AE8" s="41"/>
      <c r="AF8" s="41"/>
    </row>
    <row r="9" spans="1:32">
      <c r="A9" s="203"/>
      <c r="B9" s="1" t="str">
        <f>D9&amp;"_"&amp;F9&amp;"_"&amp;H9</f>
        <v>M_BGF0101_VM_0000_3500</v>
      </c>
      <c r="C9" s="328" t="s">
        <v>790</v>
      </c>
      <c r="D9" s="7" t="str" cm="1">
        <f t="array" ref="D9">INDEX(기계코드!$D$4:$D$1022,MATCH(1,(C9=기계코드!$F$4:$F$1022)*1,0))</f>
        <v>M_BGF0101</v>
      </c>
      <c r="E9" s="7" t="s">
        <v>1125</v>
      </c>
      <c r="F9" s="7" t="str" cm="1">
        <f t="array" ref="F9">INDEX(공급업체코드!$B$3:$B$1000,MATCH(1,(E9=공급업체코드!$D$3:$D$1000)*1,0))</f>
        <v>VM_0000</v>
      </c>
      <c r="G9" s="18"/>
      <c r="H9" s="119">
        <v>3500</v>
      </c>
      <c r="I9" s="70"/>
      <c r="J9" s="7"/>
      <c r="K9" s="7"/>
      <c r="L9" s="151"/>
      <c r="M9" s="7"/>
      <c r="N9" s="7"/>
      <c r="O9" s="64"/>
      <c r="P9" s="274" t="s">
        <v>1353</v>
      </c>
      <c r="Q9" s="10"/>
      <c r="R9" s="275"/>
      <c r="S9" s="64">
        <v>0</v>
      </c>
      <c r="T9" s="64"/>
      <c r="U9" s="18" t="s">
        <v>1354</v>
      </c>
      <c r="V9" s="1" t="b">
        <v>1</v>
      </c>
      <c r="X9" s="133"/>
      <c r="AD9" s="41"/>
      <c r="AE9" s="41"/>
      <c r="AF9" s="41"/>
    </row>
    <row r="10" spans="1:32">
      <c r="A10" s="203"/>
      <c r="B10" s="1" t="str">
        <f>D10&amp;"_"&amp;F10&amp;"_"&amp;H10</f>
        <v>M_BGF0101_VM_0000_4000</v>
      </c>
      <c r="C10" s="328" t="s">
        <v>790</v>
      </c>
      <c r="D10" s="7" t="str" cm="1">
        <f t="array" ref="D10">INDEX(기계코드!$D$4:$D$1022,MATCH(1,(C10=기계코드!$F$4:$F$1022)*1,0))</f>
        <v>M_BGF0101</v>
      </c>
      <c r="E10" s="7" t="s">
        <v>1125</v>
      </c>
      <c r="F10" s="7" t="str" cm="1">
        <f t="array" ref="F10">INDEX(공급업체코드!$B$3:$B$1000,MATCH(1,(E10=공급업체코드!$D$3:$D$1000)*1,0))</f>
        <v>VM_0000</v>
      </c>
      <c r="G10" s="18"/>
      <c r="H10" s="119">
        <v>4000</v>
      </c>
      <c r="I10" s="70"/>
      <c r="J10" s="7"/>
      <c r="K10" s="7"/>
      <c r="L10" s="151"/>
      <c r="M10" s="7"/>
      <c r="N10" s="7"/>
      <c r="O10" s="64"/>
      <c r="P10" s="274" t="s">
        <v>1353</v>
      </c>
      <c r="Q10" s="10"/>
      <c r="R10" s="275"/>
      <c r="S10" s="64">
        <v>0</v>
      </c>
      <c r="T10" s="64"/>
      <c r="U10" s="18" t="s">
        <v>1354</v>
      </c>
      <c r="V10" s="1" t="b">
        <v>1</v>
      </c>
      <c r="X10" s="133"/>
      <c r="AD10" s="41"/>
      <c r="AE10" s="41"/>
      <c r="AF10" s="41"/>
    </row>
    <row r="11" spans="1:32">
      <c r="A11" s="203"/>
      <c r="B11" s="1" t="str">
        <f>D11&amp;"_"&amp;F11&amp;"_"&amp;H11</f>
        <v>M_BGF0101_VM_0000_4500</v>
      </c>
      <c r="C11" s="328" t="s">
        <v>790</v>
      </c>
      <c r="D11" s="7" t="str" cm="1">
        <f t="array" ref="D11">INDEX(기계코드!$D$4:$D$1022,MATCH(1,(C11=기계코드!$F$4:$F$1022)*1,0))</f>
        <v>M_BGF0101</v>
      </c>
      <c r="E11" s="7" t="s">
        <v>1125</v>
      </c>
      <c r="F11" s="7" t="str" cm="1">
        <f t="array" ref="F11">INDEX(공급업체코드!$B$3:$B$1000,MATCH(1,(E11=공급업체코드!$D$3:$D$1000)*1,0))</f>
        <v>VM_0000</v>
      </c>
      <c r="G11" s="18"/>
      <c r="H11" s="119">
        <v>4500</v>
      </c>
      <c r="I11" s="70"/>
      <c r="J11" s="7"/>
      <c r="K11" s="7"/>
      <c r="L11" s="151"/>
      <c r="M11" s="7"/>
      <c r="N11" s="7"/>
      <c r="O11" s="64"/>
      <c r="P11" s="274" t="s">
        <v>1353</v>
      </c>
      <c r="Q11" s="10"/>
      <c r="R11" s="275"/>
      <c r="S11" s="64">
        <v>0</v>
      </c>
      <c r="T11" s="64"/>
      <c r="U11" s="18" t="s">
        <v>1354</v>
      </c>
      <c r="V11" s="1" t="b">
        <v>1</v>
      </c>
      <c r="X11" s="133"/>
      <c r="AD11" s="41"/>
      <c r="AE11" s="41"/>
      <c r="AF11" s="41"/>
    </row>
    <row r="12" spans="1:32">
      <c r="A12" s="203"/>
      <c r="B12" s="1" t="str">
        <f>D12&amp;"_"&amp;F12&amp;"_"&amp;H12</f>
        <v>M_BGF0101_VM_0000_5000</v>
      </c>
      <c r="C12" s="328" t="s">
        <v>790</v>
      </c>
      <c r="D12" s="7" t="str" cm="1">
        <f t="array" ref="D12">INDEX(기계코드!$D$4:$D$1022,MATCH(1,(C12=기계코드!$F$4:$F$1022)*1,0))</f>
        <v>M_BGF0101</v>
      </c>
      <c r="E12" s="7" t="s">
        <v>1125</v>
      </c>
      <c r="F12" s="7" t="str" cm="1">
        <f t="array" ref="F12">INDEX(공급업체코드!$B$3:$B$1000,MATCH(1,(E12=공급업체코드!$D$3:$D$1000)*1,0))</f>
        <v>VM_0000</v>
      </c>
      <c r="G12" s="18"/>
      <c r="H12" s="119">
        <v>5000</v>
      </c>
      <c r="I12" s="70"/>
      <c r="J12" s="7"/>
      <c r="K12" s="7"/>
      <c r="L12" s="151"/>
      <c r="M12" s="7"/>
      <c r="N12" s="7"/>
      <c r="O12" s="64"/>
      <c r="P12" s="274" t="s">
        <v>1353</v>
      </c>
      <c r="Q12" s="10"/>
      <c r="R12" s="275"/>
      <c r="S12" s="64">
        <v>0</v>
      </c>
      <c r="T12" s="64"/>
      <c r="U12" s="18" t="s">
        <v>1354</v>
      </c>
      <c r="V12" s="1" t="b">
        <v>1</v>
      </c>
      <c r="X12" s="133"/>
      <c r="AD12" s="41"/>
      <c r="AE12" s="41"/>
      <c r="AF12" s="41"/>
    </row>
    <row r="13" spans="1:32">
      <c r="B13" s="1"/>
      <c r="C13" s="328"/>
      <c r="D13" s="7"/>
      <c r="E13" s="7"/>
      <c r="F13" s="7"/>
      <c r="G13" s="18"/>
      <c r="H13" s="119"/>
      <c r="I13" s="70"/>
      <c r="J13" s="7"/>
      <c r="K13" s="7"/>
      <c r="L13" s="151"/>
      <c r="M13" s="7"/>
      <c r="N13" s="7"/>
      <c r="O13" s="64"/>
      <c r="P13" s="274"/>
      <c r="Q13" s="10"/>
      <c r="R13" s="275"/>
      <c r="S13" s="64"/>
      <c r="T13" s="64"/>
      <c r="U13" s="18"/>
      <c r="V13" s="1"/>
      <c r="X13" s="133"/>
      <c r="AD13" s="41"/>
      <c r="AE13" s="41"/>
      <c r="AF13" s="41"/>
    </row>
    <row r="14" spans="1:32">
      <c r="A14" s="203"/>
      <c r="B14" s="1" t="str">
        <f>D14&amp;"_"&amp;F14&amp;"_"&amp;H14</f>
        <v>M_BGF0201_VM_0000_250</v>
      </c>
      <c r="C14" s="328" t="s">
        <v>799</v>
      </c>
      <c r="D14" s="7" t="str" cm="1">
        <f t="array" ref="D14">INDEX(기계코드!$D$4:$D$1022,MATCH(1,(C14=기계코드!$F$4:$F$1022)*1,0))</f>
        <v>M_BGF0201</v>
      </c>
      <c r="E14" s="7" t="s">
        <v>1125</v>
      </c>
      <c r="F14" s="7" t="str" cm="1">
        <f t="array" ref="F14">INDEX(공급업체코드!$B$3:$B$1000,MATCH(1,(E14=공급업체코드!$D$3:$D$1000)*1,0))</f>
        <v>VM_0000</v>
      </c>
      <c r="G14" s="18"/>
      <c r="H14" s="119">
        <v>250</v>
      </c>
      <c r="I14" s="70"/>
      <c r="J14" s="7"/>
      <c r="K14" s="7"/>
      <c r="L14" s="151"/>
      <c r="M14" s="7"/>
      <c r="N14" s="7"/>
      <c r="O14" s="64"/>
      <c r="P14" s="274" t="s">
        <v>1313</v>
      </c>
      <c r="Q14" s="10"/>
      <c r="R14" s="275"/>
      <c r="S14" s="64">
        <v>0</v>
      </c>
      <c r="T14" s="64"/>
      <c r="U14" s="18" t="s">
        <v>1354</v>
      </c>
      <c r="V14" s="1" t="b">
        <v>1</v>
      </c>
      <c r="X14" s="133"/>
      <c r="AD14" s="41"/>
      <c r="AE14" s="41"/>
      <c r="AF14" s="41"/>
    </row>
    <row r="15" spans="1:32">
      <c r="A15" s="203"/>
      <c r="B15" s="1" t="str">
        <f>D15&amp;"_"&amp;F15&amp;"_"&amp;H15</f>
        <v>M_BGF0201_VM_0000_500</v>
      </c>
      <c r="C15" s="328" t="s">
        <v>799</v>
      </c>
      <c r="D15" s="7" t="str" cm="1">
        <f t="array" ref="D15">INDEX(기계코드!$D$4:$D$1022,MATCH(1,(C15=기계코드!$F$4:$F$1022)*1,0))</f>
        <v>M_BGF0201</v>
      </c>
      <c r="E15" s="7" t="s">
        <v>1125</v>
      </c>
      <c r="F15" s="7" t="str" cm="1">
        <f t="array" ref="F15">INDEX(공급업체코드!$B$3:$B$1000,MATCH(1,(E15=공급업체코드!$D$3:$D$1000)*1,0))</f>
        <v>VM_0000</v>
      </c>
      <c r="G15" s="18"/>
      <c r="H15" s="119">
        <v>500</v>
      </c>
      <c r="I15" s="70"/>
      <c r="J15" s="7"/>
      <c r="K15" s="7"/>
      <c r="L15" s="151"/>
      <c r="M15" s="7"/>
      <c r="N15" s="7"/>
      <c r="O15" s="64"/>
      <c r="P15" s="274" t="s">
        <v>1313</v>
      </c>
      <c r="Q15" s="10"/>
      <c r="R15" s="275"/>
      <c r="S15" s="64">
        <v>0</v>
      </c>
      <c r="T15" s="64"/>
      <c r="U15" s="18" t="s">
        <v>1354</v>
      </c>
      <c r="V15" s="1" t="b">
        <v>1</v>
      </c>
      <c r="X15" s="113"/>
      <c r="AD15" s="41"/>
      <c r="AE15" s="41"/>
      <c r="AF15" s="41"/>
    </row>
    <row r="16" spans="1:32">
      <c r="A16" s="203"/>
      <c r="B16" s="1" t="str">
        <f>D16&amp;"_"&amp;F16&amp;"_"&amp;H16</f>
        <v>M_BGF0201_VM_0000_750</v>
      </c>
      <c r="C16" s="328" t="s">
        <v>799</v>
      </c>
      <c r="D16" s="7" t="str" cm="1">
        <f t="array" ref="D16">INDEX(기계코드!$D$4:$D$1022,MATCH(1,(C16=기계코드!$F$4:$F$1022)*1,0))</f>
        <v>M_BGF0201</v>
      </c>
      <c r="E16" s="7" t="s">
        <v>1125</v>
      </c>
      <c r="F16" s="7" t="str" cm="1">
        <f t="array" ref="F16">INDEX(공급업체코드!$B$3:$B$1000,MATCH(1,(E16=공급업체코드!$D$3:$D$1000)*1,0))</f>
        <v>VM_0000</v>
      </c>
      <c r="G16" s="18"/>
      <c r="H16" s="119">
        <v>750</v>
      </c>
      <c r="I16" s="70"/>
      <c r="J16" s="7"/>
      <c r="K16" s="7"/>
      <c r="L16" s="151"/>
      <c r="M16" s="7"/>
      <c r="N16" s="7"/>
      <c r="O16" s="64"/>
      <c r="P16" s="274" t="s">
        <v>1313</v>
      </c>
      <c r="Q16" s="10"/>
      <c r="R16" s="275"/>
      <c r="S16" s="64">
        <v>0</v>
      </c>
      <c r="T16" s="64"/>
      <c r="U16" s="18" t="s">
        <v>1354</v>
      </c>
      <c r="V16" s="1" t="b">
        <v>1</v>
      </c>
      <c r="X16" s="113"/>
      <c r="AD16" s="41"/>
      <c r="AE16" s="41"/>
      <c r="AF16" s="41"/>
    </row>
    <row r="17" spans="1:32">
      <c r="A17" s="203"/>
      <c r="B17" s="1" t="str">
        <f>D17&amp;"_"&amp;F17&amp;"_"&amp;H17</f>
        <v>M_BGF0201_VM_0000_1000</v>
      </c>
      <c r="C17" s="328" t="s">
        <v>799</v>
      </c>
      <c r="D17" s="7" t="str" cm="1">
        <f t="array" ref="D17">INDEX(기계코드!$D$4:$D$1022,MATCH(1,(C17=기계코드!$F$4:$F$1022)*1,0))</f>
        <v>M_BGF0201</v>
      </c>
      <c r="E17" s="7" t="s">
        <v>1125</v>
      </c>
      <c r="F17" s="7" t="str" cm="1">
        <f t="array" ref="F17">INDEX(공급업체코드!$B$3:$B$1000,MATCH(1,(E17=공급업체코드!$D$3:$D$1000)*1,0))</f>
        <v>VM_0000</v>
      </c>
      <c r="G17" s="18"/>
      <c r="H17" s="119">
        <v>1000</v>
      </c>
      <c r="I17" s="70"/>
      <c r="J17" s="7"/>
      <c r="K17" s="7"/>
      <c r="L17" s="151"/>
      <c r="M17" s="7"/>
      <c r="N17" s="7"/>
      <c r="O17" s="64"/>
      <c r="P17" s="274" t="s">
        <v>1313</v>
      </c>
      <c r="Q17" s="10"/>
      <c r="R17" s="275"/>
      <c r="S17" s="64">
        <v>0</v>
      </c>
      <c r="T17" s="64"/>
      <c r="U17" s="18" t="s">
        <v>1354</v>
      </c>
      <c r="V17" s="1" t="b">
        <v>1</v>
      </c>
      <c r="X17" s="113"/>
      <c r="AD17" s="41"/>
      <c r="AE17" s="41"/>
      <c r="AF17" s="41"/>
    </row>
    <row r="18" spans="1:32">
      <c r="A18" s="203"/>
      <c r="B18" s="1" t="str">
        <f>D18&amp;"_"&amp;F18&amp;"_"&amp;H18</f>
        <v>M_BGF0201_VM_0000_1250</v>
      </c>
      <c r="C18" s="328" t="s">
        <v>799</v>
      </c>
      <c r="D18" s="7" t="str" cm="1">
        <f t="array" ref="D18">INDEX(기계코드!$D$4:$D$1022,MATCH(1,(C18=기계코드!$F$4:$F$1022)*1,0))</f>
        <v>M_BGF0201</v>
      </c>
      <c r="E18" s="7" t="s">
        <v>1125</v>
      </c>
      <c r="F18" s="7" t="str" cm="1">
        <f t="array" ref="F18">INDEX(공급업체코드!$B$3:$B$1000,MATCH(1,(E18=공급업체코드!$D$3:$D$1000)*1,0))</f>
        <v>VM_0000</v>
      </c>
      <c r="G18" s="18"/>
      <c r="H18" s="119">
        <v>1250</v>
      </c>
      <c r="I18" s="70"/>
      <c r="J18" s="7"/>
      <c r="K18" s="7"/>
      <c r="L18" s="151"/>
      <c r="M18" s="7"/>
      <c r="N18" s="7"/>
      <c r="O18" s="64"/>
      <c r="P18" s="274" t="s">
        <v>1313</v>
      </c>
      <c r="Q18" s="10"/>
      <c r="R18" s="275"/>
      <c r="S18" s="64">
        <v>0</v>
      </c>
      <c r="T18" s="64"/>
      <c r="U18" s="18" t="s">
        <v>1354</v>
      </c>
      <c r="V18" s="1" t="b">
        <v>1</v>
      </c>
      <c r="X18" s="113"/>
      <c r="AD18" s="41"/>
      <c r="AE18" s="41"/>
      <c r="AF18" s="41"/>
    </row>
    <row r="19" spans="1:32">
      <c r="A19" s="203"/>
      <c r="B19" s="1" t="str">
        <f>D19&amp;"_"&amp;F19&amp;"_"&amp;H19</f>
        <v>M_BGF0201_VM_0000_1500</v>
      </c>
      <c r="C19" s="328" t="s">
        <v>799</v>
      </c>
      <c r="D19" s="7" t="str" cm="1">
        <f t="array" ref="D19">INDEX(기계코드!$D$4:$D$1022,MATCH(1,(C19=기계코드!$F$4:$F$1022)*1,0))</f>
        <v>M_BGF0201</v>
      </c>
      <c r="E19" s="7" t="s">
        <v>1125</v>
      </c>
      <c r="F19" s="7" t="str" cm="1">
        <f t="array" ref="F19">INDEX(공급업체코드!$B$3:$B$1000,MATCH(1,(E19=공급업체코드!$D$3:$D$1000)*1,0))</f>
        <v>VM_0000</v>
      </c>
      <c r="G19" s="18"/>
      <c r="H19" s="119">
        <v>1500</v>
      </c>
      <c r="I19" s="70"/>
      <c r="J19" s="7"/>
      <c r="K19" s="7"/>
      <c r="L19" s="151"/>
      <c r="M19" s="7"/>
      <c r="N19" s="7"/>
      <c r="O19" s="64"/>
      <c r="P19" s="274" t="s">
        <v>1313</v>
      </c>
      <c r="Q19" s="10"/>
      <c r="R19" s="275"/>
      <c r="S19" s="64">
        <v>0</v>
      </c>
      <c r="T19" s="64"/>
      <c r="U19" s="18" t="s">
        <v>1354</v>
      </c>
      <c r="V19" s="1" t="b">
        <v>1</v>
      </c>
      <c r="X19" s="113"/>
      <c r="AD19" s="41"/>
      <c r="AE19" s="41"/>
      <c r="AF19" s="41"/>
    </row>
    <row r="20" spans="1:32">
      <c r="A20" s="203"/>
      <c r="B20" s="1" t="str">
        <f>D20&amp;"_"&amp;F20&amp;"_"&amp;H20</f>
        <v>M_BGF0201_VM_0000_1750</v>
      </c>
      <c r="C20" s="328" t="s">
        <v>799</v>
      </c>
      <c r="D20" s="7" t="str" cm="1">
        <f t="array" ref="D20">INDEX(기계코드!$D$4:$D$1022,MATCH(1,(C20=기계코드!$F$4:$F$1022)*1,0))</f>
        <v>M_BGF0201</v>
      </c>
      <c r="E20" s="7" t="s">
        <v>1125</v>
      </c>
      <c r="F20" s="7" t="str" cm="1">
        <f t="array" ref="F20">INDEX(공급업체코드!$B$3:$B$1000,MATCH(1,(E20=공급업체코드!$D$3:$D$1000)*1,0))</f>
        <v>VM_0000</v>
      </c>
      <c r="G20" s="18"/>
      <c r="H20" s="119">
        <v>1750</v>
      </c>
      <c r="I20" s="70"/>
      <c r="J20" s="7"/>
      <c r="K20" s="7"/>
      <c r="L20" s="151"/>
      <c r="M20" s="7"/>
      <c r="N20" s="7"/>
      <c r="O20" s="64"/>
      <c r="P20" s="274" t="s">
        <v>1313</v>
      </c>
      <c r="Q20" s="10"/>
      <c r="R20" s="275"/>
      <c r="S20" s="64">
        <v>0</v>
      </c>
      <c r="T20" s="64"/>
      <c r="U20" s="18" t="s">
        <v>1354</v>
      </c>
      <c r="V20" s="1" t="b">
        <v>1</v>
      </c>
      <c r="X20" s="113"/>
      <c r="AD20" s="41"/>
      <c r="AE20" s="41"/>
      <c r="AF20" s="41"/>
    </row>
    <row r="21" spans="1:32">
      <c r="A21" s="203"/>
      <c r="B21" s="1" t="str">
        <f>D21&amp;"_"&amp;F21&amp;"_"&amp;H21</f>
        <v>M_BGF0201_VM_0000_2000</v>
      </c>
      <c r="C21" s="328" t="s">
        <v>799</v>
      </c>
      <c r="D21" s="7" t="str" cm="1">
        <f t="array" ref="D21">INDEX(기계코드!$D$4:$D$1022,MATCH(1,(C21=기계코드!$F$4:$F$1022)*1,0))</f>
        <v>M_BGF0201</v>
      </c>
      <c r="E21" s="7" t="s">
        <v>1125</v>
      </c>
      <c r="F21" s="7" t="str" cm="1">
        <f t="array" ref="F21">INDEX(공급업체코드!$B$3:$B$1000,MATCH(1,(E21=공급업체코드!$D$3:$D$1000)*1,0))</f>
        <v>VM_0000</v>
      </c>
      <c r="G21" s="18"/>
      <c r="H21" s="119">
        <v>2000</v>
      </c>
      <c r="I21" s="70"/>
      <c r="J21" s="7"/>
      <c r="K21" s="7"/>
      <c r="L21" s="151"/>
      <c r="M21" s="7"/>
      <c r="N21" s="7"/>
      <c r="O21" s="64"/>
      <c r="P21" s="274" t="s">
        <v>1313</v>
      </c>
      <c r="Q21" s="10"/>
      <c r="R21" s="275"/>
      <c r="S21" s="64">
        <v>0</v>
      </c>
      <c r="T21" s="64"/>
      <c r="U21" s="18" t="s">
        <v>1354</v>
      </c>
      <c r="V21" s="1" t="b">
        <v>1</v>
      </c>
      <c r="X21" s="113"/>
      <c r="AD21" s="41"/>
      <c r="AE21" s="41"/>
      <c r="AF21" s="41"/>
    </row>
    <row r="22" spans="1:32">
      <c r="A22" s="203"/>
      <c r="B22" s="1" t="str">
        <f>D22&amp;"_"&amp;F22&amp;"_"&amp;H22</f>
        <v>M_BGF0201_VM_0000_2250</v>
      </c>
      <c r="C22" s="328" t="s">
        <v>799</v>
      </c>
      <c r="D22" s="7" t="str" cm="1">
        <f t="array" ref="D22">INDEX(기계코드!$D$4:$D$1022,MATCH(1,(C22=기계코드!$F$4:$F$1022)*1,0))</f>
        <v>M_BGF0201</v>
      </c>
      <c r="E22" s="7" t="s">
        <v>1125</v>
      </c>
      <c r="F22" s="7" t="str" cm="1">
        <f t="array" ref="F22">INDEX(공급업체코드!$B$3:$B$1000,MATCH(1,(E22=공급업체코드!$D$3:$D$1000)*1,0))</f>
        <v>VM_0000</v>
      </c>
      <c r="G22" s="18"/>
      <c r="H22" s="119">
        <v>2250</v>
      </c>
      <c r="I22" s="70"/>
      <c r="J22" s="7"/>
      <c r="K22" s="7"/>
      <c r="L22" s="151"/>
      <c r="M22" s="7"/>
      <c r="N22" s="7"/>
      <c r="O22" s="64"/>
      <c r="P22" s="274" t="s">
        <v>1313</v>
      </c>
      <c r="Q22" s="10"/>
      <c r="R22" s="275"/>
      <c r="S22" s="64">
        <v>0</v>
      </c>
      <c r="T22" s="64"/>
      <c r="U22" s="18" t="s">
        <v>1354</v>
      </c>
      <c r="V22" s="1" t="b">
        <v>1</v>
      </c>
      <c r="X22" s="113"/>
      <c r="AD22" s="41"/>
      <c r="AE22" s="41"/>
      <c r="AF22" s="41"/>
    </row>
    <row r="23" spans="1:32">
      <c r="A23" s="203"/>
      <c r="B23" s="1" t="str">
        <f>D23&amp;"_"&amp;F23&amp;"_"&amp;H23</f>
        <v>M_BGF0201_VM_0000_2500</v>
      </c>
      <c r="C23" s="328" t="s">
        <v>799</v>
      </c>
      <c r="D23" s="7" t="str" cm="1">
        <f t="array" ref="D23">INDEX(기계코드!$D$4:$D$1022,MATCH(1,(C23=기계코드!$F$4:$F$1022)*1,0))</f>
        <v>M_BGF0201</v>
      </c>
      <c r="E23" s="7" t="s">
        <v>1125</v>
      </c>
      <c r="F23" s="7" t="str" cm="1">
        <f t="array" ref="F23">INDEX(공급업체코드!$B$3:$B$1000,MATCH(1,(E23=공급업체코드!$D$3:$D$1000)*1,0))</f>
        <v>VM_0000</v>
      </c>
      <c r="G23" s="18"/>
      <c r="H23" s="119">
        <v>2500</v>
      </c>
      <c r="I23" s="70"/>
      <c r="J23" s="7"/>
      <c r="K23" s="7"/>
      <c r="L23" s="151"/>
      <c r="M23" s="7"/>
      <c r="N23" s="7"/>
      <c r="O23" s="64"/>
      <c r="P23" s="274" t="s">
        <v>1313</v>
      </c>
      <c r="Q23" s="10"/>
      <c r="R23" s="275"/>
      <c r="S23" s="64">
        <v>0</v>
      </c>
      <c r="T23" s="64"/>
      <c r="U23" s="18" t="s">
        <v>1354</v>
      </c>
      <c r="V23" s="1" t="b">
        <v>1</v>
      </c>
      <c r="X23" s="113"/>
      <c r="AD23" s="41"/>
      <c r="AE23" s="41"/>
      <c r="AF23" s="41"/>
    </row>
    <row r="24" spans="1:32">
      <c r="B24" s="1"/>
      <c r="C24" s="328"/>
      <c r="D24" s="7"/>
      <c r="E24" s="7"/>
      <c r="F24" s="7"/>
      <c r="G24" s="18"/>
      <c r="H24" s="119"/>
      <c r="I24" s="70"/>
      <c r="J24" s="7"/>
      <c r="K24" s="7"/>
      <c r="L24" s="151"/>
      <c r="M24" s="7"/>
      <c r="N24" s="7"/>
      <c r="O24" s="64"/>
      <c r="P24" s="274"/>
      <c r="Q24" s="10"/>
      <c r="R24" s="275"/>
      <c r="S24" s="64"/>
      <c r="T24" s="64"/>
      <c r="U24" s="18"/>
      <c r="V24" s="1"/>
      <c r="X24" s="113"/>
      <c r="AD24" s="40"/>
      <c r="AE24" s="40"/>
      <c r="AF24" s="41"/>
    </row>
    <row r="25" spans="1:32">
      <c r="A25" s="203"/>
      <c r="B25" s="1" t="str">
        <f>D25&amp;"_"&amp;F25&amp;"_"&amp;H25</f>
        <v>M_BGF0301_VM_0000_250</v>
      </c>
      <c r="C25" s="328" t="s">
        <v>808</v>
      </c>
      <c r="D25" s="7" t="str" cm="1">
        <f t="array" ref="D25">INDEX(기계코드!$D$4:$D$1022,MATCH(1,(C25=기계코드!$F$4:$F$1022)*1,0))</f>
        <v>M_BGF0301</v>
      </c>
      <c r="E25" s="7" t="s">
        <v>1125</v>
      </c>
      <c r="F25" s="7" t="str" cm="1">
        <f t="array" ref="F25">INDEX(공급업체코드!$B$3:$B$1000,MATCH(1,(E25=공급업체코드!$D$3:$D$1000)*1,0))</f>
        <v>VM_0000</v>
      </c>
      <c r="G25" s="18"/>
      <c r="H25" s="119">
        <v>250</v>
      </c>
      <c r="I25" s="70"/>
      <c r="J25" s="7"/>
      <c r="K25" s="7"/>
      <c r="L25" s="151"/>
      <c r="M25" s="7"/>
      <c r="N25" s="7"/>
      <c r="O25" s="64"/>
      <c r="P25" s="274" t="s">
        <v>1313</v>
      </c>
      <c r="Q25" s="10"/>
      <c r="R25" s="275"/>
      <c r="S25" s="64">
        <v>0</v>
      </c>
      <c r="T25" s="64"/>
      <c r="U25" s="18" t="s">
        <v>1354</v>
      </c>
      <c r="V25" s="1" t="b">
        <v>1</v>
      </c>
      <c r="X25" s="113"/>
      <c r="AD25" s="40"/>
      <c r="AE25" s="40"/>
      <c r="AF25" s="40"/>
    </row>
    <row r="26" spans="1:32">
      <c r="A26" s="203"/>
      <c r="B26" s="1" t="str">
        <f>D26&amp;"_"&amp;F26&amp;"_"&amp;H26</f>
        <v>M_BGF0301_VM_0000_500</v>
      </c>
      <c r="C26" s="328" t="s">
        <v>808</v>
      </c>
      <c r="D26" s="7" t="str" cm="1">
        <f t="array" ref="D26">INDEX(기계코드!$D$4:$D$1022,MATCH(1,(C26=기계코드!$F$4:$F$1022)*1,0))</f>
        <v>M_BGF0301</v>
      </c>
      <c r="E26" s="7" t="s">
        <v>1125</v>
      </c>
      <c r="F26" s="7" t="str" cm="1">
        <f t="array" ref="F26">INDEX(공급업체코드!$B$3:$B$1000,MATCH(1,(E26=공급업체코드!$D$3:$D$1000)*1,0))</f>
        <v>VM_0000</v>
      </c>
      <c r="G26" s="18"/>
      <c r="H26" s="119">
        <v>500</v>
      </c>
      <c r="I26" s="70"/>
      <c r="J26" s="7"/>
      <c r="K26" s="7"/>
      <c r="L26" s="151"/>
      <c r="M26" s="7"/>
      <c r="N26" s="7"/>
      <c r="O26" s="64"/>
      <c r="P26" s="274" t="s">
        <v>1313</v>
      </c>
      <c r="Q26" s="10"/>
      <c r="R26" s="275"/>
      <c r="S26" s="64">
        <v>0</v>
      </c>
      <c r="T26" s="64"/>
      <c r="U26" s="18" t="s">
        <v>1354</v>
      </c>
      <c r="V26" s="1" t="b">
        <v>1</v>
      </c>
      <c r="X26" s="113"/>
      <c r="AD26" s="40"/>
      <c r="AE26" s="40"/>
      <c r="AF26" s="41"/>
    </row>
    <row r="27" spans="1:32">
      <c r="A27" s="203"/>
      <c r="B27" s="1" t="str">
        <f>D27&amp;"_"&amp;F27&amp;"_"&amp;H27</f>
        <v>M_BGF0301_VM_0000_750</v>
      </c>
      <c r="C27" s="328" t="s">
        <v>808</v>
      </c>
      <c r="D27" s="7" t="str" cm="1">
        <f t="array" ref="D27">INDEX(기계코드!$D$4:$D$1022,MATCH(1,(C27=기계코드!$F$4:$F$1022)*1,0))</f>
        <v>M_BGF0301</v>
      </c>
      <c r="E27" s="7" t="s">
        <v>1125</v>
      </c>
      <c r="F27" s="7" t="str" cm="1">
        <f t="array" ref="F27">INDEX(공급업체코드!$B$3:$B$1000,MATCH(1,(E27=공급업체코드!$D$3:$D$1000)*1,0))</f>
        <v>VM_0000</v>
      </c>
      <c r="G27" s="18"/>
      <c r="H27" s="119">
        <v>750</v>
      </c>
      <c r="I27" s="70"/>
      <c r="J27" s="7"/>
      <c r="K27" s="7"/>
      <c r="L27" s="151"/>
      <c r="M27" s="7"/>
      <c r="N27" s="7"/>
      <c r="O27" s="64"/>
      <c r="P27" s="274" t="s">
        <v>1313</v>
      </c>
      <c r="Q27" s="10"/>
      <c r="R27" s="275"/>
      <c r="S27" s="64">
        <v>0</v>
      </c>
      <c r="T27" s="64"/>
      <c r="U27" s="18" t="s">
        <v>1354</v>
      </c>
      <c r="V27" s="1" t="b">
        <v>1</v>
      </c>
      <c r="X27" s="113"/>
      <c r="AD27" s="41"/>
      <c r="AE27" s="41"/>
      <c r="AF27" s="41"/>
    </row>
    <row r="28" spans="1:32">
      <c r="A28" s="203"/>
      <c r="B28" s="1" t="str">
        <f>D28&amp;"_"&amp;F28&amp;"_"&amp;H28</f>
        <v>M_BGF0301_VM_0000_1000</v>
      </c>
      <c r="C28" s="328" t="s">
        <v>808</v>
      </c>
      <c r="D28" s="7" t="str" cm="1">
        <f t="array" ref="D28">INDEX(기계코드!$D$4:$D$1022,MATCH(1,(C28=기계코드!$F$4:$F$1022)*1,0))</f>
        <v>M_BGF0301</v>
      </c>
      <c r="E28" s="7" t="s">
        <v>1125</v>
      </c>
      <c r="F28" s="7" t="str" cm="1">
        <f t="array" ref="F28">INDEX(공급업체코드!$B$3:$B$1000,MATCH(1,(E28=공급업체코드!$D$3:$D$1000)*1,0))</f>
        <v>VM_0000</v>
      </c>
      <c r="G28" s="18"/>
      <c r="H28" s="119">
        <v>1000</v>
      </c>
      <c r="I28" s="70"/>
      <c r="J28" s="7"/>
      <c r="K28" s="7"/>
      <c r="L28" s="151"/>
      <c r="M28" s="7"/>
      <c r="N28" s="7"/>
      <c r="O28" s="64"/>
      <c r="P28" s="274" t="s">
        <v>1313</v>
      </c>
      <c r="Q28" s="10"/>
      <c r="R28" s="275"/>
      <c r="S28" s="64">
        <v>0</v>
      </c>
      <c r="T28" s="64"/>
      <c r="U28" s="18" t="s">
        <v>1354</v>
      </c>
      <c r="V28" s="1" t="b">
        <v>1</v>
      </c>
      <c r="X28" s="113"/>
      <c r="AD28" s="41"/>
      <c r="AE28" s="41"/>
      <c r="AF28" s="41"/>
    </row>
    <row r="29" spans="1:32">
      <c r="A29" s="203"/>
      <c r="B29" s="1" t="str">
        <f>D29&amp;"_"&amp;F29&amp;"_"&amp;H29</f>
        <v>M_BGF0301_VM_0000_1250</v>
      </c>
      <c r="C29" s="328" t="s">
        <v>808</v>
      </c>
      <c r="D29" s="7" t="str" cm="1">
        <f t="array" ref="D29">INDEX(기계코드!$D$4:$D$1022,MATCH(1,(C29=기계코드!$F$4:$F$1022)*1,0))</f>
        <v>M_BGF0301</v>
      </c>
      <c r="E29" s="7" t="s">
        <v>1125</v>
      </c>
      <c r="F29" s="7" t="str" cm="1">
        <f t="array" ref="F29">INDEX(공급업체코드!$B$3:$B$1000,MATCH(1,(E29=공급업체코드!$D$3:$D$1000)*1,0))</f>
        <v>VM_0000</v>
      </c>
      <c r="G29" s="18"/>
      <c r="H29" s="119">
        <v>1250</v>
      </c>
      <c r="I29" s="70"/>
      <c r="J29" s="7"/>
      <c r="K29" s="7"/>
      <c r="L29" s="151"/>
      <c r="M29" s="7"/>
      <c r="N29" s="7"/>
      <c r="O29" s="64"/>
      <c r="P29" s="274" t="s">
        <v>1313</v>
      </c>
      <c r="Q29" s="10"/>
      <c r="R29" s="275"/>
      <c r="S29" s="64">
        <v>0</v>
      </c>
      <c r="T29" s="64"/>
      <c r="U29" s="18" t="s">
        <v>1354</v>
      </c>
      <c r="V29" s="1" t="b">
        <v>1</v>
      </c>
      <c r="X29" s="113"/>
      <c r="AD29" s="41"/>
      <c r="AE29" s="41"/>
      <c r="AF29" s="41"/>
    </row>
    <row r="30" spans="1:32">
      <c r="A30" s="203"/>
      <c r="B30" s="1" t="str">
        <f>D30&amp;"_"&amp;F30&amp;"_"&amp;H30</f>
        <v>M_BGF0301_VM_0000_1500</v>
      </c>
      <c r="C30" s="328" t="s">
        <v>808</v>
      </c>
      <c r="D30" s="7" t="str" cm="1">
        <f t="array" ref="D30">INDEX(기계코드!$D$4:$D$1022,MATCH(1,(C30=기계코드!$F$4:$F$1022)*1,0))</f>
        <v>M_BGF0301</v>
      </c>
      <c r="E30" s="7" t="s">
        <v>1125</v>
      </c>
      <c r="F30" s="7" t="str" cm="1">
        <f t="array" ref="F30">INDEX(공급업체코드!$B$3:$B$1000,MATCH(1,(E30=공급업체코드!$D$3:$D$1000)*1,0))</f>
        <v>VM_0000</v>
      </c>
      <c r="G30" s="18"/>
      <c r="H30" s="119">
        <v>1500</v>
      </c>
      <c r="I30" s="70"/>
      <c r="J30" s="7"/>
      <c r="K30" s="7"/>
      <c r="L30" s="151"/>
      <c r="M30" s="7"/>
      <c r="N30" s="7"/>
      <c r="O30" s="64"/>
      <c r="P30" s="274" t="s">
        <v>1313</v>
      </c>
      <c r="Q30" s="10"/>
      <c r="R30" s="275"/>
      <c r="S30" s="64">
        <v>0</v>
      </c>
      <c r="T30" s="64"/>
      <c r="U30" s="18" t="s">
        <v>1354</v>
      </c>
      <c r="V30" s="1" t="b">
        <v>1</v>
      </c>
      <c r="X30" s="113"/>
      <c r="AD30" s="41"/>
      <c r="AE30" s="41"/>
      <c r="AF30" s="41"/>
    </row>
    <row r="31" spans="1:32">
      <c r="A31" s="203"/>
      <c r="B31" s="1" t="str">
        <f>D31&amp;"_"&amp;F31&amp;"_"&amp;H31</f>
        <v>M_BGF0301_VM_0000_1750</v>
      </c>
      <c r="C31" s="328" t="s">
        <v>808</v>
      </c>
      <c r="D31" s="7" t="str" cm="1">
        <f t="array" ref="D31">INDEX(기계코드!$D$4:$D$1022,MATCH(1,(C31=기계코드!$F$4:$F$1022)*1,0))</f>
        <v>M_BGF0301</v>
      </c>
      <c r="E31" s="7" t="s">
        <v>1125</v>
      </c>
      <c r="F31" s="7" t="str" cm="1">
        <f t="array" ref="F31">INDEX(공급업체코드!$B$3:$B$1000,MATCH(1,(E31=공급업체코드!$D$3:$D$1000)*1,0))</f>
        <v>VM_0000</v>
      </c>
      <c r="G31" s="18"/>
      <c r="H31" s="119">
        <v>1750</v>
      </c>
      <c r="I31" s="70"/>
      <c r="J31" s="7"/>
      <c r="K31" s="7"/>
      <c r="L31" s="151"/>
      <c r="M31" s="7"/>
      <c r="N31" s="7"/>
      <c r="O31" s="64"/>
      <c r="P31" s="274" t="s">
        <v>1313</v>
      </c>
      <c r="Q31" s="10"/>
      <c r="R31" s="275"/>
      <c r="S31" s="64">
        <v>0</v>
      </c>
      <c r="T31" s="64"/>
      <c r="U31" s="18" t="s">
        <v>1354</v>
      </c>
      <c r="V31" s="1" t="b">
        <v>1</v>
      </c>
      <c r="X31" s="113"/>
      <c r="AD31" s="41"/>
      <c r="AE31" s="41"/>
      <c r="AF31" s="41"/>
    </row>
    <row r="32" spans="1:32">
      <c r="A32" s="203"/>
      <c r="B32" s="1" t="str">
        <f>D32&amp;"_"&amp;F32&amp;"_"&amp;H32</f>
        <v>M_BGF0301_VM_0000_2000</v>
      </c>
      <c r="C32" s="328" t="s">
        <v>808</v>
      </c>
      <c r="D32" s="7" t="str" cm="1">
        <f t="array" ref="D32">INDEX(기계코드!$D$4:$D$1022,MATCH(1,(C32=기계코드!$F$4:$F$1022)*1,0))</f>
        <v>M_BGF0301</v>
      </c>
      <c r="E32" s="7" t="s">
        <v>1125</v>
      </c>
      <c r="F32" s="7" t="str" cm="1">
        <f t="array" ref="F32">INDEX(공급업체코드!$B$3:$B$1000,MATCH(1,(E32=공급업체코드!$D$3:$D$1000)*1,0))</f>
        <v>VM_0000</v>
      </c>
      <c r="G32" s="18"/>
      <c r="H32" s="119">
        <v>2000</v>
      </c>
      <c r="I32" s="70"/>
      <c r="J32" s="7"/>
      <c r="K32" s="7"/>
      <c r="L32" s="151"/>
      <c r="M32" s="7"/>
      <c r="N32" s="7"/>
      <c r="O32" s="64"/>
      <c r="P32" s="274" t="s">
        <v>1313</v>
      </c>
      <c r="Q32" s="10"/>
      <c r="R32" s="275"/>
      <c r="S32" s="64">
        <v>0</v>
      </c>
      <c r="T32" s="64"/>
      <c r="U32" s="18" t="s">
        <v>1354</v>
      </c>
      <c r="V32" s="1" t="b">
        <v>1</v>
      </c>
      <c r="X32" s="113"/>
      <c r="AD32" s="41"/>
      <c r="AE32" s="41"/>
      <c r="AF32" s="41"/>
    </row>
    <row r="33" spans="1:32">
      <c r="A33" s="203"/>
      <c r="B33" s="1" t="str">
        <f>D33&amp;"_"&amp;F33&amp;"_"&amp;H33</f>
        <v>M_BGF0301_VM_0000_2250</v>
      </c>
      <c r="C33" s="328" t="s">
        <v>808</v>
      </c>
      <c r="D33" s="7" t="str" cm="1">
        <f t="array" ref="D33">INDEX(기계코드!$D$4:$D$1022,MATCH(1,(C33=기계코드!$F$4:$F$1022)*1,0))</f>
        <v>M_BGF0301</v>
      </c>
      <c r="E33" s="7" t="s">
        <v>1125</v>
      </c>
      <c r="F33" s="7" t="str" cm="1">
        <f t="array" ref="F33">INDEX(공급업체코드!$B$3:$B$1000,MATCH(1,(E33=공급업체코드!$D$3:$D$1000)*1,0))</f>
        <v>VM_0000</v>
      </c>
      <c r="G33" s="18"/>
      <c r="H33" s="119">
        <v>2250</v>
      </c>
      <c r="I33" s="70"/>
      <c r="J33" s="7"/>
      <c r="K33" s="7"/>
      <c r="L33" s="151"/>
      <c r="M33" s="7"/>
      <c r="N33" s="7"/>
      <c r="O33" s="64"/>
      <c r="P33" s="274" t="s">
        <v>1313</v>
      </c>
      <c r="Q33" s="10"/>
      <c r="R33" s="275"/>
      <c r="S33" s="64">
        <v>0</v>
      </c>
      <c r="T33" s="64"/>
      <c r="U33" s="18" t="s">
        <v>1354</v>
      </c>
      <c r="V33" s="1" t="b">
        <v>1</v>
      </c>
      <c r="X33" s="113"/>
      <c r="AD33" s="41"/>
      <c r="AE33" s="41"/>
      <c r="AF33" s="41"/>
    </row>
    <row r="34" spans="1:32">
      <c r="A34" s="203"/>
      <c r="B34" s="1" t="str">
        <f>D34&amp;"_"&amp;F34&amp;"_"&amp;H34</f>
        <v>M_BGF0301_VM_0000_2500</v>
      </c>
      <c r="C34" s="328" t="s">
        <v>808</v>
      </c>
      <c r="D34" s="7" t="str" cm="1">
        <f t="array" ref="D34">INDEX(기계코드!$D$4:$D$1022,MATCH(1,(C34=기계코드!$F$4:$F$1022)*1,0))</f>
        <v>M_BGF0301</v>
      </c>
      <c r="E34" s="7" t="s">
        <v>1125</v>
      </c>
      <c r="F34" s="7" t="str" cm="1">
        <f t="array" ref="F34">INDEX(공급업체코드!$B$3:$B$1000,MATCH(1,(E34=공급업체코드!$D$3:$D$1000)*1,0))</f>
        <v>VM_0000</v>
      </c>
      <c r="G34" s="18"/>
      <c r="H34" s="119">
        <v>2500</v>
      </c>
      <c r="I34" s="70"/>
      <c r="J34" s="7"/>
      <c r="K34" s="7"/>
      <c r="L34" s="151"/>
      <c r="M34" s="7"/>
      <c r="N34" s="7"/>
      <c r="O34" s="64"/>
      <c r="P34" s="274" t="s">
        <v>1313</v>
      </c>
      <c r="Q34" s="10"/>
      <c r="R34" s="275"/>
      <c r="S34" s="64">
        <v>0</v>
      </c>
      <c r="T34" s="64"/>
      <c r="U34" s="18" t="s">
        <v>1354</v>
      </c>
      <c r="V34" s="1" t="b">
        <v>1</v>
      </c>
      <c r="X34" s="113"/>
      <c r="AD34" s="41"/>
      <c r="AE34" s="41"/>
      <c r="AF34" s="41"/>
    </row>
    <row r="35" spans="1:32">
      <c r="B35" s="1"/>
      <c r="C35" s="7"/>
      <c r="D35" s="7"/>
      <c r="E35" s="7"/>
      <c r="F35" s="7"/>
      <c r="G35" s="18"/>
      <c r="H35" s="119"/>
      <c r="I35" s="70"/>
      <c r="J35" s="7"/>
      <c r="K35" s="7"/>
      <c r="L35" s="151"/>
      <c r="M35" s="7"/>
      <c r="N35" s="7"/>
      <c r="O35" s="64"/>
      <c r="P35" s="274"/>
      <c r="Q35" s="10"/>
      <c r="R35" s="275"/>
      <c r="S35" s="64"/>
      <c r="T35" s="64"/>
      <c r="U35" s="18"/>
      <c r="V35" s="1"/>
      <c r="X35" s="113"/>
      <c r="AD35" s="40"/>
      <c r="AE35" s="40"/>
      <c r="AF35" s="41"/>
    </row>
    <row r="36" spans="1:32">
      <c r="A36" s="203"/>
      <c r="B36" s="1" t="str">
        <f>D36&amp;"_"&amp;F36&amp;"_"&amp;H36</f>
        <v>M_BGF0401_VM_0000_250</v>
      </c>
      <c r="C36" s="328" t="s">
        <v>816</v>
      </c>
      <c r="D36" s="7" t="str" cm="1">
        <f t="array" ref="D36">INDEX(기계코드!$D$4:$D$1022,MATCH(1,(C36=기계코드!$F$4:$F$1022)*1,0))</f>
        <v>M_BGF0401</v>
      </c>
      <c r="E36" s="7" t="s">
        <v>1125</v>
      </c>
      <c r="F36" s="7" t="str" cm="1">
        <f t="array" ref="F36">INDEX(공급업체코드!$B$3:$B$1000,MATCH(1,(E36=공급업체코드!$D$3:$D$1000)*1,0))</f>
        <v>VM_0000</v>
      </c>
      <c r="G36" s="18"/>
      <c r="H36" s="119">
        <v>250</v>
      </c>
      <c r="I36" s="70"/>
      <c r="J36" s="7"/>
      <c r="K36" s="7"/>
      <c r="L36" s="151"/>
      <c r="M36" s="7"/>
      <c r="N36" s="7"/>
      <c r="O36" s="64"/>
      <c r="P36" s="274" t="s">
        <v>1353</v>
      </c>
      <c r="Q36" s="10"/>
      <c r="R36" s="275"/>
      <c r="S36" s="64">
        <v>0</v>
      </c>
      <c r="T36" s="64"/>
      <c r="U36" s="18" t="s">
        <v>1354</v>
      </c>
      <c r="V36" s="1" t="b">
        <v>1</v>
      </c>
      <c r="X36" s="113"/>
      <c r="AD36" s="41"/>
      <c r="AE36" s="41"/>
      <c r="AF36" s="41"/>
    </row>
    <row r="37" spans="1:32">
      <c r="A37" s="203"/>
      <c r="B37" s="1" t="str">
        <f>D37&amp;"_"&amp;F37&amp;"_"&amp;H37</f>
        <v>M_BGF0401_VM_0000_500</v>
      </c>
      <c r="C37" s="328" t="s">
        <v>816</v>
      </c>
      <c r="D37" s="7" t="str" cm="1">
        <f t="array" ref="D37">INDEX(기계코드!$D$4:$D$1022,MATCH(1,(C37=기계코드!$F$4:$F$1022)*1,0))</f>
        <v>M_BGF0401</v>
      </c>
      <c r="E37" s="7" t="s">
        <v>1125</v>
      </c>
      <c r="F37" s="7" t="str" cm="1">
        <f t="array" ref="F37">INDEX(공급업체코드!$B$3:$B$1000,MATCH(1,(E37=공급업체코드!$D$3:$D$1000)*1,0))</f>
        <v>VM_0000</v>
      </c>
      <c r="G37" s="18"/>
      <c r="H37" s="119">
        <v>500</v>
      </c>
      <c r="I37" s="70"/>
      <c r="J37" s="7"/>
      <c r="K37" s="7"/>
      <c r="L37" s="151"/>
      <c r="M37" s="7"/>
      <c r="N37" s="7"/>
      <c r="O37" s="64"/>
      <c r="P37" s="274" t="s">
        <v>1353</v>
      </c>
      <c r="Q37" s="10"/>
      <c r="R37" s="275"/>
      <c r="S37" s="64">
        <v>0</v>
      </c>
      <c r="T37" s="64"/>
      <c r="U37" s="18" t="s">
        <v>1354</v>
      </c>
      <c r="V37" s="1" t="b">
        <v>1</v>
      </c>
      <c r="X37" s="113"/>
      <c r="AD37" s="41"/>
      <c r="AE37" s="41"/>
      <c r="AF37" s="41"/>
    </row>
    <row r="38" spans="1:32">
      <c r="A38" s="203"/>
      <c r="B38" s="1" t="str">
        <f>D38&amp;"_"&amp;F38&amp;"_"&amp;H38</f>
        <v>M_BGF0401_VM_0000_750</v>
      </c>
      <c r="C38" s="328" t="s">
        <v>816</v>
      </c>
      <c r="D38" s="7" t="str" cm="1">
        <f t="array" ref="D38">INDEX(기계코드!$D$4:$D$1022,MATCH(1,(C38=기계코드!$F$4:$F$1022)*1,0))</f>
        <v>M_BGF0401</v>
      </c>
      <c r="E38" s="7" t="s">
        <v>1125</v>
      </c>
      <c r="F38" s="7" t="str" cm="1">
        <f t="array" ref="F38">INDEX(공급업체코드!$B$3:$B$1000,MATCH(1,(E38=공급업체코드!$D$3:$D$1000)*1,0))</f>
        <v>VM_0000</v>
      </c>
      <c r="G38" s="18"/>
      <c r="H38" s="119">
        <v>750</v>
      </c>
      <c r="I38" s="70"/>
      <c r="J38" s="7"/>
      <c r="K38" s="7"/>
      <c r="L38" s="151"/>
      <c r="M38" s="7"/>
      <c r="N38" s="7"/>
      <c r="O38" s="64"/>
      <c r="P38" s="274" t="s">
        <v>1353</v>
      </c>
      <c r="Q38" s="10"/>
      <c r="R38" s="275"/>
      <c r="S38" s="64">
        <v>0</v>
      </c>
      <c r="T38" s="64"/>
      <c r="U38" s="18" t="s">
        <v>1354</v>
      </c>
      <c r="V38" s="1" t="b">
        <v>1</v>
      </c>
      <c r="X38" s="113"/>
      <c r="AD38" s="40"/>
      <c r="AE38" s="40"/>
      <c r="AF38" s="41"/>
    </row>
    <row r="39" spans="1:32">
      <c r="A39" s="203"/>
      <c r="B39" s="1" t="str">
        <f>D39&amp;"_"&amp;F39&amp;"_"&amp;H39</f>
        <v>M_BGF0401_VM_0000_1000</v>
      </c>
      <c r="C39" s="328" t="s">
        <v>816</v>
      </c>
      <c r="D39" s="7" t="str" cm="1">
        <f t="array" ref="D39">INDEX(기계코드!$D$4:$D$1022,MATCH(1,(C39=기계코드!$F$4:$F$1022)*1,0))</f>
        <v>M_BGF0401</v>
      </c>
      <c r="E39" s="7" t="s">
        <v>1125</v>
      </c>
      <c r="F39" s="7" t="str" cm="1">
        <f t="array" ref="F39">INDEX(공급업체코드!$B$3:$B$1000,MATCH(1,(E39=공급업체코드!$D$3:$D$1000)*1,0))</f>
        <v>VM_0000</v>
      </c>
      <c r="G39" s="18"/>
      <c r="H39" s="119">
        <v>1000</v>
      </c>
      <c r="I39" s="70"/>
      <c r="J39" s="7"/>
      <c r="K39" s="7"/>
      <c r="L39" s="151"/>
      <c r="M39" s="7"/>
      <c r="N39" s="7"/>
      <c r="O39" s="64"/>
      <c r="P39" s="274" t="s">
        <v>1353</v>
      </c>
      <c r="Q39" s="10"/>
      <c r="R39" s="275"/>
      <c r="S39" s="64">
        <v>0</v>
      </c>
      <c r="T39" s="64"/>
      <c r="U39" s="18" t="s">
        <v>1354</v>
      </c>
      <c r="V39" s="1" t="b">
        <v>1</v>
      </c>
      <c r="X39" s="113"/>
      <c r="AD39" s="40"/>
      <c r="AE39" s="40"/>
      <c r="AF39" s="41"/>
    </row>
    <row r="40" spans="1:32">
      <c r="A40" s="203"/>
      <c r="B40" s="1" t="str">
        <f>D40&amp;"_"&amp;F40&amp;"_"&amp;H40</f>
        <v>M_BGF0401_VM_0000_1250</v>
      </c>
      <c r="C40" s="328" t="s">
        <v>816</v>
      </c>
      <c r="D40" s="7" t="str" cm="1">
        <f t="array" ref="D40">INDEX(기계코드!$D$4:$D$1022,MATCH(1,(C40=기계코드!$F$4:$F$1022)*1,0))</f>
        <v>M_BGF0401</v>
      </c>
      <c r="E40" s="7" t="s">
        <v>1125</v>
      </c>
      <c r="F40" s="7" t="str" cm="1">
        <f t="array" ref="F40">INDEX(공급업체코드!$B$3:$B$1000,MATCH(1,(E40=공급업체코드!$D$3:$D$1000)*1,0))</f>
        <v>VM_0000</v>
      </c>
      <c r="G40" s="18"/>
      <c r="H40" s="119">
        <v>1250</v>
      </c>
      <c r="I40" s="70"/>
      <c r="J40" s="7"/>
      <c r="K40" s="7"/>
      <c r="L40" s="151"/>
      <c r="M40" s="7"/>
      <c r="N40" s="7"/>
      <c r="O40" s="64"/>
      <c r="P40" s="274" t="s">
        <v>1353</v>
      </c>
      <c r="Q40" s="10"/>
      <c r="R40" s="275"/>
      <c r="S40" s="64">
        <v>0</v>
      </c>
      <c r="T40" s="64"/>
      <c r="U40" s="18" t="s">
        <v>1354</v>
      </c>
      <c r="V40" s="1" t="b">
        <v>1</v>
      </c>
      <c r="X40" s="113"/>
      <c r="AD40" s="40"/>
      <c r="AE40" s="40"/>
      <c r="AF40" s="41"/>
    </row>
    <row r="41" spans="1:32">
      <c r="A41" s="203"/>
      <c r="B41" s="1" t="str">
        <f>D41&amp;"_"&amp;F41&amp;"_"&amp;H41</f>
        <v>M_BGF0401_VM_0000_1500</v>
      </c>
      <c r="C41" s="328" t="s">
        <v>816</v>
      </c>
      <c r="D41" s="7" t="str" cm="1">
        <f t="array" ref="D41">INDEX(기계코드!$D$4:$D$1022,MATCH(1,(C41=기계코드!$F$4:$F$1022)*1,0))</f>
        <v>M_BGF0401</v>
      </c>
      <c r="E41" s="7" t="s">
        <v>1125</v>
      </c>
      <c r="F41" s="7" t="str" cm="1">
        <f t="array" ref="F41">INDEX(공급업체코드!$B$3:$B$1000,MATCH(1,(E41=공급업체코드!$D$3:$D$1000)*1,0))</f>
        <v>VM_0000</v>
      </c>
      <c r="G41" s="18"/>
      <c r="H41" s="119">
        <v>1500</v>
      </c>
      <c r="I41" s="70"/>
      <c r="J41" s="7"/>
      <c r="K41" s="7"/>
      <c r="L41" s="151"/>
      <c r="M41" s="7"/>
      <c r="N41" s="7"/>
      <c r="O41" s="64"/>
      <c r="P41" s="274" t="s">
        <v>1353</v>
      </c>
      <c r="Q41" s="10"/>
      <c r="R41" s="275"/>
      <c r="S41" s="64">
        <v>0</v>
      </c>
      <c r="T41" s="64"/>
      <c r="U41" s="18" t="s">
        <v>1354</v>
      </c>
      <c r="V41" s="1" t="b">
        <v>1</v>
      </c>
      <c r="X41" s="113"/>
      <c r="AD41" s="40"/>
      <c r="AE41" s="40"/>
      <c r="AF41" s="41"/>
    </row>
    <row r="42" spans="1:32">
      <c r="A42" s="203"/>
      <c r="B42" s="1" t="str">
        <f>D42&amp;"_"&amp;F42&amp;"_"&amp;H42</f>
        <v>M_BGF0401_VM_0000_1750</v>
      </c>
      <c r="C42" s="328" t="s">
        <v>816</v>
      </c>
      <c r="D42" s="7" t="str" cm="1">
        <f t="array" ref="D42">INDEX(기계코드!$D$4:$D$1022,MATCH(1,(C42=기계코드!$F$4:$F$1022)*1,0))</f>
        <v>M_BGF0401</v>
      </c>
      <c r="E42" s="7" t="s">
        <v>1125</v>
      </c>
      <c r="F42" s="7" t="str" cm="1">
        <f t="array" ref="F42">INDEX(공급업체코드!$B$3:$B$1000,MATCH(1,(E42=공급업체코드!$D$3:$D$1000)*1,0))</f>
        <v>VM_0000</v>
      </c>
      <c r="G42" s="18"/>
      <c r="H42" s="119">
        <v>1750</v>
      </c>
      <c r="I42" s="70"/>
      <c r="J42" s="7"/>
      <c r="K42" s="7"/>
      <c r="L42" s="151"/>
      <c r="M42" s="7"/>
      <c r="N42" s="7"/>
      <c r="O42" s="64"/>
      <c r="P42" s="274" t="s">
        <v>1353</v>
      </c>
      <c r="Q42" s="10"/>
      <c r="R42" s="275"/>
      <c r="S42" s="64">
        <v>0</v>
      </c>
      <c r="T42" s="64"/>
      <c r="U42" s="18" t="s">
        <v>1354</v>
      </c>
      <c r="V42" s="1" t="b">
        <v>1</v>
      </c>
      <c r="X42" s="113"/>
      <c r="AD42" s="40"/>
      <c r="AE42" s="40"/>
      <c r="AF42" s="41"/>
    </row>
    <row r="43" spans="1:32">
      <c r="A43" s="203"/>
      <c r="B43" s="1" t="str">
        <f>D43&amp;"_"&amp;F43&amp;"_"&amp;H43</f>
        <v>M_BGF0401_VM_0000_2000</v>
      </c>
      <c r="C43" s="328" t="s">
        <v>816</v>
      </c>
      <c r="D43" s="7" t="str" cm="1">
        <f t="array" ref="D43">INDEX(기계코드!$D$4:$D$1022,MATCH(1,(C43=기계코드!$F$4:$F$1022)*1,0))</f>
        <v>M_BGF0401</v>
      </c>
      <c r="E43" s="7" t="s">
        <v>1125</v>
      </c>
      <c r="F43" s="7" t="str" cm="1">
        <f t="array" ref="F43">INDEX(공급업체코드!$B$3:$B$1000,MATCH(1,(E43=공급업체코드!$D$3:$D$1000)*1,0))</f>
        <v>VM_0000</v>
      </c>
      <c r="G43" s="18"/>
      <c r="H43" s="119">
        <v>2000</v>
      </c>
      <c r="I43" s="70"/>
      <c r="J43" s="7"/>
      <c r="K43" s="7"/>
      <c r="L43" s="151"/>
      <c r="M43" s="7"/>
      <c r="N43" s="7"/>
      <c r="O43" s="64"/>
      <c r="P43" s="274" t="s">
        <v>1353</v>
      </c>
      <c r="Q43" s="10"/>
      <c r="R43" s="275"/>
      <c r="S43" s="64">
        <v>0</v>
      </c>
      <c r="T43" s="64"/>
      <c r="U43" s="18" t="s">
        <v>1354</v>
      </c>
      <c r="V43" s="1" t="b">
        <v>1</v>
      </c>
      <c r="X43" s="113"/>
      <c r="AD43" s="40"/>
      <c r="AE43" s="40"/>
      <c r="AF43" s="41"/>
    </row>
    <row r="44" spans="1:32">
      <c r="A44" s="203"/>
      <c r="B44" s="1" t="str">
        <f>D44&amp;"_"&amp;F44&amp;"_"&amp;H44</f>
        <v>M_BGF0401_VM_0000_2250</v>
      </c>
      <c r="C44" s="328" t="s">
        <v>816</v>
      </c>
      <c r="D44" s="7" t="str" cm="1">
        <f t="array" ref="D44">INDEX(기계코드!$D$4:$D$1022,MATCH(1,(C44=기계코드!$F$4:$F$1022)*1,0))</f>
        <v>M_BGF0401</v>
      </c>
      <c r="E44" s="7" t="s">
        <v>1125</v>
      </c>
      <c r="F44" s="7" t="str" cm="1">
        <f t="array" ref="F44">INDEX(공급업체코드!$B$3:$B$1000,MATCH(1,(E44=공급업체코드!$D$3:$D$1000)*1,0))</f>
        <v>VM_0000</v>
      </c>
      <c r="G44" s="18"/>
      <c r="H44" s="119">
        <v>2250</v>
      </c>
      <c r="I44" s="70"/>
      <c r="J44" s="7"/>
      <c r="K44" s="7"/>
      <c r="L44" s="151"/>
      <c r="M44" s="7"/>
      <c r="N44" s="7"/>
      <c r="O44" s="64"/>
      <c r="P44" s="274" t="s">
        <v>1353</v>
      </c>
      <c r="Q44" s="10"/>
      <c r="R44" s="275"/>
      <c r="S44" s="64">
        <v>0</v>
      </c>
      <c r="T44" s="64"/>
      <c r="U44" s="18" t="s">
        <v>1354</v>
      </c>
      <c r="V44" s="1" t="b">
        <v>1</v>
      </c>
      <c r="X44" s="113"/>
      <c r="AD44" s="40"/>
      <c r="AE44" s="40"/>
      <c r="AF44" s="41"/>
    </row>
    <row r="45" spans="1:32">
      <c r="A45" s="203"/>
      <c r="B45" s="1" t="str">
        <f>D45&amp;"_"&amp;F45&amp;"_"&amp;H45</f>
        <v>M_BGF0401_VM_0000_2500</v>
      </c>
      <c r="C45" s="328" t="s">
        <v>816</v>
      </c>
      <c r="D45" s="7" t="str" cm="1">
        <f t="array" ref="D45">INDEX(기계코드!$D$4:$D$1022,MATCH(1,(C45=기계코드!$F$4:$F$1022)*1,0))</f>
        <v>M_BGF0401</v>
      </c>
      <c r="E45" s="7" t="s">
        <v>1125</v>
      </c>
      <c r="F45" s="7" t="str" cm="1">
        <f t="array" ref="F45">INDEX(공급업체코드!$B$3:$B$1000,MATCH(1,(E45=공급업체코드!$D$3:$D$1000)*1,0))</f>
        <v>VM_0000</v>
      </c>
      <c r="G45" s="18"/>
      <c r="H45" s="119">
        <v>2500</v>
      </c>
      <c r="I45" s="70"/>
      <c r="J45" s="7"/>
      <c r="K45" s="7"/>
      <c r="L45" s="151"/>
      <c r="M45" s="7"/>
      <c r="N45" s="7"/>
      <c r="O45" s="64"/>
      <c r="P45" s="274" t="s">
        <v>1353</v>
      </c>
      <c r="Q45" s="10"/>
      <c r="R45" s="275"/>
      <c r="S45" s="64">
        <v>0</v>
      </c>
      <c r="T45" s="64"/>
      <c r="U45" s="18" t="s">
        <v>1354</v>
      </c>
      <c r="V45" s="1" t="b">
        <v>1</v>
      </c>
      <c r="X45" s="113"/>
      <c r="AD45" s="40"/>
      <c r="AE45" s="40"/>
      <c r="AF45" s="41"/>
    </row>
    <row r="46" spans="1:32">
      <c r="B46" s="1"/>
      <c r="C46" s="328"/>
      <c r="D46" s="7"/>
      <c r="E46" s="7"/>
      <c r="F46" s="7"/>
      <c r="G46" s="18"/>
      <c r="H46" s="119"/>
      <c r="I46" s="70"/>
      <c r="J46" s="7"/>
      <c r="K46" s="7"/>
      <c r="L46" s="151"/>
      <c r="M46" s="7"/>
      <c r="N46" s="7"/>
      <c r="O46" s="64"/>
      <c r="P46" s="274"/>
      <c r="Q46" s="10"/>
      <c r="R46" s="275"/>
      <c r="S46" s="64"/>
      <c r="T46" s="64"/>
      <c r="U46" s="18"/>
      <c r="V46" s="1"/>
      <c r="X46" s="113"/>
      <c r="AD46" s="40"/>
      <c r="AE46" s="40"/>
      <c r="AF46" s="41"/>
    </row>
    <row r="47" spans="1:32">
      <c r="B47" s="1"/>
      <c r="C47" s="328"/>
      <c r="D47" s="7"/>
      <c r="E47" s="7"/>
      <c r="F47" s="7"/>
      <c r="G47" s="18"/>
      <c r="H47" s="119"/>
      <c r="I47" s="70"/>
      <c r="J47" s="7"/>
      <c r="K47" s="7"/>
      <c r="L47" s="151"/>
      <c r="M47" s="7"/>
      <c r="N47" s="7"/>
      <c r="O47" s="301"/>
      <c r="P47" s="274"/>
      <c r="Q47" s="10"/>
      <c r="R47" s="275"/>
      <c r="S47" s="64"/>
      <c r="T47" s="64"/>
      <c r="U47" s="113"/>
      <c r="V47" s="1"/>
      <c r="X47" s="113"/>
      <c r="AD47" s="40"/>
      <c r="AE47" s="40"/>
      <c r="AF47" s="41"/>
    </row>
    <row r="48" spans="1:32">
      <c r="B48" s="1"/>
      <c r="C48" s="328"/>
      <c r="D48" s="7"/>
      <c r="E48" s="7"/>
      <c r="F48" s="7"/>
      <c r="G48" s="18"/>
      <c r="H48" s="119"/>
      <c r="I48" s="70"/>
      <c r="J48" s="7"/>
      <c r="K48" s="7"/>
      <c r="L48" s="151"/>
      <c r="M48" s="7"/>
      <c r="N48" s="7"/>
      <c r="O48" s="301"/>
      <c r="P48" s="274"/>
      <c r="Q48" s="10"/>
      <c r="R48" s="275"/>
      <c r="S48" s="64"/>
      <c r="T48" s="64"/>
      <c r="U48" s="113"/>
      <c r="V48" s="1"/>
      <c r="X48" s="113"/>
      <c r="AD48" s="40"/>
      <c r="AE48" s="40"/>
      <c r="AF48" s="41"/>
    </row>
    <row r="49" spans="2:32">
      <c r="B49" s="1"/>
      <c r="C49" s="328"/>
      <c r="D49" s="7"/>
      <c r="E49" s="7"/>
      <c r="F49" s="7"/>
      <c r="G49" s="18"/>
      <c r="H49" s="119"/>
      <c r="I49" s="70"/>
      <c r="J49" s="7"/>
      <c r="K49" s="7"/>
      <c r="L49" s="151"/>
      <c r="M49" s="7"/>
      <c r="N49" s="7"/>
      <c r="O49" s="301"/>
      <c r="P49" s="274"/>
      <c r="Q49" s="10"/>
      <c r="R49" s="275"/>
      <c r="S49" s="64"/>
      <c r="T49" s="64"/>
      <c r="U49" s="113"/>
      <c r="V49" s="1"/>
      <c r="X49" s="113"/>
      <c r="AD49" s="40"/>
      <c r="AE49" s="40"/>
      <c r="AF49" s="41"/>
    </row>
    <row r="50" spans="2:32">
      <c r="B50" s="1"/>
      <c r="C50" s="328"/>
      <c r="D50" s="7"/>
      <c r="E50" s="7"/>
      <c r="F50" s="7"/>
      <c r="G50" s="18"/>
      <c r="H50" s="119"/>
      <c r="I50" s="70"/>
      <c r="J50" s="7"/>
      <c r="K50" s="7"/>
      <c r="L50" s="151"/>
      <c r="M50" s="7"/>
      <c r="N50" s="7"/>
      <c r="O50" s="301"/>
      <c r="P50" s="274"/>
      <c r="Q50" s="10"/>
      <c r="R50" s="275"/>
      <c r="S50" s="64"/>
      <c r="T50" s="64"/>
      <c r="U50" s="113"/>
      <c r="V50" s="1"/>
      <c r="X50" s="113"/>
      <c r="AD50" s="40"/>
      <c r="AE50" s="40"/>
      <c r="AF50" s="41"/>
    </row>
    <row r="51" spans="2:32">
      <c r="B51" s="1"/>
      <c r="C51" s="328"/>
      <c r="D51" s="7"/>
      <c r="E51" s="7"/>
      <c r="F51" s="7"/>
      <c r="G51" s="18"/>
      <c r="H51" s="119"/>
      <c r="I51" s="70"/>
      <c r="J51" s="7"/>
      <c r="K51" s="7"/>
      <c r="L51" s="151"/>
      <c r="M51" s="7"/>
      <c r="N51" s="7"/>
      <c r="O51" s="301"/>
      <c r="P51" s="274"/>
      <c r="Q51" s="10"/>
      <c r="R51" s="275"/>
      <c r="S51" s="64"/>
      <c r="T51" s="64"/>
      <c r="U51" s="113"/>
      <c r="V51" s="1"/>
      <c r="X51" s="113"/>
      <c r="AD51" s="40"/>
      <c r="AE51" s="40"/>
      <c r="AF51" s="41"/>
    </row>
    <row r="52" spans="2:32">
      <c r="B52" s="1"/>
      <c r="C52" s="328"/>
      <c r="D52" s="7"/>
      <c r="E52" s="7"/>
      <c r="F52" s="7"/>
      <c r="G52" s="18"/>
      <c r="H52" s="119"/>
      <c r="I52" s="70"/>
      <c r="J52" s="7"/>
      <c r="K52" s="7"/>
      <c r="L52" s="151"/>
      <c r="M52" s="7"/>
      <c r="N52" s="7"/>
      <c r="O52" s="301"/>
      <c r="P52" s="274"/>
      <c r="Q52" s="10"/>
      <c r="R52" s="275"/>
      <c r="S52" s="64"/>
      <c r="T52" s="64"/>
      <c r="U52" s="113"/>
      <c r="V52" s="1"/>
      <c r="X52" s="113"/>
      <c r="AD52" s="40"/>
      <c r="AE52" s="40"/>
      <c r="AF52" s="41"/>
    </row>
    <row r="53" spans="2:32">
      <c r="B53" s="1"/>
      <c r="C53" s="328"/>
      <c r="D53" s="7"/>
      <c r="E53" s="7"/>
      <c r="F53" s="7"/>
      <c r="G53" s="18"/>
      <c r="H53" s="119"/>
      <c r="I53" s="70"/>
      <c r="J53" s="7"/>
      <c r="K53" s="7"/>
      <c r="L53" s="151"/>
      <c r="M53" s="7"/>
      <c r="N53" s="7"/>
      <c r="O53" s="64"/>
      <c r="P53" s="274"/>
      <c r="Q53" s="10"/>
      <c r="R53" s="275"/>
      <c r="S53" s="64"/>
      <c r="T53" s="64"/>
      <c r="U53" s="113"/>
      <c r="V53" s="1"/>
      <c r="X53" s="113"/>
      <c r="AD53" s="40"/>
      <c r="AE53" s="40"/>
      <c r="AF53" s="41"/>
    </row>
    <row r="54" spans="2:32">
      <c r="B54" s="1"/>
      <c r="C54" s="7"/>
      <c r="D54" s="7"/>
      <c r="E54" s="7"/>
      <c r="F54" s="7"/>
      <c r="G54" s="18"/>
      <c r="H54" s="119"/>
      <c r="I54" s="70"/>
      <c r="O54" s="64"/>
      <c r="P54" s="146"/>
      <c r="Q54" s="34"/>
      <c r="R54" s="43"/>
      <c r="S54" s="64"/>
      <c r="T54" s="64"/>
      <c r="U54" s="18"/>
      <c r="V54" s="1"/>
      <c r="X54" s="113"/>
      <c r="AD54" s="40"/>
      <c r="AE54" s="40"/>
      <c r="AF54" s="41"/>
    </row>
    <row r="55" spans="2:32">
      <c r="B55" s="1"/>
      <c r="C55" s="7"/>
      <c r="D55" s="7"/>
      <c r="E55" s="7"/>
      <c r="F55" s="7"/>
      <c r="G55" s="18"/>
      <c r="H55" s="119"/>
      <c r="I55" s="70"/>
      <c r="O55" s="64"/>
      <c r="P55" s="146"/>
      <c r="Q55" s="34"/>
      <c r="R55" s="43"/>
      <c r="S55" s="64"/>
      <c r="T55" s="64"/>
      <c r="U55" s="18"/>
      <c r="V55" s="1"/>
      <c r="X55" s="113"/>
      <c r="AD55" s="41"/>
      <c r="AE55" s="41"/>
      <c r="AF55" s="41"/>
    </row>
    <row r="56" spans="2:32">
      <c r="B56" s="1"/>
      <c r="C56" s="7"/>
      <c r="D56" s="7"/>
      <c r="E56" s="7"/>
      <c r="F56" s="7"/>
      <c r="G56" s="18"/>
      <c r="H56" s="119"/>
      <c r="I56" s="70"/>
      <c r="O56" s="64"/>
      <c r="P56" s="146"/>
      <c r="Q56" s="34"/>
      <c r="R56" s="43"/>
      <c r="S56" s="64"/>
      <c r="T56" s="64"/>
      <c r="U56" s="18"/>
      <c r="V56" s="1"/>
      <c r="X56" s="113"/>
      <c r="AD56" s="40"/>
      <c r="AE56" s="40"/>
      <c r="AF56" s="41"/>
    </row>
    <row r="57" spans="2:32">
      <c r="C57" s="7"/>
      <c r="D57" s="7"/>
      <c r="E57" s="7"/>
      <c r="F57" s="7"/>
      <c r="G57" s="18"/>
      <c r="H57" s="119"/>
      <c r="I57" s="70"/>
      <c r="O57" s="64"/>
      <c r="P57" s="146"/>
      <c r="Q57" s="34"/>
      <c r="R57" s="43"/>
      <c r="S57" s="64"/>
      <c r="T57" s="64"/>
      <c r="U57" s="18"/>
      <c r="V57" s="1"/>
      <c r="X57" s="113"/>
      <c r="AD57" s="40"/>
      <c r="AE57" s="40"/>
      <c r="AF57" s="40"/>
    </row>
    <row r="58" spans="2:32">
      <c r="B58" s="1"/>
      <c r="C58" s="7"/>
      <c r="D58" s="7"/>
      <c r="E58" s="7"/>
      <c r="F58" s="7"/>
      <c r="G58" s="18"/>
      <c r="H58" s="119"/>
      <c r="I58" s="70"/>
      <c r="O58" s="64"/>
      <c r="P58" s="146"/>
      <c r="Q58" s="34"/>
      <c r="R58" s="43"/>
      <c r="S58" s="68"/>
      <c r="T58" s="68"/>
      <c r="U58" s="18"/>
      <c r="V58" s="1"/>
      <c r="X58" s="113"/>
      <c r="AD58" s="40"/>
      <c r="AE58" s="40"/>
      <c r="AF58" s="41"/>
    </row>
    <row r="59" spans="2:32">
      <c r="B59" s="1"/>
      <c r="C59" s="7"/>
      <c r="D59" s="7"/>
      <c r="E59" s="7"/>
      <c r="F59" s="7"/>
      <c r="G59" s="18"/>
      <c r="H59" s="119"/>
      <c r="O59" s="64"/>
      <c r="P59" s="146"/>
      <c r="Q59" s="34"/>
      <c r="R59" s="43"/>
      <c r="S59" s="64"/>
      <c r="T59" s="64"/>
      <c r="U59" s="18"/>
      <c r="V59" s="1"/>
      <c r="X59" s="113"/>
      <c r="AD59" s="41"/>
      <c r="AE59" s="41"/>
      <c r="AF59" s="41"/>
    </row>
    <row r="60" spans="2:32">
      <c r="B60" s="1"/>
      <c r="C60" s="7"/>
      <c r="D60" s="7"/>
      <c r="E60" s="7"/>
      <c r="F60" s="7"/>
      <c r="G60" s="18"/>
      <c r="H60" s="119"/>
      <c r="I60" s="70"/>
      <c r="O60" s="64"/>
      <c r="P60" s="146"/>
      <c r="Q60" s="34"/>
      <c r="R60" s="43"/>
      <c r="S60" s="64"/>
      <c r="T60" s="64"/>
      <c r="U60" s="18"/>
      <c r="V60" s="1"/>
      <c r="X60" s="113"/>
      <c r="AD60" s="41"/>
      <c r="AE60" s="41"/>
      <c r="AF60" s="41"/>
    </row>
    <row r="61" spans="2:32">
      <c r="B61" s="1"/>
      <c r="C61" s="7"/>
      <c r="D61" s="7"/>
      <c r="E61" s="7"/>
      <c r="F61" s="7"/>
      <c r="G61" s="18"/>
      <c r="H61" s="119"/>
      <c r="I61" s="70"/>
      <c r="O61" s="64"/>
      <c r="P61" s="146"/>
      <c r="Q61" s="34"/>
      <c r="R61" s="43"/>
      <c r="S61" s="64"/>
      <c r="T61" s="64"/>
      <c r="U61" s="18"/>
      <c r="V61" s="1"/>
      <c r="X61" s="113"/>
      <c r="AD61" s="41"/>
      <c r="AE61" s="41"/>
      <c r="AF61" s="41"/>
    </row>
    <row r="62" spans="2:32">
      <c r="B62" s="1"/>
      <c r="C62" s="7"/>
      <c r="D62" s="7"/>
      <c r="E62" s="7"/>
      <c r="F62" s="7"/>
      <c r="G62" s="18"/>
      <c r="H62" s="119"/>
      <c r="I62" s="70"/>
      <c r="O62" s="64"/>
      <c r="P62" s="146"/>
      <c r="Q62" s="34"/>
      <c r="R62" s="43"/>
      <c r="S62" s="64"/>
      <c r="T62" s="64"/>
      <c r="U62" s="18"/>
      <c r="V62" s="1"/>
      <c r="X62" s="113"/>
      <c r="AD62" s="40"/>
      <c r="AE62" s="40"/>
      <c r="AF62" s="41"/>
    </row>
    <row r="63" spans="2:32">
      <c r="B63" s="1"/>
      <c r="C63" s="7"/>
      <c r="D63" s="7"/>
      <c r="E63" s="7"/>
      <c r="F63" s="7"/>
      <c r="G63" s="18"/>
      <c r="H63" s="119"/>
      <c r="I63" s="70"/>
      <c r="O63" s="64"/>
      <c r="P63" s="146"/>
      <c r="Q63" s="34"/>
      <c r="R63" s="43"/>
      <c r="S63" s="64"/>
      <c r="T63" s="64"/>
      <c r="U63" s="18"/>
      <c r="V63" s="1"/>
      <c r="X63" s="113"/>
      <c r="AD63" s="41"/>
      <c r="AE63" s="41"/>
      <c r="AF63" s="41"/>
    </row>
    <row r="64" spans="2:32">
      <c r="B64" s="1"/>
      <c r="C64" s="7"/>
      <c r="D64" s="7"/>
      <c r="E64" s="7"/>
      <c r="F64" s="7"/>
      <c r="G64" s="18"/>
      <c r="H64" s="119"/>
      <c r="I64" s="70"/>
      <c r="O64" s="64"/>
      <c r="P64" s="146"/>
      <c r="Q64" s="34"/>
      <c r="R64" s="43"/>
      <c r="S64" s="64"/>
      <c r="T64" s="64"/>
      <c r="U64" s="18"/>
      <c r="V64" s="1"/>
      <c r="X64" s="113"/>
      <c r="AD64" s="41"/>
      <c r="AE64" s="41"/>
      <c r="AF64" s="41"/>
    </row>
    <row r="65" spans="2:32">
      <c r="B65" s="1"/>
      <c r="C65" s="7"/>
      <c r="D65" s="7"/>
      <c r="E65" s="7"/>
      <c r="F65" s="7"/>
      <c r="G65" s="18"/>
      <c r="H65" s="119"/>
      <c r="I65" s="70"/>
      <c r="O65" s="64"/>
      <c r="P65" s="146"/>
      <c r="Q65" s="34"/>
      <c r="R65" s="43"/>
      <c r="S65" s="64"/>
      <c r="T65" s="64"/>
      <c r="U65" s="18"/>
      <c r="V65" s="1"/>
      <c r="X65" s="113"/>
      <c r="AD65" s="41"/>
      <c r="AE65" s="41"/>
      <c r="AF65" s="41"/>
    </row>
    <row r="66" spans="2:32">
      <c r="B66" s="1"/>
      <c r="C66" s="7"/>
      <c r="D66" s="7"/>
      <c r="E66" s="7"/>
      <c r="F66" s="7"/>
      <c r="G66" s="18"/>
      <c r="H66" s="119"/>
      <c r="I66" s="70"/>
      <c r="O66" s="64"/>
      <c r="P66" s="146"/>
      <c r="Q66" s="34"/>
      <c r="R66" s="43"/>
      <c r="S66" s="64"/>
      <c r="T66" s="64"/>
      <c r="U66" s="18"/>
      <c r="V66" s="1"/>
      <c r="X66" s="113"/>
      <c r="AD66" s="40"/>
      <c r="AE66" s="40"/>
      <c r="AF66" s="41"/>
    </row>
    <row r="67" spans="2:32">
      <c r="B67" s="1"/>
      <c r="C67" s="7"/>
      <c r="D67" s="7"/>
      <c r="E67" s="7"/>
      <c r="F67" s="7"/>
      <c r="G67" s="18"/>
      <c r="H67" s="119"/>
      <c r="I67" s="70"/>
      <c r="O67" s="64"/>
      <c r="P67" s="146"/>
      <c r="Q67" s="34"/>
      <c r="R67" s="43"/>
      <c r="S67" s="64"/>
      <c r="T67" s="64"/>
      <c r="U67" s="18"/>
      <c r="V67" s="1"/>
      <c r="X67" s="113"/>
      <c r="AD67" s="41"/>
      <c r="AE67" s="41"/>
      <c r="AF67" s="41"/>
    </row>
    <row r="68" spans="2:32">
      <c r="B68" s="1"/>
      <c r="C68" s="7"/>
      <c r="D68" s="7"/>
      <c r="E68" s="7"/>
      <c r="F68" s="7"/>
      <c r="G68" s="18"/>
      <c r="H68" s="119"/>
      <c r="I68" s="70"/>
      <c r="O68" s="64"/>
      <c r="P68" s="146"/>
      <c r="Q68" s="34"/>
      <c r="R68" s="43"/>
      <c r="S68" s="64"/>
      <c r="T68" s="64"/>
      <c r="U68" s="18"/>
      <c r="V68" s="1"/>
      <c r="X68" s="113"/>
      <c r="AD68" s="41"/>
      <c r="AE68" s="41"/>
      <c r="AF68" s="41"/>
    </row>
    <row r="69" spans="2:32">
      <c r="B69" s="1"/>
      <c r="C69" s="7"/>
      <c r="D69" s="7"/>
      <c r="E69" s="7"/>
      <c r="F69" s="7"/>
      <c r="G69" s="18"/>
      <c r="H69" s="119"/>
      <c r="I69" s="70"/>
      <c r="O69" s="64"/>
      <c r="P69" s="146"/>
      <c r="Q69" s="34"/>
      <c r="R69" s="43"/>
      <c r="S69" s="64"/>
      <c r="T69" s="64"/>
      <c r="U69" s="18"/>
      <c r="V69" s="1"/>
      <c r="X69" s="113"/>
      <c r="AD69" s="41"/>
      <c r="AE69" s="41"/>
      <c r="AF69" s="41"/>
    </row>
    <row r="70" spans="2:32">
      <c r="B70" s="1"/>
      <c r="C70" s="7"/>
      <c r="D70" s="7"/>
      <c r="E70" s="7"/>
      <c r="F70" s="7"/>
      <c r="G70" s="18"/>
      <c r="H70" s="119"/>
      <c r="I70" s="70"/>
      <c r="O70" s="64"/>
      <c r="P70" s="146"/>
      <c r="Q70" s="34"/>
      <c r="R70" s="43"/>
      <c r="S70" s="64"/>
      <c r="T70" s="64"/>
      <c r="U70" s="18"/>
      <c r="V70" s="1"/>
      <c r="X70" s="113"/>
      <c r="AD70" s="40"/>
      <c r="AE70" s="40"/>
      <c r="AF70" s="41"/>
    </row>
    <row r="71" spans="2:32">
      <c r="B71" s="1"/>
      <c r="C71" s="7"/>
      <c r="D71" s="7"/>
      <c r="E71" s="7"/>
      <c r="F71" s="7"/>
      <c r="G71" s="18"/>
      <c r="H71" s="119"/>
      <c r="I71" s="70"/>
      <c r="O71" s="64"/>
      <c r="P71" s="146"/>
      <c r="Q71" s="34"/>
      <c r="R71" s="43"/>
      <c r="S71" s="64"/>
      <c r="T71" s="64"/>
      <c r="U71" s="18"/>
      <c r="V71" s="1"/>
      <c r="X71" s="113"/>
      <c r="AD71" s="41"/>
      <c r="AE71" s="41"/>
      <c r="AF71" s="41"/>
    </row>
    <row r="72" spans="2:32">
      <c r="B72" s="1"/>
      <c r="C72" s="7"/>
      <c r="D72" s="7"/>
      <c r="E72" s="7"/>
      <c r="F72" s="7"/>
      <c r="G72" s="18"/>
      <c r="H72" s="119"/>
      <c r="I72" s="70"/>
      <c r="P72" s="146"/>
      <c r="Q72" s="34"/>
      <c r="R72" s="43"/>
      <c r="S72" s="58"/>
      <c r="T72" s="58"/>
      <c r="U72" s="18"/>
      <c r="V72" s="1"/>
      <c r="X72" s="113"/>
      <c r="AD72" s="41"/>
      <c r="AE72" s="41"/>
      <c r="AF72" s="41"/>
    </row>
    <row r="73" spans="2:32">
      <c r="B73" s="1"/>
      <c r="C73" s="7"/>
      <c r="D73" s="7"/>
      <c r="E73" s="7"/>
      <c r="F73" s="7"/>
      <c r="G73" s="18"/>
      <c r="H73" s="119"/>
      <c r="I73" s="70"/>
      <c r="P73" s="146"/>
      <c r="Q73" s="34"/>
      <c r="R73" s="43"/>
      <c r="S73" s="58"/>
      <c r="T73" s="58"/>
      <c r="U73" s="18"/>
      <c r="V73" s="1"/>
      <c r="X73" s="113"/>
      <c r="AD73" s="40"/>
      <c r="AE73" s="40"/>
      <c r="AF73" s="41"/>
    </row>
    <row r="74" spans="2:32">
      <c r="B74" s="1"/>
      <c r="C74" s="7"/>
      <c r="D74" s="7"/>
      <c r="E74" s="7"/>
      <c r="F74" s="7"/>
      <c r="G74" s="18"/>
      <c r="H74" s="119"/>
      <c r="I74" s="70"/>
      <c r="P74" s="146"/>
      <c r="Q74" s="34"/>
      <c r="R74" s="43"/>
      <c r="S74" s="58"/>
      <c r="T74" s="58"/>
      <c r="U74" s="18"/>
      <c r="V74" s="1"/>
      <c r="X74" s="113"/>
      <c r="AD74" s="41"/>
      <c r="AE74" s="41"/>
      <c r="AF74" s="41"/>
    </row>
    <row r="75" spans="2:32">
      <c r="B75" s="1"/>
      <c r="C75" s="7"/>
      <c r="D75" s="7"/>
      <c r="E75" s="7"/>
      <c r="F75" s="7"/>
      <c r="G75" s="18"/>
      <c r="H75" s="119"/>
      <c r="I75" s="70"/>
      <c r="P75" s="146"/>
      <c r="Q75" s="34"/>
      <c r="R75" s="43"/>
      <c r="S75" s="58"/>
      <c r="T75" s="58"/>
      <c r="U75" s="18"/>
      <c r="V75" s="1"/>
      <c r="X75" s="113"/>
      <c r="AD75" s="40"/>
      <c r="AE75" s="40"/>
      <c r="AF75" s="40"/>
    </row>
    <row r="76" spans="2:32">
      <c r="B76" s="1"/>
      <c r="C76" s="7"/>
      <c r="D76" s="7"/>
      <c r="E76" s="7"/>
      <c r="F76" s="7"/>
      <c r="G76" s="18"/>
      <c r="H76" s="119"/>
      <c r="I76" s="70"/>
      <c r="P76" s="146"/>
      <c r="Q76" s="34"/>
      <c r="R76" s="43"/>
      <c r="S76" s="58"/>
      <c r="T76" s="58"/>
      <c r="U76" s="18"/>
      <c r="V76" s="1"/>
      <c r="X76" s="113"/>
      <c r="AD76" s="41"/>
      <c r="AE76" s="41"/>
      <c r="AF76" s="41"/>
    </row>
    <row r="77" spans="2:32">
      <c r="B77" s="1"/>
      <c r="C77" s="7"/>
      <c r="D77" s="7"/>
      <c r="E77" s="7"/>
      <c r="F77" s="7"/>
      <c r="G77" s="18"/>
      <c r="H77" s="119"/>
      <c r="I77" s="70"/>
      <c r="P77" s="146"/>
      <c r="Q77" s="34"/>
      <c r="R77" s="43"/>
      <c r="S77" s="58"/>
      <c r="T77" s="58"/>
      <c r="U77" s="18"/>
      <c r="V77" s="1"/>
      <c r="X77" s="113"/>
      <c r="AD77" s="41"/>
      <c r="AE77" s="41"/>
      <c r="AF77" s="41"/>
    </row>
    <row r="78" spans="2:32">
      <c r="B78" s="1"/>
      <c r="C78" s="7"/>
      <c r="D78" s="7"/>
      <c r="E78" s="7"/>
      <c r="F78" s="7"/>
      <c r="G78" s="18"/>
      <c r="H78" s="119"/>
      <c r="I78" s="70"/>
      <c r="P78" s="146"/>
      <c r="Q78" s="34"/>
      <c r="R78" s="43"/>
      <c r="S78" s="58"/>
      <c r="T78" s="58"/>
      <c r="U78" s="18"/>
      <c r="V78" s="1"/>
      <c r="X78" s="113"/>
      <c r="AD78" s="41"/>
      <c r="AE78" s="41"/>
      <c r="AF78" s="41"/>
    </row>
    <row r="79" spans="2:32">
      <c r="B79" s="1"/>
      <c r="C79" s="7"/>
      <c r="D79" s="7"/>
      <c r="E79" s="7"/>
      <c r="F79" s="7"/>
      <c r="G79" s="18"/>
      <c r="H79" s="119"/>
      <c r="I79" s="70"/>
      <c r="P79" s="146"/>
      <c r="Q79" s="34"/>
      <c r="R79" s="43"/>
      <c r="S79" s="58"/>
      <c r="T79" s="58"/>
      <c r="U79" s="18"/>
      <c r="V79" s="1"/>
      <c r="X79" s="113"/>
      <c r="AD79" s="41"/>
      <c r="AE79" s="41"/>
      <c r="AF79" s="41"/>
    </row>
    <row r="80" spans="2:32">
      <c r="B80" s="1"/>
      <c r="C80" s="7"/>
      <c r="D80" s="7"/>
      <c r="E80" s="7"/>
      <c r="F80" s="7"/>
      <c r="G80" s="18"/>
      <c r="H80" s="119"/>
      <c r="I80" s="70"/>
      <c r="P80" s="146"/>
      <c r="Q80" s="34"/>
      <c r="R80" s="43"/>
      <c r="S80" s="58"/>
      <c r="T80" s="58"/>
      <c r="U80" s="18"/>
      <c r="V80" s="1"/>
      <c r="X80" s="113"/>
    </row>
    <row r="81" spans="2:24">
      <c r="B81" s="1"/>
      <c r="C81" s="7"/>
      <c r="D81" s="7"/>
      <c r="E81" s="7"/>
      <c r="F81" s="7"/>
      <c r="G81" s="18"/>
      <c r="H81" s="119"/>
      <c r="I81" s="70"/>
      <c r="P81" s="146"/>
      <c r="Q81" s="34"/>
      <c r="R81" s="43"/>
      <c r="S81" s="58"/>
      <c r="T81" s="58"/>
      <c r="U81" s="18"/>
      <c r="V81" s="1"/>
      <c r="X81" s="113"/>
    </row>
    <row r="82" spans="2:24">
      <c r="B82" s="1"/>
      <c r="C82" s="7"/>
      <c r="D82" s="7"/>
      <c r="E82" s="7"/>
      <c r="F82" s="7"/>
      <c r="G82" s="18"/>
      <c r="H82" s="119"/>
      <c r="P82" s="146"/>
      <c r="Q82" s="34"/>
      <c r="R82" s="43"/>
      <c r="S82" s="58"/>
      <c r="T82" s="58"/>
      <c r="U82" s="18"/>
      <c r="V82" s="1"/>
      <c r="X82" s="113"/>
    </row>
    <row r="83" spans="2:24">
      <c r="B83" s="1"/>
      <c r="C83" s="7"/>
      <c r="D83" s="7"/>
      <c r="E83" s="7"/>
      <c r="F83" s="7"/>
      <c r="G83" s="18"/>
      <c r="H83" s="119"/>
      <c r="P83" s="146"/>
      <c r="Q83" s="34"/>
      <c r="R83" s="43"/>
      <c r="S83" s="58"/>
      <c r="T83" s="58"/>
      <c r="U83" s="18"/>
      <c r="V83" s="1"/>
      <c r="X83" s="113"/>
    </row>
    <row r="84" spans="2:24">
      <c r="B84" s="1"/>
      <c r="C84" s="7"/>
      <c r="D84" s="7"/>
      <c r="E84" s="7"/>
      <c r="F84" s="7"/>
      <c r="G84" s="18"/>
      <c r="H84" s="119"/>
      <c r="P84" s="146"/>
      <c r="Q84" s="34"/>
      <c r="R84" s="43"/>
      <c r="S84" s="58"/>
      <c r="T84" s="58"/>
      <c r="U84" s="18"/>
      <c r="V84" s="1"/>
      <c r="X84" s="113"/>
    </row>
    <row r="85" spans="2:24">
      <c r="B85" s="1"/>
      <c r="C85" s="7"/>
      <c r="D85" s="7"/>
      <c r="E85" s="7"/>
      <c r="F85" s="7"/>
      <c r="G85" s="18"/>
      <c r="H85" s="119"/>
      <c r="P85" s="146"/>
      <c r="Q85" s="34"/>
      <c r="R85" s="43"/>
      <c r="S85" s="58"/>
      <c r="T85" s="58"/>
      <c r="U85" s="18"/>
      <c r="V85" s="1"/>
      <c r="X85" s="113"/>
    </row>
    <row r="86" spans="2:24">
      <c r="B86" s="1"/>
      <c r="C86" s="7"/>
      <c r="D86" s="7"/>
      <c r="E86" s="7"/>
      <c r="F86" s="7"/>
      <c r="G86" s="18"/>
      <c r="H86" s="119"/>
      <c r="P86" s="146"/>
      <c r="Q86" s="34"/>
      <c r="R86" s="43"/>
      <c r="S86" s="58"/>
      <c r="T86" s="58"/>
      <c r="U86" s="18"/>
      <c r="V86" s="1"/>
      <c r="X86" s="113"/>
    </row>
    <row r="87" spans="2:24">
      <c r="B87" s="1"/>
      <c r="C87" s="7"/>
      <c r="D87" s="7"/>
      <c r="E87" s="7"/>
      <c r="F87" s="7"/>
      <c r="G87" s="18"/>
      <c r="H87" s="119"/>
      <c r="P87" s="146"/>
      <c r="Q87" s="34"/>
      <c r="R87" s="43"/>
      <c r="S87" s="58"/>
      <c r="T87" s="58"/>
      <c r="U87" s="18"/>
      <c r="V87" s="1"/>
      <c r="X87" s="113"/>
    </row>
    <row r="88" spans="2:24">
      <c r="B88" s="1"/>
      <c r="C88" s="7"/>
      <c r="D88" s="7"/>
      <c r="E88" s="7"/>
      <c r="F88" s="7"/>
      <c r="G88" s="18"/>
      <c r="H88" s="119"/>
      <c r="P88" s="146"/>
      <c r="Q88" s="34"/>
      <c r="R88" s="43"/>
      <c r="S88" s="58"/>
      <c r="T88" s="58"/>
      <c r="U88" s="18"/>
      <c r="V88" s="1"/>
      <c r="X88" s="113"/>
    </row>
    <row r="89" spans="2:24">
      <c r="B89" s="1"/>
      <c r="C89" s="7"/>
      <c r="D89" s="7"/>
      <c r="E89" s="7"/>
      <c r="F89" s="7"/>
      <c r="G89" s="18"/>
      <c r="H89" s="119"/>
      <c r="P89" s="146"/>
      <c r="Q89" s="34"/>
      <c r="R89" s="43"/>
      <c r="S89" s="58"/>
      <c r="T89" s="58"/>
      <c r="U89" s="18"/>
      <c r="V89" s="1"/>
      <c r="X89" s="113"/>
    </row>
    <row r="90" spans="2:24">
      <c r="B90" s="1"/>
      <c r="C90" s="7"/>
      <c r="D90" s="7"/>
      <c r="E90" s="7"/>
      <c r="F90" s="7"/>
      <c r="G90" s="18"/>
      <c r="P90" s="146"/>
      <c r="Q90" s="34"/>
      <c r="R90" s="43"/>
      <c r="S90" s="58"/>
      <c r="T90" s="58"/>
      <c r="U90" s="18"/>
      <c r="V90" s="1"/>
      <c r="X90" s="113"/>
    </row>
    <row r="91" spans="2:24">
      <c r="B91" s="1"/>
      <c r="C91" s="7"/>
      <c r="D91" s="7"/>
      <c r="E91" s="7"/>
      <c r="F91" s="7"/>
      <c r="G91" s="18"/>
      <c r="P91" s="146"/>
      <c r="Q91" s="34"/>
      <c r="R91" s="43"/>
      <c r="S91" s="58"/>
      <c r="T91" s="58"/>
      <c r="U91" s="18"/>
      <c r="V91" s="1"/>
      <c r="X91" s="113"/>
    </row>
    <row r="92" spans="2:24">
      <c r="B92" s="1"/>
      <c r="C92" s="7"/>
      <c r="D92" s="7"/>
      <c r="E92" s="7"/>
      <c r="F92" s="7"/>
      <c r="G92" s="18"/>
      <c r="P92" s="146"/>
      <c r="Q92" s="34"/>
      <c r="R92" s="43"/>
      <c r="S92" s="58"/>
      <c r="T92" s="58"/>
      <c r="U92" s="18"/>
      <c r="V92" s="1"/>
      <c r="X92" s="113"/>
    </row>
    <row r="93" spans="2:24">
      <c r="B93" s="1"/>
      <c r="C93" s="7"/>
      <c r="D93" s="7"/>
      <c r="E93" s="7"/>
      <c r="F93" s="7"/>
      <c r="G93" s="18"/>
      <c r="P93" s="146"/>
      <c r="Q93" s="34"/>
      <c r="R93" s="43"/>
      <c r="S93" s="58"/>
      <c r="T93" s="58"/>
      <c r="U93" s="18"/>
      <c r="V93" s="1"/>
      <c r="X93" s="113"/>
    </row>
    <row r="94" spans="2:24">
      <c r="B94" s="1"/>
      <c r="C94" s="7"/>
      <c r="D94" s="7"/>
      <c r="E94" s="7"/>
      <c r="F94" s="7"/>
      <c r="G94" s="18"/>
      <c r="P94" s="146"/>
      <c r="Q94" s="34"/>
      <c r="R94" s="43"/>
      <c r="S94" s="58"/>
      <c r="T94" s="58"/>
      <c r="U94" s="18"/>
      <c r="V94" s="1"/>
      <c r="X94" s="113"/>
    </row>
    <row r="95" spans="2:24">
      <c r="B95" s="1"/>
      <c r="C95" s="7"/>
      <c r="D95" s="7"/>
      <c r="E95" s="7"/>
      <c r="F95" s="7"/>
      <c r="G95" s="18"/>
      <c r="P95" s="146"/>
      <c r="Q95" s="34"/>
      <c r="R95" s="43"/>
      <c r="S95" s="58"/>
      <c r="T95" s="58"/>
      <c r="U95" s="18"/>
      <c r="V95" s="1"/>
      <c r="X95" s="113"/>
    </row>
    <row r="96" spans="2:24">
      <c r="B96" s="1"/>
      <c r="C96" s="7"/>
      <c r="D96" s="7"/>
      <c r="E96" s="7"/>
      <c r="F96" s="7"/>
      <c r="G96" s="18"/>
      <c r="P96" s="146"/>
      <c r="Q96" s="34"/>
      <c r="R96" s="43"/>
      <c r="S96" s="58"/>
      <c r="T96" s="58"/>
      <c r="U96" s="18"/>
      <c r="V96" s="1"/>
      <c r="X96" s="113"/>
    </row>
    <row r="97" spans="2:24">
      <c r="B97" s="1"/>
      <c r="C97" s="7"/>
      <c r="D97" s="7"/>
      <c r="E97" s="7"/>
      <c r="F97" s="7"/>
      <c r="G97" s="18"/>
      <c r="P97" s="146"/>
      <c r="Q97" s="34"/>
      <c r="R97" s="43"/>
      <c r="S97" s="58"/>
      <c r="T97" s="58"/>
      <c r="U97" s="18"/>
      <c r="V97" s="1"/>
      <c r="X97" s="113"/>
    </row>
    <row r="98" spans="2:24">
      <c r="B98" s="1"/>
      <c r="C98" s="7"/>
      <c r="D98" s="7"/>
      <c r="E98" s="7"/>
      <c r="F98" s="7"/>
      <c r="G98" s="18"/>
      <c r="P98" s="146"/>
      <c r="Q98" s="34"/>
      <c r="R98" s="43"/>
      <c r="S98" s="58"/>
      <c r="T98" s="58"/>
      <c r="U98" s="18"/>
      <c r="V98" s="1"/>
      <c r="X98" s="113"/>
    </row>
    <row r="99" spans="2:24">
      <c r="B99" s="1"/>
      <c r="C99" s="7"/>
      <c r="D99" s="7"/>
      <c r="E99" s="7"/>
      <c r="F99" s="7"/>
      <c r="G99" s="18"/>
      <c r="P99" s="146"/>
      <c r="Q99" s="34"/>
      <c r="R99" s="43"/>
      <c r="S99" s="58"/>
      <c r="T99" s="58"/>
      <c r="U99" s="18"/>
      <c r="V99" s="1"/>
      <c r="X99" s="113"/>
    </row>
    <row r="100" spans="2:24">
      <c r="B100" s="1"/>
      <c r="C100" s="7"/>
      <c r="D100" s="7"/>
      <c r="E100" s="7"/>
      <c r="F100" s="7"/>
      <c r="G100" s="18"/>
      <c r="P100" s="146"/>
      <c r="Q100" s="34"/>
      <c r="R100" s="43"/>
      <c r="S100" s="58"/>
      <c r="T100" s="58"/>
      <c r="U100" s="18"/>
      <c r="V100" s="1"/>
      <c r="X100" s="113"/>
    </row>
    <row r="101" spans="2:24">
      <c r="B101" s="1"/>
      <c r="C101" s="7"/>
      <c r="D101" s="7"/>
      <c r="E101" s="7"/>
      <c r="F101" s="7"/>
      <c r="G101" s="18"/>
      <c r="P101" s="146"/>
      <c r="Q101" s="34"/>
      <c r="R101" s="43"/>
      <c r="S101" s="58"/>
      <c r="T101" s="58"/>
      <c r="U101" s="18"/>
      <c r="V101" s="1"/>
      <c r="X101" s="113"/>
    </row>
    <row r="102" spans="2:24">
      <c r="B102" s="1"/>
      <c r="C102" s="7"/>
      <c r="D102" s="7"/>
      <c r="E102" s="7"/>
      <c r="F102" s="7"/>
      <c r="G102" s="18"/>
      <c r="P102" s="146"/>
      <c r="Q102" s="34"/>
      <c r="R102" s="43"/>
      <c r="S102" s="58"/>
      <c r="T102" s="58"/>
      <c r="U102" s="18"/>
      <c r="V102" s="1"/>
      <c r="X102" s="113"/>
    </row>
    <row r="103" spans="2:24">
      <c r="B103" s="1"/>
      <c r="C103" s="7"/>
      <c r="D103" s="7"/>
      <c r="E103" s="7"/>
      <c r="F103" s="7"/>
      <c r="G103" s="18"/>
      <c r="P103" s="146"/>
      <c r="Q103" s="34"/>
      <c r="R103" s="43"/>
      <c r="S103" s="58"/>
      <c r="T103" s="58"/>
      <c r="U103" s="18"/>
      <c r="V103" s="1"/>
      <c r="X103" s="113"/>
    </row>
    <row r="104" spans="2:24">
      <c r="B104" s="1"/>
      <c r="C104" s="7"/>
      <c r="D104" s="7"/>
      <c r="E104" s="7"/>
      <c r="F104" s="7"/>
      <c r="G104" s="18"/>
      <c r="P104" s="146"/>
      <c r="Q104" s="34"/>
      <c r="R104" s="43"/>
      <c r="S104" s="58"/>
      <c r="T104" s="58"/>
      <c r="U104" s="18"/>
      <c r="V104" s="1"/>
      <c r="X104" s="113"/>
    </row>
    <row r="105" spans="2:24">
      <c r="B105" s="1"/>
      <c r="C105" s="7"/>
      <c r="D105" s="7"/>
      <c r="E105" s="7"/>
      <c r="F105" s="7"/>
      <c r="G105" s="18"/>
      <c r="P105" s="146"/>
      <c r="Q105" s="34"/>
      <c r="R105" s="43"/>
      <c r="S105" s="58"/>
      <c r="T105" s="58"/>
      <c r="U105" s="18"/>
      <c r="V105" s="1"/>
      <c r="X105" s="113"/>
    </row>
    <row r="106" spans="2:24">
      <c r="B106" s="1"/>
      <c r="C106" s="7"/>
      <c r="D106" s="7"/>
      <c r="E106" s="7"/>
      <c r="F106" s="7"/>
      <c r="G106" s="18"/>
      <c r="P106" s="146"/>
      <c r="Q106" s="34"/>
      <c r="R106" s="43"/>
      <c r="S106" s="58"/>
      <c r="T106" s="58"/>
      <c r="U106" s="18"/>
      <c r="V106" s="1"/>
      <c r="X106" s="113"/>
    </row>
    <row r="107" spans="2:24">
      <c r="B107" s="1"/>
      <c r="C107" s="7"/>
      <c r="D107" s="7"/>
      <c r="E107" s="7"/>
      <c r="F107" s="7"/>
      <c r="G107" s="18"/>
      <c r="P107" s="146"/>
      <c r="Q107" s="34"/>
      <c r="R107" s="43"/>
      <c r="S107" s="58"/>
      <c r="T107" s="58"/>
      <c r="U107" s="18"/>
      <c r="V107" s="1"/>
      <c r="X107" s="113"/>
    </row>
    <row r="108" spans="2:24">
      <c r="B108" s="1"/>
      <c r="C108" s="7"/>
      <c r="D108" s="7"/>
      <c r="E108" s="7"/>
      <c r="F108" s="7"/>
      <c r="G108" s="18"/>
      <c r="P108" s="146"/>
      <c r="Q108" s="34"/>
      <c r="R108" s="43"/>
      <c r="S108" s="58"/>
      <c r="T108" s="58"/>
      <c r="U108" s="18"/>
      <c r="V108" s="1"/>
      <c r="X108" s="113"/>
    </row>
    <row r="109" spans="2:24">
      <c r="B109" s="1"/>
      <c r="C109" s="7"/>
      <c r="D109" s="7"/>
      <c r="E109" s="7"/>
      <c r="F109" s="7"/>
      <c r="G109" s="18"/>
      <c r="P109" s="146"/>
      <c r="Q109" s="34"/>
      <c r="R109" s="43"/>
      <c r="S109" s="58"/>
      <c r="T109" s="58"/>
      <c r="U109" s="18"/>
      <c r="V109" s="1"/>
      <c r="X109" s="113"/>
    </row>
    <row r="110" spans="2:24">
      <c r="B110" s="1"/>
      <c r="C110" s="7"/>
      <c r="D110" s="7"/>
      <c r="E110" s="7"/>
      <c r="F110" s="7"/>
      <c r="G110" s="18"/>
      <c r="P110" s="146"/>
      <c r="Q110" s="34"/>
      <c r="R110" s="43"/>
      <c r="S110" s="58"/>
      <c r="T110" s="58"/>
      <c r="U110" s="18"/>
      <c r="V110" s="1"/>
      <c r="X110" s="113"/>
    </row>
    <row r="111" spans="2:24">
      <c r="B111" s="1"/>
      <c r="C111" s="7"/>
      <c r="D111" s="7"/>
      <c r="E111" s="7"/>
      <c r="F111" s="7"/>
      <c r="G111" s="18"/>
      <c r="P111" s="146"/>
      <c r="Q111" s="34"/>
      <c r="R111" s="43"/>
      <c r="S111" s="58"/>
      <c r="T111" s="58"/>
      <c r="U111" s="18"/>
      <c r="V111" s="1"/>
      <c r="X111" s="113"/>
    </row>
    <row r="112" spans="2:24">
      <c r="B112" s="1"/>
      <c r="C112" s="7"/>
      <c r="D112" s="7"/>
      <c r="E112" s="7"/>
      <c r="F112" s="7"/>
      <c r="G112" s="18"/>
      <c r="P112" s="146"/>
      <c r="Q112" s="34"/>
      <c r="R112" s="43"/>
      <c r="S112" s="58"/>
      <c r="T112" s="58"/>
      <c r="U112" s="18"/>
      <c r="V112" s="1"/>
      <c r="X112" s="113"/>
    </row>
    <row r="113" spans="2:24">
      <c r="B113" s="1"/>
      <c r="C113" s="7"/>
      <c r="D113" s="7"/>
      <c r="E113" s="7"/>
      <c r="F113" s="7"/>
      <c r="G113" s="18"/>
      <c r="P113" s="146"/>
      <c r="Q113" s="34"/>
      <c r="R113" s="43"/>
      <c r="S113" s="58"/>
      <c r="T113" s="58"/>
      <c r="U113" s="18"/>
      <c r="V113" s="1"/>
      <c r="X113" s="113"/>
    </row>
    <row r="114" spans="2:24">
      <c r="B114" s="1"/>
      <c r="C114" s="7"/>
      <c r="D114" s="7"/>
      <c r="E114" s="7"/>
      <c r="F114" s="7"/>
      <c r="G114" s="18"/>
      <c r="P114" s="146"/>
      <c r="Q114" s="34"/>
      <c r="R114" s="43"/>
      <c r="S114" s="58"/>
      <c r="T114" s="58"/>
      <c r="U114" s="18"/>
      <c r="V114" s="1"/>
      <c r="X114" s="113"/>
    </row>
    <row r="115" spans="2:24">
      <c r="B115" s="1"/>
      <c r="C115" s="7"/>
      <c r="D115" s="7"/>
      <c r="E115" s="7"/>
      <c r="F115" s="7"/>
      <c r="G115" s="18"/>
      <c r="P115" s="146"/>
      <c r="Q115" s="34"/>
      <c r="R115" s="43"/>
      <c r="S115" s="58"/>
      <c r="T115" s="58"/>
      <c r="U115" s="18"/>
      <c r="V115" s="1"/>
      <c r="X115" s="113"/>
    </row>
    <row r="116" spans="2:24">
      <c r="B116" s="1"/>
      <c r="C116" s="7"/>
      <c r="D116" s="7"/>
      <c r="E116" s="7"/>
      <c r="F116" s="7"/>
      <c r="G116" s="18"/>
      <c r="P116" s="146"/>
      <c r="Q116" s="34"/>
      <c r="R116" s="43"/>
      <c r="S116" s="58"/>
      <c r="T116" s="58"/>
      <c r="U116" s="18"/>
      <c r="V116" s="1"/>
      <c r="X116" s="113"/>
    </row>
    <row r="117" spans="2:24">
      <c r="B117" s="1"/>
      <c r="C117" s="7"/>
      <c r="D117" s="7"/>
      <c r="E117" s="7"/>
      <c r="F117" s="7"/>
      <c r="G117" s="18"/>
      <c r="P117" s="146"/>
      <c r="Q117" s="34"/>
      <c r="R117" s="43"/>
      <c r="S117" s="58"/>
      <c r="T117" s="58"/>
      <c r="U117" s="18"/>
      <c r="V117" s="1"/>
      <c r="X117" s="113"/>
    </row>
    <row r="118" spans="2:24">
      <c r="G118" s="18"/>
      <c r="P118" s="146"/>
      <c r="Q118" s="34"/>
      <c r="R118" s="43"/>
      <c r="S118" s="58"/>
      <c r="T118" s="58"/>
      <c r="U118" s="18"/>
      <c r="X118" s="113"/>
    </row>
    <row r="119" spans="2:24">
      <c r="G119" s="18"/>
      <c r="P119" s="146"/>
      <c r="Q119" s="34"/>
      <c r="R119" s="43"/>
      <c r="S119" s="58"/>
      <c r="T119" s="58"/>
      <c r="U119" s="18"/>
      <c r="X119" s="113"/>
    </row>
    <row r="120" spans="2:24">
      <c r="G120" s="18"/>
      <c r="P120" s="146"/>
      <c r="Q120" s="34"/>
      <c r="R120" s="43"/>
      <c r="S120" s="58"/>
      <c r="T120" s="58"/>
      <c r="U120" s="18"/>
      <c r="X120" s="113"/>
    </row>
    <row r="121" spans="2:24">
      <c r="G121" s="18"/>
      <c r="P121" s="146"/>
      <c r="Q121" s="34"/>
      <c r="R121" s="43"/>
      <c r="S121" s="58"/>
      <c r="T121" s="58"/>
      <c r="U121" s="18"/>
      <c r="X121" s="113"/>
    </row>
    <row r="122" spans="2:24">
      <c r="G122" s="18"/>
      <c r="P122" s="146"/>
      <c r="Q122" s="34"/>
      <c r="R122" s="43"/>
      <c r="S122" s="58"/>
      <c r="T122" s="58"/>
      <c r="U122" s="18"/>
      <c r="X122" s="113"/>
    </row>
    <row r="123" spans="2:24">
      <c r="G123" s="18"/>
      <c r="P123" s="146"/>
      <c r="Q123" s="34"/>
      <c r="R123" s="43"/>
      <c r="S123" s="58"/>
      <c r="T123" s="58"/>
      <c r="U123" s="18"/>
      <c r="X123" s="113"/>
    </row>
    <row r="124" spans="2:24">
      <c r="G124" s="18"/>
      <c r="P124" s="146"/>
      <c r="Q124" s="34"/>
      <c r="R124" s="43"/>
      <c r="S124" s="58"/>
      <c r="T124" s="58"/>
      <c r="U124" s="18"/>
      <c r="X124" s="113"/>
    </row>
    <row r="125" spans="2:24">
      <c r="G125" s="18"/>
      <c r="P125" s="146"/>
      <c r="Q125" s="34"/>
      <c r="R125" s="43"/>
      <c r="S125" s="58"/>
      <c r="T125" s="58"/>
      <c r="U125" s="18"/>
      <c r="X125" s="113"/>
    </row>
    <row r="126" spans="2:24">
      <c r="G126" s="18"/>
      <c r="P126" s="146"/>
      <c r="Q126" s="34"/>
      <c r="R126" s="43"/>
      <c r="S126" s="58"/>
      <c r="T126" s="58"/>
      <c r="U126" s="18"/>
      <c r="X126" s="113"/>
    </row>
    <row r="127" spans="2:24">
      <c r="G127" s="18"/>
      <c r="P127" s="146"/>
      <c r="Q127" s="34"/>
      <c r="R127" s="43"/>
      <c r="S127" s="58"/>
      <c r="T127" s="58"/>
      <c r="U127" s="18"/>
      <c r="X127" s="113"/>
    </row>
    <row r="128" spans="2:24">
      <c r="G128" s="18"/>
      <c r="P128" s="146"/>
      <c r="Q128" s="34"/>
      <c r="R128" s="43"/>
      <c r="S128" s="58"/>
      <c r="T128" s="58"/>
      <c r="U128" s="18"/>
      <c r="X128" s="113"/>
    </row>
    <row r="129" spans="7:24">
      <c r="G129" s="18"/>
      <c r="P129" s="146"/>
      <c r="Q129" s="34"/>
      <c r="R129" s="43"/>
      <c r="S129" s="58"/>
      <c r="T129" s="58"/>
      <c r="U129" s="18"/>
      <c r="X129" s="113"/>
    </row>
    <row r="130" spans="7:24">
      <c r="G130" s="18"/>
      <c r="P130" s="146"/>
      <c r="Q130" s="34"/>
      <c r="R130" s="43"/>
      <c r="S130" s="58"/>
      <c r="T130" s="58"/>
      <c r="U130" s="18"/>
      <c r="X130" s="113"/>
    </row>
    <row r="131" spans="7:24">
      <c r="G131" s="18"/>
      <c r="P131" s="146"/>
      <c r="Q131" s="34"/>
      <c r="R131" s="43"/>
      <c r="U131" s="18"/>
      <c r="X131" s="113"/>
    </row>
    <row r="132" spans="7:24">
      <c r="G132" s="18"/>
      <c r="P132" s="146"/>
      <c r="Q132" s="34"/>
      <c r="R132" s="43"/>
      <c r="U132" s="18"/>
      <c r="X132" s="113"/>
    </row>
    <row r="133" spans="7:24">
      <c r="G133" s="18"/>
      <c r="P133" s="146"/>
      <c r="Q133" s="34"/>
      <c r="R133" s="43"/>
      <c r="U133" s="18"/>
      <c r="X133" s="113"/>
    </row>
    <row r="134" spans="7:24">
      <c r="G134" s="18"/>
      <c r="P134" s="146"/>
      <c r="Q134" s="34"/>
      <c r="R134" s="43"/>
      <c r="U134" s="18"/>
      <c r="X134" s="113"/>
    </row>
    <row r="135" spans="7:24">
      <c r="G135" s="18"/>
      <c r="P135" s="146"/>
      <c r="Q135" s="34"/>
      <c r="R135" s="43"/>
      <c r="U135" s="18"/>
      <c r="X135" s="113"/>
    </row>
    <row r="136" spans="7:24">
      <c r="G136" s="18"/>
      <c r="P136" s="146"/>
      <c r="Q136" s="34"/>
      <c r="R136" s="43"/>
      <c r="U136" s="18"/>
      <c r="X136" s="113"/>
    </row>
    <row r="137" spans="7:24">
      <c r="G137" s="18"/>
      <c r="P137" s="146"/>
      <c r="Q137" s="34"/>
      <c r="R137" s="43"/>
      <c r="U137" s="18"/>
      <c r="X137" s="113"/>
    </row>
    <row r="138" spans="7:24">
      <c r="G138" s="18"/>
      <c r="P138" s="146"/>
      <c r="Q138" s="34"/>
      <c r="R138" s="43"/>
      <c r="U138" s="18"/>
      <c r="X138" s="113"/>
    </row>
    <row r="139" spans="7:24">
      <c r="G139" s="18"/>
      <c r="P139" s="146"/>
      <c r="Q139" s="34"/>
      <c r="R139" s="43"/>
      <c r="U139" s="18"/>
      <c r="X139" s="113"/>
    </row>
    <row r="140" spans="7:24">
      <c r="G140" s="18"/>
      <c r="P140" s="146"/>
      <c r="Q140" s="34"/>
      <c r="R140" s="43"/>
      <c r="U140" s="18"/>
      <c r="X140" s="113"/>
    </row>
    <row r="141" spans="7:24">
      <c r="G141" s="18"/>
      <c r="P141" s="146"/>
      <c r="Q141" s="34"/>
      <c r="R141" s="43"/>
      <c r="U141" s="18"/>
      <c r="X141" s="113"/>
    </row>
    <row r="142" spans="7:24">
      <c r="G142" s="18"/>
      <c r="P142" s="146"/>
      <c r="Q142" s="34"/>
      <c r="R142" s="43"/>
      <c r="U142" s="18"/>
      <c r="X142" s="113"/>
    </row>
    <row r="143" spans="7:24">
      <c r="G143" s="18"/>
      <c r="P143" s="146"/>
      <c r="Q143" s="34"/>
      <c r="R143" s="43"/>
      <c r="U143" s="18"/>
      <c r="X143" s="113"/>
    </row>
    <row r="144" spans="7:24">
      <c r="G144" s="18"/>
      <c r="P144" s="146"/>
      <c r="Q144" s="34"/>
      <c r="R144" s="43"/>
      <c r="U144" s="18"/>
      <c r="X144" s="113"/>
    </row>
    <row r="145" spans="7:24">
      <c r="G145" s="18"/>
      <c r="P145" s="146"/>
      <c r="Q145" s="34"/>
      <c r="R145" s="43"/>
      <c r="U145" s="18"/>
      <c r="X145" s="113"/>
    </row>
    <row r="146" spans="7:24">
      <c r="G146" s="18"/>
      <c r="P146" s="146"/>
      <c r="Q146" s="34"/>
      <c r="R146" s="43"/>
      <c r="U146" s="18"/>
      <c r="X146" s="113"/>
    </row>
    <row r="147" spans="7:24">
      <c r="G147" s="18"/>
      <c r="P147" s="146"/>
      <c r="Q147" s="34"/>
      <c r="R147" s="43"/>
      <c r="U147" s="18"/>
      <c r="X147" s="113"/>
    </row>
    <row r="148" spans="7:24">
      <c r="G148" s="18"/>
      <c r="P148" s="146"/>
      <c r="Q148" s="34"/>
      <c r="R148" s="43"/>
      <c r="U148" s="18"/>
      <c r="X148" s="113"/>
    </row>
    <row r="149" spans="7:24">
      <c r="G149" s="18"/>
      <c r="P149" s="146"/>
      <c r="Q149" s="34"/>
      <c r="R149" s="43"/>
      <c r="U149" s="18"/>
      <c r="X149" s="113"/>
    </row>
    <row r="150" spans="7:24">
      <c r="G150" s="18"/>
      <c r="P150" s="146"/>
      <c r="Q150" s="34"/>
      <c r="R150" s="43"/>
      <c r="U150" s="18"/>
      <c r="X150" s="113"/>
    </row>
    <row r="151" spans="7:24">
      <c r="G151" s="18"/>
      <c r="P151" s="146"/>
      <c r="Q151" s="34"/>
      <c r="R151" s="43"/>
      <c r="U151" s="18"/>
      <c r="X151" s="113"/>
    </row>
    <row r="152" spans="7:24">
      <c r="G152" s="18"/>
      <c r="P152" s="146"/>
      <c r="Q152" s="34"/>
      <c r="R152" s="43"/>
      <c r="U152" s="18"/>
      <c r="X152" s="113"/>
    </row>
    <row r="153" spans="7:24">
      <c r="G153" s="18"/>
      <c r="P153" s="146"/>
      <c r="Q153" s="34"/>
      <c r="R153" s="43"/>
      <c r="U153" s="18"/>
      <c r="X153" s="113"/>
    </row>
    <row r="154" spans="7:24">
      <c r="G154" s="18"/>
      <c r="P154" s="146"/>
      <c r="Q154" s="34"/>
      <c r="R154" s="43"/>
      <c r="U154" s="18"/>
      <c r="X154" s="113"/>
    </row>
    <row r="155" spans="7:24">
      <c r="G155" s="18"/>
      <c r="P155" s="146"/>
      <c r="Q155" s="34"/>
      <c r="R155" s="43"/>
      <c r="U155" s="18"/>
      <c r="X155" s="113"/>
    </row>
    <row r="156" spans="7:24">
      <c r="G156" s="18"/>
      <c r="P156" s="146"/>
      <c r="Q156" s="34"/>
      <c r="R156" s="43"/>
      <c r="U156" s="18"/>
      <c r="X156" s="113"/>
    </row>
    <row r="157" spans="7:24">
      <c r="G157" s="18"/>
      <c r="P157" s="146"/>
      <c r="Q157" s="34"/>
      <c r="R157" s="43"/>
      <c r="U157" s="18"/>
      <c r="X157" s="113"/>
    </row>
    <row r="158" spans="7:24">
      <c r="G158" s="18"/>
      <c r="P158" s="146"/>
      <c r="Q158" s="34"/>
      <c r="R158" s="43"/>
      <c r="U158" s="18"/>
      <c r="X158" s="113"/>
    </row>
    <row r="159" spans="7:24">
      <c r="G159" s="18"/>
      <c r="P159" s="146"/>
      <c r="Q159" s="34"/>
      <c r="R159" s="43"/>
      <c r="U159" s="18"/>
      <c r="X159" s="113"/>
    </row>
    <row r="160" spans="7:24">
      <c r="G160" s="18"/>
      <c r="P160" s="146"/>
      <c r="Q160" s="34"/>
      <c r="R160" s="43"/>
      <c r="U160" s="18"/>
      <c r="X160" s="113"/>
    </row>
    <row r="161" spans="7:24">
      <c r="G161" s="18"/>
      <c r="P161" s="146"/>
      <c r="Q161" s="34"/>
      <c r="R161" s="43"/>
      <c r="U161" s="18"/>
      <c r="X161" s="113"/>
    </row>
    <row r="162" spans="7:24">
      <c r="G162" s="18"/>
      <c r="P162" s="146"/>
      <c r="Q162" s="34"/>
      <c r="R162" s="43"/>
      <c r="U162" s="18"/>
      <c r="X162" s="113"/>
    </row>
    <row r="163" spans="7:24">
      <c r="G163" s="18"/>
      <c r="P163" s="146"/>
      <c r="Q163" s="34"/>
      <c r="R163" s="43"/>
      <c r="U163" s="18"/>
      <c r="X163" s="113"/>
    </row>
    <row r="164" spans="7:24">
      <c r="G164" s="18"/>
      <c r="P164" s="146"/>
      <c r="Q164" s="34"/>
      <c r="R164" s="43"/>
      <c r="U164" s="18"/>
      <c r="X164" s="113"/>
    </row>
    <row r="165" spans="7:24">
      <c r="G165" s="18"/>
      <c r="P165" s="146"/>
      <c r="Q165" s="34"/>
      <c r="R165" s="43"/>
      <c r="U165" s="18"/>
      <c r="X165" s="113"/>
    </row>
    <row r="166" spans="7:24">
      <c r="G166" s="18"/>
      <c r="P166" s="146"/>
      <c r="Q166" s="34"/>
      <c r="R166" s="43"/>
      <c r="U166" s="18"/>
      <c r="X166" s="113"/>
    </row>
    <row r="167" spans="7:24">
      <c r="G167" s="18"/>
      <c r="P167" s="146"/>
      <c r="Q167" s="34"/>
      <c r="R167" s="43"/>
      <c r="U167" s="18"/>
      <c r="X167" s="113"/>
    </row>
    <row r="168" spans="7:24">
      <c r="G168" s="18"/>
      <c r="P168" s="146"/>
      <c r="Q168" s="34"/>
      <c r="R168" s="43"/>
      <c r="U168" s="18"/>
      <c r="X168" s="113"/>
    </row>
    <row r="169" spans="7:24">
      <c r="G169" s="18"/>
      <c r="P169" s="146"/>
      <c r="Q169" s="34"/>
      <c r="R169" s="43"/>
      <c r="U169" s="18"/>
      <c r="X169" s="113"/>
    </row>
    <row r="170" spans="7:24">
      <c r="G170" s="18"/>
      <c r="P170" s="146"/>
      <c r="Q170" s="34"/>
      <c r="R170" s="43"/>
      <c r="U170" s="18"/>
      <c r="X170" s="113"/>
    </row>
    <row r="171" spans="7:24">
      <c r="G171" s="18"/>
      <c r="P171" s="146"/>
      <c r="Q171" s="34"/>
      <c r="R171" s="43"/>
      <c r="U171" s="18"/>
      <c r="X171" s="113"/>
    </row>
    <row r="172" spans="7:24">
      <c r="G172" s="18"/>
      <c r="P172" s="146"/>
      <c r="Q172" s="34"/>
      <c r="R172" s="43"/>
      <c r="U172" s="18"/>
      <c r="X172" s="113"/>
    </row>
    <row r="173" spans="7:24">
      <c r="G173" s="18"/>
      <c r="P173" s="146"/>
      <c r="Q173" s="34"/>
      <c r="R173" s="43"/>
      <c r="U173" s="18"/>
      <c r="X173" s="113"/>
    </row>
    <row r="174" spans="7:24">
      <c r="G174" s="18"/>
      <c r="P174" s="146"/>
      <c r="Q174" s="34"/>
      <c r="R174" s="43"/>
      <c r="U174" s="18"/>
      <c r="X174" s="113"/>
    </row>
    <row r="175" spans="7:24">
      <c r="G175" s="18"/>
      <c r="P175" s="146"/>
      <c r="Q175" s="34"/>
      <c r="R175" s="43"/>
      <c r="U175" s="18"/>
      <c r="X175" s="113"/>
    </row>
    <row r="176" spans="7:24">
      <c r="G176" s="18"/>
      <c r="P176" s="146"/>
      <c r="Q176" s="34"/>
      <c r="R176" s="43"/>
      <c r="U176" s="18"/>
      <c r="X176" s="113"/>
    </row>
    <row r="177" spans="7:24">
      <c r="G177" s="18"/>
      <c r="P177" s="146"/>
      <c r="Q177" s="34"/>
      <c r="R177" s="43"/>
      <c r="U177" s="18"/>
      <c r="X177" s="113"/>
    </row>
    <row r="178" spans="7:24">
      <c r="G178" s="18"/>
      <c r="P178" s="146"/>
      <c r="Q178" s="34"/>
      <c r="R178" s="43"/>
      <c r="U178" s="18"/>
      <c r="X178" s="113"/>
    </row>
    <row r="179" spans="7:24">
      <c r="G179" s="18"/>
      <c r="P179" s="146"/>
      <c r="Q179" s="34"/>
      <c r="R179" s="43"/>
      <c r="U179" s="18"/>
      <c r="X179" s="113"/>
    </row>
    <row r="180" spans="7:24">
      <c r="G180" s="18"/>
      <c r="P180" s="146"/>
      <c r="Q180" s="34"/>
      <c r="R180" s="43"/>
      <c r="U180" s="18"/>
      <c r="X180" s="113"/>
    </row>
    <row r="181" spans="7:24">
      <c r="G181" s="18"/>
      <c r="P181" s="146"/>
      <c r="Q181" s="34"/>
      <c r="R181" s="43"/>
      <c r="U181" s="18"/>
      <c r="X181" s="113"/>
    </row>
    <row r="182" spans="7:24">
      <c r="G182" s="18"/>
      <c r="P182" s="146"/>
      <c r="Q182" s="34"/>
      <c r="R182" s="43"/>
      <c r="U182" s="18"/>
      <c r="X182" s="113"/>
    </row>
    <row r="183" spans="7:24">
      <c r="G183" s="18"/>
      <c r="P183" s="146"/>
      <c r="Q183" s="34"/>
      <c r="R183" s="43"/>
      <c r="U183" s="18"/>
      <c r="X183" s="113"/>
    </row>
    <row r="184" spans="7:24">
      <c r="G184" s="18"/>
      <c r="P184" s="146"/>
      <c r="Q184" s="34"/>
      <c r="R184" s="43"/>
      <c r="U184" s="18"/>
      <c r="X184" s="113"/>
    </row>
    <row r="185" spans="7:24">
      <c r="G185" s="18"/>
      <c r="P185" s="146"/>
      <c r="Q185" s="34"/>
      <c r="R185" s="43"/>
      <c r="U185" s="18"/>
      <c r="X185" s="113"/>
    </row>
    <row r="186" spans="7:24">
      <c r="G186" s="18"/>
      <c r="P186" s="146"/>
      <c r="Q186" s="34"/>
      <c r="R186" s="43"/>
      <c r="U186" s="18"/>
      <c r="X186" s="113"/>
    </row>
    <row r="187" spans="7:24">
      <c r="G187" s="18"/>
      <c r="P187" s="146"/>
      <c r="Q187" s="34"/>
      <c r="R187" s="43"/>
      <c r="U187" s="18"/>
      <c r="X187" s="113"/>
    </row>
    <row r="188" spans="7:24">
      <c r="G188" s="18"/>
      <c r="P188" s="146"/>
      <c r="Q188" s="34"/>
      <c r="R188" s="43"/>
      <c r="U188" s="18"/>
      <c r="X188" s="113"/>
    </row>
    <row r="189" spans="7:24">
      <c r="G189" s="18"/>
      <c r="P189" s="146"/>
      <c r="Q189" s="34"/>
      <c r="R189" s="43"/>
      <c r="U189" s="18"/>
      <c r="X189" s="113"/>
    </row>
    <row r="190" spans="7:24">
      <c r="G190" s="18"/>
      <c r="P190" s="146"/>
      <c r="Q190" s="34"/>
      <c r="R190" s="43"/>
      <c r="U190" s="18"/>
      <c r="X190" s="113"/>
    </row>
    <row r="191" spans="7:24">
      <c r="G191" s="18"/>
      <c r="P191" s="146"/>
      <c r="Q191" s="34"/>
      <c r="R191" s="43"/>
      <c r="U191" s="18"/>
      <c r="X191" s="113"/>
    </row>
    <row r="192" spans="7:24">
      <c r="G192" s="18"/>
      <c r="P192" s="146"/>
      <c r="Q192" s="34"/>
      <c r="R192" s="43"/>
      <c r="U192" s="18"/>
      <c r="X192" s="113"/>
    </row>
    <row r="193" spans="7:24">
      <c r="G193" s="18"/>
      <c r="P193" s="146"/>
      <c r="Q193" s="34"/>
      <c r="R193" s="43"/>
      <c r="U193" s="18"/>
      <c r="X193" s="113"/>
    </row>
    <row r="194" spans="7:24">
      <c r="G194" s="18"/>
      <c r="P194" s="146"/>
      <c r="Q194" s="34"/>
      <c r="R194" s="43"/>
      <c r="U194" s="18"/>
      <c r="X194" s="113"/>
    </row>
    <row r="195" spans="7:24">
      <c r="G195" s="18"/>
      <c r="P195" s="146"/>
      <c r="Q195" s="34"/>
      <c r="R195" s="43"/>
      <c r="U195" s="18"/>
      <c r="X195" s="113"/>
    </row>
    <row r="196" spans="7:24">
      <c r="G196" s="18"/>
      <c r="P196" s="146"/>
      <c r="Q196" s="34"/>
      <c r="R196" s="43"/>
      <c r="U196" s="18"/>
      <c r="X196" s="113"/>
    </row>
    <row r="197" spans="7:24">
      <c r="G197" s="18"/>
      <c r="P197" s="146"/>
      <c r="Q197" s="34"/>
      <c r="R197" s="43"/>
      <c r="U197" s="18"/>
      <c r="X197" s="113"/>
    </row>
    <row r="198" spans="7:24">
      <c r="G198" s="18"/>
      <c r="P198" s="146"/>
      <c r="Q198" s="34"/>
      <c r="R198" s="43"/>
      <c r="U198" s="18"/>
      <c r="X198" s="113"/>
    </row>
    <row r="199" spans="7:24">
      <c r="G199" s="18"/>
      <c r="P199" s="146"/>
      <c r="Q199" s="34"/>
      <c r="R199" s="43"/>
      <c r="U199" s="18"/>
      <c r="X199" s="113"/>
    </row>
    <row r="200" spans="7:24">
      <c r="G200" s="18"/>
      <c r="P200" s="146"/>
      <c r="Q200" s="34"/>
      <c r="R200" s="43"/>
      <c r="U200" s="18"/>
      <c r="X200" s="113"/>
    </row>
    <row r="201" spans="7:24">
      <c r="G201" s="18"/>
      <c r="P201" s="146"/>
      <c r="Q201" s="34"/>
      <c r="R201" s="43"/>
      <c r="U201" s="18"/>
      <c r="X201" s="113"/>
    </row>
    <row r="202" spans="7:24">
      <c r="G202" s="18"/>
      <c r="P202" s="146"/>
      <c r="Q202" s="34"/>
      <c r="R202" s="43"/>
      <c r="U202" s="18"/>
      <c r="X202" s="113"/>
    </row>
    <row r="203" spans="7:24">
      <c r="G203" s="18"/>
      <c r="P203" s="146"/>
      <c r="Q203" s="34"/>
      <c r="R203" s="43"/>
      <c r="U203" s="18"/>
      <c r="X203" s="113"/>
    </row>
    <row r="204" spans="7:24">
      <c r="G204" s="18"/>
      <c r="P204" s="146"/>
      <c r="Q204" s="34"/>
      <c r="R204" s="43"/>
      <c r="U204" s="18"/>
      <c r="X204" s="113"/>
    </row>
    <row r="205" spans="7:24">
      <c r="G205" s="18"/>
      <c r="P205" s="146"/>
      <c r="Q205" s="34"/>
      <c r="R205" s="43"/>
      <c r="U205" s="18"/>
      <c r="X205" s="113"/>
    </row>
    <row r="206" spans="7:24">
      <c r="G206" s="18"/>
      <c r="P206" s="146"/>
      <c r="Q206" s="34"/>
      <c r="R206" s="43"/>
      <c r="U206" s="18"/>
      <c r="X206" s="113"/>
    </row>
    <row r="207" spans="7:24">
      <c r="G207" s="18"/>
      <c r="P207" s="146"/>
      <c r="Q207" s="34"/>
      <c r="R207" s="43"/>
      <c r="U207" s="18"/>
      <c r="X207" s="113"/>
    </row>
    <row r="208" spans="7:24">
      <c r="G208" s="18"/>
      <c r="P208" s="146"/>
      <c r="Q208" s="34"/>
      <c r="R208" s="43"/>
      <c r="U208" s="18"/>
      <c r="X208" s="113"/>
    </row>
    <row r="209" spans="7:24">
      <c r="G209" s="18"/>
      <c r="P209" s="146"/>
      <c r="Q209" s="34"/>
      <c r="R209" s="43"/>
      <c r="U209" s="18"/>
      <c r="X209" s="113"/>
    </row>
    <row r="210" spans="7:24">
      <c r="G210" s="18"/>
      <c r="P210" s="146"/>
      <c r="Q210" s="34"/>
      <c r="R210" s="43"/>
      <c r="U210" s="18"/>
      <c r="X210" s="113"/>
    </row>
    <row r="211" spans="7:24">
      <c r="G211" s="18"/>
      <c r="P211" s="146"/>
      <c r="Q211" s="34"/>
      <c r="R211" s="43"/>
      <c r="U211" s="18"/>
      <c r="X211" s="113"/>
    </row>
    <row r="212" spans="7:24">
      <c r="G212" s="18"/>
      <c r="P212" s="146"/>
      <c r="Q212" s="34"/>
      <c r="R212" s="43"/>
      <c r="U212" s="18"/>
      <c r="X212" s="113"/>
    </row>
    <row r="213" spans="7:24">
      <c r="G213" s="18"/>
      <c r="P213" s="146"/>
      <c r="Q213" s="34"/>
      <c r="R213" s="43"/>
      <c r="U213" s="18"/>
      <c r="X213" s="113"/>
    </row>
    <row r="214" spans="7:24">
      <c r="G214" s="18"/>
      <c r="P214" s="146"/>
      <c r="Q214" s="34"/>
      <c r="R214" s="43"/>
      <c r="U214" s="18"/>
      <c r="X214" s="113"/>
    </row>
    <row r="215" spans="7:24">
      <c r="G215" s="18"/>
      <c r="P215" s="146"/>
      <c r="Q215" s="34"/>
      <c r="R215" s="43"/>
      <c r="U215" s="18"/>
      <c r="X215" s="113"/>
    </row>
    <row r="216" spans="7:24">
      <c r="G216" s="18"/>
      <c r="P216" s="146"/>
      <c r="Q216" s="34"/>
      <c r="R216" s="43"/>
      <c r="U216" s="18"/>
      <c r="X216" s="113"/>
    </row>
    <row r="217" spans="7:24">
      <c r="G217" s="18"/>
      <c r="P217" s="146"/>
      <c r="Q217" s="34"/>
      <c r="R217" s="43"/>
      <c r="U217" s="18"/>
      <c r="X217" s="113"/>
    </row>
    <row r="218" spans="7:24">
      <c r="G218" s="18"/>
      <c r="P218" s="146"/>
      <c r="Q218" s="34"/>
      <c r="R218" s="43"/>
      <c r="U218" s="18"/>
      <c r="X218" s="113"/>
    </row>
    <row r="219" spans="7:24">
      <c r="G219" s="18"/>
      <c r="P219" s="146"/>
      <c r="Q219" s="34"/>
      <c r="R219" s="43"/>
      <c r="U219" s="18"/>
      <c r="X219" s="113"/>
    </row>
    <row r="220" spans="7:24">
      <c r="G220" s="18"/>
      <c r="P220" s="146"/>
      <c r="Q220" s="34"/>
      <c r="R220" s="43"/>
      <c r="U220" s="18"/>
      <c r="X220" s="113"/>
    </row>
    <row r="221" spans="7:24">
      <c r="G221" s="18"/>
      <c r="P221" s="146"/>
      <c r="Q221" s="34"/>
      <c r="R221" s="43"/>
      <c r="U221" s="18"/>
      <c r="X221" s="113"/>
    </row>
    <row r="222" spans="7:24">
      <c r="G222" s="18"/>
      <c r="P222" s="146"/>
      <c r="Q222" s="34"/>
      <c r="R222" s="43"/>
      <c r="U222" s="18"/>
      <c r="X222" s="113"/>
    </row>
    <row r="223" spans="7:24">
      <c r="G223" s="18"/>
      <c r="P223" s="146"/>
      <c r="Q223" s="34"/>
      <c r="R223" s="43"/>
      <c r="U223" s="18"/>
      <c r="X223" s="113"/>
    </row>
    <row r="224" spans="7:24">
      <c r="G224" s="18"/>
      <c r="P224" s="146"/>
      <c r="Q224" s="34"/>
      <c r="R224" s="43"/>
      <c r="U224" s="18"/>
      <c r="X224" s="113"/>
    </row>
    <row r="225" spans="7:24">
      <c r="G225" s="18"/>
      <c r="P225" s="146"/>
      <c r="Q225" s="34"/>
      <c r="R225" s="43"/>
      <c r="U225" s="18"/>
      <c r="X225" s="113"/>
    </row>
    <row r="226" spans="7:24">
      <c r="G226" s="18"/>
      <c r="P226" s="146"/>
      <c r="Q226" s="34"/>
      <c r="R226" s="43"/>
      <c r="U226" s="18"/>
      <c r="X226" s="113"/>
    </row>
    <row r="227" spans="7:24">
      <c r="G227" s="18"/>
      <c r="P227" s="146"/>
      <c r="Q227" s="34"/>
      <c r="R227" s="43"/>
      <c r="U227" s="18"/>
      <c r="X227" s="113"/>
    </row>
    <row r="228" spans="7:24">
      <c r="G228" s="18"/>
      <c r="P228" s="146"/>
      <c r="Q228" s="34"/>
      <c r="R228" s="43"/>
      <c r="U228" s="18"/>
      <c r="X228" s="113"/>
    </row>
    <row r="229" spans="7:24">
      <c r="G229" s="18"/>
      <c r="P229" s="146"/>
      <c r="Q229" s="34"/>
      <c r="R229" s="43"/>
      <c r="U229" s="18"/>
      <c r="X229" s="113"/>
    </row>
    <row r="230" spans="7:24">
      <c r="G230" s="18"/>
      <c r="P230" s="146"/>
      <c r="Q230" s="34"/>
      <c r="R230" s="43"/>
      <c r="U230" s="18"/>
      <c r="X230" s="113"/>
    </row>
    <row r="231" spans="7:24">
      <c r="G231" s="18"/>
      <c r="P231" s="146"/>
      <c r="Q231" s="34"/>
      <c r="R231" s="43"/>
      <c r="U231" s="18"/>
      <c r="X231" s="113"/>
    </row>
    <row r="232" spans="7:24">
      <c r="G232" s="18"/>
      <c r="P232" s="146"/>
      <c r="Q232" s="34"/>
      <c r="R232" s="43"/>
      <c r="U232" s="18"/>
      <c r="X232" s="113"/>
    </row>
    <row r="233" spans="7:24">
      <c r="G233" s="18"/>
      <c r="P233" s="146"/>
      <c r="Q233" s="34"/>
      <c r="R233" s="43"/>
      <c r="U233" s="18"/>
      <c r="X233" s="113"/>
    </row>
    <row r="234" spans="7:24">
      <c r="G234" s="18"/>
      <c r="P234" s="146"/>
      <c r="Q234" s="34"/>
      <c r="R234" s="43"/>
      <c r="U234" s="18"/>
      <c r="X234" s="113"/>
    </row>
    <row r="235" spans="7:24">
      <c r="G235" s="18"/>
      <c r="P235" s="146"/>
      <c r="Q235" s="34"/>
      <c r="R235" s="43"/>
      <c r="U235" s="18"/>
      <c r="X235" s="113"/>
    </row>
    <row r="236" spans="7:24">
      <c r="G236" s="18"/>
      <c r="P236" s="146"/>
      <c r="Q236" s="34"/>
      <c r="R236" s="43"/>
      <c r="U236" s="18"/>
      <c r="X236" s="113"/>
    </row>
    <row r="237" spans="7:24">
      <c r="G237" s="18"/>
      <c r="P237" s="146"/>
      <c r="Q237" s="34"/>
      <c r="R237" s="43"/>
      <c r="U237" s="18"/>
      <c r="X237" s="113"/>
    </row>
    <row r="238" spans="7:24">
      <c r="G238" s="18"/>
      <c r="P238" s="146"/>
      <c r="Q238" s="34"/>
      <c r="R238" s="43"/>
      <c r="U238" s="18"/>
      <c r="X238" s="113"/>
    </row>
    <row r="239" spans="7:24">
      <c r="G239" s="18"/>
      <c r="P239" s="146"/>
      <c r="Q239" s="34"/>
      <c r="R239" s="43"/>
      <c r="U239" s="18"/>
      <c r="X239" s="113"/>
    </row>
    <row r="240" spans="7:24">
      <c r="G240" s="18"/>
      <c r="P240" s="146"/>
      <c r="Q240" s="34"/>
      <c r="R240" s="43"/>
      <c r="U240" s="18"/>
      <c r="X240" s="113"/>
    </row>
    <row r="241" spans="7:24">
      <c r="G241" s="18"/>
      <c r="P241" s="146"/>
      <c r="Q241" s="34"/>
      <c r="R241" s="43"/>
      <c r="U241" s="18"/>
      <c r="X241" s="113"/>
    </row>
    <row r="242" spans="7:24">
      <c r="G242" s="18"/>
      <c r="P242" s="146"/>
      <c r="Q242" s="34"/>
      <c r="R242" s="43"/>
      <c r="U242" s="18"/>
      <c r="X242" s="113"/>
    </row>
    <row r="243" spans="7:24">
      <c r="G243" s="18"/>
      <c r="P243" s="146"/>
      <c r="Q243" s="34"/>
      <c r="R243" s="43"/>
      <c r="U243" s="18"/>
      <c r="X243" s="113"/>
    </row>
    <row r="244" spans="7:24">
      <c r="G244" s="18"/>
      <c r="P244" s="146"/>
      <c r="Q244" s="34"/>
      <c r="R244" s="43"/>
      <c r="U244" s="18"/>
      <c r="X244" s="113"/>
    </row>
    <row r="245" spans="7:24">
      <c r="G245" s="18"/>
      <c r="P245" s="146"/>
      <c r="Q245" s="34"/>
      <c r="R245" s="43"/>
      <c r="U245" s="18"/>
      <c r="X245" s="113"/>
    </row>
    <row r="246" spans="7:24">
      <c r="G246" s="18"/>
      <c r="P246" s="146"/>
      <c r="Q246" s="34"/>
      <c r="R246" s="43"/>
      <c r="U246" s="18"/>
      <c r="X246" s="113"/>
    </row>
    <row r="247" spans="7:24">
      <c r="G247" s="18"/>
      <c r="P247" s="146"/>
      <c r="Q247" s="34"/>
      <c r="R247" s="43"/>
      <c r="U247" s="18"/>
      <c r="X247" s="113"/>
    </row>
    <row r="248" spans="7:24">
      <c r="G248" s="18"/>
      <c r="P248" s="146"/>
      <c r="Q248" s="34"/>
      <c r="R248" s="43"/>
      <c r="U248" s="18"/>
      <c r="X248" s="113"/>
    </row>
    <row r="249" spans="7:24">
      <c r="G249" s="18"/>
      <c r="P249" s="146"/>
      <c r="Q249" s="34"/>
      <c r="R249" s="43"/>
      <c r="U249" s="18"/>
      <c r="X249" s="113"/>
    </row>
    <row r="250" spans="7:24">
      <c r="G250" s="18"/>
      <c r="P250" s="146"/>
      <c r="Q250" s="34"/>
      <c r="R250" s="43"/>
      <c r="U250" s="18"/>
      <c r="X250" s="113"/>
    </row>
    <row r="251" spans="7:24">
      <c r="G251" s="18"/>
      <c r="P251" s="146"/>
      <c r="Q251" s="34"/>
      <c r="R251" s="43"/>
      <c r="U251" s="18"/>
      <c r="X251" s="113"/>
    </row>
    <row r="252" spans="7:24">
      <c r="G252" s="18"/>
      <c r="P252" s="146"/>
      <c r="Q252" s="34"/>
      <c r="R252" s="43"/>
      <c r="U252" s="18"/>
      <c r="X252" s="113"/>
    </row>
    <row r="253" spans="7:24">
      <c r="G253" s="18"/>
      <c r="P253" s="146"/>
      <c r="Q253" s="34"/>
      <c r="R253" s="43"/>
      <c r="U253" s="18"/>
      <c r="X253" s="113"/>
    </row>
    <row r="254" spans="7:24">
      <c r="G254" s="18"/>
      <c r="P254" s="146"/>
      <c r="Q254" s="34"/>
      <c r="R254" s="43"/>
      <c r="U254" s="18"/>
      <c r="X254" s="113"/>
    </row>
    <row r="255" spans="7:24">
      <c r="G255" s="18"/>
      <c r="P255" s="146"/>
      <c r="Q255" s="34"/>
      <c r="R255" s="43"/>
      <c r="U255" s="18"/>
      <c r="X255" s="113"/>
    </row>
    <row r="256" spans="7:24">
      <c r="G256" s="18"/>
      <c r="P256" s="146"/>
      <c r="Q256" s="34"/>
      <c r="R256" s="43"/>
      <c r="U256" s="18"/>
      <c r="X256" s="113"/>
    </row>
    <row r="257" spans="7:24">
      <c r="G257" s="18"/>
      <c r="P257" s="146"/>
      <c r="Q257" s="34"/>
      <c r="R257" s="43"/>
      <c r="U257" s="18"/>
      <c r="X257" s="113"/>
    </row>
    <row r="258" spans="7:24">
      <c r="G258" s="18"/>
      <c r="P258" s="146"/>
      <c r="Q258" s="34"/>
      <c r="R258" s="43"/>
      <c r="U258" s="18"/>
      <c r="X258" s="113"/>
    </row>
    <row r="259" spans="7:24">
      <c r="G259" s="18"/>
      <c r="P259" s="146"/>
      <c r="Q259" s="34"/>
      <c r="R259" s="43"/>
      <c r="U259" s="18"/>
      <c r="X259" s="113"/>
    </row>
    <row r="260" spans="7:24">
      <c r="G260" s="18"/>
      <c r="P260" s="146"/>
      <c r="Q260" s="34"/>
      <c r="R260" s="43"/>
      <c r="U260" s="18"/>
      <c r="X260" s="113"/>
    </row>
    <row r="261" spans="7:24">
      <c r="G261" s="18"/>
      <c r="P261" s="146"/>
      <c r="Q261" s="34"/>
      <c r="R261" s="43"/>
      <c r="U261" s="18"/>
      <c r="X261" s="113"/>
    </row>
    <row r="262" spans="7:24">
      <c r="G262" s="18"/>
      <c r="P262" s="146"/>
      <c r="Q262" s="34"/>
      <c r="R262" s="43"/>
      <c r="U262" s="18"/>
      <c r="X262" s="113"/>
    </row>
    <row r="263" spans="7:24">
      <c r="G263" s="18"/>
      <c r="P263" s="146"/>
      <c r="Q263" s="34"/>
      <c r="R263" s="43"/>
      <c r="U263" s="18"/>
      <c r="X263" s="113"/>
    </row>
    <row r="264" spans="7:24">
      <c r="G264" s="18"/>
      <c r="P264" s="146"/>
      <c r="Q264" s="34"/>
      <c r="R264" s="43"/>
      <c r="U264" s="18"/>
      <c r="X264" s="113"/>
    </row>
    <row r="265" spans="7:24">
      <c r="G265" s="18"/>
      <c r="P265" s="146"/>
      <c r="Q265" s="34"/>
      <c r="R265" s="43"/>
      <c r="U265" s="18"/>
      <c r="X265" s="113"/>
    </row>
    <row r="266" spans="7:24">
      <c r="G266" s="18"/>
      <c r="P266" s="146"/>
      <c r="Q266" s="34"/>
      <c r="R266" s="43"/>
      <c r="U266" s="18"/>
      <c r="X266" s="113"/>
    </row>
    <row r="267" spans="7:24">
      <c r="G267" s="18"/>
      <c r="P267" s="146"/>
      <c r="Q267" s="34"/>
      <c r="R267" s="43"/>
      <c r="U267" s="18"/>
      <c r="X267" s="113"/>
    </row>
    <row r="268" spans="7:24">
      <c r="G268" s="18"/>
      <c r="P268" s="146"/>
      <c r="Q268" s="34"/>
      <c r="R268" s="43"/>
      <c r="U268" s="18"/>
      <c r="X268" s="113"/>
    </row>
    <row r="269" spans="7:24">
      <c r="G269" s="18"/>
      <c r="P269" s="146"/>
      <c r="Q269" s="34"/>
      <c r="R269" s="43"/>
      <c r="U269" s="18"/>
      <c r="X269" s="113"/>
    </row>
    <row r="270" spans="7:24">
      <c r="G270" s="18"/>
      <c r="P270" s="146"/>
      <c r="Q270" s="34"/>
      <c r="R270" s="43"/>
      <c r="U270" s="18"/>
      <c r="X270" s="113"/>
    </row>
    <row r="271" spans="7:24">
      <c r="G271" s="18"/>
      <c r="P271" s="146"/>
      <c r="Q271" s="34"/>
      <c r="R271" s="43"/>
      <c r="U271" s="18"/>
      <c r="X271" s="113"/>
    </row>
    <row r="272" spans="7:24">
      <c r="G272" s="18"/>
      <c r="P272" s="146"/>
      <c r="Q272" s="34"/>
      <c r="R272" s="43"/>
      <c r="U272" s="18"/>
      <c r="X272" s="113"/>
    </row>
    <row r="273" spans="7:24">
      <c r="G273" s="18"/>
      <c r="P273" s="146"/>
      <c r="Q273" s="34"/>
      <c r="R273" s="43"/>
      <c r="U273" s="18"/>
      <c r="X273" s="113"/>
    </row>
    <row r="274" spans="7:24">
      <c r="G274" s="18"/>
      <c r="P274" s="146"/>
      <c r="Q274" s="34"/>
      <c r="R274" s="43"/>
      <c r="U274" s="18"/>
      <c r="X274" s="113"/>
    </row>
    <row r="275" spans="7:24">
      <c r="G275" s="18"/>
      <c r="P275" s="146"/>
      <c r="Q275" s="34"/>
      <c r="R275" s="43"/>
      <c r="U275" s="18"/>
      <c r="X275" s="113"/>
    </row>
    <row r="276" spans="7:24">
      <c r="G276" s="18"/>
      <c r="P276" s="146"/>
      <c r="Q276" s="34"/>
      <c r="R276" s="43"/>
      <c r="U276" s="18"/>
      <c r="X276" s="113"/>
    </row>
    <row r="277" spans="7:24">
      <c r="G277" s="18"/>
      <c r="P277" s="146"/>
      <c r="Q277" s="34"/>
      <c r="R277" s="43"/>
      <c r="U277" s="18"/>
      <c r="X277" s="113"/>
    </row>
    <row r="278" spans="7:24">
      <c r="G278" s="18"/>
      <c r="P278" s="146"/>
      <c r="Q278" s="34"/>
      <c r="R278" s="43"/>
      <c r="U278" s="18"/>
      <c r="X278" s="113"/>
    </row>
    <row r="279" spans="7:24">
      <c r="G279" s="18"/>
      <c r="P279" s="146"/>
      <c r="Q279" s="34"/>
      <c r="R279" s="43"/>
      <c r="U279" s="18"/>
      <c r="X279" s="113"/>
    </row>
    <row r="280" spans="7:24">
      <c r="G280" s="18"/>
      <c r="P280" s="146"/>
      <c r="Q280" s="34"/>
      <c r="R280" s="43"/>
      <c r="U280" s="18"/>
      <c r="X280" s="113"/>
    </row>
    <row r="281" spans="7:24">
      <c r="G281" s="18"/>
      <c r="P281" s="146"/>
      <c r="Q281" s="34"/>
      <c r="R281" s="43"/>
      <c r="U281" s="18"/>
      <c r="X281" s="113"/>
    </row>
    <row r="282" spans="7:24">
      <c r="G282" s="18"/>
      <c r="P282" s="146"/>
      <c r="Q282" s="34"/>
      <c r="R282" s="43"/>
      <c r="U282" s="18"/>
      <c r="X282" s="113"/>
    </row>
    <row r="283" spans="7:24">
      <c r="G283" s="18"/>
      <c r="P283" s="146"/>
      <c r="Q283" s="34"/>
      <c r="R283" s="43"/>
      <c r="U283" s="18"/>
      <c r="X283" s="113"/>
    </row>
    <row r="284" spans="7:24">
      <c r="G284" s="18"/>
      <c r="P284" s="146"/>
      <c r="Q284" s="34"/>
      <c r="R284" s="43"/>
      <c r="U284" s="18"/>
      <c r="X284" s="113"/>
    </row>
    <row r="285" spans="7:24">
      <c r="G285" s="18"/>
      <c r="P285" s="146"/>
      <c r="Q285" s="34"/>
      <c r="R285" s="43"/>
      <c r="U285" s="18"/>
      <c r="X285" s="113"/>
    </row>
    <row r="286" spans="7:24">
      <c r="G286" s="18"/>
      <c r="P286" s="146"/>
      <c r="Q286" s="34"/>
      <c r="R286" s="43"/>
      <c r="U286" s="18"/>
      <c r="X286" s="113"/>
    </row>
    <row r="287" spans="7:24">
      <c r="G287" s="18"/>
      <c r="P287" s="146"/>
      <c r="Q287" s="34"/>
      <c r="R287" s="43"/>
      <c r="U287" s="18"/>
      <c r="X287" s="113"/>
    </row>
    <row r="288" spans="7:24">
      <c r="G288" s="18"/>
      <c r="P288" s="146"/>
      <c r="Q288" s="34"/>
      <c r="R288" s="43"/>
      <c r="U288" s="18"/>
      <c r="X288" s="113"/>
    </row>
    <row r="289" spans="7:24">
      <c r="G289" s="18"/>
      <c r="P289" s="146"/>
      <c r="Q289" s="34"/>
      <c r="R289" s="43"/>
      <c r="U289" s="18"/>
      <c r="X289" s="113"/>
    </row>
    <row r="290" spans="7:24">
      <c r="G290" s="18"/>
      <c r="P290" s="146"/>
      <c r="Q290" s="34"/>
      <c r="R290" s="43"/>
      <c r="U290" s="18"/>
      <c r="X290" s="113"/>
    </row>
    <row r="291" spans="7:24">
      <c r="G291" s="18"/>
      <c r="P291" s="146"/>
      <c r="Q291" s="34"/>
      <c r="R291" s="43"/>
      <c r="U291" s="18"/>
      <c r="X291" s="113"/>
    </row>
    <row r="292" spans="7:24">
      <c r="G292" s="18"/>
      <c r="P292" s="146"/>
      <c r="Q292" s="34"/>
      <c r="R292" s="43"/>
      <c r="U292" s="18"/>
      <c r="X292" s="113"/>
    </row>
    <row r="293" spans="7:24">
      <c r="G293" s="18"/>
      <c r="P293" s="146"/>
      <c r="Q293" s="34"/>
      <c r="R293" s="43"/>
      <c r="U293" s="18"/>
      <c r="X293" s="113"/>
    </row>
    <row r="294" spans="7:24">
      <c r="G294" s="18"/>
      <c r="P294" s="146"/>
      <c r="Q294" s="34"/>
      <c r="R294" s="43"/>
      <c r="U294" s="18"/>
      <c r="X294" s="113"/>
    </row>
    <row r="295" spans="7:24">
      <c r="G295" s="18"/>
      <c r="P295" s="146"/>
      <c r="Q295" s="34"/>
      <c r="R295" s="43"/>
      <c r="U295" s="18"/>
      <c r="X295" s="113"/>
    </row>
    <row r="296" spans="7:24">
      <c r="G296" s="18"/>
      <c r="P296" s="146"/>
      <c r="Q296" s="34"/>
      <c r="R296" s="43"/>
      <c r="U296" s="18"/>
      <c r="X296" s="113"/>
    </row>
    <row r="297" spans="7:24">
      <c r="G297" s="18"/>
      <c r="P297" s="146"/>
      <c r="Q297" s="34"/>
      <c r="R297" s="43"/>
      <c r="U297" s="18"/>
      <c r="X297" s="113"/>
    </row>
    <row r="298" spans="7:24">
      <c r="G298" s="18"/>
      <c r="P298" s="146"/>
      <c r="Q298" s="34"/>
      <c r="R298" s="43"/>
      <c r="U298" s="18"/>
      <c r="X298" s="113"/>
    </row>
    <row r="299" spans="7:24">
      <c r="G299" s="18"/>
      <c r="P299" s="146"/>
      <c r="Q299" s="34"/>
      <c r="R299" s="43"/>
      <c r="U299" s="18"/>
      <c r="X299" s="113"/>
    </row>
    <row r="300" spans="7:24">
      <c r="G300" s="18"/>
      <c r="P300" s="146"/>
      <c r="Q300" s="34"/>
      <c r="R300" s="43"/>
      <c r="U300" s="18"/>
      <c r="X300" s="113"/>
    </row>
    <row r="301" spans="7:24">
      <c r="G301" s="18"/>
      <c r="P301" s="146"/>
      <c r="Q301" s="34"/>
      <c r="R301" s="43"/>
      <c r="U301" s="18"/>
      <c r="X301" s="113"/>
    </row>
    <row r="302" spans="7:24">
      <c r="G302" s="18"/>
      <c r="P302" s="146"/>
      <c r="Q302" s="34"/>
      <c r="R302" s="43"/>
      <c r="U302" s="18"/>
      <c r="X302" s="113"/>
    </row>
    <row r="303" spans="7:24">
      <c r="G303" s="18"/>
      <c r="P303" s="146"/>
      <c r="Q303" s="34"/>
      <c r="R303" s="43"/>
      <c r="U303" s="18"/>
      <c r="X303" s="113"/>
    </row>
    <row r="304" spans="7:24">
      <c r="G304" s="18"/>
      <c r="P304" s="146"/>
      <c r="Q304" s="34"/>
      <c r="R304" s="43"/>
      <c r="U304" s="18"/>
      <c r="X304" s="113"/>
    </row>
    <row r="305" spans="7:24">
      <c r="G305" s="18"/>
      <c r="P305" s="146"/>
      <c r="Q305" s="34"/>
      <c r="R305" s="43"/>
      <c r="U305" s="18"/>
      <c r="X305" s="113"/>
    </row>
    <row r="306" spans="7:24">
      <c r="G306" s="18"/>
      <c r="P306" s="146"/>
      <c r="Q306" s="34"/>
      <c r="R306" s="43"/>
      <c r="U306" s="18"/>
      <c r="X306" s="113"/>
    </row>
    <row r="307" spans="7:24">
      <c r="G307" s="18"/>
      <c r="P307" s="146"/>
      <c r="Q307" s="34"/>
      <c r="R307" s="43"/>
      <c r="U307" s="18"/>
      <c r="X307" s="113"/>
    </row>
    <row r="308" spans="7:24">
      <c r="G308" s="18"/>
      <c r="P308" s="146"/>
      <c r="Q308" s="34"/>
      <c r="R308" s="43"/>
      <c r="U308" s="18"/>
      <c r="X308" s="113"/>
    </row>
    <row r="309" spans="7:24">
      <c r="G309" s="18"/>
      <c r="P309" s="146"/>
      <c r="Q309" s="34"/>
      <c r="R309" s="43"/>
      <c r="U309" s="18"/>
      <c r="X309" s="113"/>
    </row>
    <row r="310" spans="7:24">
      <c r="G310" s="18"/>
      <c r="P310" s="146"/>
      <c r="Q310" s="34"/>
      <c r="R310" s="43"/>
      <c r="U310" s="18"/>
      <c r="X310" s="113"/>
    </row>
    <row r="311" spans="7:24">
      <c r="G311" s="18"/>
      <c r="P311" s="146"/>
      <c r="Q311" s="34"/>
      <c r="R311" s="43"/>
      <c r="U311" s="18"/>
      <c r="X311" s="113"/>
    </row>
    <row r="312" spans="7:24">
      <c r="G312" s="18"/>
      <c r="P312" s="146"/>
      <c r="Q312" s="34"/>
      <c r="R312" s="43"/>
      <c r="U312" s="18"/>
      <c r="X312" s="113"/>
    </row>
    <row r="313" spans="7:24">
      <c r="G313" s="18"/>
      <c r="P313" s="146"/>
      <c r="Q313" s="34"/>
      <c r="R313" s="43"/>
      <c r="U313" s="18"/>
      <c r="X313" s="113"/>
    </row>
    <row r="314" spans="7:24">
      <c r="G314" s="18"/>
      <c r="P314" s="146"/>
      <c r="Q314" s="34"/>
      <c r="R314" s="43"/>
      <c r="U314" s="18"/>
      <c r="X314" s="113"/>
    </row>
    <row r="315" spans="7:24">
      <c r="G315" s="18"/>
      <c r="P315" s="146"/>
      <c r="Q315" s="34"/>
      <c r="R315" s="43"/>
      <c r="U315" s="18"/>
      <c r="X315" s="113"/>
    </row>
    <row r="316" spans="7:24">
      <c r="G316" s="18"/>
      <c r="P316" s="146"/>
      <c r="Q316" s="34"/>
      <c r="R316" s="43"/>
      <c r="U316" s="18"/>
      <c r="X316" s="113"/>
    </row>
    <row r="317" spans="7:24">
      <c r="G317" s="18"/>
      <c r="P317" s="146"/>
      <c r="Q317" s="34"/>
      <c r="R317" s="43"/>
      <c r="U317" s="18"/>
      <c r="X317" s="113"/>
    </row>
    <row r="318" spans="7:24">
      <c r="G318" s="18"/>
      <c r="P318" s="146"/>
      <c r="Q318" s="34"/>
      <c r="R318" s="43"/>
      <c r="U318" s="18"/>
      <c r="X318" s="113"/>
    </row>
    <row r="319" spans="7:24">
      <c r="G319" s="18"/>
      <c r="P319" s="146"/>
      <c r="Q319" s="34"/>
      <c r="R319" s="43"/>
      <c r="U319" s="18"/>
      <c r="X319" s="113"/>
    </row>
    <row r="320" spans="7:24">
      <c r="G320" s="18"/>
      <c r="P320" s="146"/>
      <c r="Q320" s="34"/>
      <c r="R320" s="43"/>
      <c r="U320" s="18"/>
      <c r="X320" s="113"/>
    </row>
    <row r="321" spans="7:24">
      <c r="G321" s="18"/>
      <c r="P321" s="146"/>
      <c r="Q321" s="34"/>
      <c r="R321" s="43"/>
      <c r="U321" s="18"/>
      <c r="X321" s="113"/>
    </row>
    <row r="322" spans="7:24">
      <c r="G322" s="18"/>
      <c r="P322" s="146"/>
      <c r="Q322" s="34"/>
      <c r="R322" s="43"/>
      <c r="U322" s="18"/>
      <c r="X322" s="113"/>
    </row>
    <row r="323" spans="7:24">
      <c r="G323" s="18"/>
      <c r="P323" s="146"/>
      <c r="Q323" s="34"/>
      <c r="R323" s="43"/>
      <c r="U323" s="18"/>
      <c r="X323" s="113"/>
    </row>
    <row r="324" spans="7:24">
      <c r="G324" s="18"/>
      <c r="P324" s="146"/>
      <c r="Q324" s="34"/>
      <c r="R324" s="43"/>
      <c r="U324" s="18"/>
      <c r="X324" s="113"/>
    </row>
    <row r="325" spans="7:24">
      <c r="G325" s="18"/>
      <c r="P325" s="146"/>
      <c r="Q325" s="34"/>
      <c r="R325" s="43"/>
      <c r="U325" s="18"/>
      <c r="X325" s="113"/>
    </row>
    <row r="326" spans="7:24">
      <c r="G326" s="18"/>
      <c r="P326" s="146"/>
      <c r="Q326" s="34"/>
      <c r="R326" s="43"/>
      <c r="U326" s="18"/>
      <c r="X326" s="113"/>
    </row>
    <row r="327" spans="7:24">
      <c r="G327" s="18"/>
      <c r="P327" s="146"/>
      <c r="Q327" s="34"/>
      <c r="R327" s="43"/>
      <c r="U327" s="18"/>
      <c r="X327" s="113"/>
    </row>
    <row r="328" spans="7:24">
      <c r="G328" s="18"/>
      <c r="P328" s="146"/>
      <c r="Q328" s="34"/>
      <c r="R328" s="43"/>
      <c r="U328" s="18"/>
      <c r="X328" s="113"/>
    </row>
    <row r="329" spans="7:24">
      <c r="G329" s="18"/>
      <c r="P329" s="146"/>
      <c r="Q329" s="34"/>
      <c r="R329" s="43"/>
      <c r="U329" s="18"/>
      <c r="X329" s="113"/>
    </row>
    <row r="330" spans="7:24">
      <c r="G330" s="18"/>
      <c r="P330" s="146"/>
      <c r="Q330" s="34"/>
      <c r="R330" s="43"/>
      <c r="U330" s="18"/>
      <c r="X330" s="113"/>
    </row>
    <row r="331" spans="7:24">
      <c r="G331" s="18"/>
      <c r="P331" s="146"/>
      <c r="Q331" s="34"/>
      <c r="R331" s="43"/>
      <c r="U331" s="18"/>
      <c r="X331" s="113"/>
    </row>
    <row r="332" spans="7:24">
      <c r="G332" s="18"/>
      <c r="P332" s="146"/>
      <c r="Q332" s="34"/>
      <c r="R332" s="43"/>
      <c r="U332" s="18"/>
      <c r="X332" s="113"/>
    </row>
    <row r="333" spans="7:24">
      <c r="G333" s="18"/>
      <c r="P333" s="146"/>
      <c r="Q333" s="34"/>
      <c r="R333" s="43"/>
      <c r="U333" s="18"/>
      <c r="X333" s="113"/>
    </row>
    <row r="334" spans="7:24">
      <c r="G334" s="18"/>
      <c r="P334" s="146"/>
      <c r="Q334" s="34"/>
      <c r="R334" s="43"/>
      <c r="U334" s="18"/>
      <c r="X334" s="113"/>
    </row>
    <row r="335" spans="7:24">
      <c r="G335" s="18"/>
      <c r="P335" s="146"/>
      <c r="Q335" s="34"/>
      <c r="R335" s="43"/>
      <c r="U335" s="18"/>
      <c r="X335" s="113"/>
    </row>
    <row r="336" spans="7:24">
      <c r="G336" s="18"/>
      <c r="P336" s="146"/>
      <c r="Q336" s="34"/>
      <c r="R336" s="43"/>
      <c r="U336" s="18"/>
      <c r="X336" s="113"/>
    </row>
    <row r="337" spans="7:24">
      <c r="G337" s="18"/>
      <c r="P337" s="146"/>
      <c r="Q337" s="34"/>
      <c r="R337" s="43"/>
      <c r="U337" s="18"/>
      <c r="X337" s="113"/>
    </row>
    <row r="338" spans="7:24">
      <c r="G338" s="18"/>
      <c r="P338" s="146"/>
      <c r="Q338" s="34"/>
      <c r="R338" s="43"/>
      <c r="U338" s="18"/>
      <c r="X338" s="113"/>
    </row>
  </sheetData>
  <dataValidations count="1">
    <dataValidation allowBlank="1" showInputMessage="1" showErrorMessage="1" sqref="E1:E1048576 C1:C1048576" xr:uid="{FCF7C294-5A00-4B3D-84F5-BBB21C0FDED5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A3D5-A398-4BBE-BD59-602D2DEE64F0}">
  <sheetPr>
    <tabColor rgb="FFFFFF00"/>
  </sheetPr>
  <dimension ref="A1:AF304"/>
  <sheetViews>
    <sheetView workbookViewId="0">
      <selection activeCell="E17" sqref="E17"/>
    </sheetView>
  </sheetViews>
  <sheetFormatPr defaultRowHeight="16.5"/>
  <cols>
    <col min="2" max="2" width="28.375" bestFit="1" customWidth="1"/>
    <col min="3" max="3" width="27.125" bestFit="1" customWidth="1"/>
    <col min="4" max="4" width="16.75" bestFit="1" customWidth="1"/>
    <col min="5" max="5" width="17.25" customWidth="1"/>
    <col min="6" max="6" width="18" customWidth="1"/>
    <col min="7" max="7" width="15.625" bestFit="1" customWidth="1"/>
    <col min="8" max="8" width="19.625" style="113" customWidth="1"/>
    <col min="9" max="9" width="13" bestFit="1" customWidth="1"/>
    <col min="10" max="10" width="14.375" bestFit="1" customWidth="1"/>
    <col min="11" max="11" width="14.75" bestFit="1" customWidth="1"/>
    <col min="12" max="12" width="20.25" bestFit="1" customWidth="1"/>
    <col min="13" max="13" width="21.375" bestFit="1" customWidth="1"/>
    <col min="14" max="14" width="25.625" bestFit="1" customWidth="1"/>
    <col min="15" max="15" width="15.25" bestFit="1" customWidth="1"/>
    <col min="16" max="16" width="13.375" bestFit="1" customWidth="1"/>
    <col min="17" max="17" width="25.875" bestFit="1" customWidth="1"/>
    <col min="18" max="18" width="16.625" bestFit="1" customWidth="1"/>
    <col min="19" max="19" width="18.25" bestFit="1" customWidth="1"/>
    <col min="20" max="20" width="21.25" bestFit="1" customWidth="1"/>
    <col min="21" max="21" width="25.125" customWidth="1"/>
    <col min="22" max="22" width="9.25" bestFit="1" customWidth="1"/>
    <col min="23" max="23" width="18" bestFit="1" customWidth="1"/>
    <col min="24" max="24" width="18.125" bestFit="1" customWidth="1"/>
  </cols>
  <sheetData>
    <row r="1" spans="1:32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1355</v>
      </c>
      <c r="I1" s="10" t="s">
        <v>1318</v>
      </c>
      <c r="J1" s="10" t="s">
        <v>1319</v>
      </c>
      <c r="K1" s="10" t="s">
        <v>1320</v>
      </c>
      <c r="L1" s="10" t="s">
        <v>1321</v>
      </c>
      <c r="M1" s="10" t="s">
        <v>1322</v>
      </c>
      <c r="N1" s="10" t="s">
        <v>1323</v>
      </c>
      <c r="O1" s="10" t="s">
        <v>1324</v>
      </c>
      <c r="P1" s="131" t="s">
        <v>1344</v>
      </c>
      <c r="Q1" s="131" t="s">
        <v>1345</v>
      </c>
      <c r="R1" s="131" t="s">
        <v>1346</v>
      </c>
      <c r="S1" s="10" t="s">
        <v>1293</v>
      </c>
      <c r="T1" s="17" t="s">
        <v>1294</v>
      </c>
      <c r="U1" s="61" t="s">
        <v>1295</v>
      </c>
      <c r="V1" s="10" t="s">
        <v>1296</v>
      </c>
      <c r="W1" s="10" t="s">
        <v>1297</v>
      </c>
      <c r="X1" s="210" t="s">
        <v>1298</v>
      </c>
      <c r="Y1" s="10"/>
      <c r="Z1" s="10"/>
      <c r="AA1" s="10"/>
      <c r="AB1" s="10"/>
      <c r="AC1" s="10"/>
      <c r="AD1" s="10"/>
      <c r="AE1" s="10"/>
      <c r="AF1" s="10"/>
    </row>
    <row r="2" spans="1:32">
      <c r="A2" s="1"/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332" t="s">
        <v>1356</v>
      </c>
      <c r="I2" s="329" t="s">
        <v>1327</v>
      </c>
      <c r="J2" s="5" t="s">
        <v>1328</v>
      </c>
      <c r="K2" s="53" t="s">
        <v>1329</v>
      </c>
      <c r="L2" s="5" t="s">
        <v>1330</v>
      </c>
      <c r="M2" s="5" t="s">
        <v>1331</v>
      </c>
      <c r="N2" s="57" t="s">
        <v>1348</v>
      </c>
      <c r="O2" s="5" t="s">
        <v>1349</v>
      </c>
      <c r="P2" s="5" t="s">
        <v>1350</v>
      </c>
      <c r="Q2" s="5" t="s">
        <v>1351</v>
      </c>
      <c r="R2" s="5" t="s">
        <v>1352</v>
      </c>
      <c r="S2" s="19" t="s">
        <v>1308</v>
      </c>
      <c r="T2" s="16" t="s">
        <v>1309</v>
      </c>
      <c r="U2" s="241" t="s">
        <v>1310</v>
      </c>
      <c r="V2" s="54" t="s">
        <v>1311</v>
      </c>
      <c r="W2" s="3" t="s">
        <v>10</v>
      </c>
      <c r="X2" s="242" t="s">
        <v>1312</v>
      </c>
      <c r="Y2" s="1"/>
      <c r="Z2" s="1"/>
      <c r="AA2" s="1"/>
      <c r="AB2" s="1"/>
      <c r="AC2" s="1"/>
      <c r="AD2" s="41"/>
      <c r="AE2" s="41"/>
      <c r="AF2" s="41"/>
    </row>
    <row r="3" spans="1:32">
      <c r="A3" s="203"/>
      <c r="B3" s="1" t="str">
        <f>D3&amp;"_"&amp;F3&amp;"_"&amp;H3</f>
        <v>M_PGE0101_VM_0000_130</v>
      </c>
      <c r="C3" s="328" t="s">
        <v>834</v>
      </c>
      <c r="D3" s="7" t="str" cm="1">
        <f t="array" ref="D3">INDEX(기계코드!$D$4:$D$1022,MATCH(1,(C3=기계코드!$F$4:$F$1022)*1,0))</f>
        <v>M_PGE0101</v>
      </c>
      <c r="E3" s="341" t="s">
        <v>1125</v>
      </c>
      <c r="F3" s="7" t="str" cm="1">
        <f t="array" ref="F3">INDEX(공급업체코드!$B$3:$B$1000,MATCH(1,(E3=공급업체코드!$D$3:$D$1000)*1,0))</f>
        <v>VM_0000</v>
      </c>
      <c r="G3" s="18"/>
      <c r="H3" s="113">
        <v>130</v>
      </c>
      <c r="I3" s="70"/>
      <c r="J3" s="341"/>
      <c r="K3" s="7"/>
      <c r="L3" s="151"/>
      <c r="M3" s="7"/>
      <c r="N3" s="7"/>
      <c r="O3" s="64"/>
      <c r="P3" s="272" t="s">
        <v>1313</v>
      </c>
      <c r="Q3" s="10"/>
      <c r="R3" s="273"/>
      <c r="S3" s="64">
        <v>0</v>
      </c>
      <c r="T3" s="64"/>
      <c r="U3" s="113" t="s">
        <v>1354</v>
      </c>
      <c r="V3" s="1" t="b">
        <v>1</v>
      </c>
      <c r="X3" s="133"/>
      <c r="AD3" s="41"/>
      <c r="AE3" s="41"/>
      <c r="AF3" s="41"/>
    </row>
    <row r="4" spans="1:32">
      <c r="A4" s="203"/>
      <c r="B4" s="1" t="str">
        <f>D4&amp;"_"&amp;F4&amp;"_"&amp;H4</f>
        <v>M_PGE0101_VM_0000_240</v>
      </c>
      <c r="C4" s="328" t="s">
        <v>834</v>
      </c>
      <c r="D4" s="7" t="str" cm="1">
        <f t="array" ref="D4">INDEX(기계코드!$D$4:$D$1022,MATCH(1,(C4=기계코드!$F$4:$F$1022)*1,0))</f>
        <v>M_PGE0101</v>
      </c>
      <c r="E4" s="341" t="s">
        <v>1125</v>
      </c>
      <c r="F4" s="7" t="str" cm="1">
        <f t="array" ref="F4">INDEX(공급업체코드!$B$3:$B$1000,MATCH(1,(E4=공급업체코드!$D$3:$D$1000)*1,0))</f>
        <v>VM_0000</v>
      </c>
      <c r="G4" s="18"/>
      <c r="H4" s="113">
        <v>240</v>
      </c>
      <c r="I4" s="70"/>
      <c r="J4" s="341"/>
      <c r="K4" s="7"/>
      <c r="L4" s="151"/>
      <c r="M4" s="7"/>
      <c r="N4" s="7"/>
      <c r="O4" s="64"/>
      <c r="P4" s="274" t="s">
        <v>1313</v>
      </c>
      <c r="Q4" s="10"/>
      <c r="R4" s="275"/>
      <c r="S4" s="64">
        <v>0</v>
      </c>
      <c r="T4" s="64"/>
      <c r="U4" s="113" t="s">
        <v>1354</v>
      </c>
      <c r="V4" s="1" t="b">
        <v>1</v>
      </c>
      <c r="X4" s="133"/>
      <c r="AD4" s="41"/>
      <c r="AE4" s="41"/>
      <c r="AF4" s="41"/>
    </row>
    <row r="5" spans="1:32">
      <c r="A5" s="203"/>
      <c r="B5" s="1" t="str">
        <f t="shared" ref="B5:B6" si="0">D5&amp;"_"&amp;F5&amp;"_"&amp;H5</f>
        <v>M_PGE0101_VM_0000_360</v>
      </c>
      <c r="C5" s="328" t="s">
        <v>834</v>
      </c>
      <c r="D5" s="7" t="str" cm="1">
        <f t="array" ref="D5">INDEX(기계코드!$D$4:$D$1022,MATCH(1,(C5=기계코드!$F$4:$F$1022)*1,0))</f>
        <v>M_PGE0101</v>
      </c>
      <c r="E5" s="341" t="s">
        <v>1125</v>
      </c>
      <c r="F5" s="7" t="str" cm="1">
        <f t="array" ref="F5">INDEX(공급업체코드!$B$3:$B$1000,MATCH(1,(E5=공급업체코드!$D$3:$D$1000)*1,0))</f>
        <v>VM_0000</v>
      </c>
      <c r="G5" s="18"/>
      <c r="H5" s="113">
        <v>360</v>
      </c>
      <c r="I5" s="70"/>
      <c r="J5" s="341"/>
      <c r="K5" s="7"/>
      <c r="L5" s="151"/>
      <c r="M5" s="7"/>
      <c r="N5" s="7"/>
      <c r="O5" s="64"/>
      <c r="P5" s="274" t="s">
        <v>1313</v>
      </c>
      <c r="Q5" s="10"/>
      <c r="R5" s="275"/>
      <c r="S5" s="64">
        <v>0</v>
      </c>
      <c r="T5" s="64"/>
      <c r="U5" s="113" t="s">
        <v>1354</v>
      </c>
      <c r="V5" s="1" t="b">
        <v>1</v>
      </c>
      <c r="X5" s="133"/>
      <c r="AD5" s="41"/>
      <c r="AE5" s="41"/>
      <c r="AF5" s="41"/>
    </row>
    <row r="6" spans="1:32">
      <c r="A6" s="203"/>
      <c r="B6" s="1" t="str">
        <f t="shared" si="0"/>
        <v>M_PGE0101_VM_0000_600</v>
      </c>
      <c r="C6" s="328" t="s">
        <v>834</v>
      </c>
      <c r="D6" s="7" t="str" cm="1">
        <f t="array" ref="D6">INDEX(기계코드!$D$4:$D$1022,MATCH(1,(C6=기계코드!$F$4:$F$1022)*1,0))</f>
        <v>M_PGE0101</v>
      </c>
      <c r="E6" s="341" t="s">
        <v>1125</v>
      </c>
      <c r="F6" s="7" t="str" cm="1">
        <f t="array" ref="F6">INDEX(공급업체코드!$B$3:$B$1000,MATCH(1,(E6=공급업체코드!$D$3:$D$1000)*1,0))</f>
        <v>VM_0000</v>
      </c>
      <c r="G6" s="18"/>
      <c r="H6" s="113">
        <v>600</v>
      </c>
      <c r="I6" s="70"/>
      <c r="J6" s="341"/>
      <c r="K6" s="7"/>
      <c r="L6" s="151"/>
      <c r="M6" s="7"/>
      <c r="N6" s="7"/>
      <c r="O6" s="64"/>
      <c r="P6" s="274" t="s">
        <v>1313</v>
      </c>
      <c r="Q6" s="10"/>
      <c r="R6" s="275"/>
      <c r="S6" s="64">
        <v>0</v>
      </c>
      <c r="T6" s="64"/>
      <c r="U6" s="113" t="s">
        <v>1354</v>
      </c>
      <c r="V6" s="1" t="b">
        <v>1</v>
      </c>
      <c r="X6" s="133"/>
      <c r="AD6" s="41"/>
      <c r="AE6" s="41"/>
      <c r="AF6" s="41"/>
    </row>
    <row r="7" spans="1:32">
      <c r="B7" s="1"/>
      <c r="C7" s="328"/>
      <c r="D7" s="7"/>
      <c r="E7" s="7"/>
      <c r="F7" s="7"/>
      <c r="G7" s="18"/>
      <c r="I7" s="70"/>
      <c r="J7" s="7"/>
      <c r="K7" s="7"/>
      <c r="L7" s="151"/>
      <c r="M7" s="7"/>
      <c r="N7" s="7"/>
      <c r="O7" s="64"/>
      <c r="P7" s="274"/>
      <c r="Q7" s="10"/>
      <c r="R7" s="275"/>
      <c r="S7" s="64"/>
      <c r="T7" s="64"/>
      <c r="U7" s="18"/>
      <c r="V7" s="1"/>
      <c r="X7" s="133"/>
      <c r="AD7" s="41"/>
      <c r="AE7" s="41"/>
      <c r="AF7" s="41"/>
    </row>
    <row r="8" spans="1:32">
      <c r="B8" s="1"/>
      <c r="C8" s="328"/>
      <c r="D8" s="7"/>
      <c r="E8" s="7"/>
      <c r="F8" s="7"/>
      <c r="G8" s="18"/>
      <c r="I8" s="70"/>
      <c r="J8" s="7"/>
      <c r="K8" s="7"/>
      <c r="L8" s="151"/>
      <c r="M8" s="7"/>
      <c r="N8" s="7"/>
      <c r="O8" s="64"/>
      <c r="P8" s="274"/>
      <c r="Q8" s="10"/>
      <c r="R8" s="275"/>
      <c r="S8" s="64"/>
      <c r="T8" s="64"/>
      <c r="U8" s="18"/>
      <c r="V8" s="1"/>
      <c r="X8" s="113"/>
      <c r="AD8" s="41"/>
      <c r="AE8" s="41"/>
      <c r="AF8" s="41"/>
    </row>
    <row r="9" spans="1:32">
      <c r="B9" s="1"/>
      <c r="C9" s="328"/>
      <c r="D9" s="7"/>
      <c r="E9" s="7"/>
      <c r="F9" s="7"/>
      <c r="G9" s="18"/>
      <c r="I9" s="70"/>
      <c r="J9" s="7"/>
      <c r="K9" s="7"/>
      <c r="L9" s="151"/>
      <c r="M9" s="7"/>
      <c r="N9" s="7"/>
      <c r="O9" s="64"/>
      <c r="P9" s="274"/>
      <c r="Q9" s="10"/>
      <c r="R9" s="275"/>
      <c r="S9" s="64"/>
      <c r="T9" s="64"/>
      <c r="U9" s="18"/>
      <c r="V9" s="1"/>
      <c r="X9" s="113"/>
      <c r="AD9" s="41"/>
      <c r="AE9" s="41"/>
      <c r="AF9" s="41"/>
    </row>
    <row r="10" spans="1:32">
      <c r="B10" s="1"/>
      <c r="C10" s="328"/>
      <c r="D10" s="7"/>
      <c r="E10" s="7"/>
      <c r="F10" s="7"/>
      <c r="G10" s="18"/>
      <c r="I10" s="70"/>
      <c r="J10" s="7"/>
      <c r="K10" s="7"/>
      <c r="L10" s="151"/>
      <c r="M10" s="7"/>
      <c r="N10" s="7"/>
      <c r="O10" s="64"/>
      <c r="P10" s="274"/>
      <c r="Q10" s="10"/>
      <c r="R10" s="275"/>
      <c r="S10" s="64"/>
      <c r="T10" s="64"/>
      <c r="U10" s="18"/>
      <c r="V10" s="1"/>
      <c r="X10" s="113"/>
      <c r="AD10" s="40"/>
      <c r="AE10" s="40"/>
      <c r="AF10" s="41"/>
    </row>
    <row r="11" spans="1:32">
      <c r="B11" s="1"/>
      <c r="C11" s="328"/>
      <c r="D11" s="7"/>
      <c r="E11" s="7"/>
      <c r="F11" s="7"/>
      <c r="G11" s="18"/>
      <c r="I11" s="70"/>
      <c r="J11" s="7"/>
      <c r="K11" s="7"/>
      <c r="L11" s="151"/>
      <c r="M11" s="7"/>
      <c r="N11" s="7"/>
      <c r="O11" s="64"/>
      <c r="P11" s="274"/>
      <c r="Q11" s="10"/>
      <c r="R11" s="275"/>
      <c r="S11" s="64"/>
      <c r="T11" s="64"/>
      <c r="U11" s="18"/>
      <c r="V11" s="1"/>
      <c r="X11" s="113"/>
      <c r="AD11" s="40"/>
      <c r="AE11" s="40"/>
      <c r="AF11" s="40"/>
    </row>
    <row r="12" spans="1:32">
      <c r="B12" s="1"/>
      <c r="C12" s="328"/>
      <c r="D12" s="7"/>
      <c r="E12" s="7"/>
      <c r="F12" s="7"/>
      <c r="G12" s="18"/>
      <c r="I12" s="70"/>
      <c r="J12" s="7"/>
      <c r="K12" s="7"/>
      <c r="L12" s="151"/>
      <c r="M12" s="7"/>
      <c r="N12" s="7"/>
      <c r="O12" s="64"/>
      <c r="P12" s="274"/>
      <c r="Q12" s="10"/>
      <c r="R12" s="275"/>
      <c r="S12" s="64"/>
      <c r="T12" s="64"/>
      <c r="U12" s="18"/>
      <c r="V12" s="1"/>
      <c r="X12" s="113"/>
      <c r="AD12" s="40"/>
      <c r="AE12" s="40"/>
      <c r="AF12" s="41"/>
    </row>
    <row r="13" spans="1:32">
      <c r="B13" s="1"/>
      <c r="C13" s="328"/>
      <c r="D13" s="7"/>
      <c r="E13" s="7"/>
      <c r="F13" s="7"/>
      <c r="G13" s="18"/>
      <c r="I13" s="70"/>
      <c r="J13" s="7"/>
      <c r="K13" s="7"/>
      <c r="L13" s="151"/>
      <c r="M13" s="7"/>
      <c r="N13" s="7"/>
      <c r="O13" s="64"/>
      <c r="P13" s="274"/>
      <c r="Q13" s="10"/>
      <c r="R13" s="275"/>
      <c r="S13" s="64"/>
      <c r="T13" s="64"/>
      <c r="U13" s="18"/>
      <c r="V13" s="1"/>
      <c r="X13" s="113"/>
      <c r="AD13" s="41"/>
      <c r="AE13" s="41"/>
      <c r="AF13" s="41"/>
    </row>
    <row r="14" spans="1:32">
      <c r="B14" s="1"/>
      <c r="C14" s="7"/>
      <c r="D14" s="7"/>
      <c r="E14" s="7"/>
      <c r="F14" s="7"/>
      <c r="G14" s="18"/>
      <c r="I14" s="70"/>
      <c r="J14" s="7"/>
      <c r="K14" s="7"/>
      <c r="L14" s="151"/>
      <c r="M14" s="7"/>
      <c r="N14" s="7"/>
      <c r="O14" s="64"/>
      <c r="P14" s="274"/>
      <c r="Q14" s="10"/>
      <c r="R14" s="275"/>
      <c r="S14" s="64"/>
      <c r="T14" s="64"/>
      <c r="U14" s="18"/>
      <c r="V14" s="1"/>
      <c r="X14" s="113"/>
      <c r="AD14" s="40"/>
      <c r="AE14" s="40"/>
      <c r="AF14" s="41"/>
    </row>
    <row r="15" spans="1:32">
      <c r="B15" s="1"/>
      <c r="C15" s="328"/>
      <c r="D15" s="7"/>
      <c r="E15" s="7"/>
      <c r="F15" s="7"/>
      <c r="G15" s="18"/>
      <c r="I15" s="70"/>
      <c r="J15" s="7"/>
      <c r="K15" s="7"/>
      <c r="L15" s="151"/>
      <c r="M15" s="7"/>
      <c r="N15" s="7"/>
      <c r="O15" s="64"/>
      <c r="P15" s="274"/>
      <c r="Q15" s="10"/>
      <c r="R15" s="275"/>
      <c r="S15" s="64"/>
      <c r="T15" s="64"/>
      <c r="U15" s="18"/>
      <c r="V15" s="1"/>
      <c r="X15" s="113"/>
      <c r="AD15" s="41"/>
      <c r="AE15" s="41"/>
      <c r="AF15" s="41"/>
    </row>
    <row r="16" spans="1:32">
      <c r="B16" s="1"/>
      <c r="C16" s="328"/>
      <c r="D16" s="7"/>
      <c r="E16" s="7"/>
      <c r="F16" s="7"/>
      <c r="G16" s="18"/>
      <c r="I16" s="70"/>
      <c r="J16" s="7"/>
      <c r="K16" s="7"/>
      <c r="L16" s="151"/>
      <c r="M16" s="7"/>
      <c r="N16" s="7"/>
      <c r="O16" s="64"/>
      <c r="P16" s="274"/>
      <c r="Q16" s="10"/>
      <c r="R16" s="275"/>
      <c r="S16" s="64"/>
      <c r="T16" s="64"/>
      <c r="U16" s="18"/>
      <c r="V16" s="1"/>
      <c r="X16" s="113"/>
      <c r="AD16" s="41"/>
      <c r="AE16" s="41"/>
      <c r="AF16" s="41"/>
    </row>
    <row r="17" spans="2:32">
      <c r="B17" s="1"/>
      <c r="C17" s="328"/>
      <c r="D17" s="7"/>
      <c r="E17" s="7"/>
      <c r="F17" s="7"/>
      <c r="G17" s="18"/>
      <c r="I17" s="70"/>
      <c r="J17" s="7"/>
      <c r="K17" s="7"/>
      <c r="L17" s="151"/>
      <c r="M17" s="7"/>
      <c r="N17" s="7"/>
      <c r="O17" s="64"/>
      <c r="P17" s="274"/>
      <c r="Q17" s="10"/>
      <c r="R17" s="275"/>
      <c r="S17" s="64"/>
      <c r="T17" s="64"/>
      <c r="U17" s="18"/>
      <c r="V17" s="1"/>
      <c r="X17" s="113"/>
      <c r="AD17" s="40"/>
      <c r="AE17" s="40"/>
      <c r="AF17" s="41"/>
    </row>
    <row r="18" spans="2:32">
      <c r="B18" s="1"/>
      <c r="C18" s="7"/>
      <c r="D18" s="7"/>
      <c r="E18" s="7"/>
      <c r="F18" s="7"/>
      <c r="G18" s="18"/>
      <c r="I18" s="70"/>
      <c r="J18" s="7"/>
      <c r="K18" s="7"/>
      <c r="L18" s="151"/>
      <c r="M18" s="7"/>
      <c r="N18" s="7"/>
      <c r="O18" s="64"/>
      <c r="P18" s="274"/>
      <c r="Q18" s="10"/>
      <c r="R18" s="275"/>
      <c r="S18" s="64"/>
      <c r="T18" s="64"/>
      <c r="U18" s="18"/>
      <c r="V18" s="1"/>
      <c r="X18" s="113"/>
      <c r="AD18" s="41"/>
      <c r="AE18" s="41"/>
      <c r="AF18" s="41"/>
    </row>
    <row r="19" spans="2:32">
      <c r="B19" s="1"/>
      <c r="C19" s="7"/>
      <c r="D19" s="7"/>
      <c r="E19" s="7"/>
      <c r="F19" s="7"/>
      <c r="G19" s="18"/>
      <c r="I19" s="70"/>
      <c r="J19" s="7"/>
      <c r="K19" s="7"/>
      <c r="L19" s="151"/>
      <c r="M19" s="7"/>
      <c r="N19" s="7"/>
      <c r="O19" s="64"/>
      <c r="P19" s="274"/>
      <c r="Q19" s="10"/>
      <c r="R19" s="275"/>
      <c r="S19" s="64"/>
      <c r="T19" s="64"/>
      <c r="U19" s="18"/>
      <c r="V19" s="1"/>
      <c r="X19" s="113"/>
      <c r="AD19" s="41"/>
      <c r="AE19" s="41"/>
      <c r="AF19" s="41"/>
    </row>
    <row r="20" spans="2:32">
      <c r="B20" s="1"/>
      <c r="C20" s="7"/>
      <c r="D20" s="7"/>
      <c r="E20" s="7"/>
      <c r="F20" s="7"/>
      <c r="G20" s="18"/>
      <c r="I20" s="70"/>
      <c r="O20" s="64"/>
      <c r="P20" s="146"/>
      <c r="Q20" s="34"/>
      <c r="R20" s="43"/>
      <c r="S20" s="64"/>
      <c r="T20" s="64"/>
      <c r="U20" s="18"/>
      <c r="V20" s="1"/>
      <c r="X20" s="113"/>
      <c r="AD20" s="40"/>
      <c r="AE20" s="40"/>
      <c r="AF20" s="41"/>
    </row>
    <row r="21" spans="2:32">
      <c r="B21" s="1"/>
      <c r="C21" s="7"/>
      <c r="D21" s="7"/>
      <c r="E21" s="7"/>
      <c r="F21" s="7"/>
      <c r="G21" s="18"/>
      <c r="I21" s="70"/>
      <c r="O21" s="64"/>
      <c r="P21" s="146"/>
      <c r="Q21" s="34"/>
      <c r="R21" s="43"/>
      <c r="S21" s="64"/>
      <c r="T21" s="64"/>
      <c r="U21" s="18"/>
      <c r="V21" s="1"/>
      <c r="X21" s="113"/>
      <c r="AD21" s="41"/>
      <c r="AE21" s="41"/>
      <c r="AF21" s="41"/>
    </row>
    <row r="22" spans="2:32">
      <c r="B22" s="1"/>
      <c r="C22" s="7"/>
      <c r="D22" s="7"/>
      <c r="E22" s="7"/>
      <c r="F22" s="7"/>
      <c r="G22" s="18"/>
      <c r="I22" s="70"/>
      <c r="O22" s="64"/>
      <c r="P22" s="146"/>
      <c r="Q22" s="34"/>
      <c r="R22" s="43"/>
      <c r="S22" s="64"/>
      <c r="T22" s="64"/>
      <c r="U22" s="18"/>
      <c r="V22" s="1"/>
      <c r="X22" s="113"/>
      <c r="AD22" s="40"/>
      <c r="AE22" s="40"/>
      <c r="AF22" s="41"/>
    </row>
    <row r="23" spans="2:32">
      <c r="C23" s="7"/>
      <c r="D23" s="7"/>
      <c r="E23" s="7"/>
      <c r="F23" s="7"/>
      <c r="G23" s="18"/>
      <c r="I23" s="70"/>
      <c r="O23" s="64"/>
      <c r="P23" s="146"/>
      <c r="Q23" s="34"/>
      <c r="R23" s="43"/>
      <c r="S23" s="64"/>
      <c r="T23" s="64"/>
      <c r="U23" s="18"/>
      <c r="V23" s="1"/>
      <c r="X23" s="113"/>
      <c r="AD23" s="40"/>
      <c r="AE23" s="40"/>
      <c r="AF23" s="40"/>
    </row>
    <row r="24" spans="2:32">
      <c r="B24" s="1"/>
      <c r="C24" s="7"/>
      <c r="D24" s="7"/>
      <c r="E24" s="7"/>
      <c r="F24" s="7"/>
      <c r="G24" s="18"/>
      <c r="I24" s="70"/>
      <c r="O24" s="64"/>
      <c r="P24" s="146"/>
      <c r="Q24" s="34"/>
      <c r="R24" s="43"/>
      <c r="S24" s="68"/>
      <c r="T24" s="68"/>
      <c r="U24" s="18"/>
      <c r="V24" s="1"/>
      <c r="X24" s="113"/>
      <c r="AD24" s="40"/>
      <c r="AE24" s="40"/>
      <c r="AF24" s="41"/>
    </row>
    <row r="25" spans="2:32">
      <c r="B25" s="1"/>
      <c r="C25" s="7"/>
      <c r="D25" s="7"/>
      <c r="E25" s="7"/>
      <c r="F25" s="7"/>
      <c r="G25" s="18"/>
      <c r="O25" s="64"/>
      <c r="P25" s="146"/>
      <c r="Q25" s="34"/>
      <c r="R25" s="43"/>
      <c r="S25" s="64"/>
      <c r="T25" s="64"/>
      <c r="U25" s="18"/>
      <c r="V25" s="1"/>
      <c r="X25" s="113"/>
      <c r="AD25" s="41"/>
      <c r="AE25" s="41"/>
      <c r="AF25" s="41"/>
    </row>
    <row r="26" spans="2:32">
      <c r="B26" s="1"/>
      <c r="C26" s="7"/>
      <c r="D26" s="7"/>
      <c r="E26" s="7"/>
      <c r="F26" s="7"/>
      <c r="G26" s="18"/>
      <c r="I26" s="70"/>
      <c r="O26" s="64"/>
      <c r="P26" s="146"/>
      <c r="Q26" s="34"/>
      <c r="R26" s="43"/>
      <c r="S26" s="64"/>
      <c r="T26" s="64"/>
      <c r="U26" s="18"/>
      <c r="V26" s="1"/>
      <c r="X26" s="113"/>
      <c r="AD26" s="41"/>
      <c r="AE26" s="41"/>
      <c r="AF26" s="41"/>
    </row>
    <row r="27" spans="2:32">
      <c r="B27" s="1"/>
      <c r="C27" s="7"/>
      <c r="D27" s="7"/>
      <c r="E27" s="7"/>
      <c r="F27" s="7"/>
      <c r="G27" s="18"/>
      <c r="I27" s="70"/>
      <c r="O27" s="64"/>
      <c r="P27" s="146"/>
      <c r="Q27" s="34"/>
      <c r="R27" s="43"/>
      <c r="S27" s="64"/>
      <c r="T27" s="64"/>
      <c r="U27" s="18"/>
      <c r="V27" s="1"/>
      <c r="X27" s="113"/>
      <c r="AD27" s="41"/>
      <c r="AE27" s="41"/>
      <c r="AF27" s="41"/>
    </row>
    <row r="28" spans="2:32">
      <c r="B28" s="1"/>
      <c r="C28" s="7"/>
      <c r="D28" s="7"/>
      <c r="E28" s="7"/>
      <c r="F28" s="7"/>
      <c r="G28" s="18"/>
      <c r="I28" s="70"/>
      <c r="O28" s="64"/>
      <c r="P28" s="146"/>
      <c r="Q28" s="34"/>
      <c r="R28" s="43"/>
      <c r="S28" s="64"/>
      <c r="T28" s="64"/>
      <c r="U28" s="18"/>
      <c r="V28" s="1"/>
      <c r="X28" s="113"/>
      <c r="AD28" s="40"/>
      <c r="AE28" s="40"/>
      <c r="AF28" s="41"/>
    </row>
    <row r="29" spans="2:32">
      <c r="B29" s="1"/>
      <c r="C29" s="7"/>
      <c r="D29" s="7"/>
      <c r="E29" s="7"/>
      <c r="F29" s="7"/>
      <c r="G29" s="18"/>
      <c r="I29" s="70"/>
      <c r="O29" s="64"/>
      <c r="P29" s="146"/>
      <c r="Q29" s="34"/>
      <c r="R29" s="43"/>
      <c r="S29" s="64"/>
      <c r="T29" s="64"/>
      <c r="U29" s="18"/>
      <c r="V29" s="1"/>
      <c r="X29" s="113"/>
      <c r="AD29" s="41"/>
      <c r="AE29" s="41"/>
      <c r="AF29" s="41"/>
    </row>
    <row r="30" spans="2:32">
      <c r="B30" s="1"/>
      <c r="C30" s="7"/>
      <c r="D30" s="7"/>
      <c r="E30" s="7"/>
      <c r="F30" s="7"/>
      <c r="G30" s="18"/>
      <c r="I30" s="70"/>
      <c r="O30" s="64"/>
      <c r="P30" s="146"/>
      <c r="Q30" s="34"/>
      <c r="R30" s="43"/>
      <c r="S30" s="64"/>
      <c r="T30" s="64"/>
      <c r="U30" s="18"/>
      <c r="V30" s="1"/>
      <c r="X30" s="113"/>
      <c r="AD30" s="41"/>
      <c r="AE30" s="41"/>
      <c r="AF30" s="41"/>
    </row>
    <row r="31" spans="2:32">
      <c r="B31" s="1"/>
      <c r="C31" s="7"/>
      <c r="D31" s="7"/>
      <c r="E31" s="7"/>
      <c r="F31" s="7"/>
      <c r="G31" s="18"/>
      <c r="I31" s="70"/>
      <c r="O31" s="64"/>
      <c r="P31" s="146"/>
      <c r="Q31" s="34"/>
      <c r="R31" s="43"/>
      <c r="S31" s="64"/>
      <c r="T31" s="64"/>
      <c r="U31" s="18"/>
      <c r="V31" s="1"/>
      <c r="X31" s="113"/>
      <c r="AD31" s="41"/>
      <c r="AE31" s="41"/>
      <c r="AF31" s="41"/>
    </row>
    <row r="32" spans="2:32">
      <c r="B32" s="1"/>
      <c r="C32" s="7"/>
      <c r="D32" s="7"/>
      <c r="E32" s="7"/>
      <c r="F32" s="7"/>
      <c r="G32" s="18"/>
      <c r="I32" s="70"/>
      <c r="O32" s="64"/>
      <c r="P32" s="146"/>
      <c r="Q32" s="34"/>
      <c r="R32" s="43"/>
      <c r="S32" s="64"/>
      <c r="T32" s="64"/>
      <c r="U32" s="18"/>
      <c r="V32" s="1"/>
      <c r="X32" s="113"/>
      <c r="AD32" s="40"/>
      <c r="AE32" s="40"/>
      <c r="AF32" s="41"/>
    </row>
    <row r="33" spans="2:32">
      <c r="B33" s="1"/>
      <c r="C33" s="7"/>
      <c r="D33" s="7"/>
      <c r="E33" s="7"/>
      <c r="F33" s="7"/>
      <c r="G33" s="18"/>
      <c r="I33" s="70"/>
      <c r="O33" s="64"/>
      <c r="P33" s="146"/>
      <c r="Q33" s="34"/>
      <c r="R33" s="43"/>
      <c r="S33" s="64"/>
      <c r="T33" s="64"/>
      <c r="U33" s="18"/>
      <c r="V33" s="1"/>
      <c r="X33" s="113"/>
      <c r="AD33" s="41"/>
      <c r="AE33" s="41"/>
      <c r="AF33" s="41"/>
    </row>
    <row r="34" spans="2:32">
      <c r="B34" s="1"/>
      <c r="C34" s="7"/>
      <c r="D34" s="7"/>
      <c r="E34" s="7"/>
      <c r="F34" s="7"/>
      <c r="G34" s="18"/>
      <c r="I34" s="70"/>
      <c r="O34" s="64"/>
      <c r="P34" s="146"/>
      <c r="Q34" s="34"/>
      <c r="R34" s="43"/>
      <c r="S34" s="64"/>
      <c r="T34" s="64"/>
      <c r="U34" s="18"/>
      <c r="V34" s="1"/>
      <c r="X34" s="113"/>
      <c r="AD34" s="41"/>
      <c r="AE34" s="41"/>
      <c r="AF34" s="41"/>
    </row>
    <row r="35" spans="2:32">
      <c r="B35" s="1"/>
      <c r="C35" s="7"/>
      <c r="D35" s="7"/>
      <c r="E35" s="7"/>
      <c r="F35" s="7"/>
      <c r="G35" s="18"/>
      <c r="I35" s="70"/>
      <c r="O35" s="64"/>
      <c r="P35" s="146"/>
      <c r="Q35" s="34"/>
      <c r="R35" s="43"/>
      <c r="S35" s="64"/>
      <c r="T35" s="64"/>
      <c r="U35" s="18"/>
      <c r="V35" s="1"/>
      <c r="X35" s="113"/>
      <c r="AD35" s="41"/>
      <c r="AE35" s="41"/>
      <c r="AF35" s="41"/>
    </row>
    <row r="36" spans="2:32">
      <c r="B36" s="1"/>
      <c r="C36" s="7"/>
      <c r="D36" s="7"/>
      <c r="E36" s="7"/>
      <c r="F36" s="7"/>
      <c r="G36" s="18"/>
      <c r="I36" s="70"/>
      <c r="O36" s="64"/>
      <c r="P36" s="146"/>
      <c r="Q36" s="34"/>
      <c r="R36" s="43"/>
      <c r="S36" s="64"/>
      <c r="T36" s="64"/>
      <c r="U36" s="18"/>
      <c r="V36" s="1"/>
      <c r="X36" s="113"/>
      <c r="AD36" s="40"/>
      <c r="AE36" s="40"/>
      <c r="AF36" s="41"/>
    </row>
    <row r="37" spans="2:32">
      <c r="B37" s="1"/>
      <c r="C37" s="7"/>
      <c r="D37" s="7"/>
      <c r="E37" s="7"/>
      <c r="F37" s="7"/>
      <c r="G37" s="18"/>
      <c r="I37" s="70"/>
      <c r="O37" s="64"/>
      <c r="P37" s="146"/>
      <c r="Q37" s="34"/>
      <c r="R37" s="43"/>
      <c r="S37" s="64"/>
      <c r="T37" s="64"/>
      <c r="U37" s="18"/>
      <c r="V37" s="1"/>
      <c r="X37" s="113"/>
      <c r="AD37" s="41"/>
      <c r="AE37" s="41"/>
      <c r="AF37" s="41"/>
    </row>
    <row r="38" spans="2:32">
      <c r="B38" s="1"/>
      <c r="C38" s="7"/>
      <c r="D38" s="7"/>
      <c r="E38" s="7"/>
      <c r="F38" s="7"/>
      <c r="G38" s="18"/>
      <c r="I38" s="70"/>
      <c r="P38" s="146"/>
      <c r="Q38" s="34"/>
      <c r="R38" s="43"/>
      <c r="S38" s="58"/>
      <c r="T38" s="58"/>
      <c r="U38" s="18"/>
      <c r="V38" s="1"/>
      <c r="X38" s="113"/>
      <c r="AD38" s="41"/>
      <c r="AE38" s="41"/>
      <c r="AF38" s="41"/>
    </row>
    <row r="39" spans="2:32">
      <c r="B39" s="1"/>
      <c r="C39" s="7"/>
      <c r="D39" s="7"/>
      <c r="E39" s="7"/>
      <c r="F39" s="7"/>
      <c r="G39" s="18"/>
      <c r="I39" s="70"/>
      <c r="P39" s="146"/>
      <c r="Q39" s="34"/>
      <c r="R39" s="43"/>
      <c r="S39" s="58"/>
      <c r="T39" s="58"/>
      <c r="U39" s="18"/>
      <c r="V39" s="1"/>
      <c r="X39" s="113"/>
      <c r="AD39" s="40"/>
      <c r="AE39" s="40"/>
      <c r="AF39" s="41"/>
    </row>
    <row r="40" spans="2:32">
      <c r="B40" s="1"/>
      <c r="C40" s="7"/>
      <c r="D40" s="7"/>
      <c r="E40" s="7"/>
      <c r="F40" s="7"/>
      <c r="G40" s="18"/>
      <c r="I40" s="70"/>
      <c r="P40" s="146"/>
      <c r="Q40" s="34"/>
      <c r="R40" s="43"/>
      <c r="S40" s="58"/>
      <c r="T40" s="58"/>
      <c r="U40" s="18"/>
      <c r="V40" s="1"/>
      <c r="X40" s="113"/>
      <c r="AD40" s="41"/>
      <c r="AE40" s="41"/>
      <c r="AF40" s="41"/>
    </row>
    <row r="41" spans="2:32">
      <c r="B41" s="1"/>
      <c r="C41" s="7"/>
      <c r="D41" s="7"/>
      <c r="E41" s="7"/>
      <c r="F41" s="7"/>
      <c r="G41" s="18"/>
      <c r="I41" s="70"/>
      <c r="P41" s="146"/>
      <c r="Q41" s="34"/>
      <c r="R41" s="43"/>
      <c r="S41" s="58"/>
      <c r="T41" s="58"/>
      <c r="U41" s="18"/>
      <c r="V41" s="1"/>
      <c r="X41" s="113"/>
      <c r="AD41" s="40"/>
      <c r="AE41" s="40"/>
      <c r="AF41" s="40"/>
    </row>
    <row r="42" spans="2:32">
      <c r="B42" s="1"/>
      <c r="C42" s="7"/>
      <c r="D42" s="7"/>
      <c r="E42" s="7"/>
      <c r="F42" s="7"/>
      <c r="G42" s="18"/>
      <c r="I42" s="70"/>
      <c r="P42" s="146"/>
      <c r="Q42" s="34"/>
      <c r="R42" s="43"/>
      <c r="S42" s="58"/>
      <c r="T42" s="58"/>
      <c r="U42" s="18"/>
      <c r="V42" s="1"/>
      <c r="X42" s="113"/>
      <c r="AD42" s="41"/>
      <c r="AE42" s="41"/>
      <c r="AF42" s="41"/>
    </row>
    <row r="43" spans="2:32">
      <c r="B43" s="1"/>
      <c r="C43" s="7"/>
      <c r="D43" s="7"/>
      <c r="E43" s="7"/>
      <c r="F43" s="7"/>
      <c r="G43" s="18"/>
      <c r="I43" s="70"/>
      <c r="P43" s="146"/>
      <c r="Q43" s="34"/>
      <c r="R43" s="43"/>
      <c r="S43" s="58"/>
      <c r="T43" s="58"/>
      <c r="U43" s="18"/>
      <c r="V43" s="1"/>
      <c r="X43" s="113"/>
      <c r="AD43" s="41"/>
      <c r="AE43" s="41"/>
      <c r="AF43" s="41"/>
    </row>
    <row r="44" spans="2:32">
      <c r="B44" s="1"/>
      <c r="C44" s="7"/>
      <c r="D44" s="7"/>
      <c r="E44" s="7"/>
      <c r="F44" s="7"/>
      <c r="G44" s="18"/>
      <c r="I44" s="70"/>
      <c r="P44" s="146"/>
      <c r="Q44" s="34"/>
      <c r="R44" s="43"/>
      <c r="S44" s="58"/>
      <c r="T44" s="58"/>
      <c r="U44" s="18"/>
      <c r="V44" s="1"/>
      <c r="X44" s="113"/>
      <c r="AD44" s="41"/>
      <c r="AE44" s="41"/>
      <c r="AF44" s="41"/>
    </row>
    <row r="45" spans="2:32">
      <c r="B45" s="1"/>
      <c r="C45" s="7"/>
      <c r="D45" s="7"/>
      <c r="E45" s="7"/>
      <c r="F45" s="7"/>
      <c r="G45" s="18"/>
      <c r="I45" s="70"/>
      <c r="P45" s="146"/>
      <c r="Q45" s="34"/>
      <c r="R45" s="43"/>
      <c r="S45" s="58"/>
      <c r="T45" s="58"/>
      <c r="U45" s="18"/>
      <c r="V45" s="1"/>
      <c r="X45" s="113"/>
      <c r="AD45" s="41"/>
      <c r="AE45" s="41"/>
      <c r="AF45" s="41"/>
    </row>
    <row r="46" spans="2:32">
      <c r="B46" s="1"/>
      <c r="C46" s="7"/>
      <c r="D46" s="7"/>
      <c r="E46" s="7"/>
      <c r="F46" s="7"/>
      <c r="G46" s="18"/>
      <c r="I46" s="70"/>
      <c r="P46" s="146"/>
      <c r="Q46" s="34"/>
      <c r="R46" s="43"/>
      <c r="S46" s="58"/>
      <c r="T46" s="58"/>
      <c r="U46" s="18"/>
      <c r="V46" s="1"/>
      <c r="X46" s="113"/>
    </row>
    <row r="47" spans="2:32">
      <c r="B47" s="1"/>
      <c r="C47" s="7"/>
      <c r="D47" s="7"/>
      <c r="E47" s="7"/>
      <c r="F47" s="7"/>
      <c r="G47" s="18"/>
      <c r="I47" s="70"/>
      <c r="P47" s="146"/>
      <c r="Q47" s="34"/>
      <c r="R47" s="43"/>
      <c r="S47" s="58"/>
      <c r="T47" s="58"/>
      <c r="U47" s="18"/>
      <c r="V47" s="1"/>
      <c r="X47" s="113"/>
    </row>
    <row r="48" spans="2:32">
      <c r="B48" s="1"/>
      <c r="C48" s="7"/>
      <c r="D48" s="7"/>
      <c r="E48" s="7"/>
      <c r="F48" s="7"/>
      <c r="G48" s="18"/>
      <c r="P48" s="146"/>
      <c r="Q48" s="34"/>
      <c r="R48" s="43"/>
      <c r="S48" s="58"/>
      <c r="T48" s="58"/>
      <c r="U48" s="18"/>
      <c r="V48" s="1"/>
      <c r="X48" s="113"/>
    </row>
    <row r="49" spans="2:24">
      <c r="B49" s="1"/>
      <c r="C49" s="7"/>
      <c r="D49" s="7"/>
      <c r="E49" s="7"/>
      <c r="F49" s="7"/>
      <c r="G49" s="18"/>
      <c r="P49" s="146"/>
      <c r="Q49" s="34"/>
      <c r="R49" s="43"/>
      <c r="S49" s="58"/>
      <c r="T49" s="58"/>
      <c r="U49" s="18"/>
      <c r="V49" s="1"/>
      <c r="X49" s="113"/>
    </row>
    <row r="50" spans="2:24">
      <c r="B50" s="1"/>
      <c r="C50" s="7"/>
      <c r="D50" s="7"/>
      <c r="E50" s="7"/>
      <c r="F50" s="7"/>
      <c r="G50" s="18"/>
      <c r="P50" s="146"/>
      <c r="Q50" s="34"/>
      <c r="R50" s="43"/>
      <c r="S50" s="58"/>
      <c r="T50" s="58"/>
      <c r="U50" s="18"/>
      <c r="V50" s="1"/>
      <c r="X50" s="113"/>
    </row>
    <row r="51" spans="2:24">
      <c r="B51" s="1"/>
      <c r="C51" s="7"/>
      <c r="D51" s="7"/>
      <c r="E51" s="7"/>
      <c r="F51" s="7"/>
      <c r="G51" s="18"/>
      <c r="P51" s="146"/>
      <c r="Q51" s="34"/>
      <c r="R51" s="43"/>
      <c r="S51" s="58"/>
      <c r="T51" s="58"/>
      <c r="U51" s="18"/>
      <c r="V51" s="1"/>
      <c r="X51" s="113"/>
    </row>
    <row r="52" spans="2:24">
      <c r="B52" s="1"/>
      <c r="C52" s="7"/>
      <c r="D52" s="7"/>
      <c r="E52" s="7"/>
      <c r="F52" s="7"/>
      <c r="G52" s="18"/>
      <c r="P52" s="146"/>
      <c r="Q52" s="34"/>
      <c r="R52" s="43"/>
      <c r="S52" s="58"/>
      <c r="T52" s="58"/>
      <c r="U52" s="18"/>
      <c r="V52" s="1"/>
      <c r="X52" s="113"/>
    </row>
    <row r="53" spans="2:24">
      <c r="B53" s="1"/>
      <c r="C53" s="7"/>
      <c r="D53" s="7"/>
      <c r="E53" s="7"/>
      <c r="F53" s="7"/>
      <c r="G53" s="18"/>
      <c r="P53" s="146"/>
      <c r="Q53" s="34"/>
      <c r="R53" s="43"/>
      <c r="S53" s="58"/>
      <c r="T53" s="58"/>
      <c r="U53" s="18"/>
      <c r="V53" s="1"/>
      <c r="X53" s="113"/>
    </row>
    <row r="54" spans="2:24">
      <c r="B54" s="1"/>
      <c r="C54" s="7"/>
      <c r="D54" s="7"/>
      <c r="E54" s="7"/>
      <c r="F54" s="7"/>
      <c r="G54" s="18"/>
      <c r="P54" s="146"/>
      <c r="Q54" s="34"/>
      <c r="R54" s="43"/>
      <c r="S54" s="58"/>
      <c r="T54" s="58"/>
      <c r="U54" s="18"/>
      <c r="V54" s="1"/>
      <c r="X54" s="113"/>
    </row>
    <row r="55" spans="2:24">
      <c r="B55" s="1"/>
      <c r="C55" s="7"/>
      <c r="D55" s="7"/>
      <c r="E55" s="7"/>
      <c r="F55" s="7"/>
      <c r="G55" s="18"/>
      <c r="P55" s="146"/>
      <c r="Q55" s="34"/>
      <c r="R55" s="43"/>
      <c r="S55" s="58"/>
      <c r="T55" s="58"/>
      <c r="U55" s="18"/>
      <c r="V55" s="1"/>
      <c r="X55" s="113"/>
    </row>
    <row r="56" spans="2:24">
      <c r="B56" s="1"/>
      <c r="C56" s="7"/>
      <c r="D56" s="7"/>
      <c r="E56" s="7"/>
      <c r="F56" s="7"/>
      <c r="G56" s="18"/>
      <c r="P56" s="146"/>
      <c r="Q56" s="34"/>
      <c r="R56" s="43"/>
      <c r="S56" s="58"/>
      <c r="T56" s="58"/>
      <c r="U56" s="18"/>
      <c r="V56" s="1"/>
      <c r="X56" s="113"/>
    </row>
    <row r="57" spans="2:24">
      <c r="B57" s="1"/>
      <c r="C57" s="7"/>
      <c r="D57" s="7"/>
      <c r="E57" s="7"/>
      <c r="F57" s="7"/>
      <c r="G57" s="18"/>
      <c r="P57" s="146"/>
      <c r="Q57" s="34"/>
      <c r="R57" s="43"/>
      <c r="S57" s="58"/>
      <c r="T57" s="58"/>
      <c r="U57" s="18"/>
      <c r="V57" s="1"/>
      <c r="X57" s="113"/>
    </row>
    <row r="58" spans="2:24">
      <c r="B58" s="1"/>
      <c r="C58" s="7"/>
      <c r="D58" s="7"/>
      <c r="E58" s="7"/>
      <c r="F58" s="7"/>
      <c r="G58" s="18"/>
      <c r="P58" s="146"/>
      <c r="Q58" s="34"/>
      <c r="R58" s="43"/>
      <c r="S58" s="58"/>
      <c r="T58" s="58"/>
      <c r="U58" s="18"/>
      <c r="V58" s="1"/>
      <c r="X58" s="113"/>
    </row>
    <row r="59" spans="2:24">
      <c r="B59" s="1"/>
      <c r="C59" s="7"/>
      <c r="D59" s="7"/>
      <c r="E59" s="7"/>
      <c r="F59" s="7"/>
      <c r="G59" s="18"/>
      <c r="P59" s="146"/>
      <c r="Q59" s="34"/>
      <c r="R59" s="43"/>
      <c r="S59" s="58"/>
      <c r="T59" s="58"/>
      <c r="U59" s="18"/>
      <c r="V59" s="1"/>
      <c r="X59" s="113"/>
    </row>
    <row r="60" spans="2:24">
      <c r="B60" s="1"/>
      <c r="C60" s="7"/>
      <c r="D60" s="7"/>
      <c r="E60" s="7"/>
      <c r="F60" s="7"/>
      <c r="G60" s="18"/>
      <c r="P60" s="146"/>
      <c r="Q60" s="34"/>
      <c r="R60" s="43"/>
      <c r="S60" s="58"/>
      <c r="T60" s="58"/>
      <c r="U60" s="18"/>
      <c r="V60" s="1"/>
      <c r="X60" s="113"/>
    </row>
    <row r="61" spans="2:24">
      <c r="B61" s="1"/>
      <c r="C61" s="7"/>
      <c r="D61" s="7"/>
      <c r="E61" s="7"/>
      <c r="F61" s="7"/>
      <c r="G61" s="18"/>
      <c r="P61" s="146"/>
      <c r="Q61" s="34"/>
      <c r="R61" s="43"/>
      <c r="S61" s="58"/>
      <c r="T61" s="58"/>
      <c r="U61" s="18"/>
      <c r="V61" s="1"/>
      <c r="X61" s="113"/>
    </row>
    <row r="62" spans="2:24">
      <c r="B62" s="1"/>
      <c r="C62" s="7"/>
      <c r="D62" s="7"/>
      <c r="E62" s="7"/>
      <c r="F62" s="7"/>
      <c r="G62" s="18"/>
      <c r="P62" s="146"/>
      <c r="Q62" s="34"/>
      <c r="R62" s="43"/>
      <c r="S62" s="58"/>
      <c r="T62" s="58"/>
      <c r="U62" s="18"/>
      <c r="V62" s="1"/>
      <c r="X62" s="113"/>
    </row>
    <row r="63" spans="2:24">
      <c r="B63" s="1"/>
      <c r="C63" s="7"/>
      <c r="D63" s="7"/>
      <c r="E63" s="7"/>
      <c r="F63" s="7"/>
      <c r="G63" s="18"/>
      <c r="P63" s="146"/>
      <c r="Q63" s="34"/>
      <c r="R63" s="43"/>
      <c r="S63" s="58"/>
      <c r="T63" s="58"/>
      <c r="U63" s="18"/>
      <c r="V63" s="1"/>
      <c r="X63" s="113"/>
    </row>
    <row r="64" spans="2:24">
      <c r="B64" s="1"/>
      <c r="C64" s="7"/>
      <c r="D64" s="7"/>
      <c r="E64" s="7"/>
      <c r="F64" s="7"/>
      <c r="G64" s="18"/>
      <c r="P64" s="146"/>
      <c r="Q64" s="34"/>
      <c r="R64" s="43"/>
      <c r="S64" s="58"/>
      <c r="T64" s="58"/>
      <c r="U64" s="18"/>
      <c r="V64" s="1"/>
      <c r="X64" s="113"/>
    </row>
    <row r="65" spans="2:24">
      <c r="B65" s="1"/>
      <c r="C65" s="7"/>
      <c r="D65" s="7"/>
      <c r="E65" s="7"/>
      <c r="F65" s="7"/>
      <c r="G65" s="18"/>
      <c r="P65" s="146"/>
      <c r="Q65" s="34"/>
      <c r="R65" s="43"/>
      <c r="S65" s="58"/>
      <c r="T65" s="58"/>
      <c r="U65" s="18"/>
      <c r="V65" s="1"/>
      <c r="X65" s="113"/>
    </row>
    <row r="66" spans="2:24">
      <c r="B66" s="1"/>
      <c r="C66" s="7"/>
      <c r="D66" s="7"/>
      <c r="E66" s="7"/>
      <c r="F66" s="7"/>
      <c r="G66" s="18"/>
      <c r="P66" s="146"/>
      <c r="Q66" s="34"/>
      <c r="R66" s="43"/>
      <c r="S66" s="58"/>
      <c r="T66" s="58"/>
      <c r="U66" s="18"/>
      <c r="V66" s="1"/>
      <c r="X66" s="113"/>
    </row>
    <row r="67" spans="2:24">
      <c r="B67" s="1"/>
      <c r="C67" s="7"/>
      <c r="D67" s="7"/>
      <c r="E67" s="7"/>
      <c r="F67" s="7"/>
      <c r="G67" s="18"/>
      <c r="P67" s="146"/>
      <c r="Q67" s="34"/>
      <c r="R67" s="43"/>
      <c r="S67" s="58"/>
      <c r="T67" s="58"/>
      <c r="U67" s="18"/>
      <c r="V67" s="1"/>
      <c r="X67" s="113"/>
    </row>
    <row r="68" spans="2:24">
      <c r="B68" s="1"/>
      <c r="C68" s="7"/>
      <c r="D68" s="7"/>
      <c r="E68" s="7"/>
      <c r="F68" s="7"/>
      <c r="G68" s="18"/>
      <c r="P68" s="146"/>
      <c r="Q68" s="34"/>
      <c r="R68" s="43"/>
      <c r="S68" s="58"/>
      <c r="T68" s="58"/>
      <c r="U68" s="18"/>
      <c r="V68" s="1"/>
      <c r="X68" s="113"/>
    </row>
    <row r="69" spans="2:24">
      <c r="B69" s="1"/>
      <c r="C69" s="7"/>
      <c r="D69" s="7"/>
      <c r="E69" s="7"/>
      <c r="F69" s="7"/>
      <c r="G69" s="18"/>
      <c r="P69" s="146"/>
      <c r="Q69" s="34"/>
      <c r="R69" s="43"/>
      <c r="S69" s="58"/>
      <c r="T69" s="58"/>
      <c r="U69" s="18"/>
      <c r="V69" s="1"/>
      <c r="X69" s="113"/>
    </row>
    <row r="70" spans="2:24">
      <c r="B70" s="1"/>
      <c r="C70" s="7"/>
      <c r="D70" s="7"/>
      <c r="E70" s="7"/>
      <c r="F70" s="7"/>
      <c r="G70" s="18"/>
      <c r="P70" s="146"/>
      <c r="Q70" s="34"/>
      <c r="R70" s="43"/>
      <c r="S70" s="58"/>
      <c r="T70" s="58"/>
      <c r="U70" s="18"/>
      <c r="V70" s="1"/>
      <c r="X70" s="113"/>
    </row>
    <row r="71" spans="2:24">
      <c r="B71" s="1"/>
      <c r="C71" s="7"/>
      <c r="D71" s="7"/>
      <c r="E71" s="7"/>
      <c r="F71" s="7"/>
      <c r="G71" s="18"/>
      <c r="P71" s="146"/>
      <c r="Q71" s="34"/>
      <c r="R71" s="43"/>
      <c r="S71" s="58"/>
      <c r="T71" s="58"/>
      <c r="U71" s="18"/>
      <c r="V71" s="1"/>
      <c r="X71" s="113"/>
    </row>
    <row r="72" spans="2:24">
      <c r="B72" s="1"/>
      <c r="C72" s="7"/>
      <c r="D72" s="7"/>
      <c r="E72" s="7"/>
      <c r="F72" s="7"/>
      <c r="G72" s="18"/>
      <c r="P72" s="146"/>
      <c r="Q72" s="34"/>
      <c r="R72" s="43"/>
      <c r="S72" s="58"/>
      <c r="T72" s="58"/>
      <c r="U72" s="18"/>
      <c r="V72" s="1"/>
      <c r="X72" s="113"/>
    </row>
    <row r="73" spans="2:24">
      <c r="B73" s="1"/>
      <c r="C73" s="7"/>
      <c r="D73" s="7"/>
      <c r="E73" s="7"/>
      <c r="F73" s="7"/>
      <c r="G73" s="18"/>
      <c r="P73" s="146"/>
      <c r="Q73" s="34"/>
      <c r="R73" s="43"/>
      <c r="S73" s="58"/>
      <c r="T73" s="58"/>
      <c r="U73" s="18"/>
      <c r="V73" s="1"/>
      <c r="X73" s="113"/>
    </row>
    <row r="74" spans="2:24">
      <c r="B74" s="1"/>
      <c r="C74" s="7"/>
      <c r="D74" s="7"/>
      <c r="E74" s="7"/>
      <c r="F74" s="7"/>
      <c r="G74" s="18"/>
      <c r="P74" s="146"/>
      <c r="Q74" s="34"/>
      <c r="R74" s="43"/>
      <c r="S74" s="58"/>
      <c r="T74" s="58"/>
      <c r="U74" s="18"/>
      <c r="V74" s="1"/>
      <c r="X74" s="113"/>
    </row>
    <row r="75" spans="2:24">
      <c r="B75" s="1"/>
      <c r="C75" s="7"/>
      <c r="D75" s="7"/>
      <c r="E75" s="7"/>
      <c r="F75" s="7"/>
      <c r="G75" s="18"/>
      <c r="P75" s="146"/>
      <c r="Q75" s="34"/>
      <c r="R75" s="43"/>
      <c r="S75" s="58"/>
      <c r="T75" s="58"/>
      <c r="U75" s="18"/>
      <c r="V75" s="1"/>
      <c r="X75" s="113"/>
    </row>
    <row r="76" spans="2:24">
      <c r="B76" s="1"/>
      <c r="C76" s="7"/>
      <c r="D76" s="7"/>
      <c r="E76" s="7"/>
      <c r="F76" s="7"/>
      <c r="G76" s="18"/>
      <c r="P76" s="146"/>
      <c r="Q76" s="34"/>
      <c r="R76" s="43"/>
      <c r="S76" s="58"/>
      <c r="T76" s="58"/>
      <c r="U76" s="18"/>
      <c r="V76" s="1"/>
      <c r="X76" s="113"/>
    </row>
    <row r="77" spans="2:24">
      <c r="B77" s="1"/>
      <c r="C77" s="7"/>
      <c r="D77" s="7"/>
      <c r="E77" s="7"/>
      <c r="F77" s="7"/>
      <c r="G77" s="18"/>
      <c r="P77" s="146"/>
      <c r="Q77" s="34"/>
      <c r="R77" s="43"/>
      <c r="S77" s="58"/>
      <c r="T77" s="58"/>
      <c r="U77" s="18"/>
      <c r="V77" s="1"/>
      <c r="X77" s="113"/>
    </row>
    <row r="78" spans="2:24">
      <c r="B78" s="1"/>
      <c r="C78" s="7"/>
      <c r="D78" s="7"/>
      <c r="E78" s="7"/>
      <c r="F78" s="7"/>
      <c r="G78" s="18"/>
      <c r="P78" s="146"/>
      <c r="Q78" s="34"/>
      <c r="R78" s="43"/>
      <c r="S78" s="58"/>
      <c r="T78" s="58"/>
      <c r="U78" s="18"/>
      <c r="V78" s="1"/>
      <c r="X78" s="113"/>
    </row>
    <row r="79" spans="2:24">
      <c r="B79" s="1"/>
      <c r="C79" s="7"/>
      <c r="D79" s="7"/>
      <c r="E79" s="7"/>
      <c r="F79" s="7"/>
      <c r="G79" s="18"/>
      <c r="P79" s="146"/>
      <c r="Q79" s="34"/>
      <c r="R79" s="43"/>
      <c r="S79" s="58"/>
      <c r="T79" s="58"/>
      <c r="U79" s="18"/>
      <c r="V79" s="1"/>
      <c r="X79" s="113"/>
    </row>
    <row r="80" spans="2:24">
      <c r="B80" s="1"/>
      <c r="C80" s="7"/>
      <c r="D80" s="7"/>
      <c r="E80" s="7"/>
      <c r="F80" s="7"/>
      <c r="G80" s="18"/>
      <c r="P80" s="146"/>
      <c r="Q80" s="34"/>
      <c r="R80" s="43"/>
      <c r="S80" s="58"/>
      <c r="T80" s="58"/>
      <c r="U80" s="18"/>
      <c r="V80" s="1"/>
      <c r="X80" s="113"/>
    </row>
    <row r="81" spans="2:24">
      <c r="B81" s="1"/>
      <c r="C81" s="7"/>
      <c r="D81" s="7"/>
      <c r="E81" s="7"/>
      <c r="F81" s="7"/>
      <c r="G81" s="18"/>
      <c r="P81" s="146"/>
      <c r="Q81" s="34"/>
      <c r="R81" s="43"/>
      <c r="S81" s="58"/>
      <c r="T81" s="58"/>
      <c r="U81" s="18"/>
      <c r="V81" s="1"/>
      <c r="X81" s="113"/>
    </row>
    <row r="82" spans="2:24">
      <c r="B82" s="1"/>
      <c r="C82" s="7"/>
      <c r="D82" s="7"/>
      <c r="E82" s="7"/>
      <c r="F82" s="7"/>
      <c r="G82" s="18"/>
      <c r="P82" s="146"/>
      <c r="Q82" s="34"/>
      <c r="R82" s="43"/>
      <c r="S82" s="58"/>
      <c r="T82" s="58"/>
      <c r="U82" s="18"/>
      <c r="V82" s="1"/>
      <c r="X82" s="113"/>
    </row>
    <row r="83" spans="2:24">
      <c r="B83" s="1"/>
      <c r="C83" s="7"/>
      <c r="D83" s="7"/>
      <c r="E83" s="7"/>
      <c r="F83" s="7"/>
      <c r="G83" s="18"/>
      <c r="P83" s="146"/>
      <c r="Q83" s="34"/>
      <c r="R83" s="43"/>
      <c r="S83" s="58"/>
      <c r="T83" s="58"/>
      <c r="U83" s="18"/>
      <c r="V83" s="1"/>
      <c r="X83" s="113"/>
    </row>
    <row r="84" spans="2:24">
      <c r="G84" s="18"/>
      <c r="P84" s="146"/>
      <c r="Q84" s="34"/>
      <c r="R84" s="43"/>
      <c r="S84" s="58"/>
      <c r="T84" s="58"/>
      <c r="U84" s="18"/>
      <c r="X84" s="113"/>
    </row>
    <row r="85" spans="2:24">
      <c r="G85" s="18"/>
      <c r="P85" s="146"/>
      <c r="Q85" s="34"/>
      <c r="R85" s="43"/>
      <c r="S85" s="58"/>
      <c r="T85" s="58"/>
      <c r="U85" s="18"/>
      <c r="X85" s="113"/>
    </row>
    <row r="86" spans="2:24">
      <c r="G86" s="18"/>
      <c r="P86" s="146"/>
      <c r="Q86" s="34"/>
      <c r="R86" s="43"/>
      <c r="S86" s="58"/>
      <c r="T86" s="58"/>
      <c r="U86" s="18"/>
      <c r="X86" s="113"/>
    </row>
    <row r="87" spans="2:24">
      <c r="G87" s="18"/>
      <c r="P87" s="146"/>
      <c r="Q87" s="34"/>
      <c r="R87" s="43"/>
      <c r="S87" s="58"/>
      <c r="T87" s="58"/>
      <c r="U87" s="18"/>
      <c r="X87" s="113"/>
    </row>
    <row r="88" spans="2:24">
      <c r="G88" s="18"/>
      <c r="P88" s="146"/>
      <c r="Q88" s="34"/>
      <c r="R88" s="43"/>
      <c r="S88" s="58"/>
      <c r="T88" s="58"/>
      <c r="U88" s="18"/>
      <c r="X88" s="113"/>
    </row>
    <row r="89" spans="2:24">
      <c r="G89" s="18"/>
      <c r="P89" s="146"/>
      <c r="Q89" s="34"/>
      <c r="R89" s="43"/>
      <c r="S89" s="58"/>
      <c r="T89" s="58"/>
      <c r="U89" s="18"/>
      <c r="X89" s="113"/>
    </row>
    <row r="90" spans="2:24">
      <c r="G90" s="18"/>
      <c r="P90" s="146"/>
      <c r="Q90" s="34"/>
      <c r="R90" s="43"/>
      <c r="S90" s="58"/>
      <c r="T90" s="58"/>
      <c r="U90" s="18"/>
      <c r="X90" s="113"/>
    </row>
    <row r="91" spans="2:24">
      <c r="G91" s="18"/>
      <c r="P91" s="146"/>
      <c r="Q91" s="34"/>
      <c r="R91" s="43"/>
      <c r="S91" s="58"/>
      <c r="T91" s="58"/>
      <c r="U91" s="18"/>
      <c r="X91" s="113"/>
    </row>
    <row r="92" spans="2:24">
      <c r="G92" s="18"/>
      <c r="P92" s="146"/>
      <c r="Q92" s="34"/>
      <c r="R92" s="43"/>
      <c r="S92" s="58"/>
      <c r="T92" s="58"/>
      <c r="U92" s="18"/>
      <c r="X92" s="113"/>
    </row>
    <row r="93" spans="2:24">
      <c r="G93" s="18"/>
      <c r="P93" s="146"/>
      <c r="Q93" s="34"/>
      <c r="R93" s="43"/>
      <c r="S93" s="58"/>
      <c r="T93" s="58"/>
      <c r="U93" s="18"/>
      <c r="X93" s="113"/>
    </row>
    <row r="94" spans="2:24">
      <c r="G94" s="18"/>
      <c r="P94" s="146"/>
      <c r="Q94" s="34"/>
      <c r="R94" s="43"/>
      <c r="S94" s="58"/>
      <c r="T94" s="58"/>
      <c r="U94" s="18"/>
      <c r="X94" s="113"/>
    </row>
    <row r="95" spans="2:24">
      <c r="G95" s="18"/>
      <c r="P95" s="146"/>
      <c r="Q95" s="34"/>
      <c r="R95" s="43"/>
      <c r="S95" s="58"/>
      <c r="T95" s="58"/>
      <c r="U95" s="18"/>
      <c r="X95" s="113"/>
    </row>
    <row r="96" spans="2:24">
      <c r="G96" s="18"/>
      <c r="P96" s="146"/>
      <c r="Q96" s="34"/>
      <c r="R96" s="43"/>
      <c r="S96" s="58"/>
      <c r="T96" s="58"/>
      <c r="U96" s="18"/>
      <c r="X96" s="113"/>
    </row>
    <row r="97" spans="7:24">
      <c r="G97" s="18"/>
      <c r="P97" s="146"/>
      <c r="Q97" s="34"/>
      <c r="R97" s="43"/>
      <c r="U97" s="18"/>
      <c r="X97" s="113"/>
    </row>
    <row r="98" spans="7:24">
      <c r="G98" s="18"/>
      <c r="P98" s="146"/>
      <c r="Q98" s="34"/>
      <c r="R98" s="43"/>
      <c r="U98" s="18"/>
      <c r="X98" s="113"/>
    </row>
    <row r="99" spans="7:24">
      <c r="G99" s="18"/>
      <c r="P99" s="146"/>
      <c r="Q99" s="34"/>
      <c r="R99" s="43"/>
      <c r="U99" s="18"/>
      <c r="X99" s="113"/>
    </row>
    <row r="100" spans="7:24">
      <c r="G100" s="18"/>
      <c r="P100" s="146"/>
      <c r="Q100" s="34"/>
      <c r="R100" s="43"/>
      <c r="U100" s="18"/>
      <c r="X100" s="113"/>
    </row>
    <row r="101" spans="7:24">
      <c r="G101" s="18"/>
      <c r="P101" s="146"/>
      <c r="Q101" s="34"/>
      <c r="R101" s="43"/>
      <c r="U101" s="18"/>
      <c r="X101" s="113"/>
    </row>
    <row r="102" spans="7:24">
      <c r="G102" s="18"/>
      <c r="P102" s="146"/>
      <c r="Q102" s="34"/>
      <c r="R102" s="43"/>
      <c r="U102" s="18"/>
      <c r="X102" s="113"/>
    </row>
    <row r="103" spans="7:24">
      <c r="G103" s="18"/>
      <c r="P103" s="146"/>
      <c r="Q103" s="34"/>
      <c r="R103" s="43"/>
      <c r="U103" s="18"/>
      <c r="X103" s="113"/>
    </row>
    <row r="104" spans="7:24">
      <c r="G104" s="18"/>
      <c r="P104" s="146"/>
      <c r="Q104" s="34"/>
      <c r="R104" s="43"/>
      <c r="U104" s="18"/>
      <c r="X104" s="113"/>
    </row>
    <row r="105" spans="7:24">
      <c r="G105" s="18"/>
      <c r="P105" s="146"/>
      <c r="Q105" s="34"/>
      <c r="R105" s="43"/>
      <c r="U105" s="18"/>
      <c r="X105" s="113"/>
    </row>
    <row r="106" spans="7:24">
      <c r="G106" s="18"/>
      <c r="P106" s="146"/>
      <c r="Q106" s="34"/>
      <c r="R106" s="43"/>
      <c r="U106" s="18"/>
      <c r="X106" s="113"/>
    </row>
    <row r="107" spans="7:24">
      <c r="G107" s="18"/>
      <c r="P107" s="146"/>
      <c r="Q107" s="34"/>
      <c r="R107" s="43"/>
      <c r="U107" s="18"/>
      <c r="X107" s="113"/>
    </row>
    <row r="108" spans="7:24">
      <c r="G108" s="18"/>
      <c r="P108" s="146"/>
      <c r="Q108" s="34"/>
      <c r="R108" s="43"/>
      <c r="U108" s="18"/>
      <c r="X108" s="113"/>
    </row>
    <row r="109" spans="7:24">
      <c r="G109" s="18"/>
      <c r="P109" s="146"/>
      <c r="Q109" s="34"/>
      <c r="R109" s="43"/>
      <c r="U109" s="18"/>
      <c r="X109" s="113"/>
    </row>
    <row r="110" spans="7:24">
      <c r="G110" s="18"/>
      <c r="P110" s="146"/>
      <c r="Q110" s="34"/>
      <c r="R110" s="43"/>
      <c r="U110" s="18"/>
      <c r="X110" s="113"/>
    </row>
    <row r="111" spans="7:24">
      <c r="G111" s="18"/>
      <c r="P111" s="146"/>
      <c r="Q111" s="34"/>
      <c r="R111" s="43"/>
      <c r="U111" s="18"/>
      <c r="X111" s="113"/>
    </row>
    <row r="112" spans="7:24">
      <c r="G112" s="18"/>
      <c r="P112" s="146"/>
      <c r="Q112" s="34"/>
      <c r="R112" s="43"/>
      <c r="U112" s="18"/>
      <c r="X112" s="113"/>
    </row>
    <row r="113" spans="7:24">
      <c r="G113" s="18"/>
      <c r="P113" s="146"/>
      <c r="Q113" s="34"/>
      <c r="R113" s="43"/>
      <c r="U113" s="18"/>
      <c r="X113" s="113"/>
    </row>
    <row r="114" spans="7:24">
      <c r="G114" s="18"/>
      <c r="P114" s="146"/>
      <c r="Q114" s="34"/>
      <c r="R114" s="43"/>
      <c r="U114" s="18"/>
      <c r="X114" s="113"/>
    </row>
    <row r="115" spans="7:24">
      <c r="G115" s="18"/>
      <c r="P115" s="146"/>
      <c r="Q115" s="34"/>
      <c r="R115" s="43"/>
      <c r="U115" s="18"/>
      <c r="X115" s="113"/>
    </row>
    <row r="116" spans="7:24">
      <c r="G116" s="18"/>
      <c r="P116" s="146"/>
      <c r="Q116" s="34"/>
      <c r="R116" s="43"/>
      <c r="U116" s="18"/>
      <c r="X116" s="113"/>
    </row>
    <row r="117" spans="7:24">
      <c r="G117" s="18"/>
      <c r="P117" s="146"/>
      <c r="Q117" s="34"/>
      <c r="R117" s="43"/>
      <c r="U117" s="18"/>
      <c r="X117" s="113"/>
    </row>
    <row r="118" spans="7:24">
      <c r="G118" s="18"/>
      <c r="P118" s="146"/>
      <c r="Q118" s="34"/>
      <c r="R118" s="43"/>
      <c r="U118" s="18"/>
      <c r="X118" s="113"/>
    </row>
    <row r="119" spans="7:24">
      <c r="G119" s="18"/>
      <c r="P119" s="146"/>
      <c r="Q119" s="34"/>
      <c r="R119" s="43"/>
      <c r="U119" s="18"/>
      <c r="X119" s="113"/>
    </row>
    <row r="120" spans="7:24">
      <c r="G120" s="18"/>
      <c r="P120" s="146"/>
      <c r="Q120" s="34"/>
      <c r="R120" s="43"/>
      <c r="U120" s="18"/>
      <c r="X120" s="113"/>
    </row>
    <row r="121" spans="7:24">
      <c r="G121" s="18"/>
      <c r="P121" s="146"/>
      <c r="Q121" s="34"/>
      <c r="R121" s="43"/>
      <c r="U121" s="18"/>
      <c r="X121" s="113"/>
    </row>
    <row r="122" spans="7:24">
      <c r="G122" s="18"/>
      <c r="P122" s="146"/>
      <c r="Q122" s="34"/>
      <c r="R122" s="43"/>
      <c r="U122" s="18"/>
      <c r="X122" s="113"/>
    </row>
    <row r="123" spans="7:24">
      <c r="G123" s="18"/>
      <c r="P123" s="146"/>
      <c r="Q123" s="34"/>
      <c r="R123" s="43"/>
      <c r="U123" s="18"/>
      <c r="X123" s="113"/>
    </row>
    <row r="124" spans="7:24">
      <c r="G124" s="18"/>
      <c r="P124" s="146"/>
      <c r="Q124" s="34"/>
      <c r="R124" s="43"/>
      <c r="U124" s="18"/>
      <c r="X124" s="113"/>
    </row>
    <row r="125" spans="7:24">
      <c r="G125" s="18"/>
      <c r="P125" s="146"/>
      <c r="Q125" s="34"/>
      <c r="R125" s="43"/>
      <c r="U125" s="18"/>
      <c r="X125" s="113"/>
    </row>
    <row r="126" spans="7:24">
      <c r="G126" s="18"/>
      <c r="P126" s="146"/>
      <c r="Q126" s="34"/>
      <c r="R126" s="43"/>
      <c r="U126" s="18"/>
      <c r="X126" s="113"/>
    </row>
    <row r="127" spans="7:24">
      <c r="G127" s="18"/>
      <c r="P127" s="146"/>
      <c r="Q127" s="34"/>
      <c r="R127" s="43"/>
      <c r="U127" s="18"/>
      <c r="X127" s="113"/>
    </row>
    <row r="128" spans="7:24">
      <c r="G128" s="18"/>
      <c r="P128" s="146"/>
      <c r="Q128" s="34"/>
      <c r="R128" s="43"/>
      <c r="U128" s="18"/>
      <c r="X128" s="113"/>
    </row>
    <row r="129" spans="7:24">
      <c r="G129" s="18"/>
      <c r="P129" s="146"/>
      <c r="Q129" s="34"/>
      <c r="R129" s="43"/>
      <c r="U129" s="18"/>
      <c r="X129" s="113"/>
    </row>
    <row r="130" spans="7:24">
      <c r="G130" s="18"/>
      <c r="P130" s="146"/>
      <c r="Q130" s="34"/>
      <c r="R130" s="43"/>
      <c r="U130" s="18"/>
      <c r="X130" s="113"/>
    </row>
    <row r="131" spans="7:24">
      <c r="G131" s="18"/>
      <c r="P131" s="146"/>
      <c r="Q131" s="34"/>
      <c r="R131" s="43"/>
      <c r="U131" s="18"/>
      <c r="X131" s="113"/>
    </row>
    <row r="132" spans="7:24">
      <c r="G132" s="18"/>
      <c r="P132" s="146"/>
      <c r="Q132" s="34"/>
      <c r="R132" s="43"/>
      <c r="U132" s="18"/>
      <c r="X132" s="113"/>
    </row>
    <row r="133" spans="7:24">
      <c r="G133" s="18"/>
      <c r="P133" s="146"/>
      <c r="Q133" s="34"/>
      <c r="R133" s="43"/>
      <c r="U133" s="18"/>
      <c r="X133" s="113"/>
    </row>
    <row r="134" spans="7:24">
      <c r="G134" s="18"/>
      <c r="P134" s="146"/>
      <c r="Q134" s="34"/>
      <c r="R134" s="43"/>
      <c r="U134" s="18"/>
      <c r="X134" s="113"/>
    </row>
    <row r="135" spans="7:24">
      <c r="G135" s="18"/>
      <c r="P135" s="146"/>
      <c r="Q135" s="34"/>
      <c r="R135" s="43"/>
      <c r="U135" s="18"/>
      <c r="X135" s="113"/>
    </row>
    <row r="136" spans="7:24">
      <c r="G136" s="18"/>
      <c r="P136" s="146"/>
      <c r="Q136" s="34"/>
      <c r="R136" s="43"/>
      <c r="U136" s="18"/>
      <c r="X136" s="113"/>
    </row>
    <row r="137" spans="7:24">
      <c r="G137" s="18"/>
      <c r="P137" s="146"/>
      <c r="Q137" s="34"/>
      <c r="R137" s="43"/>
      <c r="U137" s="18"/>
      <c r="X137" s="113"/>
    </row>
    <row r="138" spans="7:24">
      <c r="G138" s="18"/>
      <c r="P138" s="146"/>
      <c r="Q138" s="34"/>
      <c r="R138" s="43"/>
      <c r="U138" s="18"/>
      <c r="X138" s="113"/>
    </row>
    <row r="139" spans="7:24">
      <c r="G139" s="18"/>
      <c r="P139" s="146"/>
      <c r="Q139" s="34"/>
      <c r="R139" s="43"/>
      <c r="U139" s="18"/>
      <c r="X139" s="113"/>
    </row>
    <row r="140" spans="7:24">
      <c r="G140" s="18"/>
      <c r="P140" s="146"/>
      <c r="Q140" s="34"/>
      <c r="R140" s="43"/>
      <c r="U140" s="18"/>
      <c r="X140" s="113"/>
    </row>
    <row r="141" spans="7:24">
      <c r="G141" s="18"/>
      <c r="P141" s="146"/>
      <c r="Q141" s="34"/>
      <c r="R141" s="43"/>
      <c r="U141" s="18"/>
      <c r="X141" s="113"/>
    </row>
    <row r="142" spans="7:24">
      <c r="G142" s="18"/>
      <c r="P142" s="146"/>
      <c r="Q142" s="34"/>
      <c r="R142" s="43"/>
      <c r="U142" s="18"/>
      <c r="X142" s="113"/>
    </row>
    <row r="143" spans="7:24">
      <c r="G143" s="18"/>
      <c r="P143" s="146"/>
      <c r="Q143" s="34"/>
      <c r="R143" s="43"/>
      <c r="U143" s="18"/>
      <c r="X143" s="113"/>
    </row>
    <row r="144" spans="7:24">
      <c r="G144" s="18"/>
      <c r="P144" s="146"/>
      <c r="Q144" s="34"/>
      <c r="R144" s="43"/>
      <c r="U144" s="18"/>
      <c r="X144" s="113"/>
    </row>
    <row r="145" spans="7:24">
      <c r="G145" s="18"/>
      <c r="P145" s="146"/>
      <c r="Q145" s="34"/>
      <c r="R145" s="43"/>
      <c r="U145" s="18"/>
      <c r="X145" s="113"/>
    </row>
    <row r="146" spans="7:24">
      <c r="G146" s="18"/>
      <c r="P146" s="146"/>
      <c r="Q146" s="34"/>
      <c r="R146" s="43"/>
      <c r="U146" s="18"/>
      <c r="X146" s="113"/>
    </row>
    <row r="147" spans="7:24">
      <c r="G147" s="18"/>
      <c r="P147" s="146"/>
      <c r="Q147" s="34"/>
      <c r="R147" s="43"/>
      <c r="U147" s="18"/>
      <c r="X147" s="113"/>
    </row>
    <row r="148" spans="7:24">
      <c r="G148" s="18"/>
      <c r="P148" s="146"/>
      <c r="Q148" s="34"/>
      <c r="R148" s="43"/>
      <c r="U148" s="18"/>
      <c r="X148" s="113"/>
    </row>
    <row r="149" spans="7:24">
      <c r="G149" s="18"/>
      <c r="P149" s="146"/>
      <c r="Q149" s="34"/>
      <c r="R149" s="43"/>
      <c r="U149" s="18"/>
      <c r="X149" s="113"/>
    </row>
    <row r="150" spans="7:24">
      <c r="G150" s="18"/>
      <c r="P150" s="146"/>
      <c r="Q150" s="34"/>
      <c r="R150" s="43"/>
      <c r="U150" s="18"/>
      <c r="X150" s="113"/>
    </row>
    <row r="151" spans="7:24">
      <c r="G151" s="18"/>
      <c r="P151" s="146"/>
      <c r="Q151" s="34"/>
      <c r="R151" s="43"/>
      <c r="U151" s="18"/>
      <c r="X151" s="113"/>
    </row>
    <row r="152" spans="7:24">
      <c r="G152" s="18"/>
      <c r="P152" s="146"/>
      <c r="Q152" s="34"/>
      <c r="R152" s="43"/>
      <c r="U152" s="18"/>
      <c r="X152" s="113"/>
    </row>
    <row r="153" spans="7:24">
      <c r="G153" s="18"/>
      <c r="P153" s="146"/>
      <c r="Q153" s="34"/>
      <c r="R153" s="43"/>
      <c r="U153" s="18"/>
      <c r="X153" s="113"/>
    </row>
    <row r="154" spans="7:24">
      <c r="G154" s="18"/>
      <c r="P154" s="146"/>
      <c r="Q154" s="34"/>
      <c r="R154" s="43"/>
      <c r="U154" s="18"/>
      <c r="X154" s="113"/>
    </row>
    <row r="155" spans="7:24">
      <c r="G155" s="18"/>
      <c r="P155" s="146"/>
      <c r="Q155" s="34"/>
      <c r="R155" s="43"/>
      <c r="U155" s="18"/>
      <c r="X155" s="113"/>
    </row>
    <row r="156" spans="7:24">
      <c r="G156" s="18"/>
      <c r="P156" s="146"/>
      <c r="Q156" s="34"/>
      <c r="R156" s="43"/>
      <c r="U156" s="18"/>
      <c r="X156" s="113"/>
    </row>
    <row r="157" spans="7:24">
      <c r="G157" s="18"/>
      <c r="P157" s="146"/>
      <c r="Q157" s="34"/>
      <c r="R157" s="43"/>
      <c r="U157" s="18"/>
      <c r="X157" s="113"/>
    </row>
    <row r="158" spans="7:24">
      <c r="G158" s="18"/>
      <c r="P158" s="146"/>
      <c r="Q158" s="34"/>
      <c r="R158" s="43"/>
      <c r="U158" s="18"/>
      <c r="X158" s="113"/>
    </row>
    <row r="159" spans="7:24">
      <c r="G159" s="18"/>
      <c r="P159" s="146"/>
      <c r="Q159" s="34"/>
      <c r="R159" s="43"/>
      <c r="U159" s="18"/>
      <c r="X159" s="113"/>
    </row>
    <row r="160" spans="7:24">
      <c r="G160" s="18"/>
      <c r="P160" s="146"/>
      <c r="Q160" s="34"/>
      <c r="R160" s="43"/>
      <c r="U160" s="18"/>
      <c r="X160" s="113"/>
    </row>
    <row r="161" spans="7:24">
      <c r="G161" s="18"/>
      <c r="P161" s="146"/>
      <c r="Q161" s="34"/>
      <c r="R161" s="43"/>
      <c r="U161" s="18"/>
      <c r="X161" s="113"/>
    </row>
    <row r="162" spans="7:24">
      <c r="G162" s="18"/>
      <c r="P162" s="146"/>
      <c r="Q162" s="34"/>
      <c r="R162" s="43"/>
      <c r="U162" s="18"/>
      <c r="X162" s="113"/>
    </row>
    <row r="163" spans="7:24">
      <c r="G163" s="18"/>
      <c r="P163" s="146"/>
      <c r="Q163" s="34"/>
      <c r="R163" s="43"/>
      <c r="U163" s="18"/>
      <c r="X163" s="113"/>
    </row>
    <row r="164" spans="7:24">
      <c r="G164" s="18"/>
      <c r="P164" s="146"/>
      <c r="Q164" s="34"/>
      <c r="R164" s="43"/>
      <c r="U164" s="18"/>
      <c r="X164" s="113"/>
    </row>
    <row r="165" spans="7:24">
      <c r="G165" s="18"/>
      <c r="P165" s="146"/>
      <c r="Q165" s="34"/>
      <c r="R165" s="43"/>
      <c r="U165" s="18"/>
      <c r="X165" s="113"/>
    </row>
    <row r="166" spans="7:24">
      <c r="G166" s="18"/>
      <c r="P166" s="146"/>
      <c r="Q166" s="34"/>
      <c r="R166" s="43"/>
      <c r="U166" s="18"/>
      <c r="X166" s="113"/>
    </row>
    <row r="167" spans="7:24">
      <c r="G167" s="18"/>
      <c r="P167" s="146"/>
      <c r="Q167" s="34"/>
      <c r="R167" s="43"/>
      <c r="U167" s="18"/>
      <c r="X167" s="113"/>
    </row>
    <row r="168" spans="7:24">
      <c r="G168" s="18"/>
      <c r="P168" s="146"/>
      <c r="Q168" s="34"/>
      <c r="R168" s="43"/>
      <c r="U168" s="18"/>
      <c r="X168" s="113"/>
    </row>
    <row r="169" spans="7:24">
      <c r="G169" s="18"/>
      <c r="P169" s="146"/>
      <c r="Q169" s="34"/>
      <c r="R169" s="43"/>
      <c r="U169" s="18"/>
      <c r="X169" s="113"/>
    </row>
    <row r="170" spans="7:24">
      <c r="G170" s="18"/>
      <c r="P170" s="146"/>
      <c r="Q170" s="34"/>
      <c r="R170" s="43"/>
      <c r="U170" s="18"/>
      <c r="X170" s="113"/>
    </row>
    <row r="171" spans="7:24">
      <c r="G171" s="18"/>
      <c r="P171" s="146"/>
      <c r="Q171" s="34"/>
      <c r="R171" s="43"/>
      <c r="U171" s="18"/>
      <c r="X171" s="113"/>
    </row>
    <row r="172" spans="7:24">
      <c r="G172" s="18"/>
      <c r="P172" s="146"/>
      <c r="Q172" s="34"/>
      <c r="R172" s="43"/>
      <c r="U172" s="18"/>
      <c r="X172" s="113"/>
    </row>
    <row r="173" spans="7:24">
      <c r="G173" s="18"/>
      <c r="P173" s="146"/>
      <c r="Q173" s="34"/>
      <c r="R173" s="43"/>
      <c r="U173" s="18"/>
      <c r="X173" s="113"/>
    </row>
    <row r="174" spans="7:24">
      <c r="G174" s="18"/>
      <c r="P174" s="146"/>
      <c r="Q174" s="34"/>
      <c r="R174" s="43"/>
      <c r="U174" s="18"/>
      <c r="X174" s="113"/>
    </row>
    <row r="175" spans="7:24">
      <c r="G175" s="18"/>
      <c r="P175" s="146"/>
      <c r="Q175" s="34"/>
      <c r="R175" s="43"/>
      <c r="U175" s="18"/>
      <c r="X175" s="113"/>
    </row>
    <row r="176" spans="7:24">
      <c r="G176" s="18"/>
      <c r="P176" s="146"/>
      <c r="Q176" s="34"/>
      <c r="R176" s="43"/>
      <c r="U176" s="18"/>
      <c r="X176" s="113"/>
    </row>
    <row r="177" spans="7:24">
      <c r="G177" s="18"/>
      <c r="P177" s="146"/>
      <c r="Q177" s="34"/>
      <c r="R177" s="43"/>
      <c r="U177" s="18"/>
      <c r="X177" s="113"/>
    </row>
    <row r="178" spans="7:24">
      <c r="G178" s="18"/>
      <c r="P178" s="146"/>
      <c r="Q178" s="34"/>
      <c r="R178" s="43"/>
      <c r="U178" s="18"/>
      <c r="X178" s="113"/>
    </row>
    <row r="179" spans="7:24">
      <c r="G179" s="18"/>
      <c r="P179" s="146"/>
      <c r="Q179" s="34"/>
      <c r="R179" s="43"/>
      <c r="U179" s="18"/>
      <c r="X179" s="113"/>
    </row>
    <row r="180" spans="7:24">
      <c r="G180" s="18"/>
      <c r="P180" s="146"/>
      <c r="Q180" s="34"/>
      <c r="R180" s="43"/>
      <c r="U180" s="18"/>
      <c r="X180" s="113"/>
    </row>
    <row r="181" spans="7:24">
      <c r="G181" s="18"/>
      <c r="P181" s="146"/>
      <c r="Q181" s="34"/>
      <c r="R181" s="43"/>
      <c r="U181" s="18"/>
      <c r="X181" s="113"/>
    </row>
    <row r="182" spans="7:24">
      <c r="G182" s="18"/>
      <c r="P182" s="146"/>
      <c r="Q182" s="34"/>
      <c r="R182" s="43"/>
      <c r="U182" s="18"/>
      <c r="X182" s="113"/>
    </row>
    <row r="183" spans="7:24">
      <c r="G183" s="18"/>
      <c r="P183" s="146"/>
      <c r="Q183" s="34"/>
      <c r="R183" s="43"/>
      <c r="U183" s="18"/>
      <c r="X183" s="113"/>
    </row>
    <row r="184" spans="7:24">
      <c r="G184" s="18"/>
      <c r="P184" s="146"/>
      <c r="Q184" s="34"/>
      <c r="R184" s="43"/>
      <c r="U184" s="18"/>
      <c r="X184" s="113"/>
    </row>
    <row r="185" spans="7:24">
      <c r="G185" s="18"/>
      <c r="P185" s="146"/>
      <c r="Q185" s="34"/>
      <c r="R185" s="43"/>
      <c r="U185" s="18"/>
      <c r="X185" s="113"/>
    </row>
    <row r="186" spans="7:24">
      <c r="G186" s="18"/>
      <c r="P186" s="146"/>
      <c r="Q186" s="34"/>
      <c r="R186" s="43"/>
      <c r="U186" s="18"/>
      <c r="X186" s="113"/>
    </row>
    <row r="187" spans="7:24">
      <c r="G187" s="18"/>
      <c r="P187" s="146"/>
      <c r="Q187" s="34"/>
      <c r="R187" s="43"/>
      <c r="U187" s="18"/>
      <c r="X187" s="113"/>
    </row>
    <row r="188" spans="7:24">
      <c r="G188" s="18"/>
      <c r="P188" s="146"/>
      <c r="Q188" s="34"/>
      <c r="R188" s="43"/>
      <c r="U188" s="18"/>
      <c r="X188" s="113"/>
    </row>
    <row r="189" spans="7:24">
      <c r="G189" s="18"/>
      <c r="P189" s="146"/>
      <c r="Q189" s="34"/>
      <c r="R189" s="43"/>
      <c r="U189" s="18"/>
      <c r="X189" s="113"/>
    </row>
    <row r="190" spans="7:24">
      <c r="G190" s="18"/>
      <c r="P190" s="146"/>
      <c r="Q190" s="34"/>
      <c r="R190" s="43"/>
      <c r="U190" s="18"/>
      <c r="X190" s="113"/>
    </row>
    <row r="191" spans="7:24">
      <c r="G191" s="18"/>
      <c r="P191" s="146"/>
      <c r="Q191" s="34"/>
      <c r="R191" s="43"/>
      <c r="U191" s="18"/>
      <c r="X191" s="113"/>
    </row>
    <row r="192" spans="7:24">
      <c r="G192" s="18"/>
      <c r="P192" s="146"/>
      <c r="Q192" s="34"/>
      <c r="R192" s="43"/>
      <c r="U192" s="18"/>
      <c r="X192" s="113"/>
    </row>
    <row r="193" spans="7:24">
      <c r="G193" s="18"/>
      <c r="P193" s="146"/>
      <c r="Q193" s="34"/>
      <c r="R193" s="43"/>
      <c r="U193" s="18"/>
      <c r="X193" s="113"/>
    </row>
    <row r="194" spans="7:24">
      <c r="G194" s="18"/>
      <c r="P194" s="146"/>
      <c r="Q194" s="34"/>
      <c r="R194" s="43"/>
      <c r="U194" s="18"/>
      <c r="X194" s="113"/>
    </row>
    <row r="195" spans="7:24">
      <c r="G195" s="18"/>
      <c r="P195" s="146"/>
      <c r="Q195" s="34"/>
      <c r="R195" s="43"/>
      <c r="U195" s="18"/>
      <c r="X195" s="113"/>
    </row>
    <row r="196" spans="7:24">
      <c r="G196" s="18"/>
      <c r="P196" s="146"/>
      <c r="Q196" s="34"/>
      <c r="R196" s="43"/>
      <c r="U196" s="18"/>
      <c r="X196" s="113"/>
    </row>
    <row r="197" spans="7:24">
      <c r="G197" s="18"/>
      <c r="P197" s="146"/>
      <c r="Q197" s="34"/>
      <c r="R197" s="43"/>
      <c r="U197" s="18"/>
      <c r="X197" s="113"/>
    </row>
    <row r="198" spans="7:24">
      <c r="G198" s="18"/>
      <c r="P198" s="146"/>
      <c r="Q198" s="34"/>
      <c r="R198" s="43"/>
      <c r="U198" s="18"/>
      <c r="X198" s="113"/>
    </row>
    <row r="199" spans="7:24">
      <c r="G199" s="18"/>
      <c r="P199" s="146"/>
      <c r="Q199" s="34"/>
      <c r="R199" s="43"/>
      <c r="U199" s="18"/>
      <c r="X199" s="113"/>
    </row>
    <row r="200" spans="7:24">
      <c r="G200" s="18"/>
      <c r="P200" s="146"/>
      <c r="Q200" s="34"/>
      <c r="R200" s="43"/>
      <c r="U200" s="18"/>
      <c r="X200" s="113"/>
    </row>
    <row r="201" spans="7:24">
      <c r="G201" s="18"/>
      <c r="P201" s="146"/>
      <c r="Q201" s="34"/>
      <c r="R201" s="43"/>
      <c r="U201" s="18"/>
      <c r="X201" s="113"/>
    </row>
    <row r="202" spans="7:24">
      <c r="G202" s="18"/>
      <c r="P202" s="146"/>
      <c r="Q202" s="34"/>
      <c r="R202" s="43"/>
      <c r="U202" s="18"/>
      <c r="X202" s="113"/>
    </row>
    <row r="203" spans="7:24">
      <c r="G203" s="18"/>
      <c r="P203" s="146"/>
      <c r="Q203" s="34"/>
      <c r="R203" s="43"/>
      <c r="U203" s="18"/>
      <c r="X203" s="113"/>
    </row>
    <row r="204" spans="7:24">
      <c r="G204" s="18"/>
      <c r="P204" s="146"/>
      <c r="Q204" s="34"/>
      <c r="R204" s="43"/>
      <c r="U204" s="18"/>
      <c r="X204" s="113"/>
    </row>
    <row r="205" spans="7:24">
      <c r="G205" s="18"/>
      <c r="P205" s="146"/>
      <c r="Q205" s="34"/>
      <c r="R205" s="43"/>
      <c r="U205" s="18"/>
      <c r="X205" s="113"/>
    </row>
    <row r="206" spans="7:24">
      <c r="G206" s="18"/>
      <c r="P206" s="146"/>
      <c r="Q206" s="34"/>
      <c r="R206" s="43"/>
      <c r="U206" s="18"/>
      <c r="X206" s="113"/>
    </row>
    <row r="207" spans="7:24">
      <c r="G207" s="18"/>
      <c r="P207" s="146"/>
      <c r="Q207" s="34"/>
      <c r="R207" s="43"/>
      <c r="U207" s="18"/>
      <c r="X207" s="113"/>
    </row>
    <row r="208" spans="7:24">
      <c r="G208" s="18"/>
      <c r="P208" s="146"/>
      <c r="Q208" s="34"/>
      <c r="R208" s="43"/>
      <c r="U208" s="18"/>
      <c r="X208" s="113"/>
    </row>
    <row r="209" spans="7:24">
      <c r="G209" s="18"/>
      <c r="P209" s="146"/>
      <c r="Q209" s="34"/>
      <c r="R209" s="43"/>
      <c r="U209" s="18"/>
      <c r="X209" s="113"/>
    </row>
    <row r="210" spans="7:24">
      <c r="G210" s="18"/>
      <c r="P210" s="146"/>
      <c r="Q210" s="34"/>
      <c r="R210" s="43"/>
      <c r="U210" s="18"/>
      <c r="X210" s="113"/>
    </row>
    <row r="211" spans="7:24">
      <c r="G211" s="18"/>
      <c r="P211" s="146"/>
      <c r="Q211" s="34"/>
      <c r="R211" s="43"/>
      <c r="U211" s="18"/>
      <c r="X211" s="113"/>
    </row>
    <row r="212" spans="7:24">
      <c r="G212" s="18"/>
      <c r="P212" s="146"/>
      <c r="Q212" s="34"/>
      <c r="R212" s="43"/>
      <c r="U212" s="18"/>
      <c r="X212" s="113"/>
    </row>
    <row r="213" spans="7:24">
      <c r="G213" s="18"/>
      <c r="P213" s="146"/>
      <c r="Q213" s="34"/>
      <c r="R213" s="43"/>
      <c r="U213" s="18"/>
      <c r="X213" s="113"/>
    </row>
    <row r="214" spans="7:24">
      <c r="G214" s="18"/>
      <c r="P214" s="146"/>
      <c r="Q214" s="34"/>
      <c r="R214" s="43"/>
      <c r="U214" s="18"/>
      <c r="X214" s="113"/>
    </row>
    <row r="215" spans="7:24">
      <c r="G215" s="18"/>
      <c r="P215" s="146"/>
      <c r="Q215" s="34"/>
      <c r="R215" s="43"/>
      <c r="U215" s="18"/>
      <c r="X215" s="113"/>
    </row>
    <row r="216" spans="7:24">
      <c r="G216" s="18"/>
      <c r="P216" s="146"/>
      <c r="Q216" s="34"/>
      <c r="R216" s="43"/>
      <c r="U216" s="18"/>
      <c r="X216" s="113"/>
    </row>
    <row r="217" spans="7:24">
      <c r="G217" s="18"/>
      <c r="P217" s="146"/>
      <c r="Q217" s="34"/>
      <c r="R217" s="43"/>
      <c r="U217" s="18"/>
      <c r="X217" s="113"/>
    </row>
    <row r="218" spans="7:24">
      <c r="G218" s="18"/>
      <c r="P218" s="146"/>
      <c r="Q218" s="34"/>
      <c r="R218" s="43"/>
      <c r="U218" s="18"/>
      <c r="X218" s="113"/>
    </row>
    <row r="219" spans="7:24">
      <c r="G219" s="18"/>
      <c r="P219" s="146"/>
      <c r="Q219" s="34"/>
      <c r="R219" s="43"/>
      <c r="U219" s="18"/>
      <c r="X219" s="113"/>
    </row>
    <row r="220" spans="7:24">
      <c r="G220" s="18"/>
      <c r="P220" s="146"/>
      <c r="Q220" s="34"/>
      <c r="R220" s="43"/>
      <c r="U220" s="18"/>
      <c r="X220" s="113"/>
    </row>
    <row r="221" spans="7:24">
      <c r="G221" s="18"/>
      <c r="P221" s="146"/>
      <c r="Q221" s="34"/>
      <c r="R221" s="43"/>
      <c r="U221" s="18"/>
      <c r="X221" s="113"/>
    </row>
    <row r="222" spans="7:24">
      <c r="G222" s="18"/>
      <c r="P222" s="146"/>
      <c r="Q222" s="34"/>
      <c r="R222" s="43"/>
      <c r="U222" s="18"/>
      <c r="X222" s="113"/>
    </row>
    <row r="223" spans="7:24">
      <c r="G223" s="18"/>
      <c r="P223" s="146"/>
      <c r="Q223" s="34"/>
      <c r="R223" s="43"/>
      <c r="U223" s="18"/>
      <c r="X223" s="113"/>
    </row>
    <row r="224" spans="7:24">
      <c r="G224" s="18"/>
      <c r="P224" s="146"/>
      <c r="Q224" s="34"/>
      <c r="R224" s="43"/>
      <c r="U224" s="18"/>
      <c r="X224" s="113"/>
    </row>
    <row r="225" spans="7:24">
      <c r="G225" s="18"/>
      <c r="P225" s="146"/>
      <c r="Q225" s="34"/>
      <c r="R225" s="43"/>
      <c r="U225" s="18"/>
      <c r="X225" s="113"/>
    </row>
    <row r="226" spans="7:24">
      <c r="G226" s="18"/>
      <c r="P226" s="146"/>
      <c r="Q226" s="34"/>
      <c r="R226" s="43"/>
      <c r="U226" s="18"/>
      <c r="X226" s="113"/>
    </row>
    <row r="227" spans="7:24">
      <c r="G227" s="18"/>
      <c r="P227" s="146"/>
      <c r="Q227" s="34"/>
      <c r="R227" s="43"/>
      <c r="U227" s="18"/>
      <c r="X227" s="113"/>
    </row>
    <row r="228" spans="7:24">
      <c r="G228" s="18"/>
      <c r="P228" s="146"/>
      <c r="Q228" s="34"/>
      <c r="R228" s="43"/>
      <c r="U228" s="18"/>
      <c r="X228" s="113"/>
    </row>
    <row r="229" spans="7:24">
      <c r="G229" s="18"/>
      <c r="P229" s="146"/>
      <c r="Q229" s="34"/>
      <c r="R229" s="43"/>
      <c r="U229" s="18"/>
      <c r="X229" s="113"/>
    </row>
    <row r="230" spans="7:24">
      <c r="G230" s="18"/>
      <c r="P230" s="146"/>
      <c r="Q230" s="34"/>
      <c r="R230" s="43"/>
      <c r="U230" s="18"/>
      <c r="X230" s="113"/>
    </row>
    <row r="231" spans="7:24">
      <c r="G231" s="18"/>
      <c r="P231" s="146"/>
      <c r="Q231" s="34"/>
      <c r="R231" s="43"/>
      <c r="U231" s="18"/>
      <c r="X231" s="113"/>
    </row>
    <row r="232" spans="7:24">
      <c r="G232" s="18"/>
      <c r="P232" s="146"/>
      <c r="Q232" s="34"/>
      <c r="R232" s="43"/>
      <c r="U232" s="18"/>
      <c r="X232" s="113"/>
    </row>
    <row r="233" spans="7:24">
      <c r="G233" s="18"/>
      <c r="P233" s="146"/>
      <c r="Q233" s="34"/>
      <c r="R233" s="43"/>
      <c r="U233" s="18"/>
      <c r="X233" s="113"/>
    </row>
    <row r="234" spans="7:24">
      <c r="G234" s="18"/>
      <c r="P234" s="146"/>
      <c r="Q234" s="34"/>
      <c r="R234" s="43"/>
      <c r="U234" s="18"/>
      <c r="X234" s="113"/>
    </row>
    <row r="235" spans="7:24">
      <c r="G235" s="18"/>
      <c r="P235" s="146"/>
      <c r="Q235" s="34"/>
      <c r="R235" s="43"/>
      <c r="U235" s="18"/>
      <c r="X235" s="113"/>
    </row>
    <row r="236" spans="7:24">
      <c r="G236" s="18"/>
      <c r="P236" s="146"/>
      <c r="Q236" s="34"/>
      <c r="R236" s="43"/>
      <c r="U236" s="18"/>
      <c r="X236" s="113"/>
    </row>
    <row r="237" spans="7:24">
      <c r="G237" s="18"/>
      <c r="P237" s="146"/>
      <c r="Q237" s="34"/>
      <c r="R237" s="43"/>
      <c r="U237" s="18"/>
      <c r="X237" s="113"/>
    </row>
    <row r="238" spans="7:24">
      <c r="G238" s="18"/>
      <c r="P238" s="146"/>
      <c r="Q238" s="34"/>
      <c r="R238" s="43"/>
      <c r="U238" s="18"/>
      <c r="X238" s="113"/>
    </row>
    <row r="239" spans="7:24">
      <c r="G239" s="18"/>
      <c r="P239" s="146"/>
      <c r="Q239" s="34"/>
      <c r="R239" s="43"/>
      <c r="U239" s="18"/>
      <c r="X239" s="113"/>
    </row>
    <row r="240" spans="7:24">
      <c r="G240" s="18"/>
      <c r="P240" s="146"/>
      <c r="Q240" s="34"/>
      <c r="R240" s="43"/>
      <c r="U240" s="18"/>
      <c r="X240" s="113"/>
    </row>
    <row r="241" spans="7:24">
      <c r="G241" s="18"/>
      <c r="P241" s="146"/>
      <c r="Q241" s="34"/>
      <c r="R241" s="43"/>
      <c r="U241" s="18"/>
      <c r="X241" s="113"/>
    </row>
    <row r="242" spans="7:24">
      <c r="G242" s="18"/>
      <c r="P242" s="146"/>
      <c r="Q242" s="34"/>
      <c r="R242" s="43"/>
      <c r="U242" s="18"/>
      <c r="X242" s="113"/>
    </row>
    <row r="243" spans="7:24">
      <c r="G243" s="18"/>
      <c r="P243" s="146"/>
      <c r="Q243" s="34"/>
      <c r="R243" s="43"/>
      <c r="U243" s="18"/>
      <c r="X243" s="113"/>
    </row>
    <row r="244" spans="7:24">
      <c r="G244" s="18"/>
      <c r="P244" s="146"/>
      <c r="Q244" s="34"/>
      <c r="R244" s="43"/>
      <c r="U244" s="18"/>
      <c r="X244" s="113"/>
    </row>
    <row r="245" spans="7:24">
      <c r="G245" s="18"/>
      <c r="P245" s="146"/>
      <c r="Q245" s="34"/>
      <c r="R245" s="43"/>
      <c r="U245" s="18"/>
      <c r="X245" s="113"/>
    </row>
    <row r="246" spans="7:24">
      <c r="G246" s="18"/>
      <c r="P246" s="146"/>
      <c r="Q246" s="34"/>
      <c r="R246" s="43"/>
      <c r="U246" s="18"/>
      <c r="X246" s="113"/>
    </row>
    <row r="247" spans="7:24">
      <c r="G247" s="18"/>
      <c r="P247" s="146"/>
      <c r="Q247" s="34"/>
      <c r="R247" s="43"/>
      <c r="U247" s="18"/>
      <c r="X247" s="113"/>
    </row>
    <row r="248" spans="7:24">
      <c r="G248" s="18"/>
      <c r="P248" s="146"/>
      <c r="Q248" s="34"/>
      <c r="R248" s="43"/>
      <c r="U248" s="18"/>
      <c r="X248" s="113"/>
    </row>
    <row r="249" spans="7:24">
      <c r="G249" s="18"/>
      <c r="P249" s="146"/>
      <c r="Q249" s="34"/>
      <c r="R249" s="43"/>
      <c r="U249" s="18"/>
      <c r="X249" s="113"/>
    </row>
    <row r="250" spans="7:24">
      <c r="G250" s="18"/>
      <c r="P250" s="146"/>
      <c r="Q250" s="34"/>
      <c r="R250" s="43"/>
      <c r="U250" s="18"/>
      <c r="X250" s="113"/>
    </row>
    <row r="251" spans="7:24">
      <c r="G251" s="18"/>
      <c r="P251" s="146"/>
      <c r="Q251" s="34"/>
      <c r="R251" s="43"/>
      <c r="U251" s="18"/>
      <c r="X251" s="113"/>
    </row>
    <row r="252" spans="7:24">
      <c r="G252" s="18"/>
      <c r="P252" s="146"/>
      <c r="Q252" s="34"/>
      <c r="R252" s="43"/>
      <c r="U252" s="18"/>
      <c r="X252" s="113"/>
    </row>
    <row r="253" spans="7:24">
      <c r="G253" s="18"/>
      <c r="P253" s="146"/>
      <c r="Q253" s="34"/>
      <c r="R253" s="43"/>
      <c r="U253" s="18"/>
      <c r="X253" s="113"/>
    </row>
    <row r="254" spans="7:24">
      <c r="G254" s="18"/>
      <c r="P254" s="146"/>
      <c r="Q254" s="34"/>
      <c r="R254" s="43"/>
      <c r="U254" s="18"/>
      <c r="X254" s="113"/>
    </row>
    <row r="255" spans="7:24">
      <c r="G255" s="18"/>
      <c r="P255" s="146"/>
      <c r="Q255" s="34"/>
      <c r="R255" s="43"/>
      <c r="U255" s="18"/>
      <c r="X255" s="113"/>
    </row>
    <row r="256" spans="7:24">
      <c r="G256" s="18"/>
      <c r="P256" s="146"/>
      <c r="Q256" s="34"/>
      <c r="R256" s="43"/>
      <c r="U256" s="18"/>
      <c r="X256" s="113"/>
    </row>
    <row r="257" spans="7:24">
      <c r="G257" s="18"/>
      <c r="P257" s="146"/>
      <c r="Q257" s="34"/>
      <c r="R257" s="43"/>
      <c r="U257" s="18"/>
      <c r="X257" s="113"/>
    </row>
    <row r="258" spans="7:24">
      <c r="G258" s="18"/>
      <c r="P258" s="146"/>
      <c r="Q258" s="34"/>
      <c r="R258" s="43"/>
      <c r="U258" s="18"/>
      <c r="X258" s="113"/>
    </row>
    <row r="259" spans="7:24">
      <c r="G259" s="18"/>
      <c r="P259" s="146"/>
      <c r="Q259" s="34"/>
      <c r="R259" s="43"/>
      <c r="U259" s="18"/>
      <c r="X259" s="113"/>
    </row>
    <row r="260" spans="7:24">
      <c r="G260" s="18"/>
      <c r="P260" s="146"/>
      <c r="Q260" s="34"/>
      <c r="R260" s="43"/>
      <c r="U260" s="18"/>
      <c r="X260" s="113"/>
    </row>
    <row r="261" spans="7:24">
      <c r="G261" s="18"/>
      <c r="P261" s="146"/>
      <c r="Q261" s="34"/>
      <c r="R261" s="43"/>
      <c r="U261" s="18"/>
      <c r="X261" s="113"/>
    </row>
    <row r="262" spans="7:24">
      <c r="G262" s="18"/>
      <c r="P262" s="146"/>
      <c r="Q262" s="34"/>
      <c r="R262" s="43"/>
      <c r="U262" s="18"/>
      <c r="X262" s="113"/>
    </row>
    <row r="263" spans="7:24">
      <c r="G263" s="18"/>
      <c r="P263" s="146"/>
      <c r="Q263" s="34"/>
      <c r="R263" s="43"/>
      <c r="U263" s="18"/>
      <c r="X263" s="113"/>
    </row>
    <row r="264" spans="7:24">
      <c r="G264" s="18"/>
      <c r="P264" s="146"/>
      <c r="Q264" s="34"/>
      <c r="R264" s="43"/>
      <c r="U264" s="18"/>
      <c r="X264" s="113"/>
    </row>
    <row r="265" spans="7:24">
      <c r="G265" s="18"/>
      <c r="P265" s="146"/>
      <c r="Q265" s="34"/>
      <c r="R265" s="43"/>
      <c r="U265" s="18"/>
      <c r="X265" s="113"/>
    </row>
    <row r="266" spans="7:24">
      <c r="G266" s="18"/>
      <c r="P266" s="146"/>
      <c r="Q266" s="34"/>
      <c r="R266" s="43"/>
      <c r="U266" s="18"/>
      <c r="X266" s="113"/>
    </row>
    <row r="267" spans="7:24">
      <c r="G267" s="18"/>
      <c r="P267" s="146"/>
      <c r="Q267" s="34"/>
      <c r="R267" s="43"/>
      <c r="U267" s="18"/>
      <c r="X267" s="113"/>
    </row>
    <row r="268" spans="7:24">
      <c r="G268" s="18"/>
      <c r="P268" s="146"/>
      <c r="Q268" s="34"/>
      <c r="R268" s="43"/>
      <c r="U268" s="18"/>
      <c r="X268" s="113"/>
    </row>
    <row r="269" spans="7:24">
      <c r="G269" s="18"/>
      <c r="P269" s="146"/>
      <c r="Q269" s="34"/>
      <c r="R269" s="43"/>
      <c r="U269" s="18"/>
      <c r="X269" s="113"/>
    </row>
    <row r="270" spans="7:24">
      <c r="G270" s="18"/>
      <c r="P270" s="146"/>
      <c r="Q270" s="34"/>
      <c r="R270" s="43"/>
      <c r="U270" s="18"/>
      <c r="X270" s="113"/>
    </row>
    <row r="271" spans="7:24">
      <c r="G271" s="18"/>
      <c r="P271" s="146"/>
      <c r="Q271" s="34"/>
      <c r="R271" s="43"/>
      <c r="U271" s="18"/>
      <c r="X271" s="113"/>
    </row>
    <row r="272" spans="7:24">
      <c r="G272" s="18"/>
      <c r="P272" s="146"/>
      <c r="Q272" s="34"/>
      <c r="R272" s="43"/>
      <c r="U272" s="18"/>
      <c r="X272" s="113"/>
    </row>
    <row r="273" spans="7:24">
      <c r="G273" s="18"/>
      <c r="P273" s="146"/>
      <c r="Q273" s="34"/>
      <c r="R273" s="43"/>
      <c r="U273" s="18"/>
      <c r="X273" s="113"/>
    </row>
    <row r="274" spans="7:24">
      <c r="G274" s="18"/>
      <c r="P274" s="146"/>
      <c r="Q274" s="34"/>
      <c r="R274" s="43"/>
      <c r="U274" s="18"/>
      <c r="X274" s="113"/>
    </row>
    <row r="275" spans="7:24">
      <c r="G275" s="18"/>
      <c r="P275" s="146"/>
      <c r="Q275" s="34"/>
      <c r="R275" s="43"/>
      <c r="U275" s="18"/>
      <c r="X275" s="113"/>
    </row>
    <row r="276" spans="7:24">
      <c r="G276" s="18"/>
      <c r="P276" s="146"/>
      <c r="Q276" s="34"/>
      <c r="R276" s="43"/>
      <c r="U276" s="18"/>
      <c r="X276" s="113"/>
    </row>
    <row r="277" spans="7:24">
      <c r="G277" s="18"/>
      <c r="P277" s="146"/>
      <c r="Q277" s="34"/>
      <c r="R277" s="43"/>
      <c r="U277" s="18"/>
      <c r="X277" s="113"/>
    </row>
    <row r="278" spans="7:24">
      <c r="G278" s="18"/>
      <c r="P278" s="146"/>
      <c r="Q278" s="34"/>
      <c r="R278" s="43"/>
      <c r="U278" s="18"/>
      <c r="X278" s="113"/>
    </row>
    <row r="279" spans="7:24">
      <c r="G279" s="18"/>
      <c r="P279" s="146"/>
      <c r="Q279" s="34"/>
      <c r="R279" s="43"/>
      <c r="U279" s="18"/>
      <c r="X279" s="113"/>
    </row>
    <row r="280" spans="7:24">
      <c r="G280" s="18"/>
      <c r="P280" s="146"/>
      <c r="Q280" s="34"/>
      <c r="R280" s="43"/>
      <c r="U280" s="18"/>
      <c r="X280" s="113"/>
    </row>
    <row r="281" spans="7:24">
      <c r="G281" s="18"/>
      <c r="P281" s="146"/>
      <c r="Q281" s="34"/>
      <c r="R281" s="43"/>
      <c r="U281" s="18"/>
      <c r="X281" s="113"/>
    </row>
    <row r="282" spans="7:24">
      <c r="G282" s="18"/>
      <c r="P282" s="146"/>
      <c r="Q282" s="34"/>
      <c r="R282" s="43"/>
      <c r="U282" s="18"/>
      <c r="X282" s="113"/>
    </row>
    <row r="283" spans="7:24">
      <c r="G283" s="18"/>
      <c r="P283" s="146"/>
      <c r="Q283" s="34"/>
      <c r="R283" s="43"/>
      <c r="U283" s="18"/>
      <c r="X283" s="113"/>
    </row>
    <row r="284" spans="7:24">
      <c r="G284" s="18"/>
      <c r="P284" s="146"/>
      <c r="Q284" s="34"/>
      <c r="R284" s="43"/>
      <c r="U284" s="18"/>
      <c r="X284" s="113"/>
    </row>
    <row r="285" spans="7:24">
      <c r="G285" s="18"/>
      <c r="P285" s="146"/>
      <c r="Q285" s="34"/>
      <c r="R285" s="43"/>
      <c r="U285" s="18"/>
      <c r="X285" s="113"/>
    </row>
    <row r="286" spans="7:24">
      <c r="G286" s="18"/>
      <c r="P286" s="146"/>
      <c r="Q286" s="34"/>
      <c r="R286" s="43"/>
      <c r="U286" s="18"/>
      <c r="X286" s="113"/>
    </row>
    <row r="287" spans="7:24">
      <c r="G287" s="18"/>
      <c r="P287" s="146"/>
      <c r="Q287" s="34"/>
      <c r="R287" s="43"/>
      <c r="U287" s="18"/>
      <c r="X287" s="113"/>
    </row>
    <row r="288" spans="7:24">
      <c r="G288" s="18"/>
      <c r="P288" s="146"/>
      <c r="Q288" s="34"/>
      <c r="R288" s="43"/>
      <c r="U288" s="18"/>
      <c r="X288" s="113"/>
    </row>
    <row r="289" spans="7:24">
      <c r="G289" s="18"/>
      <c r="P289" s="146"/>
      <c r="Q289" s="34"/>
      <c r="R289" s="43"/>
      <c r="U289" s="18"/>
      <c r="X289" s="113"/>
    </row>
    <row r="290" spans="7:24">
      <c r="G290" s="18"/>
      <c r="P290" s="146"/>
      <c r="Q290" s="34"/>
      <c r="R290" s="43"/>
      <c r="U290" s="18"/>
      <c r="X290" s="113"/>
    </row>
    <row r="291" spans="7:24">
      <c r="G291" s="18"/>
      <c r="P291" s="146"/>
      <c r="Q291" s="34"/>
      <c r="R291" s="43"/>
      <c r="U291" s="18"/>
      <c r="X291" s="113"/>
    </row>
    <row r="292" spans="7:24">
      <c r="G292" s="18"/>
      <c r="P292" s="146"/>
      <c r="Q292" s="34"/>
      <c r="R292" s="43"/>
      <c r="U292" s="18"/>
      <c r="X292" s="113"/>
    </row>
    <row r="293" spans="7:24">
      <c r="G293" s="18"/>
      <c r="P293" s="146"/>
      <c r="Q293" s="34"/>
      <c r="R293" s="43"/>
      <c r="U293" s="18"/>
      <c r="X293" s="113"/>
    </row>
    <row r="294" spans="7:24">
      <c r="G294" s="18"/>
      <c r="P294" s="146"/>
      <c r="Q294" s="34"/>
      <c r="R294" s="43"/>
      <c r="U294" s="18"/>
      <c r="X294" s="113"/>
    </row>
    <row r="295" spans="7:24">
      <c r="G295" s="18"/>
      <c r="P295" s="146"/>
      <c r="Q295" s="34"/>
      <c r="R295" s="43"/>
      <c r="U295" s="18"/>
      <c r="X295" s="113"/>
    </row>
    <row r="296" spans="7:24">
      <c r="G296" s="18"/>
      <c r="P296" s="146"/>
      <c r="Q296" s="34"/>
      <c r="R296" s="43"/>
      <c r="U296" s="18"/>
      <c r="X296" s="113"/>
    </row>
    <row r="297" spans="7:24">
      <c r="G297" s="18"/>
      <c r="P297" s="146"/>
      <c r="Q297" s="34"/>
      <c r="R297" s="43"/>
      <c r="U297" s="18"/>
      <c r="X297" s="113"/>
    </row>
    <row r="298" spans="7:24">
      <c r="G298" s="18"/>
      <c r="P298" s="146"/>
      <c r="Q298" s="34"/>
      <c r="R298" s="43"/>
      <c r="U298" s="18"/>
      <c r="X298" s="113"/>
    </row>
    <row r="299" spans="7:24">
      <c r="G299" s="18"/>
      <c r="P299" s="146"/>
      <c r="Q299" s="34"/>
      <c r="R299" s="43"/>
      <c r="U299" s="18"/>
      <c r="X299" s="113"/>
    </row>
    <row r="300" spans="7:24">
      <c r="G300" s="18"/>
      <c r="P300" s="146"/>
      <c r="Q300" s="34"/>
      <c r="R300" s="43"/>
      <c r="U300" s="18"/>
      <c r="X300" s="113"/>
    </row>
    <row r="301" spans="7:24">
      <c r="G301" s="18"/>
      <c r="P301" s="146"/>
      <c r="Q301" s="34"/>
      <c r="R301" s="43"/>
      <c r="U301" s="18"/>
      <c r="X301" s="113"/>
    </row>
    <row r="302" spans="7:24">
      <c r="G302" s="18"/>
      <c r="P302" s="146"/>
      <c r="Q302" s="34"/>
      <c r="R302" s="43"/>
      <c r="U302" s="18"/>
      <c r="X302" s="113"/>
    </row>
    <row r="303" spans="7:24">
      <c r="G303" s="18"/>
      <c r="P303" s="146"/>
      <c r="Q303" s="34"/>
      <c r="R303" s="43"/>
      <c r="U303" s="18"/>
      <c r="X303" s="113"/>
    </row>
    <row r="304" spans="7:24">
      <c r="G304" s="18"/>
      <c r="P304" s="146"/>
      <c r="Q304" s="34"/>
      <c r="R304" s="43"/>
      <c r="U304" s="18"/>
      <c r="X304" s="113"/>
    </row>
  </sheetData>
  <dataValidations count="1">
    <dataValidation allowBlank="1" showInputMessage="1" showErrorMessage="1" sqref="C1:C304" xr:uid="{8F3F9D65-2A6C-4791-A476-9DE71899D3B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832A08-BEB7-4878-A2C5-93CF5BBEE071}">
          <x14:formula1>
            <xm:f>공급업체코드!$D$3:$D$47</xm:f>
          </x14:formula1>
          <xm:sqref>E7:E83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40ED-A04C-45A9-B00D-B515E52A8BCB}">
  <sheetPr>
    <tabColor rgb="FFFFFF00"/>
  </sheetPr>
  <dimension ref="A1:AA375"/>
  <sheetViews>
    <sheetView workbookViewId="0">
      <pane ySplit="2" topLeftCell="A3" activePane="bottomLeft" state="frozen"/>
      <selection pane="bottomLeft" activeCell="C13" sqref="C13"/>
    </sheetView>
  </sheetViews>
  <sheetFormatPr defaultRowHeight="16.5"/>
  <cols>
    <col min="2" max="2" width="32" bestFit="1" customWidth="1"/>
    <col min="3" max="3" width="27.875" bestFit="1" customWidth="1"/>
    <col min="4" max="4" width="16.75" bestFit="1" customWidth="1"/>
    <col min="5" max="5" width="15.25" bestFit="1" customWidth="1"/>
    <col min="6" max="6" width="13.75" bestFit="1" customWidth="1"/>
    <col min="7" max="7" width="22.875" bestFit="1" customWidth="1"/>
    <col min="8" max="8" width="22.25" style="113" bestFit="1" customWidth="1"/>
    <col min="9" max="10" width="22.25" customWidth="1"/>
    <col min="11" max="11" width="13.375" style="178" bestFit="1" customWidth="1"/>
    <col min="12" max="12" width="25.875" bestFit="1" customWidth="1"/>
    <col min="13" max="13" width="16.625" bestFit="1" customWidth="1"/>
    <col min="14" max="14" width="18.25" style="178" bestFit="1" customWidth="1"/>
    <col min="15" max="15" width="21.25" bestFit="1" customWidth="1"/>
    <col min="16" max="16" width="21.25" style="113" customWidth="1"/>
    <col min="18" max="18" width="29.125" bestFit="1" customWidth="1"/>
    <col min="19" max="19" width="20.625" customWidth="1"/>
  </cols>
  <sheetData>
    <row r="1" spans="1:27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7" t="s">
        <v>1288</v>
      </c>
      <c r="I1" s="10" t="s">
        <v>1357</v>
      </c>
      <c r="J1" s="10" t="s">
        <v>1358</v>
      </c>
      <c r="K1" s="10" t="s">
        <v>1290</v>
      </c>
      <c r="L1" s="10" t="s">
        <v>1291</v>
      </c>
      <c r="M1" s="10" t="s">
        <v>1292</v>
      </c>
      <c r="N1" s="10" t="s">
        <v>1293</v>
      </c>
      <c r="O1" s="17" t="s">
        <v>1294</v>
      </c>
      <c r="P1" s="61" t="s">
        <v>1295</v>
      </c>
      <c r="Q1" s="10" t="s">
        <v>1296</v>
      </c>
      <c r="R1" s="10" t="s">
        <v>1297</v>
      </c>
      <c r="S1" s="210" t="s">
        <v>1298</v>
      </c>
      <c r="T1" s="10"/>
      <c r="U1" s="10"/>
      <c r="V1" s="10"/>
      <c r="W1" s="10"/>
      <c r="X1" s="10"/>
      <c r="Y1" s="10"/>
      <c r="Z1" s="10"/>
      <c r="AA1" s="10"/>
    </row>
    <row r="2" spans="1:27">
      <c r="A2" s="1"/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23" t="s">
        <v>1302</v>
      </c>
      <c r="H2" s="116" t="s">
        <v>1303</v>
      </c>
      <c r="I2" s="334" t="s">
        <v>1359</v>
      </c>
      <c r="J2" s="85" t="s">
        <v>1360</v>
      </c>
      <c r="K2" s="114" t="s">
        <v>1305</v>
      </c>
      <c r="L2" s="114" t="s">
        <v>1306</v>
      </c>
      <c r="M2" s="179" t="s">
        <v>1307</v>
      </c>
      <c r="N2" s="235" t="s">
        <v>1308</v>
      </c>
      <c r="O2" s="235" t="s">
        <v>1309</v>
      </c>
      <c r="P2" s="241" t="s">
        <v>1310</v>
      </c>
      <c r="Q2" s="109" t="s">
        <v>1311</v>
      </c>
      <c r="R2" s="100" t="s">
        <v>10</v>
      </c>
      <c r="S2" s="242" t="s">
        <v>1312</v>
      </c>
      <c r="T2" s="1"/>
      <c r="U2" s="1"/>
      <c r="V2" s="1"/>
      <c r="W2" s="1"/>
      <c r="X2" s="1"/>
      <c r="Y2" s="41"/>
      <c r="Z2" s="41"/>
      <c r="AA2" s="41"/>
    </row>
    <row r="3" spans="1:27">
      <c r="B3" s="1" t="str">
        <f t="shared" ref="B3" si="0">D3&amp;"_"&amp;F3&amp;"_"&amp;H3</f>
        <v>M_BRX01_VM_BKT_2</v>
      </c>
      <c r="C3" s="92" t="s">
        <v>737</v>
      </c>
      <c r="D3" s="92" t="str" cm="1">
        <f t="array" ref="D3">INDEX(기계코드!$D$4:$D$1022,MATCH(1,(C3=기계코드!$F$4:$F$1022)*1,0))</f>
        <v>M_BRX01</v>
      </c>
      <c r="E3" s="92" t="s">
        <v>1128</v>
      </c>
      <c r="F3" s="92" t="str" cm="1">
        <f t="array" ref="F3">INDEX(공급업체코드!$B$3:$B$1000,MATCH(1,(E3=공급업체코드!$D$3:$D$1000)*1,0))</f>
        <v>VM_BKT</v>
      </c>
      <c r="G3" s="243" t="s">
        <v>1361</v>
      </c>
      <c r="H3" s="333">
        <v>2</v>
      </c>
      <c r="I3" s="110"/>
      <c r="J3" s="110"/>
      <c r="K3" s="230" t="s">
        <v>1313</v>
      </c>
      <c r="L3" s="10"/>
      <c r="M3" s="232" t="s">
        <v>1314</v>
      </c>
      <c r="N3" s="238">
        <v>999</v>
      </c>
      <c r="O3" s="239"/>
      <c r="P3" s="240" t="s">
        <v>1315</v>
      </c>
      <c r="Q3" s="1" t="b">
        <v>1</v>
      </c>
      <c r="S3" s="34"/>
      <c r="Y3" s="41"/>
      <c r="Z3" s="41"/>
      <c r="AA3" s="41"/>
    </row>
    <row r="4" spans="1:27">
      <c r="B4" s="1" t="str">
        <f t="shared" ref="B4:B8" si="1">D4&amp;"_"&amp;F4&amp;"_"&amp;H4</f>
        <v>M_BRX01_VM_BKT_10</v>
      </c>
      <c r="C4" s="92" t="s">
        <v>737</v>
      </c>
      <c r="D4" s="92" t="str" cm="1">
        <f t="array" ref="D4">INDEX(기계코드!$D$4:$D$1022,MATCH(1,(C4=기계코드!$F$4:$F$1022)*1,0))</f>
        <v>M_BRX01</v>
      </c>
      <c r="E4" s="92" t="s">
        <v>1128</v>
      </c>
      <c r="F4" s="92" t="str" cm="1">
        <f t="array" ref="F4">INDEX(공급업체코드!$B$3:$B$1000,MATCH(1,(E4=공급업체코드!$D$3:$D$1000)*1,0))</f>
        <v>VM_BKT</v>
      </c>
      <c r="G4" s="243" t="s">
        <v>1362</v>
      </c>
      <c r="H4" s="333">
        <v>10</v>
      </c>
      <c r="I4" s="110"/>
      <c r="J4" s="110"/>
      <c r="K4" s="231" t="s">
        <v>1313</v>
      </c>
      <c r="L4" s="10"/>
      <c r="M4" s="233" t="s">
        <v>1314</v>
      </c>
      <c r="N4" s="236">
        <v>999</v>
      </c>
      <c r="P4" s="113" t="s">
        <v>1315</v>
      </c>
      <c r="Q4" s="1" t="b">
        <v>1</v>
      </c>
      <c r="S4" s="34"/>
      <c r="Y4" s="41"/>
      <c r="Z4" s="41"/>
      <c r="AA4" s="41"/>
    </row>
    <row r="5" spans="1:27">
      <c r="B5" s="1" t="str">
        <f t="shared" si="1"/>
        <v>M_BRX01_VM_BKT_15</v>
      </c>
      <c r="C5" s="92" t="s">
        <v>737</v>
      </c>
      <c r="D5" s="92" t="str" cm="1">
        <f t="array" ref="D5">INDEX(기계코드!$D$4:$D$1022,MATCH(1,(C5=기계코드!$F$4:$F$1022)*1,0))</f>
        <v>M_BRX01</v>
      </c>
      <c r="E5" s="92" t="s">
        <v>1128</v>
      </c>
      <c r="F5" s="92" t="str" cm="1">
        <f t="array" ref="F5">INDEX(공급업체코드!$B$3:$B$1000,MATCH(1,(E5=공급업체코드!$D$3:$D$1000)*1,0))</f>
        <v>VM_BKT</v>
      </c>
      <c r="G5" s="243" t="s">
        <v>1363</v>
      </c>
      <c r="H5" s="333">
        <v>15</v>
      </c>
      <c r="I5" s="110"/>
      <c r="J5" s="110"/>
      <c r="K5" s="231" t="s">
        <v>1313</v>
      </c>
      <c r="L5" s="10"/>
      <c r="M5" s="233" t="s">
        <v>1314</v>
      </c>
      <c r="N5" s="236">
        <v>999</v>
      </c>
      <c r="P5" s="113" t="s">
        <v>1315</v>
      </c>
      <c r="Q5" s="1" t="b">
        <v>1</v>
      </c>
      <c r="S5" s="34"/>
      <c r="Y5" s="41"/>
      <c r="Z5" s="41"/>
      <c r="AA5" s="41"/>
    </row>
    <row r="6" spans="1:27">
      <c r="B6" s="1" t="str">
        <f t="shared" si="1"/>
        <v>M_BRX01_VM_BKT_20</v>
      </c>
      <c r="C6" s="92" t="s">
        <v>737</v>
      </c>
      <c r="D6" s="92" t="str" cm="1">
        <f t="array" ref="D6">INDEX(기계코드!$D$4:$D$1022,MATCH(1,(C6=기계코드!$F$4:$F$1022)*1,0))</f>
        <v>M_BRX01</v>
      </c>
      <c r="E6" s="92" t="s">
        <v>1128</v>
      </c>
      <c r="F6" s="92" t="str" cm="1">
        <f t="array" ref="F6">INDEX(공급업체코드!$B$3:$B$1000,MATCH(1,(E6=공급업체코드!$D$3:$D$1000)*1,0))</f>
        <v>VM_BKT</v>
      </c>
      <c r="G6" s="243" t="s">
        <v>1364</v>
      </c>
      <c r="H6" s="333">
        <v>20</v>
      </c>
      <c r="I6" s="110"/>
      <c r="J6" s="110"/>
      <c r="K6" s="231" t="s">
        <v>1313</v>
      </c>
      <c r="L6" s="10"/>
      <c r="M6" s="233" t="s">
        <v>1314</v>
      </c>
      <c r="N6" s="236">
        <v>999</v>
      </c>
      <c r="P6" s="113" t="s">
        <v>1315</v>
      </c>
      <c r="Q6" s="1" t="b">
        <v>1</v>
      </c>
      <c r="S6" s="34"/>
      <c r="Y6" s="41"/>
      <c r="Z6" s="41"/>
      <c r="AA6" s="41"/>
    </row>
    <row r="7" spans="1:27">
      <c r="B7" s="1"/>
      <c r="C7" s="92"/>
      <c r="D7" s="92"/>
      <c r="E7" s="92"/>
      <c r="F7" s="92"/>
      <c r="G7" s="113"/>
      <c r="H7" s="333"/>
      <c r="I7" s="110"/>
      <c r="J7" s="110"/>
      <c r="K7" s="231"/>
      <c r="L7" s="10"/>
      <c r="M7" s="233"/>
      <c r="N7" s="236"/>
      <c r="Q7" s="1"/>
      <c r="S7" s="34"/>
      <c r="Y7" s="41"/>
      <c r="Z7" s="41"/>
      <c r="AA7" s="41"/>
    </row>
    <row r="8" spans="1:27">
      <c r="A8" s="203"/>
      <c r="B8" s="1" t="str">
        <f>D8&amp;"_"&amp;F8&amp;"_"&amp;ROUNDDOWN(H8,0)</f>
        <v>M_BRX0201_VM_BKT_1594</v>
      </c>
      <c r="C8" s="92" t="s">
        <v>743</v>
      </c>
      <c r="D8" s="92" t="str" cm="1">
        <f t="array" ref="D8">INDEX(기계코드!$D$4:$D$1022,MATCH(1,(C8=기계코드!$F$4:$F$1022)*1,0))</f>
        <v>M_BRX0201</v>
      </c>
      <c r="E8" s="92" t="s">
        <v>1128</v>
      </c>
      <c r="F8" s="92" t="str" cm="1">
        <f t="array" ref="F8">INDEX(공급업체코드!$B$3:$B$1000,MATCH(1,(E8=공급업체코드!$D$3:$D$1000)*1,0))</f>
        <v>VM_BKT</v>
      </c>
      <c r="G8" s="113"/>
      <c r="H8" s="333">
        <v>1594.4</v>
      </c>
      <c r="I8" s="299">
        <v>12.81</v>
      </c>
      <c r="J8" s="110">
        <v>15.47</v>
      </c>
      <c r="K8" s="231" t="s">
        <v>1353</v>
      </c>
      <c r="L8" s="10"/>
      <c r="M8" s="233" t="s">
        <v>1314</v>
      </c>
      <c r="N8" s="236">
        <v>0</v>
      </c>
      <c r="P8" s="113" t="s">
        <v>1354</v>
      </c>
      <c r="Q8" s="1" t="b">
        <v>1</v>
      </c>
      <c r="S8" s="34"/>
      <c r="Y8" s="41"/>
      <c r="Z8" s="41"/>
      <c r="AA8" s="41"/>
    </row>
    <row r="9" spans="1:27">
      <c r="A9" s="203"/>
      <c r="B9" s="1" t="str">
        <f t="shared" ref="B9:B24" si="2">D9&amp;"_"&amp;F9&amp;"_"&amp;ROUNDDOWN(H9,0)</f>
        <v>M_BRX0201_VM_BKT_1895</v>
      </c>
      <c r="C9" s="92" t="s">
        <v>743</v>
      </c>
      <c r="D9" s="92" t="str" cm="1">
        <f t="array" ref="D9">INDEX(기계코드!$D$4:$D$1022,MATCH(1,(C9=기계코드!$F$4:$F$1022)*1,0))</f>
        <v>M_BRX0201</v>
      </c>
      <c r="E9" s="92" t="s">
        <v>1128</v>
      </c>
      <c r="F9" s="92" t="str" cm="1">
        <f t="array" ref="F9">INDEX(공급업체코드!$B$3:$B$1000,MATCH(1,(E9=공급업체코드!$D$3:$D$1000)*1,0))</f>
        <v>VM_BKT</v>
      </c>
      <c r="G9" s="113"/>
      <c r="H9" s="333">
        <v>1895.2</v>
      </c>
      <c r="I9" s="335">
        <v>13.66</v>
      </c>
      <c r="J9">
        <v>16.170000000000002</v>
      </c>
      <c r="K9" s="231" t="s">
        <v>1353</v>
      </c>
      <c r="M9" s="233" t="s">
        <v>1314</v>
      </c>
      <c r="N9" s="236">
        <v>0</v>
      </c>
      <c r="P9" s="113" t="s">
        <v>1354</v>
      </c>
      <c r="Q9" s="1" t="b">
        <v>1</v>
      </c>
      <c r="Y9" s="111"/>
      <c r="Z9" s="111"/>
      <c r="AA9" s="41"/>
    </row>
    <row r="10" spans="1:27">
      <c r="A10" s="203"/>
      <c r="B10" s="1" t="str">
        <f t="shared" si="2"/>
        <v>M_BRX0201_VM_BKT_2234</v>
      </c>
      <c r="C10" s="92" t="s">
        <v>743</v>
      </c>
      <c r="D10" s="92" t="str" cm="1">
        <f t="array" ref="D10">INDEX(기계코드!$D$4:$D$1022,MATCH(1,(C10=기계코드!$F$4:$F$1022)*1,0))</f>
        <v>M_BRX0201</v>
      </c>
      <c r="E10" s="92" t="s">
        <v>1128</v>
      </c>
      <c r="F10" s="92" t="str" cm="1">
        <f t="array" ref="F10">INDEX(공급업체코드!$B$3:$B$1000,MATCH(1,(E10=공급업체코드!$D$3:$D$1000)*1,0))</f>
        <v>VM_BKT</v>
      </c>
      <c r="G10" s="113"/>
      <c r="H10" s="333">
        <v>2234.4</v>
      </c>
      <c r="I10" s="335">
        <v>14.52</v>
      </c>
      <c r="J10">
        <v>16.87</v>
      </c>
      <c r="K10" s="231" t="s">
        <v>1353</v>
      </c>
      <c r="L10" s="63"/>
      <c r="M10" s="233" t="s">
        <v>1314</v>
      </c>
      <c r="N10" s="236">
        <v>0</v>
      </c>
      <c r="P10" s="113" t="s">
        <v>1354</v>
      </c>
      <c r="Q10" s="1" t="b">
        <v>1</v>
      </c>
      <c r="Y10" s="111"/>
      <c r="Z10" s="111"/>
      <c r="AA10" s="111"/>
    </row>
    <row r="11" spans="1:27">
      <c r="A11" s="203"/>
      <c r="B11" s="1" t="str">
        <f t="shared" si="2"/>
        <v>M_BRX0201_VM_BKT_2327</v>
      </c>
      <c r="C11" s="92" t="s">
        <v>743</v>
      </c>
      <c r="D11" s="92" t="str" cm="1">
        <f t="array" ref="D11">INDEX(기계코드!$D$4:$D$1022,MATCH(1,(C11=기계코드!$F$4:$F$1022)*1,0))</f>
        <v>M_BRX0201</v>
      </c>
      <c r="E11" s="92" t="s">
        <v>1128</v>
      </c>
      <c r="F11" s="92" t="str" cm="1">
        <f t="array" ref="F11">INDEX(공급업체코드!$B$3:$B$1000,MATCH(1,(E11=공급업체코드!$D$3:$D$1000)*1,0))</f>
        <v>VM_BKT</v>
      </c>
      <c r="G11" s="113"/>
      <c r="H11" s="333">
        <v>2327.2000000000003</v>
      </c>
      <c r="I11" s="335">
        <v>14.52</v>
      </c>
      <c r="J11">
        <v>17.57</v>
      </c>
      <c r="K11" s="231" t="s">
        <v>1353</v>
      </c>
      <c r="L11" s="63"/>
      <c r="M11" s="233" t="s">
        <v>1314</v>
      </c>
      <c r="N11" s="236">
        <v>0</v>
      </c>
      <c r="P11" s="113" t="s">
        <v>1354</v>
      </c>
      <c r="Q11" s="1" t="b">
        <v>1</v>
      </c>
      <c r="Y11" s="111"/>
      <c r="Z11" s="111"/>
      <c r="AA11" s="111"/>
    </row>
    <row r="12" spans="1:27">
      <c r="A12" s="203"/>
      <c r="B12" s="1" t="str">
        <f t="shared" si="2"/>
        <v>M_BRX0201_VM_BKT_2711</v>
      </c>
      <c r="C12" s="92" t="s">
        <v>743</v>
      </c>
      <c r="D12" s="92" t="str" cm="1">
        <f t="array" ref="D12">INDEX(기계코드!$D$4:$D$1022,MATCH(1,(C12=기계코드!$F$4:$F$1022)*1,0))</f>
        <v>M_BRX0201</v>
      </c>
      <c r="E12" s="92" t="s">
        <v>1128</v>
      </c>
      <c r="F12" s="92" t="str" cm="1">
        <f t="array" ref="F12">INDEX(공급업체코드!$B$3:$B$1000,MATCH(1,(E12=공급업체코드!$D$3:$D$1000)*1,0))</f>
        <v>VM_BKT</v>
      </c>
      <c r="G12" s="113"/>
      <c r="H12" s="333">
        <v>2711.2000000000003</v>
      </c>
      <c r="I12" s="335">
        <v>15.37</v>
      </c>
      <c r="J12">
        <v>18.27</v>
      </c>
      <c r="K12" s="231" t="s">
        <v>1353</v>
      </c>
      <c r="M12" s="233" t="s">
        <v>1314</v>
      </c>
      <c r="N12" s="236">
        <v>0</v>
      </c>
      <c r="P12" s="113" t="s">
        <v>1354</v>
      </c>
      <c r="Q12" s="1" t="b">
        <v>1</v>
      </c>
      <c r="Y12" s="111"/>
      <c r="Z12" s="111"/>
      <c r="AA12" s="41"/>
    </row>
    <row r="13" spans="1:27">
      <c r="A13" s="203"/>
      <c r="B13" s="1" t="str">
        <f t="shared" si="2"/>
        <v>M_BRX0201_VM_BKT_2815</v>
      </c>
      <c r="C13" s="92" t="s">
        <v>743</v>
      </c>
      <c r="D13" s="92" t="str" cm="1">
        <f t="array" ref="D13">INDEX(기계코드!$D$4:$D$1022,MATCH(1,(C13=기계코드!$F$4:$F$1022)*1,0))</f>
        <v>M_BRX0201</v>
      </c>
      <c r="E13" s="92" t="s">
        <v>1128</v>
      </c>
      <c r="F13" s="92" t="str" cm="1">
        <f t="array" ref="F13">INDEX(공급업체코드!$B$3:$B$1000,MATCH(1,(E13=공급업체코드!$D$3:$D$1000)*1,0))</f>
        <v>VM_BKT</v>
      </c>
      <c r="G13" s="113"/>
      <c r="H13" s="333">
        <v>2815.2000000000003</v>
      </c>
      <c r="I13" s="335">
        <v>15.37</v>
      </c>
      <c r="J13">
        <v>18.97</v>
      </c>
      <c r="K13" s="231" t="s">
        <v>1353</v>
      </c>
      <c r="M13" s="233" t="s">
        <v>1314</v>
      </c>
      <c r="N13" s="236">
        <v>0</v>
      </c>
      <c r="P13" s="113" t="s">
        <v>1354</v>
      </c>
      <c r="Q13" s="1" t="b">
        <v>1</v>
      </c>
      <c r="Y13" s="111"/>
      <c r="Z13" s="111"/>
      <c r="AA13" s="41"/>
    </row>
    <row r="14" spans="1:27">
      <c r="A14" s="203"/>
      <c r="B14" s="1" t="str">
        <f t="shared" si="2"/>
        <v>M_BRX0201_VM_BKT_3251</v>
      </c>
      <c r="C14" s="92" t="s">
        <v>743</v>
      </c>
      <c r="D14" s="92" t="str" cm="1">
        <f t="array" ref="D14">INDEX(기계코드!$D$4:$D$1022,MATCH(1,(C14=기계코드!$F$4:$F$1022)*1,0))</f>
        <v>M_BRX0201</v>
      </c>
      <c r="E14" s="92" t="s">
        <v>1128</v>
      </c>
      <c r="F14" s="92" t="str" cm="1">
        <f t="array" ref="F14">INDEX(공급업체코드!$B$3:$B$1000,MATCH(1,(E14=공급업체코드!$D$3:$D$1000)*1,0))</f>
        <v>VM_BKT</v>
      </c>
      <c r="G14" s="113"/>
      <c r="H14" s="333">
        <v>3251.2000000000003</v>
      </c>
      <c r="I14" s="335">
        <v>16.22</v>
      </c>
      <c r="J14" s="70">
        <v>19.670000000000002</v>
      </c>
      <c r="K14" s="231" t="s">
        <v>1353</v>
      </c>
      <c r="M14" s="233" t="s">
        <v>1314</v>
      </c>
      <c r="N14" s="236">
        <v>0</v>
      </c>
      <c r="P14" s="113" t="s">
        <v>1354</v>
      </c>
      <c r="Q14" s="1" t="b">
        <v>1</v>
      </c>
      <c r="Y14" s="41"/>
      <c r="Z14" s="41"/>
      <c r="AA14" s="41"/>
    </row>
    <row r="15" spans="1:27">
      <c r="A15" s="203"/>
      <c r="B15" s="1" t="str">
        <f t="shared" si="2"/>
        <v>M_BRX0201_VM_BKT_3733</v>
      </c>
      <c r="C15" s="92" t="s">
        <v>743</v>
      </c>
      <c r="D15" s="92" t="str" cm="1">
        <f t="array" ref="D15">INDEX(기계코드!$D$4:$D$1022,MATCH(1,(C15=기계코드!$F$4:$F$1022)*1,0))</f>
        <v>M_BRX0201</v>
      </c>
      <c r="E15" s="92" t="s">
        <v>1128</v>
      </c>
      <c r="F15" s="92" t="str" cm="1">
        <f t="array" ref="F15">INDEX(공급업체코드!$B$3:$B$1000,MATCH(1,(E15=공급업체코드!$D$3:$D$1000)*1,0))</f>
        <v>VM_BKT</v>
      </c>
      <c r="G15" s="113"/>
      <c r="H15" s="333">
        <v>3733.6000000000004</v>
      </c>
      <c r="I15" s="335">
        <v>17.079999999999998</v>
      </c>
      <c r="J15" s="70">
        <v>20.37</v>
      </c>
      <c r="K15" s="231" t="s">
        <v>1353</v>
      </c>
      <c r="M15" s="233" t="s">
        <v>1314</v>
      </c>
      <c r="N15" s="236">
        <v>0</v>
      </c>
      <c r="P15" s="113" t="s">
        <v>1354</v>
      </c>
      <c r="Q15" s="1" t="b">
        <v>1</v>
      </c>
      <c r="Y15" s="111"/>
      <c r="Z15" s="111"/>
      <c r="AA15" s="41"/>
    </row>
    <row r="16" spans="1:27">
      <c r="A16" s="203"/>
      <c r="B16" s="1" t="str">
        <f t="shared" si="2"/>
        <v>M_BRX0201_VM_BKT_4256</v>
      </c>
      <c r="C16" s="92" t="s">
        <v>743</v>
      </c>
      <c r="D16" s="92" t="str" cm="1">
        <f t="array" ref="D16">INDEX(기계코드!$D$4:$D$1022,MATCH(1,(C16=기계코드!$F$4:$F$1022)*1,0))</f>
        <v>M_BRX0201</v>
      </c>
      <c r="E16" s="92" t="s">
        <v>1128</v>
      </c>
      <c r="F16" s="92" t="str" cm="1">
        <f t="array" ref="F16">INDEX(공급업체코드!$B$3:$B$1000,MATCH(1,(E16=공급업체코드!$D$3:$D$1000)*1,0))</f>
        <v>VM_BKT</v>
      </c>
      <c r="G16" s="113"/>
      <c r="H16" s="333">
        <v>4256</v>
      </c>
      <c r="I16" s="335">
        <v>17.93</v>
      </c>
      <c r="J16" s="70">
        <v>21.07</v>
      </c>
      <c r="K16" s="231" t="s">
        <v>1353</v>
      </c>
      <c r="M16" s="233" t="s">
        <v>1314</v>
      </c>
      <c r="N16" s="236">
        <v>0</v>
      </c>
      <c r="P16" s="113" t="s">
        <v>1354</v>
      </c>
      <c r="Q16" s="1" t="b">
        <v>1</v>
      </c>
      <c r="Y16" s="41"/>
      <c r="Z16" s="41"/>
      <c r="AA16" s="41"/>
    </row>
    <row r="17" spans="1:27">
      <c r="A17" s="203"/>
      <c r="B17" s="1" t="str">
        <f t="shared" si="2"/>
        <v>M_BRX0201_VM_BKT_4828</v>
      </c>
      <c r="C17" s="92" t="s">
        <v>743</v>
      </c>
      <c r="D17" s="92" t="str" cm="1">
        <f t="array" ref="D17">INDEX(기계코드!$D$4:$D$1022,MATCH(1,(C17=기계코드!$F$4:$F$1022)*1,0))</f>
        <v>M_BRX0201</v>
      </c>
      <c r="E17" s="92" t="s">
        <v>1128</v>
      </c>
      <c r="F17" s="92" t="str" cm="1">
        <f t="array" ref="F17">INDEX(공급업체코드!$B$3:$B$1000,MATCH(1,(E17=공급업체코드!$D$3:$D$1000)*1,0))</f>
        <v>VM_BKT</v>
      </c>
      <c r="G17" s="113"/>
      <c r="H17" s="333">
        <v>4828.8</v>
      </c>
      <c r="I17" s="335">
        <v>18.79</v>
      </c>
      <c r="J17" s="70">
        <v>21.77</v>
      </c>
      <c r="K17" s="231" t="s">
        <v>1353</v>
      </c>
      <c r="M17" s="233" t="s">
        <v>1314</v>
      </c>
      <c r="N17" s="236">
        <v>0</v>
      </c>
      <c r="P17" s="113" t="s">
        <v>1354</v>
      </c>
      <c r="Q17" s="1" t="b">
        <v>1</v>
      </c>
      <c r="Y17" s="41"/>
      <c r="Z17" s="41"/>
      <c r="AA17" s="41"/>
    </row>
    <row r="18" spans="1:27">
      <c r="A18" s="203"/>
      <c r="B18" s="1" t="str">
        <f t="shared" si="2"/>
        <v>M_BRX0201_VM_BKT_4984</v>
      </c>
      <c r="C18" s="92" t="s">
        <v>743</v>
      </c>
      <c r="D18" s="92" t="str" cm="1">
        <f t="array" ref="D18">INDEX(기계코드!$D$4:$D$1022,MATCH(1,(C18=기계코드!$F$4:$F$1022)*1,0))</f>
        <v>M_BRX0201</v>
      </c>
      <c r="E18" s="92" t="s">
        <v>1128</v>
      </c>
      <c r="F18" s="92" t="str" cm="1">
        <f t="array" ref="F18">INDEX(공급업체코드!$B$3:$B$1000,MATCH(1,(E18=공급업체코드!$D$3:$D$1000)*1,0))</f>
        <v>VM_BKT</v>
      </c>
      <c r="G18" s="113"/>
      <c r="H18" s="333">
        <v>4984</v>
      </c>
      <c r="I18" s="335">
        <v>18.79</v>
      </c>
      <c r="J18" s="70">
        <v>22.47</v>
      </c>
      <c r="K18" s="231" t="s">
        <v>1353</v>
      </c>
      <c r="M18" s="233" t="s">
        <v>1314</v>
      </c>
      <c r="N18" s="236">
        <v>0</v>
      </c>
      <c r="P18" s="113" t="s">
        <v>1354</v>
      </c>
      <c r="Q18" s="1" t="b">
        <v>1</v>
      </c>
      <c r="Y18" s="41"/>
      <c r="Z18" s="41"/>
      <c r="AA18" s="41"/>
    </row>
    <row r="19" spans="1:27">
      <c r="A19" s="203"/>
      <c r="B19" s="1" t="str">
        <f t="shared" si="2"/>
        <v>M_BRX0201_VM_BKT_5784</v>
      </c>
      <c r="C19" s="92" t="s">
        <v>743</v>
      </c>
      <c r="D19" s="92" t="str" cm="1">
        <f t="array" ref="D19">INDEX(기계코드!$D$4:$D$1022,MATCH(1,(C19=기계코드!$F$4:$F$1022)*1,0))</f>
        <v>M_BRX0201</v>
      </c>
      <c r="E19" s="92" t="s">
        <v>1128</v>
      </c>
      <c r="F19" s="92" t="str" cm="1">
        <f t="array" ref="F19">INDEX(공급업체코드!$B$3:$B$1000,MATCH(1,(E19=공급업체코드!$D$3:$D$1000)*1,0))</f>
        <v>VM_BKT</v>
      </c>
      <c r="G19" s="113"/>
      <c r="H19" s="333">
        <v>5784.8</v>
      </c>
      <c r="I19" s="335">
        <v>19.64</v>
      </c>
      <c r="J19" s="70">
        <v>23.87</v>
      </c>
      <c r="K19" s="231" t="s">
        <v>1353</v>
      </c>
      <c r="M19" s="233" t="s">
        <v>1314</v>
      </c>
      <c r="N19" s="236">
        <v>0</v>
      </c>
      <c r="P19" s="113" t="s">
        <v>1354</v>
      </c>
      <c r="Q19" s="1" t="b">
        <v>1</v>
      </c>
      <c r="Y19" s="111"/>
      <c r="Z19" s="111"/>
      <c r="AA19" s="41"/>
    </row>
    <row r="20" spans="1:27">
      <c r="A20" s="203"/>
      <c r="B20" s="1" t="str">
        <f t="shared" si="2"/>
        <v>M_BRX0201_VM_BKT_6296</v>
      </c>
      <c r="C20" s="92" t="s">
        <v>743</v>
      </c>
      <c r="D20" s="92" t="str" cm="1">
        <f t="array" ref="D20">INDEX(기계코드!$D$4:$D$1022,MATCH(1,(C20=기계코드!$F$4:$F$1022)*1,0))</f>
        <v>M_BRX0201</v>
      </c>
      <c r="E20" s="92" t="s">
        <v>1128</v>
      </c>
      <c r="F20" s="92" t="str" cm="1">
        <f t="array" ref="F20">INDEX(공급업체코드!$B$3:$B$1000,MATCH(1,(E20=공급업체코드!$D$3:$D$1000)*1,0))</f>
        <v>VM_BKT</v>
      </c>
      <c r="G20" s="113"/>
      <c r="H20" s="333">
        <v>6296</v>
      </c>
      <c r="I20" s="335">
        <v>20.49</v>
      </c>
      <c r="J20" s="70">
        <v>23.87</v>
      </c>
      <c r="K20" s="231" t="s">
        <v>1353</v>
      </c>
      <c r="M20" s="233" t="s">
        <v>1314</v>
      </c>
      <c r="N20" s="236">
        <v>0</v>
      </c>
      <c r="P20" s="113" t="s">
        <v>1354</v>
      </c>
      <c r="Q20" s="1" t="b">
        <v>1</v>
      </c>
      <c r="Y20" s="41"/>
      <c r="Z20" s="41"/>
      <c r="AA20" s="41"/>
    </row>
    <row r="21" spans="1:27">
      <c r="A21" s="203"/>
      <c r="B21" s="1" t="str">
        <f t="shared" si="2"/>
        <v>M_BRX0201_VM_BKT_7236</v>
      </c>
      <c r="C21" s="92" t="s">
        <v>743</v>
      </c>
      <c r="D21" s="92" t="str" cm="1">
        <f t="array" ref="D21">INDEX(기계코드!$D$4:$D$1022,MATCH(1,(C21=기계코드!$F$4:$F$1022)*1,0))</f>
        <v>M_BRX0201</v>
      </c>
      <c r="E21" s="92" t="s">
        <v>1128</v>
      </c>
      <c r="F21" s="92" t="str" cm="1">
        <f t="array" ref="F21">INDEX(공급업체코드!$B$3:$B$1000,MATCH(1,(E21=공급업체코드!$D$3:$D$1000)*1,0))</f>
        <v>VM_BKT</v>
      </c>
      <c r="G21" s="113"/>
      <c r="H21" s="333">
        <v>7236.8</v>
      </c>
      <c r="I21" s="335">
        <v>21.35</v>
      </c>
      <c r="J21" s="70">
        <v>25.27</v>
      </c>
      <c r="K21" s="231" t="s">
        <v>1353</v>
      </c>
      <c r="M21" s="233" t="s">
        <v>1314</v>
      </c>
      <c r="N21" s="236">
        <v>0</v>
      </c>
      <c r="P21" s="113" t="s">
        <v>1354</v>
      </c>
      <c r="Q21" s="1" t="b">
        <v>1</v>
      </c>
      <c r="Y21" s="41"/>
      <c r="Z21" s="41"/>
      <c r="AA21" s="41"/>
    </row>
    <row r="22" spans="1:27">
      <c r="A22" s="203"/>
      <c r="B22" s="1" t="str">
        <f t="shared" si="2"/>
        <v>M_BRX0201_VM_BKT_8258</v>
      </c>
      <c r="C22" s="92" t="s">
        <v>743</v>
      </c>
      <c r="D22" s="92" t="str" cm="1">
        <f t="array" ref="D22">INDEX(기계코드!$D$4:$D$1022,MATCH(1,(C22=기계코드!$F$4:$F$1022)*1,0))</f>
        <v>M_BRX0201</v>
      </c>
      <c r="E22" s="92" t="s">
        <v>1128</v>
      </c>
      <c r="F22" s="92" t="str" cm="1">
        <f t="array" ref="F22">INDEX(공급업체코드!$B$3:$B$1000,MATCH(1,(E22=공급업체코드!$D$3:$D$1000)*1,0))</f>
        <v>VM_BKT</v>
      </c>
      <c r="G22" s="113"/>
      <c r="H22" s="333">
        <v>8258.4</v>
      </c>
      <c r="I22" s="335">
        <v>22.2</v>
      </c>
      <c r="J22" s="70">
        <v>26.67</v>
      </c>
      <c r="K22" s="231" t="s">
        <v>1353</v>
      </c>
      <c r="M22" s="233" t="s">
        <v>1314</v>
      </c>
      <c r="N22" s="236">
        <v>0</v>
      </c>
      <c r="P22" s="113" t="s">
        <v>1354</v>
      </c>
      <c r="Q22" s="1" t="b">
        <v>1</v>
      </c>
      <c r="Y22" s="111"/>
      <c r="Z22" s="111"/>
      <c r="AA22" s="41"/>
    </row>
    <row r="23" spans="1:27">
      <c r="A23" s="203"/>
      <c r="B23" s="1" t="str">
        <f t="shared" si="2"/>
        <v>M_BRX0201_VM_BKT_9378</v>
      </c>
      <c r="C23" s="92" t="s">
        <v>743</v>
      </c>
      <c r="D23" s="92" t="str" cm="1">
        <f t="array" ref="D23">INDEX(기계코드!$D$4:$D$1022,MATCH(1,(C23=기계코드!$F$4:$F$1022)*1,0))</f>
        <v>M_BRX0201</v>
      </c>
      <c r="E23" s="92" t="s">
        <v>1128</v>
      </c>
      <c r="F23" s="92" t="str" cm="1">
        <f t="array" ref="F23">INDEX(공급업체코드!$B$3:$B$1000,MATCH(1,(E23=공급업체코드!$D$3:$D$1000)*1,0))</f>
        <v>VM_BKT</v>
      </c>
      <c r="G23" s="113"/>
      <c r="H23" s="333">
        <v>9378.4</v>
      </c>
      <c r="I23" s="335">
        <v>23.06</v>
      </c>
      <c r="J23" s="70">
        <v>28.07</v>
      </c>
      <c r="K23" s="231" t="s">
        <v>1353</v>
      </c>
      <c r="M23" s="233" t="s">
        <v>1314</v>
      </c>
      <c r="N23" s="236">
        <v>0</v>
      </c>
      <c r="P23" s="113" t="s">
        <v>1354</v>
      </c>
      <c r="Q23" s="1" t="b">
        <v>1</v>
      </c>
      <c r="Y23" s="41"/>
      <c r="Z23" s="41"/>
      <c r="AA23" s="41"/>
    </row>
    <row r="24" spans="1:27">
      <c r="A24" s="203"/>
      <c r="B24" s="1" t="str">
        <f t="shared" si="2"/>
        <v>M_BRX0201_VM_BKT_10082</v>
      </c>
      <c r="C24" s="92" t="s">
        <v>743</v>
      </c>
      <c r="D24" s="92" t="str" cm="1">
        <f t="array" ref="D24">INDEX(기계코드!$D$4:$D$1022,MATCH(1,(C24=기계코드!$F$4:$F$1022)*1,0))</f>
        <v>M_BRX0201</v>
      </c>
      <c r="E24" s="92" t="s">
        <v>1128</v>
      </c>
      <c r="F24" s="92" t="str" cm="1">
        <f t="array" ref="F24">INDEX(공급업체코드!$B$3:$B$1000,MATCH(1,(E24=공급업체코드!$D$3:$D$1000)*1,0))</f>
        <v>VM_BKT</v>
      </c>
      <c r="G24" s="113"/>
      <c r="H24" s="333">
        <v>10082.400000000001</v>
      </c>
      <c r="I24" s="335">
        <v>23.91</v>
      </c>
      <c r="J24" s="70">
        <v>28.07</v>
      </c>
      <c r="K24" s="231" t="s">
        <v>1353</v>
      </c>
      <c r="M24" s="233" t="s">
        <v>1314</v>
      </c>
      <c r="N24" s="236">
        <v>0</v>
      </c>
      <c r="P24" s="113" t="s">
        <v>1354</v>
      </c>
      <c r="Q24" s="1" t="b">
        <v>1</v>
      </c>
      <c r="Y24" s="111"/>
      <c r="Z24" s="111"/>
      <c r="AA24" s="41"/>
    </row>
    <row r="25" spans="1:27">
      <c r="B25" s="1"/>
      <c r="C25" s="92"/>
      <c r="D25" s="92"/>
      <c r="E25" s="92"/>
      <c r="F25" s="92"/>
      <c r="G25" s="18"/>
      <c r="H25" s="333"/>
      <c r="I25" s="64"/>
      <c r="J25" s="64"/>
      <c r="K25" s="177"/>
      <c r="M25" s="63"/>
      <c r="N25" s="236"/>
      <c r="Q25" s="1"/>
      <c r="Y25" s="111"/>
      <c r="Z25" s="111"/>
      <c r="AA25" s="111"/>
    </row>
    <row r="26" spans="1:27">
      <c r="B26" s="1"/>
      <c r="C26" s="92"/>
      <c r="D26" s="92"/>
      <c r="E26" s="92"/>
      <c r="F26" s="92"/>
      <c r="G26" s="18"/>
      <c r="H26" s="333"/>
      <c r="I26" s="64"/>
      <c r="J26" s="64"/>
      <c r="K26" s="177"/>
      <c r="M26" s="63"/>
      <c r="N26" s="237"/>
      <c r="Q26" s="1"/>
      <c r="Y26" s="111"/>
      <c r="Z26" s="111"/>
      <c r="AA26" s="41"/>
    </row>
    <row r="27" spans="1:27">
      <c r="B27" s="1"/>
      <c r="C27" s="92"/>
      <c r="D27" s="92"/>
      <c r="E27" s="92"/>
      <c r="F27" s="92"/>
      <c r="G27" s="18"/>
      <c r="H27" s="119"/>
      <c r="I27" s="64"/>
      <c r="J27" s="64"/>
      <c r="K27" s="177"/>
      <c r="M27" s="63"/>
      <c r="N27" s="236"/>
      <c r="Q27" s="1"/>
      <c r="Y27" s="41"/>
      <c r="Z27" s="41"/>
      <c r="AA27" s="41"/>
    </row>
    <row r="28" spans="1:27">
      <c r="B28" s="1"/>
      <c r="C28" s="92"/>
      <c r="D28" s="92"/>
      <c r="E28" s="92"/>
      <c r="F28" s="92"/>
      <c r="G28" s="18"/>
      <c r="H28" s="119"/>
      <c r="I28" s="64"/>
      <c r="J28" s="64"/>
      <c r="K28" s="177"/>
      <c r="M28" s="63"/>
      <c r="N28" s="236"/>
      <c r="Q28" s="1"/>
      <c r="Y28" s="41"/>
      <c r="Z28" s="41"/>
      <c r="AA28" s="41"/>
    </row>
    <row r="29" spans="1:27">
      <c r="B29" s="1"/>
      <c r="C29" s="92"/>
      <c r="D29" s="92"/>
      <c r="E29" s="92"/>
      <c r="F29" s="92"/>
      <c r="G29" s="18"/>
      <c r="H29" s="119"/>
      <c r="I29" s="64"/>
      <c r="J29" s="64"/>
      <c r="K29" s="177"/>
      <c r="M29" s="63"/>
      <c r="N29" s="236"/>
      <c r="Q29" s="1"/>
      <c r="Y29" s="41"/>
      <c r="Z29" s="41"/>
      <c r="AA29" s="41"/>
    </row>
    <row r="30" spans="1:27">
      <c r="B30" s="1"/>
      <c r="C30" s="92"/>
      <c r="D30" s="92"/>
      <c r="E30" s="92"/>
      <c r="F30" s="92"/>
      <c r="G30" s="18"/>
      <c r="H30" s="119"/>
      <c r="I30" s="64"/>
      <c r="J30" s="64"/>
      <c r="K30" s="177"/>
      <c r="M30" s="63"/>
      <c r="N30" s="236"/>
      <c r="Q30" s="1"/>
      <c r="Y30" s="111"/>
      <c r="Z30" s="111"/>
      <c r="AA30" s="41"/>
    </row>
    <row r="31" spans="1:27">
      <c r="B31" s="1"/>
      <c r="C31" s="92"/>
      <c r="D31" s="92"/>
      <c r="E31" s="92"/>
      <c r="F31" s="92"/>
      <c r="G31" s="18"/>
      <c r="H31" s="119"/>
      <c r="I31" s="64"/>
      <c r="J31" s="64"/>
      <c r="K31" s="177"/>
      <c r="M31" s="63"/>
      <c r="N31" s="236"/>
      <c r="Q31" s="1"/>
      <c r="Y31" s="41"/>
      <c r="Z31" s="41"/>
      <c r="AA31" s="41"/>
    </row>
    <row r="32" spans="1:27">
      <c r="B32" s="1"/>
      <c r="C32" s="92"/>
      <c r="D32" s="92"/>
      <c r="E32" s="92"/>
      <c r="F32" s="92"/>
      <c r="G32" s="18"/>
      <c r="H32" s="119"/>
      <c r="I32" s="64"/>
      <c r="J32" s="64"/>
      <c r="K32" s="177"/>
      <c r="M32" s="63"/>
      <c r="N32" s="236"/>
      <c r="Q32" s="1"/>
      <c r="Y32" s="41"/>
      <c r="Z32" s="41"/>
      <c r="AA32" s="41"/>
    </row>
    <row r="33" spans="2:27">
      <c r="B33" s="1"/>
      <c r="C33" s="92"/>
      <c r="D33" s="92"/>
      <c r="E33" s="92"/>
      <c r="F33" s="92"/>
      <c r="G33" s="18"/>
      <c r="H33" s="119"/>
      <c r="I33" s="64"/>
      <c r="J33" s="64"/>
      <c r="K33" s="177"/>
      <c r="M33" s="63"/>
      <c r="N33" s="236"/>
      <c r="Q33" s="1"/>
      <c r="Y33" s="41"/>
      <c r="Z33" s="41"/>
      <c r="AA33" s="41"/>
    </row>
    <row r="34" spans="2:27">
      <c r="B34" s="1"/>
      <c r="C34" s="92"/>
      <c r="D34" s="92"/>
      <c r="E34" s="92"/>
      <c r="F34" s="92"/>
      <c r="G34" s="18"/>
      <c r="H34" s="119"/>
      <c r="I34" s="64"/>
      <c r="J34" s="64"/>
      <c r="K34" s="177"/>
      <c r="M34" s="63"/>
      <c r="N34" s="236"/>
      <c r="Q34" s="1"/>
      <c r="Y34" s="111"/>
      <c r="Z34" s="111"/>
      <c r="AA34" s="41"/>
    </row>
    <row r="35" spans="2:27">
      <c r="B35" s="1"/>
      <c r="C35" s="92"/>
      <c r="D35" s="92"/>
      <c r="E35" s="92"/>
      <c r="F35" s="92"/>
      <c r="G35" s="18"/>
      <c r="H35" s="119"/>
      <c r="I35" s="64"/>
      <c r="J35" s="64"/>
      <c r="K35" s="177"/>
      <c r="M35" s="63"/>
      <c r="N35" s="236"/>
      <c r="Q35" s="1"/>
      <c r="Y35" s="41"/>
      <c r="Z35" s="41"/>
      <c r="AA35" s="41"/>
    </row>
    <row r="36" spans="2:27">
      <c r="B36" s="1"/>
      <c r="C36" s="92"/>
      <c r="D36" s="92"/>
      <c r="E36" s="92"/>
      <c r="F36" s="92"/>
      <c r="G36" s="18"/>
      <c r="H36" s="119"/>
      <c r="I36" s="64"/>
      <c r="J36" s="64"/>
      <c r="K36" s="177"/>
      <c r="M36" s="63"/>
      <c r="N36" s="236"/>
      <c r="Q36" s="1"/>
      <c r="Y36" s="41"/>
      <c r="Z36" s="41"/>
      <c r="AA36" s="41"/>
    </row>
    <row r="37" spans="2:27">
      <c r="B37" s="1"/>
      <c r="C37" s="92"/>
      <c r="D37" s="92"/>
      <c r="E37" s="92"/>
      <c r="F37" s="92"/>
      <c r="G37" s="18"/>
      <c r="H37" s="119"/>
      <c r="I37" s="64"/>
      <c r="J37" s="64"/>
      <c r="K37" s="177"/>
      <c r="M37" s="63"/>
      <c r="N37" s="236"/>
      <c r="Q37" s="1"/>
      <c r="Y37" s="41"/>
      <c r="Z37" s="41"/>
      <c r="AA37" s="41"/>
    </row>
    <row r="38" spans="2:27">
      <c r="B38" s="1"/>
      <c r="C38" s="92"/>
      <c r="D38" s="92"/>
      <c r="E38" s="92"/>
      <c r="F38" s="92"/>
      <c r="G38" s="18"/>
      <c r="H38" s="119"/>
      <c r="I38" s="64"/>
      <c r="J38" s="64"/>
      <c r="K38" s="177"/>
      <c r="M38" s="63"/>
      <c r="N38" s="236"/>
      <c r="Q38" s="1"/>
      <c r="Y38" s="111"/>
      <c r="Z38" s="111"/>
      <c r="AA38" s="41"/>
    </row>
    <row r="39" spans="2:27">
      <c r="B39" s="1"/>
      <c r="C39" s="92"/>
      <c r="D39" s="92"/>
      <c r="E39" s="92"/>
      <c r="F39" s="92"/>
      <c r="G39" s="18"/>
      <c r="H39" s="119"/>
      <c r="I39" s="64"/>
      <c r="J39" s="64"/>
      <c r="K39" s="177"/>
      <c r="M39" s="63"/>
      <c r="N39" s="236"/>
      <c r="Q39" s="1"/>
      <c r="Y39" s="41"/>
      <c r="Z39" s="41"/>
      <c r="AA39" s="41"/>
    </row>
    <row r="40" spans="2:27">
      <c r="B40" s="1"/>
      <c r="C40" s="92"/>
      <c r="D40" s="92"/>
      <c r="E40" s="92"/>
      <c r="F40" s="92"/>
      <c r="G40" s="18"/>
      <c r="H40" s="119"/>
      <c r="I40" s="64"/>
      <c r="J40" s="64"/>
      <c r="K40" s="177"/>
      <c r="M40" s="63"/>
      <c r="N40" s="236"/>
      <c r="Q40" s="1"/>
      <c r="Y40" s="41"/>
      <c r="Z40" s="41"/>
      <c r="AA40" s="41"/>
    </row>
    <row r="41" spans="2:27">
      <c r="B41" s="1"/>
      <c r="C41" s="92"/>
      <c r="D41" s="92"/>
      <c r="E41" s="92"/>
      <c r="F41" s="92"/>
      <c r="G41" s="18"/>
      <c r="H41" s="119"/>
      <c r="I41" s="64"/>
      <c r="J41" s="64"/>
      <c r="K41" s="177"/>
      <c r="M41" s="63"/>
      <c r="N41" s="236"/>
      <c r="Q41" s="1"/>
      <c r="Y41" s="111"/>
      <c r="Z41" s="111"/>
      <c r="AA41" s="41"/>
    </row>
    <row r="42" spans="2:27">
      <c r="B42" s="1"/>
      <c r="C42" s="92"/>
      <c r="D42" s="92"/>
      <c r="E42" s="92"/>
      <c r="F42" s="92"/>
      <c r="G42" s="18"/>
      <c r="H42" s="119"/>
      <c r="I42" s="64"/>
      <c r="J42" s="64"/>
      <c r="K42" s="177"/>
      <c r="M42" s="63"/>
      <c r="N42" s="236"/>
      <c r="Q42" s="1"/>
      <c r="Y42" s="41"/>
      <c r="Z42" s="41"/>
      <c r="AA42" s="41"/>
    </row>
    <row r="43" spans="2:27">
      <c r="B43" s="1"/>
      <c r="C43" s="92"/>
      <c r="D43" s="92"/>
      <c r="E43" s="92"/>
      <c r="F43" s="92"/>
      <c r="G43" s="18"/>
      <c r="H43" s="119"/>
      <c r="I43" s="64"/>
      <c r="J43" s="64"/>
      <c r="K43" s="177"/>
      <c r="M43" s="63"/>
      <c r="N43" s="236"/>
      <c r="Q43" s="1"/>
      <c r="Y43" s="111"/>
      <c r="Z43" s="111"/>
      <c r="AA43" s="111"/>
    </row>
    <row r="44" spans="2:27">
      <c r="B44" s="1"/>
      <c r="C44" s="92"/>
      <c r="D44" s="92"/>
      <c r="E44" s="92"/>
      <c r="F44" s="92"/>
      <c r="G44" s="18"/>
      <c r="H44" s="119"/>
      <c r="I44" s="64"/>
      <c r="J44" s="64"/>
      <c r="K44" s="177"/>
      <c r="M44" s="63"/>
      <c r="N44" s="236"/>
      <c r="Q44" s="1"/>
      <c r="Y44" s="41"/>
      <c r="Z44" s="41"/>
      <c r="AA44" s="41"/>
    </row>
    <row r="45" spans="2:27">
      <c r="B45" s="1"/>
      <c r="C45" s="92"/>
      <c r="D45" s="92"/>
      <c r="E45" s="92"/>
      <c r="F45" s="92"/>
      <c r="G45" s="18"/>
      <c r="H45" s="119"/>
      <c r="I45" s="64"/>
      <c r="J45" s="64"/>
      <c r="K45" s="177"/>
      <c r="M45" s="63"/>
      <c r="N45" s="236"/>
      <c r="Q45" s="1"/>
      <c r="Y45" s="41"/>
      <c r="Z45" s="41"/>
      <c r="AA45" s="41"/>
    </row>
    <row r="46" spans="2:27">
      <c r="B46" s="1"/>
      <c r="C46" s="92"/>
      <c r="D46" s="92"/>
      <c r="E46" s="92"/>
      <c r="F46" s="92"/>
      <c r="G46" s="18"/>
      <c r="H46" s="119"/>
      <c r="I46" s="64"/>
      <c r="J46" s="64"/>
      <c r="K46" s="177"/>
      <c r="M46" s="63"/>
      <c r="N46" s="236"/>
      <c r="Q46" s="1"/>
      <c r="Y46" s="41"/>
      <c r="Z46" s="41"/>
      <c r="AA46" s="41"/>
    </row>
    <row r="47" spans="2:27">
      <c r="B47" s="1"/>
      <c r="C47" s="92"/>
      <c r="D47" s="92"/>
      <c r="E47" s="92"/>
      <c r="F47" s="92"/>
      <c r="G47" s="18"/>
      <c r="H47" s="119"/>
      <c r="I47" s="64"/>
      <c r="J47" s="64"/>
      <c r="K47" s="177"/>
      <c r="M47" s="63"/>
      <c r="N47" s="236"/>
      <c r="Q47" s="1"/>
      <c r="Y47" s="41"/>
      <c r="Z47" s="41"/>
      <c r="AA47" s="41"/>
    </row>
    <row r="48" spans="2:27">
      <c r="B48" s="1"/>
      <c r="C48" s="92"/>
      <c r="D48" s="92"/>
      <c r="E48" s="92"/>
      <c r="F48" s="92"/>
      <c r="G48" s="18"/>
      <c r="H48" s="119"/>
      <c r="I48" s="64"/>
      <c r="J48" s="64"/>
      <c r="K48" s="177"/>
      <c r="M48" s="63"/>
      <c r="N48" s="236"/>
      <c r="Q48" s="1"/>
    </row>
    <row r="49" spans="2:17">
      <c r="B49" s="1"/>
      <c r="C49" s="92"/>
      <c r="D49" s="92"/>
      <c r="E49" s="92"/>
      <c r="F49" s="92"/>
      <c r="G49" s="18"/>
      <c r="H49" s="119"/>
      <c r="I49" s="64"/>
      <c r="J49" s="64"/>
      <c r="K49" s="177"/>
      <c r="M49" s="63"/>
      <c r="N49" s="236"/>
      <c r="Q49" s="1"/>
    </row>
    <row r="50" spans="2:17">
      <c r="B50" s="1"/>
      <c r="C50" s="92"/>
      <c r="D50" s="92"/>
      <c r="E50" s="92"/>
      <c r="F50" s="92"/>
      <c r="G50" s="18"/>
      <c r="H50" s="119"/>
      <c r="I50" s="64"/>
      <c r="J50" s="64"/>
      <c r="K50" s="177"/>
      <c r="M50" s="63"/>
      <c r="N50" s="236"/>
      <c r="Q50" s="1"/>
    </row>
    <row r="51" spans="2:17">
      <c r="B51" s="1"/>
      <c r="C51" s="92"/>
      <c r="D51" s="92"/>
      <c r="E51" s="92"/>
      <c r="F51" s="92"/>
      <c r="G51" s="18"/>
      <c r="H51" s="119"/>
      <c r="I51" s="64"/>
      <c r="J51" s="64"/>
      <c r="K51" s="177"/>
      <c r="M51" s="63"/>
      <c r="N51" s="236"/>
      <c r="Q51" s="1"/>
    </row>
    <row r="52" spans="2:17">
      <c r="B52" s="1"/>
      <c r="C52" s="92"/>
      <c r="D52" s="92"/>
      <c r="E52" s="92"/>
      <c r="F52" s="92"/>
      <c r="G52" s="18"/>
      <c r="H52" s="119"/>
      <c r="I52" s="64"/>
      <c r="J52" s="64"/>
      <c r="K52" s="177"/>
      <c r="M52" s="63"/>
      <c r="N52" s="236"/>
      <c r="Q52" s="1"/>
    </row>
    <row r="53" spans="2:17">
      <c r="B53" s="1"/>
      <c r="C53" s="92"/>
      <c r="D53" s="92"/>
      <c r="E53" s="92"/>
      <c r="F53" s="92"/>
      <c r="G53" s="18"/>
      <c r="H53" s="119"/>
      <c r="I53" s="64"/>
      <c r="J53" s="64"/>
      <c r="K53" s="177"/>
      <c r="M53" s="63"/>
      <c r="N53" s="236"/>
      <c r="Q53" s="1"/>
    </row>
    <row r="54" spans="2:17">
      <c r="B54" s="1"/>
      <c r="C54" s="92"/>
      <c r="D54" s="92"/>
      <c r="E54" s="92"/>
      <c r="F54" s="92"/>
      <c r="G54" s="18"/>
      <c r="H54" s="119"/>
      <c r="I54" s="64"/>
      <c r="J54" s="64"/>
      <c r="K54" s="177"/>
      <c r="M54" s="63"/>
      <c r="N54" s="236"/>
      <c r="Q54" s="1"/>
    </row>
    <row r="55" spans="2:17">
      <c r="B55" s="1"/>
      <c r="C55" s="92"/>
      <c r="D55" s="92"/>
      <c r="E55" s="92"/>
      <c r="F55" s="92"/>
      <c r="G55" s="18"/>
      <c r="H55" s="119"/>
      <c r="I55" s="64"/>
      <c r="J55" s="64"/>
      <c r="K55" s="177"/>
      <c r="M55" s="63"/>
      <c r="N55" s="236"/>
      <c r="Q55" s="1"/>
    </row>
    <row r="56" spans="2:17">
      <c r="B56" s="1"/>
      <c r="C56" s="92"/>
      <c r="D56" s="92"/>
      <c r="E56" s="92"/>
      <c r="F56" s="92"/>
      <c r="G56" s="18"/>
      <c r="H56" s="119"/>
      <c r="I56" s="64"/>
      <c r="J56" s="64"/>
      <c r="K56" s="177"/>
      <c r="M56" s="63"/>
      <c r="N56" s="236"/>
      <c r="Q56" s="1"/>
    </row>
    <row r="57" spans="2:17">
      <c r="B57" s="1"/>
      <c r="C57" s="92"/>
      <c r="D57" s="92"/>
      <c r="E57" s="92"/>
      <c r="F57" s="92"/>
      <c r="G57" s="18"/>
      <c r="H57" s="119"/>
      <c r="I57" s="64"/>
      <c r="J57" s="64"/>
      <c r="K57" s="177"/>
      <c r="M57" s="63"/>
      <c r="N57" s="236"/>
      <c r="Q57" s="1"/>
    </row>
    <row r="58" spans="2:17">
      <c r="B58" s="1"/>
      <c r="C58" s="92"/>
      <c r="D58" s="92"/>
      <c r="E58" s="92"/>
      <c r="F58" s="92"/>
      <c r="G58" s="18"/>
      <c r="H58" s="119"/>
      <c r="I58" s="64"/>
      <c r="J58" s="64"/>
      <c r="K58" s="177"/>
      <c r="M58" s="63"/>
      <c r="N58" s="236"/>
      <c r="Q58" s="1"/>
    </row>
    <row r="59" spans="2:17">
      <c r="B59" s="1"/>
      <c r="C59" s="92"/>
      <c r="D59" s="92"/>
      <c r="E59" s="92"/>
      <c r="F59" s="92"/>
      <c r="G59" s="18"/>
      <c r="H59" s="119"/>
      <c r="I59" s="64"/>
      <c r="J59" s="64"/>
      <c r="K59" s="177"/>
      <c r="M59" s="63"/>
      <c r="N59" s="236"/>
      <c r="Q59" s="1"/>
    </row>
    <row r="60" spans="2:17">
      <c r="B60" s="1"/>
      <c r="C60" s="92"/>
      <c r="D60" s="92"/>
      <c r="E60" s="92"/>
      <c r="F60" s="92"/>
      <c r="G60" s="18"/>
      <c r="H60" s="119"/>
      <c r="I60" s="64"/>
      <c r="J60" s="64"/>
      <c r="K60" s="177"/>
      <c r="M60" s="63"/>
      <c r="N60" s="236"/>
      <c r="Q60" s="1"/>
    </row>
    <row r="61" spans="2:17">
      <c r="B61" s="1"/>
      <c r="C61" s="92"/>
      <c r="D61" s="92"/>
      <c r="E61" s="92"/>
      <c r="F61" s="92"/>
      <c r="G61" s="18"/>
      <c r="H61" s="119"/>
      <c r="I61" s="64"/>
      <c r="J61" s="64"/>
      <c r="K61" s="177"/>
      <c r="M61" s="63"/>
      <c r="N61" s="236"/>
      <c r="Q61" s="1"/>
    </row>
    <row r="62" spans="2:17">
      <c r="B62" s="1"/>
      <c r="C62" s="92"/>
      <c r="D62" s="92"/>
      <c r="E62" s="92"/>
      <c r="F62" s="92"/>
      <c r="G62" s="18"/>
      <c r="H62" s="119"/>
      <c r="I62" s="64"/>
      <c r="J62" s="64"/>
      <c r="K62" s="177"/>
      <c r="M62" s="63"/>
      <c r="N62" s="236"/>
      <c r="Q62" s="1"/>
    </row>
    <row r="63" spans="2:17">
      <c r="B63" s="1"/>
      <c r="C63" s="92"/>
      <c r="D63" s="92"/>
      <c r="E63" s="92"/>
      <c r="F63" s="92"/>
      <c r="G63" s="18"/>
      <c r="H63" s="119"/>
      <c r="I63" s="64"/>
      <c r="J63" s="64"/>
      <c r="K63" s="177"/>
      <c r="M63" s="63"/>
      <c r="N63" s="236"/>
      <c r="Q63" s="1"/>
    </row>
    <row r="64" spans="2:17">
      <c r="B64" s="1"/>
      <c r="C64" s="92"/>
      <c r="D64" s="92"/>
      <c r="E64" s="92"/>
      <c r="F64" s="92"/>
      <c r="G64" s="18"/>
      <c r="H64" s="119"/>
      <c r="I64" s="64"/>
      <c r="J64" s="64"/>
      <c r="K64" s="177"/>
      <c r="M64" s="63"/>
      <c r="N64" s="236"/>
      <c r="Q64" s="1"/>
    </row>
    <row r="65" spans="2:17">
      <c r="B65" s="1"/>
      <c r="C65" s="92"/>
      <c r="D65" s="92"/>
      <c r="E65" s="92"/>
      <c r="F65" s="92"/>
      <c r="G65" s="18"/>
      <c r="H65" s="119"/>
      <c r="I65" s="64"/>
      <c r="J65" s="64"/>
      <c r="K65" s="177"/>
      <c r="M65" s="63"/>
      <c r="N65" s="236"/>
      <c r="Q65" s="1"/>
    </row>
    <row r="66" spans="2:17">
      <c r="B66" s="1"/>
      <c r="C66" s="92"/>
      <c r="D66" s="92"/>
      <c r="E66" s="92"/>
      <c r="F66" s="92"/>
      <c r="G66" s="18"/>
      <c r="H66" s="119"/>
      <c r="I66" s="64"/>
      <c r="J66" s="64"/>
      <c r="K66" s="177"/>
      <c r="M66" s="63"/>
      <c r="N66" s="236"/>
      <c r="Q66" s="1"/>
    </row>
    <row r="67" spans="2:17">
      <c r="B67" s="1"/>
      <c r="C67" s="92"/>
      <c r="D67" s="92"/>
      <c r="E67" s="92"/>
      <c r="F67" s="92"/>
      <c r="G67" s="18"/>
      <c r="H67" s="119"/>
      <c r="I67" s="64"/>
      <c r="J67" s="64"/>
      <c r="K67" s="177"/>
      <c r="M67" s="63"/>
      <c r="N67" s="236"/>
      <c r="Q67" s="1"/>
    </row>
    <row r="68" spans="2:17">
      <c r="B68" s="1"/>
      <c r="C68" s="92"/>
      <c r="D68" s="92"/>
      <c r="E68" s="92"/>
      <c r="F68" s="92"/>
      <c r="G68" s="18"/>
      <c r="H68" s="119"/>
      <c r="I68" s="64"/>
      <c r="J68" s="64"/>
      <c r="K68" s="177"/>
      <c r="M68" s="63"/>
      <c r="N68" s="236"/>
      <c r="Q68" s="1"/>
    </row>
    <row r="69" spans="2:17">
      <c r="B69" s="1"/>
      <c r="C69" s="92"/>
      <c r="D69" s="92"/>
      <c r="E69" s="92"/>
      <c r="F69" s="92"/>
      <c r="G69" s="18"/>
      <c r="H69" s="119"/>
      <c r="I69" s="64"/>
      <c r="J69" s="64"/>
      <c r="K69" s="177"/>
      <c r="M69" s="63"/>
      <c r="N69" s="236"/>
      <c r="Q69" s="1"/>
    </row>
    <row r="70" spans="2:17">
      <c r="B70" s="1"/>
      <c r="C70" s="92"/>
      <c r="D70" s="92"/>
      <c r="E70" s="92"/>
      <c r="F70" s="92"/>
      <c r="G70" s="18"/>
      <c r="H70" s="119"/>
      <c r="I70" s="64"/>
      <c r="J70" s="64"/>
      <c r="K70" s="177"/>
      <c r="M70" s="63"/>
      <c r="N70" s="236"/>
      <c r="Q70" s="1"/>
    </row>
    <row r="71" spans="2:17">
      <c r="B71" s="1"/>
      <c r="C71" s="92"/>
      <c r="D71" s="92"/>
      <c r="E71" s="92"/>
      <c r="F71" s="92"/>
      <c r="G71" s="18"/>
      <c r="H71" s="119"/>
      <c r="I71" s="64"/>
      <c r="J71" s="64"/>
      <c r="K71" s="177"/>
      <c r="M71" s="63"/>
      <c r="N71" s="236"/>
      <c r="Q71" s="1"/>
    </row>
    <row r="72" spans="2:17">
      <c r="B72" s="1"/>
      <c r="C72" s="92"/>
      <c r="D72" s="92"/>
      <c r="E72" s="92"/>
      <c r="F72" s="92"/>
      <c r="G72" s="18"/>
      <c r="H72" s="119"/>
      <c r="I72" s="64"/>
      <c r="J72" s="64"/>
      <c r="K72" s="177"/>
      <c r="M72" s="63"/>
      <c r="N72" s="236"/>
      <c r="Q72" s="1"/>
    </row>
    <row r="73" spans="2:17">
      <c r="B73" s="1"/>
      <c r="C73" s="92"/>
      <c r="D73" s="92"/>
      <c r="E73" s="92"/>
      <c r="F73" s="92"/>
      <c r="G73" s="18"/>
      <c r="H73" s="119"/>
      <c r="I73" s="64"/>
      <c r="J73" s="64"/>
      <c r="K73" s="177"/>
      <c r="M73" s="63"/>
      <c r="N73" s="236"/>
      <c r="Q73" s="1"/>
    </row>
    <row r="74" spans="2:17">
      <c r="B74" s="1"/>
      <c r="C74" s="92"/>
      <c r="D74" s="92"/>
      <c r="E74" s="92"/>
      <c r="F74" s="92"/>
      <c r="G74" s="18"/>
      <c r="H74" s="119"/>
      <c r="I74" s="64"/>
      <c r="J74" s="64"/>
      <c r="K74" s="177"/>
      <c r="M74" s="63"/>
      <c r="N74" s="236"/>
      <c r="Q74" s="1"/>
    </row>
    <row r="75" spans="2:17">
      <c r="B75" s="1"/>
      <c r="C75" s="92"/>
      <c r="D75" s="92"/>
      <c r="E75" s="92"/>
      <c r="F75" s="92"/>
      <c r="G75" s="18"/>
      <c r="H75" s="119"/>
      <c r="I75" s="64"/>
      <c r="J75" s="64"/>
      <c r="K75" s="177"/>
      <c r="M75" s="63"/>
      <c r="N75" s="236"/>
      <c r="Q75" s="1"/>
    </row>
    <row r="76" spans="2:17">
      <c r="B76" s="1"/>
      <c r="C76" s="92"/>
      <c r="D76" s="92"/>
      <c r="E76" s="92"/>
      <c r="F76" s="92"/>
      <c r="G76" s="18"/>
      <c r="H76" s="119"/>
      <c r="I76" s="64"/>
      <c r="J76" s="64"/>
      <c r="K76" s="177"/>
      <c r="M76" s="63"/>
      <c r="N76" s="236"/>
      <c r="Q76" s="1"/>
    </row>
    <row r="77" spans="2:17">
      <c r="B77" s="1"/>
      <c r="C77" s="92"/>
      <c r="D77" s="92"/>
      <c r="E77" s="92"/>
      <c r="F77" s="92"/>
      <c r="G77" s="18"/>
      <c r="H77" s="119"/>
      <c r="I77" s="64"/>
      <c r="J77" s="64"/>
      <c r="K77" s="177"/>
      <c r="M77" s="63"/>
      <c r="N77" s="236"/>
      <c r="Q77" s="1"/>
    </row>
    <row r="78" spans="2:17">
      <c r="B78" s="1"/>
      <c r="C78" s="92"/>
      <c r="D78" s="92"/>
      <c r="E78" s="92"/>
      <c r="F78" s="92"/>
      <c r="G78" s="18"/>
      <c r="H78" s="119"/>
      <c r="I78" s="64"/>
      <c r="J78" s="64"/>
      <c r="K78" s="177"/>
      <c r="M78" s="63"/>
      <c r="N78" s="236"/>
      <c r="Q78" s="1"/>
    </row>
    <row r="79" spans="2:17">
      <c r="B79" s="1"/>
      <c r="C79" s="92"/>
      <c r="D79" s="92"/>
      <c r="E79" s="92"/>
      <c r="F79" s="92"/>
      <c r="G79" s="18"/>
      <c r="H79" s="119"/>
      <c r="I79" s="64"/>
      <c r="J79" s="64"/>
      <c r="K79" s="177"/>
      <c r="M79" s="63"/>
      <c r="N79" s="236"/>
      <c r="Q79" s="1"/>
    </row>
    <row r="80" spans="2:17">
      <c r="B80" s="1"/>
      <c r="C80" s="92"/>
      <c r="D80" s="92"/>
      <c r="E80" s="92"/>
      <c r="F80" s="92"/>
      <c r="G80" s="18"/>
      <c r="H80" s="119"/>
      <c r="I80" s="64"/>
      <c r="J80" s="64"/>
      <c r="K80" s="177"/>
      <c r="M80" s="63"/>
      <c r="N80" s="236"/>
      <c r="Q80" s="1"/>
    </row>
    <row r="81" spans="2:17">
      <c r="B81" s="1"/>
      <c r="C81" s="92"/>
      <c r="D81" s="92"/>
      <c r="E81" s="92"/>
      <c r="F81" s="92"/>
      <c r="G81" s="18"/>
      <c r="H81" s="119"/>
      <c r="I81" s="64"/>
      <c r="J81" s="64"/>
      <c r="K81" s="177"/>
      <c r="M81" s="63"/>
      <c r="N81" s="236"/>
      <c r="Q81" s="1"/>
    </row>
    <row r="82" spans="2:17">
      <c r="B82" s="1"/>
      <c r="C82" s="92"/>
      <c r="D82" s="92"/>
      <c r="E82" s="92"/>
      <c r="F82" s="92"/>
      <c r="G82" s="18"/>
      <c r="H82" s="119"/>
      <c r="I82" s="64"/>
      <c r="J82" s="64"/>
      <c r="K82" s="177"/>
      <c r="M82" s="63"/>
      <c r="N82" s="236"/>
      <c r="Q82" s="1"/>
    </row>
    <row r="83" spans="2:17">
      <c r="B83" s="1"/>
      <c r="C83" s="92"/>
      <c r="D83" s="92"/>
      <c r="E83" s="92"/>
      <c r="F83" s="92"/>
      <c r="G83" s="18"/>
      <c r="H83" s="119"/>
      <c r="I83" s="64"/>
      <c r="J83" s="64"/>
      <c r="K83" s="177"/>
      <c r="M83" s="63"/>
      <c r="N83" s="236"/>
      <c r="Q83" s="1"/>
    </row>
    <row r="84" spans="2:17">
      <c r="B84" s="1"/>
      <c r="C84" s="92"/>
      <c r="D84" s="92"/>
      <c r="E84" s="92"/>
      <c r="F84" s="92"/>
      <c r="G84" s="18"/>
      <c r="H84" s="119"/>
      <c r="I84" s="64"/>
      <c r="J84" s="64"/>
      <c r="K84" s="177"/>
      <c r="M84" s="63"/>
      <c r="N84" s="236"/>
      <c r="Q84" s="1"/>
    </row>
    <row r="85" spans="2:17">
      <c r="B85" s="1"/>
      <c r="C85" s="92"/>
      <c r="D85" s="92"/>
      <c r="E85" s="92"/>
      <c r="F85" s="92"/>
      <c r="G85" s="18"/>
      <c r="H85" s="119"/>
      <c r="I85" s="64"/>
      <c r="J85" s="64"/>
      <c r="K85" s="177"/>
      <c r="M85" s="63"/>
      <c r="N85" s="236"/>
      <c r="Q85" s="1"/>
    </row>
    <row r="86" spans="2:17">
      <c r="G86" s="18"/>
      <c r="H86" s="119"/>
      <c r="I86" s="64"/>
      <c r="J86" s="64"/>
      <c r="K86" s="177"/>
      <c r="M86" s="63"/>
      <c r="N86" s="236"/>
    </row>
    <row r="87" spans="2:17">
      <c r="G87" s="18"/>
      <c r="H87" s="119"/>
      <c r="I87" s="64"/>
      <c r="J87" s="64"/>
      <c r="K87" s="177"/>
      <c r="M87" s="63"/>
      <c r="N87" s="236"/>
    </row>
    <row r="88" spans="2:17">
      <c r="G88" s="18"/>
      <c r="H88" s="119"/>
      <c r="I88" s="64"/>
      <c r="J88" s="64"/>
      <c r="K88" s="177"/>
      <c r="M88" s="63"/>
      <c r="N88" s="236"/>
    </row>
    <row r="89" spans="2:17">
      <c r="G89" s="18"/>
      <c r="H89" s="119"/>
      <c r="I89" s="64"/>
      <c r="J89" s="64"/>
      <c r="K89" s="177"/>
      <c r="M89" s="63"/>
      <c r="N89" s="236"/>
    </row>
    <row r="90" spans="2:17">
      <c r="G90" s="18"/>
      <c r="H90" s="119"/>
      <c r="I90" s="64"/>
      <c r="J90" s="64"/>
      <c r="K90" s="177"/>
      <c r="M90" s="63"/>
      <c r="N90" s="236"/>
    </row>
    <row r="91" spans="2:17">
      <c r="G91" s="18"/>
      <c r="H91" s="119"/>
      <c r="I91" s="64"/>
      <c r="J91" s="64"/>
      <c r="K91" s="177"/>
      <c r="M91" s="63"/>
      <c r="N91" s="236"/>
    </row>
    <row r="92" spans="2:17">
      <c r="G92" s="18"/>
      <c r="H92" s="119"/>
      <c r="I92" s="64"/>
      <c r="J92" s="64"/>
      <c r="K92" s="177"/>
      <c r="M92" s="63"/>
      <c r="N92" s="236"/>
    </row>
    <row r="93" spans="2:17">
      <c r="G93" s="18"/>
      <c r="H93" s="119"/>
      <c r="I93" s="64"/>
      <c r="J93" s="64"/>
      <c r="K93" s="177"/>
      <c r="M93" s="63"/>
    </row>
    <row r="94" spans="2:17">
      <c r="G94" s="18"/>
      <c r="K94" s="177"/>
      <c r="M94" s="63"/>
    </row>
    <row r="95" spans="2:17">
      <c r="G95" s="18"/>
      <c r="K95" s="177"/>
      <c r="M95" s="63"/>
    </row>
    <row r="96" spans="2:17">
      <c r="G96" s="18"/>
      <c r="K96" s="177"/>
      <c r="M96" s="63"/>
    </row>
    <row r="97" spans="7:13">
      <c r="G97" s="18"/>
      <c r="K97" s="177"/>
      <c r="M97" s="63"/>
    </row>
    <row r="98" spans="7:13">
      <c r="G98" s="18"/>
      <c r="K98" s="177"/>
      <c r="M98" s="63"/>
    </row>
    <row r="99" spans="7:13">
      <c r="G99" s="18"/>
      <c r="K99" s="177"/>
      <c r="M99" s="63"/>
    </row>
    <row r="100" spans="7:13">
      <c r="G100" s="18"/>
      <c r="K100" s="177"/>
      <c r="M100" s="63"/>
    </row>
    <row r="101" spans="7:13">
      <c r="G101" s="18"/>
      <c r="K101" s="177"/>
      <c r="M101" s="63"/>
    </row>
    <row r="102" spans="7:13">
      <c r="G102" s="18"/>
      <c r="K102" s="177"/>
      <c r="M102" s="63"/>
    </row>
    <row r="103" spans="7:13">
      <c r="G103" s="18"/>
      <c r="K103" s="177"/>
      <c r="M103" s="63"/>
    </row>
    <row r="104" spans="7:13">
      <c r="G104" s="18"/>
      <c r="K104" s="177"/>
      <c r="M104" s="63"/>
    </row>
    <row r="105" spans="7:13">
      <c r="G105" s="18"/>
      <c r="K105" s="177"/>
      <c r="M105" s="63"/>
    </row>
    <row r="106" spans="7:13">
      <c r="G106" s="18"/>
      <c r="K106" s="177"/>
      <c r="M106" s="63"/>
    </row>
    <row r="107" spans="7:13">
      <c r="G107" s="18"/>
      <c r="K107" s="177"/>
      <c r="M107" s="63"/>
    </row>
    <row r="108" spans="7:13">
      <c r="G108" s="18"/>
      <c r="K108" s="177"/>
      <c r="M108" s="63"/>
    </row>
    <row r="109" spans="7:13">
      <c r="G109" s="18"/>
      <c r="K109" s="177"/>
      <c r="M109" s="63"/>
    </row>
    <row r="110" spans="7:13">
      <c r="G110" s="18"/>
      <c r="K110" s="177"/>
      <c r="M110" s="63"/>
    </row>
    <row r="111" spans="7:13">
      <c r="G111" s="18"/>
      <c r="K111" s="177"/>
      <c r="M111" s="63"/>
    </row>
    <row r="112" spans="7:13">
      <c r="G112" s="18"/>
      <c r="K112" s="177"/>
      <c r="M112" s="63"/>
    </row>
    <row r="113" spans="7:13">
      <c r="G113" s="18"/>
      <c r="K113" s="177"/>
      <c r="M113" s="63"/>
    </row>
    <row r="114" spans="7:13">
      <c r="G114" s="18"/>
      <c r="K114" s="177"/>
      <c r="M114" s="63"/>
    </row>
    <row r="115" spans="7:13">
      <c r="G115" s="18"/>
      <c r="K115" s="177"/>
      <c r="M115" s="63"/>
    </row>
    <row r="116" spans="7:13">
      <c r="G116" s="18"/>
      <c r="K116" s="177"/>
      <c r="M116" s="63"/>
    </row>
    <row r="117" spans="7:13">
      <c r="G117" s="18"/>
      <c r="K117" s="177"/>
      <c r="M117" s="63"/>
    </row>
    <row r="118" spans="7:13">
      <c r="G118" s="18"/>
      <c r="K118" s="177"/>
      <c r="M118" s="63"/>
    </row>
    <row r="119" spans="7:13">
      <c r="G119" s="18"/>
      <c r="K119" s="177"/>
      <c r="M119" s="63"/>
    </row>
    <row r="120" spans="7:13">
      <c r="G120" s="18"/>
      <c r="K120" s="177"/>
      <c r="M120" s="63"/>
    </row>
    <row r="121" spans="7:13">
      <c r="G121" s="18"/>
      <c r="K121" s="177"/>
      <c r="M121" s="63"/>
    </row>
    <row r="122" spans="7:13">
      <c r="G122" s="18"/>
      <c r="K122" s="177"/>
      <c r="M122" s="63"/>
    </row>
    <row r="123" spans="7:13">
      <c r="G123" s="18"/>
      <c r="K123" s="177"/>
      <c r="M123" s="63"/>
    </row>
    <row r="124" spans="7:13">
      <c r="G124" s="18"/>
      <c r="K124" s="177"/>
      <c r="M124" s="63"/>
    </row>
    <row r="125" spans="7:13">
      <c r="G125" s="18"/>
      <c r="K125" s="177"/>
      <c r="M125" s="63"/>
    </row>
    <row r="126" spans="7:13">
      <c r="G126" s="18"/>
      <c r="K126" s="177"/>
      <c r="M126" s="63"/>
    </row>
    <row r="127" spans="7:13">
      <c r="G127" s="18"/>
      <c r="K127" s="177"/>
      <c r="M127" s="63"/>
    </row>
    <row r="128" spans="7:13">
      <c r="G128" s="18"/>
      <c r="K128" s="177"/>
      <c r="M128" s="63"/>
    </row>
    <row r="129" spans="7:13">
      <c r="G129" s="18"/>
      <c r="K129" s="177"/>
      <c r="M129" s="63"/>
    </row>
    <row r="130" spans="7:13">
      <c r="G130" s="18"/>
      <c r="K130" s="177"/>
      <c r="M130" s="63"/>
    </row>
    <row r="131" spans="7:13">
      <c r="G131" s="18"/>
      <c r="K131" s="177"/>
      <c r="M131" s="63"/>
    </row>
    <row r="132" spans="7:13">
      <c r="G132" s="18"/>
      <c r="K132" s="177"/>
      <c r="M132" s="63"/>
    </row>
    <row r="133" spans="7:13">
      <c r="G133" s="18"/>
      <c r="K133" s="177"/>
      <c r="M133" s="63"/>
    </row>
    <row r="134" spans="7:13">
      <c r="G134" s="18"/>
      <c r="K134" s="177"/>
    </row>
    <row r="135" spans="7:13">
      <c r="G135" s="18"/>
      <c r="K135" s="177"/>
    </row>
    <row r="136" spans="7:13">
      <c r="G136" s="18"/>
      <c r="K136" s="177"/>
    </row>
    <row r="137" spans="7:13">
      <c r="G137" s="18"/>
      <c r="K137" s="177"/>
    </row>
    <row r="138" spans="7:13">
      <c r="G138" s="18"/>
      <c r="K138" s="177"/>
    </row>
    <row r="139" spans="7:13">
      <c r="G139" s="18"/>
      <c r="K139" s="177"/>
    </row>
    <row r="140" spans="7:13">
      <c r="G140" s="18"/>
      <c r="K140" s="177"/>
    </row>
    <row r="141" spans="7:13">
      <c r="G141" s="18"/>
      <c r="K141" s="177"/>
    </row>
    <row r="142" spans="7:13">
      <c r="G142" s="18"/>
      <c r="K142" s="177"/>
    </row>
    <row r="143" spans="7:13">
      <c r="G143" s="18"/>
      <c r="K143" s="177"/>
    </row>
    <row r="144" spans="7:13">
      <c r="G144" s="18"/>
      <c r="K144" s="177"/>
    </row>
    <row r="145" spans="7:11">
      <c r="G145" s="18"/>
      <c r="K145" s="177"/>
    </row>
    <row r="146" spans="7:11">
      <c r="G146" s="18"/>
      <c r="K146" s="177"/>
    </row>
    <row r="147" spans="7:11">
      <c r="G147" s="18"/>
      <c r="K147" s="177"/>
    </row>
    <row r="148" spans="7:11">
      <c r="G148" s="18"/>
      <c r="K148" s="177"/>
    </row>
    <row r="149" spans="7:11">
      <c r="G149" s="18"/>
      <c r="K149" s="177"/>
    </row>
    <row r="150" spans="7:11">
      <c r="G150" s="18"/>
      <c r="K150" s="177"/>
    </row>
    <row r="151" spans="7:11">
      <c r="G151" s="18"/>
      <c r="K151" s="177"/>
    </row>
    <row r="152" spans="7:11">
      <c r="G152" s="18"/>
      <c r="K152" s="177"/>
    </row>
    <row r="153" spans="7:11">
      <c r="G153" s="18"/>
      <c r="K153" s="177"/>
    </row>
    <row r="154" spans="7:11">
      <c r="G154" s="18"/>
      <c r="K154" s="177"/>
    </row>
    <row r="155" spans="7:11">
      <c r="G155" s="18"/>
      <c r="K155" s="177"/>
    </row>
    <row r="156" spans="7:11">
      <c r="G156" s="18"/>
      <c r="K156" s="177"/>
    </row>
    <row r="157" spans="7:11">
      <c r="G157" s="18"/>
      <c r="K157" s="177"/>
    </row>
    <row r="158" spans="7:11">
      <c r="G158" s="18"/>
      <c r="K158" s="177"/>
    </row>
    <row r="159" spans="7:11">
      <c r="G159" s="18"/>
      <c r="K159" s="177"/>
    </row>
    <row r="160" spans="7:11">
      <c r="G160" s="18"/>
      <c r="K160" s="177"/>
    </row>
    <row r="161" spans="7:11">
      <c r="G161" s="18"/>
      <c r="K161" s="177"/>
    </row>
    <row r="162" spans="7:11">
      <c r="G162" s="18"/>
      <c r="K162" s="177"/>
    </row>
    <row r="163" spans="7:11">
      <c r="G163" s="18"/>
      <c r="K163" s="177"/>
    </row>
    <row r="164" spans="7:11">
      <c r="G164" s="18"/>
      <c r="K164" s="177"/>
    </row>
    <row r="165" spans="7:11">
      <c r="G165" s="18"/>
      <c r="K165" s="177"/>
    </row>
    <row r="166" spans="7:11">
      <c r="G166" s="18"/>
      <c r="K166" s="177"/>
    </row>
    <row r="167" spans="7:11">
      <c r="G167" s="18"/>
      <c r="K167" s="177"/>
    </row>
    <row r="168" spans="7:11">
      <c r="G168" s="18"/>
      <c r="K168" s="177"/>
    </row>
    <row r="169" spans="7:11">
      <c r="G169" s="18"/>
      <c r="K169" s="177"/>
    </row>
    <row r="170" spans="7:11">
      <c r="G170" s="18"/>
      <c r="K170" s="177"/>
    </row>
    <row r="171" spans="7:11">
      <c r="G171" s="18"/>
      <c r="K171" s="177"/>
    </row>
    <row r="172" spans="7:11">
      <c r="G172" s="18"/>
      <c r="K172" s="177"/>
    </row>
    <row r="173" spans="7:11">
      <c r="G173" s="18"/>
      <c r="K173" s="177"/>
    </row>
    <row r="174" spans="7:11">
      <c r="G174" s="18"/>
      <c r="K174" s="177"/>
    </row>
    <row r="175" spans="7:11">
      <c r="G175" s="18"/>
      <c r="K175" s="177"/>
    </row>
    <row r="176" spans="7:11">
      <c r="G176" s="18"/>
      <c r="K176" s="177"/>
    </row>
    <row r="177" spans="7:11">
      <c r="G177" s="18"/>
      <c r="K177" s="177"/>
    </row>
    <row r="178" spans="7:11">
      <c r="G178" s="18"/>
      <c r="K178" s="177"/>
    </row>
    <row r="179" spans="7:11">
      <c r="G179" s="18"/>
      <c r="K179" s="177"/>
    </row>
    <row r="180" spans="7:11">
      <c r="G180" s="18"/>
      <c r="K180" s="177"/>
    </row>
    <row r="181" spans="7:11">
      <c r="G181" s="18"/>
      <c r="K181" s="177"/>
    </row>
    <row r="182" spans="7:11">
      <c r="G182" s="18"/>
      <c r="K182" s="177"/>
    </row>
    <row r="183" spans="7:11">
      <c r="G183" s="18"/>
      <c r="K183" s="177"/>
    </row>
    <row r="184" spans="7:11">
      <c r="G184" s="18"/>
      <c r="K184" s="177"/>
    </row>
    <row r="185" spans="7:11">
      <c r="G185" s="18"/>
      <c r="K185" s="177"/>
    </row>
    <row r="186" spans="7:11">
      <c r="G186" s="18"/>
      <c r="K186" s="177"/>
    </row>
    <row r="187" spans="7:11">
      <c r="G187" s="18"/>
      <c r="K187" s="177"/>
    </row>
    <row r="188" spans="7:11">
      <c r="G188" s="18"/>
      <c r="K188" s="177"/>
    </row>
    <row r="189" spans="7:11">
      <c r="G189" s="18"/>
      <c r="K189" s="177"/>
    </row>
    <row r="190" spans="7:11">
      <c r="G190" s="18"/>
      <c r="K190" s="177"/>
    </row>
    <row r="191" spans="7:11">
      <c r="G191" s="18"/>
      <c r="K191" s="177"/>
    </row>
    <row r="192" spans="7:11">
      <c r="G192" s="18"/>
      <c r="K192" s="177"/>
    </row>
    <row r="193" spans="7:11">
      <c r="G193" s="18"/>
      <c r="K193" s="177"/>
    </row>
    <row r="194" spans="7:11">
      <c r="G194" s="18"/>
      <c r="K194" s="177"/>
    </row>
    <row r="195" spans="7:11">
      <c r="G195" s="18"/>
      <c r="K195" s="177"/>
    </row>
    <row r="196" spans="7:11">
      <c r="G196" s="18"/>
      <c r="K196" s="177"/>
    </row>
    <row r="197" spans="7:11">
      <c r="G197" s="18"/>
      <c r="K197" s="177"/>
    </row>
    <row r="198" spans="7:11">
      <c r="G198" s="18"/>
      <c r="K198" s="177"/>
    </row>
    <row r="199" spans="7:11">
      <c r="G199" s="18"/>
      <c r="K199" s="177"/>
    </row>
    <row r="200" spans="7:11">
      <c r="G200" s="18"/>
      <c r="K200" s="177"/>
    </row>
    <row r="201" spans="7:11">
      <c r="G201" s="18"/>
      <c r="K201" s="177"/>
    </row>
    <row r="202" spans="7:11">
      <c r="G202" s="18"/>
      <c r="K202" s="177"/>
    </row>
    <row r="203" spans="7:11">
      <c r="G203" s="18"/>
      <c r="K203" s="177"/>
    </row>
    <row r="204" spans="7:11">
      <c r="G204" s="18"/>
      <c r="K204" s="177"/>
    </row>
    <row r="205" spans="7:11">
      <c r="G205" s="18"/>
      <c r="K205" s="177"/>
    </row>
    <row r="206" spans="7:11">
      <c r="G206" s="18"/>
      <c r="K206" s="177"/>
    </row>
    <row r="207" spans="7:11">
      <c r="G207" s="18"/>
      <c r="K207" s="177"/>
    </row>
    <row r="208" spans="7:11">
      <c r="G208" s="18"/>
      <c r="K208" s="177"/>
    </row>
    <row r="209" spans="7:11">
      <c r="G209" s="18"/>
      <c r="K209" s="177"/>
    </row>
    <row r="210" spans="7:11">
      <c r="G210" s="18"/>
      <c r="K210" s="177"/>
    </row>
    <row r="211" spans="7:11">
      <c r="G211" s="18"/>
      <c r="K211" s="177"/>
    </row>
    <row r="212" spans="7:11">
      <c r="G212" s="18"/>
      <c r="K212" s="177"/>
    </row>
    <row r="213" spans="7:11">
      <c r="G213" s="18"/>
      <c r="K213" s="177"/>
    </row>
    <row r="214" spans="7:11">
      <c r="G214" s="18"/>
      <c r="K214" s="177"/>
    </row>
    <row r="215" spans="7:11">
      <c r="G215" s="18"/>
      <c r="K215" s="177"/>
    </row>
    <row r="216" spans="7:11">
      <c r="G216" s="18"/>
      <c r="K216" s="177"/>
    </row>
    <row r="217" spans="7:11">
      <c r="G217" s="18"/>
      <c r="K217" s="177"/>
    </row>
    <row r="218" spans="7:11">
      <c r="G218" s="18"/>
      <c r="K218" s="177"/>
    </row>
    <row r="219" spans="7:11">
      <c r="G219" s="18"/>
      <c r="K219" s="177"/>
    </row>
    <row r="220" spans="7:11">
      <c r="G220" s="18"/>
      <c r="K220" s="177"/>
    </row>
    <row r="221" spans="7:11">
      <c r="G221" s="18"/>
      <c r="K221" s="177"/>
    </row>
    <row r="222" spans="7:11">
      <c r="G222" s="18"/>
      <c r="K222" s="177"/>
    </row>
    <row r="223" spans="7:11">
      <c r="G223" s="18"/>
      <c r="K223" s="177"/>
    </row>
    <row r="224" spans="7:11">
      <c r="G224" s="18"/>
      <c r="K224" s="177"/>
    </row>
    <row r="225" spans="7:11">
      <c r="G225" s="18"/>
      <c r="K225" s="177"/>
    </row>
    <row r="226" spans="7:11">
      <c r="G226" s="18"/>
      <c r="K226" s="177"/>
    </row>
    <row r="227" spans="7:11">
      <c r="G227" s="18"/>
      <c r="K227" s="177"/>
    </row>
    <row r="228" spans="7:11">
      <c r="G228" s="18"/>
      <c r="K228" s="177"/>
    </row>
    <row r="229" spans="7:11">
      <c r="G229" s="18"/>
      <c r="K229" s="177"/>
    </row>
    <row r="230" spans="7:11">
      <c r="G230" s="18"/>
      <c r="K230" s="177"/>
    </row>
    <row r="231" spans="7:11">
      <c r="G231" s="18"/>
      <c r="K231" s="177"/>
    </row>
    <row r="232" spans="7:11">
      <c r="G232" s="18"/>
      <c r="K232" s="177"/>
    </row>
    <row r="233" spans="7:11">
      <c r="G233" s="18"/>
      <c r="K233" s="177"/>
    </row>
    <row r="234" spans="7:11">
      <c r="G234" s="18"/>
      <c r="K234" s="177"/>
    </row>
    <row r="235" spans="7:11">
      <c r="G235" s="18"/>
      <c r="K235" s="177"/>
    </row>
    <row r="236" spans="7:11">
      <c r="G236" s="18"/>
      <c r="K236" s="177"/>
    </row>
    <row r="237" spans="7:11">
      <c r="G237" s="18"/>
      <c r="K237" s="177"/>
    </row>
    <row r="238" spans="7:11">
      <c r="G238" s="18"/>
      <c r="K238" s="177"/>
    </row>
    <row r="239" spans="7:11">
      <c r="G239" s="18"/>
      <c r="K239" s="177"/>
    </row>
    <row r="240" spans="7:11">
      <c r="G240" s="18"/>
      <c r="K240" s="177"/>
    </row>
    <row r="241" spans="7:11">
      <c r="G241" s="18"/>
      <c r="K241" s="177"/>
    </row>
    <row r="242" spans="7:11">
      <c r="G242" s="18"/>
      <c r="K242" s="177"/>
    </row>
    <row r="243" spans="7:11">
      <c r="G243" s="18"/>
      <c r="K243" s="177"/>
    </row>
    <row r="244" spans="7:11">
      <c r="G244" s="18"/>
      <c r="K244" s="177"/>
    </row>
    <row r="245" spans="7:11">
      <c r="G245" s="18"/>
      <c r="K245" s="177"/>
    </row>
    <row r="246" spans="7:11">
      <c r="G246" s="18"/>
      <c r="K246" s="177"/>
    </row>
    <row r="247" spans="7:11">
      <c r="G247" s="18"/>
      <c r="K247" s="177"/>
    </row>
    <row r="248" spans="7:11">
      <c r="G248" s="18"/>
      <c r="K248" s="177"/>
    </row>
    <row r="249" spans="7:11">
      <c r="G249" s="18"/>
      <c r="K249" s="177"/>
    </row>
    <row r="250" spans="7:11">
      <c r="G250" s="18"/>
      <c r="K250" s="177"/>
    </row>
    <row r="251" spans="7:11">
      <c r="G251" s="18"/>
      <c r="K251" s="177"/>
    </row>
    <row r="252" spans="7:11">
      <c r="G252" s="18"/>
      <c r="K252" s="177"/>
    </row>
    <row r="253" spans="7:11">
      <c r="G253" s="18"/>
      <c r="K253" s="177"/>
    </row>
    <row r="254" spans="7:11">
      <c r="G254" s="18"/>
      <c r="K254" s="177"/>
    </row>
    <row r="255" spans="7:11">
      <c r="G255" s="18"/>
      <c r="K255" s="177"/>
    </row>
    <row r="256" spans="7:11">
      <c r="G256" s="18"/>
      <c r="K256" s="177"/>
    </row>
    <row r="257" spans="7:11">
      <c r="G257" s="18"/>
      <c r="K257" s="177"/>
    </row>
    <row r="258" spans="7:11">
      <c r="G258" s="18"/>
      <c r="K258" s="177"/>
    </row>
    <row r="259" spans="7:11">
      <c r="G259" s="18"/>
      <c r="K259" s="177"/>
    </row>
    <row r="260" spans="7:11">
      <c r="G260" s="18"/>
      <c r="K260" s="177"/>
    </row>
    <row r="261" spans="7:11">
      <c r="G261" s="18"/>
      <c r="K261" s="177"/>
    </row>
    <row r="262" spans="7:11">
      <c r="G262" s="18"/>
      <c r="K262" s="177"/>
    </row>
    <row r="263" spans="7:11">
      <c r="G263" s="18"/>
      <c r="K263" s="177"/>
    </row>
    <row r="264" spans="7:11">
      <c r="G264" s="18"/>
      <c r="K264" s="177"/>
    </row>
    <row r="265" spans="7:11">
      <c r="G265" s="18"/>
      <c r="K265" s="177"/>
    </row>
    <row r="266" spans="7:11">
      <c r="G266" s="18"/>
      <c r="K266" s="177"/>
    </row>
    <row r="267" spans="7:11">
      <c r="G267" s="18"/>
      <c r="K267" s="177"/>
    </row>
    <row r="268" spans="7:11">
      <c r="G268" s="18"/>
      <c r="K268" s="177"/>
    </row>
    <row r="269" spans="7:11">
      <c r="G269" s="18"/>
      <c r="K269" s="177"/>
    </row>
    <row r="270" spans="7:11">
      <c r="G270" s="18"/>
      <c r="K270" s="177"/>
    </row>
    <row r="271" spans="7:11">
      <c r="G271" s="18"/>
      <c r="K271" s="177"/>
    </row>
    <row r="272" spans="7:11">
      <c r="G272" s="18"/>
      <c r="K272" s="177"/>
    </row>
    <row r="273" spans="7:11">
      <c r="G273" s="18"/>
      <c r="K273" s="177"/>
    </row>
    <row r="274" spans="7:11">
      <c r="G274" s="18"/>
      <c r="K274" s="177"/>
    </row>
    <row r="275" spans="7:11">
      <c r="G275" s="18"/>
      <c r="K275" s="177"/>
    </row>
    <row r="276" spans="7:11">
      <c r="G276" s="18"/>
      <c r="K276" s="177"/>
    </row>
    <row r="277" spans="7:11">
      <c r="G277" s="18"/>
      <c r="K277" s="177"/>
    </row>
    <row r="278" spans="7:11">
      <c r="G278" s="18"/>
      <c r="K278" s="177"/>
    </row>
    <row r="279" spans="7:11">
      <c r="G279" s="18"/>
      <c r="K279" s="177"/>
    </row>
    <row r="280" spans="7:11">
      <c r="G280" s="18"/>
      <c r="K280" s="177"/>
    </row>
    <row r="281" spans="7:11">
      <c r="G281" s="18"/>
      <c r="K281" s="177"/>
    </row>
    <row r="282" spans="7:11">
      <c r="G282" s="18"/>
      <c r="K282" s="177"/>
    </row>
    <row r="283" spans="7:11">
      <c r="G283" s="18"/>
      <c r="K283" s="177"/>
    </row>
    <row r="284" spans="7:11">
      <c r="G284" s="18"/>
      <c r="K284" s="177"/>
    </row>
    <row r="285" spans="7:11">
      <c r="G285" s="18"/>
      <c r="K285" s="177"/>
    </row>
    <row r="286" spans="7:11">
      <c r="G286" s="18"/>
      <c r="K286" s="177"/>
    </row>
    <row r="287" spans="7:11">
      <c r="G287" s="18"/>
      <c r="K287" s="177"/>
    </row>
    <row r="288" spans="7:11">
      <c r="G288" s="18"/>
      <c r="K288" s="177"/>
    </row>
    <row r="289" spans="7:11">
      <c r="G289" s="18"/>
      <c r="K289" s="177"/>
    </row>
    <row r="290" spans="7:11">
      <c r="G290" s="18"/>
      <c r="K290" s="177"/>
    </row>
    <row r="291" spans="7:11">
      <c r="G291" s="18"/>
      <c r="K291" s="177"/>
    </row>
    <row r="292" spans="7:11">
      <c r="G292" s="18"/>
      <c r="K292" s="177"/>
    </row>
    <row r="293" spans="7:11">
      <c r="G293" s="18"/>
      <c r="K293" s="177"/>
    </row>
    <row r="294" spans="7:11">
      <c r="G294" s="18"/>
      <c r="K294" s="177"/>
    </row>
    <row r="295" spans="7:11">
      <c r="G295" s="18"/>
      <c r="K295" s="177"/>
    </row>
    <row r="296" spans="7:11">
      <c r="G296" s="18"/>
      <c r="K296" s="177"/>
    </row>
    <row r="297" spans="7:11">
      <c r="G297" s="18"/>
      <c r="K297" s="177"/>
    </row>
    <row r="298" spans="7:11">
      <c r="G298" s="18"/>
      <c r="K298" s="177"/>
    </row>
    <row r="299" spans="7:11">
      <c r="G299" s="18"/>
      <c r="K299" s="177"/>
    </row>
    <row r="300" spans="7:11">
      <c r="G300" s="18"/>
      <c r="K300" s="177"/>
    </row>
    <row r="301" spans="7:11">
      <c r="G301" s="18"/>
      <c r="K301" s="177"/>
    </row>
    <row r="302" spans="7:11">
      <c r="G302" s="18"/>
      <c r="K302" s="177"/>
    </row>
    <row r="303" spans="7:11">
      <c r="G303" s="18"/>
      <c r="K303" s="177"/>
    </row>
    <row r="304" spans="7:11">
      <c r="G304" s="18"/>
      <c r="K304" s="177"/>
    </row>
    <row r="305" spans="7:11">
      <c r="G305" s="18"/>
      <c r="K305" s="177"/>
    </row>
    <row r="306" spans="7:11">
      <c r="G306" s="18"/>
      <c r="K306" s="177"/>
    </row>
    <row r="307" spans="7:11">
      <c r="G307" s="18"/>
      <c r="K307" s="177"/>
    </row>
    <row r="308" spans="7:11">
      <c r="G308" s="18"/>
      <c r="K308" s="177"/>
    </row>
    <row r="309" spans="7:11">
      <c r="G309" s="18"/>
      <c r="K309" s="177"/>
    </row>
    <row r="310" spans="7:11">
      <c r="G310" s="18"/>
      <c r="K310" s="177"/>
    </row>
    <row r="311" spans="7:11">
      <c r="G311" s="18"/>
      <c r="K311" s="177"/>
    </row>
    <row r="312" spans="7:11">
      <c r="G312" s="18"/>
      <c r="K312" s="177"/>
    </row>
    <row r="313" spans="7:11">
      <c r="G313" s="18"/>
      <c r="K313" s="177"/>
    </row>
    <row r="314" spans="7:11">
      <c r="G314" s="18"/>
      <c r="K314" s="177"/>
    </row>
    <row r="315" spans="7:11">
      <c r="G315" s="18"/>
      <c r="K315" s="177"/>
    </row>
    <row r="316" spans="7:11">
      <c r="G316" s="18"/>
      <c r="K316" s="177"/>
    </row>
    <row r="317" spans="7:11">
      <c r="G317" s="18"/>
      <c r="K317" s="177"/>
    </row>
    <row r="318" spans="7:11">
      <c r="G318" s="18"/>
      <c r="K318" s="177"/>
    </row>
    <row r="319" spans="7:11">
      <c r="G319" s="18"/>
      <c r="K319" s="177"/>
    </row>
    <row r="320" spans="7:11">
      <c r="G320" s="18"/>
      <c r="K320" s="177"/>
    </row>
    <row r="321" spans="7:11">
      <c r="G321" s="18"/>
      <c r="K321" s="177"/>
    </row>
    <row r="322" spans="7:11">
      <c r="G322" s="18"/>
      <c r="K322" s="177"/>
    </row>
    <row r="323" spans="7:11">
      <c r="G323" s="18"/>
      <c r="K323" s="177"/>
    </row>
    <row r="324" spans="7:11">
      <c r="G324" s="18"/>
      <c r="K324" s="177"/>
    </row>
    <row r="325" spans="7:11">
      <c r="G325" s="18"/>
      <c r="K325" s="177"/>
    </row>
    <row r="326" spans="7:11">
      <c r="G326" s="18"/>
      <c r="K326" s="177"/>
    </row>
    <row r="327" spans="7:11">
      <c r="G327" s="18"/>
      <c r="K327" s="177"/>
    </row>
    <row r="328" spans="7:11">
      <c r="G328" s="18"/>
      <c r="K328" s="177"/>
    </row>
    <row r="329" spans="7:11">
      <c r="G329" s="18"/>
      <c r="K329" s="177"/>
    </row>
    <row r="330" spans="7:11">
      <c r="G330" s="18"/>
      <c r="K330" s="177"/>
    </row>
    <row r="331" spans="7:11">
      <c r="G331" s="18"/>
      <c r="K331" s="177"/>
    </row>
    <row r="332" spans="7:11">
      <c r="G332" s="18"/>
      <c r="K332" s="177"/>
    </row>
    <row r="333" spans="7:11">
      <c r="G333" s="18"/>
      <c r="K333" s="177"/>
    </row>
    <row r="334" spans="7:11">
      <c r="G334" s="18"/>
      <c r="K334" s="177"/>
    </row>
    <row r="335" spans="7:11">
      <c r="G335" s="18"/>
      <c r="K335" s="177"/>
    </row>
    <row r="336" spans="7:11">
      <c r="G336" s="18"/>
      <c r="K336" s="177"/>
    </row>
    <row r="337" spans="7:11">
      <c r="G337" s="18"/>
      <c r="K337" s="177"/>
    </row>
    <row r="338" spans="7:11">
      <c r="G338" s="18"/>
      <c r="K338" s="177"/>
    </row>
    <row r="339" spans="7:11">
      <c r="G339" s="18"/>
      <c r="K339" s="177"/>
    </row>
    <row r="340" spans="7:11">
      <c r="G340" s="18"/>
      <c r="K340" s="177"/>
    </row>
    <row r="341" spans="7:11">
      <c r="G341" s="18"/>
      <c r="K341" s="177"/>
    </row>
    <row r="342" spans="7:11">
      <c r="G342" s="18"/>
      <c r="K342" s="177"/>
    </row>
    <row r="343" spans="7:11">
      <c r="G343" s="18"/>
      <c r="K343" s="177"/>
    </row>
    <row r="344" spans="7:11">
      <c r="G344" s="18"/>
      <c r="K344" s="177"/>
    </row>
    <row r="345" spans="7:11">
      <c r="G345" s="18"/>
      <c r="K345" s="177"/>
    </row>
    <row r="346" spans="7:11">
      <c r="G346" s="18"/>
      <c r="K346" s="177"/>
    </row>
    <row r="347" spans="7:11">
      <c r="G347" s="18"/>
      <c r="K347" s="177"/>
    </row>
    <row r="348" spans="7:11">
      <c r="G348" s="18"/>
      <c r="K348" s="177"/>
    </row>
    <row r="349" spans="7:11">
      <c r="G349" s="18"/>
      <c r="K349" s="177"/>
    </row>
    <row r="350" spans="7:11">
      <c r="G350" s="18"/>
      <c r="K350" s="177"/>
    </row>
    <row r="351" spans="7:11">
      <c r="G351" s="18"/>
      <c r="K351" s="177"/>
    </row>
    <row r="352" spans="7:11">
      <c r="G352" s="18"/>
      <c r="K352" s="177"/>
    </row>
    <row r="353" spans="7:11">
      <c r="G353" s="18"/>
      <c r="K353" s="177"/>
    </row>
    <row r="354" spans="7:11">
      <c r="G354" s="18"/>
      <c r="K354" s="177"/>
    </row>
    <row r="355" spans="7:11">
      <c r="G355" s="18"/>
      <c r="K355" s="177"/>
    </row>
    <row r="356" spans="7:11">
      <c r="G356" s="18"/>
      <c r="K356" s="177"/>
    </row>
    <row r="357" spans="7:11">
      <c r="G357" s="18"/>
      <c r="K357" s="177"/>
    </row>
    <row r="358" spans="7:11">
      <c r="G358" s="18"/>
      <c r="K358" s="177"/>
    </row>
    <row r="359" spans="7:11">
      <c r="G359" s="18"/>
      <c r="K359" s="177"/>
    </row>
    <row r="360" spans="7:11">
      <c r="G360" s="18"/>
      <c r="K360" s="177"/>
    </row>
    <row r="361" spans="7:11">
      <c r="G361" s="18"/>
      <c r="K361" s="177"/>
    </row>
    <row r="362" spans="7:11">
      <c r="G362" s="18"/>
      <c r="K362" s="177"/>
    </row>
    <row r="363" spans="7:11">
      <c r="G363" s="18"/>
      <c r="K363" s="177"/>
    </row>
    <row r="364" spans="7:11">
      <c r="G364" s="18"/>
      <c r="K364" s="177"/>
    </row>
    <row r="365" spans="7:11">
      <c r="G365" s="18"/>
      <c r="K365" s="177"/>
    </row>
    <row r="366" spans="7:11">
      <c r="G366" s="18"/>
      <c r="K366" s="177"/>
    </row>
    <row r="367" spans="7:11">
      <c r="G367" s="18"/>
      <c r="K367" s="177"/>
    </row>
    <row r="368" spans="7:11">
      <c r="G368" s="18"/>
      <c r="K368" s="177"/>
    </row>
    <row r="369" spans="7:11">
      <c r="G369" s="18"/>
      <c r="K369" s="177"/>
    </row>
    <row r="370" spans="7:11">
      <c r="G370" s="18"/>
      <c r="K370" s="177"/>
    </row>
    <row r="371" spans="7:11">
      <c r="G371" s="18"/>
      <c r="K371" s="177"/>
    </row>
    <row r="372" spans="7:11">
      <c r="G372" s="18"/>
      <c r="K372" s="177"/>
    </row>
    <row r="373" spans="7:11">
      <c r="G373" s="18"/>
      <c r="K373" s="177"/>
    </row>
    <row r="374" spans="7:11">
      <c r="G374" s="18"/>
      <c r="K374" s="177"/>
    </row>
    <row r="375" spans="7:11">
      <c r="G375" s="18"/>
      <c r="K375" s="177"/>
    </row>
  </sheetData>
  <phoneticPr fontId="2" type="noConversion"/>
  <dataValidations count="1">
    <dataValidation allowBlank="1" showInputMessage="1" showErrorMessage="1" sqref="C3:C28 E3:E28" xr:uid="{6C9CDECA-9AAB-4EDC-87AC-4B8BF3DF77F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67F779-67D2-4B3B-A219-6D86F22D5BA9}">
          <x14:formula1>
            <xm:f>공급업체코드!$D$3:$D$103</xm:f>
          </x14:formula1>
          <xm:sqref>E29:E85</xm:sqref>
        </x14:dataValidation>
        <x14:dataValidation type="list" allowBlank="1" showInputMessage="1" showErrorMessage="1" xr:uid="{55A38AB6-DACF-41AC-8CF5-E532D846A368}">
          <x14:formula1>
            <xm:f>기계코드!$F$5:$F$43</xm:f>
          </x14:formula1>
          <xm:sqref>C29:C85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5CD-EFBF-4F00-B419-72CC0B886D3C}">
  <sheetPr>
    <tabColor rgb="FFFFFF00"/>
  </sheetPr>
  <dimension ref="A1:AC372"/>
  <sheetViews>
    <sheetView zoomScale="70" zoomScaleNormal="70" workbookViewId="0">
      <pane ySplit="2" topLeftCell="C3" activePane="bottomLeft" state="frozen"/>
      <selection pane="bottomLeft" activeCell="O26" sqref="O26"/>
    </sheetView>
  </sheetViews>
  <sheetFormatPr defaultRowHeight="16.5"/>
  <cols>
    <col min="1" max="1" width="35" customWidth="1"/>
    <col min="2" max="2" width="37.75" customWidth="1"/>
    <col min="3" max="3" width="41.25" bestFit="1" customWidth="1"/>
    <col min="4" max="5" width="16.125" customWidth="1"/>
    <col min="6" max="6" width="13.875" bestFit="1" customWidth="1"/>
    <col min="7" max="7" width="14.5" style="18" customWidth="1"/>
    <col min="8" max="8" width="23.375" customWidth="1"/>
    <col min="9" max="10" width="26.25" customWidth="1"/>
    <col min="11" max="11" width="16.75" customWidth="1"/>
    <col min="12" max="12" width="16.125" style="18" customWidth="1"/>
    <col min="13" max="13" width="16.125" style="147" customWidth="1"/>
    <col min="14" max="14" width="25.75" bestFit="1" customWidth="1"/>
    <col min="15" max="15" width="16.125" style="18" customWidth="1"/>
    <col min="16" max="16" width="16.125" customWidth="1"/>
    <col min="17" max="17" width="21.25" bestFit="1" customWidth="1"/>
    <col min="18" max="18" width="17.25" style="18" customWidth="1"/>
    <col min="19" max="19" width="10.5" customWidth="1"/>
    <col min="20" max="20" width="27.625" bestFit="1" customWidth="1"/>
    <col min="21" max="21" width="20.625" customWidth="1"/>
    <col min="23" max="23" width="12.375" customWidth="1"/>
    <col min="24" max="24" width="11.375" bestFit="1" customWidth="1"/>
    <col min="27" max="27" width="22.125" bestFit="1" customWidth="1"/>
    <col min="28" max="28" width="36.375" bestFit="1" customWidth="1"/>
    <col min="29" max="29" width="15.375" bestFit="1" customWidth="1"/>
  </cols>
  <sheetData>
    <row r="1" spans="1:29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1365</v>
      </c>
      <c r="I1" s="10" t="s">
        <v>1366</v>
      </c>
      <c r="J1" s="10" t="s">
        <v>1367</v>
      </c>
      <c r="K1" s="10" t="s">
        <v>1318</v>
      </c>
      <c r="L1" s="17" t="s">
        <v>1324</v>
      </c>
      <c r="M1" s="131" t="s">
        <v>1290</v>
      </c>
      <c r="N1" s="131" t="s">
        <v>1291</v>
      </c>
      <c r="O1" s="131" t="s">
        <v>1292</v>
      </c>
      <c r="P1" s="10" t="s">
        <v>1293</v>
      </c>
      <c r="Q1" s="17" t="s">
        <v>1294</v>
      </c>
      <c r="R1" s="61" t="s">
        <v>1295</v>
      </c>
      <c r="S1" s="10" t="s">
        <v>1296</v>
      </c>
      <c r="T1" s="10" t="s">
        <v>1297</v>
      </c>
      <c r="U1" s="210" t="s">
        <v>1298</v>
      </c>
    </row>
    <row r="2" spans="1:29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56" t="s">
        <v>1368</v>
      </c>
      <c r="I2" s="9" t="s">
        <v>1369</v>
      </c>
      <c r="J2" s="9" t="s">
        <v>1370</v>
      </c>
      <c r="K2" s="5" t="s">
        <v>1371</v>
      </c>
      <c r="L2" s="14" t="s">
        <v>1349</v>
      </c>
      <c r="M2" s="5" t="s">
        <v>1305</v>
      </c>
      <c r="N2" s="5" t="s">
        <v>1306</v>
      </c>
      <c r="O2" s="5" t="s">
        <v>1307</v>
      </c>
      <c r="P2" s="19" t="s">
        <v>1308</v>
      </c>
      <c r="Q2" s="16" t="s">
        <v>1309</v>
      </c>
      <c r="R2" s="241" t="s">
        <v>1310</v>
      </c>
      <c r="S2" s="54" t="s">
        <v>1311</v>
      </c>
      <c r="T2" s="122" t="s">
        <v>1372</v>
      </c>
      <c r="U2" s="242" t="s">
        <v>1312</v>
      </c>
      <c r="AA2" s="41"/>
      <c r="AB2" s="41"/>
      <c r="AC2" s="41"/>
    </row>
    <row r="3" spans="1:29">
      <c r="B3" s="1" t="str">
        <f>D3&amp;"_"&amp;F3&amp;"_"&amp;H3&amp;"_"&amp;I3</f>
        <v>M_CTR0101_VM_BKT_0_100</v>
      </c>
      <c r="C3" s="7" t="s">
        <v>472</v>
      </c>
      <c r="D3" s="7" t="str" cm="1">
        <f t="array" ref="D3">INDEX(기계코드!$D$4:$D$1022,MATCH(1,(C3=기계코드!$F$4:$F$1022)*1,0))</f>
        <v>M_CTR0101</v>
      </c>
      <c r="E3" s="7" t="s">
        <v>1128</v>
      </c>
      <c r="F3" s="7" t="str" cm="1">
        <f t="array" ref="F3">INDEX(공급업체코드!$B$3:$B$1000,MATCH(1,(E3=공급업체코드!$D$3:$D$1000)*1,0))</f>
        <v>VM_BKT</v>
      </c>
      <c r="G3" s="60" t="s">
        <v>1373</v>
      </c>
      <c r="H3" s="63">
        <v>0</v>
      </c>
      <c r="I3" s="69">
        <v>100</v>
      </c>
      <c r="J3" s="69"/>
      <c r="K3" s="69"/>
      <c r="L3" s="65"/>
      <c r="M3" s="153" t="s">
        <v>1374</v>
      </c>
      <c r="O3" s="66" t="s">
        <v>1375</v>
      </c>
      <c r="P3" s="64">
        <v>275000000</v>
      </c>
      <c r="Q3" s="64"/>
      <c r="R3" s="65" t="s">
        <v>1315</v>
      </c>
      <c r="S3" s="1" t="b">
        <v>1</v>
      </c>
      <c r="T3" s="69" t="s">
        <v>1376</v>
      </c>
      <c r="U3" s="133"/>
      <c r="AA3" s="41"/>
      <c r="AB3" s="41"/>
      <c r="AC3" s="41"/>
    </row>
    <row r="4" spans="1:29">
      <c r="A4" s="336"/>
      <c r="B4" s="1" t="str">
        <f>D4&amp;"_"&amp;F4&amp;"_"&amp;H4&amp;"_"&amp;I4</f>
        <v>M_CTR0102_VM_BKT_100_500</v>
      </c>
      <c r="C4" s="7" t="s">
        <v>475</v>
      </c>
      <c r="D4" s="7" t="str" cm="1">
        <f t="array" ref="D4">INDEX(기계코드!$D$4:$D$1022,MATCH(1,(C4=기계코드!$F$4:$F$1022)*1,0))</f>
        <v>M_CTR0102</v>
      </c>
      <c r="E4" s="7" t="s">
        <v>1128</v>
      </c>
      <c r="F4" s="7" t="str" cm="1">
        <f t="array" ref="F4">INDEX(공급업체코드!$B$3:$B$1000,MATCH(1,(E4=공급업체코드!$D$3:$D$1000)*1,0))</f>
        <v>VM_BKT</v>
      </c>
      <c r="G4" s="43" t="s">
        <v>1377</v>
      </c>
      <c r="H4" s="63">
        <v>100</v>
      </c>
      <c r="I4" s="63">
        <v>500</v>
      </c>
      <c r="J4" s="63"/>
      <c r="K4" s="63"/>
      <c r="L4" s="65"/>
      <c r="M4" s="155" t="s">
        <v>1374</v>
      </c>
      <c r="O4" s="67" t="s">
        <v>1375</v>
      </c>
      <c r="P4" s="64">
        <v>295000000</v>
      </c>
      <c r="Q4" s="64"/>
      <c r="R4" s="65" t="s">
        <v>1315</v>
      </c>
      <c r="S4" s="1" t="b">
        <v>1</v>
      </c>
      <c r="T4" s="63" t="s">
        <v>1376</v>
      </c>
      <c r="U4" s="133"/>
      <c r="AA4" s="41"/>
      <c r="AB4" s="41"/>
      <c r="AC4" s="41"/>
    </row>
    <row r="5" spans="1:29">
      <c r="A5" s="336"/>
      <c r="B5" s="1" t="str">
        <f t="shared" ref="B5:B11" si="0">D5&amp;"_"&amp;F5&amp;"_"&amp;H5&amp;"_"&amp;I5</f>
        <v>M_CTR0102_VM_BKT_200_1000</v>
      </c>
      <c r="C5" s="7" t="s">
        <v>475</v>
      </c>
      <c r="D5" s="7" t="str" cm="1">
        <f t="array" ref="D5">INDEX(기계코드!$D$4:$D$1022,MATCH(1,(C5=기계코드!$F$4:$F$1022)*1,0))</f>
        <v>M_CTR0102</v>
      </c>
      <c r="E5" s="7" t="s">
        <v>1128</v>
      </c>
      <c r="F5" s="7" t="str" cm="1">
        <f t="array" ref="F5">INDEX(공급업체코드!$B$3:$B$1000,MATCH(1,(E5=공급업체코드!$D$3:$D$1000)*1,0))</f>
        <v>VM_BKT</v>
      </c>
      <c r="G5" s="43" t="s">
        <v>1377</v>
      </c>
      <c r="H5" s="63">
        <v>200</v>
      </c>
      <c r="I5" s="63">
        <v>1000</v>
      </c>
      <c r="J5" s="63"/>
      <c r="K5" s="63"/>
      <c r="L5" s="65"/>
      <c r="M5" s="155" t="s">
        <v>1374</v>
      </c>
      <c r="O5" s="67" t="s">
        <v>1375</v>
      </c>
      <c r="P5" s="64">
        <v>275000000</v>
      </c>
      <c r="Q5" s="64"/>
      <c r="R5" s="65" t="s">
        <v>1315</v>
      </c>
      <c r="S5" s="1" t="b">
        <v>1</v>
      </c>
      <c r="T5" s="63" t="s">
        <v>1376</v>
      </c>
      <c r="U5" s="133"/>
      <c r="AA5" s="41"/>
      <c r="AB5" s="41"/>
      <c r="AC5" s="41"/>
    </row>
    <row r="6" spans="1:29">
      <c r="A6" s="336"/>
      <c r="B6" s="1" t="str">
        <f>D6&amp;"_"&amp;F6&amp;"_"&amp;H6&amp;"_"&amp;I6</f>
        <v>M_CTR0102_VM_BKT_1000_5000</v>
      </c>
      <c r="C6" s="7" t="s">
        <v>475</v>
      </c>
      <c r="D6" s="7" t="str" cm="1">
        <f t="array" ref="D6">INDEX(기계코드!$D$4:$D$1022,MATCH(1,(C6=기계코드!$F$4:$F$1022)*1,0))</f>
        <v>M_CTR0102</v>
      </c>
      <c r="E6" s="7" t="s">
        <v>1128</v>
      </c>
      <c r="F6" s="7" t="str" cm="1">
        <f t="array" ref="F6">INDEX(공급업체코드!$B$3:$B$1000,MATCH(1,(E6=공급업체코드!$D$3:$D$1000)*1,0))</f>
        <v>VM_BKT</v>
      </c>
      <c r="G6" s="43" t="s">
        <v>1377</v>
      </c>
      <c r="H6" s="63">
        <v>1000</v>
      </c>
      <c r="I6" s="63">
        <v>5000</v>
      </c>
      <c r="J6" s="63"/>
      <c r="K6" s="63"/>
      <c r="L6" s="65"/>
      <c r="M6" s="155" t="s">
        <v>1374</v>
      </c>
      <c r="O6" s="67" t="s">
        <v>1375</v>
      </c>
      <c r="P6" s="64">
        <v>300000000</v>
      </c>
      <c r="Q6" s="64"/>
      <c r="R6" s="65" t="s">
        <v>1315</v>
      </c>
      <c r="S6" s="1" t="b">
        <v>1</v>
      </c>
      <c r="T6" s="63" t="s">
        <v>1376</v>
      </c>
      <c r="U6" s="133"/>
      <c r="AA6" s="41"/>
      <c r="AB6" s="41"/>
      <c r="AC6" s="41"/>
    </row>
    <row r="7" spans="1:29">
      <c r="A7" s="336"/>
      <c r="B7" s="1" t="str">
        <f t="shared" si="0"/>
        <v>M_CTR0102_VM_BKT_500_5000</v>
      </c>
      <c r="C7" s="7" t="s">
        <v>475</v>
      </c>
      <c r="D7" s="7" t="str" cm="1">
        <f t="array" ref="D7">INDEX(기계코드!$D$4:$D$1022,MATCH(1,(C7=기계코드!$F$4:$F$1022)*1,0))</f>
        <v>M_CTR0102</v>
      </c>
      <c r="E7" s="7" t="s">
        <v>1128</v>
      </c>
      <c r="F7" s="7" t="str" cm="1">
        <f t="array" ref="F7">INDEX(공급업체코드!$B$3:$B$1000,MATCH(1,(E7=공급업체코드!$D$3:$D$1000)*1,0))</f>
        <v>VM_BKT</v>
      </c>
      <c r="G7" s="43" t="s">
        <v>1377</v>
      </c>
      <c r="H7" s="63">
        <v>500</v>
      </c>
      <c r="I7" s="63">
        <v>5000</v>
      </c>
      <c r="J7" s="63"/>
      <c r="K7" s="63"/>
      <c r="L7" s="65"/>
      <c r="M7" s="155" t="s">
        <v>1374</v>
      </c>
      <c r="O7" s="67" t="s">
        <v>1375</v>
      </c>
      <c r="P7" s="64">
        <v>485000000</v>
      </c>
      <c r="Q7" s="64"/>
      <c r="R7" s="65" t="s">
        <v>1315</v>
      </c>
      <c r="S7" s="1" t="b">
        <v>1</v>
      </c>
      <c r="T7" s="63" t="s">
        <v>1378</v>
      </c>
      <c r="U7" s="113"/>
      <c r="AA7" s="41"/>
      <c r="AB7" s="41"/>
      <c r="AC7" s="41"/>
    </row>
    <row r="8" spans="1:29">
      <c r="B8" s="1" t="str">
        <f t="shared" si="0"/>
        <v>M_CTR02_VM_BKT_500_5000</v>
      </c>
      <c r="C8" s="7" t="s">
        <v>484</v>
      </c>
      <c r="D8" s="7" t="str" cm="1">
        <f t="array" ref="D8">INDEX(기계코드!$D$4:$D$1022,MATCH(1,(C8=기계코드!$F$4:$F$1022)*1,0))</f>
        <v>M_CTR02</v>
      </c>
      <c r="E8" s="7" t="s">
        <v>1128</v>
      </c>
      <c r="F8" s="7" t="str" cm="1">
        <f t="array" ref="F8">INDEX(공급업체코드!$B$3:$B$1000,MATCH(1,(E8=공급업체코드!$D$3:$D$1000)*1,0))</f>
        <v>VM_BKT</v>
      </c>
      <c r="G8" s="43" t="s">
        <v>1379</v>
      </c>
      <c r="H8" s="63">
        <v>500</v>
      </c>
      <c r="I8" s="63">
        <v>5000</v>
      </c>
      <c r="J8" s="63"/>
      <c r="K8" s="63"/>
      <c r="L8" s="65"/>
      <c r="M8" s="155" t="s">
        <v>1374</v>
      </c>
      <c r="O8" s="67" t="s">
        <v>1375</v>
      </c>
      <c r="P8" s="64">
        <v>342000000</v>
      </c>
      <c r="Q8" s="64"/>
      <c r="R8" s="65" t="s">
        <v>1315</v>
      </c>
      <c r="S8" s="1" t="b">
        <v>1</v>
      </c>
      <c r="T8" s="63" t="s">
        <v>1378</v>
      </c>
      <c r="U8" s="113"/>
      <c r="AA8" s="41"/>
      <c r="AB8" s="41"/>
      <c r="AC8" s="41"/>
    </row>
    <row r="9" spans="1:29">
      <c r="B9" s="1" t="str">
        <f t="shared" si="0"/>
        <v>M_CTR02_VM_BKT_5000_20000</v>
      </c>
      <c r="C9" s="7" t="s">
        <v>484</v>
      </c>
      <c r="D9" s="7" t="str" cm="1">
        <f t="array" ref="D9">INDEX(기계코드!$D$4:$D$1022,MATCH(1,(C9=기계코드!$F$4:$F$1022)*1,0))</f>
        <v>M_CTR02</v>
      </c>
      <c r="E9" s="7" t="s">
        <v>1128</v>
      </c>
      <c r="F9" s="7" t="str" cm="1">
        <f t="array" ref="F9">INDEX(공급업체코드!$B$3:$B$1000,MATCH(1,(E9=공급업체코드!$D$3:$D$1000)*1,0))</f>
        <v>VM_BKT</v>
      </c>
      <c r="G9" s="43" t="s">
        <v>1379</v>
      </c>
      <c r="H9" s="63">
        <v>5000</v>
      </c>
      <c r="I9" s="63">
        <v>20000</v>
      </c>
      <c r="J9" s="63"/>
      <c r="K9" s="63"/>
      <c r="L9" s="65"/>
      <c r="M9" s="155" t="s">
        <v>1374</v>
      </c>
      <c r="O9" s="67" t="s">
        <v>1375</v>
      </c>
      <c r="P9" s="64">
        <v>390000000</v>
      </c>
      <c r="Q9" s="64"/>
      <c r="R9" s="65" t="s">
        <v>1315</v>
      </c>
      <c r="S9" s="1" t="b">
        <v>1</v>
      </c>
      <c r="T9" s="63" t="s">
        <v>1380</v>
      </c>
      <c r="U9" s="113"/>
      <c r="AA9" s="40"/>
      <c r="AB9" s="40"/>
      <c r="AC9" s="41"/>
    </row>
    <row r="10" spans="1:29">
      <c r="B10" s="1" t="str">
        <f t="shared" si="0"/>
        <v>M_CTR02_VM_BKT_20000_40000</v>
      </c>
      <c r="C10" s="7" t="s">
        <v>484</v>
      </c>
      <c r="D10" s="7" t="str" cm="1">
        <f t="array" ref="D10">INDEX(기계코드!$D$4:$D$1022,MATCH(1,(C10=기계코드!$F$4:$F$1022)*1,0))</f>
        <v>M_CTR02</v>
      </c>
      <c r="E10" s="7" t="s">
        <v>1128</v>
      </c>
      <c r="F10" s="7" t="str" cm="1">
        <f t="array" ref="F10">INDEX(공급업체코드!$B$3:$B$1000,MATCH(1,(E10=공급업체코드!$D$3:$D$1000)*1,0))</f>
        <v>VM_BKT</v>
      </c>
      <c r="G10" s="43" t="s">
        <v>1379</v>
      </c>
      <c r="H10" s="63">
        <v>20000</v>
      </c>
      <c r="I10" s="64">
        <v>40000</v>
      </c>
      <c r="J10" s="64"/>
      <c r="K10" s="64"/>
      <c r="L10" s="65"/>
      <c r="M10" s="155" t="s">
        <v>1374</v>
      </c>
      <c r="O10" s="67" t="s">
        <v>1375</v>
      </c>
      <c r="P10" s="64">
        <v>450000000</v>
      </c>
      <c r="Q10" s="64"/>
      <c r="R10" s="65" t="s">
        <v>1315</v>
      </c>
      <c r="S10" s="1" t="b">
        <v>1</v>
      </c>
      <c r="T10" s="64" t="s">
        <v>1381</v>
      </c>
      <c r="U10" s="113"/>
      <c r="AA10" s="40"/>
      <c r="AB10" s="40"/>
      <c r="AC10" s="41"/>
    </row>
    <row r="11" spans="1:29">
      <c r="A11" s="336"/>
      <c r="B11" s="1" t="str">
        <f>D11&amp;"_"&amp;F11&amp;"_"&amp;I11</f>
        <v>M_CTR0103_VM_BKT_99999</v>
      </c>
      <c r="C11" s="7" t="s">
        <v>478</v>
      </c>
      <c r="D11" s="7" t="str" cm="1">
        <f t="array" ref="D11">INDEX(기계코드!$D$4:$D$1022,MATCH(1,(C11=기계코드!$F$4:$F$1022)*1,0))</f>
        <v>M_CTR0103</v>
      </c>
      <c r="E11" s="7" t="s">
        <v>1128</v>
      </c>
      <c r="F11" s="7" t="str" cm="1">
        <f t="array" ref="F11">INDEX(공급업체코드!$B$3:$B$1000,MATCH(1,(E11=공급업체코드!$D$3:$D$1000)*1,0))</f>
        <v>VM_BKT</v>
      </c>
      <c r="G11" s="18" t="s">
        <v>478</v>
      </c>
      <c r="I11" s="64">
        <v>99999</v>
      </c>
      <c r="J11" s="64"/>
      <c r="K11" s="64"/>
      <c r="L11" s="65"/>
      <c r="M11" s="155" t="s">
        <v>1374</v>
      </c>
      <c r="O11" s="67" t="s">
        <v>1375</v>
      </c>
      <c r="P11" s="64">
        <v>333000000</v>
      </c>
      <c r="Q11" s="64"/>
      <c r="R11" s="65" t="s">
        <v>1315</v>
      </c>
      <c r="S11" s="1" t="b">
        <v>1</v>
      </c>
      <c r="T11" s="64"/>
      <c r="U11" s="113"/>
      <c r="AA11" s="41"/>
      <c r="AB11" s="41"/>
      <c r="AC11" s="41"/>
    </row>
    <row r="12" spans="1:29">
      <c r="B12" s="1"/>
      <c r="C12" s="7"/>
      <c r="D12" s="7"/>
      <c r="E12" s="7"/>
      <c r="F12" s="7"/>
      <c r="I12" s="64"/>
      <c r="J12" s="64"/>
      <c r="K12" s="64"/>
      <c r="L12" s="65"/>
      <c r="M12" s="155"/>
      <c r="O12" s="67"/>
      <c r="P12" s="64"/>
      <c r="Q12" s="64"/>
      <c r="R12" s="65"/>
      <c r="S12" s="1"/>
      <c r="U12" s="113"/>
      <c r="AA12" s="40"/>
      <c r="AB12" s="40"/>
      <c r="AC12" s="41"/>
    </row>
    <row r="13" spans="1:29">
      <c r="A13" s="203"/>
      <c r="B13" s="1" t="str">
        <f>D13&amp;"_"&amp;F13&amp;"_"&amp;J13</f>
        <v>M_CTR0104_VM_BKT_1</v>
      </c>
      <c r="C13" s="7" t="s">
        <v>481</v>
      </c>
      <c r="D13" s="7" t="str" cm="1">
        <f t="array" ref="D13">INDEX(기계코드!$D$4:$D$1022,MATCH(1,(C13=기계코드!$F$4:$F$1022)*1,0))</f>
        <v>M_CTR0104</v>
      </c>
      <c r="E13" s="7" t="s">
        <v>1128</v>
      </c>
      <c r="F13" s="7" t="str" cm="1">
        <f t="array" ref="F13">INDEX(공급업체코드!$B$3:$B$1000,MATCH(1,(E13=공급업체코드!$D$3:$D$1000)*1,0))</f>
        <v>VM_BKT</v>
      </c>
      <c r="G13" s="18" t="s">
        <v>481</v>
      </c>
      <c r="I13" s="64"/>
      <c r="J13" s="64">
        <v>1</v>
      </c>
      <c r="K13" s="64"/>
      <c r="L13" s="65"/>
      <c r="M13" s="155" t="s">
        <v>1382</v>
      </c>
      <c r="O13" s="67" t="s">
        <v>1314</v>
      </c>
      <c r="P13" s="64">
        <v>293743000</v>
      </c>
      <c r="Q13" s="64"/>
      <c r="R13" s="65" t="s">
        <v>1315</v>
      </c>
      <c r="S13" s="1" t="b">
        <v>1</v>
      </c>
      <c r="T13" t="s">
        <v>1383</v>
      </c>
      <c r="U13" s="113"/>
      <c r="AA13" s="40"/>
      <c r="AB13" s="40"/>
      <c r="AC13" s="40"/>
    </row>
    <row r="14" spans="1:29">
      <c r="A14" s="203"/>
      <c r="B14" s="1" t="str">
        <f>D14&amp;"_"&amp;F14&amp;"_"&amp;J14</f>
        <v>M_CTR0104_VM_BKT_2</v>
      </c>
      <c r="C14" s="7" t="s">
        <v>481</v>
      </c>
      <c r="D14" s="7" t="str" cm="1">
        <f t="array" ref="D14">INDEX(기계코드!$D$4:$D$1022,MATCH(1,(C14=기계코드!$F$4:$F$1022)*1,0))</f>
        <v>M_CTR0104</v>
      </c>
      <c r="E14" s="7" t="s">
        <v>1128</v>
      </c>
      <c r="F14" s="7" t="str" cm="1">
        <f t="array" ref="F14">INDEX(공급업체코드!$B$3:$B$1000,MATCH(1,(E14=공급업체코드!$D$3:$D$1000)*1,0))</f>
        <v>VM_BKT</v>
      </c>
      <c r="G14" s="18" t="s">
        <v>481</v>
      </c>
      <c r="I14" s="64"/>
      <c r="J14" s="64">
        <v>2</v>
      </c>
      <c r="K14" s="64"/>
      <c r="L14" s="65"/>
      <c r="M14" s="155" t="s">
        <v>1382</v>
      </c>
      <c r="O14" s="67" t="s">
        <v>1314</v>
      </c>
      <c r="P14" s="282">
        <f>$P$13*J14</f>
        <v>587486000</v>
      </c>
      <c r="Q14" s="64"/>
      <c r="R14" s="65" t="s">
        <v>1315</v>
      </c>
      <c r="S14" s="1" t="b">
        <v>1</v>
      </c>
      <c r="T14" t="str">
        <f>J14&amp;"지 기준"</f>
        <v>2지 기준</v>
      </c>
      <c r="U14" s="113"/>
      <c r="AA14" s="40"/>
      <c r="AB14" s="40"/>
      <c r="AC14" s="41"/>
    </row>
    <row r="15" spans="1:29">
      <c r="A15" s="203"/>
      <c r="B15" s="1" t="str">
        <f t="shared" ref="B15:B19" si="1">D15&amp;"_"&amp;F15&amp;"_"&amp;J15</f>
        <v>M_CTR0104_VM_BKT_3</v>
      </c>
      <c r="C15" s="7" t="s">
        <v>481</v>
      </c>
      <c r="D15" s="7" t="str" cm="1">
        <f t="array" ref="D15">INDEX(기계코드!$D$4:$D$1022,MATCH(1,(C15=기계코드!$F$4:$F$1022)*1,0))</f>
        <v>M_CTR0104</v>
      </c>
      <c r="E15" s="7" t="s">
        <v>1128</v>
      </c>
      <c r="F15" s="7" t="str" cm="1">
        <f t="array" ref="F15">INDEX(공급업체코드!$B$3:$B$1000,MATCH(1,(E15=공급업체코드!$D$3:$D$1000)*1,0))</f>
        <v>VM_BKT</v>
      </c>
      <c r="G15" s="18" t="s">
        <v>481</v>
      </c>
      <c r="I15" s="64"/>
      <c r="J15" s="64">
        <v>3</v>
      </c>
      <c r="K15" s="64"/>
      <c r="L15" s="65"/>
      <c r="M15" s="155" t="s">
        <v>1382</v>
      </c>
      <c r="O15" s="67" t="s">
        <v>1314</v>
      </c>
      <c r="P15" s="282">
        <f t="shared" ref="P15:P19" si="2">$P$13*J15</f>
        <v>881229000</v>
      </c>
      <c r="Q15" s="64"/>
      <c r="R15" s="65" t="s">
        <v>1315</v>
      </c>
      <c r="S15" s="1" t="b">
        <v>1</v>
      </c>
      <c r="T15" t="str">
        <f t="shared" ref="T15:T19" si="3">J15&amp;"지 기준"</f>
        <v>3지 기준</v>
      </c>
      <c r="U15" s="113"/>
      <c r="AA15" s="41"/>
      <c r="AB15" s="41"/>
      <c r="AC15" s="41"/>
    </row>
    <row r="16" spans="1:29">
      <c r="A16" s="203"/>
      <c r="B16" s="1" t="str">
        <f t="shared" si="1"/>
        <v>M_CTR0104_VM_BKT_4</v>
      </c>
      <c r="C16" s="7" t="s">
        <v>481</v>
      </c>
      <c r="D16" s="7" t="str" cm="1">
        <f t="array" ref="D16">INDEX(기계코드!$D$4:$D$1022,MATCH(1,(C16=기계코드!$F$4:$F$1022)*1,0))</f>
        <v>M_CTR0104</v>
      </c>
      <c r="E16" s="7" t="s">
        <v>1128</v>
      </c>
      <c r="F16" s="7" t="str" cm="1">
        <f t="array" ref="F16">INDEX(공급업체코드!$B$3:$B$1000,MATCH(1,(E16=공급업체코드!$D$3:$D$1000)*1,0))</f>
        <v>VM_BKT</v>
      </c>
      <c r="G16" s="18" t="s">
        <v>481</v>
      </c>
      <c r="I16" s="64"/>
      <c r="J16" s="64">
        <v>4</v>
      </c>
      <c r="K16" s="64"/>
      <c r="L16" s="65"/>
      <c r="M16" s="155" t="s">
        <v>1382</v>
      </c>
      <c r="O16" s="67" t="s">
        <v>1314</v>
      </c>
      <c r="P16" s="282">
        <f t="shared" si="2"/>
        <v>1174972000</v>
      </c>
      <c r="Q16" s="64"/>
      <c r="R16" s="65" t="s">
        <v>1315</v>
      </c>
      <c r="S16" s="1" t="b">
        <v>1</v>
      </c>
      <c r="T16" t="str">
        <f t="shared" si="3"/>
        <v>4지 기준</v>
      </c>
      <c r="U16" s="113"/>
      <c r="AA16" s="41"/>
      <c r="AB16" s="41"/>
      <c r="AC16" s="41"/>
    </row>
    <row r="17" spans="1:29">
      <c r="A17" s="203"/>
      <c r="B17" s="1" t="str">
        <f t="shared" si="1"/>
        <v>M_CTR0104_VM_BKT_5</v>
      </c>
      <c r="C17" s="7" t="s">
        <v>481</v>
      </c>
      <c r="D17" s="7" t="str" cm="1">
        <f t="array" ref="D17">INDEX(기계코드!$D$4:$D$1022,MATCH(1,(C17=기계코드!$F$4:$F$1022)*1,0))</f>
        <v>M_CTR0104</v>
      </c>
      <c r="E17" s="7" t="s">
        <v>1128</v>
      </c>
      <c r="F17" s="7" t="str" cm="1">
        <f t="array" ref="F17">INDEX(공급업체코드!$B$3:$B$1000,MATCH(1,(E17=공급업체코드!$D$3:$D$1000)*1,0))</f>
        <v>VM_BKT</v>
      </c>
      <c r="G17" s="18" t="s">
        <v>481</v>
      </c>
      <c r="I17" s="64"/>
      <c r="J17" s="64">
        <v>5</v>
      </c>
      <c r="K17" s="64"/>
      <c r="L17" s="65"/>
      <c r="M17" s="155" t="s">
        <v>1382</v>
      </c>
      <c r="O17" s="67" t="s">
        <v>1314</v>
      </c>
      <c r="P17" s="282">
        <f t="shared" si="2"/>
        <v>1468715000</v>
      </c>
      <c r="Q17" s="64"/>
      <c r="R17" s="65" t="s">
        <v>1315</v>
      </c>
      <c r="S17" s="1" t="b">
        <v>1</v>
      </c>
      <c r="T17" t="str">
        <f t="shared" si="3"/>
        <v>5지 기준</v>
      </c>
      <c r="U17" s="113"/>
      <c r="AA17" s="41"/>
      <c r="AB17" s="41"/>
      <c r="AC17" s="41"/>
    </row>
    <row r="18" spans="1:29">
      <c r="A18" s="203"/>
      <c r="B18" s="1" t="str">
        <f t="shared" si="1"/>
        <v>M_CTR0104_VM_BKT_6</v>
      </c>
      <c r="C18" s="7" t="s">
        <v>481</v>
      </c>
      <c r="D18" s="7" t="str" cm="1">
        <f t="array" ref="D18">INDEX(기계코드!$D$4:$D$1022,MATCH(1,(C18=기계코드!$F$4:$F$1022)*1,0))</f>
        <v>M_CTR0104</v>
      </c>
      <c r="E18" s="7" t="s">
        <v>1128</v>
      </c>
      <c r="F18" s="7" t="str" cm="1">
        <f t="array" ref="F18">INDEX(공급업체코드!$B$3:$B$1000,MATCH(1,(E18=공급업체코드!$D$3:$D$1000)*1,0))</f>
        <v>VM_BKT</v>
      </c>
      <c r="G18" s="18" t="s">
        <v>481</v>
      </c>
      <c r="I18" s="64"/>
      <c r="J18" s="64">
        <v>6</v>
      </c>
      <c r="K18" s="64"/>
      <c r="L18" s="65"/>
      <c r="M18" s="155" t="s">
        <v>1382</v>
      </c>
      <c r="O18" s="67" t="s">
        <v>1314</v>
      </c>
      <c r="P18" s="282">
        <f t="shared" si="2"/>
        <v>1762458000</v>
      </c>
      <c r="Q18" s="64"/>
      <c r="R18" s="65" t="s">
        <v>1315</v>
      </c>
      <c r="S18" s="1" t="b">
        <v>1</v>
      </c>
      <c r="T18" t="str">
        <f t="shared" si="3"/>
        <v>6지 기준</v>
      </c>
      <c r="U18" s="113"/>
      <c r="AA18" s="40"/>
      <c r="AB18" s="40"/>
      <c r="AC18" s="41"/>
    </row>
    <row r="19" spans="1:29">
      <c r="A19" s="203"/>
      <c r="B19" s="1" t="str">
        <f t="shared" si="1"/>
        <v>M_CTR0104_VM_BKT_7</v>
      </c>
      <c r="C19" s="7" t="s">
        <v>481</v>
      </c>
      <c r="D19" s="7" t="str" cm="1">
        <f t="array" ref="D19">INDEX(기계코드!$D$4:$D$1022,MATCH(1,(C19=기계코드!$F$4:$F$1022)*1,0))</f>
        <v>M_CTR0104</v>
      </c>
      <c r="E19" s="7" t="s">
        <v>1128</v>
      </c>
      <c r="F19" s="7" t="str" cm="1">
        <f t="array" ref="F19">INDEX(공급업체코드!$B$3:$B$1000,MATCH(1,(E19=공급업체코드!$D$3:$D$1000)*1,0))</f>
        <v>VM_BKT</v>
      </c>
      <c r="G19" s="18" t="s">
        <v>481</v>
      </c>
      <c r="I19" s="64"/>
      <c r="J19" s="64">
        <v>7</v>
      </c>
      <c r="K19" s="64"/>
      <c r="L19" s="65"/>
      <c r="M19" s="155" t="s">
        <v>1382</v>
      </c>
      <c r="O19" s="67" t="s">
        <v>1314</v>
      </c>
      <c r="P19" s="282">
        <f t="shared" si="2"/>
        <v>2056201000</v>
      </c>
      <c r="Q19" s="64"/>
      <c r="R19" s="65" t="s">
        <v>1315</v>
      </c>
      <c r="S19" s="1" t="b">
        <v>1</v>
      </c>
      <c r="T19" t="str">
        <f t="shared" si="3"/>
        <v>7지 기준</v>
      </c>
      <c r="U19" s="113"/>
      <c r="AA19" s="41"/>
      <c r="AB19" s="41"/>
      <c r="AC19" s="41"/>
    </row>
    <row r="20" spans="1:29">
      <c r="A20" s="203"/>
      <c r="B20" s="1" t="str">
        <f t="shared" ref="B20" si="4">D20&amp;"_"&amp;F20&amp;"_"&amp;J20</f>
        <v>M_CTR0104_VM_BKT_8</v>
      </c>
      <c r="C20" s="7" t="s">
        <v>481</v>
      </c>
      <c r="D20" s="7" t="str" cm="1">
        <f t="array" ref="D20">INDEX(기계코드!$D$4:$D$1022,MATCH(1,(C20=기계코드!$F$4:$F$1022)*1,0))</f>
        <v>M_CTR0104</v>
      </c>
      <c r="E20" s="7" t="s">
        <v>1128</v>
      </c>
      <c r="F20" s="7" t="str" cm="1">
        <f t="array" ref="F20">INDEX(공급업체코드!$B$3:$B$1000,MATCH(1,(E20=공급업체코드!$D$3:$D$1000)*1,0))</f>
        <v>VM_BKT</v>
      </c>
      <c r="G20" s="18" t="s">
        <v>481</v>
      </c>
      <c r="I20" s="64"/>
      <c r="J20" s="64">
        <v>8</v>
      </c>
      <c r="K20" s="64"/>
      <c r="L20" s="65"/>
      <c r="M20" s="155" t="s">
        <v>1382</v>
      </c>
      <c r="O20" s="67" t="s">
        <v>1314</v>
      </c>
      <c r="P20" s="282">
        <f t="shared" ref="P20" si="5">$P$13*J20</f>
        <v>2349944000</v>
      </c>
      <c r="Q20" s="64"/>
      <c r="R20" s="65" t="s">
        <v>1315</v>
      </c>
      <c r="S20" s="1" t="b">
        <v>1</v>
      </c>
      <c r="T20" t="str">
        <f t="shared" ref="T20" si="6">J20&amp;"지 기준"</f>
        <v>8지 기준</v>
      </c>
      <c r="U20" s="113"/>
      <c r="AA20" s="41"/>
      <c r="AB20" s="41"/>
      <c r="AC20" s="41"/>
    </row>
    <row r="21" spans="1:29">
      <c r="B21" s="1"/>
      <c r="C21" s="7"/>
      <c r="D21" s="7"/>
      <c r="E21" s="7"/>
      <c r="F21" s="7"/>
      <c r="I21" s="64"/>
      <c r="J21" s="64"/>
      <c r="K21" s="64"/>
      <c r="L21" s="65"/>
      <c r="M21" s="155"/>
      <c r="O21" s="67"/>
      <c r="P21" s="64"/>
      <c r="Q21" s="64"/>
      <c r="R21" s="65"/>
      <c r="S21" s="1"/>
      <c r="U21" s="113"/>
      <c r="AA21" s="41"/>
      <c r="AB21" s="41"/>
      <c r="AC21" s="41"/>
    </row>
    <row r="22" spans="1:29">
      <c r="B22" s="1"/>
      <c r="C22" s="7"/>
      <c r="D22" s="7"/>
      <c r="E22" s="7"/>
      <c r="F22" s="7"/>
      <c r="I22" s="64"/>
      <c r="J22" s="64"/>
      <c r="K22" s="64"/>
      <c r="L22" s="65"/>
      <c r="M22" s="155"/>
      <c r="O22" s="67"/>
      <c r="P22" s="64"/>
      <c r="Q22" s="64"/>
      <c r="R22" s="65"/>
      <c r="S22" s="1"/>
      <c r="U22" s="113"/>
      <c r="AA22" s="40"/>
      <c r="AB22" s="40"/>
      <c r="AC22" s="41"/>
    </row>
    <row r="23" spans="1:29">
      <c r="B23" s="1"/>
      <c r="C23" s="7"/>
      <c r="D23" s="7"/>
      <c r="E23" s="7"/>
      <c r="F23" s="7"/>
      <c r="I23" s="64"/>
      <c r="J23" s="64"/>
      <c r="K23" s="64"/>
      <c r="L23" s="65"/>
      <c r="M23" s="155"/>
      <c r="O23" s="67"/>
      <c r="P23" s="64"/>
      <c r="Q23" s="64"/>
      <c r="R23" s="65"/>
      <c r="S23" s="1"/>
      <c r="U23" s="113"/>
      <c r="AA23" s="41"/>
      <c r="AB23" s="41"/>
      <c r="AC23" s="41"/>
    </row>
    <row r="24" spans="1:29">
      <c r="B24" s="1"/>
      <c r="C24" s="7"/>
      <c r="D24" s="7"/>
      <c r="E24" s="7"/>
      <c r="F24" s="7"/>
      <c r="I24" s="64"/>
      <c r="J24" s="64"/>
      <c r="K24" s="64"/>
      <c r="L24" s="65"/>
      <c r="M24" s="155"/>
      <c r="O24" s="67"/>
      <c r="P24" s="64"/>
      <c r="Q24" s="64"/>
      <c r="R24" s="65"/>
      <c r="S24" s="1"/>
      <c r="U24" s="113"/>
      <c r="AA24" s="41"/>
      <c r="AB24" s="41"/>
      <c r="AC24" s="41"/>
    </row>
    <row r="25" spans="1:29">
      <c r="B25" s="1"/>
      <c r="C25" s="7"/>
      <c r="D25" s="7"/>
      <c r="E25" s="7"/>
      <c r="F25" s="7"/>
      <c r="I25" s="64"/>
      <c r="J25" s="64"/>
      <c r="K25" s="64"/>
      <c r="L25" s="65"/>
      <c r="M25" s="155"/>
      <c r="O25" s="67"/>
      <c r="P25" s="64"/>
      <c r="Q25" s="64"/>
      <c r="R25" s="65"/>
      <c r="S25" s="1"/>
      <c r="U25" s="113"/>
      <c r="AA25" s="41"/>
      <c r="AB25" s="41"/>
      <c r="AC25" s="41"/>
    </row>
    <row r="26" spans="1:29">
      <c r="B26" s="1"/>
      <c r="C26" s="7"/>
      <c r="D26" s="7"/>
      <c r="E26" s="7"/>
      <c r="F26" s="7"/>
      <c r="M26" s="155"/>
      <c r="O26" s="67"/>
      <c r="P26" s="64"/>
      <c r="Q26" s="64"/>
      <c r="S26" s="1"/>
      <c r="U26" s="113"/>
      <c r="AA26" s="40"/>
      <c r="AB26" s="40"/>
      <c r="AC26" s="41"/>
    </row>
    <row r="27" spans="1:29">
      <c r="B27" s="1"/>
      <c r="C27" s="7"/>
      <c r="D27" s="7"/>
      <c r="E27" s="7"/>
      <c r="F27" s="7"/>
      <c r="M27" s="155"/>
      <c r="O27" s="67"/>
      <c r="P27" s="64"/>
      <c r="Q27" s="64"/>
      <c r="S27" s="1"/>
      <c r="U27" s="113"/>
      <c r="AA27" s="41"/>
      <c r="AB27" s="41"/>
      <c r="AC27" s="41"/>
    </row>
    <row r="28" spans="1:29">
      <c r="B28" s="1"/>
      <c r="C28" s="7"/>
      <c r="D28" s="7"/>
      <c r="E28" s="7"/>
      <c r="F28" s="7"/>
      <c r="M28" s="155"/>
      <c r="O28" s="67"/>
      <c r="P28" s="64"/>
      <c r="Q28" s="64"/>
      <c r="S28" s="1"/>
      <c r="U28" s="113"/>
      <c r="AA28" s="41"/>
      <c r="AB28" s="41"/>
      <c r="AC28" s="41"/>
    </row>
    <row r="29" spans="1:29">
      <c r="B29" s="1"/>
      <c r="C29" s="7"/>
      <c r="D29" s="7"/>
      <c r="E29" s="7"/>
      <c r="F29" s="7"/>
      <c r="M29" s="155"/>
      <c r="O29" s="67"/>
      <c r="P29" s="64"/>
      <c r="Q29" s="64"/>
      <c r="S29" s="1"/>
      <c r="U29" s="113"/>
      <c r="AA29" s="40"/>
      <c r="AB29" s="40"/>
      <c r="AC29" s="41"/>
    </row>
    <row r="30" spans="1:29">
      <c r="B30" s="1"/>
      <c r="C30" s="7"/>
      <c r="D30" s="7"/>
      <c r="E30" s="7"/>
      <c r="F30" s="7"/>
      <c r="M30" s="155"/>
      <c r="O30" s="67"/>
      <c r="P30" s="64"/>
      <c r="Q30" s="64"/>
      <c r="S30" s="1"/>
      <c r="U30" s="113"/>
      <c r="AA30" s="41"/>
      <c r="AB30" s="41"/>
      <c r="AC30" s="41"/>
    </row>
    <row r="31" spans="1:29">
      <c r="B31" s="1"/>
      <c r="C31" s="7"/>
      <c r="D31" s="7"/>
      <c r="E31" s="7"/>
      <c r="F31" s="7"/>
      <c r="M31" s="155"/>
      <c r="O31" s="67"/>
      <c r="P31" s="64"/>
      <c r="Q31" s="64"/>
      <c r="S31" s="1"/>
      <c r="U31" s="113"/>
      <c r="AA31" s="40"/>
      <c r="AB31" s="40"/>
      <c r="AC31" s="40"/>
    </row>
    <row r="32" spans="1:29">
      <c r="B32" s="1"/>
      <c r="C32" s="7"/>
      <c r="D32" s="7"/>
      <c r="E32" s="7"/>
      <c r="F32" s="7"/>
      <c r="M32" s="155"/>
      <c r="O32" s="67"/>
      <c r="P32" s="58"/>
      <c r="Q32" s="58"/>
      <c r="S32" s="1"/>
      <c r="U32" s="113"/>
      <c r="AA32" s="41"/>
      <c r="AB32" s="41"/>
      <c r="AC32" s="41"/>
    </row>
    <row r="33" spans="2:29">
      <c r="B33" s="1"/>
      <c r="C33" s="7"/>
      <c r="D33" s="7"/>
      <c r="E33" s="7"/>
      <c r="F33" s="7"/>
      <c r="M33" s="155"/>
      <c r="O33" s="67"/>
      <c r="P33" s="58"/>
      <c r="Q33" s="58"/>
      <c r="S33" s="1"/>
      <c r="U33" s="113"/>
      <c r="AA33" s="41"/>
      <c r="AB33" s="41"/>
      <c r="AC33" s="41"/>
    </row>
    <row r="34" spans="2:29">
      <c r="B34" s="1"/>
      <c r="C34" s="7"/>
      <c r="D34" s="7"/>
      <c r="E34" s="7"/>
      <c r="F34" s="7"/>
      <c r="M34" s="155"/>
      <c r="O34" s="67"/>
      <c r="P34" s="58"/>
      <c r="Q34" s="58"/>
      <c r="S34" s="1"/>
      <c r="U34" s="113"/>
      <c r="AA34" s="41"/>
      <c r="AB34" s="41"/>
      <c r="AC34" s="41"/>
    </row>
    <row r="35" spans="2:29">
      <c r="B35" s="1"/>
      <c r="C35" s="7"/>
      <c r="D35" s="7"/>
      <c r="E35" s="7"/>
      <c r="F35" s="7"/>
      <c r="M35" s="155"/>
      <c r="O35" s="67"/>
      <c r="P35" s="58"/>
      <c r="Q35" s="58"/>
      <c r="S35" s="1"/>
      <c r="U35" s="113"/>
      <c r="AA35" s="41"/>
      <c r="AB35" s="41"/>
      <c r="AC35" s="41"/>
    </row>
    <row r="36" spans="2:29">
      <c r="B36" s="1"/>
      <c r="C36" s="7"/>
      <c r="D36" s="7"/>
      <c r="E36" s="7"/>
      <c r="F36" s="7"/>
      <c r="M36" s="155"/>
      <c r="O36" s="67"/>
      <c r="P36" s="58"/>
      <c r="Q36" s="58"/>
      <c r="S36" s="1"/>
      <c r="U36" s="113"/>
    </row>
    <row r="37" spans="2:29">
      <c r="B37" s="1"/>
      <c r="C37" s="7"/>
      <c r="D37" s="7"/>
      <c r="E37" s="7"/>
      <c r="F37" s="7"/>
      <c r="M37" s="155"/>
      <c r="O37" s="67"/>
      <c r="P37" s="58"/>
      <c r="Q37" s="58"/>
      <c r="S37" s="1"/>
      <c r="U37" s="113"/>
    </row>
    <row r="38" spans="2:29">
      <c r="B38" s="1"/>
      <c r="C38" s="7"/>
      <c r="D38" s="7"/>
      <c r="E38" s="7"/>
      <c r="F38" s="7"/>
      <c r="M38" s="155"/>
      <c r="O38" s="67"/>
      <c r="P38" s="58"/>
      <c r="Q38" s="58"/>
      <c r="S38" s="1"/>
      <c r="U38" s="113"/>
    </row>
    <row r="39" spans="2:29">
      <c r="B39" s="1"/>
      <c r="C39" s="7"/>
      <c r="D39" s="7"/>
      <c r="E39" s="7"/>
      <c r="F39" s="7"/>
      <c r="M39" s="155"/>
      <c r="O39" s="67"/>
      <c r="P39" s="58"/>
      <c r="Q39" s="58"/>
      <c r="S39" s="1"/>
      <c r="U39" s="113"/>
    </row>
    <row r="40" spans="2:29">
      <c r="B40" s="1"/>
      <c r="C40" s="7"/>
      <c r="D40" s="7"/>
      <c r="E40" s="7"/>
      <c r="F40" s="7"/>
      <c r="M40" s="155"/>
      <c r="O40" s="67"/>
      <c r="P40" s="58"/>
      <c r="Q40" s="58"/>
      <c r="S40" s="1"/>
      <c r="U40" s="113"/>
    </row>
    <row r="41" spans="2:29">
      <c r="B41" s="1"/>
      <c r="C41" s="7"/>
      <c r="D41" s="7"/>
      <c r="E41" s="7"/>
      <c r="F41" s="7"/>
      <c r="M41" s="155"/>
      <c r="O41" s="67"/>
      <c r="P41" s="58"/>
      <c r="Q41" s="58"/>
      <c r="S41" s="1"/>
      <c r="U41" s="113"/>
    </row>
    <row r="42" spans="2:29">
      <c r="B42" s="1"/>
      <c r="C42" s="7"/>
      <c r="D42" s="7"/>
      <c r="E42" s="7"/>
      <c r="F42" s="7"/>
      <c r="M42" s="155"/>
      <c r="O42" s="67"/>
      <c r="P42" s="58"/>
      <c r="Q42" s="58"/>
      <c r="S42" s="1"/>
      <c r="U42" s="113"/>
    </row>
    <row r="43" spans="2:29">
      <c r="B43" s="1"/>
      <c r="C43" s="7"/>
      <c r="D43" s="7"/>
      <c r="E43" s="7"/>
      <c r="F43" s="7"/>
      <c r="M43" s="155"/>
      <c r="O43" s="67"/>
      <c r="P43" s="58"/>
      <c r="Q43" s="58"/>
      <c r="S43" s="1"/>
      <c r="U43" s="113"/>
    </row>
    <row r="44" spans="2:29">
      <c r="B44" s="1"/>
      <c r="C44" s="7"/>
      <c r="D44" s="7"/>
      <c r="E44" s="7"/>
      <c r="F44" s="7"/>
      <c r="M44" s="155"/>
      <c r="O44" s="67"/>
      <c r="P44" s="58"/>
      <c r="Q44" s="58"/>
      <c r="S44" s="1"/>
      <c r="U44" s="113"/>
    </row>
    <row r="45" spans="2:29">
      <c r="B45" s="1"/>
      <c r="C45" s="7"/>
      <c r="D45" s="7"/>
      <c r="E45" s="7"/>
      <c r="F45" s="7"/>
      <c r="M45" s="155"/>
      <c r="O45" s="67"/>
      <c r="P45" s="58"/>
      <c r="Q45" s="58"/>
      <c r="S45" s="1"/>
      <c r="U45" s="113"/>
    </row>
    <row r="46" spans="2:29">
      <c r="B46" s="1"/>
      <c r="C46" s="7"/>
      <c r="D46" s="7"/>
      <c r="E46" s="7"/>
      <c r="F46" s="7"/>
      <c r="M46" s="155"/>
      <c r="O46" s="67"/>
      <c r="P46" s="58"/>
      <c r="Q46" s="58"/>
      <c r="S46" s="1"/>
      <c r="U46" s="113"/>
    </row>
    <row r="47" spans="2:29">
      <c r="B47" s="1"/>
      <c r="C47" s="7"/>
      <c r="D47" s="7"/>
      <c r="E47" s="7"/>
      <c r="F47" s="7"/>
      <c r="M47" s="155"/>
      <c r="O47" s="67"/>
      <c r="P47" s="58"/>
      <c r="Q47" s="58"/>
      <c r="S47" s="1"/>
      <c r="U47" s="113"/>
    </row>
    <row r="48" spans="2:29">
      <c r="B48" s="1"/>
      <c r="C48" s="7"/>
      <c r="D48" s="7"/>
      <c r="E48" s="7"/>
      <c r="F48" s="7"/>
      <c r="M48" s="155"/>
      <c r="O48" s="67"/>
      <c r="P48" s="58"/>
      <c r="Q48" s="58"/>
      <c r="S48" s="1"/>
      <c r="U48" s="113"/>
    </row>
    <row r="49" spans="2:19">
      <c r="B49" s="1"/>
      <c r="C49" s="7"/>
      <c r="D49" s="7"/>
      <c r="E49" s="7"/>
      <c r="F49" s="7"/>
      <c r="M49" s="155"/>
      <c r="O49" s="67"/>
      <c r="P49" s="58"/>
      <c r="Q49" s="58"/>
      <c r="S49" s="1"/>
    </row>
    <row r="50" spans="2:19">
      <c r="B50" s="1"/>
      <c r="C50" s="7"/>
      <c r="D50" s="7"/>
      <c r="E50" s="7"/>
      <c r="F50" s="7"/>
      <c r="M50" s="155"/>
      <c r="O50" s="67"/>
      <c r="P50" s="58"/>
      <c r="Q50" s="58"/>
      <c r="S50" s="1"/>
    </row>
    <row r="51" spans="2:19">
      <c r="B51" s="1"/>
      <c r="C51" s="7"/>
      <c r="D51" s="7"/>
      <c r="E51" s="7"/>
      <c r="F51" s="7"/>
      <c r="M51" s="155"/>
      <c r="O51" s="67"/>
      <c r="P51" s="58"/>
      <c r="Q51" s="58"/>
      <c r="S51" s="1"/>
    </row>
    <row r="52" spans="2:19">
      <c r="B52" s="1"/>
      <c r="C52" s="7"/>
      <c r="D52" s="7"/>
      <c r="E52" s="7"/>
      <c r="F52" s="7"/>
      <c r="M52" s="155"/>
      <c r="O52" s="67"/>
      <c r="P52" s="58"/>
      <c r="Q52" s="58"/>
      <c r="S52" s="1"/>
    </row>
    <row r="53" spans="2:19">
      <c r="B53" s="1"/>
      <c r="C53" s="7"/>
      <c r="D53" s="7"/>
      <c r="E53" s="7"/>
      <c r="F53" s="7"/>
      <c r="M53" s="155"/>
      <c r="O53" s="67"/>
      <c r="P53" s="58"/>
      <c r="Q53" s="58"/>
      <c r="S53" s="1"/>
    </row>
    <row r="54" spans="2:19">
      <c r="B54" s="1"/>
      <c r="C54" s="7"/>
      <c r="D54" s="7"/>
      <c r="E54" s="7"/>
      <c r="F54" s="7"/>
      <c r="M54" s="155"/>
      <c r="O54" s="67"/>
      <c r="P54" s="58"/>
      <c r="Q54" s="58"/>
      <c r="S54" s="1"/>
    </row>
    <row r="55" spans="2:19">
      <c r="B55" s="1"/>
      <c r="C55" s="7"/>
      <c r="D55" s="7"/>
      <c r="E55" s="7"/>
      <c r="F55" s="7"/>
      <c r="M55" s="155"/>
      <c r="O55" s="67"/>
      <c r="P55" s="58"/>
      <c r="Q55" s="58"/>
      <c r="S55" s="1"/>
    </row>
    <row r="56" spans="2:19">
      <c r="B56" s="1"/>
      <c r="C56" s="7"/>
      <c r="D56" s="7"/>
      <c r="E56" s="7"/>
      <c r="F56" s="7"/>
      <c r="M56" s="155"/>
      <c r="O56" s="67"/>
      <c r="P56" s="58"/>
      <c r="Q56" s="58"/>
      <c r="S56" s="1"/>
    </row>
    <row r="57" spans="2:19">
      <c r="B57" s="1"/>
      <c r="C57" s="7"/>
      <c r="D57" s="7"/>
      <c r="E57" s="7"/>
      <c r="F57" s="7"/>
      <c r="M57" s="155"/>
      <c r="O57" s="67"/>
      <c r="P57" s="58"/>
      <c r="Q57" s="58"/>
      <c r="S57" s="1"/>
    </row>
    <row r="58" spans="2:19">
      <c r="B58" s="1"/>
      <c r="C58" s="7"/>
      <c r="D58" s="7"/>
      <c r="E58" s="7"/>
      <c r="F58" s="7"/>
      <c r="M58" s="155"/>
      <c r="O58" s="67"/>
      <c r="P58" s="58"/>
      <c r="Q58" s="58"/>
      <c r="S58" s="1"/>
    </row>
    <row r="59" spans="2:19">
      <c r="B59" s="1"/>
      <c r="C59" s="7"/>
      <c r="D59" s="7"/>
      <c r="E59" s="7"/>
      <c r="F59" s="7"/>
      <c r="M59" s="155"/>
      <c r="O59" s="67"/>
      <c r="P59" s="58"/>
      <c r="Q59" s="58"/>
      <c r="S59" s="1"/>
    </row>
    <row r="60" spans="2:19">
      <c r="B60" s="1"/>
      <c r="C60" s="7"/>
      <c r="D60" s="7"/>
      <c r="E60" s="7"/>
      <c r="F60" s="7"/>
      <c r="M60" s="155"/>
      <c r="O60" s="67"/>
      <c r="P60" s="58"/>
      <c r="Q60" s="58"/>
      <c r="S60" s="1"/>
    </row>
    <row r="61" spans="2:19">
      <c r="B61" s="1"/>
      <c r="C61" s="7"/>
      <c r="D61" s="7"/>
      <c r="E61" s="7"/>
      <c r="F61" s="7"/>
      <c r="M61" s="155"/>
      <c r="O61" s="67"/>
      <c r="P61" s="58"/>
      <c r="Q61" s="58"/>
      <c r="S61" s="1"/>
    </row>
    <row r="62" spans="2:19">
      <c r="B62" s="1"/>
      <c r="C62" s="7"/>
      <c r="D62" s="7"/>
      <c r="E62" s="7"/>
      <c r="F62" s="7"/>
      <c r="M62" s="155"/>
      <c r="O62" s="67"/>
      <c r="P62" s="58"/>
      <c r="Q62" s="58"/>
      <c r="S62" s="1"/>
    </row>
    <row r="63" spans="2:19">
      <c r="B63" s="1"/>
      <c r="C63" s="7"/>
      <c r="D63" s="7"/>
      <c r="E63" s="7"/>
      <c r="F63" s="7"/>
      <c r="M63" s="155"/>
      <c r="O63" s="67"/>
      <c r="P63" s="58"/>
      <c r="Q63" s="58"/>
      <c r="S63" s="1"/>
    </row>
    <row r="64" spans="2:19">
      <c r="B64" s="1"/>
      <c r="C64" s="7"/>
      <c r="D64" s="7"/>
      <c r="E64" s="7"/>
      <c r="F64" s="7"/>
      <c r="M64" s="155"/>
      <c r="O64" s="67"/>
      <c r="P64" s="58"/>
      <c r="Q64" s="58"/>
      <c r="S64" s="1"/>
    </row>
    <row r="65" spans="2:19">
      <c r="B65" s="1"/>
      <c r="C65" s="7"/>
      <c r="D65" s="7"/>
      <c r="E65" s="7"/>
      <c r="F65" s="7"/>
      <c r="M65" s="155"/>
      <c r="O65" s="67"/>
      <c r="P65" s="58"/>
      <c r="Q65" s="58"/>
      <c r="S65" s="1"/>
    </row>
    <row r="66" spans="2:19">
      <c r="B66" s="1"/>
      <c r="C66" s="7"/>
      <c r="D66" s="7"/>
      <c r="E66" s="7"/>
      <c r="F66" s="7"/>
      <c r="M66" s="155"/>
      <c r="O66" s="67"/>
      <c r="P66" s="58"/>
      <c r="Q66" s="58"/>
      <c r="S66" s="1"/>
    </row>
    <row r="67" spans="2:19">
      <c r="B67" s="1"/>
      <c r="C67" s="7"/>
      <c r="D67" s="7"/>
      <c r="E67" s="7"/>
      <c r="F67" s="7"/>
      <c r="M67" s="155"/>
      <c r="O67" s="67"/>
      <c r="P67" s="58"/>
      <c r="Q67" s="58"/>
      <c r="S67" s="1"/>
    </row>
    <row r="68" spans="2:19">
      <c r="B68" s="1"/>
      <c r="C68" s="7"/>
      <c r="D68" s="7"/>
      <c r="E68" s="7"/>
      <c r="F68" s="7"/>
      <c r="M68" s="155"/>
      <c r="O68" s="67"/>
      <c r="P68" s="58"/>
      <c r="Q68" s="58"/>
      <c r="S68" s="1"/>
    </row>
    <row r="69" spans="2:19">
      <c r="B69" s="1"/>
      <c r="C69" s="7"/>
      <c r="D69" s="7"/>
      <c r="E69" s="7"/>
      <c r="F69" s="7"/>
      <c r="M69" s="155"/>
      <c r="O69" s="67"/>
      <c r="P69" s="58"/>
      <c r="Q69" s="58"/>
      <c r="S69" s="1"/>
    </row>
    <row r="70" spans="2:19">
      <c r="B70" s="1"/>
      <c r="C70" s="7"/>
      <c r="D70" s="7"/>
      <c r="E70" s="7"/>
      <c r="F70" s="7"/>
      <c r="M70" s="155"/>
      <c r="O70" s="67"/>
      <c r="P70" s="58"/>
      <c r="Q70" s="58"/>
      <c r="S70" s="1"/>
    </row>
    <row r="71" spans="2:19">
      <c r="B71" s="1"/>
      <c r="C71" s="7"/>
      <c r="D71" s="7"/>
      <c r="E71" s="7"/>
      <c r="F71" s="7"/>
      <c r="M71" s="155"/>
      <c r="O71" s="67"/>
      <c r="P71" s="58"/>
      <c r="Q71" s="58"/>
      <c r="S71" s="1"/>
    </row>
    <row r="72" spans="2:19">
      <c r="B72" s="1"/>
      <c r="C72" s="7"/>
      <c r="D72" s="7"/>
      <c r="E72" s="7"/>
      <c r="F72" s="7"/>
      <c r="M72" s="155"/>
      <c r="O72" s="67"/>
      <c r="P72" s="58"/>
      <c r="Q72" s="58"/>
      <c r="S72" s="1"/>
    </row>
    <row r="73" spans="2:19">
      <c r="B73" s="1"/>
      <c r="C73" s="7"/>
      <c r="D73" s="7"/>
      <c r="E73" s="7"/>
      <c r="F73" s="7"/>
      <c r="M73" s="155"/>
      <c r="O73" s="67"/>
      <c r="P73" s="58"/>
      <c r="Q73" s="58"/>
      <c r="S73" s="1"/>
    </row>
    <row r="74" spans="2:19">
      <c r="M74" s="155"/>
      <c r="O74" s="67"/>
      <c r="P74" s="58"/>
      <c r="Q74" s="58"/>
    </row>
    <row r="75" spans="2:19">
      <c r="M75" s="155"/>
      <c r="O75" s="67"/>
      <c r="P75" s="58"/>
      <c r="Q75" s="58"/>
    </row>
    <row r="76" spans="2:19">
      <c r="M76" s="155"/>
      <c r="O76" s="67"/>
      <c r="P76" s="58"/>
      <c r="Q76" s="58"/>
    </row>
    <row r="77" spans="2:19">
      <c r="M77" s="155"/>
      <c r="O77" s="67"/>
      <c r="P77" s="58"/>
      <c r="Q77" s="58"/>
    </row>
    <row r="78" spans="2:19">
      <c r="M78" s="155"/>
      <c r="O78" s="67"/>
      <c r="P78" s="58"/>
      <c r="Q78" s="58"/>
    </row>
    <row r="79" spans="2:19">
      <c r="M79" s="155"/>
      <c r="O79" s="67"/>
      <c r="P79" s="58"/>
      <c r="Q79" s="58"/>
    </row>
    <row r="80" spans="2:19">
      <c r="M80" s="155"/>
      <c r="O80" s="67"/>
      <c r="P80" s="58"/>
      <c r="Q80" s="58"/>
    </row>
    <row r="81" spans="13:17">
      <c r="M81" s="155"/>
      <c r="O81" s="67"/>
      <c r="P81" s="58"/>
      <c r="Q81" s="58"/>
    </row>
    <row r="82" spans="13:17">
      <c r="M82" s="155"/>
      <c r="O82" s="67"/>
      <c r="P82" s="58"/>
      <c r="Q82" s="58"/>
    </row>
    <row r="83" spans="13:17">
      <c r="M83" s="155"/>
      <c r="O83" s="67"/>
      <c r="P83" s="58"/>
      <c r="Q83" s="58"/>
    </row>
    <row r="84" spans="13:17">
      <c r="M84" s="155"/>
      <c r="O84" s="67"/>
      <c r="P84" s="58"/>
      <c r="Q84" s="58"/>
    </row>
    <row r="85" spans="13:17">
      <c r="M85" s="155"/>
      <c r="O85" s="67"/>
      <c r="P85" s="58"/>
      <c r="Q85" s="58"/>
    </row>
    <row r="86" spans="13:17">
      <c r="M86" s="155"/>
      <c r="O86" s="67"/>
      <c r="P86" s="58"/>
      <c r="Q86" s="58"/>
    </row>
    <row r="87" spans="13:17">
      <c r="M87" s="155"/>
      <c r="O87" s="67"/>
    </row>
    <row r="88" spans="13:17">
      <c r="M88" s="155"/>
      <c r="O88" s="67"/>
    </row>
    <row r="89" spans="13:17">
      <c r="M89" s="155"/>
      <c r="O89" s="67"/>
    </row>
    <row r="90" spans="13:17">
      <c r="M90" s="155"/>
      <c r="O90" s="67"/>
    </row>
    <row r="91" spans="13:17">
      <c r="M91" s="155"/>
      <c r="O91" s="67"/>
    </row>
    <row r="92" spans="13:17">
      <c r="M92" s="155"/>
      <c r="O92" s="67"/>
    </row>
    <row r="93" spans="13:17">
      <c r="M93" s="155"/>
      <c r="O93" s="67"/>
    </row>
    <row r="94" spans="13:17">
      <c r="M94" s="155"/>
      <c r="O94" s="67"/>
    </row>
    <row r="95" spans="13:17">
      <c r="M95" s="155"/>
      <c r="O95" s="67"/>
    </row>
    <row r="96" spans="13:17">
      <c r="M96" s="155"/>
      <c r="O96" s="67"/>
    </row>
    <row r="97" spans="13:15">
      <c r="M97" s="155"/>
      <c r="O97" s="67"/>
    </row>
    <row r="98" spans="13:15">
      <c r="M98" s="155"/>
      <c r="O98" s="67"/>
    </row>
    <row r="99" spans="13:15">
      <c r="M99" s="155"/>
      <c r="O99" s="67"/>
    </row>
    <row r="100" spans="13:15">
      <c r="M100" s="155"/>
      <c r="O100" s="67"/>
    </row>
    <row r="101" spans="13:15">
      <c r="M101" s="155"/>
      <c r="O101" s="67"/>
    </row>
    <row r="102" spans="13:15">
      <c r="M102" s="155"/>
      <c r="O102" s="67"/>
    </row>
    <row r="103" spans="13:15">
      <c r="M103" s="155"/>
      <c r="O103" s="67"/>
    </row>
    <row r="104" spans="13:15">
      <c r="M104" s="155"/>
      <c r="O104" s="67"/>
    </row>
    <row r="105" spans="13:15">
      <c r="M105" s="155"/>
      <c r="O105" s="67"/>
    </row>
    <row r="106" spans="13:15">
      <c r="M106" s="155"/>
      <c r="O106" s="67"/>
    </row>
    <row r="107" spans="13:15">
      <c r="M107" s="155"/>
      <c r="O107" s="67"/>
    </row>
    <row r="108" spans="13:15">
      <c r="M108" s="155"/>
      <c r="O108" s="67"/>
    </row>
    <row r="109" spans="13:15">
      <c r="M109" s="155"/>
      <c r="O109" s="67"/>
    </row>
    <row r="110" spans="13:15">
      <c r="M110" s="155"/>
      <c r="O110" s="67"/>
    </row>
    <row r="111" spans="13:15">
      <c r="M111" s="155"/>
      <c r="O111" s="67"/>
    </row>
    <row r="112" spans="13:15">
      <c r="M112" s="155"/>
      <c r="O112" s="67"/>
    </row>
    <row r="113" spans="13:15">
      <c r="M113" s="155"/>
      <c r="O113" s="67"/>
    </row>
    <row r="114" spans="13:15">
      <c r="M114" s="155"/>
      <c r="O114" s="67"/>
    </row>
    <row r="115" spans="13:15">
      <c r="M115" s="155"/>
      <c r="O115" s="67"/>
    </row>
    <row r="116" spans="13:15">
      <c r="M116" s="155"/>
      <c r="O116" s="67"/>
    </row>
    <row r="117" spans="13:15">
      <c r="M117" s="155"/>
      <c r="O117" s="67"/>
    </row>
    <row r="118" spans="13:15">
      <c r="M118" s="155"/>
      <c r="O118" s="67"/>
    </row>
    <row r="119" spans="13:15">
      <c r="M119" s="155"/>
      <c r="O119" s="67"/>
    </row>
    <row r="120" spans="13:15">
      <c r="M120" s="155"/>
      <c r="O120" s="67"/>
    </row>
    <row r="121" spans="13:15">
      <c r="M121" s="155"/>
      <c r="O121" s="67"/>
    </row>
    <row r="122" spans="13:15">
      <c r="M122" s="155"/>
      <c r="O122" s="67"/>
    </row>
    <row r="123" spans="13:15">
      <c r="M123" s="155"/>
      <c r="O123" s="67"/>
    </row>
    <row r="124" spans="13:15">
      <c r="M124" s="155"/>
      <c r="O124" s="67"/>
    </row>
    <row r="125" spans="13:15">
      <c r="M125" s="155"/>
      <c r="O125" s="67"/>
    </row>
    <row r="126" spans="13:15">
      <c r="M126" s="155"/>
      <c r="O126" s="67"/>
    </row>
    <row r="127" spans="13:15">
      <c r="M127" s="155"/>
      <c r="O127" s="67"/>
    </row>
    <row r="128" spans="13:15">
      <c r="M128" s="155"/>
      <c r="O128" s="67"/>
    </row>
    <row r="129" spans="13:15">
      <c r="M129" s="155"/>
      <c r="O129" s="67"/>
    </row>
    <row r="130" spans="13:15">
      <c r="M130" s="155"/>
      <c r="O130" s="67"/>
    </row>
    <row r="131" spans="13:15">
      <c r="M131" s="155"/>
    </row>
    <row r="132" spans="13:15">
      <c r="M132" s="155"/>
    </row>
    <row r="133" spans="13:15">
      <c r="M133" s="155"/>
    </row>
    <row r="134" spans="13:15">
      <c r="M134" s="155"/>
    </row>
    <row r="135" spans="13:15">
      <c r="M135" s="155"/>
    </row>
    <row r="136" spans="13:15">
      <c r="M136" s="155"/>
    </row>
    <row r="137" spans="13:15">
      <c r="M137" s="155"/>
    </row>
    <row r="138" spans="13:15">
      <c r="M138" s="155"/>
    </row>
    <row r="139" spans="13:15">
      <c r="M139" s="155"/>
    </row>
    <row r="140" spans="13:15">
      <c r="M140" s="155"/>
    </row>
    <row r="141" spans="13:15">
      <c r="M141" s="155"/>
    </row>
    <row r="142" spans="13:15">
      <c r="M142" s="155"/>
    </row>
    <row r="143" spans="13:15">
      <c r="M143" s="155"/>
    </row>
    <row r="144" spans="13:15">
      <c r="M144" s="155"/>
    </row>
    <row r="145" spans="13:13">
      <c r="M145" s="155"/>
    </row>
    <row r="146" spans="13:13">
      <c r="M146" s="155"/>
    </row>
    <row r="147" spans="13:13">
      <c r="M147" s="155"/>
    </row>
    <row r="148" spans="13:13">
      <c r="M148" s="155"/>
    </row>
    <row r="149" spans="13:13">
      <c r="M149" s="155"/>
    </row>
    <row r="150" spans="13:13">
      <c r="M150" s="155"/>
    </row>
    <row r="151" spans="13:13">
      <c r="M151" s="155"/>
    </row>
    <row r="152" spans="13:13">
      <c r="M152" s="155"/>
    </row>
    <row r="153" spans="13:13">
      <c r="M153" s="155"/>
    </row>
    <row r="154" spans="13:13">
      <c r="M154" s="155"/>
    </row>
    <row r="155" spans="13:13">
      <c r="M155" s="155"/>
    </row>
    <row r="156" spans="13:13">
      <c r="M156" s="155"/>
    </row>
    <row r="157" spans="13:13">
      <c r="M157" s="155"/>
    </row>
    <row r="158" spans="13:13">
      <c r="M158" s="155"/>
    </row>
    <row r="159" spans="13:13">
      <c r="M159" s="155"/>
    </row>
    <row r="160" spans="13:13">
      <c r="M160" s="155"/>
    </row>
    <row r="161" spans="13:13">
      <c r="M161" s="155"/>
    </row>
    <row r="162" spans="13:13">
      <c r="M162" s="155"/>
    </row>
    <row r="163" spans="13:13">
      <c r="M163" s="155"/>
    </row>
    <row r="164" spans="13:13">
      <c r="M164" s="155"/>
    </row>
    <row r="165" spans="13:13">
      <c r="M165" s="155"/>
    </row>
    <row r="166" spans="13:13">
      <c r="M166" s="155"/>
    </row>
    <row r="167" spans="13:13">
      <c r="M167" s="155"/>
    </row>
    <row r="168" spans="13:13">
      <c r="M168" s="155"/>
    </row>
    <row r="169" spans="13:13">
      <c r="M169" s="155"/>
    </row>
    <row r="170" spans="13:13">
      <c r="M170" s="155"/>
    </row>
    <row r="171" spans="13:13">
      <c r="M171" s="155"/>
    </row>
    <row r="172" spans="13:13">
      <c r="M172" s="155"/>
    </row>
    <row r="173" spans="13:13">
      <c r="M173" s="155"/>
    </row>
    <row r="174" spans="13:13">
      <c r="M174" s="155"/>
    </row>
    <row r="175" spans="13:13">
      <c r="M175" s="155"/>
    </row>
    <row r="176" spans="13:13">
      <c r="M176" s="155"/>
    </row>
    <row r="177" spans="13:13">
      <c r="M177" s="155"/>
    </row>
    <row r="178" spans="13:13">
      <c r="M178" s="155"/>
    </row>
    <row r="179" spans="13:13">
      <c r="M179" s="155"/>
    </row>
    <row r="180" spans="13:13">
      <c r="M180" s="155"/>
    </row>
    <row r="181" spans="13:13">
      <c r="M181" s="155"/>
    </row>
    <row r="182" spans="13:13">
      <c r="M182" s="155"/>
    </row>
    <row r="183" spans="13:13">
      <c r="M183" s="155"/>
    </row>
    <row r="184" spans="13:13">
      <c r="M184" s="155"/>
    </row>
    <row r="185" spans="13:13">
      <c r="M185" s="155"/>
    </row>
    <row r="186" spans="13:13">
      <c r="M186" s="155"/>
    </row>
    <row r="187" spans="13:13">
      <c r="M187" s="155"/>
    </row>
    <row r="188" spans="13:13">
      <c r="M188" s="155"/>
    </row>
    <row r="189" spans="13:13">
      <c r="M189" s="155"/>
    </row>
    <row r="190" spans="13:13">
      <c r="M190" s="155"/>
    </row>
    <row r="191" spans="13:13">
      <c r="M191" s="155"/>
    </row>
    <row r="192" spans="13:13">
      <c r="M192" s="155"/>
    </row>
    <row r="193" spans="13:13">
      <c r="M193" s="155"/>
    </row>
    <row r="194" spans="13:13">
      <c r="M194" s="155"/>
    </row>
    <row r="195" spans="13:13">
      <c r="M195" s="155"/>
    </row>
    <row r="196" spans="13:13">
      <c r="M196" s="155"/>
    </row>
    <row r="197" spans="13:13">
      <c r="M197" s="155"/>
    </row>
    <row r="198" spans="13:13">
      <c r="M198" s="155"/>
    </row>
    <row r="199" spans="13:13">
      <c r="M199" s="155"/>
    </row>
    <row r="200" spans="13:13">
      <c r="M200" s="155"/>
    </row>
    <row r="201" spans="13:13">
      <c r="M201" s="155"/>
    </row>
    <row r="202" spans="13:13">
      <c r="M202" s="155"/>
    </row>
    <row r="203" spans="13:13">
      <c r="M203" s="155"/>
    </row>
    <row r="204" spans="13:13">
      <c r="M204" s="155"/>
    </row>
    <row r="205" spans="13:13">
      <c r="M205" s="155"/>
    </row>
    <row r="206" spans="13:13">
      <c r="M206" s="155"/>
    </row>
    <row r="207" spans="13:13">
      <c r="M207" s="155"/>
    </row>
    <row r="208" spans="13:13">
      <c r="M208" s="155"/>
    </row>
    <row r="209" spans="13:13">
      <c r="M209" s="155"/>
    </row>
    <row r="210" spans="13:13">
      <c r="M210" s="155"/>
    </row>
    <row r="211" spans="13:13">
      <c r="M211" s="155"/>
    </row>
    <row r="212" spans="13:13">
      <c r="M212" s="155"/>
    </row>
    <row r="213" spans="13:13">
      <c r="M213" s="155"/>
    </row>
    <row r="214" spans="13:13">
      <c r="M214" s="155"/>
    </row>
    <row r="215" spans="13:13">
      <c r="M215" s="155"/>
    </row>
    <row r="216" spans="13:13">
      <c r="M216" s="155"/>
    </row>
    <row r="217" spans="13:13">
      <c r="M217" s="155"/>
    </row>
    <row r="218" spans="13:13">
      <c r="M218" s="155"/>
    </row>
    <row r="219" spans="13:13">
      <c r="M219" s="155"/>
    </row>
    <row r="220" spans="13:13">
      <c r="M220" s="155"/>
    </row>
    <row r="221" spans="13:13">
      <c r="M221" s="155"/>
    </row>
    <row r="222" spans="13:13">
      <c r="M222" s="155"/>
    </row>
    <row r="223" spans="13:13">
      <c r="M223" s="155"/>
    </row>
    <row r="224" spans="13:13">
      <c r="M224" s="155"/>
    </row>
    <row r="225" spans="13:13">
      <c r="M225" s="155"/>
    </row>
    <row r="226" spans="13:13">
      <c r="M226" s="155"/>
    </row>
    <row r="227" spans="13:13">
      <c r="M227" s="155"/>
    </row>
    <row r="228" spans="13:13">
      <c r="M228" s="155"/>
    </row>
    <row r="229" spans="13:13">
      <c r="M229" s="155"/>
    </row>
    <row r="230" spans="13:13">
      <c r="M230" s="155"/>
    </row>
    <row r="231" spans="13:13">
      <c r="M231" s="155"/>
    </row>
    <row r="232" spans="13:13">
      <c r="M232" s="155"/>
    </row>
    <row r="233" spans="13:13">
      <c r="M233" s="155"/>
    </row>
    <row r="234" spans="13:13">
      <c r="M234" s="155"/>
    </row>
    <row r="235" spans="13:13">
      <c r="M235" s="155"/>
    </row>
    <row r="236" spans="13:13">
      <c r="M236" s="155"/>
    </row>
    <row r="237" spans="13:13">
      <c r="M237" s="155"/>
    </row>
    <row r="238" spans="13:13">
      <c r="M238" s="155"/>
    </row>
    <row r="239" spans="13:13">
      <c r="M239" s="155"/>
    </row>
    <row r="240" spans="13:13">
      <c r="M240" s="155"/>
    </row>
    <row r="241" spans="13:13">
      <c r="M241" s="155"/>
    </row>
    <row r="242" spans="13:13">
      <c r="M242" s="155"/>
    </row>
    <row r="243" spans="13:13">
      <c r="M243" s="155"/>
    </row>
    <row r="244" spans="13:13">
      <c r="M244" s="155"/>
    </row>
    <row r="245" spans="13:13">
      <c r="M245" s="155"/>
    </row>
    <row r="246" spans="13:13">
      <c r="M246" s="155"/>
    </row>
    <row r="247" spans="13:13">
      <c r="M247" s="155"/>
    </row>
    <row r="248" spans="13:13">
      <c r="M248" s="155"/>
    </row>
    <row r="249" spans="13:13">
      <c r="M249" s="155"/>
    </row>
    <row r="250" spans="13:13">
      <c r="M250" s="155"/>
    </row>
    <row r="251" spans="13:13">
      <c r="M251" s="155"/>
    </row>
    <row r="252" spans="13:13">
      <c r="M252" s="155"/>
    </row>
    <row r="253" spans="13:13">
      <c r="M253" s="155"/>
    </row>
    <row r="254" spans="13:13">
      <c r="M254" s="155"/>
    </row>
    <row r="255" spans="13:13">
      <c r="M255" s="155"/>
    </row>
    <row r="256" spans="13:13">
      <c r="M256" s="155"/>
    </row>
    <row r="257" spans="13:13">
      <c r="M257" s="155"/>
    </row>
    <row r="258" spans="13:13">
      <c r="M258" s="155"/>
    </row>
    <row r="259" spans="13:13">
      <c r="M259" s="155"/>
    </row>
    <row r="260" spans="13:13">
      <c r="M260" s="155"/>
    </row>
    <row r="261" spans="13:13">
      <c r="M261" s="155"/>
    </row>
    <row r="262" spans="13:13">
      <c r="M262" s="155"/>
    </row>
    <row r="263" spans="13:13">
      <c r="M263" s="155"/>
    </row>
    <row r="264" spans="13:13">
      <c r="M264" s="155"/>
    </row>
    <row r="265" spans="13:13">
      <c r="M265" s="155"/>
    </row>
    <row r="266" spans="13:13">
      <c r="M266" s="155"/>
    </row>
    <row r="267" spans="13:13">
      <c r="M267" s="155"/>
    </row>
    <row r="268" spans="13:13">
      <c r="M268" s="155"/>
    </row>
    <row r="269" spans="13:13">
      <c r="M269" s="155"/>
    </row>
    <row r="270" spans="13:13">
      <c r="M270" s="155"/>
    </row>
    <row r="271" spans="13:13">
      <c r="M271" s="155"/>
    </row>
    <row r="272" spans="13:13">
      <c r="M272" s="155"/>
    </row>
    <row r="273" spans="13:13">
      <c r="M273" s="155"/>
    </row>
    <row r="274" spans="13:13">
      <c r="M274" s="155"/>
    </row>
    <row r="275" spans="13:13">
      <c r="M275" s="155"/>
    </row>
    <row r="276" spans="13:13">
      <c r="M276" s="155"/>
    </row>
    <row r="277" spans="13:13">
      <c r="M277" s="155"/>
    </row>
    <row r="278" spans="13:13">
      <c r="M278" s="155"/>
    </row>
    <row r="279" spans="13:13">
      <c r="M279" s="155"/>
    </row>
    <row r="280" spans="13:13">
      <c r="M280" s="155"/>
    </row>
    <row r="281" spans="13:13">
      <c r="M281" s="155"/>
    </row>
    <row r="282" spans="13:13">
      <c r="M282" s="155"/>
    </row>
    <row r="283" spans="13:13">
      <c r="M283" s="155"/>
    </row>
    <row r="284" spans="13:13">
      <c r="M284" s="155"/>
    </row>
    <row r="285" spans="13:13">
      <c r="M285" s="155"/>
    </row>
    <row r="286" spans="13:13">
      <c r="M286" s="155"/>
    </row>
    <row r="287" spans="13:13">
      <c r="M287" s="155"/>
    </row>
    <row r="288" spans="13:13">
      <c r="M288" s="155"/>
    </row>
    <row r="289" spans="13:13">
      <c r="M289" s="155"/>
    </row>
    <row r="290" spans="13:13">
      <c r="M290" s="155"/>
    </row>
    <row r="291" spans="13:13">
      <c r="M291" s="155"/>
    </row>
    <row r="292" spans="13:13">
      <c r="M292" s="155"/>
    </row>
    <row r="293" spans="13:13">
      <c r="M293" s="155"/>
    </row>
    <row r="294" spans="13:13">
      <c r="M294" s="155"/>
    </row>
    <row r="295" spans="13:13">
      <c r="M295" s="155"/>
    </row>
    <row r="296" spans="13:13">
      <c r="M296" s="155"/>
    </row>
    <row r="297" spans="13:13">
      <c r="M297" s="155"/>
    </row>
    <row r="298" spans="13:13">
      <c r="M298" s="155"/>
    </row>
    <row r="299" spans="13:13">
      <c r="M299" s="155"/>
    </row>
    <row r="300" spans="13:13">
      <c r="M300" s="155"/>
    </row>
    <row r="301" spans="13:13">
      <c r="M301" s="155"/>
    </row>
    <row r="302" spans="13:13">
      <c r="M302" s="155"/>
    </row>
    <row r="303" spans="13:13">
      <c r="M303" s="155"/>
    </row>
    <row r="304" spans="13:13">
      <c r="M304" s="155"/>
    </row>
    <row r="305" spans="13:13">
      <c r="M305" s="155"/>
    </row>
    <row r="306" spans="13:13">
      <c r="M306" s="155"/>
    </row>
    <row r="307" spans="13:13">
      <c r="M307" s="155"/>
    </row>
    <row r="308" spans="13:13">
      <c r="M308" s="155"/>
    </row>
    <row r="309" spans="13:13">
      <c r="M309" s="155"/>
    </row>
    <row r="310" spans="13:13">
      <c r="M310" s="155"/>
    </row>
    <row r="311" spans="13:13">
      <c r="M311" s="155"/>
    </row>
    <row r="312" spans="13:13">
      <c r="M312" s="155"/>
    </row>
    <row r="313" spans="13:13">
      <c r="M313" s="155"/>
    </row>
    <row r="314" spans="13:13">
      <c r="M314" s="155"/>
    </row>
    <row r="315" spans="13:13">
      <c r="M315" s="155"/>
    </row>
    <row r="316" spans="13:13">
      <c r="M316" s="155"/>
    </row>
    <row r="317" spans="13:13">
      <c r="M317" s="155"/>
    </row>
    <row r="318" spans="13:13">
      <c r="M318" s="155"/>
    </row>
    <row r="319" spans="13:13">
      <c r="M319" s="155"/>
    </row>
    <row r="320" spans="13:13">
      <c r="M320" s="155"/>
    </row>
    <row r="321" spans="13:13">
      <c r="M321" s="155"/>
    </row>
    <row r="322" spans="13:13">
      <c r="M322" s="155"/>
    </row>
    <row r="323" spans="13:13">
      <c r="M323" s="155"/>
    </row>
    <row r="324" spans="13:13">
      <c r="M324" s="155"/>
    </row>
    <row r="325" spans="13:13">
      <c r="M325" s="155"/>
    </row>
    <row r="326" spans="13:13">
      <c r="M326" s="155"/>
    </row>
    <row r="327" spans="13:13">
      <c r="M327" s="155"/>
    </row>
    <row r="328" spans="13:13">
      <c r="M328" s="155"/>
    </row>
    <row r="329" spans="13:13">
      <c r="M329" s="155"/>
    </row>
    <row r="330" spans="13:13">
      <c r="M330" s="155"/>
    </row>
    <row r="331" spans="13:13">
      <c r="M331" s="155"/>
    </row>
    <row r="332" spans="13:13">
      <c r="M332" s="155"/>
    </row>
    <row r="333" spans="13:13">
      <c r="M333" s="155"/>
    </row>
    <row r="334" spans="13:13">
      <c r="M334" s="155"/>
    </row>
    <row r="335" spans="13:13">
      <c r="M335" s="155"/>
    </row>
    <row r="336" spans="13:13">
      <c r="M336" s="155"/>
    </row>
    <row r="337" spans="13:13">
      <c r="M337" s="155"/>
    </row>
    <row r="338" spans="13:13">
      <c r="M338" s="155"/>
    </row>
    <row r="339" spans="13:13">
      <c r="M339" s="155"/>
    </row>
    <row r="340" spans="13:13">
      <c r="M340" s="155"/>
    </row>
    <row r="341" spans="13:13">
      <c r="M341" s="155"/>
    </row>
    <row r="342" spans="13:13">
      <c r="M342" s="155"/>
    </row>
    <row r="343" spans="13:13">
      <c r="M343" s="155"/>
    </row>
    <row r="344" spans="13:13">
      <c r="M344" s="155"/>
    </row>
    <row r="345" spans="13:13">
      <c r="M345" s="155"/>
    </row>
    <row r="346" spans="13:13">
      <c r="M346" s="155"/>
    </row>
    <row r="347" spans="13:13">
      <c r="M347" s="155"/>
    </row>
    <row r="348" spans="13:13">
      <c r="M348" s="155"/>
    </row>
    <row r="349" spans="13:13">
      <c r="M349" s="155"/>
    </row>
    <row r="350" spans="13:13">
      <c r="M350" s="155"/>
    </row>
    <row r="351" spans="13:13">
      <c r="M351" s="155"/>
    </row>
    <row r="352" spans="13:13">
      <c r="M352" s="155"/>
    </row>
    <row r="353" spans="13:13">
      <c r="M353" s="155"/>
    </row>
    <row r="354" spans="13:13">
      <c r="M354" s="155"/>
    </row>
    <row r="355" spans="13:13">
      <c r="M355" s="155"/>
    </row>
    <row r="356" spans="13:13">
      <c r="M356" s="155"/>
    </row>
    <row r="357" spans="13:13">
      <c r="M357" s="155"/>
    </row>
    <row r="358" spans="13:13">
      <c r="M358" s="155"/>
    </row>
    <row r="359" spans="13:13">
      <c r="M359" s="155"/>
    </row>
    <row r="360" spans="13:13">
      <c r="M360" s="155"/>
    </row>
    <row r="361" spans="13:13">
      <c r="M361" s="155"/>
    </row>
    <row r="362" spans="13:13">
      <c r="M362" s="155"/>
    </row>
    <row r="363" spans="13:13">
      <c r="M363" s="155"/>
    </row>
    <row r="364" spans="13:13">
      <c r="M364" s="155"/>
    </row>
    <row r="365" spans="13:13">
      <c r="M365" s="155"/>
    </row>
    <row r="366" spans="13:13">
      <c r="M366" s="155"/>
    </row>
    <row r="367" spans="13:13">
      <c r="M367" s="155"/>
    </row>
    <row r="368" spans="13:13">
      <c r="M368" s="155"/>
    </row>
    <row r="369" spans="13:13">
      <c r="M369" s="155"/>
    </row>
    <row r="370" spans="13:13">
      <c r="M370" s="155"/>
    </row>
    <row r="371" spans="13:13">
      <c r="M371" s="155"/>
    </row>
    <row r="372" spans="13:13">
      <c r="M372" s="155"/>
    </row>
  </sheetData>
  <phoneticPr fontId="2" type="noConversion"/>
  <dataValidations count="1">
    <dataValidation allowBlank="1" showInputMessage="1" showErrorMessage="1" sqref="C1:C1048576" xr:uid="{6675ABFA-FB15-4989-B642-3354773CE46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6FD911-AA15-440D-8D35-051D2626E5D4}">
          <x14:formula1>
            <xm:f>공급업체코드!$D$3:$D$47</xm:f>
          </x14:formula1>
          <xm:sqref>E3:E73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9A84-FB0D-46AD-95C7-D99C91643BD1}">
  <sheetPr>
    <tabColor rgb="FFFFFF00"/>
  </sheetPr>
  <dimension ref="A1:AG364"/>
  <sheetViews>
    <sheetView zoomScale="70" zoomScaleNormal="70" workbookViewId="0">
      <pane ySplit="2" topLeftCell="A8" activePane="bottomLeft" state="frozen"/>
      <selection pane="bottomLeft" activeCell="G48" sqref="G48"/>
    </sheetView>
  </sheetViews>
  <sheetFormatPr defaultRowHeight="16.5" customHeight="1"/>
  <cols>
    <col min="1" max="1" width="41.125" customWidth="1"/>
    <col min="2" max="2" width="33.625" customWidth="1"/>
    <col min="3" max="3" width="51.125" bestFit="1" customWidth="1"/>
    <col min="4" max="4" width="16.75" bestFit="1" customWidth="1"/>
    <col min="5" max="5" width="18.5" customWidth="1"/>
    <col min="6" max="6" width="16.25" bestFit="1" customWidth="1"/>
    <col min="7" max="7" width="14.5" style="18" customWidth="1"/>
    <col min="8" max="8" width="20.875" customWidth="1"/>
    <col min="9" max="9" width="21.5" bestFit="1" customWidth="1"/>
    <col min="10" max="10" width="15.25" customWidth="1"/>
    <col min="11" max="11" width="14" bestFit="1" customWidth="1"/>
    <col min="12" max="12" width="14.25" bestFit="1" customWidth="1"/>
    <col min="13" max="13" width="19.75" customWidth="1"/>
    <col min="14" max="14" width="20.875" bestFit="1" customWidth="1"/>
    <col min="15" max="15" width="24.75" customWidth="1"/>
    <col min="16" max="16" width="16.125" style="18" customWidth="1"/>
    <col min="17" max="17" width="16.125" style="261" customWidth="1"/>
    <col min="18" max="18" width="25.75" style="10" bestFit="1" customWidth="1"/>
    <col min="19" max="19" width="16.125" style="260" customWidth="1"/>
    <col min="20" max="20" width="22.875" customWidth="1"/>
    <col min="21" max="21" width="29.75" customWidth="1"/>
    <col min="22" max="22" width="29.125" style="18" bestFit="1" customWidth="1"/>
    <col min="23" max="23" width="10.5" customWidth="1"/>
    <col min="24" max="24" width="27.625" bestFit="1" customWidth="1"/>
    <col min="25" max="25" width="20.625" style="113" customWidth="1"/>
    <col min="27" max="27" width="12.375" customWidth="1"/>
    <col min="28" max="28" width="11.375" bestFit="1" customWidth="1"/>
    <col min="31" max="31" width="22.125" bestFit="1" customWidth="1"/>
    <col min="32" max="32" width="36.375" bestFit="1" customWidth="1"/>
    <col min="33" max="33" width="15.375" bestFit="1" customWidth="1"/>
  </cols>
  <sheetData>
    <row r="1" spans="1:33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1384</v>
      </c>
      <c r="I1" s="10" t="s">
        <v>1385</v>
      </c>
      <c r="J1" s="10" t="s">
        <v>1318</v>
      </c>
      <c r="K1" s="10" t="s">
        <v>1319</v>
      </c>
      <c r="L1" s="10" t="s">
        <v>1320</v>
      </c>
      <c r="M1" s="10" t="s">
        <v>1321</v>
      </c>
      <c r="N1" s="10" t="s">
        <v>1322</v>
      </c>
      <c r="O1" s="10" t="s">
        <v>1323</v>
      </c>
      <c r="P1" s="17" t="s">
        <v>1324</v>
      </c>
      <c r="Q1" s="131" t="s">
        <v>1290</v>
      </c>
      <c r="R1" s="131" t="s">
        <v>1291</v>
      </c>
      <c r="S1" s="131" t="s">
        <v>1292</v>
      </c>
      <c r="T1" s="10" t="s">
        <v>1293</v>
      </c>
      <c r="U1" s="17" t="s">
        <v>1294</v>
      </c>
      <c r="V1" s="61" t="s">
        <v>1295</v>
      </c>
      <c r="W1" s="10" t="s">
        <v>1296</v>
      </c>
      <c r="X1" s="10" t="s">
        <v>1297</v>
      </c>
      <c r="Y1" s="210" t="s">
        <v>1298</v>
      </c>
    </row>
    <row r="2" spans="1:33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18" t="s">
        <v>1302</v>
      </c>
      <c r="H2" s="62" t="s">
        <v>1386</v>
      </c>
      <c r="I2" s="9" t="s">
        <v>1387</v>
      </c>
      <c r="J2" s="94" t="s">
        <v>1327</v>
      </c>
      <c r="K2" s="5" t="s">
        <v>1328</v>
      </c>
      <c r="L2" s="53" t="s">
        <v>1329</v>
      </c>
      <c r="M2" s="5" t="s">
        <v>1330</v>
      </c>
      <c r="N2" s="5" t="s">
        <v>1331</v>
      </c>
      <c r="O2" s="57" t="s">
        <v>1332</v>
      </c>
      <c r="P2" s="14" t="s">
        <v>1333</v>
      </c>
      <c r="Q2" s="5" t="s">
        <v>1305</v>
      </c>
      <c r="R2" s="5" t="s">
        <v>1306</v>
      </c>
      <c r="S2" s="5" t="s">
        <v>1307</v>
      </c>
      <c r="T2" s="19" t="s">
        <v>1308</v>
      </c>
      <c r="U2" s="16" t="s">
        <v>1309</v>
      </c>
      <c r="V2" s="241" t="s">
        <v>1310</v>
      </c>
      <c r="W2" s="54" t="s">
        <v>1311</v>
      </c>
      <c r="X2" s="3" t="s">
        <v>10</v>
      </c>
      <c r="Y2" s="242" t="s">
        <v>1312</v>
      </c>
      <c r="AE2" s="41"/>
      <c r="AF2" s="41"/>
      <c r="AG2" s="41"/>
    </row>
    <row r="3" spans="1:33">
      <c r="A3" s="337" t="s">
        <v>1388</v>
      </c>
      <c r="B3" s="1" t="str">
        <f>D3&amp;"_"&amp;F3&amp;"_"&amp;I3</f>
        <v>M_AGT0602_VM_SAMJIN_45</v>
      </c>
      <c r="C3" s="7" t="s">
        <v>360</v>
      </c>
      <c r="D3" s="7" t="str" cm="1">
        <f t="array" ref="D3">INDEX(기계코드!$D$4:$D$1022,MATCH(1,(C3=기계코드!$F$4:$F$1022)*1,0))</f>
        <v>M_AGT0602</v>
      </c>
      <c r="E3" s="7" t="s">
        <v>1389</v>
      </c>
      <c r="F3" s="7" t="str" cm="1">
        <f t="array" ref="F3">INDEX(공급업체코드!$B$3:$B$1000,MATCH(1,(E3=공급업체코드!$D$3:$D$1000)*1,0))</f>
        <v>VM_SAMJIN</v>
      </c>
      <c r="G3" s="167" t="s">
        <v>1388</v>
      </c>
      <c r="H3" s="34">
        <v>1800</v>
      </c>
      <c r="I3" s="69">
        <v>45</v>
      </c>
      <c r="J3" s="72">
        <v>0.4</v>
      </c>
      <c r="K3" s="7" t="s">
        <v>981</v>
      </c>
      <c r="L3" s="7">
        <v>380</v>
      </c>
      <c r="M3" s="151">
        <v>0.65</v>
      </c>
      <c r="N3" s="7">
        <v>0.9</v>
      </c>
      <c r="O3" s="7">
        <v>60</v>
      </c>
      <c r="P3" s="168">
        <v>11</v>
      </c>
      <c r="Q3" s="256" t="s">
        <v>1390</v>
      </c>
      <c r="R3" s="10">
        <f t="shared" ref="R3:R4" si="0">IF(P3&lt;500,1,IF(P3&lt;1000,2,IF(P3&lt;5000,3,4)))</f>
        <v>1</v>
      </c>
      <c r="S3" s="257" t="s">
        <v>1391</v>
      </c>
      <c r="T3" s="63">
        <v>999</v>
      </c>
      <c r="U3" s="63"/>
      <c r="V3" s="18" t="s">
        <v>1354</v>
      </c>
      <c r="W3" s="1" t="b">
        <v>1</v>
      </c>
      <c r="Y3" s="133"/>
      <c r="AE3" s="41"/>
      <c r="AF3" s="41"/>
      <c r="AG3" s="41"/>
    </row>
    <row r="4" spans="1:33">
      <c r="A4" s="338" t="s">
        <v>1392</v>
      </c>
      <c r="B4" s="1" t="str">
        <f>D4&amp;"_"&amp;F4&amp;"_"&amp;I4</f>
        <v>M_AGT0602_VM_SAMJIN_75</v>
      </c>
      <c r="C4" s="7" t="s">
        <v>360</v>
      </c>
      <c r="D4" s="7" t="str" cm="1">
        <f t="array" ref="D4">INDEX(기계코드!$D$4:$D$1022,MATCH(1,(C4=기계코드!$F$4:$F$1022)*1,0))</f>
        <v>M_AGT0602</v>
      </c>
      <c r="E4" s="7" t="s">
        <v>1389</v>
      </c>
      <c r="F4" s="7" t="str" cm="1">
        <f t="array" ref="F4">INDEX(공급업체코드!$B$3:$B$1000,MATCH(1,(E4=공급업체코드!$D$3:$D$1000)*1,0))</f>
        <v>VM_SAMJIN</v>
      </c>
      <c r="G4" s="167" t="s">
        <v>1392</v>
      </c>
      <c r="H4" s="34">
        <v>1800</v>
      </c>
      <c r="I4" s="69">
        <v>75</v>
      </c>
      <c r="J4" s="72">
        <v>0.75</v>
      </c>
      <c r="K4" s="7" t="s">
        <v>981</v>
      </c>
      <c r="L4" s="7">
        <v>380</v>
      </c>
      <c r="M4" s="151">
        <v>0.83499999999999996</v>
      </c>
      <c r="N4" s="7">
        <v>0.9</v>
      </c>
      <c r="O4" s="7">
        <v>60</v>
      </c>
      <c r="P4" s="169">
        <v>11</v>
      </c>
      <c r="Q4" s="258" t="s">
        <v>1390</v>
      </c>
      <c r="R4" s="10">
        <f t="shared" si="0"/>
        <v>1</v>
      </c>
      <c r="S4" s="259" t="s">
        <v>1391</v>
      </c>
      <c r="T4" s="63">
        <v>999</v>
      </c>
      <c r="U4" s="63"/>
      <c r="V4" s="18" t="s">
        <v>1354</v>
      </c>
      <c r="W4" s="1" t="b">
        <v>1</v>
      </c>
      <c r="Y4" s="133"/>
      <c r="AE4" s="41"/>
      <c r="AF4" s="41"/>
      <c r="AG4" s="41"/>
    </row>
    <row r="5" spans="1:33">
      <c r="A5" s="338" t="s">
        <v>1393</v>
      </c>
      <c r="B5" s="1" t="str">
        <f t="shared" ref="B5" si="1">D5&amp;"_"&amp;F5&amp;"_"&amp;I5</f>
        <v>M_AGT0602_VM_SAMJIN_110</v>
      </c>
      <c r="C5" s="7" t="s">
        <v>360</v>
      </c>
      <c r="D5" s="7" t="str" cm="1">
        <f t="array" ref="D5">INDEX(기계코드!$D$4:$D$1022,MATCH(1,(C5=기계코드!$F$4:$F$1022)*1,0))</f>
        <v>M_AGT0602</v>
      </c>
      <c r="E5" s="7" t="s">
        <v>1389</v>
      </c>
      <c r="F5" s="7" t="str" cm="1">
        <f t="array" ref="F5">INDEX(공급업체코드!$B$3:$B$1000,MATCH(1,(E5=공급업체코드!$D$3:$D$1000)*1,0))</f>
        <v>VM_SAMJIN</v>
      </c>
      <c r="G5" s="113" t="s">
        <v>1393</v>
      </c>
      <c r="H5" s="34">
        <v>1800</v>
      </c>
      <c r="I5" s="69">
        <v>110</v>
      </c>
      <c r="J5" s="72">
        <v>1.5</v>
      </c>
      <c r="K5" s="7" t="s">
        <v>981</v>
      </c>
      <c r="L5" s="7">
        <v>380</v>
      </c>
      <c r="M5" s="151">
        <v>0.86499999999999999</v>
      </c>
      <c r="N5" s="7">
        <v>0.9</v>
      </c>
      <c r="O5" s="7">
        <v>60</v>
      </c>
      <c r="P5" s="169">
        <v>11</v>
      </c>
      <c r="Q5" s="258" t="s">
        <v>1390</v>
      </c>
      <c r="R5" s="10">
        <f t="shared" ref="R5:R21" si="2">IF(P5&lt;500,1,IF(P5&lt;1000,2,IF(P5&lt;5000,3,4)))</f>
        <v>1</v>
      </c>
      <c r="S5" s="259" t="s">
        <v>1391</v>
      </c>
      <c r="T5" s="63">
        <v>17000000</v>
      </c>
      <c r="U5" s="63"/>
      <c r="V5" s="18" t="s">
        <v>1394</v>
      </c>
      <c r="W5" s="1" t="b">
        <v>1</v>
      </c>
      <c r="Y5" s="133"/>
      <c r="AE5" s="41"/>
      <c r="AF5" s="41"/>
      <c r="AG5" s="41"/>
    </row>
    <row r="6" spans="1:33">
      <c r="A6" s="338" t="s">
        <v>1395</v>
      </c>
      <c r="B6" s="1" t="str">
        <f>D6&amp;"_"&amp;F6&amp;"_"&amp;I6</f>
        <v>M_AGT0602_VM_SAMJIN_150</v>
      </c>
      <c r="C6" s="7" t="s">
        <v>360</v>
      </c>
      <c r="D6" s="7" t="str" cm="1">
        <f t="array" ref="D6">INDEX(기계코드!$D$4:$D$1022,MATCH(1,(C6=기계코드!$F$4:$F$1022)*1,0))</f>
        <v>M_AGT0602</v>
      </c>
      <c r="E6" s="7" t="s">
        <v>1389</v>
      </c>
      <c r="F6" s="7" t="str" cm="1">
        <f t="array" ref="F6">INDEX(공급업체코드!$B$3:$B$1000,MATCH(1,(E6=공급업체코드!$D$3:$D$1000)*1,0))</f>
        <v>VM_SAMJIN</v>
      </c>
      <c r="G6" s="133" t="s">
        <v>1396</v>
      </c>
      <c r="H6" s="34">
        <v>1800</v>
      </c>
      <c r="I6" s="69">
        <v>150</v>
      </c>
      <c r="J6" s="72">
        <v>2.2000000000000002</v>
      </c>
      <c r="K6" s="7" t="s">
        <v>981</v>
      </c>
      <c r="L6" s="7">
        <v>380</v>
      </c>
      <c r="M6" s="151">
        <v>0.89500000000000002</v>
      </c>
      <c r="N6" s="7">
        <v>0.9</v>
      </c>
      <c r="O6" s="7">
        <v>60</v>
      </c>
      <c r="P6" s="169">
        <v>11</v>
      </c>
      <c r="Q6" s="258" t="s">
        <v>1390</v>
      </c>
      <c r="R6" s="10">
        <f t="shared" si="2"/>
        <v>1</v>
      </c>
      <c r="S6" s="259" t="s">
        <v>1391</v>
      </c>
      <c r="T6" s="63">
        <v>10500000</v>
      </c>
      <c r="U6" s="63"/>
      <c r="V6" s="18" t="s">
        <v>1394</v>
      </c>
      <c r="W6" s="1" t="b">
        <v>1</v>
      </c>
      <c r="Y6" s="133"/>
      <c r="AE6" s="41"/>
      <c r="AF6" s="41"/>
      <c r="AG6" s="41"/>
    </row>
    <row r="7" spans="1:33">
      <c r="A7" s="338" t="s">
        <v>1396</v>
      </c>
      <c r="B7" s="1" t="str">
        <f>D7&amp;"_"&amp;F7&amp;"_"&amp;I7</f>
        <v>M_AGT0602_VM_SAMJIN_200</v>
      </c>
      <c r="C7" s="7" t="s">
        <v>360</v>
      </c>
      <c r="D7" s="7" t="str" cm="1">
        <f t="array" ref="D7">INDEX(기계코드!$D$4:$D$1022,MATCH(1,(C7=기계코드!$F$4:$F$1022)*1,0))</f>
        <v>M_AGT0602</v>
      </c>
      <c r="E7" s="7" t="s">
        <v>1389</v>
      </c>
      <c r="F7" s="7" t="str" cm="1">
        <f t="array" ref="F7">INDEX(공급업체코드!$B$3:$B$1000,MATCH(1,(E7=공급업체코드!$D$3:$D$1000)*1,0))</f>
        <v>VM_SAMJIN</v>
      </c>
      <c r="G7" s="133" t="s">
        <v>1397</v>
      </c>
      <c r="H7" s="34">
        <v>1800</v>
      </c>
      <c r="I7" s="63">
        <v>200</v>
      </c>
      <c r="J7" s="72">
        <v>3.7</v>
      </c>
      <c r="K7" s="7" t="s">
        <v>981</v>
      </c>
      <c r="L7" s="7">
        <v>380</v>
      </c>
      <c r="M7" s="151">
        <v>0.89500000000000002</v>
      </c>
      <c r="N7" s="7">
        <v>0.9</v>
      </c>
      <c r="O7" s="7">
        <v>60</v>
      </c>
      <c r="P7" s="169">
        <v>11</v>
      </c>
      <c r="Q7" s="258" t="s">
        <v>1390</v>
      </c>
      <c r="R7" s="10">
        <f t="shared" si="2"/>
        <v>1</v>
      </c>
      <c r="S7" s="259" t="s">
        <v>1391</v>
      </c>
      <c r="T7" s="63">
        <v>11500000</v>
      </c>
      <c r="U7" s="63"/>
      <c r="V7" s="18" t="s">
        <v>1394</v>
      </c>
      <c r="W7" s="1" t="b">
        <v>1</v>
      </c>
      <c r="Y7" s="133"/>
      <c r="AE7" s="41"/>
      <c r="AF7" s="41"/>
      <c r="AG7" s="41"/>
    </row>
    <row r="8" spans="1:33">
      <c r="A8" s="338" t="s">
        <v>1398</v>
      </c>
      <c r="B8" s="1" t="str">
        <f t="shared" ref="B8:B11" si="3">D8&amp;"_"&amp;F8&amp;"_"&amp;I8</f>
        <v>M_AGT0602_VM_SAMJIN_300</v>
      </c>
      <c r="C8" s="7" t="s">
        <v>360</v>
      </c>
      <c r="D8" s="7" t="str" cm="1">
        <f t="array" ref="D8">INDEX(기계코드!$D$4:$D$1022,MATCH(1,(C8=기계코드!$F$4:$F$1022)*1,0))</f>
        <v>M_AGT0602</v>
      </c>
      <c r="E8" s="7" t="s">
        <v>1389</v>
      </c>
      <c r="F8" s="7" t="str" cm="1">
        <f t="array" ref="F8">INDEX(공급업체코드!$B$3:$B$1000,MATCH(1,(E8=공급업체코드!$D$3:$D$1000)*1,0))</f>
        <v>VM_SAMJIN</v>
      </c>
      <c r="G8" s="158" t="s">
        <v>1399</v>
      </c>
      <c r="H8" s="34">
        <v>1800</v>
      </c>
      <c r="I8" s="63">
        <v>300</v>
      </c>
      <c r="J8" s="72">
        <v>5.5</v>
      </c>
      <c r="K8" s="7" t="s">
        <v>981</v>
      </c>
      <c r="L8" s="7">
        <v>380</v>
      </c>
      <c r="M8" s="151">
        <v>0.91700000000000004</v>
      </c>
      <c r="N8" s="7">
        <v>0.9</v>
      </c>
      <c r="O8" s="7">
        <v>60</v>
      </c>
      <c r="P8" s="169">
        <v>11</v>
      </c>
      <c r="Q8" s="258" t="s">
        <v>1390</v>
      </c>
      <c r="R8" s="10">
        <f t="shared" si="2"/>
        <v>1</v>
      </c>
      <c r="S8" s="259" t="s">
        <v>1391</v>
      </c>
      <c r="T8" s="63">
        <v>999</v>
      </c>
      <c r="U8" s="63"/>
      <c r="V8" s="18" t="s">
        <v>1354</v>
      </c>
      <c r="W8" s="1" t="b">
        <v>1</v>
      </c>
      <c r="Y8" s="133"/>
      <c r="AE8" s="41"/>
      <c r="AF8" s="41"/>
      <c r="AG8" s="41"/>
    </row>
    <row r="9" spans="1:33">
      <c r="A9" s="338" t="s">
        <v>1397</v>
      </c>
      <c r="B9" s="1" t="str">
        <f t="shared" si="3"/>
        <v>M_AGT0602_VM_SAMJIN_500</v>
      </c>
      <c r="C9" s="7" t="s">
        <v>360</v>
      </c>
      <c r="D9" s="7" t="str" cm="1">
        <f t="array" ref="D9">INDEX(기계코드!$D$4:$D$1022,MATCH(1,(C9=기계코드!$F$4:$F$1022)*1,0))</f>
        <v>M_AGT0602</v>
      </c>
      <c r="E9" s="7" t="s">
        <v>1389</v>
      </c>
      <c r="F9" s="7" t="str" cm="1">
        <f t="array" ref="F9">INDEX(공급업체코드!$B$3:$B$1000,MATCH(1,(E9=공급업체코드!$D$3:$D$1000)*1,0))</f>
        <v>VM_SAMJIN</v>
      </c>
      <c r="G9" s="133" t="s">
        <v>1400</v>
      </c>
      <c r="H9" s="34">
        <v>1800</v>
      </c>
      <c r="I9" s="63">
        <v>500</v>
      </c>
      <c r="J9" s="72">
        <v>7.5</v>
      </c>
      <c r="K9" s="7" t="s">
        <v>981</v>
      </c>
      <c r="L9" s="7">
        <v>380</v>
      </c>
      <c r="M9" s="151">
        <v>0.91700000000000004</v>
      </c>
      <c r="N9" s="7">
        <v>0.9</v>
      </c>
      <c r="O9" s="7">
        <v>60</v>
      </c>
      <c r="P9" s="169">
        <v>11</v>
      </c>
      <c r="Q9" s="258" t="s">
        <v>1390</v>
      </c>
      <c r="R9" s="10">
        <f t="shared" si="2"/>
        <v>1</v>
      </c>
      <c r="S9" s="259" t="s">
        <v>1391</v>
      </c>
      <c r="T9" s="63">
        <v>14000000</v>
      </c>
      <c r="U9" s="63"/>
      <c r="V9" s="18" t="s">
        <v>1394</v>
      </c>
      <c r="W9" s="1" t="b">
        <v>1</v>
      </c>
      <c r="Y9" s="133"/>
      <c r="AE9" s="41"/>
      <c r="AF9" s="41"/>
      <c r="AG9" s="41"/>
    </row>
    <row r="10" spans="1:33">
      <c r="A10" s="338" t="s">
        <v>1401</v>
      </c>
      <c r="B10" s="1" t="str">
        <f t="shared" si="3"/>
        <v>M_AGT0602_VM_SAMJIN_140</v>
      </c>
      <c r="C10" s="7" t="s">
        <v>360</v>
      </c>
      <c r="D10" s="7" t="str" cm="1">
        <f t="array" ref="D10">INDEX(기계코드!$D$4:$D$1022,MATCH(1,(C10=기계코드!$F$4:$F$1022)*1,0))</f>
        <v>M_AGT0602</v>
      </c>
      <c r="E10" s="7" t="s">
        <v>1389</v>
      </c>
      <c r="F10" s="7" t="str" cm="1">
        <f t="array" ref="F10">INDEX(공급업체코드!$B$3:$B$1000,MATCH(1,(E10=공급업체코드!$D$3:$D$1000)*1,0))</f>
        <v>VM_SAMJIN</v>
      </c>
      <c r="G10" s="133" t="s">
        <v>1395</v>
      </c>
      <c r="H10" s="34">
        <v>900</v>
      </c>
      <c r="I10" s="63">
        <v>140</v>
      </c>
      <c r="J10" s="72">
        <v>1.5</v>
      </c>
      <c r="K10" s="7" t="s">
        <v>981</v>
      </c>
      <c r="L10" s="7">
        <v>380</v>
      </c>
      <c r="M10" s="151">
        <v>0.86499999999999999</v>
      </c>
      <c r="N10" s="7">
        <v>0.9</v>
      </c>
      <c r="O10" s="7">
        <v>60</v>
      </c>
      <c r="P10" s="169">
        <v>11</v>
      </c>
      <c r="Q10" s="258" t="s">
        <v>1390</v>
      </c>
      <c r="R10" s="10">
        <f t="shared" si="2"/>
        <v>1</v>
      </c>
      <c r="S10" s="259" t="s">
        <v>1391</v>
      </c>
      <c r="T10" s="63">
        <v>15000000</v>
      </c>
      <c r="U10" s="63"/>
      <c r="V10" s="18" t="s">
        <v>1394</v>
      </c>
      <c r="W10" s="1" t="b">
        <v>1</v>
      </c>
      <c r="AE10" s="41"/>
      <c r="AF10" s="41"/>
      <c r="AG10" s="41"/>
    </row>
    <row r="11" spans="1:33">
      <c r="A11" s="338" t="s">
        <v>1399</v>
      </c>
      <c r="B11" s="1" t="str">
        <f t="shared" si="3"/>
        <v>M_AGT0602_VM_SAMJIN_200</v>
      </c>
      <c r="C11" s="7" t="s">
        <v>360</v>
      </c>
      <c r="D11" s="7" t="str" cm="1">
        <f t="array" ref="D11">INDEX(기계코드!$D$4:$D$1022,MATCH(1,(C11=기계코드!$F$4:$F$1022)*1,0))</f>
        <v>M_AGT0602</v>
      </c>
      <c r="E11" s="7" t="s">
        <v>1389</v>
      </c>
      <c r="F11" s="7" t="str" cm="1">
        <f t="array" ref="F11">INDEX(공급업체코드!$B$3:$B$1000,MATCH(1,(E11=공급업체코드!$D$3:$D$1000)*1,0))</f>
        <v>VM_SAMJIN</v>
      </c>
      <c r="G11" s="133" t="s">
        <v>1398</v>
      </c>
      <c r="H11" s="34">
        <v>900</v>
      </c>
      <c r="I11" s="63">
        <v>200</v>
      </c>
      <c r="J11" s="72">
        <v>2.2000000000000002</v>
      </c>
      <c r="K11" s="7" t="s">
        <v>981</v>
      </c>
      <c r="L11" s="7">
        <v>380</v>
      </c>
      <c r="M11" s="151">
        <v>0.89500000000000002</v>
      </c>
      <c r="N11" s="7">
        <v>0.9</v>
      </c>
      <c r="O11" s="7">
        <v>60</v>
      </c>
      <c r="P11" s="169">
        <v>11</v>
      </c>
      <c r="Q11" s="258" t="s">
        <v>1390</v>
      </c>
      <c r="R11" s="10">
        <f t="shared" si="2"/>
        <v>1</v>
      </c>
      <c r="S11" s="259" t="s">
        <v>1391</v>
      </c>
      <c r="T11" s="63">
        <v>999</v>
      </c>
      <c r="U11" s="63"/>
      <c r="V11" s="18" t="s">
        <v>1354</v>
      </c>
      <c r="W11" s="1" t="b">
        <v>1</v>
      </c>
      <c r="AE11" s="41"/>
      <c r="AF11" s="41"/>
      <c r="AG11" s="41"/>
    </row>
    <row r="12" spans="1:33">
      <c r="A12" s="338" t="s">
        <v>1400</v>
      </c>
      <c r="B12" s="1" t="str">
        <f t="shared" ref="B12:B18" si="4">D12&amp;"_"&amp;F12&amp;"_"&amp;I12</f>
        <v>M_AGT0602_VM_SAMJIN_450</v>
      </c>
      <c r="C12" s="7" t="s">
        <v>360</v>
      </c>
      <c r="D12" s="7" t="str" cm="1">
        <f t="array" ref="D12">INDEX(기계코드!$D$4:$D$1022,MATCH(1,(C12=기계코드!$F$4:$F$1022)*1,0))</f>
        <v>M_AGT0602</v>
      </c>
      <c r="E12" s="7" t="s">
        <v>1389</v>
      </c>
      <c r="F12" s="7" t="str" cm="1">
        <f t="array" ref="F12">INDEX(공급업체코드!$B$3:$B$1000,MATCH(1,(E12=공급업체코드!$D$3:$D$1000)*1,0))</f>
        <v>VM_SAMJIN</v>
      </c>
      <c r="G12" s="133" t="s">
        <v>1401</v>
      </c>
      <c r="H12" s="34">
        <v>900</v>
      </c>
      <c r="I12" s="63">
        <v>450</v>
      </c>
      <c r="J12" s="72">
        <v>3.7</v>
      </c>
      <c r="K12" s="7" t="s">
        <v>981</v>
      </c>
      <c r="L12" s="7">
        <v>380</v>
      </c>
      <c r="M12" s="151">
        <v>0.89500000000000002</v>
      </c>
      <c r="N12" s="7">
        <v>0.9</v>
      </c>
      <c r="O12" s="7">
        <v>60</v>
      </c>
      <c r="P12" s="169">
        <v>11</v>
      </c>
      <c r="Q12" s="258" t="s">
        <v>1390</v>
      </c>
      <c r="R12" s="10">
        <f t="shared" si="2"/>
        <v>1</v>
      </c>
      <c r="S12" s="259" t="s">
        <v>1391</v>
      </c>
      <c r="T12" s="63">
        <v>17000000</v>
      </c>
      <c r="U12" s="63"/>
      <c r="V12" s="18" t="s">
        <v>1394</v>
      </c>
      <c r="W12" s="1" t="b">
        <v>1</v>
      </c>
      <c r="AE12" s="40"/>
      <c r="AF12" s="40"/>
      <c r="AG12" s="41"/>
    </row>
    <row r="13" spans="1:33">
      <c r="A13" s="338" t="s">
        <v>1402</v>
      </c>
      <c r="B13" s="1" t="str">
        <f t="shared" si="4"/>
        <v>M_AGT0602_VM_SAMJIN_850</v>
      </c>
      <c r="C13" s="7" t="s">
        <v>360</v>
      </c>
      <c r="D13" s="7" t="str" cm="1">
        <f t="array" ref="D13">INDEX(기계코드!$D$4:$D$1022,MATCH(1,(C13=기계코드!$F$4:$F$1022)*1,0))</f>
        <v>M_AGT0602</v>
      </c>
      <c r="E13" s="7" t="s">
        <v>1389</v>
      </c>
      <c r="F13" s="7" t="str" cm="1">
        <f t="array" ref="F13">INDEX(공급업체코드!$B$3:$B$1000,MATCH(1,(E13=공급업체코드!$D$3:$D$1000)*1,0))</f>
        <v>VM_SAMJIN</v>
      </c>
      <c r="G13" s="133" t="s">
        <v>1402</v>
      </c>
      <c r="H13" s="34">
        <v>600</v>
      </c>
      <c r="I13" s="64">
        <v>850</v>
      </c>
      <c r="J13" s="72">
        <v>5.5</v>
      </c>
      <c r="K13" s="7" t="s">
        <v>981</v>
      </c>
      <c r="L13" s="7">
        <v>380</v>
      </c>
      <c r="M13" s="151">
        <v>0.91700000000000004</v>
      </c>
      <c r="N13" s="7">
        <v>0.9</v>
      </c>
      <c r="O13" s="7">
        <v>60</v>
      </c>
      <c r="P13" s="169">
        <v>11</v>
      </c>
      <c r="Q13" s="258" t="s">
        <v>1390</v>
      </c>
      <c r="R13" s="10">
        <f t="shared" si="2"/>
        <v>1</v>
      </c>
      <c r="S13" s="259" t="s">
        <v>1391</v>
      </c>
      <c r="T13" s="63">
        <v>22500000</v>
      </c>
      <c r="U13" s="63"/>
      <c r="V13" s="18" t="s">
        <v>1394</v>
      </c>
      <c r="W13" s="1" t="b">
        <v>1</v>
      </c>
      <c r="AE13" s="40"/>
      <c r="AF13" s="40"/>
      <c r="AG13" s="41"/>
    </row>
    <row r="14" spans="1:33">
      <c r="A14" s="338" t="s">
        <v>1403</v>
      </c>
      <c r="B14" s="1" t="str">
        <f t="shared" si="4"/>
        <v>M_AGT0602_VM_SAMJIN_1280</v>
      </c>
      <c r="C14" s="7" t="s">
        <v>360</v>
      </c>
      <c r="D14" s="7" t="str" cm="1">
        <f t="array" ref="D14">INDEX(기계코드!$D$4:$D$1022,MATCH(1,(C14=기계코드!$F$4:$F$1022)*1,0))</f>
        <v>M_AGT0602</v>
      </c>
      <c r="E14" s="7" t="s">
        <v>1389</v>
      </c>
      <c r="F14" s="7" t="str" cm="1">
        <f t="array" ref="F14">INDEX(공급업체코드!$B$3:$B$1000,MATCH(1,(E14=공급업체코드!$D$3:$D$1000)*1,0))</f>
        <v>VM_SAMJIN</v>
      </c>
      <c r="G14" s="113" t="s">
        <v>1403</v>
      </c>
      <c r="H14">
        <v>600</v>
      </c>
      <c r="I14" s="64">
        <v>1280</v>
      </c>
      <c r="J14" s="70">
        <v>7.5</v>
      </c>
      <c r="K14" s="7" t="s">
        <v>981</v>
      </c>
      <c r="L14" s="7">
        <v>380</v>
      </c>
      <c r="M14" s="151">
        <v>0.91700000000000004</v>
      </c>
      <c r="N14" s="7">
        <v>0.9</v>
      </c>
      <c r="O14" s="7">
        <v>60</v>
      </c>
      <c r="P14" s="169">
        <v>11</v>
      </c>
      <c r="Q14" s="258" t="s">
        <v>1390</v>
      </c>
      <c r="R14" s="10">
        <f t="shared" si="2"/>
        <v>1</v>
      </c>
      <c r="S14" s="259" t="s">
        <v>1391</v>
      </c>
      <c r="T14" s="64">
        <v>23500000</v>
      </c>
      <c r="U14" s="64"/>
      <c r="V14" s="18" t="s">
        <v>1394</v>
      </c>
      <c r="W14" s="1" t="b">
        <v>1</v>
      </c>
      <c r="AE14" s="41"/>
      <c r="AF14" s="41"/>
      <c r="AG14" s="41"/>
    </row>
    <row r="15" spans="1:33">
      <c r="A15" s="338" t="s">
        <v>1404</v>
      </c>
      <c r="B15" s="1" t="str">
        <f>D15&amp;"_"&amp;F15&amp;"_"&amp;I15</f>
        <v>M_AGT0602_VM_SAMJIN_1820</v>
      </c>
      <c r="C15" s="7" t="s">
        <v>360</v>
      </c>
      <c r="D15" s="7" t="str" cm="1">
        <f t="array" ref="D15">INDEX(기계코드!$D$4:$D$1022,MATCH(1,(C15=기계코드!$F$4:$F$1022)*1,0))</f>
        <v>M_AGT0602</v>
      </c>
      <c r="E15" s="7" t="s">
        <v>1389</v>
      </c>
      <c r="F15" s="7" t="str" cm="1">
        <f t="array" ref="F15">INDEX(공급업체코드!$B$3:$B$1000,MATCH(1,(E15=공급업체코드!$D$3:$D$1000)*1,0))</f>
        <v>VM_SAMJIN</v>
      </c>
      <c r="G15" s="113" t="s">
        <v>1404</v>
      </c>
      <c r="H15">
        <v>600</v>
      </c>
      <c r="I15" s="64">
        <v>1820</v>
      </c>
      <c r="J15" s="70">
        <v>11</v>
      </c>
      <c r="K15" s="7" t="s">
        <v>981</v>
      </c>
      <c r="L15" s="7">
        <v>380</v>
      </c>
      <c r="M15" s="151">
        <v>0.92400000000000004</v>
      </c>
      <c r="N15" s="7">
        <v>0.9</v>
      </c>
      <c r="O15" s="7">
        <v>60</v>
      </c>
      <c r="P15" s="169">
        <v>11</v>
      </c>
      <c r="Q15" s="258" t="s">
        <v>1390</v>
      </c>
      <c r="R15" s="10">
        <f t="shared" si="2"/>
        <v>1</v>
      </c>
      <c r="S15" s="259" t="s">
        <v>1391</v>
      </c>
      <c r="T15" s="64">
        <v>999</v>
      </c>
      <c r="U15" s="64"/>
      <c r="V15" s="18" t="s">
        <v>1354</v>
      </c>
      <c r="W15" s="1" t="b">
        <v>1</v>
      </c>
      <c r="AE15" s="40"/>
      <c r="AF15" s="40"/>
      <c r="AG15" s="41"/>
    </row>
    <row r="16" spans="1:33">
      <c r="A16" s="338" t="s">
        <v>1405</v>
      </c>
      <c r="B16" s="1" t="str">
        <f t="shared" si="4"/>
        <v>M_AGT0602_VM_SAMJIN_2500</v>
      </c>
      <c r="C16" s="7" t="s">
        <v>360</v>
      </c>
      <c r="D16" s="7" t="str" cm="1">
        <f t="array" ref="D16">INDEX(기계코드!$D$4:$D$1022,MATCH(1,(C16=기계코드!$F$4:$F$1022)*1,0))</f>
        <v>M_AGT0602</v>
      </c>
      <c r="E16" s="7" t="s">
        <v>1389</v>
      </c>
      <c r="F16" s="7" t="str" cm="1">
        <f t="array" ref="F16">INDEX(공급업체코드!$B$3:$B$1000,MATCH(1,(E16=공급업체코드!$D$3:$D$1000)*1,0))</f>
        <v>VM_SAMJIN</v>
      </c>
      <c r="G16" s="113" t="s">
        <v>1405</v>
      </c>
      <c r="H16">
        <v>450</v>
      </c>
      <c r="I16" s="64">
        <v>2500</v>
      </c>
      <c r="J16" s="70">
        <v>15</v>
      </c>
      <c r="K16" s="7" t="s">
        <v>987</v>
      </c>
      <c r="L16" s="7">
        <v>380</v>
      </c>
      <c r="M16" s="151">
        <v>0.93</v>
      </c>
      <c r="N16" s="7">
        <v>0.9</v>
      </c>
      <c r="O16" s="7">
        <v>60</v>
      </c>
      <c r="P16" s="169">
        <v>11</v>
      </c>
      <c r="Q16" s="258" t="s">
        <v>1390</v>
      </c>
      <c r="R16" s="10">
        <f t="shared" si="2"/>
        <v>1</v>
      </c>
      <c r="S16" s="259" t="s">
        <v>1391</v>
      </c>
      <c r="T16" s="64">
        <v>999</v>
      </c>
      <c r="U16" s="64"/>
      <c r="V16" s="18" t="s">
        <v>1354</v>
      </c>
      <c r="W16" s="1" t="b">
        <v>1</v>
      </c>
      <c r="AE16" s="40"/>
      <c r="AF16" s="40"/>
      <c r="AG16" s="40"/>
    </row>
    <row r="17" spans="1:33">
      <c r="A17" s="338" t="s">
        <v>1406</v>
      </c>
      <c r="B17" s="1" t="str">
        <f t="shared" si="4"/>
        <v>M_AGT0602_VM_SAMJIN_3650</v>
      </c>
      <c r="C17" s="7" t="s">
        <v>360</v>
      </c>
      <c r="D17" s="7" t="str" cm="1">
        <f t="array" ref="D17">INDEX(기계코드!$D$4:$D$1022,MATCH(1,(C17=기계코드!$F$4:$F$1022)*1,0))</f>
        <v>M_AGT0602</v>
      </c>
      <c r="E17" s="7" t="s">
        <v>1389</v>
      </c>
      <c r="F17" s="7" t="str" cm="1">
        <f t="array" ref="F17">INDEX(공급업체코드!$B$3:$B$1000,MATCH(1,(E17=공급업체코드!$D$3:$D$1000)*1,0))</f>
        <v>VM_SAMJIN</v>
      </c>
      <c r="G17" s="113" t="s">
        <v>1406</v>
      </c>
      <c r="H17">
        <v>450</v>
      </c>
      <c r="I17" s="64">
        <v>3650</v>
      </c>
      <c r="J17" s="70">
        <v>22</v>
      </c>
      <c r="K17" s="7" t="s">
        <v>987</v>
      </c>
      <c r="L17" s="7">
        <v>380</v>
      </c>
      <c r="M17" s="151">
        <v>0.93599999999999994</v>
      </c>
      <c r="N17" s="7">
        <v>0.9</v>
      </c>
      <c r="O17" s="7">
        <v>60</v>
      </c>
      <c r="P17" s="169">
        <v>11</v>
      </c>
      <c r="Q17" s="258" t="s">
        <v>1390</v>
      </c>
      <c r="R17" s="10">
        <f t="shared" si="2"/>
        <v>1</v>
      </c>
      <c r="S17" s="259" t="s">
        <v>1391</v>
      </c>
      <c r="T17" s="170">
        <v>999</v>
      </c>
      <c r="U17" s="170"/>
      <c r="V17" s="18" t="s">
        <v>1354</v>
      </c>
      <c r="W17" s="1" t="b">
        <v>1</v>
      </c>
      <c r="AE17" s="40"/>
      <c r="AF17" s="40"/>
      <c r="AG17" s="41"/>
    </row>
    <row r="18" spans="1:33">
      <c r="A18" s="339" t="s">
        <v>1407</v>
      </c>
      <c r="B18" s="1" t="str">
        <f t="shared" si="4"/>
        <v>M_AGT0602_VM_SAMJIN_5000</v>
      </c>
      <c r="C18" s="7" t="s">
        <v>360</v>
      </c>
      <c r="D18" s="7" t="str" cm="1">
        <f t="array" ref="D18">INDEX(기계코드!$D$4:$D$1022,MATCH(1,(C18=기계코드!$F$4:$F$1022)*1,0))</f>
        <v>M_AGT0602</v>
      </c>
      <c r="E18" s="7" t="s">
        <v>1389</v>
      </c>
      <c r="F18" s="7" t="str" cm="1">
        <f t="array" ref="F18">INDEX(공급업체코드!$B$3:$B$1000,MATCH(1,(E18=공급업체코드!$D$3:$D$1000)*1,0))</f>
        <v>VM_SAMJIN</v>
      </c>
      <c r="G18" s="113" t="s">
        <v>1407</v>
      </c>
      <c r="H18">
        <v>450</v>
      </c>
      <c r="I18" s="64">
        <v>5000</v>
      </c>
      <c r="J18" s="70">
        <v>30</v>
      </c>
      <c r="K18" s="7" t="s">
        <v>987</v>
      </c>
      <c r="L18" s="7">
        <v>380</v>
      </c>
      <c r="M18" s="151">
        <v>0.94099999999999995</v>
      </c>
      <c r="N18" s="7">
        <v>0.9</v>
      </c>
      <c r="O18" s="7">
        <v>60</v>
      </c>
      <c r="P18" s="169">
        <v>11</v>
      </c>
      <c r="Q18" s="258" t="s">
        <v>1390</v>
      </c>
      <c r="R18" s="10">
        <f t="shared" si="2"/>
        <v>1</v>
      </c>
      <c r="S18" s="259" t="s">
        <v>1391</v>
      </c>
      <c r="T18" s="64">
        <v>999</v>
      </c>
      <c r="U18" s="64"/>
      <c r="V18" s="18" t="s">
        <v>1354</v>
      </c>
      <c r="W18" s="1" t="b">
        <v>1</v>
      </c>
      <c r="AE18" s="41"/>
      <c r="AF18" s="41"/>
      <c r="AG18" s="41"/>
    </row>
    <row r="19" spans="1:33">
      <c r="A19" t="s">
        <v>1408</v>
      </c>
      <c r="B19" s="1" t="str">
        <f>D19&amp;"_"&amp;F19&amp;"_"&amp;J19</f>
        <v>M_AGT0701_VM_ECOWO_0.75</v>
      </c>
      <c r="C19" s="7" t="s">
        <v>369</v>
      </c>
      <c r="D19" s="7" t="str" cm="1">
        <f t="array" ref="D19">INDEX(기계코드!$D$4:$D$1022,MATCH(1,(C19=기계코드!$F$4:$F$1022)*1,0))</f>
        <v>M_AGT0701</v>
      </c>
      <c r="E19" s="7" t="s">
        <v>1223</v>
      </c>
      <c r="F19" s="7" t="str" cm="1">
        <f t="array" ref="F19">INDEX(공급업체코드!$B$3:$B$1000,MATCH(1,(E19=공급업체코드!$D$3:$D$1000)*1,0))</f>
        <v>VM_ECOWO</v>
      </c>
      <c r="G19" s="113" t="s">
        <v>1409</v>
      </c>
      <c r="I19" s="64">
        <v>45</v>
      </c>
      <c r="J19">
        <v>0.75</v>
      </c>
      <c r="K19" s="7" t="s">
        <v>981</v>
      </c>
      <c r="L19" s="7">
        <v>380</v>
      </c>
      <c r="M19" s="151">
        <v>0.83499999999999996</v>
      </c>
      <c r="N19" s="7">
        <v>0.9</v>
      </c>
      <c r="O19" s="7">
        <v>60</v>
      </c>
      <c r="P19" s="169">
        <v>11</v>
      </c>
      <c r="Q19" s="258" t="s">
        <v>1390</v>
      </c>
      <c r="R19" s="10">
        <f t="shared" si="2"/>
        <v>1</v>
      </c>
      <c r="S19" s="259" t="s">
        <v>1391</v>
      </c>
      <c r="T19" s="64">
        <v>14000000</v>
      </c>
      <c r="U19" s="64"/>
      <c r="V19" s="18" t="s">
        <v>1394</v>
      </c>
      <c r="W19" s="1" t="b">
        <v>1</v>
      </c>
      <c r="AE19" s="41"/>
      <c r="AF19" s="41"/>
      <c r="AG19" s="41"/>
    </row>
    <row r="20" spans="1:33">
      <c r="A20" t="s">
        <v>1410</v>
      </c>
      <c r="B20" s="1" t="str">
        <f t="shared" ref="B20:B21" si="5">D20&amp;"_"&amp;F20&amp;"_"&amp;J20</f>
        <v>M_AGT0701_VM_ECOWO_1.5</v>
      </c>
      <c r="C20" s="7" t="s">
        <v>369</v>
      </c>
      <c r="D20" s="7" t="str" cm="1">
        <f t="array" ref="D20">INDEX(기계코드!$D$4:$D$1022,MATCH(1,(C20=기계코드!$F$4:$F$1022)*1,0))</f>
        <v>M_AGT0701</v>
      </c>
      <c r="E20" s="7" t="s">
        <v>1223</v>
      </c>
      <c r="F20" s="7" t="str" cm="1">
        <f t="array" ref="F20">INDEX(공급업체코드!$B$3:$B$1000,MATCH(1,(E20=공급업체코드!$D$3:$D$1000)*1,0))</f>
        <v>VM_ECOWO</v>
      </c>
      <c r="G20" s="113" t="s">
        <v>1411</v>
      </c>
      <c r="I20" s="64">
        <v>91</v>
      </c>
      <c r="J20">
        <v>1.5</v>
      </c>
      <c r="K20" s="7" t="s">
        <v>981</v>
      </c>
      <c r="L20" s="7">
        <v>380</v>
      </c>
      <c r="M20" s="151">
        <v>0.86499999999999999</v>
      </c>
      <c r="N20" s="7">
        <v>0.9</v>
      </c>
      <c r="O20" s="7">
        <v>60</v>
      </c>
      <c r="P20" s="169">
        <v>11</v>
      </c>
      <c r="Q20" s="258" t="s">
        <v>1390</v>
      </c>
      <c r="R20" s="10">
        <f t="shared" si="2"/>
        <v>1</v>
      </c>
      <c r="S20" s="259" t="s">
        <v>1391</v>
      </c>
      <c r="T20" s="64">
        <v>16000000</v>
      </c>
      <c r="U20" s="64"/>
      <c r="V20" s="18" t="s">
        <v>1394</v>
      </c>
      <c r="W20" s="1" t="b">
        <v>1</v>
      </c>
      <c r="AE20" s="40"/>
      <c r="AF20" s="40"/>
      <c r="AG20" s="41"/>
    </row>
    <row r="21" spans="1:33">
      <c r="A21" t="s">
        <v>1412</v>
      </c>
      <c r="B21" s="1" t="str">
        <f t="shared" si="5"/>
        <v>M_AGT0701_VM_ECOWO_3.7</v>
      </c>
      <c r="C21" s="7" t="s">
        <v>369</v>
      </c>
      <c r="D21" s="7" t="str" cm="1">
        <f t="array" ref="D21">INDEX(기계코드!$D$4:$D$1022,MATCH(1,(C21=기계코드!$F$4:$F$1022)*1,0))</f>
        <v>M_AGT0701</v>
      </c>
      <c r="E21" s="7" t="s">
        <v>1223</v>
      </c>
      <c r="F21" s="7" t="str" cm="1">
        <f t="array" ref="F21">INDEX(공급업체코드!$B$3:$B$1000,MATCH(1,(E21=공급업체코드!$D$3:$D$1000)*1,0))</f>
        <v>VM_ECOWO</v>
      </c>
      <c r="G21" s="113" t="s">
        <v>1413</v>
      </c>
      <c r="I21" s="64">
        <v>224</v>
      </c>
      <c r="J21">
        <v>3.7</v>
      </c>
      <c r="K21" s="7" t="s">
        <v>981</v>
      </c>
      <c r="L21" s="7">
        <v>380</v>
      </c>
      <c r="M21" s="151">
        <v>0.89500000000000002</v>
      </c>
      <c r="N21" s="7">
        <v>0.9</v>
      </c>
      <c r="O21" s="7">
        <v>60</v>
      </c>
      <c r="P21" s="169">
        <v>11</v>
      </c>
      <c r="Q21" s="258" t="s">
        <v>1390</v>
      </c>
      <c r="R21" s="10">
        <f t="shared" si="2"/>
        <v>1</v>
      </c>
      <c r="S21" s="259" t="s">
        <v>1391</v>
      </c>
      <c r="T21" s="64">
        <v>17000000</v>
      </c>
      <c r="U21" s="64"/>
      <c r="V21" s="18" t="s">
        <v>1394</v>
      </c>
      <c r="W21" s="1" t="b">
        <v>1</v>
      </c>
      <c r="AE21" s="41"/>
      <c r="AF21" s="41"/>
      <c r="AG21" s="41"/>
    </row>
    <row r="22" spans="1:33">
      <c r="A22" t="s">
        <v>1414</v>
      </c>
      <c r="B22" s="1" t="str">
        <f t="shared" ref="B22:B27" si="6">D22&amp;"_"&amp;F22&amp;"_"&amp;I22</f>
        <v>M_AGT0702_VM_BKT_52.5</v>
      </c>
      <c r="C22" s="7" t="s">
        <v>372</v>
      </c>
      <c r="D22" s="7" t="str" cm="1">
        <f t="array" ref="D22">INDEX(기계코드!$D$4:$D$1022,MATCH(1,(C22=기계코드!$F$4:$F$1022)*1,0))</f>
        <v>M_AGT0702</v>
      </c>
      <c r="E22" s="7" t="s">
        <v>1128</v>
      </c>
      <c r="F22" s="7" t="str" cm="1">
        <f t="array" ref="F22">INDEX(공급업체코드!$B$3:$B$1000,MATCH(1,(E22=공급업체코드!$D$3:$D$1000)*1,0))</f>
        <v>VM_BKT</v>
      </c>
      <c r="G22" s="113"/>
      <c r="I22" s="64">
        <v>52.5</v>
      </c>
      <c r="J22" s="70">
        <v>0.75</v>
      </c>
      <c r="K22" s="7" t="s">
        <v>981</v>
      </c>
      <c r="L22" s="7">
        <v>380</v>
      </c>
      <c r="M22" s="151">
        <v>0.83499999999999996</v>
      </c>
      <c r="N22" s="7">
        <v>0.9</v>
      </c>
      <c r="O22" s="7">
        <v>60</v>
      </c>
      <c r="P22" s="316">
        <v>0.123</v>
      </c>
      <c r="Q22" s="258" t="s">
        <v>1390</v>
      </c>
      <c r="R22" s="265"/>
      <c r="S22" s="259" t="s">
        <v>1375</v>
      </c>
      <c r="T22">
        <v>68000000</v>
      </c>
      <c r="V22" s="119" t="s">
        <v>1315</v>
      </c>
      <c r="W22" s="1" t="b">
        <v>1</v>
      </c>
      <c r="AE22" s="41"/>
      <c r="AF22" s="41"/>
      <c r="AG22" s="41"/>
    </row>
    <row r="23" spans="1:33">
      <c r="A23" t="s">
        <v>1415</v>
      </c>
      <c r="B23" s="1" t="str">
        <f t="shared" si="6"/>
        <v>M_AGT0702_VM_BKT_90</v>
      </c>
      <c r="C23" s="7" t="s">
        <v>372</v>
      </c>
      <c r="D23" s="7" t="str" cm="1">
        <f t="array" ref="D23">INDEX(기계코드!$D$4:$D$1022,MATCH(1,(C23=기계코드!$F$4:$F$1022)*1,0))</f>
        <v>M_AGT0702</v>
      </c>
      <c r="E23" s="7" t="s">
        <v>1128</v>
      </c>
      <c r="F23" s="7" t="str" cm="1">
        <f t="array" ref="F23">INDEX(공급업체코드!$B$3:$B$1000,MATCH(1,(E23=공급업체코드!$D$3:$D$1000)*1,0))</f>
        <v>VM_BKT</v>
      </c>
      <c r="G23" s="113"/>
      <c r="I23" s="64">
        <v>90</v>
      </c>
      <c r="J23" s="70">
        <v>1.5</v>
      </c>
      <c r="K23" s="7" t="s">
        <v>981</v>
      </c>
      <c r="L23" s="7">
        <v>380</v>
      </c>
      <c r="M23" s="151">
        <v>0.86499999999999999</v>
      </c>
      <c r="N23" s="7">
        <v>0.9</v>
      </c>
      <c r="O23" s="7">
        <v>60</v>
      </c>
      <c r="P23" s="316">
        <v>0.123</v>
      </c>
      <c r="Q23" s="258" t="s">
        <v>1390</v>
      </c>
      <c r="R23" s="265"/>
      <c r="S23" s="259" t="s">
        <v>1375</v>
      </c>
      <c r="T23">
        <v>84000000</v>
      </c>
      <c r="V23" s="119" t="s">
        <v>1315</v>
      </c>
      <c r="W23" s="1" t="b">
        <v>1</v>
      </c>
      <c r="AE23" s="41"/>
      <c r="AF23" s="41"/>
      <c r="AG23" s="41"/>
    </row>
    <row r="24" spans="1:33">
      <c r="A24" t="s">
        <v>1416</v>
      </c>
      <c r="B24" s="1" t="str">
        <f t="shared" si="6"/>
        <v>M_AGT0702_VM_BKT_137.5</v>
      </c>
      <c r="C24" s="7" t="s">
        <v>372</v>
      </c>
      <c r="D24" s="7" t="str" cm="1">
        <f t="array" ref="D24">INDEX(기계코드!$D$4:$D$1022,MATCH(1,(C24=기계코드!$F$4:$F$1022)*1,0))</f>
        <v>M_AGT0702</v>
      </c>
      <c r="E24" s="7" t="s">
        <v>1128</v>
      </c>
      <c r="F24" s="7" t="str" cm="1">
        <f t="array" ref="F24">INDEX(공급업체코드!$B$3:$B$1000,MATCH(1,(E24=공급업체코드!$D$3:$D$1000)*1,0))</f>
        <v>VM_BKT</v>
      </c>
      <c r="G24" s="113"/>
      <c r="I24" s="64">
        <v>137.5</v>
      </c>
      <c r="J24" s="70">
        <v>2.2000000000000002</v>
      </c>
      <c r="K24" s="7" t="s">
        <v>981</v>
      </c>
      <c r="L24" s="7">
        <v>380</v>
      </c>
      <c r="M24" s="151">
        <v>0.89500000000000002</v>
      </c>
      <c r="N24" s="7">
        <v>0.9</v>
      </c>
      <c r="O24" s="7">
        <v>60</v>
      </c>
      <c r="P24" s="316">
        <v>0.123</v>
      </c>
      <c r="Q24" s="258" t="s">
        <v>1390</v>
      </c>
      <c r="R24" s="265"/>
      <c r="S24" s="259" t="s">
        <v>1375</v>
      </c>
      <c r="T24">
        <v>91000000</v>
      </c>
      <c r="V24" s="119" t="s">
        <v>1315</v>
      </c>
      <c r="W24" s="1" t="b">
        <v>1</v>
      </c>
      <c r="AE24" s="40"/>
      <c r="AF24" s="40"/>
      <c r="AG24" s="41"/>
    </row>
    <row r="25" spans="1:33">
      <c r="A25" t="s">
        <v>1417</v>
      </c>
      <c r="B25" s="1" t="str">
        <f t="shared" si="6"/>
        <v>M_AGT0702_VM_BKT_195</v>
      </c>
      <c r="C25" s="7" t="s">
        <v>372</v>
      </c>
      <c r="D25" s="7" t="str" cm="1">
        <f t="array" ref="D25">INDEX(기계코드!$D$4:$D$1022,MATCH(1,(C25=기계코드!$F$4:$F$1022)*1,0))</f>
        <v>M_AGT0702</v>
      </c>
      <c r="E25" s="7" t="s">
        <v>1128</v>
      </c>
      <c r="F25" s="7" t="str" cm="1">
        <f t="array" ref="F25">INDEX(공급업체코드!$B$3:$B$1000,MATCH(1,(E25=공급업체코드!$D$3:$D$1000)*1,0))</f>
        <v>VM_BKT</v>
      </c>
      <c r="G25" s="113"/>
      <c r="I25" s="64">
        <v>195</v>
      </c>
      <c r="J25" s="70">
        <v>3.7</v>
      </c>
      <c r="K25" s="7" t="s">
        <v>981</v>
      </c>
      <c r="L25" s="7">
        <v>380</v>
      </c>
      <c r="M25" s="151">
        <v>0.89500000000000002</v>
      </c>
      <c r="N25" s="7">
        <v>0.9</v>
      </c>
      <c r="O25" s="7">
        <v>60</v>
      </c>
      <c r="P25" s="316">
        <v>0.123</v>
      </c>
      <c r="Q25" s="258" t="s">
        <v>1390</v>
      </c>
      <c r="R25" s="265"/>
      <c r="S25" s="259" t="s">
        <v>1375</v>
      </c>
      <c r="T25">
        <v>101000000</v>
      </c>
      <c r="V25" s="119" t="s">
        <v>1315</v>
      </c>
      <c r="W25" s="1" t="b">
        <v>1</v>
      </c>
      <c r="AE25" s="41"/>
      <c r="AF25" s="41"/>
      <c r="AG25" s="41"/>
    </row>
    <row r="26" spans="1:33">
      <c r="A26" t="s">
        <v>1418</v>
      </c>
      <c r="B26" s="1" t="str">
        <f t="shared" si="6"/>
        <v>M_AGT0702_VM_BKT_280</v>
      </c>
      <c r="C26" s="7" t="s">
        <v>372</v>
      </c>
      <c r="D26" s="7" t="str" cm="1">
        <f t="array" ref="D26">INDEX(기계코드!$D$4:$D$1022,MATCH(1,(C26=기계코드!$F$4:$F$1022)*1,0))</f>
        <v>M_AGT0702</v>
      </c>
      <c r="E26" s="7" t="s">
        <v>1128</v>
      </c>
      <c r="F26" s="7" t="str" cm="1">
        <f t="array" ref="F26">INDEX(공급업체코드!$B$3:$B$1000,MATCH(1,(E26=공급업체코드!$D$3:$D$1000)*1,0))</f>
        <v>VM_BKT</v>
      </c>
      <c r="G26" s="113"/>
      <c r="I26" s="64">
        <v>280</v>
      </c>
      <c r="J26" s="70">
        <v>5.5</v>
      </c>
      <c r="K26" s="7" t="s">
        <v>981</v>
      </c>
      <c r="L26" s="7">
        <v>380</v>
      </c>
      <c r="M26" s="151">
        <v>0.91700000000000004</v>
      </c>
      <c r="N26" s="7">
        <v>0.9</v>
      </c>
      <c r="O26" s="7">
        <v>60</v>
      </c>
      <c r="P26" s="316">
        <v>0.123</v>
      </c>
      <c r="Q26" s="258" t="s">
        <v>1390</v>
      </c>
      <c r="R26" s="265"/>
      <c r="S26" s="259" t="s">
        <v>1375</v>
      </c>
      <c r="T26">
        <v>114000000</v>
      </c>
      <c r="V26" s="119" t="s">
        <v>1315</v>
      </c>
      <c r="W26" s="1" t="b">
        <v>1</v>
      </c>
      <c r="AE26" s="41"/>
      <c r="AF26" s="41"/>
      <c r="AG26" s="41"/>
    </row>
    <row r="27" spans="1:33">
      <c r="A27" t="s">
        <v>1419</v>
      </c>
      <c r="B27" s="1" t="str">
        <f t="shared" si="6"/>
        <v>M_AGT0702_VM_BKT_500</v>
      </c>
      <c r="C27" s="7" t="s">
        <v>372</v>
      </c>
      <c r="D27" s="7" t="str" cm="1">
        <f t="array" ref="D27">INDEX(기계코드!$D$4:$D$1022,MATCH(1,(C27=기계코드!$F$4:$F$1022)*1,0))</f>
        <v>M_AGT0702</v>
      </c>
      <c r="E27" s="7" t="s">
        <v>1128</v>
      </c>
      <c r="F27" s="7" t="str" cm="1">
        <f t="array" ref="F27">INDEX(공급업체코드!$B$3:$B$1000,MATCH(1,(E27=공급업체코드!$D$3:$D$1000)*1,0))</f>
        <v>VM_BKT</v>
      </c>
      <c r="G27" s="113"/>
      <c r="I27" s="64">
        <v>500</v>
      </c>
      <c r="J27" s="70">
        <v>11</v>
      </c>
      <c r="K27" s="7" t="s">
        <v>981</v>
      </c>
      <c r="L27" s="7">
        <v>380</v>
      </c>
      <c r="M27" s="151">
        <v>0.92400000000000004</v>
      </c>
      <c r="N27" s="7">
        <v>0.9</v>
      </c>
      <c r="O27" s="7">
        <v>60</v>
      </c>
      <c r="P27" s="316">
        <v>0.123</v>
      </c>
      <c r="Q27" s="258" t="s">
        <v>1390</v>
      </c>
      <c r="R27" s="265"/>
      <c r="S27" s="259" t="s">
        <v>1375</v>
      </c>
      <c r="T27">
        <v>138000000</v>
      </c>
      <c r="V27" s="119" t="s">
        <v>1315</v>
      </c>
      <c r="W27" s="1" t="b">
        <v>1</v>
      </c>
      <c r="AE27" s="41"/>
      <c r="AF27" s="41"/>
      <c r="AG27" s="41"/>
    </row>
    <row r="28" spans="1:33">
      <c r="A28" t="s">
        <v>1420</v>
      </c>
      <c r="B28" s="1" t="str">
        <f t="shared" ref="B28" si="7">D28&amp;"_"&amp;F28&amp;"_"&amp;I28</f>
        <v>M_AGT0601_VM_SAMJIN_140</v>
      </c>
      <c r="C28" s="7" t="s">
        <v>357</v>
      </c>
      <c r="D28" s="7" t="str" cm="1">
        <f t="array" ref="D28">INDEX(기계코드!$D$4:$D$1022,MATCH(1,(C28=기계코드!$F$4:$F$1022)*1,0))</f>
        <v>M_AGT0601</v>
      </c>
      <c r="E28" s="7" t="s">
        <v>1389</v>
      </c>
      <c r="F28" s="7" t="str" cm="1">
        <f t="array" ref="F28">INDEX(공급업체코드!$B$3:$B$1000,MATCH(1,(E28=공급업체코드!$D$3:$D$1000)*1,0))</f>
        <v>VM_SAMJIN</v>
      </c>
      <c r="G28" s="113"/>
      <c r="I28" s="64">
        <v>140</v>
      </c>
      <c r="J28" s="70">
        <v>1.5</v>
      </c>
      <c r="K28" s="7" t="s">
        <v>981</v>
      </c>
      <c r="L28" s="7">
        <v>380</v>
      </c>
      <c r="M28" s="151">
        <v>0.86499999999999999</v>
      </c>
      <c r="N28" s="7">
        <v>0.9</v>
      </c>
      <c r="O28" s="7">
        <v>60</v>
      </c>
      <c r="P28" s="169">
        <v>11</v>
      </c>
      <c r="Q28" s="258" t="s">
        <v>1390</v>
      </c>
      <c r="R28" s="10">
        <f t="shared" ref="R28" si="8">IF(P28&lt;500,1,IF(P28&lt;1000,2,IF(P28&lt;5000,3,4)))</f>
        <v>1</v>
      </c>
      <c r="S28" s="259" t="s">
        <v>1391</v>
      </c>
      <c r="T28" s="64">
        <v>999</v>
      </c>
      <c r="U28" s="64"/>
      <c r="V28" s="18" t="s">
        <v>1354</v>
      </c>
      <c r="W28" s="1" t="b">
        <v>1</v>
      </c>
      <c r="Y28"/>
      <c r="AD28" s="40"/>
      <c r="AE28" s="40"/>
      <c r="AF28" s="41"/>
    </row>
    <row r="29" spans="1:33">
      <c r="B29" s="1"/>
      <c r="C29" s="7"/>
      <c r="D29" s="7"/>
      <c r="E29" s="7"/>
      <c r="F29" s="7"/>
      <c r="G29" s="113"/>
      <c r="I29" s="64"/>
      <c r="J29" s="70"/>
      <c r="P29" s="119"/>
      <c r="Q29" s="258"/>
      <c r="S29" s="259"/>
      <c r="T29" s="64"/>
      <c r="U29" s="64"/>
      <c r="V29" s="65"/>
      <c r="W29" s="1"/>
      <c r="AE29" s="41"/>
      <c r="AF29" s="41"/>
      <c r="AG29" s="41"/>
    </row>
    <row r="30" spans="1:33">
      <c r="A30" s="203"/>
      <c r="B30" s="1" t="str">
        <f t="shared" ref="B30" si="9">D30&amp;"_"&amp;F30&amp;"_"&amp;I30</f>
        <v>M_AGT0603_VM_BKT_585</v>
      </c>
      <c r="C30" s="7" t="s">
        <v>363</v>
      </c>
      <c r="D30" s="7" t="str" cm="1">
        <f t="array" ref="D30">INDEX(기계코드!$D$4:$D$1022,MATCH(1,(C30=기계코드!$F$4:$F$1022)*1,0))</f>
        <v>M_AGT0603</v>
      </c>
      <c r="E30" s="7" t="s">
        <v>1128</v>
      </c>
      <c r="F30" s="7" t="str" cm="1">
        <f t="array" ref="F30">INDEX(공급업체코드!$B$3:$B$1000,MATCH(1,(E30=공급업체코드!$D$3:$D$1000)*1,0))</f>
        <v>VM_BKT</v>
      </c>
      <c r="G30" s="113"/>
      <c r="I30" s="64">
        <v>585</v>
      </c>
      <c r="J30" s="70">
        <v>3.7</v>
      </c>
      <c r="K30" s="7" t="s">
        <v>984</v>
      </c>
      <c r="L30">
        <v>380</v>
      </c>
      <c r="M30" s="151">
        <v>0.89500000000000002</v>
      </c>
      <c r="N30" s="7">
        <v>0.9</v>
      </c>
      <c r="O30" s="7">
        <v>60</v>
      </c>
      <c r="P30" s="340">
        <v>0.123</v>
      </c>
      <c r="Q30" s="258" t="s">
        <v>1421</v>
      </c>
      <c r="S30" s="259" t="s">
        <v>1314</v>
      </c>
      <c r="T30" s="64">
        <v>146500000</v>
      </c>
      <c r="U30" s="64"/>
      <c r="V30" s="65" t="s">
        <v>1315</v>
      </c>
      <c r="W30" s="1" t="b">
        <v>1</v>
      </c>
    </row>
    <row r="31" spans="1:33">
      <c r="A31" s="203"/>
      <c r="B31" s="1" t="str">
        <f t="shared" ref="B31:B34" si="10">D31&amp;"_"&amp;F31&amp;"_"&amp;I31</f>
        <v>M_AGT0603_VM_BKT_1105</v>
      </c>
      <c r="C31" s="7" t="s">
        <v>363</v>
      </c>
      <c r="D31" s="7" t="str" cm="1">
        <f t="array" ref="D31">INDEX(기계코드!$D$4:$D$1022,MATCH(1,(C31=기계코드!$F$4:$F$1022)*1,0))</f>
        <v>M_AGT0603</v>
      </c>
      <c r="E31" s="7" t="s">
        <v>1128</v>
      </c>
      <c r="F31" s="7" t="str" cm="1">
        <f t="array" ref="F31">INDEX(공급업체코드!$B$3:$B$1000,MATCH(1,(E31=공급업체코드!$D$3:$D$1000)*1,0))</f>
        <v>VM_BKT</v>
      </c>
      <c r="I31" s="64">
        <v>1105</v>
      </c>
      <c r="J31" s="70">
        <v>5.5</v>
      </c>
      <c r="K31" s="7" t="s">
        <v>984</v>
      </c>
      <c r="L31">
        <v>380</v>
      </c>
      <c r="M31" s="151">
        <v>0.91700000000000004</v>
      </c>
      <c r="N31" s="7">
        <v>0.9</v>
      </c>
      <c r="O31" s="7">
        <v>60</v>
      </c>
      <c r="P31" s="340">
        <v>0.123</v>
      </c>
      <c r="Q31" s="258" t="s">
        <v>1421</v>
      </c>
      <c r="S31" s="259" t="s">
        <v>1314</v>
      </c>
      <c r="T31" s="64">
        <v>154500000</v>
      </c>
      <c r="U31" s="64"/>
      <c r="V31" s="65" t="s">
        <v>1315</v>
      </c>
      <c r="W31" s="1" t="b">
        <v>1</v>
      </c>
    </row>
    <row r="32" spans="1:33">
      <c r="A32" s="203"/>
      <c r="B32" s="1" t="str">
        <f t="shared" si="10"/>
        <v>M_AGT0603_VM_BKT_1664</v>
      </c>
      <c r="C32" s="7" t="s">
        <v>363</v>
      </c>
      <c r="D32" s="7" t="str" cm="1">
        <f t="array" ref="D32">INDEX(기계코드!$D$4:$D$1022,MATCH(1,(C32=기계코드!$F$4:$F$1022)*1,0))</f>
        <v>M_AGT0603</v>
      </c>
      <c r="E32" s="7" t="s">
        <v>1128</v>
      </c>
      <c r="F32" s="7" t="str" cm="1">
        <f t="array" ref="F32">INDEX(공급업체코드!$B$3:$B$1000,MATCH(1,(E32=공급업체코드!$D$3:$D$1000)*1,0))</f>
        <v>VM_BKT</v>
      </c>
      <c r="I32" s="64">
        <v>1664</v>
      </c>
      <c r="J32" s="70">
        <v>7.5</v>
      </c>
      <c r="K32" s="7" t="s">
        <v>984</v>
      </c>
      <c r="L32">
        <v>380</v>
      </c>
      <c r="M32" s="151">
        <v>0.91700000000000004</v>
      </c>
      <c r="N32" s="7">
        <v>0.9</v>
      </c>
      <c r="O32" s="7">
        <v>60</v>
      </c>
      <c r="P32" s="340">
        <v>0.123</v>
      </c>
      <c r="Q32" s="258" t="s">
        <v>1421</v>
      </c>
      <c r="S32" s="259" t="s">
        <v>1314</v>
      </c>
      <c r="T32" s="64">
        <v>156100000</v>
      </c>
      <c r="U32" s="64"/>
      <c r="V32" s="65" t="s">
        <v>1315</v>
      </c>
      <c r="W32" s="1" t="b">
        <v>1</v>
      </c>
    </row>
    <row r="33" spans="1:23">
      <c r="A33" s="203"/>
      <c r="B33" s="1" t="str">
        <f t="shared" si="10"/>
        <v>M_AGT0603_VM_BKT_2366</v>
      </c>
      <c r="C33" s="7" t="s">
        <v>363</v>
      </c>
      <c r="D33" s="7" t="str" cm="1">
        <f t="array" ref="D33">INDEX(기계코드!$D$4:$D$1022,MATCH(1,(C33=기계코드!$F$4:$F$1022)*1,0))</f>
        <v>M_AGT0603</v>
      </c>
      <c r="E33" s="7" t="s">
        <v>1128</v>
      </c>
      <c r="F33" s="7" t="str" cm="1">
        <f t="array" ref="F33">INDEX(공급업체코드!$B$3:$B$1000,MATCH(1,(E33=공급업체코드!$D$3:$D$1000)*1,0))</f>
        <v>VM_BKT</v>
      </c>
      <c r="I33" s="64">
        <v>2366</v>
      </c>
      <c r="J33" s="70">
        <v>11</v>
      </c>
      <c r="K33" s="7" t="s">
        <v>984</v>
      </c>
      <c r="L33">
        <v>380</v>
      </c>
      <c r="M33" s="151">
        <v>0.92400000000000004</v>
      </c>
      <c r="N33" s="7">
        <v>0.9</v>
      </c>
      <c r="O33" s="7">
        <v>60</v>
      </c>
      <c r="P33" s="340">
        <v>0.123</v>
      </c>
      <c r="Q33" s="258" t="s">
        <v>1421</v>
      </c>
      <c r="S33" s="259" t="s">
        <v>1314</v>
      </c>
      <c r="T33" s="64">
        <v>157700000</v>
      </c>
      <c r="U33" s="64"/>
      <c r="V33" s="65" t="s">
        <v>1315</v>
      </c>
      <c r="W33" s="1" t="b">
        <v>1</v>
      </c>
    </row>
    <row r="34" spans="1:23">
      <c r="B34" s="1"/>
      <c r="C34" s="7"/>
      <c r="D34" s="7"/>
      <c r="E34" s="7"/>
      <c r="F34" s="7"/>
      <c r="I34" s="70"/>
      <c r="J34" s="70"/>
      <c r="P34" s="65"/>
      <c r="Q34" s="258"/>
      <c r="S34" s="259"/>
      <c r="T34" s="64"/>
      <c r="W34" s="1"/>
    </row>
    <row r="35" spans="1:23">
      <c r="B35" s="1"/>
      <c r="C35" s="7"/>
      <c r="D35" s="7"/>
      <c r="E35" s="7"/>
      <c r="F35" s="7"/>
      <c r="P35" s="65"/>
      <c r="Q35" s="258"/>
      <c r="S35" s="259"/>
      <c r="T35" s="64"/>
      <c r="W35" s="1"/>
    </row>
    <row r="36" spans="1:23">
      <c r="B36" s="1"/>
      <c r="C36" s="7"/>
      <c r="D36" s="7"/>
      <c r="E36" s="7"/>
      <c r="F36" s="7"/>
      <c r="P36" s="65"/>
      <c r="Q36" s="258"/>
      <c r="R36" s="265"/>
      <c r="S36" s="259"/>
      <c r="T36" s="64"/>
      <c r="W36" s="1"/>
    </row>
    <row r="37" spans="1:23">
      <c r="B37" s="1"/>
      <c r="C37" s="7"/>
      <c r="D37" s="7"/>
      <c r="E37" s="7"/>
      <c r="F37" s="7"/>
      <c r="P37" s="65"/>
      <c r="Q37" s="258"/>
      <c r="R37" s="265"/>
      <c r="S37" s="259"/>
      <c r="T37" s="64"/>
      <c r="U37" s="64"/>
      <c r="W37" s="1"/>
    </row>
    <row r="38" spans="1:23">
      <c r="B38" s="1"/>
      <c r="C38" s="7"/>
      <c r="D38" s="7"/>
      <c r="E38" s="7"/>
      <c r="F38" s="7"/>
      <c r="P38" s="65"/>
      <c r="Q38" s="258"/>
      <c r="R38" s="265"/>
      <c r="S38" s="259"/>
      <c r="T38" s="64"/>
      <c r="U38" s="64"/>
      <c r="V38" s="65"/>
      <c r="W38" s="1"/>
    </row>
    <row r="39" spans="1:23">
      <c r="B39" s="1"/>
      <c r="C39" s="7"/>
      <c r="D39" s="7"/>
      <c r="E39" s="7"/>
      <c r="F39" s="7"/>
      <c r="P39" s="65"/>
      <c r="Q39" s="258"/>
      <c r="R39" s="265"/>
      <c r="S39" s="259"/>
      <c r="T39" s="64"/>
      <c r="U39" s="64"/>
      <c r="V39" s="65"/>
      <c r="W39" s="1"/>
    </row>
    <row r="40" spans="1:23">
      <c r="B40" s="1"/>
      <c r="C40" s="7"/>
      <c r="D40" s="7"/>
      <c r="E40" s="7"/>
      <c r="F40" s="7"/>
      <c r="P40" s="65"/>
      <c r="Q40" s="258"/>
      <c r="R40" s="265"/>
      <c r="S40" s="259"/>
      <c r="T40" s="64"/>
      <c r="U40" s="64"/>
      <c r="V40" s="65"/>
      <c r="W40" s="1"/>
    </row>
    <row r="41" spans="1:23">
      <c r="B41" s="1"/>
      <c r="C41" s="7"/>
      <c r="D41" s="7"/>
      <c r="E41" s="7"/>
      <c r="F41" s="7"/>
      <c r="P41" s="65"/>
      <c r="Q41" s="258"/>
      <c r="R41" s="265"/>
      <c r="S41" s="259"/>
      <c r="T41" s="64"/>
      <c r="U41" s="64"/>
      <c r="V41" s="65"/>
      <c r="W41" s="1"/>
    </row>
    <row r="42" spans="1:23">
      <c r="B42" s="1"/>
      <c r="C42" s="7"/>
      <c r="D42" s="7"/>
      <c r="E42" s="7"/>
      <c r="F42" s="7"/>
      <c r="P42" s="65"/>
      <c r="Q42" s="258"/>
      <c r="R42" s="265"/>
      <c r="S42" s="259"/>
      <c r="T42" s="64"/>
      <c r="U42" s="64"/>
      <c r="V42" s="65"/>
      <c r="W42" s="1"/>
    </row>
    <row r="43" spans="1:23">
      <c r="B43" s="1"/>
      <c r="C43" s="7"/>
      <c r="D43" s="7"/>
      <c r="E43" s="7"/>
      <c r="F43" s="7"/>
      <c r="P43" s="65"/>
      <c r="Q43" s="258"/>
      <c r="R43" s="265"/>
      <c r="S43" s="259"/>
      <c r="T43" s="64"/>
      <c r="U43" s="64"/>
      <c r="V43" s="65"/>
      <c r="W43" s="1"/>
    </row>
    <row r="44" spans="1:23">
      <c r="B44" s="1"/>
      <c r="C44" s="7"/>
      <c r="D44" s="7"/>
      <c r="E44" s="7"/>
      <c r="F44" s="7"/>
      <c r="P44" s="65"/>
      <c r="Q44" s="258"/>
      <c r="R44" s="265"/>
      <c r="S44" s="259"/>
      <c r="T44" s="64"/>
      <c r="U44" s="64"/>
      <c r="V44" s="65"/>
      <c r="W44" s="1"/>
    </row>
    <row r="45" spans="1:23">
      <c r="B45" s="1"/>
      <c r="C45" s="7"/>
      <c r="D45" s="7"/>
      <c r="E45" s="7"/>
      <c r="F45" s="7"/>
      <c r="P45" s="65"/>
      <c r="Q45" s="258"/>
      <c r="R45" s="265"/>
      <c r="S45" s="259"/>
      <c r="T45" s="64"/>
      <c r="U45" s="64"/>
      <c r="V45" s="65"/>
      <c r="W45" s="1"/>
    </row>
    <row r="46" spans="1:23">
      <c r="B46" s="1"/>
      <c r="C46" s="7"/>
      <c r="D46" s="7"/>
      <c r="E46" s="7"/>
      <c r="F46" s="7"/>
      <c r="P46" s="65"/>
      <c r="Q46" s="258"/>
      <c r="R46" s="265"/>
      <c r="S46" s="259"/>
      <c r="T46" s="64"/>
      <c r="U46" s="64"/>
      <c r="V46" s="65"/>
      <c r="W46" s="1"/>
    </row>
    <row r="47" spans="1:23">
      <c r="B47" s="1"/>
      <c r="C47" s="7"/>
      <c r="D47" s="7"/>
      <c r="E47" s="7"/>
      <c r="F47" s="7"/>
      <c r="P47" s="65"/>
      <c r="Q47" s="258"/>
      <c r="R47" s="265"/>
      <c r="S47" s="259"/>
      <c r="T47" s="64"/>
      <c r="U47" s="64"/>
      <c r="V47" s="65"/>
      <c r="W47" s="1"/>
    </row>
    <row r="48" spans="1:23">
      <c r="B48" s="1"/>
      <c r="C48" s="7"/>
      <c r="D48" s="7"/>
      <c r="E48" s="7"/>
      <c r="F48" s="7"/>
      <c r="P48" s="65"/>
      <c r="Q48" s="258"/>
      <c r="R48" s="265"/>
      <c r="S48" s="259"/>
      <c r="T48" s="64"/>
      <c r="U48" s="64"/>
      <c r="V48" s="65"/>
      <c r="W48" s="1"/>
    </row>
    <row r="49" spans="2:23">
      <c r="B49" s="1"/>
      <c r="C49" s="7"/>
      <c r="D49" s="7"/>
      <c r="E49" s="7"/>
      <c r="F49" s="7"/>
      <c r="P49" s="65"/>
      <c r="Q49" s="258"/>
      <c r="R49" s="265"/>
      <c r="S49" s="259"/>
      <c r="T49" s="64"/>
      <c r="U49" s="64"/>
      <c r="V49" s="65"/>
      <c r="W49" s="1"/>
    </row>
    <row r="50" spans="2:23">
      <c r="B50" s="1"/>
      <c r="C50" s="7"/>
      <c r="D50" s="7"/>
      <c r="E50" s="7"/>
      <c r="F50" s="7"/>
      <c r="P50" s="65"/>
      <c r="Q50" s="258"/>
      <c r="R50" s="265"/>
      <c r="S50" s="259"/>
      <c r="T50" s="64"/>
      <c r="U50" s="64"/>
      <c r="V50" s="65"/>
      <c r="W50" s="1"/>
    </row>
    <row r="51" spans="2:23">
      <c r="B51" s="1"/>
      <c r="C51" s="7"/>
      <c r="D51" s="7"/>
      <c r="E51" s="7"/>
      <c r="F51" s="7"/>
      <c r="P51" s="65"/>
      <c r="Q51" s="258"/>
      <c r="R51" s="265"/>
      <c r="S51" s="259"/>
      <c r="T51" s="64"/>
      <c r="U51" s="64"/>
      <c r="V51" s="65"/>
      <c r="W51" s="1"/>
    </row>
    <row r="52" spans="2:23">
      <c r="B52" s="1"/>
      <c r="C52" s="7"/>
      <c r="D52" s="7"/>
      <c r="E52" s="7"/>
      <c r="F52" s="7"/>
      <c r="P52" s="65"/>
      <c r="Q52" s="258"/>
      <c r="R52" s="265"/>
      <c r="S52" s="259"/>
      <c r="T52" s="64"/>
      <c r="U52" s="64"/>
      <c r="V52" s="65"/>
      <c r="W52" s="1"/>
    </row>
    <row r="53" spans="2:23">
      <c r="B53" s="1"/>
      <c r="C53" s="7"/>
      <c r="D53" s="7"/>
      <c r="E53" s="7"/>
      <c r="F53" s="7"/>
      <c r="P53" s="65"/>
      <c r="Q53" s="258"/>
      <c r="R53" s="265"/>
      <c r="S53" s="259"/>
      <c r="T53" s="64"/>
      <c r="U53" s="64"/>
      <c r="V53" s="65"/>
      <c r="W53" s="1"/>
    </row>
    <row r="54" spans="2:23">
      <c r="B54" s="1"/>
      <c r="C54" s="7"/>
      <c r="D54" s="7"/>
      <c r="E54" s="7"/>
      <c r="F54" s="7"/>
      <c r="P54" s="65"/>
      <c r="Q54" s="258"/>
      <c r="R54" s="265"/>
      <c r="S54" s="259"/>
      <c r="T54" s="64"/>
      <c r="U54" s="64"/>
      <c r="V54" s="65"/>
      <c r="W54" s="1"/>
    </row>
    <row r="55" spans="2:23">
      <c r="B55" s="1"/>
      <c r="C55" s="7"/>
      <c r="D55" s="7"/>
      <c r="E55" s="7"/>
      <c r="F55" s="7"/>
      <c r="P55" s="65"/>
      <c r="Q55" s="258"/>
      <c r="R55" s="265"/>
      <c r="S55" s="259"/>
      <c r="T55" s="64"/>
      <c r="U55" s="64"/>
      <c r="V55" s="65"/>
      <c r="W55" s="1"/>
    </row>
    <row r="56" spans="2:23">
      <c r="B56" s="1"/>
      <c r="C56" s="7"/>
      <c r="D56" s="7"/>
      <c r="E56" s="7"/>
      <c r="F56" s="7"/>
      <c r="P56" s="65"/>
      <c r="Q56" s="258"/>
      <c r="R56" s="265"/>
      <c r="S56" s="259"/>
      <c r="T56" s="64"/>
      <c r="U56" s="64"/>
      <c r="V56" s="65"/>
      <c r="W56" s="1"/>
    </row>
    <row r="57" spans="2:23">
      <c r="B57" s="1"/>
      <c r="C57" s="7"/>
      <c r="D57" s="7"/>
      <c r="E57" s="7"/>
      <c r="F57" s="7"/>
      <c r="P57" s="65"/>
      <c r="Q57" s="258"/>
      <c r="R57" s="265"/>
      <c r="S57" s="259"/>
      <c r="T57" s="64"/>
      <c r="U57" s="64"/>
      <c r="V57" s="65"/>
      <c r="W57" s="1"/>
    </row>
    <row r="58" spans="2:23">
      <c r="B58" s="1"/>
      <c r="C58" s="7"/>
      <c r="D58" s="7"/>
      <c r="E58" s="7"/>
      <c r="F58" s="7"/>
      <c r="P58" s="65"/>
      <c r="Q58" s="258"/>
      <c r="R58" s="265"/>
      <c r="S58" s="259"/>
      <c r="T58" s="64"/>
      <c r="U58" s="64"/>
      <c r="V58" s="65"/>
      <c r="W58" s="1"/>
    </row>
    <row r="59" spans="2:23">
      <c r="B59" s="1"/>
      <c r="C59" s="7"/>
      <c r="D59" s="7"/>
      <c r="E59" s="7"/>
      <c r="F59" s="7"/>
      <c r="P59" s="65"/>
      <c r="Q59" s="258"/>
      <c r="R59" s="265"/>
      <c r="S59" s="259"/>
      <c r="T59" s="64"/>
      <c r="U59" s="64"/>
      <c r="V59" s="65"/>
      <c r="W59" s="1"/>
    </row>
    <row r="60" spans="2:23">
      <c r="B60" s="1"/>
      <c r="C60" s="7"/>
      <c r="D60" s="7"/>
      <c r="E60" s="7"/>
      <c r="F60" s="7"/>
      <c r="P60" s="65"/>
      <c r="Q60" s="258"/>
      <c r="R60" s="265"/>
      <c r="S60" s="259"/>
      <c r="T60" s="64"/>
      <c r="U60" s="64"/>
      <c r="V60" s="65"/>
      <c r="W60" s="1"/>
    </row>
    <row r="61" spans="2:23">
      <c r="B61" s="1"/>
      <c r="C61" s="7"/>
      <c r="D61" s="7"/>
      <c r="E61" s="7"/>
      <c r="F61" s="7"/>
      <c r="P61" s="65"/>
      <c r="Q61" s="258"/>
      <c r="R61" s="265"/>
      <c r="S61" s="259"/>
      <c r="T61" s="64"/>
      <c r="U61" s="64"/>
      <c r="V61" s="65"/>
      <c r="W61" s="1"/>
    </row>
    <row r="62" spans="2:23">
      <c r="B62" s="1"/>
      <c r="C62" s="7"/>
      <c r="D62" s="7"/>
      <c r="E62" s="7"/>
      <c r="F62" s="7"/>
      <c r="P62" s="65"/>
      <c r="Q62" s="258"/>
      <c r="S62" s="259"/>
      <c r="T62" s="64"/>
      <c r="U62" s="64"/>
      <c r="V62" s="65"/>
      <c r="W62" s="1"/>
    </row>
    <row r="63" spans="2:23">
      <c r="B63" s="1"/>
      <c r="C63" s="7"/>
      <c r="D63" s="7"/>
      <c r="E63" s="7"/>
      <c r="F63" s="7"/>
      <c r="P63" s="65"/>
      <c r="Q63" s="258"/>
      <c r="S63" s="259"/>
      <c r="T63" s="64"/>
      <c r="U63" s="64"/>
      <c r="V63" s="65"/>
      <c r="W63" s="1"/>
    </row>
    <row r="64" spans="2:23">
      <c r="B64" s="1"/>
      <c r="C64" s="7"/>
      <c r="D64" s="7"/>
      <c r="E64" s="7"/>
      <c r="F64" s="7"/>
      <c r="Q64" s="258"/>
      <c r="S64" s="259"/>
      <c r="T64" s="58"/>
      <c r="U64" s="58"/>
      <c r="W64" s="1"/>
    </row>
    <row r="65" spans="2:33">
      <c r="B65" s="1"/>
      <c r="C65" s="7"/>
      <c r="D65" s="7"/>
      <c r="E65" s="7"/>
      <c r="F65" s="7"/>
      <c r="Q65" s="258"/>
      <c r="S65" s="259"/>
      <c r="T65" s="58"/>
      <c r="U65" s="58"/>
      <c r="W65" s="1"/>
    </row>
    <row r="66" spans="2:33">
      <c r="B66" s="1"/>
      <c r="C66" s="7"/>
      <c r="D66" s="7"/>
      <c r="E66" s="7"/>
      <c r="F66" s="7"/>
      <c r="Q66" s="258"/>
      <c r="S66" s="259"/>
      <c r="T66" s="58"/>
      <c r="U66" s="58"/>
      <c r="W66" s="1"/>
    </row>
    <row r="67" spans="2:33">
      <c r="B67" s="1"/>
      <c r="C67" s="7"/>
      <c r="D67" s="7"/>
      <c r="E67" s="7"/>
      <c r="F67" s="7"/>
      <c r="Q67" s="258"/>
      <c r="S67" s="259"/>
      <c r="T67" s="58"/>
      <c r="U67" s="58"/>
      <c r="W67" s="1"/>
    </row>
    <row r="68" spans="2:33">
      <c r="Q68" s="258"/>
      <c r="S68" s="259"/>
      <c r="T68" s="58"/>
      <c r="U68" s="58"/>
    </row>
    <row r="69" spans="2:33">
      <c r="Q69" s="258"/>
      <c r="S69" s="259"/>
      <c r="T69" s="58"/>
      <c r="U69" s="58"/>
    </row>
    <row r="70" spans="2:33">
      <c r="Q70" s="258"/>
      <c r="S70" s="259"/>
      <c r="T70" s="58"/>
      <c r="U70" s="58"/>
    </row>
    <row r="71" spans="2:33">
      <c r="Q71" s="258"/>
      <c r="S71" s="259"/>
      <c r="T71" s="58"/>
      <c r="U71" s="58"/>
    </row>
    <row r="72" spans="2:33">
      <c r="Q72" s="258"/>
      <c r="S72" s="259"/>
      <c r="T72" s="58"/>
      <c r="U72" s="58"/>
    </row>
    <row r="73" spans="2:33">
      <c r="Q73" s="258"/>
      <c r="S73" s="259"/>
      <c r="T73" s="58"/>
      <c r="U73" s="58"/>
    </row>
    <row r="74" spans="2:33">
      <c r="Q74" s="258"/>
      <c r="S74" s="259"/>
      <c r="T74" s="58"/>
      <c r="U74" s="58"/>
    </row>
    <row r="75" spans="2:33" s="18" customFormat="1">
      <c r="B75"/>
      <c r="C75"/>
      <c r="D75"/>
      <c r="E75"/>
      <c r="F75"/>
      <c r="H75"/>
      <c r="I75"/>
      <c r="J75"/>
      <c r="K75"/>
      <c r="L75"/>
      <c r="M75"/>
      <c r="N75"/>
      <c r="O75"/>
      <c r="Q75" s="258"/>
      <c r="R75" s="10"/>
      <c r="S75" s="259"/>
      <c r="T75" s="58"/>
      <c r="U75" s="58"/>
      <c r="W75"/>
      <c r="X75"/>
      <c r="Y75" s="113"/>
      <c r="Z75"/>
      <c r="AA75"/>
      <c r="AB75"/>
      <c r="AC75"/>
      <c r="AD75"/>
      <c r="AE75"/>
      <c r="AF75"/>
      <c r="AG75"/>
    </row>
    <row r="76" spans="2:33" s="18" customFormat="1">
      <c r="B76"/>
      <c r="C76"/>
      <c r="D76"/>
      <c r="E76"/>
      <c r="F76"/>
      <c r="H76"/>
      <c r="I76"/>
      <c r="J76"/>
      <c r="K76"/>
      <c r="L76"/>
      <c r="M76"/>
      <c r="N76"/>
      <c r="O76"/>
      <c r="Q76" s="258"/>
      <c r="R76" s="10"/>
      <c r="S76" s="259"/>
      <c r="T76" s="58"/>
      <c r="U76" s="58"/>
      <c r="W76"/>
      <c r="X76"/>
      <c r="Y76" s="113"/>
      <c r="Z76"/>
      <c r="AA76"/>
      <c r="AB76"/>
      <c r="AC76"/>
      <c r="AD76"/>
      <c r="AE76"/>
      <c r="AF76"/>
      <c r="AG76"/>
    </row>
    <row r="77" spans="2:33" s="18" customFormat="1">
      <c r="B77"/>
      <c r="C77"/>
      <c r="D77"/>
      <c r="E77"/>
      <c r="F77"/>
      <c r="H77"/>
      <c r="I77"/>
      <c r="J77"/>
      <c r="K77"/>
      <c r="L77"/>
      <c r="M77"/>
      <c r="N77"/>
      <c r="O77"/>
      <c r="Q77" s="258"/>
      <c r="R77" s="10"/>
      <c r="S77" s="259"/>
      <c r="T77" s="58"/>
      <c r="U77" s="58"/>
      <c r="W77"/>
      <c r="X77"/>
      <c r="Y77" s="113"/>
      <c r="Z77"/>
      <c r="AA77"/>
      <c r="AB77"/>
      <c r="AC77"/>
      <c r="AD77"/>
      <c r="AE77"/>
      <c r="AF77"/>
      <c r="AG77"/>
    </row>
    <row r="78" spans="2:33" s="18" customFormat="1">
      <c r="B78"/>
      <c r="C78"/>
      <c r="D78"/>
      <c r="E78"/>
      <c r="F78"/>
      <c r="H78"/>
      <c r="I78"/>
      <c r="J78"/>
      <c r="K78"/>
      <c r="L78"/>
      <c r="M78"/>
      <c r="N78"/>
      <c r="O78"/>
      <c r="Q78" s="258"/>
      <c r="R78" s="10"/>
      <c r="S78" s="259"/>
      <c r="T78" s="58"/>
      <c r="U78" s="58"/>
      <c r="W78"/>
      <c r="X78"/>
      <c r="Y78" s="113"/>
      <c r="Z78"/>
      <c r="AA78"/>
      <c r="AB78"/>
      <c r="AC78"/>
      <c r="AD78"/>
      <c r="AE78"/>
      <c r="AF78"/>
      <c r="AG78"/>
    </row>
    <row r="79" spans="2:33" s="18" customFormat="1">
      <c r="B79"/>
      <c r="C79"/>
      <c r="D79"/>
      <c r="E79"/>
      <c r="F79"/>
      <c r="H79"/>
      <c r="I79"/>
      <c r="J79"/>
      <c r="K79"/>
      <c r="L79"/>
      <c r="M79"/>
      <c r="N79"/>
      <c r="O79"/>
      <c r="Q79" s="258"/>
      <c r="R79" s="10"/>
      <c r="S79" s="259"/>
      <c r="T79" s="58"/>
      <c r="U79" s="58"/>
      <c r="W79"/>
      <c r="X79"/>
      <c r="Y79" s="113"/>
      <c r="Z79"/>
      <c r="AA79"/>
      <c r="AB79"/>
      <c r="AC79"/>
      <c r="AD79"/>
      <c r="AE79"/>
      <c r="AF79"/>
      <c r="AG79"/>
    </row>
    <row r="80" spans="2:33" s="18" customFormat="1">
      <c r="B80"/>
      <c r="C80"/>
      <c r="D80"/>
      <c r="E80"/>
      <c r="F80"/>
      <c r="H80"/>
      <c r="I80"/>
      <c r="J80"/>
      <c r="K80"/>
      <c r="L80"/>
      <c r="M80"/>
      <c r="N80"/>
      <c r="O80"/>
      <c r="Q80" s="258"/>
      <c r="R80" s="10"/>
      <c r="S80" s="259"/>
      <c r="T80" s="58"/>
      <c r="U80" s="58"/>
      <c r="W80"/>
      <c r="X80"/>
      <c r="Y80" s="113"/>
      <c r="Z80"/>
      <c r="AA80"/>
      <c r="AB80"/>
      <c r="AC80"/>
      <c r="AD80"/>
      <c r="AE80"/>
      <c r="AF80"/>
      <c r="AG80"/>
    </row>
    <row r="81" spans="17:19" ht="16.5" customHeight="1">
      <c r="Q81" s="258"/>
      <c r="S81" s="259"/>
    </row>
    <row r="82" spans="17:19" ht="16.5" customHeight="1">
      <c r="Q82" s="258"/>
      <c r="S82" s="259"/>
    </row>
    <row r="83" spans="17:19" ht="16.5" customHeight="1">
      <c r="Q83" s="258"/>
      <c r="S83" s="259"/>
    </row>
    <row r="84" spans="17:19" ht="16.5" customHeight="1">
      <c r="Q84" s="258"/>
      <c r="S84" s="259"/>
    </row>
    <row r="85" spans="17:19" ht="16.5" customHeight="1">
      <c r="Q85" s="258"/>
      <c r="S85" s="259"/>
    </row>
    <row r="86" spans="17:19" ht="16.5" customHeight="1">
      <c r="Q86" s="258"/>
      <c r="S86" s="259"/>
    </row>
    <row r="87" spans="17:19" ht="16.5" customHeight="1">
      <c r="Q87" s="258"/>
      <c r="S87" s="259"/>
    </row>
    <row r="88" spans="17:19" ht="16.5" customHeight="1">
      <c r="Q88" s="258"/>
      <c r="S88" s="259"/>
    </row>
    <row r="89" spans="17:19" ht="16.5" customHeight="1">
      <c r="Q89" s="258"/>
      <c r="S89" s="259"/>
    </row>
    <row r="90" spans="17:19" ht="16.5" customHeight="1">
      <c r="Q90" s="258"/>
      <c r="S90" s="259"/>
    </row>
    <row r="91" spans="17:19" ht="16.5" customHeight="1">
      <c r="Q91" s="258"/>
      <c r="S91" s="259"/>
    </row>
    <row r="92" spans="17:19" ht="16.5" customHeight="1">
      <c r="Q92" s="258"/>
      <c r="S92" s="259"/>
    </row>
    <row r="93" spans="17:19" ht="16.5" customHeight="1">
      <c r="Q93" s="258"/>
      <c r="S93" s="259"/>
    </row>
    <row r="94" spans="17:19" ht="16.5" customHeight="1">
      <c r="Q94" s="258"/>
      <c r="S94" s="259"/>
    </row>
    <row r="95" spans="17:19" ht="16.5" customHeight="1">
      <c r="Q95" s="258"/>
      <c r="S95" s="259"/>
    </row>
    <row r="96" spans="17:19" ht="16.5" customHeight="1">
      <c r="Q96" s="258"/>
      <c r="S96" s="259"/>
    </row>
    <row r="97" spans="17:19" ht="16.5" customHeight="1">
      <c r="Q97" s="258"/>
      <c r="S97" s="259"/>
    </row>
    <row r="98" spans="17:19" ht="16.5" customHeight="1">
      <c r="Q98" s="258"/>
      <c r="S98" s="259"/>
    </row>
    <row r="99" spans="17:19" ht="16.5" customHeight="1">
      <c r="Q99" s="258"/>
      <c r="S99" s="259"/>
    </row>
    <row r="100" spans="17:19" ht="16.5" customHeight="1">
      <c r="Q100" s="258"/>
      <c r="S100" s="259"/>
    </row>
    <row r="101" spans="17:19" ht="16.5" customHeight="1">
      <c r="Q101" s="258"/>
      <c r="S101" s="259"/>
    </row>
    <row r="102" spans="17:19" ht="16.5" customHeight="1">
      <c r="Q102" s="258"/>
      <c r="S102" s="259"/>
    </row>
    <row r="103" spans="17:19" ht="16.5" customHeight="1">
      <c r="Q103" s="258"/>
      <c r="S103" s="259"/>
    </row>
    <row r="104" spans="17:19" ht="16.5" customHeight="1">
      <c r="Q104" s="258"/>
      <c r="S104" s="259"/>
    </row>
    <row r="105" spans="17:19" ht="16.5" customHeight="1">
      <c r="Q105" s="258"/>
      <c r="S105" s="259"/>
    </row>
    <row r="106" spans="17:19" ht="16.5" customHeight="1">
      <c r="Q106" s="258"/>
      <c r="S106" s="259"/>
    </row>
    <row r="107" spans="17:19" ht="16.5" customHeight="1">
      <c r="Q107" s="258"/>
      <c r="S107" s="259"/>
    </row>
    <row r="108" spans="17:19" ht="16.5" customHeight="1">
      <c r="Q108" s="258"/>
      <c r="S108" s="259"/>
    </row>
    <row r="109" spans="17:19" ht="16.5" customHeight="1">
      <c r="Q109" s="258"/>
      <c r="S109" s="259"/>
    </row>
    <row r="110" spans="17:19" ht="16.5" customHeight="1">
      <c r="Q110" s="258"/>
      <c r="S110" s="259"/>
    </row>
    <row r="111" spans="17:19" ht="16.5" customHeight="1">
      <c r="Q111" s="258"/>
      <c r="S111" s="259"/>
    </row>
    <row r="112" spans="17:19" ht="16.5" customHeight="1">
      <c r="Q112" s="258"/>
      <c r="S112" s="259"/>
    </row>
    <row r="113" spans="17:19" ht="16.5" customHeight="1">
      <c r="Q113" s="258"/>
      <c r="S113" s="259"/>
    </row>
    <row r="114" spans="17:19" ht="16.5" customHeight="1">
      <c r="Q114" s="258"/>
      <c r="S114" s="259"/>
    </row>
    <row r="115" spans="17:19" ht="16.5" customHeight="1">
      <c r="Q115" s="258"/>
      <c r="S115" s="259"/>
    </row>
    <row r="116" spans="17:19" ht="16.5" customHeight="1">
      <c r="Q116" s="258"/>
      <c r="S116" s="259"/>
    </row>
    <row r="117" spans="17:19" ht="16.5" customHeight="1">
      <c r="Q117" s="258"/>
      <c r="S117" s="259"/>
    </row>
    <row r="118" spans="17:19" ht="16.5" customHeight="1">
      <c r="Q118" s="258"/>
      <c r="S118" s="259"/>
    </row>
    <row r="119" spans="17:19" ht="16.5" customHeight="1">
      <c r="Q119" s="258"/>
      <c r="S119" s="259"/>
    </row>
    <row r="120" spans="17:19" ht="16.5" customHeight="1">
      <c r="Q120" s="258"/>
      <c r="S120" s="259"/>
    </row>
    <row r="121" spans="17:19" ht="16.5" customHeight="1">
      <c r="Q121" s="258"/>
      <c r="S121" s="259"/>
    </row>
    <row r="122" spans="17:19" ht="16.5" customHeight="1">
      <c r="Q122" s="258"/>
      <c r="S122" s="259"/>
    </row>
    <row r="123" spans="17:19" ht="16.5" customHeight="1">
      <c r="Q123" s="258"/>
    </row>
    <row r="124" spans="17:19" ht="16.5" customHeight="1">
      <c r="Q124" s="258"/>
    </row>
    <row r="125" spans="17:19" ht="16.5" customHeight="1">
      <c r="Q125" s="258"/>
    </row>
    <row r="126" spans="17:19" ht="16.5" customHeight="1">
      <c r="Q126" s="258"/>
    </row>
    <row r="127" spans="17:19" ht="16.5" customHeight="1">
      <c r="Q127" s="258"/>
    </row>
    <row r="128" spans="17:19" ht="16.5" customHeight="1">
      <c r="Q128" s="258"/>
    </row>
    <row r="129" spans="17:17" ht="16.5" customHeight="1">
      <c r="Q129" s="258"/>
    </row>
    <row r="130" spans="17:17" ht="16.5" customHeight="1">
      <c r="Q130" s="258"/>
    </row>
    <row r="131" spans="17:17" ht="16.5" customHeight="1">
      <c r="Q131" s="258"/>
    </row>
    <row r="132" spans="17:17" ht="16.5" customHeight="1">
      <c r="Q132" s="258"/>
    </row>
    <row r="133" spans="17:17" ht="16.5" customHeight="1">
      <c r="Q133" s="258"/>
    </row>
    <row r="134" spans="17:17" ht="16.5" customHeight="1">
      <c r="Q134" s="258"/>
    </row>
    <row r="135" spans="17:17" ht="16.5" customHeight="1">
      <c r="Q135" s="258"/>
    </row>
    <row r="136" spans="17:17" ht="16.5" customHeight="1">
      <c r="Q136" s="258"/>
    </row>
    <row r="137" spans="17:17" ht="16.5" customHeight="1">
      <c r="Q137" s="258"/>
    </row>
    <row r="138" spans="17:17" ht="16.5" customHeight="1">
      <c r="Q138" s="258"/>
    </row>
    <row r="139" spans="17:17" ht="16.5" customHeight="1">
      <c r="Q139" s="258"/>
    </row>
    <row r="140" spans="17:17" ht="16.5" customHeight="1">
      <c r="Q140" s="258"/>
    </row>
    <row r="141" spans="17:17" ht="16.5" customHeight="1">
      <c r="Q141" s="258"/>
    </row>
    <row r="142" spans="17:17" ht="16.5" customHeight="1">
      <c r="Q142" s="258"/>
    </row>
    <row r="143" spans="17:17" ht="16.5" customHeight="1">
      <c r="Q143" s="258"/>
    </row>
    <row r="144" spans="17:17" ht="16.5" customHeight="1">
      <c r="Q144" s="258"/>
    </row>
    <row r="145" spans="17:17" ht="16.5" customHeight="1">
      <c r="Q145" s="258"/>
    </row>
    <row r="146" spans="17:17" ht="16.5" customHeight="1">
      <c r="Q146" s="258"/>
    </row>
    <row r="147" spans="17:17" ht="16.5" customHeight="1">
      <c r="Q147" s="258"/>
    </row>
    <row r="148" spans="17:17" ht="16.5" customHeight="1">
      <c r="Q148" s="258"/>
    </row>
    <row r="149" spans="17:17" ht="16.5" customHeight="1">
      <c r="Q149" s="258"/>
    </row>
    <row r="150" spans="17:17" ht="16.5" customHeight="1">
      <c r="Q150" s="258"/>
    </row>
    <row r="151" spans="17:17" ht="16.5" customHeight="1">
      <c r="Q151" s="258"/>
    </row>
    <row r="152" spans="17:17" ht="16.5" customHeight="1">
      <c r="Q152" s="258"/>
    </row>
    <row r="153" spans="17:17" ht="16.5" customHeight="1">
      <c r="Q153" s="258"/>
    </row>
    <row r="154" spans="17:17" ht="16.5" customHeight="1">
      <c r="Q154" s="258"/>
    </row>
    <row r="155" spans="17:17" ht="16.5" customHeight="1">
      <c r="Q155" s="258"/>
    </row>
    <row r="156" spans="17:17" ht="16.5" customHeight="1">
      <c r="Q156" s="258"/>
    </row>
    <row r="157" spans="17:17" ht="16.5" customHeight="1">
      <c r="Q157" s="258"/>
    </row>
    <row r="158" spans="17:17" ht="16.5" customHeight="1">
      <c r="Q158" s="258"/>
    </row>
    <row r="159" spans="17:17" ht="16.5" customHeight="1">
      <c r="Q159" s="258"/>
    </row>
    <row r="160" spans="17:17" ht="16.5" customHeight="1">
      <c r="Q160" s="258"/>
    </row>
    <row r="161" spans="17:17" ht="16.5" customHeight="1">
      <c r="Q161" s="258"/>
    </row>
    <row r="162" spans="17:17" ht="16.5" customHeight="1">
      <c r="Q162" s="258"/>
    </row>
    <row r="163" spans="17:17" ht="16.5" customHeight="1">
      <c r="Q163" s="258"/>
    </row>
    <row r="164" spans="17:17" ht="16.5" customHeight="1">
      <c r="Q164" s="258"/>
    </row>
    <row r="165" spans="17:17" ht="16.5" customHeight="1">
      <c r="Q165" s="258"/>
    </row>
    <row r="166" spans="17:17" ht="16.5" customHeight="1">
      <c r="Q166" s="258"/>
    </row>
    <row r="167" spans="17:17" ht="16.5" customHeight="1">
      <c r="Q167" s="258"/>
    </row>
    <row r="168" spans="17:17" ht="16.5" customHeight="1">
      <c r="Q168" s="258"/>
    </row>
    <row r="169" spans="17:17" ht="16.5" customHeight="1">
      <c r="Q169" s="258"/>
    </row>
    <row r="170" spans="17:17" ht="16.5" customHeight="1">
      <c r="Q170" s="258"/>
    </row>
    <row r="171" spans="17:17" ht="16.5" customHeight="1">
      <c r="Q171" s="258"/>
    </row>
    <row r="172" spans="17:17" ht="16.5" customHeight="1">
      <c r="Q172" s="258"/>
    </row>
    <row r="173" spans="17:17" ht="16.5" customHeight="1">
      <c r="Q173" s="258"/>
    </row>
    <row r="174" spans="17:17" ht="16.5" customHeight="1">
      <c r="Q174" s="258"/>
    </row>
    <row r="175" spans="17:17" ht="16.5" customHeight="1">
      <c r="Q175" s="258"/>
    </row>
    <row r="176" spans="17:17" ht="16.5" customHeight="1">
      <c r="Q176" s="258"/>
    </row>
    <row r="177" spans="17:17" ht="16.5" customHeight="1">
      <c r="Q177" s="258"/>
    </row>
    <row r="178" spans="17:17" ht="16.5" customHeight="1">
      <c r="Q178" s="258"/>
    </row>
    <row r="179" spans="17:17" ht="16.5" customHeight="1">
      <c r="Q179" s="258"/>
    </row>
    <row r="180" spans="17:17" ht="16.5" customHeight="1">
      <c r="Q180" s="258"/>
    </row>
    <row r="181" spans="17:17" ht="16.5" customHeight="1">
      <c r="Q181" s="258"/>
    </row>
    <row r="182" spans="17:17" ht="16.5" customHeight="1">
      <c r="Q182" s="258"/>
    </row>
    <row r="183" spans="17:17" ht="16.5" customHeight="1">
      <c r="Q183" s="258"/>
    </row>
    <row r="184" spans="17:17" ht="16.5" customHeight="1">
      <c r="Q184" s="258"/>
    </row>
    <row r="185" spans="17:17" ht="16.5" customHeight="1">
      <c r="Q185" s="258"/>
    </row>
    <row r="186" spans="17:17" ht="16.5" customHeight="1">
      <c r="Q186" s="258"/>
    </row>
    <row r="187" spans="17:17" ht="16.5" customHeight="1">
      <c r="Q187" s="258"/>
    </row>
    <row r="188" spans="17:17" ht="16.5" customHeight="1">
      <c r="Q188" s="258"/>
    </row>
    <row r="189" spans="17:17" ht="16.5" customHeight="1">
      <c r="Q189" s="258"/>
    </row>
    <row r="190" spans="17:17" ht="16.5" customHeight="1">
      <c r="Q190" s="258"/>
    </row>
    <row r="191" spans="17:17" ht="16.5" customHeight="1">
      <c r="Q191" s="258"/>
    </row>
    <row r="192" spans="17:17" ht="16.5" customHeight="1">
      <c r="Q192" s="258"/>
    </row>
    <row r="193" spans="17:17" ht="16.5" customHeight="1">
      <c r="Q193" s="258"/>
    </row>
    <row r="194" spans="17:17" ht="16.5" customHeight="1">
      <c r="Q194" s="258"/>
    </row>
    <row r="195" spans="17:17" ht="16.5" customHeight="1">
      <c r="Q195" s="258"/>
    </row>
    <row r="196" spans="17:17" ht="16.5" customHeight="1">
      <c r="Q196" s="258"/>
    </row>
    <row r="197" spans="17:17" ht="16.5" customHeight="1">
      <c r="Q197" s="258"/>
    </row>
    <row r="198" spans="17:17" ht="16.5" customHeight="1">
      <c r="Q198" s="258"/>
    </row>
    <row r="199" spans="17:17" ht="16.5" customHeight="1">
      <c r="Q199" s="258"/>
    </row>
    <row r="200" spans="17:17" ht="16.5" customHeight="1">
      <c r="Q200" s="258"/>
    </row>
    <row r="201" spans="17:17" ht="16.5" customHeight="1">
      <c r="Q201" s="258"/>
    </row>
    <row r="202" spans="17:17" ht="16.5" customHeight="1">
      <c r="Q202" s="258"/>
    </row>
    <row r="203" spans="17:17" ht="16.5" customHeight="1">
      <c r="Q203" s="258"/>
    </row>
    <row r="204" spans="17:17" ht="16.5" customHeight="1">
      <c r="Q204" s="258"/>
    </row>
    <row r="205" spans="17:17" ht="16.5" customHeight="1">
      <c r="Q205" s="258"/>
    </row>
    <row r="206" spans="17:17" ht="16.5" customHeight="1">
      <c r="Q206" s="258"/>
    </row>
    <row r="207" spans="17:17" ht="16.5" customHeight="1">
      <c r="Q207" s="258"/>
    </row>
    <row r="208" spans="17:17" ht="16.5" customHeight="1">
      <c r="Q208" s="258"/>
    </row>
    <row r="209" spans="17:17" ht="16.5" customHeight="1">
      <c r="Q209" s="258"/>
    </row>
    <row r="210" spans="17:17" ht="16.5" customHeight="1">
      <c r="Q210" s="258"/>
    </row>
    <row r="211" spans="17:17" ht="16.5" customHeight="1">
      <c r="Q211" s="258"/>
    </row>
    <row r="212" spans="17:17" ht="16.5" customHeight="1">
      <c r="Q212" s="258"/>
    </row>
    <row r="213" spans="17:17" ht="16.5" customHeight="1">
      <c r="Q213" s="258"/>
    </row>
    <row r="214" spans="17:17" ht="16.5" customHeight="1">
      <c r="Q214" s="258"/>
    </row>
    <row r="215" spans="17:17" ht="16.5" customHeight="1">
      <c r="Q215" s="258"/>
    </row>
    <row r="216" spans="17:17" ht="16.5" customHeight="1">
      <c r="Q216" s="258"/>
    </row>
    <row r="217" spans="17:17" ht="16.5" customHeight="1">
      <c r="Q217" s="258"/>
    </row>
    <row r="218" spans="17:17" ht="16.5" customHeight="1">
      <c r="Q218" s="258"/>
    </row>
    <row r="219" spans="17:17" ht="16.5" customHeight="1">
      <c r="Q219" s="258"/>
    </row>
    <row r="220" spans="17:17" ht="16.5" customHeight="1">
      <c r="Q220" s="258"/>
    </row>
    <row r="221" spans="17:17" ht="16.5" customHeight="1">
      <c r="Q221" s="258"/>
    </row>
    <row r="222" spans="17:17" ht="16.5" customHeight="1">
      <c r="Q222" s="258"/>
    </row>
    <row r="223" spans="17:17" ht="16.5" customHeight="1">
      <c r="Q223" s="258"/>
    </row>
    <row r="224" spans="17:17" ht="16.5" customHeight="1">
      <c r="Q224" s="258"/>
    </row>
    <row r="225" spans="17:17" ht="16.5" customHeight="1">
      <c r="Q225" s="258"/>
    </row>
    <row r="226" spans="17:17" ht="16.5" customHeight="1">
      <c r="Q226" s="258"/>
    </row>
    <row r="227" spans="17:17" ht="16.5" customHeight="1">
      <c r="Q227" s="258"/>
    </row>
    <row r="228" spans="17:17" ht="16.5" customHeight="1">
      <c r="Q228" s="258"/>
    </row>
    <row r="229" spans="17:17" ht="16.5" customHeight="1">
      <c r="Q229" s="258"/>
    </row>
    <row r="230" spans="17:17" ht="16.5" customHeight="1">
      <c r="Q230" s="258"/>
    </row>
    <row r="231" spans="17:17" ht="16.5" customHeight="1">
      <c r="Q231" s="258"/>
    </row>
    <row r="232" spans="17:17" ht="16.5" customHeight="1">
      <c r="Q232" s="258"/>
    </row>
    <row r="233" spans="17:17" ht="16.5" customHeight="1">
      <c r="Q233" s="258"/>
    </row>
    <row r="234" spans="17:17" ht="16.5" customHeight="1">
      <c r="Q234" s="258"/>
    </row>
    <row r="235" spans="17:17" ht="16.5" customHeight="1">
      <c r="Q235" s="258"/>
    </row>
    <row r="236" spans="17:17" ht="16.5" customHeight="1">
      <c r="Q236" s="258"/>
    </row>
    <row r="237" spans="17:17" ht="16.5" customHeight="1">
      <c r="Q237" s="258"/>
    </row>
    <row r="238" spans="17:17" ht="16.5" customHeight="1">
      <c r="Q238" s="258"/>
    </row>
    <row r="239" spans="17:17" ht="16.5" customHeight="1">
      <c r="Q239" s="258"/>
    </row>
    <row r="240" spans="17:17" ht="16.5" customHeight="1">
      <c r="Q240" s="258"/>
    </row>
    <row r="241" spans="17:17" ht="16.5" customHeight="1">
      <c r="Q241" s="258"/>
    </row>
    <row r="242" spans="17:17" ht="16.5" customHeight="1">
      <c r="Q242" s="258"/>
    </row>
    <row r="243" spans="17:17" ht="16.5" customHeight="1">
      <c r="Q243" s="258"/>
    </row>
    <row r="244" spans="17:17" ht="16.5" customHeight="1">
      <c r="Q244" s="258"/>
    </row>
    <row r="245" spans="17:17" ht="16.5" customHeight="1">
      <c r="Q245" s="258"/>
    </row>
    <row r="246" spans="17:17" ht="16.5" customHeight="1">
      <c r="Q246" s="258"/>
    </row>
    <row r="247" spans="17:17" ht="16.5" customHeight="1">
      <c r="Q247" s="258"/>
    </row>
    <row r="248" spans="17:17" ht="16.5" customHeight="1">
      <c r="Q248" s="258"/>
    </row>
    <row r="249" spans="17:17" ht="16.5" customHeight="1">
      <c r="Q249" s="258"/>
    </row>
    <row r="250" spans="17:17" ht="16.5" customHeight="1">
      <c r="Q250" s="258"/>
    </row>
    <row r="251" spans="17:17" ht="16.5" customHeight="1">
      <c r="Q251" s="258"/>
    </row>
    <row r="252" spans="17:17" ht="16.5" customHeight="1">
      <c r="Q252" s="258"/>
    </row>
    <row r="253" spans="17:17" ht="16.5" customHeight="1">
      <c r="Q253" s="258"/>
    </row>
    <row r="254" spans="17:17" ht="16.5" customHeight="1">
      <c r="Q254" s="258"/>
    </row>
    <row r="255" spans="17:17" ht="16.5" customHeight="1">
      <c r="Q255" s="258"/>
    </row>
    <row r="256" spans="17:17" ht="16.5" customHeight="1">
      <c r="Q256" s="258"/>
    </row>
    <row r="257" spans="17:17" ht="16.5" customHeight="1">
      <c r="Q257" s="258"/>
    </row>
    <row r="258" spans="17:17" ht="16.5" customHeight="1">
      <c r="Q258" s="258"/>
    </row>
    <row r="259" spans="17:17" ht="16.5" customHeight="1">
      <c r="Q259" s="258"/>
    </row>
    <row r="260" spans="17:17" ht="16.5" customHeight="1">
      <c r="Q260" s="258"/>
    </row>
    <row r="261" spans="17:17" ht="16.5" customHeight="1">
      <c r="Q261" s="258"/>
    </row>
    <row r="262" spans="17:17" ht="16.5" customHeight="1">
      <c r="Q262" s="258"/>
    </row>
    <row r="263" spans="17:17" ht="16.5" customHeight="1">
      <c r="Q263" s="258"/>
    </row>
    <row r="264" spans="17:17" ht="16.5" customHeight="1">
      <c r="Q264" s="258"/>
    </row>
    <row r="265" spans="17:17" ht="16.5" customHeight="1">
      <c r="Q265" s="258"/>
    </row>
    <row r="266" spans="17:17" ht="16.5" customHeight="1">
      <c r="Q266" s="258"/>
    </row>
    <row r="267" spans="17:17" ht="16.5" customHeight="1">
      <c r="Q267" s="258"/>
    </row>
    <row r="268" spans="17:17" ht="16.5" customHeight="1">
      <c r="Q268" s="258"/>
    </row>
    <row r="269" spans="17:17" ht="16.5" customHeight="1">
      <c r="Q269" s="258"/>
    </row>
    <row r="270" spans="17:17" ht="16.5" customHeight="1">
      <c r="Q270" s="258"/>
    </row>
    <row r="271" spans="17:17" ht="16.5" customHeight="1">
      <c r="Q271" s="258"/>
    </row>
    <row r="272" spans="17:17" ht="16.5" customHeight="1">
      <c r="Q272" s="258"/>
    </row>
    <row r="273" spans="17:17" ht="16.5" customHeight="1">
      <c r="Q273" s="258"/>
    </row>
    <row r="274" spans="17:17" ht="16.5" customHeight="1">
      <c r="Q274" s="258"/>
    </row>
    <row r="275" spans="17:17" ht="16.5" customHeight="1">
      <c r="Q275" s="258"/>
    </row>
    <row r="276" spans="17:17" ht="16.5" customHeight="1">
      <c r="Q276" s="258"/>
    </row>
    <row r="277" spans="17:17" ht="16.5" customHeight="1">
      <c r="Q277" s="258"/>
    </row>
    <row r="278" spans="17:17" ht="16.5" customHeight="1">
      <c r="Q278" s="258"/>
    </row>
    <row r="279" spans="17:17" ht="16.5" customHeight="1">
      <c r="Q279" s="258"/>
    </row>
    <row r="280" spans="17:17" ht="16.5" customHeight="1">
      <c r="Q280" s="258"/>
    </row>
    <row r="281" spans="17:17" ht="16.5" customHeight="1">
      <c r="Q281" s="258"/>
    </row>
    <row r="282" spans="17:17" ht="16.5" customHeight="1">
      <c r="Q282" s="258"/>
    </row>
    <row r="283" spans="17:17" ht="16.5" customHeight="1">
      <c r="Q283" s="258"/>
    </row>
    <row r="284" spans="17:17" ht="16.5" customHeight="1">
      <c r="Q284" s="258"/>
    </row>
    <row r="285" spans="17:17" ht="16.5" customHeight="1">
      <c r="Q285" s="258"/>
    </row>
    <row r="286" spans="17:17" ht="16.5" customHeight="1">
      <c r="Q286" s="258"/>
    </row>
    <row r="287" spans="17:17" ht="16.5" customHeight="1">
      <c r="Q287" s="258"/>
    </row>
    <row r="288" spans="17:17" ht="16.5" customHeight="1">
      <c r="Q288" s="258"/>
    </row>
    <row r="289" spans="17:17" ht="16.5" customHeight="1">
      <c r="Q289" s="258"/>
    </row>
    <row r="290" spans="17:17" ht="16.5" customHeight="1">
      <c r="Q290" s="258"/>
    </row>
    <row r="291" spans="17:17" ht="16.5" customHeight="1">
      <c r="Q291" s="258"/>
    </row>
    <row r="292" spans="17:17" ht="16.5" customHeight="1">
      <c r="Q292" s="258"/>
    </row>
    <row r="293" spans="17:17" ht="16.5" customHeight="1">
      <c r="Q293" s="258"/>
    </row>
    <row r="294" spans="17:17" ht="16.5" customHeight="1">
      <c r="Q294" s="258"/>
    </row>
    <row r="295" spans="17:17" ht="16.5" customHeight="1">
      <c r="Q295" s="258"/>
    </row>
    <row r="296" spans="17:17" ht="16.5" customHeight="1">
      <c r="Q296" s="258"/>
    </row>
    <row r="297" spans="17:17" ht="16.5" customHeight="1">
      <c r="Q297" s="258"/>
    </row>
    <row r="298" spans="17:17" ht="16.5" customHeight="1">
      <c r="Q298" s="258"/>
    </row>
    <row r="299" spans="17:17" ht="16.5" customHeight="1">
      <c r="Q299" s="258"/>
    </row>
    <row r="300" spans="17:17" ht="16.5" customHeight="1">
      <c r="Q300" s="258"/>
    </row>
    <row r="301" spans="17:17" ht="16.5" customHeight="1">
      <c r="Q301" s="258"/>
    </row>
    <row r="302" spans="17:17" ht="16.5" customHeight="1">
      <c r="Q302" s="258"/>
    </row>
    <row r="303" spans="17:17" ht="16.5" customHeight="1">
      <c r="Q303" s="258"/>
    </row>
    <row r="304" spans="17:17" ht="16.5" customHeight="1">
      <c r="Q304" s="258"/>
    </row>
    <row r="305" spans="17:17" ht="16.5" customHeight="1">
      <c r="Q305" s="258"/>
    </row>
    <row r="306" spans="17:17" ht="16.5" customHeight="1">
      <c r="Q306" s="258"/>
    </row>
    <row r="307" spans="17:17" ht="16.5" customHeight="1">
      <c r="Q307" s="258"/>
    </row>
    <row r="308" spans="17:17" ht="16.5" customHeight="1">
      <c r="Q308" s="258"/>
    </row>
    <row r="309" spans="17:17" ht="16.5" customHeight="1">
      <c r="Q309" s="258"/>
    </row>
    <row r="310" spans="17:17" ht="16.5" customHeight="1">
      <c r="Q310" s="258"/>
    </row>
    <row r="311" spans="17:17" ht="16.5" customHeight="1">
      <c r="Q311" s="258"/>
    </row>
    <row r="312" spans="17:17" ht="16.5" customHeight="1">
      <c r="Q312" s="258"/>
    </row>
    <row r="313" spans="17:17" ht="16.5" customHeight="1">
      <c r="Q313" s="258"/>
    </row>
    <row r="314" spans="17:17" ht="16.5" customHeight="1">
      <c r="Q314" s="258"/>
    </row>
    <row r="315" spans="17:17" ht="16.5" customHeight="1">
      <c r="Q315" s="258"/>
    </row>
    <row r="316" spans="17:17" ht="16.5" customHeight="1">
      <c r="Q316" s="258"/>
    </row>
    <row r="317" spans="17:17" ht="16.5" customHeight="1">
      <c r="Q317" s="258"/>
    </row>
    <row r="318" spans="17:17" ht="16.5" customHeight="1">
      <c r="Q318" s="258"/>
    </row>
    <row r="319" spans="17:17" ht="16.5" customHeight="1">
      <c r="Q319" s="258"/>
    </row>
    <row r="320" spans="17:17" ht="16.5" customHeight="1">
      <c r="Q320" s="258"/>
    </row>
    <row r="321" spans="17:17" ht="16.5" customHeight="1">
      <c r="Q321" s="258"/>
    </row>
    <row r="322" spans="17:17" ht="16.5" customHeight="1">
      <c r="Q322" s="258"/>
    </row>
    <row r="323" spans="17:17" ht="16.5" customHeight="1">
      <c r="Q323" s="258"/>
    </row>
    <row r="324" spans="17:17" ht="16.5" customHeight="1">
      <c r="Q324" s="258"/>
    </row>
    <row r="325" spans="17:17" ht="16.5" customHeight="1">
      <c r="Q325" s="258"/>
    </row>
    <row r="326" spans="17:17" ht="16.5" customHeight="1">
      <c r="Q326" s="258"/>
    </row>
    <row r="327" spans="17:17" ht="16.5" customHeight="1">
      <c r="Q327" s="258"/>
    </row>
    <row r="328" spans="17:17" ht="16.5" customHeight="1">
      <c r="Q328" s="258"/>
    </row>
    <row r="329" spans="17:17" ht="16.5" customHeight="1">
      <c r="Q329" s="258"/>
    </row>
    <row r="330" spans="17:17" ht="16.5" customHeight="1">
      <c r="Q330" s="258"/>
    </row>
    <row r="331" spans="17:17" ht="16.5" customHeight="1">
      <c r="Q331" s="258"/>
    </row>
    <row r="332" spans="17:17" ht="16.5" customHeight="1">
      <c r="Q332" s="258"/>
    </row>
    <row r="333" spans="17:17" ht="16.5" customHeight="1">
      <c r="Q333" s="258"/>
    </row>
    <row r="334" spans="17:17" ht="16.5" customHeight="1">
      <c r="Q334" s="258"/>
    </row>
    <row r="335" spans="17:17" ht="16.5" customHeight="1">
      <c r="Q335" s="258"/>
    </row>
    <row r="336" spans="17:17" ht="16.5" customHeight="1">
      <c r="Q336" s="258"/>
    </row>
    <row r="337" spans="17:17" ht="16.5" customHeight="1">
      <c r="Q337" s="258"/>
    </row>
    <row r="338" spans="17:17" ht="16.5" customHeight="1">
      <c r="Q338" s="258"/>
    </row>
    <row r="339" spans="17:17" ht="16.5" customHeight="1">
      <c r="Q339" s="258"/>
    </row>
    <row r="340" spans="17:17" ht="16.5" customHeight="1">
      <c r="Q340" s="258"/>
    </row>
    <row r="341" spans="17:17" ht="16.5" customHeight="1">
      <c r="Q341" s="258"/>
    </row>
    <row r="342" spans="17:17" ht="16.5" customHeight="1">
      <c r="Q342" s="258"/>
    </row>
    <row r="343" spans="17:17" ht="16.5" customHeight="1">
      <c r="Q343" s="258"/>
    </row>
    <row r="344" spans="17:17" ht="16.5" customHeight="1">
      <c r="Q344" s="258"/>
    </row>
    <row r="345" spans="17:17" ht="16.5" customHeight="1">
      <c r="Q345" s="258"/>
    </row>
    <row r="346" spans="17:17" ht="16.5" customHeight="1">
      <c r="Q346" s="258"/>
    </row>
    <row r="347" spans="17:17" ht="16.5" customHeight="1">
      <c r="Q347" s="258"/>
    </row>
    <row r="348" spans="17:17" ht="16.5" customHeight="1">
      <c r="Q348" s="258"/>
    </row>
    <row r="349" spans="17:17" ht="16.5" customHeight="1">
      <c r="Q349" s="258"/>
    </row>
    <row r="350" spans="17:17" ht="16.5" customHeight="1">
      <c r="Q350" s="258"/>
    </row>
    <row r="351" spans="17:17" ht="16.5" customHeight="1">
      <c r="Q351" s="258"/>
    </row>
    <row r="352" spans="17:17" ht="16.5" customHeight="1">
      <c r="Q352" s="258"/>
    </row>
    <row r="353" spans="17:17" ht="16.5" customHeight="1">
      <c r="Q353" s="258"/>
    </row>
    <row r="354" spans="17:17" ht="16.5" customHeight="1">
      <c r="Q354" s="258"/>
    </row>
    <row r="355" spans="17:17" ht="16.5" customHeight="1">
      <c r="Q355" s="258"/>
    </row>
    <row r="356" spans="17:17" ht="16.5" customHeight="1">
      <c r="Q356" s="258"/>
    </row>
    <row r="357" spans="17:17" ht="16.5" customHeight="1">
      <c r="Q357" s="258"/>
    </row>
    <row r="358" spans="17:17" ht="16.5" customHeight="1">
      <c r="Q358" s="258"/>
    </row>
    <row r="359" spans="17:17" ht="16.5" customHeight="1">
      <c r="Q359" s="258"/>
    </row>
    <row r="360" spans="17:17" ht="16.5" customHeight="1">
      <c r="Q360" s="258"/>
    </row>
    <row r="361" spans="17:17" ht="16.5" customHeight="1">
      <c r="Q361" s="258"/>
    </row>
    <row r="362" spans="17:17" ht="16.5" customHeight="1">
      <c r="Q362" s="258"/>
    </row>
    <row r="363" spans="17:17" ht="16.5" customHeight="1">
      <c r="Q363" s="258"/>
    </row>
    <row r="364" spans="17:17" ht="16.5" customHeight="1">
      <c r="Q364" s="258"/>
    </row>
  </sheetData>
  <phoneticPr fontId="2" type="noConversion"/>
  <dataValidations count="1">
    <dataValidation allowBlank="1" showInputMessage="1" showErrorMessage="1" sqref="C1:C1048576" xr:uid="{F09D5D78-E5FF-459A-816C-78D9F205DCB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B28820-D1B5-4DBB-9217-E0C080EE6FCA}">
          <x14:formula1>
            <xm:f>공급업체코드!$D$3:$D$47</xm:f>
          </x14:formula1>
          <xm:sqref>E3:E67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90DC-E4C8-4FBC-80E8-E6CDA992B04A}">
  <sheetPr>
    <tabColor rgb="FFFFFF00"/>
  </sheetPr>
  <dimension ref="A1:AN331"/>
  <sheetViews>
    <sheetView zoomScale="55" zoomScaleNormal="55" workbookViewId="0">
      <pane xSplit="3" ySplit="2" topLeftCell="D295" activePane="bottomRight" state="frozen"/>
      <selection pane="bottomRight" activeCell="B311" sqref="B311"/>
      <selection pane="bottomLeft"/>
      <selection pane="topRight"/>
    </sheetView>
  </sheetViews>
  <sheetFormatPr defaultRowHeight="16.5" customHeight="1"/>
  <cols>
    <col min="1" max="1" width="26.875" customWidth="1"/>
    <col min="2" max="2" width="47.5" customWidth="1"/>
    <col min="3" max="3" width="35.125" bestFit="1" customWidth="1"/>
    <col min="4" max="4" width="16.125" customWidth="1"/>
    <col min="5" max="5" width="21.25" bestFit="1" customWidth="1"/>
    <col min="6" max="6" width="13.875" bestFit="1" customWidth="1"/>
    <col min="7" max="7" width="14.5" style="18" customWidth="1"/>
    <col min="8" max="8" width="22.5" customWidth="1"/>
    <col min="9" max="9" width="23" customWidth="1"/>
    <col min="10" max="10" width="22.875" customWidth="1"/>
    <col min="11" max="11" width="21.375" customWidth="1"/>
    <col min="12" max="12" width="22.875" customWidth="1"/>
    <col min="13" max="13" width="22.5" style="18" customWidth="1"/>
    <col min="14" max="14" width="20.625" customWidth="1"/>
    <col min="15" max="15" width="20.875" style="18" customWidth="1"/>
    <col min="16" max="16" width="20.5" customWidth="1"/>
    <col min="17" max="17" width="20.625" style="18" customWidth="1"/>
    <col min="18" max="18" width="20" customWidth="1"/>
    <col min="19" max="19" width="19.5" customWidth="1"/>
    <col min="20" max="20" width="16.125" customWidth="1"/>
    <col min="21" max="21" width="14.125" customWidth="1"/>
    <col min="22" max="22" width="15.25" customWidth="1"/>
    <col min="23" max="23" width="19.75" customWidth="1"/>
    <col min="24" max="24" width="20.875" customWidth="1"/>
    <col min="25" max="25" width="24.75" customWidth="1"/>
    <col min="26" max="26" width="16.125" customWidth="1"/>
    <col min="27" max="27" width="16.125" style="261" customWidth="1"/>
    <col min="28" max="28" width="25.75" style="10" bestFit="1" customWidth="1"/>
    <col min="29" max="29" width="16.125" style="260" customWidth="1"/>
    <col min="30" max="30" width="16.875" customWidth="1"/>
    <col min="31" max="31" width="16.125" customWidth="1"/>
    <col min="32" max="32" width="18" customWidth="1"/>
    <col min="33" max="33" width="16.5" customWidth="1"/>
    <col min="34" max="34" width="16.125" style="18" customWidth="1"/>
    <col min="35" max="35" width="18.25" bestFit="1" customWidth="1"/>
    <col min="36" max="36" width="21.25" bestFit="1" customWidth="1"/>
    <col min="37" max="37" width="27.875" style="18" bestFit="1" customWidth="1"/>
    <col min="38" max="38" width="10.5" customWidth="1"/>
    <col min="39" max="39" width="29.375" customWidth="1"/>
    <col min="40" max="40" width="20.625" style="113" customWidth="1"/>
    <col min="16366" max="16366" width="9" bestFit="1" customWidth="1"/>
  </cols>
  <sheetData>
    <row r="1" spans="1:40" s="10" customFormat="1">
      <c r="B1" s="10" t="s">
        <v>1284</v>
      </c>
      <c r="D1" s="10" t="s">
        <v>1285</v>
      </c>
      <c r="F1" s="10" t="s">
        <v>1286</v>
      </c>
      <c r="G1" s="10" t="s">
        <v>1287</v>
      </c>
      <c r="H1" s="17" t="s">
        <v>1422</v>
      </c>
      <c r="I1" s="17" t="s">
        <v>1423</v>
      </c>
      <c r="J1" s="17" t="s">
        <v>1424</v>
      </c>
      <c r="K1" s="17" t="s">
        <v>1425</v>
      </c>
      <c r="L1" s="17" t="s">
        <v>1426</v>
      </c>
      <c r="M1" s="10" t="s">
        <v>1427</v>
      </c>
      <c r="N1" s="10" t="s">
        <v>1428</v>
      </c>
      <c r="O1" s="10" t="s">
        <v>1429</v>
      </c>
      <c r="P1" s="10" t="s">
        <v>1430</v>
      </c>
      <c r="Q1" s="10" t="s">
        <v>1431</v>
      </c>
      <c r="R1" s="10" t="s">
        <v>1432</v>
      </c>
      <c r="S1" s="10" t="s">
        <v>1433</v>
      </c>
      <c r="T1" s="10" t="s">
        <v>1355</v>
      </c>
      <c r="U1" s="10" t="s">
        <v>1319</v>
      </c>
      <c r="V1" s="10" t="s">
        <v>1320</v>
      </c>
      <c r="W1" s="10" t="s">
        <v>1321</v>
      </c>
      <c r="X1" s="10" t="s">
        <v>1322</v>
      </c>
      <c r="Y1" s="10" t="s">
        <v>1323</v>
      </c>
      <c r="Z1" s="17" t="s">
        <v>1324</v>
      </c>
      <c r="AA1" s="131" t="s">
        <v>1344</v>
      </c>
      <c r="AB1" s="131" t="s">
        <v>1345</v>
      </c>
      <c r="AC1" s="131" t="s">
        <v>1346</v>
      </c>
      <c r="AD1" s="17" t="s">
        <v>1434</v>
      </c>
      <c r="AE1" s="17" t="s">
        <v>1435</v>
      </c>
      <c r="AF1" s="17" t="s">
        <v>1436</v>
      </c>
      <c r="AG1" s="17" t="s">
        <v>1437</v>
      </c>
      <c r="AH1" s="17" t="s">
        <v>1438</v>
      </c>
      <c r="AI1" s="10" t="s">
        <v>1293</v>
      </c>
      <c r="AJ1" s="17" t="s">
        <v>1294</v>
      </c>
      <c r="AK1" s="61" t="s">
        <v>1295</v>
      </c>
      <c r="AL1" s="10" t="s">
        <v>1296</v>
      </c>
      <c r="AM1" s="10" t="s">
        <v>1297</v>
      </c>
      <c r="AN1" s="210" t="s">
        <v>1298</v>
      </c>
    </row>
    <row r="2" spans="1:40" s="1" customFormat="1">
      <c r="B2" s="2" t="s">
        <v>1439</v>
      </c>
      <c r="C2" s="39" t="s">
        <v>1300</v>
      </c>
      <c r="D2" s="4" t="s">
        <v>1301</v>
      </c>
      <c r="E2" s="39" t="s">
        <v>1300</v>
      </c>
      <c r="F2" s="76" t="s">
        <v>1120</v>
      </c>
      <c r="G2" s="3" t="s">
        <v>1302</v>
      </c>
      <c r="H2" s="59" t="s">
        <v>1440</v>
      </c>
      <c r="I2" s="13" t="s">
        <v>1441</v>
      </c>
      <c r="J2" s="14" t="s">
        <v>1442</v>
      </c>
      <c r="K2" s="13" t="s">
        <v>1443</v>
      </c>
      <c r="L2" s="74" t="s">
        <v>1444</v>
      </c>
      <c r="M2" s="75" t="s">
        <v>1445</v>
      </c>
      <c r="N2" s="5" t="s">
        <v>1446</v>
      </c>
      <c r="O2" s="5" t="s">
        <v>1447</v>
      </c>
      <c r="P2" s="5" t="s">
        <v>1448</v>
      </c>
      <c r="Q2" s="5" t="s">
        <v>1449</v>
      </c>
      <c r="R2" s="56" t="s">
        <v>1450</v>
      </c>
      <c r="S2" s="73" t="s">
        <v>1451</v>
      </c>
      <c r="T2" s="73" t="s">
        <v>1356</v>
      </c>
      <c r="U2" s="5" t="s">
        <v>1328</v>
      </c>
      <c r="V2" s="53" t="s">
        <v>1329</v>
      </c>
      <c r="W2" s="5" t="s">
        <v>1330</v>
      </c>
      <c r="X2" s="5" t="s">
        <v>1331</v>
      </c>
      <c r="Y2" s="57" t="s">
        <v>1332</v>
      </c>
      <c r="Z2" s="14" t="s">
        <v>1349</v>
      </c>
      <c r="AA2" s="5" t="s">
        <v>1350</v>
      </c>
      <c r="AB2" s="5" t="s">
        <v>1351</v>
      </c>
      <c r="AC2" s="5" t="s">
        <v>1352</v>
      </c>
      <c r="AD2" s="15" t="s">
        <v>1452</v>
      </c>
      <c r="AE2" s="13" t="s">
        <v>1453</v>
      </c>
      <c r="AF2" s="13" t="s">
        <v>1454</v>
      </c>
      <c r="AG2" s="13" t="s">
        <v>1455</v>
      </c>
      <c r="AH2" s="13" t="s">
        <v>1456</v>
      </c>
      <c r="AI2" s="19" t="s">
        <v>1308</v>
      </c>
      <c r="AJ2" s="16" t="s">
        <v>1309</v>
      </c>
      <c r="AK2" s="241" t="s">
        <v>1310</v>
      </c>
      <c r="AL2" s="54" t="s">
        <v>1311</v>
      </c>
      <c r="AM2" s="3" t="s">
        <v>10</v>
      </c>
      <c r="AN2" s="242" t="s">
        <v>1312</v>
      </c>
    </row>
    <row r="3" spans="1:40">
      <c r="A3" t="s">
        <v>1457</v>
      </c>
      <c r="B3" s="1" t="str">
        <f>D3&amp;"_"&amp;F3&amp;"_"&amp;G3&amp;"_"&amp;I3&amp;"C"</f>
        <v>M_PMP0302_VM_DH_ENG_50DHS-0.75_0.2C</v>
      </c>
      <c r="C3" s="7" t="s">
        <v>1458</v>
      </c>
      <c r="D3" s="7" t="str" cm="1">
        <f t="array" ref="D3">INDEX(기계코드!$D$4:$D$1022,MATCH(1,(C3=기계코드!$F$4:$F$1022)*1,0))</f>
        <v>M_PMP0302</v>
      </c>
      <c r="E3" s="7" t="s">
        <v>1459</v>
      </c>
      <c r="F3" s="7" t="str" cm="1">
        <f t="array" ref="F3">INDEX(공급업체코드!$B$3:$B$1000,MATCH(1,(E3=공급업체코드!$D$3:$D$1000)*1,0))</f>
        <v>VM_DH_ENG</v>
      </c>
      <c r="G3" s="43" t="s">
        <v>1460</v>
      </c>
      <c r="H3" s="63"/>
      <c r="I3" s="132">
        <v>0.2</v>
      </c>
      <c r="J3" s="64"/>
      <c r="K3" s="64"/>
      <c r="L3" s="64"/>
      <c r="M3" s="65"/>
      <c r="N3" s="64"/>
      <c r="O3" s="65">
        <v>10</v>
      </c>
      <c r="P3" s="64"/>
      <c r="Q3" s="65"/>
      <c r="R3" s="64">
        <v>50</v>
      </c>
      <c r="S3" s="64"/>
      <c r="T3" s="70">
        <v>0.75</v>
      </c>
      <c r="U3" s="7" t="s">
        <v>981</v>
      </c>
      <c r="V3" s="7">
        <v>380</v>
      </c>
      <c r="W3" s="151">
        <v>0.83499999999999996</v>
      </c>
      <c r="X3" s="7">
        <v>0.9</v>
      </c>
      <c r="Y3" s="7">
        <v>80</v>
      </c>
      <c r="Z3" s="145">
        <v>35</v>
      </c>
      <c r="AA3" s="272" t="s">
        <v>1390</v>
      </c>
      <c r="AB3" s="276">
        <v>23</v>
      </c>
      <c r="AC3" s="273" t="s">
        <v>1391</v>
      </c>
      <c r="AD3" s="64" t="s">
        <v>1461</v>
      </c>
      <c r="AE3" s="64" t="s">
        <v>1461</v>
      </c>
      <c r="AF3" s="64"/>
      <c r="AG3" s="64"/>
      <c r="AH3" s="65"/>
      <c r="AI3" s="7">
        <v>1010000</v>
      </c>
      <c r="AJ3" s="7"/>
      <c r="AK3" s="18" t="s">
        <v>1462</v>
      </c>
      <c r="AL3" s="1" t="b">
        <v>1</v>
      </c>
      <c r="AN3" s="133"/>
    </row>
    <row r="4" spans="1:40">
      <c r="A4" t="s">
        <v>1463</v>
      </c>
      <c r="B4" s="1" t="str">
        <f t="shared" ref="B4:B25" si="0">D4&amp;"_"&amp;F4&amp;"_"&amp;G4&amp;"_"&amp;I4&amp;"C"</f>
        <v>M_PMP0302_VM_DH_ENG_80DHS-1.5_0.5C</v>
      </c>
      <c r="C4" s="7" t="s">
        <v>1458</v>
      </c>
      <c r="D4" s="7" t="str" cm="1">
        <f t="array" ref="D4">INDEX(기계코드!$D$4:$D$1022,MATCH(1,(C4=기계코드!$F$4:$F$1022)*1,0))</f>
        <v>M_PMP0302</v>
      </c>
      <c r="E4" s="7" t="s">
        <v>1459</v>
      </c>
      <c r="F4" s="7" t="str" cm="1">
        <f t="array" ref="F4">INDEX(공급업체코드!$B$3:$B$1000,MATCH(1,(E4=공급업체코드!$D$3:$D$1000)*1,0))</f>
        <v>VM_DH_ENG</v>
      </c>
      <c r="G4" s="43" t="s">
        <v>1464</v>
      </c>
      <c r="H4" s="63"/>
      <c r="I4" s="132">
        <v>0.5</v>
      </c>
      <c r="J4" s="64"/>
      <c r="K4" s="64"/>
      <c r="L4" s="64"/>
      <c r="M4" s="65"/>
      <c r="N4" s="64"/>
      <c r="O4" s="65">
        <v>8</v>
      </c>
      <c r="P4" s="64"/>
      <c r="Q4" s="65"/>
      <c r="R4" s="64">
        <v>80</v>
      </c>
      <c r="S4" s="64"/>
      <c r="T4" s="70">
        <v>1.5</v>
      </c>
      <c r="U4" s="7" t="s">
        <v>981</v>
      </c>
      <c r="V4" s="7">
        <v>380</v>
      </c>
      <c r="W4" s="151">
        <v>0.86499999999999999</v>
      </c>
      <c r="X4" s="7">
        <v>0.9</v>
      </c>
      <c r="Y4" s="7">
        <v>80</v>
      </c>
      <c r="Z4" s="34">
        <v>45</v>
      </c>
      <c r="AA4" s="274" t="s">
        <v>1390</v>
      </c>
      <c r="AB4" s="61">
        <v>23</v>
      </c>
      <c r="AC4" s="275" t="s">
        <v>1391</v>
      </c>
      <c r="AD4" s="64" t="s">
        <v>1461</v>
      </c>
      <c r="AE4" s="64" t="s">
        <v>1461</v>
      </c>
      <c r="AF4" s="64"/>
      <c r="AG4" s="64"/>
      <c r="AH4" s="65"/>
      <c r="AI4" s="7">
        <v>1590000</v>
      </c>
      <c r="AJ4" s="7"/>
      <c r="AK4" s="18" t="s">
        <v>1462</v>
      </c>
      <c r="AL4" s="1" t="b">
        <v>1</v>
      </c>
      <c r="AN4" s="133"/>
    </row>
    <row r="5" spans="1:40">
      <c r="A5" t="s">
        <v>1465</v>
      </c>
      <c r="B5" s="1" t="str">
        <f t="shared" si="0"/>
        <v>M_PMP0302_VM_DH_ENG_80DHS-2.2_0.6C</v>
      </c>
      <c r="C5" s="7" t="s">
        <v>1458</v>
      </c>
      <c r="D5" s="7" t="str" cm="1">
        <f t="array" ref="D5">INDEX(기계코드!$D$4:$D$1022,MATCH(1,(C5=기계코드!$F$4:$F$1022)*1,0))</f>
        <v>M_PMP0302</v>
      </c>
      <c r="E5" s="7" t="s">
        <v>1459</v>
      </c>
      <c r="F5" s="7" t="str" cm="1">
        <f t="array" ref="F5">INDEX(공급업체코드!$B$3:$B$1000,MATCH(1,(E5=공급업체코드!$D$3:$D$1000)*1,0))</f>
        <v>VM_DH_ENG</v>
      </c>
      <c r="G5" s="43" t="s">
        <v>1466</v>
      </c>
      <c r="H5" s="63"/>
      <c r="I5" s="132">
        <v>0.6</v>
      </c>
      <c r="J5" s="64"/>
      <c r="K5" s="64"/>
      <c r="L5" s="64"/>
      <c r="M5" s="65"/>
      <c r="N5" s="64"/>
      <c r="O5" s="65">
        <v>10</v>
      </c>
      <c r="P5" s="64"/>
      <c r="Q5" s="65"/>
      <c r="R5" s="64">
        <v>80</v>
      </c>
      <c r="S5" s="64"/>
      <c r="T5" s="70">
        <v>2.2000000000000002</v>
      </c>
      <c r="U5" s="7" t="s">
        <v>981</v>
      </c>
      <c r="V5" s="7">
        <v>380</v>
      </c>
      <c r="W5" s="151">
        <v>0.89500000000000002</v>
      </c>
      <c r="X5" s="7">
        <v>0.9</v>
      </c>
      <c r="Y5" s="7">
        <v>80</v>
      </c>
      <c r="Z5" s="34">
        <v>80</v>
      </c>
      <c r="AA5" s="274" t="s">
        <v>1390</v>
      </c>
      <c r="AB5" s="61">
        <v>23</v>
      </c>
      <c r="AC5" s="275" t="s">
        <v>1391</v>
      </c>
      <c r="AD5" s="64" t="s">
        <v>1461</v>
      </c>
      <c r="AE5" s="64" t="s">
        <v>1461</v>
      </c>
      <c r="AF5" s="64"/>
      <c r="AG5" s="64"/>
      <c r="AH5" s="65"/>
      <c r="AI5" s="7">
        <v>1590000</v>
      </c>
      <c r="AJ5" s="7"/>
      <c r="AK5" s="18" t="s">
        <v>1462</v>
      </c>
      <c r="AL5" s="1" t="b">
        <v>1</v>
      </c>
      <c r="AN5" s="133"/>
    </row>
    <row r="6" spans="1:40">
      <c r="A6" t="s">
        <v>1467</v>
      </c>
      <c r="B6" s="1" t="str">
        <f t="shared" si="0"/>
        <v>M_PMP0302_VM_DH_ENG_80DHS-3.7_0.6C</v>
      </c>
      <c r="C6" s="7" t="s">
        <v>1458</v>
      </c>
      <c r="D6" s="7" t="str" cm="1">
        <f t="array" ref="D6">INDEX(기계코드!$D$4:$D$1022,MATCH(1,(C6=기계코드!$F$4:$F$1022)*1,0))</f>
        <v>M_PMP0302</v>
      </c>
      <c r="E6" s="7" t="s">
        <v>1459</v>
      </c>
      <c r="F6" s="7" t="str" cm="1">
        <f t="array" ref="F6">INDEX(공급업체코드!$B$3:$B$1000,MATCH(1,(E6=공급업체코드!$D$3:$D$1000)*1,0))</f>
        <v>VM_DH_ENG</v>
      </c>
      <c r="G6" s="43" t="s">
        <v>1468</v>
      </c>
      <c r="H6" s="63"/>
      <c r="I6" s="132">
        <v>0.6</v>
      </c>
      <c r="J6" s="64"/>
      <c r="K6" s="64"/>
      <c r="L6" s="64"/>
      <c r="M6" s="65"/>
      <c r="N6" s="64"/>
      <c r="O6" s="65">
        <v>15</v>
      </c>
      <c r="P6" s="64"/>
      <c r="Q6" s="65"/>
      <c r="R6" s="64">
        <v>80</v>
      </c>
      <c r="S6" s="64"/>
      <c r="T6" s="70">
        <v>3.7</v>
      </c>
      <c r="U6" s="7" t="s">
        <v>981</v>
      </c>
      <c r="V6" s="7">
        <v>380</v>
      </c>
      <c r="W6" s="151">
        <v>0.89500000000000002</v>
      </c>
      <c r="X6" s="7">
        <v>0.9</v>
      </c>
      <c r="Y6" s="7">
        <v>80</v>
      </c>
      <c r="Z6" s="34">
        <v>100</v>
      </c>
      <c r="AA6" s="274" t="s">
        <v>1390</v>
      </c>
      <c r="AB6" s="61">
        <v>23</v>
      </c>
      <c r="AC6" s="275" t="s">
        <v>1391</v>
      </c>
      <c r="AD6" s="64" t="s">
        <v>1461</v>
      </c>
      <c r="AE6" s="64" t="s">
        <v>1461</v>
      </c>
      <c r="AF6" s="64"/>
      <c r="AG6" s="64"/>
      <c r="AH6" s="65"/>
      <c r="AI6" s="7">
        <v>2090000</v>
      </c>
      <c r="AJ6" s="7"/>
      <c r="AK6" s="18" t="s">
        <v>1462</v>
      </c>
      <c r="AL6" s="1" t="b">
        <v>1</v>
      </c>
      <c r="AN6" s="133"/>
    </row>
    <row r="7" spans="1:40">
      <c r="A7" t="s">
        <v>1469</v>
      </c>
      <c r="B7" s="1" t="str">
        <f t="shared" si="0"/>
        <v>M_PMP0302_VM_DH_ENG_100DHS-5.5_1C</v>
      </c>
      <c r="C7" s="7" t="s">
        <v>1458</v>
      </c>
      <c r="D7" s="7" t="str" cm="1">
        <f t="array" ref="D7">INDEX(기계코드!$D$4:$D$1022,MATCH(1,(C7=기계코드!$F$4:$F$1022)*1,0))</f>
        <v>M_PMP0302</v>
      </c>
      <c r="E7" s="7" t="s">
        <v>1459</v>
      </c>
      <c r="F7" s="7" t="str" cm="1">
        <f t="array" ref="F7">INDEX(공급업체코드!$B$3:$B$1000,MATCH(1,(E7=공급업체코드!$D$3:$D$1000)*1,0))</f>
        <v>VM_DH_ENG</v>
      </c>
      <c r="G7" s="43" t="s">
        <v>1470</v>
      </c>
      <c r="H7" s="63"/>
      <c r="I7" s="132">
        <v>1</v>
      </c>
      <c r="J7" s="64"/>
      <c r="K7" s="64"/>
      <c r="L7" s="64"/>
      <c r="M7" s="65"/>
      <c r="N7" s="64"/>
      <c r="O7" s="65">
        <v>16</v>
      </c>
      <c r="P7" s="64"/>
      <c r="Q7" s="65"/>
      <c r="R7" s="64">
        <v>100</v>
      </c>
      <c r="S7" s="64"/>
      <c r="T7" s="70">
        <v>5.5</v>
      </c>
      <c r="U7" s="7" t="s">
        <v>981</v>
      </c>
      <c r="V7" s="7">
        <v>380</v>
      </c>
      <c r="W7" s="151">
        <v>0.91700000000000004</v>
      </c>
      <c r="X7" s="7">
        <v>0.9</v>
      </c>
      <c r="Y7" s="7">
        <v>80</v>
      </c>
      <c r="Z7" s="34">
        <v>200</v>
      </c>
      <c r="AA7" s="274" t="s">
        <v>1390</v>
      </c>
      <c r="AB7" s="61">
        <v>23</v>
      </c>
      <c r="AC7" s="275" t="s">
        <v>1391</v>
      </c>
      <c r="AD7" s="64" t="s">
        <v>1461</v>
      </c>
      <c r="AE7" s="64" t="s">
        <v>1461</v>
      </c>
      <c r="AF7" s="64"/>
      <c r="AG7" s="64"/>
      <c r="AH7" s="65"/>
      <c r="AI7" s="7">
        <v>2300000</v>
      </c>
      <c r="AJ7" s="7"/>
      <c r="AK7" s="18" t="s">
        <v>1462</v>
      </c>
      <c r="AL7" s="1" t="b">
        <v>1</v>
      </c>
    </row>
    <row r="8" spans="1:40">
      <c r="A8" t="s">
        <v>1471</v>
      </c>
      <c r="B8" s="1" t="str">
        <f t="shared" si="0"/>
        <v>M_PMP0302_VM_DH_ENG_100DHS-7.5_1C</v>
      </c>
      <c r="C8" s="7" t="s">
        <v>1458</v>
      </c>
      <c r="D8" s="7" t="str" cm="1">
        <f t="array" ref="D8">INDEX(기계코드!$D$4:$D$1022,MATCH(1,(C8=기계코드!$F$4:$F$1022)*1,0))</f>
        <v>M_PMP0302</v>
      </c>
      <c r="E8" s="7" t="s">
        <v>1459</v>
      </c>
      <c r="F8" s="7" t="str" cm="1">
        <f t="array" ref="F8">INDEX(공급업체코드!$B$3:$B$1000,MATCH(1,(E8=공급업체코드!$D$3:$D$1000)*1,0))</f>
        <v>VM_DH_ENG</v>
      </c>
      <c r="G8" s="43" t="s">
        <v>1472</v>
      </c>
      <c r="H8" s="63"/>
      <c r="I8" s="132">
        <v>1</v>
      </c>
      <c r="J8" s="64"/>
      <c r="K8" s="64"/>
      <c r="L8" s="64"/>
      <c r="M8" s="65"/>
      <c r="N8" s="64"/>
      <c r="O8" s="65">
        <v>18</v>
      </c>
      <c r="P8" s="64"/>
      <c r="Q8" s="65"/>
      <c r="R8" s="64">
        <v>100</v>
      </c>
      <c r="S8" s="64"/>
      <c r="T8" s="70">
        <v>7.5</v>
      </c>
      <c r="U8" s="7" t="s">
        <v>981</v>
      </c>
      <c r="V8" s="7">
        <v>380</v>
      </c>
      <c r="W8" s="151">
        <v>0.91700000000000004</v>
      </c>
      <c r="X8" s="7">
        <v>0.9</v>
      </c>
      <c r="Y8" s="7">
        <v>80</v>
      </c>
      <c r="Z8" s="34">
        <v>220</v>
      </c>
      <c r="AA8" s="274" t="s">
        <v>1390</v>
      </c>
      <c r="AB8" s="61">
        <v>23</v>
      </c>
      <c r="AC8" s="275" t="s">
        <v>1391</v>
      </c>
      <c r="AD8" s="64" t="s">
        <v>1461</v>
      </c>
      <c r="AE8" s="64" t="s">
        <v>1461</v>
      </c>
      <c r="AF8" s="64"/>
      <c r="AG8" s="64"/>
      <c r="AH8" s="65"/>
      <c r="AI8" s="7">
        <v>2600000</v>
      </c>
      <c r="AJ8" s="7"/>
      <c r="AK8" s="18" t="s">
        <v>1462</v>
      </c>
      <c r="AL8" s="1" t="b">
        <v>1</v>
      </c>
    </row>
    <row r="9" spans="1:40">
      <c r="A9" t="s">
        <v>1473</v>
      </c>
      <c r="B9" s="1" t="str">
        <f t="shared" si="0"/>
        <v>M_PMP0302_VM_DH_ENG_150DHS-3.7_2.5C</v>
      </c>
      <c r="C9" s="7" t="s">
        <v>1458</v>
      </c>
      <c r="D9" s="7" t="str" cm="1">
        <f t="array" ref="D9">INDEX(기계코드!$D$4:$D$1022,MATCH(1,(C9=기계코드!$F$4:$F$1022)*1,0))</f>
        <v>M_PMP0302</v>
      </c>
      <c r="E9" s="7" t="s">
        <v>1459</v>
      </c>
      <c r="F9" s="7" t="str" cm="1">
        <f t="array" ref="F9">INDEX(공급업체코드!$B$3:$B$1000,MATCH(1,(E9=공급업체코드!$D$3:$D$1000)*1,0))</f>
        <v>VM_DH_ENG</v>
      </c>
      <c r="G9" s="43" t="s">
        <v>1474</v>
      </c>
      <c r="H9" s="63"/>
      <c r="I9" s="132">
        <v>2.5</v>
      </c>
      <c r="J9" s="64"/>
      <c r="K9" s="64"/>
      <c r="L9" s="64"/>
      <c r="M9" s="65"/>
      <c r="N9" s="64"/>
      <c r="O9" s="65">
        <v>5</v>
      </c>
      <c r="P9" s="64"/>
      <c r="Q9" s="65"/>
      <c r="R9" s="64">
        <v>150</v>
      </c>
      <c r="S9" s="64"/>
      <c r="T9" s="70">
        <v>3.7</v>
      </c>
      <c r="U9" s="7" t="s">
        <v>981</v>
      </c>
      <c r="V9" s="7">
        <v>380</v>
      </c>
      <c r="W9" s="151">
        <v>0.89500000000000002</v>
      </c>
      <c r="X9" s="7">
        <v>0.9</v>
      </c>
      <c r="Y9" s="7">
        <v>80</v>
      </c>
      <c r="Z9" s="34">
        <v>230</v>
      </c>
      <c r="AA9" s="274" t="s">
        <v>1390</v>
      </c>
      <c r="AB9" s="61">
        <v>23</v>
      </c>
      <c r="AC9" s="275" t="s">
        <v>1391</v>
      </c>
      <c r="AD9" s="64" t="s">
        <v>1461</v>
      </c>
      <c r="AE9" s="64" t="s">
        <v>1461</v>
      </c>
      <c r="AF9" s="64"/>
      <c r="AG9" s="64"/>
      <c r="AH9" s="65"/>
      <c r="AI9" s="7">
        <v>6220000</v>
      </c>
      <c r="AJ9" s="7"/>
      <c r="AK9" s="18" t="s">
        <v>1462</v>
      </c>
      <c r="AL9" s="1" t="b">
        <v>1</v>
      </c>
    </row>
    <row r="10" spans="1:40">
      <c r="A10" t="s">
        <v>1473</v>
      </c>
      <c r="B10" s="1" t="str">
        <f t="shared" si="0"/>
        <v>M_PMP0302_VM_DH_ENG_150DHS-5.5_2.5C</v>
      </c>
      <c r="C10" s="7" t="s">
        <v>1458</v>
      </c>
      <c r="D10" s="7" t="str" cm="1">
        <f t="array" ref="D10">INDEX(기계코드!$D$4:$D$1022,MATCH(1,(C10=기계코드!$F$4:$F$1022)*1,0))</f>
        <v>M_PMP0302</v>
      </c>
      <c r="E10" s="7" t="s">
        <v>1459</v>
      </c>
      <c r="F10" s="7" t="str" cm="1">
        <f t="array" ref="F10">INDEX(공급업체코드!$B$3:$B$1000,MATCH(1,(E10=공급업체코드!$D$3:$D$1000)*1,0))</f>
        <v>VM_DH_ENG</v>
      </c>
      <c r="G10" s="43" t="s">
        <v>1475</v>
      </c>
      <c r="H10" s="63"/>
      <c r="I10" s="132">
        <v>2.5</v>
      </c>
      <c r="J10" s="64"/>
      <c r="K10" s="64"/>
      <c r="L10" s="64"/>
      <c r="M10" s="65"/>
      <c r="N10" s="64"/>
      <c r="O10" s="65">
        <v>7</v>
      </c>
      <c r="P10" s="64"/>
      <c r="Q10" s="65"/>
      <c r="R10" s="64">
        <v>150</v>
      </c>
      <c r="S10" s="64"/>
      <c r="T10" s="70">
        <v>5.5</v>
      </c>
      <c r="U10" s="7" t="s">
        <v>981</v>
      </c>
      <c r="V10" s="7">
        <v>380</v>
      </c>
      <c r="W10" s="151">
        <v>0.91700000000000004</v>
      </c>
      <c r="X10" s="7">
        <v>0.9</v>
      </c>
      <c r="Y10" s="7">
        <v>80</v>
      </c>
      <c r="Z10" s="34">
        <v>240</v>
      </c>
      <c r="AA10" s="274" t="s">
        <v>1390</v>
      </c>
      <c r="AB10" s="61">
        <v>23</v>
      </c>
      <c r="AC10" s="275" t="s">
        <v>1391</v>
      </c>
      <c r="AD10" s="64" t="s">
        <v>1461</v>
      </c>
      <c r="AE10" s="64" t="s">
        <v>1461</v>
      </c>
      <c r="AF10" s="64"/>
      <c r="AG10" s="64"/>
      <c r="AH10" s="65"/>
      <c r="AI10" s="7">
        <v>6220000</v>
      </c>
      <c r="AJ10" s="7"/>
      <c r="AK10" s="18" t="s">
        <v>1462</v>
      </c>
      <c r="AL10" s="1" t="b">
        <v>1</v>
      </c>
    </row>
    <row r="11" spans="1:40">
      <c r="A11" t="s">
        <v>1473</v>
      </c>
      <c r="B11" s="1" t="str">
        <f t="shared" si="0"/>
        <v>M_PMP0302_VM_DH_ENG_150DHS-7.5_2.5C</v>
      </c>
      <c r="C11" s="7" t="s">
        <v>1458</v>
      </c>
      <c r="D11" s="7" t="str" cm="1">
        <f t="array" ref="D11">INDEX(기계코드!$D$4:$D$1022,MATCH(1,(C11=기계코드!$F$4:$F$1022)*1,0))</f>
        <v>M_PMP0302</v>
      </c>
      <c r="E11" s="7" t="s">
        <v>1459</v>
      </c>
      <c r="F11" s="7" t="str" cm="1">
        <f t="array" ref="F11">INDEX(공급업체코드!$B$3:$B$1000,MATCH(1,(E11=공급업체코드!$D$3:$D$1000)*1,0))</f>
        <v>VM_DH_ENG</v>
      </c>
      <c r="G11" s="43" t="s">
        <v>1476</v>
      </c>
      <c r="H11" s="63"/>
      <c r="I11" s="132">
        <v>2.5</v>
      </c>
      <c r="J11" s="64"/>
      <c r="K11" s="64"/>
      <c r="L11" s="64"/>
      <c r="M11" s="65"/>
      <c r="N11" s="64"/>
      <c r="O11" s="65">
        <v>9</v>
      </c>
      <c r="P11" s="64"/>
      <c r="Q11" s="65"/>
      <c r="R11" s="64">
        <v>150</v>
      </c>
      <c r="S11" s="64"/>
      <c r="T11" s="70">
        <v>7.5</v>
      </c>
      <c r="U11" s="7" t="s">
        <v>981</v>
      </c>
      <c r="V11" s="7">
        <v>380</v>
      </c>
      <c r="W11" s="151">
        <v>0.91700000000000004</v>
      </c>
      <c r="X11" s="7">
        <v>0.9</v>
      </c>
      <c r="Y11" s="7">
        <v>80</v>
      </c>
      <c r="Z11" s="34">
        <v>250</v>
      </c>
      <c r="AA11" s="274" t="s">
        <v>1390</v>
      </c>
      <c r="AB11" s="61">
        <v>23</v>
      </c>
      <c r="AC11" s="275" t="s">
        <v>1391</v>
      </c>
      <c r="AD11" s="64" t="s">
        <v>1461</v>
      </c>
      <c r="AE11" s="64" t="s">
        <v>1461</v>
      </c>
      <c r="AF11" s="64"/>
      <c r="AG11" s="64"/>
      <c r="AH11" s="65"/>
      <c r="AI11" s="7">
        <v>6220000</v>
      </c>
      <c r="AJ11" s="7"/>
      <c r="AK11" s="18" t="s">
        <v>1462</v>
      </c>
      <c r="AL11" s="1" t="b">
        <v>1</v>
      </c>
    </row>
    <row r="12" spans="1:40">
      <c r="A12" t="s">
        <v>1473</v>
      </c>
      <c r="B12" s="1" t="str">
        <f t="shared" si="0"/>
        <v>M_PMP0302_VM_DH_ENG_150DHS-11_2.5C</v>
      </c>
      <c r="C12" s="7" t="s">
        <v>1458</v>
      </c>
      <c r="D12" s="7" t="str" cm="1">
        <f t="array" ref="D12">INDEX(기계코드!$D$4:$D$1022,MATCH(1,(C12=기계코드!$F$4:$F$1022)*1,0))</f>
        <v>M_PMP0302</v>
      </c>
      <c r="E12" s="7" t="s">
        <v>1459</v>
      </c>
      <c r="F12" s="7" t="str" cm="1">
        <f t="array" ref="F12">INDEX(공급업체코드!$B$3:$B$1000,MATCH(1,(E12=공급업체코드!$D$3:$D$1000)*1,0))</f>
        <v>VM_DH_ENG</v>
      </c>
      <c r="G12" s="43" t="s">
        <v>1477</v>
      </c>
      <c r="H12" s="63"/>
      <c r="I12" s="132">
        <v>2.5</v>
      </c>
      <c r="J12" s="64"/>
      <c r="K12" s="64"/>
      <c r="L12" s="64"/>
      <c r="M12" s="65"/>
      <c r="N12" s="64"/>
      <c r="O12" s="65">
        <v>15</v>
      </c>
      <c r="P12" s="64"/>
      <c r="Q12" s="65"/>
      <c r="R12" s="64">
        <v>150</v>
      </c>
      <c r="S12" s="64"/>
      <c r="T12" s="70">
        <v>11</v>
      </c>
      <c r="U12" s="7" t="s">
        <v>981</v>
      </c>
      <c r="V12" s="7">
        <v>380</v>
      </c>
      <c r="W12" s="151">
        <v>0.92400000000000004</v>
      </c>
      <c r="X12" s="7">
        <v>0.9</v>
      </c>
      <c r="Y12" s="7">
        <v>80</v>
      </c>
      <c r="Z12" s="34">
        <v>265</v>
      </c>
      <c r="AA12" s="274" t="s">
        <v>1390</v>
      </c>
      <c r="AB12" s="61">
        <v>24</v>
      </c>
      <c r="AC12" s="275" t="s">
        <v>1391</v>
      </c>
      <c r="AD12" s="64" t="s">
        <v>1461</v>
      </c>
      <c r="AE12" s="64" t="s">
        <v>1461</v>
      </c>
      <c r="AF12" s="64"/>
      <c r="AG12" s="64"/>
      <c r="AH12" s="65"/>
      <c r="AI12" s="7">
        <v>6220000</v>
      </c>
      <c r="AJ12" s="7"/>
      <c r="AK12" s="18" t="s">
        <v>1462</v>
      </c>
      <c r="AL12" s="1" t="b">
        <v>1</v>
      </c>
    </row>
    <row r="13" spans="1:40">
      <c r="A13" t="s">
        <v>1473</v>
      </c>
      <c r="B13" s="1" t="str">
        <f t="shared" si="0"/>
        <v>M_PMP0302_VM_DH_ENG_150DHS-15_2.5C</v>
      </c>
      <c r="C13" s="7" t="s">
        <v>1458</v>
      </c>
      <c r="D13" s="7" t="str" cm="1">
        <f t="array" ref="D13">INDEX(기계코드!$D$4:$D$1022,MATCH(1,(C13=기계코드!$F$4:$F$1022)*1,0))</f>
        <v>M_PMP0302</v>
      </c>
      <c r="E13" s="7" t="s">
        <v>1459</v>
      </c>
      <c r="F13" s="7" t="str" cm="1">
        <f t="array" ref="F13">INDEX(공급업체코드!$B$3:$B$1000,MATCH(1,(E13=공급업체코드!$D$3:$D$1000)*1,0))</f>
        <v>VM_DH_ENG</v>
      </c>
      <c r="G13" s="43" t="s">
        <v>1478</v>
      </c>
      <c r="H13" s="63"/>
      <c r="I13" s="132">
        <v>2.5</v>
      </c>
      <c r="J13" s="64"/>
      <c r="K13" s="64"/>
      <c r="L13" s="64"/>
      <c r="M13" s="65"/>
      <c r="N13" s="64"/>
      <c r="O13" s="65">
        <v>20</v>
      </c>
      <c r="P13" s="64"/>
      <c r="Q13" s="65"/>
      <c r="R13" s="64">
        <v>150</v>
      </c>
      <c r="S13" s="64"/>
      <c r="T13" s="70">
        <v>15</v>
      </c>
      <c r="U13" s="7" t="s">
        <v>987</v>
      </c>
      <c r="V13" s="7">
        <v>380</v>
      </c>
      <c r="W13" s="151">
        <v>0.93</v>
      </c>
      <c r="X13" s="7">
        <v>0.9</v>
      </c>
      <c r="Y13" s="7">
        <v>80</v>
      </c>
      <c r="Z13" s="34">
        <v>280</v>
      </c>
      <c r="AA13" s="274" t="s">
        <v>1390</v>
      </c>
      <c r="AB13" s="61">
        <v>24</v>
      </c>
      <c r="AC13" s="275" t="s">
        <v>1391</v>
      </c>
      <c r="AD13" s="64" t="s">
        <v>1461</v>
      </c>
      <c r="AE13" s="64" t="s">
        <v>1461</v>
      </c>
      <c r="AF13" s="64"/>
      <c r="AG13" s="64"/>
      <c r="AH13" s="65"/>
      <c r="AI13" s="7">
        <v>6220000</v>
      </c>
      <c r="AJ13" s="7"/>
      <c r="AK13" s="18" t="s">
        <v>1462</v>
      </c>
      <c r="AL13" s="1" t="b">
        <v>1</v>
      </c>
    </row>
    <row r="14" spans="1:40">
      <c r="A14" t="s">
        <v>1479</v>
      </c>
      <c r="B14" s="1" t="str">
        <f t="shared" si="0"/>
        <v>M_PMP0302_VM_DH_ENG_150DHS-19_2.5C</v>
      </c>
      <c r="C14" s="7" t="s">
        <v>1458</v>
      </c>
      <c r="D14" s="7" t="str" cm="1">
        <f t="array" ref="D14">INDEX(기계코드!$D$4:$D$1022,MATCH(1,(C14=기계코드!$F$4:$F$1022)*1,0))</f>
        <v>M_PMP0302</v>
      </c>
      <c r="E14" s="7" t="s">
        <v>1459</v>
      </c>
      <c r="F14" s="7" t="str" cm="1">
        <f t="array" ref="F14">INDEX(공급업체코드!$B$3:$B$1000,MATCH(1,(E14=공급업체코드!$D$3:$D$1000)*1,0))</f>
        <v>VM_DH_ENG</v>
      </c>
      <c r="G14" s="43" t="s">
        <v>1480</v>
      </c>
      <c r="H14" s="63"/>
      <c r="I14" s="132">
        <v>2.5</v>
      </c>
      <c r="J14" s="64"/>
      <c r="K14" s="64"/>
      <c r="L14" s="64"/>
      <c r="M14" s="65"/>
      <c r="N14" s="64"/>
      <c r="O14" s="65">
        <v>22</v>
      </c>
      <c r="P14" s="64"/>
      <c r="Q14" s="65"/>
      <c r="R14" s="64">
        <v>150</v>
      </c>
      <c r="S14" s="64"/>
      <c r="T14" s="70">
        <v>19</v>
      </c>
      <c r="U14" s="7" t="s">
        <v>987</v>
      </c>
      <c r="V14" s="7">
        <v>380</v>
      </c>
      <c r="W14" s="151">
        <v>0.93599999999999994</v>
      </c>
      <c r="X14" s="7">
        <v>0.9</v>
      </c>
      <c r="Y14" s="7">
        <v>80</v>
      </c>
      <c r="Z14" s="34">
        <v>360</v>
      </c>
      <c r="AA14" s="274" t="s">
        <v>1390</v>
      </c>
      <c r="AB14" s="61">
        <v>25</v>
      </c>
      <c r="AC14" s="275" t="s">
        <v>1391</v>
      </c>
      <c r="AD14" s="64" t="s">
        <v>1461</v>
      </c>
      <c r="AE14" s="64" t="s">
        <v>1461</v>
      </c>
      <c r="AF14" s="64"/>
      <c r="AG14" s="64"/>
      <c r="AH14" s="65"/>
      <c r="AI14" s="7">
        <v>6220000</v>
      </c>
      <c r="AJ14" s="7"/>
      <c r="AK14" s="18" t="s">
        <v>1462</v>
      </c>
      <c r="AL14" s="1" t="b">
        <v>1</v>
      </c>
    </row>
    <row r="15" spans="1:40">
      <c r="A15" t="s">
        <v>1479</v>
      </c>
      <c r="B15" s="1" t="str">
        <f t="shared" si="0"/>
        <v>M_PMP0302_VM_DH_ENG_150DHS-22_2.5C</v>
      </c>
      <c r="C15" s="7" t="s">
        <v>1458</v>
      </c>
      <c r="D15" s="7" t="str" cm="1">
        <f t="array" ref="D15">INDEX(기계코드!$D$4:$D$1022,MATCH(1,(C15=기계코드!$F$4:$F$1022)*1,0))</f>
        <v>M_PMP0302</v>
      </c>
      <c r="E15" s="7" t="s">
        <v>1459</v>
      </c>
      <c r="F15" s="7" t="str" cm="1">
        <f t="array" ref="F15">INDEX(공급업체코드!$B$3:$B$1000,MATCH(1,(E15=공급업체코드!$D$3:$D$1000)*1,0))</f>
        <v>VM_DH_ENG</v>
      </c>
      <c r="G15" s="43" t="s">
        <v>1481</v>
      </c>
      <c r="H15" s="63"/>
      <c r="I15" s="132">
        <v>2.5</v>
      </c>
      <c r="J15" s="64"/>
      <c r="K15" s="64"/>
      <c r="L15" s="64"/>
      <c r="M15" s="65"/>
      <c r="N15" s="64"/>
      <c r="O15" s="65">
        <v>25</v>
      </c>
      <c r="P15" s="64"/>
      <c r="Q15" s="65"/>
      <c r="R15" s="64">
        <v>150</v>
      </c>
      <c r="S15" s="64"/>
      <c r="T15" s="70">
        <v>22</v>
      </c>
      <c r="U15" s="7" t="s">
        <v>987</v>
      </c>
      <c r="V15" s="7">
        <v>380</v>
      </c>
      <c r="W15" s="151">
        <v>0.93599999999999994</v>
      </c>
      <c r="X15" s="7">
        <v>0.9</v>
      </c>
      <c r="Y15" s="7">
        <v>80</v>
      </c>
      <c r="Z15" s="34">
        <v>380</v>
      </c>
      <c r="AA15" s="274" t="s">
        <v>1390</v>
      </c>
      <c r="AB15" s="61">
        <v>25</v>
      </c>
      <c r="AC15" s="275" t="s">
        <v>1391</v>
      </c>
      <c r="AD15" s="64" t="s">
        <v>1461</v>
      </c>
      <c r="AE15" s="64" t="s">
        <v>1461</v>
      </c>
      <c r="AF15" s="64"/>
      <c r="AG15" s="64"/>
      <c r="AH15" s="65"/>
      <c r="AI15" s="7">
        <v>6220000</v>
      </c>
      <c r="AJ15" s="7"/>
      <c r="AK15" s="18" t="s">
        <v>1462</v>
      </c>
      <c r="AL15" s="1" t="b">
        <v>1</v>
      </c>
    </row>
    <row r="16" spans="1:40">
      <c r="A16" t="s">
        <v>1482</v>
      </c>
      <c r="B16" s="1" t="str">
        <f t="shared" si="0"/>
        <v>M_PMP0302_VM_DH_ENG_150DHS-30_4.5C</v>
      </c>
      <c r="C16" s="7" t="s">
        <v>1458</v>
      </c>
      <c r="D16" s="7" t="str" cm="1">
        <f t="array" ref="D16">INDEX(기계코드!$D$4:$D$1022,MATCH(1,(C16=기계코드!$F$4:$F$1022)*1,0))</f>
        <v>M_PMP0302</v>
      </c>
      <c r="E16" s="7" t="s">
        <v>1459</v>
      </c>
      <c r="F16" s="7" t="str" cm="1">
        <f t="array" ref="F16">INDEX(공급업체코드!$B$3:$B$1000,MATCH(1,(E16=공급업체코드!$D$3:$D$1000)*1,0))</f>
        <v>VM_DH_ENG</v>
      </c>
      <c r="G16" s="43" t="s">
        <v>1483</v>
      </c>
      <c r="H16" s="63"/>
      <c r="I16" s="132">
        <v>4.5</v>
      </c>
      <c r="J16" s="64"/>
      <c r="K16" s="64"/>
      <c r="L16" s="64"/>
      <c r="M16" s="65">
        <v>0</v>
      </c>
      <c r="N16" s="64"/>
      <c r="O16" s="65">
        <v>30</v>
      </c>
      <c r="P16" s="64"/>
      <c r="Q16" s="65"/>
      <c r="R16" s="64">
        <v>150</v>
      </c>
      <c r="S16" s="64"/>
      <c r="T16" s="70">
        <v>30</v>
      </c>
      <c r="U16" s="7" t="s">
        <v>987</v>
      </c>
      <c r="V16" s="7">
        <v>380</v>
      </c>
      <c r="W16" s="151">
        <v>0.94099999999999995</v>
      </c>
      <c r="X16" s="7">
        <v>0.9</v>
      </c>
      <c r="Y16" s="7">
        <v>80</v>
      </c>
      <c r="Z16" s="34">
        <v>390</v>
      </c>
      <c r="AA16" s="274" t="s">
        <v>1390</v>
      </c>
      <c r="AB16" s="61">
        <v>25</v>
      </c>
      <c r="AC16" s="275" t="s">
        <v>1391</v>
      </c>
      <c r="AD16" s="64" t="s">
        <v>1461</v>
      </c>
      <c r="AE16" s="64" t="s">
        <v>1461</v>
      </c>
      <c r="AF16" s="64"/>
      <c r="AG16" s="64"/>
      <c r="AH16" s="65"/>
      <c r="AI16" s="7">
        <v>6220000</v>
      </c>
      <c r="AJ16" s="7"/>
      <c r="AK16" s="18" t="s">
        <v>1462</v>
      </c>
      <c r="AL16" s="1" t="b">
        <v>1</v>
      </c>
    </row>
    <row r="17" spans="1:38">
      <c r="A17" t="s">
        <v>1482</v>
      </c>
      <c r="B17" s="1" t="str">
        <f t="shared" si="0"/>
        <v>M_PMP0302_VM_DH_ENG_200DHS-11_4.5C</v>
      </c>
      <c r="C17" s="7" t="s">
        <v>1458</v>
      </c>
      <c r="D17" s="7" t="str" cm="1">
        <f t="array" ref="D17">INDEX(기계코드!$D$4:$D$1022,MATCH(1,(C17=기계코드!$F$4:$F$1022)*1,0))</f>
        <v>M_PMP0302</v>
      </c>
      <c r="E17" s="7" t="s">
        <v>1459</v>
      </c>
      <c r="F17" s="7" t="str" cm="1">
        <f t="array" ref="F17">INDEX(공급업체코드!$B$3:$B$1000,MATCH(1,(E17=공급업체코드!$D$3:$D$1000)*1,0))</f>
        <v>VM_DH_ENG</v>
      </c>
      <c r="G17" s="43" t="s">
        <v>1484</v>
      </c>
      <c r="H17" s="63"/>
      <c r="I17" s="132">
        <v>4.5</v>
      </c>
      <c r="J17" s="64"/>
      <c r="K17" s="64"/>
      <c r="L17" s="64"/>
      <c r="M17" s="65"/>
      <c r="N17" s="64"/>
      <c r="O17" s="65">
        <v>9</v>
      </c>
      <c r="P17" s="64"/>
      <c r="Q17" s="65"/>
      <c r="R17" s="64">
        <v>200</v>
      </c>
      <c r="S17" s="64"/>
      <c r="T17" s="70">
        <v>11</v>
      </c>
      <c r="U17" s="7" t="s">
        <v>981</v>
      </c>
      <c r="V17" s="7">
        <v>380</v>
      </c>
      <c r="W17" s="151">
        <v>0.92400000000000004</v>
      </c>
      <c r="X17" s="7">
        <v>0.9</v>
      </c>
      <c r="Y17" s="7">
        <v>80</v>
      </c>
      <c r="Z17" s="34">
        <v>305</v>
      </c>
      <c r="AA17" s="274" t="s">
        <v>1390</v>
      </c>
      <c r="AB17" s="61">
        <v>24</v>
      </c>
      <c r="AC17" s="275" t="s">
        <v>1391</v>
      </c>
      <c r="AD17" s="64" t="s">
        <v>1461</v>
      </c>
      <c r="AE17" s="64" t="s">
        <v>1461</v>
      </c>
      <c r="AF17" s="64"/>
      <c r="AG17" s="64"/>
      <c r="AH17" s="65"/>
      <c r="AI17" s="7">
        <v>7830000</v>
      </c>
      <c r="AJ17" s="7"/>
      <c r="AK17" s="18" t="s">
        <v>1462</v>
      </c>
      <c r="AL17" s="1" t="b">
        <v>1</v>
      </c>
    </row>
    <row r="18" spans="1:38">
      <c r="A18" t="s">
        <v>1482</v>
      </c>
      <c r="B18" s="1" t="str">
        <f t="shared" si="0"/>
        <v>M_PMP0302_VM_DH_ENG_200DHS-15_4.5C</v>
      </c>
      <c r="C18" s="7" t="s">
        <v>1458</v>
      </c>
      <c r="D18" s="7" t="str" cm="1">
        <f t="array" ref="D18">INDEX(기계코드!$D$4:$D$1022,MATCH(1,(C18=기계코드!$F$4:$F$1022)*1,0))</f>
        <v>M_PMP0302</v>
      </c>
      <c r="E18" s="7" t="s">
        <v>1459</v>
      </c>
      <c r="F18" s="7" t="str" cm="1">
        <f t="array" ref="F18">INDEX(공급업체코드!$B$3:$B$1000,MATCH(1,(E18=공급업체코드!$D$3:$D$1000)*1,0))</f>
        <v>VM_DH_ENG</v>
      </c>
      <c r="G18" s="43" t="s">
        <v>1485</v>
      </c>
      <c r="H18" s="63"/>
      <c r="I18" s="132">
        <v>4.5</v>
      </c>
      <c r="J18" s="64"/>
      <c r="K18" s="64"/>
      <c r="L18" s="64"/>
      <c r="M18" s="65"/>
      <c r="N18" s="64"/>
      <c r="O18" s="65">
        <v>13</v>
      </c>
      <c r="P18" s="64"/>
      <c r="Q18" s="65"/>
      <c r="R18" s="64">
        <v>200</v>
      </c>
      <c r="S18" s="64"/>
      <c r="T18" s="70">
        <v>15</v>
      </c>
      <c r="U18" s="7" t="s">
        <v>987</v>
      </c>
      <c r="V18" s="7">
        <v>380</v>
      </c>
      <c r="W18" s="151">
        <v>0.93</v>
      </c>
      <c r="X18" s="7">
        <v>0.9</v>
      </c>
      <c r="Y18" s="7">
        <v>80</v>
      </c>
      <c r="Z18" s="34">
        <v>320</v>
      </c>
      <c r="AA18" s="274" t="s">
        <v>1390</v>
      </c>
      <c r="AB18" s="61">
        <v>24</v>
      </c>
      <c r="AC18" s="275" t="s">
        <v>1391</v>
      </c>
      <c r="AD18" s="64" t="s">
        <v>1461</v>
      </c>
      <c r="AE18" s="64" t="s">
        <v>1461</v>
      </c>
      <c r="AF18" s="64"/>
      <c r="AG18" s="64"/>
      <c r="AH18" s="65"/>
      <c r="AI18" s="7">
        <v>7830000</v>
      </c>
      <c r="AJ18" s="7"/>
      <c r="AK18" s="18" t="s">
        <v>1462</v>
      </c>
      <c r="AL18" s="1" t="b">
        <v>1</v>
      </c>
    </row>
    <row r="19" spans="1:38">
      <c r="A19" t="s">
        <v>1482</v>
      </c>
      <c r="B19" s="1" t="str">
        <f t="shared" si="0"/>
        <v>M_PMP0302_VM_DH_ENG_200DHS-22_4.5C</v>
      </c>
      <c r="C19" s="7" t="s">
        <v>1458</v>
      </c>
      <c r="D19" s="7" t="str" cm="1">
        <f t="array" ref="D19">INDEX(기계코드!$D$4:$D$1022,MATCH(1,(C19=기계코드!$F$4:$F$1022)*1,0))</f>
        <v>M_PMP0302</v>
      </c>
      <c r="E19" s="7" t="s">
        <v>1459</v>
      </c>
      <c r="F19" s="7" t="str" cm="1">
        <f t="array" ref="F19">INDEX(공급업체코드!$B$3:$B$1000,MATCH(1,(E19=공급업체코드!$D$3:$D$1000)*1,0))</f>
        <v>VM_DH_ENG</v>
      </c>
      <c r="G19" s="43" t="s">
        <v>1486</v>
      </c>
      <c r="H19" s="63"/>
      <c r="I19" s="132">
        <v>4.5</v>
      </c>
      <c r="J19" s="64"/>
      <c r="K19" s="64"/>
      <c r="L19" s="64"/>
      <c r="M19" s="65"/>
      <c r="N19" s="64"/>
      <c r="O19" s="65">
        <v>18</v>
      </c>
      <c r="P19" s="64"/>
      <c r="Q19" s="65"/>
      <c r="R19" s="64">
        <v>200</v>
      </c>
      <c r="S19" s="64"/>
      <c r="T19" s="70">
        <v>22</v>
      </c>
      <c r="U19" s="7" t="s">
        <v>987</v>
      </c>
      <c r="V19" s="7">
        <v>380</v>
      </c>
      <c r="W19" s="151">
        <v>0.93599999999999994</v>
      </c>
      <c r="X19" s="7">
        <v>0.9</v>
      </c>
      <c r="Y19" s="7">
        <v>80</v>
      </c>
      <c r="Z19" s="34">
        <v>510</v>
      </c>
      <c r="AA19" s="274" t="s">
        <v>1390</v>
      </c>
      <c r="AB19" s="61">
        <v>25</v>
      </c>
      <c r="AC19" s="275" t="s">
        <v>1391</v>
      </c>
      <c r="AD19" s="64" t="s">
        <v>1461</v>
      </c>
      <c r="AE19" s="64" t="s">
        <v>1461</v>
      </c>
      <c r="AF19" s="64"/>
      <c r="AG19" s="64"/>
      <c r="AH19" s="65"/>
      <c r="AI19" s="7">
        <v>9630000</v>
      </c>
      <c r="AJ19" s="7"/>
      <c r="AK19" s="18" t="s">
        <v>1462</v>
      </c>
      <c r="AL19" s="1" t="b">
        <v>1</v>
      </c>
    </row>
    <row r="20" spans="1:38">
      <c r="A20" t="s">
        <v>1487</v>
      </c>
      <c r="B20" s="1" t="str">
        <f t="shared" si="0"/>
        <v>M_PMP0302_VM_DH_ENG_200DHS-30_4.5C</v>
      </c>
      <c r="C20" s="7" t="s">
        <v>1458</v>
      </c>
      <c r="D20" s="7" t="str" cm="1">
        <f t="array" ref="D20">INDEX(기계코드!$D$4:$D$1022,MATCH(1,(C20=기계코드!$F$4:$F$1022)*1,0))</f>
        <v>M_PMP0302</v>
      </c>
      <c r="E20" s="7" t="s">
        <v>1459</v>
      </c>
      <c r="F20" s="7" t="str" cm="1">
        <f t="array" ref="F20">INDEX(공급업체코드!$B$3:$B$1000,MATCH(1,(E20=공급업체코드!$D$3:$D$1000)*1,0))</f>
        <v>VM_DH_ENG</v>
      </c>
      <c r="G20" s="43" t="s">
        <v>1488</v>
      </c>
      <c r="H20" s="63"/>
      <c r="I20" s="132">
        <v>4.5</v>
      </c>
      <c r="J20" s="64"/>
      <c r="K20" s="64"/>
      <c r="L20" s="64"/>
      <c r="M20" s="65"/>
      <c r="N20" s="64"/>
      <c r="O20" s="65">
        <v>20</v>
      </c>
      <c r="P20" s="64"/>
      <c r="Q20" s="65"/>
      <c r="R20" s="64">
        <v>200</v>
      </c>
      <c r="S20" s="64"/>
      <c r="T20" s="70">
        <v>30</v>
      </c>
      <c r="U20" s="7" t="s">
        <v>987</v>
      </c>
      <c r="V20" s="7">
        <v>380</v>
      </c>
      <c r="W20" s="151">
        <v>0.94099999999999995</v>
      </c>
      <c r="X20" s="7">
        <v>0.9</v>
      </c>
      <c r="Y20" s="7">
        <v>80</v>
      </c>
      <c r="Z20" s="34">
        <v>540</v>
      </c>
      <c r="AA20" s="274" t="s">
        <v>1390</v>
      </c>
      <c r="AB20" s="61">
        <v>25</v>
      </c>
      <c r="AC20" s="275" t="s">
        <v>1391</v>
      </c>
      <c r="AD20" s="64" t="s">
        <v>1461</v>
      </c>
      <c r="AE20" s="64" t="s">
        <v>1461</v>
      </c>
      <c r="AF20" s="64"/>
      <c r="AG20" s="64"/>
      <c r="AH20" s="65"/>
      <c r="AI20" s="7">
        <v>9630000</v>
      </c>
      <c r="AJ20" s="7"/>
      <c r="AK20" s="18" t="s">
        <v>1462</v>
      </c>
      <c r="AL20" s="1" t="b">
        <v>1</v>
      </c>
    </row>
    <row r="21" spans="1:38">
      <c r="A21" t="s">
        <v>1487</v>
      </c>
      <c r="B21" s="1" t="str">
        <f t="shared" si="0"/>
        <v>M_PMP0302_VM_DH_ENG_200DHS-37_4.5C</v>
      </c>
      <c r="C21" s="7" t="s">
        <v>1458</v>
      </c>
      <c r="D21" s="7" t="str" cm="1">
        <f t="array" ref="D21">INDEX(기계코드!$D$4:$D$1022,MATCH(1,(C21=기계코드!$F$4:$F$1022)*1,0))</f>
        <v>M_PMP0302</v>
      </c>
      <c r="E21" s="7" t="s">
        <v>1459</v>
      </c>
      <c r="F21" s="7" t="str" cm="1">
        <f t="array" ref="F21">INDEX(공급업체코드!$B$3:$B$1000,MATCH(1,(E21=공급업체코드!$D$3:$D$1000)*1,0))</f>
        <v>VM_DH_ENG</v>
      </c>
      <c r="G21" s="43" t="s">
        <v>1489</v>
      </c>
      <c r="H21" s="63"/>
      <c r="I21" s="132">
        <v>4.5</v>
      </c>
      <c r="J21" s="64"/>
      <c r="K21" s="64"/>
      <c r="L21" s="64"/>
      <c r="M21" s="65"/>
      <c r="N21" s="64"/>
      <c r="O21" s="65">
        <v>28</v>
      </c>
      <c r="P21" s="64"/>
      <c r="Q21" s="65"/>
      <c r="R21" s="64">
        <v>200</v>
      </c>
      <c r="S21" s="64"/>
      <c r="T21" s="70">
        <v>37</v>
      </c>
      <c r="U21" s="7" t="s">
        <v>987</v>
      </c>
      <c r="V21" s="7">
        <v>380</v>
      </c>
      <c r="W21" s="151">
        <v>0.94499999999999995</v>
      </c>
      <c r="X21" s="7">
        <v>0.9</v>
      </c>
      <c r="Y21" s="7">
        <v>80</v>
      </c>
      <c r="Z21" s="34">
        <v>560</v>
      </c>
      <c r="AA21" s="274" t="s">
        <v>1390</v>
      </c>
      <c r="AB21" s="61"/>
      <c r="AC21" s="275" t="s">
        <v>1391</v>
      </c>
      <c r="AD21" s="64" t="s">
        <v>1461</v>
      </c>
      <c r="AE21" s="64" t="s">
        <v>1461</v>
      </c>
      <c r="AF21" s="64"/>
      <c r="AG21" s="64"/>
      <c r="AH21" s="65"/>
      <c r="AI21" s="7">
        <v>9630000</v>
      </c>
      <c r="AJ21" s="7"/>
      <c r="AK21" s="18" t="s">
        <v>1462</v>
      </c>
      <c r="AL21" s="1" t="b">
        <v>1</v>
      </c>
    </row>
    <row r="22" spans="1:38">
      <c r="A22" t="s">
        <v>1487</v>
      </c>
      <c r="B22" s="1" t="str">
        <f t="shared" si="0"/>
        <v>M_PMP0302_VM_DH_ENG_200DHS-55_4.5C</v>
      </c>
      <c r="C22" s="7" t="s">
        <v>1458</v>
      </c>
      <c r="D22" s="7" t="str" cm="1">
        <f t="array" ref="D22">INDEX(기계코드!$D$4:$D$1022,MATCH(1,(C22=기계코드!$F$4:$F$1022)*1,0))</f>
        <v>M_PMP0302</v>
      </c>
      <c r="E22" s="7" t="s">
        <v>1459</v>
      </c>
      <c r="F22" s="7" t="str" cm="1">
        <f t="array" ref="F22">INDEX(공급업체코드!$B$3:$B$1000,MATCH(1,(E22=공급업체코드!$D$3:$D$1000)*1,0))</f>
        <v>VM_DH_ENG</v>
      </c>
      <c r="G22" s="43" t="s">
        <v>1490</v>
      </c>
      <c r="H22" s="63"/>
      <c r="I22" s="132">
        <v>4.5</v>
      </c>
      <c r="J22" s="64"/>
      <c r="K22" s="64"/>
      <c r="L22" s="64"/>
      <c r="M22" s="65"/>
      <c r="N22" s="64"/>
      <c r="O22" s="65">
        <v>40</v>
      </c>
      <c r="P22" s="64"/>
      <c r="Q22" s="65"/>
      <c r="R22" s="64">
        <v>200</v>
      </c>
      <c r="S22" s="64"/>
      <c r="T22" s="70">
        <v>55</v>
      </c>
      <c r="U22" s="7" t="s">
        <v>987</v>
      </c>
      <c r="V22" s="7">
        <v>380</v>
      </c>
      <c r="W22" s="151">
        <v>0.95400000000000007</v>
      </c>
      <c r="X22" s="7">
        <v>0.9</v>
      </c>
      <c r="Y22" s="7">
        <v>80</v>
      </c>
      <c r="Z22" s="34">
        <v>590</v>
      </c>
      <c r="AA22" s="274" t="s">
        <v>1390</v>
      </c>
      <c r="AB22" s="61"/>
      <c r="AC22" s="275" t="s">
        <v>1391</v>
      </c>
      <c r="AD22" s="64" t="s">
        <v>1461</v>
      </c>
      <c r="AE22" s="64" t="s">
        <v>1461</v>
      </c>
      <c r="AF22" s="64"/>
      <c r="AG22" s="64"/>
      <c r="AH22" s="65"/>
      <c r="AI22" s="7">
        <v>9630000</v>
      </c>
      <c r="AJ22" s="7"/>
      <c r="AK22" s="18" t="s">
        <v>1462</v>
      </c>
      <c r="AL22" s="1" t="b">
        <v>1</v>
      </c>
    </row>
    <row r="23" spans="1:38">
      <c r="A23" s="341" t="s">
        <v>1491</v>
      </c>
      <c r="B23" s="1" t="str">
        <f t="shared" si="0"/>
        <v>M_PMP0302_VM_DH_ENG_250DHS-11_6C</v>
      </c>
      <c r="C23" s="7" t="s">
        <v>1458</v>
      </c>
      <c r="D23" s="7" t="str" cm="1">
        <f t="array" ref="D23">INDEX(기계코드!$D$4:$D$1022,MATCH(1,(C23=기계코드!$F$4:$F$1022)*1,0))</f>
        <v>M_PMP0302</v>
      </c>
      <c r="E23" s="7" t="s">
        <v>1459</v>
      </c>
      <c r="F23" s="7" t="str" cm="1">
        <f t="array" ref="F23">INDEX(공급업체코드!$B$3:$B$1000,MATCH(1,(E23=공급업체코드!$D$3:$D$1000)*1,0))</f>
        <v>VM_DH_ENG</v>
      </c>
      <c r="G23" s="43" t="s">
        <v>1492</v>
      </c>
      <c r="H23" s="63"/>
      <c r="I23" s="132">
        <v>6</v>
      </c>
      <c r="J23" s="64"/>
      <c r="K23" s="64"/>
      <c r="L23" s="64"/>
      <c r="M23" s="65"/>
      <c r="N23" s="64"/>
      <c r="O23" s="65">
        <v>7</v>
      </c>
      <c r="P23" s="64"/>
      <c r="Q23" s="65"/>
      <c r="R23" s="64">
        <v>250</v>
      </c>
      <c r="S23" s="64"/>
      <c r="T23" s="70">
        <v>11</v>
      </c>
      <c r="U23" s="7" t="s">
        <v>981</v>
      </c>
      <c r="V23" s="7">
        <v>380</v>
      </c>
      <c r="W23" s="151">
        <v>0.92400000000000004</v>
      </c>
      <c r="X23" s="7">
        <v>0.9</v>
      </c>
      <c r="Y23" s="7">
        <v>80</v>
      </c>
      <c r="Z23" s="34">
        <v>430</v>
      </c>
      <c r="AA23" s="274" t="s">
        <v>1390</v>
      </c>
      <c r="AB23" s="61">
        <v>24</v>
      </c>
      <c r="AC23" s="275" t="s">
        <v>1391</v>
      </c>
      <c r="AD23" s="64" t="s">
        <v>1461</v>
      </c>
      <c r="AE23" s="64" t="s">
        <v>1461</v>
      </c>
      <c r="AF23" s="64"/>
      <c r="AG23" s="64"/>
      <c r="AH23" s="65"/>
      <c r="AI23" s="7">
        <v>14200000</v>
      </c>
      <c r="AJ23" s="7"/>
      <c r="AK23" s="18" t="s">
        <v>1462</v>
      </c>
      <c r="AL23" s="1" t="b">
        <v>1</v>
      </c>
    </row>
    <row r="24" spans="1:38">
      <c r="A24" s="341" t="s">
        <v>1491</v>
      </c>
      <c r="B24" s="1" t="str">
        <f t="shared" si="0"/>
        <v>M_PMP0302_VM_DH_ENG_250DHS-15_6.5C</v>
      </c>
      <c r="C24" s="7" t="s">
        <v>1458</v>
      </c>
      <c r="D24" s="7" t="str" cm="1">
        <f t="array" ref="D24">INDEX(기계코드!$D$4:$D$1022,MATCH(1,(C24=기계코드!$F$4:$F$1022)*1,0))</f>
        <v>M_PMP0302</v>
      </c>
      <c r="E24" s="7" t="s">
        <v>1459</v>
      </c>
      <c r="F24" s="7" t="str" cm="1">
        <f t="array" ref="F24">INDEX(공급업체코드!$B$3:$B$1000,MATCH(1,(E24=공급업체코드!$D$3:$D$1000)*1,0))</f>
        <v>VM_DH_ENG</v>
      </c>
      <c r="G24" s="43" t="s">
        <v>1493</v>
      </c>
      <c r="H24" s="63"/>
      <c r="I24" s="132">
        <v>6.5</v>
      </c>
      <c r="J24" s="64"/>
      <c r="K24" s="64"/>
      <c r="L24" s="64"/>
      <c r="M24" s="65"/>
      <c r="N24" s="64"/>
      <c r="O24" s="65">
        <v>9</v>
      </c>
      <c r="P24" s="64"/>
      <c r="Q24" s="65"/>
      <c r="R24" s="64">
        <v>250</v>
      </c>
      <c r="S24" s="64"/>
      <c r="T24" s="70">
        <v>15</v>
      </c>
      <c r="U24" s="7" t="s">
        <v>987</v>
      </c>
      <c r="V24" s="7">
        <v>380</v>
      </c>
      <c r="W24" s="151">
        <v>0.93</v>
      </c>
      <c r="X24" s="7">
        <v>0.9</v>
      </c>
      <c r="Y24" s="7">
        <v>80</v>
      </c>
      <c r="Z24" s="34">
        <v>450</v>
      </c>
      <c r="AA24" s="274" t="s">
        <v>1390</v>
      </c>
      <c r="AB24" s="61">
        <v>24</v>
      </c>
      <c r="AC24" s="275" t="s">
        <v>1391</v>
      </c>
      <c r="AD24" s="64" t="s">
        <v>1461</v>
      </c>
      <c r="AE24" s="64" t="s">
        <v>1461</v>
      </c>
      <c r="AF24" s="64"/>
      <c r="AG24" s="64"/>
      <c r="AH24" s="65"/>
      <c r="AI24" s="7">
        <v>14200000</v>
      </c>
      <c r="AJ24" s="7"/>
      <c r="AK24" s="18" t="s">
        <v>1462</v>
      </c>
      <c r="AL24" s="1" t="b">
        <v>1</v>
      </c>
    </row>
    <row r="25" spans="1:38">
      <c r="A25" s="341" t="s">
        <v>1491</v>
      </c>
      <c r="B25" s="1" t="str">
        <f t="shared" si="0"/>
        <v>M_PMP0302_VM_DH_ENG_250DHS-22_7C</v>
      </c>
      <c r="C25" s="7" t="s">
        <v>1458</v>
      </c>
      <c r="D25" s="7" t="str" cm="1">
        <f t="array" ref="D25">INDEX(기계코드!$D$4:$D$1022,MATCH(1,(C25=기계코드!$F$4:$F$1022)*1,0))</f>
        <v>M_PMP0302</v>
      </c>
      <c r="E25" s="7" t="s">
        <v>1459</v>
      </c>
      <c r="F25" s="7" t="str" cm="1">
        <f t="array" ref="F25">INDEX(공급업체코드!$B$3:$B$1000,MATCH(1,(E25=공급업체코드!$D$3:$D$1000)*1,0))</f>
        <v>VM_DH_ENG</v>
      </c>
      <c r="G25" s="43" t="s">
        <v>1494</v>
      </c>
      <c r="H25" s="63"/>
      <c r="I25" s="132">
        <v>7</v>
      </c>
      <c r="J25" s="64"/>
      <c r="K25" s="64"/>
      <c r="L25" s="64"/>
      <c r="M25" s="65"/>
      <c r="N25" s="64"/>
      <c r="O25" s="65">
        <v>11.5</v>
      </c>
      <c r="P25" s="64"/>
      <c r="Q25" s="65"/>
      <c r="R25" s="64">
        <v>250</v>
      </c>
      <c r="S25" s="64"/>
      <c r="T25" s="70">
        <v>22</v>
      </c>
      <c r="U25" s="7" t="s">
        <v>987</v>
      </c>
      <c r="V25" s="7">
        <v>380</v>
      </c>
      <c r="W25" s="151">
        <v>0.93599999999999994</v>
      </c>
      <c r="X25" s="7">
        <v>0.9</v>
      </c>
      <c r="Y25" s="7">
        <v>80</v>
      </c>
      <c r="Z25" s="34">
        <v>650</v>
      </c>
      <c r="AA25" s="274" t="s">
        <v>1390</v>
      </c>
      <c r="AB25" s="61">
        <v>25</v>
      </c>
      <c r="AC25" s="275" t="s">
        <v>1391</v>
      </c>
      <c r="AD25" s="64" t="s">
        <v>1461</v>
      </c>
      <c r="AE25" s="64" t="s">
        <v>1461</v>
      </c>
      <c r="AF25" s="64"/>
      <c r="AG25" s="64"/>
      <c r="AH25" s="65"/>
      <c r="AI25" s="7">
        <v>14200000</v>
      </c>
      <c r="AJ25" s="7"/>
      <c r="AK25" s="18" t="s">
        <v>1462</v>
      </c>
      <c r="AL25" s="1" t="b">
        <v>1</v>
      </c>
    </row>
    <row r="26" spans="1:38">
      <c r="A26" s="341" t="s">
        <v>1491</v>
      </c>
      <c r="B26" s="1" t="str">
        <f t="shared" ref="B26:B49" si="1">D26&amp;"_"&amp;F26&amp;"_"&amp;G26&amp;"_"&amp;I26&amp;"C"</f>
        <v>M_PMP0302_VM_DH_ENG_250DHS-30_6.5C</v>
      </c>
      <c r="C26" s="7" t="s">
        <v>1458</v>
      </c>
      <c r="D26" s="7" t="str" cm="1">
        <f t="array" ref="D26">INDEX(기계코드!$D$4:$D$1022,MATCH(1,(C26=기계코드!$F$4:$F$1022)*1,0))</f>
        <v>M_PMP0302</v>
      </c>
      <c r="E26" s="7" t="s">
        <v>1459</v>
      </c>
      <c r="F26" s="7" t="str" cm="1">
        <f t="array" ref="F26">INDEX(공급업체코드!$B$3:$B$1000,MATCH(1,(E26=공급업체코드!$D$3:$D$1000)*1,0))</f>
        <v>VM_DH_ENG</v>
      </c>
      <c r="G26" s="43" t="s">
        <v>1495</v>
      </c>
      <c r="H26" s="63"/>
      <c r="I26" s="132">
        <v>6.5</v>
      </c>
      <c r="J26" s="64"/>
      <c r="K26" s="64"/>
      <c r="L26" s="64"/>
      <c r="M26" s="65"/>
      <c r="N26" s="64"/>
      <c r="O26" s="65">
        <v>15</v>
      </c>
      <c r="P26" s="64"/>
      <c r="Q26" s="65"/>
      <c r="R26" s="64">
        <v>250</v>
      </c>
      <c r="S26" s="64"/>
      <c r="T26" s="70">
        <v>30</v>
      </c>
      <c r="U26" s="7" t="s">
        <v>987</v>
      </c>
      <c r="V26" s="7">
        <v>380</v>
      </c>
      <c r="W26" s="151">
        <v>0.94099999999999995</v>
      </c>
      <c r="X26" s="7">
        <v>0.9</v>
      </c>
      <c r="Y26" s="7">
        <v>80</v>
      </c>
      <c r="Z26" s="34">
        <v>675</v>
      </c>
      <c r="AA26" s="274" t="s">
        <v>1390</v>
      </c>
      <c r="AB26" s="61">
        <v>25</v>
      </c>
      <c r="AC26" s="275" t="s">
        <v>1391</v>
      </c>
      <c r="AD26" s="64" t="s">
        <v>1461</v>
      </c>
      <c r="AE26" s="64" t="s">
        <v>1461</v>
      </c>
      <c r="AF26" s="64"/>
      <c r="AG26" s="64"/>
      <c r="AH26" s="65"/>
      <c r="AI26" s="7">
        <v>14200000</v>
      </c>
      <c r="AJ26" s="7"/>
      <c r="AK26" s="18" t="s">
        <v>1462</v>
      </c>
      <c r="AL26" s="1" t="b">
        <v>1</v>
      </c>
    </row>
    <row r="27" spans="1:38">
      <c r="A27" t="s">
        <v>1496</v>
      </c>
      <c r="B27" s="1" t="str">
        <f t="shared" si="1"/>
        <v>M_PMP0302_VM_DH_ENG_250DHS-37_7C</v>
      </c>
      <c r="C27" s="7" t="s">
        <v>1458</v>
      </c>
      <c r="D27" s="7" t="str" cm="1">
        <f t="array" ref="D27">INDEX(기계코드!$D$4:$D$1022,MATCH(1,(C27=기계코드!$F$4:$F$1022)*1,0))</f>
        <v>M_PMP0302</v>
      </c>
      <c r="E27" s="7" t="s">
        <v>1459</v>
      </c>
      <c r="F27" s="7" t="str" cm="1">
        <f t="array" ref="F27">INDEX(공급업체코드!$B$3:$B$1000,MATCH(1,(E27=공급업체코드!$D$3:$D$1000)*1,0))</f>
        <v>VM_DH_ENG</v>
      </c>
      <c r="G27" s="43" t="s">
        <v>1497</v>
      </c>
      <c r="H27" s="63"/>
      <c r="I27" s="132">
        <v>7</v>
      </c>
      <c r="J27" s="64"/>
      <c r="K27" s="64"/>
      <c r="L27" s="64"/>
      <c r="M27" s="65"/>
      <c r="N27" s="64"/>
      <c r="O27" s="65">
        <v>19</v>
      </c>
      <c r="P27" s="64"/>
      <c r="Q27" s="65"/>
      <c r="R27" s="64">
        <v>250</v>
      </c>
      <c r="S27" s="64"/>
      <c r="T27" s="70">
        <v>37</v>
      </c>
      <c r="U27" s="7" t="s">
        <v>987</v>
      </c>
      <c r="V27" s="7">
        <v>380</v>
      </c>
      <c r="W27" s="151">
        <v>0.94499999999999995</v>
      </c>
      <c r="X27" s="7">
        <v>0.9</v>
      </c>
      <c r="Y27" s="7">
        <v>80</v>
      </c>
      <c r="Z27" s="34">
        <v>710</v>
      </c>
      <c r="AA27" s="274" t="s">
        <v>1390</v>
      </c>
      <c r="AB27" s="61"/>
      <c r="AC27" s="275" t="s">
        <v>1391</v>
      </c>
      <c r="AD27" s="64" t="s">
        <v>1461</v>
      </c>
      <c r="AE27" s="64" t="s">
        <v>1461</v>
      </c>
      <c r="AF27" s="64"/>
      <c r="AG27" s="64"/>
      <c r="AH27" s="65"/>
      <c r="AI27" s="7">
        <v>16900000</v>
      </c>
      <c r="AJ27" s="7"/>
      <c r="AK27" s="18" t="s">
        <v>1462</v>
      </c>
      <c r="AL27" s="1" t="b">
        <v>1</v>
      </c>
    </row>
    <row r="28" spans="1:38">
      <c r="A28" t="s">
        <v>1498</v>
      </c>
      <c r="B28" s="1" t="str">
        <f t="shared" si="1"/>
        <v>M_PMP0302_VM_DH_ENG_250DHS-45_6C</v>
      </c>
      <c r="C28" s="7" t="s">
        <v>1458</v>
      </c>
      <c r="D28" s="7" t="str" cm="1">
        <f t="array" ref="D28">INDEX(기계코드!$D$4:$D$1022,MATCH(1,(C28=기계코드!$F$4:$F$1022)*1,0))</f>
        <v>M_PMP0302</v>
      </c>
      <c r="E28" s="7" t="s">
        <v>1459</v>
      </c>
      <c r="F28" s="7" t="str" cm="1">
        <f t="array" ref="F28">INDEX(공급업체코드!$B$3:$B$1000,MATCH(1,(E28=공급업체코드!$D$3:$D$1000)*1,0))</f>
        <v>VM_DH_ENG</v>
      </c>
      <c r="G28" s="43" t="s">
        <v>1499</v>
      </c>
      <c r="H28" s="63"/>
      <c r="I28" s="132">
        <v>6</v>
      </c>
      <c r="J28" s="64"/>
      <c r="K28" s="64"/>
      <c r="L28" s="64"/>
      <c r="M28" s="65"/>
      <c r="N28" s="64"/>
      <c r="O28" s="65">
        <v>26</v>
      </c>
      <c r="P28" s="64"/>
      <c r="Q28" s="65"/>
      <c r="R28" s="64">
        <v>250</v>
      </c>
      <c r="S28" s="64"/>
      <c r="T28" s="70">
        <v>45</v>
      </c>
      <c r="U28" s="7" t="s">
        <v>987</v>
      </c>
      <c r="V28" s="7">
        <v>380</v>
      </c>
      <c r="W28" s="151">
        <v>0.95</v>
      </c>
      <c r="X28" s="7">
        <v>0.9</v>
      </c>
      <c r="Y28" s="7">
        <v>80</v>
      </c>
      <c r="Z28" s="34">
        <v>800</v>
      </c>
      <c r="AA28" s="274" t="s">
        <v>1390</v>
      </c>
      <c r="AB28" s="61"/>
      <c r="AC28" s="275" t="s">
        <v>1391</v>
      </c>
      <c r="AD28" s="64" t="s">
        <v>1461</v>
      </c>
      <c r="AE28" s="64" t="s">
        <v>1461</v>
      </c>
      <c r="AF28" s="64"/>
      <c r="AG28" s="64"/>
      <c r="AH28" s="65"/>
      <c r="AI28" s="7">
        <v>19700000</v>
      </c>
      <c r="AJ28" s="7"/>
      <c r="AK28" s="18" t="s">
        <v>1462</v>
      </c>
      <c r="AL28" s="1" t="b">
        <v>1</v>
      </c>
    </row>
    <row r="29" spans="1:38">
      <c r="A29" t="s">
        <v>1500</v>
      </c>
      <c r="B29" s="1" t="str">
        <f t="shared" si="1"/>
        <v>M_PMP0302_VM_DH_ENG_250DHS-55_7C</v>
      </c>
      <c r="C29" s="7" t="s">
        <v>1458</v>
      </c>
      <c r="D29" s="7" t="str" cm="1">
        <f t="array" ref="D29">INDEX(기계코드!$D$4:$D$1022,MATCH(1,(C29=기계코드!$F$4:$F$1022)*1,0))</f>
        <v>M_PMP0302</v>
      </c>
      <c r="E29" s="7" t="s">
        <v>1459</v>
      </c>
      <c r="F29" s="7" t="str" cm="1">
        <f t="array" ref="F29">INDEX(공급업체코드!$B$3:$B$1000,MATCH(1,(E29=공급업체코드!$D$3:$D$1000)*1,0))</f>
        <v>VM_DH_ENG</v>
      </c>
      <c r="G29" s="43" t="s">
        <v>1501</v>
      </c>
      <c r="H29" s="63"/>
      <c r="I29" s="132">
        <v>7</v>
      </c>
      <c r="J29" s="64"/>
      <c r="K29" s="64"/>
      <c r="L29" s="64"/>
      <c r="M29" s="65"/>
      <c r="N29" s="64"/>
      <c r="O29" s="65">
        <v>30</v>
      </c>
      <c r="P29" s="64"/>
      <c r="Q29" s="65"/>
      <c r="R29" s="64">
        <v>250</v>
      </c>
      <c r="S29" s="64"/>
      <c r="T29" s="70">
        <v>55</v>
      </c>
      <c r="U29" s="7" t="s">
        <v>987</v>
      </c>
      <c r="V29" s="7">
        <v>380</v>
      </c>
      <c r="W29" s="151">
        <v>0.95400000000000007</v>
      </c>
      <c r="X29" s="7">
        <v>0.9</v>
      </c>
      <c r="Y29" s="7">
        <v>80</v>
      </c>
      <c r="Z29" s="34">
        <v>950</v>
      </c>
      <c r="AA29" s="274" t="s">
        <v>1390</v>
      </c>
      <c r="AB29" s="61"/>
      <c r="AC29" s="275" t="s">
        <v>1391</v>
      </c>
      <c r="AD29" s="64" t="s">
        <v>1461</v>
      </c>
      <c r="AE29" s="64" t="s">
        <v>1461</v>
      </c>
      <c r="AF29" s="64"/>
      <c r="AG29" s="64"/>
      <c r="AH29" s="65"/>
      <c r="AI29" s="7">
        <v>26400000</v>
      </c>
      <c r="AJ29" s="7"/>
      <c r="AK29" s="18" t="s">
        <v>1462</v>
      </c>
      <c r="AL29" s="1" t="b">
        <v>1</v>
      </c>
    </row>
    <row r="30" spans="1:38">
      <c r="A30" t="s">
        <v>1502</v>
      </c>
      <c r="B30" s="1" t="str">
        <f>D30&amp;"_"&amp;F30&amp;"_"&amp;G30&amp;"_"&amp;I30&amp;"C"</f>
        <v>M_PMP0302_VM_DH_ENG_250DHS-75_7C</v>
      </c>
      <c r="C30" s="7" t="s">
        <v>1458</v>
      </c>
      <c r="D30" s="7" t="str" cm="1">
        <f t="array" ref="D30">INDEX(기계코드!$D$4:$D$1022,MATCH(1,(C30=기계코드!$F$4:$F$1022)*1,0))</f>
        <v>M_PMP0302</v>
      </c>
      <c r="E30" s="7" t="s">
        <v>1459</v>
      </c>
      <c r="F30" s="7" t="str" cm="1">
        <f t="array" ref="F30">INDEX(공급업체코드!$B$3:$B$1000,MATCH(1,(E30=공급업체코드!$D$3:$D$1000)*1,0))</f>
        <v>VM_DH_ENG</v>
      </c>
      <c r="G30" s="43" t="s">
        <v>1503</v>
      </c>
      <c r="H30" s="63"/>
      <c r="I30" s="132">
        <v>7</v>
      </c>
      <c r="J30" s="64"/>
      <c r="K30" s="64"/>
      <c r="L30" s="64"/>
      <c r="M30" s="65"/>
      <c r="N30" s="64"/>
      <c r="O30" s="65">
        <v>40</v>
      </c>
      <c r="P30" s="64"/>
      <c r="Q30" s="65"/>
      <c r="R30" s="64">
        <v>250</v>
      </c>
      <c r="S30" s="64"/>
      <c r="T30" s="70">
        <v>75</v>
      </c>
      <c r="U30" s="7" t="s">
        <v>987</v>
      </c>
      <c r="V30" s="7">
        <v>380</v>
      </c>
      <c r="W30" s="151">
        <v>0.95400000000000007</v>
      </c>
      <c r="X30" s="7">
        <v>0.9</v>
      </c>
      <c r="Y30" s="7">
        <v>80</v>
      </c>
      <c r="Z30" s="34">
        <v>1100</v>
      </c>
      <c r="AA30" s="274" t="s">
        <v>1390</v>
      </c>
      <c r="AB30" s="61"/>
      <c r="AC30" s="275" t="s">
        <v>1391</v>
      </c>
      <c r="AD30" s="64" t="s">
        <v>1461</v>
      </c>
      <c r="AE30" s="64" t="s">
        <v>1461</v>
      </c>
      <c r="AF30" s="64"/>
      <c r="AG30" s="64"/>
      <c r="AH30" s="65"/>
      <c r="AI30" s="7">
        <v>26400000</v>
      </c>
      <c r="AJ30" s="7"/>
      <c r="AK30" s="18" t="s">
        <v>1462</v>
      </c>
      <c r="AL30" s="1" t="b">
        <v>1</v>
      </c>
    </row>
    <row r="31" spans="1:38">
      <c r="A31" t="s">
        <v>1504</v>
      </c>
      <c r="B31" s="1" t="str">
        <f t="shared" si="1"/>
        <v>M_PMP0302_VM_DH_ENG_300DHS-15_9C</v>
      </c>
      <c r="C31" s="7" t="s">
        <v>1458</v>
      </c>
      <c r="D31" s="7" t="str" cm="1">
        <f t="array" ref="D31">INDEX(기계코드!$D$4:$D$1022,MATCH(1,(C31=기계코드!$F$4:$F$1022)*1,0))</f>
        <v>M_PMP0302</v>
      </c>
      <c r="E31" s="7" t="s">
        <v>1459</v>
      </c>
      <c r="F31" s="7" t="str" cm="1">
        <f t="array" ref="F31">INDEX(공급업체코드!$B$3:$B$1000,MATCH(1,(E31=공급업체코드!$D$3:$D$1000)*1,0))</f>
        <v>VM_DH_ENG</v>
      </c>
      <c r="G31" s="43" t="s">
        <v>1505</v>
      </c>
      <c r="H31" s="63"/>
      <c r="I31" s="132">
        <v>9</v>
      </c>
      <c r="J31" s="64"/>
      <c r="K31" s="64"/>
      <c r="L31" s="64"/>
      <c r="M31" s="65"/>
      <c r="N31" s="64"/>
      <c r="O31" s="65">
        <v>6.5</v>
      </c>
      <c r="P31" s="64"/>
      <c r="Q31" s="65"/>
      <c r="R31" s="64">
        <v>300</v>
      </c>
      <c r="S31" s="64"/>
      <c r="T31" s="70">
        <v>15</v>
      </c>
      <c r="U31" s="7" t="s">
        <v>987</v>
      </c>
      <c r="V31" s="7">
        <v>380</v>
      </c>
      <c r="W31" s="151">
        <v>0.93</v>
      </c>
      <c r="X31" s="7">
        <v>0.9</v>
      </c>
      <c r="Y31" s="7">
        <v>80</v>
      </c>
      <c r="Z31" s="34">
        <v>580</v>
      </c>
      <c r="AA31" s="274" t="s">
        <v>1390</v>
      </c>
      <c r="AB31" s="61">
        <v>24</v>
      </c>
      <c r="AC31" s="275" t="s">
        <v>1391</v>
      </c>
      <c r="AD31" s="64" t="s">
        <v>1461</v>
      </c>
      <c r="AE31" s="64" t="s">
        <v>1461</v>
      </c>
      <c r="AF31" s="64"/>
      <c r="AG31" s="64"/>
      <c r="AH31" s="65"/>
      <c r="AI31" s="7">
        <v>16030000</v>
      </c>
      <c r="AJ31" s="7"/>
      <c r="AK31" s="18" t="s">
        <v>1462</v>
      </c>
      <c r="AL31" s="1" t="b">
        <v>1</v>
      </c>
    </row>
    <row r="32" spans="1:38">
      <c r="A32" t="s">
        <v>1506</v>
      </c>
      <c r="B32" s="1" t="str">
        <f t="shared" si="1"/>
        <v>M_PMP0302_VM_DH_ENG_300DHS-22_10C</v>
      </c>
      <c r="C32" s="7" t="s">
        <v>1458</v>
      </c>
      <c r="D32" s="7" t="str" cm="1">
        <f t="array" ref="D32">INDEX(기계코드!$D$4:$D$1022,MATCH(1,(C32=기계코드!$F$4:$F$1022)*1,0))</f>
        <v>M_PMP0302</v>
      </c>
      <c r="E32" s="7" t="s">
        <v>1459</v>
      </c>
      <c r="F32" s="7" t="str" cm="1">
        <f t="array" ref="F32">INDEX(공급업체코드!$B$3:$B$1000,MATCH(1,(E32=공급업체코드!$D$3:$D$1000)*1,0))</f>
        <v>VM_DH_ENG</v>
      </c>
      <c r="G32" s="43" t="s">
        <v>1507</v>
      </c>
      <c r="H32" s="63"/>
      <c r="I32" s="132">
        <v>10</v>
      </c>
      <c r="J32" s="64"/>
      <c r="K32" s="64"/>
      <c r="L32" s="64"/>
      <c r="M32" s="65"/>
      <c r="N32" s="64"/>
      <c r="O32" s="65">
        <v>9</v>
      </c>
      <c r="P32" s="64"/>
      <c r="Q32" s="65"/>
      <c r="R32" s="64">
        <v>300</v>
      </c>
      <c r="S32" s="64"/>
      <c r="T32" s="70">
        <v>22</v>
      </c>
      <c r="U32" s="7" t="s">
        <v>987</v>
      </c>
      <c r="V32" s="7">
        <v>380</v>
      </c>
      <c r="W32" s="151">
        <v>0.93599999999999994</v>
      </c>
      <c r="X32" s="7">
        <v>0.9</v>
      </c>
      <c r="Y32" s="7">
        <v>80</v>
      </c>
      <c r="Z32" s="34">
        <v>780</v>
      </c>
      <c r="AA32" s="274" t="s">
        <v>1390</v>
      </c>
      <c r="AB32" s="61">
        <v>25</v>
      </c>
      <c r="AC32" s="275" t="s">
        <v>1391</v>
      </c>
      <c r="AD32" s="64" t="s">
        <v>1461</v>
      </c>
      <c r="AE32" s="64" t="s">
        <v>1461</v>
      </c>
      <c r="AF32" s="64"/>
      <c r="AG32" s="64"/>
      <c r="AH32" s="65"/>
      <c r="AI32" s="7">
        <v>16030000</v>
      </c>
      <c r="AJ32" s="7"/>
      <c r="AK32" s="18" t="s">
        <v>1462</v>
      </c>
      <c r="AL32" s="1" t="b">
        <v>1</v>
      </c>
    </row>
    <row r="33" spans="1:38">
      <c r="A33" t="s">
        <v>1506</v>
      </c>
      <c r="B33" s="1" t="str">
        <f t="shared" si="1"/>
        <v>M_PMP0302_VM_DH_ENG_300DHS-30_10C</v>
      </c>
      <c r="C33" s="7" t="s">
        <v>1458</v>
      </c>
      <c r="D33" s="7" t="str" cm="1">
        <f t="array" ref="D33">INDEX(기계코드!$D$4:$D$1022,MATCH(1,(C33=기계코드!$F$4:$F$1022)*1,0))</f>
        <v>M_PMP0302</v>
      </c>
      <c r="E33" s="7" t="s">
        <v>1459</v>
      </c>
      <c r="F33" s="7" t="str" cm="1">
        <f t="array" ref="F33">INDEX(공급업체코드!$B$3:$B$1000,MATCH(1,(E33=공급업체코드!$D$3:$D$1000)*1,0))</f>
        <v>VM_DH_ENG</v>
      </c>
      <c r="G33" s="43" t="s">
        <v>1508</v>
      </c>
      <c r="H33" s="63"/>
      <c r="I33" s="132">
        <v>10</v>
      </c>
      <c r="J33" s="64"/>
      <c r="K33" s="64"/>
      <c r="L33" s="64"/>
      <c r="M33" s="65"/>
      <c r="N33" s="64"/>
      <c r="O33" s="65">
        <v>11.5</v>
      </c>
      <c r="P33" s="64"/>
      <c r="Q33" s="65"/>
      <c r="R33" s="64">
        <v>300</v>
      </c>
      <c r="S33" s="64"/>
      <c r="T33" s="70">
        <v>30</v>
      </c>
      <c r="U33" s="7" t="s">
        <v>987</v>
      </c>
      <c r="V33" s="7">
        <v>380</v>
      </c>
      <c r="W33" s="151">
        <v>0.94099999999999995</v>
      </c>
      <c r="X33" s="7">
        <v>0.9</v>
      </c>
      <c r="Y33" s="7">
        <v>80</v>
      </c>
      <c r="Z33" s="34">
        <v>820</v>
      </c>
      <c r="AA33" s="274" t="s">
        <v>1390</v>
      </c>
      <c r="AB33" s="61">
        <v>25</v>
      </c>
      <c r="AC33" s="275" t="s">
        <v>1391</v>
      </c>
      <c r="AD33" s="64" t="s">
        <v>1461</v>
      </c>
      <c r="AE33" s="64" t="s">
        <v>1461</v>
      </c>
      <c r="AF33" s="64"/>
      <c r="AG33" s="64"/>
      <c r="AH33" s="65"/>
      <c r="AI33" s="7">
        <v>21030000</v>
      </c>
      <c r="AJ33" s="7"/>
      <c r="AK33" s="18" t="s">
        <v>1462</v>
      </c>
      <c r="AL33" s="1" t="b">
        <v>1</v>
      </c>
    </row>
    <row r="34" spans="1:38">
      <c r="A34" t="s">
        <v>1509</v>
      </c>
      <c r="B34" s="1" t="str">
        <f t="shared" si="1"/>
        <v>M_PMP0302_VM_DH_ENG_300DHS-37_10C</v>
      </c>
      <c r="C34" s="7" t="s">
        <v>1458</v>
      </c>
      <c r="D34" s="7" t="str" cm="1">
        <f t="array" ref="D34">INDEX(기계코드!$D$4:$D$1022,MATCH(1,(C34=기계코드!$F$4:$F$1022)*1,0))</f>
        <v>M_PMP0302</v>
      </c>
      <c r="E34" s="7" t="s">
        <v>1459</v>
      </c>
      <c r="F34" s="7" t="str" cm="1">
        <f t="array" ref="F34">INDEX(공급업체코드!$B$3:$B$1000,MATCH(1,(E34=공급업체코드!$D$3:$D$1000)*1,0))</f>
        <v>VM_DH_ENG</v>
      </c>
      <c r="G34" s="43" t="s">
        <v>1510</v>
      </c>
      <c r="H34" s="63"/>
      <c r="I34" s="132">
        <v>10</v>
      </c>
      <c r="J34" s="64"/>
      <c r="K34" s="64"/>
      <c r="L34" s="64"/>
      <c r="M34" s="65"/>
      <c r="N34" s="64"/>
      <c r="O34" s="65">
        <v>15</v>
      </c>
      <c r="P34" s="64"/>
      <c r="Q34" s="65"/>
      <c r="R34" s="64">
        <v>300</v>
      </c>
      <c r="S34" s="64"/>
      <c r="T34" s="70">
        <v>37</v>
      </c>
      <c r="U34" s="7" t="s">
        <v>987</v>
      </c>
      <c r="V34" s="7">
        <v>380</v>
      </c>
      <c r="W34" s="151">
        <v>0.94499999999999995</v>
      </c>
      <c r="X34" s="7">
        <v>0.9</v>
      </c>
      <c r="Y34" s="7">
        <v>80</v>
      </c>
      <c r="Z34" s="34">
        <v>920</v>
      </c>
      <c r="AA34" s="274" t="s">
        <v>1390</v>
      </c>
      <c r="AB34" s="61"/>
      <c r="AC34" s="275" t="s">
        <v>1391</v>
      </c>
      <c r="AD34" s="64" t="s">
        <v>1461</v>
      </c>
      <c r="AE34" s="64" t="s">
        <v>1461</v>
      </c>
      <c r="AF34" s="64"/>
      <c r="AG34" s="64"/>
      <c r="AH34" s="65"/>
      <c r="AI34" s="7">
        <v>21030000</v>
      </c>
      <c r="AJ34" s="7"/>
      <c r="AK34" s="18" t="s">
        <v>1462</v>
      </c>
      <c r="AL34" s="1" t="b">
        <v>1</v>
      </c>
    </row>
    <row r="35" spans="1:38">
      <c r="A35" t="s">
        <v>1509</v>
      </c>
      <c r="B35" s="1" t="str">
        <f t="shared" si="1"/>
        <v>M_PMP0302_VM_DH_ENG_300DHS-45_10C</v>
      </c>
      <c r="C35" s="7" t="s">
        <v>1458</v>
      </c>
      <c r="D35" s="7" t="str" cm="1">
        <f t="array" ref="D35">INDEX(기계코드!$D$4:$D$1022,MATCH(1,(C35=기계코드!$F$4:$F$1022)*1,0))</f>
        <v>M_PMP0302</v>
      </c>
      <c r="E35" s="7" t="s">
        <v>1459</v>
      </c>
      <c r="F35" s="7" t="str" cm="1">
        <f t="array" ref="F35">INDEX(공급업체코드!$B$3:$B$1000,MATCH(1,(E35=공급업체코드!$D$3:$D$1000)*1,0))</f>
        <v>VM_DH_ENG</v>
      </c>
      <c r="G35" s="43" t="s">
        <v>1511</v>
      </c>
      <c r="H35" s="63"/>
      <c r="I35" s="132">
        <v>10</v>
      </c>
      <c r="J35" s="64"/>
      <c r="K35" s="64"/>
      <c r="L35" s="64"/>
      <c r="M35" s="65"/>
      <c r="N35" s="64"/>
      <c r="O35" s="65">
        <v>18</v>
      </c>
      <c r="P35" s="64"/>
      <c r="Q35" s="65"/>
      <c r="R35" s="64">
        <v>300</v>
      </c>
      <c r="S35" s="64"/>
      <c r="T35" s="70">
        <v>45</v>
      </c>
      <c r="U35" s="7" t="s">
        <v>987</v>
      </c>
      <c r="V35" s="7">
        <v>380</v>
      </c>
      <c r="W35" s="151">
        <v>0.95</v>
      </c>
      <c r="X35" s="7">
        <v>0.9</v>
      </c>
      <c r="Y35" s="7">
        <v>80</v>
      </c>
      <c r="Z35" s="34">
        <v>960</v>
      </c>
      <c r="AA35" s="274" t="s">
        <v>1390</v>
      </c>
      <c r="AB35" s="61"/>
      <c r="AC35" s="275" t="s">
        <v>1391</v>
      </c>
      <c r="AD35" s="64" t="s">
        <v>1461</v>
      </c>
      <c r="AE35" s="64" t="s">
        <v>1461</v>
      </c>
      <c r="AF35" s="64"/>
      <c r="AG35" s="64"/>
      <c r="AH35" s="65"/>
      <c r="AI35" s="7">
        <v>26030000</v>
      </c>
      <c r="AJ35" s="7"/>
      <c r="AK35" s="18" t="s">
        <v>1462</v>
      </c>
      <c r="AL35" s="1" t="b">
        <v>1</v>
      </c>
    </row>
    <row r="36" spans="1:38">
      <c r="A36" t="s">
        <v>1512</v>
      </c>
      <c r="B36" s="1" t="str">
        <f t="shared" si="1"/>
        <v>M_PMP0302_VM_DH_ENG_300DHS-55_10C</v>
      </c>
      <c r="C36" s="7" t="s">
        <v>1458</v>
      </c>
      <c r="D36" s="7" t="str" cm="1">
        <f t="array" ref="D36">INDEX(기계코드!$D$4:$D$1022,MATCH(1,(C36=기계코드!$F$4:$F$1022)*1,0))</f>
        <v>M_PMP0302</v>
      </c>
      <c r="E36" s="7" t="s">
        <v>1459</v>
      </c>
      <c r="F36" s="7" t="str" cm="1">
        <f t="array" ref="F36">INDEX(공급업체코드!$B$3:$B$1000,MATCH(1,(E36=공급업체코드!$D$3:$D$1000)*1,0))</f>
        <v>VM_DH_ENG</v>
      </c>
      <c r="G36" s="43" t="s">
        <v>1513</v>
      </c>
      <c r="H36" s="63"/>
      <c r="I36" s="132">
        <v>10</v>
      </c>
      <c r="J36" s="64"/>
      <c r="K36" s="64"/>
      <c r="L36" s="64"/>
      <c r="M36" s="65"/>
      <c r="N36" s="64"/>
      <c r="O36" s="65">
        <v>21</v>
      </c>
      <c r="P36" s="64"/>
      <c r="Q36" s="65"/>
      <c r="R36" s="64">
        <v>300</v>
      </c>
      <c r="S36" s="64"/>
      <c r="T36" s="70">
        <v>55</v>
      </c>
      <c r="U36" s="7" t="s">
        <v>987</v>
      </c>
      <c r="V36" s="7">
        <v>380</v>
      </c>
      <c r="W36" s="151">
        <v>0.95400000000000007</v>
      </c>
      <c r="X36" s="7">
        <v>0.9</v>
      </c>
      <c r="Y36" s="7">
        <v>80</v>
      </c>
      <c r="Z36" s="34">
        <v>980</v>
      </c>
      <c r="AA36" s="274" t="s">
        <v>1390</v>
      </c>
      <c r="AB36" s="61"/>
      <c r="AC36" s="275" t="s">
        <v>1391</v>
      </c>
      <c r="AD36" s="64" t="s">
        <v>1461</v>
      </c>
      <c r="AE36" s="64" t="s">
        <v>1461</v>
      </c>
      <c r="AF36" s="64"/>
      <c r="AG36" s="64"/>
      <c r="AH36" s="65"/>
      <c r="AI36" s="7">
        <v>26030000</v>
      </c>
      <c r="AJ36" s="7"/>
      <c r="AK36" s="18" t="s">
        <v>1462</v>
      </c>
      <c r="AL36" s="1" t="b">
        <v>1</v>
      </c>
    </row>
    <row r="37" spans="1:38">
      <c r="A37" t="s">
        <v>1514</v>
      </c>
      <c r="B37" s="1" t="str">
        <f t="shared" si="1"/>
        <v>M_PMP0302_VM_DH_ENG_300DHS-75_10C</v>
      </c>
      <c r="C37" s="7" t="s">
        <v>1458</v>
      </c>
      <c r="D37" s="7" t="str" cm="1">
        <f t="array" ref="D37">INDEX(기계코드!$D$4:$D$1022,MATCH(1,(C37=기계코드!$F$4:$F$1022)*1,0))</f>
        <v>M_PMP0302</v>
      </c>
      <c r="E37" s="7" t="s">
        <v>1459</v>
      </c>
      <c r="F37" s="7" t="str" cm="1">
        <f t="array" ref="F37">INDEX(공급업체코드!$B$3:$B$1000,MATCH(1,(E37=공급업체코드!$D$3:$D$1000)*1,0))</f>
        <v>VM_DH_ENG</v>
      </c>
      <c r="G37" s="43" t="s">
        <v>1515</v>
      </c>
      <c r="H37" s="63"/>
      <c r="I37" s="132">
        <v>10</v>
      </c>
      <c r="J37" s="64"/>
      <c r="K37" s="64"/>
      <c r="L37" s="64"/>
      <c r="M37" s="65"/>
      <c r="N37" s="64"/>
      <c r="O37" s="65">
        <v>30</v>
      </c>
      <c r="P37" s="64"/>
      <c r="Q37" s="65"/>
      <c r="R37" s="64">
        <v>300</v>
      </c>
      <c r="S37" s="64"/>
      <c r="T37" s="70">
        <v>75</v>
      </c>
      <c r="U37" s="7" t="s">
        <v>987</v>
      </c>
      <c r="V37" s="7">
        <v>380</v>
      </c>
      <c r="W37" s="151">
        <v>0.95400000000000007</v>
      </c>
      <c r="X37" s="7">
        <v>0.9</v>
      </c>
      <c r="Y37" s="7">
        <v>80</v>
      </c>
      <c r="Z37" s="34">
        <v>1110</v>
      </c>
      <c r="AA37" s="274" t="s">
        <v>1390</v>
      </c>
      <c r="AB37" s="61"/>
      <c r="AC37" s="275" t="s">
        <v>1391</v>
      </c>
      <c r="AD37" s="64" t="s">
        <v>1461</v>
      </c>
      <c r="AE37" s="64" t="s">
        <v>1461</v>
      </c>
      <c r="AF37" s="64"/>
      <c r="AG37" s="64"/>
      <c r="AH37" s="65"/>
      <c r="AI37" s="7">
        <v>31030000</v>
      </c>
      <c r="AJ37" s="7"/>
      <c r="AK37" s="18" t="s">
        <v>1462</v>
      </c>
      <c r="AL37" s="1" t="b">
        <v>1</v>
      </c>
    </row>
    <row r="38" spans="1:38">
      <c r="A38" t="s">
        <v>1516</v>
      </c>
      <c r="B38" s="1" t="str">
        <f t="shared" si="1"/>
        <v>M_PMP0302_VM_DH_ENG_400DHS-22_20C</v>
      </c>
      <c r="C38" s="7" t="s">
        <v>1458</v>
      </c>
      <c r="D38" s="7" t="str" cm="1">
        <f t="array" ref="D38">INDEX(기계코드!$D$4:$D$1022,MATCH(1,(C38=기계코드!$F$4:$F$1022)*1,0))</f>
        <v>M_PMP0302</v>
      </c>
      <c r="E38" s="7" t="s">
        <v>1459</v>
      </c>
      <c r="F38" s="7" t="str" cm="1">
        <f t="array" ref="F38">INDEX(공급업체코드!$B$3:$B$1000,MATCH(1,(E38=공급업체코드!$D$3:$D$1000)*1,0))</f>
        <v>VM_DH_ENG</v>
      </c>
      <c r="G38" s="43" t="s">
        <v>1517</v>
      </c>
      <c r="H38" s="63"/>
      <c r="I38" s="132">
        <v>20</v>
      </c>
      <c r="J38" s="64"/>
      <c r="K38" s="64"/>
      <c r="L38" s="64"/>
      <c r="M38" s="65"/>
      <c r="N38" s="64"/>
      <c r="O38" s="65">
        <v>4</v>
      </c>
      <c r="P38" s="64"/>
      <c r="Q38" s="65"/>
      <c r="R38" s="64">
        <v>400</v>
      </c>
      <c r="S38" s="64"/>
      <c r="T38" s="70">
        <v>22</v>
      </c>
      <c r="U38" s="7" t="s">
        <v>987</v>
      </c>
      <c r="V38" s="7">
        <v>380</v>
      </c>
      <c r="W38" s="151">
        <v>0.93599999999999994</v>
      </c>
      <c r="X38" s="7">
        <v>0.9</v>
      </c>
      <c r="Y38" s="7">
        <v>80</v>
      </c>
      <c r="Z38" s="34">
        <v>1680</v>
      </c>
      <c r="AA38" s="274" t="s">
        <v>1390</v>
      </c>
      <c r="AB38" s="61">
        <v>25</v>
      </c>
      <c r="AC38" s="275" t="s">
        <v>1391</v>
      </c>
      <c r="AD38" s="64" t="s">
        <v>1461</v>
      </c>
      <c r="AE38" s="64" t="s">
        <v>1461</v>
      </c>
      <c r="AF38" s="64"/>
      <c r="AG38" s="64"/>
      <c r="AH38" s="65"/>
      <c r="AI38" s="7">
        <v>29600000</v>
      </c>
      <c r="AJ38" s="7"/>
      <c r="AK38" s="18" t="s">
        <v>1462</v>
      </c>
      <c r="AL38" s="1" t="b">
        <v>1</v>
      </c>
    </row>
    <row r="39" spans="1:38">
      <c r="A39" t="s">
        <v>1516</v>
      </c>
      <c r="B39" s="1" t="str">
        <f t="shared" si="1"/>
        <v>M_PMP0302_VM_DH_ENG_400DHS-37_20C</v>
      </c>
      <c r="C39" s="7" t="s">
        <v>1458</v>
      </c>
      <c r="D39" s="7" t="str" cm="1">
        <f t="array" ref="D39">INDEX(기계코드!$D$4:$D$1022,MATCH(1,(C39=기계코드!$F$4:$F$1022)*1,0))</f>
        <v>M_PMP0302</v>
      </c>
      <c r="E39" s="7" t="s">
        <v>1459</v>
      </c>
      <c r="F39" s="7" t="str" cm="1">
        <f t="array" ref="F39">INDEX(공급업체코드!$B$3:$B$1000,MATCH(1,(E39=공급업체코드!$D$3:$D$1000)*1,0))</f>
        <v>VM_DH_ENG</v>
      </c>
      <c r="G39" s="43" t="s">
        <v>1518</v>
      </c>
      <c r="H39" s="63"/>
      <c r="I39" s="132">
        <v>20</v>
      </c>
      <c r="J39" s="64"/>
      <c r="K39" s="64"/>
      <c r="L39" s="64"/>
      <c r="M39" s="65"/>
      <c r="N39" s="64"/>
      <c r="O39" s="65">
        <v>7</v>
      </c>
      <c r="P39" s="64"/>
      <c r="Q39" s="65"/>
      <c r="R39" s="64">
        <v>400</v>
      </c>
      <c r="S39" s="64"/>
      <c r="T39" s="70">
        <v>37</v>
      </c>
      <c r="U39" s="7" t="s">
        <v>987</v>
      </c>
      <c r="V39" s="7">
        <v>380</v>
      </c>
      <c r="W39" s="151">
        <v>0.94499999999999995</v>
      </c>
      <c r="X39" s="7">
        <v>0.9</v>
      </c>
      <c r="Y39" s="7">
        <v>80</v>
      </c>
      <c r="Z39" s="34">
        <v>1720</v>
      </c>
      <c r="AA39" s="274" t="s">
        <v>1390</v>
      </c>
      <c r="AB39" s="61"/>
      <c r="AC39" s="275" t="s">
        <v>1391</v>
      </c>
      <c r="AD39" s="64" t="s">
        <v>1461</v>
      </c>
      <c r="AE39" s="64" t="s">
        <v>1461</v>
      </c>
      <c r="AF39" s="64"/>
      <c r="AG39" s="64"/>
      <c r="AH39" s="65"/>
      <c r="AI39" s="7">
        <v>29600000</v>
      </c>
      <c r="AJ39" s="7"/>
      <c r="AK39" s="18" t="s">
        <v>1462</v>
      </c>
      <c r="AL39" s="1" t="b">
        <v>1</v>
      </c>
    </row>
    <row r="40" spans="1:38">
      <c r="A40" t="s">
        <v>1519</v>
      </c>
      <c r="B40" s="1" t="str">
        <f t="shared" si="1"/>
        <v>M_PMP0302_VM_DH_ENG_400DHS-45_20C</v>
      </c>
      <c r="C40" s="7" t="s">
        <v>1458</v>
      </c>
      <c r="D40" s="7" t="str" cm="1">
        <f t="array" ref="D40">INDEX(기계코드!$D$4:$D$1022,MATCH(1,(C40=기계코드!$F$4:$F$1022)*1,0))</f>
        <v>M_PMP0302</v>
      </c>
      <c r="E40" s="7" t="s">
        <v>1459</v>
      </c>
      <c r="F40" s="7" t="str" cm="1">
        <f t="array" ref="F40">INDEX(공급업체코드!$B$3:$B$1000,MATCH(1,(E40=공급업체코드!$D$3:$D$1000)*1,0))</f>
        <v>VM_DH_ENG</v>
      </c>
      <c r="G40" s="43" t="s">
        <v>1520</v>
      </c>
      <c r="H40" s="63"/>
      <c r="I40" s="132">
        <v>20</v>
      </c>
      <c r="J40" s="64"/>
      <c r="K40" s="64"/>
      <c r="L40" s="64"/>
      <c r="M40" s="65"/>
      <c r="N40" s="64"/>
      <c r="O40" s="65">
        <v>9</v>
      </c>
      <c r="P40" s="64"/>
      <c r="Q40" s="65"/>
      <c r="R40" s="64">
        <v>400</v>
      </c>
      <c r="S40" s="64"/>
      <c r="T40" s="70">
        <v>45</v>
      </c>
      <c r="U40" s="7" t="s">
        <v>987</v>
      </c>
      <c r="V40" s="7">
        <v>380</v>
      </c>
      <c r="W40" s="151">
        <v>0.95</v>
      </c>
      <c r="X40" s="7">
        <v>0.9</v>
      </c>
      <c r="Y40" s="7">
        <v>80</v>
      </c>
      <c r="Z40" s="34">
        <v>1760</v>
      </c>
      <c r="AA40" s="274" t="s">
        <v>1390</v>
      </c>
      <c r="AB40" s="61"/>
      <c r="AC40" s="275" t="s">
        <v>1391</v>
      </c>
      <c r="AD40" s="64" t="s">
        <v>1461</v>
      </c>
      <c r="AE40" s="64" t="s">
        <v>1461</v>
      </c>
      <c r="AF40" s="64"/>
      <c r="AG40" s="64"/>
      <c r="AH40" s="65"/>
      <c r="AI40" s="7">
        <v>33100000</v>
      </c>
      <c r="AJ40" s="7"/>
      <c r="AK40" s="18" t="s">
        <v>1462</v>
      </c>
      <c r="AL40" s="1" t="b">
        <v>1</v>
      </c>
    </row>
    <row r="41" spans="1:38">
      <c r="A41" t="s">
        <v>1521</v>
      </c>
      <c r="B41" s="1" t="str">
        <f t="shared" si="1"/>
        <v>M_PMP0302_VM_DH_ENG_400DHS-55_20C</v>
      </c>
      <c r="C41" s="7" t="s">
        <v>1458</v>
      </c>
      <c r="D41" s="7" t="str" cm="1">
        <f t="array" ref="D41">INDEX(기계코드!$D$4:$D$1022,MATCH(1,(C41=기계코드!$F$4:$F$1022)*1,0))</f>
        <v>M_PMP0302</v>
      </c>
      <c r="E41" s="7" t="s">
        <v>1459</v>
      </c>
      <c r="F41" s="7" t="str" cm="1">
        <f t="array" ref="F41">INDEX(공급업체코드!$B$3:$B$1000,MATCH(1,(E41=공급업체코드!$D$3:$D$1000)*1,0))</f>
        <v>VM_DH_ENG</v>
      </c>
      <c r="G41" s="43" t="s">
        <v>1522</v>
      </c>
      <c r="H41" s="63"/>
      <c r="I41" s="132">
        <v>20</v>
      </c>
      <c r="J41" s="64"/>
      <c r="K41" s="64"/>
      <c r="L41" s="64"/>
      <c r="M41" s="65"/>
      <c r="N41" s="64"/>
      <c r="O41" s="65">
        <v>11</v>
      </c>
      <c r="P41" s="64"/>
      <c r="Q41" s="65"/>
      <c r="R41" s="64">
        <v>400</v>
      </c>
      <c r="S41" s="64"/>
      <c r="T41" s="70">
        <v>55</v>
      </c>
      <c r="U41" s="7" t="s">
        <v>987</v>
      </c>
      <c r="V41" s="7">
        <v>380</v>
      </c>
      <c r="W41" s="151">
        <v>0.95400000000000007</v>
      </c>
      <c r="X41" s="7">
        <v>0.9</v>
      </c>
      <c r="Y41" s="7">
        <v>80</v>
      </c>
      <c r="Z41" s="34">
        <v>1790</v>
      </c>
      <c r="AA41" s="274" t="s">
        <v>1390</v>
      </c>
      <c r="AB41" s="61"/>
      <c r="AC41" s="275" t="s">
        <v>1391</v>
      </c>
      <c r="AD41" s="64" t="s">
        <v>1461</v>
      </c>
      <c r="AE41" s="64" t="s">
        <v>1461</v>
      </c>
      <c r="AF41" s="64"/>
      <c r="AG41" s="64"/>
      <c r="AH41" s="65"/>
      <c r="AI41" s="7">
        <v>34600000</v>
      </c>
      <c r="AJ41" s="7"/>
      <c r="AK41" s="18" t="s">
        <v>1462</v>
      </c>
      <c r="AL41" s="1" t="b">
        <v>1</v>
      </c>
    </row>
    <row r="42" spans="1:38">
      <c r="A42" t="s">
        <v>1523</v>
      </c>
      <c r="B42" s="1" t="str">
        <f t="shared" si="1"/>
        <v>M_PMP0302_VM_DH_ENG_400DHS-75_20C</v>
      </c>
      <c r="C42" s="7" t="s">
        <v>1458</v>
      </c>
      <c r="D42" s="7" t="str" cm="1">
        <f t="array" ref="D42">INDEX(기계코드!$D$4:$D$1022,MATCH(1,(C42=기계코드!$F$4:$F$1022)*1,0))</f>
        <v>M_PMP0302</v>
      </c>
      <c r="E42" s="7" t="s">
        <v>1459</v>
      </c>
      <c r="F42" s="7" t="str" cm="1">
        <f t="array" ref="F42">INDEX(공급업체코드!$B$3:$B$1000,MATCH(1,(E42=공급업체코드!$D$3:$D$1000)*1,0))</f>
        <v>VM_DH_ENG</v>
      </c>
      <c r="G42" s="43" t="s">
        <v>1524</v>
      </c>
      <c r="H42" s="63"/>
      <c r="I42" s="132">
        <v>20</v>
      </c>
      <c r="J42" s="64"/>
      <c r="K42" s="64"/>
      <c r="L42" s="64"/>
      <c r="M42" s="65"/>
      <c r="N42" s="64"/>
      <c r="O42" s="65">
        <v>15</v>
      </c>
      <c r="P42" s="64"/>
      <c r="Q42" s="65"/>
      <c r="R42" s="64">
        <v>400</v>
      </c>
      <c r="S42" s="64"/>
      <c r="T42" s="70">
        <v>75</v>
      </c>
      <c r="U42" s="7" t="s">
        <v>987</v>
      </c>
      <c r="V42" s="7">
        <v>380</v>
      </c>
      <c r="W42" s="151">
        <v>0.95400000000000007</v>
      </c>
      <c r="X42" s="7">
        <v>0.9</v>
      </c>
      <c r="Y42" s="7">
        <v>80</v>
      </c>
      <c r="Z42" s="34">
        <v>1810</v>
      </c>
      <c r="AA42" s="274" t="s">
        <v>1390</v>
      </c>
      <c r="AB42" s="61"/>
      <c r="AC42" s="275" t="s">
        <v>1391</v>
      </c>
      <c r="AD42" s="64" t="s">
        <v>1461</v>
      </c>
      <c r="AE42" s="64" t="s">
        <v>1461</v>
      </c>
      <c r="AF42" s="64"/>
      <c r="AG42" s="64"/>
      <c r="AH42" s="65"/>
      <c r="AI42" s="7">
        <v>38600000</v>
      </c>
      <c r="AJ42" s="7"/>
      <c r="AK42" s="18" t="s">
        <v>1462</v>
      </c>
      <c r="AL42" s="1" t="b">
        <v>1</v>
      </c>
    </row>
    <row r="43" spans="1:38">
      <c r="A43" t="s">
        <v>1523</v>
      </c>
      <c r="B43" s="1" t="str">
        <f t="shared" si="1"/>
        <v>M_PMP0302_VM_DH_ENG_400DHS-110_20C</v>
      </c>
      <c r="C43" s="7" t="s">
        <v>1458</v>
      </c>
      <c r="D43" s="7" t="str" cm="1">
        <f t="array" ref="D43">INDEX(기계코드!$D$4:$D$1022,MATCH(1,(C43=기계코드!$F$4:$F$1022)*1,0))</f>
        <v>M_PMP0302</v>
      </c>
      <c r="E43" s="7" t="s">
        <v>1459</v>
      </c>
      <c r="F43" s="7" t="str" cm="1">
        <f t="array" ref="F43">INDEX(공급업체코드!$B$3:$B$1000,MATCH(1,(E43=공급업체코드!$D$3:$D$1000)*1,0))</f>
        <v>VM_DH_ENG</v>
      </c>
      <c r="G43" s="43" t="s">
        <v>1525</v>
      </c>
      <c r="H43" s="63"/>
      <c r="I43" s="132">
        <v>20</v>
      </c>
      <c r="J43" s="64"/>
      <c r="K43" s="64"/>
      <c r="L43" s="64"/>
      <c r="M43" s="65"/>
      <c r="N43" s="64"/>
      <c r="O43" s="65">
        <v>20</v>
      </c>
      <c r="P43" s="64"/>
      <c r="Q43" s="65"/>
      <c r="R43" s="64">
        <v>400</v>
      </c>
      <c r="S43" s="64"/>
      <c r="T43" s="70">
        <v>110</v>
      </c>
      <c r="U43" s="7" t="s">
        <v>987</v>
      </c>
      <c r="V43" s="7">
        <v>380</v>
      </c>
      <c r="W43" s="151">
        <v>0.95799999999999996</v>
      </c>
      <c r="X43" s="7">
        <v>0.9</v>
      </c>
      <c r="Y43" s="7">
        <v>80</v>
      </c>
      <c r="Z43" s="34">
        <v>2080</v>
      </c>
      <c r="AA43" s="274" t="s">
        <v>1390</v>
      </c>
      <c r="AB43" s="61"/>
      <c r="AC43" s="275" t="s">
        <v>1391</v>
      </c>
      <c r="AD43" s="64" t="s">
        <v>1461</v>
      </c>
      <c r="AE43" s="64" t="s">
        <v>1461</v>
      </c>
      <c r="AF43" s="64"/>
      <c r="AG43" s="64"/>
      <c r="AH43" s="65"/>
      <c r="AI43" s="7">
        <v>40600000</v>
      </c>
      <c r="AJ43" s="7"/>
      <c r="AK43" s="18" t="s">
        <v>1462</v>
      </c>
      <c r="AL43" s="1" t="b">
        <v>1</v>
      </c>
    </row>
    <row r="44" spans="1:38">
      <c r="A44" t="s">
        <v>1523</v>
      </c>
      <c r="B44" s="1" t="str">
        <f t="shared" si="1"/>
        <v>M_PMP0302_VM_DH_ENG_400DHS-150_20C</v>
      </c>
      <c r="C44" s="7" t="s">
        <v>1458</v>
      </c>
      <c r="D44" s="7" t="str" cm="1">
        <f t="array" ref="D44">INDEX(기계코드!$D$4:$D$1022,MATCH(1,(C44=기계코드!$F$4:$F$1022)*1,0))</f>
        <v>M_PMP0302</v>
      </c>
      <c r="E44" s="7" t="s">
        <v>1459</v>
      </c>
      <c r="F44" s="7" t="str" cm="1">
        <f t="array" ref="F44">INDEX(공급업체코드!$B$3:$B$1000,MATCH(1,(E44=공급업체코드!$D$3:$D$1000)*1,0))</f>
        <v>VM_DH_ENG</v>
      </c>
      <c r="G44" s="43" t="s">
        <v>1526</v>
      </c>
      <c r="H44" s="63"/>
      <c r="I44" s="132">
        <v>20</v>
      </c>
      <c r="J44" s="64"/>
      <c r="K44" s="64"/>
      <c r="L44" s="64"/>
      <c r="M44" s="65"/>
      <c r="N44" s="64"/>
      <c r="O44" s="65">
        <v>25</v>
      </c>
      <c r="P44" s="64"/>
      <c r="Q44" s="65"/>
      <c r="R44" s="64">
        <v>400</v>
      </c>
      <c r="S44" s="64"/>
      <c r="T44" s="70">
        <v>150</v>
      </c>
      <c r="U44" s="7" t="s">
        <v>987</v>
      </c>
      <c r="V44" s="7">
        <v>380</v>
      </c>
      <c r="W44" s="151">
        <v>0.96200000000000008</v>
      </c>
      <c r="X44" s="7">
        <v>0.9</v>
      </c>
      <c r="Y44" s="7">
        <v>80</v>
      </c>
      <c r="Z44" s="34">
        <v>2150</v>
      </c>
      <c r="AA44" s="274" t="s">
        <v>1390</v>
      </c>
      <c r="AB44" s="61"/>
      <c r="AC44" s="275" t="s">
        <v>1391</v>
      </c>
      <c r="AD44" s="64" t="s">
        <v>1461</v>
      </c>
      <c r="AE44" s="64" t="s">
        <v>1461</v>
      </c>
      <c r="AF44" s="64"/>
      <c r="AG44" s="64"/>
      <c r="AH44" s="65"/>
      <c r="AI44" s="7">
        <v>44600000</v>
      </c>
      <c r="AJ44" s="7"/>
      <c r="AK44" s="18" t="s">
        <v>1462</v>
      </c>
      <c r="AL44" s="1" t="b">
        <v>1</v>
      </c>
    </row>
    <row r="45" spans="1:38">
      <c r="A45" t="s">
        <v>1527</v>
      </c>
      <c r="B45" s="1" t="str">
        <f t="shared" si="1"/>
        <v>M_PMP0302_VM_DH_ENG_500DHS-45_30C</v>
      </c>
      <c r="C45" s="7" t="s">
        <v>1458</v>
      </c>
      <c r="D45" s="7" t="str" cm="1">
        <f t="array" ref="D45">INDEX(기계코드!$D$4:$D$1022,MATCH(1,(C45=기계코드!$F$4:$F$1022)*1,0))</f>
        <v>M_PMP0302</v>
      </c>
      <c r="E45" s="7" t="s">
        <v>1459</v>
      </c>
      <c r="F45" s="7" t="str" cm="1">
        <f t="array" ref="F45">INDEX(공급업체코드!$B$3:$B$1000,MATCH(1,(E45=공급업체코드!$D$3:$D$1000)*1,0))</f>
        <v>VM_DH_ENG</v>
      </c>
      <c r="G45" s="43" t="s">
        <v>1528</v>
      </c>
      <c r="H45" s="63"/>
      <c r="I45" s="132">
        <v>30</v>
      </c>
      <c r="J45" s="64"/>
      <c r="K45" s="64"/>
      <c r="L45" s="64"/>
      <c r="M45" s="65"/>
      <c r="N45" s="64"/>
      <c r="O45" s="65">
        <v>5</v>
      </c>
      <c r="P45" s="64"/>
      <c r="Q45" s="65"/>
      <c r="R45" s="64">
        <v>500</v>
      </c>
      <c r="S45" s="64"/>
      <c r="T45" s="70">
        <v>45</v>
      </c>
      <c r="U45" s="7" t="s">
        <v>987</v>
      </c>
      <c r="V45" s="7">
        <v>380</v>
      </c>
      <c r="W45" s="151">
        <v>0.95</v>
      </c>
      <c r="X45" s="7">
        <v>0.9</v>
      </c>
      <c r="Y45" s="7">
        <v>80</v>
      </c>
      <c r="Z45" s="34">
        <v>1850</v>
      </c>
      <c r="AA45" s="274" t="s">
        <v>1390</v>
      </c>
      <c r="AB45" s="61"/>
      <c r="AC45" s="275" t="s">
        <v>1391</v>
      </c>
      <c r="AD45" s="64" t="s">
        <v>1461</v>
      </c>
      <c r="AE45" s="64" t="s">
        <v>1461</v>
      </c>
      <c r="AF45" s="64"/>
      <c r="AG45" s="64"/>
      <c r="AH45" s="65"/>
      <c r="AI45" s="7">
        <v>42800000</v>
      </c>
      <c r="AJ45" s="7"/>
      <c r="AK45" s="18" t="s">
        <v>1462</v>
      </c>
      <c r="AL45" s="1" t="b">
        <v>1</v>
      </c>
    </row>
    <row r="46" spans="1:38">
      <c r="A46" t="s">
        <v>1529</v>
      </c>
      <c r="B46" s="1" t="str">
        <f t="shared" si="1"/>
        <v>M_PMP0302_VM_DH_ENG_500DHS-55_30C</v>
      </c>
      <c r="C46" s="7" t="s">
        <v>1458</v>
      </c>
      <c r="D46" s="7" t="str" cm="1">
        <f t="array" ref="D46">INDEX(기계코드!$D$4:$D$1022,MATCH(1,(C46=기계코드!$F$4:$F$1022)*1,0))</f>
        <v>M_PMP0302</v>
      </c>
      <c r="E46" s="7" t="s">
        <v>1459</v>
      </c>
      <c r="F46" s="7" t="str" cm="1">
        <f t="array" ref="F46">INDEX(공급업체코드!$B$3:$B$1000,MATCH(1,(E46=공급업체코드!$D$3:$D$1000)*1,0))</f>
        <v>VM_DH_ENG</v>
      </c>
      <c r="G46" s="43" t="s">
        <v>1530</v>
      </c>
      <c r="H46" s="63"/>
      <c r="I46" s="132">
        <v>30</v>
      </c>
      <c r="J46" s="64"/>
      <c r="K46" s="64"/>
      <c r="L46" s="64"/>
      <c r="M46" s="65"/>
      <c r="N46" s="64"/>
      <c r="O46" s="65">
        <v>7.5</v>
      </c>
      <c r="P46" s="64"/>
      <c r="Q46" s="65"/>
      <c r="R46" s="64">
        <v>500</v>
      </c>
      <c r="S46" s="64"/>
      <c r="T46" s="70">
        <v>55</v>
      </c>
      <c r="U46" s="7" t="s">
        <v>987</v>
      </c>
      <c r="V46" s="7">
        <v>380</v>
      </c>
      <c r="W46" s="151">
        <v>0.95400000000000007</v>
      </c>
      <c r="X46" s="7">
        <v>0.9</v>
      </c>
      <c r="Y46" s="7">
        <v>80</v>
      </c>
      <c r="Z46" s="34">
        <v>1920</v>
      </c>
      <c r="AA46" s="274" t="s">
        <v>1390</v>
      </c>
      <c r="AB46" s="61"/>
      <c r="AC46" s="275" t="s">
        <v>1391</v>
      </c>
      <c r="AD46" s="64" t="s">
        <v>1461</v>
      </c>
      <c r="AE46" s="64" t="s">
        <v>1461</v>
      </c>
      <c r="AF46" s="64"/>
      <c r="AG46" s="64"/>
      <c r="AH46" s="65"/>
      <c r="AI46" s="7">
        <v>42800000</v>
      </c>
      <c r="AJ46" s="7"/>
      <c r="AK46" s="18" t="s">
        <v>1462</v>
      </c>
      <c r="AL46" s="1" t="b">
        <v>1</v>
      </c>
    </row>
    <row r="47" spans="1:38">
      <c r="A47" t="s">
        <v>1531</v>
      </c>
      <c r="B47" s="1" t="str">
        <f t="shared" si="1"/>
        <v>M_PMP0302_VM_DH_ENG_500DHS-75_30C</v>
      </c>
      <c r="C47" s="7" t="s">
        <v>1458</v>
      </c>
      <c r="D47" s="7" t="str" cm="1">
        <f t="array" ref="D47">INDEX(기계코드!$D$4:$D$1022,MATCH(1,(C47=기계코드!$F$4:$F$1022)*1,0))</f>
        <v>M_PMP0302</v>
      </c>
      <c r="E47" s="7" t="s">
        <v>1459</v>
      </c>
      <c r="F47" s="7" t="str" cm="1">
        <f t="array" ref="F47">INDEX(공급업체코드!$B$3:$B$1000,MATCH(1,(E47=공급업체코드!$D$3:$D$1000)*1,0))</f>
        <v>VM_DH_ENG</v>
      </c>
      <c r="G47" s="43" t="s">
        <v>1532</v>
      </c>
      <c r="H47" s="63"/>
      <c r="I47" s="132">
        <v>30</v>
      </c>
      <c r="J47" s="64"/>
      <c r="K47" s="64"/>
      <c r="L47" s="64"/>
      <c r="M47" s="65"/>
      <c r="N47" s="64"/>
      <c r="O47" s="65">
        <v>10</v>
      </c>
      <c r="P47" s="64"/>
      <c r="Q47" s="65"/>
      <c r="R47" s="64">
        <v>500</v>
      </c>
      <c r="S47" s="64"/>
      <c r="T47" s="70">
        <v>75</v>
      </c>
      <c r="U47" s="7" t="s">
        <v>987</v>
      </c>
      <c r="V47" s="7">
        <v>380</v>
      </c>
      <c r="W47" s="151">
        <v>0.95400000000000007</v>
      </c>
      <c r="X47" s="7">
        <v>0.9</v>
      </c>
      <c r="Y47" s="7">
        <v>80</v>
      </c>
      <c r="Z47" s="34">
        <v>2040</v>
      </c>
      <c r="AA47" s="274" t="s">
        <v>1390</v>
      </c>
      <c r="AB47" s="61"/>
      <c r="AC47" s="275" t="s">
        <v>1391</v>
      </c>
      <c r="AD47" s="64" t="s">
        <v>1461</v>
      </c>
      <c r="AE47" s="64" t="s">
        <v>1461</v>
      </c>
      <c r="AF47" s="64"/>
      <c r="AG47" s="64"/>
      <c r="AH47" s="65"/>
      <c r="AI47" s="7">
        <v>56800000</v>
      </c>
      <c r="AJ47" s="7"/>
      <c r="AK47" s="18" t="s">
        <v>1462</v>
      </c>
      <c r="AL47" s="1" t="b">
        <v>1</v>
      </c>
    </row>
    <row r="48" spans="1:38">
      <c r="A48" t="s">
        <v>1531</v>
      </c>
      <c r="B48" s="1" t="str">
        <f t="shared" si="1"/>
        <v>M_PMP0302_VM_DH_ENG_500DHS-110_30C</v>
      </c>
      <c r="C48" s="7" t="s">
        <v>1458</v>
      </c>
      <c r="D48" s="7" t="str" cm="1">
        <f t="array" ref="D48">INDEX(기계코드!$D$4:$D$1022,MATCH(1,(C48=기계코드!$F$4:$F$1022)*1,0))</f>
        <v>M_PMP0302</v>
      </c>
      <c r="E48" s="7" t="s">
        <v>1459</v>
      </c>
      <c r="F48" s="7" t="str" cm="1">
        <f t="array" ref="F48">INDEX(공급업체코드!$B$3:$B$1000,MATCH(1,(E48=공급업체코드!$D$3:$D$1000)*1,0))</f>
        <v>VM_DH_ENG</v>
      </c>
      <c r="G48" s="43" t="s">
        <v>1533</v>
      </c>
      <c r="H48" s="63"/>
      <c r="I48" s="132">
        <v>30</v>
      </c>
      <c r="J48" s="64"/>
      <c r="K48" s="64"/>
      <c r="L48" s="64"/>
      <c r="M48" s="65"/>
      <c r="N48" s="64"/>
      <c r="O48" s="65">
        <v>14</v>
      </c>
      <c r="P48" s="64"/>
      <c r="Q48" s="65"/>
      <c r="R48" s="64">
        <v>500</v>
      </c>
      <c r="S48" s="64"/>
      <c r="T48" s="70">
        <v>110</v>
      </c>
      <c r="U48" s="7" t="s">
        <v>987</v>
      </c>
      <c r="V48" s="7">
        <v>380</v>
      </c>
      <c r="W48" s="151">
        <v>0.95799999999999996</v>
      </c>
      <c r="X48" s="7">
        <v>0.9</v>
      </c>
      <c r="Y48" s="7">
        <v>80</v>
      </c>
      <c r="Z48" s="34">
        <v>2450</v>
      </c>
      <c r="AA48" s="274" t="s">
        <v>1390</v>
      </c>
      <c r="AB48" s="61"/>
      <c r="AC48" s="275" t="s">
        <v>1391</v>
      </c>
      <c r="AD48" s="64" t="s">
        <v>1461</v>
      </c>
      <c r="AE48" s="64" t="s">
        <v>1461</v>
      </c>
      <c r="AF48" s="64"/>
      <c r="AG48" s="64"/>
      <c r="AH48" s="65"/>
      <c r="AI48" s="7">
        <v>64800000</v>
      </c>
      <c r="AJ48" s="7"/>
      <c r="AK48" s="18" t="s">
        <v>1462</v>
      </c>
      <c r="AL48" s="1" t="b">
        <v>1</v>
      </c>
    </row>
    <row r="49" spans="1:38">
      <c r="A49" t="s">
        <v>1531</v>
      </c>
      <c r="B49" s="1" t="str">
        <f t="shared" si="1"/>
        <v>M_PMP0302_VM_DH_ENG_500DHS-150_30C</v>
      </c>
      <c r="C49" s="7" t="s">
        <v>1458</v>
      </c>
      <c r="D49" s="7" t="str" cm="1">
        <f t="array" ref="D49">INDEX(기계코드!$D$4:$D$1022,MATCH(1,(C49=기계코드!$F$4:$F$1022)*1,0))</f>
        <v>M_PMP0302</v>
      </c>
      <c r="E49" s="7" t="s">
        <v>1459</v>
      </c>
      <c r="F49" s="7" t="str" cm="1">
        <f t="array" ref="F49">INDEX(공급업체코드!$B$3:$B$1000,MATCH(1,(E49=공급업체코드!$D$3:$D$1000)*1,0))</f>
        <v>VM_DH_ENG</v>
      </c>
      <c r="G49" s="43" t="s">
        <v>1534</v>
      </c>
      <c r="H49" s="63"/>
      <c r="I49" s="132">
        <v>30</v>
      </c>
      <c r="J49" s="64"/>
      <c r="K49" s="64"/>
      <c r="L49" s="64"/>
      <c r="M49" s="65"/>
      <c r="N49" s="64"/>
      <c r="O49" s="65">
        <v>18</v>
      </c>
      <c r="P49" s="64"/>
      <c r="Q49" s="65"/>
      <c r="R49" s="64">
        <v>500</v>
      </c>
      <c r="S49" s="64"/>
      <c r="T49" s="70">
        <v>150</v>
      </c>
      <c r="U49" s="7" t="s">
        <v>987</v>
      </c>
      <c r="V49" s="7">
        <v>380</v>
      </c>
      <c r="W49" s="151">
        <v>0.96200000000000008</v>
      </c>
      <c r="X49" s="7">
        <v>0.9</v>
      </c>
      <c r="Y49" s="7">
        <v>80</v>
      </c>
      <c r="Z49" s="34">
        <v>2650</v>
      </c>
      <c r="AA49" s="274" t="s">
        <v>1390</v>
      </c>
      <c r="AB49" s="61"/>
      <c r="AC49" s="275" t="s">
        <v>1391</v>
      </c>
      <c r="AD49" s="64" t="s">
        <v>1461</v>
      </c>
      <c r="AE49" s="64" t="s">
        <v>1461</v>
      </c>
      <c r="AF49" s="64"/>
      <c r="AG49" s="64"/>
      <c r="AH49" s="65"/>
      <c r="AI49" s="7">
        <v>66800000</v>
      </c>
      <c r="AJ49" s="7"/>
      <c r="AK49" s="18" t="s">
        <v>1462</v>
      </c>
      <c r="AL49" s="1" t="b">
        <v>1</v>
      </c>
    </row>
    <row r="50" spans="1:38">
      <c r="A50" t="s">
        <v>1535</v>
      </c>
      <c r="B50" s="1" t="str">
        <f t="shared" ref="B50:B96" si="2">D50&amp;"_"&amp;F50&amp;"_"&amp;G50&amp;"_"&amp;I50&amp;"CV"</f>
        <v>M_PMP0303_VM_DH_ENG_50DHS-0.75_0.2CV</v>
      </c>
      <c r="C50" s="7" t="s">
        <v>1536</v>
      </c>
      <c r="D50" s="7" t="str" cm="1">
        <f t="array" ref="D50">INDEX(기계코드!$D$4:$D$1022,MATCH(1,(C50=기계코드!$F$4:$F$1022)*1,0))</f>
        <v>M_PMP0303</v>
      </c>
      <c r="E50" s="7" t="s">
        <v>1459</v>
      </c>
      <c r="F50" s="7" t="str" cm="1">
        <f t="array" ref="F50">INDEX(공급업체코드!$B$3:$B$1000,MATCH(1,(E50=공급업체코드!$D$3:$D$1000)*1,0))</f>
        <v>VM_DH_ENG</v>
      </c>
      <c r="G50" s="43" t="s">
        <v>1460</v>
      </c>
      <c r="H50" s="63"/>
      <c r="I50" s="132">
        <v>0.2</v>
      </c>
      <c r="J50" s="64"/>
      <c r="K50" s="64"/>
      <c r="L50" s="64"/>
      <c r="M50" s="65"/>
      <c r="N50" s="64"/>
      <c r="O50" s="65">
        <v>10</v>
      </c>
      <c r="P50" s="64"/>
      <c r="Q50" s="65"/>
      <c r="R50" s="64">
        <v>50</v>
      </c>
      <c r="S50" s="64"/>
      <c r="T50" s="70">
        <v>0.75</v>
      </c>
      <c r="U50" s="7" t="s">
        <v>984</v>
      </c>
      <c r="V50" s="7">
        <v>380</v>
      </c>
      <c r="W50" s="151">
        <v>0.83499999999999996</v>
      </c>
      <c r="X50" s="7">
        <v>0.9</v>
      </c>
      <c r="Y50" s="7">
        <v>80</v>
      </c>
      <c r="Z50" s="34">
        <v>35</v>
      </c>
      <c r="AA50" s="274" t="s">
        <v>1390</v>
      </c>
      <c r="AB50" s="61">
        <v>23</v>
      </c>
      <c r="AC50" s="275" t="s">
        <v>1391</v>
      </c>
      <c r="AD50" s="64" t="s">
        <v>1461</v>
      </c>
      <c r="AE50" s="64" t="s">
        <v>1461</v>
      </c>
      <c r="AF50" s="64"/>
      <c r="AG50" s="64"/>
      <c r="AH50" s="65"/>
      <c r="AI50" s="7">
        <v>1803000</v>
      </c>
      <c r="AJ50" s="7"/>
      <c r="AK50" s="18" t="s">
        <v>1462</v>
      </c>
      <c r="AL50" s="1" t="b">
        <v>1</v>
      </c>
    </row>
    <row r="51" spans="1:38">
      <c r="A51" t="s">
        <v>1537</v>
      </c>
      <c r="B51" s="1" t="str">
        <f t="shared" si="2"/>
        <v>M_PMP0303_VM_DH_ENG_80DHS-1.5_0.5CV</v>
      </c>
      <c r="C51" s="7" t="s">
        <v>1536</v>
      </c>
      <c r="D51" s="7" t="str" cm="1">
        <f t="array" ref="D51">INDEX(기계코드!$D$4:$D$1022,MATCH(1,(C51=기계코드!$F$4:$F$1022)*1,0))</f>
        <v>M_PMP0303</v>
      </c>
      <c r="E51" s="7" t="s">
        <v>1459</v>
      </c>
      <c r="F51" s="7" t="str" cm="1">
        <f t="array" ref="F51">INDEX(공급업체코드!$B$3:$B$1000,MATCH(1,(E51=공급업체코드!$D$3:$D$1000)*1,0))</f>
        <v>VM_DH_ENG</v>
      </c>
      <c r="G51" s="43" t="s">
        <v>1464</v>
      </c>
      <c r="H51" s="63"/>
      <c r="I51" s="132">
        <v>0.5</v>
      </c>
      <c r="J51" s="64"/>
      <c r="K51" s="64"/>
      <c r="L51" s="64"/>
      <c r="M51" s="65"/>
      <c r="N51" s="64"/>
      <c r="O51" s="65">
        <v>8</v>
      </c>
      <c r="P51" s="64"/>
      <c r="Q51" s="65"/>
      <c r="R51" s="64">
        <v>80</v>
      </c>
      <c r="S51" s="64"/>
      <c r="T51" s="70">
        <v>1.5</v>
      </c>
      <c r="U51" s="7" t="s">
        <v>984</v>
      </c>
      <c r="V51" s="7">
        <v>380</v>
      </c>
      <c r="W51" s="151">
        <v>0.86499999999999999</v>
      </c>
      <c r="X51" s="7">
        <v>0.9</v>
      </c>
      <c r="Y51" s="7">
        <v>80</v>
      </c>
      <c r="Z51" s="34">
        <v>45</v>
      </c>
      <c r="AA51" s="274" t="s">
        <v>1390</v>
      </c>
      <c r="AB51" s="61">
        <v>23</v>
      </c>
      <c r="AC51" s="275" t="s">
        <v>1391</v>
      </c>
      <c r="AD51" s="64" t="s">
        <v>1461</v>
      </c>
      <c r="AE51" s="64" t="s">
        <v>1461</v>
      </c>
      <c r="AF51" s="64"/>
      <c r="AG51" s="64"/>
      <c r="AH51" s="65"/>
      <c r="AI51" s="7">
        <v>2577000</v>
      </c>
      <c r="AJ51" s="7"/>
      <c r="AK51" s="18" t="s">
        <v>1462</v>
      </c>
      <c r="AL51" s="1" t="b">
        <v>1</v>
      </c>
    </row>
    <row r="52" spans="1:38">
      <c r="A52" t="s">
        <v>1538</v>
      </c>
      <c r="B52" s="1" t="str">
        <f t="shared" si="2"/>
        <v>M_PMP0303_VM_DH_ENG_80DHS-2.2_0.6CV</v>
      </c>
      <c r="C52" s="7" t="s">
        <v>1536</v>
      </c>
      <c r="D52" s="7" t="str" cm="1">
        <f t="array" ref="D52">INDEX(기계코드!$D$4:$D$1022,MATCH(1,(C52=기계코드!$F$4:$F$1022)*1,0))</f>
        <v>M_PMP0303</v>
      </c>
      <c r="E52" s="7" t="s">
        <v>1459</v>
      </c>
      <c r="F52" s="7" t="str" cm="1">
        <f t="array" ref="F52">INDEX(공급업체코드!$B$3:$B$1000,MATCH(1,(E52=공급업체코드!$D$3:$D$1000)*1,0))</f>
        <v>VM_DH_ENG</v>
      </c>
      <c r="G52" s="43" t="s">
        <v>1466</v>
      </c>
      <c r="H52" s="63"/>
      <c r="I52" s="132">
        <v>0.6</v>
      </c>
      <c r="J52" s="64"/>
      <c r="K52" s="64"/>
      <c r="L52" s="64"/>
      <c r="M52" s="65"/>
      <c r="N52" s="64"/>
      <c r="O52" s="65">
        <v>10</v>
      </c>
      <c r="P52" s="64"/>
      <c r="Q52" s="65"/>
      <c r="R52" s="64">
        <v>80</v>
      </c>
      <c r="S52" s="64"/>
      <c r="T52" s="70">
        <v>2.2000000000000002</v>
      </c>
      <c r="U52" s="7" t="s">
        <v>984</v>
      </c>
      <c r="V52" s="7">
        <v>380</v>
      </c>
      <c r="W52" s="151">
        <v>0.89500000000000002</v>
      </c>
      <c r="X52" s="7">
        <v>0.9</v>
      </c>
      <c r="Y52" s="7">
        <v>80</v>
      </c>
      <c r="Z52" s="34">
        <v>80</v>
      </c>
      <c r="AA52" s="274" t="s">
        <v>1390</v>
      </c>
      <c r="AB52" s="61">
        <v>23</v>
      </c>
      <c r="AC52" s="275" t="s">
        <v>1391</v>
      </c>
      <c r="AD52" s="64" t="s">
        <v>1461</v>
      </c>
      <c r="AE52" s="64" t="s">
        <v>1461</v>
      </c>
      <c r="AF52" s="64"/>
      <c r="AG52" s="64"/>
      <c r="AH52" s="65"/>
      <c r="AI52" s="7">
        <v>2639000</v>
      </c>
      <c r="AJ52" s="7"/>
      <c r="AK52" s="18" t="s">
        <v>1462</v>
      </c>
      <c r="AL52" s="1" t="b">
        <v>1</v>
      </c>
    </row>
    <row r="53" spans="1:38">
      <c r="A53" t="s">
        <v>1539</v>
      </c>
      <c r="B53" s="1" t="str">
        <f t="shared" si="2"/>
        <v>M_PMP0303_VM_DH_ENG_80DHS-3.7_0.6CV</v>
      </c>
      <c r="C53" s="7" t="s">
        <v>1536</v>
      </c>
      <c r="D53" s="7" t="str" cm="1">
        <f t="array" ref="D53">INDEX(기계코드!$D$4:$D$1022,MATCH(1,(C53=기계코드!$F$4:$F$1022)*1,0))</f>
        <v>M_PMP0303</v>
      </c>
      <c r="E53" s="7" t="s">
        <v>1459</v>
      </c>
      <c r="F53" s="7" t="str" cm="1">
        <f t="array" ref="F53">INDEX(공급업체코드!$B$3:$B$1000,MATCH(1,(E53=공급업체코드!$D$3:$D$1000)*1,0))</f>
        <v>VM_DH_ENG</v>
      </c>
      <c r="G53" s="43" t="s">
        <v>1468</v>
      </c>
      <c r="H53" s="63"/>
      <c r="I53" s="132">
        <v>0.6</v>
      </c>
      <c r="J53" s="64"/>
      <c r="K53" s="64"/>
      <c r="L53" s="64"/>
      <c r="M53" s="65"/>
      <c r="N53" s="64"/>
      <c r="O53" s="65">
        <v>15</v>
      </c>
      <c r="P53" s="64"/>
      <c r="Q53" s="65"/>
      <c r="R53" s="64">
        <v>80</v>
      </c>
      <c r="S53" s="64"/>
      <c r="T53" s="70">
        <v>3.7</v>
      </c>
      <c r="U53" s="7" t="s">
        <v>984</v>
      </c>
      <c r="V53" s="7">
        <v>380</v>
      </c>
      <c r="W53" s="151">
        <v>0.89500000000000002</v>
      </c>
      <c r="X53" s="7">
        <v>0.9</v>
      </c>
      <c r="Y53" s="7">
        <v>80</v>
      </c>
      <c r="Z53" s="34">
        <v>100</v>
      </c>
      <c r="AA53" s="274" t="s">
        <v>1390</v>
      </c>
      <c r="AB53" s="61">
        <v>23</v>
      </c>
      <c r="AC53" s="275" t="s">
        <v>1391</v>
      </c>
      <c r="AD53" s="64" t="s">
        <v>1461</v>
      </c>
      <c r="AE53" s="64" t="s">
        <v>1461</v>
      </c>
      <c r="AF53" s="64"/>
      <c r="AG53" s="64"/>
      <c r="AH53" s="65"/>
      <c r="AI53" s="7">
        <v>3457000</v>
      </c>
      <c r="AJ53" s="7"/>
      <c r="AK53" s="18" t="s">
        <v>1462</v>
      </c>
      <c r="AL53" s="1" t="b">
        <v>1</v>
      </c>
    </row>
    <row r="54" spans="1:38">
      <c r="A54" t="s">
        <v>1540</v>
      </c>
      <c r="B54" s="1" t="str">
        <f t="shared" si="2"/>
        <v>M_PMP0303_VM_DH_ENG_100DHS-5.5_1CV</v>
      </c>
      <c r="C54" s="7" t="s">
        <v>1536</v>
      </c>
      <c r="D54" s="7" t="str" cm="1">
        <f t="array" ref="D54">INDEX(기계코드!$D$4:$D$1022,MATCH(1,(C54=기계코드!$F$4:$F$1022)*1,0))</f>
        <v>M_PMP0303</v>
      </c>
      <c r="E54" s="7" t="s">
        <v>1459</v>
      </c>
      <c r="F54" s="7" t="str" cm="1">
        <f t="array" ref="F54">INDEX(공급업체코드!$B$3:$B$1000,MATCH(1,(E54=공급업체코드!$D$3:$D$1000)*1,0))</f>
        <v>VM_DH_ENG</v>
      </c>
      <c r="G54" s="43" t="s">
        <v>1470</v>
      </c>
      <c r="H54" s="63"/>
      <c r="I54" s="132">
        <v>1</v>
      </c>
      <c r="J54" s="64"/>
      <c r="K54" s="64"/>
      <c r="L54" s="64"/>
      <c r="M54" s="65"/>
      <c r="N54" s="64"/>
      <c r="O54" s="65">
        <v>16</v>
      </c>
      <c r="P54" s="64"/>
      <c r="Q54" s="65"/>
      <c r="R54" s="64">
        <v>100</v>
      </c>
      <c r="S54" s="64"/>
      <c r="T54" s="70">
        <v>5.5</v>
      </c>
      <c r="U54" s="7" t="s">
        <v>984</v>
      </c>
      <c r="V54" s="7">
        <v>380</v>
      </c>
      <c r="W54" s="151">
        <v>0.91700000000000004</v>
      </c>
      <c r="X54" s="7">
        <v>0.9</v>
      </c>
      <c r="Y54" s="7">
        <v>80</v>
      </c>
      <c r="Z54" s="34">
        <v>200</v>
      </c>
      <c r="AA54" s="274" t="s">
        <v>1390</v>
      </c>
      <c r="AB54" s="61">
        <v>23</v>
      </c>
      <c r="AC54" s="275" t="s">
        <v>1391</v>
      </c>
      <c r="AD54" s="64" t="s">
        <v>1461</v>
      </c>
      <c r="AE54" s="64" t="s">
        <v>1461</v>
      </c>
      <c r="AF54" s="64"/>
      <c r="AG54" s="64"/>
      <c r="AH54" s="65"/>
      <c r="AI54" s="7">
        <v>3871000</v>
      </c>
      <c r="AJ54" s="7"/>
      <c r="AK54" s="18" t="s">
        <v>1462</v>
      </c>
      <c r="AL54" s="1" t="b">
        <v>1</v>
      </c>
    </row>
    <row r="55" spans="1:38">
      <c r="A55" t="s">
        <v>1541</v>
      </c>
      <c r="B55" s="1" t="str">
        <f t="shared" si="2"/>
        <v>M_PMP0303_VM_DH_ENG_100DHS-7.5_1CV</v>
      </c>
      <c r="C55" s="7" t="s">
        <v>1536</v>
      </c>
      <c r="D55" s="7" t="str" cm="1">
        <f t="array" ref="D55">INDEX(기계코드!$D$4:$D$1022,MATCH(1,(C55=기계코드!$F$4:$F$1022)*1,0))</f>
        <v>M_PMP0303</v>
      </c>
      <c r="E55" s="7" t="s">
        <v>1459</v>
      </c>
      <c r="F55" s="7" t="str" cm="1">
        <f t="array" ref="F55">INDEX(공급업체코드!$B$3:$B$1000,MATCH(1,(E55=공급업체코드!$D$3:$D$1000)*1,0))</f>
        <v>VM_DH_ENG</v>
      </c>
      <c r="G55" s="43" t="s">
        <v>1472</v>
      </c>
      <c r="H55" s="63"/>
      <c r="I55" s="132">
        <v>1</v>
      </c>
      <c r="J55" s="64"/>
      <c r="K55" s="64"/>
      <c r="L55" s="64"/>
      <c r="M55" s="65"/>
      <c r="N55" s="64"/>
      <c r="O55" s="65">
        <v>18</v>
      </c>
      <c r="P55" s="64"/>
      <c r="Q55" s="65"/>
      <c r="R55" s="64">
        <v>100</v>
      </c>
      <c r="S55" s="64"/>
      <c r="T55" s="70">
        <v>7.5</v>
      </c>
      <c r="U55" s="7" t="s">
        <v>984</v>
      </c>
      <c r="V55" s="7">
        <v>380</v>
      </c>
      <c r="W55" s="151">
        <v>0.91700000000000004</v>
      </c>
      <c r="X55" s="7">
        <v>0.9</v>
      </c>
      <c r="Y55" s="7">
        <v>80</v>
      </c>
      <c r="Z55" s="34">
        <v>220</v>
      </c>
      <c r="AA55" s="274" t="s">
        <v>1390</v>
      </c>
      <c r="AB55" s="61">
        <v>23</v>
      </c>
      <c r="AC55" s="275" t="s">
        <v>1391</v>
      </c>
      <c r="AD55" s="64" t="s">
        <v>1461</v>
      </c>
      <c r="AE55" s="64" t="s">
        <v>1461</v>
      </c>
      <c r="AF55" s="64"/>
      <c r="AG55" s="64"/>
      <c r="AH55" s="65"/>
      <c r="AI55" s="7">
        <v>4566000</v>
      </c>
      <c r="AJ55" s="7"/>
      <c r="AK55" s="18" t="s">
        <v>1462</v>
      </c>
      <c r="AL55" s="1" t="b">
        <v>1</v>
      </c>
    </row>
    <row r="56" spans="1:38">
      <c r="A56" t="s">
        <v>1542</v>
      </c>
      <c r="B56" s="1" t="str">
        <f t="shared" si="2"/>
        <v>M_PMP0303_VM_DH_ENG_150DHS-3.7_2.5CV</v>
      </c>
      <c r="C56" s="7" t="s">
        <v>1536</v>
      </c>
      <c r="D56" s="7" t="str" cm="1">
        <f t="array" ref="D56">INDEX(기계코드!$D$4:$D$1022,MATCH(1,(C56=기계코드!$F$4:$F$1022)*1,0))</f>
        <v>M_PMP0303</v>
      </c>
      <c r="E56" s="7" t="s">
        <v>1459</v>
      </c>
      <c r="F56" s="7" t="str" cm="1">
        <f t="array" ref="F56">INDEX(공급업체코드!$B$3:$B$1000,MATCH(1,(E56=공급업체코드!$D$3:$D$1000)*1,0))</f>
        <v>VM_DH_ENG</v>
      </c>
      <c r="G56" s="43" t="s">
        <v>1474</v>
      </c>
      <c r="H56" s="63"/>
      <c r="I56" s="132">
        <v>2.5</v>
      </c>
      <c r="J56" s="64"/>
      <c r="K56" s="64"/>
      <c r="L56" s="64"/>
      <c r="M56" s="65"/>
      <c r="N56" s="64"/>
      <c r="O56" s="65">
        <v>5</v>
      </c>
      <c r="P56" s="64"/>
      <c r="Q56" s="65"/>
      <c r="R56" s="64">
        <v>150</v>
      </c>
      <c r="S56" s="64"/>
      <c r="T56" s="70">
        <v>3.7</v>
      </c>
      <c r="U56" s="7" t="s">
        <v>984</v>
      </c>
      <c r="V56" s="7">
        <v>380</v>
      </c>
      <c r="W56" s="151">
        <v>0.89500000000000002</v>
      </c>
      <c r="X56" s="7">
        <v>0.9</v>
      </c>
      <c r="Y56" s="7">
        <v>80</v>
      </c>
      <c r="Z56" s="34">
        <v>230</v>
      </c>
      <c r="AA56" s="274" t="s">
        <v>1390</v>
      </c>
      <c r="AB56" s="61">
        <v>23</v>
      </c>
      <c r="AC56" s="275" t="s">
        <v>1391</v>
      </c>
      <c r="AD56" s="64" t="s">
        <v>1461</v>
      </c>
      <c r="AE56" s="64" t="s">
        <v>1461</v>
      </c>
      <c r="AF56" s="64"/>
      <c r="AG56" s="64"/>
      <c r="AH56" s="65"/>
      <c r="AI56" s="7">
        <v>7587000</v>
      </c>
      <c r="AJ56" s="7"/>
      <c r="AK56" s="18" t="s">
        <v>1462</v>
      </c>
      <c r="AL56" s="1" t="b">
        <v>1</v>
      </c>
    </row>
    <row r="57" spans="1:38">
      <c r="A57" t="s">
        <v>1542</v>
      </c>
      <c r="B57" s="1" t="str">
        <f t="shared" si="2"/>
        <v>M_PMP0303_VM_DH_ENG_150DHS-5.5_2.5CV</v>
      </c>
      <c r="C57" s="7" t="s">
        <v>1536</v>
      </c>
      <c r="D57" s="7" t="str" cm="1">
        <f t="array" ref="D57">INDEX(기계코드!$D$4:$D$1022,MATCH(1,(C57=기계코드!$F$4:$F$1022)*1,0))</f>
        <v>M_PMP0303</v>
      </c>
      <c r="E57" s="7" t="s">
        <v>1459</v>
      </c>
      <c r="F57" s="7" t="str" cm="1">
        <f t="array" ref="F57">INDEX(공급업체코드!$B$3:$B$1000,MATCH(1,(E57=공급업체코드!$D$3:$D$1000)*1,0))</f>
        <v>VM_DH_ENG</v>
      </c>
      <c r="G57" s="43" t="s">
        <v>1475</v>
      </c>
      <c r="H57" s="63"/>
      <c r="I57" s="132">
        <v>2.5</v>
      </c>
      <c r="J57" s="64"/>
      <c r="K57" s="64"/>
      <c r="L57" s="64"/>
      <c r="M57" s="65"/>
      <c r="N57" s="64"/>
      <c r="O57" s="65">
        <v>7</v>
      </c>
      <c r="P57" s="64"/>
      <c r="Q57" s="65"/>
      <c r="R57" s="64">
        <v>150</v>
      </c>
      <c r="S57" s="64"/>
      <c r="T57" s="70">
        <v>5.5</v>
      </c>
      <c r="U57" s="7" t="s">
        <v>984</v>
      </c>
      <c r="V57" s="7">
        <v>380</v>
      </c>
      <c r="W57" s="151">
        <v>0.91700000000000004</v>
      </c>
      <c r="X57" s="7">
        <v>0.9</v>
      </c>
      <c r="Y57" s="7">
        <v>80</v>
      </c>
      <c r="Z57" s="34">
        <v>240</v>
      </c>
      <c r="AA57" s="274" t="s">
        <v>1390</v>
      </c>
      <c r="AB57" s="61">
        <v>23</v>
      </c>
      <c r="AC57" s="275" t="s">
        <v>1391</v>
      </c>
      <c r="AD57" s="64" t="s">
        <v>1461</v>
      </c>
      <c r="AE57" s="64" t="s">
        <v>1461</v>
      </c>
      <c r="AF57" s="64"/>
      <c r="AG57" s="64"/>
      <c r="AH57" s="65"/>
      <c r="AI57" s="7">
        <v>7791000</v>
      </c>
      <c r="AJ57" s="7"/>
      <c r="AK57" s="18" t="s">
        <v>1462</v>
      </c>
      <c r="AL57" s="1" t="b">
        <v>1</v>
      </c>
    </row>
    <row r="58" spans="1:38">
      <c r="A58" t="s">
        <v>1542</v>
      </c>
      <c r="B58" s="1" t="str">
        <f t="shared" si="2"/>
        <v>M_PMP0303_VM_DH_ENG_150DHS-7.5_2.5CV</v>
      </c>
      <c r="C58" s="7" t="s">
        <v>1536</v>
      </c>
      <c r="D58" s="7" t="str" cm="1">
        <f t="array" ref="D58">INDEX(기계코드!$D$4:$D$1022,MATCH(1,(C58=기계코드!$F$4:$F$1022)*1,0))</f>
        <v>M_PMP0303</v>
      </c>
      <c r="E58" s="7" t="s">
        <v>1459</v>
      </c>
      <c r="F58" s="7" t="str" cm="1">
        <f t="array" ref="F58">INDEX(공급업체코드!$B$3:$B$1000,MATCH(1,(E58=공급업체코드!$D$3:$D$1000)*1,0))</f>
        <v>VM_DH_ENG</v>
      </c>
      <c r="G58" s="43" t="s">
        <v>1476</v>
      </c>
      <c r="H58" s="63"/>
      <c r="I58" s="132">
        <v>2.5</v>
      </c>
      <c r="J58" s="64"/>
      <c r="K58" s="64"/>
      <c r="L58" s="64"/>
      <c r="M58" s="65"/>
      <c r="N58" s="64"/>
      <c r="O58" s="65">
        <v>9</v>
      </c>
      <c r="P58" s="64"/>
      <c r="Q58" s="65"/>
      <c r="R58" s="64">
        <v>150</v>
      </c>
      <c r="S58" s="64"/>
      <c r="T58" s="70">
        <v>7.5</v>
      </c>
      <c r="U58" s="7" t="s">
        <v>984</v>
      </c>
      <c r="V58" s="7">
        <v>380</v>
      </c>
      <c r="W58" s="151">
        <v>0.91700000000000004</v>
      </c>
      <c r="X58" s="7">
        <v>0.9</v>
      </c>
      <c r="Y58" s="7">
        <v>80</v>
      </c>
      <c r="Z58" s="34">
        <v>250</v>
      </c>
      <c r="AA58" s="274" t="s">
        <v>1390</v>
      </c>
      <c r="AB58" s="61">
        <v>23</v>
      </c>
      <c r="AC58" s="275" t="s">
        <v>1391</v>
      </c>
      <c r="AD58" s="64" t="s">
        <v>1461</v>
      </c>
      <c r="AE58" s="64" t="s">
        <v>1461</v>
      </c>
      <c r="AF58" s="64"/>
      <c r="AG58" s="64"/>
      <c r="AH58" s="65"/>
      <c r="AI58" s="7">
        <v>8186000</v>
      </c>
      <c r="AJ58" s="7"/>
      <c r="AK58" s="18" t="s">
        <v>1462</v>
      </c>
      <c r="AL58" s="1" t="b">
        <v>1</v>
      </c>
    </row>
    <row r="59" spans="1:38">
      <c r="A59" t="s">
        <v>1542</v>
      </c>
      <c r="B59" s="1" t="str">
        <f t="shared" si="2"/>
        <v>M_PMP0303_VM_DH_ENG_150DHS-11_2.5CV</v>
      </c>
      <c r="C59" s="7" t="s">
        <v>1536</v>
      </c>
      <c r="D59" s="7" t="str" cm="1">
        <f t="array" ref="D59">INDEX(기계코드!$D$4:$D$1022,MATCH(1,(C59=기계코드!$F$4:$F$1022)*1,0))</f>
        <v>M_PMP0303</v>
      </c>
      <c r="E59" s="7" t="s">
        <v>1459</v>
      </c>
      <c r="F59" s="7" t="str" cm="1">
        <f t="array" ref="F59">INDEX(공급업체코드!$B$3:$B$1000,MATCH(1,(E59=공급업체코드!$D$3:$D$1000)*1,0))</f>
        <v>VM_DH_ENG</v>
      </c>
      <c r="G59" s="43" t="s">
        <v>1477</v>
      </c>
      <c r="H59" s="63"/>
      <c r="I59" s="132">
        <v>2.5</v>
      </c>
      <c r="J59" s="64"/>
      <c r="K59" s="64"/>
      <c r="L59" s="64"/>
      <c r="M59" s="65"/>
      <c r="N59" s="64"/>
      <c r="O59" s="65">
        <v>15</v>
      </c>
      <c r="P59" s="64"/>
      <c r="Q59" s="65"/>
      <c r="R59" s="64">
        <v>150</v>
      </c>
      <c r="S59" s="64"/>
      <c r="T59" s="70">
        <v>11</v>
      </c>
      <c r="U59" s="7" t="s">
        <v>984</v>
      </c>
      <c r="V59" s="7">
        <v>380</v>
      </c>
      <c r="W59" s="151">
        <v>0.92400000000000004</v>
      </c>
      <c r="X59" s="7">
        <v>0.9</v>
      </c>
      <c r="Y59" s="7">
        <v>80</v>
      </c>
      <c r="Z59" s="34">
        <v>265</v>
      </c>
      <c r="AA59" s="274" t="s">
        <v>1390</v>
      </c>
      <c r="AB59" s="61">
        <v>24</v>
      </c>
      <c r="AC59" s="275" t="s">
        <v>1391</v>
      </c>
      <c r="AD59" s="64" t="s">
        <v>1461</v>
      </c>
      <c r="AE59" s="64" t="s">
        <v>1461</v>
      </c>
      <c r="AF59" s="64"/>
      <c r="AG59" s="64"/>
      <c r="AH59" s="65"/>
      <c r="AI59" s="7">
        <v>8725000</v>
      </c>
      <c r="AJ59" s="7"/>
      <c r="AK59" s="18" t="s">
        <v>1462</v>
      </c>
      <c r="AL59" s="1" t="b">
        <v>1</v>
      </c>
    </row>
    <row r="60" spans="1:38">
      <c r="A60" t="s">
        <v>1542</v>
      </c>
      <c r="B60" s="1" t="str">
        <f t="shared" si="2"/>
        <v>M_PMP0303_VM_DH_ENG_150DHS-15_2.5CV</v>
      </c>
      <c r="C60" s="7" t="s">
        <v>1536</v>
      </c>
      <c r="D60" s="7" t="str" cm="1">
        <f t="array" ref="D60">INDEX(기계코드!$D$4:$D$1022,MATCH(1,(C60=기계코드!$F$4:$F$1022)*1,0))</f>
        <v>M_PMP0303</v>
      </c>
      <c r="E60" s="7" t="s">
        <v>1459</v>
      </c>
      <c r="F60" s="7" t="str" cm="1">
        <f t="array" ref="F60">INDEX(공급업체코드!$B$3:$B$1000,MATCH(1,(E60=공급업체코드!$D$3:$D$1000)*1,0))</f>
        <v>VM_DH_ENG</v>
      </c>
      <c r="G60" s="43" t="s">
        <v>1478</v>
      </c>
      <c r="H60" s="63"/>
      <c r="I60" s="132">
        <v>2.5</v>
      </c>
      <c r="J60" s="64"/>
      <c r="K60" s="64"/>
      <c r="L60" s="64"/>
      <c r="M60" s="65"/>
      <c r="N60" s="64"/>
      <c r="O60" s="65">
        <v>20</v>
      </c>
      <c r="P60" s="64"/>
      <c r="Q60" s="65"/>
      <c r="R60" s="64">
        <v>150</v>
      </c>
      <c r="S60" s="64"/>
      <c r="T60" s="70">
        <v>15</v>
      </c>
      <c r="U60" s="7" t="s">
        <v>984</v>
      </c>
      <c r="V60" s="7">
        <v>380</v>
      </c>
      <c r="W60" s="151">
        <v>0.93</v>
      </c>
      <c r="X60" s="7">
        <v>0.9</v>
      </c>
      <c r="Y60" s="7">
        <v>80</v>
      </c>
      <c r="Z60" s="34">
        <v>280</v>
      </c>
      <c r="AA60" s="274" t="s">
        <v>1390</v>
      </c>
      <c r="AB60" s="61">
        <v>24</v>
      </c>
      <c r="AC60" s="275" t="s">
        <v>1391</v>
      </c>
      <c r="AD60" s="64" t="s">
        <v>1461</v>
      </c>
      <c r="AE60" s="64" t="s">
        <v>1461</v>
      </c>
      <c r="AF60" s="64"/>
      <c r="AG60" s="64"/>
      <c r="AH60" s="65"/>
      <c r="AI60" s="7">
        <v>9116000</v>
      </c>
      <c r="AJ60" s="7"/>
      <c r="AK60" s="18" t="s">
        <v>1462</v>
      </c>
      <c r="AL60" s="1" t="b">
        <v>1</v>
      </c>
    </row>
    <row r="61" spans="1:38">
      <c r="A61" t="s">
        <v>1543</v>
      </c>
      <c r="B61" s="1" t="str">
        <f t="shared" si="2"/>
        <v>M_PMP0303_VM_DH_ENG_150DHS-19_2.5CV</v>
      </c>
      <c r="C61" s="7" t="s">
        <v>1536</v>
      </c>
      <c r="D61" s="7" t="str" cm="1">
        <f t="array" ref="D61">INDEX(기계코드!$D$4:$D$1022,MATCH(1,(C61=기계코드!$F$4:$F$1022)*1,0))</f>
        <v>M_PMP0303</v>
      </c>
      <c r="E61" s="7" t="s">
        <v>1459</v>
      </c>
      <c r="F61" s="7" t="str" cm="1">
        <f t="array" ref="F61">INDEX(공급업체코드!$B$3:$B$1000,MATCH(1,(E61=공급업체코드!$D$3:$D$1000)*1,0))</f>
        <v>VM_DH_ENG</v>
      </c>
      <c r="G61" s="43" t="s">
        <v>1480</v>
      </c>
      <c r="H61" s="63"/>
      <c r="I61" s="132">
        <v>2.5</v>
      </c>
      <c r="J61" s="64"/>
      <c r="K61" s="64"/>
      <c r="L61" s="64"/>
      <c r="M61" s="65"/>
      <c r="N61" s="64"/>
      <c r="O61" s="65">
        <v>22</v>
      </c>
      <c r="P61" s="64"/>
      <c r="Q61" s="65"/>
      <c r="R61" s="64">
        <v>150</v>
      </c>
      <c r="S61" s="64"/>
      <c r="T61" s="70">
        <v>19</v>
      </c>
      <c r="U61" s="7" t="s">
        <v>984</v>
      </c>
      <c r="V61" s="7">
        <v>380</v>
      </c>
      <c r="W61" s="151">
        <v>0.93599999999999994</v>
      </c>
      <c r="X61" s="7">
        <v>0.9</v>
      </c>
      <c r="Y61" s="7">
        <v>80</v>
      </c>
      <c r="Z61" s="34">
        <v>360</v>
      </c>
      <c r="AA61" s="274" t="s">
        <v>1390</v>
      </c>
      <c r="AB61" s="61">
        <v>25</v>
      </c>
      <c r="AC61" s="275" t="s">
        <v>1391</v>
      </c>
      <c r="AD61" s="64" t="s">
        <v>1461</v>
      </c>
      <c r="AE61" s="64" t="s">
        <v>1461</v>
      </c>
      <c r="AF61" s="64"/>
      <c r="AG61" s="64"/>
      <c r="AH61" s="65"/>
      <c r="AI61" s="7">
        <v>9967000</v>
      </c>
      <c r="AJ61" s="7"/>
      <c r="AK61" s="18" t="s">
        <v>1462</v>
      </c>
      <c r="AL61" s="1" t="b">
        <v>1</v>
      </c>
    </row>
    <row r="62" spans="1:38">
      <c r="A62" t="s">
        <v>1543</v>
      </c>
      <c r="B62" s="1" t="str">
        <f t="shared" si="2"/>
        <v>M_PMP0303_VM_DH_ENG_150DHS-22_2.5CV</v>
      </c>
      <c r="C62" s="7" t="s">
        <v>1536</v>
      </c>
      <c r="D62" s="7" t="str" cm="1">
        <f t="array" ref="D62">INDEX(기계코드!$D$4:$D$1022,MATCH(1,(C62=기계코드!$F$4:$F$1022)*1,0))</f>
        <v>M_PMP0303</v>
      </c>
      <c r="E62" s="7" t="s">
        <v>1459</v>
      </c>
      <c r="F62" s="7" t="str" cm="1">
        <f t="array" ref="F62">INDEX(공급업체코드!$B$3:$B$1000,MATCH(1,(E62=공급업체코드!$D$3:$D$1000)*1,0))</f>
        <v>VM_DH_ENG</v>
      </c>
      <c r="G62" s="43" t="s">
        <v>1481</v>
      </c>
      <c r="H62" s="63"/>
      <c r="I62" s="132">
        <v>2.5</v>
      </c>
      <c r="J62" s="64"/>
      <c r="K62" s="64"/>
      <c r="L62" s="64"/>
      <c r="M62" s="65"/>
      <c r="N62" s="64"/>
      <c r="O62" s="65">
        <v>25</v>
      </c>
      <c r="P62" s="64"/>
      <c r="Q62" s="65"/>
      <c r="R62" s="64">
        <v>150</v>
      </c>
      <c r="S62" s="64"/>
      <c r="T62" s="70">
        <v>22</v>
      </c>
      <c r="U62" s="7" t="s">
        <v>984</v>
      </c>
      <c r="V62" s="7">
        <v>380</v>
      </c>
      <c r="W62" s="151">
        <v>0.93599999999999994</v>
      </c>
      <c r="X62" s="7">
        <v>0.9</v>
      </c>
      <c r="Y62" s="7">
        <v>80</v>
      </c>
      <c r="Z62" s="34">
        <v>380</v>
      </c>
      <c r="AA62" s="274" t="s">
        <v>1390</v>
      </c>
      <c r="AB62" s="61">
        <v>25</v>
      </c>
      <c r="AC62" s="275" t="s">
        <v>1391</v>
      </c>
      <c r="AD62" s="64" t="s">
        <v>1461</v>
      </c>
      <c r="AE62" s="64" t="s">
        <v>1461</v>
      </c>
      <c r="AF62" s="64"/>
      <c r="AG62" s="64"/>
      <c r="AH62" s="65"/>
      <c r="AI62" s="7">
        <v>9967000</v>
      </c>
      <c r="AJ62" s="7"/>
      <c r="AK62" s="18" t="s">
        <v>1462</v>
      </c>
      <c r="AL62" s="1" t="b">
        <v>1</v>
      </c>
    </row>
    <row r="63" spans="1:38">
      <c r="A63" t="s">
        <v>1543</v>
      </c>
      <c r="B63" s="1" t="str">
        <f t="shared" si="2"/>
        <v>M_PMP0303_VM_DH_ENG_150DHS-30_4.5CV</v>
      </c>
      <c r="C63" s="7" t="s">
        <v>1536</v>
      </c>
      <c r="D63" s="7" t="str" cm="1">
        <f t="array" ref="D63">INDEX(기계코드!$D$4:$D$1022,MATCH(1,(C63=기계코드!$F$4:$F$1022)*1,0))</f>
        <v>M_PMP0303</v>
      </c>
      <c r="E63" s="7" t="s">
        <v>1459</v>
      </c>
      <c r="F63" s="7" t="str" cm="1">
        <f t="array" ref="F63">INDEX(공급업체코드!$B$3:$B$1000,MATCH(1,(E63=공급업체코드!$D$3:$D$1000)*1,0))</f>
        <v>VM_DH_ENG</v>
      </c>
      <c r="G63" s="43" t="s">
        <v>1483</v>
      </c>
      <c r="H63" s="63"/>
      <c r="I63" s="132">
        <v>4.5</v>
      </c>
      <c r="J63" s="64"/>
      <c r="K63" s="64"/>
      <c r="L63" s="64"/>
      <c r="M63" s="65"/>
      <c r="N63" s="64"/>
      <c r="O63" s="65">
        <v>30</v>
      </c>
      <c r="P63" s="64"/>
      <c r="Q63" s="65"/>
      <c r="R63" s="64">
        <v>150</v>
      </c>
      <c r="S63" s="64"/>
      <c r="T63" s="70">
        <v>30</v>
      </c>
      <c r="U63" s="7" t="s">
        <v>984</v>
      </c>
      <c r="V63" s="7">
        <v>380</v>
      </c>
      <c r="W63" s="151">
        <v>0.94099999999999995</v>
      </c>
      <c r="X63" s="7">
        <v>0.9</v>
      </c>
      <c r="Y63" s="7">
        <v>80</v>
      </c>
      <c r="Z63" s="34">
        <v>390</v>
      </c>
      <c r="AA63" s="274" t="s">
        <v>1390</v>
      </c>
      <c r="AB63" s="61">
        <v>25</v>
      </c>
      <c r="AC63" s="275" t="s">
        <v>1391</v>
      </c>
      <c r="AD63" s="64" t="s">
        <v>1461</v>
      </c>
      <c r="AE63" s="64" t="s">
        <v>1461</v>
      </c>
      <c r="AF63" s="64"/>
      <c r="AG63" s="64"/>
      <c r="AH63" s="65"/>
      <c r="AI63" s="7">
        <v>10570000</v>
      </c>
      <c r="AJ63" s="7"/>
      <c r="AK63" s="18" t="s">
        <v>1462</v>
      </c>
      <c r="AL63" s="1" t="b">
        <v>1</v>
      </c>
    </row>
    <row r="64" spans="1:38">
      <c r="A64" t="s">
        <v>1544</v>
      </c>
      <c r="B64" s="1" t="str">
        <f t="shared" si="2"/>
        <v>M_PMP0303_VM_DH_ENG_200DHS-11_4.5CV</v>
      </c>
      <c r="C64" s="7" t="s">
        <v>1536</v>
      </c>
      <c r="D64" s="7" t="str" cm="1">
        <f t="array" ref="D64">INDEX(기계코드!$D$4:$D$1022,MATCH(1,(C64=기계코드!$F$4:$F$1022)*1,0))</f>
        <v>M_PMP0303</v>
      </c>
      <c r="E64" s="7" t="s">
        <v>1459</v>
      </c>
      <c r="F64" s="7" t="str" cm="1">
        <f t="array" ref="F64">INDEX(공급업체코드!$B$3:$B$1000,MATCH(1,(E64=공급업체코드!$D$3:$D$1000)*1,0))</f>
        <v>VM_DH_ENG</v>
      </c>
      <c r="G64" s="43" t="s">
        <v>1484</v>
      </c>
      <c r="H64" s="63"/>
      <c r="I64" s="132">
        <v>4.5</v>
      </c>
      <c r="J64" s="64"/>
      <c r="K64" s="64"/>
      <c r="L64" s="64"/>
      <c r="M64" s="65"/>
      <c r="N64" s="64"/>
      <c r="O64" s="65">
        <v>9</v>
      </c>
      <c r="P64" s="64"/>
      <c r="Q64" s="65"/>
      <c r="R64" s="64">
        <v>200</v>
      </c>
      <c r="S64" s="64"/>
      <c r="T64" s="70">
        <v>11</v>
      </c>
      <c r="U64" s="7" t="s">
        <v>984</v>
      </c>
      <c r="V64" s="7">
        <v>380</v>
      </c>
      <c r="W64" s="151">
        <v>0.92400000000000004</v>
      </c>
      <c r="X64" s="7">
        <v>0.9</v>
      </c>
      <c r="Y64" s="7">
        <v>80</v>
      </c>
      <c r="Z64" s="34">
        <v>305</v>
      </c>
      <c r="AA64" s="274" t="s">
        <v>1390</v>
      </c>
      <c r="AB64" s="61">
        <v>24</v>
      </c>
      <c r="AC64" s="275" t="s">
        <v>1391</v>
      </c>
      <c r="AD64" s="64" t="s">
        <v>1461</v>
      </c>
      <c r="AE64" s="64" t="s">
        <v>1461</v>
      </c>
      <c r="AF64" s="64"/>
      <c r="AG64" s="64"/>
      <c r="AH64" s="65"/>
      <c r="AI64" s="7">
        <v>10335000</v>
      </c>
      <c r="AJ64" s="7"/>
      <c r="AK64" s="18" t="s">
        <v>1462</v>
      </c>
      <c r="AL64" s="1" t="b">
        <v>1</v>
      </c>
    </row>
    <row r="65" spans="1:38">
      <c r="A65" t="s">
        <v>1544</v>
      </c>
      <c r="B65" s="1" t="str">
        <f t="shared" si="2"/>
        <v>M_PMP0303_VM_DH_ENG_200DHS-15_4.5CV</v>
      </c>
      <c r="C65" s="7" t="s">
        <v>1536</v>
      </c>
      <c r="D65" s="7" t="str" cm="1">
        <f t="array" ref="D65">INDEX(기계코드!$D$4:$D$1022,MATCH(1,(C65=기계코드!$F$4:$F$1022)*1,0))</f>
        <v>M_PMP0303</v>
      </c>
      <c r="E65" s="7" t="s">
        <v>1459</v>
      </c>
      <c r="F65" s="7" t="str" cm="1">
        <f t="array" ref="F65">INDEX(공급업체코드!$B$3:$B$1000,MATCH(1,(E65=공급업체코드!$D$3:$D$1000)*1,0))</f>
        <v>VM_DH_ENG</v>
      </c>
      <c r="G65" s="43" t="s">
        <v>1485</v>
      </c>
      <c r="H65" s="63"/>
      <c r="I65" s="132">
        <v>4.5</v>
      </c>
      <c r="J65" s="64"/>
      <c r="K65" s="64"/>
      <c r="L65" s="64"/>
      <c r="M65" s="65"/>
      <c r="N65" s="64"/>
      <c r="O65" s="65">
        <v>13</v>
      </c>
      <c r="P65" s="64"/>
      <c r="Q65" s="65"/>
      <c r="R65" s="64">
        <v>200</v>
      </c>
      <c r="S65" s="64"/>
      <c r="T65" s="70">
        <v>15</v>
      </c>
      <c r="U65" s="7" t="s">
        <v>984</v>
      </c>
      <c r="V65" s="7">
        <v>380</v>
      </c>
      <c r="W65" s="151">
        <v>0.93</v>
      </c>
      <c r="X65" s="7">
        <v>0.9</v>
      </c>
      <c r="Y65" s="7">
        <v>80</v>
      </c>
      <c r="Z65" s="34">
        <v>320</v>
      </c>
      <c r="AA65" s="274" t="s">
        <v>1390</v>
      </c>
      <c r="AB65" s="61">
        <v>24</v>
      </c>
      <c r="AC65" s="275" t="s">
        <v>1391</v>
      </c>
      <c r="AD65" s="64" t="s">
        <v>1461</v>
      </c>
      <c r="AE65" s="64" t="s">
        <v>1461</v>
      </c>
      <c r="AF65" s="64"/>
      <c r="AG65" s="64"/>
      <c r="AH65" s="65"/>
      <c r="AI65" s="7">
        <v>10726000</v>
      </c>
      <c r="AJ65" s="7"/>
      <c r="AK65" s="18" t="s">
        <v>1462</v>
      </c>
      <c r="AL65" s="1" t="b">
        <v>1</v>
      </c>
    </row>
    <row r="66" spans="1:38">
      <c r="A66" t="s">
        <v>1544</v>
      </c>
      <c r="B66" s="1" t="str">
        <f t="shared" si="2"/>
        <v>M_PMP0303_VM_DH_ENG_200DHS-22_4.5CV</v>
      </c>
      <c r="C66" s="7" t="s">
        <v>1536</v>
      </c>
      <c r="D66" s="7" t="str" cm="1">
        <f t="array" ref="D66">INDEX(기계코드!$D$4:$D$1022,MATCH(1,(C66=기계코드!$F$4:$F$1022)*1,0))</f>
        <v>M_PMP0303</v>
      </c>
      <c r="E66" s="7" t="s">
        <v>1459</v>
      </c>
      <c r="F66" s="7" t="str" cm="1">
        <f t="array" ref="F66">INDEX(공급업체코드!$B$3:$B$1000,MATCH(1,(E66=공급업체코드!$D$3:$D$1000)*1,0))</f>
        <v>VM_DH_ENG</v>
      </c>
      <c r="G66" s="43" t="s">
        <v>1486</v>
      </c>
      <c r="H66" s="63"/>
      <c r="I66" s="132">
        <v>4.5</v>
      </c>
      <c r="J66" s="64"/>
      <c r="K66" s="64"/>
      <c r="L66" s="64"/>
      <c r="M66" s="65"/>
      <c r="N66" s="64"/>
      <c r="O66" s="65">
        <v>18</v>
      </c>
      <c r="P66" s="64"/>
      <c r="Q66" s="65"/>
      <c r="R66" s="64">
        <v>200</v>
      </c>
      <c r="S66" s="64"/>
      <c r="T66" s="70">
        <v>22</v>
      </c>
      <c r="U66" s="7" t="s">
        <v>984</v>
      </c>
      <c r="V66" s="7">
        <v>380</v>
      </c>
      <c r="W66" s="151">
        <v>0.93599999999999994</v>
      </c>
      <c r="X66" s="7">
        <v>0.9</v>
      </c>
      <c r="Y66" s="7">
        <v>80</v>
      </c>
      <c r="Z66" s="34">
        <v>510</v>
      </c>
      <c r="AA66" s="274" t="s">
        <v>1390</v>
      </c>
      <c r="AB66" s="61">
        <v>25</v>
      </c>
      <c r="AC66" s="275" t="s">
        <v>1391</v>
      </c>
      <c r="AD66" s="64" t="s">
        <v>1461</v>
      </c>
      <c r="AE66" s="64" t="s">
        <v>1461</v>
      </c>
      <c r="AF66" s="64"/>
      <c r="AG66" s="64"/>
      <c r="AH66" s="65"/>
      <c r="AI66" s="7">
        <v>13377000</v>
      </c>
      <c r="AJ66" s="7"/>
      <c r="AK66" s="18" t="s">
        <v>1462</v>
      </c>
      <c r="AL66" s="1" t="b">
        <v>1</v>
      </c>
    </row>
    <row r="67" spans="1:38">
      <c r="A67" t="s">
        <v>1545</v>
      </c>
      <c r="B67" s="1" t="str">
        <f t="shared" si="2"/>
        <v>M_PMP0303_VM_DH_ENG_200DHS-30_4.5CV</v>
      </c>
      <c r="C67" s="7" t="s">
        <v>1536</v>
      </c>
      <c r="D67" s="7" t="str" cm="1">
        <f t="array" ref="D67">INDEX(기계코드!$D$4:$D$1022,MATCH(1,(C67=기계코드!$F$4:$F$1022)*1,0))</f>
        <v>M_PMP0303</v>
      </c>
      <c r="E67" s="7" t="s">
        <v>1459</v>
      </c>
      <c r="F67" s="7" t="str" cm="1">
        <f t="array" ref="F67">INDEX(공급업체코드!$B$3:$B$1000,MATCH(1,(E67=공급업체코드!$D$3:$D$1000)*1,0))</f>
        <v>VM_DH_ENG</v>
      </c>
      <c r="G67" s="43" t="s">
        <v>1488</v>
      </c>
      <c r="H67" s="63"/>
      <c r="I67" s="132">
        <v>4.5</v>
      </c>
      <c r="J67" s="64"/>
      <c r="K67" s="64"/>
      <c r="L67" s="64"/>
      <c r="M67" s="65"/>
      <c r="N67" s="64"/>
      <c r="O67" s="65">
        <v>20</v>
      </c>
      <c r="P67" s="64"/>
      <c r="Q67" s="65"/>
      <c r="R67" s="64">
        <v>200</v>
      </c>
      <c r="S67" s="64"/>
      <c r="T67" s="70">
        <v>30</v>
      </c>
      <c r="U67" s="7" t="s">
        <v>984</v>
      </c>
      <c r="V67" s="7">
        <v>380</v>
      </c>
      <c r="W67" s="151">
        <v>0.94099999999999995</v>
      </c>
      <c r="X67" s="7">
        <v>0.9</v>
      </c>
      <c r="Y67" s="7">
        <v>80</v>
      </c>
      <c r="Z67" s="34">
        <v>540</v>
      </c>
      <c r="AA67" s="274" t="s">
        <v>1390</v>
      </c>
      <c r="AB67" s="61">
        <v>25</v>
      </c>
      <c r="AC67" s="275" t="s">
        <v>1391</v>
      </c>
      <c r="AD67" s="64" t="s">
        <v>1461</v>
      </c>
      <c r="AE67" s="64" t="s">
        <v>1461</v>
      </c>
      <c r="AF67" s="64"/>
      <c r="AG67" s="64"/>
      <c r="AH67" s="65"/>
      <c r="AI67" s="7">
        <v>13980000</v>
      </c>
      <c r="AJ67" s="7"/>
      <c r="AK67" s="18" t="s">
        <v>1462</v>
      </c>
      <c r="AL67" s="1" t="b">
        <v>1</v>
      </c>
    </row>
    <row r="68" spans="1:38">
      <c r="A68" t="s">
        <v>1545</v>
      </c>
      <c r="B68" s="1" t="str">
        <f t="shared" si="2"/>
        <v>M_PMP0303_VM_DH_ENG_200DHS-37_4.5CV</v>
      </c>
      <c r="C68" s="7" t="s">
        <v>1536</v>
      </c>
      <c r="D68" s="7" t="str" cm="1">
        <f t="array" ref="D68">INDEX(기계코드!$D$4:$D$1022,MATCH(1,(C68=기계코드!$F$4:$F$1022)*1,0))</f>
        <v>M_PMP0303</v>
      </c>
      <c r="E68" s="7" t="s">
        <v>1459</v>
      </c>
      <c r="F68" s="7" t="str" cm="1">
        <f t="array" ref="F68">INDEX(공급업체코드!$B$3:$B$1000,MATCH(1,(E68=공급업체코드!$D$3:$D$1000)*1,0))</f>
        <v>VM_DH_ENG</v>
      </c>
      <c r="G68" s="43" t="s">
        <v>1489</v>
      </c>
      <c r="H68" s="63"/>
      <c r="I68" s="132">
        <v>4.5</v>
      </c>
      <c r="J68" s="64"/>
      <c r="K68" s="64"/>
      <c r="L68" s="64"/>
      <c r="M68" s="65"/>
      <c r="N68" s="64"/>
      <c r="O68" s="65">
        <v>28</v>
      </c>
      <c r="P68" s="64"/>
      <c r="Q68" s="65"/>
      <c r="R68" s="64">
        <v>200</v>
      </c>
      <c r="S68" s="64"/>
      <c r="T68" s="70">
        <v>37</v>
      </c>
      <c r="U68" s="7" t="s">
        <v>984</v>
      </c>
      <c r="V68" s="7">
        <v>380</v>
      </c>
      <c r="W68" s="151">
        <v>0.94499999999999995</v>
      </c>
      <c r="X68" s="7">
        <v>0.9</v>
      </c>
      <c r="Y68" s="7">
        <v>80</v>
      </c>
      <c r="Z68" s="34">
        <v>560</v>
      </c>
      <c r="AA68" s="274" t="s">
        <v>1390</v>
      </c>
      <c r="AB68" s="61"/>
      <c r="AC68" s="275" t="s">
        <v>1391</v>
      </c>
      <c r="AD68" s="64" t="s">
        <v>1461</v>
      </c>
      <c r="AE68" s="64" t="s">
        <v>1461</v>
      </c>
      <c r="AF68" s="64"/>
      <c r="AG68" s="64"/>
      <c r="AH68" s="65"/>
      <c r="AI68" s="7">
        <v>15067000</v>
      </c>
      <c r="AJ68" s="7"/>
      <c r="AK68" s="18" t="s">
        <v>1462</v>
      </c>
      <c r="AL68" s="1" t="b">
        <v>1</v>
      </c>
    </row>
    <row r="69" spans="1:38">
      <c r="A69" t="s">
        <v>1545</v>
      </c>
      <c r="B69" s="1" t="str">
        <f t="shared" si="2"/>
        <v>M_PMP0303_VM_DH_ENG_200DHS-55_4.5CV</v>
      </c>
      <c r="C69" s="7" t="s">
        <v>1536</v>
      </c>
      <c r="D69" s="7" t="str" cm="1">
        <f t="array" ref="D69">INDEX(기계코드!$D$4:$D$1022,MATCH(1,(C69=기계코드!$F$4:$F$1022)*1,0))</f>
        <v>M_PMP0303</v>
      </c>
      <c r="E69" s="7" t="s">
        <v>1459</v>
      </c>
      <c r="F69" s="7" t="str" cm="1">
        <f t="array" ref="F69">INDEX(공급업체코드!$B$3:$B$1000,MATCH(1,(E69=공급업체코드!$D$3:$D$1000)*1,0))</f>
        <v>VM_DH_ENG</v>
      </c>
      <c r="G69" s="43" t="s">
        <v>1490</v>
      </c>
      <c r="H69" s="63"/>
      <c r="I69" s="132">
        <v>4.5</v>
      </c>
      <c r="J69" s="64"/>
      <c r="K69" s="64"/>
      <c r="L69" s="64"/>
      <c r="M69" s="65"/>
      <c r="N69" s="64"/>
      <c r="O69" s="65">
        <v>40</v>
      </c>
      <c r="P69" s="64"/>
      <c r="Q69" s="65"/>
      <c r="R69" s="64">
        <v>200</v>
      </c>
      <c r="S69" s="64"/>
      <c r="T69" s="70">
        <v>55</v>
      </c>
      <c r="U69" s="7" t="s">
        <v>984</v>
      </c>
      <c r="V69" s="7">
        <v>380</v>
      </c>
      <c r="W69" s="151">
        <v>0.95400000000000007</v>
      </c>
      <c r="X69" s="7">
        <v>0.9</v>
      </c>
      <c r="Y69" s="7">
        <v>80</v>
      </c>
      <c r="Z69" s="34">
        <v>590</v>
      </c>
      <c r="AA69" s="274" t="s">
        <v>1390</v>
      </c>
      <c r="AB69" s="61"/>
      <c r="AC69" s="275" t="s">
        <v>1391</v>
      </c>
      <c r="AD69" s="64" t="s">
        <v>1461</v>
      </c>
      <c r="AE69" s="64" t="s">
        <v>1461</v>
      </c>
      <c r="AF69" s="64"/>
      <c r="AG69" s="64"/>
      <c r="AH69" s="65"/>
      <c r="AI69" s="7">
        <v>18047000</v>
      </c>
      <c r="AJ69" s="7"/>
      <c r="AK69" s="18" t="s">
        <v>1462</v>
      </c>
      <c r="AL69" s="1" t="b">
        <v>1</v>
      </c>
    </row>
    <row r="70" spans="1:38">
      <c r="A70" t="s">
        <v>1546</v>
      </c>
      <c r="B70" s="1" t="str">
        <f t="shared" si="2"/>
        <v>M_PMP0303_VM_DH_ENG_250DHS-11_6CV</v>
      </c>
      <c r="C70" s="7" t="s">
        <v>1536</v>
      </c>
      <c r="D70" s="7" t="str" cm="1">
        <f t="array" ref="D70">INDEX(기계코드!$D$4:$D$1022,MATCH(1,(C70=기계코드!$F$4:$F$1022)*1,0))</f>
        <v>M_PMP0303</v>
      </c>
      <c r="E70" s="7" t="s">
        <v>1459</v>
      </c>
      <c r="F70" s="7" t="str" cm="1">
        <f t="array" ref="F70">INDEX(공급업체코드!$B$3:$B$1000,MATCH(1,(E70=공급업체코드!$D$3:$D$1000)*1,0))</f>
        <v>VM_DH_ENG</v>
      </c>
      <c r="G70" s="43" t="s">
        <v>1492</v>
      </c>
      <c r="H70" s="63"/>
      <c r="I70" s="132">
        <v>6</v>
      </c>
      <c r="J70" s="64"/>
      <c r="K70" s="64"/>
      <c r="L70" s="64"/>
      <c r="M70" s="65"/>
      <c r="N70" s="64"/>
      <c r="O70" s="65">
        <v>7</v>
      </c>
      <c r="P70" s="64"/>
      <c r="Q70" s="65"/>
      <c r="R70" s="64">
        <v>250</v>
      </c>
      <c r="S70" s="64"/>
      <c r="T70" s="70">
        <v>11</v>
      </c>
      <c r="U70" s="7" t="s">
        <v>984</v>
      </c>
      <c r="V70" s="7">
        <v>380</v>
      </c>
      <c r="W70" s="151">
        <v>0.92400000000000004</v>
      </c>
      <c r="X70" s="7">
        <v>0.9</v>
      </c>
      <c r="Y70" s="7">
        <v>80</v>
      </c>
      <c r="Z70" s="34">
        <v>430</v>
      </c>
      <c r="AA70" s="274" t="s">
        <v>1390</v>
      </c>
      <c r="AB70" s="61">
        <v>24</v>
      </c>
      <c r="AC70" s="275" t="s">
        <v>1391</v>
      </c>
      <c r="AD70" s="64" t="s">
        <v>1461</v>
      </c>
      <c r="AE70" s="64" t="s">
        <v>1461</v>
      </c>
      <c r="AF70" s="64"/>
      <c r="AG70" s="64"/>
      <c r="AH70" s="65"/>
      <c r="AI70" s="7">
        <v>16705000</v>
      </c>
      <c r="AJ70" s="7"/>
      <c r="AK70" s="18" t="s">
        <v>1462</v>
      </c>
      <c r="AL70" s="1" t="b">
        <v>1</v>
      </c>
    </row>
    <row r="71" spans="1:38">
      <c r="A71" t="s">
        <v>1546</v>
      </c>
      <c r="B71" s="1" t="str">
        <f t="shared" si="2"/>
        <v>M_PMP0303_VM_DH_ENG_250DHS-15_6.5CV</v>
      </c>
      <c r="C71" s="7" t="s">
        <v>1536</v>
      </c>
      <c r="D71" s="7" t="str" cm="1">
        <f t="array" ref="D71">INDEX(기계코드!$D$4:$D$1022,MATCH(1,(C71=기계코드!$F$4:$F$1022)*1,0))</f>
        <v>M_PMP0303</v>
      </c>
      <c r="E71" s="7" t="s">
        <v>1459</v>
      </c>
      <c r="F71" s="7" t="str" cm="1">
        <f t="array" ref="F71">INDEX(공급업체코드!$B$3:$B$1000,MATCH(1,(E71=공급업체코드!$D$3:$D$1000)*1,0))</f>
        <v>VM_DH_ENG</v>
      </c>
      <c r="G71" s="43" t="s">
        <v>1493</v>
      </c>
      <c r="H71" s="63"/>
      <c r="I71" s="132">
        <v>6.5</v>
      </c>
      <c r="J71" s="64"/>
      <c r="K71" s="64"/>
      <c r="L71" s="64"/>
      <c r="M71" s="65"/>
      <c r="N71" s="64"/>
      <c r="O71" s="65">
        <v>9</v>
      </c>
      <c r="P71" s="64"/>
      <c r="Q71" s="65"/>
      <c r="R71" s="64">
        <v>250</v>
      </c>
      <c r="S71" s="64"/>
      <c r="T71" s="70">
        <v>15</v>
      </c>
      <c r="U71" s="7" t="s">
        <v>984</v>
      </c>
      <c r="V71" s="7">
        <v>380</v>
      </c>
      <c r="W71" s="151">
        <v>0.93</v>
      </c>
      <c r="X71" s="7">
        <v>0.9</v>
      </c>
      <c r="Y71" s="7">
        <v>80</v>
      </c>
      <c r="Z71" s="34">
        <v>450</v>
      </c>
      <c r="AA71" s="274" t="s">
        <v>1390</v>
      </c>
      <c r="AB71" s="61">
        <v>24</v>
      </c>
      <c r="AC71" s="275" t="s">
        <v>1391</v>
      </c>
      <c r="AD71" s="64" t="s">
        <v>1461</v>
      </c>
      <c r="AE71" s="64" t="s">
        <v>1461</v>
      </c>
      <c r="AF71" s="64"/>
      <c r="AG71" s="64"/>
      <c r="AH71" s="65"/>
      <c r="AI71" s="7">
        <v>17096000</v>
      </c>
      <c r="AJ71" s="7"/>
      <c r="AK71" s="18" t="s">
        <v>1462</v>
      </c>
      <c r="AL71" s="1" t="b">
        <v>1</v>
      </c>
    </row>
    <row r="72" spans="1:38">
      <c r="A72" t="s">
        <v>1546</v>
      </c>
      <c r="B72" s="1" t="str">
        <f t="shared" si="2"/>
        <v>M_PMP0303_VM_DH_ENG_250DHS-22_7CV</v>
      </c>
      <c r="C72" s="7" t="s">
        <v>1536</v>
      </c>
      <c r="D72" s="7" t="str" cm="1">
        <f t="array" ref="D72">INDEX(기계코드!$D$4:$D$1022,MATCH(1,(C72=기계코드!$F$4:$F$1022)*1,0))</f>
        <v>M_PMP0303</v>
      </c>
      <c r="E72" s="7" t="s">
        <v>1459</v>
      </c>
      <c r="F72" s="7" t="str" cm="1">
        <f t="array" ref="F72">INDEX(공급업체코드!$B$3:$B$1000,MATCH(1,(E72=공급업체코드!$D$3:$D$1000)*1,0))</f>
        <v>VM_DH_ENG</v>
      </c>
      <c r="G72" s="43" t="s">
        <v>1494</v>
      </c>
      <c r="H72" s="63"/>
      <c r="I72" s="132">
        <v>7</v>
      </c>
      <c r="J72" s="64"/>
      <c r="K72" s="64"/>
      <c r="L72" s="64"/>
      <c r="M72" s="65"/>
      <c r="N72" s="64"/>
      <c r="O72" s="65">
        <v>11.5</v>
      </c>
      <c r="P72" s="64"/>
      <c r="Q72" s="65"/>
      <c r="R72" s="64">
        <v>250</v>
      </c>
      <c r="S72" s="64"/>
      <c r="T72" s="70">
        <v>22</v>
      </c>
      <c r="U72" s="7" t="s">
        <v>984</v>
      </c>
      <c r="V72" s="7">
        <v>380</v>
      </c>
      <c r="W72" s="151">
        <v>0.93599999999999994</v>
      </c>
      <c r="X72" s="7">
        <v>0.9</v>
      </c>
      <c r="Y72" s="7">
        <v>80</v>
      </c>
      <c r="Z72" s="34">
        <v>650</v>
      </c>
      <c r="AA72" s="274" t="s">
        <v>1390</v>
      </c>
      <c r="AB72" s="61">
        <v>25</v>
      </c>
      <c r="AC72" s="275" t="s">
        <v>1391</v>
      </c>
      <c r="AD72" s="64" t="s">
        <v>1461</v>
      </c>
      <c r="AE72" s="64" t="s">
        <v>1461</v>
      </c>
      <c r="AF72" s="64"/>
      <c r="AG72" s="64"/>
      <c r="AH72" s="65"/>
      <c r="AI72" s="7">
        <v>17947000</v>
      </c>
      <c r="AJ72" s="7"/>
      <c r="AK72" s="18" t="s">
        <v>1462</v>
      </c>
      <c r="AL72" s="1" t="b">
        <v>1</v>
      </c>
    </row>
    <row r="73" spans="1:38">
      <c r="A73" t="s">
        <v>1546</v>
      </c>
      <c r="B73" s="1" t="str">
        <f t="shared" si="2"/>
        <v>M_PMP0303_VM_DH_ENG_250DHS-30_6.5CV</v>
      </c>
      <c r="C73" s="7" t="s">
        <v>1536</v>
      </c>
      <c r="D73" s="7" t="str" cm="1">
        <f t="array" ref="D73">INDEX(기계코드!$D$4:$D$1022,MATCH(1,(C73=기계코드!$F$4:$F$1022)*1,0))</f>
        <v>M_PMP0303</v>
      </c>
      <c r="E73" s="7" t="s">
        <v>1459</v>
      </c>
      <c r="F73" s="7" t="str" cm="1">
        <f t="array" ref="F73">INDEX(공급업체코드!$B$3:$B$1000,MATCH(1,(E73=공급업체코드!$D$3:$D$1000)*1,0))</f>
        <v>VM_DH_ENG</v>
      </c>
      <c r="G73" s="43" t="s">
        <v>1495</v>
      </c>
      <c r="H73" s="63"/>
      <c r="I73" s="132">
        <v>6.5</v>
      </c>
      <c r="J73" s="64"/>
      <c r="K73" s="64"/>
      <c r="L73" s="64"/>
      <c r="M73" s="65"/>
      <c r="N73" s="64"/>
      <c r="O73" s="65">
        <v>15</v>
      </c>
      <c r="P73" s="64"/>
      <c r="Q73" s="65"/>
      <c r="R73" s="64">
        <v>250</v>
      </c>
      <c r="S73" s="64"/>
      <c r="T73" s="70">
        <v>30</v>
      </c>
      <c r="U73" s="7" t="s">
        <v>984</v>
      </c>
      <c r="V73" s="7">
        <v>380</v>
      </c>
      <c r="W73" s="151">
        <v>0.94099999999999995</v>
      </c>
      <c r="X73" s="7">
        <v>0.9</v>
      </c>
      <c r="Y73" s="7">
        <v>80</v>
      </c>
      <c r="Z73" s="34">
        <v>675</v>
      </c>
      <c r="AA73" s="274" t="s">
        <v>1390</v>
      </c>
      <c r="AB73" s="61">
        <v>25</v>
      </c>
      <c r="AC73" s="275" t="s">
        <v>1391</v>
      </c>
      <c r="AD73" s="64" t="s">
        <v>1461</v>
      </c>
      <c r="AE73" s="64" t="s">
        <v>1461</v>
      </c>
      <c r="AF73" s="64"/>
      <c r="AG73" s="64"/>
      <c r="AH73" s="65"/>
      <c r="AI73" s="7">
        <v>18550000</v>
      </c>
      <c r="AJ73" s="7"/>
      <c r="AK73" s="18" t="s">
        <v>1462</v>
      </c>
      <c r="AL73" s="1" t="b">
        <v>1</v>
      </c>
    </row>
    <row r="74" spans="1:38">
      <c r="A74" t="s">
        <v>1547</v>
      </c>
      <c r="B74" s="1" t="str">
        <f t="shared" si="2"/>
        <v>M_PMP0303_VM_DH_ENG_250DHS-37_7CV</v>
      </c>
      <c r="C74" s="7" t="s">
        <v>1536</v>
      </c>
      <c r="D74" s="7" t="str" cm="1">
        <f t="array" ref="D74">INDEX(기계코드!$D$4:$D$1022,MATCH(1,(C74=기계코드!$F$4:$F$1022)*1,0))</f>
        <v>M_PMP0303</v>
      </c>
      <c r="E74" s="7" t="s">
        <v>1459</v>
      </c>
      <c r="F74" s="7" t="str" cm="1">
        <f t="array" ref="F74">INDEX(공급업체코드!$B$3:$B$1000,MATCH(1,(E74=공급업체코드!$D$3:$D$1000)*1,0))</f>
        <v>VM_DH_ENG</v>
      </c>
      <c r="G74" s="43" t="s">
        <v>1497</v>
      </c>
      <c r="H74" s="63"/>
      <c r="I74" s="132">
        <v>7</v>
      </c>
      <c r="J74" s="64"/>
      <c r="K74" s="64"/>
      <c r="L74" s="64"/>
      <c r="M74" s="65"/>
      <c r="N74" s="64"/>
      <c r="O74" s="65">
        <v>19</v>
      </c>
      <c r="P74" s="64"/>
      <c r="Q74" s="65"/>
      <c r="R74" s="64">
        <v>250</v>
      </c>
      <c r="S74" s="64"/>
      <c r="T74" s="70">
        <v>37</v>
      </c>
      <c r="U74" s="7" t="s">
        <v>984</v>
      </c>
      <c r="V74" s="7">
        <v>380</v>
      </c>
      <c r="W74" s="151">
        <v>0.94499999999999995</v>
      </c>
      <c r="X74" s="7">
        <v>0.9</v>
      </c>
      <c r="Y74" s="7">
        <v>80</v>
      </c>
      <c r="Z74" s="34">
        <v>710</v>
      </c>
      <c r="AA74" s="274" t="s">
        <v>1390</v>
      </c>
      <c r="AB74" s="61"/>
      <c r="AC74" s="275" t="s">
        <v>1391</v>
      </c>
      <c r="AD74" s="64" t="s">
        <v>1461</v>
      </c>
      <c r="AE74" s="64" t="s">
        <v>1461</v>
      </c>
      <c r="AF74" s="64"/>
      <c r="AG74" s="64"/>
      <c r="AH74" s="65"/>
      <c r="AI74" s="7">
        <v>21250000</v>
      </c>
      <c r="AJ74" s="7"/>
      <c r="AK74" s="18" t="s">
        <v>1462</v>
      </c>
      <c r="AL74" s="1" t="b">
        <v>1</v>
      </c>
    </row>
    <row r="75" spans="1:38">
      <c r="A75" t="s">
        <v>1548</v>
      </c>
      <c r="B75" s="1" t="str">
        <f t="shared" si="2"/>
        <v>M_PMP0303_VM_DH_ENG_250DHS-45_6CV</v>
      </c>
      <c r="C75" s="7" t="s">
        <v>1536</v>
      </c>
      <c r="D75" s="7" t="str" cm="1">
        <f t="array" ref="D75">INDEX(기계코드!$D$4:$D$1022,MATCH(1,(C75=기계코드!$F$4:$F$1022)*1,0))</f>
        <v>M_PMP0303</v>
      </c>
      <c r="E75" s="7" t="s">
        <v>1459</v>
      </c>
      <c r="F75" s="7" t="str" cm="1">
        <f t="array" ref="F75">INDEX(공급업체코드!$B$3:$B$1000,MATCH(1,(E75=공급업체코드!$D$3:$D$1000)*1,0))</f>
        <v>VM_DH_ENG</v>
      </c>
      <c r="G75" s="43" t="s">
        <v>1499</v>
      </c>
      <c r="H75" s="63"/>
      <c r="I75" s="132">
        <v>6</v>
      </c>
      <c r="J75" s="64"/>
      <c r="K75" s="64"/>
      <c r="L75" s="64"/>
      <c r="M75" s="65"/>
      <c r="N75" s="64"/>
      <c r="O75" s="65">
        <v>26</v>
      </c>
      <c r="P75" s="64"/>
      <c r="Q75" s="65"/>
      <c r="R75" s="64">
        <v>250</v>
      </c>
      <c r="S75" s="64"/>
      <c r="T75" s="70">
        <v>45</v>
      </c>
      <c r="U75" s="7" t="s">
        <v>984</v>
      </c>
      <c r="V75" s="7">
        <v>380</v>
      </c>
      <c r="W75" s="151">
        <v>0.95</v>
      </c>
      <c r="X75" s="7">
        <v>0.9</v>
      </c>
      <c r="Y75" s="7">
        <v>80</v>
      </c>
      <c r="Z75" s="34">
        <v>800</v>
      </c>
      <c r="AA75" s="274" t="s">
        <v>1390</v>
      </c>
      <c r="AB75" s="61"/>
      <c r="AC75" s="275" t="s">
        <v>1391</v>
      </c>
      <c r="AD75" s="64" t="s">
        <v>1461</v>
      </c>
      <c r="AE75" s="64" t="s">
        <v>1461</v>
      </c>
      <c r="AF75" s="64"/>
      <c r="AG75" s="64"/>
      <c r="AH75" s="65"/>
      <c r="AI75" s="7">
        <v>25751000</v>
      </c>
      <c r="AJ75" s="7"/>
      <c r="AK75" s="18" t="s">
        <v>1462</v>
      </c>
      <c r="AL75" s="1" t="b">
        <v>1</v>
      </c>
    </row>
    <row r="76" spans="1:38">
      <c r="A76" t="s">
        <v>1549</v>
      </c>
      <c r="B76" s="1" t="str">
        <f t="shared" si="2"/>
        <v>M_PMP0303_VM_DH_ENG_250DHS-55_7CV</v>
      </c>
      <c r="C76" s="7" t="s">
        <v>1536</v>
      </c>
      <c r="D76" s="7" t="str" cm="1">
        <f t="array" ref="D76">INDEX(기계코드!$D$4:$D$1022,MATCH(1,(C76=기계코드!$F$4:$F$1022)*1,0))</f>
        <v>M_PMP0303</v>
      </c>
      <c r="E76" s="7" t="s">
        <v>1459</v>
      </c>
      <c r="F76" s="7" t="str" cm="1">
        <f t="array" ref="F76">INDEX(공급업체코드!$B$3:$B$1000,MATCH(1,(E76=공급업체코드!$D$3:$D$1000)*1,0))</f>
        <v>VM_DH_ENG</v>
      </c>
      <c r="G76" s="43" t="s">
        <v>1501</v>
      </c>
      <c r="H76" s="63"/>
      <c r="I76" s="132">
        <v>7</v>
      </c>
      <c r="J76" s="64"/>
      <c r="K76" s="64"/>
      <c r="L76" s="64"/>
      <c r="M76" s="65"/>
      <c r="N76" s="64"/>
      <c r="O76" s="65">
        <v>30</v>
      </c>
      <c r="P76" s="64"/>
      <c r="Q76" s="65"/>
      <c r="R76" s="64">
        <v>250</v>
      </c>
      <c r="S76" s="64"/>
      <c r="T76" s="70">
        <v>55</v>
      </c>
      <c r="U76" s="7" t="s">
        <v>984</v>
      </c>
      <c r="V76" s="7">
        <v>380</v>
      </c>
      <c r="W76" s="151">
        <v>0.95400000000000007</v>
      </c>
      <c r="X76" s="7">
        <v>0.9</v>
      </c>
      <c r="Y76" s="7">
        <v>80</v>
      </c>
      <c r="Z76" s="34">
        <v>950</v>
      </c>
      <c r="AA76" s="274" t="s">
        <v>1390</v>
      </c>
      <c r="AB76" s="61"/>
      <c r="AC76" s="275" t="s">
        <v>1391</v>
      </c>
      <c r="AD76" s="64" t="s">
        <v>1461</v>
      </c>
      <c r="AE76" s="64" t="s">
        <v>1461</v>
      </c>
      <c r="AF76" s="64"/>
      <c r="AG76" s="64"/>
      <c r="AH76" s="65"/>
      <c r="AI76" s="7">
        <v>34817000</v>
      </c>
      <c r="AJ76" s="7"/>
      <c r="AK76" s="18" t="s">
        <v>1462</v>
      </c>
      <c r="AL76" s="1" t="b">
        <v>1</v>
      </c>
    </row>
    <row r="77" spans="1:38">
      <c r="A77" t="s">
        <v>1550</v>
      </c>
      <c r="B77" s="1" t="str">
        <f t="shared" si="2"/>
        <v>M_PMP0303_VM_DH_ENG_250DHS-75_7CV</v>
      </c>
      <c r="C77" s="7" t="s">
        <v>1536</v>
      </c>
      <c r="D77" s="7" t="str" cm="1">
        <f t="array" ref="D77">INDEX(기계코드!$D$4:$D$1022,MATCH(1,(C77=기계코드!$F$4:$F$1022)*1,0))</f>
        <v>M_PMP0303</v>
      </c>
      <c r="E77" s="7" t="s">
        <v>1459</v>
      </c>
      <c r="F77" s="7" t="str" cm="1">
        <f t="array" ref="F77">INDEX(공급업체코드!$B$3:$B$1000,MATCH(1,(E77=공급업체코드!$D$3:$D$1000)*1,0))</f>
        <v>VM_DH_ENG</v>
      </c>
      <c r="G77" s="43" t="s">
        <v>1503</v>
      </c>
      <c r="H77" s="63"/>
      <c r="I77" s="132">
        <v>7</v>
      </c>
      <c r="J77" s="64"/>
      <c r="K77" s="64"/>
      <c r="L77" s="64"/>
      <c r="M77" s="65"/>
      <c r="N77" s="64"/>
      <c r="O77" s="65">
        <v>40</v>
      </c>
      <c r="P77" s="64"/>
      <c r="Q77" s="65"/>
      <c r="R77" s="64">
        <v>250</v>
      </c>
      <c r="S77" s="64"/>
      <c r="T77" s="70">
        <v>75</v>
      </c>
      <c r="U77" s="7" t="s">
        <v>984</v>
      </c>
      <c r="V77" s="7">
        <v>380</v>
      </c>
      <c r="W77" s="151">
        <v>0.95400000000000007</v>
      </c>
      <c r="X77" s="7">
        <v>0.9</v>
      </c>
      <c r="Y77" s="7">
        <v>80</v>
      </c>
      <c r="Z77" s="34">
        <v>1100</v>
      </c>
      <c r="AA77" s="274" t="s">
        <v>1390</v>
      </c>
      <c r="AB77" s="61"/>
      <c r="AC77" s="275" t="s">
        <v>1391</v>
      </c>
      <c r="AD77" s="64" t="s">
        <v>1461</v>
      </c>
      <c r="AE77" s="64" t="s">
        <v>1461</v>
      </c>
      <c r="AF77" s="64"/>
      <c r="AG77" s="64"/>
      <c r="AH77" s="65"/>
      <c r="AI77" s="7">
        <v>36443000</v>
      </c>
      <c r="AJ77" s="7"/>
      <c r="AK77" s="18" t="s">
        <v>1462</v>
      </c>
      <c r="AL77" s="1" t="b">
        <v>1</v>
      </c>
    </row>
    <row r="78" spans="1:38">
      <c r="A78" t="s">
        <v>1551</v>
      </c>
      <c r="B78" s="1" t="str">
        <f t="shared" si="2"/>
        <v>M_PMP0303_VM_DH_ENG_300DHS-15_9CV</v>
      </c>
      <c r="C78" s="7" t="s">
        <v>1536</v>
      </c>
      <c r="D78" s="7" t="str" cm="1">
        <f t="array" ref="D78">INDEX(기계코드!$D$4:$D$1022,MATCH(1,(C78=기계코드!$F$4:$F$1022)*1,0))</f>
        <v>M_PMP0303</v>
      </c>
      <c r="E78" s="7" t="s">
        <v>1459</v>
      </c>
      <c r="F78" s="7" t="str" cm="1">
        <f t="array" ref="F78">INDEX(공급업체코드!$B$3:$B$1000,MATCH(1,(E78=공급업체코드!$D$3:$D$1000)*1,0))</f>
        <v>VM_DH_ENG</v>
      </c>
      <c r="G78" s="43" t="s">
        <v>1505</v>
      </c>
      <c r="H78" s="63"/>
      <c r="I78" s="132">
        <v>9</v>
      </c>
      <c r="J78" s="64"/>
      <c r="K78" s="64"/>
      <c r="L78" s="64"/>
      <c r="M78" s="65"/>
      <c r="N78" s="64"/>
      <c r="O78" s="65">
        <v>6.5</v>
      </c>
      <c r="P78" s="64"/>
      <c r="Q78" s="65"/>
      <c r="R78" s="64">
        <v>300</v>
      </c>
      <c r="S78" s="64"/>
      <c r="T78" s="70">
        <v>15</v>
      </c>
      <c r="U78" s="7" t="s">
        <v>984</v>
      </c>
      <c r="V78" s="7">
        <v>380</v>
      </c>
      <c r="W78" s="151">
        <v>0.93</v>
      </c>
      <c r="X78" s="7">
        <v>0.9</v>
      </c>
      <c r="Y78" s="7">
        <v>80</v>
      </c>
      <c r="Z78" s="34">
        <v>580</v>
      </c>
      <c r="AA78" s="274" t="s">
        <v>1390</v>
      </c>
      <c r="AB78" s="61">
        <v>24</v>
      </c>
      <c r="AC78" s="275" t="s">
        <v>1391</v>
      </c>
      <c r="AD78" s="64" t="s">
        <v>1461</v>
      </c>
      <c r="AE78" s="64" t="s">
        <v>1461</v>
      </c>
      <c r="AF78" s="64"/>
      <c r="AG78" s="64"/>
      <c r="AH78" s="65"/>
      <c r="AI78" s="7">
        <v>18926000</v>
      </c>
      <c r="AJ78" s="7"/>
      <c r="AK78" s="18" t="s">
        <v>1462</v>
      </c>
      <c r="AL78" s="1" t="b">
        <v>1</v>
      </c>
    </row>
    <row r="79" spans="1:38">
      <c r="A79" t="s">
        <v>1552</v>
      </c>
      <c r="B79" s="1" t="str">
        <f t="shared" si="2"/>
        <v>M_PMP0303_VM_DH_ENG_300DHS-22_10CV</v>
      </c>
      <c r="C79" s="7" t="s">
        <v>1536</v>
      </c>
      <c r="D79" s="7" t="str" cm="1">
        <f t="array" ref="D79">INDEX(기계코드!$D$4:$D$1022,MATCH(1,(C79=기계코드!$F$4:$F$1022)*1,0))</f>
        <v>M_PMP0303</v>
      </c>
      <c r="E79" s="7" t="s">
        <v>1459</v>
      </c>
      <c r="F79" s="7" t="str" cm="1">
        <f t="array" ref="F79">INDEX(공급업체코드!$B$3:$B$1000,MATCH(1,(E79=공급업체코드!$D$3:$D$1000)*1,0))</f>
        <v>VM_DH_ENG</v>
      </c>
      <c r="G79" s="43" t="s">
        <v>1507</v>
      </c>
      <c r="H79" s="63"/>
      <c r="I79" s="132">
        <v>10</v>
      </c>
      <c r="J79" s="64"/>
      <c r="K79" s="64"/>
      <c r="L79" s="64"/>
      <c r="M79" s="65"/>
      <c r="N79" s="64"/>
      <c r="O79" s="65">
        <v>9</v>
      </c>
      <c r="P79" s="64"/>
      <c r="Q79" s="65"/>
      <c r="R79" s="64">
        <v>300</v>
      </c>
      <c r="S79" s="64"/>
      <c r="T79" s="70">
        <v>22</v>
      </c>
      <c r="U79" s="7" t="s">
        <v>984</v>
      </c>
      <c r="V79" s="7">
        <v>380</v>
      </c>
      <c r="W79" s="151">
        <v>0.93599999999999994</v>
      </c>
      <c r="X79" s="7">
        <v>0.9</v>
      </c>
      <c r="Y79" s="7">
        <v>80</v>
      </c>
      <c r="Z79" s="34">
        <v>780</v>
      </c>
      <c r="AA79" s="274" t="s">
        <v>1390</v>
      </c>
      <c r="AB79" s="61">
        <v>25</v>
      </c>
      <c r="AC79" s="275" t="s">
        <v>1391</v>
      </c>
      <c r="AD79" s="64" t="s">
        <v>1461</v>
      </c>
      <c r="AE79" s="64" t="s">
        <v>1461</v>
      </c>
      <c r="AF79" s="64"/>
      <c r="AG79" s="64"/>
      <c r="AH79" s="65"/>
      <c r="AI79" s="7">
        <v>19777000</v>
      </c>
      <c r="AJ79" s="7"/>
      <c r="AK79" s="18" t="s">
        <v>1462</v>
      </c>
      <c r="AL79" s="1" t="b">
        <v>1</v>
      </c>
    </row>
    <row r="80" spans="1:38">
      <c r="A80" t="s">
        <v>1552</v>
      </c>
      <c r="B80" s="1" t="str">
        <f t="shared" si="2"/>
        <v>M_PMP0303_VM_DH_ENG_300DHS-30_10CV</v>
      </c>
      <c r="C80" s="7" t="s">
        <v>1536</v>
      </c>
      <c r="D80" s="7" t="str" cm="1">
        <f t="array" ref="D80">INDEX(기계코드!$D$4:$D$1022,MATCH(1,(C80=기계코드!$F$4:$F$1022)*1,0))</f>
        <v>M_PMP0303</v>
      </c>
      <c r="E80" s="7" t="s">
        <v>1459</v>
      </c>
      <c r="F80" s="7" t="str" cm="1">
        <f t="array" ref="F80">INDEX(공급업체코드!$B$3:$B$1000,MATCH(1,(E80=공급업체코드!$D$3:$D$1000)*1,0))</f>
        <v>VM_DH_ENG</v>
      </c>
      <c r="G80" s="43" t="s">
        <v>1508</v>
      </c>
      <c r="H80" s="63"/>
      <c r="I80" s="132">
        <v>10</v>
      </c>
      <c r="J80" s="64"/>
      <c r="K80" s="64"/>
      <c r="L80" s="64"/>
      <c r="M80" s="65"/>
      <c r="N80" s="64"/>
      <c r="O80" s="65">
        <v>11.5</v>
      </c>
      <c r="P80" s="64"/>
      <c r="Q80" s="65"/>
      <c r="R80" s="64">
        <v>300</v>
      </c>
      <c r="S80" s="64"/>
      <c r="T80" s="70">
        <v>30</v>
      </c>
      <c r="U80" s="7" t="s">
        <v>984</v>
      </c>
      <c r="V80" s="7">
        <v>380</v>
      </c>
      <c r="W80" s="151">
        <v>0.94099999999999995</v>
      </c>
      <c r="X80" s="7">
        <v>0.9</v>
      </c>
      <c r="Y80" s="7">
        <v>80</v>
      </c>
      <c r="Z80" s="34">
        <v>820</v>
      </c>
      <c r="AA80" s="274" t="s">
        <v>1390</v>
      </c>
      <c r="AB80" s="61">
        <v>25</v>
      </c>
      <c r="AC80" s="275" t="s">
        <v>1391</v>
      </c>
      <c r="AD80" s="64" t="s">
        <v>1461</v>
      </c>
      <c r="AE80" s="64" t="s">
        <v>1461</v>
      </c>
      <c r="AF80" s="64"/>
      <c r="AG80" s="64"/>
      <c r="AH80" s="65"/>
      <c r="AI80" s="7">
        <v>25380000</v>
      </c>
      <c r="AJ80" s="7"/>
      <c r="AK80" s="18" t="s">
        <v>1462</v>
      </c>
      <c r="AL80" s="1" t="b">
        <v>1</v>
      </c>
    </row>
    <row r="81" spans="1:38">
      <c r="A81" t="s">
        <v>1552</v>
      </c>
      <c r="B81" s="1" t="str">
        <f t="shared" si="2"/>
        <v>M_PMP0303_VM_DH_ENG_300DHS-37_10CV</v>
      </c>
      <c r="C81" s="7" t="s">
        <v>1536</v>
      </c>
      <c r="D81" s="7" t="str" cm="1">
        <f t="array" ref="D81">INDEX(기계코드!$D$4:$D$1022,MATCH(1,(C81=기계코드!$F$4:$F$1022)*1,0))</f>
        <v>M_PMP0303</v>
      </c>
      <c r="E81" s="7" t="s">
        <v>1459</v>
      </c>
      <c r="F81" s="7" t="str" cm="1">
        <f t="array" ref="F81">INDEX(공급업체코드!$B$3:$B$1000,MATCH(1,(E81=공급업체코드!$D$3:$D$1000)*1,0))</f>
        <v>VM_DH_ENG</v>
      </c>
      <c r="G81" s="43" t="s">
        <v>1510</v>
      </c>
      <c r="H81" s="63"/>
      <c r="I81" s="132">
        <v>10</v>
      </c>
      <c r="J81" s="64"/>
      <c r="K81" s="64"/>
      <c r="L81" s="64"/>
      <c r="M81" s="65"/>
      <c r="N81" s="64"/>
      <c r="O81" s="65">
        <v>15</v>
      </c>
      <c r="P81" s="64"/>
      <c r="Q81" s="65"/>
      <c r="R81" s="64">
        <v>300</v>
      </c>
      <c r="S81" s="64"/>
      <c r="T81" s="70">
        <v>37</v>
      </c>
      <c r="U81" s="7" t="s">
        <v>984</v>
      </c>
      <c r="V81" s="7">
        <v>380</v>
      </c>
      <c r="W81" s="151">
        <v>0.94499999999999995</v>
      </c>
      <c r="X81" s="7">
        <v>0.9</v>
      </c>
      <c r="Y81" s="7">
        <v>80</v>
      </c>
      <c r="Z81" s="34">
        <v>920</v>
      </c>
      <c r="AA81" s="274" t="s">
        <v>1390</v>
      </c>
      <c r="AB81" s="61"/>
      <c r="AC81" s="275" t="s">
        <v>1391</v>
      </c>
      <c r="AD81" s="64" t="s">
        <v>1461</v>
      </c>
      <c r="AE81" s="64" t="s">
        <v>1461</v>
      </c>
      <c r="AF81" s="64"/>
      <c r="AG81" s="64"/>
      <c r="AH81" s="65"/>
      <c r="AI81" s="7">
        <v>26467000</v>
      </c>
      <c r="AJ81" s="7"/>
      <c r="AK81" s="18" t="s">
        <v>1462</v>
      </c>
      <c r="AL81" s="1" t="b">
        <v>1</v>
      </c>
    </row>
    <row r="82" spans="1:38">
      <c r="A82" t="s">
        <v>1553</v>
      </c>
      <c r="B82" s="1" t="str">
        <f t="shared" si="2"/>
        <v>M_PMP0303_VM_DH_ENG_300DHS-45_10CV</v>
      </c>
      <c r="C82" s="7" t="s">
        <v>1536</v>
      </c>
      <c r="D82" s="7" t="str" cm="1">
        <f t="array" ref="D82">INDEX(기계코드!$D$4:$D$1022,MATCH(1,(C82=기계코드!$F$4:$F$1022)*1,0))</f>
        <v>M_PMP0303</v>
      </c>
      <c r="E82" s="7" t="s">
        <v>1459</v>
      </c>
      <c r="F82" s="7" t="str" cm="1">
        <f t="array" ref="F82">INDEX(공급업체코드!$B$3:$B$1000,MATCH(1,(E82=공급업체코드!$D$3:$D$1000)*1,0))</f>
        <v>VM_DH_ENG</v>
      </c>
      <c r="G82" s="43" t="s">
        <v>1511</v>
      </c>
      <c r="H82" s="63"/>
      <c r="I82" s="132">
        <v>10</v>
      </c>
      <c r="J82" s="64"/>
      <c r="K82" s="64"/>
      <c r="L82" s="64"/>
      <c r="M82" s="65"/>
      <c r="N82" s="64"/>
      <c r="O82" s="65">
        <v>18</v>
      </c>
      <c r="P82" s="64"/>
      <c r="Q82" s="65"/>
      <c r="R82" s="64">
        <v>300</v>
      </c>
      <c r="S82" s="64"/>
      <c r="T82" s="70">
        <v>45</v>
      </c>
      <c r="U82" s="7" t="s">
        <v>984</v>
      </c>
      <c r="V82" s="7">
        <v>380</v>
      </c>
      <c r="W82" s="151">
        <v>0.95</v>
      </c>
      <c r="X82" s="7">
        <v>0.9</v>
      </c>
      <c r="Y82" s="7">
        <v>80</v>
      </c>
      <c r="Z82" s="34">
        <v>960</v>
      </c>
      <c r="AA82" s="274" t="s">
        <v>1390</v>
      </c>
      <c r="AB82" s="61"/>
      <c r="AC82" s="275" t="s">
        <v>1391</v>
      </c>
      <c r="AD82" s="64" t="s">
        <v>1461</v>
      </c>
      <c r="AE82" s="64" t="s">
        <v>1461</v>
      </c>
      <c r="AF82" s="64"/>
      <c r="AG82" s="64"/>
      <c r="AH82" s="65"/>
      <c r="AI82" s="7">
        <v>32081000</v>
      </c>
      <c r="AJ82" s="7"/>
      <c r="AK82" s="18" t="s">
        <v>1462</v>
      </c>
      <c r="AL82" s="1" t="b">
        <v>1</v>
      </c>
    </row>
    <row r="83" spans="1:38">
      <c r="A83" t="s">
        <v>1554</v>
      </c>
      <c r="B83" s="1" t="str">
        <f t="shared" si="2"/>
        <v>M_PMP0303_VM_DH_ENG_300DHS-55_10CV</v>
      </c>
      <c r="C83" s="7" t="s">
        <v>1536</v>
      </c>
      <c r="D83" s="7" t="str" cm="1">
        <f t="array" ref="D83">INDEX(기계코드!$D$4:$D$1022,MATCH(1,(C83=기계코드!$F$4:$F$1022)*1,0))</f>
        <v>M_PMP0303</v>
      </c>
      <c r="E83" s="7" t="s">
        <v>1459</v>
      </c>
      <c r="F83" s="7" t="str" cm="1">
        <f t="array" ref="F83">INDEX(공급업체코드!$B$3:$B$1000,MATCH(1,(E83=공급업체코드!$D$3:$D$1000)*1,0))</f>
        <v>VM_DH_ENG</v>
      </c>
      <c r="G83" s="43" t="s">
        <v>1513</v>
      </c>
      <c r="H83" s="63"/>
      <c r="I83" s="132">
        <v>10</v>
      </c>
      <c r="J83" s="64"/>
      <c r="K83" s="64"/>
      <c r="L83" s="64"/>
      <c r="M83" s="65"/>
      <c r="N83" s="64"/>
      <c r="O83" s="65">
        <v>21</v>
      </c>
      <c r="P83" s="64"/>
      <c r="Q83" s="65"/>
      <c r="R83" s="64">
        <v>300</v>
      </c>
      <c r="S83" s="64"/>
      <c r="T83" s="70">
        <v>55</v>
      </c>
      <c r="U83" s="7" t="s">
        <v>984</v>
      </c>
      <c r="V83" s="7">
        <v>380</v>
      </c>
      <c r="W83" s="151">
        <v>0.95400000000000007</v>
      </c>
      <c r="X83" s="7">
        <v>0.9</v>
      </c>
      <c r="Y83" s="7">
        <v>80</v>
      </c>
      <c r="Z83" s="34">
        <v>980</v>
      </c>
      <c r="AA83" s="274" t="s">
        <v>1390</v>
      </c>
      <c r="AB83" s="61"/>
      <c r="AC83" s="275" t="s">
        <v>1391</v>
      </c>
      <c r="AD83" s="64" t="s">
        <v>1461</v>
      </c>
      <c r="AE83" s="64" t="s">
        <v>1461</v>
      </c>
      <c r="AF83" s="64"/>
      <c r="AG83" s="64"/>
      <c r="AH83" s="65"/>
      <c r="AI83" s="7">
        <v>34447000</v>
      </c>
      <c r="AJ83" s="7"/>
      <c r="AK83" s="18" t="s">
        <v>1462</v>
      </c>
      <c r="AL83" s="1" t="b">
        <v>1</v>
      </c>
    </row>
    <row r="84" spans="1:38">
      <c r="A84" t="s">
        <v>1555</v>
      </c>
      <c r="B84" s="1" t="str">
        <f t="shared" si="2"/>
        <v>M_PMP0303_VM_DH_ENG_300DHS-75_10CV</v>
      </c>
      <c r="C84" s="7" t="s">
        <v>1536</v>
      </c>
      <c r="D84" s="7" t="str" cm="1">
        <f t="array" ref="D84">INDEX(기계코드!$D$4:$D$1022,MATCH(1,(C84=기계코드!$F$4:$F$1022)*1,0))</f>
        <v>M_PMP0303</v>
      </c>
      <c r="E84" s="7" t="s">
        <v>1459</v>
      </c>
      <c r="F84" s="7" t="str" cm="1">
        <f t="array" ref="F84">INDEX(공급업체코드!$B$3:$B$1000,MATCH(1,(E84=공급업체코드!$D$3:$D$1000)*1,0))</f>
        <v>VM_DH_ENG</v>
      </c>
      <c r="G84" s="43" t="s">
        <v>1515</v>
      </c>
      <c r="H84" s="63"/>
      <c r="I84" s="132">
        <v>10</v>
      </c>
      <c r="J84" s="64"/>
      <c r="K84" s="64"/>
      <c r="L84" s="64"/>
      <c r="M84" s="65"/>
      <c r="N84" s="64"/>
      <c r="O84" s="65">
        <v>30</v>
      </c>
      <c r="P84" s="64"/>
      <c r="Q84" s="65"/>
      <c r="R84" s="64">
        <v>300</v>
      </c>
      <c r="S84" s="64"/>
      <c r="T84" s="70">
        <v>75</v>
      </c>
      <c r="U84" s="7" t="s">
        <v>984</v>
      </c>
      <c r="V84" s="7">
        <v>380</v>
      </c>
      <c r="W84" s="151">
        <v>0.95400000000000007</v>
      </c>
      <c r="X84" s="7">
        <v>0.9</v>
      </c>
      <c r="Y84" s="7">
        <v>80</v>
      </c>
      <c r="Z84" s="34">
        <v>1110</v>
      </c>
      <c r="AA84" s="274" t="s">
        <v>1390</v>
      </c>
      <c r="AB84" s="61"/>
      <c r="AC84" s="275" t="s">
        <v>1391</v>
      </c>
      <c r="AD84" s="64" t="s">
        <v>1461</v>
      </c>
      <c r="AE84" s="64" t="s">
        <v>1461</v>
      </c>
      <c r="AF84" s="64"/>
      <c r="AG84" s="64"/>
      <c r="AH84" s="65"/>
      <c r="AI84" s="7">
        <v>41073000</v>
      </c>
      <c r="AJ84" s="7"/>
      <c r="AK84" s="18" t="s">
        <v>1462</v>
      </c>
      <c r="AL84" s="1" t="b">
        <v>1</v>
      </c>
    </row>
    <row r="85" spans="1:38">
      <c r="A85" t="s">
        <v>1556</v>
      </c>
      <c r="B85" s="1" t="str">
        <f t="shared" si="2"/>
        <v>M_PMP0303_VM_DH_ENG_400DHS-22_20CV</v>
      </c>
      <c r="C85" s="7" t="s">
        <v>1536</v>
      </c>
      <c r="D85" s="7" t="str" cm="1">
        <f t="array" ref="D85">INDEX(기계코드!$D$4:$D$1022,MATCH(1,(C85=기계코드!$F$4:$F$1022)*1,0))</f>
        <v>M_PMP0303</v>
      </c>
      <c r="E85" s="7" t="s">
        <v>1459</v>
      </c>
      <c r="F85" s="7" t="str" cm="1">
        <f t="array" ref="F85">INDEX(공급업체코드!$B$3:$B$1000,MATCH(1,(E85=공급업체코드!$D$3:$D$1000)*1,0))</f>
        <v>VM_DH_ENG</v>
      </c>
      <c r="G85" s="43" t="s">
        <v>1517</v>
      </c>
      <c r="H85" s="63"/>
      <c r="I85" s="132">
        <v>20</v>
      </c>
      <c r="J85" s="64"/>
      <c r="K85" s="64"/>
      <c r="L85" s="64"/>
      <c r="M85" s="65"/>
      <c r="N85" s="64"/>
      <c r="O85" s="65">
        <v>4</v>
      </c>
      <c r="P85" s="64"/>
      <c r="Q85" s="65"/>
      <c r="R85" s="64">
        <v>400</v>
      </c>
      <c r="S85" s="64"/>
      <c r="T85" s="70">
        <v>22</v>
      </c>
      <c r="U85" s="7" t="s">
        <v>984</v>
      </c>
      <c r="V85" s="7">
        <v>380</v>
      </c>
      <c r="W85" s="151">
        <v>0.93599999999999994</v>
      </c>
      <c r="X85" s="7">
        <v>0.9</v>
      </c>
      <c r="Y85" s="7">
        <v>80</v>
      </c>
      <c r="Z85" s="34">
        <v>1680</v>
      </c>
      <c r="AA85" s="274" t="s">
        <v>1390</v>
      </c>
      <c r="AB85" s="61">
        <v>25</v>
      </c>
      <c r="AC85" s="275" t="s">
        <v>1391</v>
      </c>
      <c r="AD85" s="64" t="s">
        <v>1461</v>
      </c>
      <c r="AE85" s="64" t="s">
        <v>1461</v>
      </c>
      <c r="AF85" s="64"/>
      <c r="AG85" s="64"/>
      <c r="AH85" s="65"/>
      <c r="AI85" s="7">
        <v>33347000</v>
      </c>
      <c r="AJ85" s="7"/>
      <c r="AK85" s="18" t="s">
        <v>1462</v>
      </c>
      <c r="AL85" s="1" t="b">
        <v>1</v>
      </c>
    </row>
    <row r="86" spans="1:38">
      <c r="A86" t="s">
        <v>1556</v>
      </c>
      <c r="B86" s="1" t="str">
        <f t="shared" si="2"/>
        <v>M_PMP0303_VM_DH_ENG_400DHS-37_20CV</v>
      </c>
      <c r="C86" s="7" t="s">
        <v>1536</v>
      </c>
      <c r="D86" s="7" t="str" cm="1">
        <f t="array" ref="D86">INDEX(기계코드!$D$4:$D$1022,MATCH(1,(C86=기계코드!$F$4:$F$1022)*1,0))</f>
        <v>M_PMP0303</v>
      </c>
      <c r="E86" s="7" t="s">
        <v>1459</v>
      </c>
      <c r="F86" s="7" t="str" cm="1">
        <f t="array" ref="F86">INDEX(공급업체코드!$B$3:$B$1000,MATCH(1,(E86=공급업체코드!$D$3:$D$1000)*1,0))</f>
        <v>VM_DH_ENG</v>
      </c>
      <c r="G86" s="43" t="s">
        <v>1518</v>
      </c>
      <c r="H86" s="63"/>
      <c r="I86" s="132">
        <v>20</v>
      </c>
      <c r="J86" s="64"/>
      <c r="K86" s="64"/>
      <c r="L86" s="64"/>
      <c r="M86" s="65"/>
      <c r="N86" s="64"/>
      <c r="O86" s="65">
        <v>7</v>
      </c>
      <c r="P86" s="64"/>
      <c r="Q86" s="65"/>
      <c r="R86" s="64">
        <v>400</v>
      </c>
      <c r="S86" s="64"/>
      <c r="T86" s="70">
        <v>37</v>
      </c>
      <c r="U86" s="7" t="s">
        <v>984</v>
      </c>
      <c r="V86" s="7">
        <v>380</v>
      </c>
      <c r="W86" s="151">
        <v>0.94499999999999995</v>
      </c>
      <c r="X86" s="7">
        <v>0.9</v>
      </c>
      <c r="Y86" s="7">
        <v>80</v>
      </c>
      <c r="Z86" s="34">
        <v>1720</v>
      </c>
      <c r="AA86" s="274" t="s">
        <v>1390</v>
      </c>
      <c r="AB86" s="61"/>
      <c r="AC86" s="275" t="s">
        <v>1391</v>
      </c>
      <c r="AD86" s="64" t="s">
        <v>1461</v>
      </c>
      <c r="AE86" s="64" t="s">
        <v>1461</v>
      </c>
      <c r="AF86" s="64"/>
      <c r="AG86" s="64"/>
      <c r="AH86" s="65"/>
      <c r="AI86" s="7">
        <v>35037000</v>
      </c>
      <c r="AJ86" s="7"/>
      <c r="AK86" s="18" t="s">
        <v>1462</v>
      </c>
      <c r="AL86" s="1" t="b">
        <v>1</v>
      </c>
    </row>
    <row r="87" spans="1:38">
      <c r="A87" t="s">
        <v>1557</v>
      </c>
      <c r="B87" s="1" t="str">
        <f t="shared" si="2"/>
        <v>M_PMP0303_VM_DH_ENG_400DHS-45_20CV</v>
      </c>
      <c r="C87" s="7" t="s">
        <v>1536</v>
      </c>
      <c r="D87" s="7" t="str" cm="1">
        <f t="array" ref="D87">INDEX(기계코드!$D$4:$D$1022,MATCH(1,(C87=기계코드!$F$4:$F$1022)*1,0))</f>
        <v>M_PMP0303</v>
      </c>
      <c r="E87" s="7" t="s">
        <v>1459</v>
      </c>
      <c r="F87" s="7" t="str" cm="1">
        <f t="array" ref="F87">INDEX(공급업체코드!$B$3:$B$1000,MATCH(1,(E87=공급업체코드!$D$3:$D$1000)*1,0))</f>
        <v>VM_DH_ENG</v>
      </c>
      <c r="G87" s="43" t="s">
        <v>1520</v>
      </c>
      <c r="H87" s="63"/>
      <c r="I87" s="132">
        <v>20</v>
      </c>
      <c r="J87" s="64"/>
      <c r="K87" s="64"/>
      <c r="L87" s="64"/>
      <c r="M87" s="65"/>
      <c r="N87" s="64"/>
      <c r="O87" s="65">
        <v>9</v>
      </c>
      <c r="P87" s="64"/>
      <c r="Q87" s="65"/>
      <c r="R87" s="64">
        <v>400</v>
      </c>
      <c r="S87" s="64"/>
      <c r="T87" s="70">
        <v>45</v>
      </c>
      <c r="U87" s="7" t="s">
        <v>984</v>
      </c>
      <c r="V87" s="7">
        <v>380</v>
      </c>
      <c r="W87" s="151">
        <v>0.95</v>
      </c>
      <c r="X87" s="7">
        <v>0.9</v>
      </c>
      <c r="Y87" s="7">
        <v>80</v>
      </c>
      <c r="Z87" s="34">
        <v>1760</v>
      </c>
      <c r="AA87" s="274" t="s">
        <v>1390</v>
      </c>
      <c r="AB87" s="61"/>
      <c r="AC87" s="275" t="s">
        <v>1391</v>
      </c>
      <c r="AD87" s="64" t="s">
        <v>1461</v>
      </c>
      <c r="AE87" s="64" t="s">
        <v>1461</v>
      </c>
      <c r="AF87" s="64"/>
      <c r="AG87" s="64"/>
      <c r="AH87" s="65"/>
      <c r="AI87" s="7">
        <v>39151000</v>
      </c>
      <c r="AJ87" s="7"/>
      <c r="AK87" s="18" t="s">
        <v>1462</v>
      </c>
      <c r="AL87" s="1" t="b">
        <v>1</v>
      </c>
    </row>
    <row r="88" spans="1:38">
      <c r="A88" t="s">
        <v>1558</v>
      </c>
      <c r="B88" s="1" t="str">
        <f t="shared" si="2"/>
        <v>M_PMP0303_VM_DH_ENG_400DHS-55_20CV</v>
      </c>
      <c r="C88" s="7" t="s">
        <v>1536</v>
      </c>
      <c r="D88" s="7" t="str" cm="1">
        <f t="array" ref="D88">INDEX(기계코드!$D$4:$D$1022,MATCH(1,(C88=기계코드!$F$4:$F$1022)*1,0))</f>
        <v>M_PMP0303</v>
      </c>
      <c r="E88" s="92" t="s">
        <v>1559</v>
      </c>
      <c r="F88" s="7" t="str" cm="1">
        <f t="array" ref="F88">INDEX(공급업체코드!$B$3:$B$1000,MATCH(1,(E88=공급업체코드!$D$3:$D$1000)*1,0))</f>
        <v>VM_DH_ENG</v>
      </c>
      <c r="G88" s="43" t="s">
        <v>1522</v>
      </c>
      <c r="H88" s="63"/>
      <c r="I88" s="132">
        <v>20</v>
      </c>
      <c r="J88" s="64"/>
      <c r="K88" s="64"/>
      <c r="L88" s="64"/>
      <c r="M88" s="65"/>
      <c r="N88" s="64"/>
      <c r="O88" s="65">
        <v>11</v>
      </c>
      <c r="P88" s="64"/>
      <c r="Q88" s="65"/>
      <c r="R88" s="64">
        <v>400</v>
      </c>
      <c r="S88" s="64"/>
      <c r="T88" s="70">
        <v>55</v>
      </c>
      <c r="U88" s="7" t="s">
        <v>984</v>
      </c>
      <c r="V88" s="7">
        <v>380</v>
      </c>
      <c r="W88" s="151">
        <v>0.95400000000000007</v>
      </c>
      <c r="X88" s="7">
        <v>0.9</v>
      </c>
      <c r="Y88" s="7">
        <v>80</v>
      </c>
      <c r="Z88" s="34">
        <v>1790</v>
      </c>
      <c r="AA88" s="274" t="s">
        <v>1390</v>
      </c>
      <c r="AB88" s="61"/>
      <c r="AC88" s="275" t="s">
        <v>1391</v>
      </c>
      <c r="AD88" s="64" t="s">
        <v>1461</v>
      </c>
      <c r="AE88" s="64" t="s">
        <v>1461</v>
      </c>
      <c r="AF88" s="64"/>
      <c r="AG88" s="64"/>
      <c r="AH88" s="65"/>
      <c r="AI88" s="7">
        <v>43017000</v>
      </c>
      <c r="AJ88" s="7"/>
      <c r="AK88" s="18" t="s">
        <v>1462</v>
      </c>
      <c r="AL88" s="1" t="b">
        <v>1</v>
      </c>
    </row>
    <row r="89" spans="1:38">
      <c r="A89" t="s">
        <v>1560</v>
      </c>
      <c r="B89" s="1" t="str">
        <f t="shared" si="2"/>
        <v>M_PMP0303_VM_DH_ENG_400DHS-75_20CV</v>
      </c>
      <c r="C89" s="7" t="s">
        <v>1536</v>
      </c>
      <c r="D89" s="7" t="str" cm="1">
        <f t="array" ref="D89">INDEX(기계코드!$D$4:$D$1022,MATCH(1,(C89=기계코드!$F$4:$F$1022)*1,0))</f>
        <v>M_PMP0303</v>
      </c>
      <c r="E89" s="92" t="s">
        <v>1559</v>
      </c>
      <c r="F89" s="7" t="str" cm="1">
        <f t="array" ref="F89">INDEX(공급업체코드!$B$3:$B$1000,MATCH(1,(E89=공급업체코드!$D$3:$D$1000)*1,0))</f>
        <v>VM_DH_ENG</v>
      </c>
      <c r="G89" s="43" t="s">
        <v>1524</v>
      </c>
      <c r="H89" s="63"/>
      <c r="I89" s="132">
        <v>20</v>
      </c>
      <c r="J89" s="64"/>
      <c r="K89" s="64"/>
      <c r="L89" s="64"/>
      <c r="M89" s="65"/>
      <c r="N89" s="64"/>
      <c r="O89" s="65">
        <v>15</v>
      </c>
      <c r="P89" s="64"/>
      <c r="Q89" s="65"/>
      <c r="R89" s="64">
        <v>400</v>
      </c>
      <c r="S89" s="64"/>
      <c r="T89" s="70">
        <v>75</v>
      </c>
      <c r="U89" s="7" t="s">
        <v>984</v>
      </c>
      <c r="V89" s="7">
        <v>380</v>
      </c>
      <c r="W89" s="151">
        <v>0.95400000000000007</v>
      </c>
      <c r="X89" s="7">
        <v>0.9</v>
      </c>
      <c r="Y89" s="7">
        <v>80</v>
      </c>
      <c r="Z89" s="34">
        <v>1810</v>
      </c>
      <c r="AA89" s="274" t="s">
        <v>1390</v>
      </c>
      <c r="AB89" s="61"/>
      <c r="AC89" s="275" t="s">
        <v>1391</v>
      </c>
      <c r="AD89" s="64" t="s">
        <v>1461</v>
      </c>
      <c r="AE89" s="64" t="s">
        <v>1461</v>
      </c>
      <c r="AF89" s="64"/>
      <c r="AG89" s="64"/>
      <c r="AH89" s="65"/>
      <c r="AI89" s="7">
        <v>48643000</v>
      </c>
      <c r="AJ89" s="7"/>
      <c r="AK89" s="18" t="s">
        <v>1462</v>
      </c>
      <c r="AL89" s="1" t="b">
        <v>1</v>
      </c>
    </row>
    <row r="90" spans="1:38">
      <c r="A90" t="s">
        <v>1560</v>
      </c>
      <c r="B90" s="1" t="str">
        <f t="shared" si="2"/>
        <v>M_PMP0303_VM_DH_ENG_400DHS-110_20CV</v>
      </c>
      <c r="C90" s="7" t="s">
        <v>1536</v>
      </c>
      <c r="D90" s="7" t="str" cm="1">
        <f t="array" ref="D90">INDEX(기계코드!$D$4:$D$1022,MATCH(1,(C90=기계코드!$F$4:$F$1022)*1,0))</f>
        <v>M_PMP0303</v>
      </c>
      <c r="E90" s="92" t="s">
        <v>1559</v>
      </c>
      <c r="F90" s="7" t="str" cm="1">
        <f t="array" ref="F90">INDEX(공급업체코드!$B$3:$B$1000,MATCH(1,(E90=공급업체코드!$D$3:$D$1000)*1,0))</f>
        <v>VM_DH_ENG</v>
      </c>
      <c r="G90" s="43" t="s">
        <v>1525</v>
      </c>
      <c r="H90" s="63"/>
      <c r="I90" s="132">
        <v>20</v>
      </c>
      <c r="J90" s="64"/>
      <c r="K90" s="64"/>
      <c r="L90" s="64"/>
      <c r="M90" s="65"/>
      <c r="N90" s="64"/>
      <c r="O90" s="65">
        <v>20</v>
      </c>
      <c r="P90" s="64"/>
      <c r="Q90" s="65"/>
      <c r="R90" s="64">
        <v>400</v>
      </c>
      <c r="S90" s="64"/>
      <c r="T90" s="70">
        <v>110</v>
      </c>
      <c r="U90" s="7" t="s">
        <v>984</v>
      </c>
      <c r="V90" s="7">
        <v>380</v>
      </c>
      <c r="W90" s="151">
        <v>0.95799999999999996</v>
      </c>
      <c r="X90" s="7">
        <v>0.9</v>
      </c>
      <c r="Y90" s="7">
        <v>80</v>
      </c>
      <c r="Z90" s="34">
        <v>2080</v>
      </c>
      <c r="AA90" s="274" t="s">
        <v>1390</v>
      </c>
      <c r="AB90" s="61"/>
      <c r="AC90" s="275" t="s">
        <v>1391</v>
      </c>
      <c r="AD90" s="64" t="s">
        <v>1461</v>
      </c>
      <c r="AE90" s="64" t="s">
        <v>1461</v>
      </c>
      <c r="AF90" s="64"/>
      <c r="AG90" s="64"/>
      <c r="AH90" s="65"/>
      <c r="AI90" s="7">
        <v>56477000</v>
      </c>
      <c r="AJ90" s="7"/>
      <c r="AK90" s="18" t="s">
        <v>1462</v>
      </c>
      <c r="AL90" s="1" t="b">
        <v>1</v>
      </c>
    </row>
    <row r="91" spans="1:38">
      <c r="A91" t="s">
        <v>1560</v>
      </c>
      <c r="B91" s="1" t="str">
        <f t="shared" si="2"/>
        <v>M_PMP0303_VM_DH_ENG_400DHS-150_20CV</v>
      </c>
      <c r="C91" s="7" t="s">
        <v>1536</v>
      </c>
      <c r="D91" s="7" t="str" cm="1">
        <f t="array" ref="D91">INDEX(기계코드!$D$4:$D$1022,MATCH(1,(C91=기계코드!$F$4:$F$1022)*1,0))</f>
        <v>M_PMP0303</v>
      </c>
      <c r="E91" s="92" t="s">
        <v>1559</v>
      </c>
      <c r="F91" s="7" t="str" cm="1">
        <f t="array" ref="F91">INDEX(공급업체코드!$B$3:$B$1000,MATCH(1,(E91=공급업체코드!$D$3:$D$1000)*1,0))</f>
        <v>VM_DH_ENG</v>
      </c>
      <c r="G91" s="43" t="s">
        <v>1526</v>
      </c>
      <c r="H91" s="63"/>
      <c r="I91" s="132">
        <v>20</v>
      </c>
      <c r="J91" s="64"/>
      <c r="K91" s="64"/>
      <c r="L91" s="64"/>
      <c r="M91" s="65"/>
      <c r="N91" s="64"/>
      <c r="O91" s="65">
        <v>25</v>
      </c>
      <c r="P91" s="64"/>
      <c r="Q91" s="65"/>
      <c r="R91" s="64">
        <v>400</v>
      </c>
      <c r="S91" s="64"/>
      <c r="T91" s="70">
        <v>150</v>
      </c>
      <c r="U91" s="7" t="s">
        <v>984</v>
      </c>
      <c r="V91" s="7">
        <v>380</v>
      </c>
      <c r="W91" s="151">
        <v>0.96200000000000008</v>
      </c>
      <c r="X91" s="7">
        <v>0.9</v>
      </c>
      <c r="Y91" s="7">
        <v>80</v>
      </c>
      <c r="Z91" s="34">
        <v>2150</v>
      </c>
      <c r="AA91" s="274" t="s">
        <v>1390</v>
      </c>
      <c r="AB91" s="61"/>
      <c r="AC91" s="275" t="s">
        <v>1391</v>
      </c>
      <c r="AD91" s="64" t="s">
        <v>1461</v>
      </c>
      <c r="AE91" s="64" t="s">
        <v>1461</v>
      </c>
      <c r="AF91" s="64"/>
      <c r="AG91" s="64"/>
      <c r="AH91" s="65"/>
      <c r="AI91" s="7">
        <v>66335000</v>
      </c>
      <c r="AJ91" s="7"/>
      <c r="AK91" s="18" t="s">
        <v>1462</v>
      </c>
      <c r="AL91" s="1" t="b">
        <v>1</v>
      </c>
    </row>
    <row r="92" spans="1:38">
      <c r="A92" t="s">
        <v>1561</v>
      </c>
      <c r="B92" s="1" t="str">
        <f t="shared" si="2"/>
        <v>M_PMP0303_VM_DH_ENG_500DHS-45_30CV</v>
      </c>
      <c r="C92" s="7" t="s">
        <v>1536</v>
      </c>
      <c r="D92" s="7" t="str" cm="1">
        <f t="array" ref="D92">INDEX(기계코드!$D$4:$D$1022,MATCH(1,(C92=기계코드!$F$4:$F$1022)*1,0))</f>
        <v>M_PMP0303</v>
      </c>
      <c r="E92" s="92" t="s">
        <v>1559</v>
      </c>
      <c r="F92" s="7" t="str" cm="1">
        <f t="array" ref="F92">INDEX(공급업체코드!$B$3:$B$1000,MATCH(1,(E92=공급업체코드!$D$3:$D$1000)*1,0))</f>
        <v>VM_DH_ENG</v>
      </c>
      <c r="G92" s="43" t="s">
        <v>1528</v>
      </c>
      <c r="H92" s="63"/>
      <c r="I92" s="132">
        <v>30</v>
      </c>
      <c r="J92" s="64"/>
      <c r="K92" s="64"/>
      <c r="L92" s="64"/>
      <c r="M92" s="65"/>
      <c r="N92" s="64"/>
      <c r="O92" s="65">
        <v>5</v>
      </c>
      <c r="P92" s="64"/>
      <c r="Q92" s="65"/>
      <c r="R92" s="64">
        <v>500</v>
      </c>
      <c r="S92" s="64"/>
      <c r="T92" s="70">
        <v>45</v>
      </c>
      <c r="U92" s="7" t="s">
        <v>984</v>
      </c>
      <c r="V92" s="7">
        <v>380</v>
      </c>
      <c r="W92" s="151">
        <v>0.95</v>
      </c>
      <c r="X92" s="7">
        <v>0.9</v>
      </c>
      <c r="Y92" s="7">
        <v>80</v>
      </c>
      <c r="Z92" s="34">
        <v>1850</v>
      </c>
      <c r="AA92" s="274" t="s">
        <v>1390</v>
      </c>
      <c r="AB92" s="61"/>
      <c r="AC92" s="275" t="s">
        <v>1391</v>
      </c>
      <c r="AD92" s="64" t="s">
        <v>1461</v>
      </c>
      <c r="AE92" s="64" t="s">
        <v>1461</v>
      </c>
      <c r="AF92" s="64"/>
      <c r="AG92" s="64"/>
      <c r="AH92" s="65"/>
      <c r="AI92" s="7">
        <v>48851000</v>
      </c>
      <c r="AJ92" s="7"/>
      <c r="AK92" s="18" t="s">
        <v>1462</v>
      </c>
      <c r="AL92" s="1" t="b">
        <v>1</v>
      </c>
    </row>
    <row r="93" spans="1:38">
      <c r="A93" t="s">
        <v>1562</v>
      </c>
      <c r="B93" s="1" t="str">
        <f t="shared" si="2"/>
        <v>M_PMP0303_VM_DH_ENG_500DHS-55_30CV</v>
      </c>
      <c r="C93" s="7" t="s">
        <v>1536</v>
      </c>
      <c r="D93" s="7" t="str" cm="1">
        <f t="array" ref="D93">INDEX(기계코드!$D$4:$D$1022,MATCH(1,(C93=기계코드!$F$4:$F$1022)*1,0))</f>
        <v>M_PMP0303</v>
      </c>
      <c r="E93" s="92" t="s">
        <v>1559</v>
      </c>
      <c r="F93" s="7" t="str" cm="1">
        <f t="array" ref="F93">INDEX(공급업체코드!$B$3:$B$1000,MATCH(1,(E93=공급업체코드!$D$3:$D$1000)*1,0))</f>
        <v>VM_DH_ENG</v>
      </c>
      <c r="G93" s="43" t="s">
        <v>1530</v>
      </c>
      <c r="H93" s="63"/>
      <c r="I93" s="132">
        <v>30</v>
      </c>
      <c r="J93" s="64"/>
      <c r="K93" s="64"/>
      <c r="L93" s="64"/>
      <c r="M93" s="65"/>
      <c r="N93" s="64"/>
      <c r="O93" s="65">
        <v>7.5</v>
      </c>
      <c r="P93" s="64"/>
      <c r="Q93" s="65"/>
      <c r="R93" s="64">
        <v>500</v>
      </c>
      <c r="S93" s="64"/>
      <c r="T93" s="70">
        <v>55</v>
      </c>
      <c r="U93" s="7" t="s">
        <v>984</v>
      </c>
      <c r="V93" s="7">
        <v>380</v>
      </c>
      <c r="W93" s="151">
        <v>0.95400000000000007</v>
      </c>
      <c r="X93" s="7">
        <v>0.9</v>
      </c>
      <c r="Y93" s="7">
        <v>80</v>
      </c>
      <c r="Z93" s="34">
        <v>1920</v>
      </c>
      <c r="AA93" s="274" t="s">
        <v>1390</v>
      </c>
      <c r="AB93" s="61"/>
      <c r="AC93" s="275" t="s">
        <v>1391</v>
      </c>
      <c r="AD93" s="64" t="s">
        <v>1461</v>
      </c>
      <c r="AE93" s="64" t="s">
        <v>1461</v>
      </c>
      <c r="AF93" s="64"/>
      <c r="AG93" s="64"/>
      <c r="AH93" s="65"/>
      <c r="AI93" s="7">
        <v>51217000</v>
      </c>
      <c r="AJ93" s="7"/>
      <c r="AK93" s="18" t="s">
        <v>1462</v>
      </c>
      <c r="AL93" s="1" t="b">
        <v>1</v>
      </c>
    </row>
    <row r="94" spans="1:38">
      <c r="A94" t="s">
        <v>1563</v>
      </c>
      <c r="B94" s="1" t="str">
        <f t="shared" si="2"/>
        <v>M_PMP0303_VM_DH_ENG_500DHS-75_30CV</v>
      </c>
      <c r="C94" s="7" t="s">
        <v>1536</v>
      </c>
      <c r="D94" s="7" t="str" cm="1">
        <f t="array" ref="D94">INDEX(기계코드!$D$4:$D$1022,MATCH(1,(C94=기계코드!$F$4:$F$1022)*1,0))</f>
        <v>M_PMP0303</v>
      </c>
      <c r="E94" s="92" t="s">
        <v>1559</v>
      </c>
      <c r="F94" s="7" t="str" cm="1">
        <f t="array" ref="F94">INDEX(공급업체코드!$B$3:$B$1000,MATCH(1,(E94=공급업체코드!$D$3:$D$1000)*1,0))</f>
        <v>VM_DH_ENG</v>
      </c>
      <c r="G94" s="43" t="s">
        <v>1532</v>
      </c>
      <c r="H94" s="63"/>
      <c r="I94" s="132">
        <v>30</v>
      </c>
      <c r="J94" s="64"/>
      <c r="K94" s="64"/>
      <c r="L94" s="64"/>
      <c r="M94" s="65"/>
      <c r="N94" s="64"/>
      <c r="O94" s="65">
        <v>10</v>
      </c>
      <c r="P94" s="64"/>
      <c r="Q94" s="65"/>
      <c r="R94" s="64">
        <v>500</v>
      </c>
      <c r="S94" s="64"/>
      <c r="T94" s="70">
        <v>75</v>
      </c>
      <c r="U94" s="7" t="s">
        <v>984</v>
      </c>
      <c r="V94" s="7">
        <v>380</v>
      </c>
      <c r="W94" s="151">
        <v>0.95400000000000007</v>
      </c>
      <c r="X94" s="7">
        <v>0.9</v>
      </c>
      <c r="Y94" s="7">
        <v>80</v>
      </c>
      <c r="Z94" s="34">
        <v>2040</v>
      </c>
      <c r="AA94" s="274" t="s">
        <v>1390</v>
      </c>
      <c r="AB94" s="61"/>
      <c r="AC94" s="275" t="s">
        <v>1391</v>
      </c>
      <c r="AD94" s="64" t="s">
        <v>1461</v>
      </c>
      <c r="AE94" s="64" t="s">
        <v>1461</v>
      </c>
      <c r="AF94" s="64"/>
      <c r="AG94" s="64"/>
      <c r="AH94" s="65"/>
      <c r="AI94" s="7">
        <v>66843000</v>
      </c>
      <c r="AJ94" s="7"/>
      <c r="AK94" s="18" t="s">
        <v>1462</v>
      </c>
      <c r="AL94" s="1" t="b">
        <v>1</v>
      </c>
    </row>
    <row r="95" spans="1:38">
      <c r="A95" t="s">
        <v>1563</v>
      </c>
      <c r="B95" s="1" t="str">
        <f t="shared" si="2"/>
        <v>M_PMP0303_VM_DH_ENG_500DHS-110_30CV</v>
      </c>
      <c r="C95" s="7" t="s">
        <v>1536</v>
      </c>
      <c r="D95" s="7" t="str" cm="1">
        <f t="array" ref="D95">INDEX(기계코드!$D$4:$D$1022,MATCH(1,(C95=기계코드!$F$4:$F$1022)*1,0))</f>
        <v>M_PMP0303</v>
      </c>
      <c r="E95" s="92" t="s">
        <v>1559</v>
      </c>
      <c r="F95" s="7" t="str" cm="1">
        <f t="array" ref="F95">INDEX(공급업체코드!$B$3:$B$1000,MATCH(1,(E95=공급업체코드!$D$3:$D$1000)*1,0))</f>
        <v>VM_DH_ENG</v>
      </c>
      <c r="G95" s="43" t="s">
        <v>1533</v>
      </c>
      <c r="H95" s="63"/>
      <c r="I95" s="132">
        <v>30</v>
      </c>
      <c r="J95" s="64"/>
      <c r="K95" s="64"/>
      <c r="L95" s="64"/>
      <c r="M95" s="65"/>
      <c r="N95" s="64"/>
      <c r="O95" s="65">
        <v>14</v>
      </c>
      <c r="P95" s="64"/>
      <c r="Q95" s="65"/>
      <c r="R95" s="64">
        <v>500</v>
      </c>
      <c r="S95" s="64"/>
      <c r="T95" s="70">
        <v>110</v>
      </c>
      <c r="U95" s="7" t="s">
        <v>984</v>
      </c>
      <c r="V95" s="7">
        <v>380</v>
      </c>
      <c r="W95" s="151">
        <v>0.95799999999999996</v>
      </c>
      <c r="X95" s="7">
        <v>0.9</v>
      </c>
      <c r="Y95" s="7">
        <v>80</v>
      </c>
      <c r="Z95" s="34">
        <v>2450</v>
      </c>
      <c r="AA95" s="274" t="s">
        <v>1390</v>
      </c>
      <c r="AB95" s="61"/>
      <c r="AC95" s="275" t="s">
        <v>1391</v>
      </c>
      <c r="AD95" s="64" t="s">
        <v>1461</v>
      </c>
      <c r="AE95" s="64" t="s">
        <v>1461</v>
      </c>
      <c r="AF95" s="64"/>
      <c r="AG95" s="64"/>
      <c r="AH95" s="65"/>
      <c r="AI95" s="7">
        <v>80677000</v>
      </c>
      <c r="AJ95" s="7"/>
      <c r="AK95" s="18" t="s">
        <v>1462</v>
      </c>
      <c r="AL95" s="1" t="b">
        <v>1</v>
      </c>
    </row>
    <row r="96" spans="1:38">
      <c r="A96" t="s">
        <v>1563</v>
      </c>
      <c r="B96" s="1" t="str">
        <f t="shared" si="2"/>
        <v>M_PMP0303_VM_DH_ENG_500DHS-150_30CV</v>
      </c>
      <c r="C96" s="7" t="s">
        <v>1536</v>
      </c>
      <c r="D96" s="7" t="str" cm="1">
        <f t="array" ref="D96">INDEX(기계코드!$D$4:$D$1022,MATCH(1,(C96=기계코드!$F$4:$F$1022)*1,0))</f>
        <v>M_PMP0303</v>
      </c>
      <c r="E96" s="92" t="s">
        <v>1559</v>
      </c>
      <c r="F96" s="7" t="str" cm="1">
        <f t="array" ref="F96">INDEX(공급업체코드!$B$3:$B$1000,MATCH(1,(E96=공급업체코드!$D$3:$D$1000)*1,0))</f>
        <v>VM_DH_ENG</v>
      </c>
      <c r="G96" s="43" t="s">
        <v>1534</v>
      </c>
      <c r="H96" s="63"/>
      <c r="I96" s="132">
        <v>30</v>
      </c>
      <c r="J96" s="64"/>
      <c r="K96" s="64"/>
      <c r="L96" s="64"/>
      <c r="M96" s="65"/>
      <c r="N96" s="64"/>
      <c r="O96" s="65">
        <v>18</v>
      </c>
      <c r="P96" s="64"/>
      <c r="Q96" s="65"/>
      <c r="R96" s="64">
        <v>500</v>
      </c>
      <c r="S96" s="64"/>
      <c r="T96" s="70">
        <v>150</v>
      </c>
      <c r="U96" s="7" t="s">
        <v>984</v>
      </c>
      <c r="V96" s="7">
        <v>380</v>
      </c>
      <c r="W96" s="151">
        <v>0.96200000000000008</v>
      </c>
      <c r="X96" s="7">
        <v>0.9</v>
      </c>
      <c r="Y96" s="7">
        <v>80</v>
      </c>
      <c r="Z96" s="34">
        <v>2650</v>
      </c>
      <c r="AA96" s="274" t="s">
        <v>1390</v>
      </c>
      <c r="AB96" s="61"/>
      <c r="AC96" s="275" t="s">
        <v>1391</v>
      </c>
      <c r="AD96" s="64" t="s">
        <v>1461</v>
      </c>
      <c r="AE96" s="64" t="s">
        <v>1461</v>
      </c>
      <c r="AF96" s="64"/>
      <c r="AG96" s="64"/>
      <c r="AH96" s="65"/>
      <c r="AI96" s="7">
        <v>88535000</v>
      </c>
      <c r="AJ96" s="7"/>
      <c r="AK96" s="18" t="s">
        <v>1462</v>
      </c>
      <c r="AL96" s="1" t="b">
        <v>1</v>
      </c>
    </row>
    <row r="97" spans="1:38">
      <c r="A97" t="s">
        <v>1535</v>
      </c>
      <c r="B97" s="1" t="str">
        <f t="shared" ref="B97:B143" si="3">D97&amp;"_"&amp;F97&amp;"_"&amp;G97&amp;"_"&amp;I97</f>
        <v>M_PMP0301_VM_DH_ENG_50DHS-0.75_0.2</v>
      </c>
      <c r="C97" s="92" t="s">
        <v>182</v>
      </c>
      <c r="D97" s="7" t="str" cm="1">
        <f t="array" ref="D97">INDEX(기계코드!$D$4:$D$1022,MATCH(1,(C97=기계코드!$F$4:$F$1022)*1,0))</f>
        <v>M_PMP0301</v>
      </c>
      <c r="E97" s="92" t="s">
        <v>1559</v>
      </c>
      <c r="F97" s="7" t="str" cm="1">
        <f t="array" ref="F97">INDEX(공급업체코드!$B$3:$B$1000,MATCH(1,(E97=공급업체코드!$D$3:$D$1000)*1,0))</f>
        <v>VM_DH_ENG</v>
      </c>
      <c r="G97" s="43" t="s">
        <v>1460</v>
      </c>
      <c r="H97" s="63"/>
      <c r="I97" s="132">
        <v>0.2</v>
      </c>
      <c r="J97" s="64"/>
      <c r="K97" s="64"/>
      <c r="L97" s="64"/>
      <c r="M97" s="65"/>
      <c r="N97" s="64"/>
      <c r="O97" s="65">
        <v>10</v>
      </c>
      <c r="P97" s="64"/>
      <c r="Q97" s="65"/>
      <c r="R97" s="64">
        <v>50</v>
      </c>
      <c r="S97" s="64"/>
      <c r="T97" s="70">
        <v>0.75</v>
      </c>
      <c r="U97" s="7" t="s">
        <v>981</v>
      </c>
      <c r="V97" s="7">
        <v>380</v>
      </c>
      <c r="W97" s="151">
        <v>0.83499999999999996</v>
      </c>
      <c r="X97" s="7">
        <v>0.9</v>
      </c>
      <c r="Y97" s="7">
        <v>80</v>
      </c>
      <c r="Z97" s="34">
        <v>35</v>
      </c>
      <c r="AA97" s="274" t="s">
        <v>1390</v>
      </c>
      <c r="AB97" s="61">
        <v>23</v>
      </c>
      <c r="AC97" s="275" t="s">
        <v>1391</v>
      </c>
      <c r="AD97" s="64" t="s">
        <v>1461</v>
      </c>
      <c r="AE97" s="64" t="s">
        <v>1461</v>
      </c>
      <c r="AI97" s="7">
        <v>950000</v>
      </c>
      <c r="AJ97" s="7"/>
      <c r="AK97" s="18" t="s">
        <v>1462</v>
      </c>
      <c r="AL97" s="1" t="b">
        <v>1</v>
      </c>
    </row>
    <row r="98" spans="1:38">
      <c r="A98" t="s">
        <v>1537</v>
      </c>
      <c r="B98" s="1" t="str">
        <f t="shared" si="3"/>
        <v>M_PMP0301_VM_DH_ENG_80DHS-1.5_0.5</v>
      </c>
      <c r="C98" s="92" t="s">
        <v>182</v>
      </c>
      <c r="D98" s="7" t="str" cm="1">
        <f t="array" ref="D98">INDEX(기계코드!$D$4:$D$1022,MATCH(1,(C98=기계코드!$F$4:$F$1022)*1,0))</f>
        <v>M_PMP0301</v>
      </c>
      <c r="E98" s="92" t="s">
        <v>1559</v>
      </c>
      <c r="F98" s="7" t="str" cm="1">
        <f t="array" ref="F98">INDEX(공급업체코드!$B$3:$B$1000,MATCH(1,(E98=공급업체코드!$D$3:$D$1000)*1,0))</f>
        <v>VM_DH_ENG</v>
      </c>
      <c r="G98" s="43" t="s">
        <v>1464</v>
      </c>
      <c r="H98" s="63"/>
      <c r="I98" s="132">
        <v>0.5</v>
      </c>
      <c r="J98" s="64"/>
      <c r="K98" s="64"/>
      <c r="L98" s="64"/>
      <c r="M98" s="65"/>
      <c r="N98" s="64"/>
      <c r="O98" s="65">
        <v>8</v>
      </c>
      <c r="P98" s="64"/>
      <c r="Q98" s="65"/>
      <c r="R98" s="64">
        <v>80</v>
      </c>
      <c r="S98" s="64"/>
      <c r="T98" s="70">
        <v>1.5</v>
      </c>
      <c r="U98" s="7" t="s">
        <v>981</v>
      </c>
      <c r="V98" s="7">
        <v>380</v>
      </c>
      <c r="W98" s="151">
        <v>0.86499999999999999</v>
      </c>
      <c r="X98" s="7">
        <v>0.9</v>
      </c>
      <c r="Y98" s="7">
        <v>80</v>
      </c>
      <c r="Z98" s="34">
        <v>45</v>
      </c>
      <c r="AA98" s="274" t="s">
        <v>1390</v>
      </c>
      <c r="AB98" s="61">
        <v>23</v>
      </c>
      <c r="AC98" s="275" t="s">
        <v>1391</v>
      </c>
      <c r="AD98" s="64" t="s">
        <v>1461</v>
      </c>
      <c r="AE98" s="64" t="s">
        <v>1461</v>
      </c>
      <c r="AI98" s="7">
        <v>1500000</v>
      </c>
      <c r="AJ98" s="7"/>
      <c r="AK98" s="18" t="s">
        <v>1462</v>
      </c>
      <c r="AL98" s="1" t="b">
        <v>1</v>
      </c>
    </row>
    <row r="99" spans="1:38">
      <c r="A99" t="s">
        <v>1538</v>
      </c>
      <c r="B99" s="1" t="str">
        <f t="shared" si="3"/>
        <v>M_PMP0301_VM_DH_ENG_80DHS-2.2_0.6</v>
      </c>
      <c r="C99" s="92" t="s">
        <v>182</v>
      </c>
      <c r="D99" s="7" t="str" cm="1">
        <f t="array" ref="D99">INDEX(기계코드!$D$4:$D$1022,MATCH(1,(C99=기계코드!$F$4:$F$1022)*1,0))</f>
        <v>M_PMP0301</v>
      </c>
      <c r="E99" s="92" t="s">
        <v>1559</v>
      </c>
      <c r="F99" s="7" t="str" cm="1">
        <f t="array" ref="F99">INDEX(공급업체코드!$B$3:$B$1000,MATCH(1,(E99=공급업체코드!$D$3:$D$1000)*1,0))</f>
        <v>VM_DH_ENG</v>
      </c>
      <c r="G99" s="43" t="s">
        <v>1466</v>
      </c>
      <c r="H99" s="63"/>
      <c r="I99" s="132">
        <v>0.6</v>
      </c>
      <c r="J99" s="64"/>
      <c r="K99" s="64"/>
      <c r="L99" s="64"/>
      <c r="M99" s="65"/>
      <c r="N99" s="64"/>
      <c r="O99" s="65">
        <v>10</v>
      </c>
      <c r="P99" s="64"/>
      <c r="Q99" s="65"/>
      <c r="R99" s="64">
        <v>80</v>
      </c>
      <c r="S99" s="64"/>
      <c r="T99" s="70">
        <v>2.2000000000000002</v>
      </c>
      <c r="U99" s="7" t="s">
        <v>981</v>
      </c>
      <c r="V99" s="7">
        <v>380</v>
      </c>
      <c r="W99" s="151">
        <v>0.89500000000000002</v>
      </c>
      <c r="X99" s="7">
        <v>0.9</v>
      </c>
      <c r="Y99" s="7">
        <v>80</v>
      </c>
      <c r="Z99" s="34">
        <v>80</v>
      </c>
      <c r="AA99" s="274" t="s">
        <v>1390</v>
      </c>
      <c r="AB99" s="61">
        <v>23</v>
      </c>
      <c r="AC99" s="275" t="s">
        <v>1391</v>
      </c>
      <c r="AD99" s="64" t="s">
        <v>1461</v>
      </c>
      <c r="AE99" s="64" t="s">
        <v>1461</v>
      </c>
      <c r="AI99" s="7">
        <v>1500000</v>
      </c>
      <c r="AJ99" s="7"/>
      <c r="AK99" s="18" t="s">
        <v>1462</v>
      </c>
      <c r="AL99" s="1" t="b">
        <v>1</v>
      </c>
    </row>
    <row r="100" spans="1:38">
      <c r="A100" t="s">
        <v>1539</v>
      </c>
      <c r="B100" s="1" t="str">
        <f t="shared" si="3"/>
        <v>M_PMP0301_VM_DH_ENG_80DHS-3.7_0.6</v>
      </c>
      <c r="C100" s="92" t="s">
        <v>182</v>
      </c>
      <c r="D100" s="7" t="str" cm="1">
        <f t="array" ref="D100">INDEX(기계코드!$D$4:$D$1022,MATCH(1,(C100=기계코드!$F$4:$F$1022)*1,0))</f>
        <v>M_PMP0301</v>
      </c>
      <c r="E100" s="92" t="s">
        <v>1559</v>
      </c>
      <c r="F100" s="7" t="str" cm="1">
        <f t="array" ref="F100">INDEX(공급업체코드!$B$3:$B$1000,MATCH(1,(E100=공급업체코드!$D$3:$D$1000)*1,0))</f>
        <v>VM_DH_ENG</v>
      </c>
      <c r="G100" s="43" t="s">
        <v>1468</v>
      </c>
      <c r="H100" s="63"/>
      <c r="I100" s="132">
        <v>0.6</v>
      </c>
      <c r="J100" s="64"/>
      <c r="K100" s="64"/>
      <c r="L100" s="64"/>
      <c r="M100" s="65"/>
      <c r="N100" s="64"/>
      <c r="O100" s="65">
        <v>15</v>
      </c>
      <c r="P100" s="64"/>
      <c r="Q100" s="65"/>
      <c r="R100" s="64">
        <v>80</v>
      </c>
      <c r="S100" s="64"/>
      <c r="T100" s="70">
        <v>3.7</v>
      </c>
      <c r="U100" s="7" t="s">
        <v>981</v>
      </c>
      <c r="V100" s="7">
        <v>380</v>
      </c>
      <c r="W100" s="151">
        <v>0.89500000000000002</v>
      </c>
      <c r="X100" s="7">
        <v>0.9</v>
      </c>
      <c r="Y100" s="7">
        <v>80</v>
      </c>
      <c r="Z100" s="34">
        <v>100</v>
      </c>
      <c r="AA100" s="274" t="s">
        <v>1390</v>
      </c>
      <c r="AB100" s="61">
        <v>23</v>
      </c>
      <c r="AC100" s="275" t="s">
        <v>1391</v>
      </c>
      <c r="AD100" s="64" t="s">
        <v>1461</v>
      </c>
      <c r="AE100" s="64" t="s">
        <v>1461</v>
      </c>
      <c r="AI100" s="7">
        <v>2000000</v>
      </c>
      <c r="AJ100" s="7"/>
      <c r="AK100" s="18" t="s">
        <v>1462</v>
      </c>
      <c r="AL100" s="1" t="b">
        <v>1</v>
      </c>
    </row>
    <row r="101" spans="1:38">
      <c r="A101" t="s">
        <v>1540</v>
      </c>
      <c r="B101" s="1" t="str">
        <f t="shared" si="3"/>
        <v>M_PMP0301_VM_DH_ENG_100DHS-5.5_1</v>
      </c>
      <c r="C101" s="92" t="s">
        <v>182</v>
      </c>
      <c r="D101" s="7" t="str" cm="1">
        <f t="array" ref="D101">INDEX(기계코드!$D$4:$D$1022,MATCH(1,(C101=기계코드!$F$4:$F$1022)*1,0))</f>
        <v>M_PMP0301</v>
      </c>
      <c r="E101" s="92" t="s">
        <v>1559</v>
      </c>
      <c r="F101" s="7" t="str" cm="1">
        <f t="array" ref="F101">INDEX(공급업체코드!$B$3:$B$1000,MATCH(1,(E101=공급업체코드!$D$3:$D$1000)*1,0))</f>
        <v>VM_DH_ENG</v>
      </c>
      <c r="G101" s="43" t="s">
        <v>1470</v>
      </c>
      <c r="H101" s="63"/>
      <c r="I101" s="132">
        <v>1</v>
      </c>
      <c r="J101" s="64"/>
      <c r="K101" s="64"/>
      <c r="L101" s="64"/>
      <c r="M101" s="65"/>
      <c r="N101" s="64"/>
      <c r="O101" s="65">
        <v>16</v>
      </c>
      <c r="P101" s="64"/>
      <c r="Q101" s="65"/>
      <c r="R101" s="64">
        <v>100</v>
      </c>
      <c r="S101" s="64"/>
      <c r="T101" s="70">
        <v>5.5</v>
      </c>
      <c r="U101" s="7" t="s">
        <v>981</v>
      </c>
      <c r="V101" s="7">
        <v>380</v>
      </c>
      <c r="W101" s="151">
        <v>0.91700000000000004</v>
      </c>
      <c r="X101" s="7">
        <v>0.9</v>
      </c>
      <c r="Y101" s="7">
        <v>80</v>
      </c>
      <c r="Z101" s="34">
        <v>200</v>
      </c>
      <c r="AA101" s="274" t="s">
        <v>1390</v>
      </c>
      <c r="AB101" s="61">
        <v>23</v>
      </c>
      <c r="AC101" s="275" t="s">
        <v>1391</v>
      </c>
      <c r="AD101" s="64" t="s">
        <v>1461</v>
      </c>
      <c r="AE101" s="64" t="s">
        <v>1461</v>
      </c>
      <c r="AI101" s="7">
        <v>2200000</v>
      </c>
      <c r="AJ101" s="7"/>
      <c r="AK101" s="18" t="s">
        <v>1462</v>
      </c>
      <c r="AL101" s="1" t="b">
        <v>1</v>
      </c>
    </row>
    <row r="102" spans="1:38">
      <c r="A102" t="s">
        <v>1541</v>
      </c>
      <c r="B102" s="1" t="str">
        <f t="shared" si="3"/>
        <v>M_PMP0301_VM_DH_ENG_100DHS-7.5_1</v>
      </c>
      <c r="C102" s="92" t="s">
        <v>182</v>
      </c>
      <c r="D102" s="7" t="str" cm="1">
        <f t="array" ref="D102">INDEX(기계코드!$D$4:$D$1022,MATCH(1,(C102=기계코드!$F$4:$F$1022)*1,0))</f>
        <v>M_PMP0301</v>
      </c>
      <c r="E102" s="92" t="s">
        <v>1559</v>
      </c>
      <c r="F102" s="7" t="str" cm="1">
        <f t="array" ref="F102">INDEX(공급업체코드!$B$3:$B$1000,MATCH(1,(E102=공급업체코드!$D$3:$D$1000)*1,0))</f>
        <v>VM_DH_ENG</v>
      </c>
      <c r="G102" s="43" t="s">
        <v>1472</v>
      </c>
      <c r="H102" s="63"/>
      <c r="I102" s="132">
        <v>1</v>
      </c>
      <c r="J102" s="64"/>
      <c r="K102" s="64"/>
      <c r="L102" s="64"/>
      <c r="M102" s="65"/>
      <c r="N102" s="64"/>
      <c r="O102" s="65">
        <v>18</v>
      </c>
      <c r="P102" s="64"/>
      <c r="Q102" s="65"/>
      <c r="R102" s="64">
        <v>100</v>
      </c>
      <c r="S102" s="64"/>
      <c r="T102" s="70">
        <v>7.5</v>
      </c>
      <c r="U102" s="7" t="s">
        <v>981</v>
      </c>
      <c r="V102" s="7">
        <v>380</v>
      </c>
      <c r="W102" s="151">
        <v>0.91700000000000004</v>
      </c>
      <c r="X102" s="7">
        <v>0.9</v>
      </c>
      <c r="Y102" s="7">
        <v>80</v>
      </c>
      <c r="Z102" s="34">
        <v>220</v>
      </c>
      <c r="AA102" s="274" t="s">
        <v>1390</v>
      </c>
      <c r="AB102" s="61">
        <v>23</v>
      </c>
      <c r="AC102" s="275" t="s">
        <v>1391</v>
      </c>
      <c r="AD102" s="64" t="s">
        <v>1461</v>
      </c>
      <c r="AE102" s="64" t="s">
        <v>1461</v>
      </c>
      <c r="AI102" s="7">
        <v>2500000</v>
      </c>
      <c r="AJ102" s="7"/>
      <c r="AK102" s="18" t="s">
        <v>1462</v>
      </c>
      <c r="AL102" s="1" t="b">
        <v>1</v>
      </c>
    </row>
    <row r="103" spans="1:38">
      <c r="A103" t="s">
        <v>1542</v>
      </c>
      <c r="B103" s="1" t="str">
        <f t="shared" si="3"/>
        <v>M_PMP0301_VM_DH_ENG_150DHS-3.7_2.5</v>
      </c>
      <c r="C103" s="92" t="s">
        <v>182</v>
      </c>
      <c r="D103" s="7" t="str" cm="1">
        <f t="array" ref="D103">INDEX(기계코드!$D$4:$D$1022,MATCH(1,(C103=기계코드!$F$4:$F$1022)*1,0))</f>
        <v>M_PMP0301</v>
      </c>
      <c r="E103" s="92" t="s">
        <v>1559</v>
      </c>
      <c r="F103" s="7" t="str" cm="1">
        <f t="array" ref="F103">INDEX(공급업체코드!$B$3:$B$1000,MATCH(1,(E103=공급업체코드!$D$3:$D$1000)*1,0))</f>
        <v>VM_DH_ENG</v>
      </c>
      <c r="G103" s="43" t="s">
        <v>1474</v>
      </c>
      <c r="H103" s="63"/>
      <c r="I103" s="132">
        <v>2.5</v>
      </c>
      <c r="J103" s="64"/>
      <c r="K103" s="64"/>
      <c r="L103" s="64"/>
      <c r="M103" s="65"/>
      <c r="N103" s="64"/>
      <c r="O103" s="65">
        <v>5</v>
      </c>
      <c r="P103" s="64"/>
      <c r="Q103" s="65"/>
      <c r="R103" s="64">
        <v>150</v>
      </c>
      <c r="S103" s="64"/>
      <c r="T103" s="70">
        <v>3.7</v>
      </c>
      <c r="U103" s="7" t="s">
        <v>981</v>
      </c>
      <c r="V103" s="7">
        <v>380</v>
      </c>
      <c r="W103" s="151">
        <v>0.89500000000000002</v>
      </c>
      <c r="X103" s="7">
        <v>0.9</v>
      </c>
      <c r="Y103" s="7">
        <v>80</v>
      </c>
      <c r="Z103" s="34">
        <v>230</v>
      </c>
      <c r="AA103" s="274" t="s">
        <v>1390</v>
      </c>
      <c r="AB103" s="61">
        <v>23</v>
      </c>
      <c r="AC103" s="275" t="s">
        <v>1391</v>
      </c>
      <c r="AD103" s="64" t="s">
        <v>1461</v>
      </c>
      <c r="AE103" s="64" t="s">
        <v>1461</v>
      </c>
      <c r="AI103" s="7">
        <v>6050000</v>
      </c>
      <c r="AJ103" s="7"/>
      <c r="AK103" s="18" t="s">
        <v>1462</v>
      </c>
      <c r="AL103" s="1" t="b">
        <v>1</v>
      </c>
    </row>
    <row r="104" spans="1:38">
      <c r="A104" t="s">
        <v>1542</v>
      </c>
      <c r="B104" s="1" t="str">
        <f t="shared" si="3"/>
        <v>M_PMP0301_VM_DH_ENG_150DHS-5.5_2.5</v>
      </c>
      <c r="C104" s="92" t="s">
        <v>182</v>
      </c>
      <c r="D104" s="7" t="str" cm="1">
        <f t="array" ref="D104">INDEX(기계코드!$D$4:$D$1022,MATCH(1,(C104=기계코드!$F$4:$F$1022)*1,0))</f>
        <v>M_PMP0301</v>
      </c>
      <c r="E104" s="92" t="s">
        <v>1559</v>
      </c>
      <c r="F104" s="7" t="str" cm="1">
        <f t="array" ref="F104">INDEX(공급업체코드!$B$3:$B$1000,MATCH(1,(E104=공급업체코드!$D$3:$D$1000)*1,0))</f>
        <v>VM_DH_ENG</v>
      </c>
      <c r="G104" s="43" t="s">
        <v>1475</v>
      </c>
      <c r="H104" s="63"/>
      <c r="I104" s="132">
        <v>2.5</v>
      </c>
      <c r="J104" s="64"/>
      <c r="K104" s="64"/>
      <c r="L104" s="64"/>
      <c r="M104" s="65"/>
      <c r="N104" s="64"/>
      <c r="O104" s="65">
        <v>7</v>
      </c>
      <c r="P104" s="64"/>
      <c r="Q104" s="65"/>
      <c r="R104" s="64">
        <v>150</v>
      </c>
      <c r="S104" s="64"/>
      <c r="T104" s="70">
        <v>5.5</v>
      </c>
      <c r="U104" s="7" t="s">
        <v>981</v>
      </c>
      <c r="V104" s="7">
        <v>380</v>
      </c>
      <c r="W104" s="151">
        <v>0.91700000000000004</v>
      </c>
      <c r="X104" s="7">
        <v>0.9</v>
      </c>
      <c r="Y104" s="7">
        <v>80</v>
      </c>
      <c r="Z104" s="34">
        <v>240</v>
      </c>
      <c r="AA104" s="274" t="s">
        <v>1390</v>
      </c>
      <c r="AB104" s="61">
        <v>23</v>
      </c>
      <c r="AC104" s="275" t="s">
        <v>1391</v>
      </c>
      <c r="AD104" s="64" t="s">
        <v>1461</v>
      </c>
      <c r="AE104" s="64" t="s">
        <v>1461</v>
      </c>
      <c r="AI104" s="7">
        <v>6050000</v>
      </c>
      <c r="AJ104" s="7"/>
      <c r="AK104" s="18" t="s">
        <v>1462</v>
      </c>
      <c r="AL104" s="1" t="b">
        <v>1</v>
      </c>
    </row>
    <row r="105" spans="1:38">
      <c r="A105" t="s">
        <v>1542</v>
      </c>
      <c r="B105" s="1" t="str">
        <f t="shared" si="3"/>
        <v>M_PMP0301_VM_DH_ENG_150DHS-7.5_2.5</v>
      </c>
      <c r="C105" s="92" t="s">
        <v>182</v>
      </c>
      <c r="D105" s="7" t="str" cm="1">
        <f t="array" ref="D105">INDEX(기계코드!$D$4:$D$1022,MATCH(1,(C105=기계코드!$F$4:$F$1022)*1,0))</f>
        <v>M_PMP0301</v>
      </c>
      <c r="E105" s="92" t="s">
        <v>1559</v>
      </c>
      <c r="F105" s="7" t="str" cm="1">
        <f t="array" ref="F105">INDEX(공급업체코드!$B$3:$B$1000,MATCH(1,(E105=공급업체코드!$D$3:$D$1000)*1,0))</f>
        <v>VM_DH_ENG</v>
      </c>
      <c r="G105" s="43" t="s">
        <v>1476</v>
      </c>
      <c r="H105" s="63"/>
      <c r="I105" s="132">
        <v>2.5</v>
      </c>
      <c r="J105" s="64"/>
      <c r="K105" s="64"/>
      <c r="L105" s="64"/>
      <c r="M105" s="65"/>
      <c r="N105" s="64"/>
      <c r="O105" s="65">
        <v>9</v>
      </c>
      <c r="P105" s="64"/>
      <c r="Q105" s="65"/>
      <c r="R105" s="64">
        <v>150</v>
      </c>
      <c r="S105" s="64"/>
      <c r="T105" s="70">
        <v>7.5</v>
      </c>
      <c r="U105" s="7" t="s">
        <v>981</v>
      </c>
      <c r="V105" s="7">
        <v>380</v>
      </c>
      <c r="W105" s="151">
        <v>0.91700000000000004</v>
      </c>
      <c r="X105" s="7">
        <v>0.9</v>
      </c>
      <c r="Y105" s="7">
        <v>80</v>
      </c>
      <c r="Z105" s="34">
        <v>250</v>
      </c>
      <c r="AA105" s="274" t="s">
        <v>1390</v>
      </c>
      <c r="AB105" s="61">
        <v>23</v>
      </c>
      <c r="AC105" s="275" t="s">
        <v>1391</v>
      </c>
      <c r="AD105" s="64" t="s">
        <v>1461</v>
      </c>
      <c r="AE105" s="64" t="s">
        <v>1461</v>
      </c>
      <c r="AI105" s="7">
        <v>6050000</v>
      </c>
      <c r="AJ105" s="7"/>
      <c r="AK105" s="18" t="s">
        <v>1462</v>
      </c>
      <c r="AL105" s="1" t="b">
        <v>1</v>
      </c>
    </row>
    <row r="106" spans="1:38">
      <c r="A106" t="s">
        <v>1542</v>
      </c>
      <c r="B106" s="1" t="str">
        <f t="shared" si="3"/>
        <v>M_PMP0301_VM_DH_ENG_150DHS-11_2.5</v>
      </c>
      <c r="C106" s="92" t="s">
        <v>182</v>
      </c>
      <c r="D106" s="7" t="str" cm="1">
        <f t="array" ref="D106">INDEX(기계코드!$D$4:$D$1022,MATCH(1,(C106=기계코드!$F$4:$F$1022)*1,0))</f>
        <v>M_PMP0301</v>
      </c>
      <c r="E106" s="92" t="s">
        <v>1559</v>
      </c>
      <c r="F106" s="7" t="str" cm="1">
        <f t="array" ref="F106">INDEX(공급업체코드!$B$3:$B$1000,MATCH(1,(E106=공급업체코드!$D$3:$D$1000)*1,0))</f>
        <v>VM_DH_ENG</v>
      </c>
      <c r="G106" s="43" t="s">
        <v>1477</v>
      </c>
      <c r="H106" s="63"/>
      <c r="I106" s="132">
        <v>2.5</v>
      </c>
      <c r="J106" s="64"/>
      <c r="K106" s="64"/>
      <c r="L106" s="64"/>
      <c r="M106" s="65"/>
      <c r="N106" s="64"/>
      <c r="O106" s="65">
        <v>15</v>
      </c>
      <c r="P106" s="64"/>
      <c r="Q106" s="65"/>
      <c r="R106" s="64">
        <v>150</v>
      </c>
      <c r="S106" s="64"/>
      <c r="T106" s="70">
        <v>11</v>
      </c>
      <c r="U106" s="7" t="s">
        <v>981</v>
      </c>
      <c r="V106" s="7">
        <v>380</v>
      </c>
      <c r="W106" s="151">
        <v>0.92400000000000004</v>
      </c>
      <c r="X106" s="7">
        <v>0.9</v>
      </c>
      <c r="Y106" s="7">
        <v>80</v>
      </c>
      <c r="Z106" s="34">
        <v>265</v>
      </c>
      <c r="AA106" s="274" t="s">
        <v>1390</v>
      </c>
      <c r="AB106" s="61">
        <v>24</v>
      </c>
      <c r="AC106" s="275" t="s">
        <v>1391</v>
      </c>
      <c r="AD106" s="64" t="s">
        <v>1461</v>
      </c>
      <c r="AE106" s="64" t="s">
        <v>1461</v>
      </c>
      <c r="AI106" s="7">
        <v>6050000</v>
      </c>
      <c r="AJ106" s="7"/>
      <c r="AK106" s="18" t="s">
        <v>1462</v>
      </c>
      <c r="AL106" s="1" t="b">
        <v>1</v>
      </c>
    </row>
    <row r="107" spans="1:38">
      <c r="A107" t="s">
        <v>1542</v>
      </c>
      <c r="B107" s="1" t="str">
        <f t="shared" si="3"/>
        <v>M_PMP0301_VM_DH_ENG_150DHS-15_2.5</v>
      </c>
      <c r="C107" s="92" t="s">
        <v>182</v>
      </c>
      <c r="D107" s="7" t="str" cm="1">
        <f t="array" ref="D107">INDEX(기계코드!$D$4:$D$1022,MATCH(1,(C107=기계코드!$F$4:$F$1022)*1,0))</f>
        <v>M_PMP0301</v>
      </c>
      <c r="E107" s="92" t="s">
        <v>1559</v>
      </c>
      <c r="F107" s="7" t="str" cm="1">
        <f t="array" ref="F107">INDEX(공급업체코드!$B$3:$B$1000,MATCH(1,(E107=공급업체코드!$D$3:$D$1000)*1,0))</f>
        <v>VM_DH_ENG</v>
      </c>
      <c r="G107" s="43" t="s">
        <v>1478</v>
      </c>
      <c r="H107" s="63"/>
      <c r="I107" s="132">
        <v>2.5</v>
      </c>
      <c r="J107" s="64"/>
      <c r="K107" s="64"/>
      <c r="L107" s="64"/>
      <c r="M107" s="65"/>
      <c r="N107" s="64"/>
      <c r="O107" s="65">
        <v>20</v>
      </c>
      <c r="P107" s="64"/>
      <c r="Q107" s="65"/>
      <c r="R107" s="64">
        <v>150</v>
      </c>
      <c r="S107" s="64"/>
      <c r="T107" s="70">
        <v>15</v>
      </c>
      <c r="U107" s="7" t="s">
        <v>987</v>
      </c>
      <c r="V107" s="7">
        <v>380</v>
      </c>
      <c r="W107" s="151">
        <v>0.93</v>
      </c>
      <c r="X107" s="7">
        <v>0.9</v>
      </c>
      <c r="Y107" s="7">
        <v>80</v>
      </c>
      <c r="Z107" s="34">
        <v>280</v>
      </c>
      <c r="AA107" s="274" t="s">
        <v>1390</v>
      </c>
      <c r="AB107" s="61">
        <v>24</v>
      </c>
      <c r="AC107" s="275" t="s">
        <v>1391</v>
      </c>
      <c r="AD107" s="64" t="s">
        <v>1461</v>
      </c>
      <c r="AE107" s="64" t="s">
        <v>1461</v>
      </c>
      <c r="AI107" s="7">
        <v>6050000</v>
      </c>
      <c r="AJ107" s="7"/>
      <c r="AK107" s="18" t="s">
        <v>1462</v>
      </c>
      <c r="AL107" s="1" t="b">
        <v>1</v>
      </c>
    </row>
    <row r="108" spans="1:38">
      <c r="A108" t="s">
        <v>1543</v>
      </c>
      <c r="B108" s="1" t="str">
        <f t="shared" si="3"/>
        <v>M_PMP0301_VM_DH_ENG_150DHS-19_2.5</v>
      </c>
      <c r="C108" s="92" t="s">
        <v>182</v>
      </c>
      <c r="D108" s="7" t="str" cm="1">
        <f t="array" ref="D108">INDEX(기계코드!$D$4:$D$1022,MATCH(1,(C108=기계코드!$F$4:$F$1022)*1,0))</f>
        <v>M_PMP0301</v>
      </c>
      <c r="E108" s="92" t="s">
        <v>1559</v>
      </c>
      <c r="F108" s="7" t="str" cm="1">
        <f t="array" ref="F108">INDEX(공급업체코드!$B$3:$B$1000,MATCH(1,(E108=공급업체코드!$D$3:$D$1000)*1,0))</f>
        <v>VM_DH_ENG</v>
      </c>
      <c r="G108" s="43" t="s">
        <v>1480</v>
      </c>
      <c r="H108" s="63"/>
      <c r="I108" s="132">
        <v>2.5</v>
      </c>
      <c r="J108" s="64"/>
      <c r="K108" s="64"/>
      <c r="L108" s="64"/>
      <c r="M108" s="65"/>
      <c r="N108" s="64"/>
      <c r="O108" s="65">
        <v>22</v>
      </c>
      <c r="P108" s="64"/>
      <c r="Q108" s="65"/>
      <c r="R108" s="64">
        <v>150</v>
      </c>
      <c r="S108" s="64"/>
      <c r="T108" s="70">
        <v>19</v>
      </c>
      <c r="U108" s="7" t="s">
        <v>987</v>
      </c>
      <c r="V108" s="7">
        <v>380</v>
      </c>
      <c r="W108" s="151">
        <v>0.93599999999999994</v>
      </c>
      <c r="X108" s="7">
        <v>0.9</v>
      </c>
      <c r="Y108" s="7">
        <v>80</v>
      </c>
      <c r="Z108" s="34">
        <v>360</v>
      </c>
      <c r="AA108" s="274" t="s">
        <v>1390</v>
      </c>
      <c r="AB108" s="61">
        <v>25</v>
      </c>
      <c r="AC108" s="275" t="s">
        <v>1391</v>
      </c>
      <c r="AD108" s="64" t="s">
        <v>1461</v>
      </c>
      <c r="AE108" s="64" t="s">
        <v>1461</v>
      </c>
      <c r="AI108" s="7">
        <v>6050000</v>
      </c>
      <c r="AJ108" s="7"/>
      <c r="AK108" s="18" t="s">
        <v>1462</v>
      </c>
      <c r="AL108" s="1" t="b">
        <v>1</v>
      </c>
    </row>
    <row r="109" spans="1:38">
      <c r="A109" t="s">
        <v>1543</v>
      </c>
      <c r="B109" s="1" t="str">
        <f t="shared" si="3"/>
        <v>M_PMP0301_VM_DH_ENG_150DHS-22_2.5</v>
      </c>
      <c r="C109" s="92" t="s">
        <v>182</v>
      </c>
      <c r="D109" s="7" t="str" cm="1">
        <f t="array" ref="D109">INDEX(기계코드!$D$4:$D$1022,MATCH(1,(C109=기계코드!$F$4:$F$1022)*1,0))</f>
        <v>M_PMP0301</v>
      </c>
      <c r="E109" s="92" t="s">
        <v>1559</v>
      </c>
      <c r="F109" s="7" t="str" cm="1">
        <f t="array" ref="F109">INDEX(공급업체코드!$B$3:$B$1000,MATCH(1,(E109=공급업체코드!$D$3:$D$1000)*1,0))</f>
        <v>VM_DH_ENG</v>
      </c>
      <c r="G109" s="43" t="s">
        <v>1481</v>
      </c>
      <c r="H109" s="63"/>
      <c r="I109" s="132">
        <v>2.5</v>
      </c>
      <c r="J109" s="64"/>
      <c r="K109" s="64"/>
      <c r="L109" s="64"/>
      <c r="M109" s="65"/>
      <c r="N109" s="64"/>
      <c r="O109" s="65">
        <v>25</v>
      </c>
      <c r="P109" s="64"/>
      <c r="Q109" s="65"/>
      <c r="R109" s="64">
        <v>150</v>
      </c>
      <c r="S109" s="64"/>
      <c r="T109" s="70">
        <v>22</v>
      </c>
      <c r="U109" s="7" t="s">
        <v>987</v>
      </c>
      <c r="V109" s="7">
        <v>380</v>
      </c>
      <c r="W109" s="151">
        <v>0.93599999999999994</v>
      </c>
      <c r="X109" s="7">
        <v>0.9</v>
      </c>
      <c r="Y109" s="7">
        <v>80</v>
      </c>
      <c r="Z109" s="34">
        <v>380</v>
      </c>
      <c r="AA109" s="274" t="s">
        <v>1390</v>
      </c>
      <c r="AB109" s="61">
        <v>25</v>
      </c>
      <c r="AC109" s="275" t="s">
        <v>1391</v>
      </c>
      <c r="AD109" s="64" t="s">
        <v>1461</v>
      </c>
      <c r="AE109" s="64" t="s">
        <v>1461</v>
      </c>
      <c r="AI109" s="7">
        <v>6050000</v>
      </c>
      <c r="AJ109" s="7"/>
      <c r="AK109" s="18" t="s">
        <v>1462</v>
      </c>
      <c r="AL109" s="1" t="b">
        <v>1</v>
      </c>
    </row>
    <row r="110" spans="1:38">
      <c r="A110" t="s">
        <v>1543</v>
      </c>
      <c r="B110" s="1" t="str">
        <f t="shared" si="3"/>
        <v>M_PMP0301_VM_DH_ENG_150DHS-30_4.5</v>
      </c>
      <c r="C110" s="92" t="s">
        <v>182</v>
      </c>
      <c r="D110" s="7" t="str" cm="1">
        <f t="array" ref="D110">INDEX(기계코드!$D$4:$D$1022,MATCH(1,(C110=기계코드!$F$4:$F$1022)*1,0))</f>
        <v>M_PMP0301</v>
      </c>
      <c r="E110" s="92" t="s">
        <v>1559</v>
      </c>
      <c r="F110" s="7" t="str" cm="1">
        <f t="array" ref="F110">INDEX(공급업체코드!$B$3:$B$1000,MATCH(1,(E110=공급업체코드!$D$3:$D$1000)*1,0))</f>
        <v>VM_DH_ENG</v>
      </c>
      <c r="G110" s="43" t="s">
        <v>1483</v>
      </c>
      <c r="H110" s="63"/>
      <c r="I110" s="132">
        <v>4.5</v>
      </c>
      <c r="J110" s="64"/>
      <c r="K110" s="64"/>
      <c r="L110" s="64"/>
      <c r="M110" s="65"/>
      <c r="N110" s="64"/>
      <c r="O110" s="65">
        <v>30</v>
      </c>
      <c r="P110" s="64"/>
      <c r="Q110" s="65"/>
      <c r="R110" s="64">
        <v>150</v>
      </c>
      <c r="S110" s="64"/>
      <c r="T110" s="70">
        <v>30</v>
      </c>
      <c r="U110" s="7" t="s">
        <v>987</v>
      </c>
      <c r="V110" s="7">
        <v>380</v>
      </c>
      <c r="W110" s="151">
        <v>0.94099999999999995</v>
      </c>
      <c r="X110" s="7">
        <v>0.9</v>
      </c>
      <c r="Y110" s="7">
        <v>80</v>
      </c>
      <c r="Z110" s="34">
        <v>390</v>
      </c>
      <c r="AA110" s="274" t="s">
        <v>1390</v>
      </c>
      <c r="AB110" s="61">
        <v>25</v>
      </c>
      <c r="AC110" s="275" t="s">
        <v>1391</v>
      </c>
      <c r="AD110" s="64" t="s">
        <v>1461</v>
      </c>
      <c r="AE110" s="64" t="s">
        <v>1461</v>
      </c>
      <c r="AI110" s="7">
        <v>6050000</v>
      </c>
      <c r="AJ110" s="7"/>
      <c r="AK110" s="18" t="s">
        <v>1462</v>
      </c>
      <c r="AL110" s="1" t="b">
        <v>1</v>
      </c>
    </row>
    <row r="111" spans="1:38">
      <c r="A111" t="s">
        <v>1544</v>
      </c>
      <c r="B111" s="1" t="str">
        <f t="shared" si="3"/>
        <v>M_PMP0301_VM_DH_ENG_200DHS-11_4.5</v>
      </c>
      <c r="C111" s="92" t="s">
        <v>182</v>
      </c>
      <c r="D111" s="7" t="str" cm="1">
        <f t="array" ref="D111">INDEX(기계코드!$D$4:$D$1022,MATCH(1,(C111=기계코드!$F$4:$F$1022)*1,0))</f>
        <v>M_PMP0301</v>
      </c>
      <c r="E111" s="92" t="s">
        <v>1559</v>
      </c>
      <c r="F111" s="7" t="str" cm="1">
        <f t="array" ref="F111">INDEX(공급업체코드!$B$3:$B$1000,MATCH(1,(E111=공급업체코드!$D$3:$D$1000)*1,0))</f>
        <v>VM_DH_ENG</v>
      </c>
      <c r="G111" s="43" t="s">
        <v>1484</v>
      </c>
      <c r="H111" s="63"/>
      <c r="I111" s="132">
        <v>4.5</v>
      </c>
      <c r="J111" s="64"/>
      <c r="K111" s="64"/>
      <c r="L111" s="64"/>
      <c r="M111" s="65"/>
      <c r="N111" s="64"/>
      <c r="O111" s="65">
        <v>9</v>
      </c>
      <c r="P111" s="64"/>
      <c r="Q111" s="65"/>
      <c r="R111" s="64">
        <v>200</v>
      </c>
      <c r="S111" s="64"/>
      <c r="T111" s="70">
        <v>11</v>
      </c>
      <c r="U111" s="7" t="s">
        <v>981</v>
      </c>
      <c r="V111" s="7">
        <v>380</v>
      </c>
      <c r="W111" s="151">
        <v>0.92400000000000004</v>
      </c>
      <c r="X111" s="7">
        <v>0.9</v>
      </c>
      <c r="Y111" s="7">
        <v>80</v>
      </c>
      <c r="Z111" s="34">
        <v>305</v>
      </c>
      <c r="AA111" s="274" t="s">
        <v>1390</v>
      </c>
      <c r="AB111" s="61">
        <v>24</v>
      </c>
      <c r="AC111" s="275" t="s">
        <v>1391</v>
      </c>
      <c r="AD111" s="64" t="s">
        <v>1461</v>
      </c>
      <c r="AE111" s="64" t="s">
        <v>1461</v>
      </c>
      <c r="AI111" s="7">
        <v>7500000</v>
      </c>
      <c r="AJ111" s="7"/>
      <c r="AK111" s="18" t="s">
        <v>1462</v>
      </c>
      <c r="AL111" s="1" t="b">
        <v>1</v>
      </c>
    </row>
    <row r="112" spans="1:38">
      <c r="A112" t="s">
        <v>1544</v>
      </c>
      <c r="B112" s="1" t="str">
        <f t="shared" si="3"/>
        <v>M_PMP0301_VM_DH_ENG_200DHS-15_4.5</v>
      </c>
      <c r="C112" s="92" t="s">
        <v>182</v>
      </c>
      <c r="D112" s="7" t="str" cm="1">
        <f t="array" ref="D112">INDEX(기계코드!$D$4:$D$1022,MATCH(1,(C112=기계코드!$F$4:$F$1022)*1,0))</f>
        <v>M_PMP0301</v>
      </c>
      <c r="E112" s="92" t="s">
        <v>1559</v>
      </c>
      <c r="F112" s="7" t="str" cm="1">
        <f t="array" ref="F112">INDEX(공급업체코드!$B$3:$B$1000,MATCH(1,(E112=공급업체코드!$D$3:$D$1000)*1,0))</f>
        <v>VM_DH_ENG</v>
      </c>
      <c r="G112" s="43" t="s">
        <v>1485</v>
      </c>
      <c r="H112" s="63"/>
      <c r="I112" s="132">
        <v>4.5</v>
      </c>
      <c r="J112" s="64"/>
      <c r="K112" s="64"/>
      <c r="L112" s="64"/>
      <c r="M112" s="65"/>
      <c r="N112" s="64"/>
      <c r="O112" s="65">
        <v>13</v>
      </c>
      <c r="P112" s="64"/>
      <c r="Q112" s="65"/>
      <c r="R112" s="64">
        <v>200</v>
      </c>
      <c r="S112" s="64"/>
      <c r="T112" s="70">
        <v>15</v>
      </c>
      <c r="U112" s="7" t="s">
        <v>987</v>
      </c>
      <c r="V112" s="7">
        <v>380</v>
      </c>
      <c r="W112" s="151">
        <v>0.93</v>
      </c>
      <c r="X112" s="7">
        <v>0.9</v>
      </c>
      <c r="Y112" s="7">
        <v>80</v>
      </c>
      <c r="Z112" s="34">
        <v>320</v>
      </c>
      <c r="AA112" s="274" t="s">
        <v>1390</v>
      </c>
      <c r="AB112" s="61">
        <v>24</v>
      </c>
      <c r="AC112" s="275" t="s">
        <v>1391</v>
      </c>
      <c r="AD112" s="64" t="s">
        <v>1461</v>
      </c>
      <c r="AE112" s="64" t="s">
        <v>1461</v>
      </c>
      <c r="AI112" s="7">
        <v>7500000</v>
      </c>
      <c r="AJ112" s="7"/>
      <c r="AK112" s="18" t="s">
        <v>1462</v>
      </c>
      <c r="AL112" s="1" t="b">
        <v>1</v>
      </c>
    </row>
    <row r="113" spans="1:38">
      <c r="A113" t="s">
        <v>1544</v>
      </c>
      <c r="B113" s="1" t="str">
        <f t="shared" si="3"/>
        <v>M_PMP0301_VM_DH_ENG_200DHS-22_4.5</v>
      </c>
      <c r="C113" s="92" t="s">
        <v>182</v>
      </c>
      <c r="D113" s="7" t="str" cm="1">
        <f t="array" ref="D113">INDEX(기계코드!$D$4:$D$1022,MATCH(1,(C113=기계코드!$F$4:$F$1022)*1,0))</f>
        <v>M_PMP0301</v>
      </c>
      <c r="E113" s="92" t="s">
        <v>1559</v>
      </c>
      <c r="F113" s="7" t="str" cm="1">
        <f t="array" ref="F113">INDEX(공급업체코드!$B$3:$B$1000,MATCH(1,(E113=공급업체코드!$D$3:$D$1000)*1,0))</f>
        <v>VM_DH_ENG</v>
      </c>
      <c r="G113" s="43" t="s">
        <v>1486</v>
      </c>
      <c r="H113" s="63"/>
      <c r="I113" s="132">
        <v>4.5</v>
      </c>
      <c r="J113" s="64"/>
      <c r="K113" s="64"/>
      <c r="L113" s="64"/>
      <c r="M113" s="65"/>
      <c r="N113" s="64"/>
      <c r="O113" s="65">
        <v>18</v>
      </c>
      <c r="P113" s="64"/>
      <c r="Q113" s="65"/>
      <c r="R113" s="64">
        <v>200</v>
      </c>
      <c r="S113" s="64"/>
      <c r="T113" s="70">
        <v>22</v>
      </c>
      <c r="U113" s="7" t="s">
        <v>987</v>
      </c>
      <c r="V113" s="7">
        <v>380</v>
      </c>
      <c r="W113" s="151">
        <v>0.93599999999999994</v>
      </c>
      <c r="X113" s="7">
        <v>0.9</v>
      </c>
      <c r="Y113" s="7">
        <v>80</v>
      </c>
      <c r="Z113" s="34">
        <v>510</v>
      </c>
      <c r="AA113" s="274" t="s">
        <v>1390</v>
      </c>
      <c r="AB113" s="61">
        <v>25</v>
      </c>
      <c r="AC113" s="275" t="s">
        <v>1391</v>
      </c>
      <c r="AD113" s="64" t="s">
        <v>1461</v>
      </c>
      <c r="AE113" s="64" t="s">
        <v>1461</v>
      </c>
      <c r="AI113" s="7">
        <v>9300000</v>
      </c>
      <c r="AJ113" s="7"/>
      <c r="AK113" s="18" t="s">
        <v>1462</v>
      </c>
      <c r="AL113" s="1" t="b">
        <v>1</v>
      </c>
    </row>
    <row r="114" spans="1:38">
      <c r="A114" t="s">
        <v>1545</v>
      </c>
      <c r="B114" s="1" t="str">
        <f t="shared" si="3"/>
        <v>M_PMP0301_VM_DH_ENG_200DHS-30_4.5</v>
      </c>
      <c r="C114" s="92" t="s">
        <v>182</v>
      </c>
      <c r="D114" s="7" t="str" cm="1">
        <f t="array" ref="D114">INDEX(기계코드!$D$4:$D$1022,MATCH(1,(C114=기계코드!$F$4:$F$1022)*1,0))</f>
        <v>M_PMP0301</v>
      </c>
      <c r="E114" s="92" t="s">
        <v>1559</v>
      </c>
      <c r="F114" s="7" t="str" cm="1">
        <f t="array" ref="F114">INDEX(공급업체코드!$B$3:$B$1000,MATCH(1,(E114=공급업체코드!$D$3:$D$1000)*1,0))</f>
        <v>VM_DH_ENG</v>
      </c>
      <c r="G114" s="43" t="s">
        <v>1488</v>
      </c>
      <c r="H114" s="63"/>
      <c r="I114" s="132">
        <v>4.5</v>
      </c>
      <c r="J114" s="64"/>
      <c r="K114" s="64"/>
      <c r="L114" s="64"/>
      <c r="M114" s="65"/>
      <c r="N114" s="64"/>
      <c r="O114" s="65">
        <v>20</v>
      </c>
      <c r="P114" s="64"/>
      <c r="Q114" s="65"/>
      <c r="R114" s="64">
        <v>200</v>
      </c>
      <c r="S114" s="64"/>
      <c r="T114" s="70">
        <v>30</v>
      </c>
      <c r="U114" s="7" t="s">
        <v>987</v>
      </c>
      <c r="V114" s="7">
        <v>380</v>
      </c>
      <c r="W114" s="151">
        <v>0.94099999999999995</v>
      </c>
      <c r="X114" s="7">
        <v>0.9</v>
      </c>
      <c r="Y114" s="7">
        <v>80</v>
      </c>
      <c r="Z114" s="34">
        <v>540</v>
      </c>
      <c r="AA114" s="274" t="s">
        <v>1390</v>
      </c>
      <c r="AB114" s="61">
        <v>25</v>
      </c>
      <c r="AC114" s="275" t="s">
        <v>1391</v>
      </c>
      <c r="AD114" s="64" t="s">
        <v>1461</v>
      </c>
      <c r="AE114" s="64" t="s">
        <v>1461</v>
      </c>
      <c r="AI114" s="7">
        <v>9300000</v>
      </c>
      <c r="AJ114" s="7"/>
      <c r="AK114" s="18" t="s">
        <v>1462</v>
      </c>
      <c r="AL114" s="1" t="b">
        <v>1</v>
      </c>
    </row>
    <row r="115" spans="1:38">
      <c r="A115" t="s">
        <v>1545</v>
      </c>
      <c r="B115" s="1" t="str">
        <f t="shared" si="3"/>
        <v>M_PMP0301_VM_DH_ENG_200DHS-37_4.5</v>
      </c>
      <c r="C115" s="92" t="s">
        <v>182</v>
      </c>
      <c r="D115" s="7" t="str" cm="1">
        <f t="array" ref="D115">INDEX(기계코드!$D$4:$D$1022,MATCH(1,(C115=기계코드!$F$4:$F$1022)*1,0))</f>
        <v>M_PMP0301</v>
      </c>
      <c r="E115" s="92" t="s">
        <v>1559</v>
      </c>
      <c r="F115" s="7" t="str" cm="1">
        <f t="array" ref="F115">INDEX(공급업체코드!$B$3:$B$1000,MATCH(1,(E115=공급업체코드!$D$3:$D$1000)*1,0))</f>
        <v>VM_DH_ENG</v>
      </c>
      <c r="G115" s="43" t="s">
        <v>1489</v>
      </c>
      <c r="H115" s="63"/>
      <c r="I115" s="132">
        <v>4.5</v>
      </c>
      <c r="J115" s="64"/>
      <c r="K115" s="64"/>
      <c r="L115" s="64"/>
      <c r="M115" s="65"/>
      <c r="N115" s="64"/>
      <c r="O115" s="65">
        <v>28</v>
      </c>
      <c r="P115" s="64"/>
      <c r="Q115" s="65"/>
      <c r="R115" s="64">
        <v>200</v>
      </c>
      <c r="S115" s="64"/>
      <c r="T115" s="70">
        <v>37</v>
      </c>
      <c r="U115" s="7" t="s">
        <v>987</v>
      </c>
      <c r="V115" s="7">
        <v>380</v>
      </c>
      <c r="W115" s="151">
        <v>0.94499999999999995</v>
      </c>
      <c r="X115" s="7">
        <v>0.9</v>
      </c>
      <c r="Y115" s="7">
        <v>80</v>
      </c>
      <c r="Z115" s="34">
        <v>560</v>
      </c>
      <c r="AA115" s="274" t="s">
        <v>1390</v>
      </c>
      <c r="AB115" s="61"/>
      <c r="AC115" s="275" t="s">
        <v>1391</v>
      </c>
      <c r="AD115" s="64" t="s">
        <v>1461</v>
      </c>
      <c r="AE115" s="64" t="s">
        <v>1461</v>
      </c>
      <c r="AI115" s="7">
        <v>9300000</v>
      </c>
      <c r="AJ115" s="7"/>
      <c r="AK115" s="18" t="s">
        <v>1462</v>
      </c>
      <c r="AL115" s="1" t="b">
        <v>1</v>
      </c>
    </row>
    <row r="116" spans="1:38">
      <c r="A116" t="s">
        <v>1545</v>
      </c>
      <c r="B116" s="1" t="str">
        <f t="shared" si="3"/>
        <v>M_PMP0301_VM_DH_ENG_200DHS-55_4.5</v>
      </c>
      <c r="C116" s="92" t="s">
        <v>182</v>
      </c>
      <c r="D116" s="7" t="str" cm="1">
        <f t="array" ref="D116">INDEX(기계코드!$D$4:$D$1022,MATCH(1,(C116=기계코드!$F$4:$F$1022)*1,0))</f>
        <v>M_PMP0301</v>
      </c>
      <c r="E116" s="92" t="s">
        <v>1559</v>
      </c>
      <c r="F116" s="7" t="str" cm="1">
        <f t="array" ref="F116">INDEX(공급업체코드!$B$3:$B$1000,MATCH(1,(E116=공급업체코드!$D$3:$D$1000)*1,0))</f>
        <v>VM_DH_ENG</v>
      </c>
      <c r="G116" s="43" t="s">
        <v>1490</v>
      </c>
      <c r="H116" s="63"/>
      <c r="I116" s="132">
        <v>4.5</v>
      </c>
      <c r="J116" s="64"/>
      <c r="K116" s="64"/>
      <c r="L116" s="64"/>
      <c r="M116" s="65"/>
      <c r="N116" s="64"/>
      <c r="O116" s="65">
        <v>40</v>
      </c>
      <c r="P116" s="64"/>
      <c r="Q116" s="65"/>
      <c r="R116" s="64">
        <v>200</v>
      </c>
      <c r="S116" s="64"/>
      <c r="T116" s="70">
        <v>55</v>
      </c>
      <c r="U116" s="7" t="s">
        <v>987</v>
      </c>
      <c r="V116" s="7">
        <v>380</v>
      </c>
      <c r="W116" s="151">
        <v>0.95400000000000007</v>
      </c>
      <c r="X116" s="7">
        <v>0.9</v>
      </c>
      <c r="Y116" s="7">
        <v>80</v>
      </c>
      <c r="Z116" s="34">
        <v>590</v>
      </c>
      <c r="AA116" s="274" t="s">
        <v>1390</v>
      </c>
      <c r="AB116" s="61"/>
      <c r="AC116" s="275" t="s">
        <v>1391</v>
      </c>
      <c r="AD116" s="64" t="s">
        <v>1461</v>
      </c>
      <c r="AE116" s="64" t="s">
        <v>1461</v>
      </c>
      <c r="AI116" s="7">
        <v>9300000</v>
      </c>
      <c r="AJ116" s="7"/>
      <c r="AK116" s="18" t="s">
        <v>1462</v>
      </c>
      <c r="AL116" s="1" t="b">
        <v>1</v>
      </c>
    </row>
    <row r="117" spans="1:38">
      <c r="A117" t="s">
        <v>1546</v>
      </c>
      <c r="B117" s="1" t="str">
        <f t="shared" si="3"/>
        <v>M_PMP0301_VM_DH_ENG_250DHS-11_6</v>
      </c>
      <c r="C117" s="92" t="s">
        <v>182</v>
      </c>
      <c r="D117" s="7" t="str" cm="1">
        <f t="array" ref="D117">INDEX(기계코드!$D$4:$D$1022,MATCH(1,(C117=기계코드!$F$4:$F$1022)*1,0))</f>
        <v>M_PMP0301</v>
      </c>
      <c r="E117" s="92" t="s">
        <v>1559</v>
      </c>
      <c r="F117" s="7" t="str" cm="1">
        <f t="array" ref="F117">INDEX(공급업체코드!$B$3:$B$1000,MATCH(1,(E117=공급업체코드!$D$3:$D$1000)*1,0))</f>
        <v>VM_DH_ENG</v>
      </c>
      <c r="G117" s="43" t="s">
        <v>1492</v>
      </c>
      <c r="H117" s="63"/>
      <c r="I117" s="132">
        <v>6</v>
      </c>
      <c r="J117" s="64"/>
      <c r="K117" s="64"/>
      <c r="L117" s="64"/>
      <c r="M117" s="65"/>
      <c r="N117" s="64"/>
      <c r="O117" s="65">
        <v>7</v>
      </c>
      <c r="P117" s="64"/>
      <c r="Q117" s="65"/>
      <c r="R117" s="64">
        <v>250</v>
      </c>
      <c r="S117" s="64"/>
      <c r="T117" s="70">
        <v>11</v>
      </c>
      <c r="U117" s="7" t="s">
        <v>981</v>
      </c>
      <c r="V117" s="7">
        <v>380</v>
      </c>
      <c r="W117" s="151">
        <v>0.92400000000000004</v>
      </c>
      <c r="X117" s="7">
        <v>0.9</v>
      </c>
      <c r="Y117" s="7">
        <v>80</v>
      </c>
      <c r="Z117" s="34">
        <v>430</v>
      </c>
      <c r="AA117" s="274" t="s">
        <v>1390</v>
      </c>
      <c r="AB117" s="61">
        <v>24</v>
      </c>
      <c r="AC117" s="275" t="s">
        <v>1391</v>
      </c>
      <c r="AD117" s="64" t="s">
        <v>1461</v>
      </c>
      <c r="AE117" s="64" t="s">
        <v>1461</v>
      </c>
      <c r="AI117" s="7">
        <v>13800000</v>
      </c>
      <c r="AJ117" s="7"/>
      <c r="AK117" s="18" t="s">
        <v>1462</v>
      </c>
      <c r="AL117" s="1" t="b">
        <v>1</v>
      </c>
    </row>
    <row r="118" spans="1:38">
      <c r="A118" t="s">
        <v>1546</v>
      </c>
      <c r="B118" s="1" t="str">
        <f t="shared" si="3"/>
        <v>M_PMP0301_VM_DH_ENG_250DHS-15_6.5</v>
      </c>
      <c r="C118" s="92" t="s">
        <v>182</v>
      </c>
      <c r="D118" s="7" t="str" cm="1">
        <f t="array" ref="D118">INDEX(기계코드!$D$4:$D$1022,MATCH(1,(C118=기계코드!$F$4:$F$1022)*1,0))</f>
        <v>M_PMP0301</v>
      </c>
      <c r="E118" s="92" t="s">
        <v>1559</v>
      </c>
      <c r="F118" s="7" t="str" cm="1">
        <f t="array" ref="F118">INDEX(공급업체코드!$B$3:$B$1000,MATCH(1,(E118=공급업체코드!$D$3:$D$1000)*1,0))</f>
        <v>VM_DH_ENG</v>
      </c>
      <c r="G118" s="43" t="s">
        <v>1493</v>
      </c>
      <c r="H118" s="63"/>
      <c r="I118" s="132">
        <v>6.5</v>
      </c>
      <c r="J118" s="64"/>
      <c r="K118" s="64"/>
      <c r="L118" s="64"/>
      <c r="M118" s="65"/>
      <c r="N118" s="64"/>
      <c r="O118" s="65">
        <v>9</v>
      </c>
      <c r="P118" s="64"/>
      <c r="Q118" s="65"/>
      <c r="R118" s="64">
        <v>250</v>
      </c>
      <c r="S118" s="64"/>
      <c r="T118" s="70">
        <v>15</v>
      </c>
      <c r="U118" s="7" t="s">
        <v>987</v>
      </c>
      <c r="V118" s="7">
        <v>380</v>
      </c>
      <c r="W118" s="151">
        <v>0.93</v>
      </c>
      <c r="X118" s="7">
        <v>0.9</v>
      </c>
      <c r="Y118" s="7">
        <v>80</v>
      </c>
      <c r="Z118" s="34">
        <v>450</v>
      </c>
      <c r="AA118" s="274" t="s">
        <v>1390</v>
      </c>
      <c r="AB118" s="61">
        <v>24</v>
      </c>
      <c r="AC118" s="275" t="s">
        <v>1391</v>
      </c>
      <c r="AD118" s="64" t="s">
        <v>1461</v>
      </c>
      <c r="AE118" s="64" t="s">
        <v>1461</v>
      </c>
      <c r="AI118" s="7">
        <v>13800000</v>
      </c>
      <c r="AJ118" s="7"/>
      <c r="AK118" s="18" t="s">
        <v>1462</v>
      </c>
      <c r="AL118" s="1" t="b">
        <v>1</v>
      </c>
    </row>
    <row r="119" spans="1:38">
      <c r="A119" t="s">
        <v>1546</v>
      </c>
      <c r="B119" s="1" t="str">
        <f t="shared" si="3"/>
        <v>M_PMP0301_VM_DH_ENG_250DHS-22_7</v>
      </c>
      <c r="C119" s="92" t="s">
        <v>182</v>
      </c>
      <c r="D119" s="7" t="str" cm="1">
        <f t="array" ref="D119">INDEX(기계코드!$D$4:$D$1022,MATCH(1,(C119=기계코드!$F$4:$F$1022)*1,0))</f>
        <v>M_PMP0301</v>
      </c>
      <c r="E119" s="92" t="s">
        <v>1559</v>
      </c>
      <c r="F119" s="7" t="str" cm="1">
        <f t="array" ref="F119">INDEX(공급업체코드!$B$3:$B$1000,MATCH(1,(E119=공급업체코드!$D$3:$D$1000)*1,0))</f>
        <v>VM_DH_ENG</v>
      </c>
      <c r="G119" s="43" t="s">
        <v>1494</v>
      </c>
      <c r="H119" s="63"/>
      <c r="I119" s="132">
        <v>7</v>
      </c>
      <c r="J119" s="64"/>
      <c r="K119" s="64"/>
      <c r="L119" s="64"/>
      <c r="M119" s="65"/>
      <c r="N119" s="64"/>
      <c r="O119" s="65">
        <v>11.5</v>
      </c>
      <c r="P119" s="64"/>
      <c r="Q119" s="65"/>
      <c r="R119" s="64">
        <v>250</v>
      </c>
      <c r="S119" s="64"/>
      <c r="T119" s="70">
        <v>22</v>
      </c>
      <c r="U119" s="7" t="s">
        <v>987</v>
      </c>
      <c r="V119" s="7">
        <v>380</v>
      </c>
      <c r="W119" s="151">
        <v>0.93599999999999994</v>
      </c>
      <c r="X119" s="7">
        <v>0.9</v>
      </c>
      <c r="Y119" s="7">
        <v>80</v>
      </c>
      <c r="Z119" s="34">
        <v>650</v>
      </c>
      <c r="AA119" s="274" t="s">
        <v>1390</v>
      </c>
      <c r="AB119" s="61">
        <v>25</v>
      </c>
      <c r="AC119" s="275" t="s">
        <v>1391</v>
      </c>
      <c r="AD119" s="64" t="s">
        <v>1461</v>
      </c>
      <c r="AE119" s="64" t="s">
        <v>1461</v>
      </c>
      <c r="AI119" s="7">
        <v>13800000</v>
      </c>
      <c r="AJ119" s="7"/>
      <c r="AK119" s="18" t="s">
        <v>1462</v>
      </c>
      <c r="AL119" s="1" t="b">
        <v>1</v>
      </c>
    </row>
    <row r="120" spans="1:38">
      <c r="A120" t="s">
        <v>1546</v>
      </c>
      <c r="B120" s="1" t="str">
        <f t="shared" si="3"/>
        <v>M_PMP0301_VM_DH_ENG_250DHS-30_6.5</v>
      </c>
      <c r="C120" s="92" t="s">
        <v>182</v>
      </c>
      <c r="D120" s="7" t="str" cm="1">
        <f t="array" ref="D120">INDEX(기계코드!$D$4:$D$1022,MATCH(1,(C120=기계코드!$F$4:$F$1022)*1,0))</f>
        <v>M_PMP0301</v>
      </c>
      <c r="E120" s="92" t="s">
        <v>1559</v>
      </c>
      <c r="F120" s="7" t="str" cm="1">
        <f t="array" ref="F120">INDEX(공급업체코드!$B$3:$B$1000,MATCH(1,(E120=공급업체코드!$D$3:$D$1000)*1,0))</f>
        <v>VM_DH_ENG</v>
      </c>
      <c r="G120" s="43" t="s">
        <v>1495</v>
      </c>
      <c r="H120" s="63"/>
      <c r="I120" s="132">
        <v>6.5</v>
      </c>
      <c r="J120" s="64"/>
      <c r="K120" s="64"/>
      <c r="L120" s="64"/>
      <c r="M120" s="65"/>
      <c r="N120" s="64"/>
      <c r="O120" s="65">
        <v>15</v>
      </c>
      <c r="P120" s="64"/>
      <c r="Q120" s="65"/>
      <c r="R120" s="64">
        <v>250</v>
      </c>
      <c r="S120" s="64"/>
      <c r="T120" s="70">
        <v>30</v>
      </c>
      <c r="U120" s="7" t="s">
        <v>987</v>
      </c>
      <c r="V120" s="7">
        <v>380</v>
      </c>
      <c r="W120" s="151">
        <v>0.94099999999999995</v>
      </c>
      <c r="X120" s="7">
        <v>0.9</v>
      </c>
      <c r="Y120" s="7">
        <v>80</v>
      </c>
      <c r="Z120" s="34">
        <v>675</v>
      </c>
      <c r="AA120" s="274" t="s">
        <v>1390</v>
      </c>
      <c r="AB120" s="61">
        <v>25</v>
      </c>
      <c r="AC120" s="275" t="s">
        <v>1391</v>
      </c>
      <c r="AD120" s="64" t="s">
        <v>1461</v>
      </c>
      <c r="AE120" s="64" t="s">
        <v>1461</v>
      </c>
      <c r="AI120" s="7">
        <v>13800000</v>
      </c>
      <c r="AJ120" s="7"/>
      <c r="AK120" s="18" t="s">
        <v>1462</v>
      </c>
      <c r="AL120" s="1" t="b">
        <v>1</v>
      </c>
    </row>
    <row r="121" spans="1:38">
      <c r="A121" t="s">
        <v>1547</v>
      </c>
      <c r="B121" s="1" t="str">
        <f t="shared" si="3"/>
        <v>M_PMP0301_VM_DH_ENG_250DHS-37_7</v>
      </c>
      <c r="C121" s="92" t="s">
        <v>182</v>
      </c>
      <c r="D121" s="7" t="str" cm="1">
        <f t="array" ref="D121">INDEX(기계코드!$D$4:$D$1022,MATCH(1,(C121=기계코드!$F$4:$F$1022)*1,0))</f>
        <v>M_PMP0301</v>
      </c>
      <c r="E121" s="92" t="s">
        <v>1559</v>
      </c>
      <c r="F121" s="7" t="str" cm="1">
        <f t="array" ref="F121">INDEX(공급업체코드!$B$3:$B$1000,MATCH(1,(E121=공급업체코드!$D$3:$D$1000)*1,0))</f>
        <v>VM_DH_ENG</v>
      </c>
      <c r="G121" s="43" t="s">
        <v>1497</v>
      </c>
      <c r="H121" s="63"/>
      <c r="I121" s="132">
        <v>7</v>
      </c>
      <c r="J121" s="64"/>
      <c r="K121" s="64"/>
      <c r="L121" s="64"/>
      <c r="M121" s="65"/>
      <c r="N121" s="64"/>
      <c r="O121" s="65">
        <v>19</v>
      </c>
      <c r="P121" s="64"/>
      <c r="Q121" s="65"/>
      <c r="R121" s="64">
        <v>250</v>
      </c>
      <c r="S121" s="64"/>
      <c r="T121" s="70">
        <v>37</v>
      </c>
      <c r="U121" s="7" t="s">
        <v>987</v>
      </c>
      <c r="V121" s="7">
        <v>380</v>
      </c>
      <c r="W121" s="151">
        <v>0.94499999999999995</v>
      </c>
      <c r="X121" s="7">
        <v>0.9</v>
      </c>
      <c r="Y121" s="7">
        <v>80</v>
      </c>
      <c r="Z121" s="34">
        <v>710</v>
      </c>
      <c r="AA121" s="274" t="s">
        <v>1390</v>
      </c>
      <c r="AB121" s="61"/>
      <c r="AC121" s="275" t="s">
        <v>1391</v>
      </c>
      <c r="AD121" s="64" t="s">
        <v>1461</v>
      </c>
      <c r="AE121" s="64" t="s">
        <v>1461</v>
      </c>
      <c r="AI121" s="7">
        <v>16500000</v>
      </c>
      <c r="AJ121" s="7"/>
      <c r="AK121" s="18" t="s">
        <v>1462</v>
      </c>
      <c r="AL121" s="1" t="b">
        <v>1</v>
      </c>
    </row>
    <row r="122" spans="1:38">
      <c r="A122" t="s">
        <v>1548</v>
      </c>
      <c r="B122" s="1" t="str">
        <f t="shared" si="3"/>
        <v>M_PMP0301_VM_DH_ENG_250DHS-45_6</v>
      </c>
      <c r="C122" s="92" t="s">
        <v>182</v>
      </c>
      <c r="D122" s="7" t="str" cm="1">
        <f t="array" ref="D122">INDEX(기계코드!$D$4:$D$1022,MATCH(1,(C122=기계코드!$F$4:$F$1022)*1,0))</f>
        <v>M_PMP0301</v>
      </c>
      <c r="E122" s="92" t="s">
        <v>1559</v>
      </c>
      <c r="F122" s="7" t="str" cm="1">
        <f t="array" ref="F122">INDEX(공급업체코드!$B$3:$B$1000,MATCH(1,(E122=공급업체코드!$D$3:$D$1000)*1,0))</f>
        <v>VM_DH_ENG</v>
      </c>
      <c r="G122" s="43" t="s">
        <v>1499</v>
      </c>
      <c r="H122" s="63"/>
      <c r="I122" s="132">
        <v>6</v>
      </c>
      <c r="J122" s="64"/>
      <c r="K122" s="64"/>
      <c r="L122" s="64"/>
      <c r="M122" s="65"/>
      <c r="N122" s="64"/>
      <c r="O122" s="65">
        <v>26</v>
      </c>
      <c r="P122" s="64"/>
      <c r="Q122" s="65"/>
      <c r="R122" s="64">
        <v>250</v>
      </c>
      <c r="S122" s="64"/>
      <c r="T122" s="70">
        <v>45</v>
      </c>
      <c r="U122" s="7" t="s">
        <v>987</v>
      </c>
      <c r="V122" s="7">
        <v>380</v>
      </c>
      <c r="W122" s="151">
        <v>0.95</v>
      </c>
      <c r="X122" s="7">
        <v>0.9</v>
      </c>
      <c r="Y122" s="7">
        <v>80</v>
      </c>
      <c r="Z122" s="34">
        <v>800</v>
      </c>
      <c r="AA122" s="274" t="s">
        <v>1390</v>
      </c>
      <c r="AB122" s="61"/>
      <c r="AC122" s="275" t="s">
        <v>1391</v>
      </c>
      <c r="AD122" s="64" t="s">
        <v>1461</v>
      </c>
      <c r="AE122" s="64" t="s">
        <v>1461</v>
      </c>
      <c r="AI122" s="7">
        <v>19300000</v>
      </c>
      <c r="AJ122" s="7"/>
      <c r="AK122" s="18" t="s">
        <v>1462</v>
      </c>
      <c r="AL122" s="1" t="b">
        <v>1</v>
      </c>
    </row>
    <row r="123" spans="1:38">
      <c r="A123" t="s">
        <v>1549</v>
      </c>
      <c r="B123" s="1" t="str">
        <f t="shared" si="3"/>
        <v>M_PMP0301_VM_DH_ENG_250DHS-55_7</v>
      </c>
      <c r="C123" s="92" t="s">
        <v>182</v>
      </c>
      <c r="D123" s="7" t="str" cm="1">
        <f t="array" ref="D123">INDEX(기계코드!$D$4:$D$1022,MATCH(1,(C123=기계코드!$F$4:$F$1022)*1,0))</f>
        <v>M_PMP0301</v>
      </c>
      <c r="E123" s="92" t="s">
        <v>1559</v>
      </c>
      <c r="F123" s="7" t="str" cm="1">
        <f t="array" ref="F123">INDEX(공급업체코드!$B$3:$B$1000,MATCH(1,(E123=공급업체코드!$D$3:$D$1000)*1,0))</f>
        <v>VM_DH_ENG</v>
      </c>
      <c r="G123" s="43" t="s">
        <v>1501</v>
      </c>
      <c r="H123" s="63"/>
      <c r="I123" s="132">
        <v>7</v>
      </c>
      <c r="J123" s="64"/>
      <c r="K123" s="64"/>
      <c r="L123" s="64"/>
      <c r="M123" s="65"/>
      <c r="N123" s="64"/>
      <c r="O123" s="65">
        <v>30</v>
      </c>
      <c r="P123" s="64"/>
      <c r="Q123" s="65"/>
      <c r="R123" s="64">
        <v>250</v>
      </c>
      <c r="S123" s="64"/>
      <c r="T123" s="70">
        <v>55</v>
      </c>
      <c r="U123" s="7" t="s">
        <v>987</v>
      </c>
      <c r="V123" s="7">
        <v>380</v>
      </c>
      <c r="W123" s="151">
        <v>0.95400000000000007</v>
      </c>
      <c r="X123" s="7">
        <v>0.9</v>
      </c>
      <c r="Y123" s="7">
        <v>80</v>
      </c>
      <c r="Z123" s="34">
        <v>950</v>
      </c>
      <c r="AA123" s="274" t="s">
        <v>1390</v>
      </c>
      <c r="AB123" s="61"/>
      <c r="AC123" s="275" t="s">
        <v>1391</v>
      </c>
      <c r="AD123" s="64" t="s">
        <v>1461</v>
      </c>
      <c r="AE123" s="64" t="s">
        <v>1461</v>
      </c>
      <c r="AI123" s="7">
        <v>26000000</v>
      </c>
      <c r="AJ123" s="7"/>
      <c r="AK123" s="18" t="s">
        <v>1462</v>
      </c>
      <c r="AL123" s="1" t="b">
        <v>1</v>
      </c>
    </row>
    <row r="124" spans="1:38">
      <c r="A124" t="s">
        <v>1550</v>
      </c>
      <c r="B124" s="1" t="str">
        <f t="shared" si="3"/>
        <v>M_PMP0301_VM_DH_ENG_250DHS-75_7</v>
      </c>
      <c r="C124" s="92" t="s">
        <v>182</v>
      </c>
      <c r="D124" s="7" t="str" cm="1">
        <f t="array" ref="D124">INDEX(기계코드!$D$4:$D$1022,MATCH(1,(C124=기계코드!$F$4:$F$1022)*1,0))</f>
        <v>M_PMP0301</v>
      </c>
      <c r="E124" s="92" t="s">
        <v>1559</v>
      </c>
      <c r="F124" s="7" t="str" cm="1">
        <f t="array" ref="F124">INDEX(공급업체코드!$B$3:$B$1000,MATCH(1,(E124=공급업체코드!$D$3:$D$1000)*1,0))</f>
        <v>VM_DH_ENG</v>
      </c>
      <c r="G124" s="43" t="s">
        <v>1503</v>
      </c>
      <c r="H124" s="63"/>
      <c r="I124" s="132">
        <v>7</v>
      </c>
      <c r="J124" s="64"/>
      <c r="K124" s="64"/>
      <c r="L124" s="64"/>
      <c r="M124" s="65"/>
      <c r="N124" s="64"/>
      <c r="O124" s="65">
        <v>40</v>
      </c>
      <c r="P124" s="64"/>
      <c r="Q124" s="65"/>
      <c r="R124" s="64">
        <v>250</v>
      </c>
      <c r="S124" s="64"/>
      <c r="T124" s="70">
        <v>75</v>
      </c>
      <c r="U124" s="7" t="s">
        <v>987</v>
      </c>
      <c r="V124" s="7">
        <v>380</v>
      </c>
      <c r="W124" s="151">
        <v>0.95400000000000007</v>
      </c>
      <c r="X124" s="7">
        <v>0.9</v>
      </c>
      <c r="Y124" s="7">
        <v>80</v>
      </c>
      <c r="Z124" s="34">
        <v>1100</v>
      </c>
      <c r="AA124" s="274" t="s">
        <v>1390</v>
      </c>
      <c r="AB124" s="61"/>
      <c r="AC124" s="275" t="s">
        <v>1391</v>
      </c>
      <c r="AD124" s="64" t="s">
        <v>1461</v>
      </c>
      <c r="AE124" s="64" t="s">
        <v>1461</v>
      </c>
      <c r="AI124" s="7">
        <v>26000000</v>
      </c>
      <c r="AJ124" s="7"/>
      <c r="AK124" s="18" t="s">
        <v>1462</v>
      </c>
      <c r="AL124" s="1" t="b">
        <v>1</v>
      </c>
    </row>
    <row r="125" spans="1:38">
      <c r="A125" t="s">
        <v>1551</v>
      </c>
      <c r="B125" s="1" t="str">
        <f t="shared" si="3"/>
        <v>M_PMP0301_VM_DH_ENG_300DHS-15_9</v>
      </c>
      <c r="C125" s="92" t="s">
        <v>182</v>
      </c>
      <c r="D125" s="7" t="str" cm="1">
        <f t="array" ref="D125">INDEX(기계코드!$D$4:$D$1022,MATCH(1,(C125=기계코드!$F$4:$F$1022)*1,0))</f>
        <v>M_PMP0301</v>
      </c>
      <c r="E125" s="92" t="s">
        <v>1559</v>
      </c>
      <c r="F125" s="7" t="str" cm="1">
        <f t="array" ref="F125">INDEX(공급업체코드!$B$3:$B$1000,MATCH(1,(E125=공급업체코드!$D$3:$D$1000)*1,0))</f>
        <v>VM_DH_ENG</v>
      </c>
      <c r="G125" s="43" t="s">
        <v>1505</v>
      </c>
      <c r="H125" s="63"/>
      <c r="I125" s="132">
        <v>9</v>
      </c>
      <c r="J125" s="64"/>
      <c r="K125" s="64"/>
      <c r="L125" s="64"/>
      <c r="M125" s="65"/>
      <c r="N125" s="64"/>
      <c r="O125" s="65">
        <v>6.5</v>
      </c>
      <c r="P125" s="64"/>
      <c r="Q125" s="65"/>
      <c r="R125" s="64">
        <v>300</v>
      </c>
      <c r="S125" s="64"/>
      <c r="T125" s="70">
        <v>15</v>
      </c>
      <c r="U125" s="7" t="s">
        <v>987</v>
      </c>
      <c r="V125" s="7">
        <v>380</v>
      </c>
      <c r="W125" s="151">
        <v>0.93</v>
      </c>
      <c r="X125" s="7">
        <v>0.9</v>
      </c>
      <c r="Y125" s="7">
        <v>80</v>
      </c>
      <c r="Z125" s="34">
        <v>580</v>
      </c>
      <c r="AA125" s="274" t="s">
        <v>1390</v>
      </c>
      <c r="AB125" s="61">
        <v>24</v>
      </c>
      <c r="AC125" s="275" t="s">
        <v>1391</v>
      </c>
      <c r="AD125" s="64" t="s">
        <v>1461</v>
      </c>
      <c r="AE125" s="64" t="s">
        <v>1461</v>
      </c>
      <c r="AI125" s="7">
        <v>15500000</v>
      </c>
      <c r="AJ125" s="7"/>
      <c r="AK125" s="18" t="s">
        <v>1462</v>
      </c>
      <c r="AL125" s="1" t="b">
        <v>1</v>
      </c>
    </row>
    <row r="126" spans="1:38">
      <c r="A126" t="s">
        <v>1552</v>
      </c>
      <c r="B126" s="1" t="str">
        <f t="shared" si="3"/>
        <v>M_PMP0301_VM_DH_ENG_300DHS-22_10</v>
      </c>
      <c r="C126" s="92" t="s">
        <v>182</v>
      </c>
      <c r="D126" s="7" t="str" cm="1">
        <f t="array" ref="D126">INDEX(기계코드!$D$4:$D$1022,MATCH(1,(C126=기계코드!$F$4:$F$1022)*1,0))</f>
        <v>M_PMP0301</v>
      </c>
      <c r="E126" s="92" t="s">
        <v>1559</v>
      </c>
      <c r="F126" s="7" t="str" cm="1">
        <f t="array" ref="F126">INDEX(공급업체코드!$B$3:$B$1000,MATCH(1,(E126=공급업체코드!$D$3:$D$1000)*1,0))</f>
        <v>VM_DH_ENG</v>
      </c>
      <c r="G126" s="43" t="s">
        <v>1507</v>
      </c>
      <c r="H126" s="63"/>
      <c r="I126" s="132">
        <v>10</v>
      </c>
      <c r="J126" s="64"/>
      <c r="K126" s="64"/>
      <c r="L126" s="64"/>
      <c r="M126" s="65"/>
      <c r="N126" s="64"/>
      <c r="O126" s="65">
        <v>9</v>
      </c>
      <c r="P126" s="64"/>
      <c r="Q126" s="65"/>
      <c r="R126" s="64">
        <v>300</v>
      </c>
      <c r="S126" s="64"/>
      <c r="T126" s="70">
        <v>22</v>
      </c>
      <c r="U126" s="7" t="s">
        <v>987</v>
      </c>
      <c r="V126" s="7">
        <v>380</v>
      </c>
      <c r="W126" s="151">
        <v>0.93599999999999994</v>
      </c>
      <c r="X126" s="7">
        <v>0.9</v>
      </c>
      <c r="Y126" s="7">
        <v>80</v>
      </c>
      <c r="Z126" s="34">
        <v>780</v>
      </c>
      <c r="AA126" s="274" t="s">
        <v>1390</v>
      </c>
      <c r="AB126" s="61">
        <v>25</v>
      </c>
      <c r="AC126" s="275" t="s">
        <v>1391</v>
      </c>
      <c r="AD126" s="64" t="s">
        <v>1461</v>
      </c>
      <c r="AE126" s="64" t="s">
        <v>1461</v>
      </c>
      <c r="AI126" s="7">
        <v>15500000</v>
      </c>
      <c r="AJ126" s="7"/>
      <c r="AK126" s="18" t="s">
        <v>1462</v>
      </c>
      <c r="AL126" s="1" t="b">
        <v>1</v>
      </c>
    </row>
    <row r="127" spans="1:38">
      <c r="A127" t="s">
        <v>1552</v>
      </c>
      <c r="B127" s="1" t="str">
        <f t="shared" si="3"/>
        <v>M_PMP0301_VM_DH_ENG_300DHS-30_10</v>
      </c>
      <c r="C127" s="92" t="s">
        <v>182</v>
      </c>
      <c r="D127" s="7" t="str" cm="1">
        <f t="array" ref="D127">INDEX(기계코드!$D$4:$D$1022,MATCH(1,(C127=기계코드!$F$4:$F$1022)*1,0))</f>
        <v>M_PMP0301</v>
      </c>
      <c r="E127" s="92" t="s">
        <v>1559</v>
      </c>
      <c r="F127" s="7" t="str" cm="1">
        <f t="array" ref="F127">INDEX(공급업체코드!$B$3:$B$1000,MATCH(1,(E127=공급업체코드!$D$3:$D$1000)*1,0))</f>
        <v>VM_DH_ENG</v>
      </c>
      <c r="G127" s="43" t="s">
        <v>1508</v>
      </c>
      <c r="H127" s="63"/>
      <c r="I127" s="132">
        <v>10</v>
      </c>
      <c r="J127" s="64"/>
      <c r="K127" s="64"/>
      <c r="L127" s="64"/>
      <c r="M127" s="65"/>
      <c r="N127" s="64"/>
      <c r="O127" s="65">
        <v>11.5</v>
      </c>
      <c r="P127" s="64"/>
      <c r="Q127" s="65"/>
      <c r="R127" s="64">
        <v>300</v>
      </c>
      <c r="S127" s="64"/>
      <c r="T127" s="70">
        <v>30</v>
      </c>
      <c r="U127" s="7" t="s">
        <v>987</v>
      </c>
      <c r="V127" s="7">
        <v>380</v>
      </c>
      <c r="W127" s="151">
        <v>0.94099999999999995</v>
      </c>
      <c r="X127" s="7">
        <v>0.9</v>
      </c>
      <c r="Y127" s="7">
        <v>80</v>
      </c>
      <c r="Z127" s="34">
        <v>820</v>
      </c>
      <c r="AA127" s="274" t="s">
        <v>1390</v>
      </c>
      <c r="AB127" s="61">
        <v>25</v>
      </c>
      <c r="AC127" s="275" t="s">
        <v>1391</v>
      </c>
      <c r="AD127" s="64" t="s">
        <v>1461</v>
      </c>
      <c r="AE127" s="64" t="s">
        <v>1461</v>
      </c>
      <c r="AI127" s="7">
        <v>20500000</v>
      </c>
      <c r="AJ127" s="7"/>
      <c r="AK127" s="18" t="s">
        <v>1462</v>
      </c>
      <c r="AL127" s="1" t="b">
        <v>1</v>
      </c>
    </row>
    <row r="128" spans="1:38">
      <c r="A128" t="s">
        <v>1552</v>
      </c>
      <c r="B128" s="1" t="str">
        <f t="shared" si="3"/>
        <v>M_PMP0301_VM_DH_ENG_300DHS-37_10</v>
      </c>
      <c r="C128" s="92" t="s">
        <v>182</v>
      </c>
      <c r="D128" s="7" t="str" cm="1">
        <f t="array" ref="D128">INDEX(기계코드!$D$4:$D$1022,MATCH(1,(C128=기계코드!$F$4:$F$1022)*1,0))</f>
        <v>M_PMP0301</v>
      </c>
      <c r="E128" s="92" t="s">
        <v>1559</v>
      </c>
      <c r="F128" s="7" t="str" cm="1">
        <f t="array" ref="F128">INDEX(공급업체코드!$B$3:$B$1000,MATCH(1,(E128=공급업체코드!$D$3:$D$1000)*1,0))</f>
        <v>VM_DH_ENG</v>
      </c>
      <c r="G128" s="43" t="s">
        <v>1510</v>
      </c>
      <c r="H128" s="63"/>
      <c r="I128" s="132">
        <v>10</v>
      </c>
      <c r="J128" s="64"/>
      <c r="K128" s="64"/>
      <c r="L128" s="64"/>
      <c r="M128" s="65"/>
      <c r="N128" s="64"/>
      <c r="O128" s="65">
        <v>15</v>
      </c>
      <c r="P128" s="64"/>
      <c r="Q128" s="65"/>
      <c r="R128" s="64">
        <v>300</v>
      </c>
      <c r="S128" s="64"/>
      <c r="T128" s="70">
        <v>37</v>
      </c>
      <c r="U128" s="7" t="s">
        <v>987</v>
      </c>
      <c r="V128" s="7">
        <v>380</v>
      </c>
      <c r="W128" s="151">
        <v>0.94499999999999995</v>
      </c>
      <c r="X128" s="7">
        <v>0.9</v>
      </c>
      <c r="Y128" s="7">
        <v>80</v>
      </c>
      <c r="Z128" s="34">
        <v>920</v>
      </c>
      <c r="AA128" s="274" t="s">
        <v>1390</v>
      </c>
      <c r="AB128" s="61"/>
      <c r="AC128" s="275" t="s">
        <v>1391</v>
      </c>
      <c r="AD128" s="64" t="s">
        <v>1461</v>
      </c>
      <c r="AE128" s="64" t="s">
        <v>1461</v>
      </c>
      <c r="AI128" s="7">
        <v>20500000</v>
      </c>
      <c r="AJ128" s="7"/>
      <c r="AK128" s="18" t="s">
        <v>1462</v>
      </c>
      <c r="AL128" s="1" t="b">
        <v>1</v>
      </c>
    </row>
    <row r="129" spans="1:38">
      <c r="A129" t="s">
        <v>1553</v>
      </c>
      <c r="B129" s="1" t="str">
        <f t="shared" si="3"/>
        <v>M_PMP0301_VM_DH_ENG_300DHS-45_10</v>
      </c>
      <c r="C129" s="92" t="s">
        <v>182</v>
      </c>
      <c r="D129" s="7" t="str" cm="1">
        <f t="array" ref="D129">INDEX(기계코드!$D$4:$D$1022,MATCH(1,(C129=기계코드!$F$4:$F$1022)*1,0))</f>
        <v>M_PMP0301</v>
      </c>
      <c r="E129" s="92" t="s">
        <v>1559</v>
      </c>
      <c r="F129" s="7" t="str" cm="1">
        <f t="array" ref="F129">INDEX(공급업체코드!$B$3:$B$1000,MATCH(1,(E129=공급업체코드!$D$3:$D$1000)*1,0))</f>
        <v>VM_DH_ENG</v>
      </c>
      <c r="G129" s="43" t="s">
        <v>1511</v>
      </c>
      <c r="H129" s="63"/>
      <c r="I129" s="132">
        <v>10</v>
      </c>
      <c r="J129" s="64"/>
      <c r="K129" s="64"/>
      <c r="L129" s="64"/>
      <c r="M129" s="65"/>
      <c r="N129" s="64"/>
      <c r="O129" s="65">
        <v>18</v>
      </c>
      <c r="P129" s="64"/>
      <c r="Q129" s="65"/>
      <c r="R129" s="64">
        <v>300</v>
      </c>
      <c r="S129" s="64"/>
      <c r="T129" s="70">
        <v>45</v>
      </c>
      <c r="U129" s="7" t="s">
        <v>987</v>
      </c>
      <c r="V129" s="7">
        <v>380</v>
      </c>
      <c r="W129" s="151">
        <v>0.95</v>
      </c>
      <c r="X129" s="7">
        <v>0.9</v>
      </c>
      <c r="Y129" s="7">
        <v>80</v>
      </c>
      <c r="Z129" s="34">
        <v>960</v>
      </c>
      <c r="AA129" s="274" t="s">
        <v>1390</v>
      </c>
      <c r="AB129" s="61"/>
      <c r="AC129" s="275" t="s">
        <v>1391</v>
      </c>
      <c r="AD129" s="64" t="s">
        <v>1461</v>
      </c>
      <c r="AE129" s="64" t="s">
        <v>1461</v>
      </c>
      <c r="AI129" s="7">
        <v>25500000</v>
      </c>
      <c r="AJ129" s="7"/>
      <c r="AK129" s="18" t="s">
        <v>1462</v>
      </c>
      <c r="AL129" s="1" t="b">
        <v>1</v>
      </c>
    </row>
    <row r="130" spans="1:38">
      <c r="A130" t="s">
        <v>1554</v>
      </c>
      <c r="B130" s="1" t="str">
        <f t="shared" si="3"/>
        <v>M_PMP0301_VM_DH_ENG_300DHS-55_10</v>
      </c>
      <c r="C130" s="92" t="s">
        <v>182</v>
      </c>
      <c r="D130" s="7" t="str" cm="1">
        <f t="array" ref="D130">INDEX(기계코드!$D$4:$D$1022,MATCH(1,(C130=기계코드!$F$4:$F$1022)*1,0))</f>
        <v>M_PMP0301</v>
      </c>
      <c r="E130" s="92" t="s">
        <v>1559</v>
      </c>
      <c r="F130" s="7" t="str" cm="1">
        <f t="array" ref="F130">INDEX(공급업체코드!$B$3:$B$1000,MATCH(1,(E130=공급업체코드!$D$3:$D$1000)*1,0))</f>
        <v>VM_DH_ENG</v>
      </c>
      <c r="G130" s="43" t="s">
        <v>1513</v>
      </c>
      <c r="H130" s="63"/>
      <c r="I130" s="132">
        <v>10</v>
      </c>
      <c r="J130" s="64"/>
      <c r="K130" s="64"/>
      <c r="L130" s="64"/>
      <c r="M130" s="65"/>
      <c r="N130" s="64"/>
      <c r="O130" s="65">
        <v>21</v>
      </c>
      <c r="P130" s="64"/>
      <c r="Q130" s="65"/>
      <c r="R130" s="64">
        <v>300</v>
      </c>
      <c r="S130" s="64"/>
      <c r="T130" s="70">
        <v>55</v>
      </c>
      <c r="U130" s="7" t="s">
        <v>987</v>
      </c>
      <c r="V130" s="7">
        <v>380</v>
      </c>
      <c r="W130" s="151">
        <v>0.95400000000000007</v>
      </c>
      <c r="X130" s="7">
        <v>0.9</v>
      </c>
      <c r="Y130" s="7">
        <v>80</v>
      </c>
      <c r="Z130" s="34">
        <v>980</v>
      </c>
      <c r="AA130" s="274" t="s">
        <v>1390</v>
      </c>
      <c r="AB130" s="61"/>
      <c r="AC130" s="275" t="s">
        <v>1391</v>
      </c>
      <c r="AD130" s="64" t="s">
        <v>1461</v>
      </c>
      <c r="AE130" s="64" t="s">
        <v>1461</v>
      </c>
      <c r="AI130" s="7">
        <v>25500000</v>
      </c>
      <c r="AJ130" s="7"/>
      <c r="AK130" s="18" t="s">
        <v>1462</v>
      </c>
      <c r="AL130" s="1" t="b">
        <v>1</v>
      </c>
    </row>
    <row r="131" spans="1:38">
      <c r="A131" t="s">
        <v>1555</v>
      </c>
      <c r="B131" s="1" t="str">
        <f t="shared" si="3"/>
        <v>M_PMP0301_VM_DH_ENG_300DHS-75_10</v>
      </c>
      <c r="C131" s="92" t="s">
        <v>182</v>
      </c>
      <c r="D131" s="7" t="str" cm="1">
        <f t="array" ref="D131">INDEX(기계코드!$D$4:$D$1022,MATCH(1,(C131=기계코드!$F$4:$F$1022)*1,0))</f>
        <v>M_PMP0301</v>
      </c>
      <c r="E131" s="92" t="s">
        <v>1559</v>
      </c>
      <c r="F131" s="7" t="str" cm="1">
        <f t="array" ref="F131">INDEX(공급업체코드!$B$3:$B$1000,MATCH(1,(E131=공급업체코드!$D$3:$D$1000)*1,0))</f>
        <v>VM_DH_ENG</v>
      </c>
      <c r="G131" s="43" t="s">
        <v>1515</v>
      </c>
      <c r="H131" s="63"/>
      <c r="I131" s="132">
        <v>10</v>
      </c>
      <c r="J131" s="64"/>
      <c r="K131" s="64"/>
      <c r="L131" s="64"/>
      <c r="M131" s="65"/>
      <c r="N131" s="64"/>
      <c r="O131" s="65">
        <v>30</v>
      </c>
      <c r="P131" s="64"/>
      <c r="Q131" s="65"/>
      <c r="R131" s="64">
        <v>300</v>
      </c>
      <c r="S131" s="64"/>
      <c r="T131" s="70">
        <v>75</v>
      </c>
      <c r="U131" s="7" t="s">
        <v>987</v>
      </c>
      <c r="V131" s="7">
        <v>380</v>
      </c>
      <c r="W131" s="151">
        <v>0.95400000000000007</v>
      </c>
      <c r="X131" s="7">
        <v>0.9</v>
      </c>
      <c r="Y131" s="7">
        <v>80</v>
      </c>
      <c r="Z131" s="34">
        <v>1110</v>
      </c>
      <c r="AA131" s="274" t="s">
        <v>1390</v>
      </c>
      <c r="AB131" s="61"/>
      <c r="AC131" s="275" t="s">
        <v>1391</v>
      </c>
      <c r="AD131" s="64" t="s">
        <v>1461</v>
      </c>
      <c r="AE131" s="64" t="s">
        <v>1461</v>
      </c>
      <c r="AI131" s="7">
        <v>30500000</v>
      </c>
      <c r="AJ131" s="7"/>
      <c r="AK131" s="18" t="s">
        <v>1462</v>
      </c>
      <c r="AL131" s="1" t="b">
        <v>1</v>
      </c>
    </row>
    <row r="132" spans="1:38">
      <c r="A132" t="s">
        <v>1556</v>
      </c>
      <c r="B132" s="1" t="str">
        <f t="shared" si="3"/>
        <v>M_PMP0301_VM_DH_ENG_400DHS-22_20</v>
      </c>
      <c r="C132" s="92" t="s">
        <v>182</v>
      </c>
      <c r="D132" s="7" t="str" cm="1">
        <f t="array" ref="D132">INDEX(기계코드!$D$4:$D$1022,MATCH(1,(C132=기계코드!$F$4:$F$1022)*1,0))</f>
        <v>M_PMP0301</v>
      </c>
      <c r="E132" s="92" t="s">
        <v>1559</v>
      </c>
      <c r="F132" s="7" t="str" cm="1">
        <f t="array" ref="F132">INDEX(공급업체코드!$B$3:$B$1000,MATCH(1,(E132=공급업체코드!$D$3:$D$1000)*1,0))</f>
        <v>VM_DH_ENG</v>
      </c>
      <c r="G132" s="43" t="s">
        <v>1517</v>
      </c>
      <c r="H132" s="63"/>
      <c r="I132" s="132">
        <v>20</v>
      </c>
      <c r="J132" s="64"/>
      <c r="K132" s="64"/>
      <c r="L132" s="64"/>
      <c r="M132" s="65"/>
      <c r="N132" s="64"/>
      <c r="O132" s="65">
        <v>4</v>
      </c>
      <c r="P132" s="64"/>
      <c r="Q132" s="65"/>
      <c r="R132" s="64">
        <v>400</v>
      </c>
      <c r="S132" s="64"/>
      <c r="T132" s="70">
        <v>22</v>
      </c>
      <c r="U132" s="7" t="s">
        <v>987</v>
      </c>
      <c r="V132" s="7">
        <v>380</v>
      </c>
      <c r="W132" s="151">
        <v>0.93599999999999994</v>
      </c>
      <c r="X132" s="7">
        <v>0.9</v>
      </c>
      <c r="Y132" s="7">
        <v>80</v>
      </c>
      <c r="Z132" s="34">
        <v>1680</v>
      </c>
      <c r="AA132" s="274" t="s">
        <v>1390</v>
      </c>
      <c r="AB132" s="61">
        <v>25</v>
      </c>
      <c r="AC132" s="275" t="s">
        <v>1391</v>
      </c>
      <c r="AD132" s="64" t="s">
        <v>1461</v>
      </c>
      <c r="AE132" s="64" t="s">
        <v>1461</v>
      </c>
      <c r="AI132" s="7">
        <v>28000000</v>
      </c>
      <c r="AJ132" s="7"/>
      <c r="AK132" s="18" t="s">
        <v>1462</v>
      </c>
      <c r="AL132" s="1" t="b">
        <v>1</v>
      </c>
    </row>
    <row r="133" spans="1:38">
      <c r="A133" t="s">
        <v>1556</v>
      </c>
      <c r="B133" s="1" t="str">
        <f t="shared" si="3"/>
        <v>M_PMP0301_VM_DH_ENG_400DHS-37_20</v>
      </c>
      <c r="C133" s="92" t="s">
        <v>182</v>
      </c>
      <c r="D133" s="7" t="str" cm="1">
        <f t="array" ref="D133">INDEX(기계코드!$D$4:$D$1022,MATCH(1,(C133=기계코드!$F$4:$F$1022)*1,0))</f>
        <v>M_PMP0301</v>
      </c>
      <c r="E133" s="92" t="s">
        <v>1559</v>
      </c>
      <c r="F133" s="7" t="str" cm="1">
        <f t="array" ref="F133">INDEX(공급업체코드!$B$3:$B$1000,MATCH(1,(E133=공급업체코드!$D$3:$D$1000)*1,0))</f>
        <v>VM_DH_ENG</v>
      </c>
      <c r="G133" s="43" t="s">
        <v>1518</v>
      </c>
      <c r="H133" s="63"/>
      <c r="I133" s="132">
        <v>20</v>
      </c>
      <c r="J133" s="64"/>
      <c r="K133" s="64"/>
      <c r="L133" s="64"/>
      <c r="M133" s="65"/>
      <c r="N133" s="64"/>
      <c r="O133" s="65">
        <v>7</v>
      </c>
      <c r="P133" s="64"/>
      <c r="Q133" s="65"/>
      <c r="R133" s="64">
        <v>400</v>
      </c>
      <c r="S133" s="64"/>
      <c r="T133" s="70">
        <v>37</v>
      </c>
      <c r="U133" s="7" t="s">
        <v>987</v>
      </c>
      <c r="V133" s="7">
        <v>380</v>
      </c>
      <c r="W133" s="151">
        <v>0.94499999999999995</v>
      </c>
      <c r="X133" s="7">
        <v>0.9</v>
      </c>
      <c r="Y133" s="7">
        <v>80</v>
      </c>
      <c r="Z133" s="34">
        <v>1720</v>
      </c>
      <c r="AA133" s="274" t="s">
        <v>1390</v>
      </c>
      <c r="AB133" s="61"/>
      <c r="AC133" s="275" t="s">
        <v>1391</v>
      </c>
      <c r="AD133" s="64" t="s">
        <v>1461</v>
      </c>
      <c r="AE133" s="64" t="s">
        <v>1461</v>
      </c>
      <c r="AI133" s="7">
        <v>28000000</v>
      </c>
      <c r="AJ133" s="7"/>
      <c r="AK133" s="18" t="s">
        <v>1462</v>
      </c>
      <c r="AL133" s="1" t="b">
        <v>1</v>
      </c>
    </row>
    <row r="134" spans="1:38">
      <c r="A134" t="s">
        <v>1557</v>
      </c>
      <c r="B134" s="1" t="str">
        <f t="shared" si="3"/>
        <v>M_PMP0301_VM_DH_ENG_400DHS-45_20</v>
      </c>
      <c r="C134" s="92" t="s">
        <v>182</v>
      </c>
      <c r="D134" s="7" t="str" cm="1">
        <f t="array" ref="D134">INDEX(기계코드!$D$4:$D$1022,MATCH(1,(C134=기계코드!$F$4:$F$1022)*1,0))</f>
        <v>M_PMP0301</v>
      </c>
      <c r="E134" s="92" t="s">
        <v>1559</v>
      </c>
      <c r="F134" s="7" t="str" cm="1">
        <f t="array" ref="F134">INDEX(공급업체코드!$B$3:$B$1000,MATCH(1,(E134=공급업체코드!$D$3:$D$1000)*1,0))</f>
        <v>VM_DH_ENG</v>
      </c>
      <c r="G134" s="43" t="s">
        <v>1520</v>
      </c>
      <c r="H134" s="63"/>
      <c r="I134" s="132">
        <v>20</v>
      </c>
      <c r="J134" s="64"/>
      <c r="K134" s="64"/>
      <c r="L134" s="64"/>
      <c r="M134" s="65"/>
      <c r="N134" s="64"/>
      <c r="O134" s="65">
        <v>9</v>
      </c>
      <c r="P134" s="64"/>
      <c r="Q134" s="65"/>
      <c r="R134" s="64">
        <v>400</v>
      </c>
      <c r="S134" s="64"/>
      <c r="T134" s="70">
        <v>45</v>
      </c>
      <c r="U134" s="7" t="s">
        <v>987</v>
      </c>
      <c r="V134" s="7">
        <v>380</v>
      </c>
      <c r="W134" s="151">
        <v>0.95</v>
      </c>
      <c r="X134" s="7">
        <v>0.9</v>
      </c>
      <c r="Y134" s="7">
        <v>80</v>
      </c>
      <c r="Z134" s="34">
        <v>1760</v>
      </c>
      <c r="AA134" s="274" t="s">
        <v>1390</v>
      </c>
      <c r="AB134" s="61"/>
      <c r="AC134" s="275" t="s">
        <v>1391</v>
      </c>
      <c r="AD134" s="64" t="s">
        <v>1461</v>
      </c>
      <c r="AE134" s="64" t="s">
        <v>1461</v>
      </c>
      <c r="AI134" s="7">
        <v>31500000</v>
      </c>
      <c r="AJ134" s="7"/>
      <c r="AK134" s="18" t="s">
        <v>1462</v>
      </c>
      <c r="AL134" s="1" t="b">
        <v>1</v>
      </c>
    </row>
    <row r="135" spans="1:38">
      <c r="A135" t="s">
        <v>1558</v>
      </c>
      <c r="B135" s="1" t="str">
        <f t="shared" si="3"/>
        <v>M_PMP0301_VM_DH_ENG_400DHS-55_20</v>
      </c>
      <c r="C135" s="92" t="s">
        <v>182</v>
      </c>
      <c r="D135" s="7" t="str" cm="1">
        <f t="array" ref="D135">INDEX(기계코드!$D$4:$D$1022,MATCH(1,(C135=기계코드!$F$4:$F$1022)*1,0))</f>
        <v>M_PMP0301</v>
      </c>
      <c r="E135" s="92" t="s">
        <v>1559</v>
      </c>
      <c r="F135" s="7" t="str" cm="1">
        <f t="array" ref="F135">INDEX(공급업체코드!$B$3:$B$1000,MATCH(1,(E135=공급업체코드!$D$3:$D$1000)*1,0))</f>
        <v>VM_DH_ENG</v>
      </c>
      <c r="G135" s="43" t="s">
        <v>1522</v>
      </c>
      <c r="H135" s="63"/>
      <c r="I135" s="132">
        <v>20</v>
      </c>
      <c r="J135" s="64"/>
      <c r="K135" s="64"/>
      <c r="L135" s="64"/>
      <c r="M135" s="65"/>
      <c r="N135" s="64"/>
      <c r="O135" s="65">
        <v>11</v>
      </c>
      <c r="P135" s="64"/>
      <c r="Q135" s="65"/>
      <c r="R135" s="64">
        <v>400</v>
      </c>
      <c r="S135" s="64"/>
      <c r="T135" s="70">
        <v>55</v>
      </c>
      <c r="U135" s="7" t="s">
        <v>987</v>
      </c>
      <c r="V135" s="7">
        <v>380</v>
      </c>
      <c r="W135" s="151">
        <v>0.95400000000000007</v>
      </c>
      <c r="X135" s="7">
        <v>0.9</v>
      </c>
      <c r="Y135" s="7">
        <v>80</v>
      </c>
      <c r="Z135" s="34">
        <v>1790</v>
      </c>
      <c r="AA135" s="274" t="s">
        <v>1390</v>
      </c>
      <c r="AB135" s="61"/>
      <c r="AC135" s="275" t="s">
        <v>1391</v>
      </c>
      <c r="AD135" s="64" t="s">
        <v>1461</v>
      </c>
      <c r="AE135" s="64" t="s">
        <v>1461</v>
      </c>
      <c r="AI135" s="7">
        <v>33000000</v>
      </c>
      <c r="AJ135" s="7"/>
      <c r="AK135" s="18" t="s">
        <v>1462</v>
      </c>
      <c r="AL135" s="1" t="b">
        <v>1</v>
      </c>
    </row>
    <row r="136" spans="1:38">
      <c r="A136" t="s">
        <v>1560</v>
      </c>
      <c r="B136" s="1" t="str">
        <f t="shared" si="3"/>
        <v>M_PMP0301_VM_DH_ENG_400DHS-75_20</v>
      </c>
      <c r="C136" s="92" t="s">
        <v>182</v>
      </c>
      <c r="D136" s="7" t="str" cm="1">
        <f t="array" ref="D136">INDEX(기계코드!$D$4:$D$1022,MATCH(1,(C136=기계코드!$F$4:$F$1022)*1,0))</f>
        <v>M_PMP0301</v>
      </c>
      <c r="E136" s="92" t="s">
        <v>1559</v>
      </c>
      <c r="F136" s="7" t="str" cm="1">
        <f t="array" ref="F136">INDEX(공급업체코드!$B$3:$B$1000,MATCH(1,(E136=공급업체코드!$D$3:$D$1000)*1,0))</f>
        <v>VM_DH_ENG</v>
      </c>
      <c r="G136" s="43" t="s">
        <v>1524</v>
      </c>
      <c r="H136" s="63"/>
      <c r="I136" s="132">
        <v>20</v>
      </c>
      <c r="J136" s="64"/>
      <c r="K136" s="64"/>
      <c r="L136" s="64"/>
      <c r="M136" s="65"/>
      <c r="N136" s="64"/>
      <c r="O136" s="65">
        <v>15</v>
      </c>
      <c r="P136" s="64"/>
      <c r="Q136" s="65"/>
      <c r="R136" s="64">
        <v>400</v>
      </c>
      <c r="S136" s="64"/>
      <c r="T136" s="70">
        <v>75</v>
      </c>
      <c r="U136" s="7" t="s">
        <v>987</v>
      </c>
      <c r="V136" s="7">
        <v>380</v>
      </c>
      <c r="W136" s="151">
        <v>0.95400000000000007</v>
      </c>
      <c r="X136" s="7">
        <v>0.9</v>
      </c>
      <c r="Y136" s="7">
        <v>80</v>
      </c>
      <c r="Z136" s="34">
        <v>1810</v>
      </c>
      <c r="AA136" s="274" t="s">
        <v>1390</v>
      </c>
      <c r="AB136" s="61"/>
      <c r="AC136" s="275" t="s">
        <v>1391</v>
      </c>
      <c r="AD136" s="64" t="s">
        <v>1461</v>
      </c>
      <c r="AE136" s="64" t="s">
        <v>1461</v>
      </c>
      <c r="AI136" s="7">
        <v>37000000</v>
      </c>
      <c r="AJ136" s="7"/>
      <c r="AK136" s="18" t="s">
        <v>1462</v>
      </c>
      <c r="AL136" s="1" t="b">
        <v>1</v>
      </c>
    </row>
    <row r="137" spans="1:38">
      <c r="A137" t="s">
        <v>1560</v>
      </c>
      <c r="B137" s="1" t="str">
        <f t="shared" si="3"/>
        <v>M_PMP0301_VM_DH_ENG_400DHS-110_20</v>
      </c>
      <c r="C137" s="92" t="s">
        <v>182</v>
      </c>
      <c r="D137" s="7" t="str" cm="1">
        <f t="array" ref="D137">INDEX(기계코드!$D$4:$D$1022,MATCH(1,(C137=기계코드!$F$4:$F$1022)*1,0))</f>
        <v>M_PMP0301</v>
      </c>
      <c r="E137" s="92" t="s">
        <v>1559</v>
      </c>
      <c r="F137" s="7" t="str" cm="1">
        <f t="array" ref="F137">INDEX(공급업체코드!$B$3:$B$1000,MATCH(1,(E137=공급업체코드!$D$3:$D$1000)*1,0))</f>
        <v>VM_DH_ENG</v>
      </c>
      <c r="G137" s="43" t="s">
        <v>1525</v>
      </c>
      <c r="H137" s="63"/>
      <c r="I137" s="132">
        <v>20</v>
      </c>
      <c r="J137" s="64"/>
      <c r="K137" s="64"/>
      <c r="L137" s="64"/>
      <c r="M137" s="65"/>
      <c r="N137" s="64"/>
      <c r="O137" s="65">
        <v>20</v>
      </c>
      <c r="P137" s="64"/>
      <c r="Q137" s="65"/>
      <c r="R137" s="64">
        <v>400</v>
      </c>
      <c r="S137" s="64"/>
      <c r="T137" s="70">
        <v>110</v>
      </c>
      <c r="U137" s="7" t="s">
        <v>987</v>
      </c>
      <c r="V137" s="7">
        <v>380</v>
      </c>
      <c r="W137" s="151">
        <v>0.95799999999999996</v>
      </c>
      <c r="X137" s="7">
        <v>0.9</v>
      </c>
      <c r="Y137" s="7">
        <v>80</v>
      </c>
      <c r="Z137" s="34">
        <v>2080</v>
      </c>
      <c r="AA137" s="274" t="s">
        <v>1390</v>
      </c>
      <c r="AB137" s="61"/>
      <c r="AC137" s="275" t="s">
        <v>1391</v>
      </c>
      <c r="AD137" s="64" t="s">
        <v>1461</v>
      </c>
      <c r="AE137" s="64" t="s">
        <v>1461</v>
      </c>
      <c r="AI137" s="7">
        <v>39000000</v>
      </c>
      <c r="AJ137" s="7"/>
      <c r="AK137" s="18" t="s">
        <v>1462</v>
      </c>
      <c r="AL137" s="1" t="b">
        <v>1</v>
      </c>
    </row>
    <row r="138" spans="1:38">
      <c r="A138" t="s">
        <v>1560</v>
      </c>
      <c r="B138" s="1" t="str">
        <f t="shared" si="3"/>
        <v>M_PMP0301_VM_DH_ENG_400DHS-150_20</v>
      </c>
      <c r="C138" s="92" t="s">
        <v>182</v>
      </c>
      <c r="D138" s="7" t="str" cm="1">
        <f t="array" ref="D138">INDEX(기계코드!$D$4:$D$1022,MATCH(1,(C138=기계코드!$F$4:$F$1022)*1,0))</f>
        <v>M_PMP0301</v>
      </c>
      <c r="E138" s="92" t="s">
        <v>1559</v>
      </c>
      <c r="F138" s="7" t="str" cm="1">
        <f t="array" ref="F138">INDEX(공급업체코드!$B$3:$B$1000,MATCH(1,(E138=공급업체코드!$D$3:$D$1000)*1,0))</f>
        <v>VM_DH_ENG</v>
      </c>
      <c r="G138" s="43" t="s">
        <v>1526</v>
      </c>
      <c r="H138" s="63"/>
      <c r="I138" s="132">
        <v>20</v>
      </c>
      <c r="J138" s="64"/>
      <c r="K138" s="64"/>
      <c r="L138" s="64"/>
      <c r="M138" s="65"/>
      <c r="N138" s="64"/>
      <c r="O138" s="65">
        <v>25</v>
      </c>
      <c r="P138" s="64"/>
      <c r="Q138" s="65"/>
      <c r="R138" s="64">
        <v>400</v>
      </c>
      <c r="S138" s="64"/>
      <c r="T138" s="70">
        <v>150</v>
      </c>
      <c r="U138" s="7" t="s">
        <v>987</v>
      </c>
      <c r="V138" s="7">
        <v>380</v>
      </c>
      <c r="W138" s="151">
        <v>0.96200000000000008</v>
      </c>
      <c r="X138" s="7">
        <v>0.9</v>
      </c>
      <c r="Y138" s="7">
        <v>80</v>
      </c>
      <c r="Z138" s="34">
        <v>2150</v>
      </c>
      <c r="AA138" s="274" t="s">
        <v>1390</v>
      </c>
      <c r="AB138" s="61"/>
      <c r="AC138" s="275" t="s">
        <v>1391</v>
      </c>
      <c r="AD138" s="64" t="s">
        <v>1461</v>
      </c>
      <c r="AE138" s="64" t="s">
        <v>1461</v>
      </c>
      <c r="AI138" s="7">
        <v>43000000</v>
      </c>
      <c r="AJ138" s="7"/>
      <c r="AK138" s="18" t="s">
        <v>1462</v>
      </c>
      <c r="AL138" s="1" t="b">
        <v>1</v>
      </c>
    </row>
    <row r="139" spans="1:38">
      <c r="A139" t="s">
        <v>1561</v>
      </c>
      <c r="B139" s="1" t="str">
        <f t="shared" si="3"/>
        <v>M_PMP0301_VM_DH_ENG_500DHS-45_30</v>
      </c>
      <c r="C139" s="92" t="s">
        <v>182</v>
      </c>
      <c r="D139" s="7" t="str" cm="1">
        <f t="array" ref="D139">INDEX(기계코드!$D$4:$D$1022,MATCH(1,(C139=기계코드!$F$4:$F$1022)*1,0))</f>
        <v>M_PMP0301</v>
      </c>
      <c r="E139" s="92" t="s">
        <v>1559</v>
      </c>
      <c r="F139" s="7" t="str" cm="1">
        <f t="array" ref="F139">INDEX(공급업체코드!$B$3:$B$1000,MATCH(1,(E139=공급업체코드!$D$3:$D$1000)*1,0))</f>
        <v>VM_DH_ENG</v>
      </c>
      <c r="G139" s="43" t="s">
        <v>1528</v>
      </c>
      <c r="H139" s="63"/>
      <c r="I139" s="132">
        <v>30</v>
      </c>
      <c r="J139" s="64"/>
      <c r="K139" s="64"/>
      <c r="L139" s="64"/>
      <c r="M139" s="65"/>
      <c r="N139" s="64"/>
      <c r="O139" s="65">
        <v>5</v>
      </c>
      <c r="P139" s="64"/>
      <c r="Q139" s="65"/>
      <c r="R139" s="64">
        <v>500</v>
      </c>
      <c r="S139" s="64"/>
      <c r="T139" s="70">
        <v>45</v>
      </c>
      <c r="U139" s="7" t="s">
        <v>987</v>
      </c>
      <c r="V139" s="7">
        <v>380</v>
      </c>
      <c r="W139" s="151">
        <v>0.95</v>
      </c>
      <c r="X139" s="7">
        <v>0.9</v>
      </c>
      <c r="Y139" s="7">
        <v>80</v>
      </c>
      <c r="Z139" s="34">
        <v>1850</v>
      </c>
      <c r="AA139" s="274" t="s">
        <v>1390</v>
      </c>
      <c r="AB139" s="61"/>
      <c r="AC139" s="275" t="s">
        <v>1391</v>
      </c>
      <c r="AD139" s="64" t="s">
        <v>1461</v>
      </c>
      <c r="AE139" s="64" t="s">
        <v>1461</v>
      </c>
      <c r="AI139" s="7">
        <v>41000000</v>
      </c>
      <c r="AJ139" s="7"/>
      <c r="AK139" s="18" t="s">
        <v>1462</v>
      </c>
      <c r="AL139" s="1" t="b">
        <v>1</v>
      </c>
    </row>
    <row r="140" spans="1:38">
      <c r="A140" t="s">
        <v>1562</v>
      </c>
      <c r="B140" s="1" t="str">
        <f t="shared" si="3"/>
        <v>M_PMP0301_VM_DH_ENG_500DHS-55_30</v>
      </c>
      <c r="C140" s="92" t="s">
        <v>182</v>
      </c>
      <c r="D140" s="7" t="str" cm="1">
        <f t="array" ref="D140">INDEX(기계코드!$D$4:$D$1022,MATCH(1,(C140=기계코드!$F$4:$F$1022)*1,0))</f>
        <v>M_PMP0301</v>
      </c>
      <c r="E140" s="92" t="s">
        <v>1559</v>
      </c>
      <c r="F140" s="7" t="str" cm="1">
        <f t="array" ref="F140">INDEX(공급업체코드!$B$3:$B$1000,MATCH(1,(E140=공급업체코드!$D$3:$D$1000)*1,0))</f>
        <v>VM_DH_ENG</v>
      </c>
      <c r="G140" s="43" t="s">
        <v>1530</v>
      </c>
      <c r="H140" s="63"/>
      <c r="I140" s="132">
        <v>30</v>
      </c>
      <c r="J140" s="64"/>
      <c r="K140" s="64"/>
      <c r="L140" s="64"/>
      <c r="M140" s="65"/>
      <c r="N140" s="64"/>
      <c r="O140" s="65">
        <v>7.5</v>
      </c>
      <c r="P140" s="64"/>
      <c r="Q140" s="65"/>
      <c r="R140" s="64">
        <v>500</v>
      </c>
      <c r="S140" s="64"/>
      <c r="T140" s="70">
        <v>55</v>
      </c>
      <c r="U140" s="7" t="s">
        <v>987</v>
      </c>
      <c r="V140" s="7">
        <v>380</v>
      </c>
      <c r="W140" s="151">
        <v>0.95400000000000007</v>
      </c>
      <c r="X140" s="7">
        <v>0.9</v>
      </c>
      <c r="Y140" s="7">
        <v>80</v>
      </c>
      <c r="Z140" s="34">
        <v>1920</v>
      </c>
      <c r="AA140" s="274" t="s">
        <v>1390</v>
      </c>
      <c r="AB140" s="61"/>
      <c r="AC140" s="275" t="s">
        <v>1391</v>
      </c>
      <c r="AD140" s="64" t="s">
        <v>1461</v>
      </c>
      <c r="AE140" s="64" t="s">
        <v>1461</v>
      </c>
      <c r="AI140" s="7">
        <v>41000000</v>
      </c>
      <c r="AJ140" s="7"/>
      <c r="AK140" s="18" t="s">
        <v>1462</v>
      </c>
      <c r="AL140" s="1" t="b">
        <v>1</v>
      </c>
    </row>
    <row r="141" spans="1:38">
      <c r="A141" t="s">
        <v>1563</v>
      </c>
      <c r="B141" s="1" t="str">
        <f t="shared" si="3"/>
        <v>M_PMP0301_VM_DH_ENG_500DHS-75_30</v>
      </c>
      <c r="C141" s="92" t="s">
        <v>182</v>
      </c>
      <c r="D141" s="7" t="str" cm="1">
        <f t="array" ref="D141">INDEX(기계코드!$D$4:$D$1022,MATCH(1,(C141=기계코드!$F$4:$F$1022)*1,0))</f>
        <v>M_PMP0301</v>
      </c>
      <c r="E141" s="92" t="s">
        <v>1559</v>
      </c>
      <c r="F141" s="7" t="str" cm="1">
        <f t="array" ref="F141">INDEX(공급업체코드!$B$3:$B$1000,MATCH(1,(E141=공급업체코드!$D$3:$D$1000)*1,0))</f>
        <v>VM_DH_ENG</v>
      </c>
      <c r="G141" s="43" t="s">
        <v>1532</v>
      </c>
      <c r="H141" s="63"/>
      <c r="I141" s="132">
        <v>30</v>
      </c>
      <c r="J141" s="64"/>
      <c r="K141" s="64"/>
      <c r="L141" s="64"/>
      <c r="M141" s="65"/>
      <c r="N141" s="64"/>
      <c r="O141" s="65">
        <v>10</v>
      </c>
      <c r="P141" s="64"/>
      <c r="Q141" s="65"/>
      <c r="R141" s="64">
        <v>500</v>
      </c>
      <c r="S141" s="64"/>
      <c r="T141" s="70">
        <v>75</v>
      </c>
      <c r="U141" s="7" t="s">
        <v>987</v>
      </c>
      <c r="V141" s="7">
        <v>380</v>
      </c>
      <c r="W141" s="151">
        <v>0.95400000000000007</v>
      </c>
      <c r="X141" s="7">
        <v>0.9</v>
      </c>
      <c r="Y141" s="7">
        <v>80</v>
      </c>
      <c r="Z141" s="34">
        <v>2040</v>
      </c>
      <c r="AA141" s="274" t="s">
        <v>1390</v>
      </c>
      <c r="AB141" s="61"/>
      <c r="AC141" s="275" t="s">
        <v>1391</v>
      </c>
      <c r="AD141" s="64" t="s">
        <v>1461</v>
      </c>
      <c r="AE141" s="64" t="s">
        <v>1461</v>
      </c>
      <c r="AI141" s="7">
        <v>55000000</v>
      </c>
      <c r="AJ141" s="7"/>
      <c r="AK141" s="18" t="s">
        <v>1462</v>
      </c>
      <c r="AL141" s="1" t="b">
        <v>1</v>
      </c>
    </row>
    <row r="142" spans="1:38">
      <c r="A142" t="s">
        <v>1563</v>
      </c>
      <c r="B142" s="1" t="str">
        <f t="shared" si="3"/>
        <v>M_PMP0301_VM_DH_ENG_500DHS-110_30</v>
      </c>
      <c r="C142" s="92" t="s">
        <v>182</v>
      </c>
      <c r="D142" s="7" t="str" cm="1">
        <f t="array" ref="D142">INDEX(기계코드!$D$4:$D$1022,MATCH(1,(C142=기계코드!$F$4:$F$1022)*1,0))</f>
        <v>M_PMP0301</v>
      </c>
      <c r="E142" s="92" t="s">
        <v>1559</v>
      </c>
      <c r="F142" s="7" t="str" cm="1">
        <f t="array" ref="F142">INDEX(공급업체코드!$B$3:$B$1000,MATCH(1,(E142=공급업체코드!$D$3:$D$1000)*1,0))</f>
        <v>VM_DH_ENG</v>
      </c>
      <c r="G142" s="43" t="s">
        <v>1533</v>
      </c>
      <c r="H142" s="63"/>
      <c r="I142" s="132">
        <v>30</v>
      </c>
      <c r="J142" s="64"/>
      <c r="K142" s="64"/>
      <c r="L142" s="64"/>
      <c r="M142" s="65"/>
      <c r="N142" s="64"/>
      <c r="O142" s="65">
        <v>14</v>
      </c>
      <c r="P142" s="64"/>
      <c r="Q142" s="65"/>
      <c r="R142" s="64">
        <v>500</v>
      </c>
      <c r="S142" s="64"/>
      <c r="T142" s="70">
        <v>110</v>
      </c>
      <c r="U142" s="7" t="s">
        <v>987</v>
      </c>
      <c r="V142" s="7">
        <v>380</v>
      </c>
      <c r="W142" s="151">
        <v>0.95799999999999996</v>
      </c>
      <c r="X142" s="7">
        <v>0.9</v>
      </c>
      <c r="Y142" s="7">
        <v>80</v>
      </c>
      <c r="Z142" s="34">
        <v>2450</v>
      </c>
      <c r="AA142" s="274" t="s">
        <v>1390</v>
      </c>
      <c r="AB142" s="61"/>
      <c r="AC142" s="275" t="s">
        <v>1391</v>
      </c>
      <c r="AD142" s="64" t="s">
        <v>1461</v>
      </c>
      <c r="AE142" s="64" t="s">
        <v>1461</v>
      </c>
      <c r="AI142" s="7">
        <v>63000000</v>
      </c>
      <c r="AJ142" s="7"/>
      <c r="AK142" s="18" t="s">
        <v>1462</v>
      </c>
      <c r="AL142" s="1" t="b">
        <v>1</v>
      </c>
    </row>
    <row r="143" spans="1:38">
      <c r="A143" t="s">
        <v>1563</v>
      </c>
      <c r="B143" s="1" t="str">
        <f t="shared" si="3"/>
        <v>M_PMP0301_VM_DH_ENG_500DHS-150_30</v>
      </c>
      <c r="C143" s="92" t="s">
        <v>182</v>
      </c>
      <c r="D143" s="7" t="str" cm="1">
        <f t="array" ref="D143">INDEX(기계코드!$D$4:$D$1022,MATCH(1,(C143=기계코드!$F$4:$F$1022)*1,0))</f>
        <v>M_PMP0301</v>
      </c>
      <c r="E143" s="92" t="s">
        <v>1559</v>
      </c>
      <c r="F143" s="7" t="str" cm="1">
        <f t="array" ref="F143">INDEX(공급업체코드!$B$3:$B$1000,MATCH(1,(E143=공급업체코드!$D$3:$D$1000)*1,0))</f>
        <v>VM_DH_ENG</v>
      </c>
      <c r="G143" s="133" t="s">
        <v>1534</v>
      </c>
      <c r="H143" s="63"/>
      <c r="I143" s="132">
        <v>30</v>
      </c>
      <c r="J143" s="64"/>
      <c r="K143" s="64"/>
      <c r="L143" s="64"/>
      <c r="M143" s="65"/>
      <c r="N143" s="64"/>
      <c r="O143" s="65">
        <v>18</v>
      </c>
      <c r="P143" s="64"/>
      <c r="Q143" s="65"/>
      <c r="R143" s="64">
        <v>500</v>
      </c>
      <c r="S143" s="64"/>
      <c r="T143" s="70">
        <v>150</v>
      </c>
      <c r="U143" s="7" t="s">
        <v>987</v>
      </c>
      <c r="V143" s="7">
        <v>380</v>
      </c>
      <c r="W143" s="151">
        <v>0.96200000000000008</v>
      </c>
      <c r="X143" s="7">
        <v>0.9</v>
      </c>
      <c r="Y143" s="7">
        <v>80</v>
      </c>
      <c r="Z143" s="34">
        <v>2650</v>
      </c>
      <c r="AA143" s="274" t="s">
        <v>1390</v>
      </c>
      <c r="AB143" s="61"/>
      <c r="AC143" s="275" t="s">
        <v>1391</v>
      </c>
      <c r="AD143" s="64" t="s">
        <v>1461</v>
      </c>
      <c r="AE143" s="64" t="s">
        <v>1461</v>
      </c>
      <c r="AI143" s="7">
        <v>65000000</v>
      </c>
      <c r="AJ143" s="7"/>
      <c r="AK143" s="18" t="s">
        <v>1462</v>
      </c>
      <c r="AL143" s="1" t="b">
        <v>1</v>
      </c>
    </row>
    <row r="144" spans="1:38">
      <c r="A144" t="s">
        <v>1564</v>
      </c>
      <c r="B144" s="1" t="str">
        <f t="shared" ref="B144:B169" si="4">D144&amp;"_"&amp;F144&amp;"_"&amp;G144&amp;"_"&amp;AD144&amp;"_"&amp;I144</f>
        <v>M_PMP0601_VM_JF_TECH_JNP4040160_GC200_0.2</v>
      </c>
      <c r="C144" s="92" t="s">
        <v>203</v>
      </c>
      <c r="D144" s="7" t="str" cm="1">
        <f t="array" ref="D144">INDEX(기계코드!$D$4:$D$1022,MATCH(1,(C144=기계코드!$F$4:$F$1022)*1,0))</f>
        <v>M_PMP0601</v>
      </c>
      <c r="E144" s="92" t="s">
        <v>1565</v>
      </c>
      <c r="F144" s="7" t="str" cm="1">
        <f t="array" ref="F144">INDEX(공급업체코드!$B$3:$B$1000,MATCH(1,(E144=공급업체코드!$D$3:$D$1000)*1,0))</f>
        <v>VM_JF_TECH</v>
      </c>
      <c r="G144" s="113" t="s">
        <v>1566</v>
      </c>
      <c r="H144" s="134">
        <v>0.03</v>
      </c>
      <c r="I144" s="298">
        <v>0.2</v>
      </c>
      <c r="N144">
        <v>3</v>
      </c>
      <c r="O144" s="113">
        <v>10</v>
      </c>
      <c r="R144">
        <v>40</v>
      </c>
      <c r="T144">
        <v>0.75</v>
      </c>
      <c r="U144" s="7" t="s">
        <v>981</v>
      </c>
      <c r="V144" s="7">
        <v>380</v>
      </c>
      <c r="W144" s="151">
        <v>0.83499999999999996</v>
      </c>
      <c r="X144" s="7">
        <v>0.9</v>
      </c>
      <c r="Y144" s="7">
        <v>80</v>
      </c>
      <c r="Z144" s="135">
        <v>1.5</v>
      </c>
      <c r="AA144" s="274" t="s">
        <v>1390</v>
      </c>
      <c r="AB144" s="61">
        <v>5</v>
      </c>
      <c r="AC144" s="275" t="s">
        <v>1391</v>
      </c>
      <c r="AD144" s="64" t="s">
        <v>1461</v>
      </c>
      <c r="AE144" s="64" t="s">
        <v>1567</v>
      </c>
      <c r="AI144" s="7">
        <v>3800000</v>
      </c>
      <c r="AJ144" s="7"/>
      <c r="AK144" s="18" t="s">
        <v>1462</v>
      </c>
      <c r="AL144" s="1" t="b">
        <v>1</v>
      </c>
    </row>
    <row r="145" spans="1:38">
      <c r="A145" t="s">
        <v>1568</v>
      </c>
      <c r="B145" s="1" t="str">
        <f t="shared" si="4"/>
        <v>M_PMP0601_VM_JF_TECH_JNP5040160_GC200_0.3</v>
      </c>
      <c r="C145" s="92" t="s">
        <v>203</v>
      </c>
      <c r="D145" s="7" t="str" cm="1">
        <f t="array" ref="D145">INDEX(기계코드!$D$4:$D$1022,MATCH(1,(C145=기계코드!$F$4:$F$1022)*1,0))</f>
        <v>M_PMP0601</v>
      </c>
      <c r="E145" s="92" t="s">
        <v>1565</v>
      </c>
      <c r="F145" s="7" t="str" cm="1">
        <f t="array" ref="F145">INDEX(공급업체코드!$B$3:$B$1000,MATCH(1,(E145=공급업체코드!$D$3:$D$1000)*1,0))</f>
        <v>VM_JF_TECH</v>
      </c>
      <c r="G145" s="113" t="s">
        <v>1569</v>
      </c>
      <c r="H145" s="134">
        <v>0.03</v>
      </c>
      <c r="I145" s="134">
        <v>0.3</v>
      </c>
      <c r="N145">
        <v>3</v>
      </c>
      <c r="O145" s="113">
        <v>10</v>
      </c>
      <c r="R145">
        <v>40</v>
      </c>
      <c r="T145">
        <v>0.75</v>
      </c>
      <c r="U145" s="7" t="s">
        <v>981</v>
      </c>
      <c r="V145" s="7">
        <v>380</v>
      </c>
      <c r="W145" s="151">
        <v>0.83499999999999996</v>
      </c>
      <c r="X145" s="7">
        <v>0.9</v>
      </c>
      <c r="Y145" s="7">
        <v>80</v>
      </c>
      <c r="Z145" s="135">
        <v>2.2000000000000002</v>
      </c>
      <c r="AA145" s="274" t="s">
        <v>1390</v>
      </c>
      <c r="AB145" s="61">
        <v>5</v>
      </c>
      <c r="AC145" s="275" t="s">
        <v>1391</v>
      </c>
      <c r="AD145" s="64" t="s">
        <v>1461</v>
      </c>
      <c r="AE145" s="64" t="s">
        <v>1567</v>
      </c>
      <c r="AI145" s="136">
        <v>4000000</v>
      </c>
      <c r="AJ145" s="136"/>
      <c r="AK145" s="18" t="s">
        <v>1462</v>
      </c>
      <c r="AL145" s="1" t="b">
        <v>1</v>
      </c>
    </row>
    <row r="146" spans="1:38">
      <c r="A146" t="s">
        <v>1568</v>
      </c>
      <c r="B146" s="1" t="str">
        <f t="shared" si="4"/>
        <v>M_PMP0601_VM_JF_TECH_JNP5050200_GC200_0.5</v>
      </c>
      <c r="C146" s="92" t="s">
        <v>203</v>
      </c>
      <c r="D146" s="7" t="str" cm="1">
        <f t="array" ref="D146">INDEX(기계코드!$D$4:$D$1022,MATCH(1,(C146=기계코드!$F$4:$F$1022)*1,0))</f>
        <v>M_PMP0601</v>
      </c>
      <c r="E146" s="92" t="s">
        <v>1565</v>
      </c>
      <c r="F146" s="7" t="str" cm="1">
        <f t="array" ref="F146">INDEX(공급업체코드!$B$3:$B$1000,MATCH(1,(E146=공급업체코드!$D$3:$D$1000)*1,0))</f>
        <v>VM_JF_TECH</v>
      </c>
      <c r="G146" s="113" t="s">
        <v>1570</v>
      </c>
      <c r="H146" s="134">
        <v>0.1</v>
      </c>
      <c r="I146" s="298">
        <v>0.5</v>
      </c>
      <c r="N146">
        <v>3</v>
      </c>
      <c r="O146" s="113">
        <v>30</v>
      </c>
      <c r="R146">
        <v>50</v>
      </c>
      <c r="T146">
        <v>0.75</v>
      </c>
      <c r="U146" s="7" t="s">
        <v>981</v>
      </c>
      <c r="V146" s="7">
        <v>380</v>
      </c>
      <c r="W146" s="151">
        <v>0.83499999999999996</v>
      </c>
      <c r="X146" s="7">
        <v>0.9</v>
      </c>
      <c r="Y146" s="7">
        <v>80</v>
      </c>
      <c r="Z146" s="135">
        <v>7.5</v>
      </c>
      <c r="AA146" s="274" t="s">
        <v>1390</v>
      </c>
      <c r="AB146" s="61">
        <v>5</v>
      </c>
      <c r="AC146" s="275" t="s">
        <v>1391</v>
      </c>
      <c r="AD146" s="64" t="s">
        <v>1461</v>
      </c>
      <c r="AE146" s="64" t="s">
        <v>1567</v>
      </c>
      <c r="AI146" s="136">
        <v>4800000</v>
      </c>
      <c r="AJ146" s="136"/>
      <c r="AK146" s="18" t="s">
        <v>1462</v>
      </c>
      <c r="AL146" s="1" t="b">
        <v>1</v>
      </c>
    </row>
    <row r="147" spans="1:38">
      <c r="A147" t="s">
        <v>1568</v>
      </c>
      <c r="B147" s="1" t="str">
        <f t="shared" si="4"/>
        <v>M_PMP0601_VM_JF_TECH_JNP5050250_GC200_0.7</v>
      </c>
      <c r="C147" s="92" t="s">
        <v>203</v>
      </c>
      <c r="D147" s="7" t="str" cm="1">
        <f t="array" ref="D147">INDEX(기계코드!$D$4:$D$1022,MATCH(1,(C147=기계코드!$F$4:$F$1022)*1,0))</f>
        <v>M_PMP0601</v>
      </c>
      <c r="E147" s="92" t="s">
        <v>1565</v>
      </c>
      <c r="F147" s="7" t="str" cm="1">
        <f t="array" ref="F147">INDEX(공급업체코드!$B$3:$B$1000,MATCH(1,(E147=공급업체코드!$D$3:$D$1000)*1,0))</f>
        <v>VM_JF_TECH</v>
      </c>
      <c r="G147" s="113" t="s">
        <v>1571</v>
      </c>
      <c r="H147" s="134">
        <v>0.3</v>
      </c>
      <c r="I147" s="134">
        <v>0.7</v>
      </c>
      <c r="N147">
        <v>3</v>
      </c>
      <c r="O147" s="113">
        <v>50</v>
      </c>
      <c r="R147">
        <v>50</v>
      </c>
      <c r="T147">
        <v>1.5</v>
      </c>
      <c r="U147" s="7" t="s">
        <v>981</v>
      </c>
      <c r="V147" s="7">
        <v>380</v>
      </c>
      <c r="W147" s="151">
        <v>0.86499999999999999</v>
      </c>
      <c r="X147" s="7">
        <v>0.9</v>
      </c>
      <c r="Y147" s="7">
        <v>80</v>
      </c>
      <c r="Z147" s="135">
        <v>22</v>
      </c>
      <c r="AA147" s="274" t="s">
        <v>1390</v>
      </c>
      <c r="AB147" s="61">
        <v>6</v>
      </c>
      <c r="AC147" s="275" t="s">
        <v>1391</v>
      </c>
      <c r="AD147" s="64" t="s">
        <v>1461</v>
      </c>
      <c r="AE147" s="64" t="s">
        <v>1567</v>
      </c>
      <c r="AI147" s="136">
        <v>5300000</v>
      </c>
      <c r="AJ147" s="136"/>
      <c r="AK147" s="18" t="s">
        <v>1462</v>
      </c>
      <c r="AL147" s="1" t="b">
        <v>1</v>
      </c>
    </row>
    <row r="148" spans="1:38">
      <c r="A148" t="s">
        <v>1572</v>
      </c>
      <c r="B148" s="1" t="str">
        <f t="shared" si="4"/>
        <v>M_PMP0601_VM_JF_TECH_JNP6550200_GC200_0.8</v>
      </c>
      <c r="C148" s="92" t="s">
        <v>203</v>
      </c>
      <c r="D148" s="7" t="str" cm="1">
        <f t="array" ref="D148">INDEX(기계코드!$D$4:$D$1022,MATCH(1,(C148=기계코드!$F$4:$F$1022)*1,0))</f>
        <v>M_PMP0601</v>
      </c>
      <c r="E148" s="92" t="s">
        <v>1565</v>
      </c>
      <c r="F148" s="7" t="str" cm="1">
        <f t="array" ref="F148">INDEX(공급업체코드!$B$3:$B$1000,MATCH(1,(E148=공급업체코드!$D$3:$D$1000)*1,0))</f>
        <v>VM_JF_TECH</v>
      </c>
      <c r="G148" s="113" t="s">
        <v>1573</v>
      </c>
      <c r="H148" s="134">
        <v>0.3</v>
      </c>
      <c r="I148" s="298">
        <v>0.8</v>
      </c>
      <c r="N148">
        <v>3</v>
      </c>
      <c r="O148" s="113">
        <v>40</v>
      </c>
      <c r="R148">
        <v>50</v>
      </c>
      <c r="T148">
        <v>1.5</v>
      </c>
      <c r="U148" s="7" t="s">
        <v>981</v>
      </c>
      <c r="V148" s="7">
        <v>380</v>
      </c>
      <c r="W148" s="151">
        <v>0.86499999999999999</v>
      </c>
      <c r="X148" s="7">
        <v>0.9</v>
      </c>
      <c r="Y148" s="7">
        <v>80</v>
      </c>
      <c r="Z148" s="135">
        <v>15</v>
      </c>
      <c r="AA148" s="274" t="s">
        <v>1390</v>
      </c>
      <c r="AB148" s="61">
        <v>6</v>
      </c>
      <c r="AC148" s="275" t="s">
        <v>1391</v>
      </c>
      <c r="AD148" s="64" t="s">
        <v>1461</v>
      </c>
      <c r="AE148" s="64" t="s">
        <v>1567</v>
      </c>
      <c r="AI148" s="136">
        <v>6000000</v>
      </c>
      <c r="AJ148" s="136"/>
      <c r="AK148" s="18" t="s">
        <v>1462</v>
      </c>
      <c r="AL148" s="1" t="b">
        <v>1</v>
      </c>
    </row>
    <row r="149" spans="1:38">
      <c r="A149" t="s">
        <v>1574</v>
      </c>
      <c r="B149" s="1" t="str">
        <f t="shared" si="4"/>
        <v>M_PMP0601_VM_JF_TECH_JNP8065200_GC200_1.3</v>
      </c>
      <c r="C149" s="92" t="s">
        <v>203</v>
      </c>
      <c r="D149" s="7" t="str" cm="1">
        <f t="array" ref="D149">INDEX(기계코드!$D$4:$D$1022,MATCH(1,(C149=기계코드!$F$4:$F$1022)*1,0))</f>
        <v>M_PMP0601</v>
      </c>
      <c r="E149" s="92" t="s">
        <v>1565</v>
      </c>
      <c r="F149" s="7" t="str" cm="1">
        <f t="array" ref="F149">INDEX(공급업체코드!$B$3:$B$1000,MATCH(1,(E149=공급업체코드!$D$3:$D$1000)*1,0))</f>
        <v>VM_JF_TECH</v>
      </c>
      <c r="G149" s="113" t="s">
        <v>1575</v>
      </c>
      <c r="H149" s="134">
        <v>0.3</v>
      </c>
      <c r="I149" s="298">
        <v>1.3</v>
      </c>
      <c r="N149">
        <v>3</v>
      </c>
      <c r="O149" s="113">
        <v>40</v>
      </c>
      <c r="R149">
        <v>65</v>
      </c>
      <c r="T149">
        <v>1.5</v>
      </c>
      <c r="U149" s="7" t="s">
        <v>981</v>
      </c>
      <c r="V149" s="7">
        <v>380</v>
      </c>
      <c r="W149" s="151">
        <v>0.86499999999999999</v>
      </c>
      <c r="X149" s="7">
        <v>0.9</v>
      </c>
      <c r="Y149" s="7">
        <v>80</v>
      </c>
      <c r="Z149" s="135">
        <v>22</v>
      </c>
      <c r="AA149" s="274" t="s">
        <v>1390</v>
      </c>
      <c r="AB149" s="61">
        <v>6</v>
      </c>
      <c r="AC149" s="275" t="s">
        <v>1391</v>
      </c>
      <c r="AD149" s="64" t="s">
        <v>1461</v>
      </c>
      <c r="AE149" s="64" t="s">
        <v>1567</v>
      </c>
      <c r="AI149" s="136">
        <v>7000000</v>
      </c>
      <c r="AJ149" s="136"/>
      <c r="AK149" s="18" t="s">
        <v>1462</v>
      </c>
      <c r="AL149" s="1" t="b">
        <v>1</v>
      </c>
    </row>
    <row r="150" spans="1:38">
      <c r="A150" t="s">
        <v>1574</v>
      </c>
      <c r="B150" s="1" t="str">
        <f t="shared" si="4"/>
        <v>M_PMP0601_VM_JF_TECH_JNP8065250_GC200_1.5</v>
      </c>
      <c r="C150" s="92" t="s">
        <v>203</v>
      </c>
      <c r="D150" s="7" t="str" cm="1">
        <f t="array" ref="D150">INDEX(기계코드!$D$4:$D$1022,MATCH(1,(C150=기계코드!$F$4:$F$1022)*1,0))</f>
        <v>M_PMP0601</v>
      </c>
      <c r="E150" s="92" t="s">
        <v>1565</v>
      </c>
      <c r="F150" s="7" t="str" cm="1">
        <f t="array" ref="F150">INDEX(공급업체코드!$B$3:$B$1000,MATCH(1,(E150=공급업체코드!$D$3:$D$1000)*1,0))</f>
        <v>VM_JF_TECH</v>
      </c>
      <c r="G150" s="113" t="s">
        <v>1576</v>
      </c>
      <c r="H150" s="134">
        <v>0.3</v>
      </c>
      <c r="I150" s="134">
        <v>1.5</v>
      </c>
      <c r="N150">
        <v>3</v>
      </c>
      <c r="O150" s="113">
        <v>50</v>
      </c>
      <c r="R150">
        <v>65</v>
      </c>
      <c r="T150">
        <v>2.2000000000000002</v>
      </c>
      <c r="U150" s="7" t="s">
        <v>981</v>
      </c>
      <c r="V150" s="7">
        <v>380</v>
      </c>
      <c r="W150" s="151">
        <v>0.89500000000000002</v>
      </c>
      <c r="X150" s="7">
        <v>0.9</v>
      </c>
      <c r="Y150" s="7">
        <v>80</v>
      </c>
      <c r="Z150" s="135">
        <v>37</v>
      </c>
      <c r="AA150" s="274" t="s">
        <v>1390</v>
      </c>
      <c r="AB150" s="61">
        <v>7</v>
      </c>
      <c r="AC150" s="275" t="s">
        <v>1391</v>
      </c>
      <c r="AD150" s="64" t="s">
        <v>1461</v>
      </c>
      <c r="AE150" s="64" t="s">
        <v>1567</v>
      </c>
      <c r="AI150" s="136">
        <v>7800000</v>
      </c>
      <c r="AJ150" s="136"/>
      <c r="AK150" s="18" t="s">
        <v>1462</v>
      </c>
      <c r="AL150" s="1" t="b">
        <v>1</v>
      </c>
    </row>
    <row r="151" spans="1:38">
      <c r="A151" t="s">
        <v>1574</v>
      </c>
      <c r="B151" s="1" t="str">
        <f t="shared" si="4"/>
        <v>M_PMP0601_VM_JF_TECH_JNP8080200A_GC200_1.7</v>
      </c>
      <c r="C151" s="92" t="s">
        <v>203</v>
      </c>
      <c r="D151" s="7" t="str" cm="1">
        <f t="array" ref="D151">INDEX(기계코드!$D$4:$D$1022,MATCH(1,(C151=기계코드!$F$4:$F$1022)*1,0))</f>
        <v>M_PMP0601</v>
      </c>
      <c r="E151" s="92" t="s">
        <v>1565</v>
      </c>
      <c r="F151" s="7" t="str" cm="1">
        <f t="array" ref="F151">INDEX(공급업체코드!$B$3:$B$1000,MATCH(1,(E151=공급업체코드!$D$3:$D$1000)*1,0))</f>
        <v>VM_JF_TECH</v>
      </c>
      <c r="G151" s="113" t="s">
        <v>1577</v>
      </c>
      <c r="H151" s="134">
        <v>0.3</v>
      </c>
      <c r="I151" s="134">
        <v>1.7</v>
      </c>
      <c r="N151">
        <v>3</v>
      </c>
      <c r="O151" s="113">
        <v>40</v>
      </c>
      <c r="R151">
        <v>80</v>
      </c>
      <c r="T151">
        <v>2.2000000000000002</v>
      </c>
      <c r="U151" s="7" t="s">
        <v>981</v>
      </c>
      <c r="V151" s="7">
        <v>380</v>
      </c>
      <c r="W151" s="151">
        <v>0.89500000000000002</v>
      </c>
      <c r="X151" s="7">
        <v>0.9</v>
      </c>
      <c r="Y151" s="7">
        <v>80</v>
      </c>
      <c r="Z151" s="135">
        <v>30</v>
      </c>
      <c r="AA151" s="274" t="s">
        <v>1390</v>
      </c>
      <c r="AB151" s="61">
        <v>7</v>
      </c>
      <c r="AC151" s="275" t="s">
        <v>1391</v>
      </c>
      <c r="AD151" s="64" t="s">
        <v>1461</v>
      </c>
      <c r="AE151" s="64" t="s">
        <v>1567</v>
      </c>
      <c r="AI151" s="136">
        <v>8000000</v>
      </c>
      <c r="AJ151" s="136"/>
      <c r="AK151" s="18" t="s">
        <v>1462</v>
      </c>
      <c r="AL151" s="1" t="b">
        <v>1</v>
      </c>
    </row>
    <row r="152" spans="1:38">
      <c r="A152" t="s">
        <v>1574</v>
      </c>
      <c r="B152" s="1" t="str">
        <f t="shared" si="4"/>
        <v>M_PMP0601_VM_JF_TECH_JNP8080200B_GC200_2</v>
      </c>
      <c r="C152" s="92" t="s">
        <v>203</v>
      </c>
      <c r="D152" s="7" t="str" cm="1">
        <f t="array" ref="D152">INDEX(기계코드!$D$4:$D$1022,MATCH(1,(C152=기계코드!$F$4:$F$1022)*1,0))</f>
        <v>M_PMP0601</v>
      </c>
      <c r="E152" s="92" t="s">
        <v>1565</v>
      </c>
      <c r="F152" s="7" t="str" cm="1">
        <f t="array" ref="F152">INDEX(공급업체코드!$B$3:$B$1000,MATCH(1,(E152=공급업체코드!$D$3:$D$1000)*1,0))</f>
        <v>VM_JF_TECH</v>
      </c>
      <c r="G152" s="113" t="s">
        <v>1578</v>
      </c>
      <c r="H152" s="134">
        <v>0.3</v>
      </c>
      <c r="I152" s="134">
        <v>2</v>
      </c>
      <c r="N152">
        <v>3</v>
      </c>
      <c r="O152" s="113">
        <v>40</v>
      </c>
      <c r="R152">
        <v>80</v>
      </c>
      <c r="T152">
        <v>2.2000000000000002</v>
      </c>
      <c r="U152" s="7" t="s">
        <v>981</v>
      </c>
      <c r="V152" s="7">
        <v>380</v>
      </c>
      <c r="W152" s="151">
        <v>0.89500000000000002</v>
      </c>
      <c r="X152" s="7">
        <v>0.9</v>
      </c>
      <c r="Y152" s="7">
        <v>80</v>
      </c>
      <c r="Z152" s="135">
        <v>37</v>
      </c>
      <c r="AA152" s="274" t="s">
        <v>1390</v>
      </c>
      <c r="AB152" s="61">
        <v>7</v>
      </c>
      <c r="AC152" s="275" t="s">
        <v>1391</v>
      </c>
      <c r="AD152" s="64" t="s">
        <v>1461</v>
      </c>
      <c r="AE152" s="64" t="s">
        <v>1567</v>
      </c>
      <c r="AI152" s="136">
        <v>9000000</v>
      </c>
      <c r="AJ152" s="136"/>
      <c r="AK152" s="18" t="s">
        <v>1462</v>
      </c>
      <c r="AL152" s="1" t="b">
        <v>1</v>
      </c>
    </row>
    <row r="153" spans="1:38">
      <c r="A153" t="s">
        <v>1579</v>
      </c>
      <c r="B153" s="1" t="str">
        <f t="shared" si="4"/>
        <v>M_PMP0601_VM_JF_TECH_JNP10080200A_GC200_2.3</v>
      </c>
      <c r="C153" s="92" t="s">
        <v>203</v>
      </c>
      <c r="D153" s="7" t="str" cm="1">
        <f t="array" ref="D153">INDEX(기계코드!$D$4:$D$1022,MATCH(1,(C153=기계코드!$F$4:$F$1022)*1,0))</f>
        <v>M_PMP0601</v>
      </c>
      <c r="E153" s="92" t="s">
        <v>1565</v>
      </c>
      <c r="F153" s="7" t="str" cm="1">
        <f t="array" ref="F153">INDEX(공급업체코드!$B$3:$B$1000,MATCH(1,(E153=공급업체코드!$D$3:$D$1000)*1,0))</f>
        <v>VM_JF_TECH</v>
      </c>
      <c r="G153" s="113" t="s">
        <v>1580</v>
      </c>
      <c r="H153" s="134">
        <v>0.5</v>
      </c>
      <c r="I153" s="134">
        <v>2.2999999999999998</v>
      </c>
      <c r="N153">
        <v>5</v>
      </c>
      <c r="O153" s="113">
        <v>40</v>
      </c>
      <c r="R153">
        <v>80</v>
      </c>
      <c r="T153">
        <v>2.2000000000000002</v>
      </c>
      <c r="U153" s="7" t="s">
        <v>981</v>
      </c>
      <c r="V153" s="7">
        <v>380</v>
      </c>
      <c r="W153" s="151">
        <v>0.89500000000000002</v>
      </c>
      <c r="X153" s="7">
        <v>0.9</v>
      </c>
      <c r="Y153" s="7">
        <v>80</v>
      </c>
      <c r="Z153" s="135">
        <v>45</v>
      </c>
      <c r="AA153" s="274" t="s">
        <v>1390</v>
      </c>
      <c r="AB153" s="61">
        <v>7</v>
      </c>
      <c r="AC153" s="275" t="s">
        <v>1391</v>
      </c>
      <c r="AD153" s="64" t="s">
        <v>1461</v>
      </c>
      <c r="AE153" s="64" t="s">
        <v>1567</v>
      </c>
      <c r="AI153" s="136">
        <v>9800000</v>
      </c>
      <c r="AJ153" s="136"/>
      <c r="AK153" s="18" t="s">
        <v>1462</v>
      </c>
      <c r="AL153" s="1" t="b">
        <v>1</v>
      </c>
    </row>
    <row r="154" spans="1:38">
      <c r="A154" t="s">
        <v>1579</v>
      </c>
      <c r="B154" s="1" t="str">
        <f t="shared" si="4"/>
        <v>M_PMP0601_VM_JF_TECH_JNP10080200B_GC200_2.5</v>
      </c>
      <c r="C154" s="92" t="s">
        <v>203</v>
      </c>
      <c r="D154" s="7" t="str" cm="1">
        <f t="array" ref="D154">INDEX(기계코드!$D$4:$D$1022,MATCH(1,(C154=기계코드!$F$4:$F$1022)*1,0))</f>
        <v>M_PMP0601</v>
      </c>
      <c r="E154" s="92" t="s">
        <v>1565</v>
      </c>
      <c r="F154" s="7" t="str" cm="1">
        <f t="array" ref="F154">INDEX(공급업체코드!$B$3:$B$1000,MATCH(1,(E154=공급업체코드!$D$3:$D$1000)*1,0))</f>
        <v>VM_JF_TECH</v>
      </c>
      <c r="G154" s="113" t="s">
        <v>1581</v>
      </c>
      <c r="H154" s="134">
        <v>0.5</v>
      </c>
      <c r="I154" s="134">
        <v>2.5</v>
      </c>
      <c r="N154">
        <v>5</v>
      </c>
      <c r="O154" s="113">
        <v>40</v>
      </c>
      <c r="R154">
        <v>80</v>
      </c>
      <c r="T154">
        <v>2.2000000000000002</v>
      </c>
      <c r="U154" s="7" t="s">
        <v>981</v>
      </c>
      <c r="V154" s="7">
        <v>380</v>
      </c>
      <c r="W154" s="151">
        <v>0.89500000000000002</v>
      </c>
      <c r="X154" s="7">
        <v>0.9</v>
      </c>
      <c r="Y154" s="7">
        <v>80</v>
      </c>
      <c r="Z154" s="135">
        <v>45</v>
      </c>
      <c r="AA154" s="274" t="s">
        <v>1390</v>
      </c>
      <c r="AB154" s="61">
        <v>7</v>
      </c>
      <c r="AC154" s="275" t="s">
        <v>1391</v>
      </c>
      <c r="AD154" s="64" t="s">
        <v>1461</v>
      </c>
      <c r="AE154" s="64" t="s">
        <v>1567</v>
      </c>
      <c r="AI154" s="136">
        <v>11000000</v>
      </c>
      <c r="AJ154" s="136"/>
      <c r="AK154" s="18" t="s">
        <v>1462</v>
      </c>
      <c r="AL154" s="1" t="b">
        <v>1</v>
      </c>
    </row>
    <row r="155" spans="1:38">
      <c r="A155" t="s">
        <v>1579</v>
      </c>
      <c r="B155" s="1" t="str">
        <f t="shared" si="4"/>
        <v>M_PMP0601_VM_JF_TECH_JNP10080250_GC200_2.5</v>
      </c>
      <c r="C155" s="92" t="s">
        <v>203</v>
      </c>
      <c r="D155" s="7" t="str" cm="1">
        <f t="array" ref="D155">INDEX(기계코드!$D$4:$D$1022,MATCH(1,(C155=기계코드!$F$4:$F$1022)*1,0))</f>
        <v>M_PMP0601</v>
      </c>
      <c r="E155" s="92" t="s">
        <v>1565</v>
      </c>
      <c r="F155" s="7" t="str" cm="1">
        <f t="array" ref="F155">INDEX(공급업체코드!$B$3:$B$1000,MATCH(1,(E155=공급업체코드!$D$3:$D$1000)*1,0))</f>
        <v>VM_JF_TECH</v>
      </c>
      <c r="G155" s="113" t="s">
        <v>1582</v>
      </c>
      <c r="H155" s="134">
        <v>0.5</v>
      </c>
      <c r="I155" s="134">
        <v>2.5</v>
      </c>
      <c r="N155">
        <v>5</v>
      </c>
      <c r="O155" s="113">
        <v>50</v>
      </c>
      <c r="R155">
        <v>80</v>
      </c>
      <c r="T155">
        <v>2.2000000000000002</v>
      </c>
      <c r="U155" s="7" t="s">
        <v>981</v>
      </c>
      <c r="V155" s="7">
        <v>380</v>
      </c>
      <c r="W155" s="151">
        <v>0.89500000000000002</v>
      </c>
      <c r="X155" s="7">
        <v>0.9</v>
      </c>
      <c r="Y155" s="7">
        <v>80</v>
      </c>
      <c r="Z155" s="135">
        <v>55</v>
      </c>
      <c r="AA155" s="274" t="s">
        <v>1390</v>
      </c>
      <c r="AB155" s="61">
        <v>7</v>
      </c>
      <c r="AC155" s="275" t="s">
        <v>1391</v>
      </c>
      <c r="AD155" s="64" t="s">
        <v>1461</v>
      </c>
      <c r="AE155" s="64" t="s">
        <v>1567</v>
      </c>
      <c r="AI155" s="136">
        <v>12500000</v>
      </c>
      <c r="AJ155" s="136"/>
      <c r="AK155" s="18" t="s">
        <v>1462</v>
      </c>
      <c r="AL155" s="1" t="b">
        <v>1</v>
      </c>
    </row>
    <row r="156" spans="1:38">
      <c r="A156" t="s">
        <v>1579</v>
      </c>
      <c r="B156" s="1" t="str">
        <f t="shared" si="4"/>
        <v>M_PMP0601_VM_JF_TECH_JNP100100200_GC200_2.7</v>
      </c>
      <c r="C156" s="92" t="s">
        <v>203</v>
      </c>
      <c r="D156" s="7" t="str" cm="1">
        <f t="array" ref="D156">INDEX(기계코드!$D$4:$D$1022,MATCH(1,(C156=기계코드!$F$4:$F$1022)*1,0))</f>
        <v>M_PMP0601</v>
      </c>
      <c r="E156" s="92" t="s">
        <v>1565</v>
      </c>
      <c r="F156" s="7" t="str" cm="1">
        <f t="array" ref="F156">INDEX(공급업체코드!$B$3:$B$1000,MATCH(1,(E156=공급업체코드!$D$3:$D$1000)*1,0))</f>
        <v>VM_JF_TECH</v>
      </c>
      <c r="G156" s="113" t="s">
        <v>1583</v>
      </c>
      <c r="H156" s="134">
        <v>0.5</v>
      </c>
      <c r="I156" s="134">
        <v>2.7</v>
      </c>
      <c r="N156">
        <v>5</v>
      </c>
      <c r="O156" s="113">
        <v>40</v>
      </c>
      <c r="R156">
        <v>100</v>
      </c>
      <c r="T156">
        <v>2.2000000000000002</v>
      </c>
      <c r="U156" s="7" t="s">
        <v>981</v>
      </c>
      <c r="V156" s="7">
        <v>380</v>
      </c>
      <c r="W156" s="151">
        <v>0.89500000000000002</v>
      </c>
      <c r="X156" s="7">
        <v>0.9</v>
      </c>
      <c r="Y156" s="7">
        <v>80</v>
      </c>
      <c r="Z156" s="135">
        <v>45</v>
      </c>
      <c r="AA156" s="274" t="s">
        <v>1390</v>
      </c>
      <c r="AB156" s="61">
        <v>7</v>
      </c>
      <c r="AC156" s="275" t="s">
        <v>1391</v>
      </c>
      <c r="AD156" s="64" t="s">
        <v>1461</v>
      </c>
      <c r="AE156" s="64" t="s">
        <v>1567</v>
      </c>
      <c r="AI156" s="136">
        <v>11500000</v>
      </c>
      <c r="AJ156" s="136"/>
      <c r="AK156" s="18" t="s">
        <v>1462</v>
      </c>
      <c r="AL156" s="1" t="b">
        <v>1</v>
      </c>
    </row>
    <row r="157" spans="1:38">
      <c r="A157" t="s">
        <v>1584</v>
      </c>
      <c r="B157" s="1" t="str">
        <f t="shared" si="4"/>
        <v>M_PMP0601_VM_JF_TECH_JNP125100200_GC200_3</v>
      </c>
      <c r="C157" s="92" t="s">
        <v>203</v>
      </c>
      <c r="D157" s="7" t="str" cm="1">
        <f t="array" ref="D157">INDEX(기계코드!$D$4:$D$1022,MATCH(1,(C157=기계코드!$F$4:$F$1022)*1,0))</f>
        <v>M_PMP0601</v>
      </c>
      <c r="E157" s="92" t="s">
        <v>1565</v>
      </c>
      <c r="F157" s="7" t="str" cm="1">
        <f t="array" ref="F157">INDEX(공급업체코드!$B$3:$B$1000,MATCH(1,(E157=공급업체코드!$D$3:$D$1000)*1,0))</f>
        <v>VM_JF_TECH</v>
      </c>
      <c r="G157" s="113" t="s">
        <v>1585</v>
      </c>
      <c r="H157" s="134">
        <v>0.8</v>
      </c>
      <c r="I157" s="134">
        <v>3</v>
      </c>
      <c r="N157">
        <v>5</v>
      </c>
      <c r="O157" s="113">
        <v>40</v>
      </c>
      <c r="R157">
        <v>100</v>
      </c>
      <c r="T157">
        <v>2.2000000000000002</v>
      </c>
      <c r="U157" s="7" t="s">
        <v>981</v>
      </c>
      <c r="V157" s="7">
        <v>380</v>
      </c>
      <c r="W157" s="151">
        <v>0.89500000000000002</v>
      </c>
      <c r="X157" s="7">
        <v>0.9</v>
      </c>
      <c r="Y157" s="7">
        <v>80</v>
      </c>
      <c r="Z157" s="135">
        <v>45</v>
      </c>
      <c r="AA157" s="274" t="s">
        <v>1390</v>
      </c>
      <c r="AB157" s="61">
        <v>7</v>
      </c>
      <c r="AC157" s="275" t="s">
        <v>1391</v>
      </c>
      <c r="AD157" s="64" t="s">
        <v>1461</v>
      </c>
      <c r="AE157" s="64" t="s">
        <v>1567</v>
      </c>
      <c r="AI157" s="136">
        <v>12000000</v>
      </c>
      <c r="AJ157" s="136"/>
      <c r="AK157" s="18" t="s">
        <v>1462</v>
      </c>
      <c r="AL157" s="1" t="b">
        <v>1</v>
      </c>
    </row>
    <row r="158" spans="1:38">
      <c r="A158" t="s">
        <v>1584</v>
      </c>
      <c r="B158" s="1" t="str">
        <f t="shared" si="4"/>
        <v>M_PMP0601_VM_JF_TECH_JNP125100250_GC200_3.5</v>
      </c>
      <c r="C158" s="92" t="s">
        <v>203</v>
      </c>
      <c r="D158" s="7" t="str" cm="1">
        <f t="array" ref="D158">INDEX(기계코드!$D$4:$D$1022,MATCH(1,(C158=기계코드!$F$4:$F$1022)*1,0))</f>
        <v>M_PMP0601</v>
      </c>
      <c r="E158" s="92" t="s">
        <v>1565</v>
      </c>
      <c r="F158" s="7" t="str" cm="1">
        <f t="array" ref="F158">INDEX(공급업체코드!$B$3:$B$1000,MATCH(1,(E158=공급업체코드!$D$3:$D$1000)*1,0))</f>
        <v>VM_JF_TECH</v>
      </c>
      <c r="G158" s="113" t="s">
        <v>1586</v>
      </c>
      <c r="H158" s="134">
        <v>0.8</v>
      </c>
      <c r="I158" s="134">
        <v>3.5</v>
      </c>
      <c r="N158">
        <v>5</v>
      </c>
      <c r="O158" s="113">
        <v>50</v>
      </c>
      <c r="R158">
        <v>100</v>
      </c>
      <c r="T158">
        <v>2.2000000000000002</v>
      </c>
      <c r="U158" s="7" t="s">
        <v>981</v>
      </c>
      <c r="V158" s="7">
        <v>380</v>
      </c>
      <c r="W158" s="151">
        <v>0.89500000000000002</v>
      </c>
      <c r="X158" s="7">
        <v>0.9</v>
      </c>
      <c r="Y158" s="7">
        <v>80</v>
      </c>
      <c r="Z158" s="135">
        <v>75</v>
      </c>
      <c r="AA158" s="274" t="s">
        <v>1390</v>
      </c>
      <c r="AB158" s="61">
        <v>7</v>
      </c>
      <c r="AC158" s="275" t="s">
        <v>1391</v>
      </c>
      <c r="AD158" s="64" t="s">
        <v>1461</v>
      </c>
      <c r="AE158" s="64" t="s">
        <v>1567</v>
      </c>
      <c r="AI158" s="136">
        <v>13500000</v>
      </c>
      <c r="AJ158" s="136"/>
      <c r="AK158" s="18" t="s">
        <v>1462</v>
      </c>
      <c r="AL158" s="1" t="b">
        <v>1</v>
      </c>
    </row>
    <row r="159" spans="1:38">
      <c r="A159" t="s">
        <v>1587</v>
      </c>
      <c r="B159" s="1" t="str">
        <f t="shared" si="4"/>
        <v>M_PMP0601_VM_JF_TECH_JNP150125250_GC200_4</v>
      </c>
      <c r="C159" s="92" t="s">
        <v>203</v>
      </c>
      <c r="D159" s="7" t="str" cm="1">
        <f t="array" ref="D159">INDEX(기계코드!$D$4:$D$1022,MATCH(1,(C159=기계코드!$F$4:$F$1022)*1,0))</f>
        <v>M_PMP0601</v>
      </c>
      <c r="E159" s="92" t="s">
        <v>1565</v>
      </c>
      <c r="F159" s="7" t="str" cm="1">
        <f t="array" ref="F159">INDEX(공급업체코드!$B$3:$B$1000,MATCH(1,(E159=공급업체코드!$D$3:$D$1000)*1,0))</f>
        <v>VM_JF_TECH</v>
      </c>
      <c r="G159" s="113" t="s">
        <v>1588</v>
      </c>
      <c r="H159" s="134">
        <v>1</v>
      </c>
      <c r="I159" s="134">
        <v>4</v>
      </c>
      <c r="N159">
        <v>5</v>
      </c>
      <c r="O159" s="113">
        <v>40</v>
      </c>
      <c r="R159">
        <v>125</v>
      </c>
      <c r="T159">
        <v>3.7</v>
      </c>
      <c r="U159" s="7" t="s">
        <v>981</v>
      </c>
      <c r="V159" s="7">
        <v>380</v>
      </c>
      <c r="W159" s="151">
        <v>0.89500000000000002</v>
      </c>
      <c r="X159" s="7">
        <v>0.9</v>
      </c>
      <c r="Y159" s="7">
        <v>80</v>
      </c>
      <c r="Z159" s="135">
        <v>75</v>
      </c>
      <c r="AA159" s="274" t="s">
        <v>1390</v>
      </c>
      <c r="AB159" s="61">
        <v>8</v>
      </c>
      <c r="AC159" s="275" t="s">
        <v>1391</v>
      </c>
      <c r="AD159" s="64" t="s">
        <v>1461</v>
      </c>
      <c r="AE159" s="64" t="s">
        <v>1567</v>
      </c>
      <c r="AI159" s="136">
        <v>13000000</v>
      </c>
      <c r="AJ159" s="136"/>
      <c r="AK159" s="18" t="s">
        <v>1462</v>
      </c>
      <c r="AL159" s="1" t="b">
        <v>1</v>
      </c>
    </row>
    <row r="160" spans="1:38">
      <c r="A160" t="s">
        <v>1587</v>
      </c>
      <c r="B160" s="1" t="str">
        <f t="shared" si="4"/>
        <v>M_PMP0601_VM_JF_TECH_JNP150125380_GC200_4.5</v>
      </c>
      <c r="C160" s="92" t="s">
        <v>203</v>
      </c>
      <c r="D160" s="7" t="str" cm="1">
        <f t="array" ref="D160">INDEX(기계코드!$D$4:$D$1022,MATCH(1,(C160=기계코드!$F$4:$F$1022)*1,0))</f>
        <v>M_PMP0601</v>
      </c>
      <c r="E160" s="92" t="s">
        <v>1565</v>
      </c>
      <c r="F160" s="7" t="str" cm="1">
        <f t="array" ref="F160">INDEX(공급업체코드!$B$3:$B$1000,MATCH(1,(E160=공급업체코드!$D$3:$D$1000)*1,0))</f>
        <v>VM_JF_TECH</v>
      </c>
      <c r="G160" s="113" t="s">
        <v>1589</v>
      </c>
      <c r="H160" s="134">
        <v>1</v>
      </c>
      <c r="I160" s="134">
        <v>4.5</v>
      </c>
      <c r="N160">
        <v>5</v>
      </c>
      <c r="O160" s="113">
        <v>50</v>
      </c>
      <c r="R160">
        <v>125</v>
      </c>
      <c r="T160">
        <v>3.7</v>
      </c>
      <c r="U160" s="7" t="s">
        <v>981</v>
      </c>
      <c r="V160" s="7">
        <v>380</v>
      </c>
      <c r="W160" s="151">
        <v>0.89500000000000002</v>
      </c>
      <c r="X160" s="7">
        <v>0.9</v>
      </c>
      <c r="Y160" s="7">
        <v>80</v>
      </c>
      <c r="Z160" s="135">
        <v>90</v>
      </c>
      <c r="AA160" s="274" t="s">
        <v>1390</v>
      </c>
      <c r="AB160" s="61">
        <v>8</v>
      </c>
      <c r="AC160" s="275" t="s">
        <v>1391</v>
      </c>
      <c r="AD160" s="64" t="s">
        <v>1461</v>
      </c>
      <c r="AE160" s="64" t="s">
        <v>1567</v>
      </c>
      <c r="AI160" s="136">
        <v>14500000</v>
      </c>
      <c r="AJ160" s="136"/>
      <c r="AK160" s="18" t="s">
        <v>1462</v>
      </c>
      <c r="AL160" s="1" t="b">
        <v>1</v>
      </c>
    </row>
    <row r="161" spans="1:38">
      <c r="A161" t="s">
        <v>1587</v>
      </c>
      <c r="B161" s="1" t="str">
        <f t="shared" si="4"/>
        <v>M_PMP0601_VM_JF_TECH_JNP150125380_GC200_5</v>
      </c>
      <c r="C161" s="92" t="s">
        <v>203</v>
      </c>
      <c r="D161" s="7" t="str" cm="1">
        <f t="array" ref="D161">INDEX(기계코드!$D$4:$D$1022,MATCH(1,(C161=기계코드!$F$4:$F$1022)*1,0))</f>
        <v>M_PMP0601</v>
      </c>
      <c r="E161" s="92" t="s">
        <v>1565</v>
      </c>
      <c r="F161" s="7" t="str" cm="1">
        <f t="array" ref="F161">INDEX(공급업체코드!$B$3:$B$1000,MATCH(1,(E161=공급업체코드!$D$3:$D$1000)*1,0))</f>
        <v>VM_JF_TECH</v>
      </c>
      <c r="G161" s="113" t="s">
        <v>1589</v>
      </c>
      <c r="H161" s="134">
        <v>1</v>
      </c>
      <c r="I161" s="134">
        <v>5</v>
      </c>
      <c r="N161">
        <v>5</v>
      </c>
      <c r="O161" s="113">
        <v>50</v>
      </c>
      <c r="R161">
        <v>125</v>
      </c>
      <c r="T161">
        <v>3.7</v>
      </c>
      <c r="U161" s="7" t="s">
        <v>981</v>
      </c>
      <c r="V161" s="7">
        <v>380</v>
      </c>
      <c r="W161" s="151">
        <v>0.89500000000000002</v>
      </c>
      <c r="X161" s="7">
        <v>0.9</v>
      </c>
      <c r="Y161" s="7">
        <v>80</v>
      </c>
      <c r="Z161" s="135">
        <v>90</v>
      </c>
      <c r="AA161" s="274" t="s">
        <v>1390</v>
      </c>
      <c r="AB161" s="61">
        <v>8</v>
      </c>
      <c r="AC161" s="275" t="s">
        <v>1391</v>
      </c>
      <c r="AD161" s="64" t="s">
        <v>1461</v>
      </c>
      <c r="AE161" s="64" t="s">
        <v>1567</v>
      </c>
      <c r="AI161" s="136">
        <v>16000000</v>
      </c>
      <c r="AJ161" s="136"/>
      <c r="AK161" s="18" t="s">
        <v>1462</v>
      </c>
      <c r="AL161" s="1" t="b">
        <v>1</v>
      </c>
    </row>
    <row r="162" spans="1:38">
      <c r="A162" t="s">
        <v>1590</v>
      </c>
      <c r="B162" s="1" t="str">
        <f t="shared" si="4"/>
        <v>M_PMP0601_VM_JF_TECH_JNP200150250_GC200_7</v>
      </c>
      <c r="C162" s="92" t="s">
        <v>203</v>
      </c>
      <c r="D162" s="7" t="str" cm="1">
        <f t="array" ref="D162">INDEX(기계코드!$D$4:$D$1022,MATCH(1,(C162=기계코드!$F$4:$F$1022)*1,0))</f>
        <v>M_PMP0601</v>
      </c>
      <c r="E162" s="92" t="s">
        <v>1565</v>
      </c>
      <c r="F162" s="7" t="str" cm="1">
        <f t="array" ref="F162">INDEX(공급업체코드!$B$3:$B$1000,MATCH(1,(E162=공급업체코드!$D$3:$D$1000)*1,0))</f>
        <v>VM_JF_TECH</v>
      </c>
      <c r="G162" s="113" t="s">
        <v>1591</v>
      </c>
      <c r="H162" s="134">
        <v>2.5</v>
      </c>
      <c r="I162" s="134">
        <v>7</v>
      </c>
      <c r="N162">
        <v>5</v>
      </c>
      <c r="O162" s="113">
        <v>50</v>
      </c>
      <c r="R162">
        <v>150</v>
      </c>
      <c r="T162">
        <v>5</v>
      </c>
      <c r="U162" s="7" t="s">
        <v>981</v>
      </c>
      <c r="V162" s="7">
        <v>380</v>
      </c>
      <c r="W162" s="151">
        <v>0.91700000000000004</v>
      </c>
      <c r="X162" s="7">
        <v>0.9</v>
      </c>
      <c r="Y162" s="7">
        <v>80</v>
      </c>
      <c r="Z162" s="135">
        <v>132</v>
      </c>
      <c r="AA162" s="274" t="s">
        <v>1390</v>
      </c>
      <c r="AB162" s="61">
        <v>9</v>
      </c>
      <c r="AC162" s="275" t="s">
        <v>1391</v>
      </c>
      <c r="AD162" s="64" t="s">
        <v>1461</v>
      </c>
      <c r="AE162" s="64" t="s">
        <v>1567</v>
      </c>
      <c r="AI162" s="136">
        <v>15500000</v>
      </c>
      <c r="AJ162" s="136"/>
      <c r="AK162" s="18" t="s">
        <v>1462</v>
      </c>
      <c r="AL162" s="1" t="b">
        <v>1</v>
      </c>
    </row>
    <row r="163" spans="1:38">
      <c r="A163" t="s">
        <v>1590</v>
      </c>
      <c r="B163" s="314" t="str">
        <f t="shared" si="4"/>
        <v>M_PMP0601_VM_JF_TECH_JNP200150380_GC200_9</v>
      </c>
      <c r="C163" s="92" t="s">
        <v>203</v>
      </c>
      <c r="D163" s="7" t="str" cm="1">
        <f t="array" ref="D163">INDEX(기계코드!$D$4:$D$1022,MATCH(1,(C163=기계코드!$F$4:$F$1022)*1,0))</f>
        <v>M_PMP0601</v>
      </c>
      <c r="E163" s="92" t="s">
        <v>1565</v>
      </c>
      <c r="F163" s="7" t="str" cm="1">
        <f t="array" ref="F163">INDEX(공급업체코드!$B$3:$B$1000,MATCH(1,(E163=공급업체코드!$D$3:$D$1000)*1,0))</f>
        <v>VM_JF_TECH</v>
      </c>
      <c r="G163" s="113" t="s">
        <v>1592</v>
      </c>
      <c r="H163" s="134">
        <v>3</v>
      </c>
      <c r="I163" s="134">
        <v>9</v>
      </c>
      <c r="N163">
        <v>5</v>
      </c>
      <c r="O163" s="113">
        <v>50</v>
      </c>
      <c r="R163">
        <v>150</v>
      </c>
      <c r="T163">
        <v>7.5</v>
      </c>
      <c r="U163" s="7" t="s">
        <v>981</v>
      </c>
      <c r="V163" s="7">
        <v>380</v>
      </c>
      <c r="W163" s="151">
        <v>0.91700000000000004</v>
      </c>
      <c r="X163" s="7">
        <v>0.9</v>
      </c>
      <c r="Y163" s="7">
        <v>80</v>
      </c>
      <c r="Z163" s="135">
        <v>150</v>
      </c>
      <c r="AA163" s="274" t="s">
        <v>1390</v>
      </c>
      <c r="AB163" s="61">
        <v>10</v>
      </c>
      <c r="AC163" s="275" t="s">
        <v>1391</v>
      </c>
      <c r="AD163" s="64" t="s">
        <v>1461</v>
      </c>
      <c r="AE163" s="64" t="s">
        <v>1567</v>
      </c>
      <c r="AI163" s="136">
        <v>16800000</v>
      </c>
      <c r="AJ163" s="136"/>
      <c r="AK163" s="18" t="s">
        <v>1462</v>
      </c>
      <c r="AL163" s="1" t="b">
        <v>1</v>
      </c>
    </row>
    <row r="164" spans="1:38">
      <c r="A164" t="s">
        <v>1593</v>
      </c>
      <c r="B164" s="314" t="str">
        <f t="shared" si="4"/>
        <v>M_PMP0601_VM_JF_TECH_JNP250200380_GC200_13</v>
      </c>
      <c r="C164" s="92" t="s">
        <v>203</v>
      </c>
      <c r="D164" s="7" t="str" cm="1">
        <f t="array" ref="D164">INDEX(기계코드!$D$4:$D$1022,MATCH(1,(C164=기계코드!$F$4:$F$1022)*1,0))</f>
        <v>M_PMP0601</v>
      </c>
      <c r="E164" s="92" t="s">
        <v>1565</v>
      </c>
      <c r="F164" s="7" t="str" cm="1">
        <f t="array" ref="F164">INDEX(공급업체코드!$B$3:$B$1000,MATCH(1,(E164=공급업체코드!$D$3:$D$1000)*1,0))</f>
        <v>VM_JF_TECH</v>
      </c>
      <c r="G164" s="113" t="s">
        <v>1594</v>
      </c>
      <c r="H164" s="134">
        <v>4</v>
      </c>
      <c r="I164" s="134">
        <v>13</v>
      </c>
      <c r="N164">
        <v>5</v>
      </c>
      <c r="O164" s="113">
        <v>50</v>
      </c>
      <c r="R164">
        <v>200</v>
      </c>
      <c r="T164">
        <v>11</v>
      </c>
      <c r="U164" s="7" t="s">
        <v>981</v>
      </c>
      <c r="V164" s="7">
        <v>380</v>
      </c>
      <c r="W164" s="151">
        <v>0.92400000000000004</v>
      </c>
      <c r="X164" s="7">
        <v>0.9</v>
      </c>
      <c r="Y164" s="7">
        <v>80</v>
      </c>
      <c r="Z164" s="135">
        <v>250</v>
      </c>
      <c r="AA164" s="274" t="s">
        <v>1390</v>
      </c>
      <c r="AB164" s="61">
        <v>11</v>
      </c>
      <c r="AC164" s="275" t="s">
        <v>1391</v>
      </c>
      <c r="AD164" s="64" t="s">
        <v>1461</v>
      </c>
      <c r="AE164" s="64" t="s">
        <v>1567</v>
      </c>
      <c r="AI164" s="136">
        <v>17500000</v>
      </c>
      <c r="AJ164" s="136"/>
      <c r="AK164" s="18" t="s">
        <v>1462</v>
      </c>
      <c r="AL164" s="1" t="b">
        <v>1</v>
      </c>
    </row>
    <row r="165" spans="1:38">
      <c r="A165" t="s">
        <v>1595</v>
      </c>
      <c r="B165" s="314" t="str">
        <f t="shared" si="4"/>
        <v>M_PMP0601_VM_JF_TECH_JNP300250380_GC200_15</v>
      </c>
      <c r="C165" s="92" t="s">
        <v>203</v>
      </c>
      <c r="D165" s="7" t="str" cm="1">
        <f t="array" ref="D165">INDEX(기계코드!$D$4:$D$1022,MATCH(1,(C165=기계코드!$F$4:$F$1022)*1,0))</f>
        <v>M_PMP0601</v>
      </c>
      <c r="E165" s="92" t="s">
        <v>1565</v>
      </c>
      <c r="F165" s="7" t="str" cm="1">
        <f t="array" ref="F165">INDEX(공급업체코드!$B$3:$B$1000,MATCH(1,(E165=공급업체코드!$D$3:$D$1000)*1,0))</f>
        <v>VM_JF_TECH</v>
      </c>
      <c r="G165" s="113" t="s">
        <v>1596</v>
      </c>
      <c r="H165" s="134">
        <v>5</v>
      </c>
      <c r="I165" s="134">
        <v>15</v>
      </c>
      <c r="N165">
        <v>5</v>
      </c>
      <c r="O165" s="113">
        <v>50</v>
      </c>
      <c r="R165">
        <v>250</v>
      </c>
      <c r="T165">
        <v>15</v>
      </c>
      <c r="U165" s="7" t="s">
        <v>987</v>
      </c>
      <c r="V165" s="7">
        <v>380</v>
      </c>
      <c r="W165" s="151">
        <v>0.93</v>
      </c>
      <c r="X165" s="7">
        <v>0.9</v>
      </c>
      <c r="Y165" s="7">
        <v>80</v>
      </c>
      <c r="Z165" s="135">
        <v>250</v>
      </c>
      <c r="AA165" s="274" t="s">
        <v>1390</v>
      </c>
      <c r="AB165" s="61">
        <v>12</v>
      </c>
      <c r="AC165" s="275" t="s">
        <v>1391</v>
      </c>
      <c r="AD165" s="64" t="s">
        <v>1461</v>
      </c>
      <c r="AE165" s="64" t="s">
        <v>1567</v>
      </c>
      <c r="AI165" s="136">
        <v>27000000</v>
      </c>
      <c r="AJ165" s="136"/>
      <c r="AK165" s="18" t="s">
        <v>1462</v>
      </c>
      <c r="AL165" s="1" t="b">
        <v>1</v>
      </c>
    </row>
    <row r="166" spans="1:38">
      <c r="A166" t="s">
        <v>1595</v>
      </c>
      <c r="B166" s="1" t="str">
        <f t="shared" si="4"/>
        <v>M_PMP0601_VM_JF_TECH_JNP300300380_GC200_18</v>
      </c>
      <c r="C166" s="92" t="s">
        <v>203</v>
      </c>
      <c r="D166" s="7" t="str" cm="1">
        <f t="array" ref="D166">INDEX(기계코드!$D$4:$D$1022,MATCH(1,(C166=기계코드!$F$4:$F$1022)*1,0))</f>
        <v>M_PMP0601</v>
      </c>
      <c r="E166" s="92" t="s">
        <v>1565</v>
      </c>
      <c r="F166" s="7" t="str" cm="1">
        <f t="array" ref="F166">INDEX(공급업체코드!$B$3:$B$1000,MATCH(1,(E166=공급업체코드!$D$3:$D$1000)*1,0))</f>
        <v>VM_JF_TECH</v>
      </c>
      <c r="G166" s="113" t="s">
        <v>1597</v>
      </c>
      <c r="H166" s="134">
        <v>8</v>
      </c>
      <c r="I166" s="134">
        <v>18</v>
      </c>
      <c r="N166">
        <v>5</v>
      </c>
      <c r="O166" s="113">
        <v>50</v>
      </c>
      <c r="R166">
        <v>300</v>
      </c>
      <c r="T166">
        <v>18.5</v>
      </c>
      <c r="U166" s="7" t="s">
        <v>987</v>
      </c>
      <c r="V166" s="7">
        <v>380</v>
      </c>
      <c r="W166" s="151">
        <v>0.93599999999999994</v>
      </c>
      <c r="X166" s="7">
        <v>0.9</v>
      </c>
      <c r="Y166" s="7">
        <v>80</v>
      </c>
      <c r="Z166" s="135">
        <v>350</v>
      </c>
      <c r="AA166" s="274" t="s">
        <v>1390</v>
      </c>
      <c r="AB166" s="61">
        <v>13</v>
      </c>
      <c r="AC166" s="275" t="s">
        <v>1391</v>
      </c>
      <c r="AD166" s="64" t="s">
        <v>1461</v>
      </c>
      <c r="AE166" s="64" t="s">
        <v>1567</v>
      </c>
      <c r="AI166" s="136">
        <v>29000000</v>
      </c>
      <c r="AJ166" s="136"/>
      <c r="AK166" s="18" t="s">
        <v>1462</v>
      </c>
      <c r="AL166" s="1" t="b">
        <v>1</v>
      </c>
    </row>
    <row r="167" spans="1:38">
      <c r="A167" t="s">
        <v>1598</v>
      </c>
      <c r="B167" s="1" t="str">
        <f t="shared" si="4"/>
        <v>M_PMP0601_VM_JF_TECH_JNP350300380_GC200_20</v>
      </c>
      <c r="C167" s="92" t="s">
        <v>203</v>
      </c>
      <c r="D167" s="7" t="str" cm="1">
        <f t="array" ref="D167">INDEX(기계코드!$D$4:$D$1022,MATCH(1,(C167=기계코드!$F$4:$F$1022)*1,0))</f>
        <v>M_PMP0601</v>
      </c>
      <c r="E167" s="92" t="s">
        <v>1565</v>
      </c>
      <c r="F167" s="7" t="str" cm="1">
        <f t="array" ref="F167">INDEX(공급업체코드!$B$3:$B$1000,MATCH(1,(E167=공급업체코드!$D$3:$D$1000)*1,0))</f>
        <v>VM_JF_TECH</v>
      </c>
      <c r="G167" s="113" t="s">
        <v>1599</v>
      </c>
      <c r="H167" s="134">
        <v>10</v>
      </c>
      <c r="I167" s="134">
        <v>20</v>
      </c>
      <c r="N167">
        <v>5</v>
      </c>
      <c r="O167" s="113">
        <v>50</v>
      </c>
      <c r="R167">
        <v>300</v>
      </c>
      <c r="T167">
        <v>22</v>
      </c>
      <c r="U167" s="7" t="s">
        <v>987</v>
      </c>
      <c r="V167" s="7">
        <v>380</v>
      </c>
      <c r="W167" s="151">
        <v>0.93599999999999994</v>
      </c>
      <c r="X167" s="7">
        <v>0.9</v>
      </c>
      <c r="Y167" s="7">
        <v>80</v>
      </c>
      <c r="Z167" s="135">
        <v>350</v>
      </c>
      <c r="AA167" s="274" t="s">
        <v>1390</v>
      </c>
      <c r="AB167" s="61">
        <v>13</v>
      </c>
      <c r="AC167" s="275" t="s">
        <v>1391</v>
      </c>
      <c r="AD167" s="64" t="s">
        <v>1461</v>
      </c>
      <c r="AE167" s="64" t="s">
        <v>1567</v>
      </c>
      <c r="AI167" s="136">
        <v>33000000</v>
      </c>
      <c r="AJ167" s="136"/>
      <c r="AK167" s="18" t="s">
        <v>1462</v>
      </c>
      <c r="AL167" s="1" t="b">
        <v>1</v>
      </c>
    </row>
    <row r="168" spans="1:38">
      <c r="A168" t="s">
        <v>1600</v>
      </c>
      <c r="B168" s="1" t="str">
        <f t="shared" si="4"/>
        <v>M_PMP0601_VM_JF_TECH_JNP400350430_GC200_25</v>
      </c>
      <c r="C168" s="92" t="s">
        <v>203</v>
      </c>
      <c r="D168" s="7" t="str" cm="1">
        <f t="array" ref="D168">INDEX(기계코드!$D$4:$D$1022,MATCH(1,(C168=기계코드!$F$4:$F$1022)*1,0))</f>
        <v>M_PMP0601</v>
      </c>
      <c r="E168" s="92" t="s">
        <v>1565</v>
      </c>
      <c r="F168" s="7" t="str" cm="1">
        <f t="array" ref="F168">INDEX(공급업체코드!$B$3:$B$1000,MATCH(1,(E168=공급업체코드!$D$3:$D$1000)*1,0))</f>
        <v>VM_JF_TECH</v>
      </c>
      <c r="G168" s="113" t="s">
        <v>1601</v>
      </c>
      <c r="H168" s="134">
        <v>15</v>
      </c>
      <c r="I168" s="134">
        <v>25</v>
      </c>
      <c r="N168">
        <v>5</v>
      </c>
      <c r="O168" s="113">
        <v>50</v>
      </c>
      <c r="R168">
        <v>350</v>
      </c>
      <c r="T168">
        <v>30</v>
      </c>
      <c r="U168" s="7" t="s">
        <v>987</v>
      </c>
      <c r="V168" s="7">
        <v>380</v>
      </c>
      <c r="W168" s="151">
        <v>0.94099999999999995</v>
      </c>
      <c r="X168" s="7">
        <v>0.9</v>
      </c>
      <c r="Y168" s="7">
        <v>80</v>
      </c>
      <c r="Z168" s="135">
        <v>400</v>
      </c>
      <c r="AA168" s="274" t="s">
        <v>1390</v>
      </c>
      <c r="AB168" s="61">
        <v>14</v>
      </c>
      <c r="AC168" s="275" t="s">
        <v>1391</v>
      </c>
      <c r="AD168" s="64" t="s">
        <v>1461</v>
      </c>
      <c r="AE168" s="64" t="s">
        <v>1567</v>
      </c>
      <c r="AI168" s="136">
        <v>35000000</v>
      </c>
      <c r="AJ168" s="136"/>
      <c r="AK168" s="18" t="s">
        <v>1462</v>
      </c>
      <c r="AL168" s="1" t="b">
        <v>1</v>
      </c>
    </row>
    <row r="169" spans="1:38">
      <c r="B169" s="1" t="str">
        <f t="shared" si="4"/>
        <v>M_PMP0601_VM_JF_TECH_JNP500450550_GC200_30</v>
      </c>
      <c r="C169" s="92" t="s">
        <v>203</v>
      </c>
      <c r="D169" s="7" t="str" cm="1">
        <f t="array" ref="D169">INDEX(기계코드!$D$4:$D$1022,MATCH(1,(C169=기계코드!$F$4:$F$1022)*1,0))</f>
        <v>M_PMP0601</v>
      </c>
      <c r="E169" s="92" t="s">
        <v>1565</v>
      </c>
      <c r="F169" s="7" t="str" cm="1">
        <f t="array" ref="F169">INDEX(공급업체코드!$B$3:$B$1000,MATCH(1,(E169=공급업체코드!$D$3:$D$1000)*1,0))</f>
        <v>VM_JF_TECH</v>
      </c>
      <c r="G169" s="113" t="s">
        <v>1602</v>
      </c>
      <c r="H169" s="134">
        <v>20</v>
      </c>
      <c r="I169" s="134">
        <v>30</v>
      </c>
      <c r="N169">
        <v>5</v>
      </c>
      <c r="O169" s="113">
        <v>50</v>
      </c>
      <c r="R169">
        <v>450</v>
      </c>
      <c r="T169">
        <v>37</v>
      </c>
      <c r="U169" s="7" t="s">
        <v>987</v>
      </c>
      <c r="V169" s="7">
        <v>380</v>
      </c>
      <c r="W169" s="151">
        <v>0.94499999999999995</v>
      </c>
      <c r="X169" s="7">
        <v>0.9</v>
      </c>
      <c r="Y169" s="7">
        <v>80</v>
      </c>
      <c r="Z169" s="135">
        <v>500</v>
      </c>
      <c r="AA169" s="274" t="s">
        <v>1390</v>
      </c>
      <c r="AB169" s="61">
        <v>14</v>
      </c>
      <c r="AC169" s="275" t="s">
        <v>1391</v>
      </c>
      <c r="AD169" s="64" t="s">
        <v>1461</v>
      </c>
      <c r="AE169" s="64" t="s">
        <v>1567</v>
      </c>
      <c r="AI169" s="136">
        <v>48000000</v>
      </c>
      <c r="AJ169" s="136"/>
      <c r="AK169" s="18" t="s">
        <v>1462</v>
      </c>
      <c r="AL169" s="1" t="b">
        <v>1</v>
      </c>
    </row>
    <row r="170" spans="1:38">
      <c r="A170" t="s">
        <v>1564</v>
      </c>
      <c r="B170" s="1" t="str">
        <f t="shared" ref="B170:B195" si="5">D170&amp;"_"&amp;F170&amp;"_"&amp;G170&amp;"_"&amp;AD170&amp;"_"&amp;I170&amp;"V"</f>
        <v>M_PMP0602_VM_JF_TECH_JNP4040160_GC200_0.2V</v>
      </c>
      <c r="C170" s="92" t="s">
        <v>209</v>
      </c>
      <c r="D170" s="7" t="str" cm="1">
        <f t="array" ref="D170">INDEX(기계코드!$D$4:$D$1022,MATCH(1,(C170=기계코드!$F$4:$F$1022)*1,0))</f>
        <v>M_PMP0602</v>
      </c>
      <c r="E170" s="92" t="s">
        <v>1565</v>
      </c>
      <c r="F170" s="7" t="str" cm="1">
        <f t="array" ref="F170">INDEX(공급업체코드!$B$3:$B$1000,MATCH(1,(E170=공급업체코드!$D$3:$D$1000)*1,0))</f>
        <v>VM_JF_TECH</v>
      </c>
      <c r="G170" s="113" t="s">
        <v>1566</v>
      </c>
      <c r="H170" s="134">
        <v>0.03</v>
      </c>
      <c r="I170" s="134">
        <v>0.2</v>
      </c>
      <c r="N170">
        <v>3</v>
      </c>
      <c r="O170" s="113">
        <v>10</v>
      </c>
      <c r="R170">
        <v>40</v>
      </c>
      <c r="T170">
        <v>0.75</v>
      </c>
      <c r="U170" s="7" t="s">
        <v>984</v>
      </c>
      <c r="V170" s="7">
        <v>380</v>
      </c>
      <c r="W170" s="151">
        <v>0.83499999999999996</v>
      </c>
      <c r="X170" s="7">
        <v>0.9</v>
      </c>
      <c r="Y170" s="7">
        <v>80</v>
      </c>
      <c r="Z170" s="135">
        <v>1.5</v>
      </c>
      <c r="AA170" s="274" t="s">
        <v>1390</v>
      </c>
      <c r="AB170" s="61">
        <v>5</v>
      </c>
      <c r="AC170" s="275" t="s">
        <v>1391</v>
      </c>
      <c r="AD170" s="64" t="s">
        <v>1461</v>
      </c>
      <c r="AE170" s="64" t="s">
        <v>1567</v>
      </c>
      <c r="AI170" s="136">
        <v>4787000</v>
      </c>
      <c r="AJ170" s="136"/>
      <c r="AK170" s="18" t="s">
        <v>1462</v>
      </c>
      <c r="AL170" s="1" t="b">
        <v>1</v>
      </c>
    </row>
    <row r="171" spans="1:38">
      <c r="A171" t="s">
        <v>1568</v>
      </c>
      <c r="B171" s="1" t="str">
        <f>D171&amp;"_"&amp;F171&amp;"_"&amp;G171&amp;"_"&amp;AD171&amp;"_"&amp;I171&amp;"V"</f>
        <v>M_PMP0602_VM_JF_TECH_JNP5040160_GC200_0.3V</v>
      </c>
      <c r="C171" s="92" t="s">
        <v>209</v>
      </c>
      <c r="D171" s="7" t="str" cm="1">
        <f t="array" ref="D171">INDEX(기계코드!$D$4:$D$1022,MATCH(1,(C171=기계코드!$F$4:$F$1022)*1,0))</f>
        <v>M_PMP0602</v>
      </c>
      <c r="E171" s="92" t="s">
        <v>1565</v>
      </c>
      <c r="F171" s="7" t="str" cm="1">
        <f t="array" ref="F171">INDEX(공급업체코드!$B$3:$B$1000,MATCH(1,(E171=공급업체코드!$D$3:$D$1000)*1,0))</f>
        <v>VM_JF_TECH</v>
      </c>
      <c r="G171" s="113" t="s">
        <v>1569</v>
      </c>
      <c r="H171" s="134">
        <v>0.03</v>
      </c>
      <c r="I171" s="134">
        <v>0.3</v>
      </c>
      <c r="N171">
        <v>3</v>
      </c>
      <c r="O171" s="113">
        <v>10</v>
      </c>
      <c r="R171">
        <v>40</v>
      </c>
      <c r="T171">
        <v>0.75</v>
      </c>
      <c r="U171" s="7" t="s">
        <v>984</v>
      </c>
      <c r="V171" s="7">
        <v>380</v>
      </c>
      <c r="W171" s="151">
        <v>0.83499999999999996</v>
      </c>
      <c r="X171" s="7">
        <v>0.9</v>
      </c>
      <c r="Y171" s="7">
        <v>80</v>
      </c>
      <c r="Z171" s="135">
        <v>2.2000000000000002</v>
      </c>
      <c r="AA171" s="274" t="s">
        <v>1390</v>
      </c>
      <c r="AB171" s="61">
        <v>5</v>
      </c>
      <c r="AC171" s="275" t="s">
        <v>1391</v>
      </c>
      <c r="AD171" s="64" t="s">
        <v>1461</v>
      </c>
      <c r="AE171" s="64" t="s">
        <v>1567</v>
      </c>
      <c r="AI171" s="136">
        <v>5049000</v>
      </c>
      <c r="AJ171" s="136"/>
      <c r="AK171" s="18" t="s">
        <v>1462</v>
      </c>
      <c r="AL171" s="1" t="b">
        <v>1</v>
      </c>
    </row>
    <row r="172" spans="1:38">
      <c r="A172" t="s">
        <v>1568</v>
      </c>
      <c r="B172" s="1" t="str">
        <f t="shared" si="5"/>
        <v>M_PMP0602_VM_JF_TECH_JNP5050200_GC200_0.5V</v>
      </c>
      <c r="C172" s="92" t="s">
        <v>209</v>
      </c>
      <c r="D172" s="7" t="str" cm="1">
        <f t="array" ref="D172">INDEX(기계코드!$D$4:$D$1022,MATCH(1,(C172=기계코드!$F$4:$F$1022)*1,0))</f>
        <v>M_PMP0602</v>
      </c>
      <c r="E172" s="92" t="s">
        <v>1565</v>
      </c>
      <c r="F172" s="7" t="str" cm="1">
        <f t="array" ref="F172">INDEX(공급업체코드!$B$3:$B$1000,MATCH(1,(E172=공급업체코드!$D$3:$D$1000)*1,0))</f>
        <v>VM_JF_TECH</v>
      </c>
      <c r="G172" s="113" t="s">
        <v>1570</v>
      </c>
      <c r="H172" s="134">
        <v>0.1</v>
      </c>
      <c r="I172" s="134">
        <v>0.5</v>
      </c>
      <c r="N172">
        <v>3</v>
      </c>
      <c r="O172" s="113">
        <v>30</v>
      </c>
      <c r="R172">
        <v>50</v>
      </c>
      <c r="T172">
        <v>0.75</v>
      </c>
      <c r="U172" s="7" t="s">
        <v>984</v>
      </c>
      <c r="V172" s="7">
        <v>380</v>
      </c>
      <c r="W172" s="151">
        <v>0.83499999999999996</v>
      </c>
      <c r="X172" s="7">
        <v>0.9</v>
      </c>
      <c r="Y172" s="7">
        <v>80</v>
      </c>
      <c r="Z172" s="135">
        <v>7.5</v>
      </c>
      <c r="AA172" s="274" t="s">
        <v>1390</v>
      </c>
      <c r="AB172" s="61">
        <v>5</v>
      </c>
      <c r="AC172" s="275" t="s">
        <v>1391</v>
      </c>
      <c r="AD172" s="64" t="s">
        <v>1461</v>
      </c>
      <c r="AE172" s="64" t="s">
        <v>1567</v>
      </c>
      <c r="AI172" s="136">
        <v>6766000</v>
      </c>
      <c r="AJ172" s="136"/>
      <c r="AK172" s="18" t="s">
        <v>1462</v>
      </c>
      <c r="AL172" s="1" t="b">
        <v>1</v>
      </c>
    </row>
    <row r="173" spans="1:38">
      <c r="A173" t="s">
        <v>1568</v>
      </c>
      <c r="B173" s="1" t="str">
        <f t="shared" si="5"/>
        <v>M_PMP0602_VM_JF_TECH_JNP5050250_GC200_0.7V</v>
      </c>
      <c r="C173" s="92" t="s">
        <v>209</v>
      </c>
      <c r="D173" s="7" t="str" cm="1">
        <f t="array" ref="D173">INDEX(기계코드!$D$4:$D$1022,MATCH(1,(C173=기계코드!$F$4:$F$1022)*1,0))</f>
        <v>M_PMP0602</v>
      </c>
      <c r="E173" s="92" t="s">
        <v>1565</v>
      </c>
      <c r="F173" s="7" t="str" cm="1">
        <f t="array" ref="F173">INDEX(공급업체코드!$B$3:$B$1000,MATCH(1,(E173=공급업체코드!$D$3:$D$1000)*1,0))</f>
        <v>VM_JF_TECH</v>
      </c>
      <c r="G173" s="113" t="s">
        <v>1571</v>
      </c>
      <c r="H173" s="134">
        <v>0.3</v>
      </c>
      <c r="I173" s="134">
        <v>0.7</v>
      </c>
      <c r="N173">
        <v>3</v>
      </c>
      <c r="O173" s="113">
        <v>50</v>
      </c>
      <c r="R173">
        <v>50</v>
      </c>
      <c r="T173">
        <v>1.5</v>
      </c>
      <c r="U173" s="7" t="s">
        <v>984</v>
      </c>
      <c r="V173" s="7">
        <v>380</v>
      </c>
      <c r="W173" s="151">
        <v>0.86499999999999999</v>
      </c>
      <c r="X173" s="7">
        <v>0.9</v>
      </c>
      <c r="Y173" s="7">
        <v>80</v>
      </c>
      <c r="Z173" s="135">
        <v>22</v>
      </c>
      <c r="AA173" s="274" t="s">
        <v>1390</v>
      </c>
      <c r="AB173" s="61">
        <v>6</v>
      </c>
      <c r="AC173" s="275" t="s">
        <v>1391</v>
      </c>
      <c r="AD173" s="64" t="s">
        <v>1461</v>
      </c>
      <c r="AE173" s="64" t="s">
        <v>1567</v>
      </c>
      <c r="AI173" s="136">
        <v>9047000</v>
      </c>
      <c r="AJ173" s="136"/>
      <c r="AK173" s="18" t="s">
        <v>1462</v>
      </c>
      <c r="AL173" s="1" t="b">
        <v>1</v>
      </c>
    </row>
    <row r="174" spans="1:38">
      <c r="A174" t="s">
        <v>1572</v>
      </c>
      <c r="B174" s="1" t="str">
        <f t="shared" si="5"/>
        <v>M_PMP0602_VM_JF_TECH_JNP6550200_GC200_0.8V</v>
      </c>
      <c r="C174" s="92" t="s">
        <v>209</v>
      </c>
      <c r="D174" s="7" t="str" cm="1">
        <f t="array" ref="D174">INDEX(기계코드!$D$4:$D$1022,MATCH(1,(C174=기계코드!$F$4:$F$1022)*1,0))</f>
        <v>M_PMP0602</v>
      </c>
      <c r="E174" s="92" t="s">
        <v>1565</v>
      </c>
      <c r="F174" s="7" t="str" cm="1">
        <f t="array" ref="F174">INDEX(공급업체코드!$B$3:$B$1000,MATCH(1,(E174=공급업체코드!$D$3:$D$1000)*1,0))</f>
        <v>VM_JF_TECH</v>
      </c>
      <c r="G174" s="113" t="s">
        <v>1573</v>
      </c>
      <c r="H174" s="134">
        <v>0.3</v>
      </c>
      <c r="I174" s="134">
        <v>0.8</v>
      </c>
      <c r="N174">
        <v>3</v>
      </c>
      <c r="O174" s="113">
        <v>40</v>
      </c>
      <c r="R174">
        <v>50</v>
      </c>
      <c r="T174">
        <v>1.5</v>
      </c>
      <c r="U174" s="7" t="s">
        <v>984</v>
      </c>
      <c r="V174" s="7">
        <v>380</v>
      </c>
      <c r="W174" s="151">
        <v>0.86499999999999999</v>
      </c>
      <c r="X174" s="7">
        <v>0.9</v>
      </c>
      <c r="Y174" s="7">
        <v>80</v>
      </c>
      <c r="Z174" s="135">
        <v>15</v>
      </c>
      <c r="AA174" s="274" t="s">
        <v>1390</v>
      </c>
      <c r="AB174" s="61">
        <v>6</v>
      </c>
      <c r="AC174" s="275" t="s">
        <v>1391</v>
      </c>
      <c r="AD174" s="64" t="s">
        <v>1461</v>
      </c>
      <c r="AE174" s="64" t="s">
        <v>1567</v>
      </c>
      <c r="AI174" s="136">
        <v>8896000</v>
      </c>
      <c r="AJ174" s="136"/>
      <c r="AK174" s="18" t="s">
        <v>1462</v>
      </c>
      <c r="AL174" s="1" t="b">
        <v>1</v>
      </c>
    </row>
    <row r="175" spans="1:38">
      <c r="A175" t="s">
        <v>1574</v>
      </c>
      <c r="B175" s="1" t="str">
        <f t="shared" si="5"/>
        <v>M_PMP0602_VM_JF_TECH_JNP8065200_GC200_1.3V</v>
      </c>
      <c r="C175" s="92" t="s">
        <v>209</v>
      </c>
      <c r="D175" s="7" t="str" cm="1">
        <f t="array" ref="D175">INDEX(기계코드!$D$4:$D$1022,MATCH(1,(C175=기계코드!$F$4:$F$1022)*1,0))</f>
        <v>M_PMP0602</v>
      </c>
      <c r="E175" s="92" t="s">
        <v>1565</v>
      </c>
      <c r="F175" s="7" t="str" cm="1">
        <f t="array" ref="F175">INDEX(공급업체코드!$B$3:$B$1000,MATCH(1,(E175=공급업체코드!$D$3:$D$1000)*1,0))</f>
        <v>VM_JF_TECH</v>
      </c>
      <c r="G175" s="113" t="s">
        <v>1575</v>
      </c>
      <c r="H175" s="134">
        <v>0.3</v>
      </c>
      <c r="I175" s="134">
        <v>1.3</v>
      </c>
      <c r="N175">
        <v>3</v>
      </c>
      <c r="O175" s="113">
        <v>40</v>
      </c>
      <c r="R175">
        <v>65</v>
      </c>
      <c r="T175">
        <v>1.5</v>
      </c>
      <c r="U175" s="7" t="s">
        <v>984</v>
      </c>
      <c r="V175" s="7">
        <v>380</v>
      </c>
      <c r="W175" s="151">
        <v>0.86499999999999999</v>
      </c>
      <c r="X175" s="7">
        <v>0.9</v>
      </c>
      <c r="Y175" s="7">
        <v>80</v>
      </c>
      <c r="Z175" s="135">
        <v>22</v>
      </c>
      <c r="AA175" s="274" t="s">
        <v>1390</v>
      </c>
      <c r="AB175" s="61">
        <v>6</v>
      </c>
      <c r="AC175" s="275" t="s">
        <v>1391</v>
      </c>
      <c r="AD175" s="64" t="s">
        <v>1461</v>
      </c>
      <c r="AE175" s="64" t="s">
        <v>1567</v>
      </c>
      <c r="AI175" s="136">
        <v>10747000</v>
      </c>
      <c r="AJ175" s="136"/>
      <c r="AK175" s="18" t="s">
        <v>1462</v>
      </c>
      <c r="AL175" s="1" t="b">
        <v>1</v>
      </c>
    </row>
    <row r="176" spans="1:38">
      <c r="A176" t="s">
        <v>1574</v>
      </c>
      <c r="B176" s="1" t="str">
        <f t="shared" si="5"/>
        <v>M_PMP0602_VM_JF_TECH_JNP8065250_GC200_1.5V</v>
      </c>
      <c r="C176" s="92" t="s">
        <v>209</v>
      </c>
      <c r="D176" s="7" t="str" cm="1">
        <f t="array" ref="D176">INDEX(기계코드!$D$4:$D$1022,MATCH(1,(C176=기계코드!$F$4:$F$1022)*1,0))</f>
        <v>M_PMP0602</v>
      </c>
      <c r="E176" s="92" t="s">
        <v>1565</v>
      </c>
      <c r="F176" s="7" t="str" cm="1">
        <f t="array" ref="F176">INDEX(공급업체코드!$B$3:$B$1000,MATCH(1,(E176=공급업체코드!$D$3:$D$1000)*1,0))</f>
        <v>VM_JF_TECH</v>
      </c>
      <c r="G176" s="113" t="s">
        <v>1576</v>
      </c>
      <c r="H176" s="134">
        <v>0.3</v>
      </c>
      <c r="I176" s="134">
        <v>1.5</v>
      </c>
      <c r="N176">
        <v>3</v>
      </c>
      <c r="O176" s="113">
        <v>50</v>
      </c>
      <c r="R176">
        <v>65</v>
      </c>
      <c r="T176">
        <v>2.2000000000000002</v>
      </c>
      <c r="U176" s="7" t="s">
        <v>984</v>
      </c>
      <c r="V176" s="7">
        <v>380</v>
      </c>
      <c r="W176" s="151">
        <v>0.89500000000000002</v>
      </c>
      <c r="X176" s="7">
        <v>0.9</v>
      </c>
      <c r="Y176" s="7">
        <v>80</v>
      </c>
      <c r="Z176" s="135">
        <v>37</v>
      </c>
      <c r="AA176" s="274" t="s">
        <v>1390</v>
      </c>
      <c r="AB176" s="61">
        <v>7</v>
      </c>
      <c r="AC176" s="275" t="s">
        <v>1391</v>
      </c>
      <c r="AD176" s="64" t="s">
        <v>1461</v>
      </c>
      <c r="AE176" s="64" t="s">
        <v>1567</v>
      </c>
      <c r="AI176" s="136">
        <v>13237000</v>
      </c>
      <c r="AJ176" s="136"/>
      <c r="AK176" s="18" t="s">
        <v>1462</v>
      </c>
      <c r="AL176" s="1" t="b">
        <v>1</v>
      </c>
    </row>
    <row r="177" spans="1:38">
      <c r="A177" t="s">
        <v>1574</v>
      </c>
      <c r="B177" s="1" t="str">
        <f t="shared" si="5"/>
        <v>M_PMP0602_VM_JF_TECH_JNP8080200A_GC200_1.7V</v>
      </c>
      <c r="C177" s="92" t="s">
        <v>209</v>
      </c>
      <c r="D177" s="7" t="str" cm="1">
        <f t="array" ref="D177">INDEX(기계코드!$D$4:$D$1022,MATCH(1,(C177=기계코드!$F$4:$F$1022)*1,0))</f>
        <v>M_PMP0602</v>
      </c>
      <c r="E177" s="92" t="s">
        <v>1565</v>
      </c>
      <c r="F177" s="7" t="str" cm="1">
        <f t="array" ref="F177">INDEX(공급업체코드!$B$3:$B$1000,MATCH(1,(E177=공급업체코드!$D$3:$D$1000)*1,0))</f>
        <v>VM_JF_TECH</v>
      </c>
      <c r="G177" s="113" t="s">
        <v>1577</v>
      </c>
      <c r="H177" s="134">
        <v>0.3</v>
      </c>
      <c r="I177" s="134">
        <v>1.7</v>
      </c>
      <c r="N177">
        <v>3</v>
      </c>
      <c r="O177" s="113">
        <v>40</v>
      </c>
      <c r="R177">
        <v>80</v>
      </c>
      <c r="T177">
        <v>2.2000000000000002</v>
      </c>
      <c r="U177" s="7" t="s">
        <v>984</v>
      </c>
      <c r="V177" s="7">
        <v>380</v>
      </c>
      <c r="W177" s="151">
        <v>0.89500000000000002</v>
      </c>
      <c r="X177" s="7">
        <v>0.9</v>
      </c>
      <c r="Y177" s="7">
        <v>80</v>
      </c>
      <c r="Z177" s="135">
        <v>30</v>
      </c>
      <c r="AA177" s="274" t="s">
        <v>1390</v>
      </c>
      <c r="AB177" s="61">
        <v>7</v>
      </c>
      <c r="AC177" s="275" t="s">
        <v>1391</v>
      </c>
      <c r="AD177" s="64" t="s">
        <v>1461</v>
      </c>
      <c r="AE177" s="64" t="s">
        <v>1567</v>
      </c>
      <c r="AI177" s="136">
        <v>12350000</v>
      </c>
      <c r="AJ177" s="136"/>
      <c r="AK177" s="18" t="s">
        <v>1462</v>
      </c>
      <c r="AL177" s="1" t="b">
        <v>1</v>
      </c>
    </row>
    <row r="178" spans="1:38">
      <c r="A178" t="s">
        <v>1574</v>
      </c>
      <c r="B178" s="1" t="str">
        <f t="shared" si="5"/>
        <v>M_PMP0602_VM_JF_TECH_JNP8080200B_GC200_2V</v>
      </c>
      <c r="C178" s="92" t="s">
        <v>209</v>
      </c>
      <c r="D178" s="7" t="str" cm="1">
        <f t="array" ref="D178">INDEX(기계코드!$D$4:$D$1022,MATCH(1,(C178=기계코드!$F$4:$F$1022)*1,0))</f>
        <v>M_PMP0602</v>
      </c>
      <c r="E178" s="92" t="s">
        <v>1565</v>
      </c>
      <c r="F178" s="7" t="str" cm="1">
        <f t="array" ref="F178">INDEX(공급업체코드!$B$3:$B$1000,MATCH(1,(E178=공급업체코드!$D$3:$D$1000)*1,0))</f>
        <v>VM_JF_TECH</v>
      </c>
      <c r="G178" s="113" t="s">
        <v>1578</v>
      </c>
      <c r="H178" s="134">
        <v>0.3</v>
      </c>
      <c r="I178" s="134">
        <v>2</v>
      </c>
      <c r="N178">
        <v>3</v>
      </c>
      <c r="O178" s="113">
        <v>40</v>
      </c>
      <c r="R178">
        <v>80</v>
      </c>
      <c r="T178">
        <v>2.2000000000000002</v>
      </c>
      <c r="U178" s="7" t="s">
        <v>984</v>
      </c>
      <c r="V178" s="7">
        <v>380</v>
      </c>
      <c r="W178" s="151">
        <v>0.89500000000000002</v>
      </c>
      <c r="X178" s="7">
        <v>0.9</v>
      </c>
      <c r="Y178" s="7">
        <v>80</v>
      </c>
      <c r="Z178" s="135">
        <v>37</v>
      </c>
      <c r="AA178" s="274" t="s">
        <v>1390</v>
      </c>
      <c r="AB178" s="61">
        <v>7</v>
      </c>
      <c r="AC178" s="275" t="s">
        <v>1391</v>
      </c>
      <c r="AD178" s="64" t="s">
        <v>1461</v>
      </c>
      <c r="AE178" s="64" t="s">
        <v>1567</v>
      </c>
      <c r="AI178" s="136">
        <v>14437000</v>
      </c>
      <c r="AJ178" s="136"/>
      <c r="AK178" s="18" t="s">
        <v>1462</v>
      </c>
      <c r="AL178" s="1" t="b">
        <v>1</v>
      </c>
    </row>
    <row r="179" spans="1:38">
      <c r="A179" t="s">
        <v>1579</v>
      </c>
      <c r="B179" s="1" t="str">
        <f t="shared" si="5"/>
        <v>M_PMP0602_VM_JF_TECH_JNP10080200A_GC200_2.3V</v>
      </c>
      <c r="C179" s="92" t="s">
        <v>209</v>
      </c>
      <c r="D179" s="7" t="str" cm="1">
        <f t="array" ref="D179">INDEX(기계코드!$D$4:$D$1022,MATCH(1,(C179=기계코드!$F$4:$F$1022)*1,0))</f>
        <v>M_PMP0602</v>
      </c>
      <c r="E179" s="92" t="s">
        <v>1565</v>
      </c>
      <c r="F179" s="7" t="str" cm="1">
        <f t="array" ref="F179">INDEX(공급업체코드!$B$3:$B$1000,MATCH(1,(E179=공급업체코드!$D$3:$D$1000)*1,0))</f>
        <v>VM_JF_TECH</v>
      </c>
      <c r="G179" s="113" t="s">
        <v>1580</v>
      </c>
      <c r="H179" s="134">
        <v>0.5</v>
      </c>
      <c r="I179" s="134">
        <v>2.2999999999999998</v>
      </c>
      <c r="N179">
        <v>5</v>
      </c>
      <c r="O179" s="113">
        <v>40</v>
      </c>
      <c r="R179">
        <v>80</v>
      </c>
      <c r="T179">
        <v>2.2000000000000002</v>
      </c>
      <c r="U179" s="7" t="s">
        <v>984</v>
      </c>
      <c r="V179" s="7">
        <v>380</v>
      </c>
      <c r="W179" s="151">
        <v>0.89500000000000002</v>
      </c>
      <c r="X179" s="7">
        <v>0.9</v>
      </c>
      <c r="Y179" s="7">
        <v>80</v>
      </c>
      <c r="Z179" s="135">
        <v>45</v>
      </c>
      <c r="AA179" s="274" t="s">
        <v>1390</v>
      </c>
      <c r="AB179" s="61">
        <v>7</v>
      </c>
      <c r="AC179" s="275" t="s">
        <v>1391</v>
      </c>
      <c r="AD179" s="64" t="s">
        <v>1461</v>
      </c>
      <c r="AE179" s="64" t="s">
        <v>1567</v>
      </c>
      <c r="AI179" s="136">
        <v>15851000</v>
      </c>
      <c r="AJ179" s="136"/>
      <c r="AK179" s="18" t="s">
        <v>1462</v>
      </c>
      <c r="AL179" s="1" t="b">
        <v>1</v>
      </c>
    </row>
    <row r="180" spans="1:38">
      <c r="A180" t="s">
        <v>1579</v>
      </c>
      <c r="B180" s="1" t="str">
        <f t="shared" si="5"/>
        <v>M_PMP0602_VM_JF_TECH_JNP10080200B_GC200_2.5V</v>
      </c>
      <c r="C180" s="92" t="s">
        <v>209</v>
      </c>
      <c r="D180" s="7" t="str" cm="1">
        <f t="array" ref="D180">INDEX(기계코드!$D$4:$D$1022,MATCH(1,(C180=기계코드!$F$4:$F$1022)*1,0))</f>
        <v>M_PMP0602</v>
      </c>
      <c r="E180" s="92" t="s">
        <v>1565</v>
      </c>
      <c r="F180" s="7" t="str" cm="1">
        <f t="array" ref="F180">INDEX(공급업체코드!$B$3:$B$1000,MATCH(1,(E180=공급업체코드!$D$3:$D$1000)*1,0))</f>
        <v>VM_JF_TECH</v>
      </c>
      <c r="G180" s="113" t="s">
        <v>1581</v>
      </c>
      <c r="H180" s="134">
        <v>0.5</v>
      </c>
      <c r="I180" s="134">
        <v>2.5</v>
      </c>
      <c r="N180">
        <v>5</v>
      </c>
      <c r="O180" s="113">
        <v>40</v>
      </c>
      <c r="R180">
        <v>80</v>
      </c>
      <c r="T180">
        <v>2.2000000000000002</v>
      </c>
      <c r="U180" s="7" t="s">
        <v>984</v>
      </c>
      <c r="V180" s="7">
        <v>380</v>
      </c>
      <c r="W180" s="151">
        <v>0.89500000000000002</v>
      </c>
      <c r="X180" s="7">
        <v>0.9</v>
      </c>
      <c r="Y180" s="7">
        <v>80</v>
      </c>
      <c r="Z180" s="135">
        <v>45</v>
      </c>
      <c r="AA180" s="274" t="s">
        <v>1390</v>
      </c>
      <c r="AB180" s="61">
        <v>7</v>
      </c>
      <c r="AC180" s="275" t="s">
        <v>1391</v>
      </c>
      <c r="AD180" s="64" t="s">
        <v>1461</v>
      </c>
      <c r="AE180" s="64" t="s">
        <v>1567</v>
      </c>
      <c r="AI180" s="136">
        <v>17051000</v>
      </c>
      <c r="AJ180" s="136"/>
      <c r="AK180" s="18" t="s">
        <v>1462</v>
      </c>
      <c r="AL180" s="1" t="b">
        <v>1</v>
      </c>
    </row>
    <row r="181" spans="1:38">
      <c r="A181" t="s">
        <v>1579</v>
      </c>
      <c r="B181" s="1" t="str">
        <f t="shared" si="5"/>
        <v>M_PMP0602_VM_JF_TECH_JNP10080250_GC200_2.5V</v>
      </c>
      <c r="C181" s="92" t="s">
        <v>209</v>
      </c>
      <c r="D181" s="7" t="str" cm="1">
        <f t="array" ref="D181">INDEX(기계코드!$D$4:$D$1022,MATCH(1,(C181=기계코드!$F$4:$F$1022)*1,0))</f>
        <v>M_PMP0602</v>
      </c>
      <c r="E181" s="92" t="s">
        <v>1565</v>
      </c>
      <c r="F181" s="7" t="str" cm="1">
        <f t="array" ref="F181">INDEX(공급업체코드!$B$3:$B$1000,MATCH(1,(E181=공급업체코드!$D$3:$D$1000)*1,0))</f>
        <v>VM_JF_TECH</v>
      </c>
      <c r="G181" s="113" t="s">
        <v>1582</v>
      </c>
      <c r="H181" s="134">
        <v>0.5</v>
      </c>
      <c r="I181" s="134">
        <v>2.5</v>
      </c>
      <c r="N181">
        <v>5</v>
      </c>
      <c r="O181" s="113">
        <v>50</v>
      </c>
      <c r="R181">
        <v>80</v>
      </c>
      <c r="T181">
        <v>2.2000000000000002</v>
      </c>
      <c r="U181" s="7" t="s">
        <v>984</v>
      </c>
      <c r="V181" s="7">
        <v>380</v>
      </c>
      <c r="W181" s="151">
        <v>0.89500000000000002</v>
      </c>
      <c r="X181" s="7">
        <v>0.9</v>
      </c>
      <c r="Y181" s="7">
        <v>80</v>
      </c>
      <c r="Z181" s="135">
        <v>55</v>
      </c>
      <c r="AA181" s="274" t="s">
        <v>1390</v>
      </c>
      <c r="AB181" s="61">
        <v>7</v>
      </c>
      <c r="AC181" s="275" t="s">
        <v>1391</v>
      </c>
      <c r="AD181" s="64" t="s">
        <v>1461</v>
      </c>
      <c r="AE181" s="64" t="s">
        <v>1567</v>
      </c>
      <c r="AI181" s="136">
        <v>20917000</v>
      </c>
      <c r="AJ181" s="136"/>
      <c r="AK181" s="18" t="s">
        <v>1462</v>
      </c>
      <c r="AL181" s="1" t="b">
        <v>1</v>
      </c>
    </row>
    <row r="182" spans="1:38">
      <c r="A182" t="s">
        <v>1579</v>
      </c>
      <c r="B182" s="1" t="str">
        <f t="shared" si="5"/>
        <v>M_PMP0602_VM_JF_TECH_JNP100100200_GC200_2.7V</v>
      </c>
      <c r="C182" s="92" t="s">
        <v>209</v>
      </c>
      <c r="D182" s="7" t="str" cm="1">
        <f t="array" ref="D182">INDEX(기계코드!$D$4:$D$1022,MATCH(1,(C182=기계코드!$F$4:$F$1022)*1,0))</f>
        <v>M_PMP0602</v>
      </c>
      <c r="E182" s="92" t="s">
        <v>1565</v>
      </c>
      <c r="F182" s="7" t="str" cm="1">
        <f t="array" ref="F182">INDEX(공급업체코드!$B$3:$B$1000,MATCH(1,(E182=공급업체코드!$D$3:$D$1000)*1,0))</f>
        <v>VM_JF_TECH</v>
      </c>
      <c r="G182" s="113" t="s">
        <v>1583</v>
      </c>
      <c r="H182" s="134">
        <v>0.5</v>
      </c>
      <c r="I182" s="134">
        <v>2.7</v>
      </c>
      <c r="N182">
        <v>5</v>
      </c>
      <c r="O182" s="113">
        <v>40</v>
      </c>
      <c r="R182">
        <v>100</v>
      </c>
      <c r="T182">
        <v>2.2000000000000002</v>
      </c>
      <c r="U182" s="7" t="s">
        <v>984</v>
      </c>
      <c r="V182" s="7">
        <v>380</v>
      </c>
      <c r="W182" s="151">
        <v>0.89500000000000002</v>
      </c>
      <c r="X182" s="7">
        <v>0.9</v>
      </c>
      <c r="Y182" s="7">
        <v>80</v>
      </c>
      <c r="Z182" s="135">
        <v>45</v>
      </c>
      <c r="AA182" s="274" t="s">
        <v>1390</v>
      </c>
      <c r="AB182" s="61">
        <v>7</v>
      </c>
      <c r="AC182" s="275" t="s">
        <v>1391</v>
      </c>
      <c r="AD182" s="64" t="s">
        <v>1461</v>
      </c>
      <c r="AE182" s="64" t="s">
        <v>1567</v>
      </c>
      <c r="AI182" s="136">
        <v>17551000</v>
      </c>
      <c r="AJ182" s="136"/>
      <c r="AK182" s="18" t="s">
        <v>1462</v>
      </c>
      <c r="AL182" s="1" t="b">
        <v>1</v>
      </c>
    </row>
    <row r="183" spans="1:38">
      <c r="A183" t="s">
        <v>1584</v>
      </c>
      <c r="B183" s="1" t="str">
        <f t="shared" si="5"/>
        <v>M_PMP0602_VM_JF_TECH_JNP125100200_GC200_3V</v>
      </c>
      <c r="C183" s="92" t="s">
        <v>209</v>
      </c>
      <c r="D183" s="7" t="str" cm="1">
        <f t="array" ref="D183">INDEX(기계코드!$D$4:$D$1022,MATCH(1,(C183=기계코드!$F$4:$F$1022)*1,0))</f>
        <v>M_PMP0602</v>
      </c>
      <c r="E183" s="92" t="s">
        <v>1565</v>
      </c>
      <c r="F183" s="7" t="str" cm="1">
        <f t="array" ref="F183">INDEX(공급업체코드!$B$3:$B$1000,MATCH(1,(E183=공급업체코드!$D$3:$D$1000)*1,0))</f>
        <v>VM_JF_TECH</v>
      </c>
      <c r="G183" s="113" t="s">
        <v>1585</v>
      </c>
      <c r="H183" s="134">
        <v>0.8</v>
      </c>
      <c r="I183" s="134">
        <v>3</v>
      </c>
      <c r="N183">
        <v>5</v>
      </c>
      <c r="O183" s="113">
        <v>40</v>
      </c>
      <c r="R183">
        <v>100</v>
      </c>
      <c r="T183">
        <v>2.2000000000000002</v>
      </c>
      <c r="U183" s="7" t="s">
        <v>984</v>
      </c>
      <c r="V183" s="7">
        <v>380</v>
      </c>
      <c r="W183" s="151">
        <v>0.89500000000000002</v>
      </c>
      <c r="X183" s="7">
        <v>0.9</v>
      </c>
      <c r="Y183" s="7">
        <v>80</v>
      </c>
      <c r="Z183" s="135">
        <v>45</v>
      </c>
      <c r="AA183" s="274" t="s">
        <v>1390</v>
      </c>
      <c r="AB183" s="61">
        <v>7</v>
      </c>
      <c r="AC183" s="275" t="s">
        <v>1391</v>
      </c>
      <c r="AD183" s="64" t="s">
        <v>1461</v>
      </c>
      <c r="AE183" s="64" t="s">
        <v>1567</v>
      </c>
      <c r="AI183" s="136">
        <v>18051000</v>
      </c>
      <c r="AJ183" s="136"/>
      <c r="AK183" s="18" t="s">
        <v>1462</v>
      </c>
      <c r="AL183" s="1" t="b">
        <v>1</v>
      </c>
    </row>
    <row r="184" spans="1:38">
      <c r="A184" t="s">
        <v>1584</v>
      </c>
      <c r="B184" s="1" t="str">
        <f t="shared" si="5"/>
        <v>M_PMP0602_VM_JF_TECH_JNP125100250_GC200_3.5V</v>
      </c>
      <c r="C184" s="92" t="s">
        <v>209</v>
      </c>
      <c r="D184" s="7" t="str" cm="1">
        <f t="array" ref="D184">INDEX(기계코드!$D$4:$D$1022,MATCH(1,(C184=기계코드!$F$4:$F$1022)*1,0))</f>
        <v>M_PMP0602</v>
      </c>
      <c r="E184" s="92" t="s">
        <v>1565</v>
      </c>
      <c r="F184" s="7" t="str" cm="1">
        <f t="array" ref="F184">INDEX(공급업체코드!$B$3:$B$1000,MATCH(1,(E184=공급업체코드!$D$3:$D$1000)*1,0))</f>
        <v>VM_JF_TECH</v>
      </c>
      <c r="G184" s="113" t="s">
        <v>1586</v>
      </c>
      <c r="H184" s="134">
        <v>0.8</v>
      </c>
      <c r="I184" s="134">
        <v>3.5</v>
      </c>
      <c r="N184">
        <v>5</v>
      </c>
      <c r="O184" s="113">
        <v>50</v>
      </c>
      <c r="R184">
        <v>100</v>
      </c>
      <c r="T184">
        <v>2.2000000000000002</v>
      </c>
      <c r="U184" s="7" t="s">
        <v>984</v>
      </c>
      <c r="V184" s="7">
        <v>380</v>
      </c>
      <c r="W184" s="151">
        <v>0.89500000000000002</v>
      </c>
      <c r="X184" s="7">
        <v>0.9</v>
      </c>
      <c r="Y184" s="7">
        <v>80</v>
      </c>
      <c r="Z184" s="135">
        <v>75</v>
      </c>
      <c r="AA184" s="274" t="s">
        <v>1390</v>
      </c>
      <c r="AB184" s="61">
        <v>7</v>
      </c>
      <c r="AC184" s="275" t="s">
        <v>1391</v>
      </c>
      <c r="AD184" s="64" t="s">
        <v>1461</v>
      </c>
      <c r="AE184" s="64" t="s">
        <v>1567</v>
      </c>
      <c r="AI184" s="136">
        <v>23543000</v>
      </c>
      <c r="AJ184" s="136"/>
      <c r="AK184" s="18" t="s">
        <v>1462</v>
      </c>
      <c r="AL184" s="1" t="b">
        <v>1</v>
      </c>
    </row>
    <row r="185" spans="1:38">
      <c r="A185" t="s">
        <v>1587</v>
      </c>
      <c r="B185" s="1" t="str">
        <f t="shared" si="5"/>
        <v>M_PMP0602_VM_JF_TECH_JNP150125250_GC200_4V</v>
      </c>
      <c r="C185" s="92" t="s">
        <v>209</v>
      </c>
      <c r="D185" s="7" t="str" cm="1">
        <f t="array" ref="D185">INDEX(기계코드!$D$4:$D$1022,MATCH(1,(C185=기계코드!$F$4:$F$1022)*1,0))</f>
        <v>M_PMP0602</v>
      </c>
      <c r="E185" s="92" t="s">
        <v>1565</v>
      </c>
      <c r="F185" s="7" t="str" cm="1">
        <f t="array" ref="F185">INDEX(공급업체코드!$B$3:$B$1000,MATCH(1,(E185=공급업체코드!$D$3:$D$1000)*1,0))</f>
        <v>VM_JF_TECH</v>
      </c>
      <c r="G185" s="113" t="s">
        <v>1588</v>
      </c>
      <c r="H185" s="134">
        <v>1</v>
      </c>
      <c r="I185" s="134">
        <v>4</v>
      </c>
      <c r="N185">
        <v>5</v>
      </c>
      <c r="O185" s="113">
        <v>40</v>
      </c>
      <c r="R185">
        <v>125</v>
      </c>
      <c r="T185">
        <v>3.7</v>
      </c>
      <c r="U185" s="7" t="s">
        <v>984</v>
      </c>
      <c r="V185" s="7">
        <v>380</v>
      </c>
      <c r="W185" s="151">
        <v>0.89500000000000002</v>
      </c>
      <c r="X185" s="7">
        <v>0.9</v>
      </c>
      <c r="Y185" s="7">
        <v>80</v>
      </c>
      <c r="Z185" s="135">
        <v>75</v>
      </c>
      <c r="AA185" s="274" t="s">
        <v>1390</v>
      </c>
      <c r="AB185" s="61">
        <v>8</v>
      </c>
      <c r="AC185" s="275" t="s">
        <v>1391</v>
      </c>
      <c r="AD185" s="64" t="s">
        <v>1461</v>
      </c>
      <c r="AE185" s="64" t="s">
        <v>1567</v>
      </c>
      <c r="AI185" s="136">
        <v>23043000</v>
      </c>
      <c r="AJ185" s="136"/>
      <c r="AK185" s="18" t="s">
        <v>1462</v>
      </c>
      <c r="AL185" s="1" t="b">
        <v>1</v>
      </c>
    </row>
    <row r="186" spans="1:38">
      <c r="A186" t="s">
        <v>1587</v>
      </c>
      <c r="B186" s="1" t="str">
        <f t="shared" si="5"/>
        <v>M_PMP0602_VM_JF_TECH_JNP150125380_GC200_4.5V</v>
      </c>
      <c r="C186" s="92" t="s">
        <v>209</v>
      </c>
      <c r="D186" s="7" t="str" cm="1">
        <f t="array" ref="D186">INDEX(기계코드!$D$4:$D$1022,MATCH(1,(C186=기계코드!$F$4:$F$1022)*1,0))</f>
        <v>M_PMP0602</v>
      </c>
      <c r="E186" s="92" t="s">
        <v>1565</v>
      </c>
      <c r="F186" s="7" t="str" cm="1">
        <f t="array" ref="F186">INDEX(공급업체코드!$B$3:$B$1000,MATCH(1,(E186=공급업체코드!$D$3:$D$1000)*1,0))</f>
        <v>VM_JF_TECH</v>
      </c>
      <c r="G186" s="113" t="s">
        <v>1589</v>
      </c>
      <c r="H186" s="134">
        <v>1</v>
      </c>
      <c r="I186" s="134">
        <v>4.5</v>
      </c>
      <c r="N186">
        <v>5</v>
      </c>
      <c r="O186" s="113">
        <v>50</v>
      </c>
      <c r="R186">
        <v>125</v>
      </c>
      <c r="T186">
        <v>3.7</v>
      </c>
      <c r="U186" s="7" t="s">
        <v>984</v>
      </c>
      <c r="V186" s="7">
        <v>380</v>
      </c>
      <c r="W186" s="151">
        <v>0.89500000000000002</v>
      </c>
      <c r="X186" s="7">
        <v>0.9</v>
      </c>
      <c r="Y186" s="7">
        <v>80</v>
      </c>
      <c r="Z186" s="135">
        <v>90</v>
      </c>
      <c r="AA186" s="274" t="s">
        <v>1390</v>
      </c>
      <c r="AB186" s="61">
        <v>8</v>
      </c>
      <c r="AC186" s="275" t="s">
        <v>1391</v>
      </c>
      <c r="AD186" s="64" t="s">
        <v>1461</v>
      </c>
      <c r="AE186" s="64" t="s">
        <v>1567</v>
      </c>
      <c r="AI186" s="136">
        <v>30377000</v>
      </c>
      <c r="AJ186" s="136"/>
      <c r="AK186" s="18" t="s">
        <v>1462</v>
      </c>
      <c r="AL186" s="1" t="b">
        <v>1</v>
      </c>
    </row>
    <row r="187" spans="1:38">
      <c r="A187" s="342" t="s">
        <v>1587</v>
      </c>
      <c r="B187" s="1" t="str">
        <f t="shared" si="5"/>
        <v>M_PMP0602_VM_JF_TECH_JNP150125380_GC200_5V</v>
      </c>
      <c r="C187" s="92" t="s">
        <v>209</v>
      </c>
      <c r="D187" s="7" t="str" cm="1">
        <f t="array" ref="D187">INDEX(기계코드!$D$4:$D$1022,MATCH(1,(C187=기계코드!$F$4:$F$1022)*1,0))</f>
        <v>M_PMP0602</v>
      </c>
      <c r="E187" s="92" t="s">
        <v>1565</v>
      </c>
      <c r="F187" s="7" t="str" cm="1">
        <f t="array" ref="F187">INDEX(공급업체코드!$B$3:$B$1000,MATCH(1,(E187=공급업체코드!$D$3:$D$1000)*1,0))</f>
        <v>VM_JF_TECH</v>
      </c>
      <c r="G187" s="113" t="s">
        <v>1589</v>
      </c>
      <c r="H187" s="134">
        <v>1</v>
      </c>
      <c r="I187" s="134">
        <v>5</v>
      </c>
      <c r="N187">
        <v>5</v>
      </c>
      <c r="O187" s="113">
        <v>50</v>
      </c>
      <c r="R187">
        <v>125</v>
      </c>
      <c r="T187">
        <v>3.7</v>
      </c>
      <c r="U187" s="7" t="s">
        <v>984</v>
      </c>
      <c r="V187" s="7">
        <v>380</v>
      </c>
      <c r="W187" s="151">
        <v>0.89500000000000002</v>
      </c>
      <c r="X187" s="7">
        <v>0.9</v>
      </c>
      <c r="Y187" s="7">
        <v>80</v>
      </c>
      <c r="Z187" s="135">
        <v>90</v>
      </c>
      <c r="AA187" s="274" t="s">
        <v>1390</v>
      </c>
      <c r="AB187" s="61">
        <v>8</v>
      </c>
      <c r="AC187" s="275" t="s">
        <v>1391</v>
      </c>
      <c r="AD187" s="64" t="s">
        <v>1461</v>
      </c>
      <c r="AE187" s="64" t="s">
        <v>1567</v>
      </c>
      <c r="AI187" s="136">
        <v>31877000</v>
      </c>
      <c r="AJ187" s="136"/>
      <c r="AK187" s="18" t="s">
        <v>1462</v>
      </c>
      <c r="AL187" s="1" t="b">
        <v>1</v>
      </c>
    </row>
    <row r="188" spans="1:38">
      <c r="A188" t="s">
        <v>1590</v>
      </c>
      <c r="B188" s="1" t="str">
        <f t="shared" si="5"/>
        <v>M_PMP0602_VM_JF_TECH_JNP200150250_GC200_7V</v>
      </c>
      <c r="C188" s="92" t="s">
        <v>209</v>
      </c>
      <c r="D188" s="7" t="str" cm="1">
        <f t="array" ref="D188">INDEX(기계코드!$D$4:$D$1022,MATCH(1,(C188=기계코드!$F$4:$F$1022)*1,0))</f>
        <v>M_PMP0602</v>
      </c>
      <c r="E188" s="92" t="s">
        <v>1565</v>
      </c>
      <c r="F188" s="7" t="str" cm="1">
        <f t="array" ref="F188">INDEX(공급업체코드!$B$3:$B$1000,MATCH(1,(E188=공급업체코드!$D$3:$D$1000)*1,0))</f>
        <v>VM_JF_TECH</v>
      </c>
      <c r="G188" s="113" t="s">
        <v>1591</v>
      </c>
      <c r="H188" s="134">
        <v>2.5</v>
      </c>
      <c r="I188" s="134">
        <v>7</v>
      </c>
      <c r="N188">
        <v>5</v>
      </c>
      <c r="O188" s="113">
        <v>50</v>
      </c>
      <c r="R188">
        <v>150</v>
      </c>
      <c r="T188">
        <v>5</v>
      </c>
      <c r="U188" s="7" t="s">
        <v>984</v>
      </c>
      <c r="V188" s="7">
        <v>380</v>
      </c>
      <c r="W188" s="151">
        <v>0.91700000000000004</v>
      </c>
      <c r="X188" s="7">
        <v>0.9</v>
      </c>
      <c r="Y188" s="7">
        <v>80</v>
      </c>
      <c r="Z188" s="135">
        <v>132</v>
      </c>
      <c r="AA188" s="274" t="s">
        <v>1390</v>
      </c>
      <c r="AB188" s="61">
        <v>9</v>
      </c>
      <c r="AC188" s="275" t="s">
        <v>1391</v>
      </c>
      <c r="AD188" s="64" t="s">
        <v>1461</v>
      </c>
      <c r="AE188" s="64" t="s">
        <v>1567</v>
      </c>
      <c r="AI188" s="136">
        <v>34450000</v>
      </c>
      <c r="AJ188" s="136"/>
      <c r="AK188" s="18" t="s">
        <v>1462</v>
      </c>
      <c r="AL188" s="1" t="b">
        <v>1</v>
      </c>
    </row>
    <row r="189" spans="1:38">
      <c r="A189" t="s">
        <v>1590</v>
      </c>
      <c r="B189" s="1" t="str">
        <f t="shared" si="5"/>
        <v>M_PMP0602_VM_JF_TECH_JNP200150380_GC200_9V</v>
      </c>
      <c r="C189" s="92" t="s">
        <v>209</v>
      </c>
      <c r="D189" s="7" t="str" cm="1">
        <f t="array" ref="D189">INDEX(기계코드!$D$4:$D$1022,MATCH(1,(C189=기계코드!$F$4:$F$1022)*1,0))</f>
        <v>M_PMP0602</v>
      </c>
      <c r="E189" s="92" t="s">
        <v>1565</v>
      </c>
      <c r="F189" s="7" t="str" cm="1">
        <f t="array" ref="F189">INDEX(공급업체코드!$B$3:$B$1000,MATCH(1,(E189=공급업체코드!$D$3:$D$1000)*1,0))</f>
        <v>VM_JF_TECH</v>
      </c>
      <c r="G189" s="113" t="s">
        <v>1592</v>
      </c>
      <c r="H189" s="134">
        <v>3</v>
      </c>
      <c r="I189" s="134">
        <v>9</v>
      </c>
      <c r="N189">
        <v>5</v>
      </c>
      <c r="O189" s="113">
        <v>50</v>
      </c>
      <c r="R189">
        <v>150</v>
      </c>
      <c r="T189">
        <v>7.5</v>
      </c>
      <c r="U189" s="7" t="s">
        <v>984</v>
      </c>
      <c r="V189" s="7">
        <v>380</v>
      </c>
      <c r="W189" s="151">
        <v>0.91700000000000004</v>
      </c>
      <c r="X189" s="7">
        <v>0.9</v>
      </c>
      <c r="Y189" s="7">
        <v>80</v>
      </c>
      <c r="Z189" s="135">
        <v>150</v>
      </c>
      <c r="AA189" s="274" t="s">
        <v>1390</v>
      </c>
      <c r="AB189" s="61">
        <v>10</v>
      </c>
      <c r="AC189" s="275" t="s">
        <v>1391</v>
      </c>
      <c r="AD189" s="64" t="s">
        <v>1461</v>
      </c>
      <c r="AE189" s="64" t="s">
        <v>1567</v>
      </c>
      <c r="AI189" s="136">
        <v>38535000</v>
      </c>
      <c r="AJ189" s="136"/>
      <c r="AK189" s="18" t="s">
        <v>1462</v>
      </c>
      <c r="AL189" s="1" t="b">
        <v>1</v>
      </c>
    </row>
    <row r="190" spans="1:38">
      <c r="A190" t="s">
        <v>1593</v>
      </c>
      <c r="B190" s="1" t="str">
        <f t="shared" si="5"/>
        <v>M_PMP0602_VM_JF_TECH_JNP250200380_GC200_13V</v>
      </c>
      <c r="C190" s="92" t="s">
        <v>209</v>
      </c>
      <c r="D190" s="7" t="str" cm="1">
        <f t="array" ref="D190">INDEX(기계코드!$D$4:$D$1022,MATCH(1,(C190=기계코드!$F$4:$F$1022)*1,0))</f>
        <v>M_PMP0602</v>
      </c>
      <c r="E190" s="92" t="s">
        <v>1565</v>
      </c>
      <c r="F190" s="7" t="str" cm="1">
        <f t="array" ref="F190">INDEX(공급업체코드!$B$3:$B$1000,MATCH(1,(E190=공급업체코드!$D$3:$D$1000)*1,0))</f>
        <v>VM_JF_TECH</v>
      </c>
      <c r="G190" s="113" t="s">
        <v>1594</v>
      </c>
      <c r="H190" s="134">
        <v>4</v>
      </c>
      <c r="I190" s="134">
        <v>13</v>
      </c>
      <c r="N190">
        <v>5</v>
      </c>
      <c r="O190" s="113">
        <v>50</v>
      </c>
      <c r="R190">
        <v>200</v>
      </c>
      <c r="T190">
        <v>11</v>
      </c>
      <c r="U190" s="7" t="s">
        <v>984</v>
      </c>
      <c r="V190" s="7">
        <v>380</v>
      </c>
      <c r="W190" s="151">
        <v>0.92400000000000004</v>
      </c>
      <c r="X190" s="7">
        <v>0.9</v>
      </c>
      <c r="Y190" s="7">
        <v>80</v>
      </c>
      <c r="Z190" s="135">
        <v>250</v>
      </c>
      <c r="AA190" s="274" t="s">
        <v>1390</v>
      </c>
      <c r="AB190" s="61">
        <v>11</v>
      </c>
      <c r="AC190" s="275" t="s">
        <v>1391</v>
      </c>
      <c r="AD190" s="64" t="s">
        <v>1461</v>
      </c>
      <c r="AE190" s="64" t="s">
        <v>1567</v>
      </c>
      <c r="AI190" s="136">
        <v>57348000</v>
      </c>
      <c r="AJ190" s="136"/>
      <c r="AK190" s="18" t="s">
        <v>1462</v>
      </c>
      <c r="AL190" s="1" t="b">
        <v>1</v>
      </c>
    </row>
    <row r="191" spans="1:38">
      <c r="A191" t="s">
        <v>1595</v>
      </c>
      <c r="B191" s="1" t="str">
        <f t="shared" si="5"/>
        <v>M_PMP0602_VM_JF_TECH_JNP300250380_GC200_15V</v>
      </c>
      <c r="C191" s="92" t="s">
        <v>209</v>
      </c>
      <c r="D191" s="7" t="str" cm="1">
        <f t="array" ref="D191">INDEX(기계코드!$D$4:$D$1022,MATCH(1,(C191=기계코드!$F$4:$F$1022)*1,0))</f>
        <v>M_PMP0602</v>
      </c>
      <c r="E191" s="92" t="s">
        <v>1565</v>
      </c>
      <c r="F191" s="7" t="str" cm="1">
        <f t="array" ref="F191">INDEX(공급업체코드!$B$3:$B$1000,MATCH(1,(E191=공급업체코드!$D$3:$D$1000)*1,0))</f>
        <v>VM_JF_TECH</v>
      </c>
      <c r="G191" s="113" t="s">
        <v>1596</v>
      </c>
      <c r="H191" s="134">
        <v>5</v>
      </c>
      <c r="I191" s="134">
        <v>15</v>
      </c>
      <c r="N191">
        <v>5</v>
      </c>
      <c r="O191" s="113">
        <v>50</v>
      </c>
      <c r="R191">
        <v>250</v>
      </c>
      <c r="T191">
        <v>15</v>
      </c>
      <c r="U191" s="7" t="s">
        <v>984</v>
      </c>
      <c r="V191" s="7">
        <v>380</v>
      </c>
      <c r="W191" s="151">
        <v>0.93</v>
      </c>
      <c r="X191" s="7">
        <v>0.9</v>
      </c>
      <c r="Y191" s="7">
        <v>80</v>
      </c>
      <c r="Z191" s="135">
        <v>250</v>
      </c>
      <c r="AA191" s="274" t="s">
        <v>1390</v>
      </c>
      <c r="AB191" s="61">
        <v>12</v>
      </c>
      <c r="AC191" s="275" t="s">
        <v>1391</v>
      </c>
      <c r="AD191" s="64" t="s">
        <v>1461</v>
      </c>
      <c r="AE191" s="64" t="s">
        <v>1567</v>
      </c>
      <c r="AI191" s="136">
        <v>66848000</v>
      </c>
      <c r="AJ191" s="136"/>
      <c r="AK191" s="18" t="s">
        <v>1462</v>
      </c>
      <c r="AL191" s="1" t="b">
        <v>1</v>
      </c>
    </row>
    <row r="192" spans="1:38">
      <c r="A192" t="s">
        <v>1595</v>
      </c>
      <c r="B192" s="1" t="str">
        <f t="shared" si="5"/>
        <v>M_PMP0602_VM_JF_TECH_JNP300300380_GC200_18V</v>
      </c>
      <c r="C192" s="92" t="s">
        <v>209</v>
      </c>
      <c r="D192" s="7" t="str" cm="1">
        <f t="array" ref="D192">INDEX(기계코드!$D$4:$D$1022,MATCH(1,(C192=기계코드!$F$4:$F$1022)*1,0))</f>
        <v>M_PMP0602</v>
      </c>
      <c r="E192" s="92" t="s">
        <v>1565</v>
      </c>
      <c r="F192" s="7" t="str" cm="1">
        <f t="array" ref="F192">INDEX(공급업체코드!$B$3:$B$1000,MATCH(1,(E192=공급업체코드!$D$3:$D$1000)*1,0))</f>
        <v>VM_JF_TECH</v>
      </c>
      <c r="G192" s="113" t="s">
        <v>1597</v>
      </c>
      <c r="H192" s="134">
        <v>8</v>
      </c>
      <c r="I192" s="134">
        <v>18</v>
      </c>
      <c r="N192">
        <v>5</v>
      </c>
      <c r="O192" s="113">
        <v>50</v>
      </c>
      <c r="R192">
        <v>300</v>
      </c>
      <c r="T192">
        <v>18.5</v>
      </c>
      <c r="U192" s="7" t="s">
        <v>984</v>
      </c>
      <c r="V192" s="7">
        <v>380</v>
      </c>
      <c r="W192" s="151">
        <v>0.93599999999999994</v>
      </c>
      <c r="X192" s="7">
        <v>0.9</v>
      </c>
      <c r="Y192" s="7">
        <v>80</v>
      </c>
      <c r="Z192" s="135">
        <v>350</v>
      </c>
      <c r="AA192" s="274" t="s">
        <v>1390</v>
      </c>
      <c r="AB192" s="61">
        <v>13</v>
      </c>
      <c r="AC192" s="275" t="s">
        <v>1391</v>
      </c>
      <c r="AD192" s="64" t="s">
        <v>1461</v>
      </c>
      <c r="AE192" s="64" t="s">
        <v>1567</v>
      </c>
      <c r="AI192" s="136">
        <v>87823000</v>
      </c>
      <c r="AJ192" s="136"/>
      <c r="AK192" s="18" t="s">
        <v>1462</v>
      </c>
      <c r="AL192" s="1" t="b">
        <v>1</v>
      </c>
    </row>
    <row r="193" spans="1:38">
      <c r="A193" t="s">
        <v>1598</v>
      </c>
      <c r="B193" s="1" t="str">
        <f t="shared" si="5"/>
        <v>M_PMP0602_VM_JF_TECH_JNP350300380_GC200_20V</v>
      </c>
      <c r="C193" s="92" t="s">
        <v>209</v>
      </c>
      <c r="D193" s="7" t="str" cm="1">
        <f t="array" ref="D193">INDEX(기계코드!$D$4:$D$1022,MATCH(1,(C193=기계코드!$F$4:$F$1022)*1,0))</f>
        <v>M_PMP0602</v>
      </c>
      <c r="E193" s="92" t="s">
        <v>1565</v>
      </c>
      <c r="F193" s="7" t="str" cm="1">
        <f t="array" ref="F193">INDEX(공급업체코드!$B$3:$B$1000,MATCH(1,(E193=공급업체코드!$D$3:$D$1000)*1,0))</f>
        <v>VM_JF_TECH</v>
      </c>
      <c r="G193" s="113" t="s">
        <v>1599</v>
      </c>
      <c r="H193" s="134">
        <v>10</v>
      </c>
      <c r="I193" s="134">
        <v>20</v>
      </c>
      <c r="N193">
        <v>5</v>
      </c>
      <c r="O193" s="113">
        <v>50</v>
      </c>
      <c r="R193">
        <v>300</v>
      </c>
      <c r="T193">
        <v>22</v>
      </c>
      <c r="U193" s="7" t="s">
        <v>984</v>
      </c>
      <c r="V193" s="7">
        <v>380</v>
      </c>
      <c r="W193" s="151">
        <v>0.93599999999999994</v>
      </c>
      <c r="X193" s="7">
        <v>0.9</v>
      </c>
      <c r="Y193" s="7">
        <v>80</v>
      </c>
      <c r="Z193" s="135">
        <v>350</v>
      </c>
      <c r="AA193" s="274" t="s">
        <v>1390</v>
      </c>
      <c r="AB193" s="61">
        <v>13</v>
      </c>
      <c r="AC193" s="275" t="s">
        <v>1391</v>
      </c>
      <c r="AD193" s="64" t="s">
        <v>1461</v>
      </c>
      <c r="AE193" s="64" t="s">
        <v>1567</v>
      </c>
      <c r="AI193" s="136">
        <v>91823000</v>
      </c>
      <c r="AJ193" s="136"/>
      <c r="AK193" s="18" t="s">
        <v>1462</v>
      </c>
      <c r="AL193" s="1" t="b">
        <v>1</v>
      </c>
    </row>
    <row r="194" spans="1:38">
      <c r="A194" t="s">
        <v>1600</v>
      </c>
      <c r="B194" s="1" t="str">
        <f t="shared" si="5"/>
        <v>M_PMP0602_VM_JF_TECH_JNP400350430_GC200_25V</v>
      </c>
      <c r="C194" s="92" t="s">
        <v>209</v>
      </c>
      <c r="D194" s="7" t="str" cm="1">
        <f t="array" ref="D194">INDEX(기계코드!$D$4:$D$1022,MATCH(1,(C194=기계코드!$F$4:$F$1022)*1,0))</f>
        <v>M_PMP0602</v>
      </c>
      <c r="E194" s="92" t="s">
        <v>1565</v>
      </c>
      <c r="F194" s="7" t="str" cm="1">
        <f t="array" ref="F194">INDEX(공급업체코드!$B$3:$B$1000,MATCH(1,(E194=공급업체코드!$D$3:$D$1000)*1,0))</f>
        <v>VM_JF_TECH</v>
      </c>
      <c r="G194" s="113" t="s">
        <v>1601</v>
      </c>
      <c r="H194" s="134">
        <v>15</v>
      </c>
      <c r="I194" s="134">
        <v>25</v>
      </c>
      <c r="N194">
        <v>5</v>
      </c>
      <c r="O194" s="113">
        <v>50</v>
      </c>
      <c r="R194">
        <v>350</v>
      </c>
      <c r="T194">
        <v>30</v>
      </c>
      <c r="U194" s="7" t="s">
        <v>984</v>
      </c>
      <c r="V194" s="7">
        <v>380</v>
      </c>
      <c r="W194" s="151">
        <v>0.94099999999999995</v>
      </c>
      <c r="X194" s="7">
        <v>0.9</v>
      </c>
      <c r="Y194" s="7">
        <v>80</v>
      </c>
      <c r="Z194" s="135">
        <v>400</v>
      </c>
      <c r="AA194" s="274" t="s">
        <v>1390</v>
      </c>
      <c r="AB194" s="61">
        <v>14</v>
      </c>
      <c r="AC194" s="275" t="s">
        <v>1391</v>
      </c>
      <c r="AD194" s="64" t="s">
        <v>1461</v>
      </c>
      <c r="AE194" s="64" t="s">
        <v>1567</v>
      </c>
      <c r="AI194" s="136">
        <v>93823000</v>
      </c>
      <c r="AJ194" s="136"/>
      <c r="AK194" s="18" t="s">
        <v>1462</v>
      </c>
      <c r="AL194" s="1" t="b">
        <v>1</v>
      </c>
    </row>
    <row r="195" spans="1:38">
      <c r="B195" s="1" t="str">
        <f t="shared" si="5"/>
        <v>M_PMP0602_VM_JF_TECH_JNP500450550_GC200_30V</v>
      </c>
      <c r="C195" s="92" t="s">
        <v>209</v>
      </c>
      <c r="D195" s="7" t="str" cm="1">
        <f t="array" ref="D195">INDEX(기계코드!$D$4:$D$1022,MATCH(1,(C195=기계코드!$F$4:$F$1022)*1,0))</f>
        <v>M_PMP0602</v>
      </c>
      <c r="E195" s="92" t="s">
        <v>1565</v>
      </c>
      <c r="F195" s="7" t="str" cm="1">
        <f t="array" ref="F195">INDEX(공급업체코드!$B$3:$B$1000,MATCH(1,(E195=공급업체코드!$D$3:$D$1000)*1,0))</f>
        <v>VM_JF_TECH</v>
      </c>
      <c r="G195" s="113" t="s">
        <v>1602</v>
      </c>
      <c r="H195" s="134">
        <v>20</v>
      </c>
      <c r="I195" s="134">
        <v>30</v>
      </c>
      <c r="N195">
        <v>5</v>
      </c>
      <c r="O195" s="113">
        <v>50</v>
      </c>
      <c r="R195">
        <v>450</v>
      </c>
      <c r="T195">
        <v>37</v>
      </c>
      <c r="U195" s="7" t="s">
        <v>984</v>
      </c>
      <c r="V195" s="7">
        <v>380</v>
      </c>
      <c r="W195" s="151">
        <v>0.94499999999999995</v>
      </c>
      <c r="X195" s="7">
        <v>0.9</v>
      </c>
      <c r="Y195" s="7">
        <v>80</v>
      </c>
      <c r="Z195" s="135">
        <v>500</v>
      </c>
      <c r="AA195" s="274" t="s">
        <v>1390</v>
      </c>
      <c r="AB195" s="61">
        <v>14</v>
      </c>
      <c r="AC195" s="275" t="s">
        <v>1391</v>
      </c>
      <c r="AD195" s="64" t="s">
        <v>1461</v>
      </c>
      <c r="AE195" s="64" t="s">
        <v>1567</v>
      </c>
      <c r="AI195" s="136">
        <v>106823000</v>
      </c>
      <c r="AJ195" s="136"/>
      <c r="AK195" s="18" t="s">
        <v>1462</v>
      </c>
      <c r="AL195" s="1" t="b">
        <v>1</v>
      </c>
    </row>
    <row r="196" spans="1:38">
      <c r="A196" t="s">
        <v>1603</v>
      </c>
      <c r="B196" s="1" t="str">
        <f t="shared" ref="B196:B223" si="6">D196&amp;"_"&amp;F196&amp;"_"&amp;G196&amp;"_"&amp;AD196&amp;"_"&amp;K196</f>
        <v>M_PMP080301_VM_MONAS_KA15_GC250_0.45</v>
      </c>
      <c r="C196" s="92" t="s">
        <v>240</v>
      </c>
      <c r="D196" s="7" t="str" cm="1">
        <f t="array" ref="D196">INDEX(기계코드!$D$4:$D$1022,MATCH(1,(C196=기계코드!$F$4:$F$1022)*1,0))</f>
        <v>M_PMP080301</v>
      </c>
      <c r="E196" s="92" t="s">
        <v>1604</v>
      </c>
      <c r="F196" s="7" t="str" cm="1">
        <f t="array" ref="F196">INDEX(공급업체코드!$B$3:$B$1000,MATCH(1,(E196=공급업체코드!$D$3:$D$1000)*1,0))</f>
        <v>VM_MONAS</v>
      </c>
      <c r="G196" s="113" t="s">
        <v>1605</v>
      </c>
      <c r="J196" s="134">
        <v>0.23</v>
      </c>
      <c r="K196" s="134">
        <v>0.45</v>
      </c>
      <c r="Q196" s="137">
        <v>2</v>
      </c>
      <c r="R196">
        <v>20</v>
      </c>
      <c r="T196" s="135">
        <v>0.4</v>
      </c>
      <c r="U196" s="7" t="s">
        <v>981</v>
      </c>
      <c r="V196" s="7">
        <v>380</v>
      </c>
      <c r="W196" s="151">
        <v>0.65</v>
      </c>
      <c r="X196" s="7">
        <v>0.9</v>
      </c>
      <c r="Y196" s="7">
        <v>80</v>
      </c>
      <c r="Z196" s="138">
        <v>16</v>
      </c>
      <c r="AA196" s="274" t="s">
        <v>1390</v>
      </c>
      <c r="AB196" s="61">
        <v>5</v>
      </c>
      <c r="AC196" s="275" t="s">
        <v>1391</v>
      </c>
      <c r="AD196" s="64" t="s">
        <v>1035</v>
      </c>
      <c r="AF196" s="64" t="s">
        <v>1061</v>
      </c>
      <c r="AG196" s="64" t="s">
        <v>1081</v>
      </c>
      <c r="AI196" s="7">
        <v>4640000</v>
      </c>
      <c r="AJ196" s="7"/>
      <c r="AK196" s="18" t="s">
        <v>1462</v>
      </c>
      <c r="AL196" s="1" t="b">
        <v>1</v>
      </c>
    </row>
    <row r="197" spans="1:38">
      <c r="A197" t="s">
        <v>1606</v>
      </c>
      <c r="B197" s="1" t="str">
        <f t="shared" si="6"/>
        <v>M_PMP080301_VM_MONAS_KA20_GC250_1.02</v>
      </c>
      <c r="C197" s="92" t="s">
        <v>240</v>
      </c>
      <c r="D197" s="7" t="str" cm="1">
        <f t="array" ref="D197">INDEX(기계코드!$D$4:$D$1022,MATCH(1,(C197=기계코드!$F$4:$F$1022)*1,0))</f>
        <v>M_PMP080301</v>
      </c>
      <c r="E197" s="92" t="s">
        <v>1604</v>
      </c>
      <c r="F197" s="7" t="str" cm="1">
        <f t="array" ref="F197">INDEX(공급업체코드!$B$3:$B$1000,MATCH(1,(E197=공급업체코드!$D$3:$D$1000)*1,0))</f>
        <v>VM_MONAS</v>
      </c>
      <c r="G197" s="113" t="s">
        <v>1607</v>
      </c>
      <c r="J197" s="134">
        <v>0.55000000000000004</v>
      </c>
      <c r="K197" s="134">
        <v>1.02</v>
      </c>
      <c r="Q197" s="113">
        <v>2</v>
      </c>
      <c r="R197">
        <v>32</v>
      </c>
      <c r="T197" s="135">
        <v>0.75</v>
      </c>
      <c r="U197" s="7" t="s">
        <v>981</v>
      </c>
      <c r="V197" s="7">
        <v>380</v>
      </c>
      <c r="W197" s="151">
        <v>0.83499999999999996</v>
      </c>
      <c r="X197" s="7">
        <v>0.9</v>
      </c>
      <c r="Y197" s="7">
        <v>80</v>
      </c>
      <c r="Z197" s="138">
        <v>19</v>
      </c>
      <c r="AA197" s="274" t="s">
        <v>1390</v>
      </c>
      <c r="AB197" s="61">
        <v>5</v>
      </c>
      <c r="AC197" s="275" t="s">
        <v>1391</v>
      </c>
      <c r="AD197" s="64" t="s">
        <v>1035</v>
      </c>
      <c r="AF197" s="64" t="s">
        <v>1061</v>
      </c>
      <c r="AG197" s="64" t="s">
        <v>1081</v>
      </c>
      <c r="AI197" s="7">
        <v>5110000</v>
      </c>
      <c r="AJ197" s="7"/>
      <c r="AK197" s="18" t="s">
        <v>1462</v>
      </c>
      <c r="AL197" s="1" t="b">
        <v>1</v>
      </c>
    </row>
    <row r="198" spans="1:38">
      <c r="A198" t="s">
        <v>1608</v>
      </c>
      <c r="B198" s="1" t="str">
        <f t="shared" si="6"/>
        <v>M_PMP080301_VM_MONAS_KA30_GC250_3.34</v>
      </c>
      <c r="C198" s="92" t="s">
        <v>240</v>
      </c>
      <c r="D198" s="7" t="str" cm="1">
        <f t="array" ref="D198">INDEX(기계코드!$D$4:$D$1022,MATCH(1,(C198=기계코드!$F$4:$F$1022)*1,0))</f>
        <v>M_PMP080301</v>
      </c>
      <c r="E198" s="92" t="s">
        <v>1604</v>
      </c>
      <c r="F198" s="7" t="str" cm="1">
        <f t="array" ref="F198">INDEX(공급업체코드!$B$3:$B$1000,MATCH(1,(E198=공급업체코드!$D$3:$D$1000)*1,0))</f>
        <v>VM_MONAS</v>
      </c>
      <c r="G198" s="113" t="s">
        <v>1609</v>
      </c>
      <c r="J198" s="134">
        <v>2.02</v>
      </c>
      <c r="K198" s="134">
        <v>3.34</v>
      </c>
      <c r="Q198" s="113">
        <v>2</v>
      </c>
      <c r="R198">
        <v>50</v>
      </c>
      <c r="T198" s="135">
        <v>1.5</v>
      </c>
      <c r="U198" s="7" t="s">
        <v>981</v>
      </c>
      <c r="V198" s="7">
        <v>380</v>
      </c>
      <c r="W198" s="151">
        <v>0.86499999999999999</v>
      </c>
      <c r="X198" s="7">
        <v>0.9</v>
      </c>
      <c r="Y198" s="7">
        <v>80</v>
      </c>
      <c r="Z198" s="138">
        <v>33</v>
      </c>
      <c r="AA198" s="274" t="s">
        <v>1390</v>
      </c>
      <c r="AB198" s="61">
        <v>6</v>
      </c>
      <c r="AC198" s="275" t="s">
        <v>1391</v>
      </c>
      <c r="AD198" s="64" t="s">
        <v>1035</v>
      </c>
      <c r="AF198" s="64" t="s">
        <v>1061</v>
      </c>
      <c r="AG198" s="64" t="s">
        <v>1081</v>
      </c>
      <c r="AI198" s="7">
        <v>6280000</v>
      </c>
      <c r="AJ198" s="7"/>
      <c r="AK198" s="18" t="s">
        <v>1462</v>
      </c>
      <c r="AL198" s="1" t="b">
        <v>1</v>
      </c>
    </row>
    <row r="199" spans="1:38">
      <c r="A199" t="s">
        <v>1610</v>
      </c>
      <c r="B199" s="1" t="str">
        <f t="shared" si="6"/>
        <v>M_PMP080301_VM_MONAS_KA40_GC250_7.26</v>
      </c>
      <c r="C199" s="92" t="s">
        <v>240</v>
      </c>
      <c r="D199" s="7" t="str" cm="1">
        <f t="array" ref="D199">INDEX(기계코드!$D$4:$D$1022,MATCH(1,(C199=기계코드!$F$4:$F$1022)*1,0))</f>
        <v>M_PMP080301</v>
      </c>
      <c r="E199" s="92" t="s">
        <v>1604</v>
      </c>
      <c r="F199" s="7" t="str" cm="1">
        <f t="array" ref="F199">INDEX(공급업체코드!$B$3:$B$1000,MATCH(1,(E199=공급업체코드!$D$3:$D$1000)*1,0))</f>
        <v>VM_MONAS</v>
      </c>
      <c r="G199" s="113" t="s">
        <v>1611</v>
      </c>
      <c r="J199" s="134">
        <v>4.84</v>
      </c>
      <c r="K199" s="134">
        <v>7.26</v>
      </c>
      <c r="Q199" s="113">
        <v>2</v>
      </c>
      <c r="R199">
        <v>65</v>
      </c>
      <c r="T199" s="135">
        <v>2.2000000000000002</v>
      </c>
      <c r="U199" s="7" t="s">
        <v>981</v>
      </c>
      <c r="V199" s="7">
        <v>380</v>
      </c>
      <c r="W199" s="151">
        <v>0.89500000000000002</v>
      </c>
      <c r="X199" s="7">
        <v>0.9</v>
      </c>
      <c r="Y199" s="7">
        <v>80</v>
      </c>
      <c r="Z199" s="138">
        <v>52</v>
      </c>
      <c r="AA199" s="274" t="s">
        <v>1390</v>
      </c>
      <c r="AB199" s="61">
        <v>7</v>
      </c>
      <c r="AC199" s="275" t="s">
        <v>1391</v>
      </c>
      <c r="AD199" s="64" t="s">
        <v>1035</v>
      </c>
      <c r="AF199" s="64" t="s">
        <v>1061</v>
      </c>
      <c r="AG199" s="64" t="s">
        <v>1081</v>
      </c>
      <c r="AI199" s="7">
        <v>7490000</v>
      </c>
      <c r="AJ199" s="7"/>
      <c r="AK199" s="18" t="s">
        <v>1462</v>
      </c>
      <c r="AL199" s="1" t="b">
        <v>1</v>
      </c>
    </row>
    <row r="200" spans="1:38">
      <c r="A200" t="s">
        <v>1612</v>
      </c>
      <c r="B200" s="1" t="str">
        <f t="shared" si="6"/>
        <v>M_PMP080301_VM_MONAS_KA50_GC250_12.8</v>
      </c>
      <c r="C200" s="92" t="s">
        <v>240</v>
      </c>
      <c r="D200" s="7" t="str" cm="1">
        <f t="array" ref="D200">INDEX(기계코드!$D$4:$D$1022,MATCH(1,(C200=기계코드!$F$4:$F$1022)*1,0))</f>
        <v>M_PMP080301</v>
      </c>
      <c r="E200" s="92" t="s">
        <v>1604</v>
      </c>
      <c r="F200" s="7" t="str" cm="1">
        <f t="array" ref="F200">INDEX(공급업체코드!$B$3:$B$1000,MATCH(1,(E200=공급업체코드!$D$3:$D$1000)*1,0))</f>
        <v>VM_MONAS</v>
      </c>
      <c r="G200" s="113" t="s">
        <v>1613</v>
      </c>
      <c r="J200" s="134">
        <v>8.9600000000000009</v>
      </c>
      <c r="K200" s="134">
        <v>12.8</v>
      </c>
      <c r="Q200" s="113">
        <v>2</v>
      </c>
      <c r="R200">
        <v>80</v>
      </c>
      <c r="T200" s="135">
        <v>3.7</v>
      </c>
      <c r="U200" s="7" t="s">
        <v>981</v>
      </c>
      <c r="V200" s="7">
        <v>380</v>
      </c>
      <c r="W200" s="151">
        <v>0.89500000000000002</v>
      </c>
      <c r="X200" s="7">
        <v>0.9</v>
      </c>
      <c r="Y200" s="7">
        <v>80</v>
      </c>
      <c r="Z200" s="138">
        <v>76</v>
      </c>
      <c r="AA200" s="274" t="s">
        <v>1390</v>
      </c>
      <c r="AB200" s="61">
        <v>8</v>
      </c>
      <c r="AC200" s="275" t="s">
        <v>1391</v>
      </c>
      <c r="AD200" s="64" t="s">
        <v>1035</v>
      </c>
      <c r="AF200" s="64" t="s">
        <v>1061</v>
      </c>
      <c r="AG200" s="64" t="s">
        <v>1081</v>
      </c>
      <c r="AI200" s="7">
        <v>9440000</v>
      </c>
      <c r="AJ200" s="7"/>
      <c r="AK200" s="18" t="s">
        <v>1462</v>
      </c>
      <c r="AL200" s="1" t="b">
        <v>1</v>
      </c>
    </row>
    <row r="201" spans="1:38">
      <c r="A201" t="s">
        <v>1614</v>
      </c>
      <c r="B201" s="1" t="str">
        <f t="shared" si="6"/>
        <v>M_PMP080301_VM_MONAS_KA60_GC250_22.16</v>
      </c>
      <c r="C201" s="92" t="s">
        <v>240</v>
      </c>
      <c r="D201" s="7" t="str" cm="1">
        <f t="array" ref="D201">INDEX(기계코드!$D$4:$D$1022,MATCH(1,(C201=기계코드!$F$4:$F$1022)*1,0))</f>
        <v>M_PMP080301</v>
      </c>
      <c r="E201" s="92" t="s">
        <v>1604</v>
      </c>
      <c r="F201" s="7" t="str" cm="1">
        <f t="array" ref="F201">INDEX(공급업체코드!$B$3:$B$1000,MATCH(1,(E201=공급업체코드!$D$3:$D$1000)*1,0))</f>
        <v>VM_MONAS</v>
      </c>
      <c r="G201" s="113" t="s">
        <v>1615</v>
      </c>
      <c r="J201" s="134">
        <v>13.38</v>
      </c>
      <c r="K201" s="134">
        <v>22.16</v>
      </c>
      <c r="Q201" s="113">
        <v>2</v>
      </c>
      <c r="R201">
        <v>100</v>
      </c>
      <c r="T201" s="135">
        <v>5.5</v>
      </c>
      <c r="U201" s="7" t="s">
        <v>981</v>
      </c>
      <c r="V201" s="7">
        <v>380</v>
      </c>
      <c r="W201" s="151">
        <v>0.91700000000000004</v>
      </c>
      <c r="X201" s="7">
        <v>0.9</v>
      </c>
      <c r="Y201" s="7">
        <v>80</v>
      </c>
      <c r="Z201" s="138">
        <v>114</v>
      </c>
      <c r="AA201" s="274" t="s">
        <v>1390</v>
      </c>
      <c r="AB201" s="61">
        <v>9</v>
      </c>
      <c r="AC201" s="275" t="s">
        <v>1391</v>
      </c>
      <c r="AD201" s="64" t="s">
        <v>1035</v>
      </c>
      <c r="AF201" s="64" t="s">
        <v>1061</v>
      </c>
      <c r="AG201" s="64" t="s">
        <v>1081</v>
      </c>
      <c r="AI201" s="7">
        <v>11530000</v>
      </c>
      <c r="AJ201" s="7"/>
      <c r="AK201" s="18" t="s">
        <v>1462</v>
      </c>
      <c r="AL201" s="1" t="b">
        <v>1</v>
      </c>
    </row>
    <row r="202" spans="1:38">
      <c r="A202" t="s">
        <v>1616</v>
      </c>
      <c r="B202" s="1" t="str">
        <f t="shared" si="6"/>
        <v>M_PMP080301_VM_MONAS_KA80_GC250_53.11</v>
      </c>
      <c r="C202" s="92" t="s">
        <v>240</v>
      </c>
      <c r="D202" s="7" t="str" cm="1">
        <f t="array" ref="D202">INDEX(기계코드!$D$4:$D$1022,MATCH(1,(C202=기계코드!$F$4:$F$1022)*1,0))</f>
        <v>M_PMP080301</v>
      </c>
      <c r="E202" s="92" t="s">
        <v>1604</v>
      </c>
      <c r="F202" s="7" t="str" cm="1">
        <f t="array" ref="F202">INDEX(공급업체코드!$B$3:$B$1000,MATCH(1,(E202=공급업체코드!$D$3:$D$1000)*1,0))</f>
        <v>VM_MONAS</v>
      </c>
      <c r="G202" s="113" t="s">
        <v>1617</v>
      </c>
      <c r="J202" s="134">
        <v>32.43</v>
      </c>
      <c r="K202" s="134">
        <v>53.11</v>
      </c>
      <c r="Q202" s="113">
        <v>2</v>
      </c>
      <c r="R202">
        <v>125</v>
      </c>
      <c r="T202" s="135">
        <v>7.5</v>
      </c>
      <c r="U202" s="7" t="s">
        <v>981</v>
      </c>
      <c r="V202" s="7">
        <v>380</v>
      </c>
      <c r="W202" s="151">
        <v>0.91700000000000004</v>
      </c>
      <c r="X202" s="7">
        <v>0.9</v>
      </c>
      <c r="Y202" s="7">
        <v>80</v>
      </c>
      <c r="Z202" s="138">
        <v>200</v>
      </c>
      <c r="AA202" s="274" t="s">
        <v>1390</v>
      </c>
      <c r="AB202" s="61">
        <v>10</v>
      </c>
      <c r="AC202" s="275" t="s">
        <v>1391</v>
      </c>
      <c r="AD202" s="64" t="s">
        <v>1035</v>
      </c>
      <c r="AF202" s="64" t="s">
        <v>1061</v>
      </c>
      <c r="AG202" s="64" t="s">
        <v>1081</v>
      </c>
      <c r="AI202" s="7">
        <v>17140000</v>
      </c>
      <c r="AJ202" s="7"/>
      <c r="AK202" s="18" t="s">
        <v>1462</v>
      </c>
      <c r="AL202" s="1" t="b">
        <v>1</v>
      </c>
    </row>
    <row r="203" spans="1:38">
      <c r="A203" t="s">
        <v>1618</v>
      </c>
      <c r="B203" s="1" t="str">
        <f t="shared" si="6"/>
        <v>M_PMP080301_VM_MONAS_KA100_GC250_88.32</v>
      </c>
      <c r="C203" s="92" t="s">
        <v>240</v>
      </c>
      <c r="D203" s="7" t="str" cm="1">
        <f t="array" ref="D203">INDEX(기계코드!$D$4:$D$1022,MATCH(1,(C203=기계코드!$F$4:$F$1022)*1,0))</f>
        <v>M_PMP080301</v>
      </c>
      <c r="E203" s="92" t="s">
        <v>1604</v>
      </c>
      <c r="F203" s="7" t="str" cm="1">
        <f t="array" ref="F203">INDEX(공급업체코드!$B$3:$B$1000,MATCH(1,(E203=공급업체코드!$D$3:$D$1000)*1,0))</f>
        <v>VM_MONAS</v>
      </c>
      <c r="G203" s="113" t="s">
        <v>1619</v>
      </c>
      <c r="J203" s="134">
        <v>64.03</v>
      </c>
      <c r="K203" s="134">
        <v>88.32</v>
      </c>
      <c r="Q203" s="113">
        <v>2</v>
      </c>
      <c r="R203">
        <v>150</v>
      </c>
      <c r="T203">
        <v>15</v>
      </c>
      <c r="U203" s="7" t="s">
        <v>987</v>
      </c>
      <c r="V203" s="7">
        <v>380</v>
      </c>
      <c r="W203" s="151">
        <v>0.93</v>
      </c>
      <c r="X203" s="7">
        <v>0.9</v>
      </c>
      <c r="Y203" s="7">
        <v>80</v>
      </c>
      <c r="Z203" s="138">
        <v>334</v>
      </c>
      <c r="AA203" s="274" t="s">
        <v>1390</v>
      </c>
      <c r="AB203" s="61">
        <v>12</v>
      </c>
      <c r="AC203" s="275" t="s">
        <v>1391</v>
      </c>
      <c r="AD203" s="64" t="s">
        <v>1035</v>
      </c>
      <c r="AF203" s="64" t="s">
        <v>1061</v>
      </c>
      <c r="AG203" s="64" t="s">
        <v>1081</v>
      </c>
      <c r="AI203" s="7">
        <v>28040000</v>
      </c>
      <c r="AJ203" s="7"/>
      <c r="AK203" s="18" t="s">
        <v>1462</v>
      </c>
      <c r="AL203" s="1" t="b">
        <v>1</v>
      </c>
    </row>
    <row r="204" spans="1:38">
      <c r="A204" t="s">
        <v>1620</v>
      </c>
      <c r="B204" s="1" t="str">
        <f t="shared" si="6"/>
        <v>M_PMP080301_VM_MONAS_KA120_GC250_132.09</v>
      </c>
      <c r="C204" s="92" t="s">
        <v>240</v>
      </c>
      <c r="D204" s="7" t="str" cm="1">
        <f t="array" ref="D204">INDEX(기계코드!$D$4:$D$1022,MATCH(1,(C204=기계코드!$F$4:$F$1022)*1,0))</f>
        <v>M_PMP080301</v>
      </c>
      <c r="E204" s="92" t="s">
        <v>1604</v>
      </c>
      <c r="F204" s="7" t="str" cm="1">
        <f t="array" ref="F204">INDEX(공급업체코드!$B$3:$B$1000,MATCH(1,(E204=공급업체코드!$D$3:$D$1000)*1,0))</f>
        <v>VM_MONAS</v>
      </c>
      <c r="G204" s="113" t="s">
        <v>1621</v>
      </c>
      <c r="J204" s="134">
        <v>94.35</v>
      </c>
      <c r="K204" s="134">
        <v>132.09</v>
      </c>
      <c r="Q204" s="113">
        <v>2</v>
      </c>
      <c r="R204">
        <v>200</v>
      </c>
      <c r="T204">
        <v>18.5</v>
      </c>
      <c r="U204" s="7" t="s">
        <v>987</v>
      </c>
      <c r="V204" s="7">
        <v>380</v>
      </c>
      <c r="W204" s="151">
        <v>0.93599999999999994</v>
      </c>
      <c r="X204" s="7">
        <v>0.9</v>
      </c>
      <c r="Y204" s="7">
        <v>80</v>
      </c>
      <c r="Z204" s="138">
        <v>563</v>
      </c>
      <c r="AA204" s="274" t="s">
        <v>1390</v>
      </c>
      <c r="AB204" s="61">
        <v>13</v>
      </c>
      <c r="AC204" s="275" t="s">
        <v>1391</v>
      </c>
      <c r="AD204" s="64" t="s">
        <v>1035</v>
      </c>
      <c r="AF204" s="64" t="s">
        <v>1061</v>
      </c>
      <c r="AG204" s="64" t="s">
        <v>1081</v>
      </c>
      <c r="AI204" s="7">
        <v>38850000</v>
      </c>
      <c r="AJ204" s="7"/>
      <c r="AK204" s="18" t="s">
        <v>1462</v>
      </c>
      <c r="AL204" s="1" t="b">
        <v>1</v>
      </c>
    </row>
    <row r="205" spans="1:38">
      <c r="A205" t="s">
        <v>1622</v>
      </c>
      <c r="B205" s="1" t="str">
        <f t="shared" si="6"/>
        <v>M_PMP080301_VM_MONAS_KA150_GC250_257.99</v>
      </c>
      <c r="C205" s="92" t="s">
        <v>240</v>
      </c>
      <c r="D205" s="7" t="str" cm="1">
        <f t="array" ref="D205">INDEX(기계코드!$D$4:$D$1022,MATCH(1,(C205=기계코드!$F$4:$F$1022)*1,0))</f>
        <v>M_PMP080301</v>
      </c>
      <c r="E205" s="92" t="s">
        <v>1604</v>
      </c>
      <c r="F205" s="7" t="str" cm="1">
        <f t="array" ref="F205">INDEX(공급업체코드!$B$3:$B$1000,MATCH(1,(E205=공급업체코드!$D$3:$D$1000)*1,0))</f>
        <v>VM_MONAS</v>
      </c>
      <c r="G205" s="113" t="s">
        <v>1623</v>
      </c>
      <c r="J205" s="134">
        <v>184.28</v>
      </c>
      <c r="K205" s="134">
        <v>257.99</v>
      </c>
      <c r="Q205" s="113">
        <v>2</v>
      </c>
      <c r="R205">
        <v>250</v>
      </c>
      <c r="T205">
        <v>30</v>
      </c>
      <c r="U205" s="7" t="s">
        <v>987</v>
      </c>
      <c r="V205" s="7">
        <v>380</v>
      </c>
      <c r="W205" s="151">
        <v>0.94099999999999995</v>
      </c>
      <c r="X205" s="7">
        <v>0.9</v>
      </c>
      <c r="Y205" s="7">
        <v>80</v>
      </c>
      <c r="Z205" s="138">
        <v>595</v>
      </c>
      <c r="AA205" s="274" t="s">
        <v>1390</v>
      </c>
      <c r="AB205" s="61">
        <v>14</v>
      </c>
      <c r="AC205" s="275" t="s">
        <v>1391</v>
      </c>
      <c r="AD205" s="64" t="s">
        <v>1035</v>
      </c>
      <c r="AF205" s="64" t="s">
        <v>1061</v>
      </c>
      <c r="AG205" s="64" t="s">
        <v>1081</v>
      </c>
      <c r="AI205" s="7">
        <v>67880000</v>
      </c>
      <c r="AJ205" s="7"/>
      <c r="AK205" s="18" t="s">
        <v>1462</v>
      </c>
      <c r="AL205" s="1" t="b">
        <v>1</v>
      </c>
    </row>
    <row r="206" spans="1:38">
      <c r="A206" t="s">
        <v>1603</v>
      </c>
      <c r="B206" s="1" t="str">
        <f t="shared" si="6"/>
        <v>M_PMP080301_VM_DD_ENG_DS-8-3_GC250_0.06</v>
      </c>
      <c r="C206" s="92" t="s">
        <v>240</v>
      </c>
      <c r="D206" s="7" t="str" cm="1">
        <f t="array" ref="D206">INDEX(기계코드!$D$4:$D$1022,MATCH(1,(C206=기계코드!$F$4:$F$1022)*1,0))</f>
        <v>M_PMP080301</v>
      </c>
      <c r="E206" s="92" t="s">
        <v>1160</v>
      </c>
      <c r="F206" s="7" t="str" cm="1">
        <f t="array" ref="F206">INDEX(공급업체코드!$B$3:$B$1000,MATCH(1,(E206=공급업체코드!$D$3:$D$1000)*1,0))</f>
        <v>VM_DD_ENG</v>
      </c>
      <c r="G206" s="113" t="s">
        <v>1624</v>
      </c>
      <c r="J206">
        <v>0.01</v>
      </c>
      <c r="K206">
        <v>0.06</v>
      </c>
      <c r="Q206" s="137">
        <v>2</v>
      </c>
      <c r="R206">
        <v>40</v>
      </c>
      <c r="T206">
        <v>0.4</v>
      </c>
      <c r="U206" s="7" t="s">
        <v>981</v>
      </c>
      <c r="V206" s="7">
        <v>380</v>
      </c>
      <c r="W206" s="151">
        <v>0.65</v>
      </c>
      <c r="X206" s="7">
        <v>0.9</v>
      </c>
      <c r="Y206" s="7">
        <v>80</v>
      </c>
      <c r="Z206">
        <v>0.123</v>
      </c>
      <c r="AA206" s="274" t="s">
        <v>1390</v>
      </c>
      <c r="AB206" s="61">
        <v>5</v>
      </c>
      <c r="AC206" s="275" t="s">
        <v>1391</v>
      </c>
      <c r="AD206" s="64" t="s">
        <v>1035</v>
      </c>
      <c r="AF206" s="64" t="s">
        <v>1061</v>
      </c>
      <c r="AG206" s="64" t="s">
        <v>1081</v>
      </c>
      <c r="AI206" s="64">
        <v>3610000</v>
      </c>
      <c r="AJ206" s="64"/>
      <c r="AK206" s="18" t="s">
        <v>1462</v>
      </c>
      <c r="AL206" s="1" t="b">
        <v>1</v>
      </c>
    </row>
    <row r="207" spans="1:38">
      <c r="A207" t="s">
        <v>1603</v>
      </c>
      <c r="B207" s="1" t="str">
        <f t="shared" si="6"/>
        <v>M_PMP080301_VM_DD_ENG_DS-10-3_GC250_0.1</v>
      </c>
      <c r="C207" s="92" t="s">
        <v>240</v>
      </c>
      <c r="D207" s="7" t="str" cm="1">
        <f t="array" ref="D207">INDEX(기계코드!$D$4:$D$1022,MATCH(1,(C207=기계코드!$F$4:$F$1022)*1,0))</f>
        <v>M_PMP080301</v>
      </c>
      <c r="E207" s="92" t="s">
        <v>1160</v>
      </c>
      <c r="F207" s="7" t="str" cm="1">
        <f t="array" ref="F207">INDEX(공급업체코드!$B$3:$B$1000,MATCH(1,(E207=공급업체코드!$D$3:$D$1000)*1,0))</f>
        <v>VM_DD_ENG</v>
      </c>
      <c r="G207" s="113" t="s">
        <v>1625</v>
      </c>
      <c r="J207">
        <v>0.02</v>
      </c>
      <c r="K207">
        <v>0.1</v>
      </c>
      <c r="Q207" s="113">
        <v>2</v>
      </c>
      <c r="R207">
        <v>40</v>
      </c>
      <c r="T207">
        <v>0.4</v>
      </c>
      <c r="U207" s="7" t="s">
        <v>981</v>
      </c>
      <c r="V207" s="7">
        <v>380</v>
      </c>
      <c r="W207" s="151">
        <v>0.65</v>
      </c>
      <c r="X207" s="7">
        <v>0.9</v>
      </c>
      <c r="Y207" s="7">
        <v>80</v>
      </c>
      <c r="Z207">
        <v>0.123</v>
      </c>
      <c r="AA207" s="274" t="s">
        <v>1390</v>
      </c>
      <c r="AB207" s="61">
        <v>5</v>
      </c>
      <c r="AC207" s="275" t="s">
        <v>1391</v>
      </c>
      <c r="AD207" s="64" t="s">
        <v>1035</v>
      </c>
      <c r="AF207" s="64" t="s">
        <v>1061</v>
      </c>
      <c r="AG207" s="64" t="s">
        <v>1081</v>
      </c>
      <c r="AI207" s="64">
        <v>3850000</v>
      </c>
      <c r="AJ207" s="64"/>
      <c r="AK207" s="18" t="s">
        <v>1462</v>
      </c>
      <c r="AL207" s="1" t="b">
        <v>1</v>
      </c>
    </row>
    <row r="208" spans="1:38">
      <c r="A208" t="s">
        <v>1606</v>
      </c>
      <c r="B208" s="1" t="str">
        <f t="shared" si="6"/>
        <v>M_PMP080301_VM_DD_ENG_DS-15_GC250_0.45</v>
      </c>
      <c r="C208" s="92" t="s">
        <v>240</v>
      </c>
      <c r="D208" s="7" t="str" cm="1">
        <f t="array" ref="D208">INDEX(기계코드!$D$4:$D$1022,MATCH(1,(C208=기계코드!$F$4:$F$1022)*1,0))</f>
        <v>M_PMP080301</v>
      </c>
      <c r="E208" s="92" t="s">
        <v>1160</v>
      </c>
      <c r="F208" s="7" t="str" cm="1">
        <f t="array" ref="F208">INDEX(공급업체코드!$B$3:$B$1000,MATCH(1,(E208=공급업체코드!$D$3:$D$1000)*1,0))</f>
        <v>VM_DD_ENG</v>
      </c>
      <c r="G208" s="113" t="s">
        <v>1626</v>
      </c>
      <c r="J208">
        <v>0.06</v>
      </c>
      <c r="K208">
        <v>0.45</v>
      </c>
      <c r="Q208" s="113">
        <v>2</v>
      </c>
      <c r="R208">
        <v>40</v>
      </c>
      <c r="T208">
        <v>0.4</v>
      </c>
      <c r="U208" s="7" t="s">
        <v>981</v>
      </c>
      <c r="V208" s="7">
        <v>380</v>
      </c>
      <c r="W208" s="151">
        <v>0.65</v>
      </c>
      <c r="X208" s="7">
        <v>0.9</v>
      </c>
      <c r="Y208" s="7">
        <v>80</v>
      </c>
      <c r="Z208">
        <v>0.123</v>
      </c>
      <c r="AA208" s="274" t="s">
        <v>1390</v>
      </c>
      <c r="AB208" s="61">
        <v>5</v>
      </c>
      <c r="AC208" s="275" t="s">
        <v>1391</v>
      </c>
      <c r="AD208" s="64" t="s">
        <v>1035</v>
      </c>
      <c r="AF208" s="64" t="s">
        <v>1061</v>
      </c>
      <c r="AG208" s="64" t="s">
        <v>1081</v>
      </c>
      <c r="AI208" s="64">
        <v>3205000</v>
      </c>
      <c r="AJ208" s="64"/>
      <c r="AK208" s="18" t="s">
        <v>1462</v>
      </c>
      <c r="AL208" s="1" t="b">
        <v>1</v>
      </c>
    </row>
    <row r="209" spans="1:39">
      <c r="A209" t="s">
        <v>1608</v>
      </c>
      <c r="B209" s="1" t="str">
        <f t="shared" si="6"/>
        <v>M_PMP080301_VM_DD_ENG_DS-20_GC250_1</v>
      </c>
      <c r="C209" s="92" t="s">
        <v>240</v>
      </c>
      <c r="D209" s="7" t="str" cm="1">
        <f t="array" ref="D209">INDEX(기계코드!$D$4:$D$1022,MATCH(1,(C209=기계코드!$F$4:$F$1022)*1,0))</f>
        <v>M_PMP080301</v>
      </c>
      <c r="E209" s="92" t="s">
        <v>1160</v>
      </c>
      <c r="F209" s="7" t="str" cm="1">
        <f t="array" ref="F209">INDEX(공급업체코드!$B$3:$B$1000,MATCH(1,(E209=공급업체코드!$D$3:$D$1000)*1,0))</f>
        <v>VM_DD_ENG</v>
      </c>
      <c r="G209" s="113" t="s">
        <v>1627</v>
      </c>
      <c r="J209">
        <v>0.13</v>
      </c>
      <c r="K209">
        <v>1</v>
      </c>
      <c r="Q209" s="113">
        <v>2</v>
      </c>
      <c r="R209">
        <v>40</v>
      </c>
      <c r="T209">
        <v>0.75</v>
      </c>
      <c r="U209" s="7" t="s">
        <v>981</v>
      </c>
      <c r="V209" s="7">
        <v>380</v>
      </c>
      <c r="W209" s="151">
        <v>0.83499999999999996</v>
      </c>
      <c r="X209" s="7">
        <v>0.9</v>
      </c>
      <c r="Y209" s="7">
        <v>80</v>
      </c>
      <c r="Z209">
        <v>0.123</v>
      </c>
      <c r="AA209" s="274" t="s">
        <v>1390</v>
      </c>
      <c r="AB209" s="61">
        <v>5</v>
      </c>
      <c r="AC209" s="275" t="s">
        <v>1391</v>
      </c>
      <c r="AD209" s="64" t="s">
        <v>1035</v>
      </c>
      <c r="AF209" s="64" t="s">
        <v>1061</v>
      </c>
      <c r="AG209" s="64" t="s">
        <v>1081</v>
      </c>
      <c r="AI209" s="64">
        <v>3445000</v>
      </c>
      <c r="AJ209" s="64"/>
      <c r="AK209" s="18" t="s">
        <v>1462</v>
      </c>
      <c r="AL209" s="1" t="b">
        <v>1</v>
      </c>
    </row>
    <row r="210" spans="1:39">
      <c r="A210" t="s">
        <v>1608</v>
      </c>
      <c r="B210" s="1" t="str">
        <f t="shared" si="6"/>
        <v>M_PMP080301_VM_DD_ENG_DS-30_GC250_3</v>
      </c>
      <c r="C210" s="92" t="s">
        <v>240</v>
      </c>
      <c r="D210" s="7" t="str" cm="1">
        <f t="array" ref="D210">INDEX(기계코드!$D$4:$D$1022,MATCH(1,(C210=기계코드!$F$4:$F$1022)*1,0))</f>
        <v>M_PMP080301</v>
      </c>
      <c r="E210" s="92" t="s">
        <v>1160</v>
      </c>
      <c r="F210" s="7" t="str" cm="1">
        <f t="array" ref="F210">INDEX(공급업체코드!$B$3:$B$1000,MATCH(1,(E210=공급업체코드!$D$3:$D$1000)*1,0))</f>
        <v>VM_DD_ENG</v>
      </c>
      <c r="G210" s="113" t="s">
        <v>1628</v>
      </c>
      <c r="J210">
        <v>0.4</v>
      </c>
      <c r="K210">
        <v>3</v>
      </c>
      <c r="Q210" s="113">
        <v>2</v>
      </c>
      <c r="R210">
        <v>50</v>
      </c>
      <c r="T210">
        <v>1.5</v>
      </c>
      <c r="U210" s="7" t="s">
        <v>981</v>
      </c>
      <c r="V210" s="7">
        <v>380</v>
      </c>
      <c r="W210" s="151">
        <v>0.86499999999999999</v>
      </c>
      <c r="X210" s="7">
        <v>0.9</v>
      </c>
      <c r="Y210" s="7">
        <v>80</v>
      </c>
      <c r="Z210">
        <v>0.123</v>
      </c>
      <c r="AA210" s="274" t="s">
        <v>1390</v>
      </c>
      <c r="AB210" s="61">
        <v>6</v>
      </c>
      <c r="AC210" s="275" t="s">
        <v>1391</v>
      </c>
      <c r="AD210" s="64" t="s">
        <v>1035</v>
      </c>
      <c r="AF210" s="64" t="s">
        <v>1061</v>
      </c>
      <c r="AG210" s="64" t="s">
        <v>1081</v>
      </c>
      <c r="AI210" s="64">
        <v>4570000</v>
      </c>
      <c r="AJ210" s="64"/>
      <c r="AK210" s="18" t="s">
        <v>1462</v>
      </c>
      <c r="AL210" s="1" t="b">
        <v>1</v>
      </c>
    </row>
    <row r="211" spans="1:39">
      <c r="A211" t="s">
        <v>1610</v>
      </c>
      <c r="B211" s="1" t="str">
        <f t="shared" si="6"/>
        <v>M_PMP080301_VM_DD_ENG_DS-30S_GC250_4</v>
      </c>
      <c r="C211" s="92" t="s">
        <v>240</v>
      </c>
      <c r="D211" s="7" t="str" cm="1">
        <f t="array" ref="D211">INDEX(기계코드!$D$4:$D$1022,MATCH(1,(C211=기계코드!$F$4:$F$1022)*1,0))</f>
        <v>M_PMP080301</v>
      </c>
      <c r="E211" s="92" t="s">
        <v>1160</v>
      </c>
      <c r="F211" s="7" t="str" cm="1">
        <f t="array" ref="F211">INDEX(공급업체코드!$B$3:$B$1000,MATCH(1,(E211=공급업체코드!$D$3:$D$1000)*1,0))</f>
        <v>VM_DD_ENG</v>
      </c>
      <c r="G211" s="113" t="s">
        <v>1629</v>
      </c>
      <c r="J211">
        <v>0.6</v>
      </c>
      <c r="K211">
        <v>4</v>
      </c>
      <c r="Q211" s="113">
        <v>2</v>
      </c>
      <c r="R211">
        <v>50</v>
      </c>
      <c r="T211">
        <v>1.5</v>
      </c>
      <c r="U211" s="7" t="s">
        <v>981</v>
      </c>
      <c r="V211" s="7">
        <v>380</v>
      </c>
      <c r="W211" s="151">
        <v>0.86499999999999999</v>
      </c>
      <c r="X211" s="7">
        <v>0.9</v>
      </c>
      <c r="Y211" s="7">
        <v>80</v>
      </c>
      <c r="Z211">
        <v>0.123</v>
      </c>
      <c r="AA211" s="274" t="s">
        <v>1390</v>
      </c>
      <c r="AB211" s="61">
        <v>6</v>
      </c>
      <c r="AC211" s="275" t="s">
        <v>1391</v>
      </c>
      <c r="AD211" s="64" t="s">
        <v>1035</v>
      </c>
      <c r="AF211" s="64" t="s">
        <v>1061</v>
      </c>
      <c r="AG211" s="64" t="s">
        <v>1081</v>
      </c>
      <c r="AI211" s="64">
        <v>5030000</v>
      </c>
      <c r="AJ211" s="64"/>
      <c r="AK211" s="18" t="s">
        <v>1462</v>
      </c>
      <c r="AL211" s="1" t="b">
        <v>1</v>
      </c>
    </row>
    <row r="212" spans="1:39">
      <c r="A212" t="s">
        <v>1612</v>
      </c>
      <c r="B212" s="1" t="str">
        <f>D212&amp;"_"&amp;F212&amp;"_"&amp;G212&amp;"_"&amp;AD212&amp;"_"&amp;K212</f>
        <v>M_PMP080301_VM_DD_ENG_DS-40_GC250_7</v>
      </c>
      <c r="C212" s="92" t="s">
        <v>240</v>
      </c>
      <c r="D212" s="7" t="str" cm="1">
        <f t="array" ref="D212">INDEX(기계코드!$D$4:$D$1022,MATCH(1,(C212=기계코드!$F$4:$F$1022)*1,0))</f>
        <v>M_PMP080301</v>
      </c>
      <c r="E212" s="92" t="s">
        <v>1160</v>
      </c>
      <c r="F212" s="7" t="str" cm="1">
        <f t="array" ref="F212">INDEX(공급업체코드!$B$3:$B$1000,MATCH(1,(E212=공급업체코드!$D$3:$D$1000)*1,0))</f>
        <v>VM_DD_ENG</v>
      </c>
      <c r="G212" s="113" t="s">
        <v>1630</v>
      </c>
      <c r="J212">
        <v>1</v>
      </c>
      <c r="K212">
        <v>7</v>
      </c>
      <c r="Q212" s="113">
        <v>2</v>
      </c>
      <c r="R212">
        <v>65</v>
      </c>
      <c r="T212">
        <v>2.2000000000000002</v>
      </c>
      <c r="U212" s="7" t="s">
        <v>981</v>
      </c>
      <c r="V212" s="7">
        <v>380</v>
      </c>
      <c r="W212" s="151">
        <v>0.89500000000000002</v>
      </c>
      <c r="X212" s="7">
        <v>0.9</v>
      </c>
      <c r="Y212" s="7">
        <v>80</v>
      </c>
      <c r="Z212">
        <v>0.123</v>
      </c>
      <c r="AA212" s="274" t="s">
        <v>1390</v>
      </c>
      <c r="AB212" s="61">
        <v>7</v>
      </c>
      <c r="AC212" s="275" t="s">
        <v>1391</v>
      </c>
      <c r="AD212" s="64" t="s">
        <v>1035</v>
      </c>
      <c r="AF212" s="64" t="s">
        <v>1061</v>
      </c>
      <c r="AG212" s="64" t="s">
        <v>1081</v>
      </c>
      <c r="AI212" s="64">
        <v>6070000</v>
      </c>
      <c r="AJ212" s="64"/>
      <c r="AK212" s="18" t="s">
        <v>1462</v>
      </c>
      <c r="AL212" s="1" t="b">
        <v>1</v>
      </c>
    </row>
    <row r="213" spans="1:39">
      <c r="A213" t="s">
        <v>1614</v>
      </c>
      <c r="B213" s="1" t="str">
        <f t="shared" si="6"/>
        <v>M_PMP080301_VM_DD_ENG_DS-50_GC250_13</v>
      </c>
      <c r="C213" s="92" t="s">
        <v>240</v>
      </c>
      <c r="D213" s="7" t="str" cm="1">
        <f t="array" ref="D213">INDEX(기계코드!$D$4:$D$1022,MATCH(1,(C213=기계코드!$F$4:$F$1022)*1,0))</f>
        <v>M_PMP080301</v>
      </c>
      <c r="E213" s="92" t="s">
        <v>1160</v>
      </c>
      <c r="F213" s="7" t="str" cm="1">
        <f t="array" ref="F213">INDEX(공급업체코드!$B$3:$B$1000,MATCH(1,(E213=공급업체코드!$D$3:$D$1000)*1,0))</f>
        <v>VM_DD_ENG</v>
      </c>
      <c r="G213" s="113" t="s">
        <v>1631</v>
      </c>
      <c r="J213">
        <v>2</v>
      </c>
      <c r="K213">
        <v>13</v>
      </c>
      <c r="Q213" s="113">
        <v>2</v>
      </c>
      <c r="R213">
        <v>80</v>
      </c>
      <c r="T213">
        <v>3.7</v>
      </c>
      <c r="U213" s="7" t="s">
        <v>981</v>
      </c>
      <c r="V213" s="7">
        <v>380</v>
      </c>
      <c r="W213" s="151">
        <v>0.89500000000000002</v>
      </c>
      <c r="X213" s="7">
        <v>0.9</v>
      </c>
      <c r="Y213" s="7">
        <v>80</v>
      </c>
      <c r="Z213">
        <v>0.123</v>
      </c>
      <c r="AA213" s="274" t="s">
        <v>1390</v>
      </c>
      <c r="AB213" s="61">
        <v>8</v>
      </c>
      <c r="AC213" s="275" t="s">
        <v>1391</v>
      </c>
      <c r="AD213" s="64" t="s">
        <v>1035</v>
      </c>
      <c r="AF213" s="64" t="s">
        <v>1061</v>
      </c>
      <c r="AG213" s="64" t="s">
        <v>1081</v>
      </c>
      <c r="AI213" s="64">
        <v>8200000</v>
      </c>
      <c r="AJ213" s="64"/>
      <c r="AK213" s="18" t="s">
        <v>1462</v>
      </c>
      <c r="AL213" s="1" t="b">
        <v>1</v>
      </c>
    </row>
    <row r="214" spans="1:39">
      <c r="A214" t="s">
        <v>1632</v>
      </c>
      <c r="B214" s="1" t="str">
        <f t="shared" si="6"/>
        <v>M_PMP080301_VM_DD_ENG_DS-60_GC250_25</v>
      </c>
      <c r="C214" s="92" t="s">
        <v>240</v>
      </c>
      <c r="D214" s="7" t="str" cm="1">
        <f t="array" ref="D214">INDEX(기계코드!$D$4:$D$1022,MATCH(1,(C214=기계코드!$F$4:$F$1022)*1,0))</f>
        <v>M_PMP080301</v>
      </c>
      <c r="E214" s="92" t="s">
        <v>1160</v>
      </c>
      <c r="F214" s="7" t="str" cm="1">
        <f t="array" ref="F214">INDEX(공급업체코드!$B$3:$B$1000,MATCH(1,(E214=공급업체코드!$D$3:$D$1000)*1,0))</f>
        <v>VM_DD_ENG</v>
      </c>
      <c r="G214" s="113" t="s">
        <v>1633</v>
      </c>
      <c r="J214">
        <v>3</v>
      </c>
      <c r="K214">
        <v>25</v>
      </c>
      <c r="Q214" s="113">
        <v>2</v>
      </c>
      <c r="R214">
        <v>100</v>
      </c>
      <c r="T214">
        <v>3.7</v>
      </c>
      <c r="U214" s="7" t="s">
        <v>981</v>
      </c>
      <c r="V214" s="7">
        <v>380</v>
      </c>
      <c r="W214" s="151">
        <v>0.89500000000000002</v>
      </c>
      <c r="X214" s="7">
        <v>0.9</v>
      </c>
      <c r="Y214" s="7">
        <v>80</v>
      </c>
      <c r="Z214">
        <v>0.123</v>
      </c>
      <c r="AA214" s="274" t="s">
        <v>1390</v>
      </c>
      <c r="AB214" s="61">
        <v>8</v>
      </c>
      <c r="AC214" s="275" t="s">
        <v>1391</v>
      </c>
      <c r="AD214" s="64" t="s">
        <v>1035</v>
      </c>
      <c r="AF214" s="64" t="s">
        <v>1061</v>
      </c>
      <c r="AG214" s="64" t="s">
        <v>1081</v>
      </c>
      <c r="AI214" s="64">
        <v>9240000</v>
      </c>
      <c r="AJ214" s="64"/>
      <c r="AK214" s="18" t="s">
        <v>1462</v>
      </c>
      <c r="AL214" s="1" t="b">
        <v>1</v>
      </c>
    </row>
    <row r="215" spans="1:39">
      <c r="A215" t="s">
        <v>1616</v>
      </c>
      <c r="B215" s="1" t="str">
        <f t="shared" si="6"/>
        <v>M_PMP080301_VM_DD_ENG_DS-60S_GC250_30</v>
      </c>
      <c r="C215" s="92" t="s">
        <v>240</v>
      </c>
      <c r="D215" s="7" t="str" cm="1">
        <f t="array" ref="D215">INDEX(기계코드!$D$4:$D$1022,MATCH(1,(C215=기계코드!$F$4:$F$1022)*1,0))</f>
        <v>M_PMP080301</v>
      </c>
      <c r="E215" s="92" t="s">
        <v>1160</v>
      </c>
      <c r="F215" s="7" t="str" cm="1">
        <f t="array" ref="F215">INDEX(공급업체코드!$B$3:$B$1000,MATCH(1,(E215=공급업체코드!$D$3:$D$1000)*1,0))</f>
        <v>VM_DD_ENG</v>
      </c>
      <c r="G215" s="113" t="s">
        <v>1634</v>
      </c>
      <c r="J215">
        <v>4</v>
      </c>
      <c r="K215">
        <v>30</v>
      </c>
      <c r="Q215" s="113">
        <v>2</v>
      </c>
      <c r="R215">
        <v>100</v>
      </c>
      <c r="T215">
        <v>5.5</v>
      </c>
      <c r="U215" s="7" t="s">
        <v>981</v>
      </c>
      <c r="V215" s="7">
        <v>380</v>
      </c>
      <c r="W215" s="151">
        <v>0.91700000000000004</v>
      </c>
      <c r="X215" s="7">
        <v>0.9</v>
      </c>
      <c r="Y215" s="7">
        <v>80</v>
      </c>
      <c r="Z215">
        <v>0.123</v>
      </c>
      <c r="AA215" s="274" t="s">
        <v>1390</v>
      </c>
      <c r="AB215" s="61">
        <v>9</v>
      </c>
      <c r="AC215" s="275" t="s">
        <v>1391</v>
      </c>
      <c r="AD215" s="64" t="s">
        <v>1035</v>
      </c>
      <c r="AF215" s="64" t="s">
        <v>1061</v>
      </c>
      <c r="AG215" s="64" t="s">
        <v>1081</v>
      </c>
      <c r="AI215" s="64">
        <v>10890000</v>
      </c>
      <c r="AJ215" s="64"/>
      <c r="AK215" s="18" t="s">
        <v>1462</v>
      </c>
      <c r="AL215" s="1" t="b">
        <v>1</v>
      </c>
    </row>
    <row r="216" spans="1:39">
      <c r="A216" t="s">
        <v>1616</v>
      </c>
      <c r="B216" s="1" t="str">
        <f t="shared" si="6"/>
        <v>M_PMP080301_VM_DD_ENG_DS-74_GC250_35</v>
      </c>
      <c r="C216" s="92" t="s">
        <v>240</v>
      </c>
      <c r="D216" s="7" t="str" cm="1">
        <f t="array" ref="D216">INDEX(기계코드!$D$4:$D$1022,MATCH(1,(C216=기계코드!$F$4:$F$1022)*1,0))</f>
        <v>M_PMP080301</v>
      </c>
      <c r="E216" s="92" t="s">
        <v>1160</v>
      </c>
      <c r="F216" s="7" t="str" cm="1">
        <f t="array" ref="F216">INDEX(공급업체코드!$B$3:$B$1000,MATCH(1,(E216=공급업체코드!$D$3:$D$1000)*1,0))</f>
        <v>VM_DD_ENG</v>
      </c>
      <c r="G216" s="113" t="s">
        <v>1635</v>
      </c>
      <c r="J216">
        <v>5</v>
      </c>
      <c r="K216">
        <v>35</v>
      </c>
      <c r="Q216" s="113">
        <v>2</v>
      </c>
      <c r="R216">
        <v>125</v>
      </c>
      <c r="T216">
        <v>7.5</v>
      </c>
      <c r="U216" s="7" t="s">
        <v>981</v>
      </c>
      <c r="V216" s="7">
        <v>380</v>
      </c>
      <c r="W216" s="151">
        <v>0.91700000000000004</v>
      </c>
      <c r="X216" s="7">
        <v>0.9</v>
      </c>
      <c r="Y216" s="7">
        <v>80</v>
      </c>
      <c r="Z216">
        <v>0.123</v>
      </c>
      <c r="AA216" s="274" t="s">
        <v>1390</v>
      </c>
      <c r="AB216" s="61">
        <v>10</v>
      </c>
      <c r="AC216" s="275" t="s">
        <v>1391</v>
      </c>
      <c r="AD216" s="64" t="s">
        <v>1035</v>
      </c>
      <c r="AF216" s="64" t="s">
        <v>1061</v>
      </c>
      <c r="AG216" s="64" t="s">
        <v>1081</v>
      </c>
      <c r="AI216" s="64">
        <v>11670000</v>
      </c>
      <c r="AJ216" s="64"/>
      <c r="AK216" s="18" t="s">
        <v>1462</v>
      </c>
      <c r="AL216" s="1" t="b">
        <v>1</v>
      </c>
    </row>
    <row r="217" spans="1:39">
      <c r="A217" t="s">
        <v>1636</v>
      </c>
      <c r="B217" s="1" t="str">
        <f t="shared" si="6"/>
        <v>M_PMP080301_VM_DD_ENG_DS-80_GC250_50</v>
      </c>
      <c r="C217" s="92" t="s">
        <v>240</v>
      </c>
      <c r="D217" s="7" t="str" cm="1">
        <f t="array" ref="D217">INDEX(기계코드!$D$4:$D$1022,MATCH(1,(C217=기계코드!$F$4:$F$1022)*1,0))</f>
        <v>M_PMP080301</v>
      </c>
      <c r="E217" s="92" t="s">
        <v>1160</v>
      </c>
      <c r="F217" s="7" t="str" cm="1">
        <f t="array" ref="F217">INDEX(공급업체코드!$B$3:$B$1000,MATCH(1,(E217=공급업체코드!$D$3:$D$1000)*1,0))</f>
        <v>VM_DD_ENG</v>
      </c>
      <c r="G217" s="113" t="s">
        <v>1637</v>
      </c>
      <c r="J217">
        <v>8</v>
      </c>
      <c r="K217">
        <v>50</v>
      </c>
      <c r="Q217" s="113">
        <v>2</v>
      </c>
      <c r="R217">
        <v>125</v>
      </c>
      <c r="T217">
        <v>7.5</v>
      </c>
      <c r="U217" s="7" t="s">
        <v>981</v>
      </c>
      <c r="V217" s="7">
        <v>380</v>
      </c>
      <c r="W217" s="151">
        <v>0.91700000000000004</v>
      </c>
      <c r="X217" s="7">
        <v>0.9</v>
      </c>
      <c r="Y217" s="7">
        <v>80</v>
      </c>
      <c r="Z217">
        <v>0.123</v>
      </c>
      <c r="AA217" s="274" t="s">
        <v>1390</v>
      </c>
      <c r="AB217" s="61">
        <v>10</v>
      </c>
      <c r="AC217" s="275" t="s">
        <v>1391</v>
      </c>
      <c r="AD217" s="64" t="s">
        <v>1035</v>
      </c>
      <c r="AF217" s="64" t="s">
        <v>1061</v>
      </c>
      <c r="AG217" s="64" t="s">
        <v>1081</v>
      </c>
      <c r="AI217" s="64">
        <v>13940000</v>
      </c>
      <c r="AJ217" s="64"/>
      <c r="AK217" s="18" t="s">
        <v>1462</v>
      </c>
      <c r="AL217" s="1" t="b">
        <v>1</v>
      </c>
    </row>
    <row r="218" spans="1:39">
      <c r="A218" t="s">
        <v>1618</v>
      </c>
      <c r="B218" s="1" t="str">
        <f t="shared" si="6"/>
        <v>M_PMP080301_VM_DD_ENG_DS-80S_GC250_70</v>
      </c>
      <c r="C218" s="92" t="s">
        <v>240</v>
      </c>
      <c r="D218" s="7" t="str" cm="1">
        <f t="array" ref="D218">INDEX(기계코드!$D$4:$D$1022,MATCH(1,(C218=기계코드!$F$4:$F$1022)*1,0))</f>
        <v>M_PMP080301</v>
      </c>
      <c r="E218" s="92" t="s">
        <v>1160</v>
      </c>
      <c r="F218" s="7" t="str" cm="1">
        <f t="array" ref="F218">INDEX(공급업체코드!$B$3:$B$1000,MATCH(1,(E218=공급업체코드!$D$3:$D$1000)*1,0))</f>
        <v>VM_DD_ENG</v>
      </c>
      <c r="G218" s="113" t="s">
        <v>1638</v>
      </c>
      <c r="J218">
        <v>12</v>
      </c>
      <c r="K218">
        <v>70</v>
      </c>
      <c r="Q218" s="113">
        <v>2</v>
      </c>
      <c r="R218">
        <v>125</v>
      </c>
      <c r="T218">
        <v>11</v>
      </c>
      <c r="U218" s="7" t="s">
        <v>981</v>
      </c>
      <c r="V218" s="7">
        <v>380</v>
      </c>
      <c r="W218" s="151">
        <v>0.92400000000000004</v>
      </c>
      <c r="X218" s="7">
        <v>0.9</v>
      </c>
      <c r="Y218" s="7">
        <v>80</v>
      </c>
      <c r="Z218">
        <v>0.123</v>
      </c>
      <c r="AA218" s="274" t="s">
        <v>1390</v>
      </c>
      <c r="AB218" s="61">
        <v>11</v>
      </c>
      <c r="AC218" s="275" t="s">
        <v>1391</v>
      </c>
      <c r="AD218" s="64" t="s">
        <v>1035</v>
      </c>
      <c r="AF218" s="64" t="s">
        <v>1061</v>
      </c>
      <c r="AG218" s="64" t="s">
        <v>1081</v>
      </c>
      <c r="AH218" s="113"/>
      <c r="AI218" s="64">
        <v>15180000</v>
      </c>
      <c r="AJ218" s="64"/>
      <c r="AK218" s="18" t="s">
        <v>1462</v>
      </c>
      <c r="AL218" s="1" t="b">
        <v>1</v>
      </c>
    </row>
    <row r="219" spans="1:39">
      <c r="A219" t="s">
        <v>1618</v>
      </c>
      <c r="B219" s="1" t="str">
        <f t="shared" si="6"/>
        <v>M_PMP080301_VM_DD_ENG_DS-100_GC250_68</v>
      </c>
      <c r="C219" s="92" t="s">
        <v>240</v>
      </c>
      <c r="D219" s="7" t="str" cm="1">
        <f t="array" ref="D219">INDEX(기계코드!$D$4:$D$1022,MATCH(1,(C219=기계코드!$F$4:$F$1022)*1,0))</f>
        <v>M_PMP080301</v>
      </c>
      <c r="E219" s="92" t="s">
        <v>1160</v>
      </c>
      <c r="F219" s="7" t="str" cm="1">
        <f t="array" ref="F219">INDEX(공급업체코드!$B$3:$B$1000,MATCH(1,(E219=공급업체코드!$D$3:$D$1000)*1,0))</f>
        <v>VM_DD_ENG</v>
      </c>
      <c r="G219" s="113" t="s">
        <v>1639</v>
      </c>
      <c r="J219">
        <v>15</v>
      </c>
      <c r="K219">
        <v>68</v>
      </c>
      <c r="Q219" s="113">
        <v>2</v>
      </c>
      <c r="R219">
        <v>150</v>
      </c>
      <c r="T219">
        <v>15</v>
      </c>
      <c r="U219" s="7" t="s">
        <v>987</v>
      </c>
      <c r="V219" s="7">
        <v>380</v>
      </c>
      <c r="W219" s="151">
        <v>0.93</v>
      </c>
      <c r="X219" s="7">
        <v>0.9</v>
      </c>
      <c r="Y219" s="7">
        <v>80</v>
      </c>
      <c r="Z219">
        <v>0.123</v>
      </c>
      <c r="AA219" s="274" t="s">
        <v>1390</v>
      </c>
      <c r="AB219" s="61">
        <v>12</v>
      </c>
      <c r="AC219" s="275" t="s">
        <v>1391</v>
      </c>
      <c r="AD219" s="64" t="s">
        <v>1035</v>
      </c>
      <c r="AF219" s="64" t="s">
        <v>1061</v>
      </c>
      <c r="AG219" s="64" t="s">
        <v>1081</v>
      </c>
      <c r="AH219" s="113"/>
      <c r="AI219" s="64">
        <v>18290000</v>
      </c>
      <c r="AJ219" s="64"/>
      <c r="AK219" s="18" t="s">
        <v>1462</v>
      </c>
      <c r="AL219" s="1" t="b">
        <v>1</v>
      </c>
    </row>
    <row r="220" spans="1:39">
      <c r="A220" t="s">
        <v>1620</v>
      </c>
      <c r="B220" s="1" t="str">
        <f t="shared" si="6"/>
        <v>M_PMP080301_VM_DD_ENG_DS-100S_GC250_86</v>
      </c>
      <c r="C220" s="92" t="s">
        <v>240</v>
      </c>
      <c r="D220" s="7" t="str" cm="1">
        <f t="array" ref="D220">INDEX(기계코드!$D$4:$D$1022,MATCH(1,(C220=기계코드!$F$4:$F$1022)*1,0))</f>
        <v>M_PMP080301</v>
      </c>
      <c r="E220" s="92" t="s">
        <v>1160</v>
      </c>
      <c r="F220" s="7" t="str" cm="1">
        <f t="array" ref="F220">INDEX(공급업체코드!$B$3:$B$1000,MATCH(1,(E220=공급업체코드!$D$3:$D$1000)*1,0))</f>
        <v>VM_DD_ENG</v>
      </c>
      <c r="G220" s="113" t="s">
        <v>1640</v>
      </c>
      <c r="J220">
        <v>19</v>
      </c>
      <c r="K220">
        <v>86</v>
      </c>
      <c r="Q220" s="113">
        <v>2</v>
      </c>
      <c r="R220">
        <v>150</v>
      </c>
      <c r="T220">
        <v>15</v>
      </c>
      <c r="U220" s="7" t="s">
        <v>987</v>
      </c>
      <c r="V220" s="7">
        <v>380</v>
      </c>
      <c r="W220" s="151">
        <v>0.93</v>
      </c>
      <c r="X220" s="7">
        <v>0.9</v>
      </c>
      <c r="Y220" s="7">
        <v>80</v>
      </c>
      <c r="Z220">
        <v>0.123</v>
      </c>
      <c r="AA220" s="274" t="s">
        <v>1390</v>
      </c>
      <c r="AB220" s="61">
        <v>12</v>
      </c>
      <c r="AC220" s="275" t="s">
        <v>1391</v>
      </c>
      <c r="AD220" s="64" t="s">
        <v>1035</v>
      </c>
      <c r="AF220" s="64" t="s">
        <v>1061</v>
      </c>
      <c r="AG220" s="64" t="s">
        <v>1081</v>
      </c>
      <c r="AH220" s="113"/>
      <c r="AI220" s="64">
        <v>21830000</v>
      </c>
      <c r="AJ220" s="64"/>
      <c r="AK220" s="18" t="s">
        <v>1462</v>
      </c>
      <c r="AL220" s="1" t="b">
        <v>1</v>
      </c>
    </row>
    <row r="221" spans="1:39">
      <c r="A221" t="s">
        <v>1620</v>
      </c>
      <c r="B221" s="1" t="str">
        <f t="shared" si="6"/>
        <v>M_PMP080301_VM_DD_ENG_DS-120_GC250_100</v>
      </c>
      <c r="C221" s="92" t="s">
        <v>240</v>
      </c>
      <c r="D221" s="7" t="str" cm="1">
        <f t="array" ref="D221">INDEX(기계코드!$D$4:$D$1022,MATCH(1,(C221=기계코드!$F$4:$F$1022)*1,0))</f>
        <v>M_PMP080301</v>
      </c>
      <c r="E221" s="92" t="s">
        <v>1160</v>
      </c>
      <c r="F221" s="7" t="str" cm="1">
        <f t="array" ref="F221">INDEX(공급업체코드!$B$3:$B$1000,MATCH(1,(E221=공급업체코드!$D$3:$D$1000)*1,0))</f>
        <v>VM_DD_ENG</v>
      </c>
      <c r="G221" s="113" t="s">
        <v>1641</v>
      </c>
      <c r="J221">
        <v>26</v>
      </c>
      <c r="K221">
        <v>100</v>
      </c>
      <c r="Q221" s="113">
        <v>2</v>
      </c>
      <c r="R221">
        <v>200</v>
      </c>
      <c r="T221">
        <v>22</v>
      </c>
      <c r="U221" s="7" t="s">
        <v>987</v>
      </c>
      <c r="V221" s="7">
        <v>380</v>
      </c>
      <c r="W221" s="151">
        <v>0.93599999999999994</v>
      </c>
      <c r="X221" s="7">
        <v>0.9</v>
      </c>
      <c r="Y221" s="7">
        <v>80</v>
      </c>
      <c r="Z221">
        <v>0.123</v>
      </c>
      <c r="AA221" s="274" t="s">
        <v>1390</v>
      </c>
      <c r="AB221" s="61">
        <v>13</v>
      </c>
      <c r="AC221" s="275" t="s">
        <v>1391</v>
      </c>
      <c r="AD221" s="64" t="s">
        <v>1035</v>
      </c>
      <c r="AF221" s="64" t="s">
        <v>1061</v>
      </c>
      <c r="AG221" s="64" t="s">
        <v>1081</v>
      </c>
      <c r="AH221" s="113"/>
      <c r="AI221" s="64">
        <v>29810000</v>
      </c>
      <c r="AJ221" s="64"/>
      <c r="AK221" s="18" t="s">
        <v>1462</v>
      </c>
      <c r="AL221" s="1" t="b">
        <v>1</v>
      </c>
    </row>
    <row r="222" spans="1:39">
      <c r="A222" t="s">
        <v>1622</v>
      </c>
      <c r="B222" s="1" t="str">
        <f t="shared" si="6"/>
        <v>M_PMP080301_VM_DD_ENG_DS-140_GC250_200</v>
      </c>
      <c r="C222" s="92" t="s">
        <v>240</v>
      </c>
      <c r="D222" s="7" t="str" cm="1">
        <f t="array" ref="D222">INDEX(기계코드!$D$4:$D$1022,MATCH(1,(C222=기계코드!$F$4:$F$1022)*1,0))</f>
        <v>M_PMP080301</v>
      </c>
      <c r="E222" s="92" t="s">
        <v>1160</v>
      </c>
      <c r="F222" s="7" t="str" cm="1">
        <f t="array" ref="F222">INDEX(공급업체코드!$B$3:$B$1000,MATCH(1,(E222=공급업체코드!$D$3:$D$1000)*1,0))</f>
        <v>VM_DD_ENG</v>
      </c>
      <c r="G222" s="113" t="s">
        <v>1642</v>
      </c>
      <c r="J222">
        <v>80</v>
      </c>
      <c r="K222">
        <v>200</v>
      </c>
      <c r="Q222" s="113">
        <v>2</v>
      </c>
      <c r="R222">
        <v>250</v>
      </c>
      <c r="T222">
        <v>30</v>
      </c>
      <c r="U222" s="7" t="s">
        <v>987</v>
      </c>
      <c r="V222" s="7">
        <v>380</v>
      </c>
      <c r="W222" s="151">
        <v>0.94099999999999995</v>
      </c>
      <c r="X222" s="7">
        <v>0.9</v>
      </c>
      <c r="Y222" s="7">
        <v>80</v>
      </c>
      <c r="Z222">
        <v>0.123</v>
      </c>
      <c r="AA222" s="274" t="s">
        <v>1390</v>
      </c>
      <c r="AB222" s="61">
        <v>14</v>
      </c>
      <c r="AC222" s="275" t="s">
        <v>1391</v>
      </c>
      <c r="AD222" s="64" t="s">
        <v>1035</v>
      </c>
      <c r="AF222" s="64" t="s">
        <v>1061</v>
      </c>
      <c r="AG222" s="64" t="s">
        <v>1081</v>
      </c>
      <c r="AH222" s="113"/>
      <c r="AI222" s="64">
        <v>35030000</v>
      </c>
      <c r="AJ222" s="64"/>
      <c r="AK222" s="18" t="s">
        <v>1462</v>
      </c>
      <c r="AL222" s="1" t="b">
        <v>1</v>
      </c>
    </row>
    <row r="223" spans="1:39">
      <c r="A223" t="s">
        <v>1622</v>
      </c>
      <c r="B223" s="1" t="str">
        <f t="shared" si="6"/>
        <v>M_PMP080301_VM_DD_ENG_DS-150_GC250_220</v>
      </c>
      <c r="C223" s="92" t="s">
        <v>240</v>
      </c>
      <c r="D223" s="7" t="str" cm="1">
        <f t="array" ref="D223">INDEX(기계코드!$D$4:$D$1022,MATCH(1,(C223=기계코드!$F$4:$F$1022)*1,0))</f>
        <v>M_PMP080301</v>
      </c>
      <c r="E223" s="92" t="s">
        <v>1160</v>
      </c>
      <c r="F223" s="7" t="str" cm="1">
        <f t="array" ref="F223">INDEX(공급업체코드!$B$3:$B$1000,MATCH(1,(E223=공급업체코드!$D$3:$D$1000)*1,0))</f>
        <v>VM_DD_ENG</v>
      </c>
      <c r="G223" s="113" t="s">
        <v>1643</v>
      </c>
      <c r="J223">
        <v>90</v>
      </c>
      <c r="K223">
        <v>220</v>
      </c>
      <c r="Q223" s="113">
        <v>2</v>
      </c>
      <c r="R223">
        <v>250</v>
      </c>
      <c r="T223">
        <v>30</v>
      </c>
      <c r="U223" s="7" t="s">
        <v>987</v>
      </c>
      <c r="V223" s="7">
        <v>380</v>
      </c>
      <c r="W223" s="151">
        <v>0.94099999999999995</v>
      </c>
      <c r="X223" s="7">
        <v>0.9</v>
      </c>
      <c r="Y223" s="7">
        <v>80</v>
      </c>
      <c r="Z223">
        <v>0.123</v>
      </c>
      <c r="AA223" s="274" t="s">
        <v>1390</v>
      </c>
      <c r="AB223" s="61">
        <v>14</v>
      </c>
      <c r="AC223" s="275" t="s">
        <v>1391</v>
      </c>
      <c r="AD223" s="64" t="s">
        <v>1035</v>
      </c>
      <c r="AF223" s="64" t="s">
        <v>1061</v>
      </c>
      <c r="AG223" s="64" t="s">
        <v>1081</v>
      </c>
      <c r="AH223" s="113"/>
      <c r="AI223" s="64">
        <v>40340000</v>
      </c>
      <c r="AJ223" s="64"/>
      <c r="AK223" s="18" t="s">
        <v>1462</v>
      </c>
      <c r="AL223" s="1" t="b">
        <v>1</v>
      </c>
    </row>
    <row r="224" spans="1:39">
      <c r="B224" s="1" t="str">
        <f>D224&amp;"_"&amp;F224&amp;"_"&amp;G224&amp;"_"&amp;AH224&amp;"_"&amp;M224</f>
        <v>M_PMP070101_VM_CS_IND_KD-21H_PP_25</v>
      </c>
      <c r="C224" s="92" t="s">
        <v>220</v>
      </c>
      <c r="D224" s="7" t="str" cm="1">
        <f t="array" ref="D224">INDEX(기계코드!$D$4:$D$1022,MATCH(1,(C224=기계코드!$F$4:$F$1022)*1,0))</f>
        <v>M_PMP070101</v>
      </c>
      <c r="E224" s="92" t="s">
        <v>1644</v>
      </c>
      <c r="F224" s="7" t="str" cm="1">
        <f t="array" ref="F224">INDEX(공급업체코드!$B$3:$B$1000,MATCH(1,(E224=공급업체코드!$D$3:$D$1000)*1,0))</f>
        <v>VM_CS_IND</v>
      </c>
      <c r="G224" s="113" t="s">
        <v>1645</v>
      </c>
      <c r="L224" s="139">
        <v>20</v>
      </c>
      <c r="M224" s="140">
        <v>25</v>
      </c>
      <c r="P224" s="141">
        <v>3</v>
      </c>
      <c r="Q224" s="142">
        <v>10</v>
      </c>
      <c r="R224">
        <v>15</v>
      </c>
      <c r="T224" s="135">
        <v>0.2</v>
      </c>
      <c r="U224" s="7" t="s">
        <v>981</v>
      </c>
      <c r="V224" s="7">
        <v>380</v>
      </c>
      <c r="W224" s="151">
        <v>0.57999999999999996</v>
      </c>
      <c r="X224" s="7">
        <v>0.9</v>
      </c>
      <c r="Y224" s="7">
        <v>80</v>
      </c>
      <c r="Z224">
        <v>0.123</v>
      </c>
      <c r="AA224" s="274" t="s">
        <v>1390</v>
      </c>
      <c r="AB224" s="61">
        <v>5</v>
      </c>
      <c r="AC224" s="275" t="s">
        <v>1391</v>
      </c>
      <c r="AH224" s="143" t="s">
        <v>1646</v>
      </c>
      <c r="AI224" s="64">
        <f>2680000+2300000</f>
        <v>4980000</v>
      </c>
      <c r="AJ224" s="64"/>
      <c r="AK224" s="18" t="s">
        <v>1647</v>
      </c>
      <c r="AL224" s="1" t="b">
        <v>1</v>
      </c>
      <c r="AM224" s="244"/>
    </row>
    <row r="225" spans="2:38">
      <c r="B225" s="1" t="str">
        <f t="shared" ref="B225:B276" si="7">D225&amp;"_"&amp;F225&amp;"_"&amp;G225&amp;"_"&amp;AH225&amp;"_"&amp;M225</f>
        <v>M_PMP070101_VM_CS_IND_KD-61H_PP_60</v>
      </c>
      <c r="C225" s="92" t="s">
        <v>220</v>
      </c>
      <c r="D225" s="7" t="str" cm="1">
        <f t="array" ref="D225">INDEX(기계코드!$D$4:$D$1022,MATCH(1,(C225=기계코드!$F$4:$F$1022)*1,0))</f>
        <v>M_PMP070101</v>
      </c>
      <c r="E225" s="92" t="s">
        <v>1644</v>
      </c>
      <c r="F225" s="7" t="str" cm="1">
        <f t="array" ref="F225">INDEX(공급업체코드!$B$3:$B$1000,MATCH(1,(E225=공급업체코드!$D$3:$D$1000)*1,0))</f>
        <v>VM_CS_IND</v>
      </c>
      <c r="G225" s="113" t="s">
        <v>1648</v>
      </c>
      <c r="L225" s="139">
        <v>50</v>
      </c>
      <c r="M225" s="140">
        <v>60</v>
      </c>
      <c r="P225" s="144">
        <v>3</v>
      </c>
      <c r="Q225" s="137">
        <v>10</v>
      </c>
      <c r="R225">
        <v>15</v>
      </c>
      <c r="T225" s="135">
        <v>0.2</v>
      </c>
      <c r="U225" s="7" t="s">
        <v>981</v>
      </c>
      <c r="V225" s="7">
        <v>380</v>
      </c>
      <c r="W225" s="151">
        <v>0.57999999999999996</v>
      </c>
      <c r="X225" s="7">
        <v>0.9</v>
      </c>
      <c r="Y225" s="7">
        <v>80</v>
      </c>
      <c r="Z225">
        <v>0.123</v>
      </c>
      <c r="AA225" s="274" t="s">
        <v>1390</v>
      </c>
      <c r="AB225" s="61">
        <v>5</v>
      </c>
      <c r="AC225" s="275" t="s">
        <v>1391</v>
      </c>
      <c r="AH225" s="143" t="s">
        <v>1646</v>
      </c>
      <c r="AI225" s="64">
        <f>2680000+2300000</f>
        <v>4980000</v>
      </c>
      <c r="AJ225" s="64"/>
      <c r="AK225" s="18" t="s">
        <v>1647</v>
      </c>
      <c r="AL225" s="1" t="b">
        <v>1</v>
      </c>
    </row>
    <row r="226" spans="2:38">
      <c r="B226" s="1" t="str">
        <f t="shared" si="7"/>
        <v>M_PMP070101_VM_CS_IND_KD-12H_PP_120</v>
      </c>
      <c r="C226" s="92" t="s">
        <v>220</v>
      </c>
      <c r="D226" s="7" t="str" cm="1">
        <f t="array" ref="D226">INDEX(기계코드!$D$4:$D$1022,MATCH(1,(C226=기계코드!$F$4:$F$1022)*1,0))</f>
        <v>M_PMP070101</v>
      </c>
      <c r="E226" s="92" t="s">
        <v>1644</v>
      </c>
      <c r="F226" s="7" t="str" cm="1">
        <f t="array" ref="F226">INDEX(공급업체코드!$B$3:$B$1000,MATCH(1,(E226=공급업체코드!$D$3:$D$1000)*1,0))</f>
        <v>VM_CS_IND</v>
      </c>
      <c r="G226" s="113" t="s">
        <v>1649</v>
      </c>
      <c r="L226" s="139">
        <v>100</v>
      </c>
      <c r="M226" s="140">
        <v>120</v>
      </c>
      <c r="P226">
        <v>3</v>
      </c>
      <c r="Q226" s="113">
        <v>10</v>
      </c>
      <c r="R226">
        <v>15</v>
      </c>
      <c r="T226" s="135">
        <v>0.2</v>
      </c>
      <c r="U226" s="7" t="s">
        <v>981</v>
      </c>
      <c r="V226" s="7">
        <v>380</v>
      </c>
      <c r="W226" s="151">
        <v>0.57999999999999996</v>
      </c>
      <c r="X226" s="7">
        <v>0.9</v>
      </c>
      <c r="Y226" s="7">
        <v>80</v>
      </c>
      <c r="Z226">
        <v>0.123</v>
      </c>
      <c r="AA226" s="274" t="s">
        <v>1390</v>
      </c>
      <c r="AB226" s="61">
        <v>5</v>
      </c>
      <c r="AC226" s="275" t="s">
        <v>1391</v>
      </c>
      <c r="AH226" s="143" t="s">
        <v>1646</v>
      </c>
      <c r="AI226" s="64">
        <f>2680000+2300000</f>
        <v>4980000</v>
      </c>
      <c r="AJ226" s="64"/>
      <c r="AK226" s="18" t="s">
        <v>1647</v>
      </c>
      <c r="AL226" s="1" t="b">
        <v>1</v>
      </c>
    </row>
    <row r="227" spans="2:38">
      <c r="B227" s="1" t="str">
        <f t="shared" si="7"/>
        <v>M_PMP070101_VM_CS_IND_KD-22H_PP_260</v>
      </c>
      <c r="C227" s="92" t="s">
        <v>220</v>
      </c>
      <c r="D227" s="7" t="str" cm="1">
        <f t="array" ref="D227">INDEX(기계코드!$D$4:$D$1022,MATCH(1,(C227=기계코드!$F$4:$F$1022)*1,0))</f>
        <v>M_PMP070101</v>
      </c>
      <c r="E227" s="92" t="s">
        <v>1644</v>
      </c>
      <c r="F227" s="7" t="str" cm="1">
        <f t="array" ref="F227">INDEX(공급업체코드!$B$3:$B$1000,MATCH(1,(E227=공급업체코드!$D$3:$D$1000)*1,0))</f>
        <v>VM_CS_IND</v>
      </c>
      <c r="G227" s="113" t="s">
        <v>1650</v>
      </c>
      <c r="L227" s="139">
        <v>210</v>
      </c>
      <c r="M227" s="140">
        <v>260</v>
      </c>
      <c r="P227">
        <v>3</v>
      </c>
      <c r="Q227" s="113">
        <v>10</v>
      </c>
      <c r="R227">
        <v>15</v>
      </c>
      <c r="T227" s="135">
        <v>0.2</v>
      </c>
      <c r="U227" s="7" t="s">
        <v>981</v>
      </c>
      <c r="V227" s="7">
        <v>380</v>
      </c>
      <c r="W227" s="151">
        <v>0.57999999999999996</v>
      </c>
      <c r="X227" s="7">
        <v>0.9</v>
      </c>
      <c r="Y227" s="7">
        <v>80</v>
      </c>
      <c r="Z227">
        <v>0.123</v>
      </c>
      <c r="AA227" s="274" t="s">
        <v>1390</v>
      </c>
      <c r="AB227" s="61">
        <v>5</v>
      </c>
      <c r="AC227" s="275" t="s">
        <v>1391</v>
      </c>
      <c r="AH227" s="143" t="s">
        <v>1646</v>
      </c>
      <c r="AI227" s="64">
        <f>2680000+2300000</f>
        <v>4980000</v>
      </c>
      <c r="AJ227" s="64"/>
      <c r="AK227" s="18" t="s">
        <v>1647</v>
      </c>
      <c r="AL227" s="1" t="b">
        <v>1</v>
      </c>
    </row>
    <row r="228" spans="2:38">
      <c r="B228" s="1" t="str">
        <f t="shared" si="7"/>
        <v>M_PMP070101_VM_CS_IND_KD-52H_PP_520</v>
      </c>
      <c r="C228" s="92" t="s">
        <v>220</v>
      </c>
      <c r="D228" s="7" t="str" cm="1">
        <f t="array" ref="D228">INDEX(기계코드!$D$4:$D$1022,MATCH(1,(C228=기계코드!$F$4:$F$1022)*1,0))</f>
        <v>M_PMP070101</v>
      </c>
      <c r="E228" s="92" t="s">
        <v>1644</v>
      </c>
      <c r="F228" s="7" t="str" cm="1">
        <f t="array" ref="F228">INDEX(공급업체코드!$B$3:$B$1000,MATCH(1,(E228=공급업체코드!$D$3:$D$1000)*1,0))</f>
        <v>VM_CS_IND</v>
      </c>
      <c r="G228" s="113" t="s">
        <v>1651</v>
      </c>
      <c r="L228" s="139">
        <v>420</v>
      </c>
      <c r="M228" s="140">
        <v>520</v>
      </c>
      <c r="P228">
        <v>3</v>
      </c>
      <c r="Q228" s="113">
        <v>10</v>
      </c>
      <c r="R228">
        <v>15</v>
      </c>
      <c r="T228" s="135">
        <v>0.2</v>
      </c>
      <c r="U228" s="7" t="s">
        <v>981</v>
      </c>
      <c r="V228" s="7">
        <v>380</v>
      </c>
      <c r="W228" s="151">
        <v>0.57999999999999996</v>
      </c>
      <c r="X228" s="7">
        <v>0.9</v>
      </c>
      <c r="Y228" s="7">
        <v>80</v>
      </c>
      <c r="Z228">
        <v>0.123</v>
      </c>
      <c r="AA228" s="274" t="s">
        <v>1390</v>
      </c>
      <c r="AB228" s="61">
        <v>5</v>
      </c>
      <c r="AC228" s="275" t="s">
        <v>1391</v>
      </c>
      <c r="AH228" s="143" t="s">
        <v>1646</v>
      </c>
      <c r="AI228" s="64">
        <f>2680000+2300000</f>
        <v>4980000</v>
      </c>
      <c r="AJ228" s="64"/>
      <c r="AK228" s="18" t="s">
        <v>1647</v>
      </c>
      <c r="AL228" s="1" t="b">
        <v>1</v>
      </c>
    </row>
    <row r="229" spans="2:38">
      <c r="B229" s="1" t="str">
        <f t="shared" si="7"/>
        <v>M_PMP070101_VM_CS_IND_KD-82H_PP_840</v>
      </c>
      <c r="C229" s="92" t="s">
        <v>220</v>
      </c>
      <c r="D229" s="7" t="str" cm="1">
        <f t="array" ref="D229">INDEX(기계코드!$D$4:$D$1022,MATCH(1,(C229=기계코드!$F$4:$F$1022)*1,0))</f>
        <v>M_PMP070101</v>
      </c>
      <c r="E229" s="92" t="s">
        <v>1644</v>
      </c>
      <c r="F229" s="7" t="str" cm="1">
        <f t="array" ref="F229">INDEX(공급업체코드!$B$3:$B$1000,MATCH(1,(E229=공급업체코드!$D$3:$D$1000)*1,0))</f>
        <v>VM_CS_IND</v>
      </c>
      <c r="G229" s="113" t="s">
        <v>1652</v>
      </c>
      <c r="L229" s="139">
        <v>700</v>
      </c>
      <c r="M229" s="140">
        <v>840</v>
      </c>
      <c r="P229">
        <v>3</v>
      </c>
      <c r="Q229" s="113">
        <v>10</v>
      </c>
      <c r="R229">
        <v>15</v>
      </c>
      <c r="T229" s="135">
        <v>0.2</v>
      </c>
      <c r="U229" s="7" t="s">
        <v>981</v>
      </c>
      <c r="V229" s="7">
        <v>380</v>
      </c>
      <c r="W229" s="151">
        <v>0.57999999999999996</v>
      </c>
      <c r="X229" s="7">
        <v>0.9</v>
      </c>
      <c r="Y229" s="7">
        <v>80</v>
      </c>
      <c r="Z229">
        <v>0.123</v>
      </c>
      <c r="AA229" s="274" t="s">
        <v>1390</v>
      </c>
      <c r="AB229" s="61">
        <v>5</v>
      </c>
      <c r="AC229" s="275" t="s">
        <v>1391</v>
      </c>
      <c r="AH229" s="143" t="s">
        <v>1646</v>
      </c>
      <c r="AI229" s="64">
        <f>2785000+2300000</f>
        <v>5085000</v>
      </c>
      <c r="AJ229" s="64"/>
      <c r="AK229" s="18" t="s">
        <v>1647</v>
      </c>
      <c r="AL229" s="1" t="b">
        <v>1</v>
      </c>
    </row>
    <row r="230" spans="2:38">
      <c r="B230" s="1" t="str">
        <f t="shared" si="7"/>
        <v>M_PMP070101_VM_CS_IND_KD-13H_PP_1020</v>
      </c>
      <c r="C230" s="92" t="s">
        <v>220</v>
      </c>
      <c r="D230" s="7" t="str" cm="1">
        <f t="array" ref="D230">INDEX(기계코드!$D$4:$D$1022,MATCH(1,(C230=기계코드!$F$4:$F$1022)*1,0))</f>
        <v>M_PMP070101</v>
      </c>
      <c r="E230" s="92" t="s">
        <v>1644</v>
      </c>
      <c r="F230" s="7" t="str" cm="1">
        <f t="array" ref="F230">INDEX(공급업체코드!$B$3:$B$1000,MATCH(1,(E230=공급업체코드!$D$3:$D$1000)*1,0))</f>
        <v>VM_CS_IND</v>
      </c>
      <c r="G230" s="113" t="s">
        <v>1653</v>
      </c>
      <c r="L230" s="139">
        <v>850</v>
      </c>
      <c r="M230" s="140">
        <v>1020</v>
      </c>
      <c r="P230">
        <v>3</v>
      </c>
      <c r="Q230" s="113">
        <v>10</v>
      </c>
      <c r="R230">
        <v>15</v>
      </c>
      <c r="T230" s="135">
        <v>0.2</v>
      </c>
      <c r="U230" s="7" t="s">
        <v>981</v>
      </c>
      <c r="V230" s="7">
        <v>380</v>
      </c>
      <c r="W230" s="151">
        <v>0.57999999999999996</v>
      </c>
      <c r="X230" s="7">
        <v>0.9</v>
      </c>
      <c r="Y230" s="7">
        <v>80</v>
      </c>
      <c r="Z230">
        <v>0.123</v>
      </c>
      <c r="AA230" s="274" t="s">
        <v>1390</v>
      </c>
      <c r="AB230" s="61">
        <v>5</v>
      </c>
      <c r="AC230" s="275" t="s">
        <v>1391</v>
      </c>
      <c r="AH230" s="143" t="s">
        <v>1646</v>
      </c>
      <c r="AI230" s="64">
        <f>3215000+2300000</f>
        <v>5515000</v>
      </c>
      <c r="AJ230" s="64"/>
      <c r="AK230" s="18" t="s">
        <v>1647</v>
      </c>
      <c r="AL230" s="1" t="b">
        <v>1</v>
      </c>
    </row>
    <row r="231" spans="2:38">
      <c r="B231" s="1" t="str">
        <f t="shared" si="7"/>
        <v>M_PMP070101_VM_CS_IND_KD-23H_PP_2040</v>
      </c>
      <c r="C231" s="92" t="s">
        <v>220</v>
      </c>
      <c r="D231" s="7" t="str" cm="1">
        <f t="array" ref="D231">INDEX(기계코드!$D$4:$D$1022,MATCH(1,(C231=기계코드!$F$4:$F$1022)*1,0))</f>
        <v>M_PMP070101</v>
      </c>
      <c r="E231" s="92" t="s">
        <v>1644</v>
      </c>
      <c r="F231" s="7" t="str" cm="1">
        <f t="array" ref="F231">INDEX(공급업체코드!$B$3:$B$1000,MATCH(1,(E231=공급업체코드!$D$3:$D$1000)*1,0))</f>
        <v>VM_CS_IND</v>
      </c>
      <c r="G231" s="113" t="s">
        <v>1654</v>
      </c>
      <c r="L231" s="139">
        <v>1700</v>
      </c>
      <c r="M231" s="140">
        <v>2040</v>
      </c>
      <c r="P231">
        <v>3</v>
      </c>
      <c r="Q231" s="113">
        <v>8</v>
      </c>
      <c r="R231">
        <v>15</v>
      </c>
      <c r="T231" s="135">
        <v>0.2</v>
      </c>
      <c r="U231" s="7" t="s">
        <v>981</v>
      </c>
      <c r="V231" s="7">
        <v>380</v>
      </c>
      <c r="W231" s="151">
        <v>0.57999999999999996</v>
      </c>
      <c r="X231" s="7">
        <v>0.9</v>
      </c>
      <c r="Y231" s="7">
        <v>80</v>
      </c>
      <c r="Z231">
        <v>0.123</v>
      </c>
      <c r="AA231" s="274" t="s">
        <v>1390</v>
      </c>
      <c r="AB231" s="61">
        <v>5</v>
      </c>
      <c r="AC231" s="275" t="s">
        <v>1391</v>
      </c>
      <c r="AH231" s="143" t="s">
        <v>1646</v>
      </c>
      <c r="AI231" s="64">
        <f>3215000+2300000</f>
        <v>5515000</v>
      </c>
      <c r="AJ231" s="64"/>
      <c r="AK231" s="18" t="s">
        <v>1647</v>
      </c>
      <c r="AL231" s="1" t="b">
        <v>1</v>
      </c>
    </row>
    <row r="232" spans="2:38">
      <c r="B232" s="1" t="str">
        <f t="shared" si="7"/>
        <v>M_PMP070101_VM_CS_IND_KD-33L_PP_3480</v>
      </c>
      <c r="C232" s="92" t="s">
        <v>220</v>
      </c>
      <c r="D232" s="7" t="str" cm="1">
        <f t="array" ref="D232">INDEX(기계코드!$D$4:$D$1022,MATCH(1,(C232=기계코드!$F$4:$F$1022)*1,0))</f>
        <v>M_PMP070101</v>
      </c>
      <c r="E232" s="92" t="s">
        <v>1644</v>
      </c>
      <c r="F232" s="7" t="str" cm="1">
        <f t="array" ref="F232">INDEX(공급업체코드!$B$3:$B$1000,MATCH(1,(E232=공급업체코드!$D$3:$D$1000)*1,0))</f>
        <v>VM_CS_IND</v>
      </c>
      <c r="G232" s="113" t="s">
        <v>1655</v>
      </c>
      <c r="L232" s="139">
        <v>2900</v>
      </c>
      <c r="M232" s="140">
        <v>3480</v>
      </c>
      <c r="P232">
        <v>3</v>
      </c>
      <c r="Q232" s="113">
        <v>5</v>
      </c>
      <c r="R232">
        <v>25</v>
      </c>
      <c r="T232" s="135">
        <v>0.2</v>
      </c>
      <c r="U232" s="7" t="s">
        <v>981</v>
      </c>
      <c r="V232" s="7">
        <v>380</v>
      </c>
      <c r="W232" s="151">
        <v>0.57999999999999996</v>
      </c>
      <c r="X232" s="7">
        <v>0.9</v>
      </c>
      <c r="Y232" s="7">
        <v>80</v>
      </c>
      <c r="Z232">
        <v>0.123</v>
      </c>
      <c r="AA232" s="274" t="s">
        <v>1390</v>
      </c>
      <c r="AB232" s="61">
        <v>5</v>
      </c>
      <c r="AC232" s="275" t="s">
        <v>1391</v>
      </c>
      <c r="AH232" s="143" t="s">
        <v>1646</v>
      </c>
      <c r="AI232" s="64">
        <f>3786000+2300000</f>
        <v>6086000</v>
      </c>
      <c r="AJ232" s="64"/>
      <c r="AK232" s="18" t="s">
        <v>1647</v>
      </c>
      <c r="AL232" s="1" t="b">
        <v>1</v>
      </c>
    </row>
    <row r="233" spans="2:38">
      <c r="B233" s="1" t="str">
        <f t="shared" si="7"/>
        <v>M_PMP070101_VM_CS_IND_KD-43L_PP_4100</v>
      </c>
      <c r="C233" s="92" t="s">
        <v>220</v>
      </c>
      <c r="D233" s="7" t="str" cm="1">
        <f t="array" ref="D233">INDEX(기계코드!$D$4:$D$1022,MATCH(1,(C233=기계코드!$F$4:$F$1022)*1,0))</f>
        <v>M_PMP070101</v>
      </c>
      <c r="E233" s="92" t="s">
        <v>1644</v>
      </c>
      <c r="F233" s="7" t="str" cm="1">
        <f t="array" ref="F233">INDEX(공급업체코드!$B$3:$B$1000,MATCH(1,(E233=공급업체코드!$D$3:$D$1000)*1,0))</f>
        <v>VM_CS_IND</v>
      </c>
      <c r="G233" s="113" t="s">
        <v>1656</v>
      </c>
      <c r="L233" s="139">
        <v>3400</v>
      </c>
      <c r="M233" s="140">
        <v>4100</v>
      </c>
      <c r="P233">
        <v>3</v>
      </c>
      <c r="Q233" s="113">
        <v>5</v>
      </c>
      <c r="R233">
        <v>25</v>
      </c>
      <c r="T233" s="135">
        <v>0.2</v>
      </c>
      <c r="U233" s="7" t="s">
        <v>981</v>
      </c>
      <c r="V233" s="7">
        <v>380</v>
      </c>
      <c r="W233" s="151">
        <v>0.57999999999999996</v>
      </c>
      <c r="X233" s="7">
        <v>0.9</v>
      </c>
      <c r="Y233" s="7">
        <v>80</v>
      </c>
      <c r="Z233">
        <v>0.123</v>
      </c>
      <c r="AA233" s="274" t="s">
        <v>1390</v>
      </c>
      <c r="AB233" s="61">
        <v>5</v>
      </c>
      <c r="AC233" s="275" t="s">
        <v>1391</v>
      </c>
      <c r="AH233" s="143" t="s">
        <v>1646</v>
      </c>
      <c r="AI233" s="64">
        <f t="shared" ref="AI233:AI236" si="8">3786000+2300000</f>
        <v>6086000</v>
      </c>
      <c r="AJ233" s="64"/>
      <c r="AK233" s="18" t="s">
        <v>1647</v>
      </c>
      <c r="AL233" s="1" t="b">
        <v>1</v>
      </c>
    </row>
    <row r="234" spans="2:38">
      <c r="B234" s="1" t="str">
        <f t="shared" si="7"/>
        <v>M_PMP070101_VM_CS_IND_KD-73L_PP_7440</v>
      </c>
      <c r="C234" s="92" t="s">
        <v>220</v>
      </c>
      <c r="D234" s="7" t="str" cm="1">
        <f t="array" ref="D234">INDEX(기계코드!$D$4:$D$1022,MATCH(1,(C234=기계코드!$F$4:$F$1022)*1,0))</f>
        <v>M_PMP070101</v>
      </c>
      <c r="E234" s="92" t="s">
        <v>1644</v>
      </c>
      <c r="F234" s="7" t="str" cm="1">
        <f t="array" ref="F234">INDEX(공급업체코드!$B$3:$B$1000,MATCH(1,(E234=공급업체코드!$D$3:$D$1000)*1,0))</f>
        <v>VM_CS_IND</v>
      </c>
      <c r="G234" s="113" t="s">
        <v>1657</v>
      </c>
      <c r="L234" s="139">
        <v>6200</v>
      </c>
      <c r="M234" s="140">
        <v>7440</v>
      </c>
      <c r="P234">
        <v>0.5</v>
      </c>
      <c r="Q234" s="113">
        <v>3</v>
      </c>
      <c r="R234">
        <v>25</v>
      </c>
      <c r="T234" s="135">
        <v>0.2</v>
      </c>
      <c r="U234" s="7" t="s">
        <v>981</v>
      </c>
      <c r="V234" s="7">
        <v>380</v>
      </c>
      <c r="W234" s="151">
        <v>0.57999999999999996</v>
      </c>
      <c r="X234" s="7">
        <v>0.9</v>
      </c>
      <c r="Y234" s="7">
        <v>80</v>
      </c>
      <c r="Z234">
        <v>0.123</v>
      </c>
      <c r="AA234" s="274" t="s">
        <v>1390</v>
      </c>
      <c r="AB234" s="61">
        <v>5</v>
      </c>
      <c r="AC234" s="275" t="s">
        <v>1391</v>
      </c>
      <c r="AH234" s="143" t="s">
        <v>1646</v>
      </c>
      <c r="AI234" s="64">
        <f t="shared" si="8"/>
        <v>6086000</v>
      </c>
      <c r="AJ234" s="64"/>
      <c r="AK234" s="18" t="s">
        <v>1647</v>
      </c>
      <c r="AL234" s="1" t="b">
        <v>1</v>
      </c>
    </row>
    <row r="235" spans="2:38">
      <c r="B235" s="1" t="str">
        <f t="shared" si="7"/>
        <v>M_PMP070101_VM_CS_IND_KD-53L_PP_5800</v>
      </c>
      <c r="C235" s="92" t="s">
        <v>220</v>
      </c>
      <c r="D235" s="7" t="str" cm="1">
        <f t="array" ref="D235">INDEX(기계코드!$D$4:$D$1022,MATCH(1,(C235=기계코드!$F$4:$F$1022)*1,0))</f>
        <v>M_PMP070101</v>
      </c>
      <c r="E235" s="92" t="s">
        <v>1644</v>
      </c>
      <c r="F235" s="7" t="str" cm="1">
        <f t="array" ref="F235">INDEX(공급업체코드!$B$3:$B$1000,MATCH(1,(E235=공급업체코드!$D$3:$D$1000)*1,0))</f>
        <v>VM_CS_IND</v>
      </c>
      <c r="G235" s="113" t="s">
        <v>1658</v>
      </c>
      <c r="L235" s="139">
        <v>4800</v>
      </c>
      <c r="M235" s="140">
        <v>5800</v>
      </c>
      <c r="P235">
        <v>3</v>
      </c>
      <c r="Q235" s="113">
        <v>5</v>
      </c>
      <c r="R235">
        <v>25</v>
      </c>
      <c r="T235" s="135">
        <v>0.4</v>
      </c>
      <c r="U235" s="7" t="s">
        <v>981</v>
      </c>
      <c r="V235" s="7">
        <v>380</v>
      </c>
      <c r="W235" s="151">
        <v>0.65</v>
      </c>
      <c r="X235" s="7">
        <v>0.9</v>
      </c>
      <c r="Y235" s="7">
        <v>80</v>
      </c>
      <c r="Z235">
        <v>0.123</v>
      </c>
      <c r="AA235" s="274" t="s">
        <v>1390</v>
      </c>
      <c r="AB235" s="61">
        <v>5</v>
      </c>
      <c r="AC235" s="275" t="s">
        <v>1391</v>
      </c>
      <c r="AH235" s="143" t="s">
        <v>1646</v>
      </c>
      <c r="AI235" s="64">
        <f t="shared" si="8"/>
        <v>6086000</v>
      </c>
      <c r="AJ235" s="64"/>
      <c r="AK235" s="18" t="s">
        <v>1647</v>
      </c>
      <c r="AL235" s="1" t="b">
        <v>1</v>
      </c>
    </row>
    <row r="236" spans="2:38">
      <c r="B236" s="1" t="str">
        <f t="shared" si="7"/>
        <v>M_PMP070101_VM_CS_IND_KD-63L_PP_6550</v>
      </c>
      <c r="C236" s="92" t="s">
        <v>220</v>
      </c>
      <c r="D236" s="7" t="str" cm="1">
        <f t="array" ref="D236">INDEX(기계코드!$D$4:$D$1022,MATCH(1,(C236=기계코드!$F$4:$F$1022)*1,0))</f>
        <v>M_PMP070101</v>
      </c>
      <c r="E236" s="92" t="s">
        <v>1644</v>
      </c>
      <c r="F236" s="7" t="str" cm="1">
        <f t="array" ref="F236">INDEX(공급업체코드!$B$3:$B$1000,MATCH(1,(E236=공급업체코드!$D$3:$D$1000)*1,0))</f>
        <v>VM_CS_IND</v>
      </c>
      <c r="G236" s="113" t="s">
        <v>1659</v>
      </c>
      <c r="L236" s="139">
        <v>5450</v>
      </c>
      <c r="M236" s="140">
        <v>6550</v>
      </c>
      <c r="P236">
        <v>3</v>
      </c>
      <c r="Q236" s="113">
        <v>4</v>
      </c>
      <c r="R236">
        <v>25</v>
      </c>
      <c r="T236" s="135">
        <v>0.4</v>
      </c>
      <c r="U236" s="7" t="s">
        <v>981</v>
      </c>
      <c r="V236" s="7">
        <v>380</v>
      </c>
      <c r="W236" s="151">
        <v>0.65</v>
      </c>
      <c r="X236" s="7">
        <v>0.9</v>
      </c>
      <c r="Y236" s="7">
        <v>80</v>
      </c>
      <c r="Z236">
        <v>0.123</v>
      </c>
      <c r="AA236" s="274" t="s">
        <v>1390</v>
      </c>
      <c r="AB236" s="61">
        <v>5</v>
      </c>
      <c r="AC236" s="275" t="s">
        <v>1391</v>
      </c>
      <c r="AH236" s="143" t="s">
        <v>1646</v>
      </c>
      <c r="AI236" s="64">
        <f t="shared" si="8"/>
        <v>6086000</v>
      </c>
      <c r="AJ236" s="64"/>
      <c r="AK236" s="18" t="s">
        <v>1647</v>
      </c>
      <c r="AL236" s="1" t="b">
        <v>1</v>
      </c>
    </row>
    <row r="237" spans="2:38">
      <c r="B237" s="1" t="str">
        <f t="shared" si="7"/>
        <v>M_PMP070101_VM_CS_IND_KD-33H_PP_3480</v>
      </c>
      <c r="C237" s="92" t="s">
        <v>220</v>
      </c>
      <c r="D237" s="7" t="str" cm="1">
        <f t="array" ref="D237">INDEX(기계코드!$D$4:$D$1022,MATCH(1,(C237=기계코드!$F$4:$F$1022)*1,0))</f>
        <v>M_PMP070101</v>
      </c>
      <c r="E237" s="92" t="s">
        <v>1644</v>
      </c>
      <c r="F237" s="7" t="str" cm="1">
        <f t="array" ref="F237">INDEX(공급업체코드!$B$3:$B$1000,MATCH(1,(E237=공급업체코드!$D$3:$D$1000)*1,0))</f>
        <v>VM_CS_IND</v>
      </c>
      <c r="G237" s="113" t="s">
        <v>1660</v>
      </c>
      <c r="L237" s="139">
        <v>2900</v>
      </c>
      <c r="M237" s="140">
        <v>3480</v>
      </c>
      <c r="P237">
        <v>3</v>
      </c>
      <c r="Q237" s="113">
        <v>10</v>
      </c>
      <c r="R237">
        <v>25</v>
      </c>
      <c r="T237" s="135">
        <v>0.4</v>
      </c>
      <c r="U237" s="7" t="s">
        <v>981</v>
      </c>
      <c r="V237" s="7">
        <v>380</v>
      </c>
      <c r="W237" s="151">
        <v>0.65</v>
      </c>
      <c r="X237" s="7">
        <v>0.9</v>
      </c>
      <c r="Y237" s="7">
        <v>80</v>
      </c>
      <c r="Z237">
        <v>0.123</v>
      </c>
      <c r="AA237" s="274" t="s">
        <v>1390</v>
      </c>
      <c r="AB237" s="61">
        <v>5</v>
      </c>
      <c r="AC237" s="275" t="s">
        <v>1391</v>
      </c>
      <c r="AH237" s="143" t="s">
        <v>1646</v>
      </c>
      <c r="AI237" s="64">
        <f>6235000+2300000</f>
        <v>8535000</v>
      </c>
      <c r="AJ237" s="64"/>
      <c r="AK237" s="18" t="s">
        <v>1647</v>
      </c>
      <c r="AL237" s="1" t="b">
        <v>1</v>
      </c>
    </row>
    <row r="238" spans="2:38">
      <c r="B238" s="1" t="str">
        <f t="shared" si="7"/>
        <v>M_PMP070101_VM_CS_IND_KD-73H_PP_7440</v>
      </c>
      <c r="C238" s="92" t="s">
        <v>220</v>
      </c>
      <c r="D238" s="7" t="str" cm="1">
        <f t="array" ref="D238">INDEX(기계코드!$D$4:$D$1022,MATCH(1,(C238=기계코드!$F$4:$F$1022)*1,0))</f>
        <v>M_PMP070101</v>
      </c>
      <c r="E238" s="92" t="s">
        <v>1644</v>
      </c>
      <c r="F238" s="7" t="str" cm="1">
        <f t="array" ref="F238">INDEX(공급업체코드!$B$3:$B$1000,MATCH(1,(E238=공급업체코드!$D$3:$D$1000)*1,0))</f>
        <v>VM_CS_IND</v>
      </c>
      <c r="G238" s="113" t="s">
        <v>1661</v>
      </c>
      <c r="L238" s="139">
        <v>6200</v>
      </c>
      <c r="M238" s="140">
        <v>7440</v>
      </c>
      <c r="P238">
        <v>3</v>
      </c>
      <c r="Q238" s="113">
        <v>7</v>
      </c>
      <c r="R238">
        <v>25</v>
      </c>
      <c r="T238" s="135">
        <v>0.4</v>
      </c>
      <c r="U238" s="7" t="s">
        <v>981</v>
      </c>
      <c r="V238" s="7">
        <v>380</v>
      </c>
      <c r="W238" s="151">
        <v>0.65</v>
      </c>
      <c r="X238" s="7">
        <v>0.9</v>
      </c>
      <c r="Y238" s="7">
        <v>80</v>
      </c>
      <c r="Z238">
        <v>0.123</v>
      </c>
      <c r="AA238" s="274" t="s">
        <v>1390</v>
      </c>
      <c r="AB238" s="61">
        <v>5</v>
      </c>
      <c r="AC238" s="275" t="s">
        <v>1391</v>
      </c>
      <c r="AH238" s="143" t="s">
        <v>1646</v>
      </c>
      <c r="AI238" s="64">
        <f>6235000+2300000</f>
        <v>8535000</v>
      </c>
      <c r="AJ238" s="64"/>
      <c r="AK238" s="18" t="s">
        <v>1647</v>
      </c>
      <c r="AL238" s="1" t="b">
        <v>1</v>
      </c>
    </row>
    <row r="239" spans="2:38">
      <c r="B239" s="1" t="str">
        <f t="shared" si="7"/>
        <v>M_PMP070101_VM_CS_IND_KD-43H_PP_4400</v>
      </c>
      <c r="C239" s="92" t="s">
        <v>220</v>
      </c>
      <c r="D239" s="7" t="str" cm="1">
        <f t="array" ref="D239">INDEX(기계코드!$D$4:$D$1022,MATCH(1,(C239=기계코드!$F$4:$F$1022)*1,0))</f>
        <v>M_PMP070101</v>
      </c>
      <c r="E239" s="92" t="s">
        <v>1644</v>
      </c>
      <c r="F239" s="7" t="str" cm="1">
        <f t="array" ref="F239">INDEX(공급업체코드!$B$3:$B$1000,MATCH(1,(E239=공급업체코드!$D$3:$D$1000)*1,0))</f>
        <v>VM_CS_IND</v>
      </c>
      <c r="G239" s="113" t="s">
        <v>1662</v>
      </c>
      <c r="L239" s="139">
        <v>3600</v>
      </c>
      <c r="M239" s="140">
        <v>4400</v>
      </c>
      <c r="P239">
        <v>3</v>
      </c>
      <c r="Q239" s="113">
        <v>8</v>
      </c>
      <c r="R239">
        <v>25</v>
      </c>
      <c r="T239" s="135">
        <v>0.4</v>
      </c>
      <c r="U239" s="7" t="s">
        <v>981</v>
      </c>
      <c r="V239" s="7">
        <v>380</v>
      </c>
      <c r="W239" s="151">
        <v>0.65</v>
      </c>
      <c r="X239" s="7">
        <v>0.9</v>
      </c>
      <c r="Y239" s="7">
        <v>80</v>
      </c>
      <c r="Z239">
        <v>0.123</v>
      </c>
      <c r="AA239" s="274" t="s">
        <v>1390</v>
      </c>
      <c r="AB239" s="61">
        <v>5</v>
      </c>
      <c r="AC239" s="275" t="s">
        <v>1391</v>
      </c>
      <c r="AH239" s="143" t="s">
        <v>1646</v>
      </c>
      <c r="AI239" s="64">
        <f>5819000+2300000</f>
        <v>8119000</v>
      </c>
      <c r="AJ239" s="64"/>
      <c r="AK239" s="18" t="s">
        <v>1647</v>
      </c>
      <c r="AL239" s="1" t="b">
        <v>1</v>
      </c>
    </row>
    <row r="240" spans="2:38">
      <c r="B240" s="1" t="str">
        <f t="shared" si="7"/>
        <v>M_PMP070101_VM_CS_IND_KD-63H_PP_6600</v>
      </c>
      <c r="C240" s="92" t="s">
        <v>220</v>
      </c>
      <c r="D240" s="7" t="str" cm="1">
        <f t="array" ref="D240">INDEX(기계코드!$D$4:$D$1022,MATCH(1,(C240=기계코드!$F$4:$F$1022)*1,0))</f>
        <v>M_PMP070101</v>
      </c>
      <c r="E240" s="92" t="s">
        <v>1644</v>
      </c>
      <c r="F240" s="7" t="str" cm="1">
        <f t="array" ref="F240">INDEX(공급업체코드!$B$3:$B$1000,MATCH(1,(E240=공급업체코드!$D$3:$D$1000)*1,0))</f>
        <v>VM_CS_IND</v>
      </c>
      <c r="G240" s="113" t="s">
        <v>1663</v>
      </c>
      <c r="L240" s="139">
        <v>5500</v>
      </c>
      <c r="M240" s="140">
        <v>6600</v>
      </c>
      <c r="P240">
        <v>3</v>
      </c>
      <c r="Q240" s="113">
        <v>7</v>
      </c>
      <c r="R240">
        <v>25</v>
      </c>
      <c r="T240" s="135">
        <v>0.4</v>
      </c>
      <c r="U240" s="7" t="s">
        <v>981</v>
      </c>
      <c r="V240" s="7">
        <v>380</v>
      </c>
      <c r="W240" s="151">
        <v>0.65</v>
      </c>
      <c r="X240" s="7">
        <v>0.9</v>
      </c>
      <c r="Y240" s="7">
        <v>80</v>
      </c>
      <c r="Z240">
        <v>0.123</v>
      </c>
      <c r="AA240" s="274" t="s">
        <v>1390</v>
      </c>
      <c r="AB240" s="61">
        <v>5</v>
      </c>
      <c r="AC240" s="275" t="s">
        <v>1391</v>
      </c>
      <c r="AH240" s="143" t="s">
        <v>1646</v>
      </c>
      <c r="AI240" s="64">
        <f t="shared" ref="AI240:AI242" si="9">5819000+2300000</f>
        <v>8119000</v>
      </c>
      <c r="AJ240" s="64"/>
      <c r="AK240" s="18" t="s">
        <v>1647</v>
      </c>
      <c r="AL240" s="1" t="b">
        <v>1</v>
      </c>
    </row>
    <row r="241" spans="2:38">
      <c r="B241" s="1" t="str">
        <f t="shared" si="7"/>
        <v>M_PMP070101_VM_CS_IND_KD-93M_PP_9100</v>
      </c>
      <c r="C241" s="92" t="s">
        <v>220</v>
      </c>
      <c r="D241" s="7" t="str" cm="1">
        <f t="array" ref="D241">INDEX(기계코드!$D$4:$D$1022,MATCH(1,(C241=기계코드!$F$4:$F$1022)*1,0))</f>
        <v>M_PMP070101</v>
      </c>
      <c r="E241" s="92" t="s">
        <v>1644</v>
      </c>
      <c r="F241" s="7" t="str" cm="1">
        <f t="array" ref="F241">INDEX(공급업체코드!$B$3:$B$1000,MATCH(1,(E241=공급업체코드!$D$3:$D$1000)*1,0))</f>
        <v>VM_CS_IND</v>
      </c>
      <c r="G241" s="113" t="s">
        <v>1664</v>
      </c>
      <c r="L241" s="139">
        <v>7500</v>
      </c>
      <c r="M241" s="140">
        <v>9100</v>
      </c>
      <c r="P241">
        <v>3</v>
      </c>
      <c r="Q241" s="113">
        <v>5</v>
      </c>
      <c r="R241">
        <v>25</v>
      </c>
      <c r="T241" s="135">
        <v>0.4</v>
      </c>
      <c r="U241" s="7" t="s">
        <v>981</v>
      </c>
      <c r="V241" s="7">
        <v>380</v>
      </c>
      <c r="W241" s="151">
        <v>0.65</v>
      </c>
      <c r="X241" s="7">
        <v>0.9</v>
      </c>
      <c r="Y241" s="7">
        <v>80</v>
      </c>
      <c r="Z241">
        <v>0.123</v>
      </c>
      <c r="AA241" s="274" t="s">
        <v>1390</v>
      </c>
      <c r="AB241" s="61">
        <v>5</v>
      </c>
      <c r="AC241" s="275" t="s">
        <v>1391</v>
      </c>
      <c r="AH241" s="143" t="s">
        <v>1646</v>
      </c>
      <c r="AI241" s="64">
        <f t="shared" si="9"/>
        <v>8119000</v>
      </c>
      <c r="AJ241" s="64"/>
      <c r="AK241" s="18" t="s">
        <v>1647</v>
      </c>
      <c r="AL241" s="1" t="b">
        <v>1</v>
      </c>
    </row>
    <row r="242" spans="2:38">
      <c r="B242" s="1" t="str">
        <f t="shared" si="7"/>
        <v>M_PMP070101_VM_CS_IND_KD-14N_PP_11800</v>
      </c>
      <c r="C242" s="92" t="s">
        <v>220</v>
      </c>
      <c r="D242" s="7" t="str" cm="1">
        <f t="array" ref="D242">INDEX(기계코드!$D$4:$D$1022,MATCH(1,(C242=기계코드!$F$4:$F$1022)*1,0))</f>
        <v>M_PMP070101</v>
      </c>
      <c r="E242" s="92" t="s">
        <v>1644</v>
      </c>
      <c r="F242" s="7" t="str" cm="1">
        <f t="array" ref="F242">INDEX(공급업체코드!$B$3:$B$1000,MATCH(1,(E242=공급업체코드!$D$3:$D$1000)*1,0))</f>
        <v>VM_CS_IND</v>
      </c>
      <c r="G242" s="113" t="s">
        <v>1665</v>
      </c>
      <c r="L242" s="139">
        <v>9800</v>
      </c>
      <c r="M242" s="140">
        <v>11800</v>
      </c>
      <c r="P242">
        <v>3</v>
      </c>
      <c r="Q242" s="113">
        <v>4</v>
      </c>
      <c r="R242">
        <v>25</v>
      </c>
      <c r="T242" s="135">
        <v>0.4</v>
      </c>
      <c r="U242" s="7" t="s">
        <v>981</v>
      </c>
      <c r="V242" s="7">
        <v>380</v>
      </c>
      <c r="W242" s="151">
        <v>0.65</v>
      </c>
      <c r="X242" s="7">
        <v>0.9</v>
      </c>
      <c r="Y242" s="7">
        <v>80</v>
      </c>
      <c r="Z242">
        <v>0.123</v>
      </c>
      <c r="AA242" s="274" t="s">
        <v>1390</v>
      </c>
      <c r="AB242" s="61">
        <v>5</v>
      </c>
      <c r="AC242" s="275" t="s">
        <v>1391</v>
      </c>
      <c r="AH242" s="143" t="s">
        <v>1646</v>
      </c>
      <c r="AI242" s="64">
        <f t="shared" si="9"/>
        <v>8119000</v>
      </c>
      <c r="AJ242" s="64"/>
      <c r="AK242" s="18" t="s">
        <v>1647</v>
      </c>
      <c r="AL242" s="1" t="b">
        <v>1</v>
      </c>
    </row>
    <row r="243" spans="2:38">
      <c r="B243" s="1" t="str">
        <f t="shared" si="7"/>
        <v>M_PMP070101_VM_CS_IND_KD-14M_PP_13800</v>
      </c>
      <c r="C243" s="92" t="s">
        <v>220</v>
      </c>
      <c r="D243" s="7" t="str" cm="1">
        <f t="array" ref="D243">INDEX(기계코드!$D$4:$D$1022,MATCH(1,(C243=기계코드!$F$4:$F$1022)*1,0))</f>
        <v>M_PMP070101</v>
      </c>
      <c r="E243" s="92" t="s">
        <v>1644</v>
      </c>
      <c r="F243" s="7" t="str" cm="1">
        <f t="array" ref="F243">INDEX(공급업체코드!$B$3:$B$1000,MATCH(1,(E243=공급업체코드!$D$3:$D$1000)*1,0))</f>
        <v>VM_CS_IND</v>
      </c>
      <c r="G243" s="113" t="s">
        <v>1666</v>
      </c>
      <c r="L243" s="139">
        <v>11500</v>
      </c>
      <c r="M243" s="140">
        <v>13800</v>
      </c>
      <c r="P243">
        <v>3</v>
      </c>
      <c r="Q243" s="113">
        <v>5</v>
      </c>
      <c r="R243">
        <v>25</v>
      </c>
      <c r="T243" s="135">
        <v>0.55000000000000004</v>
      </c>
      <c r="U243" s="7" t="s">
        <v>981</v>
      </c>
      <c r="V243" s="7">
        <v>380</v>
      </c>
      <c r="W243" s="151">
        <v>0.71499999999999997</v>
      </c>
      <c r="X243" s="7">
        <v>0.9</v>
      </c>
      <c r="Y243" s="7">
        <v>80</v>
      </c>
      <c r="Z243">
        <v>0.123</v>
      </c>
      <c r="AA243" s="274" t="s">
        <v>1390</v>
      </c>
      <c r="AB243" s="61">
        <v>5</v>
      </c>
      <c r="AC243" s="275" t="s">
        <v>1391</v>
      </c>
      <c r="AH243" s="143" t="s">
        <v>1646</v>
      </c>
      <c r="AI243" s="64">
        <f>6504000+2300000</f>
        <v>8804000</v>
      </c>
      <c r="AJ243" s="64"/>
      <c r="AK243" s="18" t="s">
        <v>1647</v>
      </c>
      <c r="AL243" s="1" t="b">
        <v>1</v>
      </c>
    </row>
    <row r="244" spans="2:38">
      <c r="B244" s="1" t="str">
        <f t="shared" si="7"/>
        <v>M_PMP070101_VM_CS_IND_KD-14H_PP_10800</v>
      </c>
      <c r="C244" s="92" t="s">
        <v>220</v>
      </c>
      <c r="D244" s="7" t="str" cm="1">
        <f t="array" ref="D244">INDEX(기계코드!$D$4:$D$1022,MATCH(1,(C244=기계코드!$F$4:$F$1022)*1,0))</f>
        <v>M_PMP070101</v>
      </c>
      <c r="E244" s="92" t="s">
        <v>1644</v>
      </c>
      <c r="F244" s="7" t="str" cm="1">
        <f t="array" ref="F244">INDEX(공급업체코드!$B$3:$B$1000,MATCH(1,(E244=공급업체코드!$D$3:$D$1000)*1,0))</f>
        <v>VM_CS_IND</v>
      </c>
      <c r="G244" s="113" t="s">
        <v>1667</v>
      </c>
      <c r="L244" s="139">
        <v>9000</v>
      </c>
      <c r="M244" s="140">
        <v>10800</v>
      </c>
      <c r="P244">
        <v>3</v>
      </c>
      <c r="Q244" s="113">
        <v>7</v>
      </c>
      <c r="R244">
        <v>40</v>
      </c>
      <c r="T244" s="135">
        <v>0.75</v>
      </c>
      <c r="U244" s="7" t="s">
        <v>981</v>
      </c>
      <c r="V244" s="7">
        <v>380</v>
      </c>
      <c r="W244" s="151">
        <v>0.83499999999999996</v>
      </c>
      <c r="X244" s="7">
        <v>0.9</v>
      </c>
      <c r="Y244" s="7">
        <v>80</v>
      </c>
      <c r="Z244">
        <v>0.123</v>
      </c>
      <c r="AA244" s="274" t="s">
        <v>1390</v>
      </c>
      <c r="AB244" s="61">
        <v>5</v>
      </c>
      <c r="AC244" s="275" t="s">
        <v>1391</v>
      </c>
      <c r="AH244" s="143" t="s">
        <v>1646</v>
      </c>
      <c r="AI244" s="64">
        <f>9839000+2300000</f>
        <v>12139000</v>
      </c>
      <c r="AJ244" s="64"/>
      <c r="AK244" s="18" t="s">
        <v>1647</v>
      </c>
      <c r="AL244" s="1" t="b">
        <v>1</v>
      </c>
    </row>
    <row r="245" spans="2:38">
      <c r="B245" s="1" t="str">
        <f t="shared" si="7"/>
        <v>M_PMP070101_VM_CS_IND_KD-14G_PP_16000</v>
      </c>
      <c r="C245" s="92" t="s">
        <v>220</v>
      </c>
      <c r="D245" s="7" t="str" cm="1">
        <f t="array" ref="D245">INDEX(기계코드!$D$4:$D$1022,MATCH(1,(C245=기계코드!$F$4:$F$1022)*1,0))</f>
        <v>M_PMP070101</v>
      </c>
      <c r="E245" s="92" t="s">
        <v>1644</v>
      </c>
      <c r="F245" s="7" t="str" cm="1">
        <f t="array" ref="F245">INDEX(공급업체코드!$B$3:$B$1000,MATCH(1,(E245=공급업체코드!$D$3:$D$1000)*1,0))</f>
        <v>VM_CS_IND</v>
      </c>
      <c r="G245" s="113" t="s">
        <v>1668</v>
      </c>
      <c r="L245" s="139">
        <v>13300</v>
      </c>
      <c r="M245" s="140">
        <v>16000</v>
      </c>
      <c r="P245">
        <v>3</v>
      </c>
      <c r="Q245" s="113">
        <v>5</v>
      </c>
      <c r="R245">
        <v>40</v>
      </c>
      <c r="T245" s="135">
        <v>0.75</v>
      </c>
      <c r="U245" s="7" t="s">
        <v>981</v>
      </c>
      <c r="V245" s="7">
        <v>380</v>
      </c>
      <c r="W245" s="151">
        <v>0.83499999999999996</v>
      </c>
      <c r="X245" s="7">
        <v>0.9</v>
      </c>
      <c r="Y245" s="7">
        <v>80</v>
      </c>
      <c r="Z245">
        <v>0.123</v>
      </c>
      <c r="AA245" s="274" t="s">
        <v>1390</v>
      </c>
      <c r="AB245" s="61">
        <v>5</v>
      </c>
      <c r="AC245" s="275" t="s">
        <v>1391</v>
      </c>
      <c r="AH245" s="143" t="s">
        <v>1646</v>
      </c>
      <c r="AI245" s="64">
        <f>9839000+2300000</f>
        <v>12139000</v>
      </c>
      <c r="AJ245" s="64"/>
      <c r="AK245" s="18" t="s">
        <v>1647</v>
      </c>
      <c r="AL245" s="1" t="b">
        <v>1</v>
      </c>
    </row>
    <row r="246" spans="2:38">
      <c r="B246" s="1" t="str">
        <f t="shared" si="7"/>
        <v>M_PMP070101_VM_CS_IND_KD-24L_PP_22000</v>
      </c>
      <c r="C246" s="92" t="s">
        <v>220</v>
      </c>
      <c r="D246" s="7" t="str" cm="1">
        <f t="array" ref="D246">INDEX(기계코드!$D$4:$D$1022,MATCH(1,(C246=기계코드!$F$4:$F$1022)*1,0))</f>
        <v>M_PMP070101</v>
      </c>
      <c r="E246" s="92" t="s">
        <v>1644</v>
      </c>
      <c r="F246" s="7" t="str" cm="1">
        <f t="array" ref="F246">INDEX(공급업체코드!$B$3:$B$1000,MATCH(1,(E246=공급업체코드!$D$3:$D$1000)*1,0))</f>
        <v>VM_CS_IND</v>
      </c>
      <c r="G246" s="113" t="s">
        <v>1669</v>
      </c>
      <c r="L246" s="139">
        <v>18400</v>
      </c>
      <c r="M246" s="140">
        <v>22000</v>
      </c>
      <c r="P246">
        <v>0.5</v>
      </c>
      <c r="Q246" s="113">
        <v>3</v>
      </c>
      <c r="R246">
        <v>40</v>
      </c>
      <c r="T246" s="135">
        <v>0.75</v>
      </c>
      <c r="U246" s="7" t="s">
        <v>981</v>
      </c>
      <c r="V246" s="7">
        <v>380</v>
      </c>
      <c r="W246" s="151">
        <v>0.83499999999999996</v>
      </c>
      <c r="X246" s="7">
        <v>0.9</v>
      </c>
      <c r="Y246" s="7">
        <v>80</v>
      </c>
      <c r="Z246">
        <v>0.123</v>
      </c>
      <c r="AA246" s="274" t="s">
        <v>1390</v>
      </c>
      <c r="AB246" s="61">
        <v>5</v>
      </c>
      <c r="AC246" s="275" t="s">
        <v>1391</v>
      </c>
      <c r="AH246" s="143" t="s">
        <v>1646</v>
      </c>
      <c r="AI246" s="64">
        <f>9839000+2300000</f>
        <v>12139000</v>
      </c>
      <c r="AJ246" s="64"/>
      <c r="AK246" s="18" t="s">
        <v>1647</v>
      </c>
      <c r="AL246" s="1" t="b">
        <v>1</v>
      </c>
    </row>
    <row r="247" spans="2:38">
      <c r="B247" s="1" t="str">
        <f t="shared" si="7"/>
        <v>M_PMP070101_VM_CS_IND_KD-24S_PP_28000</v>
      </c>
      <c r="C247" s="92" t="s">
        <v>220</v>
      </c>
      <c r="D247" s="7" t="str" cm="1">
        <f t="array" ref="D247">INDEX(기계코드!$D$4:$D$1022,MATCH(1,(C247=기계코드!$F$4:$F$1022)*1,0))</f>
        <v>M_PMP070101</v>
      </c>
      <c r="E247" s="92" t="s">
        <v>1644</v>
      </c>
      <c r="F247" s="7" t="str" cm="1">
        <f t="array" ref="F247">INDEX(공급업체코드!$B$3:$B$1000,MATCH(1,(E247=공급업체코드!$D$3:$D$1000)*1,0))</f>
        <v>VM_CS_IND</v>
      </c>
      <c r="G247" s="113" t="s">
        <v>1670</v>
      </c>
      <c r="L247" s="139">
        <v>23300</v>
      </c>
      <c r="M247" s="140">
        <v>28000</v>
      </c>
      <c r="P247">
        <v>0.5</v>
      </c>
      <c r="Q247" s="113">
        <v>3</v>
      </c>
      <c r="R247">
        <v>40</v>
      </c>
      <c r="T247" s="135">
        <v>0.75</v>
      </c>
      <c r="U247" s="7" t="s">
        <v>981</v>
      </c>
      <c r="V247" s="7">
        <v>380</v>
      </c>
      <c r="W247" s="151">
        <v>0.83499999999999996</v>
      </c>
      <c r="X247" s="7">
        <v>0.9</v>
      </c>
      <c r="Y247" s="7">
        <v>80</v>
      </c>
      <c r="Z247">
        <v>0.123</v>
      </c>
      <c r="AA247" s="274" t="s">
        <v>1390</v>
      </c>
      <c r="AB247" s="61">
        <v>5</v>
      </c>
      <c r="AC247" s="275" t="s">
        <v>1391</v>
      </c>
      <c r="AH247" s="143" t="s">
        <v>1646</v>
      </c>
      <c r="AI247" s="64">
        <f>10487000+2300000</f>
        <v>12787000</v>
      </c>
      <c r="AJ247" s="64"/>
      <c r="AK247" s="18" t="s">
        <v>1647</v>
      </c>
      <c r="AL247" s="1" t="b">
        <v>1</v>
      </c>
    </row>
    <row r="248" spans="2:38">
      <c r="B248" s="1" t="str">
        <f t="shared" si="7"/>
        <v>M_PMP070101_VM_CS_IND_KD-24H_PP_22000</v>
      </c>
      <c r="C248" s="92" t="s">
        <v>220</v>
      </c>
      <c r="D248" s="7" t="str" cm="1">
        <f t="array" ref="D248">INDEX(기계코드!$D$4:$D$1022,MATCH(1,(C248=기계코드!$F$4:$F$1022)*1,0))</f>
        <v>M_PMP070101</v>
      </c>
      <c r="E248" s="92" t="s">
        <v>1644</v>
      </c>
      <c r="F248" s="7" t="str" cm="1">
        <f t="array" ref="F248">INDEX(공급업체코드!$B$3:$B$1000,MATCH(1,(E248=공급업체코드!$D$3:$D$1000)*1,0))</f>
        <v>VM_CS_IND</v>
      </c>
      <c r="G248" s="113" t="s">
        <v>1671</v>
      </c>
      <c r="L248" s="139">
        <v>18400</v>
      </c>
      <c r="M248" s="140">
        <v>22000</v>
      </c>
      <c r="P248">
        <v>3</v>
      </c>
      <c r="Q248" s="113">
        <v>7</v>
      </c>
      <c r="R248">
        <v>40</v>
      </c>
      <c r="T248" s="135">
        <v>1.5</v>
      </c>
      <c r="U248" s="7" t="s">
        <v>981</v>
      </c>
      <c r="V248" s="7">
        <v>380</v>
      </c>
      <c r="W248" s="151">
        <v>0.86499999999999999</v>
      </c>
      <c r="X248" s="7">
        <v>0.9</v>
      </c>
      <c r="Y248" s="7">
        <v>80</v>
      </c>
      <c r="Z248">
        <v>0.123</v>
      </c>
      <c r="AA248" s="274" t="s">
        <v>1390</v>
      </c>
      <c r="AB248" s="61">
        <v>6</v>
      </c>
      <c r="AC248" s="275" t="s">
        <v>1391</v>
      </c>
      <c r="AH248" s="143" t="s">
        <v>1646</v>
      </c>
      <c r="AI248" s="64">
        <f>10487000+2300000</f>
        <v>12787000</v>
      </c>
      <c r="AJ248" s="64"/>
      <c r="AK248" s="18" t="s">
        <v>1647</v>
      </c>
      <c r="AL248" s="1" t="b">
        <v>1</v>
      </c>
    </row>
    <row r="249" spans="2:38">
      <c r="B249" s="1" t="str">
        <f t="shared" si="7"/>
        <v>M_PMP070101_VM_CS_IND_KD-34H_PP_32000</v>
      </c>
      <c r="C249" s="92" t="s">
        <v>220</v>
      </c>
      <c r="D249" s="7" t="str" cm="1">
        <f t="array" ref="D249">INDEX(기계코드!$D$4:$D$1022,MATCH(1,(C249=기계코드!$F$4:$F$1022)*1,0))</f>
        <v>M_PMP070101</v>
      </c>
      <c r="E249" s="92" t="s">
        <v>1644</v>
      </c>
      <c r="F249" s="7" t="str" cm="1">
        <f t="array" ref="F249">INDEX(공급업체코드!$B$3:$B$1000,MATCH(1,(E249=공급업체코드!$D$3:$D$1000)*1,0))</f>
        <v>VM_CS_IND</v>
      </c>
      <c r="G249" s="113" t="s">
        <v>1672</v>
      </c>
      <c r="L249" s="139">
        <v>26600</v>
      </c>
      <c r="M249" s="140">
        <v>32000</v>
      </c>
      <c r="P249">
        <v>3</v>
      </c>
      <c r="Q249" s="113">
        <v>5</v>
      </c>
      <c r="R249">
        <v>40</v>
      </c>
      <c r="T249" s="135">
        <v>1.5</v>
      </c>
      <c r="U249" s="7" t="s">
        <v>981</v>
      </c>
      <c r="V249" s="7">
        <v>380</v>
      </c>
      <c r="W249" s="151">
        <v>0.86499999999999999</v>
      </c>
      <c r="X249" s="7">
        <v>0.9</v>
      </c>
      <c r="Y249" s="7">
        <v>80</v>
      </c>
      <c r="Z249">
        <v>0.123</v>
      </c>
      <c r="AA249" s="274" t="s">
        <v>1390</v>
      </c>
      <c r="AB249" s="61">
        <v>6</v>
      </c>
      <c r="AC249" s="275" t="s">
        <v>1391</v>
      </c>
      <c r="AH249" s="143" t="s">
        <v>1646</v>
      </c>
      <c r="AI249" s="64">
        <f>12949000+2300000</f>
        <v>15249000</v>
      </c>
      <c r="AJ249" s="64"/>
      <c r="AK249" s="18" t="s">
        <v>1647</v>
      </c>
      <c r="AL249" s="1" t="b">
        <v>1</v>
      </c>
    </row>
    <row r="250" spans="2:38">
      <c r="B250" s="1" t="str">
        <f t="shared" si="7"/>
        <v>M_PMP070101_VM_CS_IND_KD-54L_PP_54000</v>
      </c>
      <c r="C250" s="92" t="s">
        <v>220</v>
      </c>
      <c r="D250" s="7" t="str" cm="1">
        <f t="array" ref="D250">INDEX(기계코드!$D$4:$D$1022,MATCH(1,(C250=기계코드!$F$4:$F$1022)*1,0))</f>
        <v>M_PMP070101</v>
      </c>
      <c r="E250" s="92" t="s">
        <v>1644</v>
      </c>
      <c r="F250" s="7" t="str" cm="1">
        <f t="array" ref="F250">INDEX(공급업체코드!$B$3:$B$1000,MATCH(1,(E250=공급업체코드!$D$3:$D$1000)*1,0))</f>
        <v>VM_CS_IND</v>
      </c>
      <c r="G250" s="113" t="s">
        <v>1673</v>
      </c>
      <c r="L250" s="139">
        <v>45000</v>
      </c>
      <c r="M250" s="140">
        <v>54000</v>
      </c>
      <c r="P250">
        <v>0.5</v>
      </c>
      <c r="Q250" s="113">
        <v>3</v>
      </c>
      <c r="R250">
        <v>50</v>
      </c>
      <c r="T250" s="135">
        <v>1.5</v>
      </c>
      <c r="U250" s="7" t="s">
        <v>981</v>
      </c>
      <c r="V250" s="7">
        <v>380</v>
      </c>
      <c r="W250" s="151">
        <v>0.86499999999999999</v>
      </c>
      <c r="X250" s="7">
        <v>0.9</v>
      </c>
      <c r="Y250" s="7">
        <v>80</v>
      </c>
      <c r="Z250">
        <v>0.123</v>
      </c>
      <c r="AA250" s="274" t="s">
        <v>1390</v>
      </c>
      <c r="AB250" s="61">
        <v>6</v>
      </c>
      <c r="AC250" s="275" t="s">
        <v>1391</v>
      </c>
      <c r="AH250" s="143" t="s">
        <v>1646</v>
      </c>
      <c r="AI250" s="64">
        <f>14066000+2300000</f>
        <v>16366000</v>
      </c>
      <c r="AJ250" s="64"/>
      <c r="AK250" s="18" t="s">
        <v>1647</v>
      </c>
      <c r="AL250" s="1" t="b">
        <v>1</v>
      </c>
    </row>
    <row r="251" spans="2:38">
      <c r="B251" s="1" t="str">
        <f t="shared" si="7"/>
        <v>M_PMP070101_VM_CS_IND_KD-21H_PVDF_25</v>
      </c>
      <c r="C251" s="92" t="s">
        <v>220</v>
      </c>
      <c r="D251" s="7" t="str" cm="1">
        <f t="array" ref="D251">INDEX(기계코드!$D$4:$D$1022,MATCH(1,(C251=기계코드!$F$4:$F$1022)*1,0))</f>
        <v>M_PMP070101</v>
      </c>
      <c r="E251" s="92" t="s">
        <v>1644</v>
      </c>
      <c r="F251" s="7" t="str" cm="1">
        <f t="array" ref="F251">INDEX(공급업체코드!$B$3:$B$1000,MATCH(1,(E251=공급업체코드!$D$3:$D$1000)*1,0))</f>
        <v>VM_CS_IND</v>
      </c>
      <c r="G251" s="113" t="s">
        <v>1645</v>
      </c>
      <c r="L251" s="139">
        <v>20</v>
      </c>
      <c r="M251" s="140">
        <v>25</v>
      </c>
      <c r="P251" s="141">
        <v>3</v>
      </c>
      <c r="Q251" s="142">
        <v>10</v>
      </c>
      <c r="R251">
        <v>15</v>
      </c>
      <c r="T251" s="135">
        <v>0.2</v>
      </c>
      <c r="U251" s="7" t="s">
        <v>981</v>
      </c>
      <c r="V251" s="7">
        <v>380</v>
      </c>
      <c r="W251" s="151">
        <v>0.57999999999999996</v>
      </c>
      <c r="X251" s="7">
        <v>0.9</v>
      </c>
      <c r="Y251" s="7">
        <v>80</v>
      </c>
      <c r="Z251">
        <v>0.123</v>
      </c>
      <c r="AA251" s="274" t="s">
        <v>1390</v>
      </c>
      <c r="AB251" s="61">
        <v>5</v>
      </c>
      <c r="AC251" s="275" t="s">
        <v>1391</v>
      </c>
      <c r="AH251" s="143" t="s">
        <v>1674</v>
      </c>
      <c r="AI251" s="64">
        <f>3457000+2300000</f>
        <v>5757000</v>
      </c>
      <c r="AJ251" s="64"/>
      <c r="AK251" s="18" t="s">
        <v>1647</v>
      </c>
      <c r="AL251" s="1" t="b">
        <v>1</v>
      </c>
    </row>
    <row r="252" spans="2:38">
      <c r="B252" s="1" t="str">
        <f t="shared" si="7"/>
        <v>M_PMP070101_VM_CS_IND_KD-61H_PVDF_60</v>
      </c>
      <c r="C252" s="92" t="s">
        <v>220</v>
      </c>
      <c r="D252" s="7" t="str" cm="1">
        <f t="array" ref="D252">INDEX(기계코드!$D$4:$D$1022,MATCH(1,(C252=기계코드!$F$4:$F$1022)*1,0))</f>
        <v>M_PMP070101</v>
      </c>
      <c r="E252" s="92" t="s">
        <v>1644</v>
      </c>
      <c r="F252" s="7" t="str" cm="1">
        <f t="array" ref="F252">INDEX(공급업체코드!$B$3:$B$1000,MATCH(1,(E252=공급업체코드!$D$3:$D$1000)*1,0))</f>
        <v>VM_CS_IND</v>
      </c>
      <c r="G252" s="113" t="s">
        <v>1648</v>
      </c>
      <c r="L252" s="139">
        <v>50</v>
      </c>
      <c r="M252" s="140">
        <v>60</v>
      </c>
      <c r="P252" s="144">
        <v>3</v>
      </c>
      <c r="Q252" s="137">
        <v>10</v>
      </c>
      <c r="R252">
        <v>15</v>
      </c>
      <c r="T252" s="135">
        <v>0.2</v>
      </c>
      <c r="U252" s="7" t="s">
        <v>981</v>
      </c>
      <c r="V252" s="7">
        <v>380</v>
      </c>
      <c r="W252" s="151">
        <v>0.57999999999999996</v>
      </c>
      <c r="X252" s="7">
        <v>0.9</v>
      </c>
      <c r="Y252" s="7">
        <v>80</v>
      </c>
      <c r="Z252">
        <v>0.123</v>
      </c>
      <c r="AA252" s="274" t="s">
        <v>1390</v>
      </c>
      <c r="AB252" s="61">
        <v>5</v>
      </c>
      <c r="AC252" s="275" t="s">
        <v>1391</v>
      </c>
      <c r="AH252" s="143" t="s">
        <v>1674</v>
      </c>
      <c r="AI252" s="64">
        <f>3457000+2300000</f>
        <v>5757000</v>
      </c>
      <c r="AJ252" s="64"/>
      <c r="AK252" s="18" t="s">
        <v>1647</v>
      </c>
      <c r="AL252" s="1" t="b">
        <v>1</v>
      </c>
    </row>
    <row r="253" spans="2:38">
      <c r="B253" s="1" t="str">
        <f t="shared" si="7"/>
        <v>M_PMP070101_VM_CS_IND_KD-12H_PVDF_120</v>
      </c>
      <c r="C253" s="92" t="s">
        <v>220</v>
      </c>
      <c r="D253" s="7" t="str" cm="1">
        <f t="array" ref="D253">INDEX(기계코드!$D$4:$D$1022,MATCH(1,(C253=기계코드!$F$4:$F$1022)*1,0))</f>
        <v>M_PMP070101</v>
      </c>
      <c r="E253" s="92" t="s">
        <v>1644</v>
      </c>
      <c r="F253" s="7" t="str" cm="1">
        <f t="array" ref="F253">INDEX(공급업체코드!$B$3:$B$1000,MATCH(1,(E253=공급업체코드!$D$3:$D$1000)*1,0))</f>
        <v>VM_CS_IND</v>
      </c>
      <c r="G253" s="113" t="s">
        <v>1649</v>
      </c>
      <c r="L253" s="139">
        <v>100</v>
      </c>
      <c r="M253" s="140">
        <v>120</v>
      </c>
      <c r="P253">
        <v>3</v>
      </c>
      <c r="Q253" s="113">
        <v>10</v>
      </c>
      <c r="R253">
        <v>15</v>
      </c>
      <c r="T253" s="135">
        <v>0.2</v>
      </c>
      <c r="U253" s="7" t="s">
        <v>981</v>
      </c>
      <c r="V253" s="7">
        <v>380</v>
      </c>
      <c r="W253" s="151">
        <v>0.57999999999999996</v>
      </c>
      <c r="X253" s="7">
        <v>0.9</v>
      </c>
      <c r="Y253" s="7">
        <v>80</v>
      </c>
      <c r="Z253">
        <v>0.123</v>
      </c>
      <c r="AA253" s="274" t="s">
        <v>1390</v>
      </c>
      <c r="AB253" s="61">
        <v>5</v>
      </c>
      <c r="AC253" s="275" t="s">
        <v>1391</v>
      </c>
      <c r="AH253" s="143" t="s">
        <v>1674</v>
      </c>
      <c r="AI253" s="64">
        <f>3457000+2300000</f>
        <v>5757000</v>
      </c>
      <c r="AJ253" s="64"/>
      <c r="AK253" s="18" t="s">
        <v>1647</v>
      </c>
      <c r="AL253" s="1" t="b">
        <v>1</v>
      </c>
    </row>
    <row r="254" spans="2:38">
      <c r="B254" s="1" t="str">
        <f t="shared" si="7"/>
        <v>M_PMP070101_VM_CS_IND_KD-22H_PVDF_260</v>
      </c>
      <c r="C254" s="92" t="s">
        <v>220</v>
      </c>
      <c r="D254" s="7" t="str" cm="1">
        <f t="array" ref="D254">INDEX(기계코드!$D$4:$D$1022,MATCH(1,(C254=기계코드!$F$4:$F$1022)*1,0))</f>
        <v>M_PMP070101</v>
      </c>
      <c r="E254" s="92" t="s">
        <v>1644</v>
      </c>
      <c r="F254" s="7" t="str" cm="1">
        <f t="array" ref="F254">INDEX(공급업체코드!$B$3:$B$1000,MATCH(1,(E254=공급업체코드!$D$3:$D$1000)*1,0))</f>
        <v>VM_CS_IND</v>
      </c>
      <c r="G254" s="113" t="s">
        <v>1650</v>
      </c>
      <c r="L254" s="139">
        <v>210</v>
      </c>
      <c r="M254" s="140">
        <v>260</v>
      </c>
      <c r="P254">
        <v>3</v>
      </c>
      <c r="Q254" s="113">
        <v>10</v>
      </c>
      <c r="R254">
        <v>15</v>
      </c>
      <c r="T254" s="135">
        <v>0.2</v>
      </c>
      <c r="U254" s="7" t="s">
        <v>981</v>
      </c>
      <c r="V254" s="7">
        <v>380</v>
      </c>
      <c r="W254" s="151">
        <v>0.57999999999999996</v>
      </c>
      <c r="X254" s="7">
        <v>0.9</v>
      </c>
      <c r="Y254" s="7">
        <v>80</v>
      </c>
      <c r="Z254">
        <v>0.123</v>
      </c>
      <c r="AA254" s="274" t="s">
        <v>1390</v>
      </c>
      <c r="AB254" s="61">
        <v>5</v>
      </c>
      <c r="AC254" s="275" t="s">
        <v>1391</v>
      </c>
      <c r="AH254" s="143" t="s">
        <v>1674</v>
      </c>
      <c r="AI254" s="64">
        <f>3457000+2300000</f>
        <v>5757000</v>
      </c>
      <c r="AJ254" s="64"/>
      <c r="AK254" s="18" t="s">
        <v>1647</v>
      </c>
      <c r="AL254" s="1" t="b">
        <v>1</v>
      </c>
    </row>
    <row r="255" spans="2:38">
      <c r="B255" s="1" t="str">
        <f t="shared" si="7"/>
        <v>M_PMP070101_VM_CS_IND_KD-52H_PVDF_520</v>
      </c>
      <c r="C255" s="92" t="s">
        <v>220</v>
      </c>
      <c r="D255" s="7" t="str" cm="1">
        <f t="array" ref="D255">INDEX(기계코드!$D$4:$D$1022,MATCH(1,(C255=기계코드!$F$4:$F$1022)*1,0))</f>
        <v>M_PMP070101</v>
      </c>
      <c r="E255" s="92" t="s">
        <v>1644</v>
      </c>
      <c r="F255" s="7" t="str" cm="1">
        <f t="array" ref="F255">INDEX(공급업체코드!$B$3:$B$1000,MATCH(1,(E255=공급업체코드!$D$3:$D$1000)*1,0))</f>
        <v>VM_CS_IND</v>
      </c>
      <c r="G255" s="113" t="s">
        <v>1651</v>
      </c>
      <c r="L255" s="139">
        <v>420</v>
      </c>
      <c r="M255" s="140">
        <v>520</v>
      </c>
      <c r="P255">
        <v>3</v>
      </c>
      <c r="Q255" s="113">
        <v>10</v>
      </c>
      <c r="R255">
        <v>15</v>
      </c>
      <c r="T255" s="135">
        <v>0.2</v>
      </c>
      <c r="U255" s="7" t="s">
        <v>981</v>
      </c>
      <c r="V255" s="7">
        <v>380</v>
      </c>
      <c r="W255" s="151">
        <v>0.57999999999999996</v>
      </c>
      <c r="X255" s="7">
        <v>0.9</v>
      </c>
      <c r="Y255" s="7">
        <v>80</v>
      </c>
      <c r="Z255">
        <v>0.123</v>
      </c>
      <c r="AA255" s="274" t="s">
        <v>1390</v>
      </c>
      <c r="AB255" s="61">
        <v>5</v>
      </c>
      <c r="AC255" s="275" t="s">
        <v>1391</v>
      </c>
      <c r="AH255" s="143" t="s">
        <v>1674</v>
      </c>
      <c r="AI255" s="64">
        <f>3457000+2300000</f>
        <v>5757000</v>
      </c>
      <c r="AJ255" s="64"/>
      <c r="AK255" s="18" t="s">
        <v>1647</v>
      </c>
      <c r="AL255" s="1" t="b">
        <v>1</v>
      </c>
    </row>
    <row r="256" spans="2:38">
      <c r="B256" s="1" t="str">
        <f t="shared" si="7"/>
        <v>M_PMP070101_VM_CS_IND_KD-82H_PVDF_840</v>
      </c>
      <c r="C256" s="92" t="s">
        <v>220</v>
      </c>
      <c r="D256" s="7" t="str" cm="1">
        <f t="array" ref="D256">INDEX(기계코드!$D$4:$D$1022,MATCH(1,(C256=기계코드!$F$4:$F$1022)*1,0))</f>
        <v>M_PMP070101</v>
      </c>
      <c r="E256" s="92" t="s">
        <v>1644</v>
      </c>
      <c r="F256" s="7" t="str" cm="1">
        <f t="array" ref="F256">INDEX(공급업체코드!$B$3:$B$1000,MATCH(1,(E256=공급업체코드!$D$3:$D$1000)*1,0))</f>
        <v>VM_CS_IND</v>
      </c>
      <c r="G256" s="113" t="s">
        <v>1652</v>
      </c>
      <c r="L256" s="139">
        <v>700</v>
      </c>
      <c r="M256" s="140">
        <v>840</v>
      </c>
      <c r="P256">
        <v>3</v>
      </c>
      <c r="Q256" s="113">
        <v>10</v>
      </c>
      <c r="R256">
        <v>15</v>
      </c>
      <c r="T256" s="135">
        <v>0.2</v>
      </c>
      <c r="U256" s="7" t="s">
        <v>981</v>
      </c>
      <c r="V256" s="7">
        <v>380</v>
      </c>
      <c r="W256" s="151">
        <v>0.57999999999999996</v>
      </c>
      <c r="X256" s="7">
        <v>0.9</v>
      </c>
      <c r="Y256" s="7">
        <v>80</v>
      </c>
      <c r="Z256">
        <v>0.123</v>
      </c>
      <c r="AA256" s="274" t="s">
        <v>1390</v>
      </c>
      <c r="AB256" s="61">
        <v>5</v>
      </c>
      <c r="AC256" s="275" t="s">
        <v>1391</v>
      </c>
      <c r="AH256" s="143" t="s">
        <v>1674</v>
      </c>
      <c r="AI256" s="64">
        <f>3602000+2300000</f>
        <v>5902000</v>
      </c>
      <c r="AJ256" s="64"/>
      <c r="AK256" s="18" t="s">
        <v>1647</v>
      </c>
      <c r="AL256" s="1" t="b">
        <v>1</v>
      </c>
    </row>
    <row r="257" spans="2:38">
      <c r="B257" s="1" t="str">
        <f t="shared" si="7"/>
        <v>M_PMP070101_VM_CS_IND_KD-13H_PVDF_1020</v>
      </c>
      <c r="C257" s="92" t="s">
        <v>220</v>
      </c>
      <c r="D257" s="7" t="str" cm="1">
        <f t="array" ref="D257">INDEX(기계코드!$D$4:$D$1022,MATCH(1,(C257=기계코드!$F$4:$F$1022)*1,0))</f>
        <v>M_PMP070101</v>
      </c>
      <c r="E257" s="92" t="s">
        <v>1644</v>
      </c>
      <c r="F257" s="7" t="str" cm="1">
        <f t="array" ref="F257">INDEX(공급업체코드!$B$3:$B$1000,MATCH(1,(E257=공급업체코드!$D$3:$D$1000)*1,0))</f>
        <v>VM_CS_IND</v>
      </c>
      <c r="G257" s="113" t="s">
        <v>1653</v>
      </c>
      <c r="L257" s="139">
        <v>850</v>
      </c>
      <c r="M257" s="140">
        <v>1020</v>
      </c>
      <c r="P257">
        <v>3</v>
      </c>
      <c r="Q257" s="113">
        <v>10</v>
      </c>
      <c r="R257">
        <v>15</v>
      </c>
      <c r="T257" s="135">
        <v>0.2</v>
      </c>
      <c r="U257" s="7" t="s">
        <v>981</v>
      </c>
      <c r="V257" s="7">
        <v>380</v>
      </c>
      <c r="W257" s="151">
        <v>0.57999999999999996</v>
      </c>
      <c r="X257" s="7">
        <v>0.9</v>
      </c>
      <c r="Y257" s="7">
        <v>80</v>
      </c>
      <c r="Z257">
        <v>0.123</v>
      </c>
      <c r="AA257" s="274" t="s">
        <v>1390</v>
      </c>
      <c r="AB257" s="61">
        <v>5</v>
      </c>
      <c r="AC257" s="275" t="s">
        <v>1391</v>
      </c>
      <c r="AH257" s="143" t="s">
        <v>1674</v>
      </c>
      <c r="AI257" s="64">
        <f>4697000+2300000</f>
        <v>6997000</v>
      </c>
      <c r="AJ257" s="64"/>
      <c r="AK257" s="18" t="s">
        <v>1647</v>
      </c>
      <c r="AL257" s="1" t="b">
        <v>1</v>
      </c>
    </row>
    <row r="258" spans="2:38">
      <c r="B258" s="1" t="str">
        <f t="shared" si="7"/>
        <v>M_PMP070101_VM_CS_IND_KD-23H_PVDF_2040</v>
      </c>
      <c r="C258" s="92" t="s">
        <v>220</v>
      </c>
      <c r="D258" s="7" t="str" cm="1">
        <f t="array" ref="D258">INDEX(기계코드!$D$4:$D$1022,MATCH(1,(C258=기계코드!$F$4:$F$1022)*1,0))</f>
        <v>M_PMP070101</v>
      </c>
      <c r="E258" s="92" t="s">
        <v>1644</v>
      </c>
      <c r="F258" s="7" t="str" cm="1">
        <f t="array" ref="F258">INDEX(공급업체코드!$B$3:$B$1000,MATCH(1,(E258=공급업체코드!$D$3:$D$1000)*1,0))</f>
        <v>VM_CS_IND</v>
      </c>
      <c r="G258" s="113" t="s">
        <v>1654</v>
      </c>
      <c r="L258" s="139">
        <v>1700</v>
      </c>
      <c r="M258" s="140">
        <v>2040</v>
      </c>
      <c r="P258">
        <v>3</v>
      </c>
      <c r="Q258" s="113">
        <v>8</v>
      </c>
      <c r="R258">
        <v>15</v>
      </c>
      <c r="T258" s="135">
        <v>0.2</v>
      </c>
      <c r="U258" s="7" t="s">
        <v>981</v>
      </c>
      <c r="V258" s="7">
        <v>380</v>
      </c>
      <c r="W258" s="151">
        <v>0.57999999999999996</v>
      </c>
      <c r="X258" s="7">
        <v>0.9</v>
      </c>
      <c r="Y258" s="7">
        <v>80</v>
      </c>
      <c r="Z258">
        <v>0.123</v>
      </c>
      <c r="AA258" s="274" t="s">
        <v>1390</v>
      </c>
      <c r="AB258" s="61">
        <v>5</v>
      </c>
      <c r="AC258" s="275" t="s">
        <v>1391</v>
      </c>
      <c r="AH258" s="143" t="s">
        <v>1674</v>
      </c>
      <c r="AI258" s="64">
        <f>4697000+2300000</f>
        <v>6997000</v>
      </c>
      <c r="AJ258" s="64"/>
      <c r="AK258" s="18" t="s">
        <v>1647</v>
      </c>
      <c r="AL258" s="1" t="b">
        <v>1</v>
      </c>
    </row>
    <row r="259" spans="2:38">
      <c r="B259" s="1" t="str">
        <f t="shared" si="7"/>
        <v>M_PMP070101_VM_CS_IND_KD-33L_PVDF_3480</v>
      </c>
      <c r="C259" s="92" t="s">
        <v>220</v>
      </c>
      <c r="D259" s="7" t="str" cm="1">
        <f t="array" ref="D259">INDEX(기계코드!$D$4:$D$1022,MATCH(1,(C259=기계코드!$F$4:$F$1022)*1,0))</f>
        <v>M_PMP070101</v>
      </c>
      <c r="E259" s="92" t="s">
        <v>1644</v>
      </c>
      <c r="F259" s="7" t="str" cm="1">
        <f t="array" ref="F259">INDEX(공급업체코드!$B$3:$B$1000,MATCH(1,(E259=공급업체코드!$D$3:$D$1000)*1,0))</f>
        <v>VM_CS_IND</v>
      </c>
      <c r="G259" s="113" t="s">
        <v>1655</v>
      </c>
      <c r="L259" s="139">
        <v>2900</v>
      </c>
      <c r="M259" s="140">
        <v>3480</v>
      </c>
      <c r="P259">
        <v>3</v>
      </c>
      <c r="Q259" s="113">
        <v>5</v>
      </c>
      <c r="R259">
        <v>25</v>
      </c>
      <c r="T259" s="135">
        <v>0.2</v>
      </c>
      <c r="U259" s="7" t="s">
        <v>981</v>
      </c>
      <c r="V259" s="7">
        <v>380</v>
      </c>
      <c r="W259" s="151">
        <v>0.57999999999999996</v>
      </c>
      <c r="X259" s="7">
        <v>0.9</v>
      </c>
      <c r="Y259" s="7">
        <v>80</v>
      </c>
      <c r="Z259">
        <v>0.123</v>
      </c>
      <c r="AA259" s="274" t="s">
        <v>1390</v>
      </c>
      <c r="AB259" s="61">
        <v>5</v>
      </c>
      <c r="AC259" s="275" t="s">
        <v>1391</v>
      </c>
      <c r="AH259" s="143" t="s">
        <v>1674</v>
      </c>
      <c r="AI259" s="64">
        <f>5189000+2300000</f>
        <v>7489000</v>
      </c>
      <c r="AJ259" s="64"/>
      <c r="AK259" s="18" t="s">
        <v>1647</v>
      </c>
      <c r="AL259" s="1" t="b">
        <v>1</v>
      </c>
    </row>
    <row r="260" spans="2:38">
      <c r="B260" s="1" t="str">
        <f t="shared" si="7"/>
        <v>M_PMP070101_VM_CS_IND_KD-43L_PVDF_4100</v>
      </c>
      <c r="C260" s="92" t="s">
        <v>220</v>
      </c>
      <c r="D260" s="7" t="str" cm="1">
        <f t="array" ref="D260">INDEX(기계코드!$D$4:$D$1022,MATCH(1,(C260=기계코드!$F$4:$F$1022)*1,0))</f>
        <v>M_PMP070101</v>
      </c>
      <c r="E260" s="92" t="s">
        <v>1644</v>
      </c>
      <c r="F260" s="7" t="str" cm="1">
        <f t="array" ref="F260">INDEX(공급업체코드!$B$3:$B$1000,MATCH(1,(E260=공급업체코드!$D$3:$D$1000)*1,0))</f>
        <v>VM_CS_IND</v>
      </c>
      <c r="G260" s="113" t="s">
        <v>1656</v>
      </c>
      <c r="L260" s="139">
        <v>3400</v>
      </c>
      <c r="M260" s="140">
        <v>4100</v>
      </c>
      <c r="P260">
        <v>3</v>
      </c>
      <c r="Q260" s="113">
        <v>5</v>
      </c>
      <c r="R260">
        <v>25</v>
      </c>
      <c r="T260" s="135">
        <v>0.2</v>
      </c>
      <c r="U260" s="7" t="s">
        <v>981</v>
      </c>
      <c r="V260" s="7">
        <v>380</v>
      </c>
      <c r="W260" s="151">
        <v>0.57999999999999996</v>
      </c>
      <c r="X260" s="7">
        <v>0.9</v>
      </c>
      <c r="Y260" s="7">
        <v>80</v>
      </c>
      <c r="Z260">
        <v>0.123</v>
      </c>
      <c r="AA260" s="274" t="s">
        <v>1390</v>
      </c>
      <c r="AB260" s="61">
        <v>5</v>
      </c>
      <c r="AC260" s="275" t="s">
        <v>1391</v>
      </c>
      <c r="AH260" s="143" t="s">
        <v>1674</v>
      </c>
      <c r="AI260" s="64">
        <f t="shared" ref="AI260:AI263" si="10">5189000+2300000</f>
        <v>7489000</v>
      </c>
      <c r="AJ260" s="64"/>
      <c r="AK260" s="18" t="s">
        <v>1647</v>
      </c>
      <c r="AL260" s="1" t="b">
        <v>1</v>
      </c>
    </row>
    <row r="261" spans="2:38">
      <c r="B261" s="1" t="str">
        <f t="shared" si="7"/>
        <v>M_PMP070101_VM_CS_IND_KD-73L_PVDF_7440</v>
      </c>
      <c r="C261" s="92" t="s">
        <v>220</v>
      </c>
      <c r="D261" s="7" t="str" cm="1">
        <f t="array" ref="D261">INDEX(기계코드!$D$4:$D$1022,MATCH(1,(C261=기계코드!$F$4:$F$1022)*1,0))</f>
        <v>M_PMP070101</v>
      </c>
      <c r="E261" s="92" t="s">
        <v>1644</v>
      </c>
      <c r="F261" s="7" t="str" cm="1">
        <f t="array" ref="F261">INDEX(공급업체코드!$B$3:$B$1000,MATCH(1,(E261=공급업체코드!$D$3:$D$1000)*1,0))</f>
        <v>VM_CS_IND</v>
      </c>
      <c r="G261" s="113" t="s">
        <v>1657</v>
      </c>
      <c r="L261" s="139">
        <v>6200</v>
      </c>
      <c r="M261" s="140">
        <v>7440</v>
      </c>
      <c r="P261">
        <v>0.5</v>
      </c>
      <c r="Q261" s="113">
        <v>3</v>
      </c>
      <c r="R261">
        <v>25</v>
      </c>
      <c r="T261" s="135">
        <v>0.2</v>
      </c>
      <c r="U261" s="7" t="s">
        <v>981</v>
      </c>
      <c r="V261" s="7">
        <v>380</v>
      </c>
      <c r="W261" s="151">
        <v>0.57999999999999996</v>
      </c>
      <c r="X261" s="7">
        <v>0.9</v>
      </c>
      <c r="Y261" s="7">
        <v>80</v>
      </c>
      <c r="Z261">
        <v>0.123</v>
      </c>
      <c r="AA261" s="274" t="s">
        <v>1390</v>
      </c>
      <c r="AB261" s="61">
        <v>5</v>
      </c>
      <c r="AC261" s="275" t="s">
        <v>1391</v>
      </c>
      <c r="AH261" s="143" t="s">
        <v>1674</v>
      </c>
      <c r="AI261" s="64">
        <f t="shared" si="10"/>
        <v>7489000</v>
      </c>
      <c r="AJ261" s="64"/>
      <c r="AK261" s="18" t="s">
        <v>1647</v>
      </c>
      <c r="AL261" s="1" t="b">
        <v>1</v>
      </c>
    </row>
    <row r="262" spans="2:38">
      <c r="B262" s="1" t="str">
        <f t="shared" si="7"/>
        <v>M_PMP070101_VM_CS_IND_KD-53L_PVDF_5800</v>
      </c>
      <c r="C262" s="92" t="s">
        <v>220</v>
      </c>
      <c r="D262" s="7" t="str" cm="1">
        <f t="array" ref="D262">INDEX(기계코드!$D$4:$D$1022,MATCH(1,(C262=기계코드!$F$4:$F$1022)*1,0))</f>
        <v>M_PMP070101</v>
      </c>
      <c r="E262" s="92" t="s">
        <v>1644</v>
      </c>
      <c r="F262" s="7" t="str" cm="1">
        <f t="array" ref="F262">INDEX(공급업체코드!$B$3:$B$1000,MATCH(1,(E262=공급업체코드!$D$3:$D$1000)*1,0))</f>
        <v>VM_CS_IND</v>
      </c>
      <c r="G262" s="113" t="s">
        <v>1658</v>
      </c>
      <c r="L262" s="139">
        <v>4800</v>
      </c>
      <c r="M262" s="140">
        <v>5800</v>
      </c>
      <c r="P262">
        <v>3</v>
      </c>
      <c r="Q262" s="113">
        <v>5</v>
      </c>
      <c r="R262">
        <v>25</v>
      </c>
      <c r="T262" s="135">
        <v>0.4</v>
      </c>
      <c r="U262" s="7" t="s">
        <v>981</v>
      </c>
      <c r="V262" s="7">
        <v>380</v>
      </c>
      <c r="W262" s="151">
        <v>0.65</v>
      </c>
      <c r="X262" s="7">
        <v>0.9</v>
      </c>
      <c r="Y262" s="7">
        <v>80</v>
      </c>
      <c r="Z262">
        <v>0.123</v>
      </c>
      <c r="AA262" s="274" t="s">
        <v>1390</v>
      </c>
      <c r="AB262" s="61">
        <v>5</v>
      </c>
      <c r="AC262" s="275" t="s">
        <v>1391</v>
      </c>
      <c r="AH262" s="143" t="s">
        <v>1674</v>
      </c>
      <c r="AI262" s="64">
        <f t="shared" si="10"/>
        <v>7489000</v>
      </c>
      <c r="AJ262" s="64"/>
      <c r="AK262" s="18" t="s">
        <v>1647</v>
      </c>
      <c r="AL262" s="1" t="b">
        <v>1</v>
      </c>
    </row>
    <row r="263" spans="2:38">
      <c r="B263" s="1" t="str">
        <f t="shared" si="7"/>
        <v>M_PMP070101_VM_CS_IND_KD-63L_PVDF_6550</v>
      </c>
      <c r="C263" s="92" t="s">
        <v>220</v>
      </c>
      <c r="D263" s="7" t="str" cm="1">
        <f t="array" ref="D263">INDEX(기계코드!$D$4:$D$1022,MATCH(1,(C263=기계코드!$F$4:$F$1022)*1,0))</f>
        <v>M_PMP070101</v>
      </c>
      <c r="E263" s="92" t="s">
        <v>1644</v>
      </c>
      <c r="F263" s="7" t="str" cm="1">
        <f t="array" ref="F263">INDEX(공급업체코드!$B$3:$B$1000,MATCH(1,(E263=공급업체코드!$D$3:$D$1000)*1,0))</f>
        <v>VM_CS_IND</v>
      </c>
      <c r="G263" s="113" t="s">
        <v>1659</v>
      </c>
      <c r="L263" s="139">
        <v>5450</v>
      </c>
      <c r="M263" s="140">
        <v>6550</v>
      </c>
      <c r="P263">
        <v>3</v>
      </c>
      <c r="Q263" s="113">
        <v>4</v>
      </c>
      <c r="R263">
        <v>25</v>
      </c>
      <c r="T263" s="135">
        <v>0.4</v>
      </c>
      <c r="U263" s="7" t="s">
        <v>981</v>
      </c>
      <c r="V263" s="7">
        <v>380</v>
      </c>
      <c r="W263" s="151">
        <v>0.65</v>
      </c>
      <c r="X263" s="7">
        <v>0.9</v>
      </c>
      <c r="Y263" s="7">
        <v>80</v>
      </c>
      <c r="Z263">
        <v>0.123</v>
      </c>
      <c r="AA263" s="274" t="s">
        <v>1390</v>
      </c>
      <c r="AB263" s="61">
        <v>5</v>
      </c>
      <c r="AC263" s="275" t="s">
        <v>1391</v>
      </c>
      <c r="AH263" s="143" t="s">
        <v>1674</v>
      </c>
      <c r="AI263" s="64">
        <f t="shared" si="10"/>
        <v>7489000</v>
      </c>
      <c r="AJ263" s="64"/>
      <c r="AK263" s="18" t="s">
        <v>1647</v>
      </c>
      <c r="AL263" s="1" t="b">
        <v>1</v>
      </c>
    </row>
    <row r="264" spans="2:38">
      <c r="B264" s="1" t="str">
        <f t="shared" si="7"/>
        <v>M_PMP070101_VM_CS_IND_KD-33H_PVDF_3480</v>
      </c>
      <c r="C264" s="92" t="s">
        <v>220</v>
      </c>
      <c r="D264" s="7" t="str" cm="1">
        <f t="array" ref="D264">INDEX(기계코드!$D$4:$D$1022,MATCH(1,(C264=기계코드!$F$4:$F$1022)*1,0))</f>
        <v>M_PMP070101</v>
      </c>
      <c r="E264" s="92" t="s">
        <v>1644</v>
      </c>
      <c r="F264" s="7" t="str" cm="1">
        <f t="array" ref="F264">INDEX(공급업체코드!$B$3:$B$1000,MATCH(1,(E264=공급업체코드!$D$3:$D$1000)*1,0))</f>
        <v>VM_CS_IND</v>
      </c>
      <c r="G264" s="113" t="s">
        <v>1660</v>
      </c>
      <c r="L264" s="139">
        <v>2900</v>
      </c>
      <c r="M264" s="140">
        <v>3480</v>
      </c>
      <c r="P264">
        <v>3</v>
      </c>
      <c r="Q264" s="113">
        <v>10</v>
      </c>
      <c r="R264">
        <v>25</v>
      </c>
      <c r="T264" s="135">
        <v>0.4</v>
      </c>
      <c r="U264" s="7" t="s">
        <v>981</v>
      </c>
      <c r="V264" s="7">
        <v>380</v>
      </c>
      <c r="W264" s="151">
        <v>0.65</v>
      </c>
      <c r="X264" s="7">
        <v>0.9</v>
      </c>
      <c r="Y264" s="7">
        <v>80</v>
      </c>
      <c r="Z264">
        <v>0.123</v>
      </c>
      <c r="AA264" s="274" t="s">
        <v>1390</v>
      </c>
      <c r="AB264" s="61">
        <v>5</v>
      </c>
      <c r="AC264" s="275" t="s">
        <v>1391</v>
      </c>
      <c r="AH264" s="143" t="s">
        <v>1674</v>
      </c>
      <c r="AI264" s="64">
        <f>7717000+2300000</f>
        <v>10017000</v>
      </c>
      <c r="AJ264" s="64"/>
      <c r="AK264" s="18" t="s">
        <v>1647</v>
      </c>
      <c r="AL264" s="1" t="b">
        <v>1</v>
      </c>
    </row>
    <row r="265" spans="2:38">
      <c r="B265" s="1" t="str">
        <f t="shared" si="7"/>
        <v>M_PMP070101_VM_CS_IND_KD-73H_PVDF_7440</v>
      </c>
      <c r="C265" s="92" t="s">
        <v>220</v>
      </c>
      <c r="D265" s="7" t="str" cm="1">
        <f t="array" ref="D265">INDEX(기계코드!$D$4:$D$1022,MATCH(1,(C265=기계코드!$F$4:$F$1022)*1,0))</f>
        <v>M_PMP070101</v>
      </c>
      <c r="E265" s="92" t="s">
        <v>1644</v>
      </c>
      <c r="F265" s="7" t="str" cm="1">
        <f t="array" ref="F265">INDEX(공급업체코드!$B$3:$B$1000,MATCH(1,(E265=공급업체코드!$D$3:$D$1000)*1,0))</f>
        <v>VM_CS_IND</v>
      </c>
      <c r="G265" s="113" t="s">
        <v>1661</v>
      </c>
      <c r="L265" s="139">
        <v>6200</v>
      </c>
      <c r="M265" s="140">
        <v>7440</v>
      </c>
      <c r="P265">
        <v>3</v>
      </c>
      <c r="Q265" s="113">
        <v>7</v>
      </c>
      <c r="R265">
        <v>25</v>
      </c>
      <c r="T265" s="135">
        <v>0.4</v>
      </c>
      <c r="U265" s="7" t="s">
        <v>981</v>
      </c>
      <c r="V265" s="7">
        <v>380</v>
      </c>
      <c r="W265" s="151">
        <v>0.65</v>
      </c>
      <c r="X265" s="7">
        <v>0.9</v>
      </c>
      <c r="Y265" s="7">
        <v>80</v>
      </c>
      <c r="Z265">
        <v>0.123</v>
      </c>
      <c r="AA265" s="274" t="s">
        <v>1390</v>
      </c>
      <c r="AB265" s="61">
        <v>5</v>
      </c>
      <c r="AC265" s="275" t="s">
        <v>1391</v>
      </c>
      <c r="AH265" s="143" t="s">
        <v>1674</v>
      </c>
      <c r="AI265" s="64">
        <f>7717000+2300000</f>
        <v>10017000</v>
      </c>
      <c r="AJ265" s="64"/>
      <c r="AK265" s="18" t="s">
        <v>1647</v>
      </c>
      <c r="AL265" s="1" t="b">
        <v>1</v>
      </c>
    </row>
    <row r="266" spans="2:38">
      <c r="B266" s="1" t="str">
        <f t="shared" si="7"/>
        <v>M_PMP070101_VM_CS_IND_KD-43H_PVDF_4400</v>
      </c>
      <c r="C266" s="92" t="s">
        <v>220</v>
      </c>
      <c r="D266" s="7" t="str" cm="1">
        <f t="array" ref="D266">INDEX(기계코드!$D$4:$D$1022,MATCH(1,(C266=기계코드!$F$4:$F$1022)*1,0))</f>
        <v>M_PMP070101</v>
      </c>
      <c r="E266" s="92" t="s">
        <v>1644</v>
      </c>
      <c r="F266" s="7" t="str" cm="1">
        <f t="array" ref="F266">INDEX(공급업체코드!$B$3:$B$1000,MATCH(1,(E266=공급업체코드!$D$3:$D$1000)*1,0))</f>
        <v>VM_CS_IND</v>
      </c>
      <c r="G266" s="113" t="s">
        <v>1662</v>
      </c>
      <c r="L266" s="139">
        <v>3600</v>
      </c>
      <c r="M266" s="140">
        <v>4400</v>
      </c>
      <c r="P266">
        <v>3</v>
      </c>
      <c r="Q266" s="113">
        <v>8</v>
      </c>
      <c r="R266">
        <v>25</v>
      </c>
      <c r="T266" s="135">
        <v>0.4</v>
      </c>
      <c r="U266" s="7" t="s">
        <v>981</v>
      </c>
      <c r="V266" s="7">
        <v>380</v>
      </c>
      <c r="W266" s="151">
        <v>0.65</v>
      </c>
      <c r="X266" s="7">
        <v>0.9</v>
      </c>
      <c r="Y266" s="7">
        <v>80</v>
      </c>
      <c r="Z266">
        <v>0.123</v>
      </c>
      <c r="AA266" s="274" t="s">
        <v>1390</v>
      </c>
      <c r="AB266" s="61">
        <v>5</v>
      </c>
      <c r="AC266" s="275" t="s">
        <v>1391</v>
      </c>
      <c r="AH266" s="143" t="s">
        <v>1674</v>
      </c>
      <c r="AI266" s="64">
        <f>7516000+2300000</f>
        <v>9816000</v>
      </c>
      <c r="AJ266" s="64"/>
      <c r="AK266" s="18" t="s">
        <v>1647</v>
      </c>
      <c r="AL266" s="1" t="b">
        <v>1</v>
      </c>
    </row>
    <row r="267" spans="2:38">
      <c r="B267" s="1" t="str">
        <f t="shared" si="7"/>
        <v>M_PMP070101_VM_CS_IND_KD-63H_PVDF_6600</v>
      </c>
      <c r="C267" s="92" t="s">
        <v>220</v>
      </c>
      <c r="D267" s="7" t="str" cm="1">
        <f t="array" ref="D267">INDEX(기계코드!$D$4:$D$1022,MATCH(1,(C267=기계코드!$F$4:$F$1022)*1,0))</f>
        <v>M_PMP070101</v>
      </c>
      <c r="E267" s="92" t="s">
        <v>1644</v>
      </c>
      <c r="F267" s="7" t="str" cm="1">
        <f t="array" ref="F267">INDEX(공급업체코드!$B$3:$B$1000,MATCH(1,(E267=공급업체코드!$D$3:$D$1000)*1,0))</f>
        <v>VM_CS_IND</v>
      </c>
      <c r="G267" s="113" t="s">
        <v>1663</v>
      </c>
      <c r="L267" s="139">
        <v>5500</v>
      </c>
      <c r="M267" s="140">
        <v>6600</v>
      </c>
      <c r="P267">
        <v>3</v>
      </c>
      <c r="Q267" s="113">
        <v>7</v>
      </c>
      <c r="R267">
        <v>25</v>
      </c>
      <c r="T267" s="135">
        <v>0.4</v>
      </c>
      <c r="U267" s="7" t="s">
        <v>981</v>
      </c>
      <c r="V267" s="7">
        <v>380</v>
      </c>
      <c r="W267" s="151">
        <v>0.65</v>
      </c>
      <c r="X267" s="7">
        <v>0.9</v>
      </c>
      <c r="Y267" s="7">
        <v>80</v>
      </c>
      <c r="Z267">
        <v>0.123</v>
      </c>
      <c r="AA267" s="274" t="s">
        <v>1390</v>
      </c>
      <c r="AB267" s="61">
        <v>5</v>
      </c>
      <c r="AC267" s="275" t="s">
        <v>1391</v>
      </c>
      <c r="AH267" s="143" t="s">
        <v>1674</v>
      </c>
      <c r="AI267" s="64">
        <f>7516000+2300000</f>
        <v>9816000</v>
      </c>
      <c r="AJ267" s="64"/>
      <c r="AK267" s="18" t="s">
        <v>1647</v>
      </c>
      <c r="AL267" s="1" t="b">
        <v>1</v>
      </c>
    </row>
    <row r="268" spans="2:38">
      <c r="B268" s="1" t="str">
        <f t="shared" si="7"/>
        <v>M_PMP070101_VM_CS_IND_KD-93M_PVDF_9100</v>
      </c>
      <c r="C268" s="92" t="s">
        <v>220</v>
      </c>
      <c r="D268" s="7" t="str" cm="1">
        <f t="array" ref="D268">INDEX(기계코드!$D$4:$D$1022,MATCH(1,(C268=기계코드!$F$4:$F$1022)*1,0))</f>
        <v>M_PMP070101</v>
      </c>
      <c r="E268" s="92" t="s">
        <v>1644</v>
      </c>
      <c r="F268" s="7" t="str" cm="1">
        <f t="array" ref="F268">INDEX(공급업체코드!$B$3:$B$1000,MATCH(1,(E268=공급업체코드!$D$3:$D$1000)*1,0))</f>
        <v>VM_CS_IND</v>
      </c>
      <c r="G268" s="113" t="s">
        <v>1664</v>
      </c>
      <c r="L268" s="139">
        <v>7500</v>
      </c>
      <c r="M268" s="140">
        <v>9100</v>
      </c>
      <c r="P268">
        <v>3</v>
      </c>
      <c r="Q268" s="113">
        <v>5</v>
      </c>
      <c r="R268">
        <v>25</v>
      </c>
      <c r="T268" s="135">
        <v>0.4</v>
      </c>
      <c r="U268" s="7" t="s">
        <v>981</v>
      </c>
      <c r="V268" s="7">
        <v>380</v>
      </c>
      <c r="W268" s="151">
        <v>0.65</v>
      </c>
      <c r="X268" s="7">
        <v>0.9</v>
      </c>
      <c r="Y268" s="7">
        <v>80</v>
      </c>
      <c r="Z268">
        <v>0.123</v>
      </c>
      <c r="AA268" s="274" t="s">
        <v>1390</v>
      </c>
      <c r="AB268" s="61">
        <v>5</v>
      </c>
      <c r="AC268" s="275" t="s">
        <v>1391</v>
      </c>
      <c r="AH268" s="143" t="s">
        <v>1674</v>
      </c>
      <c r="AI268" s="64">
        <f>7516000+2300000</f>
        <v>9816000</v>
      </c>
      <c r="AJ268" s="64"/>
      <c r="AK268" s="18" t="s">
        <v>1647</v>
      </c>
      <c r="AL268" s="1" t="b">
        <v>1</v>
      </c>
    </row>
    <row r="269" spans="2:38">
      <c r="B269" s="1" t="str">
        <f t="shared" si="7"/>
        <v>M_PMP070101_VM_CS_IND_KD-14N_PVDF_11800</v>
      </c>
      <c r="C269" s="92" t="s">
        <v>220</v>
      </c>
      <c r="D269" s="7" t="str" cm="1">
        <f t="array" ref="D269">INDEX(기계코드!$D$4:$D$1022,MATCH(1,(C269=기계코드!$F$4:$F$1022)*1,0))</f>
        <v>M_PMP070101</v>
      </c>
      <c r="E269" s="92" t="s">
        <v>1644</v>
      </c>
      <c r="F269" s="7" t="str" cm="1">
        <f t="array" ref="F269">INDEX(공급업체코드!$B$3:$B$1000,MATCH(1,(E269=공급업체코드!$D$3:$D$1000)*1,0))</f>
        <v>VM_CS_IND</v>
      </c>
      <c r="G269" s="113" t="s">
        <v>1665</v>
      </c>
      <c r="L269" s="139">
        <v>9800</v>
      </c>
      <c r="M269" s="140">
        <v>11800</v>
      </c>
      <c r="P269">
        <v>3</v>
      </c>
      <c r="Q269" s="113">
        <v>4</v>
      </c>
      <c r="R269">
        <v>25</v>
      </c>
      <c r="T269" s="135">
        <v>0.4</v>
      </c>
      <c r="U269" s="7" t="s">
        <v>981</v>
      </c>
      <c r="V269" s="7">
        <v>380</v>
      </c>
      <c r="W269" s="151">
        <v>0.65</v>
      </c>
      <c r="X269" s="7">
        <v>0.9</v>
      </c>
      <c r="Y269" s="7">
        <v>80</v>
      </c>
      <c r="Z269">
        <v>0.123</v>
      </c>
      <c r="AA269" s="274" t="s">
        <v>1390</v>
      </c>
      <c r="AB269" s="61">
        <v>5</v>
      </c>
      <c r="AC269" s="275" t="s">
        <v>1391</v>
      </c>
      <c r="AH269" s="143" t="s">
        <v>1674</v>
      </c>
      <c r="AI269" s="64">
        <f>7516000+2300000</f>
        <v>9816000</v>
      </c>
      <c r="AJ269" s="64"/>
      <c r="AK269" s="18" t="s">
        <v>1647</v>
      </c>
      <c r="AL269" s="1" t="b">
        <v>1</v>
      </c>
    </row>
    <row r="270" spans="2:38">
      <c r="B270" s="1" t="str">
        <f t="shared" si="7"/>
        <v>M_PMP070101_VM_CS_IND_KD-14M_PVDF_13800</v>
      </c>
      <c r="C270" s="92" t="s">
        <v>220</v>
      </c>
      <c r="D270" s="7" t="str" cm="1">
        <f t="array" ref="D270">INDEX(기계코드!$D$4:$D$1022,MATCH(1,(C270=기계코드!$F$4:$F$1022)*1,0))</f>
        <v>M_PMP070101</v>
      </c>
      <c r="E270" s="92" t="s">
        <v>1644</v>
      </c>
      <c r="F270" s="7" t="str" cm="1">
        <f t="array" ref="F270">INDEX(공급업체코드!$B$3:$B$1000,MATCH(1,(E270=공급업체코드!$D$3:$D$1000)*1,0))</f>
        <v>VM_CS_IND</v>
      </c>
      <c r="G270" s="113" t="s">
        <v>1666</v>
      </c>
      <c r="L270" s="139">
        <v>11500</v>
      </c>
      <c r="M270" s="140">
        <v>13800</v>
      </c>
      <c r="P270">
        <v>3</v>
      </c>
      <c r="Q270" s="113">
        <v>5</v>
      </c>
      <c r="R270">
        <v>25</v>
      </c>
      <c r="T270" s="135">
        <v>0.55000000000000004</v>
      </c>
      <c r="U270" s="7" t="s">
        <v>981</v>
      </c>
      <c r="V270" s="7">
        <v>380</v>
      </c>
      <c r="W270" s="151">
        <v>0.71499999999999997</v>
      </c>
      <c r="X270" s="7">
        <v>0.9</v>
      </c>
      <c r="Y270" s="7">
        <v>80</v>
      </c>
      <c r="Z270">
        <v>0.123</v>
      </c>
      <c r="AA270" s="274" t="s">
        <v>1390</v>
      </c>
      <c r="AB270" s="61">
        <v>5</v>
      </c>
      <c r="AC270" s="275" t="s">
        <v>1391</v>
      </c>
      <c r="AH270" s="143" t="s">
        <v>1674</v>
      </c>
      <c r="AI270" s="64">
        <f>8262000+2300000</f>
        <v>10562000</v>
      </c>
      <c r="AJ270" s="64"/>
      <c r="AK270" s="18" t="s">
        <v>1647</v>
      </c>
      <c r="AL270" s="1" t="b">
        <v>1</v>
      </c>
    </row>
    <row r="271" spans="2:38">
      <c r="B271" s="1" t="str">
        <f t="shared" si="7"/>
        <v>M_PMP070101_VM_CS_IND_KD-14H_PVDF_10800</v>
      </c>
      <c r="C271" s="92" t="s">
        <v>220</v>
      </c>
      <c r="D271" s="7" t="str" cm="1">
        <f t="array" ref="D271">INDEX(기계코드!$D$4:$D$1022,MATCH(1,(C271=기계코드!$F$4:$F$1022)*1,0))</f>
        <v>M_PMP070101</v>
      </c>
      <c r="E271" s="92" t="s">
        <v>1644</v>
      </c>
      <c r="F271" s="7" t="str" cm="1">
        <f t="array" ref="F271">INDEX(공급업체코드!$B$3:$B$1000,MATCH(1,(E271=공급업체코드!$D$3:$D$1000)*1,0))</f>
        <v>VM_CS_IND</v>
      </c>
      <c r="G271" s="113" t="s">
        <v>1667</v>
      </c>
      <c r="L271" s="139">
        <v>9000</v>
      </c>
      <c r="M271" s="140">
        <v>10800</v>
      </c>
      <c r="P271">
        <v>3</v>
      </c>
      <c r="Q271" s="113">
        <v>7</v>
      </c>
      <c r="R271">
        <v>40</v>
      </c>
      <c r="T271" s="135">
        <v>0.75</v>
      </c>
      <c r="U271" s="7" t="s">
        <v>981</v>
      </c>
      <c r="V271" s="7">
        <v>380</v>
      </c>
      <c r="W271" s="151">
        <v>0.83499999999999996</v>
      </c>
      <c r="X271" s="7">
        <v>0.9</v>
      </c>
      <c r="Y271" s="7">
        <v>80</v>
      </c>
      <c r="Z271">
        <v>0.123</v>
      </c>
      <c r="AA271" s="274" t="s">
        <v>1390</v>
      </c>
      <c r="AB271" s="61">
        <v>5</v>
      </c>
      <c r="AC271" s="275" t="s">
        <v>1391</v>
      </c>
      <c r="AH271" s="143" t="s">
        <v>1674</v>
      </c>
      <c r="AI271" s="64">
        <f>17600000+2300000</f>
        <v>19900000</v>
      </c>
      <c r="AJ271" s="64"/>
      <c r="AK271" s="18" t="s">
        <v>1647</v>
      </c>
      <c r="AL271" s="1" t="b">
        <v>1</v>
      </c>
    </row>
    <row r="272" spans="2:38">
      <c r="B272" s="1" t="str">
        <f t="shared" si="7"/>
        <v>M_PMP070101_VM_CS_IND_KD-14G_PVDF_16000</v>
      </c>
      <c r="C272" s="92" t="s">
        <v>220</v>
      </c>
      <c r="D272" s="7" t="str" cm="1">
        <f t="array" ref="D272">INDEX(기계코드!$D$4:$D$1022,MATCH(1,(C272=기계코드!$F$4:$F$1022)*1,0))</f>
        <v>M_PMP070101</v>
      </c>
      <c r="E272" s="92" t="s">
        <v>1644</v>
      </c>
      <c r="F272" s="7" t="str" cm="1">
        <f t="array" ref="F272">INDEX(공급업체코드!$B$3:$B$1000,MATCH(1,(E272=공급업체코드!$D$3:$D$1000)*1,0))</f>
        <v>VM_CS_IND</v>
      </c>
      <c r="G272" s="113" t="s">
        <v>1668</v>
      </c>
      <c r="L272" s="139">
        <v>13300</v>
      </c>
      <c r="M272" s="140">
        <v>16000</v>
      </c>
      <c r="P272">
        <v>3</v>
      </c>
      <c r="Q272" s="113">
        <v>5</v>
      </c>
      <c r="R272">
        <v>40</v>
      </c>
      <c r="T272" s="135">
        <v>0.75</v>
      </c>
      <c r="U272" s="7" t="s">
        <v>981</v>
      </c>
      <c r="V272" s="7">
        <v>380</v>
      </c>
      <c r="W272" s="151">
        <v>0.83499999999999996</v>
      </c>
      <c r="X272" s="7">
        <v>0.9</v>
      </c>
      <c r="Y272" s="7">
        <v>80</v>
      </c>
      <c r="Z272">
        <v>0.123</v>
      </c>
      <c r="AA272" s="274" t="s">
        <v>1390</v>
      </c>
      <c r="AB272" s="61">
        <v>5</v>
      </c>
      <c r="AC272" s="275" t="s">
        <v>1391</v>
      </c>
      <c r="AH272" s="143" t="s">
        <v>1674</v>
      </c>
      <c r="AI272" s="64">
        <f>17600000+2300000</f>
        <v>19900000</v>
      </c>
      <c r="AJ272" s="64"/>
      <c r="AK272" s="18" t="s">
        <v>1647</v>
      </c>
      <c r="AL272" s="1" t="b">
        <v>1</v>
      </c>
    </row>
    <row r="273" spans="1:38">
      <c r="B273" s="1" t="str">
        <f t="shared" si="7"/>
        <v>M_PMP070101_VM_CS_IND_KD-24L_PVDF_22000</v>
      </c>
      <c r="C273" s="92" t="s">
        <v>220</v>
      </c>
      <c r="D273" s="7" t="str" cm="1">
        <f t="array" ref="D273">INDEX(기계코드!$D$4:$D$1022,MATCH(1,(C273=기계코드!$F$4:$F$1022)*1,0))</f>
        <v>M_PMP070101</v>
      </c>
      <c r="E273" s="92" t="s">
        <v>1644</v>
      </c>
      <c r="F273" s="7" t="str" cm="1">
        <f t="array" ref="F273">INDEX(공급업체코드!$B$3:$B$1000,MATCH(1,(E273=공급업체코드!$D$3:$D$1000)*1,0))</f>
        <v>VM_CS_IND</v>
      </c>
      <c r="G273" s="113" t="s">
        <v>1669</v>
      </c>
      <c r="L273" s="139">
        <v>18400</v>
      </c>
      <c r="M273" s="140">
        <v>22000</v>
      </c>
      <c r="P273">
        <v>0.5</v>
      </c>
      <c r="Q273" s="113">
        <v>3</v>
      </c>
      <c r="R273">
        <v>40</v>
      </c>
      <c r="T273" s="135">
        <v>0.75</v>
      </c>
      <c r="U273" s="7" t="s">
        <v>981</v>
      </c>
      <c r="V273" s="7">
        <v>380</v>
      </c>
      <c r="W273" s="151">
        <v>0.83499999999999996</v>
      </c>
      <c r="X273" s="7">
        <v>0.9</v>
      </c>
      <c r="Y273" s="7">
        <v>80</v>
      </c>
      <c r="Z273">
        <v>0.123</v>
      </c>
      <c r="AA273" s="274" t="s">
        <v>1390</v>
      </c>
      <c r="AB273" s="61">
        <v>5</v>
      </c>
      <c r="AC273" s="275" t="s">
        <v>1391</v>
      </c>
      <c r="AH273" s="143" t="s">
        <v>1674</v>
      </c>
      <c r="AI273" s="64">
        <f>17600000+2300000</f>
        <v>19900000</v>
      </c>
      <c r="AJ273" s="64"/>
      <c r="AK273" s="18" t="s">
        <v>1647</v>
      </c>
      <c r="AL273" s="1" t="b">
        <v>1</v>
      </c>
    </row>
    <row r="274" spans="1:38">
      <c r="B274" s="1" t="str">
        <f t="shared" si="7"/>
        <v>M_PMP070101_VM_CS_IND_KD-24S_PVDF_28000</v>
      </c>
      <c r="C274" s="92" t="s">
        <v>220</v>
      </c>
      <c r="D274" s="7" t="str" cm="1">
        <f t="array" ref="D274">INDEX(기계코드!$D$4:$D$1022,MATCH(1,(C274=기계코드!$F$4:$F$1022)*1,0))</f>
        <v>M_PMP070101</v>
      </c>
      <c r="E274" s="92" t="s">
        <v>1644</v>
      </c>
      <c r="F274" s="7" t="str" cm="1">
        <f t="array" ref="F274">INDEX(공급업체코드!$B$3:$B$1000,MATCH(1,(E274=공급업체코드!$D$3:$D$1000)*1,0))</f>
        <v>VM_CS_IND</v>
      </c>
      <c r="G274" s="113" t="s">
        <v>1670</v>
      </c>
      <c r="L274" s="139">
        <v>23300</v>
      </c>
      <c r="M274" s="140">
        <v>28000</v>
      </c>
      <c r="P274">
        <v>0.5</v>
      </c>
      <c r="Q274" s="113">
        <v>3</v>
      </c>
      <c r="R274">
        <v>40</v>
      </c>
      <c r="T274" s="135">
        <v>0.75</v>
      </c>
      <c r="U274" s="7" t="s">
        <v>981</v>
      </c>
      <c r="V274" s="7">
        <v>380</v>
      </c>
      <c r="W274" s="151">
        <v>0.83499999999999996</v>
      </c>
      <c r="X274" s="7">
        <v>0.9</v>
      </c>
      <c r="Y274" s="7">
        <v>80</v>
      </c>
      <c r="Z274">
        <v>0.123</v>
      </c>
      <c r="AA274" s="274" t="s">
        <v>1390</v>
      </c>
      <c r="AB274" s="61">
        <v>5</v>
      </c>
      <c r="AC274" s="275" t="s">
        <v>1391</v>
      </c>
      <c r="AH274" s="143" t="s">
        <v>1674</v>
      </c>
      <c r="AI274" s="64">
        <f>18267000+2300000</f>
        <v>20567000</v>
      </c>
      <c r="AJ274" s="64"/>
      <c r="AK274" s="18" t="s">
        <v>1647</v>
      </c>
      <c r="AL274" s="1" t="b">
        <v>1</v>
      </c>
    </row>
    <row r="275" spans="1:38">
      <c r="B275" s="1" t="str">
        <f t="shared" si="7"/>
        <v>M_PMP070101_VM_CS_IND_KD-24H_PVDF_22000</v>
      </c>
      <c r="C275" s="92" t="s">
        <v>220</v>
      </c>
      <c r="D275" s="7" t="str" cm="1">
        <f t="array" ref="D275">INDEX(기계코드!$D$4:$D$1022,MATCH(1,(C275=기계코드!$F$4:$F$1022)*1,0))</f>
        <v>M_PMP070101</v>
      </c>
      <c r="E275" s="92" t="s">
        <v>1644</v>
      </c>
      <c r="F275" s="7" t="str" cm="1">
        <f t="array" ref="F275">INDEX(공급업체코드!$B$3:$B$1000,MATCH(1,(E275=공급업체코드!$D$3:$D$1000)*1,0))</f>
        <v>VM_CS_IND</v>
      </c>
      <c r="G275" s="113" t="s">
        <v>1671</v>
      </c>
      <c r="L275" s="139">
        <v>18400</v>
      </c>
      <c r="M275" s="140">
        <v>22000</v>
      </c>
      <c r="P275">
        <v>3</v>
      </c>
      <c r="Q275" s="113">
        <v>7</v>
      </c>
      <c r="R275">
        <v>40</v>
      </c>
      <c r="T275" s="135">
        <v>1.5</v>
      </c>
      <c r="U275" s="7" t="s">
        <v>981</v>
      </c>
      <c r="V275" s="7">
        <v>380</v>
      </c>
      <c r="W275" s="151">
        <v>0.86499999999999999</v>
      </c>
      <c r="X275" s="7">
        <v>0.9</v>
      </c>
      <c r="Y275" s="7">
        <v>80</v>
      </c>
      <c r="Z275">
        <v>0.123</v>
      </c>
      <c r="AA275" s="274" t="s">
        <v>1390</v>
      </c>
      <c r="AB275" s="61">
        <v>6</v>
      </c>
      <c r="AC275" s="275" t="s">
        <v>1391</v>
      </c>
      <c r="AH275" s="143" t="s">
        <v>1674</v>
      </c>
      <c r="AI275" s="64">
        <f>18267000+2300000</f>
        <v>20567000</v>
      </c>
      <c r="AJ275" s="64"/>
      <c r="AK275" s="18" t="s">
        <v>1647</v>
      </c>
      <c r="AL275" s="1" t="b">
        <v>1</v>
      </c>
    </row>
    <row r="276" spans="1:38">
      <c r="B276" s="1" t="str">
        <f t="shared" si="7"/>
        <v>M_PMP070101_VM_CS_IND_KD-34H_PVDF_32000</v>
      </c>
      <c r="C276" s="92" t="s">
        <v>220</v>
      </c>
      <c r="D276" s="7" t="str" cm="1">
        <f t="array" ref="D276">INDEX(기계코드!$D$4:$D$1022,MATCH(1,(C276=기계코드!$F$4:$F$1022)*1,0))</f>
        <v>M_PMP070101</v>
      </c>
      <c r="E276" s="92" t="s">
        <v>1644</v>
      </c>
      <c r="F276" s="7" t="str" cm="1">
        <f t="array" ref="F276">INDEX(공급업체코드!$B$3:$B$1000,MATCH(1,(E276=공급업체코드!$D$3:$D$1000)*1,0))</f>
        <v>VM_CS_IND</v>
      </c>
      <c r="G276" s="113" t="s">
        <v>1672</v>
      </c>
      <c r="L276" s="139">
        <v>26600</v>
      </c>
      <c r="M276" s="140">
        <v>32000</v>
      </c>
      <c r="P276">
        <v>3</v>
      </c>
      <c r="Q276" s="113">
        <v>5</v>
      </c>
      <c r="R276">
        <v>40</v>
      </c>
      <c r="T276" s="135">
        <v>1.5</v>
      </c>
      <c r="U276" s="7" t="s">
        <v>981</v>
      </c>
      <c r="V276" s="7">
        <v>380</v>
      </c>
      <c r="W276" s="151">
        <v>0.86499999999999999</v>
      </c>
      <c r="X276" s="7">
        <v>0.9</v>
      </c>
      <c r="Y276" s="7">
        <v>80</v>
      </c>
      <c r="Z276">
        <v>0.123</v>
      </c>
      <c r="AA276" s="274" t="s">
        <v>1390</v>
      </c>
      <c r="AB276" s="61">
        <v>6</v>
      </c>
      <c r="AC276" s="275" t="s">
        <v>1391</v>
      </c>
      <c r="AH276" s="143" t="s">
        <v>1674</v>
      </c>
      <c r="AI276" s="64">
        <f>20896000+2300000</f>
        <v>23196000</v>
      </c>
      <c r="AJ276" s="64"/>
      <c r="AK276" s="18" t="s">
        <v>1647</v>
      </c>
      <c r="AL276" s="1" t="b">
        <v>1</v>
      </c>
    </row>
    <row r="277" spans="1:38">
      <c r="B277" s="1" t="str">
        <f>D277&amp;"_"&amp;F277&amp;"_"&amp;G277&amp;"_"&amp;AH277&amp;"_"&amp;M277</f>
        <v>M_PMP070101_VM_CS_IND_KD-54L_PVDF_54000</v>
      </c>
      <c r="C277" s="92" t="s">
        <v>220</v>
      </c>
      <c r="D277" s="7" t="str" cm="1">
        <f t="array" ref="D277">INDEX(기계코드!$D$4:$D$1022,MATCH(1,(C277=기계코드!$F$4:$F$1022)*1,0))</f>
        <v>M_PMP070101</v>
      </c>
      <c r="E277" s="92" t="s">
        <v>1644</v>
      </c>
      <c r="F277" s="7" t="str" cm="1">
        <f t="array" ref="F277">INDEX(공급업체코드!$B$3:$B$1000,MATCH(1,(E277=공급업체코드!$D$3:$D$1000)*1,0))</f>
        <v>VM_CS_IND</v>
      </c>
      <c r="G277" s="113" t="s">
        <v>1673</v>
      </c>
      <c r="L277" s="139">
        <v>45000</v>
      </c>
      <c r="M277" s="140">
        <v>54000</v>
      </c>
      <c r="P277">
        <v>0.5</v>
      </c>
      <c r="Q277" s="113">
        <v>3</v>
      </c>
      <c r="R277">
        <v>50</v>
      </c>
      <c r="T277" s="135">
        <v>1.5</v>
      </c>
      <c r="U277" s="7" t="s">
        <v>981</v>
      </c>
      <c r="V277" s="7">
        <v>380</v>
      </c>
      <c r="W277" s="151">
        <v>0.86499999999999999</v>
      </c>
      <c r="X277" s="7">
        <v>0.9</v>
      </c>
      <c r="Y277" s="7">
        <v>80</v>
      </c>
      <c r="Z277">
        <v>0.123</v>
      </c>
      <c r="AA277" s="274" t="s">
        <v>1390</v>
      </c>
      <c r="AB277" s="61">
        <v>6</v>
      </c>
      <c r="AC277" s="275" t="s">
        <v>1391</v>
      </c>
      <c r="AH277" s="143" t="s">
        <v>1674</v>
      </c>
      <c r="AI277" s="64">
        <f>30710000+2300000</f>
        <v>33010000</v>
      </c>
      <c r="AJ277" s="64"/>
      <c r="AK277" s="18" t="s">
        <v>1647</v>
      </c>
      <c r="AL277" s="1" t="b">
        <v>1</v>
      </c>
    </row>
    <row r="278" spans="1:38">
      <c r="A278" t="s">
        <v>1675</v>
      </c>
      <c r="B278" s="1" t="str">
        <f>D278&amp;"_"&amp;F278&amp;"_"&amp;G278&amp;"_"&amp;I278</f>
        <v>M_PMP1402_VM_0000_WOP-1-300_3</v>
      </c>
      <c r="C278" s="92" t="s">
        <v>276</v>
      </c>
      <c r="D278" s="7" t="str" cm="1">
        <f t="array" ref="D278">INDEX(기계코드!$D$4:$D$1022,MATCH(1,(C278=기계코드!$F$4:$F$1022)*1,0))</f>
        <v>M_PMP1402</v>
      </c>
      <c r="E278" s="7" t="s">
        <v>1125</v>
      </c>
      <c r="F278" s="7" t="str" cm="1">
        <f t="array" ref="F278">INDEX(공급업체코드!$B$3:$B$1000,MATCH(1,(E278=공급업체코드!$D$3:$D$1000)*1,0))</f>
        <v>VM_0000</v>
      </c>
      <c r="G278" s="243" t="str">
        <f>"WOP-1-"&amp;I278*100</f>
        <v>WOP-1-300</v>
      </c>
      <c r="I278">
        <v>3</v>
      </c>
      <c r="L278">
        <v>10</v>
      </c>
      <c r="M278" s="113"/>
      <c r="Q278" s="113"/>
      <c r="R278">
        <v>50</v>
      </c>
      <c r="T278">
        <v>5.5</v>
      </c>
      <c r="U278" s="7" t="s">
        <v>981</v>
      </c>
      <c r="V278">
        <v>380</v>
      </c>
      <c r="W278">
        <v>0.91</v>
      </c>
      <c r="X278" s="7">
        <v>0.9</v>
      </c>
      <c r="Y278" s="7">
        <v>80</v>
      </c>
      <c r="Z278">
        <v>0.123</v>
      </c>
      <c r="AA278" s="261" t="s">
        <v>1421</v>
      </c>
      <c r="AB278" s="10">
        <v>9</v>
      </c>
      <c r="AC278" s="260" t="s">
        <v>1676</v>
      </c>
      <c r="AH278" s="113"/>
      <c r="AI278">
        <v>999</v>
      </c>
      <c r="AK278" s="18" t="s">
        <v>1354</v>
      </c>
      <c r="AL278" s="10" t="s">
        <v>1677</v>
      </c>
    </row>
    <row r="279" spans="1:38">
      <c r="A279" t="s">
        <v>1678</v>
      </c>
      <c r="B279" s="1" t="str">
        <f t="shared" ref="B279:B288" si="11">D279&amp;"_"&amp;F279&amp;"_"&amp;G279&amp;"_"&amp;I279</f>
        <v>M_PMP1402_VM_0000_WOP-1-450_4.5</v>
      </c>
      <c r="C279" s="92" t="s">
        <v>276</v>
      </c>
      <c r="D279" s="7" t="str" cm="1">
        <f t="array" ref="D279">INDEX(기계코드!$D$4:$D$1022,MATCH(1,(C279=기계코드!$F$4:$F$1022)*1,0))</f>
        <v>M_PMP1402</v>
      </c>
      <c r="E279" s="7" t="s">
        <v>1125</v>
      </c>
      <c r="F279" s="7" t="str" cm="1">
        <f t="array" ref="F279">INDEX(공급업체코드!$B$3:$B$1000,MATCH(1,(E279=공급업체코드!$D$3:$D$1000)*1,0))</f>
        <v>VM_0000</v>
      </c>
      <c r="G279" s="243" t="str">
        <f t="shared" ref="G279:G289" si="12">"WOP-1-"&amp;I279*100</f>
        <v>WOP-1-450</v>
      </c>
      <c r="I279">
        <v>4.5</v>
      </c>
      <c r="L279">
        <v>16</v>
      </c>
      <c r="M279" s="113"/>
      <c r="R279">
        <v>65</v>
      </c>
      <c r="T279">
        <v>7.5</v>
      </c>
      <c r="U279" s="7" t="s">
        <v>981</v>
      </c>
      <c r="V279">
        <v>380</v>
      </c>
      <c r="W279">
        <v>0.91700000000000004</v>
      </c>
      <c r="X279" s="7">
        <v>0.9</v>
      </c>
      <c r="Y279" s="7">
        <v>80</v>
      </c>
      <c r="Z279">
        <v>0.123</v>
      </c>
      <c r="AA279" s="261" t="s">
        <v>1421</v>
      </c>
      <c r="AB279" s="10">
        <v>10</v>
      </c>
      <c r="AC279" s="260" t="s">
        <v>1676</v>
      </c>
      <c r="AI279">
        <v>999</v>
      </c>
      <c r="AK279" s="18" t="s">
        <v>1354</v>
      </c>
      <c r="AL279" s="10" t="s">
        <v>1677</v>
      </c>
    </row>
    <row r="280" spans="1:38">
      <c r="A280" t="s">
        <v>1679</v>
      </c>
      <c r="B280" s="1" t="str">
        <f t="shared" si="11"/>
        <v>M_PMP1402_VM_0000_WOP-1-600_6</v>
      </c>
      <c r="C280" s="92" t="s">
        <v>276</v>
      </c>
      <c r="D280" s="7" t="str" cm="1">
        <f t="array" ref="D280">INDEX(기계코드!$D$4:$D$1022,MATCH(1,(C280=기계코드!$F$4:$F$1022)*1,0))</f>
        <v>M_PMP1402</v>
      </c>
      <c r="E280" s="7" t="s">
        <v>1125</v>
      </c>
      <c r="F280" s="7" t="str" cm="1">
        <f t="array" ref="F280">INDEX(공급업체코드!$B$3:$B$1000,MATCH(1,(E280=공급업체코드!$D$3:$D$1000)*1,0))</f>
        <v>VM_0000</v>
      </c>
      <c r="G280" s="243" t="str">
        <f t="shared" si="12"/>
        <v>WOP-1-600</v>
      </c>
      <c r="I280">
        <v>6</v>
      </c>
      <c r="L280">
        <v>20</v>
      </c>
      <c r="M280" s="113"/>
      <c r="R280">
        <v>65</v>
      </c>
      <c r="T280">
        <v>11</v>
      </c>
      <c r="U280" s="7" t="s">
        <v>981</v>
      </c>
      <c r="V280">
        <v>380</v>
      </c>
      <c r="W280">
        <v>0.93</v>
      </c>
      <c r="X280" s="7">
        <v>0.9</v>
      </c>
      <c r="Y280" s="7">
        <v>80</v>
      </c>
      <c r="Z280">
        <v>0.123</v>
      </c>
      <c r="AA280" s="261" t="s">
        <v>1421</v>
      </c>
      <c r="AB280" s="10">
        <v>11</v>
      </c>
      <c r="AC280" s="260" t="s">
        <v>1676</v>
      </c>
      <c r="AI280">
        <v>999</v>
      </c>
      <c r="AK280" s="18" t="s">
        <v>1354</v>
      </c>
      <c r="AL280" s="10" t="s">
        <v>1677</v>
      </c>
    </row>
    <row r="281" spans="1:38">
      <c r="A281" t="s">
        <v>1680</v>
      </c>
      <c r="B281" s="1" t="str">
        <f t="shared" si="11"/>
        <v>M_PMP1402_VM_0000_WOP-1-800_8</v>
      </c>
      <c r="C281" s="92" t="s">
        <v>276</v>
      </c>
      <c r="D281" s="7" t="str" cm="1">
        <f t="array" ref="D281">INDEX(기계코드!$D$4:$D$1022,MATCH(1,(C281=기계코드!$F$4:$F$1022)*1,0))</f>
        <v>M_PMP1402</v>
      </c>
      <c r="E281" s="7" t="s">
        <v>1125</v>
      </c>
      <c r="F281" s="7" t="str" cm="1">
        <f t="array" ref="F281">INDEX(공급업체코드!$B$3:$B$1000,MATCH(1,(E281=공급업체코드!$D$3:$D$1000)*1,0))</f>
        <v>VM_0000</v>
      </c>
      <c r="G281" s="243" t="str">
        <f t="shared" si="12"/>
        <v>WOP-1-800</v>
      </c>
      <c r="I281">
        <v>8</v>
      </c>
      <c r="L281">
        <v>30</v>
      </c>
      <c r="M281" s="113"/>
      <c r="R281">
        <v>80</v>
      </c>
      <c r="T281">
        <v>15</v>
      </c>
      <c r="U281" s="7" t="s">
        <v>987</v>
      </c>
      <c r="V281">
        <v>380</v>
      </c>
      <c r="W281">
        <v>0.93</v>
      </c>
      <c r="X281" s="7">
        <v>0.9</v>
      </c>
      <c r="Y281" s="7">
        <v>80</v>
      </c>
      <c r="Z281">
        <v>0.123</v>
      </c>
      <c r="AA281" s="261" t="s">
        <v>1421</v>
      </c>
      <c r="AB281" s="10">
        <v>12</v>
      </c>
      <c r="AC281" s="260" t="s">
        <v>1676</v>
      </c>
      <c r="AI281">
        <v>999</v>
      </c>
      <c r="AK281" s="18" t="s">
        <v>1354</v>
      </c>
      <c r="AL281" s="10" t="s">
        <v>1677</v>
      </c>
    </row>
    <row r="282" spans="1:38">
      <c r="A282" t="s">
        <v>1681</v>
      </c>
      <c r="B282" s="1" t="str">
        <f t="shared" si="11"/>
        <v>M_PMP1402_VM_0000_WOP-1-1000_10</v>
      </c>
      <c r="C282" s="92" t="s">
        <v>276</v>
      </c>
      <c r="D282" s="7" t="str" cm="1">
        <f t="array" ref="D282">INDEX(기계코드!$D$4:$D$1022,MATCH(1,(C282=기계코드!$F$4:$F$1022)*1,0))</f>
        <v>M_PMP1402</v>
      </c>
      <c r="E282" s="7" t="s">
        <v>1125</v>
      </c>
      <c r="F282" s="7" t="str" cm="1">
        <f t="array" ref="F282">INDEX(공급업체코드!$B$3:$B$1000,MATCH(1,(E282=공급업체코드!$D$3:$D$1000)*1,0))</f>
        <v>VM_0000</v>
      </c>
      <c r="G282" s="243" t="str">
        <f t="shared" si="12"/>
        <v>WOP-1-1000</v>
      </c>
      <c r="I282">
        <v>10</v>
      </c>
      <c r="L282">
        <v>35</v>
      </c>
      <c r="M282" s="113"/>
      <c r="R282">
        <v>80</v>
      </c>
      <c r="T282">
        <v>19</v>
      </c>
      <c r="U282" s="7" t="s">
        <v>987</v>
      </c>
      <c r="V282">
        <v>380</v>
      </c>
      <c r="W282">
        <v>0.93600000000000005</v>
      </c>
      <c r="X282" s="7">
        <v>0.9</v>
      </c>
      <c r="Y282" s="7">
        <v>80</v>
      </c>
      <c r="Z282">
        <v>0.123</v>
      </c>
      <c r="AA282" s="261" t="s">
        <v>1421</v>
      </c>
      <c r="AB282" s="10">
        <v>13</v>
      </c>
      <c r="AC282" s="260" t="s">
        <v>1676</v>
      </c>
      <c r="AI282">
        <v>999</v>
      </c>
      <c r="AK282" s="18" t="s">
        <v>1354</v>
      </c>
      <c r="AL282" s="10" t="s">
        <v>1677</v>
      </c>
    </row>
    <row r="283" spans="1:38">
      <c r="A283" t="s">
        <v>1682</v>
      </c>
      <c r="B283" s="1" t="str">
        <f t="shared" si="11"/>
        <v>M_PMP1402_VM_0000_WOP-1-1200_12</v>
      </c>
      <c r="C283" s="92" t="s">
        <v>276</v>
      </c>
      <c r="D283" s="7" t="str" cm="1">
        <f t="array" ref="D283">INDEX(기계코드!$D$4:$D$1022,MATCH(1,(C283=기계코드!$F$4:$F$1022)*1,0))</f>
        <v>M_PMP1402</v>
      </c>
      <c r="E283" s="7" t="s">
        <v>1125</v>
      </c>
      <c r="F283" s="7" t="str" cm="1">
        <f t="array" ref="F283">INDEX(공급업체코드!$B$3:$B$1000,MATCH(1,(E283=공급업체코드!$D$3:$D$1000)*1,0))</f>
        <v>VM_0000</v>
      </c>
      <c r="G283" s="243" t="str">
        <f t="shared" si="12"/>
        <v>WOP-1-1200</v>
      </c>
      <c r="I283">
        <v>12</v>
      </c>
      <c r="L283">
        <v>40</v>
      </c>
      <c r="M283" s="113"/>
      <c r="R283">
        <v>80</v>
      </c>
      <c r="T283">
        <v>22</v>
      </c>
      <c r="U283" s="7" t="s">
        <v>987</v>
      </c>
      <c r="V283">
        <v>380</v>
      </c>
      <c r="W283">
        <v>0.94099999999999995</v>
      </c>
      <c r="X283" s="7">
        <v>0.9</v>
      </c>
      <c r="Y283" s="7">
        <v>80</v>
      </c>
      <c r="Z283">
        <v>0.123</v>
      </c>
      <c r="AA283" s="261" t="s">
        <v>1421</v>
      </c>
      <c r="AB283" s="10">
        <v>13</v>
      </c>
      <c r="AC283" s="260" t="s">
        <v>1676</v>
      </c>
      <c r="AI283">
        <v>999</v>
      </c>
      <c r="AK283" s="18" t="s">
        <v>1354</v>
      </c>
      <c r="AL283" s="10" t="s">
        <v>1677</v>
      </c>
    </row>
    <row r="284" spans="1:38">
      <c r="A284" t="s">
        <v>1683</v>
      </c>
      <c r="B284" s="1" t="str">
        <f t="shared" si="11"/>
        <v>M_PMP1402_VM_0000_WOP-1-1400_14</v>
      </c>
      <c r="C284" s="92" t="s">
        <v>276</v>
      </c>
      <c r="D284" s="7" t="str" cm="1">
        <f t="array" ref="D284">INDEX(기계코드!$D$4:$D$1022,MATCH(1,(C284=기계코드!$F$4:$F$1022)*1,0))</f>
        <v>M_PMP1402</v>
      </c>
      <c r="E284" s="7" t="s">
        <v>1125</v>
      </c>
      <c r="F284" s="7" t="str" cm="1">
        <f t="array" ref="F284">INDEX(공급업체코드!$B$3:$B$1000,MATCH(1,(E284=공급업체코드!$D$3:$D$1000)*1,0))</f>
        <v>VM_0000</v>
      </c>
      <c r="G284" s="243" t="str">
        <f t="shared" si="12"/>
        <v>WOP-1-1400</v>
      </c>
      <c r="I284">
        <v>14</v>
      </c>
      <c r="L284">
        <v>42</v>
      </c>
      <c r="M284" s="113"/>
      <c r="R284">
        <v>100</v>
      </c>
      <c r="T284">
        <v>22</v>
      </c>
      <c r="U284" s="7" t="s">
        <v>987</v>
      </c>
      <c r="V284">
        <v>380</v>
      </c>
      <c r="W284">
        <v>0.94099999999999995</v>
      </c>
      <c r="X284" s="7">
        <v>0.9</v>
      </c>
      <c r="Y284" s="7">
        <v>80</v>
      </c>
      <c r="Z284">
        <v>0.123</v>
      </c>
      <c r="AA284" s="261" t="s">
        <v>1421</v>
      </c>
      <c r="AB284" s="10">
        <v>13</v>
      </c>
      <c r="AC284" s="260" t="s">
        <v>1676</v>
      </c>
      <c r="AI284">
        <v>999</v>
      </c>
      <c r="AK284" s="18" t="s">
        <v>1354</v>
      </c>
      <c r="AL284" s="10" t="s">
        <v>1677</v>
      </c>
    </row>
    <row r="285" spans="1:38">
      <c r="A285" t="s">
        <v>1684</v>
      </c>
      <c r="B285" s="1" t="str">
        <f t="shared" si="11"/>
        <v>M_PMP1402_VM_0000_WOP-1-1700_17</v>
      </c>
      <c r="C285" s="92" t="s">
        <v>276</v>
      </c>
      <c r="D285" s="7" t="str" cm="1">
        <f t="array" ref="D285">INDEX(기계코드!$D$4:$D$1022,MATCH(1,(C285=기계코드!$F$4:$F$1022)*1,0))</f>
        <v>M_PMP1402</v>
      </c>
      <c r="E285" s="7" t="s">
        <v>1125</v>
      </c>
      <c r="F285" s="7" t="str" cm="1">
        <f t="array" ref="F285">INDEX(공급업체코드!$B$3:$B$1000,MATCH(1,(E285=공급업체코드!$D$3:$D$1000)*1,0))</f>
        <v>VM_0000</v>
      </c>
      <c r="G285" s="243" t="str">
        <f t="shared" si="12"/>
        <v>WOP-1-1700</v>
      </c>
      <c r="I285">
        <v>17</v>
      </c>
      <c r="L285">
        <v>50</v>
      </c>
      <c r="M285" s="113"/>
      <c r="R285">
        <v>100</v>
      </c>
      <c r="T285">
        <v>30</v>
      </c>
      <c r="U285" s="7" t="s">
        <v>987</v>
      </c>
      <c r="V285">
        <v>380</v>
      </c>
      <c r="W285">
        <v>0.94099999999999995</v>
      </c>
      <c r="X285" s="7">
        <v>0.9</v>
      </c>
      <c r="Y285" s="7">
        <v>80</v>
      </c>
      <c r="Z285">
        <v>0.123</v>
      </c>
      <c r="AA285" s="261" t="s">
        <v>1421</v>
      </c>
      <c r="AB285" s="10">
        <v>14</v>
      </c>
      <c r="AC285" s="260" t="s">
        <v>1676</v>
      </c>
      <c r="AI285">
        <v>999</v>
      </c>
      <c r="AK285" s="18" t="s">
        <v>1354</v>
      </c>
      <c r="AL285" s="10" t="s">
        <v>1677</v>
      </c>
    </row>
    <row r="286" spans="1:38" ht="16.5" customHeight="1">
      <c r="A286" t="s">
        <v>1685</v>
      </c>
      <c r="B286" s="1" t="str">
        <f t="shared" si="11"/>
        <v>M_PMP1402_VM_0000_WOP-1-2000_20</v>
      </c>
      <c r="C286" s="92" t="s">
        <v>276</v>
      </c>
      <c r="D286" s="7" t="str" cm="1">
        <f t="array" ref="D286">INDEX(기계코드!$D$4:$D$1022,MATCH(1,(C286=기계코드!$F$4:$F$1022)*1,0))</f>
        <v>M_PMP1402</v>
      </c>
      <c r="E286" s="7" t="s">
        <v>1125</v>
      </c>
      <c r="F286" s="7" t="str" cm="1">
        <f t="array" ref="F286">INDEX(공급업체코드!$B$3:$B$1000,MATCH(1,(E286=공급업체코드!$D$3:$D$1000)*1,0))</f>
        <v>VM_0000</v>
      </c>
      <c r="G286" s="243" t="str">
        <f t="shared" si="12"/>
        <v>WOP-1-2000</v>
      </c>
      <c r="I286">
        <v>20</v>
      </c>
      <c r="L286">
        <v>65</v>
      </c>
      <c r="M286" s="113"/>
      <c r="R286">
        <v>100</v>
      </c>
      <c r="T286">
        <v>37</v>
      </c>
      <c r="U286" s="7" t="s">
        <v>987</v>
      </c>
      <c r="V286">
        <v>380</v>
      </c>
      <c r="W286">
        <v>0.94499999999999995</v>
      </c>
      <c r="X286" s="7">
        <v>0.9</v>
      </c>
      <c r="Y286" s="7">
        <v>80</v>
      </c>
      <c r="Z286">
        <v>0.123</v>
      </c>
      <c r="AA286" s="261" t="s">
        <v>1421</v>
      </c>
      <c r="AB286" s="10">
        <v>14</v>
      </c>
      <c r="AC286" s="260" t="s">
        <v>1676</v>
      </c>
      <c r="AI286">
        <v>999</v>
      </c>
      <c r="AK286" s="18" t="s">
        <v>1354</v>
      </c>
      <c r="AL286" s="10" t="s">
        <v>1677</v>
      </c>
    </row>
    <row r="287" spans="1:38" ht="16.5" customHeight="1">
      <c r="A287" t="s">
        <v>1686</v>
      </c>
      <c r="B287" s="1" t="str">
        <f t="shared" si="11"/>
        <v>M_PMP1402_VM_0000_WOP-1-2400_24</v>
      </c>
      <c r="C287" s="92" t="s">
        <v>276</v>
      </c>
      <c r="D287" s="7" t="str" cm="1">
        <f t="array" ref="D287">INDEX(기계코드!$D$4:$D$1022,MATCH(1,(C287=기계코드!$F$4:$F$1022)*1,0))</f>
        <v>M_PMP1402</v>
      </c>
      <c r="E287" s="7" t="s">
        <v>1125</v>
      </c>
      <c r="F287" s="7" t="str" cm="1">
        <f t="array" ref="F287">INDEX(공급업체코드!$B$3:$B$1000,MATCH(1,(E287=공급업체코드!$D$3:$D$1000)*1,0))</f>
        <v>VM_0000</v>
      </c>
      <c r="G287" s="243" t="str">
        <f t="shared" si="12"/>
        <v>WOP-1-2400</v>
      </c>
      <c r="I287">
        <v>24</v>
      </c>
      <c r="L287">
        <v>80</v>
      </c>
      <c r="M287" s="113"/>
      <c r="R287">
        <v>100</v>
      </c>
      <c r="T287">
        <v>45</v>
      </c>
      <c r="U287" s="7" t="s">
        <v>987</v>
      </c>
      <c r="V287">
        <v>380</v>
      </c>
      <c r="W287">
        <v>0.95</v>
      </c>
      <c r="X287" s="7">
        <v>0.9</v>
      </c>
      <c r="Y287" s="7">
        <v>80</v>
      </c>
      <c r="Z287">
        <v>0.123</v>
      </c>
      <c r="AA287" s="261" t="s">
        <v>1421</v>
      </c>
      <c r="AB287" s="10">
        <v>15</v>
      </c>
      <c r="AC287" s="260" t="s">
        <v>1676</v>
      </c>
      <c r="AI287">
        <v>999</v>
      </c>
      <c r="AK287" s="18" t="s">
        <v>1354</v>
      </c>
      <c r="AL287" s="10" t="s">
        <v>1677</v>
      </c>
    </row>
    <row r="288" spans="1:38" ht="16.5" customHeight="1">
      <c r="A288" t="s">
        <v>1687</v>
      </c>
      <c r="B288" s="1" t="str">
        <f t="shared" si="11"/>
        <v>M_PMP1402_VM_0000_WOP-1-3000_30</v>
      </c>
      <c r="C288" s="92" t="s">
        <v>276</v>
      </c>
      <c r="D288" s="7" t="str" cm="1">
        <f t="array" ref="D288">INDEX(기계코드!$D$4:$D$1022,MATCH(1,(C288=기계코드!$F$4:$F$1022)*1,0))</f>
        <v>M_PMP1402</v>
      </c>
      <c r="E288" s="7" t="s">
        <v>1125</v>
      </c>
      <c r="F288" s="7" t="str" cm="1">
        <f t="array" ref="F288">INDEX(공급업체코드!$B$3:$B$1000,MATCH(1,(E288=공급업체코드!$D$3:$D$1000)*1,0))</f>
        <v>VM_0000</v>
      </c>
      <c r="G288" s="243" t="str">
        <f t="shared" si="12"/>
        <v>WOP-1-3000</v>
      </c>
      <c r="I288">
        <v>30</v>
      </c>
      <c r="L288">
        <v>90</v>
      </c>
      <c r="M288" s="113"/>
      <c r="R288">
        <v>150</v>
      </c>
      <c r="T288">
        <v>55</v>
      </c>
      <c r="U288" s="7" t="s">
        <v>987</v>
      </c>
      <c r="V288">
        <v>380</v>
      </c>
      <c r="W288">
        <v>0.95</v>
      </c>
      <c r="X288" s="7">
        <v>0.9</v>
      </c>
      <c r="Y288" s="7">
        <v>80</v>
      </c>
      <c r="Z288">
        <v>0.123</v>
      </c>
      <c r="AA288" s="261" t="s">
        <v>1421</v>
      </c>
      <c r="AB288" s="10">
        <v>15</v>
      </c>
      <c r="AC288" s="260" t="s">
        <v>1676</v>
      </c>
      <c r="AI288">
        <v>999</v>
      </c>
      <c r="AK288" s="18" t="s">
        <v>1354</v>
      </c>
      <c r="AL288" s="10" t="s">
        <v>1677</v>
      </c>
    </row>
    <row r="289" spans="1:38" ht="16.5" customHeight="1">
      <c r="A289" t="s">
        <v>1688</v>
      </c>
      <c r="B289" s="1" t="str">
        <f t="shared" ref="B289" si="13">D289&amp;"_"&amp;F289&amp;"_"&amp;G289&amp;"_"&amp;I289</f>
        <v>M_PMP1402_VM_0000_WOP-1-4000_40</v>
      </c>
      <c r="C289" s="92" t="s">
        <v>276</v>
      </c>
      <c r="D289" s="7" t="str" cm="1">
        <f t="array" ref="D289">INDEX(기계코드!$D$4:$D$1022,MATCH(1,(C289=기계코드!$F$4:$F$1022)*1,0))</f>
        <v>M_PMP1402</v>
      </c>
      <c r="E289" s="7" t="s">
        <v>1125</v>
      </c>
      <c r="F289" s="7" t="str" cm="1">
        <f t="array" ref="F289">INDEX(공급업체코드!$B$3:$B$1000,MATCH(1,(E289=공급업체코드!$D$3:$D$1000)*1,0))</f>
        <v>VM_0000</v>
      </c>
      <c r="G289" s="243" t="str">
        <f t="shared" si="12"/>
        <v>WOP-1-4000</v>
      </c>
      <c r="I289">
        <v>40</v>
      </c>
      <c r="L289">
        <v>120</v>
      </c>
      <c r="R289">
        <v>150</v>
      </c>
      <c r="T289">
        <v>75</v>
      </c>
      <c r="U289" s="7" t="s">
        <v>987</v>
      </c>
      <c r="V289">
        <v>380</v>
      </c>
      <c r="W289">
        <v>0.95399999999999996</v>
      </c>
      <c r="X289" s="7">
        <v>0.9</v>
      </c>
      <c r="Y289" s="7">
        <v>80</v>
      </c>
      <c r="Z289">
        <v>0.123</v>
      </c>
      <c r="AA289" s="261" t="s">
        <v>1421</v>
      </c>
      <c r="AB289" s="10">
        <v>16</v>
      </c>
      <c r="AC289" s="260" t="s">
        <v>1676</v>
      </c>
      <c r="AI289">
        <v>999</v>
      </c>
      <c r="AK289" s="18" t="s">
        <v>1354</v>
      </c>
      <c r="AL289" s="10" t="s">
        <v>1677</v>
      </c>
    </row>
    <row r="290" spans="1:38" ht="16.5" customHeight="1">
      <c r="A290" t="s">
        <v>1689</v>
      </c>
      <c r="B290" s="1" t="str">
        <f t="shared" ref="B290:B295" si="14">D290&amp;"_"&amp;F290&amp;"_"&amp;G290&amp;"_"&amp;AD290&amp;"_"&amp;K290</f>
        <v>M_PMP080302_VM_DD_ENG_DS-8-3_GC250_0.06</v>
      </c>
      <c r="C290" s="92" t="s">
        <v>243</v>
      </c>
      <c r="D290" s="7" t="str" cm="1">
        <f t="array" ref="D290">INDEX(기계코드!$D$4:$D$1022,MATCH(1,(C290=기계코드!$F$4:$F$1022)*1,0))</f>
        <v>M_PMP080302</v>
      </c>
      <c r="E290" s="92" t="s">
        <v>1160</v>
      </c>
      <c r="F290" s="7" t="str" cm="1">
        <f t="array" ref="F290">INDEX(공급업체코드!$B$3:$B$1000,MATCH(1,(E290=공급업체코드!$D$3:$D$1000)*1,0))</f>
        <v>VM_DD_ENG</v>
      </c>
      <c r="G290" s="113" t="s">
        <v>1624</v>
      </c>
      <c r="J290">
        <v>0.01</v>
      </c>
      <c r="K290">
        <v>0.06</v>
      </c>
      <c r="Q290" s="137">
        <v>2</v>
      </c>
      <c r="R290">
        <v>40</v>
      </c>
      <c r="T290">
        <v>0.4</v>
      </c>
      <c r="U290" s="7" t="s">
        <v>984</v>
      </c>
      <c r="V290" s="7">
        <v>380</v>
      </c>
      <c r="W290" s="151">
        <v>0.65</v>
      </c>
      <c r="X290" s="7">
        <v>0.9</v>
      </c>
      <c r="Y290" s="7">
        <v>80</v>
      </c>
      <c r="Z290">
        <v>0.123</v>
      </c>
      <c r="AA290" s="274" t="s">
        <v>1390</v>
      </c>
      <c r="AB290" s="61">
        <v>5</v>
      </c>
      <c r="AC290" s="275" t="s">
        <v>1391</v>
      </c>
      <c r="AD290" s="64" t="s">
        <v>1035</v>
      </c>
      <c r="AF290" s="64" t="s">
        <v>1061</v>
      </c>
      <c r="AG290" s="64" t="s">
        <v>1081</v>
      </c>
      <c r="AI290">
        <f>3000000+260000+160000+90000+100000</f>
        <v>3610000</v>
      </c>
      <c r="AJ290" s="64"/>
      <c r="AK290" s="18" t="s">
        <v>1690</v>
      </c>
      <c r="AL290" s="1" t="b">
        <v>1</v>
      </c>
    </row>
    <row r="291" spans="1:38" ht="16.5" customHeight="1">
      <c r="A291" t="s">
        <v>1689</v>
      </c>
      <c r="B291" s="1" t="str">
        <f t="shared" si="14"/>
        <v>M_PMP080302_VM_DD_ENG_DS-10-3_GC250_0.1</v>
      </c>
      <c r="C291" s="92" t="s">
        <v>243</v>
      </c>
      <c r="D291" s="7" t="str" cm="1">
        <f t="array" ref="D291">INDEX(기계코드!$D$4:$D$1022,MATCH(1,(C291=기계코드!$F$4:$F$1022)*1,0))</f>
        <v>M_PMP080302</v>
      </c>
      <c r="E291" s="92" t="s">
        <v>1160</v>
      </c>
      <c r="F291" s="7" t="str" cm="1">
        <f t="array" ref="F291">INDEX(공급업체코드!$B$3:$B$1000,MATCH(1,(E291=공급업체코드!$D$3:$D$1000)*1,0))</f>
        <v>VM_DD_ENG</v>
      </c>
      <c r="G291" s="113" t="s">
        <v>1625</v>
      </c>
      <c r="J291">
        <v>0.02</v>
      </c>
      <c r="K291">
        <v>0.1</v>
      </c>
      <c r="Q291" s="113">
        <v>2</v>
      </c>
      <c r="R291">
        <v>40</v>
      </c>
      <c r="T291">
        <v>0.4</v>
      </c>
      <c r="U291" s="7" t="s">
        <v>984</v>
      </c>
      <c r="V291" s="7">
        <v>380</v>
      </c>
      <c r="W291" s="151">
        <v>0.65</v>
      </c>
      <c r="X291" s="7">
        <v>0.9</v>
      </c>
      <c r="Y291" s="7">
        <v>80</v>
      </c>
      <c r="Z291">
        <v>0.123</v>
      </c>
      <c r="AA291" s="274" t="s">
        <v>1390</v>
      </c>
      <c r="AB291" s="61">
        <v>5</v>
      </c>
      <c r="AC291" s="275" t="s">
        <v>1391</v>
      </c>
      <c r="AD291" s="64" t="s">
        <v>1035</v>
      </c>
      <c r="AF291" s="64" t="s">
        <v>1061</v>
      </c>
      <c r="AG291" s="64" t="s">
        <v>1081</v>
      </c>
      <c r="AI291">
        <f>3200000+280000+180000+90000+100000</f>
        <v>3850000</v>
      </c>
      <c r="AJ291" s="64"/>
      <c r="AK291" s="18" t="s">
        <v>1690</v>
      </c>
      <c r="AL291" s="1" t="b">
        <v>1</v>
      </c>
    </row>
    <row r="292" spans="1:38" ht="16.5" customHeight="1">
      <c r="A292" t="s">
        <v>1691</v>
      </c>
      <c r="B292" s="1" t="str">
        <f t="shared" si="14"/>
        <v>M_PMP080302_VM_DD_ENG_DS-15_GC250_0.45</v>
      </c>
      <c r="C292" s="92" t="s">
        <v>243</v>
      </c>
      <c r="D292" s="7" t="str" cm="1">
        <f t="array" ref="D292">INDEX(기계코드!$D$4:$D$1022,MATCH(1,(C292=기계코드!$F$4:$F$1022)*1,0))</f>
        <v>M_PMP080302</v>
      </c>
      <c r="E292" s="92" t="s">
        <v>1160</v>
      </c>
      <c r="F292" s="7" t="str" cm="1">
        <f t="array" ref="F292">INDEX(공급업체코드!$B$3:$B$1000,MATCH(1,(E292=공급업체코드!$D$3:$D$1000)*1,0))</f>
        <v>VM_DD_ENG</v>
      </c>
      <c r="G292" s="113" t="s">
        <v>1626</v>
      </c>
      <c r="J292">
        <v>0.06</v>
      </c>
      <c r="K292">
        <v>0.45</v>
      </c>
      <c r="Q292" s="113">
        <v>2</v>
      </c>
      <c r="R292">
        <v>40</v>
      </c>
      <c r="T292">
        <v>0.4</v>
      </c>
      <c r="U292" s="7" t="s">
        <v>984</v>
      </c>
      <c r="V292" s="7">
        <v>380</v>
      </c>
      <c r="W292" s="151">
        <v>0.65</v>
      </c>
      <c r="X292" s="7">
        <v>0.9</v>
      </c>
      <c r="Y292" s="7">
        <v>80</v>
      </c>
      <c r="Z292">
        <v>0.123</v>
      </c>
      <c r="AA292" s="274" t="s">
        <v>1390</v>
      </c>
      <c r="AB292" s="61">
        <v>5</v>
      </c>
      <c r="AC292" s="275" t="s">
        <v>1391</v>
      </c>
      <c r="AD292" s="64" t="s">
        <v>1035</v>
      </c>
      <c r="AF292" s="64" t="s">
        <v>1061</v>
      </c>
      <c r="AG292" s="64" t="s">
        <v>1081</v>
      </c>
      <c r="AI292">
        <f>2600000+210000+190000+95000+110000</f>
        <v>3205000</v>
      </c>
      <c r="AJ292" s="64"/>
      <c r="AK292" s="18" t="s">
        <v>1690</v>
      </c>
      <c r="AL292" s="1" t="b">
        <v>1</v>
      </c>
    </row>
    <row r="293" spans="1:38" ht="16.5" customHeight="1">
      <c r="A293" t="s">
        <v>1692</v>
      </c>
      <c r="B293" s="1" t="str">
        <f t="shared" si="14"/>
        <v>M_PMP080302_VM_DD_ENG_DS-20_GC250_1</v>
      </c>
      <c r="C293" s="92" t="s">
        <v>243</v>
      </c>
      <c r="D293" s="7" t="str" cm="1">
        <f t="array" ref="D293">INDEX(기계코드!$D$4:$D$1022,MATCH(1,(C293=기계코드!$F$4:$F$1022)*1,0))</f>
        <v>M_PMP080302</v>
      </c>
      <c r="E293" s="92" t="s">
        <v>1160</v>
      </c>
      <c r="F293" s="7" t="str" cm="1">
        <f t="array" ref="F293">INDEX(공급업체코드!$B$3:$B$1000,MATCH(1,(E293=공급업체코드!$D$3:$D$1000)*1,0))</f>
        <v>VM_DD_ENG</v>
      </c>
      <c r="G293" s="113" t="s">
        <v>1627</v>
      </c>
      <c r="J293">
        <v>0.13</v>
      </c>
      <c r="K293">
        <v>1</v>
      </c>
      <c r="Q293" s="113">
        <v>2</v>
      </c>
      <c r="R293">
        <v>40</v>
      </c>
      <c r="T293">
        <v>0.75</v>
      </c>
      <c r="U293" s="7" t="s">
        <v>984</v>
      </c>
      <c r="V293" s="7">
        <v>380</v>
      </c>
      <c r="W293" s="151">
        <v>0.83499999999999996</v>
      </c>
      <c r="X293" s="7">
        <v>0.9</v>
      </c>
      <c r="Y293" s="7">
        <v>80</v>
      </c>
      <c r="Z293">
        <v>0.123</v>
      </c>
      <c r="AA293" s="274" t="s">
        <v>1390</v>
      </c>
      <c r="AB293" s="61">
        <v>5</v>
      </c>
      <c r="AC293" s="275" t="s">
        <v>1391</v>
      </c>
      <c r="AD293" s="64" t="s">
        <v>1035</v>
      </c>
      <c r="AF293" s="64" t="s">
        <v>1061</v>
      </c>
      <c r="AG293" s="64" t="s">
        <v>1081</v>
      </c>
      <c r="AI293">
        <f>2800000+230000+210000+95000+110000</f>
        <v>3445000</v>
      </c>
      <c r="AJ293" s="64"/>
      <c r="AK293" s="18" t="s">
        <v>1690</v>
      </c>
      <c r="AL293" s="1" t="b">
        <v>1</v>
      </c>
    </row>
    <row r="294" spans="1:38" ht="16.5" customHeight="1">
      <c r="A294" t="s">
        <v>1692</v>
      </c>
      <c r="B294" s="1" t="str">
        <f t="shared" si="14"/>
        <v>M_PMP080302_VM_DD_ENG_DS-30_GC250_3</v>
      </c>
      <c r="C294" s="92" t="s">
        <v>243</v>
      </c>
      <c r="D294" s="7" t="str" cm="1">
        <f t="array" ref="D294">INDEX(기계코드!$D$4:$D$1022,MATCH(1,(C294=기계코드!$F$4:$F$1022)*1,0))</f>
        <v>M_PMP080302</v>
      </c>
      <c r="E294" s="92" t="s">
        <v>1160</v>
      </c>
      <c r="F294" s="7" t="str" cm="1">
        <f t="array" ref="F294">INDEX(공급업체코드!$B$3:$B$1000,MATCH(1,(E294=공급업체코드!$D$3:$D$1000)*1,0))</f>
        <v>VM_DD_ENG</v>
      </c>
      <c r="G294" s="113" t="s">
        <v>1628</v>
      </c>
      <c r="J294">
        <v>0.4</v>
      </c>
      <c r="K294">
        <v>3</v>
      </c>
      <c r="Q294" s="113">
        <v>2</v>
      </c>
      <c r="R294">
        <v>50</v>
      </c>
      <c r="T294">
        <v>1.5</v>
      </c>
      <c r="U294" s="7" t="s">
        <v>984</v>
      </c>
      <c r="V294" s="7">
        <v>380</v>
      </c>
      <c r="W294" s="151">
        <v>0.86499999999999999</v>
      </c>
      <c r="X294" s="7">
        <v>0.9</v>
      </c>
      <c r="Y294" s="7">
        <v>80</v>
      </c>
      <c r="Z294">
        <v>0.123</v>
      </c>
      <c r="AA294" s="274" t="s">
        <v>1390</v>
      </c>
      <c r="AB294" s="61">
        <v>6</v>
      </c>
      <c r="AC294" s="275" t="s">
        <v>1391</v>
      </c>
      <c r="AD294" s="64" t="s">
        <v>1035</v>
      </c>
      <c r="AF294" s="64" t="s">
        <v>1061</v>
      </c>
      <c r="AG294" s="64" t="s">
        <v>1081</v>
      </c>
      <c r="AI294">
        <f>3600000+360000+280000+150000+180000</f>
        <v>4570000</v>
      </c>
      <c r="AJ294" s="64"/>
      <c r="AK294" s="18" t="s">
        <v>1690</v>
      </c>
      <c r="AL294" s="1" t="b">
        <v>1</v>
      </c>
    </row>
    <row r="295" spans="1:38" ht="16.5" customHeight="1">
      <c r="A295" t="s">
        <v>1693</v>
      </c>
      <c r="B295" s="1" t="str">
        <f t="shared" si="14"/>
        <v>M_PMP080302_VM_DD_ENG_DS-30S_GC250_4</v>
      </c>
      <c r="C295" s="92" t="s">
        <v>243</v>
      </c>
      <c r="D295" s="7" t="str" cm="1">
        <f t="array" ref="D295">INDEX(기계코드!$D$4:$D$1022,MATCH(1,(C295=기계코드!$F$4:$F$1022)*1,0))</f>
        <v>M_PMP080302</v>
      </c>
      <c r="E295" s="92" t="s">
        <v>1160</v>
      </c>
      <c r="F295" s="7" t="str" cm="1">
        <f t="array" ref="F295">INDEX(공급업체코드!$B$3:$B$1000,MATCH(1,(E295=공급업체코드!$D$3:$D$1000)*1,0))</f>
        <v>VM_DD_ENG</v>
      </c>
      <c r="G295" s="113" t="s">
        <v>1629</v>
      </c>
      <c r="J295">
        <v>0.6</v>
      </c>
      <c r="K295">
        <v>4</v>
      </c>
      <c r="Q295" s="113">
        <v>2</v>
      </c>
      <c r="R295">
        <v>50</v>
      </c>
      <c r="T295">
        <v>1.5</v>
      </c>
      <c r="U295" s="7" t="s">
        <v>984</v>
      </c>
      <c r="V295" s="7">
        <v>380</v>
      </c>
      <c r="W295" s="151">
        <v>0.86499999999999999</v>
      </c>
      <c r="X295" s="7">
        <v>0.9</v>
      </c>
      <c r="Y295" s="7">
        <v>80</v>
      </c>
      <c r="Z295">
        <v>0.123</v>
      </c>
      <c r="AA295" s="274" t="s">
        <v>1390</v>
      </c>
      <c r="AB295" s="61">
        <v>6</v>
      </c>
      <c r="AC295" s="275" t="s">
        <v>1391</v>
      </c>
      <c r="AD295" s="64" t="s">
        <v>1035</v>
      </c>
      <c r="AF295" s="64" t="s">
        <v>1061</v>
      </c>
      <c r="AG295" s="64" t="s">
        <v>1081</v>
      </c>
      <c r="AI295">
        <f>4000000+420000+280000+150000+180000</f>
        <v>5030000</v>
      </c>
      <c r="AJ295" s="64"/>
      <c r="AK295" s="18" t="s">
        <v>1690</v>
      </c>
      <c r="AL295" s="1" t="b">
        <v>1</v>
      </c>
    </row>
    <row r="296" spans="1:38" ht="16.5" customHeight="1">
      <c r="A296" t="s">
        <v>1694</v>
      </c>
      <c r="B296" s="1" t="str">
        <f>D296&amp;"_"&amp;F296&amp;"_"&amp;G296&amp;"_"&amp;AD296&amp;"_"&amp;K296</f>
        <v>M_PMP080302_VM_DD_ENG_DS-40_GC250_7</v>
      </c>
      <c r="C296" s="92" t="s">
        <v>243</v>
      </c>
      <c r="D296" s="7" t="str" cm="1">
        <f t="array" ref="D296">INDEX(기계코드!$D$4:$D$1022,MATCH(1,(C296=기계코드!$F$4:$F$1022)*1,0))</f>
        <v>M_PMP080302</v>
      </c>
      <c r="E296" s="92" t="s">
        <v>1160</v>
      </c>
      <c r="F296" s="7" t="str" cm="1">
        <f t="array" ref="F296">INDEX(공급업체코드!$B$3:$B$1000,MATCH(1,(E296=공급업체코드!$D$3:$D$1000)*1,0))</f>
        <v>VM_DD_ENG</v>
      </c>
      <c r="G296" s="113" t="s">
        <v>1630</v>
      </c>
      <c r="J296">
        <v>1</v>
      </c>
      <c r="K296">
        <v>7</v>
      </c>
      <c r="Q296" s="113">
        <v>2</v>
      </c>
      <c r="R296">
        <v>65</v>
      </c>
      <c r="T296">
        <v>2.2000000000000002</v>
      </c>
      <c r="U296" s="7" t="s">
        <v>984</v>
      </c>
      <c r="V296" s="7">
        <v>380</v>
      </c>
      <c r="W296" s="151">
        <v>0.89500000000000002</v>
      </c>
      <c r="X296" s="7">
        <v>0.9</v>
      </c>
      <c r="Y296" s="7">
        <v>80</v>
      </c>
      <c r="Z296">
        <v>0.123</v>
      </c>
      <c r="AA296" s="274" t="s">
        <v>1390</v>
      </c>
      <c r="AB296" s="61">
        <v>7</v>
      </c>
      <c r="AC296" s="275" t="s">
        <v>1391</v>
      </c>
      <c r="AD296" s="64" t="s">
        <v>1035</v>
      </c>
      <c r="AF296" s="64" t="s">
        <v>1061</v>
      </c>
      <c r="AG296" s="64" t="s">
        <v>1081</v>
      </c>
      <c r="AI296">
        <f>4500000+740000+430000+180000+220000</f>
        <v>6070000</v>
      </c>
      <c r="AJ296" s="64"/>
      <c r="AK296" s="18" t="s">
        <v>1690</v>
      </c>
      <c r="AL296" s="1" t="b">
        <v>1</v>
      </c>
    </row>
    <row r="297" spans="1:38" ht="16.5" customHeight="1">
      <c r="A297" t="s">
        <v>1695</v>
      </c>
      <c r="B297" s="1" t="str">
        <f t="shared" ref="B297:B309" si="15">D297&amp;"_"&amp;F297&amp;"_"&amp;G297&amp;"_"&amp;AD297&amp;"_"&amp;K297</f>
        <v>M_PMP080302_VM_DD_ENG_DS-50_GC250_13</v>
      </c>
      <c r="C297" s="92" t="s">
        <v>243</v>
      </c>
      <c r="D297" s="7" t="str" cm="1">
        <f t="array" ref="D297">INDEX(기계코드!$D$4:$D$1022,MATCH(1,(C297=기계코드!$F$4:$F$1022)*1,0))</f>
        <v>M_PMP080302</v>
      </c>
      <c r="E297" s="92" t="s">
        <v>1160</v>
      </c>
      <c r="F297" s="7" t="str" cm="1">
        <f t="array" ref="F297">INDEX(공급업체코드!$B$3:$B$1000,MATCH(1,(E297=공급업체코드!$D$3:$D$1000)*1,0))</f>
        <v>VM_DD_ENG</v>
      </c>
      <c r="G297" s="113" t="s">
        <v>1631</v>
      </c>
      <c r="J297">
        <v>2</v>
      </c>
      <c r="K297">
        <v>13</v>
      </c>
      <c r="Q297" s="113">
        <v>2</v>
      </c>
      <c r="R297">
        <v>80</v>
      </c>
      <c r="T297">
        <v>3.7</v>
      </c>
      <c r="U297" s="7" t="s">
        <v>984</v>
      </c>
      <c r="V297" s="7">
        <v>380</v>
      </c>
      <c r="W297" s="151">
        <v>0.89500000000000002</v>
      </c>
      <c r="X297" s="7">
        <v>0.9</v>
      </c>
      <c r="Y297" s="7">
        <v>80</v>
      </c>
      <c r="Z297">
        <v>0.123</v>
      </c>
      <c r="AA297" s="274" t="s">
        <v>1390</v>
      </c>
      <c r="AB297" s="61">
        <v>8</v>
      </c>
      <c r="AC297" s="275" t="s">
        <v>1391</v>
      </c>
      <c r="AD297" s="64" t="s">
        <v>1035</v>
      </c>
      <c r="AF297" s="64" t="s">
        <v>1061</v>
      </c>
      <c r="AG297" s="64" t="s">
        <v>1081</v>
      </c>
      <c r="AI297">
        <f>6200000+940000+550000+230000+280000</f>
        <v>8200000</v>
      </c>
      <c r="AJ297" s="64"/>
      <c r="AK297" s="18" t="s">
        <v>1690</v>
      </c>
      <c r="AL297" s="1" t="b">
        <v>1</v>
      </c>
    </row>
    <row r="298" spans="1:38" ht="16.5" customHeight="1">
      <c r="A298" t="s">
        <v>1696</v>
      </c>
      <c r="B298" s="1" t="str">
        <f t="shared" si="15"/>
        <v>M_PMP080302_VM_DD_ENG_DS-60_GC250_25</v>
      </c>
      <c r="C298" s="92" t="s">
        <v>243</v>
      </c>
      <c r="D298" s="7" t="str" cm="1">
        <f t="array" ref="D298">INDEX(기계코드!$D$4:$D$1022,MATCH(1,(C298=기계코드!$F$4:$F$1022)*1,0))</f>
        <v>M_PMP080302</v>
      </c>
      <c r="E298" s="92" t="s">
        <v>1160</v>
      </c>
      <c r="F298" s="7" t="str" cm="1">
        <f t="array" ref="F298">INDEX(공급업체코드!$B$3:$B$1000,MATCH(1,(E298=공급업체코드!$D$3:$D$1000)*1,0))</f>
        <v>VM_DD_ENG</v>
      </c>
      <c r="G298" s="113" t="s">
        <v>1633</v>
      </c>
      <c r="J298">
        <v>3</v>
      </c>
      <c r="K298">
        <v>25</v>
      </c>
      <c r="Q298" s="113">
        <v>2</v>
      </c>
      <c r="R298">
        <v>100</v>
      </c>
      <c r="T298">
        <v>3.7</v>
      </c>
      <c r="U298" s="7" t="s">
        <v>984</v>
      </c>
      <c r="V298" s="7">
        <v>380</v>
      </c>
      <c r="W298" s="151">
        <v>0.89500000000000002</v>
      </c>
      <c r="X298" s="7">
        <v>0.9</v>
      </c>
      <c r="Y298" s="7">
        <v>80</v>
      </c>
      <c r="Z298">
        <v>0.123</v>
      </c>
      <c r="AA298" s="274" t="s">
        <v>1390</v>
      </c>
      <c r="AB298" s="61">
        <v>8</v>
      </c>
      <c r="AC298" s="275" t="s">
        <v>1391</v>
      </c>
      <c r="AD298" s="64" t="s">
        <v>1035</v>
      </c>
      <c r="AF298" s="64" t="s">
        <v>1061</v>
      </c>
      <c r="AG298" s="64" t="s">
        <v>1081</v>
      </c>
      <c r="AI298">
        <f>6800000+1150000+720000+260000+310000</f>
        <v>9240000</v>
      </c>
      <c r="AJ298" s="64"/>
      <c r="AK298" s="18" t="s">
        <v>1690</v>
      </c>
      <c r="AL298" s="1" t="b">
        <v>1</v>
      </c>
    </row>
    <row r="299" spans="1:38" ht="16.5" customHeight="1">
      <c r="A299" t="s">
        <v>1697</v>
      </c>
      <c r="B299" s="1" t="str">
        <f t="shared" si="15"/>
        <v>M_PMP080302_VM_DD_ENG_DS-60S_GC250_30</v>
      </c>
      <c r="C299" s="92" t="s">
        <v>243</v>
      </c>
      <c r="D299" s="7" t="str" cm="1">
        <f t="array" ref="D299">INDEX(기계코드!$D$4:$D$1022,MATCH(1,(C299=기계코드!$F$4:$F$1022)*1,0))</f>
        <v>M_PMP080302</v>
      </c>
      <c r="E299" s="92" t="s">
        <v>1160</v>
      </c>
      <c r="F299" s="7" t="str" cm="1">
        <f t="array" ref="F299">INDEX(공급업체코드!$B$3:$B$1000,MATCH(1,(E299=공급업체코드!$D$3:$D$1000)*1,0))</f>
        <v>VM_DD_ENG</v>
      </c>
      <c r="G299" s="113" t="s">
        <v>1634</v>
      </c>
      <c r="J299">
        <v>4</v>
      </c>
      <c r="K299">
        <v>30</v>
      </c>
      <c r="Q299" s="113">
        <v>2</v>
      </c>
      <c r="R299">
        <v>100</v>
      </c>
      <c r="T299">
        <v>5.5</v>
      </c>
      <c r="U299" s="7" t="s">
        <v>984</v>
      </c>
      <c r="V299" s="7">
        <v>380</v>
      </c>
      <c r="W299" s="151">
        <v>0.91700000000000004</v>
      </c>
      <c r="X299" s="7">
        <v>0.9</v>
      </c>
      <c r="Y299" s="7">
        <v>80</v>
      </c>
      <c r="Z299">
        <v>0.123</v>
      </c>
      <c r="AA299" s="274" t="s">
        <v>1390</v>
      </c>
      <c r="AB299" s="61">
        <v>9</v>
      </c>
      <c r="AC299" s="275" t="s">
        <v>1391</v>
      </c>
      <c r="AD299" s="64" t="s">
        <v>1035</v>
      </c>
      <c r="AF299" s="64" t="s">
        <v>1061</v>
      </c>
      <c r="AG299" s="64" t="s">
        <v>1081</v>
      </c>
      <c r="AI299">
        <f>8200000+1250000+820000+280000+340000</f>
        <v>10890000</v>
      </c>
      <c r="AJ299" s="64"/>
      <c r="AK299" s="18" t="s">
        <v>1690</v>
      </c>
      <c r="AL299" s="1" t="b">
        <v>1</v>
      </c>
    </row>
    <row r="300" spans="1:38" ht="16.5" customHeight="1">
      <c r="A300" t="s">
        <v>1697</v>
      </c>
      <c r="B300" s="1" t="str">
        <f t="shared" si="15"/>
        <v>M_PMP080302_VM_DD_ENG_DS-74_GC250_35</v>
      </c>
      <c r="C300" s="92" t="s">
        <v>243</v>
      </c>
      <c r="D300" s="7" t="str" cm="1">
        <f t="array" ref="D300">INDEX(기계코드!$D$4:$D$1022,MATCH(1,(C300=기계코드!$F$4:$F$1022)*1,0))</f>
        <v>M_PMP080302</v>
      </c>
      <c r="E300" s="92" t="s">
        <v>1160</v>
      </c>
      <c r="F300" s="7" t="str" cm="1">
        <f t="array" ref="F300">INDEX(공급업체코드!$B$3:$B$1000,MATCH(1,(E300=공급업체코드!$D$3:$D$1000)*1,0))</f>
        <v>VM_DD_ENG</v>
      </c>
      <c r="G300" s="113" t="s">
        <v>1635</v>
      </c>
      <c r="J300">
        <v>5</v>
      </c>
      <c r="K300">
        <v>35</v>
      </c>
      <c r="Q300" s="113">
        <v>2</v>
      </c>
      <c r="R300">
        <v>125</v>
      </c>
      <c r="T300">
        <v>7.5</v>
      </c>
      <c r="U300" s="7" t="s">
        <v>984</v>
      </c>
      <c r="V300" s="7">
        <v>380</v>
      </c>
      <c r="W300" s="151">
        <v>0.91700000000000004</v>
      </c>
      <c r="X300" s="7">
        <v>0.9</v>
      </c>
      <c r="Y300" s="7">
        <v>80</v>
      </c>
      <c r="Z300">
        <v>0.123</v>
      </c>
      <c r="AA300" s="274" t="s">
        <v>1390</v>
      </c>
      <c r="AB300" s="61">
        <v>10</v>
      </c>
      <c r="AC300" s="275" t="s">
        <v>1391</v>
      </c>
      <c r="AD300" s="64" t="s">
        <v>1035</v>
      </c>
      <c r="AF300" s="64" t="s">
        <v>1061</v>
      </c>
      <c r="AG300" s="64" t="s">
        <v>1081</v>
      </c>
      <c r="AI300">
        <f>8500000+1500000+900000+350000+420000</f>
        <v>11670000</v>
      </c>
      <c r="AJ300" s="64"/>
      <c r="AK300" s="18" t="s">
        <v>1690</v>
      </c>
      <c r="AL300" s="1" t="b">
        <v>1</v>
      </c>
    </row>
    <row r="301" spans="1:38" ht="16.5" customHeight="1">
      <c r="A301" t="s">
        <v>1698</v>
      </c>
      <c r="B301" s="1" t="str">
        <f t="shared" si="15"/>
        <v>M_PMP080302_VM_DD_ENG_DS-80_GC250_50</v>
      </c>
      <c r="C301" s="92" t="s">
        <v>243</v>
      </c>
      <c r="D301" s="7" t="str" cm="1">
        <f t="array" ref="D301">INDEX(기계코드!$D$4:$D$1022,MATCH(1,(C301=기계코드!$F$4:$F$1022)*1,0))</f>
        <v>M_PMP080302</v>
      </c>
      <c r="E301" s="92" t="s">
        <v>1160</v>
      </c>
      <c r="F301" s="7" t="str" cm="1">
        <f t="array" ref="F301">INDEX(공급업체코드!$B$3:$B$1000,MATCH(1,(E301=공급업체코드!$D$3:$D$1000)*1,0))</f>
        <v>VM_DD_ENG</v>
      </c>
      <c r="G301" s="113" t="s">
        <v>1637</v>
      </c>
      <c r="J301">
        <v>8</v>
      </c>
      <c r="K301">
        <v>50</v>
      </c>
      <c r="Q301" s="113">
        <v>2</v>
      </c>
      <c r="R301">
        <v>125</v>
      </c>
      <c r="T301">
        <v>7.5</v>
      </c>
      <c r="U301" s="7" t="s">
        <v>984</v>
      </c>
      <c r="V301" s="7">
        <v>380</v>
      </c>
      <c r="W301" s="151">
        <v>0.91700000000000004</v>
      </c>
      <c r="X301" s="7">
        <v>0.9</v>
      </c>
      <c r="Y301" s="7">
        <v>80</v>
      </c>
      <c r="Z301">
        <v>0.123</v>
      </c>
      <c r="AA301" s="274" t="s">
        <v>1390</v>
      </c>
      <c r="AB301" s="61">
        <v>10</v>
      </c>
      <c r="AC301" s="275" t="s">
        <v>1391</v>
      </c>
      <c r="AD301" s="64" t="s">
        <v>1035</v>
      </c>
      <c r="AF301" s="64" t="s">
        <v>1061</v>
      </c>
      <c r="AG301" s="64" t="s">
        <v>1081</v>
      </c>
      <c r="AI301">
        <f>10000000+1700000+1400000+380000+460000</f>
        <v>13940000</v>
      </c>
      <c r="AJ301" s="64"/>
      <c r="AK301" s="18" t="s">
        <v>1690</v>
      </c>
      <c r="AL301" s="1" t="b">
        <v>1</v>
      </c>
    </row>
    <row r="302" spans="1:38" ht="16.5" customHeight="1">
      <c r="A302" t="s">
        <v>1699</v>
      </c>
      <c r="B302" s="1" t="str">
        <f t="shared" si="15"/>
        <v>M_PMP080302_VM_DD_ENG_DS-80S_GC250_70</v>
      </c>
      <c r="C302" s="92" t="s">
        <v>243</v>
      </c>
      <c r="D302" s="7" t="str" cm="1">
        <f t="array" ref="D302">INDEX(기계코드!$D$4:$D$1022,MATCH(1,(C302=기계코드!$F$4:$F$1022)*1,0))</f>
        <v>M_PMP080302</v>
      </c>
      <c r="E302" s="92" t="s">
        <v>1160</v>
      </c>
      <c r="F302" s="7" t="str" cm="1">
        <f t="array" ref="F302">INDEX(공급업체코드!$B$3:$B$1000,MATCH(1,(E302=공급업체코드!$D$3:$D$1000)*1,0))</f>
        <v>VM_DD_ENG</v>
      </c>
      <c r="G302" s="113" t="s">
        <v>1638</v>
      </c>
      <c r="J302">
        <v>12</v>
      </c>
      <c r="K302">
        <v>70</v>
      </c>
      <c r="Q302" s="113">
        <v>2</v>
      </c>
      <c r="R302">
        <v>125</v>
      </c>
      <c r="T302">
        <v>11</v>
      </c>
      <c r="U302" s="7" t="s">
        <v>984</v>
      </c>
      <c r="V302" s="7">
        <v>380</v>
      </c>
      <c r="W302" s="151">
        <v>0.92400000000000004</v>
      </c>
      <c r="X302" s="7">
        <v>0.9</v>
      </c>
      <c r="Y302" s="7">
        <v>80</v>
      </c>
      <c r="Z302">
        <v>0.123</v>
      </c>
      <c r="AA302" s="274" t="s">
        <v>1390</v>
      </c>
      <c r="AB302" s="61">
        <v>11</v>
      </c>
      <c r="AC302" s="275" t="s">
        <v>1391</v>
      </c>
      <c r="AD302" s="64" t="s">
        <v>1035</v>
      </c>
      <c r="AF302" s="64" t="s">
        <v>1061</v>
      </c>
      <c r="AG302" s="64" t="s">
        <v>1081</v>
      </c>
      <c r="AH302" s="113"/>
      <c r="AI302">
        <f>11000000+1800000+1500000+400000+480000</f>
        <v>15180000</v>
      </c>
      <c r="AJ302" s="64"/>
      <c r="AK302" s="18" t="s">
        <v>1690</v>
      </c>
      <c r="AL302" s="1" t="b">
        <v>1</v>
      </c>
    </row>
    <row r="303" spans="1:38" ht="16.5" customHeight="1">
      <c r="A303" t="s">
        <v>1699</v>
      </c>
      <c r="B303" s="1" t="str">
        <f t="shared" si="15"/>
        <v>M_PMP080302_VM_DD_ENG_DS-100_GC250_68</v>
      </c>
      <c r="C303" s="92" t="s">
        <v>243</v>
      </c>
      <c r="D303" s="7" t="str" cm="1">
        <f t="array" ref="D303">INDEX(기계코드!$D$4:$D$1022,MATCH(1,(C303=기계코드!$F$4:$F$1022)*1,0))</f>
        <v>M_PMP080302</v>
      </c>
      <c r="E303" s="92" t="s">
        <v>1160</v>
      </c>
      <c r="F303" s="7" t="str" cm="1">
        <f t="array" ref="F303">INDEX(공급업체코드!$B$3:$B$1000,MATCH(1,(E303=공급업체코드!$D$3:$D$1000)*1,0))</f>
        <v>VM_DD_ENG</v>
      </c>
      <c r="G303" s="113" t="s">
        <v>1639</v>
      </c>
      <c r="J303">
        <v>15</v>
      </c>
      <c r="K303">
        <v>68</v>
      </c>
      <c r="Q303" s="113">
        <v>2</v>
      </c>
      <c r="R303">
        <v>150</v>
      </c>
      <c r="T303">
        <v>15</v>
      </c>
      <c r="U303" s="7" t="s">
        <v>984</v>
      </c>
      <c r="V303" s="7">
        <v>380</v>
      </c>
      <c r="W303" s="151">
        <v>0.93</v>
      </c>
      <c r="X303" s="7">
        <v>0.9</v>
      </c>
      <c r="Y303" s="7">
        <v>80</v>
      </c>
      <c r="Z303">
        <v>0.123</v>
      </c>
      <c r="AA303" s="274" t="s">
        <v>1390</v>
      </c>
      <c r="AB303" s="61">
        <v>12</v>
      </c>
      <c r="AC303" s="275" t="s">
        <v>1391</v>
      </c>
      <c r="AD303" s="64" t="s">
        <v>1035</v>
      </c>
      <c r="AF303" s="64" t="s">
        <v>1061</v>
      </c>
      <c r="AG303" s="64" t="s">
        <v>1081</v>
      </c>
      <c r="AH303" s="113"/>
      <c r="AI303">
        <f>13000000+2500000+1800000+450000+540000</f>
        <v>18290000</v>
      </c>
      <c r="AJ303" s="64"/>
      <c r="AK303" s="18" t="s">
        <v>1690</v>
      </c>
      <c r="AL303" s="1" t="b">
        <v>1</v>
      </c>
    </row>
    <row r="304" spans="1:38" ht="16.5" customHeight="1">
      <c r="A304" t="s">
        <v>1700</v>
      </c>
      <c r="B304" s="1" t="str">
        <f t="shared" si="15"/>
        <v>M_PMP080302_VM_DD_ENG_DS-100S_GC250_86</v>
      </c>
      <c r="C304" s="92" t="s">
        <v>243</v>
      </c>
      <c r="D304" s="7" t="str" cm="1">
        <f t="array" ref="D304">INDEX(기계코드!$D$4:$D$1022,MATCH(1,(C304=기계코드!$F$4:$F$1022)*1,0))</f>
        <v>M_PMP080302</v>
      </c>
      <c r="E304" s="92" t="s">
        <v>1160</v>
      </c>
      <c r="F304" s="7" t="str" cm="1">
        <f t="array" ref="F304">INDEX(공급업체코드!$B$3:$B$1000,MATCH(1,(E304=공급업체코드!$D$3:$D$1000)*1,0))</f>
        <v>VM_DD_ENG</v>
      </c>
      <c r="G304" s="113" t="s">
        <v>1640</v>
      </c>
      <c r="J304">
        <v>19</v>
      </c>
      <c r="K304">
        <v>86</v>
      </c>
      <c r="Q304" s="113">
        <v>2</v>
      </c>
      <c r="R304">
        <v>150</v>
      </c>
      <c r="T304">
        <v>15</v>
      </c>
      <c r="U304" s="7" t="s">
        <v>984</v>
      </c>
      <c r="V304" s="7">
        <v>380</v>
      </c>
      <c r="W304" s="151">
        <v>0.93</v>
      </c>
      <c r="X304" s="7">
        <v>0.9</v>
      </c>
      <c r="Y304" s="7">
        <v>80</v>
      </c>
      <c r="Z304">
        <v>0.123</v>
      </c>
      <c r="AA304" s="274" t="s">
        <v>1390</v>
      </c>
      <c r="AB304" s="61">
        <v>12</v>
      </c>
      <c r="AC304" s="275" t="s">
        <v>1391</v>
      </c>
      <c r="AD304" s="64" t="s">
        <v>1035</v>
      </c>
      <c r="AF304" s="64" t="s">
        <v>1061</v>
      </c>
      <c r="AG304" s="64" t="s">
        <v>1081</v>
      </c>
      <c r="AH304" s="113"/>
      <c r="AI304">
        <f>16000000+2800000+2000000+470000+560000</f>
        <v>21830000</v>
      </c>
      <c r="AJ304" s="64"/>
      <c r="AK304" s="18" t="s">
        <v>1690</v>
      </c>
      <c r="AL304" s="1" t="b">
        <v>1</v>
      </c>
    </row>
    <row r="305" spans="1:38" ht="16.5" customHeight="1">
      <c r="A305" t="s">
        <v>1700</v>
      </c>
      <c r="B305" s="1" t="str">
        <f t="shared" si="15"/>
        <v>M_PMP080302_VM_DD_ENG_DS-120_GC250_100</v>
      </c>
      <c r="C305" s="92" t="s">
        <v>243</v>
      </c>
      <c r="D305" s="7" t="str" cm="1">
        <f t="array" ref="D305">INDEX(기계코드!$D$4:$D$1022,MATCH(1,(C305=기계코드!$F$4:$F$1022)*1,0))</f>
        <v>M_PMP080302</v>
      </c>
      <c r="E305" s="92" t="s">
        <v>1160</v>
      </c>
      <c r="F305" s="7" t="str" cm="1">
        <f t="array" ref="F305">INDEX(공급업체코드!$B$3:$B$1000,MATCH(1,(E305=공급업체코드!$D$3:$D$1000)*1,0))</f>
        <v>VM_DD_ENG</v>
      </c>
      <c r="G305" s="113" t="s">
        <v>1641</v>
      </c>
      <c r="J305">
        <v>26</v>
      </c>
      <c r="K305">
        <v>100</v>
      </c>
      <c r="Q305" s="113">
        <v>2</v>
      </c>
      <c r="R305">
        <v>200</v>
      </c>
      <c r="T305">
        <v>22</v>
      </c>
      <c r="U305" s="7" t="s">
        <v>984</v>
      </c>
      <c r="V305" s="7">
        <v>380</v>
      </c>
      <c r="W305" s="151">
        <v>0.93599999999999994</v>
      </c>
      <c r="X305" s="7">
        <v>0.9</v>
      </c>
      <c r="Y305" s="7">
        <v>80</v>
      </c>
      <c r="Z305">
        <v>0.123</v>
      </c>
      <c r="AA305" s="274" t="s">
        <v>1390</v>
      </c>
      <c r="AB305" s="61">
        <v>13</v>
      </c>
      <c r="AC305" s="275" t="s">
        <v>1391</v>
      </c>
      <c r="AD305" s="64" t="s">
        <v>1035</v>
      </c>
      <c r="AF305" s="64" t="s">
        <v>1061</v>
      </c>
      <c r="AG305" s="64" t="s">
        <v>1081</v>
      </c>
      <c r="AH305" s="113"/>
      <c r="AI305">
        <f>22000000+3500000+3100000+550000+660000</f>
        <v>29810000</v>
      </c>
      <c r="AJ305" s="64"/>
      <c r="AK305" s="18" t="s">
        <v>1690</v>
      </c>
      <c r="AL305" s="1" t="b">
        <v>1</v>
      </c>
    </row>
    <row r="306" spans="1:38" ht="16.5" customHeight="1">
      <c r="A306" t="s">
        <v>1701</v>
      </c>
      <c r="B306" s="1" t="str">
        <f t="shared" si="15"/>
        <v>M_PMP080302_VM_DD_ENG_DS-140_GC250_200</v>
      </c>
      <c r="C306" s="92" t="s">
        <v>243</v>
      </c>
      <c r="D306" s="7" t="str" cm="1">
        <f t="array" ref="D306">INDEX(기계코드!$D$4:$D$1022,MATCH(1,(C306=기계코드!$F$4:$F$1022)*1,0))</f>
        <v>M_PMP080302</v>
      </c>
      <c r="E306" s="92" t="s">
        <v>1160</v>
      </c>
      <c r="F306" s="7" t="str" cm="1">
        <f t="array" ref="F306">INDEX(공급업체코드!$B$3:$B$1000,MATCH(1,(E306=공급업체코드!$D$3:$D$1000)*1,0))</f>
        <v>VM_DD_ENG</v>
      </c>
      <c r="G306" s="113" t="s">
        <v>1642</v>
      </c>
      <c r="J306">
        <v>80</v>
      </c>
      <c r="K306">
        <v>200</v>
      </c>
      <c r="Q306" s="113">
        <v>2</v>
      </c>
      <c r="R306">
        <v>250</v>
      </c>
      <c r="T306">
        <v>30</v>
      </c>
      <c r="U306" s="7" t="s">
        <v>984</v>
      </c>
      <c r="V306" s="7">
        <v>380</v>
      </c>
      <c r="W306" s="151">
        <v>0.94099999999999995</v>
      </c>
      <c r="X306" s="7">
        <v>0.9</v>
      </c>
      <c r="Y306" s="7">
        <v>80</v>
      </c>
      <c r="Z306">
        <v>0.123</v>
      </c>
      <c r="AA306" s="274" t="s">
        <v>1390</v>
      </c>
      <c r="AB306" s="61">
        <v>14</v>
      </c>
      <c r="AC306" s="275" t="s">
        <v>1391</v>
      </c>
      <c r="AD306" s="64" t="s">
        <v>1035</v>
      </c>
      <c r="AF306" s="64" t="s">
        <v>1061</v>
      </c>
      <c r="AG306" s="64" t="s">
        <v>1081</v>
      </c>
      <c r="AH306" s="113"/>
      <c r="AI306">
        <f>25000000+4000000+4600000+650000+780000</f>
        <v>35030000</v>
      </c>
      <c r="AJ306" s="64"/>
      <c r="AK306" s="18" t="s">
        <v>1690</v>
      </c>
      <c r="AL306" s="1" t="b">
        <v>1</v>
      </c>
    </row>
    <row r="307" spans="1:38" ht="16.5" customHeight="1">
      <c r="A307" t="s">
        <v>1701</v>
      </c>
      <c r="B307" s="1" t="str">
        <f t="shared" si="15"/>
        <v>M_PMP080302_VM_DD_ENG_DS-150_GC250_220</v>
      </c>
      <c r="C307" s="92" t="s">
        <v>243</v>
      </c>
      <c r="D307" s="7" t="str" cm="1">
        <f t="array" ref="D307">INDEX(기계코드!$D$4:$D$1022,MATCH(1,(C307=기계코드!$F$4:$F$1022)*1,0))</f>
        <v>M_PMP080302</v>
      </c>
      <c r="E307" s="92" t="s">
        <v>1160</v>
      </c>
      <c r="F307" s="7" t="str" cm="1">
        <f t="array" ref="F307">INDEX(공급업체코드!$B$3:$B$1000,MATCH(1,(E307=공급업체코드!$D$3:$D$1000)*1,0))</f>
        <v>VM_DD_ENG</v>
      </c>
      <c r="G307" s="113" t="s">
        <v>1643</v>
      </c>
      <c r="J307">
        <v>90</v>
      </c>
      <c r="K307">
        <v>220</v>
      </c>
      <c r="Q307" s="113">
        <v>2</v>
      </c>
      <c r="R307">
        <v>250</v>
      </c>
      <c r="T307">
        <v>30</v>
      </c>
      <c r="U307" s="7" t="s">
        <v>984</v>
      </c>
      <c r="V307" s="7">
        <v>380</v>
      </c>
      <c r="W307" s="151">
        <v>0.94099999999999995</v>
      </c>
      <c r="X307" s="7">
        <v>0.9</v>
      </c>
      <c r="Y307" s="7">
        <v>80</v>
      </c>
      <c r="Z307">
        <v>0.123</v>
      </c>
      <c r="AA307" s="274" t="s">
        <v>1390</v>
      </c>
      <c r="AB307" s="61">
        <v>14</v>
      </c>
      <c r="AC307" s="275" t="s">
        <v>1391</v>
      </c>
      <c r="AD307" s="64" t="s">
        <v>1035</v>
      </c>
      <c r="AF307" s="64" t="s">
        <v>1061</v>
      </c>
      <c r="AG307" s="64" t="s">
        <v>1081</v>
      </c>
      <c r="AH307" s="113"/>
      <c r="AI307">
        <f>28000000+5400000+5400000+700000+840000</f>
        <v>40340000</v>
      </c>
      <c r="AJ307" s="64"/>
      <c r="AK307" s="18" t="s">
        <v>1690</v>
      </c>
      <c r="AL307" s="1" t="b">
        <v>1</v>
      </c>
    </row>
    <row r="309" spans="1:38" ht="16.5" customHeight="1">
      <c r="A309" s="203"/>
      <c r="B309" s="1" t="str">
        <f>D309&amp;"_"&amp;F309&amp;"_"&amp;G309&amp;"_"&amp;K309</f>
        <v>M_PMP0205_VM_WILO_PIL-4003D_9</v>
      </c>
      <c r="C309" t="s">
        <v>175</v>
      </c>
      <c r="D309" s="7" t="str" cm="1">
        <f t="array" ref="D309">INDEX(기계코드!$D$4:$D$1022,MATCH(1,(C309=기계코드!$F$4:$F$1022)*1,0))</f>
        <v>M_PMP0205</v>
      </c>
      <c r="E309" t="s">
        <v>1280</v>
      </c>
      <c r="F309" s="7" t="str" cm="1">
        <f t="array" ref="F309">INDEX(공급업체코드!$B$3:$B$1000,MATCH(1,(E309=공급업체코드!$D$3:$D$1000)*1,0))</f>
        <v>VM_WILO</v>
      </c>
      <c r="G309" s="18" t="s">
        <v>1702</v>
      </c>
      <c r="K309">
        <v>9</v>
      </c>
      <c r="O309" s="18">
        <v>24</v>
      </c>
      <c r="R309">
        <v>40</v>
      </c>
      <c r="T309" s="303">
        <v>2.2000000000000002</v>
      </c>
      <c r="U309" s="7" t="s">
        <v>981</v>
      </c>
      <c r="V309" s="7">
        <v>380</v>
      </c>
      <c r="W309" s="302">
        <v>0.89500000000000002</v>
      </c>
      <c r="X309" s="7">
        <v>0.9</v>
      </c>
      <c r="Y309" s="7">
        <v>80</v>
      </c>
      <c r="Z309">
        <v>90</v>
      </c>
      <c r="AA309" s="274" t="s">
        <v>1390</v>
      </c>
      <c r="AB309" s="10">
        <v>7</v>
      </c>
      <c r="AC309" s="275" t="s">
        <v>1391</v>
      </c>
      <c r="AD309" t="s">
        <v>1035</v>
      </c>
      <c r="AE309" t="s">
        <v>1035</v>
      </c>
      <c r="AI309">
        <v>2552000</v>
      </c>
      <c r="AK309" s="18" t="s">
        <v>1703</v>
      </c>
      <c r="AL309" s="1" t="b">
        <v>1</v>
      </c>
    </row>
    <row r="310" spans="1:38" ht="16.5" customHeight="1">
      <c r="A310" s="203"/>
      <c r="B310" s="1" t="str">
        <f t="shared" ref="B310:B328" si="16">D310&amp;"_"&amp;F310&amp;"_"&amp;G310&amp;"_"&amp;K310</f>
        <v>M_PMP0205_VM_WILO_PIL-4005D_9</v>
      </c>
      <c r="C310" t="s">
        <v>175</v>
      </c>
      <c r="D310" s="7" t="str" cm="1">
        <f t="array" ref="D310">INDEX(기계코드!$D$4:$D$1022,MATCH(1,(C310=기계코드!$F$4:$F$1022)*1,0))</f>
        <v>M_PMP0205</v>
      </c>
      <c r="E310" t="s">
        <v>1280</v>
      </c>
      <c r="F310" s="7" t="str" cm="1">
        <f t="array" ref="F310">INDEX(공급업체코드!$B$3:$B$1000,MATCH(1,(E310=공급업체코드!$D$3:$D$1000)*1,0))</f>
        <v>VM_WILO</v>
      </c>
      <c r="G310" s="18" t="s">
        <v>1704</v>
      </c>
      <c r="K310">
        <v>9</v>
      </c>
      <c r="O310" s="18">
        <v>29</v>
      </c>
      <c r="R310">
        <v>40</v>
      </c>
      <c r="T310" s="303">
        <v>3.7</v>
      </c>
      <c r="U310" s="7" t="s">
        <v>981</v>
      </c>
      <c r="V310" s="7">
        <v>380</v>
      </c>
      <c r="W310" s="302">
        <v>0.89500000000000002</v>
      </c>
      <c r="X310" s="7">
        <v>0.9</v>
      </c>
      <c r="Y310" s="7">
        <v>80</v>
      </c>
      <c r="Z310">
        <v>92</v>
      </c>
      <c r="AA310" s="274" t="s">
        <v>1390</v>
      </c>
      <c r="AB310" s="10">
        <v>8</v>
      </c>
      <c r="AC310" s="275" t="s">
        <v>1391</v>
      </c>
      <c r="AD310" t="s">
        <v>1035</v>
      </c>
      <c r="AE310" t="s">
        <v>1035</v>
      </c>
      <c r="AI310">
        <v>2912000</v>
      </c>
      <c r="AK310" s="18" t="s">
        <v>1703</v>
      </c>
      <c r="AL310" s="1" t="b">
        <v>1</v>
      </c>
    </row>
    <row r="311" spans="1:38" ht="16.5" customHeight="1">
      <c r="A311" s="203"/>
      <c r="B311" s="1" t="str">
        <f t="shared" si="16"/>
        <v>M_PMP0205_VM_WILO_PIL-5005D_15</v>
      </c>
      <c r="C311" t="s">
        <v>175</v>
      </c>
      <c r="D311" s="7" t="str" cm="1">
        <f t="array" ref="D311">INDEX(기계코드!$D$4:$D$1022,MATCH(1,(C311=기계코드!$F$4:$F$1022)*1,0))</f>
        <v>M_PMP0205</v>
      </c>
      <c r="E311" t="s">
        <v>1280</v>
      </c>
      <c r="F311" s="7" t="str" cm="1">
        <f t="array" ref="F311">INDEX(공급업체코드!$B$3:$B$1000,MATCH(1,(E311=공급업체코드!$D$3:$D$1000)*1,0))</f>
        <v>VM_WILO</v>
      </c>
      <c r="G311" s="18" t="s">
        <v>1705</v>
      </c>
      <c r="K311">
        <v>15</v>
      </c>
      <c r="O311" s="18">
        <v>24</v>
      </c>
      <c r="R311">
        <v>50</v>
      </c>
      <c r="T311" s="303">
        <v>3.7</v>
      </c>
      <c r="U311" s="7" t="s">
        <v>981</v>
      </c>
      <c r="V311" s="7">
        <v>380</v>
      </c>
      <c r="W311" s="302">
        <v>0.89500000000000002</v>
      </c>
      <c r="X311" s="7">
        <v>0.9</v>
      </c>
      <c r="Y311" s="7">
        <v>80</v>
      </c>
      <c r="Z311">
        <v>87</v>
      </c>
      <c r="AA311" s="274" t="s">
        <v>1390</v>
      </c>
      <c r="AB311" s="10">
        <v>8</v>
      </c>
      <c r="AC311" s="275" t="s">
        <v>1391</v>
      </c>
      <c r="AD311" t="s">
        <v>1035</v>
      </c>
      <c r="AE311" t="s">
        <v>1035</v>
      </c>
      <c r="AI311">
        <v>2988000</v>
      </c>
      <c r="AK311" s="18" t="s">
        <v>1703</v>
      </c>
      <c r="AL311" s="1" t="b">
        <v>1</v>
      </c>
    </row>
    <row r="312" spans="1:38" ht="16.5" customHeight="1">
      <c r="A312" s="203"/>
      <c r="B312" s="1" t="str">
        <f t="shared" si="16"/>
        <v>M_PMP0205_VM_WILO_PIL-5008D_15</v>
      </c>
      <c r="C312" t="s">
        <v>175</v>
      </c>
      <c r="D312" s="7" t="str" cm="1">
        <f t="array" ref="D312">INDEX(기계코드!$D$4:$D$1022,MATCH(1,(C312=기계코드!$F$4:$F$1022)*1,0))</f>
        <v>M_PMP0205</v>
      </c>
      <c r="E312" t="s">
        <v>1280</v>
      </c>
      <c r="F312" s="7" t="str" cm="1">
        <f t="array" ref="F312">INDEX(공급업체코드!$B$3:$B$1000,MATCH(1,(E312=공급업체코드!$D$3:$D$1000)*1,0))</f>
        <v>VM_WILO</v>
      </c>
      <c r="G312" s="18" t="s">
        <v>1706</v>
      </c>
      <c r="K312">
        <v>15</v>
      </c>
      <c r="O312" s="18">
        <v>29</v>
      </c>
      <c r="R312">
        <v>50</v>
      </c>
      <c r="T312" s="303">
        <v>5.5</v>
      </c>
      <c r="U312" s="7" t="s">
        <v>981</v>
      </c>
      <c r="V312" s="7">
        <v>380</v>
      </c>
      <c r="W312" s="302">
        <v>0.91</v>
      </c>
      <c r="X312" s="7">
        <v>0.9</v>
      </c>
      <c r="Y312" s="7">
        <v>80</v>
      </c>
      <c r="Z312">
        <v>100</v>
      </c>
      <c r="AA312" s="274" t="s">
        <v>1390</v>
      </c>
      <c r="AB312" s="10">
        <v>9</v>
      </c>
      <c r="AC312" s="275" t="s">
        <v>1391</v>
      </c>
      <c r="AD312" t="s">
        <v>1035</v>
      </c>
      <c r="AE312" t="s">
        <v>1035</v>
      </c>
      <c r="AI312">
        <v>3569000</v>
      </c>
      <c r="AK312" s="18" t="s">
        <v>1703</v>
      </c>
      <c r="AL312" s="1" t="b">
        <v>1</v>
      </c>
    </row>
    <row r="313" spans="1:38" ht="16.5" customHeight="1">
      <c r="A313" s="203"/>
      <c r="B313" s="1" t="str">
        <f t="shared" si="16"/>
        <v>M_PMP0205_VM_WILO_PIL-6505D_30</v>
      </c>
      <c r="C313" t="s">
        <v>175</v>
      </c>
      <c r="D313" s="7" t="str" cm="1">
        <f t="array" ref="D313">INDEX(기계코드!$D$4:$D$1022,MATCH(1,(C313=기계코드!$F$4:$F$1022)*1,0))</f>
        <v>M_PMP0205</v>
      </c>
      <c r="E313" t="s">
        <v>1280</v>
      </c>
      <c r="F313" s="7" t="str" cm="1">
        <f t="array" ref="F313">INDEX(공급업체코드!$B$3:$B$1000,MATCH(1,(E313=공급업체코드!$D$3:$D$1000)*1,0))</f>
        <v>VM_WILO</v>
      </c>
      <c r="G313" s="18" t="s">
        <v>1707</v>
      </c>
      <c r="K313">
        <v>30</v>
      </c>
      <c r="O313" s="18">
        <v>19</v>
      </c>
      <c r="R313">
        <v>65</v>
      </c>
      <c r="T313" s="303">
        <v>3.7</v>
      </c>
      <c r="U313" s="7" t="s">
        <v>981</v>
      </c>
      <c r="V313" s="7">
        <v>380</v>
      </c>
      <c r="W313" s="302">
        <v>0.89500000000000002</v>
      </c>
      <c r="X313" s="7">
        <v>0.9</v>
      </c>
      <c r="Y313" s="7">
        <v>80</v>
      </c>
      <c r="Z313">
        <v>99</v>
      </c>
      <c r="AA313" s="274" t="s">
        <v>1390</v>
      </c>
      <c r="AB313" s="10">
        <v>8</v>
      </c>
      <c r="AC313" s="275" t="s">
        <v>1391</v>
      </c>
      <c r="AD313" t="s">
        <v>1035</v>
      </c>
      <c r="AE313" t="s">
        <v>1035</v>
      </c>
      <c r="AI313">
        <v>3157000</v>
      </c>
      <c r="AK313" s="18" t="s">
        <v>1703</v>
      </c>
      <c r="AL313" s="1" t="b">
        <v>1</v>
      </c>
    </row>
    <row r="314" spans="1:38" ht="16.5" customHeight="1">
      <c r="A314" s="203"/>
      <c r="B314" s="1" t="str">
        <f t="shared" si="16"/>
        <v>M_PMP0205_VM_WILO_PIL-6508D_30</v>
      </c>
      <c r="C314" t="s">
        <v>175</v>
      </c>
      <c r="D314" s="7" t="str" cm="1">
        <f t="array" ref="D314">INDEX(기계코드!$D$4:$D$1022,MATCH(1,(C314=기계코드!$F$4:$F$1022)*1,0))</f>
        <v>M_PMP0205</v>
      </c>
      <c r="E314" t="s">
        <v>1280</v>
      </c>
      <c r="F314" s="7" t="str" cm="1">
        <f t="array" ref="F314">INDEX(공급업체코드!$B$3:$B$1000,MATCH(1,(E314=공급업체코드!$D$3:$D$1000)*1,0))</f>
        <v>VM_WILO</v>
      </c>
      <c r="G314" s="18" t="s">
        <v>1708</v>
      </c>
      <c r="K314">
        <v>30</v>
      </c>
      <c r="O314" s="18">
        <v>29</v>
      </c>
      <c r="R314">
        <v>65</v>
      </c>
      <c r="T314" s="303">
        <v>5.5</v>
      </c>
      <c r="U314" s="7" t="s">
        <v>981</v>
      </c>
      <c r="V314" s="7">
        <v>380</v>
      </c>
      <c r="W314" s="302">
        <v>0.91</v>
      </c>
      <c r="X314" s="7">
        <v>0.9</v>
      </c>
      <c r="Y314" s="7">
        <v>80</v>
      </c>
      <c r="Z314">
        <v>112</v>
      </c>
      <c r="AA314" s="274" t="s">
        <v>1390</v>
      </c>
      <c r="AB314" s="10">
        <v>9</v>
      </c>
      <c r="AC314" s="275" t="s">
        <v>1391</v>
      </c>
      <c r="AD314" t="s">
        <v>1035</v>
      </c>
      <c r="AE314" t="s">
        <v>1035</v>
      </c>
      <c r="AI314">
        <v>3672000</v>
      </c>
      <c r="AK314" s="18" t="s">
        <v>1703</v>
      </c>
      <c r="AL314" s="1" t="b">
        <v>1</v>
      </c>
    </row>
    <row r="315" spans="1:38" ht="16.5" customHeight="1">
      <c r="A315" s="203"/>
      <c r="B315" s="1" t="str">
        <f t="shared" si="16"/>
        <v>M_PMP0205_VM_WILO_PIL-8008D_60</v>
      </c>
      <c r="C315" t="s">
        <v>175</v>
      </c>
      <c r="D315" s="7" t="str" cm="1">
        <f t="array" ref="D315">INDEX(기계코드!$D$4:$D$1022,MATCH(1,(C315=기계코드!$F$4:$F$1022)*1,0))</f>
        <v>M_PMP0205</v>
      </c>
      <c r="E315" t="s">
        <v>1280</v>
      </c>
      <c r="F315" s="7" t="str" cm="1">
        <f t="array" ref="F315">INDEX(공급업체코드!$B$3:$B$1000,MATCH(1,(E315=공급업체코드!$D$3:$D$1000)*1,0))</f>
        <v>VM_WILO</v>
      </c>
      <c r="G315" s="18" t="s">
        <v>1709</v>
      </c>
      <c r="K315">
        <v>60</v>
      </c>
      <c r="O315" s="18">
        <v>18</v>
      </c>
      <c r="R315">
        <v>80</v>
      </c>
      <c r="T315" s="303">
        <v>5.5</v>
      </c>
      <c r="U315" s="7" t="s">
        <v>981</v>
      </c>
      <c r="V315" s="7">
        <v>380</v>
      </c>
      <c r="W315" s="302">
        <v>0.91</v>
      </c>
      <c r="X315" s="7">
        <v>0.9</v>
      </c>
      <c r="Y315" s="7">
        <v>80</v>
      </c>
      <c r="Z315">
        <v>125</v>
      </c>
      <c r="AA315" s="274" t="s">
        <v>1390</v>
      </c>
      <c r="AB315" s="10">
        <v>9</v>
      </c>
      <c r="AC315" s="275" t="s">
        <v>1391</v>
      </c>
      <c r="AD315" t="s">
        <v>1035</v>
      </c>
      <c r="AE315" t="s">
        <v>1035</v>
      </c>
      <c r="AI315">
        <v>3767000</v>
      </c>
      <c r="AK315" s="18" t="s">
        <v>1703</v>
      </c>
      <c r="AL315" s="1" t="b">
        <v>1</v>
      </c>
    </row>
    <row r="316" spans="1:38" ht="16.5" customHeight="1">
      <c r="A316" s="203"/>
      <c r="B316" s="1" t="str">
        <f t="shared" si="16"/>
        <v>M_PMP0205_VM_WILO_PIL-8010D_60</v>
      </c>
      <c r="C316" t="s">
        <v>175</v>
      </c>
      <c r="D316" s="7" t="str" cm="1">
        <f t="array" ref="D316">INDEX(기계코드!$D$4:$D$1022,MATCH(1,(C316=기계코드!$F$4:$F$1022)*1,0))</f>
        <v>M_PMP0205</v>
      </c>
      <c r="E316" t="s">
        <v>1280</v>
      </c>
      <c r="F316" s="7" t="str" cm="1">
        <f t="array" ref="F316">INDEX(공급업체코드!$B$3:$B$1000,MATCH(1,(E316=공급업체코드!$D$3:$D$1000)*1,0))</f>
        <v>VM_WILO</v>
      </c>
      <c r="G316" s="18" t="s">
        <v>1710</v>
      </c>
      <c r="K316">
        <v>60</v>
      </c>
      <c r="O316" s="18">
        <v>24</v>
      </c>
      <c r="R316">
        <v>80</v>
      </c>
      <c r="T316" s="303">
        <v>7.5</v>
      </c>
      <c r="U316" s="7" t="s">
        <v>981</v>
      </c>
      <c r="V316" s="7">
        <v>380</v>
      </c>
      <c r="W316" s="302">
        <v>0.91700000000000004</v>
      </c>
      <c r="X316" s="7">
        <v>0.9</v>
      </c>
      <c r="Y316" s="7">
        <v>80</v>
      </c>
      <c r="Z316">
        <v>130</v>
      </c>
      <c r="AA316" s="274" t="s">
        <v>1390</v>
      </c>
      <c r="AB316" s="10">
        <v>10</v>
      </c>
      <c r="AC316" s="275" t="s">
        <v>1391</v>
      </c>
      <c r="AD316" t="s">
        <v>1035</v>
      </c>
      <c r="AE316" t="s">
        <v>1035</v>
      </c>
      <c r="AI316">
        <v>4385000</v>
      </c>
      <c r="AK316" s="18" t="s">
        <v>1703</v>
      </c>
      <c r="AL316" s="1" t="b">
        <v>1</v>
      </c>
    </row>
    <row r="317" spans="1:38" ht="16.5" customHeight="1">
      <c r="A317" s="203"/>
      <c r="B317" s="1" t="str">
        <f t="shared" si="16"/>
        <v>M_PMP0205_VM_WILO_PIL-8015D_60</v>
      </c>
      <c r="C317" t="s">
        <v>175</v>
      </c>
      <c r="D317" s="7" t="str" cm="1">
        <f t="array" ref="D317">INDEX(기계코드!$D$4:$D$1022,MATCH(1,(C317=기계코드!$F$4:$F$1022)*1,0))</f>
        <v>M_PMP0205</v>
      </c>
      <c r="E317" t="s">
        <v>1280</v>
      </c>
      <c r="F317" s="7" t="str" cm="1">
        <f t="array" ref="F317">INDEX(공급업체코드!$B$3:$B$1000,MATCH(1,(E317=공급업체코드!$D$3:$D$1000)*1,0))</f>
        <v>VM_WILO</v>
      </c>
      <c r="G317" s="18" t="s">
        <v>1711</v>
      </c>
      <c r="K317">
        <v>60</v>
      </c>
      <c r="O317" s="18">
        <v>29</v>
      </c>
      <c r="R317">
        <v>80</v>
      </c>
      <c r="T317" s="303">
        <v>11</v>
      </c>
      <c r="U317" s="7" t="s">
        <v>981</v>
      </c>
      <c r="V317" s="7">
        <v>380</v>
      </c>
      <c r="W317" s="302">
        <v>0.93</v>
      </c>
      <c r="X317" s="7">
        <v>0.9</v>
      </c>
      <c r="Y317" s="7">
        <v>80</v>
      </c>
      <c r="Z317">
        <v>183</v>
      </c>
      <c r="AA317" s="274" t="s">
        <v>1390</v>
      </c>
      <c r="AB317" s="10">
        <v>11</v>
      </c>
      <c r="AC317" s="275" t="s">
        <v>1391</v>
      </c>
      <c r="AD317" t="s">
        <v>1035</v>
      </c>
      <c r="AE317" t="s">
        <v>1035</v>
      </c>
      <c r="AI317">
        <v>5357000</v>
      </c>
      <c r="AK317" s="18" t="s">
        <v>1703</v>
      </c>
      <c r="AL317" s="1" t="b">
        <v>1</v>
      </c>
    </row>
    <row r="318" spans="1:38" ht="16.5" customHeight="1">
      <c r="A318" s="203"/>
      <c r="B318" s="1" t="str">
        <f t="shared" si="16"/>
        <v>M_PMP0205_VM_WILO_PIL-1010D_96</v>
      </c>
      <c r="C318" t="s">
        <v>175</v>
      </c>
      <c r="D318" s="7" t="str" cm="1">
        <f t="array" ref="D318">INDEX(기계코드!$D$4:$D$1022,MATCH(1,(C318=기계코드!$F$4:$F$1022)*1,0))</f>
        <v>M_PMP0205</v>
      </c>
      <c r="E318" t="s">
        <v>1280</v>
      </c>
      <c r="F318" s="7" t="str" cm="1">
        <f t="array" ref="F318">INDEX(공급업체코드!$B$3:$B$1000,MATCH(1,(E318=공급업체코드!$D$3:$D$1000)*1,0))</f>
        <v>VM_WILO</v>
      </c>
      <c r="G318" s="18" t="s">
        <v>1712</v>
      </c>
      <c r="K318">
        <v>96</v>
      </c>
      <c r="O318" s="18">
        <v>15</v>
      </c>
      <c r="R318">
        <v>100</v>
      </c>
      <c r="T318" s="303">
        <v>7.5</v>
      </c>
      <c r="U318" s="7" t="s">
        <v>981</v>
      </c>
      <c r="V318" s="7">
        <v>380</v>
      </c>
      <c r="W318" s="302">
        <v>0.91700000000000004</v>
      </c>
      <c r="X318" s="7">
        <v>0.9</v>
      </c>
      <c r="Y318" s="7">
        <v>80</v>
      </c>
      <c r="Z318">
        <v>140</v>
      </c>
      <c r="AA318" s="274" t="s">
        <v>1390</v>
      </c>
      <c r="AB318" s="10">
        <v>10</v>
      </c>
      <c r="AC318" s="275" t="s">
        <v>1391</v>
      </c>
      <c r="AD318" t="s">
        <v>1035</v>
      </c>
      <c r="AE318" t="s">
        <v>1035</v>
      </c>
      <c r="AI318">
        <v>4694000</v>
      </c>
      <c r="AK318" s="18" t="s">
        <v>1703</v>
      </c>
      <c r="AL318" s="1" t="b">
        <v>1</v>
      </c>
    </row>
    <row r="319" spans="1:38" ht="16.5" customHeight="1">
      <c r="A319" s="203"/>
      <c r="B319" s="1" t="str">
        <f t="shared" si="16"/>
        <v>M_PMP0205_VM_WILO_PIL-1015D_96</v>
      </c>
      <c r="C319" t="s">
        <v>175</v>
      </c>
      <c r="D319" s="7" t="str" cm="1">
        <f t="array" ref="D319">INDEX(기계코드!$D$4:$D$1022,MATCH(1,(C319=기계코드!$F$4:$F$1022)*1,0))</f>
        <v>M_PMP0205</v>
      </c>
      <c r="E319" t="s">
        <v>1280</v>
      </c>
      <c r="F319" s="7" t="str" cm="1">
        <f t="array" ref="F319">INDEX(공급업체코드!$B$3:$B$1000,MATCH(1,(E319=공급업체코드!$D$3:$D$1000)*1,0))</f>
        <v>VM_WILO</v>
      </c>
      <c r="G319" s="18" t="s">
        <v>1713</v>
      </c>
      <c r="K319">
        <v>96</v>
      </c>
      <c r="O319" s="18">
        <v>24</v>
      </c>
      <c r="R319">
        <v>100</v>
      </c>
      <c r="T319" s="303">
        <v>11</v>
      </c>
      <c r="U319" s="7" t="s">
        <v>981</v>
      </c>
      <c r="V319" s="7">
        <v>380</v>
      </c>
      <c r="W319" s="302">
        <v>0.93</v>
      </c>
      <c r="X319" s="7">
        <v>0.9</v>
      </c>
      <c r="Y319" s="7">
        <v>80</v>
      </c>
      <c r="Z319">
        <v>183</v>
      </c>
      <c r="AA319" s="274" t="s">
        <v>1390</v>
      </c>
      <c r="AB319" s="10">
        <v>11</v>
      </c>
      <c r="AC319" s="275" t="s">
        <v>1391</v>
      </c>
      <c r="AD319" t="s">
        <v>1035</v>
      </c>
      <c r="AE319" t="s">
        <v>1035</v>
      </c>
      <c r="AI319">
        <v>5596000</v>
      </c>
      <c r="AK319" s="18" t="s">
        <v>1703</v>
      </c>
      <c r="AL319" s="1" t="b">
        <v>1</v>
      </c>
    </row>
    <row r="320" spans="1:38" ht="16.5" customHeight="1">
      <c r="A320" s="203"/>
      <c r="B320" s="1" t="str">
        <f t="shared" si="16"/>
        <v>M_PMP0205_VM_WILO_PIL-1020D_96</v>
      </c>
      <c r="C320" t="s">
        <v>175</v>
      </c>
      <c r="D320" s="7" t="str" cm="1">
        <f t="array" ref="D320">INDEX(기계코드!$D$4:$D$1022,MATCH(1,(C320=기계코드!$F$4:$F$1022)*1,0))</f>
        <v>M_PMP0205</v>
      </c>
      <c r="E320" t="s">
        <v>1280</v>
      </c>
      <c r="F320" s="7" t="str" cm="1">
        <f t="array" ref="F320">INDEX(공급업체코드!$B$3:$B$1000,MATCH(1,(E320=공급업체코드!$D$3:$D$1000)*1,0))</f>
        <v>VM_WILO</v>
      </c>
      <c r="G320" s="18" t="s">
        <v>1714</v>
      </c>
      <c r="K320">
        <v>96</v>
      </c>
      <c r="O320" s="18">
        <v>27</v>
      </c>
      <c r="R320">
        <v>100</v>
      </c>
      <c r="T320" s="303">
        <v>15</v>
      </c>
      <c r="U320" s="7" t="s">
        <v>981</v>
      </c>
      <c r="V320" s="7">
        <v>380</v>
      </c>
      <c r="W320" s="302">
        <v>0.93</v>
      </c>
      <c r="X320" s="7">
        <v>0.9</v>
      </c>
      <c r="Y320" s="7">
        <v>80</v>
      </c>
      <c r="Z320">
        <v>188</v>
      </c>
      <c r="AA320" s="274" t="s">
        <v>1390</v>
      </c>
      <c r="AB320" s="10">
        <v>12</v>
      </c>
      <c r="AC320" s="275" t="s">
        <v>1391</v>
      </c>
      <c r="AD320" t="s">
        <v>1035</v>
      </c>
      <c r="AE320" t="s">
        <v>1035</v>
      </c>
      <c r="AI320">
        <v>6935000</v>
      </c>
      <c r="AK320" s="18" t="s">
        <v>1703</v>
      </c>
      <c r="AL320" s="1" t="b">
        <v>1</v>
      </c>
    </row>
    <row r="321" spans="1:38" ht="16.5" customHeight="1">
      <c r="A321" s="203"/>
      <c r="B321" s="1" t="str">
        <f t="shared" si="16"/>
        <v>M_PMP0205_VM_WILO_PIL-1215D_150</v>
      </c>
      <c r="C321" t="s">
        <v>175</v>
      </c>
      <c r="D321" s="7" t="str" cm="1">
        <f t="array" ref="D321">INDEX(기계코드!$D$4:$D$1022,MATCH(1,(C321=기계코드!$F$4:$F$1022)*1,0))</f>
        <v>M_PMP0205</v>
      </c>
      <c r="E321" t="s">
        <v>1280</v>
      </c>
      <c r="F321" s="7" t="str" cm="1">
        <f t="array" ref="F321">INDEX(공급업체코드!$B$3:$B$1000,MATCH(1,(E321=공급업체코드!$D$3:$D$1000)*1,0))</f>
        <v>VM_WILO</v>
      </c>
      <c r="G321" s="18" t="s">
        <v>1715</v>
      </c>
      <c r="K321">
        <v>150</v>
      </c>
      <c r="O321" s="18">
        <v>15</v>
      </c>
      <c r="R321">
        <v>125</v>
      </c>
      <c r="T321" s="303">
        <v>11</v>
      </c>
      <c r="U321" s="7" t="s">
        <v>981</v>
      </c>
      <c r="V321" s="7">
        <v>380</v>
      </c>
      <c r="W321" s="302">
        <v>0.93</v>
      </c>
      <c r="X321" s="7">
        <v>0.9</v>
      </c>
      <c r="Y321" s="7">
        <v>80</v>
      </c>
      <c r="Z321">
        <v>190</v>
      </c>
      <c r="AA321" s="274" t="s">
        <v>1390</v>
      </c>
      <c r="AB321" s="10">
        <v>11</v>
      </c>
      <c r="AC321" s="275" t="s">
        <v>1391</v>
      </c>
      <c r="AD321" t="s">
        <v>1035</v>
      </c>
      <c r="AE321" t="s">
        <v>1035</v>
      </c>
      <c r="AI321">
        <v>6377000</v>
      </c>
      <c r="AK321" s="18" t="s">
        <v>1703</v>
      </c>
      <c r="AL321" s="1" t="b">
        <v>1</v>
      </c>
    </row>
    <row r="322" spans="1:38" ht="16.5" customHeight="1">
      <c r="A322" s="203"/>
      <c r="B322" s="1" t="str">
        <f t="shared" si="16"/>
        <v>M_PMP0205_VM_WILO_PIL-1220D_150</v>
      </c>
      <c r="C322" t="s">
        <v>175</v>
      </c>
      <c r="D322" s="7" t="str" cm="1">
        <f t="array" ref="D322">INDEX(기계코드!$D$4:$D$1022,MATCH(1,(C322=기계코드!$F$4:$F$1022)*1,0))</f>
        <v>M_PMP0205</v>
      </c>
      <c r="E322" t="s">
        <v>1280</v>
      </c>
      <c r="F322" s="7" t="str" cm="1">
        <f t="array" ref="F322">INDEX(공급업체코드!$B$3:$B$1000,MATCH(1,(E322=공급업체코드!$D$3:$D$1000)*1,0))</f>
        <v>VM_WILO</v>
      </c>
      <c r="G322" s="18" t="s">
        <v>1716</v>
      </c>
      <c r="K322">
        <v>150</v>
      </c>
      <c r="O322" s="18">
        <v>21</v>
      </c>
      <c r="R322">
        <v>125</v>
      </c>
      <c r="T322" s="303">
        <v>15</v>
      </c>
      <c r="U322" s="7" t="s">
        <v>981</v>
      </c>
      <c r="V322" s="7">
        <v>380</v>
      </c>
      <c r="W322" s="302">
        <v>0.93</v>
      </c>
      <c r="X322" s="7">
        <v>0.9</v>
      </c>
      <c r="Y322" s="7">
        <v>80</v>
      </c>
      <c r="Z322">
        <v>235</v>
      </c>
      <c r="AA322" s="274" t="s">
        <v>1390</v>
      </c>
      <c r="AB322" s="10">
        <v>12</v>
      </c>
      <c r="AC322" s="275" t="s">
        <v>1391</v>
      </c>
      <c r="AD322" t="s">
        <v>1035</v>
      </c>
      <c r="AE322" t="s">
        <v>1035</v>
      </c>
      <c r="AI322">
        <v>7304000</v>
      </c>
      <c r="AK322" s="18" t="s">
        <v>1703</v>
      </c>
      <c r="AL322" s="1" t="b">
        <v>1</v>
      </c>
    </row>
    <row r="323" spans="1:38" ht="16.5" customHeight="1">
      <c r="A323" s="203"/>
      <c r="B323" s="1" t="str">
        <f t="shared" ref="B323" si="17">D323&amp;"_"&amp;F323&amp;"_"&amp;G323&amp;"_"&amp;K323</f>
        <v>M_PMP0205_VM_WILO_PIL-1225D_150</v>
      </c>
      <c r="C323" t="s">
        <v>175</v>
      </c>
      <c r="D323" s="7" t="str" cm="1">
        <f t="array" ref="D323">INDEX(기계코드!$D$4:$D$1022,MATCH(1,(C323=기계코드!$F$4:$F$1022)*1,0))</f>
        <v>M_PMP0205</v>
      </c>
      <c r="E323" t="s">
        <v>1280</v>
      </c>
      <c r="F323" s="7" t="str" cm="1">
        <f t="array" ref="F323">INDEX(공급업체코드!$B$3:$B$1000,MATCH(1,(E323=공급업체코드!$D$3:$D$1000)*1,0))</f>
        <v>VM_WILO</v>
      </c>
      <c r="G323" s="18" t="s">
        <v>1717</v>
      </c>
      <c r="K323">
        <v>150</v>
      </c>
      <c r="O323" s="18">
        <v>26</v>
      </c>
      <c r="R323">
        <v>125</v>
      </c>
      <c r="T323" s="303">
        <v>18.5</v>
      </c>
      <c r="U323" s="7" t="s">
        <v>981</v>
      </c>
      <c r="V323" s="7">
        <v>380</v>
      </c>
      <c r="W323" s="302">
        <v>0.93600000000000005</v>
      </c>
      <c r="X323" s="7">
        <v>0.9</v>
      </c>
      <c r="Y323" s="7">
        <v>80</v>
      </c>
      <c r="Z323">
        <v>283</v>
      </c>
      <c r="AA323" s="274" t="s">
        <v>1390</v>
      </c>
      <c r="AB323" s="10">
        <v>13</v>
      </c>
      <c r="AC323" s="275" t="s">
        <v>1391</v>
      </c>
      <c r="AD323" t="s">
        <v>1035</v>
      </c>
      <c r="AE323" t="s">
        <v>1035</v>
      </c>
      <c r="AI323">
        <v>8546000</v>
      </c>
      <c r="AK323" s="18" t="s">
        <v>1703</v>
      </c>
      <c r="AL323" s="1" t="b">
        <v>1</v>
      </c>
    </row>
    <row r="324" spans="1:38" ht="16.5" customHeight="1">
      <c r="A324" s="203"/>
      <c r="B324" s="1" t="str">
        <f t="shared" si="16"/>
        <v>M_PMP0205_VM_WILO_PIL-1230D_150</v>
      </c>
      <c r="C324" t="s">
        <v>175</v>
      </c>
      <c r="D324" s="7" t="str" cm="1">
        <f t="array" ref="D324">INDEX(기계코드!$D$4:$D$1022,MATCH(1,(C324=기계코드!$F$4:$F$1022)*1,0))</f>
        <v>M_PMP0205</v>
      </c>
      <c r="E324" t="s">
        <v>1280</v>
      </c>
      <c r="F324" s="7" t="str" cm="1">
        <f t="array" ref="F324">INDEX(공급업체코드!$B$3:$B$1000,MATCH(1,(E324=공급업체코드!$D$3:$D$1000)*1,0))</f>
        <v>VM_WILO</v>
      </c>
      <c r="G324" s="18" t="s">
        <v>1718</v>
      </c>
      <c r="K324">
        <v>150</v>
      </c>
      <c r="O324" s="18">
        <v>28</v>
      </c>
      <c r="R324">
        <v>125</v>
      </c>
      <c r="T324" s="303">
        <v>22</v>
      </c>
      <c r="U324" s="7" t="s">
        <v>981</v>
      </c>
      <c r="V324" s="7">
        <v>380</v>
      </c>
      <c r="W324" s="302">
        <v>0.94099999999999995</v>
      </c>
      <c r="X324" s="7">
        <v>0.9</v>
      </c>
      <c r="Y324" s="7">
        <v>80</v>
      </c>
      <c r="Z324">
        <v>301</v>
      </c>
      <c r="AA324" s="274" t="s">
        <v>1390</v>
      </c>
      <c r="AB324" s="10">
        <v>13</v>
      </c>
      <c r="AC324" s="275" t="s">
        <v>1391</v>
      </c>
      <c r="AD324" t="s">
        <v>1035</v>
      </c>
      <c r="AE324" t="s">
        <v>1035</v>
      </c>
      <c r="AI324">
        <v>9513000</v>
      </c>
      <c r="AK324" s="18" t="s">
        <v>1703</v>
      </c>
      <c r="AL324" s="1" t="b">
        <v>1</v>
      </c>
    </row>
    <row r="325" spans="1:38" ht="16.5" customHeight="1">
      <c r="A325" s="203"/>
      <c r="B325" s="1" t="str">
        <f t="shared" si="16"/>
        <v>M_PMP0205_VM_WILO_PIL-1525D_240</v>
      </c>
      <c r="C325" t="s">
        <v>175</v>
      </c>
      <c r="D325" s="7" t="str" cm="1">
        <f t="array" ref="D325">INDEX(기계코드!$D$4:$D$1022,MATCH(1,(C325=기계코드!$F$4:$F$1022)*1,0))</f>
        <v>M_PMP0205</v>
      </c>
      <c r="E325" t="s">
        <v>1280</v>
      </c>
      <c r="F325" s="7" t="str" cm="1">
        <f t="array" ref="F325">INDEX(공급업체코드!$B$3:$B$1000,MATCH(1,(E325=공급업체코드!$D$3:$D$1000)*1,0))</f>
        <v>VM_WILO</v>
      </c>
      <c r="G325" s="18" t="s">
        <v>1719</v>
      </c>
      <c r="K325">
        <v>240</v>
      </c>
      <c r="O325" s="18">
        <v>17</v>
      </c>
      <c r="R325">
        <v>150</v>
      </c>
      <c r="T325" s="303">
        <v>18.5</v>
      </c>
      <c r="U325" s="7" t="s">
        <v>981</v>
      </c>
      <c r="V325" s="7">
        <v>380</v>
      </c>
      <c r="W325" s="302">
        <v>0.93600000000000005</v>
      </c>
      <c r="X325" s="7">
        <v>0.9</v>
      </c>
      <c r="Y325" s="7">
        <v>80</v>
      </c>
      <c r="Z325">
        <v>291</v>
      </c>
      <c r="AA325" s="274" t="s">
        <v>1390</v>
      </c>
      <c r="AB325" s="10">
        <v>13</v>
      </c>
      <c r="AC325" s="275" t="s">
        <v>1391</v>
      </c>
      <c r="AD325" t="s">
        <v>1035</v>
      </c>
      <c r="AE325" t="s">
        <v>1035</v>
      </c>
      <c r="AI325">
        <v>9974000</v>
      </c>
      <c r="AK325" s="18" t="s">
        <v>1703</v>
      </c>
      <c r="AL325" s="1" t="b">
        <v>1</v>
      </c>
    </row>
    <row r="326" spans="1:38" ht="16.5" customHeight="1">
      <c r="A326" s="203"/>
      <c r="B326" s="1" t="str">
        <f t="shared" si="16"/>
        <v>M_PMP0205_VM_WILO_PIL-1530D_240</v>
      </c>
      <c r="C326" t="s">
        <v>175</v>
      </c>
      <c r="D326" s="7" t="str" cm="1">
        <f t="array" ref="D326">INDEX(기계코드!$D$4:$D$1022,MATCH(1,(C326=기계코드!$F$4:$F$1022)*1,0))</f>
        <v>M_PMP0205</v>
      </c>
      <c r="E326" t="s">
        <v>1280</v>
      </c>
      <c r="F326" s="7" t="str" cm="1">
        <f t="array" ref="F326">INDEX(공급업체코드!$B$3:$B$1000,MATCH(1,(E326=공급업체코드!$D$3:$D$1000)*1,0))</f>
        <v>VM_WILO</v>
      </c>
      <c r="G326" s="18" t="s">
        <v>1720</v>
      </c>
      <c r="K326">
        <v>240</v>
      </c>
      <c r="O326" s="18">
        <v>21</v>
      </c>
      <c r="R326">
        <v>150</v>
      </c>
      <c r="T326" s="303">
        <v>22</v>
      </c>
      <c r="U326" s="7" t="s">
        <v>981</v>
      </c>
      <c r="V326" s="7">
        <v>380</v>
      </c>
      <c r="W326" s="302">
        <v>0.94099999999999995</v>
      </c>
      <c r="X326" s="7">
        <v>0.9</v>
      </c>
      <c r="Y326" s="7">
        <v>80</v>
      </c>
      <c r="Z326">
        <v>314</v>
      </c>
      <c r="AA326" s="274" t="s">
        <v>1390</v>
      </c>
      <c r="AB326" s="10">
        <v>13</v>
      </c>
      <c r="AC326" s="275" t="s">
        <v>1391</v>
      </c>
      <c r="AD326" t="s">
        <v>1035</v>
      </c>
      <c r="AE326" t="s">
        <v>1035</v>
      </c>
      <c r="AI326">
        <v>10337000</v>
      </c>
      <c r="AK326" s="18" t="s">
        <v>1703</v>
      </c>
      <c r="AL326" s="1" t="b">
        <v>1</v>
      </c>
    </row>
    <row r="327" spans="1:38" ht="16.5" customHeight="1">
      <c r="A327" s="203"/>
      <c r="B327" s="1" t="str">
        <f t="shared" si="16"/>
        <v>M_PMP0205_VM_WILO_PIL-1540D_240</v>
      </c>
      <c r="C327" t="s">
        <v>175</v>
      </c>
      <c r="D327" s="7" t="str" cm="1">
        <f t="array" ref="D327">INDEX(기계코드!$D$4:$D$1022,MATCH(1,(C327=기계코드!$F$4:$F$1022)*1,0))</f>
        <v>M_PMP0205</v>
      </c>
      <c r="E327" t="s">
        <v>1280</v>
      </c>
      <c r="F327" s="7" t="str" cm="1">
        <f t="array" ref="F327">INDEX(공급업체코드!$B$3:$B$1000,MATCH(1,(E327=공급업체코드!$D$3:$D$1000)*1,0))</f>
        <v>VM_WILO</v>
      </c>
      <c r="G327" s="18" t="s">
        <v>1721</v>
      </c>
      <c r="K327">
        <v>240</v>
      </c>
      <c r="O327" s="18">
        <v>26</v>
      </c>
      <c r="R327">
        <v>150</v>
      </c>
      <c r="T327" s="303">
        <v>30</v>
      </c>
      <c r="U327" s="7" t="s">
        <v>981</v>
      </c>
      <c r="V327" s="7">
        <v>380</v>
      </c>
      <c r="W327" s="302">
        <v>0.94099999999999995</v>
      </c>
      <c r="X327" s="7">
        <v>0.9</v>
      </c>
      <c r="Y327" s="7">
        <v>80</v>
      </c>
      <c r="Z327">
        <v>370</v>
      </c>
      <c r="AA327" s="274" t="s">
        <v>1390</v>
      </c>
      <c r="AB327" s="10">
        <v>14</v>
      </c>
      <c r="AC327" s="275" t="s">
        <v>1391</v>
      </c>
      <c r="AD327" t="s">
        <v>1035</v>
      </c>
      <c r="AE327" t="s">
        <v>1035</v>
      </c>
      <c r="AI327">
        <v>14087000</v>
      </c>
      <c r="AK327" s="18" t="s">
        <v>1703</v>
      </c>
      <c r="AL327" s="1" t="b">
        <v>1</v>
      </c>
    </row>
    <row r="328" spans="1:38" ht="16.5" customHeight="1">
      <c r="A328" s="203"/>
      <c r="B328" s="1" t="str">
        <f t="shared" si="16"/>
        <v>M_PMP0205_VM_WILO_PIL-2040D_390</v>
      </c>
      <c r="C328" t="s">
        <v>175</v>
      </c>
      <c r="D328" s="7" t="str" cm="1">
        <f t="array" ref="D328">INDEX(기계코드!$D$4:$D$1022,MATCH(1,(C328=기계코드!$F$4:$F$1022)*1,0))</f>
        <v>M_PMP0205</v>
      </c>
      <c r="E328" t="s">
        <v>1280</v>
      </c>
      <c r="F328" s="7" t="str" cm="1">
        <f t="array" ref="F328">INDEX(공급업체코드!$B$3:$B$1000,MATCH(1,(E328=공급업체코드!$D$3:$D$1000)*1,0))</f>
        <v>VM_WILO</v>
      </c>
      <c r="G328" s="18" t="s">
        <v>1722</v>
      </c>
      <c r="K328">
        <v>390</v>
      </c>
      <c r="O328" s="18">
        <v>19</v>
      </c>
      <c r="R328">
        <v>200</v>
      </c>
      <c r="T328" s="303">
        <v>30</v>
      </c>
      <c r="U328" s="7" t="s">
        <v>981</v>
      </c>
      <c r="V328" s="7">
        <v>380</v>
      </c>
      <c r="W328" s="302">
        <v>0.94099999999999995</v>
      </c>
      <c r="X328" s="7">
        <v>0.9</v>
      </c>
      <c r="Y328" s="7">
        <v>80</v>
      </c>
      <c r="Z328">
        <v>540</v>
      </c>
      <c r="AA328" s="274" t="s">
        <v>1390</v>
      </c>
      <c r="AB328" s="10">
        <v>14</v>
      </c>
      <c r="AC328" s="275" t="s">
        <v>1391</v>
      </c>
      <c r="AD328" t="s">
        <v>1035</v>
      </c>
      <c r="AE328" t="s">
        <v>1035</v>
      </c>
      <c r="AI328">
        <v>14994000</v>
      </c>
      <c r="AK328" s="18" t="s">
        <v>1703</v>
      </c>
      <c r="AL328" s="1" t="b">
        <v>1</v>
      </c>
    </row>
    <row r="329" spans="1:38" ht="16.5" customHeight="1">
      <c r="A329" s="203"/>
      <c r="B329" s="1" t="str">
        <f t="shared" ref="B329:B330" si="18">D329&amp;"_"&amp;F329&amp;"_"&amp;G329&amp;"_"&amp;K329</f>
        <v>M_PMP0205_VM_WILO_PIL-2050D_390</v>
      </c>
      <c r="C329" t="s">
        <v>175</v>
      </c>
      <c r="D329" s="7" t="str" cm="1">
        <f t="array" ref="D329">INDEX(기계코드!$D$4:$D$1022,MATCH(1,(C329=기계코드!$F$4:$F$1022)*1,0))</f>
        <v>M_PMP0205</v>
      </c>
      <c r="E329" t="s">
        <v>1280</v>
      </c>
      <c r="F329" s="7" t="str" cm="1">
        <f t="array" ref="F329">INDEX(공급업체코드!$B$3:$B$1000,MATCH(1,(E329=공급업체코드!$D$3:$D$1000)*1,0))</f>
        <v>VM_WILO</v>
      </c>
      <c r="G329" s="18" t="s">
        <v>1723</v>
      </c>
      <c r="K329">
        <v>390</v>
      </c>
      <c r="O329" s="18">
        <v>23</v>
      </c>
      <c r="R329">
        <v>200</v>
      </c>
      <c r="T329" s="303">
        <v>37</v>
      </c>
      <c r="U329" s="7" t="s">
        <v>981</v>
      </c>
      <c r="V329" s="7">
        <v>380</v>
      </c>
      <c r="W329" s="302">
        <v>0.94499999999999995</v>
      </c>
      <c r="X329" s="7">
        <v>0.9</v>
      </c>
      <c r="Y329" s="7">
        <v>80</v>
      </c>
      <c r="Z329">
        <v>590</v>
      </c>
      <c r="AA329" s="274" t="s">
        <v>1390</v>
      </c>
      <c r="AB329" s="10">
        <v>14</v>
      </c>
      <c r="AC329" s="275" t="s">
        <v>1391</v>
      </c>
      <c r="AD329" t="s">
        <v>1035</v>
      </c>
      <c r="AE329" t="s">
        <v>1035</v>
      </c>
      <c r="AI329">
        <v>21173000</v>
      </c>
      <c r="AK329" s="18" t="s">
        <v>1703</v>
      </c>
      <c r="AL329" s="1" t="b">
        <v>1</v>
      </c>
    </row>
    <row r="330" spans="1:38" ht="16.5" customHeight="1">
      <c r="A330" s="203"/>
      <c r="B330" s="1" t="str">
        <f t="shared" si="18"/>
        <v>M_PMP0205_VM_WILO_PIL-2060D_390</v>
      </c>
      <c r="C330" t="s">
        <v>175</v>
      </c>
      <c r="D330" s="7" t="str" cm="1">
        <f t="array" ref="D330">INDEX(기계코드!$D$4:$D$1022,MATCH(1,(C330=기계코드!$F$4:$F$1022)*1,0))</f>
        <v>M_PMP0205</v>
      </c>
      <c r="E330" t="s">
        <v>1280</v>
      </c>
      <c r="F330" s="7" t="str" cm="1">
        <f t="array" ref="F330">INDEX(공급업체코드!$B$3:$B$1000,MATCH(1,(E330=공급업체코드!$D$3:$D$1000)*1,0))</f>
        <v>VM_WILO</v>
      </c>
      <c r="G330" s="18" t="s">
        <v>1724</v>
      </c>
      <c r="K330">
        <v>390</v>
      </c>
      <c r="O330" s="18">
        <v>27</v>
      </c>
      <c r="R330">
        <v>200</v>
      </c>
      <c r="T330" s="303">
        <v>45</v>
      </c>
      <c r="U330" s="7" t="s">
        <v>981</v>
      </c>
      <c r="V330" s="7">
        <v>380</v>
      </c>
      <c r="W330" s="302">
        <v>0.95</v>
      </c>
      <c r="X330" s="7">
        <v>0.9</v>
      </c>
      <c r="Y330" s="7">
        <v>80</v>
      </c>
      <c r="Z330">
        <v>610</v>
      </c>
      <c r="AA330" s="274" t="s">
        <v>1390</v>
      </c>
      <c r="AB330" s="10">
        <v>15</v>
      </c>
      <c r="AC330" s="275" t="s">
        <v>1391</v>
      </c>
      <c r="AD330" t="s">
        <v>1035</v>
      </c>
      <c r="AE330" t="s">
        <v>1035</v>
      </c>
      <c r="AI330">
        <v>24397000</v>
      </c>
      <c r="AK330" s="18" t="s">
        <v>1703</v>
      </c>
      <c r="AL330" s="1" t="b">
        <v>1</v>
      </c>
    </row>
    <row r="331" spans="1:38" ht="16.5" customHeight="1">
      <c r="B331" s="1"/>
      <c r="D331" s="7"/>
      <c r="F331" s="7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017DAFE-CE87-4F45-846A-A560AD060F36}">
          <x14:formula1>
            <xm:f>공급업체코드!$D$3:$D$100</xm:f>
          </x14:formula1>
          <xm:sqref>E3:E87 E278:E289</xm:sqref>
        </x14:dataValidation>
        <x14:dataValidation type="list" allowBlank="1" showInputMessage="1" showErrorMessage="1" xr:uid="{100CF382-38A5-4FAE-90A2-20EC2BF16AC7}">
          <x14:formula1>
            <xm:f>재질코드!$D$4:$D$41</xm:f>
          </x14:formula1>
          <xm:sqref>AF196:AG223 AD196:AD223 AD3:AE195 AD290:AD307 AF290:AG307</xm:sqref>
        </x14:dataValidation>
        <x14:dataValidation type="list" allowBlank="1" showInputMessage="1" showErrorMessage="1" xr:uid="{3BC5BB4A-474B-4FB0-9AD3-47F821C535A3}">
          <x14:formula1>
            <xm:f>공급업체코드!$D$3:$D$47</xm:f>
          </x14:formula1>
          <xm:sqref>E88:E277 E290:E307</xm:sqref>
        </x14:dataValidation>
        <x14:dataValidation type="list" allowBlank="1" showInputMessage="1" showErrorMessage="1" xr:uid="{5CC91151-298E-4334-8C5D-49C4E612995B}">
          <x14:formula1>
            <xm:f>기계코드!$F$45:$F$79</xm:f>
          </x14:formula1>
          <xm:sqref>C274:C277 C4:C272 C290:C307</xm:sqref>
        </x14:dataValidation>
        <x14:dataValidation type="list" allowBlank="1" showInputMessage="1" showErrorMessage="1" xr:uid="{B42AFC71-4067-4BC1-989C-A96513983DC0}">
          <x14:formula1>
            <xm:f>기계코드!$F$45:$F$81</xm:f>
          </x14:formula1>
          <xm:sqref>C273 C3 C278:C289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0B4B-1CD7-407E-BFDE-96952F5B62AF}">
  <sheetPr>
    <tabColor rgb="FFFFFF00"/>
  </sheetPr>
  <dimension ref="A1:AJ128"/>
  <sheetViews>
    <sheetView tabSelected="1" zoomScale="70" zoomScaleNormal="70" workbookViewId="0">
      <pane ySplit="2" topLeftCell="A92" activePane="bottomLeft" state="frozen"/>
      <selection pane="bottomLeft" activeCell="AB127" sqref="AB127"/>
    </sheetView>
  </sheetViews>
  <sheetFormatPr defaultRowHeight="16.5" customHeight="1"/>
  <cols>
    <col min="1" max="1" width="34.375" bestFit="1" customWidth="1"/>
    <col min="2" max="2" width="37.75" customWidth="1"/>
    <col min="3" max="3" width="40.125" customWidth="1"/>
    <col min="4" max="5" width="16.125" customWidth="1"/>
    <col min="6" max="6" width="13.875" bestFit="1" customWidth="1"/>
    <col min="7" max="7" width="34.375" style="18" bestFit="1" customWidth="1"/>
    <col min="8" max="8" width="16.25" customWidth="1"/>
    <col min="9" max="9" width="17.75" bestFit="1" customWidth="1"/>
    <col min="10" max="10" width="13.125" customWidth="1"/>
    <col min="11" max="11" width="15.25" customWidth="1"/>
    <col min="12" max="12" width="17.125" bestFit="1" customWidth="1"/>
    <col min="13" max="13" width="19.75" bestFit="1" customWidth="1"/>
    <col min="14" max="14" width="20.875" bestFit="1" customWidth="1"/>
    <col min="15" max="15" width="24.75" bestFit="1" customWidth="1"/>
    <col min="16" max="16" width="16.125" customWidth="1"/>
    <col min="17" max="17" width="16.125" style="147" customWidth="1"/>
    <col min="18" max="18" width="25.75" bestFit="1" customWidth="1"/>
    <col min="19" max="19" width="16.125" style="18" customWidth="1"/>
    <col min="20" max="20" width="16.25" customWidth="1"/>
    <col min="21" max="21" width="16.125" customWidth="1"/>
    <col min="22" max="22" width="16.125" style="18" customWidth="1"/>
    <col min="23" max="23" width="16.125" customWidth="1"/>
    <col min="24" max="24" width="21.25" bestFit="1" customWidth="1"/>
    <col min="25" max="25" width="26.75" style="18" bestFit="1" customWidth="1"/>
    <col min="26" max="26" width="10.5" customWidth="1"/>
    <col min="27" max="27" width="27.625" bestFit="1" customWidth="1"/>
    <col min="28" max="28" width="20.625" style="113" customWidth="1"/>
    <col min="30" max="30" width="12.375" customWidth="1"/>
    <col min="31" max="31" width="11.375" bestFit="1" customWidth="1"/>
    <col min="34" max="34" width="22.125" bestFit="1" customWidth="1"/>
    <col min="35" max="35" width="36.375" bestFit="1" customWidth="1"/>
    <col min="36" max="36" width="15.375" bestFit="1" customWidth="1"/>
  </cols>
  <sheetData>
    <row r="1" spans="1:36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1725</v>
      </c>
      <c r="I1" s="10" t="s">
        <v>1726</v>
      </c>
      <c r="J1" s="10" t="s">
        <v>1318</v>
      </c>
      <c r="K1" s="10" t="s">
        <v>1319</v>
      </c>
      <c r="L1" s="10" t="s">
        <v>1320</v>
      </c>
      <c r="M1" s="10" t="s">
        <v>1321</v>
      </c>
      <c r="N1" s="10" t="s">
        <v>1322</v>
      </c>
      <c r="O1" s="10" t="s">
        <v>1323</v>
      </c>
      <c r="P1" s="10" t="s">
        <v>1324</v>
      </c>
      <c r="Q1" s="131" t="s">
        <v>1344</v>
      </c>
      <c r="R1" s="131" t="s">
        <v>1345</v>
      </c>
      <c r="S1" s="131" t="s">
        <v>1346</v>
      </c>
      <c r="U1" s="10" t="s">
        <v>1727</v>
      </c>
      <c r="V1" s="17" t="s">
        <v>1728</v>
      </c>
      <c r="W1" s="10" t="s">
        <v>1293</v>
      </c>
      <c r="X1" s="17" t="s">
        <v>1294</v>
      </c>
      <c r="Y1" s="61" t="s">
        <v>1295</v>
      </c>
      <c r="Z1" s="10" t="s">
        <v>1296</v>
      </c>
      <c r="AA1" s="10" t="s">
        <v>1729</v>
      </c>
      <c r="AB1" s="210" t="s">
        <v>1298</v>
      </c>
    </row>
    <row r="2" spans="1:36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1730</v>
      </c>
      <c r="I2" s="4" t="s">
        <v>1731</v>
      </c>
      <c r="J2" s="5" t="s">
        <v>1371</v>
      </c>
      <c r="K2" s="5" t="s">
        <v>1732</v>
      </c>
      <c r="L2" s="53" t="s">
        <v>1329</v>
      </c>
      <c r="M2" s="5" t="s">
        <v>1330</v>
      </c>
      <c r="N2" s="5" t="s">
        <v>1331</v>
      </c>
      <c r="O2" s="5" t="s">
        <v>1332</v>
      </c>
      <c r="P2" s="5" t="s">
        <v>1349</v>
      </c>
      <c r="Q2" s="5" t="s">
        <v>1350</v>
      </c>
      <c r="R2" s="5" t="s">
        <v>1351</v>
      </c>
      <c r="S2" s="5" t="s">
        <v>1352</v>
      </c>
      <c r="T2" s="39" t="s">
        <v>1300</v>
      </c>
      <c r="U2" s="4" t="s">
        <v>1733</v>
      </c>
      <c r="V2" s="13" t="s">
        <v>1734</v>
      </c>
      <c r="W2" s="19" t="s">
        <v>1308</v>
      </c>
      <c r="X2" s="16" t="s">
        <v>1309</v>
      </c>
      <c r="Y2" s="241" t="s">
        <v>1310</v>
      </c>
      <c r="Z2" s="54" t="s">
        <v>1311</v>
      </c>
      <c r="AA2" s="3" t="s">
        <v>10</v>
      </c>
      <c r="AB2" s="242" t="s">
        <v>1312</v>
      </c>
      <c r="AH2" s="41"/>
      <c r="AI2" s="41"/>
      <c r="AJ2" s="41"/>
    </row>
    <row r="3" spans="1:36">
      <c r="A3" t="s">
        <v>1735</v>
      </c>
      <c r="B3" s="1" t="str">
        <f t="shared" ref="B3:B34" si="0">D3&amp;"_"&amp;F3&amp;"_"&amp;H3&amp;"_"&amp;I3</f>
        <v>M_VAV0201_VM_KJ_IND_200_10</v>
      </c>
      <c r="C3" s="7" t="s">
        <v>1736</v>
      </c>
      <c r="D3" s="7" t="str" cm="1">
        <f t="array" ref="D3">INDEX(기계코드!$D$4:$D$1022,MATCH(1,(C3=기계코드!$F$4:$F$1022)*1,0))</f>
        <v>M_VAV0201</v>
      </c>
      <c r="E3" s="7" t="s">
        <v>1737</v>
      </c>
      <c r="F3" s="7" t="str" cm="1">
        <f t="array" ref="F3">INDEX(공급업체코드!$B$3:$B$1000,MATCH(1,(E3=공급업체코드!$D$3:$D$1000)*1,0))</f>
        <v>VM_KJ_IND</v>
      </c>
      <c r="H3" s="64">
        <v>200</v>
      </c>
      <c r="I3" s="64">
        <v>10</v>
      </c>
      <c r="J3" s="70">
        <v>0.4</v>
      </c>
      <c r="K3" s="7" t="s">
        <v>990</v>
      </c>
      <c r="L3" s="7">
        <v>380</v>
      </c>
      <c r="M3" s="151">
        <v>0.65</v>
      </c>
      <c r="N3" s="7">
        <v>0.9</v>
      </c>
      <c r="O3" s="7">
        <v>10</v>
      </c>
      <c r="P3">
        <v>0.123</v>
      </c>
      <c r="Q3" s="148" t="s">
        <v>1390</v>
      </c>
      <c r="R3" s="149">
        <v>31</v>
      </c>
      <c r="S3" s="150" t="s">
        <v>1391</v>
      </c>
      <c r="T3" t="s">
        <v>1738</v>
      </c>
      <c r="U3" s="1" t="str" cm="1">
        <f t="array" ref="U3">INDEX(기자재코드!$D$4:$D$25,MATCH(1,(T3=기자재코드!$F$4:$F$25)*1,0))</f>
        <v>S_VAV01</v>
      </c>
      <c r="V3" s="91" t="s">
        <v>1007</v>
      </c>
      <c r="W3" s="64">
        <v>10964400</v>
      </c>
      <c r="X3" s="64"/>
      <c r="Y3" s="18" t="s">
        <v>1739</v>
      </c>
      <c r="Z3" s="1" t="b">
        <v>1</v>
      </c>
      <c r="AB3" s="133"/>
      <c r="AH3" s="41"/>
      <c r="AI3" s="41"/>
      <c r="AJ3" s="41"/>
    </row>
    <row r="4" spans="1:36">
      <c r="A4" t="s">
        <v>1740</v>
      </c>
      <c r="B4" s="1" t="str">
        <f t="shared" si="0"/>
        <v>M_VAV0201_VM_KJ_IND_250_10</v>
      </c>
      <c r="C4" s="7" t="s">
        <v>1736</v>
      </c>
      <c r="D4" s="7" t="str" cm="1">
        <f t="array" ref="D4">INDEX(기계코드!$D$4:$D$1022,MATCH(1,(C4=기계코드!$F$4:$F$1022)*1,0))</f>
        <v>M_VAV0201</v>
      </c>
      <c r="E4" s="7" t="s">
        <v>1737</v>
      </c>
      <c r="F4" s="7" t="str" cm="1">
        <f t="array" ref="F4">INDEX(공급업체코드!$B$3:$B$1000,MATCH(1,(E4=공급업체코드!$D$3:$D$1000)*1,0))</f>
        <v>VM_KJ_IND</v>
      </c>
      <c r="H4" s="64">
        <v>250</v>
      </c>
      <c r="I4" s="64">
        <v>10</v>
      </c>
      <c r="J4" s="70">
        <v>0.4</v>
      </c>
      <c r="K4" s="7" t="s">
        <v>990</v>
      </c>
      <c r="L4" s="7">
        <v>380</v>
      </c>
      <c r="M4" s="151">
        <v>0.65</v>
      </c>
      <c r="N4" s="7">
        <v>0.9</v>
      </c>
      <c r="O4" s="7">
        <v>10</v>
      </c>
      <c r="P4">
        <v>0.123</v>
      </c>
      <c r="Q4" s="147" t="s">
        <v>1390</v>
      </c>
      <c r="R4" s="7">
        <v>32</v>
      </c>
      <c r="S4" s="18" t="s">
        <v>1391</v>
      </c>
      <c r="T4" t="s">
        <v>1738</v>
      </c>
      <c r="U4" s="1" t="str" cm="1">
        <f t="array" ref="U4">INDEX(기자재코드!$D$4:$D$25,MATCH(1,(T4=기자재코드!$F$4:$F$25)*1,0))</f>
        <v>S_VAV01</v>
      </c>
      <c r="V4" s="91" t="s">
        <v>1741</v>
      </c>
      <c r="W4" s="64">
        <v>11461200</v>
      </c>
      <c r="X4" s="64"/>
      <c r="Y4" s="18" t="s">
        <v>1739</v>
      </c>
      <c r="Z4" s="1" t="b">
        <v>1</v>
      </c>
      <c r="AB4" s="133"/>
      <c r="AH4" s="41"/>
      <c r="AI4" s="41"/>
      <c r="AJ4" s="41"/>
    </row>
    <row r="5" spans="1:36">
      <c r="A5" t="s">
        <v>1742</v>
      </c>
      <c r="B5" s="1" t="str">
        <f t="shared" si="0"/>
        <v>M_VAV0201_VM_KJ_IND_300_10</v>
      </c>
      <c r="C5" s="7" t="s">
        <v>44</v>
      </c>
      <c r="D5" s="7" t="str" cm="1">
        <f t="array" ref="D5">INDEX(기계코드!$D$4:$D$1022,MATCH(1,(C5=기계코드!$F$4:$F$1022)*1,0))</f>
        <v>M_VAV0201</v>
      </c>
      <c r="E5" s="7" t="s">
        <v>1737</v>
      </c>
      <c r="F5" s="7" t="str" cm="1">
        <f t="array" ref="F5">INDEX(공급업체코드!$B$3:$B$1000,MATCH(1,(E5=공급업체코드!$D$3:$D$1000)*1,0))</f>
        <v>VM_KJ_IND</v>
      </c>
      <c r="H5" s="64">
        <v>300</v>
      </c>
      <c r="I5" s="64">
        <v>10</v>
      </c>
      <c r="J5" s="70">
        <v>0.4</v>
      </c>
      <c r="K5" s="7" t="s">
        <v>990</v>
      </c>
      <c r="L5" s="7">
        <v>380</v>
      </c>
      <c r="M5" s="151">
        <v>0.65</v>
      </c>
      <c r="N5" s="7">
        <v>0.9</v>
      </c>
      <c r="O5" s="7">
        <v>10</v>
      </c>
      <c r="P5">
        <v>0.123</v>
      </c>
      <c r="Q5" s="147" t="s">
        <v>1390</v>
      </c>
      <c r="R5" s="7">
        <v>33</v>
      </c>
      <c r="S5" s="18" t="s">
        <v>1391</v>
      </c>
      <c r="T5" t="s">
        <v>1738</v>
      </c>
      <c r="U5" s="1" t="str" cm="1">
        <f t="array" ref="U5">INDEX(기자재코드!$D$4:$D$25,MATCH(1,(T5=기자재코드!$F$4:$F$25)*1,0))</f>
        <v>S_VAV01</v>
      </c>
      <c r="V5" s="91" t="s">
        <v>1741</v>
      </c>
      <c r="W5" s="64">
        <v>12177600</v>
      </c>
      <c r="X5" s="64"/>
      <c r="Y5" s="18" t="s">
        <v>1739</v>
      </c>
      <c r="Z5" s="1" t="b">
        <v>1</v>
      </c>
      <c r="AB5" s="133"/>
      <c r="AH5" s="41"/>
      <c r="AI5" s="41"/>
      <c r="AJ5" s="41"/>
    </row>
    <row r="6" spans="1:36">
      <c r="A6" t="s">
        <v>1743</v>
      </c>
      <c r="B6" s="1" t="str">
        <f t="shared" si="0"/>
        <v>M_VAV0201_VM_KJ_IND_350_10</v>
      </c>
      <c r="C6" s="7" t="s">
        <v>1736</v>
      </c>
      <c r="D6" s="7" t="str" cm="1">
        <f t="array" ref="D6">INDEX(기계코드!$D$4:$D$1022,MATCH(1,(C6=기계코드!$F$4:$F$1022)*1,0))</f>
        <v>M_VAV0201</v>
      </c>
      <c r="E6" s="7" t="s">
        <v>1737</v>
      </c>
      <c r="F6" s="7" t="str" cm="1">
        <f t="array" ref="F6">INDEX(공급업체코드!$B$3:$B$1000,MATCH(1,(E6=공급업체코드!$D$3:$D$1000)*1,0))</f>
        <v>VM_KJ_IND</v>
      </c>
      <c r="H6" s="64">
        <v>350</v>
      </c>
      <c r="I6" s="64">
        <v>10</v>
      </c>
      <c r="J6" s="70">
        <v>0.75</v>
      </c>
      <c r="K6" s="7" t="s">
        <v>990</v>
      </c>
      <c r="L6" s="7">
        <v>380</v>
      </c>
      <c r="M6" s="151">
        <v>0.83499999999999996</v>
      </c>
      <c r="N6" s="7">
        <v>0.9</v>
      </c>
      <c r="O6" s="7">
        <v>10</v>
      </c>
      <c r="P6">
        <v>0.123</v>
      </c>
      <c r="Q6" s="147" t="s">
        <v>1390</v>
      </c>
      <c r="R6" s="7">
        <v>34</v>
      </c>
      <c r="S6" s="18" t="s">
        <v>1391</v>
      </c>
      <c r="T6" t="s">
        <v>1738</v>
      </c>
      <c r="U6" s="1" t="str" cm="1">
        <f t="array" ref="U6">INDEX(기자재코드!$D$4:$D$25,MATCH(1,(T6=기자재코드!$F$4:$F$25)*1,0))</f>
        <v>S_VAV01</v>
      </c>
      <c r="V6" s="91" t="s">
        <v>1741</v>
      </c>
      <c r="W6" s="64">
        <v>13221600</v>
      </c>
      <c r="X6" s="64"/>
      <c r="Y6" s="18" t="s">
        <v>1739</v>
      </c>
      <c r="Z6" s="1" t="b">
        <v>1</v>
      </c>
      <c r="AB6" s="133"/>
      <c r="AH6" s="41"/>
      <c r="AI6" s="41"/>
      <c r="AJ6" s="41"/>
    </row>
    <row r="7" spans="1:36">
      <c r="A7" t="s">
        <v>1744</v>
      </c>
      <c r="B7" s="1" t="str">
        <f t="shared" si="0"/>
        <v>M_VAV0201_VM_KJ_IND_400_10</v>
      </c>
      <c r="C7" s="7" t="s">
        <v>44</v>
      </c>
      <c r="D7" s="7" t="str" cm="1">
        <f t="array" ref="D7">INDEX(기계코드!$D$4:$D$1022,MATCH(1,(C7=기계코드!$F$4:$F$1022)*1,0))</f>
        <v>M_VAV0201</v>
      </c>
      <c r="E7" s="7" t="s">
        <v>1737</v>
      </c>
      <c r="F7" s="7" t="str" cm="1">
        <f t="array" ref="F7">INDEX(공급업체코드!$B$3:$B$1000,MATCH(1,(E7=공급업체코드!$D$3:$D$1000)*1,0))</f>
        <v>VM_KJ_IND</v>
      </c>
      <c r="H7" s="64">
        <v>400</v>
      </c>
      <c r="I7" s="64">
        <v>10</v>
      </c>
      <c r="J7" s="70">
        <v>0.75</v>
      </c>
      <c r="K7" s="7" t="s">
        <v>990</v>
      </c>
      <c r="L7" s="7">
        <v>380</v>
      </c>
      <c r="M7" s="151">
        <v>0.83499999999999996</v>
      </c>
      <c r="N7" s="7">
        <v>0.9</v>
      </c>
      <c r="O7" s="7">
        <v>10</v>
      </c>
      <c r="P7">
        <v>0.123</v>
      </c>
      <c r="Q7" s="147" t="s">
        <v>1390</v>
      </c>
      <c r="R7" s="7">
        <v>35</v>
      </c>
      <c r="S7" s="18" t="s">
        <v>1391</v>
      </c>
      <c r="T7" t="s">
        <v>1738</v>
      </c>
      <c r="U7" s="1" t="str" cm="1">
        <f t="array" ref="U7">INDEX(기자재코드!$D$4:$D$25,MATCH(1,(T7=기자재코드!$F$4:$F$25)*1,0))</f>
        <v>S_VAV01</v>
      </c>
      <c r="V7" s="91" t="s">
        <v>1741</v>
      </c>
      <c r="W7" s="64">
        <v>13935600</v>
      </c>
      <c r="X7" s="64"/>
      <c r="Y7" s="18" t="s">
        <v>1739</v>
      </c>
      <c r="Z7" s="1" t="b">
        <v>1</v>
      </c>
      <c r="AB7" s="133"/>
      <c r="AH7" s="41"/>
      <c r="AI7" s="41"/>
      <c r="AJ7" s="41"/>
    </row>
    <row r="8" spans="1:36">
      <c r="A8" t="s">
        <v>1745</v>
      </c>
      <c r="B8" s="1" t="str">
        <f t="shared" si="0"/>
        <v>M_VAV0201_VM_KJ_IND_450_10</v>
      </c>
      <c r="C8" s="7" t="s">
        <v>44</v>
      </c>
      <c r="D8" s="7" t="str" cm="1">
        <f t="array" ref="D8">INDEX(기계코드!$D$4:$D$1022,MATCH(1,(C8=기계코드!$F$4:$F$1022)*1,0))</f>
        <v>M_VAV0201</v>
      </c>
      <c r="E8" s="7" t="s">
        <v>1737</v>
      </c>
      <c r="F8" s="7" t="str" cm="1">
        <f t="array" ref="F8">INDEX(공급업체코드!$B$3:$B$1000,MATCH(1,(E8=공급업체코드!$D$3:$D$1000)*1,0))</f>
        <v>VM_KJ_IND</v>
      </c>
      <c r="H8" s="64">
        <v>450</v>
      </c>
      <c r="I8" s="64">
        <v>10</v>
      </c>
      <c r="J8" s="70">
        <v>0.75</v>
      </c>
      <c r="K8" s="7" t="s">
        <v>990</v>
      </c>
      <c r="L8" s="7">
        <v>380</v>
      </c>
      <c r="M8" s="151">
        <v>0.83499999999999996</v>
      </c>
      <c r="N8" s="7">
        <v>0.9</v>
      </c>
      <c r="O8" s="7">
        <v>10</v>
      </c>
      <c r="P8">
        <v>0.123</v>
      </c>
      <c r="Q8" s="147" t="s">
        <v>1390</v>
      </c>
      <c r="R8" s="7">
        <v>36</v>
      </c>
      <c r="S8" s="18" t="s">
        <v>1391</v>
      </c>
      <c r="T8" t="s">
        <v>1738</v>
      </c>
      <c r="U8" s="1" t="str" cm="1">
        <f t="array" ref="U8">INDEX(기자재코드!$D$4:$D$25,MATCH(1,(T8=기자재코드!$F$4:$F$25)*1,0))</f>
        <v>S_VAV01</v>
      </c>
      <c r="V8" s="91" t="s">
        <v>1741</v>
      </c>
      <c r="W8" s="64">
        <v>15289200</v>
      </c>
      <c r="X8" s="64"/>
      <c r="Y8" s="18" t="s">
        <v>1739</v>
      </c>
      <c r="Z8" s="1" t="b">
        <v>1</v>
      </c>
      <c r="AB8" s="133"/>
      <c r="AH8" s="41"/>
      <c r="AI8" s="41"/>
      <c r="AJ8" s="41"/>
    </row>
    <row r="9" spans="1:36">
      <c r="A9" t="s">
        <v>1746</v>
      </c>
      <c r="B9" s="1" t="str">
        <f t="shared" si="0"/>
        <v>M_VAV0201_VM_KJ_IND_500_10</v>
      </c>
      <c r="C9" s="7" t="s">
        <v>44</v>
      </c>
      <c r="D9" s="7" t="str" cm="1">
        <f t="array" ref="D9">INDEX(기계코드!$D$4:$D$1022,MATCH(1,(C9=기계코드!$F$4:$F$1022)*1,0))</f>
        <v>M_VAV0201</v>
      </c>
      <c r="E9" s="7" t="s">
        <v>1737</v>
      </c>
      <c r="F9" s="7" t="str" cm="1">
        <f t="array" ref="F9">INDEX(공급업체코드!$B$3:$B$1000,MATCH(1,(E9=공급업체코드!$D$3:$D$1000)*1,0))</f>
        <v>VM_KJ_IND</v>
      </c>
      <c r="H9" s="64">
        <v>500</v>
      </c>
      <c r="I9" s="64">
        <v>10</v>
      </c>
      <c r="J9" s="70">
        <v>0.75</v>
      </c>
      <c r="K9" s="7" t="s">
        <v>990</v>
      </c>
      <c r="L9" s="7">
        <v>380</v>
      </c>
      <c r="M9" s="151">
        <v>0.83499999999999996</v>
      </c>
      <c r="N9" s="7">
        <v>0.9</v>
      </c>
      <c r="O9" s="7">
        <v>10</v>
      </c>
      <c r="P9">
        <v>0.123</v>
      </c>
      <c r="Q9" s="147" t="s">
        <v>1390</v>
      </c>
      <c r="R9" s="7">
        <v>37</v>
      </c>
      <c r="S9" s="18" t="s">
        <v>1391</v>
      </c>
      <c r="T9" t="s">
        <v>1738</v>
      </c>
      <c r="U9" s="1" t="str" cm="1">
        <f t="array" ref="U9">INDEX(기자재코드!$D$4:$D$25,MATCH(1,(T9=기자재코드!$F$4:$F$25)*1,0))</f>
        <v>S_VAV01</v>
      </c>
      <c r="V9" s="91" t="s">
        <v>1741</v>
      </c>
      <c r="W9" s="64">
        <v>15826800</v>
      </c>
      <c r="X9" s="64"/>
      <c r="Y9" s="18" t="s">
        <v>1739</v>
      </c>
      <c r="Z9" s="1" t="b">
        <v>1</v>
      </c>
      <c r="AB9" s="133"/>
      <c r="AH9" s="40"/>
      <c r="AI9" s="40"/>
      <c r="AJ9" s="41"/>
    </row>
    <row r="10" spans="1:36">
      <c r="A10" t="s">
        <v>1747</v>
      </c>
      <c r="B10" s="1" t="str">
        <f t="shared" si="0"/>
        <v>M_VAV0201_VM_KJ_IND_600_10</v>
      </c>
      <c r="C10" s="7" t="s">
        <v>44</v>
      </c>
      <c r="D10" s="7" t="str" cm="1">
        <f t="array" ref="D10">INDEX(기계코드!$D$4:$D$1022,MATCH(1,(C10=기계코드!$F$4:$F$1022)*1,0))</f>
        <v>M_VAV0201</v>
      </c>
      <c r="E10" s="7" t="s">
        <v>1737</v>
      </c>
      <c r="F10" s="7" t="str" cm="1">
        <f t="array" ref="F10">INDEX(공급업체코드!$B$3:$B$1000,MATCH(1,(E10=공급업체코드!$D$3:$D$1000)*1,0))</f>
        <v>VM_KJ_IND</v>
      </c>
      <c r="H10" s="64">
        <v>600</v>
      </c>
      <c r="I10" s="64">
        <v>10</v>
      </c>
      <c r="J10" s="70">
        <v>0.75</v>
      </c>
      <c r="K10" s="7" t="s">
        <v>990</v>
      </c>
      <c r="L10" s="7">
        <v>380</v>
      </c>
      <c r="M10" s="151">
        <v>0.83499999999999996</v>
      </c>
      <c r="N10" s="7">
        <v>0.9</v>
      </c>
      <c r="O10" s="7">
        <v>10</v>
      </c>
      <c r="P10">
        <v>0.123</v>
      </c>
      <c r="Q10" s="147" t="s">
        <v>1390</v>
      </c>
      <c r="R10" s="7">
        <v>38</v>
      </c>
      <c r="S10" s="18" t="s">
        <v>1391</v>
      </c>
      <c r="T10" t="s">
        <v>1738</v>
      </c>
      <c r="U10" s="1" t="str" cm="1">
        <f t="array" ref="U10">INDEX(기자재코드!$D$4:$D$25,MATCH(1,(T10=기자재코드!$F$4:$F$25)*1,0))</f>
        <v>S_VAV01</v>
      </c>
      <c r="V10" s="91" t="s">
        <v>1741</v>
      </c>
      <c r="W10" s="64">
        <v>18961200</v>
      </c>
      <c r="X10" s="64"/>
      <c r="Y10" s="18" t="s">
        <v>1739</v>
      </c>
      <c r="Z10" s="1" t="b">
        <v>1</v>
      </c>
      <c r="AB10" s="133"/>
      <c r="AH10" s="40"/>
      <c r="AI10" s="40"/>
      <c r="AJ10" s="40"/>
    </row>
    <row r="11" spans="1:36">
      <c r="A11" t="s">
        <v>1748</v>
      </c>
      <c r="B11" s="1" t="str">
        <f t="shared" si="0"/>
        <v>M_VAV0201_VM_KJ_IND_700_10</v>
      </c>
      <c r="C11" s="7" t="s">
        <v>44</v>
      </c>
      <c r="D11" s="7" t="str" cm="1">
        <f t="array" ref="D11">INDEX(기계코드!$D$4:$D$1022,MATCH(1,(C11=기계코드!$F$4:$F$1022)*1,0))</f>
        <v>M_VAV0201</v>
      </c>
      <c r="E11" s="7" t="s">
        <v>1737</v>
      </c>
      <c r="F11" s="7" t="str" cm="1">
        <f t="array" ref="F11">INDEX(공급업체코드!$B$3:$B$1000,MATCH(1,(E11=공급업체코드!$D$3:$D$1000)*1,0))</f>
        <v>VM_KJ_IND</v>
      </c>
      <c r="H11" s="64">
        <v>700</v>
      </c>
      <c r="I11" s="64">
        <v>10</v>
      </c>
      <c r="J11" s="70">
        <v>0.75</v>
      </c>
      <c r="K11" s="7" t="s">
        <v>990</v>
      </c>
      <c r="L11" s="7">
        <v>380</v>
      </c>
      <c r="M11" s="151">
        <v>0.83499999999999996</v>
      </c>
      <c r="N11" s="7">
        <v>0.9</v>
      </c>
      <c r="O11" s="7">
        <v>10</v>
      </c>
      <c r="P11">
        <v>0.123</v>
      </c>
      <c r="Q11" s="147" t="s">
        <v>1390</v>
      </c>
      <c r="S11" s="18" t="s">
        <v>1391</v>
      </c>
      <c r="T11" t="s">
        <v>1738</v>
      </c>
      <c r="U11" s="1" t="str" cm="1">
        <f t="array" ref="U11">INDEX(기자재코드!$D$4:$D$25,MATCH(1,(T11=기자재코드!$F$4:$F$25)*1,0))</f>
        <v>S_VAV01</v>
      </c>
      <c r="V11" s="91" t="s">
        <v>1741</v>
      </c>
      <c r="W11" s="64">
        <v>20613600</v>
      </c>
      <c r="X11" s="64"/>
      <c r="Y11" s="18" t="s">
        <v>1739</v>
      </c>
      <c r="Z11" s="1" t="b">
        <v>1</v>
      </c>
      <c r="AB11" s="133"/>
      <c r="AH11" s="40"/>
      <c r="AI11" s="40"/>
      <c r="AJ11" s="41"/>
    </row>
    <row r="12" spans="1:36">
      <c r="A12" t="s">
        <v>1749</v>
      </c>
      <c r="B12" s="1" t="str">
        <f t="shared" si="0"/>
        <v>M_VAV0201_VM_KJ_IND_800_10</v>
      </c>
      <c r="C12" s="7" t="s">
        <v>44</v>
      </c>
      <c r="D12" s="7" t="str" cm="1">
        <f t="array" ref="D12">INDEX(기계코드!$D$4:$D$1022,MATCH(1,(C12=기계코드!$F$4:$F$1022)*1,0))</f>
        <v>M_VAV0201</v>
      </c>
      <c r="E12" s="7" t="s">
        <v>1737</v>
      </c>
      <c r="F12" s="7" t="str" cm="1">
        <f t="array" ref="F12">INDEX(공급업체코드!$B$3:$B$1000,MATCH(1,(E12=공급업체코드!$D$3:$D$1000)*1,0))</f>
        <v>VM_KJ_IND</v>
      </c>
      <c r="H12" s="64">
        <v>800</v>
      </c>
      <c r="I12" s="64">
        <v>10</v>
      </c>
      <c r="J12" s="70">
        <v>1.5</v>
      </c>
      <c r="K12" s="7" t="s">
        <v>990</v>
      </c>
      <c r="L12" s="7">
        <v>380</v>
      </c>
      <c r="M12" s="151">
        <v>0.86499999999999999</v>
      </c>
      <c r="N12" s="7">
        <v>0.9</v>
      </c>
      <c r="O12" s="7">
        <v>10</v>
      </c>
      <c r="P12">
        <v>0.123</v>
      </c>
      <c r="Q12" s="147" t="s">
        <v>1390</v>
      </c>
      <c r="S12" s="18" t="s">
        <v>1391</v>
      </c>
      <c r="T12" t="s">
        <v>1738</v>
      </c>
      <c r="U12" s="1" t="str" cm="1">
        <f t="array" ref="U12">INDEX(기자재코드!$D$4:$D$25,MATCH(1,(T12=기자재코드!$F$4:$F$25)*1,0))</f>
        <v>S_VAV01</v>
      </c>
      <c r="V12" s="91" t="s">
        <v>1741</v>
      </c>
      <c r="W12" s="64">
        <v>24621600</v>
      </c>
      <c r="X12" s="64"/>
      <c r="Y12" s="18" t="s">
        <v>1739</v>
      </c>
      <c r="Z12" s="1" t="b">
        <v>1</v>
      </c>
      <c r="AB12" s="133"/>
      <c r="AH12" s="41"/>
      <c r="AI12" s="41"/>
      <c r="AJ12" s="41"/>
    </row>
    <row r="13" spans="1:36">
      <c r="A13" t="s">
        <v>1750</v>
      </c>
      <c r="B13" s="1" t="str">
        <f t="shared" si="0"/>
        <v>M_VAV0201_VM_KJ_IND_900_10</v>
      </c>
      <c r="C13" s="7" t="s">
        <v>44</v>
      </c>
      <c r="D13" s="7" t="str" cm="1">
        <f t="array" ref="D13">INDEX(기계코드!$D$4:$D$1022,MATCH(1,(C13=기계코드!$F$4:$F$1022)*1,0))</f>
        <v>M_VAV0201</v>
      </c>
      <c r="E13" s="7" t="s">
        <v>1737</v>
      </c>
      <c r="F13" s="7" t="str" cm="1">
        <f t="array" ref="F13">INDEX(공급업체코드!$B$3:$B$1000,MATCH(1,(E13=공급업체코드!$D$3:$D$1000)*1,0))</f>
        <v>VM_KJ_IND</v>
      </c>
      <c r="H13" s="64">
        <v>900</v>
      </c>
      <c r="I13" s="64">
        <v>10</v>
      </c>
      <c r="J13" s="70">
        <v>1.5</v>
      </c>
      <c r="K13" s="7" t="s">
        <v>990</v>
      </c>
      <c r="L13" s="7">
        <v>380</v>
      </c>
      <c r="M13" s="151">
        <v>0.86499999999999999</v>
      </c>
      <c r="N13" s="7">
        <v>0.9</v>
      </c>
      <c r="O13" s="7">
        <v>10</v>
      </c>
      <c r="P13">
        <v>0.123</v>
      </c>
      <c r="Q13" s="147" t="s">
        <v>1390</v>
      </c>
      <c r="S13" s="18" t="s">
        <v>1391</v>
      </c>
      <c r="T13" t="s">
        <v>1738</v>
      </c>
      <c r="U13" s="1" t="str" cm="1">
        <f t="array" ref="U13">INDEX(기자재코드!$D$4:$D$25,MATCH(1,(T13=기자재코드!$F$4:$F$25)*1,0))</f>
        <v>S_VAV01</v>
      </c>
      <c r="V13" s="91" t="s">
        <v>1741</v>
      </c>
      <c r="W13" s="64">
        <v>30142800</v>
      </c>
      <c r="X13" s="64"/>
      <c r="Y13" s="18" t="s">
        <v>1739</v>
      </c>
      <c r="Z13" s="1" t="b">
        <v>1</v>
      </c>
      <c r="AB13" s="133"/>
      <c r="AH13" s="40"/>
      <c r="AI13" s="40"/>
      <c r="AJ13" s="41"/>
    </row>
    <row r="14" spans="1:36">
      <c r="A14" t="s">
        <v>1751</v>
      </c>
      <c r="B14" s="1" t="str">
        <f t="shared" si="0"/>
        <v>M_VAV0201_VM_KJ_IND_1000_10</v>
      </c>
      <c r="C14" s="7" t="s">
        <v>44</v>
      </c>
      <c r="D14" s="7" t="str" cm="1">
        <f t="array" ref="D14">INDEX(기계코드!$D$4:$D$1022,MATCH(1,(C14=기계코드!$F$4:$F$1022)*1,0))</f>
        <v>M_VAV0201</v>
      </c>
      <c r="E14" s="7" t="s">
        <v>1737</v>
      </c>
      <c r="F14" s="7" t="str" cm="1">
        <f t="array" ref="F14">INDEX(공급업체코드!$B$3:$B$1000,MATCH(1,(E14=공급업체코드!$D$3:$D$1000)*1,0))</f>
        <v>VM_KJ_IND</v>
      </c>
      <c r="H14" s="64">
        <v>1000</v>
      </c>
      <c r="I14" s="64">
        <v>10</v>
      </c>
      <c r="J14" s="70">
        <v>2.2000000000000002</v>
      </c>
      <c r="K14" s="7" t="s">
        <v>990</v>
      </c>
      <c r="L14" s="7">
        <v>380</v>
      </c>
      <c r="M14" s="151">
        <v>0.89500000000000002</v>
      </c>
      <c r="N14" s="7">
        <v>0.9</v>
      </c>
      <c r="O14" s="7">
        <v>10</v>
      </c>
      <c r="P14">
        <v>0.123</v>
      </c>
      <c r="Q14" s="147" t="s">
        <v>1390</v>
      </c>
      <c r="S14" s="18" t="s">
        <v>1391</v>
      </c>
      <c r="T14" t="s">
        <v>1738</v>
      </c>
      <c r="U14" s="1" t="str" cm="1">
        <f t="array" ref="U14">INDEX(기자재코드!$D$4:$D$25,MATCH(1,(T14=기자재코드!$F$4:$F$25)*1,0))</f>
        <v>S_VAV01</v>
      </c>
      <c r="V14" s="91" t="s">
        <v>1741</v>
      </c>
      <c r="W14" s="64">
        <v>36392400</v>
      </c>
      <c r="X14" s="64"/>
      <c r="Y14" s="18" t="s">
        <v>1739</v>
      </c>
      <c r="Z14" s="1" t="b">
        <v>1</v>
      </c>
      <c r="AB14" s="133"/>
      <c r="AH14" s="41"/>
      <c r="AI14" s="41"/>
      <c r="AJ14" s="41"/>
    </row>
    <row r="15" spans="1:36">
      <c r="A15" t="s">
        <v>1752</v>
      </c>
      <c r="B15" s="1" t="str">
        <f t="shared" si="0"/>
        <v>M_VAV0201_VM_KJ_IND_1100_10</v>
      </c>
      <c r="C15" s="7" t="s">
        <v>44</v>
      </c>
      <c r="D15" s="7" t="str" cm="1">
        <f t="array" ref="D15">INDEX(기계코드!$D$4:$D$1022,MATCH(1,(C15=기계코드!$F$4:$F$1022)*1,0))</f>
        <v>M_VAV0201</v>
      </c>
      <c r="E15" s="7" t="s">
        <v>1737</v>
      </c>
      <c r="F15" s="7" t="str" cm="1">
        <f t="array" ref="F15">INDEX(공급업체코드!$B$3:$B$1000,MATCH(1,(E15=공급업체코드!$D$3:$D$1000)*1,0))</f>
        <v>VM_KJ_IND</v>
      </c>
      <c r="H15" s="64">
        <v>1100</v>
      </c>
      <c r="I15" s="64">
        <v>10</v>
      </c>
      <c r="J15" s="70">
        <v>2.2000000000000002</v>
      </c>
      <c r="K15" s="7" t="s">
        <v>990</v>
      </c>
      <c r="L15" s="7">
        <v>380</v>
      </c>
      <c r="M15" s="151">
        <v>0.89500000000000002</v>
      </c>
      <c r="N15" s="7">
        <v>0.9</v>
      </c>
      <c r="O15" s="7">
        <v>10</v>
      </c>
      <c r="P15">
        <v>0.123</v>
      </c>
      <c r="Q15" s="147" t="s">
        <v>1390</v>
      </c>
      <c r="S15" s="18" t="s">
        <v>1391</v>
      </c>
      <c r="T15" t="s">
        <v>1738</v>
      </c>
      <c r="U15" s="1" t="str" cm="1">
        <f t="array" ref="U15">INDEX(기자재코드!$D$4:$D$25,MATCH(1,(T15=기자재코드!$F$4:$F$25)*1,0))</f>
        <v>S_VAV01</v>
      </c>
      <c r="V15" s="91" t="s">
        <v>1741</v>
      </c>
      <c r="W15" s="64">
        <v>43422000</v>
      </c>
      <c r="X15" s="64"/>
      <c r="Y15" s="18" t="s">
        <v>1739</v>
      </c>
      <c r="Z15" s="1" t="b">
        <v>1</v>
      </c>
      <c r="AB15" s="133"/>
      <c r="AH15" s="41"/>
      <c r="AI15" s="41"/>
      <c r="AJ15" s="41"/>
    </row>
    <row r="16" spans="1:36">
      <c r="A16" t="s">
        <v>1753</v>
      </c>
      <c r="B16" s="1" t="str">
        <f t="shared" si="0"/>
        <v>M_VAV0201_VM_KJ_IND_1200_10</v>
      </c>
      <c r="C16" s="7" t="s">
        <v>44</v>
      </c>
      <c r="D16" s="7" t="str" cm="1">
        <f t="array" ref="D16">INDEX(기계코드!$D$4:$D$1022,MATCH(1,(C16=기계코드!$F$4:$F$1022)*1,0))</f>
        <v>M_VAV0201</v>
      </c>
      <c r="E16" s="7" t="s">
        <v>1737</v>
      </c>
      <c r="F16" s="7" t="str" cm="1">
        <f t="array" ref="F16">INDEX(공급업체코드!$B$3:$B$1000,MATCH(1,(E16=공급업체코드!$D$3:$D$1000)*1,0))</f>
        <v>VM_KJ_IND</v>
      </c>
      <c r="H16" s="64">
        <v>1200</v>
      </c>
      <c r="I16" s="64">
        <v>10</v>
      </c>
      <c r="J16" s="70">
        <v>3.7</v>
      </c>
      <c r="K16" s="7" t="s">
        <v>990</v>
      </c>
      <c r="L16" s="7">
        <v>380</v>
      </c>
      <c r="M16" s="151">
        <v>0.89500000000000002</v>
      </c>
      <c r="N16" s="7">
        <v>0.9</v>
      </c>
      <c r="O16" s="7">
        <v>10</v>
      </c>
      <c r="P16">
        <v>0.123</v>
      </c>
      <c r="Q16" s="147" t="s">
        <v>1390</v>
      </c>
      <c r="S16" s="18" t="s">
        <v>1391</v>
      </c>
      <c r="T16" t="s">
        <v>1738</v>
      </c>
      <c r="U16" s="1" t="str" cm="1">
        <f t="array" ref="U16">INDEX(기자재코드!$D$4:$D$25,MATCH(1,(T16=기자재코드!$F$4:$F$25)*1,0))</f>
        <v>S_VAV01</v>
      </c>
      <c r="V16" s="91" t="s">
        <v>1741</v>
      </c>
      <c r="W16" s="64">
        <v>51265200</v>
      </c>
      <c r="X16" s="64"/>
      <c r="Y16" s="18" t="s">
        <v>1739</v>
      </c>
      <c r="Z16" s="1" t="b">
        <v>1</v>
      </c>
      <c r="AB16" s="133"/>
      <c r="AH16" s="40"/>
      <c r="AI16" s="40"/>
      <c r="AJ16" s="41"/>
    </row>
    <row r="17" spans="1:36">
      <c r="A17" t="s">
        <v>1754</v>
      </c>
      <c r="B17" s="1" t="str">
        <f t="shared" si="0"/>
        <v>M_VAV0201_VM_KJ_IND_1350_10</v>
      </c>
      <c r="C17" s="7" t="s">
        <v>44</v>
      </c>
      <c r="D17" s="7" t="str" cm="1">
        <f t="array" ref="D17">INDEX(기계코드!$D$4:$D$1022,MATCH(1,(C17=기계코드!$F$4:$F$1022)*1,0))</f>
        <v>M_VAV0201</v>
      </c>
      <c r="E17" s="7" t="s">
        <v>1737</v>
      </c>
      <c r="F17" s="7" t="str" cm="1">
        <f t="array" ref="F17">INDEX(공급업체코드!$B$3:$B$1000,MATCH(1,(E17=공급업체코드!$D$3:$D$1000)*1,0))</f>
        <v>VM_KJ_IND</v>
      </c>
      <c r="H17" s="64">
        <v>1350</v>
      </c>
      <c r="I17" s="64">
        <v>10</v>
      </c>
      <c r="J17" s="70">
        <v>3.7</v>
      </c>
      <c r="K17" s="7" t="s">
        <v>990</v>
      </c>
      <c r="L17" s="7">
        <v>380</v>
      </c>
      <c r="M17" s="151">
        <v>0.89500000000000002</v>
      </c>
      <c r="N17" s="7">
        <v>0.9</v>
      </c>
      <c r="O17" s="7">
        <v>10</v>
      </c>
      <c r="P17">
        <v>0.123</v>
      </c>
      <c r="Q17" s="147" t="s">
        <v>1390</v>
      </c>
      <c r="S17" s="18" t="s">
        <v>1391</v>
      </c>
      <c r="T17" t="s">
        <v>1738</v>
      </c>
      <c r="U17" s="1" t="str" cm="1">
        <f t="array" ref="U17">INDEX(기자재코드!$D$4:$D$25,MATCH(1,(T17=기자재코드!$F$4:$F$25)*1,0))</f>
        <v>S_VAV01</v>
      </c>
      <c r="V17" s="91" t="s">
        <v>1741</v>
      </c>
      <c r="W17" s="64">
        <v>60199200</v>
      </c>
      <c r="X17" s="64"/>
      <c r="Y17" s="18" t="s">
        <v>1739</v>
      </c>
      <c r="Z17" s="1" t="b">
        <v>1</v>
      </c>
      <c r="AB17" s="133"/>
      <c r="AH17" s="41"/>
      <c r="AI17" s="41"/>
      <c r="AJ17" s="41"/>
    </row>
    <row r="18" spans="1:36">
      <c r="A18" t="s">
        <v>1755</v>
      </c>
      <c r="B18" s="1" t="str">
        <f t="shared" si="0"/>
        <v>M_VAV0201_VM_KJ_IND_1500_10</v>
      </c>
      <c r="C18" s="7" t="s">
        <v>44</v>
      </c>
      <c r="D18" s="7" t="str" cm="1">
        <f t="array" ref="D18">INDEX(기계코드!$D$4:$D$1022,MATCH(1,(C18=기계코드!$F$4:$F$1022)*1,0))</f>
        <v>M_VAV0201</v>
      </c>
      <c r="E18" s="7" t="s">
        <v>1737</v>
      </c>
      <c r="F18" s="7" t="str" cm="1">
        <f t="array" ref="F18">INDEX(공급업체코드!$B$3:$B$1000,MATCH(1,(E18=공급업체코드!$D$3:$D$1000)*1,0))</f>
        <v>VM_KJ_IND</v>
      </c>
      <c r="H18" s="64">
        <v>1500</v>
      </c>
      <c r="I18" s="64">
        <v>10</v>
      </c>
      <c r="J18" s="70">
        <v>3.7</v>
      </c>
      <c r="K18" s="7" t="s">
        <v>990</v>
      </c>
      <c r="L18" s="7">
        <v>380</v>
      </c>
      <c r="M18" s="151">
        <v>0.89500000000000002</v>
      </c>
      <c r="N18" s="7">
        <v>0.9</v>
      </c>
      <c r="O18" s="7">
        <v>10</v>
      </c>
      <c r="P18">
        <v>0.123</v>
      </c>
      <c r="Q18" s="147" t="s">
        <v>1390</v>
      </c>
      <c r="S18" s="18" t="s">
        <v>1391</v>
      </c>
      <c r="T18" t="s">
        <v>1738</v>
      </c>
      <c r="U18" s="1" t="str" cm="1">
        <f t="array" ref="U18">INDEX(기자재코드!$D$4:$D$25,MATCH(1,(T18=기자재코드!$F$4:$F$25)*1,0))</f>
        <v>S_VAV01</v>
      </c>
      <c r="V18" s="91" t="s">
        <v>1741</v>
      </c>
      <c r="W18" s="64">
        <v>70904400</v>
      </c>
      <c r="X18" s="64"/>
      <c r="Y18" s="18" t="s">
        <v>1739</v>
      </c>
      <c r="Z18" s="1" t="b">
        <v>1</v>
      </c>
      <c r="AB18" s="133"/>
      <c r="AH18" s="41"/>
      <c r="AI18" s="41"/>
      <c r="AJ18" s="41"/>
    </row>
    <row r="19" spans="1:36">
      <c r="B19" s="1" t="str">
        <f t="shared" si="0"/>
        <v>M_VAV0201_VM_KJ_IND_1600_10</v>
      </c>
      <c r="C19" s="7" t="s">
        <v>44</v>
      </c>
      <c r="D19" s="7" t="str" cm="1">
        <f t="array" ref="D19">INDEX(기계코드!$D$4:$D$1022,MATCH(1,(C19=기계코드!$F$4:$F$1022)*1,0))</f>
        <v>M_VAV0201</v>
      </c>
      <c r="E19" s="7" t="s">
        <v>1737</v>
      </c>
      <c r="F19" s="7" t="str" cm="1">
        <f t="array" ref="F19">INDEX(공급업체코드!$B$3:$B$1000,MATCH(1,(E19=공급업체코드!$D$3:$D$1000)*1,0))</f>
        <v>VM_KJ_IND</v>
      </c>
      <c r="H19" s="64">
        <v>1600</v>
      </c>
      <c r="I19" s="64">
        <v>10</v>
      </c>
      <c r="J19" s="70">
        <v>5.5</v>
      </c>
      <c r="K19" s="7" t="s">
        <v>990</v>
      </c>
      <c r="L19" s="7">
        <v>380</v>
      </c>
      <c r="M19" s="151">
        <v>0.91700000000000004</v>
      </c>
      <c r="N19" s="7">
        <v>0.9</v>
      </c>
      <c r="O19" s="7">
        <v>10</v>
      </c>
      <c r="P19">
        <v>0.123</v>
      </c>
      <c r="Q19" s="147" t="s">
        <v>1390</v>
      </c>
      <c r="S19" s="18" t="s">
        <v>1391</v>
      </c>
      <c r="T19" t="s">
        <v>1738</v>
      </c>
      <c r="U19" s="1" t="str" cm="1">
        <f t="array" ref="U19">INDEX(기자재코드!$D$4:$D$25,MATCH(1,(T19=기자재코드!$F$4:$F$25)*1,0))</f>
        <v>S_VAV01</v>
      </c>
      <c r="V19" s="91" t="s">
        <v>1741</v>
      </c>
      <c r="W19" s="64">
        <v>76377600</v>
      </c>
      <c r="X19" s="64"/>
      <c r="Y19" s="18" t="s">
        <v>1739</v>
      </c>
      <c r="Z19" s="1" t="b">
        <v>1</v>
      </c>
      <c r="AB19" s="133"/>
      <c r="AH19" s="40"/>
      <c r="AI19" s="40"/>
      <c r="AJ19" s="41"/>
    </row>
    <row r="20" spans="1:36">
      <c r="B20" s="1" t="str">
        <f t="shared" si="0"/>
        <v>M_VAV0201_VM_KJ_IND_1650_10</v>
      </c>
      <c r="C20" s="7" t="s">
        <v>44</v>
      </c>
      <c r="D20" s="7" t="str" cm="1">
        <f t="array" ref="D20">INDEX(기계코드!$D$4:$D$1022,MATCH(1,(C20=기계코드!$F$4:$F$1022)*1,0))</f>
        <v>M_VAV0201</v>
      </c>
      <c r="E20" s="7" t="s">
        <v>1737</v>
      </c>
      <c r="F20" s="7" t="str" cm="1">
        <f t="array" ref="F20">INDEX(공급업체코드!$B$3:$B$1000,MATCH(1,(E20=공급업체코드!$D$3:$D$1000)*1,0))</f>
        <v>VM_KJ_IND</v>
      </c>
      <c r="H20" s="64">
        <v>1650</v>
      </c>
      <c r="I20" s="64">
        <v>10</v>
      </c>
      <c r="J20" s="70">
        <v>5.5</v>
      </c>
      <c r="K20" s="7" t="s">
        <v>990</v>
      </c>
      <c r="L20" s="7">
        <v>380</v>
      </c>
      <c r="M20" s="151">
        <v>0.91700000000000004</v>
      </c>
      <c r="N20" s="7">
        <v>0.9</v>
      </c>
      <c r="O20" s="7">
        <v>10</v>
      </c>
      <c r="P20">
        <v>0.123</v>
      </c>
      <c r="Q20" s="147" t="s">
        <v>1390</v>
      </c>
      <c r="S20" s="18" t="s">
        <v>1391</v>
      </c>
      <c r="T20" t="s">
        <v>1738</v>
      </c>
      <c r="U20" s="1" t="str" cm="1">
        <f t="array" ref="U20">INDEX(기자재코드!$D$4:$D$25,MATCH(1,(T20=기자재코드!$F$4:$F$25)*1,0))</f>
        <v>S_VAV01</v>
      </c>
      <c r="V20" s="91" t="s">
        <v>1741</v>
      </c>
      <c r="W20" s="64">
        <v>77550000</v>
      </c>
      <c r="X20" s="64"/>
      <c r="Y20" s="18" t="s">
        <v>1739</v>
      </c>
      <c r="Z20" s="1" t="b">
        <v>1</v>
      </c>
      <c r="AB20" s="133"/>
      <c r="AH20" s="41"/>
      <c r="AI20" s="41"/>
      <c r="AJ20" s="41"/>
    </row>
    <row r="21" spans="1:36">
      <c r="B21" s="1" t="str">
        <f t="shared" si="0"/>
        <v>M_VAV0201_VM_KJ_IND_1800_10</v>
      </c>
      <c r="C21" s="7" t="s">
        <v>44</v>
      </c>
      <c r="D21" s="7" t="str" cm="1">
        <f t="array" ref="D21">INDEX(기계코드!$D$4:$D$1022,MATCH(1,(C21=기계코드!$F$4:$F$1022)*1,0))</f>
        <v>M_VAV0201</v>
      </c>
      <c r="E21" s="7" t="s">
        <v>1737</v>
      </c>
      <c r="F21" s="7" t="str" cm="1">
        <f t="array" ref="F21">INDEX(공급업체코드!$B$3:$B$1000,MATCH(1,(E21=공급업체코드!$D$3:$D$1000)*1,0))</f>
        <v>VM_KJ_IND</v>
      </c>
      <c r="H21" s="64">
        <v>1800</v>
      </c>
      <c r="I21" s="64">
        <v>10</v>
      </c>
      <c r="J21" s="70">
        <v>5.5</v>
      </c>
      <c r="K21" s="7" t="s">
        <v>990</v>
      </c>
      <c r="L21" s="7">
        <v>380</v>
      </c>
      <c r="M21" s="151">
        <v>0.91700000000000004</v>
      </c>
      <c r="N21" s="7">
        <v>0.9</v>
      </c>
      <c r="O21" s="7">
        <v>10</v>
      </c>
      <c r="P21">
        <v>0.123</v>
      </c>
      <c r="Q21" s="147" t="s">
        <v>1390</v>
      </c>
      <c r="S21" s="18" t="s">
        <v>1391</v>
      </c>
      <c r="T21" t="s">
        <v>1738</v>
      </c>
      <c r="U21" s="1" t="str" cm="1">
        <f t="array" ref="U21">INDEX(기자재코드!$D$4:$D$25,MATCH(1,(T21=기자재코드!$F$4:$F$25)*1,0))</f>
        <v>S_VAV01</v>
      </c>
      <c r="V21" s="91" t="s">
        <v>1741</v>
      </c>
      <c r="W21" s="64">
        <v>94009200</v>
      </c>
      <c r="X21" s="64"/>
      <c r="Y21" s="18" t="s">
        <v>1739</v>
      </c>
      <c r="Z21" s="1" t="b">
        <v>1</v>
      </c>
      <c r="AB21" s="133"/>
      <c r="AH21" s="40"/>
      <c r="AI21" s="40"/>
      <c r="AJ21" s="41"/>
    </row>
    <row r="22" spans="1:36">
      <c r="B22" s="1" t="str">
        <f t="shared" si="0"/>
        <v>M_VAV0201_VM_KJ_IND_2000_10</v>
      </c>
      <c r="C22" s="7" t="s">
        <v>44</v>
      </c>
      <c r="D22" s="7" t="str" cm="1">
        <f t="array" ref="D22">INDEX(기계코드!$D$4:$D$1022,MATCH(1,(C22=기계코드!$F$4:$F$1022)*1,0))</f>
        <v>M_VAV0201</v>
      </c>
      <c r="E22" s="7" t="s">
        <v>1737</v>
      </c>
      <c r="F22" s="7" t="str" cm="1">
        <f t="array" ref="F22">INDEX(공급업체코드!$B$3:$B$1000,MATCH(1,(E22=공급업체코드!$D$3:$D$1000)*1,0))</f>
        <v>VM_KJ_IND</v>
      </c>
      <c r="H22" s="64">
        <v>2000</v>
      </c>
      <c r="I22" s="64">
        <v>10</v>
      </c>
      <c r="J22" s="70">
        <v>5.5</v>
      </c>
      <c r="K22" s="7" t="s">
        <v>990</v>
      </c>
      <c r="L22" s="7">
        <v>380</v>
      </c>
      <c r="M22" s="151">
        <v>0.91700000000000004</v>
      </c>
      <c r="N22" s="7">
        <v>0.9</v>
      </c>
      <c r="O22" s="7">
        <v>10</v>
      </c>
      <c r="P22">
        <v>0.123</v>
      </c>
      <c r="Q22" s="147" t="s">
        <v>1390</v>
      </c>
      <c r="S22" s="18" t="s">
        <v>1391</v>
      </c>
      <c r="T22" t="s">
        <v>1738</v>
      </c>
      <c r="U22" s="1" t="str" cm="1">
        <f t="array" ref="U22">INDEX(기자재코드!$D$4:$D$25,MATCH(1,(T22=기자재코드!$F$4:$F$25)*1,0))</f>
        <v>S_VAV01</v>
      </c>
      <c r="V22" s="91" t="s">
        <v>1741</v>
      </c>
      <c r="W22" s="64">
        <v>97699200</v>
      </c>
      <c r="X22" s="64"/>
      <c r="Y22" s="18" t="s">
        <v>1739</v>
      </c>
      <c r="Z22" s="1" t="b">
        <v>1</v>
      </c>
      <c r="AB22" s="133"/>
      <c r="AH22" s="40"/>
      <c r="AI22" s="40"/>
      <c r="AJ22" s="40"/>
    </row>
    <row r="23" spans="1:36">
      <c r="B23" s="1" t="str">
        <f t="shared" si="0"/>
        <v>M_VAV0201_VM_KJ_IND_2100_10</v>
      </c>
      <c r="C23" s="7" t="s">
        <v>44</v>
      </c>
      <c r="D23" s="7" t="str" cm="1">
        <f t="array" ref="D23">INDEX(기계코드!$D$4:$D$1022,MATCH(1,(C23=기계코드!$F$4:$F$1022)*1,0))</f>
        <v>M_VAV0201</v>
      </c>
      <c r="E23" s="7" t="s">
        <v>1737</v>
      </c>
      <c r="F23" s="7" t="str" cm="1">
        <f t="array" ref="F23">INDEX(공급업체코드!$B$3:$B$1000,MATCH(1,(E23=공급업체코드!$D$3:$D$1000)*1,0))</f>
        <v>VM_KJ_IND</v>
      </c>
      <c r="H23" s="64">
        <v>2100</v>
      </c>
      <c r="I23" s="64">
        <v>10</v>
      </c>
      <c r="J23" s="70">
        <v>5.5</v>
      </c>
      <c r="K23" s="7" t="s">
        <v>990</v>
      </c>
      <c r="L23" s="7">
        <v>380</v>
      </c>
      <c r="M23" s="151">
        <v>0.91700000000000004</v>
      </c>
      <c r="N23" s="7">
        <v>0.9</v>
      </c>
      <c r="O23" s="7">
        <v>10</v>
      </c>
      <c r="P23">
        <v>0.123</v>
      </c>
      <c r="Q23" s="147" t="s">
        <v>1390</v>
      </c>
      <c r="S23" s="18" t="s">
        <v>1391</v>
      </c>
      <c r="T23" t="s">
        <v>1738</v>
      </c>
      <c r="U23" s="1" t="str" cm="1">
        <f t="array" ref="U23">INDEX(기자재코드!$D$4:$D$25,MATCH(1,(T23=기자재코드!$F$4:$F$25)*1,0))</f>
        <v>S_VAV01</v>
      </c>
      <c r="V23" s="91" t="s">
        <v>1741</v>
      </c>
      <c r="W23" s="68">
        <v>108602400</v>
      </c>
      <c r="X23" s="68"/>
      <c r="Y23" s="18" t="s">
        <v>1739</v>
      </c>
      <c r="Z23" s="1" t="b">
        <v>1</v>
      </c>
      <c r="AB23" s="133"/>
      <c r="AH23" s="40"/>
      <c r="AI23" s="40"/>
      <c r="AJ23" s="41"/>
    </row>
    <row r="24" spans="1:36">
      <c r="B24" s="1" t="str">
        <f t="shared" si="0"/>
        <v>M_VAV0201_VM_KJ_IND_2200_10</v>
      </c>
      <c r="C24" s="7" t="s">
        <v>1736</v>
      </c>
      <c r="D24" s="7" t="str" cm="1">
        <f t="array" ref="D24">INDEX(기계코드!$D$4:$D$1022,MATCH(1,(C24=기계코드!$F$4:$F$1022)*1,0))</f>
        <v>M_VAV0201</v>
      </c>
      <c r="E24" s="7" t="s">
        <v>1737</v>
      </c>
      <c r="F24" s="7" t="str" cm="1">
        <f t="array" ref="F24">INDEX(공급업체코드!$B$3:$B$1000,MATCH(1,(E24=공급업체코드!$D$3:$D$1000)*1,0))</f>
        <v>VM_KJ_IND</v>
      </c>
      <c r="H24" s="64">
        <v>2200</v>
      </c>
      <c r="I24" s="64">
        <v>10</v>
      </c>
      <c r="J24" s="70">
        <v>5.5</v>
      </c>
      <c r="K24" s="7" t="s">
        <v>990</v>
      </c>
      <c r="L24" s="7">
        <v>380</v>
      </c>
      <c r="M24" s="151">
        <v>0.91700000000000004</v>
      </c>
      <c r="N24" s="7">
        <v>0.9</v>
      </c>
      <c r="O24" s="7">
        <v>10</v>
      </c>
      <c r="P24">
        <v>0.123</v>
      </c>
      <c r="Q24" s="147" t="s">
        <v>1390</v>
      </c>
      <c r="S24" s="18" t="s">
        <v>1391</v>
      </c>
      <c r="T24" t="s">
        <v>1738</v>
      </c>
      <c r="U24" s="1" t="str" cm="1">
        <f t="array" ref="U24">INDEX(기자재코드!$D$4:$D$25,MATCH(1,(T24=기자재코드!$F$4:$F$25)*1,0))</f>
        <v>S_VAV01</v>
      </c>
      <c r="V24" s="91" t="s">
        <v>1741</v>
      </c>
      <c r="W24" s="64">
        <v>120739200</v>
      </c>
      <c r="X24" s="64"/>
      <c r="Y24" s="18" t="s">
        <v>1739</v>
      </c>
      <c r="Z24" s="1" t="b">
        <v>1</v>
      </c>
      <c r="AB24" s="133"/>
      <c r="AH24" s="41"/>
      <c r="AI24" s="41"/>
      <c r="AJ24" s="41"/>
    </row>
    <row r="25" spans="1:36">
      <c r="A25" t="s">
        <v>1756</v>
      </c>
      <c r="B25" s="1" t="str">
        <f t="shared" si="0"/>
        <v>M_VAV0204_VM_KJ_IND_200_10</v>
      </c>
      <c r="C25" s="7" t="s">
        <v>53</v>
      </c>
      <c r="D25" s="7" t="str" cm="1">
        <f t="array" ref="D25">INDEX(기계코드!$D$4:$D$1022,MATCH(1,(C25=기계코드!$F$4:$F$1022)*1,0))</f>
        <v>M_VAV0204</v>
      </c>
      <c r="E25" s="7" t="s">
        <v>1737</v>
      </c>
      <c r="F25" s="7" t="str" cm="1">
        <f t="array" ref="F25">INDEX(공급업체코드!$B$3:$B$1000,MATCH(1,(E25=공급업체코드!$D$3:$D$1000)*1,0))</f>
        <v>VM_KJ_IND</v>
      </c>
      <c r="H25" s="64">
        <v>200</v>
      </c>
      <c r="I25" s="64">
        <v>10</v>
      </c>
      <c r="J25" s="70"/>
      <c r="K25" s="7"/>
      <c r="L25" s="7"/>
      <c r="M25" s="151"/>
      <c r="N25" s="7"/>
      <c r="O25" s="7"/>
      <c r="P25">
        <v>0.123</v>
      </c>
      <c r="Q25" s="147" t="s">
        <v>1390</v>
      </c>
      <c r="R25" s="7">
        <v>31</v>
      </c>
      <c r="S25" s="18" t="s">
        <v>1391</v>
      </c>
      <c r="T25" t="s">
        <v>1738</v>
      </c>
      <c r="U25" s="1" t="str" cm="1">
        <f t="array" ref="U25">INDEX(기자재코드!$D$4:$D$25,MATCH(1,(T25=기자재코드!$F$4:$F$25)*1,0))</f>
        <v>S_VAV01</v>
      </c>
      <c r="V25" s="91" t="s">
        <v>1741</v>
      </c>
      <c r="W25" s="64">
        <v>9391200</v>
      </c>
      <c r="X25" s="64"/>
      <c r="Y25" s="18" t="s">
        <v>1739</v>
      </c>
      <c r="Z25" s="1" t="b">
        <v>1</v>
      </c>
      <c r="AB25" s="133"/>
      <c r="AH25" s="41"/>
      <c r="AI25" s="41"/>
      <c r="AJ25" s="41"/>
    </row>
    <row r="26" spans="1:36">
      <c r="A26" t="s">
        <v>1757</v>
      </c>
      <c r="B26" s="1" t="str">
        <f t="shared" si="0"/>
        <v>M_VAV0204_VM_KJ_IND_250_10</v>
      </c>
      <c r="C26" s="7" t="s">
        <v>53</v>
      </c>
      <c r="D26" s="7" t="str" cm="1">
        <f t="array" ref="D26">INDEX(기계코드!$D$4:$D$1022,MATCH(1,(C26=기계코드!$F$4:$F$1022)*1,0))</f>
        <v>M_VAV0204</v>
      </c>
      <c r="E26" s="7" t="s">
        <v>1737</v>
      </c>
      <c r="F26" s="7" t="str" cm="1">
        <f t="array" ref="F26">INDEX(공급업체코드!$B$3:$B$1000,MATCH(1,(E26=공급업체코드!$D$3:$D$1000)*1,0))</f>
        <v>VM_KJ_IND</v>
      </c>
      <c r="H26" s="64">
        <v>250</v>
      </c>
      <c r="I26" s="64">
        <v>10</v>
      </c>
      <c r="J26" s="70"/>
      <c r="K26" s="7"/>
      <c r="L26" s="7"/>
      <c r="M26" s="151"/>
      <c r="N26" s="7"/>
      <c r="O26" s="7"/>
      <c r="P26">
        <v>0.123</v>
      </c>
      <c r="Q26" s="147" t="s">
        <v>1390</v>
      </c>
      <c r="R26" s="7">
        <v>32</v>
      </c>
      <c r="S26" s="18" t="s">
        <v>1391</v>
      </c>
      <c r="T26" t="s">
        <v>1738</v>
      </c>
      <c r="U26" s="1" t="str" cm="1">
        <f t="array" ref="U26">INDEX(기자재코드!$D$4:$D$25,MATCH(1,(T26=기자재코드!$F$4:$F$25)*1,0))</f>
        <v>S_VAV01</v>
      </c>
      <c r="V26" s="91" t="s">
        <v>1741</v>
      </c>
      <c r="W26" s="64">
        <v>9703200</v>
      </c>
      <c r="X26" s="64"/>
      <c r="Y26" s="18" t="s">
        <v>1739</v>
      </c>
      <c r="Z26" s="1" t="b">
        <v>1</v>
      </c>
      <c r="AB26" s="133"/>
      <c r="AH26" s="41"/>
      <c r="AI26" s="41"/>
      <c r="AJ26" s="41"/>
    </row>
    <row r="27" spans="1:36">
      <c r="A27" t="s">
        <v>1758</v>
      </c>
      <c r="B27" s="1" t="str">
        <f t="shared" si="0"/>
        <v>M_VAV0204_VM_KJ_IND_300_10</v>
      </c>
      <c r="C27" s="7" t="s">
        <v>53</v>
      </c>
      <c r="D27" s="7" t="str" cm="1">
        <f t="array" ref="D27">INDEX(기계코드!$D$4:$D$1022,MATCH(1,(C27=기계코드!$F$4:$F$1022)*1,0))</f>
        <v>M_VAV0204</v>
      </c>
      <c r="E27" s="7" t="s">
        <v>1737</v>
      </c>
      <c r="F27" s="7" t="str" cm="1">
        <f t="array" ref="F27">INDEX(공급업체코드!$B$3:$B$1000,MATCH(1,(E27=공급업체코드!$D$3:$D$1000)*1,0))</f>
        <v>VM_KJ_IND</v>
      </c>
      <c r="H27" s="64">
        <v>300</v>
      </c>
      <c r="I27" s="64">
        <v>10</v>
      </c>
      <c r="J27" s="70"/>
      <c r="K27" s="7"/>
      <c r="L27" s="7"/>
      <c r="M27" s="151"/>
      <c r="N27" s="7"/>
      <c r="O27" s="7"/>
      <c r="P27">
        <v>0.123</v>
      </c>
      <c r="Q27" s="147" t="s">
        <v>1390</v>
      </c>
      <c r="R27" s="7">
        <v>33</v>
      </c>
      <c r="S27" s="18" t="s">
        <v>1391</v>
      </c>
      <c r="T27" t="s">
        <v>1738</v>
      </c>
      <c r="U27" s="1" t="str" cm="1">
        <f t="array" ref="U27">INDEX(기자재코드!$D$4:$D$25,MATCH(1,(T27=기자재코드!$F$4:$F$25)*1,0))</f>
        <v>S_VAV01</v>
      </c>
      <c r="V27" s="91" t="s">
        <v>1741</v>
      </c>
      <c r="W27" s="64">
        <v>10120800</v>
      </c>
      <c r="X27" s="64"/>
      <c r="Y27" s="18" t="s">
        <v>1739</v>
      </c>
      <c r="Z27" s="1" t="b">
        <v>1</v>
      </c>
      <c r="AB27" s="133"/>
      <c r="AH27" s="40"/>
      <c r="AI27" s="40"/>
      <c r="AJ27" s="41"/>
    </row>
    <row r="28" spans="1:36">
      <c r="A28" t="s">
        <v>1759</v>
      </c>
      <c r="B28" s="1" t="str">
        <f t="shared" si="0"/>
        <v>M_VAV0204_VM_KJ_IND_350_10</v>
      </c>
      <c r="C28" s="7" t="s">
        <v>53</v>
      </c>
      <c r="D28" s="7" t="str" cm="1">
        <f t="array" ref="D28">INDEX(기계코드!$D$4:$D$1022,MATCH(1,(C28=기계코드!$F$4:$F$1022)*1,0))</f>
        <v>M_VAV0204</v>
      </c>
      <c r="E28" s="7" t="s">
        <v>1737</v>
      </c>
      <c r="F28" s="7" t="str" cm="1">
        <f t="array" ref="F28">INDEX(공급업체코드!$B$3:$B$1000,MATCH(1,(E28=공급업체코드!$D$3:$D$1000)*1,0))</f>
        <v>VM_KJ_IND</v>
      </c>
      <c r="H28" s="64">
        <v>350</v>
      </c>
      <c r="I28" s="64">
        <v>10</v>
      </c>
      <c r="J28" s="70"/>
      <c r="K28" s="7"/>
      <c r="L28" s="7"/>
      <c r="M28" s="151"/>
      <c r="N28" s="7"/>
      <c r="O28" s="7"/>
      <c r="P28">
        <v>0.123</v>
      </c>
      <c r="Q28" s="147" t="s">
        <v>1390</v>
      </c>
      <c r="R28" s="7">
        <v>34</v>
      </c>
      <c r="S28" s="18" t="s">
        <v>1391</v>
      </c>
      <c r="T28" t="s">
        <v>1738</v>
      </c>
      <c r="U28" s="1" t="str" cm="1">
        <f t="array" ref="U28">INDEX(기자재코드!$D$4:$D$25,MATCH(1,(T28=기자재코드!$F$4:$F$25)*1,0))</f>
        <v>S_VAV01</v>
      </c>
      <c r="V28" s="91" t="s">
        <v>1741</v>
      </c>
      <c r="W28" s="64">
        <v>10688400</v>
      </c>
      <c r="X28" s="64"/>
      <c r="Y28" s="18" t="s">
        <v>1739</v>
      </c>
      <c r="Z28" s="1" t="b">
        <v>1</v>
      </c>
      <c r="AB28" s="133"/>
      <c r="AH28" s="41"/>
      <c r="AI28" s="41"/>
      <c r="AJ28" s="41"/>
    </row>
    <row r="29" spans="1:36">
      <c r="A29" t="s">
        <v>1760</v>
      </c>
      <c r="B29" s="1" t="str">
        <f t="shared" si="0"/>
        <v>M_VAV0204_VM_KJ_IND_400_10</v>
      </c>
      <c r="C29" s="7" t="s">
        <v>53</v>
      </c>
      <c r="D29" s="7" t="str" cm="1">
        <f t="array" ref="D29">INDEX(기계코드!$D$4:$D$1022,MATCH(1,(C29=기계코드!$F$4:$F$1022)*1,0))</f>
        <v>M_VAV0204</v>
      </c>
      <c r="E29" s="7" t="s">
        <v>1737</v>
      </c>
      <c r="F29" s="7" t="str" cm="1">
        <f t="array" ref="F29">INDEX(공급업체코드!$B$3:$B$1000,MATCH(1,(E29=공급업체코드!$D$3:$D$1000)*1,0))</f>
        <v>VM_KJ_IND</v>
      </c>
      <c r="H29" s="64">
        <v>400</v>
      </c>
      <c r="I29" s="64">
        <v>10</v>
      </c>
      <c r="J29" s="70"/>
      <c r="K29" s="7"/>
      <c r="L29" s="7"/>
      <c r="M29" s="151"/>
      <c r="N29" s="7"/>
      <c r="O29" s="7"/>
      <c r="P29">
        <v>0.123</v>
      </c>
      <c r="Q29" s="147" t="s">
        <v>1390</v>
      </c>
      <c r="R29" s="7">
        <v>35</v>
      </c>
      <c r="S29" s="18" t="s">
        <v>1391</v>
      </c>
      <c r="T29" t="s">
        <v>1738</v>
      </c>
      <c r="U29" s="1" t="str" cm="1">
        <f t="array" ref="U29">INDEX(기자재코드!$D$4:$D$25,MATCH(1,(T29=기자재코드!$F$4:$F$25)*1,0))</f>
        <v>S_VAV01</v>
      </c>
      <c r="V29" s="91" t="s">
        <v>1741</v>
      </c>
      <c r="W29" s="64">
        <v>11382000</v>
      </c>
      <c r="X29" s="64"/>
      <c r="Y29" s="18" t="s">
        <v>1739</v>
      </c>
      <c r="Z29" s="1" t="b">
        <v>1</v>
      </c>
      <c r="AB29" s="133"/>
      <c r="AH29" s="41"/>
      <c r="AI29" s="41"/>
      <c r="AJ29" s="41"/>
    </row>
    <row r="30" spans="1:36">
      <c r="A30" t="s">
        <v>1761</v>
      </c>
      <c r="B30" s="1" t="str">
        <f t="shared" si="0"/>
        <v>M_VAV0204_VM_KJ_IND_450_10</v>
      </c>
      <c r="C30" s="7" t="s">
        <v>53</v>
      </c>
      <c r="D30" s="7" t="str" cm="1">
        <f t="array" ref="D30">INDEX(기계코드!$D$4:$D$1022,MATCH(1,(C30=기계코드!$F$4:$F$1022)*1,0))</f>
        <v>M_VAV0204</v>
      </c>
      <c r="E30" s="7" t="s">
        <v>1737</v>
      </c>
      <c r="F30" s="7" t="str" cm="1">
        <f t="array" ref="F30">INDEX(공급업체코드!$B$3:$B$1000,MATCH(1,(E30=공급업체코드!$D$3:$D$1000)*1,0))</f>
        <v>VM_KJ_IND</v>
      </c>
      <c r="H30" s="64">
        <v>450</v>
      </c>
      <c r="I30" s="64">
        <v>10</v>
      </c>
      <c r="J30" s="70"/>
      <c r="K30" s="7"/>
      <c r="L30" s="7"/>
      <c r="M30" s="151"/>
      <c r="N30" s="7"/>
      <c r="O30" s="7"/>
      <c r="P30">
        <v>0.123</v>
      </c>
      <c r="Q30" s="147" t="s">
        <v>1390</v>
      </c>
      <c r="R30" s="7">
        <v>36</v>
      </c>
      <c r="S30" s="18" t="s">
        <v>1391</v>
      </c>
      <c r="T30" t="s">
        <v>1738</v>
      </c>
      <c r="U30" s="1" t="str" cm="1">
        <f t="array" ref="U30">INDEX(기자재코드!$D$4:$D$25,MATCH(1,(T30=기자재코드!$F$4:$F$25)*1,0))</f>
        <v>S_VAV01</v>
      </c>
      <c r="V30" s="91" t="s">
        <v>1741</v>
      </c>
      <c r="W30" s="64">
        <v>13016400</v>
      </c>
      <c r="X30" s="64"/>
      <c r="Y30" s="18" t="s">
        <v>1739</v>
      </c>
      <c r="Z30" s="1" t="b">
        <v>1</v>
      </c>
      <c r="AB30" s="133"/>
      <c r="AH30" s="41"/>
      <c r="AI30" s="41"/>
      <c r="AJ30" s="41"/>
    </row>
    <row r="31" spans="1:36">
      <c r="A31" t="s">
        <v>1762</v>
      </c>
      <c r="B31" s="1" t="str">
        <f t="shared" si="0"/>
        <v>M_VAV0204_VM_KJ_IND_500_10</v>
      </c>
      <c r="C31" s="7" t="s">
        <v>53</v>
      </c>
      <c r="D31" s="7" t="str" cm="1">
        <f t="array" ref="D31">INDEX(기계코드!$D$4:$D$1022,MATCH(1,(C31=기계코드!$F$4:$F$1022)*1,0))</f>
        <v>M_VAV0204</v>
      </c>
      <c r="E31" s="7" t="s">
        <v>1737</v>
      </c>
      <c r="F31" s="7" t="str" cm="1">
        <f t="array" ref="F31">INDEX(공급업체코드!$B$3:$B$1000,MATCH(1,(E31=공급업체코드!$D$3:$D$1000)*1,0))</f>
        <v>VM_KJ_IND</v>
      </c>
      <c r="H31" s="64">
        <v>500</v>
      </c>
      <c r="I31" s="64">
        <v>10</v>
      </c>
      <c r="J31" s="70"/>
      <c r="K31" s="7"/>
      <c r="L31" s="7"/>
      <c r="M31" s="151"/>
      <c r="N31" s="7"/>
      <c r="O31" s="7"/>
      <c r="P31">
        <v>0.123</v>
      </c>
      <c r="Q31" s="147" t="s">
        <v>1390</v>
      </c>
      <c r="R31" s="7">
        <v>37</v>
      </c>
      <c r="S31" s="18" t="s">
        <v>1391</v>
      </c>
      <c r="T31" t="s">
        <v>1738</v>
      </c>
      <c r="U31" s="1" t="str" cm="1">
        <f t="array" ref="U31">INDEX(기자재코드!$D$4:$D$25,MATCH(1,(T31=기자재코드!$F$4:$F$25)*1,0))</f>
        <v>S_VAV01</v>
      </c>
      <c r="V31" s="91" t="s">
        <v>1741</v>
      </c>
      <c r="W31" s="64">
        <v>14428800</v>
      </c>
      <c r="X31" s="64"/>
      <c r="Y31" s="18" t="s">
        <v>1739</v>
      </c>
      <c r="Z31" s="1" t="b">
        <v>1</v>
      </c>
      <c r="AB31" s="133"/>
      <c r="AH31" s="40"/>
      <c r="AI31" s="40"/>
      <c r="AJ31" s="41"/>
    </row>
    <row r="32" spans="1:36">
      <c r="A32" t="s">
        <v>1763</v>
      </c>
      <c r="B32" s="1" t="str">
        <f t="shared" si="0"/>
        <v>M_VAV0204_VM_KJ_IND_600_10</v>
      </c>
      <c r="C32" s="7" t="s">
        <v>53</v>
      </c>
      <c r="D32" s="7" t="str" cm="1">
        <f t="array" ref="D32">INDEX(기계코드!$D$4:$D$1022,MATCH(1,(C32=기계코드!$F$4:$F$1022)*1,0))</f>
        <v>M_VAV0204</v>
      </c>
      <c r="E32" s="7" t="s">
        <v>1737</v>
      </c>
      <c r="F32" s="7" t="str" cm="1">
        <f t="array" ref="F32">INDEX(공급업체코드!$B$3:$B$1000,MATCH(1,(E32=공급업체코드!$D$3:$D$1000)*1,0))</f>
        <v>VM_KJ_IND</v>
      </c>
      <c r="H32" s="64">
        <v>600</v>
      </c>
      <c r="I32" s="64">
        <v>10</v>
      </c>
      <c r="J32" s="70"/>
      <c r="K32" s="7"/>
      <c r="L32" s="7"/>
      <c r="M32" s="151"/>
      <c r="N32" s="7"/>
      <c r="O32" s="7"/>
      <c r="P32">
        <v>0.123</v>
      </c>
      <c r="Q32" s="147" t="s">
        <v>1390</v>
      </c>
      <c r="R32" s="7">
        <v>38</v>
      </c>
      <c r="S32" s="18" t="s">
        <v>1391</v>
      </c>
      <c r="T32" t="s">
        <v>1738</v>
      </c>
      <c r="U32" s="1" t="str" cm="1">
        <f t="array" ref="U32">INDEX(기자재코드!$D$4:$D$25,MATCH(1,(T32=기자재코드!$F$4:$F$25)*1,0))</f>
        <v>S_VAV01</v>
      </c>
      <c r="V32" s="91" t="s">
        <v>1741</v>
      </c>
      <c r="W32" s="64">
        <v>17854800</v>
      </c>
      <c r="X32" s="64"/>
      <c r="Y32" s="18" t="s">
        <v>1739</v>
      </c>
      <c r="Z32" s="1" t="b">
        <v>1</v>
      </c>
      <c r="AB32" s="133"/>
      <c r="AH32" s="41"/>
      <c r="AI32" s="41"/>
      <c r="AJ32" s="41"/>
    </row>
    <row r="33" spans="1:36">
      <c r="A33" t="s">
        <v>1764</v>
      </c>
      <c r="B33" s="1" t="str">
        <f t="shared" si="0"/>
        <v>M_VAV0204_VM_KJ_IND_700_10</v>
      </c>
      <c r="C33" s="7" t="s">
        <v>53</v>
      </c>
      <c r="D33" s="7" t="str" cm="1">
        <f t="array" ref="D33">INDEX(기계코드!$D$4:$D$1022,MATCH(1,(C33=기계코드!$F$4:$F$1022)*1,0))</f>
        <v>M_VAV0204</v>
      </c>
      <c r="E33" s="7" t="s">
        <v>1737</v>
      </c>
      <c r="F33" s="7" t="str" cm="1">
        <f t="array" ref="F33">INDEX(공급업체코드!$B$3:$B$1000,MATCH(1,(E33=공급업체코드!$D$3:$D$1000)*1,0))</f>
        <v>VM_KJ_IND</v>
      </c>
      <c r="H33" s="64">
        <v>700</v>
      </c>
      <c r="I33" s="64">
        <v>10</v>
      </c>
      <c r="J33" s="70"/>
      <c r="K33" s="7"/>
      <c r="L33" s="7"/>
      <c r="M33" s="151"/>
      <c r="N33" s="7"/>
      <c r="O33" s="7"/>
      <c r="P33">
        <v>0.123</v>
      </c>
      <c r="Q33" s="147" t="s">
        <v>1390</v>
      </c>
      <c r="S33" s="18" t="s">
        <v>1391</v>
      </c>
      <c r="T33" t="s">
        <v>1738</v>
      </c>
      <c r="U33" s="1" t="str" cm="1">
        <f t="array" ref="U33">INDEX(기자재코드!$D$4:$D$25,MATCH(1,(T33=기자재코드!$F$4:$F$25)*1,0))</f>
        <v>S_VAV01</v>
      </c>
      <c r="V33" s="91" t="s">
        <v>1741</v>
      </c>
      <c r="W33" s="64">
        <v>21420000</v>
      </c>
      <c r="X33" s="64"/>
      <c r="Y33" s="18" t="s">
        <v>1739</v>
      </c>
      <c r="Z33" s="1" t="b">
        <v>1</v>
      </c>
      <c r="AB33" s="133"/>
      <c r="AH33" s="41"/>
      <c r="AI33" s="41"/>
      <c r="AJ33" s="41"/>
    </row>
    <row r="34" spans="1:36">
      <c r="A34" t="s">
        <v>1765</v>
      </c>
      <c r="B34" s="1" t="str">
        <f t="shared" si="0"/>
        <v>M_VAV0204_VM_KJ_IND_800_10</v>
      </c>
      <c r="C34" s="7" t="s">
        <v>53</v>
      </c>
      <c r="D34" s="7" t="str" cm="1">
        <f t="array" ref="D34">INDEX(기계코드!$D$4:$D$1022,MATCH(1,(C34=기계코드!$F$4:$F$1022)*1,0))</f>
        <v>M_VAV0204</v>
      </c>
      <c r="E34" s="7" t="s">
        <v>1737</v>
      </c>
      <c r="F34" s="7" t="str" cm="1">
        <f t="array" ref="F34">INDEX(공급업체코드!$B$3:$B$1000,MATCH(1,(E34=공급업체코드!$D$3:$D$1000)*1,0))</f>
        <v>VM_KJ_IND</v>
      </c>
      <c r="H34" s="64">
        <v>800</v>
      </c>
      <c r="I34" s="64">
        <v>10</v>
      </c>
      <c r="J34" s="70"/>
      <c r="K34" s="7"/>
      <c r="L34" s="7"/>
      <c r="M34" s="151"/>
      <c r="N34" s="7"/>
      <c r="O34" s="7"/>
      <c r="P34">
        <v>0.123</v>
      </c>
      <c r="Q34" s="147" t="s">
        <v>1390</v>
      </c>
      <c r="S34" s="18" t="s">
        <v>1391</v>
      </c>
      <c r="T34" t="s">
        <v>1738</v>
      </c>
      <c r="U34" s="1" t="str" cm="1">
        <f t="array" ref="U34">INDEX(기자재코드!$D$4:$D$25,MATCH(1,(T34=기자재코드!$F$4:$F$25)*1,0))</f>
        <v>S_VAV01</v>
      </c>
      <c r="V34" s="91" t="s">
        <v>1741</v>
      </c>
      <c r="W34" s="64">
        <v>27732000</v>
      </c>
      <c r="X34" s="64"/>
      <c r="Y34" s="18" t="s">
        <v>1739</v>
      </c>
      <c r="Z34" s="1" t="b">
        <v>1</v>
      </c>
      <c r="AB34" s="133"/>
      <c r="AH34" s="41"/>
      <c r="AI34" s="41"/>
      <c r="AJ34" s="41"/>
    </row>
    <row r="35" spans="1:36">
      <c r="A35" t="s">
        <v>1766</v>
      </c>
      <c r="B35" s="1" t="str">
        <f t="shared" ref="B35:B59" si="1">D35&amp;"_"&amp;F35&amp;"_"&amp;H35&amp;"_"&amp;I35</f>
        <v>M_VAV0204_VM_KJ_IND_900_10</v>
      </c>
      <c r="C35" s="7" t="s">
        <v>53</v>
      </c>
      <c r="D35" s="7" t="str" cm="1">
        <f t="array" ref="D35">INDEX(기계코드!$D$4:$D$1022,MATCH(1,(C35=기계코드!$F$4:$F$1022)*1,0))</f>
        <v>M_VAV0204</v>
      </c>
      <c r="E35" s="7" t="s">
        <v>1737</v>
      </c>
      <c r="F35" s="7" t="str" cm="1">
        <f t="array" ref="F35">INDEX(공급업체코드!$B$3:$B$1000,MATCH(1,(E35=공급업체코드!$D$3:$D$1000)*1,0))</f>
        <v>VM_KJ_IND</v>
      </c>
      <c r="H35" s="64">
        <v>900</v>
      </c>
      <c r="I35" s="64">
        <v>10</v>
      </c>
      <c r="J35" s="70"/>
      <c r="K35" s="7"/>
      <c r="L35" s="7"/>
      <c r="M35" s="151"/>
      <c r="N35" s="7"/>
      <c r="O35" s="7"/>
      <c r="P35">
        <v>0.123</v>
      </c>
      <c r="Q35" s="147" t="s">
        <v>1390</v>
      </c>
      <c r="S35" s="18" t="s">
        <v>1391</v>
      </c>
      <c r="T35" t="s">
        <v>1738</v>
      </c>
      <c r="U35" s="1" t="str" cm="1">
        <f t="array" ref="U35">INDEX(기자재코드!$D$4:$D$25,MATCH(1,(T35=기자재코드!$F$4:$F$25)*1,0))</f>
        <v>S_VAV01</v>
      </c>
      <c r="V35" s="91" t="s">
        <v>1741</v>
      </c>
      <c r="W35" s="64">
        <v>34711200</v>
      </c>
      <c r="X35" s="64"/>
      <c r="Y35" s="18" t="s">
        <v>1739</v>
      </c>
      <c r="Z35" s="1" t="b">
        <v>1</v>
      </c>
      <c r="AB35" s="133"/>
      <c r="AH35" s="40"/>
      <c r="AI35" s="40"/>
      <c r="AJ35" s="41"/>
    </row>
    <row r="36" spans="1:36">
      <c r="A36" t="s">
        <v>1767</v>
      </c>
      <c r="B36" s="1" t="str">
        <f t="shared" si="1"/>
        <v>M_VAV0204_VM_KJ_IND_1000_10</v>
      </c>
      <c r="C36" s="7" t="s">
        <v>53</v>
      </c>
      <c r="D36" s="7" t="str" cm="1">
        <f t="array" ref="D36">INDEX(기계코드!$D$4:$D$1022,MATCH(1,(C36=기계코드!$F$4:$F$1022)*1,0))</f>
        <v>M_VAV0204</v>
      </c>
      <c r="E36" s="7" t="s">
        <v>1737</v>
      </c>
      <c r="F36" s="7" t="str" cm="1">
        <f t="array" ref="F36">INDEX(공급업체코드!$B$3:$B$1000,MATCH(1,(E36=공급업체코드!$D$3:$D$1000)*1,0))</f>
        <v>VM_KJ_IND</v>
      </c>
      <c r="H36" s="64">
        <v>1000</v>
      </c>
      <c r="I36" s="64">
        <v>10</v>
      </c>
      <c r="J36" s="70"/>
      <c r="K36" s="7"/>
      <c r="L36" s="7"/>
      <c r="M36" s="151"/>
      <c r="N36" s="7"/>
      <c r="O36" s="7"/>
      <c r="P36">
        <v>0.123</v>
      </c>
      <c r="Q36" s="147" t="s">
        <v>1390</v>
      </c>
      <c r="S36" s="18" t="s">
        <v>1391</v>
      </c>
      <c r="T36" t="s">
        <v>1738</v>
      </c>
      <c r="U36" s="1" t="str" cm="1">
        <f t="array" ref="U36">INDEX(기자재코드!$D$4:$D$25,MATCH(1,(T36=기자재코드!$F$4:$F$25)*1,0))</f>
        <v>S_VAV01</v>
      </c>
      <c r="V36" s="91" t="s">
        <v>1741</v>
      </c>
      <c r="W36" s="64">
        <v>44455200</v>
      </c>
      <c r="X36" s="64"/>
      <c r="Y36" s="18" t="s">
        <v>1739</v>
      </c>
      <c r="Z36" s="1" t="b">
        <v>1</v>
      </c>
      <c r="AB36" s="133"/>
      <c r="AH36" s="41"/>
      <c r="AI36" s="41"/>
      <c r="AJ36" s="41"/>
    </row>
    <row r="37" spans="1:36">
      <c r="A37" t="s">
        <v>1735</v>
      </c>
      <c r="B37" s="1" t="str">
        <f>D37&amp;"_"&amp;F37&amp;"_"&amp;H37&amp;"_"&amp;I37</f>
        <v>M_VAV0201_VM_HD_VALVE_200_10</v>
      </c>
      <c r="C37" s="7" t="s">
        <v>44</v>
      </c>
      <c r="D37" s="7" t="str" cm="1">
        <f t="array" ref="D37">INDEX(기계코드!$D$4:$D$1022,MATCH(1,(C37=기계코드!$F$4:$F$1022)*1,0))</f>
        <v>M_VAV0201</v>
      </c>
      <c r="E37" s="7" t="s">
        <v>1768</v>
      </c>
      <c r="F37" s="7" t="str" cm="1">
        <f t="array" ref="F37">INDEX(공급업체코드!$B$3:$B$1000,MATCH(1,(E37=공급업체코드!$D$3:$D$1000)*1,0))</f>
        <v>VM_HD_VALVE</v>
      </c>
      <c r="H37" s="64">
        <v>200</v>
      </c>
      <c r="I37" s="64">
        <v>10</v>
      </c>
      <c r="J37" s="70">
        <v>0.4</v>
      </c>
      <c r="K37" s="7" t="s">
        <v>990</v>
      </c>
      <c r="L37" s="7">
        <v>380</v>
      </c>
      <c r="M37" s="151">
        <v>0.65</v>
      </c>
      <c r="N37" s="7">
        <v>0.9</v>
      </c>
      <c r="O37" s="7">
        <v>10</v>
      </c>
      <c r="P37">
        <v>0.123</v>
      </c>
      <c r="Q37" s="147" t="s">
        <v>1390</v>
      </c>
      <c r="R37" s="7">
        <v>31</v>
      </c>
      <c r="S37" s="18" t="s">
        <v>1391</v>
      </c>
      <c r="T37" t="s">
        <v>1738</v>
      </c>
      <c r="U37" s="1" t="str" cm="1">
        <f t="array" ref="U37">INDEX(기자재코드!$D$4:$D$25,MATCH(1,(T37=기자재코드!$F$4:$F$25)*1,0))</f>
        <v>S_VAV01</v>
      </c>
      <c r="V37" s="91" t="s">
        <v>1741</v>
      </c>
      <c r="W37" s="64">
        <v>9394000</v>
      </c>
      <c r="X37" s="64"/>
      <c r="Y37" s="18" t="s">
        <v>1769</v>
      </c>
      <c r="Z37" s="1" t="b">
        <v>1</v>
      </c>
      <c r="AB37" s="133"/>
      <c r="AH37" s="41"/>
      <c r="AI37" s="41"/>
      <c r="AJ37" s="41"/>
    </row>
    <row r="38" spans="1:36">
      <c r="A38" t="s">
        <v>1740</v>
      </c>
      <c r="B38" s="1" t="str">
        <f t="shared" si="1"/>
        <v>M_VAV0201_VM_HD_VALVE_250_10</v>
      </c>
      <c r="C38" s="7" t="s">
        <v>44</v>
      </c>
      <c r="D38" s="7" t="str" cm="1">
        <f t="array" ref="D38">INDEX(기계코드!$D$4:$D$1022,MATCH(1,(C38=기계코드!$F$4:$F$1022)*1,0))</f>
        <v>M_VAV0201</v>
      </c>
      <c r="E38" s="7" t="s">
        <v>1768</v>
      </c>
      <c r="F38" s="7" t="str" cm="1">
        <f t="array" ref="F38">INDEX(공급업체코드!$B$3:$B$1000,MATCH(1,(E38=공급업체코드!$D$3:$D$1000)*1,0))</f>
        <v>VM_HD_VALVE</v>
      </c>
      <c r="H38" s="64">
        <v>250</v>
      </c>
      <c r="I38" s="64">
        <v>10</v>
      </c>
      <c r="J38" s="70">
        <v>0.4</v>
      </c>
      <c r="K38" s="7" t="s">
        <v>990</v>
      </c>
      <c r="L38" s="7">
        <v>380</v>
      </c>
      <c r="M38" s="151">
        <v>0.65</v>
      </c>
      <c r="N38" s="7">
        <v>0.9</v>
      </c>
      <c r="O38" s="7">
        <v>10</v>
      </c>
      <c r="P38">
        <v>0.123</v>
      </c>
      <c r="Q38" s="147" t="s">
        <v>1390</v>
      </c>
      <c r="R38" s="7">
        <v>32</v>
      </c>
      <c r="S38" s="18" t="s">
        <v>1391</v>
      </c>
      <c r="T38" t="s">
        <v>1738</v>
      </c>
      <c r="U38" s="1" t="str" cm="1">
        <f t="array" ref="U38">INDEX(기자재코드!$D$4:$D$25,MATCH(1,(T38=기자재코드!$F$4:$F$25)*1,0))</f>
        <v>S_VAV01</v>
      </c>
      <c r="V38" s="91" t="s">
        <v>1741</v>
      </c>
      <c r="W38" s="64">
        <v>9660000</v>
      </c>
      <c r="X38" s="64"/>
      <c r="Y38" s="18" t="s">
        <v>1769</v>
      </c>
      <c r="Z38" s="1" t="b">
        <v>1</v>
      </c>
      <c r="AB38" s="133"/>
      <c r="AH38" s="40"/>
      <c r="AI38" s="40"/>
      <c r="AJ38" s="41"/>
    </row>
    <row r="39" spans="1:36">
      <c r="A39" t="s">
        <v>1742</v>
      </c>
      <c r="B39" s="1" t="str">
        <f t="shared" si="1"/>
        <v>M_VAV0201_VM_HD_VALVE_300_10</v>
      </c>
      <c r="C39" s="7" t="s">
        <v>44</v>
      </c>
      <c r="D39" s="7" t="str" cm="1">
        <f t="array" ref="D39">INDEX(기계코드!$D$4:$D$1022,MATCH(1,(C39=기계코드!$F$4:$F$1022)*1,0))</f>
        <v>M_VAV0201</v>
      </c>
      <c r="E39" s="7" t="s">
        <v>1768</v>
      </c>
      <c r="F39" s="7" t="str" cm="1">
        <f t="array" ref="F39">INDEX(공급업체코드!$B$3:$B$1000,MATCH(1,(E39=공급업체코드!$D$3:$D$1000)*1,0))</f>
        <v>VM_HD_VALVE</v>
      </c>
      <c r="H39" s="64">
        <v>300</v>
      </c>
      <c r="I39" s="64">
        <v>10</v>
      </c>
      <c r="J39" s="70">
        <v>0.4</v>
      </c>
      <c r="K39" s="7" t="s">
        <v>990</v>
      </c>
      <c r="L39" s="7">
        <v>380</v>
      </c>
      <c r="M39" s="151">
        <v>0.65</v>
      </c>
      <c r="N39" s="7">
        <v>0.9</v>
      </c>
      <c r="O39" s="7">
        <v>10</v>
      </c>
      <c r="P39">
        <v>0.123</v>
      </c>
      <c r="Q39" s="147" t="s">
        <v>1390</v>
      </c>
      <c r="R39" s="7">
        <v>33</v>
      </c>
      <c r="S39" s="18" t="s">
        <v>1391</v>
      </c>
      <c r="T39" t="s">
        <v>1738</v>
      </c>
      <c r="U39" s="1" t="str" cm="1">
        <f t="array" ref="U39">INDEX(기자재코드!$D$4:$D$25,MATCH(1,(T39=기자재코드!$F$4:$F$25)*1,0))</f>
        <v>S_VAV01</v>
      </c>
      <c r="V39" s="91" t="s">
        <v>1741</v>
      </c>
      <c r="W39" s="64">
        <v>10361400</v>
      </c>
      <c r="X39" s="64"/>
      <c r="Y39" s="18" t="s">
        <v>1769</v>
      </c>
      <c r="Z39" s="1" t="b">
        <v>1</v>
      </c>
      <c r="AB39" s="133"/>
      <c r="AH39" s="41"/>
      <c r="AI39" s="41"/>
      <c r="AJ39" s="41"/>
    </row>
    <row r="40" spans="1:36">
      <c r="A40" t="s">
        <v>1743</v>
      </c>
      <c r="B40" s="1" t="str">
        <f t="shared" si="1"/>
        <v>M_VAV0201_VM_HD_VALVE_350_10</v>
      </c>
      <c r="C40" s="7" t="s">
        <v>44</v>
      </c>
      <c r="D40" s="7" t="str" cm="1">
        <f t="array" ref="D40">INDEX(기계코드!$D$4:$D$1022,MATCH(1,(C40=기계코드!$F$4:$F$1022)*1,0))</f>
        <v>M_VAV0201</v>
      </c>
      <c r="E40" s="7" t="s">
        <v>1768</v>
      </c>
      <c r="F40" s="7" t="str" cm="1">
        <f t="array" ref="F40">INDEX(공급업체코드!$B$3:$B$1000,MATCH(1,(E40=공급업체코드!$D$3:$D$1000)*1,0))</f>
        <v>VM_HD_VALVE</v>
      </c>
      <c r="H40" s="64">
        <v>350</v>
      </c>
      <c r="I40" s="64">
        <v>10</v>
      </c>
      <c r="J40" s="70">
        <v>0.75</v>
      </c>
      <c r="K40" s="7" t="s">
        <v>990</v>
      </c>
      <c r="L40" s="7">
        <v>380</v>
      </c>
      <c r="M40" s="151">
        <v>0.83499999999999996</v>
      </c>
      <c r="N40" s="7">
        <v>0.9</v>
      </c>
      <c r="O40" s="7">
        <v>10</v>
      </c>
      <c r="P40">
        <v>0.123</v>
      </c>
      <c r="Q40" s="147" t="s">
        <v>1390</v>
      </c>
      <c r="R40" s="7">
        <v>34</v>
      </c>
      <c r="S40" s="18" t="s">
        <v>1391</v>
      </c>
      <c r="T40" t="s">
        <v>1738</v>
      </c>
      <c r="U40" s="1" t="str" cm="1">
        <f t="array" ref="U40">INDEX(기자재코드!$D$4:$D$25,MATCH(1,(T40=기자재코드!$F$4:$F$25)*1,0))</f>
        <v>S_VAV01</v>
      </c>
      <c r="V40" s="91" t="s">
        <v>1741</v>
      </c>
      <c r="W40" s="64">
        <v>11144000</v>
      </c>
      <c r="X40" s="64"/>
      <c r="Y40" s="18" t="s">
        <v>1769</v>
      </c>
      <c r="Z40" s="1" t="b">
        <v>1</v>
      </c>
      <c r="AB40" s="133"/>
      <c r="AH40" s="40"/>
      <c r="AI40" s="40"/>
      <c r="AJ40" s="40"/>
    </row>
    <row r="41" spans="1:36">
      <c r="A41" t="s">
        <v>1744</v>
      </c>
      <c r="B41" s="1" t="str">
        <f t="shared" si="1"/>
        <v>M_VAV0201_VM_HD_VALVE_400_10</v>
      </c>
      <c r="C41" s="7" t="s">
        <v>44</v>
      </c>
      <c r="D41" s="7" t="str" cm="1">
        <f t="array" ref="D41">INDEX(기계코드!$D$4:$D$1022,MATCH(1,(C41=기계코드!$F$4:$F$1022)*1,0))</f>
        <v>M_VAV0201</v>
      </c>
      <c r="E41" s="7" t="s">
        <v>1768</v>
      </c>
      <c r="F41" s="7" t="str" cm="1">
        <f t="array" ref="F41">INDEX(공급업체코드!$B$3:$B$1000,MATCH(1,(E41=공급업체코드!$D$3:$D$1000)*1,0))</f>
        <v>VM_HD_VALVE</v>
      </c>
      <c r="H41" s="64">
        <v>400</v>
      </c>
      <c r="I41" s="64">
        <v>10</v>
      </c>
      <c r="J41" s="70">
        <v>0.75</v>
      </c>
      <c r="K41" s="7" t="s">
        <v>990</v>
      </c>
      <c r="L41" s="7">
        <v>380</v>
      </c>
      <c r="M41" s="151">
        <v>0.83499999999999996</v>
      </c>
      <c r="N41" s="7">
        <v>0.9</v>
      </c>
      <c r="O41" s="7">
        <v>10</v>
      </c>
      <c r="P41">
        <v>0.123</v>
      </c>
      <c r="Q41" s="147" t="s">
        <v>1390</v>
      </c>
      <c r="R41" s="7">
        <v>35</v>
      </c>
      <c r="S41" s="18" t="s">
        <v>1391</v>
      </c>
      <c r="T41" t="s">
        <v>1738</v>
      </c>
      <c r="U41" s="1" t="str" cm="1">
        <f t="array" ref="U41">INDEX(기자재코드!$D$4:$D$25,MATCH(1,(T41=기자재코드!$F$4:$F$25)*1,0))</f>
        <v>S_VAV01</v>
      </c>
      <c r="V41" s="91" t="s">
        <v>1741</v>
      </c>
      <c r="W41" s="64">
        <v>11732000</v>
      </c>
      <c r="X41" s="64"/>
      <c r="Y41" s="18" t="s">
        <v>1769</v>
      </c>
      <c r="Z41" s="1" t="b">
        <v>1</v>
      </c>
      <c r="AB41" s="133"/>
      <c r="AH41" s="41"/>
      <c r="AI41" s="41"/>
      <c r="AJ41" s="41"/>
    </row>
    <row r="42" spans="1:36">
      <c r="A42" t="s">
        <v>1745</v>
      </c>
      <c r="B42" s="1" t="str">
        <f t="shared" si="1"/>
        <v>M_VAV0201_VM_HD_VALVE_450_10</v>
      </c>
      <c r="C42" s="7" t="s">
        <v>44</v>
      </c>
      <c r="D42" s="7" t="str" cm="1">
        <f t="array" ref="D42">INDEX(기계코드!$D$4:$D$1022,MATCH(1,(C42=기계코드!$F$4:$F$1022)*1,0))</f>
        <v>M_VAV0201</v>
      </c>
      <c r="E42" s="7" t="s">
        <v>1768</v>
      </c>
      <c r="F42" s="7" t="str" cm="1">
        <f t="array" ref="F42">INDEX(공급업체코드!$B$3:$B$1000,MATCH(1,(E42=공급업체코드!$D$3:$D$1000)*1,0))</f>
        <v>VM_HD_VALVE</v>
      </c>
      <c r="H42" s="64">
        <v>450</v>
      </c>
      <c r="I42" s="64">
        <v>10</v>
      </c>
      <c r="J42" s="70">
        <v>0.75</v>
      </c>
      <c r="K42" s="7" t="s">
        <v>990</v>
      </c>
      <c r="L42" s="7">
        <v>380</v>
      </c>
      <c r="M42" s="151">
        <v>0.83499999999999996</v>
      </c>
      <c r="N42" s="7">
        <v>0.9</v>
      </c>
      <c r="O42" s="7">
        <v>10</v>
      </c>
      <c r="P42">
        <v>0.123</v>
      </c>
      <c r="Q42" s="147" t="s">
        <v>1390</v>
      </c>
      <c r="R42" s="7">
        <v>36</v>
      </c>
      <c r="S42" s="18" t="s">
        <v>1391</v>
      </c>
      <c r="T42" t="s">
        <v>1738</v>
      </c>
      <c r="U42" s="1" t="str" cm="1">
        <f t="array" ref="U42">INDEX(기자재코드!$D$4:$D$25,MATCH(1,(T42=기자재코드!$F$4:$F$25)*1,0))</f>
        <v>S_VAV01</v>
      </c>
      <c r="V42" s="91" t="s">
        <v>1741</v>
      </c>
      <c r="W42" s="64">
        <v>13080200</v>
      </c>
      <c r="X42" s="64"/>
      <c r="Y42" s="18" t="s">
        <v>1769</v>
      </c>
      <c r="Z42" s="1" t="b">
        <v>1</v>
      </c>
      <c r="AB42" s="133"/>
      <c r="AH42" s="41"/>
      <c r="AI42" s="41"/>
      <c r="AJ42" s="41"/>
    </row>
    <row r="43" spans="1:36">
      <c r="A43" t="s">
        <v>1746</v>
      </c>
      <c r="B43" s="1" t="str">
        <f t="shared" si="1"/>
        <v>M_VAV0201_VM_HD_VALVE_500_10</v>
      </c>
      <c r="C43" s="7" t="s">
        <v>44</v>
      </c>
      <c r="D43" s="7" t="str" cm="1">
        <f t="array" ref="D43">INDEX(기계코드!$D$4:$D$1022,MATCH(1,(C43=기계코드!$F$4:$F$1022)*1,0))</f>
        <v>M_VAV0201</v>
      </c>
      <c r="E43" s="7" t="s">
        <v>1768</v>
      </c>
      <c r="F43" s="7" t="str" cm="1">
        <f t="array" ref="F43">INDEX(공급업체코드!$B$3:$B$1000,MATCH(1,(E43=공급업체코드!$D$3:$D$1000)*1,0))</f>
        <v>VM_HD_VALVE</v>
      </c>
      <c r="H43" s="64">
        <v>500</v>
      </c>
      <c r="I43" s="64">
        <v>10</v>
      </c>
      <c r="J43" s="70">
        <v>0.75</v>
      </c>
      <c r="K43" s="7" t="s">
        <v>990</v>
      </c>
      <c r="L43" s="7">
        <v>380</v>
      </c>
      <c r="M43" s="151">
        <v>0.83499999999999996</v>
      </c>
      <c r="N43" s="7">
        <v>0.9</v>
      </c>
      <c r="O43" s="7">
        <v>10</v>
      </c>
      <c r="P43">
        <v>0.123</v>
      </c>
      <c r="Q43" s="147" t="s">
        <v>1390</v>
      </c>
      <c r="R43" s="7">
        <v>37</v>
      </c>
      <c r="S43" s="18" t="s">
        <v>1391</v>
      </c>
      <c r="T43" t="s">
        <v>1738</v>
      </c>
      <c r="U43" s="1" t="str" cm="1">
        <f t="array" ref="U43">INDEX(기자재코드!$D$4:$D$25,MATCH(1,(T43=기자재코드!$F$4:$F$25)*1,0))</f>
        <v>S_VAV01</v>
      </c>
      <c r="V43" s="91" t="s">
        <v>1741</v>
      </c>
      <c r="W43" s="64">
        <v>13333600</v>
      </c>
      <c r="X43" s="64"/>
      <c r="Y43" s="18" t="s">
        <v>1769</v>
      </c>
      <c r="Z43" s="1" t="b">
        <v>1</v>
      </c>
      <c r="AB43" s="133"/>
      <c r="AH43" s="41"/>
      <c r="AI43" s="41"/>
      <c r="AJ43" s="41"/>
    </row>
    <row r="44" spans="1:36">
      <c r="A44" t="s">
        <v>1747</v>
      </c>
      <c r="B44" s="1" t="str">
        <f t="shared" si="1"/>
        <v>M_VAV0201_VM_HD_VALVE_600_10</v>
      </c>
      <c r="C44" s="7" t="s">
        <v>44</v>
      </c>
      <c r="D44" s="7" t="str" cm="1">
        <f t="array" ref="D44">INDEX(기계코드!$D$4:$D$1022,MATCH(1,(C44=기계코드!$F$4:$F$1022)*1,0))</f>
        <v>M_VAV0201</v>
      </c>
      <c r="E44" s="7" t="s">
        <v>1768</v>
      </c>
      <c r="F44" s="7" t="str" cm="1">
        <f t="array" ref="F44">INDEX(공급업체코드!$B$3:$B$1000,MATCH(1,(E44=공급업체코드!$D$3:$D$1000)*1,0))</f>
        <v>VM_HD_VALVE</v>
      </c>
      <c r="H44" s="64">
        <v>600</v>
      </c>
      <c r="I44" s="64">
        <v>10</v>
      </c>
      <c r="J44" s="70">
        <v>0.75</v>
      </c>
      <c r="K44" s="7" t="s">
        <v>990</v>
      </c>
      <c r="L44" s="7">
        <v>380</v>
      </c>
      <c r="M44" s="151">
        <v>0.83499999999999996</v>
      </c>
      <c r="N44" s="7">
        <v>0.9</v>
      </c>
      <c r="O44" s="7">
        <v>10</v>
      </c>
      <c r="P44">
        <v>0.123</v>
      </c>
      <c r="Q44" s="147" t="s">
        <v>1390</v>
      </c>
      <c r="R44" s="7">
        <v>38</v>
      </c>
      <c r="S44" s="18" t="s">
        <v>1391</v>
      </c>
      <c r="T44" t="s">
        <v>1738</v>
      </c>
      <c r="U44" s="1" t="str" cm="1">
        <f t="array" ref="U44">INDEX(기자재코드!$D$4:$D$25,MATCH(1,(T44=기자재코드!$F$4:$F$25)*1,0))</f>
        <v>S_VAV01</v>
      </c>
      <c r="V44" s="91" t="s">
        <v>1741</v>
      </c>
      <c r="W44" s="64">
        <v>16160200</v>
      </c>
      <c r="X44" s="64"/>
      <c r="Y44" s="18" t="s">
        <v>1769</v>
      </c>
      <c r="Z44" s="1" t="b">
        <v>1</v>
      </c>
      <c r="AB44" s="133"/>
      <c r="AH44" s="41"/>
      <c r="AI44" s="41"/>
      <c r="AJ44" s="41"/>
    </row>
    <row r="45" spans="1:36">
      <c r="A45" t="s">
        <v>1748</v>
      </c>
      <c r="B45" s="1" t="str">
        <f t="shared" si="1"/>
        <v>M_VAV0201_VM_HD_VALVE_700_10</v>
      </c>
      <c r="C45" s="7" t="s">
        <v>44</v>
      </c>
      <c r="D45" s="7" t="str" cm="1">
        <f t="array" ref="D45">INDEX(기계코드!$D$4:$D$1022,MATCH(1,(C45=기계코드!$F$4:$F$1022)*1,0))</f>
        <v>M_VAV0201</v>
      </c>
      <c r="E45" s="7" t="s">
        <v>1768</v>
      </c>
      <c r="F45" s="7" t="str" cm="1">
        <f t="array" ref="F45">INDEX(공급업체코드!$B$3:$B$1000,MATCH(1,(E45=공급업체코드!$D$3:$D$1000)*1,0))</f>
        <v>VM_HD_VALVE</v>
      </c>
      <c r="H45" s="64">
        <v>700</v>
      </c>
      <c r="I45" s="64">
        <v>10</v>
      </c>
      <c r="J45" s="70">
        <v>0.75</v>
      </c>
      <c r="K45" s="7" t="s">
        <v>990</v>
      </c>
      <c r="L45" s="7">
        <v>380</v>
      </c>
      <c r="M45" s="151">
        <v>0.83499999999999996</v>
      </c>
      <c r="N45" s="7">
        <v>0.9</v>
      </c>
      <c r="O45" s="7">
        <v>10</v>
      </c>
      <c r="P45">
        <v>0.123</v>
      </c>
      <c r="Q45" s="147" t="s">
        <v>1390</v>
      </c>
      <c r="S45" s="18" t="s">
        <v>1391</v>
      </c>
      <c r="T45" t="s">
        <v>1738</v>
      </c>
      <c r="U45" s="1" t="str" cm="1">
        <f t="array" ref="U45">INDEX(기자재코드!$D$4:$D$25,MATCH(1,(T45=기자재코드!$F$4:$F$25)*1,0))</f>
        <v>S_VAV01</v>
      </c>
      <c r="V45" s="91" t="s">
        <v>1741</v>
      </c>
      <c r="W45" s="64">
        <v>18190200</v>
      </c>
      <c r="X45" s="64"/>
      <c r="Y45" s="18" t="s">
        <v>1769</v>
      </c>
      <c r="Z45" s="1" t="b">
        <v>1</v>
      </c>
      <c r="AB45" s="133"/>
    </row>
    <row r="46" spans="1:36">
      <c r="A46" t="s">
        <v>1749</v>
      </c>
      <c r="B46" s="1" t="str">
        <f t="shared" si="1"/>
        <v>M_VAV0201_VM_HD_VALVE_800_10</v>
      </c>
      <c r="C46" s="7" t="s">
        <v>44</v>
      </c>
      <c r="D46" s="7" t="str" cm="1">
        <f t="array" ref="D46">INDEX(기계코드!$D$4:$D$1022,MATCH(1,(C46=기계코드!$F$4:$F$1022)*1,0))</f>
        <v>M_VAV0201</v>
      </c>
      <c r="E46" s="7" t="s">
        <v>1768</v>
      </c>
      <c r="F46" s="7" t="str" cm="1">
        <f t="array" ref="F46">INDEX(공급업체코드!$B$3:$B$1000,MATCH(1,(E46=공급업체코드!$D$3:$D$1000)*1,0))</f>
        <v>VM_HD_VALVE</v>
      </c>
      <c r="H46" s="64">
        <v>800</v>
      </c>
      <c r="I46" s="64">
        <v>10</v>
      </c>
      <c r="J46" s="70">
        <v>1.5</v>
      </c>
      <c r="K46" s="7" t="s">
        <v>990</v>
      </c>
      <c r="L46" s="7">
        <v>380</v>
      </c>
      <c r="M46" s="151">
        <v>0.86499999999999999</v>
      </c>
      <c r="N46" s="7">
        <v>0.9</v>
      </c>
      <c r="O46" s="7">
        <v>10</v>
      </c>
      <c r="P46">
        <v>0.123</v>
      </c>
      <c r="Q46" s="147" t="s">
        <v>1390</v>
      </c>
      <c r="S46" s="18" t="s">
        <v>1391</v>
      </c>
      <c r="T46" t="s">
        <v>1738</v>
      </c>
      <c r="U46" s="1" t="str" cm="1">
        <f t="array" ref="U46">INDEX(기자재코드!$D$4:$D$25,MATCH(1,(T46=기자재코드!$F$4:$F$25)*1,0))</f>
        <v>S_VAV01</v>
      </c>
      <c r="V46" s="91" t="s">
        <v>1741</v>
      </c>
      <c r="W46" s="64">
        <v>20906200</v>
      </c>
      <c r="X46" s="64"/>
      <c r="Y46" s="18" t="s">
        <v>1769</v>
      </c>
      <c r="Z46" s="1" t="b">
        <v>1</v>
      </c>
      <c r="AB46" s="133"/>
    </row>
    <row r="47" spans="1:36">
      <c r="A47" t="s">
        <v>1750</v>
      </c>
      <c r="B47" s="1" t="str">
        <f t="shared" si="1"/>
        <v>M_VAV0201_VM_HD_VALVE_900_10</v>
      </c>
      <c r="C47" s="7" t="s">
        <v>44</v>
      </c>
      <c r="D47" s="7" t="str" cm="1">
        <f t="array" ref="D47">INDEX(기계코드!$D$4:$D$1022,MATCH(1,(C47=기계코드!$F$4:$F$1022)*1,0))</f>
        <v>M_VAV0201</v>
      </c>
      <c r="E47" s="7" t="s">
        <v>1768</v>
      </c>
      <c r="F47" s="7" t="str" cm="1">
        <f t="array" ref="F47">INDEX(공급업체코드!$B$3:$B$1000,MATCH(1,(E47=공급업체코드!$D$3:$D$1000)*1,0))</f>
        <v>VM_HD_VALVE</v>
      </c>
      <c r="H47" s="64">
        <v>900</v>
      </c>
      <c r="I47" s="64">
        <v>10</v>
      </c>
      <c r="J47" s="70">
        <v>1.5</v>
      </c>
      <c r="K47" s="7" t="s">
        <v>990</v>
      </c>
      <c r="L47" s="7">
        <v>380</v>
      </c>
      <c r="M47" s="151">
        <v>0.86499999999999999</v>
      </c>
      <c r="N47" s="7">
        <v>0.9</v>
      </c>
      <c r="O47" s="7">
        <v>10</v>
      </c>
      <c r="P47">
        <v>0.123</v>
      </c>
      <c r="Q47" s="147" t="s">
        <v>1390</v>
      </c>
      <c r="S47" s="18" t="s">
        <v>1391</v>
      </c>
      <c r="T47" t="s">
        <v>1738</v>
      </c>
      <c r="U47" s="1" t="str" cm="1">
        <f t="array" ref="U47">INDEX(기자재코드!$D$4:$D$25,MATCH(1,(T47=기자재코드!$F$4:$F$25)*1,0))</f>
        <v>S_VAV01</v>
      </c>
      <c r="V47" s="91" t="s">
        <v>1741</v>
      </c>
      <c r="W47" s="64">
        <v>25699800</v>
      </c>
      <c r="X47" s="64"/>
      <c r="Y47" s="18" t="s">
        <v>1769</v>
      </c>
      <c r="Z47" s="1" t="b">
        <v>1</v>
      </c>
      <c r="AB47" s="133"/>
    </row>
    <row r="48" spans="1:36">
      <c r="A48" t="s">
        <v>1751</v>
      </c>
      <c r="B48" s="1" t="str">
        <f t="shared" si="1"/>
        <v>M_VAV0201_VM_HD_VALVE_1000_10</v>
      </c>
      <c r="C48" s="7" t="s">
        <v>44</v>
      </c>
      <c r="D48" s="7" t="str" cm="1">
        <f t="array" ref="D48">INDEX(기계코드!$D$4:$D$1022,MATCH(1,(C48=기계코드!$F$4:$F$1022)*1,0))</f>
        <v>M_VAV0201</v>
      </c>
      <c r="E48" s="7" t="s">
        <v>1768</v>
      </c>
      <c r="F48" s="7" t="str" cm="1">
        <f t="array" ref="F48">INDEX(공급업체코드!$B$3:$B$1000,MATCH(1,(E48=공급업체코드!$D$3:$D$1000)*1,0))</f>
        <v>VM_HD_VALVE</v>
      </c>
      <c r="H48" s="64">
        <v>1000</v>
      </c>
      <c r="I48" s="64">
        <v>10</v>
      </c>
      <c r="J48" s="70">
        <v>2.2000000000000002</v>
      </c>
      <c r="K48" s="7" t="s">
        <v>990</v>
      </c>
      <c r="L48" s="7">
        <v>380</v>
      </c>
      <c r="M48" s="151">
        <v>0.89500000000000002</v>
      </c>
      <c r="N48" s="7">
        <v>0.9</v>
      </c>
      <c r="O48" s="7">
        <v>10</v>
      </c>
      <c r="P48">
        <v>0.123</v>
      </c>
      <c r="Q48" s="147" t="s">
        <v>1390</v>
      </c>
      <c r="S48" s="18" t="s">
        <v>1391</v>
      </c>
      <c r="T48" t="s">
        <v>1738</v>
      </c>
      <c r="U48" s="1" t="str" cm="1">
        <f t="array" ref="U48">INDEX(기자재코드!$D$4:$D$25,MATCH(1,(T48=기자재코드!$F$4:$F$25)*1,0))</f>
        <v>S_VAV01</v>
      </c>
      <c r="V48" s="91" t="s">
        <v>1741</v>
      </c>
      <c r="W48" s="64">
        <v>26822600</v>
      </c>
      <c r="X48" s="64"/>
      <c r="Y48" s="18" t="s">
        <v>1769</v>
      </c>
      <c r="Z48" s="1" t="b">
        <v>1</v>
      </c>
      <c r="AB48" s="133"/>
    </row>
    <row r="49" spans="1:28">
      <c r="A49" t="s">
        <v>1752</v>
      </c>
      <c r="B49" s="1" t="str">
        <f t="shared" si="1"/>
        <v>M_VAV0201_VM_HD_VALVE_1100_10</v>
      </c>
      <c r="C49" s="7" t="s">
        <v>44</v>
      </c>
      <c r="D49" s="7" t="str" cm="1">
        <f t="array" ref="D49">INDEX(기계코드!$D$4:$D$1022,MATCH(1,(C49=기계코드!$F$4:$F$1022)*1,0))</f>
        <v>M_VAV0201</v>
      </c>
      <c r="E49" s="7" t="s">
        <v>1768</v>
      </c>
      <c r="F49" s="7" t="str" cm="1">
        <f t="array" ref="F49">INDEX(공급업체코드!$B$3:$B$1000,MATCH(1,(E49=공급업체코드!$D$3:$D$1000)*1,0))</f>
        <v>VM_HD_VALVE</v>
      </c>
      <c r="H49" s="64">
        <v>1100</v>
      </c>
      <c r="I49" s="64">
        <v>10</v>
      </c>
      <c r="J49" s="70">
        <v>2.2000000000000002</v>
      </c>
      <c r="K49" s="7" t="s">
        <v>990</v>
      </c>
      <c r="L49" s="7">
        <v>380</v>
      </c>
      <c r="M49" s="151">
        <v>0.89500000000000002</v>
      </c>
      <c r="N49" s="7">
        <v>0.9</v>
      </c>
      <c r="O49" s="7">
        <v>10</v>
      </c>
      <c r="P49">
        <v>0.123</v>
      </c>
      <c r="Q49" s="147" t="s">
        <v>1390</v>
      </c>
      <c r="S49" s="18" t="s">
        <v>1391</v>
      </c>
      <c r="T49" t="s">
        <v>1738</v>
      </c>
      <c r="U49" s="1" t="str" cm="1">
        <f t="array" ref="U49">INDEX(기자재코드!$D$4:$D$25,MATCH(1,(T49=기자재코드!$F$4:$F$25)*1,0))</f>
        <v>S_VAV01</v>
      </c>
      <c r="V49" s="91" t="s">
        <v>1741</v>
      </c>
      <c r="W49" s="64">
        <v>37942800</v>
      </c>
      <c r="X49" s="64"/>
      <c r="Y49" s="18" t="s">
        <v>1769</v>
      </c>
      <c r="Z49" s="1" t="b">
        <v>1</v>
      </c>
      <c r="AB49" s="133"/>
    </row>
    <row r="50" spans="1:28">
      <c r="A50" t="s">
        <v>1753</v>
      </c>
      <c r="B50" s="1" t="str">
        <f t="shared" si="1"/>
        <v>M_VAV0201_VM_HD_VALVE_1200_10</v>
      </c>
      <c r="C50" s="7" t="s">
        <v>44</v>
      </c>
      <c r="D50" s="7" t="str" cm="1">
        <f t="array" ref="D50">INDEX(기계코드!$D$4:$D$1022,MATCH(1,(C50=기계코드!$F$4:$F$1022)*1,0))</f>
        <v>M_VAV0201</v>
      </c>
      <c r="E50" s="7" t="s">
        <v>1768</v>
      </c>
      <c r="F50" s="7" t="str" cm="1">
        <f t="array" ref="F50">INDEX(공급업체코드!$B$3:$B$1000,MATCH(1,(E50=공급업체코드!$D$3:$D$1000)*1,0))</f>
        <v>VM_HD_VALVE</v>
      </c>
      <c r="H50" s="64">
        <v>1200</v>
      </c>
      <c r="I50" s="64">
        <v>10</v>
      </c>
      <c r="J50" s="70">
        <v>3.7</v>
      </c>
      <c r="K50" s="7" t="s">
        <v>990</v>
      </c>
      <c r="L50" s="7">
        <v>380</v>
      </c>
      <c r="M50" s="151">
        <v>0.89500000000000002</v>
      </c>
      <c r="N50" s="7">
        <v>0.9</v>
      </c>
      <c r="O50" s="7">
        <v>10</v>
      </c>
      <c r="P50">
        <v>0.123</v>
      </c>
      <c r="Q50" s="147" t="s">
        <v>1390</v>
      </c>
      <c r="S50" s="18" t="s">
        <v>1391</v>
      </c>
      <c r="T50" t="s">
        <v>1738</v>
      </c>
      <c r="U50" s="1" t="str" cm="1">
        <f t="array" ref="U50">INDEX(기자재코드!$D$4:$D$25,MATCH(1,(T50=기자재코드!$F$4:$F$25)*1,0))</f>
        <v>S_VAV01</v>
      </c>
      <c r="V50" s="91" t="s">
        <v>1741</v>
      </c>
      <c r="W50" s="64">
        <v>40633600</v>
      </c>
      <c r="X50" s="64"/>
      <c r="Y50" s="18" t="s">
        <v>1769</v>
      </c>
      <c r="Z50" s="1" t="b">
        <v>1</v>
      </c>
      <c r="AB50" s="133"/>
    </row>
    <row r="51" spans="1:28">
      <c r="A51" t="s">
        <v>1754</v>
      </c>
      <c r="B51" s="1" t="str">
        <f t="shared" si="1"/>
        <v>M_VAV0201_VM_HD_VALVE_1350_10</v>
      </c>
      <c r="C51" s="7" t="s">
        <v>44</v>
      </c>
      <c r="D51" s="7" t="str" cm="1">
        <f t="array" ref="D51">INDEX(기계코드!$D$4:$D$1022,MATCH(1,(C51=기계코드!$F$4:$F$1022)*1,0))</f>
        <v>M_VAV0201</v>
      </c>
      <c r="E51" s="7" t="s">
        <v>1768</v>
      </c>
      <c r="F51" s="7" t="str" cm="1">
        <f t="array" ref="F51">INDEX(공급업체코드!$B$3:$B$1000,MATCH(1,(E51=공급업체코드!$D$3:$D$1000)*1,0))</f>
        <v>VM_HD_VALVE</v>
      </c>
      <c r="H51" s="64">
        <v>1350</v>
      </c>
      <c r="I51" s="64">
        <v>10</v>
      </c>
      <c r="J51" s="70">
        <v>3.7</v>
      </c>
      <c r="K51" s="7" t="s">
        <v>990</v>
      </c>
      <c r="L51" s="7">
        <v>380</v>
      </c>
      <c r="M51" s="151">
        <v>0.89500000000000002</v>
      </c>
      <c r="N51" s="7">
        <v>0.9</v>
      </c>
      <c r="O51" s="7">
        <v>10</v>
      </c>
      <c r="P51">
        <v>0.123</v>
      </c>
      <c r="Q51" s="147" t="s">
        <v>1390</v>
      </c>
      <c r="S51" s="18" t="s">
        <v>1391</v>
      </c>
      <c r="T51" t="s">
        <v>1738</v>
      </c>
      <c r="U51" s="1" t="str" cm="1">
        <f t="array" ref="U51">INDEX(기자재코드!$D$4:$D$25,MATCH(1,(T51=기자재코드!$F$4:$F$25)*1,0))</f>
        <v>S_VAV01</v>
      </c>
      <c r="V51" s="91" t="s">
        <v>1741</v>
      </c>
      <c r="W51" s="64">
        <v>52421600</v>
      </c>
      <c r="X51" s="64"/>
      <c r="Y51" s="18" t="s">
        <v>1769</v>
      </c>
      <c r="Z51" s="1" t="b">
        <v>1</v>
      </c>
      <c r="AB51" s="133"/>
    </row>
    <row r="52" spans="1:28">
      <c r="A52" t="s">
        <v>1755</v>
      </c>
      <c r="B52" s="1" t="str">
        <f t="shared" si="1"/>
        <v>M_VAV0201_VM_HD_VALVE_1500_10</v>
      </c>
      <c r="C52" s="7" t="s">
        <v>44</v>
      </c>
      <c r="D52" s="7" t="str" cm="1">
        <f t="array" ref="D52">INDEX(기계코드!$D$4:$D$1022,MATCH(1,(C52=기계코드!$F$4:$F$1022)*1,0))</f>
        <v>M_VAV0201</v>
      </c>
      <c r="E52" s="7" t="s">
        <v>1768</v>
      </c>
      <c r="F52" s="7" t="str" cm="1">
        <f t="array" ref="F52">INDEX(공급업체코드!$B$3:$B$1000,MATCH(1,(E52=공급업체코드!$D$3:$D$1000)*1,0))</f>
        <v>VM_HD_VALVE</v>
      </c>
      <c r="H52" s="64">
        <v>1500</v>
      </c>
      <c r="I52" s="64">
        <v>10</v>
      </c>
      <c r="J52" s="70">
        <v>3.7</v>
      </c>
      <c r="K52" s="7" t="s">
        <v>990</v>
      </c>
      <c r="L52" s="7">
        <v>380</v>
      </c>
      <c r="M52" s="151">
        <v>0.89500000000000002</v>
      </c>
      <c r="N52" s="7">
        <v>0.9</v>
      </c>
      <c r="O52" s="7">
        <v>10</v>
      </c>
      <c r="P52">
        <v>0.123</v>
      </c>
      <c r="Q52" s="147" t="s">
        <v>1390</v>
      </c>
      <c r="S52" s="18" t="s">
        <v>1391</v>
      </c>
      <c r="T52" t="s">
        <v>1738</v>
      </c>
      <c r="U52" s="1" t="str" cm="1">
        <f t="array" ref="U52">INDEX(기자재코드!$D$4:$D$25,MATCH(1,(T52=기자재코드!$F$4:$F$25)*1,0))</f>
        <v>S_VAV01</v>
      </c>
      <c r="V52" s="91" t="s">
        <v>1741</v>
      </c>
      <c r="W52" s="64">
        <v>61138000</v>
      </c>
      <c r="X52" s="64"/>
      <c r="Y52" s="18" t="s">
        <v>1769</v>
      </c>
      <c r="Z52" s="1" t="b">
        <v>1</v>
      </c>
      <c r="AB52" s="133"/>
    </row>
    <row r="53" spans="1:28">
      <c r="B53" s="1" t="str">
        <f t="shared" si="1"/>
        <v>M_VAV0201_VM_HD_VALVE_1650_10</v>
      </c>
      <c r="C53" s="7" t="s">
        <v>44</v>
      </c>
      <c r="D53" s="7" t="str" cm="1">
        <f t="array" ref="D53">INDEX(기계코드!$D$4:$D$1022,MATCH(1,(C53=기계코드!$F$4:$F$1022)*1,0))</f>
        <v>M_VAV0201</v>
      </c>
      <c r="E53" s="7" t="s">
        <v>1768</v>
      </c>
      <c r="F53" s="7" t="str" cm="1">
        <f t="array" ref="F53">INDEX(공급업체코드!$B$3:$B$1000,MATCH(1,(E53=공급업체코드!$D$3:$D$1000)*1,0))</f>
        <v>VM_HD_VALVE</v>
      </c>
      <c r="H53" s="64">
        <v>1650</v>
      </c>
      <c r="I53" s="64">
        <v>10</v>
      </c>
      <c r="J53" s="70">
        <v>5.5</v>
      </c>
      <c r="K53" s="7" t="s">
        <v>990</v>
      </c>
      <c r="L53" s="7">
        <v>380</v>
      </c>
      <c r="M53" s="151">
        <v>0.91700000000000004</v>
      </c>
      <c r="N53" s="7">
        <v>0.9</v>
      </c>
      <c r="O53" s="7">
        <v>10</v>
      </c>
      <c r="P53">
        <v>0.123</v>
      </c>
      <c r="Q53" s="147" t="s">
        <v>1390</v>
      </c>
      <c r="S53" s="18" t="s">
        <v>1391</v>
      </c>
      <c r="T53" t="s">
        <v>1738</v>
      </c>
      <c r="U53" s="1" t="str" cm="1">
        <f t="array" ref="U53">INDEX(기자재코드!$D$4:$D$25,MATCH(1,(T53=기자재코드!$F$4:$F$25)*1,0))</f>
        <v>S_VAV01</v>
      </c>
      <c r="V53" s="91" t="s">
        <v>1741</v>
      </c>
      <c r="W53" s="64">
        <v>67200000</v>
      </c>
      <c r="X53" s="64"/>
      <c r="Y53" s="18" t="s">
        <v>1769</v>
      </c>
      <c r="Z53" s="1" t="b">
        <v>1</v>
      </c>
      <c r="AB53" s="133"/>
    </row>
    <row r="54" spans="1:28">
      <c r="B54" s="1" t="str">
        <f t="shared" si="1"/>
        <v>M_VAV0201_VM_HD_VALVE_1800_10</v>
      </c>
      <c r="C54" s="7" t="s">
        <v>44</v>
      </c>
      <c r="D54" s="7" t="str" cm="1">
        <f t="array" ref="D54">INDEX(기계코드!$D$4:$D$1022,MATCH(1,(C54=기계코드!$F$4:$F$1022)*1,0))</f>
        <v>M_VAV0201</v>
      </c>
      <c r="E54" s="7" t="s">
        <v>1768</v>
      </c>
      <c r="F54" s="7" t="str" cm="1">
        <f t="array" ref="F54">INDEX(공급업체코드!$B$3:$B$1000,MATCH(1,(E54=공급업체코드!$D$3:$D$1000)*1,0))</f>
        <v>VM_HD_VALVE</v>
      </c>
      <c r="H54" s="64">
        <v>1800</v>
      </c>
      <c r="I54" s="64">
        <v>10</v>
      </c>
      <c r="J54" s="70">
        <v>5.5</v>
      </c>
      <c r="K54" s="7" t="s">
        <v>990</v>
      </c>
      <c r="L54" s="7">
        <v>380</v>
      </c>
      <c r="M54" s="151">
        <v>0.91700000000000004</v>
      </c>
      <c r="N54" s="7">
        <v>0.9</v>
      </c>
      <c r="O54" s="7">
        <v>10</v>
      </c>
      <c r="P54">
        <v>0.123</v>
      </c>
      <c r="Q54" s="147" t="s">
        <v>1390</v>
      </c>
      <c r="S54" s="18" t="s">
        <v>1391</v>
      </c>
      <c r="T54" t="s">
        <v>1738</v>
      </c>
      <c r="U54" s="1" t="str" cm="1">
        <f t="array" ref="U54">INDEX(기자재코드!$D$4:$D$25,MATCH(1,(T54=기자재코드!$F$4:$F$25)*1,0))</f>
        <v>S_VAV01</v>
      </c>
      <c r="V54" s="91" t="s">
        <v>1741</v>
      </c>
      <c r="W54" s="64">
        <v>80820600</v>
      </c>
      <c r="X54" s="64"/>
      <c r="Y54" s="18" t="s">
        <v>1769</v>
      </c>
      <c r="Z54" s="1" t="b">
        <v>1</v>
      </c>
      <c r="AB54" s="133"/>
    </row>
    <row r="55" spans="1:28">
      <c r="B55" s="1" t="str">
        <f>D55&amp;"_"&amp;F55&amp;"_"&amp;H55&amp;"_"&amp;I55</f>
        <v>M_VAV0201_VM_HD_VALVE_2000_10</v>
      </c>
      <c r="C55" s="7" t="s">
        <v>44</v>
      </c>
      <c r="D55" s="7" t="str" cm="1">
        <f t="array" ref="D55">INDEX(기계코드!$D$4:$D$1022,MATCH(1,(C55=기계코드!$F$4:$F$1022)*1,0))</f>
        <v>M_VAV0201</v>
      </c>
      <c r="E55" s="7" t="s">
        <v>1768</v>
      </c>
      <c r="F55" s="7" t="str" cm="1">
        <f t="array" ref="F55">INDEX(공급업체코드!$B$3:$B$1000,MATCH(1,(E55=공급업체코드!$D$3:$D$1000)*1,0))</f>
        <v>VM_HD_VALVE</v>
      </c>
      <c r="H55" s="64">
        <v>2000</v>
      </c>
      <c r="I55" s="64">
        <v>10</v>
      </c>
      <c r="J55" s="70">
        <v>5.5</v>
      </c>
      <c r="K55" s="7" t="s">
        <v>990</v>
      </c>
      <c r="L55" s="7">
        <v>380</v>
      </c>
      <c r="M55" s="151">
        <v>0.91700000000000004</v>
      </c>
      <c r="N55" s="7">
        <v>0.9</v>
      </c>
      <c r="O55" s="7">
        <v>10</v>
      </c>
      <c r="P55">
        <v>0.123</v>
      </c>
      <c r="Q55" s="147" t="s">
        <v>1390</v>
      </c>
      <c r="S55" s="18" t="s">
        <v>1391</v>
      </c>
      <c r="T55" t="s">
        <v>1738</v>
      </c>
      <c r="U55" s="1" t="str" cm="1">
        <f t="array" ref="U55">INDEX(기자재코드!$D$4:$D$25,MATCH(1,(T55=기자재코드!$F$4:$F$25)*1,0))</f>
        <v>S_VAV01</v>
      </c>
      <c r="V55" s="91" t="s">
        <v>1741</v>
      </c>
      <c r="W55" s="64">
        <v>84039200</v>
      </c>
      <c r="Y55" s="18" t="s">
        <v>1769</v>
      </c>
      <c r="Z55" s="1" t="b">
        <v>1</v>
      </c>
      <c r="AB55" s="133"/>
    </row>
    <row r="56" spans="1:28">
      <c r="B56" s="1" t="str">
        <f t="shared" si="1"/>
        <v>M_VAV0201_VM_HD_VALVE_2100_10</v>
      </c>
      <c r="C56" s="7" t="s">
        <v>44</v>
      </c>
      <c r="D56" s="7" t="str" cm="1">
        <f t="array" ref="D56">INDEX(기계코드!$D$4:$D$1022,MATCH(1,(C56=기계코드!$F$4:$F$1022)*1,0))</f>
        <v>M_VAV0201</v>
      </c>
      <c r="E56" s="7" t="s">
        <v>1768</v>
      </c>
      <c r="F56" s="7" t="str" cm="1">
        <f t="array" ref="F56">INDEX(공급업체코드!$B$3:$B$1000,MATCH(1,(E56=공급업체코드!$D$3:$D$1000)*1,0))</f>
        <v>VM_HD_VALVE</v>
      </c>
      <c r="H56" s="64">
        <v>2100</v>
      </c>
      <c r="I56" s="64">
        <v>10</v>
      </c>
      <c r="J56" s="70">
        <v>5.5</v>
      </c>
      <c r="K56" s="7" t="s">
        <v>990</v>
      </c>
      <c r="L56" s="7">
        <v>380</v>
      </c>
      <c r="M56" s="151">
        <v>0.91700000000000004</v>
      </c>
      <c r="N56" s="7">
        <v>0.9</v>
      </c>
      <c r="O56" s="7">
        <v>10</v>
      </c>
      <c r="P56">
        <v>0.123</v>
      </c>
      <c r="Q56" s="147" t="s">
        <v>1390</v>
      </c>
      <c r="S56" s="18" t="s">
        <v>1391</v>
      </c>
      <c r="T56" t="s">
        <v>1738</v>
      </c>
      <c r="U56" s="1" t="str" cm="1">
        <f t="array" ref="U56">INDEX(기자재코드!$D$4:$D$25,MATCH(1,(T56=기자재코드!$F$4:$F$25)*1,0))</f>
        <v>S_VAV01</v>
      </c>
      <c r="V56" s="91" t="s">
        <v>1741</v>
      </c>
      <c r="W56" s="64">
        <v>85579200</v>
      </c>
      <c r="X56" s="64"/>
      <c r="Y56" s="18" t="s">
        <v>1769</v>
      </c>
      <c r="Z56" s="1" t="b">
        <v>1</v>
      </c>
      <c r="AB56" s="133"/>
    </row>
    <row r="57" spans="1:28">
      <c r="B57" s="1" t="str">
        <f t="shared" si="1"/>
        <v>M_VAV0201_VM_HD_VALVE_2200_10</v>
      </c>
      <c r="C57" s="7" t="s">
        <v>44</v>
      </c>
      <c r="D57" s="7" t="str" cm="1">
        <f t="array" ref="D57">INDEX(기계코드!$D$4:$D$1022,MATCH(1,(C57=기계코드!$F$4:$F$1022)*1,0))</f>
        <v>M_VAV0201</v>
      </c>
      <c r="E57" s="7" t="s">
        <v>1768</v>
      </c>
      <c r="F57" s="7" t="str" cm="1">
        <f t="array" ref="F57">INDEX(공급업체코드!$B$3:$B$1000,MATCH(1,(E57=공급업체코드!$D$3:$D$1000)*1,0))</f>
        <v>VM_HD_VALVE</v>
      </c>
      <c r="H57" s="64">
        <v>2200</v>
      </c>
      <c r="I57" s="64">
        <v>10</v>
      </c>
      <c r="J57" s="70">
        <v>5.5</v>
      </c>
      <c r="K57" s="7" t="s">
        <v>990</v>
      </c>
      <c r="L57" s="7">
        <v>380</v>
      </c>
      <c r="M57" s="151">
        <v>0.91700000000000004</v>
      </c>
      <c r="N57" s="7">
        <v>0.9</v>
      </c>
      <c r="O57" s="7">
        <v>10</v>
      </c>
      <c r="P57">
        <v>0.123</v>
      </c>
      <c r="Q57" s="147" t="s">
        <v>1390</v>
      </c>
      <c r="S57" s="18" t="s">
        <v>1391</v>
      </c>
      <c r="T57" t="s">
        <v>1738</v>
      </c>
      <c r="U57" s="1" t="str" cm="1">
        <f t="array" ref="U57">INDEX(기자재코드!$D$4:$D$25,MATCH(1,(T57=기자재코드!$F$4:$F$25)*1,0))</f>
        <v>S_VAV01</v>
      </c>
      <c r="V57" s="91" t="s">
        <v>1741</v>
      </c>
      <c r="W57" s="64">
        <v>87567200</v>
      </c>
      <c r="X57" s="64"/>
      <c r="Y57" s="18" t="s">
        <v>1769</v>
      </c>
      <c r="Z57" s="1" t="b">
        <v>1</v>
      </c>
      <c r="AB57" s="133"/>
    </row>
    <row r="58" spans="1:28">
      <c r="B58" s="1" t="str">
        <f t="shared" si="1"/>
        <v>M_VAV0201_VM_HD_VALVE_2300_10</v>
      </c>
      <c r="C58" s="7" t="s">
        <v>44</v>
      </c>
      <c r="D58" s="7" t="str" cm="1">
        <f t="array" ref="D58">INDEX(기계코드!$D$4:$D$1022,MATCH(1,(C58=기계코드!$F$4:$F$1022)*1,0))</f>
        <v>M_VAV0201</v>
      </c>
      <c r="E58" s="7" t="s">
        <v>1768</v>
      </c>
      <c r="F58" s="7" t="str" cm="1">
        <f t="array" ref="F58">INDEX(공급업체코드!$B$3:$B$1000,MATCH(1,(E58=공급업체코드!$D$3:$D$1000)*1,0))</f>
        <v>VM_HD_VALVE</v>
      </c>
      <c r="H58" s="64">
        <v>2300</v>
      </c>
      <c r="I58" s="64">
        <v>10</v>
      </c>
      <c r="J58" s="70">
        <v>5.5</v>
      </c>
      <c r="K58" s="7" t="s">
        <v>990</v>
      </c>
      <c r="L58" s="7">
        <v>380</v>
      </c>
      <c r="M58" s="151">
        <v>0.91700000000000004</v>
      </c>
      <c r="N58" s="7">
        <v>0.9</v>
      </c>
      <c r="O58" s="7">
        <v>10</v>
      </c>
      <c r="P58">
        <v>0.123</v>
      </c>
      <c r="Q58" s="147" t="s">
        <v>1390</v>
      </c>
      <c r="S58" s="18" t="s">
        <v>1391</v>
      </c>
      <c r="T58" t="s">
        <v>1738</v>
      </c>
      <c r="U58" s="1" t="str" cm="1">
        <f t="array" ref="U58">INDEX(기자재코드!$D$4:$D$25,MATCH(1,(T58=기자재코드!$F$4:$F$25)*1,0))</f>
        <v>S_VAV01</v>
      </c>
      <c r="V58" s="91" t="s">
        <v>1741</v>
      </c>
      <c r="W58" s="64">
        <v>93167200</v>
      </c>
      <c r="X58" s="64"/>
      <c r="Y58" s="18" t="s">
        <v>1769</v>
      </c>
      <c r="Z58" s="1" t="b">
        <v>1</v>
      </c>
      <c r="AB58" s="133"/>
    </row>
    <row r="59" spans="1:28">
      <c r="B59" s="1" t="str">
        <f t="shared" si="1"/>
        <v>M_VAV0201_VM_HD_VALVE_2400_10</v>
      </c>
      <c r="C59" s="7" t="s">
        <v>44</v>
      </c>
      <c r="D59" s="7" t="str" cm="1">
        <f t="array" ref="D59">INDEX(기계코드!$D$4:$D$1022,MATCH(1,(C59=기계코드!$F$4:$F$1022)*1,0))</f>
        <v>M_VAV0201</v>
      </c>
      <c r="E59" s="7" t="s">
        <v>1768</v>
      </c>
      <c r="F59" s="7" t="str" cm="1">
        <f t="array" ref="F59">INDEX(공급업체코드!$B$3:$B$1000,MATCH(1,(E59=공급업체코드!$D$3:$D$1000)*1,0))</f>
        <v>VM_HD_VALVE</v>
      </c>
      <c r="H59" s="64">
        <v>2400</v>
      </c>
      <c r="I59" s="64">
        <v>10</v>
      </c>
      <c r="J59" s="70">
        <v>5.5</v>
      </c>
      <c r="K59" s="7" t="s">
        <v>990</v>
      </c>
      <c r="L59" s="7">
        <v>380</v>
      </c>
      <c r="M59" s="151">
        <v>0.91700000000000004</v>
      </c>
      <c r="N59" s="7">
        <v>0.9</v>
      </c>
      <c r="O59" s="7">
        <v>10</v>
      </c>
      <c r="P59">
        <v>0.123</v>
      </c>
      <c r="Q59" s="147" t="s">
        <v>1390</v>
      </c>
      <c r="S59" s="18" t="s">
        <v>1391</v>
      </c>
      <c r="T59" t="s">
        <v>1738</v>
      </c>
      <c r="U59" s="1" t="str" cm="1">
        <f t="array" ref="U59">INDEX(기자재코드!$D$4:$D$25,MATCH(1,(T59=기자재코드!$F$4:$F$25)*1,0))</f>
        <v>S_VAV01</v>
      </c>
      <c r="V59" s="91" t="s">
        <v>1741</v>
      </c>
      <c r="W59" s="64">
        <v>101572800</v>
      </c>
      <c r="X59" s="64"/>
      <c r="Y59" s="18" t="s">
        <v>1769</v>
      </c>
      <c r="Z59" s="1" t="b">
        <v>1</v>
      </c>
      <c r="AB59" s="133"/>
    </row>
    <row r="60" spans="1:28">
      <c r="B60" s="1" t="str">
        <f>D60&amp;"_"&amp;F60&amp;"_"&amp;H60&amp;"_"&amp;I60</f>
        <v>M_VAV0202_VM_HD_VALVE_200_10</v>
      </c>
      <c r="C60" s="7" t="s">
        <v>47</v>
      </c>
      <c r="D60" s="92" t="str" cm="1">
        <f t="array" ref="D60">INDEX(기계코드!$D$4:$D$1022,MATCH(1,(C60=기계코드!$F$4:$F$1022)*1,0))</f>
        <v>M_VAV0202</v>
      </c>
      <c r="E60" s="7" t="s">
        <v>1768</v>
      </c>
      <c r="F60" s="92" t="str" cm="1">
        <f t="array" ref="F60">INDEX(공급업체코드!$B$3:$B$1000,MATCH(1,(E60=공급업체코드!$D$3:$D$1000)*1,0))</f>
        <v>VM_HD_VALVE</v>
      </c>
      <c r="H60" s="64">
        <v>200</v>
      </c>
      <c r="I60" s="64">
        <v>10</v>
      </c>
      <c r="J60" s="70">
        <v>0.4</v>
      </c>
      <c r="K60" s="7" t="s">
        <v>990</v>
      </c>
      <c r="L60" s="7">
        <v>380</v>
      </c>
      <c r="M60" s="151">
        <v>0.65</v>
      </c>
      <c r="N60" s="7">
        <v>0.9</v>
      </c>
      <c r="O60" s="7">
        <v>10</v>
      </c>
      <c r="P60">
        <v>0.123</v>
      </c>
      <c r="Q60" s="147" t="s">
        <v>1390</v>
      </c>
      <c r="R60" s="92">
        <v>31</v>
      </c>
      <c r="S60" s="18" t="s">
        <v>1391</v>
      </c>
      <c r="T60" t="s">
        <v>1738</v>
      </c>
      <c r="U60" s="1" t="str" cm="1">
        <f t="array" ref="U60">INDEX(기자재코드!$D$4:$D$25,MATCH(1,(T60=기자재코드!$F$4:$F$25)*1,0))</f>
        <v>S_VAV01</v>
      </c>
      <c r="V60" s="91" t="s">
        <v>1741</v>
      </c>
      <c r="W60" s="64">
        <v>11124400</v>
      </c>
      <c r="X60" s="64"/>
      <c r="Y60" s="18" t="s">
        <v>1770</v>
      </c>
      <c r="Z60" s="1" t="b">
        <v>1</v>
      </c>
      <c r="AB60" s="133"/>
    </row>
    <row r="61" spans="1:28">
      <c r="B61" s="1" t="str">
        <f>D61&amp;"_"&amp;F61&amp;"_"&amp;H61&amp;"_"&amp;I61</f>
        <v>M_VAV0202_VM_HD_VALVE_250_10</v>
      </c>
      <c r="C61" s="7" t="s">
        <v>47</v>
      </c>
      <c r="D61" s="92" t="str" cm="1">
        <f t="array" ref="D61">INDEX(기계코드!$D$4:$D$1022,MATCH(1,(C61=기계코드!$F$4:$F$1022)*1,0))</f>
        <v>M_VAV0202</v>
      </c>
      <c r="E61" s="7" t="s">
        <v>1768</v>
      </c>
      <c r="F61" s="92" t="str" cm="1">
        <f t="array" ref="F61">INDEX(공급업체코드!$B$3:$B$1000,MATCH(1,(E61=공급업체코드!$D$3:$D$1000)*1,0))</f>
        <v>VM_HD_VALVE</v>
      </c>
      <c r="H61" s="64">
        <v>250</v>
      </c>
      <c r="I61" s="64">
        <v>10</v>
      </c>
      <c r="J61" s="70">
        <v>0.4</v>
      </c>
      <c r="K61" s="7" t="s">
        <v>990</v>
      </c>
      <c r="L61" s="7">
        <v>380</v>
      </c>
      <c r="M61" s="151">
        <v>0.65</v>
      </c>
      <c r="N61" s="7">
        <v>0.9</v>
      </c>
      <c r="O61" s="7">
        <v>10</v>
      </c>
      <c r="P61">
        <v>0.123</v>
      </c>
      <c r="Q61" s="147" t="s">
        <v>1390</v>
      </c>
      <c r="R61" s="92">
        <v>32</v>
      </c>
      <c r="S61" s="18" t="s">
        <v>1391</v>
      </c>
      <c r="T61" t="s">
        <v>1738</v>
      </c>
      <c r="U61" s="1" t="str" cm="1">
        <f t="array" ref="U61">INDEX(기자재코드!$D$4:$D$25,MATCH(1,(T61=기자재코드!$F$4:$F$25)*1,0))</f>
        <v>S_VAV01</v>
      </c>
      <c r="V61" s="91" t="s">
        <v>1741</v>
      </c>
      <c r="W61" s="64">
        <v>11390400</v>
      </c>
      <c r="X61" s="64"/>
      <c r="Y61" s="18" t="s">
        <v>1770</v>
      </c>
      <c r="Z61" s="1" t="b">
        <v>1</v>
      </c>
      <c r="AB61" s="133"/>
    </row>
    <row r="62" spans="1:28">
      <c r="B62" s="1" t="str">
        <f>D62&amp;"_"&amp;F62&amp;"_"&amp;H62&amp;"_"&amp;I62</f>
        <v>M_VAV0202_VM_HD_VALVE_300_10</v>
      </c>
      <c r="C62" s="7" t="s">
        <v>47</v>
      </c>
      <c r="D62" s="92" t="str" cm="1">
        <f t="array" ref="D62">INDEX(기계코드!$D$4:$D$1022,MATCH(1,(C62=기계코드!$F$4:$F$1022)*1,0))</f>
        <v>M_VAV0202</v>
      </c>
      <c r="E62" s="7" t="s">
        <v>1768</v>
      </c>
      <c r="F62" s="92" t="str" cm="1">
        <f t="array" ref="F62">INDEX(공급업체코드!$B$3:$B$1000,MATCH(1,(E62=공급업체코드!$D$3:$D$1000)*1,0))</f>
        <v>VM_HD_VALVE</v>
      </c>
      <c r="H62" s="64">
        <v>300</v>
      </c>
      <c r="I62" s="64">
        <v>10</v>
      </c>
      <c r="J62" s="70">
        <v>0.4</v>
      </c>
      <c r="K62" s="7" t="s">
        <v>990</v>
      </c>
      <c r="L62" s="7">
        <v>380</v>
      </c>
      <c r="M62" s="151">
        <v>0.65</v>
      </c>
      <c r="N62" s="7">
        <v>0.9</v>
      </c>
      <c r="O62" s="7">
        <v>10</v>
      </c>
      <c r="P62">
        <v>0.123</v>
      </c>
      <c r="Q62" s="147" t="s">
        <v>1390</v>
      </c>
      <c r="R62" s="92">
        <v>33</v>
      </c>
      <c r="S62" s="18" t="s">
        <v>1391</v>
      </c>
      <c r="T62" t="s">
        <v>1738</v>
      </c>
      <c r="U62" s="1" t="str" cm="1">
        <f t="array" ref="U62">INDEX(기자재코드!$D$4:$D$25,MATCH(1,(T62=기자재코드!$F$4:$F$25)*1,0))</f>
        <v>S_VAV01</v>
      </c>
      <c r="V62" s="91" t="s">
        <v>1741</v>
      </c>
      <c r="W62" s="64">
        <v>12091800</v>
      </c>
      <c r="X62" s="64"/>
      <c r="Y62" s="18" t="s">
        <v>1770</v>
      </c>
      <c r="Z62" s="1" t="b">
        <v>1</v>
      </c>
      <c r="AB62" s="133"/>
    </row>
    <row r="63" spans="1:28">
      <c r="B63" s="1" t="str">
        <f>D63&amp;"_"&amp;F63&amp;"_"&amp;H63&amp;"_"&amp;I63</f>
        <v>M_VAV0202_VM_HD_VALVE_350_10</v>
      </c>
      <c r="C63" s="7" t="s">
        <v>47</v>
      </c>
      <c r="D63" s="92" t="str" cm="1">
        <f t="array" ref="D63">INDEX(기계코드!$D$4:$D$1022,MATCH(1,(C63=기계코드!$F$4:$F$1022)*1,0))</f>
        <v>M_VAV0202</v>
      </c>
      <c r="E63" s="7" t="s">
        <v>1768</v>
      </c>
      <c r="F63" s="92" t="str" cm="1">
        <f t="array" ref="F63">INDEX(공급업체코드!$B$3:$B$1000,MATCH(1,(E63=공급업체코드!$D$3:$D$1000)*1,0))</f>
        <v>VM_HD_VALVE</v>
      </c>
      <c r="H63" s="64">
        <v>350</v>
      </c>
      <c r="I63" s="64">
        <v>10</v>
      </c>
      <c r="J63" s="70">
        <v>0.75</v>
      </c>
      <c r="K63" s="7" t="s">
        <v>990</v>
      </c>
      <c r="L63" s="7">
        <v>380</v>
      </c>
      <c r="M63" s="151">
        <v>0.83499999999999996</v>
      </c>
      <c r="N63" s="7">
        <v>0.9</v>
      </c>
      <c r="O63" s="7">
        <v>10</v>
      </c>
      <c r="P63">
        <v>0.123</v>
      </c>
      <c r="Q63" s="147" t="s">
        <v>1390</v>
      </c>
      <c r="R63" s="92">
        <v>34</v>
      </c>
      <c r="S63" s="18" t="s">
        <v>1391</v>
      </c>
      <c r="T63" t="s">
        <v>1738</v>
      </c>
      <c r="U63" s="1" t="str" cm="1">
        <f t="array" ref="U63">INDEX(기자재코드!$D$4:$D$25,MATCH(1,(T63=기자재코드!$F$4:$F$25)*1,0))</f>
        <v>S_VAV01</v>
      </c>
      <c r="V63" s="91" t="s">
        <v>1741</v>
      </c>
      <c r="W63" s="64">
        <v>12846400</v>
      </c>
      <c r="X63" s="64"/>
      <c r="Y63" s="18" t="s">
        <v>1770</v>
      </c>
      <c r="Z63" s="1" t="b">
        <v>1</v>
      </c>
      <c r="AB63" s="133"/>
    </row>
    <row r="64" spans="1:28">
      <c r="B64" s="1" t="str">
        <f>D64&amp;"_"&amp;F64&amp;"_"&amp;H64&amp;"_"&amp;I64</f>
        <v>M_VAV0202_VM_HD_VALVE_400_10</v>
      </c>
      <c r="C64" s="7" t="s">
        <v>47</v>
      </c>
      <c r="D64" s="92" t="str" cm="1">
        <f t="array" ref="D64">INDEX(기계코드!$D$4:$D$1022,MATCH(1,(C64=기계코드!$F$4:$F$1022)*1,0))</f>
        <v>M_VAV0202</v>
      </c>
      <c r="E64" s="7" t="s">
        <v>1768</v>
      </c>
      <c r="F64" s="92" t="str" cm="1">
        <f t="array" ref="F64">INDEX(공급업체코드!$B$3:$B$1000,MATCH(1,(E64=공급업체코드!$D$3:$D$1000)*1,0))</f>
        <v>VM_HD_VALVE</v>
      </c>
      <c r="H64" s="64">
        <v>400</v>
      </c>
      <c r="I64" s="64">
        <v>10</v>
      </c>
      <c r="J64" s="70">
        <v>0.75</v>
      </c>
      <c r="K64" s="7" t="s">
        <v>990</v>
      </c>
      <c r="L64" s="7">
        <v>380</v>
      </c>
      <c r="M64" s="151">
        <v>0.83499999999999996</v>
      </c>
      <c r="N64" s="7">
        <v>0.9</v>
      </c>
      <c r="O64" s="7">
        <v>10</v>
      </c>
      <c r="P64">
        <v>0.123</v>
      </c>
      <c r="Q64" s="147" t="s">
        <v>1390</v>
      </c>
      <c r="R64" s="92">
        <v>35</v>
      </c>
      <c r="S64" s="18" t="s">
        <v>1391</v>
      </c>
      <c r="T64" t="s">
        <v>1738</v>
      </c>
      <c r="U64" s="1" t="str" cm="1">
        <f t="array" ref="U64">INDEX(기자재코드!$D$4:$D$25,MATCH(1,(T64=기자재코드!$F$4:$F$25)*1,0))</f>
        <v>S_VAV01</v>
      </c>
      <c r="V64" s="91" t="s">
        <v>1741</v>
      </c>
      <c r="W64" s="64">
        <v>12062400</v>
      </c>
      <c r="X64" s="64"/>
      <c r="Y64" s="18" t="s">
        <v>1770</v>
      </c>
      <c r="Z64" s="1" t="b">
        <v>1</v>
      </c>
      <c r="AB64" s="133"/>
    </row>
    <row r="65" spans="1:28">
      <c r="B65" s="1" t="str">
        <f>D65&amp;"_"&amp;F65&amp;"_"&amp;H65&amp;"_"&amp;I65</f>
        <v>M_VAV0202_VM_HD_VALVE_450_10</v>
      </c>
      <c r="C65" s="7" t="s">
        <v>47</v>
      </c>
      <c r="D65" s="92" t="str" cm="1">
        <f t="array" ref="D65">INDEX(기계코드!$D$4:$D$1022,MATCH(1,(C65=기계코드!$F$4:$F$1022)*1,0))</f>
        <v>M_VAV0202</v>
      </c>
      <c r="E65" s="7" t="s">
        <v>1768</v>
      </c>
      <c r="F65" s="92" t="str" cm="1">
        <f t="array" ref="F65">INDEX(공급업체코드!$B$3:$B$1000,MATCH(1,(E65=공급업체코드!$D$3:$D$1000)*1,0))</f>
        <v>VM_HD_VALVE</v>
      </c>
      <c r="H65" s="64">
        <v>450</v>
      </c>
      <c r="I65" s="64">
        <v>10</v>
      </c>
      <c r="J65" s="70">
        <v>0.75</v>
      </c>
      <c r="K65" s="7" t="s">
        <v>990</v>
      </c>
      <c r="L65" s="7">
        <v>380</v>
      </c>
      <c r="M65" s="151">
        <v>0.83499999999999996</v>
      </c>
      <c r="N65" s="7">
        <v>0.9</v>
      </c>
      <c r="O65" s="7">
        <v>10</v>
      </c>
      <c r="P65">
        <v>0.123</v>
      </c>
      <c r="Q65" s="147" t="s">
        <v>1390</v>
      </c>
      <c r="R65" s="92">
        <v>36</v>
      </c>
      <c r="S65" s="18" t="s">
        <v>1391</v>
      </c>
      <c r="T65" t="s">
        <v>1738</v>
      </c>
      <c r="U65" s="1" t="str" cm="1">
        <f t="array" ref="U65">INDEX(기자재코드!$D$4:$D$25,MATCH(1,(T65=기자재코드!$F$4:$F$25)*1,0))</f>
        <v>S_VAV01</v>
      </c>
      <c r="V65" s="91" t="s">
        <v>1741</v>
      </c>
      <c r="W65" s="64">
        <v>15414000</v>
      </c>
      <c r="X65" s="64"/>
      <c r="Y65" s="18" t="s">
        <v>1770</v>
      </c>
      <c r="Z65" s="1" t="b">
        <v>1</v>
      </c>
      <c r="AB65" s="133"/>
    </row>
    <row r="66" spans="1:28">
      <c r="B66" s="1" t="str">
        <f>D66&amp;"_"&amp;F66&amp;"_"&amp;H66&amp;"_"&amp;I66</f>
        <v>M_VAV0202_VM_HD_VALVE_500_10</v>
      </c>
      <c r="C66" s="7" t="s">
        <v>47</v>
      </c>
      <c r="D66" s="92" t="str" cm="1">
        <f t="array" ref="D66">INDEX(기계코드!$D$4:$D$1022,MATCH(1,(C66=기계코드!$F$4:$F$1022)*1,0))</f>
        <v>M_VAV0202</v>
      </c>
      <c r="E66" s="7" t="s">
        <v>1768</v>
      </c>
      <c r="F66" s="92" t="str" cm="1">
        <f t="array" ref="F66">INDEX(공급업체코드!$B$3:$B$1000,MATCH(1,(E66=공급업체코드!$D$3:$D$1000)*1,0))</f>
        <v>VM_HD_VALVE</v>
      </c>
      <c r="H66" s="64">
        <v>500</v>
      </c>
      <c r="I66" s="64">
        <v>10</v>
      </c>
      <c r="J66" s="70">
        <v>0.75</v>
      </c>
      <c r="K66" s="7" t="s">
        <v>990</v>
      </c>
      <c r="L66" s="7">
        <v>380</v>
      </c>
      <c r="M66" s="151">
        <v>0.83499999999999996</v>
      </c>
      <c r="N66" s="7">
        <v>0.9</v>
      </c>
      <c r="O66" s="7">
        <v>10</v>
      </c>
      <c r="P66">
        <v>0.123</v>
      </c>
      <c r="Q66" s="147" t="s">
        <v>1390</v>
      </c>
      <c r="R66" s="92">
        <v>37</v>
      </c>
      <c r="S66" s="18" t="s">
        <v>1391</v>
      </c>
      <c r="T66" t="s">
        <v>1738</v>
      </c>
      <c r="U66" s="1" t="str" cm="1">
        <f t="array" ref="U66">INDEX(기자재코드!$D$4:$D$25,MATCH(1,(T66=기자재코드!$F$4:$F$25)*1,0))</f>
        <v>S_VAV01</v>
      </c>
      <c r="V66" s="91" t="s">
        <v>1741</v>
      </c>
      <c r="W66" s="64">
        <v>15750000</v>
      </c>
      <c r="X66" s="64"/>
      <c r="Y66" s="18" t="s">
        <v>1770</v>
      </c>
      <c r="Z66" s="1" t="b">
        <v>1</v>
      </c>
      <c r="AB66" s="133"/>
    </row>
    <row r="67" spans="1:28">
      <c r="B67" s="1" t="str">
        <f>D67&amp;"_"&amp;F67&amp;"_"&amp;H67&amp;"_"&amp;I67</f>
        <v>M_VAV0202_VM_HD_VALVE_600_10</v>
      </c>
      <c r="C67" s="7" t="s">
        <v>47</v>
      </c>
      <c r="D67" s="92" t="str" cm="1">
        <f t="array" ref="D67">INDEX(기계코드!$D$4:$D$1022,MATCH(1,(C67=기계코드!$F$4:$F$1022)*1,0))</f>
        <v>M_VAV0202</v>
      </c>
      <c r="E67" s="7" t="s">
        <v>1768</v>
      </c>
      <c r="F67" s="92" t="str" cm="1">
        <f t="array" ref="F67">INDEX(공급업체코드!$B$3:$B$1000,MATCH(1,(E67=공급업체코드!$D$3:$D$1000)*1,0))</f>
        <v>VM_HD_VALVE</v>
      </c>
      <c r="H67" s="64">
        <v>600</v>
      </c>
      <c r="I67" s="64">
        <v>10</v>
      </c>
      <c r="J67" s="70">
        <v>0.75</v>
      </c>
      <c r="K67" s="7" t="s">
        <v>990</v>
      </c>
      <c r="L67" s="7">
        <v>380</v>
      </c>
      <c r="M67" s="151">
        <v>0.83499999999999996</v>
      </c>
      <c r="N67" s="7">
        <v>0.9</v>
      </c>
      <c r="O67" s="7">
        <v>10</v>
      </c>
      <c r="P67">
        <v>0.123</v>
      </c>
      <c r="Q67" s="147" t="s">
        <v>1390</v>
      </c>
      <c r="R67" s="92">
        <v>38</v>
      </c>
      <c r="S67" s="18" t="s">
        <v>1391</v>
      </c>
      <c r="T67" t="s">
        <v>1738</v>
      </c>
      <c r="U67" s="1" t="str" cm="1">
        <f t="array" ref="U67">INDEX(기자재코드!$D$4:$D$25,MATCH(1,(T67=기자재코드!$F$4:$F$25)*1,0))</f>
        <v>S_VAV01</v>
      </c>
      <c r="V67" s="91" t="s">
        <v>1741</v>
      </c>
      <c r="W67" s="64">
        <v>18508000</v>
      </c>
      <c r="X67" s="64"/>
      <c r="Y67" s="18" t="s">
        <v>1770</v>
      </c>
      <c r="Z67" s="1" t="b">
        <v>1</v>
      </c>
      <c r="AB67" s="133"/>
    </row>
    <row r="68" spans="1:28">
      <c r="B68" s="1" t="str">
        <f>D68&amp;"_"&amp;F68&amp;"_"&amp;H68&amp;"_"&amp;I68</f>
        <v>M_VAV0202_VM_HD_VALVE_700_10</v>
      </c>
      <c r="C68" s="7" t="s">
        <v>47</v>
      </c>
      <c r="D68" s="92" t="str" cm="1">
        <f t="array" ref="D68">INDEX(기계코드!$D$4:$D$1022,MATCH(1,(C68=기계코드!$F$4:$F$1022)*1,0))</f>
        <v>M_VAV0202</v>
      </c>
      <c r="E68" s="7" t="s">
        <v>1768</v>
      </c>
      <c r="F68" s="92" t="str" cm="1">
        <f t="array" ref="F68">INDEX(공급업체코드!$B$3:$B$1000,MATCH(1,(E68=공급업체코드!$D$3:$D$1000)*1,0))</f>
        <v>VM_HD_VALVE</v>
      </c>
      <c r="H68" s="64">
        <v>700</v>
      </c>
      <c r="I68" s="64">
        <v>10</v>
      </c>
      <c r="J68" s="70">
        <v>0.75</v>
      </c>
      <c r="K68" s="7" t="s">
        <v>990</v>
      </c>
      <c r="L68" s="7">
        <v>380</v>
      </c>
      <c r="M68" s="151">
        <v>0.83499999999999996</v>
      </c>
      <c r="N68" s="7">
        <v>0.9</v>
      </c>
      <c r="O68" s="7">
        <v>10</v>
      </c>
      <c r="P68">
        <v>0.123</v>
      </c>
      <c r="Q68" s="147" t="s">
        <v>1390</v>
      </c>
      <c r="S68" s="18" t="s">
        <v>1391</v>
      </c>
      <c r="T68" t="s">
        <v>1738</v>
      </c>
      <c r="U68" s="1" t="str" cm="1">
        <f t="array" ref="U68">INDEX(기자재코드!$D$4:$D$25,MATCH(1,(T68=기자재코드!$F$4:$F$25)*1,0))</f>
        <v>S_VAV01</v>
      </c>
      <c r="V68" s="91" t="s">
        <v>1741</v>
      </c>
      <c r="W68" s="64">
        <v>20356000</v>
      </c>
      <c r="X68" s="64"/>
      <c r="Y68" s="18" t="s">
        <v>1770</v>
      </c>
      <c r="Z68" s="1" t="b">
        <v>1</v>
      </c>
      <c r="AB68" s="133"/>
    </row>
    <row r="69" spans="1:28">
      <c r="B69" s="1" t="str">
        <f>D69&amp;"_"&amp;F69&amp;"_"&amp;H69&amp;"_"&amp;I69</f>
        <v>M_VAV0202_VM_HD_VALVE_800_10</v>
      </c>
      <c r="C69" s="7" t="s">
        <v>47</v>
      </c>
      <c r="D69" s="92" t="str" cm="1">
        <f t="array" ref="D69">INDEX(기계코드!$D$4:$D$1022,MATCH(1,(C69=기계코드!$F$4:$F$1022)*1,0))</f>
        <v>M_VAV0202</v>
      </c>
      <c r="E69" s="7" t="s">
        <v>1768</v>
      </c>
      <c r="F69" s="92" t="str" cm="1">
        <f t="array" ref="F69">INDEX(공급업체코드!$B$3:$B$1000,MATCH(1,(E69=공급업체코드!$D$3:$D$1000)*1,0))</f>
        <v>VM_HD_VALVE</v>
      </c>
      <c r="H69" s="64">
        <v>800</v>
      </c>
      <c r="I69" s="64">
        <v>10</v>
      </c>
      <c r="J69" s="70">
        <v>1.5</v>
      </c>
      <c r="K69" s="7" t="s">
        <v>990</v>
      </c>
      <c r="L69" s="7">
        <v>380</v>
      </c>
      <c r="M69" s="151">
        <v>0.86499999999999999</v>
      </c>
      <c r="N69" s="7">
        <v>0.9</v>
      </c>
      <c r="O69" s="7">
        <v>10</v>
      </c>
      <c r="P69">
        <v>0.123</v>
      </c>
      <c r="Q69" s="147" t="s">
        <v>1390</v>
      </c>
      <c r="S69" s="18" t="s">
        <v>1391</v>
      </c>
      <c r="T69" t="s">
        <v>1738</v>
      </c>
      <c r="U69" s="1" t="str" cm="1">
        <f t="array" ref="U69">INDEX(기자재코드!$D$4:$D$25,MATCH(1,(T69=기자재코드!$F$4:$F$25)*1,0))</f>
        <v>S_VAV01</v>
      </c>
      <c r="V69" s="91" t="s">
        <v>1741</v>
      </c>
      <c r="W69" s="64">
        <v>23324000</v>
      </c>
      <c r="X69" s="64"/>
      <c r="Y69" s="18" t="s">
        <v>1770</v>
      </c>
      <c r="Z69" s="1" t="b">
        <v>1</v>
      </c>
      <c r="AB69" s="133"/>
    </row>
    <row r="70" spans="1:28">
      <c r="B70" s="1" t="str">
        <f>D70&amp;"_"&amp;F70&amp;"_"&amp;H70&amp;"_"&amp;I70</f>
        <v>M_VAV0202_VM_HD_VALVE_900_10</v>
      </c>
      <c r="C70" s="7" t="s">
        <v>47</v>
      </c>
      <c r="D70" s="92" t="str" cm="1">
        <f t="array" ref="D70">INDEX(기계코드!$D$4:$D$1022,MATCH(1,(C70=기계코드!$F$4:$F$1022)*1,0))</f>
        <v>M_VAV0202</v>
      </c>
      <c r="E70" s="7" t="s">
        <v>1768</v>
      </c>
      <c r="F70" s="92" t="str" cm="1">
        <f t="array" ref="F70">INDEX(공급업체코드!$B$3:$B$1000,MATCH(1,(E70=공급업체코드!$D$3:$D$1000)*1,0))</f>
        <v>VM_HD_VALVE</v>
      </c>
      <c r="H70" s="64">
        <v>900</v>
      </c>
      <c r="I70" s="64">
        <v>10</v>
      </c>
      <c r="J70" s="70">
        <v>1.5</v>
      </c>
      <c r="K70" s="7" t="s">
        <v>990</v>
      </c>
      <c r="L70" s="7">
        <v>380</v>
      </c>
      <c r="M70" s="151">
        <v>0.86499999999999999</v>
      </c>
      <c r="N70" s="7">
        <v>0.9</v>
      </c>
      <c r="O70" s="7">
        <v>10</v>
      </c>
      <c r="P70">
        <v>0.123</v>
      </c>
      <c r="Q70" s="147" t="s">
        <v>1390</v>
      </c>
      <c r="S70" s="18" t="s">
        <v>1391</v>
      </c>
      <c r="T70" t="s">
        <v>1738</v>
      </c>
      <c r="U70" s="1" t="str" cm="1">
        <f t="array" ref="U70">INDEX(기자재코드!$D$4:$D$25,MATCH(1,(T70=기자재코드!$F$4:$F$25)*1,0))</f>
        <v>S_VAV01</v>
      </c>
      <c r="V70" s="91" t="s">
        <v>1741</v>
      </c>
      <c r="W70" s="64">
        <v>29106000</v>
      </c>
      <c r="X70" s="64"/>
      <c r="Y70" s="18" t="s">
        <v>1770</v>
      </c>
      <c r="Z70" s="1" t="b">
        <v>1</v>
      </c>
      <c r="AB70" s="133"/>
    </row>
    <row r="71" spans="1:28">
      <c r="B71" s="1" t="str">
        <f>D71&amp;"_"&amp;F71&amp;"_"&amp;H71&amp;"_"&amp;I71</f>
        <v>M_VAV0202_VM_HD_VALVE_1000_10</v>
      </c>
      <c r="C71" s="7" t="s">
        <v>47</v>
      </c>
      <c r="D71" s="92" t="str" cm="1">
        <f t="array" ref="D71">INDEX(기계코드!$D$4:$D$1022,MATCH(1,(C71=기계코드!$F$4:$F$1022)*1,0))</f>
        <v>M_VAV0202</v>
      </c>
      <c r="E71" s="7" t="s">
        <v>1768</v>
      </c>
      <c r="F71" s="92" t="str" cm="1">
        <f t="array" ref="F71">INDEX(공급업체코드!$B$3:$B$1000,MATCH(1,(E71=공급업체코드!$D$3:$D$1000)*1,0))</f>
        <v>VM_HD_VALVE</v>
      </c>
      <c r="H71" s="64">
        <v>1000</v>
      </c>
      <c r="I71" s="64">
        <v>10</v>
      </c>
      <c r="J71" s="70">
        <v>2.2000000000000002</v>
      </c>
      <c r="K71" s="7" t="s">
        <v>990</v>
      </c>
      <c r="L71" s="7">
        <v>380</v>
      </c>
      <c r="M71" s="151">
        <v>0.89500000000000002</v>
      </c>
      <c r="N71" s="7">
        <v>0.9</v>
      </c>
      <c r="O71" s="7">
        <v>10</v>
      </c>
      <c r="P71">
        <v>0.123</v>
      </c>
      <c r="Q71" s="147" t="s">
        <v>1390</v>
      </c>
      <c r="S71" s="18" t="s">
        <v>1391</v>
      </c>
      <c r="T71" t="s">
        <v>1738</v>
      </c>
      <c r="U71" s="1" t="str" cm="1">
        <f t="array" ref="U71">INDEX(기자재코드!$D$4:$D$25,MATCH(1,(T71=기자재코드!$F$4:$F$25)*1,0))</f>
        <v>S_VAV01</v>
      </c>
      <c r="V71" s="91" t="s">
        <v>1741</v>
      </c>
      <c r="W71" s="64">
        <v>30366000</v>
      </c>
      <c r="X71" s="64"/>
      <c r="Y71" s="18" t="s">
        <v>1770</v>
      </c>
      <c r="Z71" s="1" t="b">
        <v>1</v>
      </c>
      <c r="AB71" s="133"/>
    </row>
    <row r="72" spans="1:28">
      <c r="B72" s="1" t="str">
        <f>D72&amp;"_"&amp;F72&amp;"_"&amp;H72&amp;"_"&amp;I72</f>
        <v>M_VAV0202_VM_HD_VALVE_1100_10</v>
      </c>
      <c r="C72" s="7" t="s">
        <v>47</v>
      </c>
      <c r="D72" s="92" t="str" cm="1">
        <f t="array" ref="D72">INDEX(기계코드!$D$4:$D$1022,MATCH(1,(C72=기계코드!$F$4:$F$1022)*1,0))</f>
        <v>M_VAV0202</v>
      </c>
      <c r="E72" s="7" t="s">
        <v>1768</v>
      </c>
      <c r="F72" s="92" t="str" cm="1">
        <f t="array" ref="F72">INDEX(공급업체코드!$B$3:$B$1000,MATCH(1,(E72=공급업체코드!$D$3:$D$1000)*1,0))</f>
        <v>VM_HD_VALVE</v>
      </c>
      <c r="H72" s="64">
        <v>1100</v>
      </c>
      <c r="I72" s="64">
        <v>10</v>
      </c>
      <c r="J72" s="70">
        <v>2.2000000000000002</v>
      </c>
      <c r="K72" s="7" t="s">
        <v>990</v>
      </c>
      <c r="L72" s="7">
        <v>380</v>
      </c>
      <c r="M72" s="151">
        <v>0.89500000000000002</v>
      </c>
      <c r="N72" s="7">
        <v>0.9</v>
      </c>
      <c r="O72" s="7">
        <v>10</v>
      </c>
      <c r="P72">
        <v>0.123</v>
      </c>
      <c r="Q72" s="147" t="s">
        <v>1390</v>
      </c>
      <c r="S72" s="18" t="s">
        <v>1391</v>
      </c>
      <c r="T72" t="s">
        <v>1738</v>
      </c>
      <c r="U72" s="1" t="str" cm="1">
        <f t="array" ref="U72">INDEX(기자재코드!$D$4:$D$25,MATCH(1,(T72=기자재코드!$F$4:$F$25)*1,0))</f>
        <v>S_VAV01</v>
      </c>
      <c r="V72" s="91" t="s">
        <v>1741</v>
      </c>
      <c r="W72" s="64">
        <v>41342000</v>
      </c>
      <c r="X72" s="64"/>
      <c r="Y72" s="18" t="s">
        <v>1770</v>
      </c>
      <c r="Z72" s="1" t="b">
        <v>1</v>
      </c>
      <c r="AB72" s="133"/>
    </row>
    <row r="73" spans="1:28">
      <c r="B73" s="1" t="str">
        <f>D73&amp;"_"&amp;F73&amp;"_"&amp;H73&amp;"_"&amp;I73</f>
        <v>M_VAV0202_VM_HD_VALVE_1200_10</v>
      </c>
      <c r="C73" s="7" t="s">
        <v>47</v>
      </c>
      <c r="D73" s="92" t="str" cm="1">
        <f t="array" ref="D73">INDEX(기계코드!$D$4:$D$1022,MATCH(1,(C73=기계코드!$F$4:$F$1022)*1,0))</f>
        <v>M_VAV0202</v>
      </c>
      <c r="E73" s="7" t="s">
        <v>1768</v>
      </c>
      <c r="F73" s="92" t="str" cm="1">
        <f t="array" ref="F73">INDEX(공급업체코드!$B$3:$B$1000,MATCH(1,(E73=공급업체코드!$D$3:$D$1000)*1,0))</f>
        <v>VM_HD_VALVE</v>
      </c>
      <c r="H73" s="64">
        <v>1200</v>
      </c>
      <c r="I73" s="64">
        <v>10</v>
      </c>
      <c r="J73" s="70">
        <v>3.7</v>
      </c>
      <c r="K73" s="7" t="s">
        <v>990</v>
      </c>
      <c r="L73" s="7">
        <v>380</v>
      </c>
      <c r="M73" s="151">
        <v>0.89500000000000002</v>
      </c>
      <c r="N73" s="7">
        <v>0.9</v>
      </c>
      <c r="O73" s="7">
        <v>10</v>
      </c>
      <c r="P73">
        <v>0.123</v>
      </c>
      <c r="Q73" s="147" t="s">
        <v>1390</v>
      </c>
      <c r="S73" s="18" t="s">
        <v>1391</v>
      </c>
      <c r="T73" t="s">
        <v>1738</v>
      </c>
      <c r="U73" s="1" t="str" cm="1">
        <f t="array" ref="U73">INDEX(기자재코드!$D$4:$D$25,MATCH(1,(T73=기자재코드!$F$4:$F$25)*1,0))</f>
        <v>S_VAV01</v>
      </c>
      <c r="V73" s="91" t="s">
        <v>1741</v>
      </c>
      <c r="W73" s="64">
        <v>44450000</v>
      </c>
      <c r="X73" s="64"/>
      <c r="Y73" s="18" t="s">
        <v>1770</v>
      </c>
      <c r="Z73" s="1" t="b">
        <v>1</v>
      </c>
      <c r="AB73" s="133"/>
    </row>
    <row r="74" spans="1:28">
      <c r="B74" s="1" t="str">
        <f>D74&amp;"_"&amp;F74&amp;"_"&amp;H74&amp;"_"&amp;I74</f>
        <v>M_VAV0202_VM_HD_VALVE_1350_10</v>
      </c>
      <c r="C74" s="7" t="s">
        <v>47</v>
      </c>
      <c r="D74" s="92" t="str" cm="1">
        <f t="array" ref="D74">INDEX(기계코드!$D$4:$D$1022,MATCH(1,(C74=기계코드!$F$4:$F$1022)*1,0))</f>
        <v>M_VAV0202</v>
      </c>
      <c r="E74" s="7" t="s">
        <v>1768</v>
      </c>
      <c r="F74" s="92" t="str" cm="1">
        <f t="array" ref="F74">INDEX(공급업체코드!$B$3:$B$1000,MATCH(1,(E74=공급업체코드!$D$3:$D$1000)*1,0))</f>
        <v>VM_HD_VALVE</v>
      </c>
      <c r="H74" s="64">
        <v>1350</v>
      </c>
      <c r="I74" s="64">
        <v>10</v>
      </c>
      <c r="J74" s="70">
        <v>3.7</v>
      </c>
      <c r="K74" s="7" t="s">
        <v>990</v>
      </c>
      <c r="L74" s="7">
        <v>380</v>
      </c>
      <c r="M74" s="151">
        <v>0.89500000000000002</v>
      </c>
      <c r="N74" s="7">
        <v>0.9</v>
      </c>
      <c r="O74" s="7">
        <v>10</v>
      </c>
      <c r="P74">
        <v>0.123</v>
      </c>
      <c r="Q74" s="147" t="s">
        <v>1390</v>
      </c>
      <c r="S74" s="18" t="s">
        <v>1391</v>
      </c>
      <c r="T74" t="s">
        <v>1738</v>
      </c>
      <c r="U74" s="1" t="str" cm="1">
        <f t="array" ref="U74">INDEX(기자재코드!$D$4:$D$25,MATCH(1,(T74=기자재코드!$F$4:$F$25)*1,0))</f>
        <v>S_VAV01</v>
      </c>
      <c r="V74" s="91" t="s">
        <v>1741</v>
      </c>
      <c r="W74" s="64">
        <v>55846000</v>
      </c>
      <c r="X74" s="64"/>
      <c r="Y74" s="18" t="s">
        <v>1770</v>
      </c>
      <c r="Z74" s="1" t="b">
        <v>1</v>
      </c>
      <c r="AB74" s="133"/>
    </row>
    <row r="75" spans="1:28">
      <c r="B75" s="1" t="str">
        <f>D75&amp;"_"&amp;F75&amp;"_"&amp;H75&amp;"_"&amp;I75</f>
        <v>M_VAV0202_VM_HD_VALVE_1500_10</v>
      </c>
      <c r="C75" s="7" t="s">
        <v>47</v>
      </c>
      <c r="D75" s="92" t="str" cm="1">
        <f t="array" ref="D75">INDEX(기계코드!$D$4:$D$1022,MATCH(1,(C75=기계코드!$F$4:$F$1022)*1,0))</f>
        <v>M_VAV0202</v>
      </c>
      <c r="E75" s="7" t="s">
        <v>1768</v>
      </c>
      <c r="F75" s="92" t="str" cm="1">
        <f t="array" ref="F75">INDEX(공급업체코드!$B$3:$B$1000,MATCH(1,(E75=공급업체코드!$D$3:$D$1000)*1,0))</f>
        <v>VM_HD_VALVE</v>
      </c>
      <c r="H75" s="64">
        <v>1500</v>
      </c>
      <c r="I75" s="64">
        <v>10</v>
      </c>
      <c r="J75" s="70">
        <v>3.7</v>
      </c>
      <c r="K75" s="7" t="s">
        <v>990</v>
      </c>
      <c r="L75" s="7">
        <v>380</v>
      </c>
      <c r="M75" s="151">
        <v>0.89500000000000002</v>
      </c>
      <c r="N75" s="7">
        <v>0.9</v>
      </c>
      <c r="O75" s="7">
        <v>10</v>
      </c>
      <c r="P75">
        <v>0.123</v>
      </c>
      <c r="Q75" s="147" t="s">
        <v>1390</v>
      </c>
      <c r="S75" s="18" t="s">
        <v>1391</v>
      </c>
      <c r="T75" t="s">
        <v>1738</v>
      </c>
      <c r="U75" s="1" t="str" cm="1">
        <f t="array" ref="U75">INDEX(기자재코드!$D$4:$D$25,MATCH(1,(T75=기자재코드!$F$4:$F$25)*1,0))</f>
        <v>S_VAV01</v>
      </c>
      <c r="V75" s="91" t="s">
        <v>1741</v>
      </c>
      <c r="W75" s="64">
        <v>65548000</v>
      </c>
      <c r="X75" s="64"/>
      <c r="Y75" s="18" t="s">
        <v>1770</v>
      </c>
      <c r="Z75" s="1" t="b">
        <v>1</v>
      </c>
      <c r="AB75" s="133"/>
    </row>
    <row r="76" spans="1:28">
      <c r="A76" t="s">
        <v>1771</v>
      </c>
      <c r="B76" s="1" t="str">
        <f t="shared" ref="B76" si="2">D76&amp;"_"&amp;F76&amp;"_"&amp;H76&amp;"_"&amp;I76</f>
        <v>M_VAV0205_VM_0000_40_10</v>
      </c>
      <c r="C76" t="s">
        <v>56</v>
      </c>
      <c r="D76" s="7" t="str" cm="1">
        <f t="array" ref="D76">INDEX(기계코드!$D$4:$D$1022,MATCH(1,(C76=기계코드!$F$4:$F$1022)*1,0))</f>
        <v>M_VAV0205</v>
      </c>
      <c r="E76" t="s">
        <v>1125</v>
      </c>
      <c r="F76" s="7" t="str" cm="1">
        <f t="array" ref="F76">INDEX(공급업체코드!$B$3:$B$1000,MATCH(1,(E76=공급업체코드!$D$3:$D$1000)*1,0))</f>
        <v>VM_0000</v>
      </c>
      <c r="H76" s="64">
        <v>40</v>
      </c>
      <c r="I76" s="64">
        <v>10</v>
      </c>
      <c r="J76" s="70"/>
      <c r="M76" s="279"/>
      <c r="P76">
        <v>0.123</v>
      </c>
      <c r="Q76" s="147" t="s">
        <v>1421</v>
      </c>
      <c r="S76" s="18" t="s">
        <v>1676</v>
      </c>
      <c r="V76" s="18" t="s">
        <v>1741</v>
      </c>
      <c r="W76" s="64">
        <v>999</v>
      </c>
      <c r="X76" s="64"/>
      <c r="Y76" s="18" t="s">
        <v>1354</v>
      </c>
      <c r="Z76" s="1" t="b">
        <v>0</v>
      </c>
      <c r="AB76" s="133"/>
    </row>
    <row r="77" spans="1:28">
      <c r="A77" t="s">
        <v>1772</v>
      </c>
      <c r="B77" s="1" t="str">
        <f t="shared" ref="B77:B93" si="3">D77&amp;"_"&amp;F77&amp;"_"&amp;H77&amp;"_"&amp;I77</f>
        <v>M_VAV0205_VM_0000_50_10</v>
      </c>
      <c r="C77" t="s">
        <v>56</v>
      </c>
      <c r="D77" s="7" t="str" cm="1">
        <f t="array" ref="D77">INDEX(기계코드!$D$4:$D$1022,MATCH(1,(C77=기계코드!$F$4:$F$1022)*1,0))</f>
        <v>M_VAV0205</v>
      </c>
      <c r="E77" t="s">
        <v>1125</v>
      </c>
      <c r="F77" s="7" t="str" cm="1">
        <f t="array" ref="F77">INDEX(공급업체코드!$B$3:$B$1000,MATCH(1,(E77=공급업체코드!$D$3:$D$1000)*1,0))</f>
        <v>VM_0000</v>
      </c>
      <c r="H77" s="64">
        <v>50</v>
      </c>
      <c r="I77" s="64">
        <v>10</v>
      </c>
      <c r="J77" s="70"/>
      <c r="M77" s="279"/>
      <c r="P77">
        <v>0.123</v>
      </c>
      <c r="Q77" s="147" t="s">
        <v>1421</v>
      </c>
      <c r="S77" s="18" t="s">
        <v>1676</v>
      </c>
      <c r="V77" s="18" t="s">
        <v>1741</v>
      </c>
      <c r="W77" s="64">
        <v>999</v>
      </c>
      <c r="X77" s="64"/>
      <c r="Y77" s="18" t="s">
        <v>1354</v>
      </c>
      <c r="Z77" s="1" t="b">
        <v>0</v>
      </c>
    </row>
    <row r="78" spans="1:28">
      <c r="A78" t="s">
        <v>1773</v>
      </c>
      <c r="B78" s="1" t="str">
        <f t="shared" si="3"/>
        <v>M_VAV0205_VM_0000_65_10</v>
      </c>
      <c r="C78" t="s">
        <v>56</v>
      </c>
      <c r="D78" s="7" t="str" cm="1">
        <f t="array" ref="D78">INDEX(기계코드!$D$4:$D$1022,MATCH(1,(C78=기계코드!$F$4:$F$1022)*1,0))</f>
        <v>M_VAV0205</v>
      </c>
      <c r="E78" t="s">
        <v>1125</v>
      </c>
      <c r="F78" s="7" t="str" cm="1">
        <f t="array" ref="F78">INDEX(공급업체코드!$B$3:$B$1000,MATCH(1,(E78=공급업체코드!$D$3:$D$1000)*1,0))</f>
        <v>VM_0000</v>
      </c>
      <c r="H78" s="64">
        <v>65</v>
      </c>
      <c r="I78" s="64">
        <v>10</v>
      </c>
      <c r="J78" s="70"/>
      <c r="M78" s="279"/>
      <c r="P78">
        <v>0.123</v>
      </c>
      <c r="Q78" s="147" t="s">
        <v>1421</v>
      </c>
      <c r="S78" s="18" t="s">
        <v>1676</v>
      </c>
      <c r="V78" s="18" t="s">
        <v>1741</v>
      </c>
      <c r="W78" s="64">
        <v>999</v>
      </c>
      <c r="X78" s="64"/>
      <c r="Y78" s="18" t="s">
        <v>1354</v>
      </c>
      <c r="Z78" s="1" t="b">
        <v>0</v>
      </c>
    </row>
    <row r="79" spans="1:28">
      <c r="A79" t="s">
        <v>1774</v>
      </c>
      <c r="B79" s="1" t="str">
        <f t="shared" si="3"/>
        <v>M_VAV0205_VM_0000_80_10</v>
      </c>
      <c r="C79" t="s">
        <v>56</v>
      </c>
      <c r="D79" s="7" t="str" cm="1">
        <f t="array" ref="D79">INDEX(기계코드!$D$4:$D$1022,MATCH(1,(C79=기계코드!$F$4:$F$1022)*1,0))</f>
        <v>M_VAV0205</v>
      </c>
      <c r="E79" t="s">
        <v>1125</v>
      </c>
      <c r="F79" s="7" t="str" cm="1">
        <f t="array" ref="F79">INDEX(공급업체코드!$B$3:$B$1000,MATCH(1,(E79=공급업체코드!$D$3:$D$1000)*1,0))</f>
        <v>VM_0000</v>
      </c>
      <c r="H79" s="64">
        <v>80</v>
      </c>
      <c r="I79" s="64">
        <v>10</v>
      </c>
      <c r="J79" s="70"/>
      <c r="M79" s="279"/>
      <c r="P79">
        <v>0.123</v>
      </c>
      <c r="Q79" s="147" t="s">
        <v>1421</v>
      </c>
      <c r="S79" s="18" t="s">
        <v>1676</v>
      </c>
      <c r="V79" s="18" t="s">
        <v>1741</v>
      </c>
      <c r="W79" s="64">
        <v>999</v>
      </c>
      <c r="X79" s="64"/>
      <c r="Y79" s="18" t="s">
        <v>1354</v>
      </c>
      <c r="Z79" s="1" t="b">
        <v>0</v>
      </c>
    </row>
    <row r="80" spans="1:28">
      <c r="A80" t="s">
        <v>1775</v>
      </c>
      <c r="B80" s="1" t="str">
        <f t="shared" si="3"/>
        <v>M_VAV0205_VM_0000_100_10</v>
      </c>
      <c r="C80" t="s">
        <v>56</v>
      </c>
      <c r="D80" s="7" t="str" cm="1">
        <f t="array" ref="D80">INDEX(기계코드!$D$4:$D$1022,MATCH(1,(C80=기계코드!$F$4:$F$1022)*1,0))</f>
        <v>M_VAV0205</v>
      </c>
      <c r="E80" t="s">
        <v>1125</v>
      </c>
      <c r="F80" s="7" t="str" cm="1">
        <f t="array" ref="F80">INDEX(공급업체코드!$B$3:$B$1000,MATCH(1,(E80=공급업체코드!$D$3:$D$1000)*1,0))</f>
        <v>VM_0000</v>
      </c>
      <c r="H80" s="64">
        <v>100</v>
      </c>
      <c r="I80" s="64">
        <v>10</v>
      </c>
      <c r="J80" s="70"/>
      <c r="M80" s="279"/>
      <c r="P80">
        <v>0.123</v>
      </c>
      <c r="Q80" s="147" t="s">
        <v>1421</v>
      </c>
      <c r="S80" s="18" t="s">
        <v>1676</v>
      </c>
      <c r="V80" s="18" t="s">
        <v>1741</v>
      </c>
      <c r="W80" s="64">
        <v>999</v>
      </c>
      <c r="X80" s="64"/>
      <c r="Y80" s="18" t="s">
        <v>1354</v>
      </c>
      <c r="Z80" s="1" t="b">
        <v>0</v>
      </c>
    </row>
    <row r="81" spans="1:26">
      <c r="A81" t="s">
        <v>1776</v>
      </c>
      <c r="B81" s="1" t="str">
        <f t="shared" si="3"/>
        <v>M_VAV0205_VM_0000_125_10</v>
      </c>
      <c r="C81" t="s">
        <v>56</v>
      </c>
      <c r="D81" s="7" t="str" cm="1">
        <f t="array" ref="D81">INDEX(기계코드!$D$4:$D$1022,MATCH(1,(C81=기계코드!$F$4:$F$1022)*1,0))</f>
        <v>M_VAV0205</v>
      </c>
      <c r="E81" t="s">
        <v>1125</v>
      </c>
      <c r="F81" s="7" t="str" cm="1">
        <f t="array" ref="F81">INDEX(공급업체코드!$B$3:$B$1000,MATCH(1,(E81=공급업체코드!$D$3:$D$1000)*1,0))</f>
        <v>VM_0000</v>
      </c>
      <c r="H81" s="64">
        <v>125</v>
      </c>
      <c r="I81" s="64">
        <v>10</v>
      </c>
      <c r="J81" s="70"/>
      <c r="M81" s="279"/>
      <c r="P81">
        <v>0.123</v>
      </c>
      <c r="Q81" s="147" t="s">
        <v>1421</v>
      </c>
      <c r="S81" s="18" t="s">
        <v>1676</v>
      </c>
      <c r="V81" s="18" t="s">
        <v>1741</v>
      </c>
      <c r="W81" s="64">
        <v>999</v>
      </c>
      <c r="X81" s="64"/>
      <c r="Y81" s="18" t="s">
        <v>1354</v>
      </c>
      <c r="Z81" s="1" t="b">
        <v>0</v>
      </c>
    </row>
    <row r="82" spans="1:26">
      <c r="A82" t="s">
        <v>1777</v>
      </c>
      <c r="B82" s="1" t="str">
        <f t="shared" si="3"/>
        <v>M_VAV0205_VM_0000_150_10</v>
      </c>
      <c r="C82" t="s">
        <v>56</v>
      </c>
      <c r="D82" s="7" t="str" cm="1">
        <f t="array" ref="D82">INDEX(기계코드!$D$4:$D$1022,MATCH(1,(C82=기계코드!$F$4:$F$1022)*1,0))</f>
        <v>M_VAV0205</v>
      </c>
      <c r="E82" t="s">
        <v>1125</v>
      </c>
      <c r="F82" s="7" t="str" cm="1">
        <f t="array" ref="F82">INDEX(공급업체코드!$B$3:$B$1000,MATCH(1,(E82=공급업체코드!$D$3:$D$1000)*1,0))</f>
        <v>VM_0000</v>
      </c>
      <c r="H82" s="64">
        <v>150</v>
      </c>
      <c r="I82" s="64">
        <v>10</v>
      </c>
      <c r="J82" s="70"/>
      <c r="M82" s="279"/>
      <c r="P82">
        <v>0.123</v>
      </c>
      <c r="Q82" s="147" t="s">
        <v>1421</v>
      </c>
      <c r="S82" s="18" t="s">
        <v>1676</v>
      </c>
      <c r="V82" s="18" t="s">
        <v>1741</v>
      </c>
      <c r="W82" s="64">
        <v>999</v>
      </c>
      <c r="X82" s="64"/>
      <c r="Y82" s="18" t="s">
        <v>1354</v>
      </c>
      <c r="Z82" s="1" t="b">
        <v>0</v>
      </c>
    </row>
    <row r="83" spans="1:26">
      <c r="A83" t="s">
        <v>1756</v>
      </c>
      <c r="B83" s="1" t="str">
        <f t="shared" si="3"/>
        <v>M_VAV0205_VM_0000_200_10</v>
      </c>
      <c r="C83" t="s">
        <v>56</v>
      </c>
      <c r="D83" s="7" t="str" cm="1">
        <f t="array" ref="D83">INDEX(기계코드!$D$4:$D$1022,MATCH(1,(C83=기계코드!$F$4:$F$1022)*1,0))</f>
        <v>M_VAV0205</v>
      </c>
      <c r="E83" t="s">
        <v>1125</v>
      </c>
      <c r="F83" s="7" t="str" cm="1">
        <f t="array" ref="F83">INDEX(공급업체코드!$B$3:$B$1000,MATCH(1,(E83=공급업체코드!$D$3:$D$1000)*1,0))</f>
        <v>VM_0000</v>
      </c>
      <c r="H83" s="64">
        <v>200</v>
      </c>
      <c r="I83" s="64">
        <v>10</v>
      </c>
      <c r="J83" s="70"/>
      <c r="P83">
        <v>0.123</v>
      </c>
      <c r="Q83" s="147" t="s">
        <v>1421</v>
      </c>
      <c r="S83" s="18" t="s">
        <v>1676</v>
      </c>
      <c r="V83" s="18" t="s">
        <v>1741</v>
      </c>
      <c r="W83" s="64">
        <v>999</v>
      </c>
      <c r="X83" s="64"/>
      <c r="Y83" s="18" t="s">
        <v>1354</v>
      </c>
      <c r="Z83" s="1" t="b">
        <v>0</v>
      </c>
    </row>
    <row r="84" spans="1:26">
      <c r="A84" t="s">
        <v>1757</v>
      </c>
      <c r="B84" s="1" t="str">
        <f t="shared" si="3"/>
        <v>M_VAV0205_VM_0000_250_10</v>
      </c>
      <c r="C84" t="s">
        <v>56</v>
      </c>
      <c r="D84" s="7" t="str" cm="1">
        <f t="array" ref="D84">INDEX(기계코드!$D$4:$D$1022,MATCH(1,(C84=기계코드!$F$4:$F$1022)*1,0))</f>
        <v>M_VAV0205</v>
      </c>
      <c r="E84" t="s">
        <v>1125</v>
      </c>
      <c r="F84" s="7" t="str" cm="1">
        <f t="array" ref="F84">INDEX(공급업체코드!$B$3:$B$1000,MATCH(1,(E84=공급업체코드!$D$3:$D$1000)*1,0))</f>
        <v>VM_0000</v>
      </c>
      <c r="H84">
        <v>250</v>
      </c>
      <c r="I84" s="64">
        <v>10</v>
      </c>
      <c r="J84" s="70"/>
      <c r="P84">
        <v>0.123</v>
      </c>
      <c r="Q84" s="147" t="s">
        <v>1421</v>
      </c>
      <c r="S84" s="18" t="s">
        <v>1676</v>
      </c>
      <c r="V84" s="18" t="s">
        <v>1741</v>
      </c>
      <c r="W84" s="64">
        <v>999</v>
      </c>
      <c r="X84" s="64"/>
      <c r="Y84" s="18" t="s">
        <v>1354</v>
      </c>
      <c r="Z84" s="1" t="b">
        <v>0</v>
      </c>
    </row>
    <row r="85" spans="1:26" ht="16.5" customHeight="1">
      <c r="A85" t="s">
        <v>1758</v>
      </c>
      <c r="B85" s="1" t="str">
        <f t="shared" si="3"/>
        <v>M_VAV0205_VM_0000_300_10</v>
      </c>
      <c r="C85" t="s">
        <v>56</v>
      </c>
      <c r="D85" s="7" t="str" cm="1">
        <f t="array" ref="D85">INDEX(기계코드!$D$4:$D$1022,MATCH(1,(C85=기계코드!$F$4:$F$1022)*1,0))</f>
        <v>M_VAV0205</v>
      </c>
      <c r="E85" t="s">
        <v>1125</v>
      </c>
      <c r="F85" s="7" t="str" cm="1">
        <f t="array" ref="F85">INDEX(공급업체코드!$B$3:$B$1000,MATCH(1,(E85=공급업체코드!$D$3:$D$1000)*1,0))</f>
        <v>VM_0000</v>
      </c>
      <c r="H85">
        <v>300</v>
      </c>
      <c r="I85" s="64">
        <v>10</v>
      </c>
      <c r="P85">
        <v>0.123</v>
      </c>
      <c r="Q85" s="147" t="s">
        <v>1421</v>
      </c>
      <c r="S85" s="18" t="s">
        <v>1676</v>
      </c>
      <c r="V85" s="18" t="s">
        <v>1741</v>
      </c>
      <c r="W85" s="64">
        <v>999</v>
      </c>
      <c r="X85" s="64"/>
      <c r="Y85" s="18" t="s">
        <v>1354</v>
      </c>
      <c r="Z85" s="1" t="b">
        <v>0</v>
      </c>
    </row>
    <row r="86" spans="1:26" ht="16.5" customHeight="1">
      <c r="A86" t="s">
        <v>1759</v>
      </c>
      <c r="B86" s="1" t="str">
        <f t="shared" si="3"/>
        <v>M_VAV0205_VM_0000_350_10</v>
      </c>
      <c r="C86" t="s">
        <v>56</v>
      </c>
      <c r="D86" s="7" t="str" cm="1">
        <f t="array" ref="D86">INDEX(기계코드!$D$4:$D$1022,MATCH(1,(C86=기계코드!$F$4:$F$1022)*1,0))</f>
        <v>M_VAV0205</v>
      </c>
      <c r="E86" t="s">
        <v>1125</v>
      </c>
      <c r="F86" s="7" t="str" cm="1">
        <f t="array" ref="F86">INDEX(공급업체코드!$B$3:$B$1000,MATCH(1,(E86=공급업체코드!$D$3:$D$1000)*1,0))</f>
        <v>VM_0000</v>
      </c>
      <c r="H86">
        <v>350</v>
      </c>
      <c r="I86" s="64">
        <v>10</v>
      </c>
      <c r="P86">
        <v>0.123</v>
      </c>
      <c r="Q86" s="147" t="s">
        <v>1421</v>
      </c>
      <c r="S86" s="18" t="s">
        <v>1676</v>
      </c>
      <c r="V86" s="18" t="s">
        <v>1741</v>
      </c>
      <c r="W86" s="64">
        <v>999</v>
      </c>
      <c r="X86" s="64"/>
      <c r="Y86" s="18" t="s">
        <v>1354</v>
      </c>
      <c r="Z86" s="1" t="b">
        <v>0</v>
      </c>
    </row>
    <row r="87" spans="1:26" ht="16.5" customHeight="1">
      <c r="A87" t="s">
        <v>1760</v>
      </c>
      <c r="B87" s="1" t="str">
        <f t="shared" si="3"/>
        <v>M_VAV0205_VM_0000_400_10</v>
      </c>
      <c r="C87" t="s">
        <v>56</v>
      </c>
      <c r="D87" s="7" t="str" cm="1">
        <f t="array" ref="D87">INDEX(기계코드!$D$4:$D$1022,MATCH(1,(C87=기계코드!$F$4:$F$1022)*1,0))</f>
        <v>M_VAV0205</v>
      </c>
      <c r="E87" t="s">
        <v>1125</v>
      </c>
      <c r="F87" s="7" t="str" cm="1">
        <f t="array" ref="F87">INDEX(공급업체코드!$B$3:$B$1000,MATCH(1,(E87=공급업체코드!$D$3:$D$1000)*1,0))</f>
        <v>VM_0000</v>
      </c>
      <c r="H87">
        <v>400</v>
      </c>
      <c r="I87" s="64">
        <v>10</v>
      </c>
      <c r="P87">
        <v>0.123</v>
      </c>
      <c r="Q87" s="147" t="s">
        <v>1421</v>
      </c>
      <c r="S87" s="18" t="s">
        <v>1676</v>
      </c>
      <c r="V87" s="18" t="s">
        <v>1741</v>
      </c>
      <c r="W87" s="64">
        <v>999</v>
      </c>
      <c r="X87" s="64"/>
      <c r="Y87" s="18" t="s">
        <v>1354</v>
      </c>
      <c r="Z87" s="1" t="b">
        <v>0</v>
      </c>
    </row>
    <row r="88" spans="1:26" ht="16.5" customHeight="1">
      <c r="A88" t="s">
        <v>1761</v>
      </c>
      <c r="B88" s="1" t="str">
        <f t="shared" si="3"/>
        <v>M_VAV0205_VM_0000_450_10</v>
      </c>
      <c r="C88" t="s">
        <v>56</v>
      </c>
      <c r="D88" s="7" t="str" cm="1">
        <f t="array" ref="D88">INDEX(기계코드!$D$4:$D$1022,MATCH(1,(C88=기계코드!$F$4:$F$1022)*1,0))</f>
        <v>M_VAV0205</v>
      </c>
      <c r="E88" t="s">
        <v>1125</v>
      </c>
      <c r="F88" s="7" t="str" cm="1">
        <f t="array" ref="F88">INDEX(공급업체코드!$B$3:$B$1000,MATCH(1,(E88=공급업체코드!$D$3:$D$1000)*1,0))</f>
        <v>VM_0000</v>
      </c>
      <c r="H88">
        <v>450</v>
      </c>
      <c r="I88" s="64">
        <v>10</v>
      </c>
      <c r="P88">
        <v>0.123</v>
      </c>
      <c r="Q88" s="147" t="s">
        <v>1421</v>
      </c>
      <c r="S88" s="18" t="s">
        <v>1676</v>
      </c>
      <c r="V88" s="18" t="s">
        <v>1741</v>
      </c>
      <c r="W88" s="64">
        <v>999</v>
      </c>
      <c r="X88" s="64"/>
      <c r="Y88" s="18" t="s">
        <v>1354</v>
      </c>
      <c r="Z88" s="1" t="b">
        <v>0</v>
      </c>
    </row>
    <row r="89" spans="1:26" ht="16.5" customHeight="1">
      <c r="A89" t="s">
        <v>1762</v>
      </c>
      <c r="B89" s="1" t="str">
        <f t="shared" si="3"/>
        <v>M_VAV0205_VM_0000_500_10</v>
      </c>
      <c r="C89" t="s">
        <v>56</v>
      </c>
      <c r="D89" s="7" t="str" cm="1">
        <f t="array" ref="D89">INDEX(기계코드!$D$4:$D$1022,MATCH(1,(C89=기계코드!$F$4:$F$1022)*1,0))</f>
        <v>M_VAV0205</v>
      </c>
      <c r="E89" t="s">
        <v>1125</v>
      </c>
      <c r="F89" s="7" t="str" cm="1">
        <f t="array" ref="F89">INDEX(공급업체코드!$B$3:$B$1000,MATCH(1,(E89=공급업체코드!$D$3:$D$1000)*1,0))</f>
        <v>VM_0000</v>
      </c>
      <c r="H89">
        <v>500</v>
      </c>
      <c r="I89" s="64">
        <v>10</v>
      </c>
      <c r="P89">
        <v>0.123</v>
      </c>
      <c r="Q89" s="147" t="s">
        <v>1421</v>
      </c>
      <c r="S89" s="18" t="s">
        <v>1676</v>
      </c>
      <c r="V89" s="18" t="s">
        <v>1741</v>
      </c>
      <c r="W89" s="64">
        <v>999</v>
      </c>
      <c r="X89" s="64"/>
      <c r="Y89" s="18" t="s">
        <v>1354</v>
      </c>
      <c r="Z89" s="1" t="b">
        <v>0</v>
      </c>
    </row>
    <row r="90" spans="1:26" ht="16.5" customHeight="1">
      <c r="B90" s="1" t="str">
        <f t="shared" si="3"/>
        <v>M_VAV0205_VM_0000_550_10</v>
      </c>
      <c r="C90" t="s">
        <v>56</v>
      </c>
      <c r="D90" s="7" t="str" cm="1">
        <f t="array" ref="D90">INDEX(기계코드!$D$4:$D$1022,MATCH(1,(C90=기계코드!$F$4:$F$1022)*1,0))</f>
        <v>M_VAV0205</v>
      </c>
      <c r="E90" t="s">
        <v>1125</v>
      </c>
      <c r="F90" s="7" t="str" cm="1">
        <f t="array" ref="F90">INDEX(공급업체코드!$B$3:$B$1000,MATCH(1,(E90=공급업체코드!$D$3:$D$1000)*1,0))</f>
        <v>VM_0000</v>
      </c>
      <c r="H90">
        <v>550</v>
      </c>
      <c r="I90" s="64">
        <v>10</v>
      </c>
      <c r="P90">
        <v>0.123</v>
      </c>
      <c r="Q90" s="147" t="s">
        <v>1421</v>
      </c>
      <c r="S90" s="18" t="s">
        <v>1676</v>
      </c>
      <c r="V90" s="18" t="s">
        <v>1741</v>
      </c>
      <c r="W90" s="64">
        <v>999</v>
      </c>
      <c r="X90" s="64"/>
      <c r="Y90" s="18" t="s">
        <v>1354</v>
      </c>
      <c r="Z90" s="1" t="b">
        <v>0</v>
      </c>
    </row>
    <row r="91" spans="1:26" ht="16.5" customHeight="1">
      <c r="A91" t="s">
        <v>1763</v>
      </c>
      <c r="B91" s="1" t="str">
        <f t="shared" si="3"/>
        <v>M_VAV0205_VM_0000_600_10</v>
      </c>
      <c r="C91" t="s">
        <v>56</v>
      </c>
      <c r="D91" s="7" t="str" cm="1">
        <f t="array" ref="D91">INDEX(기계코드!$D$4:$D$1022,MATCH(1,(C91=기계코드!$F$4:$F$1022)*1,0))</f>
        <v>M_VAV0205</v>
      </c>
      <c r="E91" t="s">
        <v>1125</v>
      </c>
      <c r="F91" s="7" t="str" cm="1">
        <f t="array" ref="F91">INDEX(공급업체코드!$B$3:$B$1000,MATCH(1,(E91=공급업체코드!$D$3:$D$1000)*1,0))</f>
        <v>VM_0000</v>
      </c>
      <c r="H91">
        <v>600</v>
      </c>
      <c r="I91" s="64">
        <v>10</v>
      </c>
      <c r="P91">
        <v>0.123</v>
      </c>
      <c r="Q91" s="147" t="s">
        <v>1421</v>
      </c>
      <c r="S91" s="18" t="s">
        <v>1676</v>
      </c>
      <c r="V91" s="18" t="s">
        <v>1741</v>
      </c>
      <c r="W91" s="64">
        <v>999</v>
      </c>
      <c r="X91" s="64"/>
      <c r="Y91" s="18" t="s">
        <v>1354</v>
      </c>
      <c r="Z91" s="1" t="b">
        <v>0</v>
      </c>
    </row>
    <row r="93" spans="1:26" ht="16.5" customHeight="1">
      <c r="A93" s="203"/>
      <c r="B93" s="1" t="str">
        <f t="shared" si="3"/>
        <v>M_VAV0101_VM_HD_VALVE_50_10</v>
      </c>
      <c r="C93" t="s">
        <v>25</v>
      </c>
      <c r="D93" s="7" t="str" cm="1">
        <f t="array" ref="D93">INDEX(기계코드!$D$4:$D$1022,MATCH(1,(C93=기계코드!$F$4:$F$1022)*1,0))</f>
        <v>M_VAV0101</v>
      </c>
      <c r="E93" s="7" t="s">
        <v>1768</v>
      </c>
      <c r="F93" s="7" t="str" cm="1">
        <f t="array" ref="F93">INDEX(공급업체코드!$B$3:$B$1000,MATCH(1,(E93=공급업체코드!$D$3:$D$1000)*1,0))</f>
        <v>VM_HD_VALVE</v>
      </c>
      <c r="H93">
        <v>50</v>
      </c>
      <c r="I93">
        <v>10</v>
      </c>
      <c r="J93" s="283">
        <v>0.4</v>
      </c>
      <c r="K93" s="7" t="s">
        <v>990</v>
      </c>
      <c r="L93" s="7">
        <v>380</v>
      </c>
      <c r="M93" s="151">
        <v>0.65</v>
      </c>
      <c r="N93" s="7">
        <v>0.9</v>
      </c>
      <c r="O93" s="7">
        <v>10</v>
      </c>
      <c r="P93">
        <v>73</v>
      </c>
      <c r="Q93" s="261" t="s">
        <v>1421</v>
      </c>
      <c r="R93" s="10">
        <v>26</v>
      </c>
      <c r="S93" s="260" t="s">
        <v>1676</v>
      </c>
      <c r="T93" t="s">
        <v>1738</v>
      </c>
      <c r="U93" s="1" t="str" cm="1">
        <f t="array" ref="U93">INDEX(기자재코드!$D$4:$D$25,MATCH(1,(T93=기자재코드!$F$4:$F$25)*1,0))</f>
        <v>S_VAV01</v>
      </c>
      <c r="V93" s="18" t="s">
        <v>1741</v>
      </c>
      <c r="W93">
        <v>6580000</v>
      </c>
      <c r="Y93" s="113" t="s">
        <v>1778</v>
      </c>
      <c r="Z93" t="b">
        <v>1</v>
      </c>
    </row>
    <row r="94" spans="1:26" ht="16.5" customHeight="1">
      <c r="A94" s="203"/>
      <c r="B94" s="1" t="str">
        <f t="shared" ref="B94:B127" si="4">D94&amp;"_"&amp;F94&amp;"_"&amp;H94&amp;"_"&amp;I94</f>
        <v>M_VAV0101_VM_HD_VALVE_80_10</v>
      </c>
      <c r="C94" t="s">
        <v>25</v>
      </c>
      <c r="D94" s="7" t="str" cm="1">
        <f t="array" ref="D94">INDEX(기계코드!$D$4:$D$1022,MATCH(1,(C94=기계코드!$F$4:$F$1022)*1,0))</f>
        <v>M_VAV0101</v>
      </c>
      <c r="E94" s="7" t="s">
        <v>1768</v>
      </c>
      <c r="F94" s="7" t="str" cm="1">
        <f t="array" ref="F94">INDEX(공급업체코드!$B$3:$B$1000,MATCH(1,(E94=공급업체코드!$D$3:$D$1000)*1,0))</f>
        <v>VM_HD_VALVE</v>
      </c>
      <c r="H94">
        <v>80</v>
      </c>
      <c r="I94">
        <v>10</v>
      </c>
      <c r="J94" s="283">
        <v>0.4</v>
      </c>
      <c r="K94" s="7" t="s">
        <v>990</v>
      </c>
      <c r="L94" s="7">
        <v>380</v>
      </c>
      <c r="M94" s="151">
        <v>0.65</v>
      </c>
      <c r="N94" s="7">
        <v>0.9</v>
      </c>
      <c r="O94" s="7">
        <v>10</v>
      </c>
      <c r="P94">
        <v>80</v>
      </c>
      <c r="Q94" s="261" t="s">
        <v>1421</v>
      </c>
      <c r="R94" s="10">
        <v>27</v>
      </c>
      <c r="S94" s="260" t="s">
        <v>1676</v>
      </c>
      <c r="T94" t="s">
        <v>1738</v>
      </c>
      <c r="U94" s="1" t="str" cm="1">
        <f t="array" ref="U94">INDEX(기자재코드!$D$4:$D$25,MATCH(1,(T94=기자재코드!$F$4:$F$25)*1,0))</f>
        <v>S_VAV01</v>
      </c>
      <c r="V94" s="18" t="s">
        <v>1741</v>
      </c>
      <c r="W94">
        <v>6972000</v>
      </c>
      <c r="Y94" s="113" t="s">
        <v>1778</v>
      </c>
      <c r="Z94" t="b">
        <v>1</v>
      </c>
    </row>
    <row r="95" spans="1:26" ht="16.5" customHeight="1">
      <c r="A95" s="203"/>
      <c r="B95" s="1" t="str">
        <f t="shared" si="4"/>
        <v>M_VAV0101_VM_HD_VALVE_100_10</v>
      </c>
      <c r="C95" t="s">
        <v>25</v>
      </c>
      <c r="D95" s="7" t="str" cm="1">
        <f t="array" ref="D95">INDEX(기계코드!$D$4:$D$1022,MATCH(1,(C95=기계코드!$F$4:$F$1022)*1,0))</f>
        <v>M_VAV0101</v>
      </c>
      <c r="E95" s="7" t="s">
        <v>1768</v>
      </c>
      <c r="F95" s="7" t="str" cm="1">
        <f t="array" ref="F95">INDEX(공급업체코드!$B$3:$B$1000,MATCH(1,(E95=공급업체코드!$D$3:$D$1000)*1,0))</f>
        <v>VM_HD_VALVE</v>
      </c>
      <c r="H95">
        <v>100</v>
      </c>
      <c r="I95">
        <v>10</v>
      </c>
      <c r="J95" s="283">
        <v>0.4</v>
      </c>
      <c r="K95" s="7" t="s">
        <v>990</v>
      </c>
      <c r="L95" s="7">
        <v>380</v>
      </c>
      <c r="M95" s="151">
        <v>0.65</v>
      </c>
      <c r="N95" s="7">
        <v>0.9</v>
      </c>
      <c r="O95" s="7">
        <v>10</v>
      </c>
      <c r="P95">
        <v>90</v>
      </c>
      <c r="Q95" s="261" t="s">
        <v>1421</v>
      </c>
      <c r="R95" s="10">
        <v>28</v>
      </c>
      <c r="S95" s="260" t="s">
        <v>1676</v>
      </c>
      <c r="T95" t="s">
        <v>1738</v>
      </c>
      <c r="U95" s="1" t="str" cm="1">
        <f t="array" ref="U95">INDEX(기자재코드!$D$4:$D$25,MATCH(1,(T95=기자재코드!$F$4:$F$25)*1,0))</f>
        <v>S_VAV01</v>
      </c>
      <c r="V95" s="18" t="s">
        <v>1741</v>
      </c>
      <c r="W95">
        <v>7000000</v>
      </c>
      <c r="Y95" s="113" t="s">
        <v>1778</v>
      </c>
      <c r="Z95" t="b">
        <v>1</v>
      </c>
    </row>
    <row r="96" spans="1:26" ht="16.5" customHeight="1">
      <c r="A96" s="203"/>
      <c r="B96" s="1" t="str">
        <f t="shared" si="4"/>
        <v>M_VAV0101_VM_HD_VALVE_125_10</v>
      </c>
      <c r="C96" t="s">
        <v>25</v>
      </c>
      <c r="D96" s="7" t="str" cm="1">
        <f t="array" ref="D96">INDEX(기계코드!$D$4:$D$1022,MATCH(1,(C96=기계코드!$F$4:$F$1022)*1,0))</f>
        <v>M_VAV0101</v>
      </c>
      <c r="E96" s="7" t="s">
        <v>1768</v>
      </c>
      <c r="F96" s="7" t="str" cm="1">
        <f t="array" ref="F96">INDEX(공급업체코드!$B$3:$B$1000,MATCH(1,(E96=공급업체코드!$D$3:$D$1000)*1,0))</f>
        <v>VM_HD_VALVE</v>
      </c>
      <c r="H96">
        <v>125</v>
      </c>
      <c r="I96">
        <v>10</v>
      </c>
      <c r="J96" s="283">
        <v>0.4</v>
      </c>
      <c r="K96" s="7" t="s">
        <v>990</v>
      </c>
      <c r="L96" s="7">
        <v>380</v>
      </c>
      <c r="M96" s="151">
        <v>0.65</v>
      </c>
      <c r="N96" s="7">
        <v>0.9</v>
      </c>
      <c r="O96" s="7">
        <v>10</v>
      </c>
      <c r="P96">
        <v>110</v>
      </c>
      <c r="Q96" s="261" t="s">
        <v>1421</v>
      </c>
      <c r="R96" s="10">
        <v>29</v>
      </c>
      <c r="S96" s="260" t="s">
        <v>1676</v>
      </c>
      <c r="T96" t="s">
        <v>1738</v>
      </c>
      <c r="U96" s="1" t="str" cm="1">
        <f t="array" ref="U96">INDEX(기자재코드!$D$4:$D$25,MATCH(1,(T96=기자재코드!$F$4:$F$25)*1,0))</f>
        <v>S_VAV01</v>
      </c>
      <c r="V96" s="18" t="s">
        <v>1741</v>
      </c>
      <c r="W96">
        <v>7299600</v>
      </c>
      <c r="Y96" s="113" t="s">
        <v>1778</v>
      </c>
      <c r="Z96" t="b">
        <v>1</v>
      </c>
    </row>
    <row r="97" spans="1:26" ht="16.5" customHeight="1">
      <c r="A97" s="203"/>
      <c r="B97" s="1" t="str">
        <f t="shared" si="4"/>
        <v>M_VAV0101_VM_HD_VALVE_150_10</v>
      </c>
      <c r="C97" t="s">
        <v>25</v>
      </c>
      <c r="D97" s="7" t="str" cm="1">
        <f t="array" ref="D97">INDEX(기계코드!$D$4:$D$1022,MATCH(1,(C97=기계코드!$F$4:$F$1022)*1,0))</f>
        <v>M_VAV0101</v>
      </c>
      <c r="E97" s="7" t="s">
        <v>1768</v>
      </c>
      <c r="F97" s="7" t="str" cm="1">
        <f t="array" ref="F97">INDEX(공급업체코드!$B$3:$B$1000,MATCH(1,(E97=공급업체코드!$D$3:$D$1000)*1,0))</f>
        <v>VM_HD_VALVE</v>
      </c>
      <c r="H97">
        <v>150</v>
      </c>
      <c r="I97">
        <v>10</v>
      </c>
      <c r="J97" s="283">
        <v>0.4</v>
      </c>
      <c r="K97" s="7" t="s">
        <v>990</v>
      </c>
      <c r="L97" s="7">
        <v>380</v>
      </c>
      <c r="M97" s="151">
        <v>0.65</v>
      </c>
      <c r="N97" s="7">
        <v>0.9</v>
      </c>
      <c r="O97" s="7">
        <v>10</v>
      </c>
      <c r="P97">
        <v>150</v>
      </c>
      <c r="Q97" s="261" t="s">
        <v>1421</v>
      </c>
      <c r="R97" s="10">
        <v>30</v>
      </c>
      <c r="S97" s="260" t="s">
        <v>1676</v>
      </c>
      <c r="T97" t="s">
        <v>1738</v>
      </c>
      <c r="U97" s="1" t="str" cm="1">
        <f t="array" ref="U97">INDEX(기자재코드!$D$4:$D$25,MATCH(1,(T97=기자재코드!$F$4:$F$25)*1,0))</f>
        <v>S_VAV01</v>
      </c>
      <c r="V97" s="18" t="s">
        <v>1741</v>
      </c>
      <c r="W97">
        <v>8069600</v>
      </c>
      <c r="Y97" s="113" t="s">
        <v>1778</v>
      </c>
      <c r="Z97" t="b">
        <v>1</v>
      </c>
    </row>
    <row r="98" spans="1:26" ht="16.5" customHeight="1">
      <c r="A98" s="203"/>
      <c r="B98" s="1" t="str">
        <f t="shared" si="4"/>
        <v>M_VAV0101_VM_HD_VALVE_200_10</v>
      </c>
      <c r="C98" t="s">
        <v>25</v>
      </c>
      <c r="D98" s="7" t="str" cm="1">
        <f t="array" ref="D98">INDEX(기계코드!$D$4:$D$1022,MATCH(1,(C98=기계코드!$F$4:$F$1022)*1,0))</f>
        <v>M_VAV0101</v>
      </c>
      <c r="E98" s="7" t="s">
        <v>1768</v>
      </c>
      <c r="F98" s="7" t="str" cm="1">
        <f t="array" ref="F98">INDEX(공급업체코드!$B$3:$B$1000,MATCH(1,(E98=공급업체코드!$D$3:$D$1000)*1,0))</f>
        <v>VM_HD_VALVE</v>
      </c>
      <c r="H98">
        <v>200</v>
      </c>
      <c r="I98">
        <v>10</v>
      </c>
      <c r="J98" s="283">
        <v>0.4</v>
      </c>
      <c r="K98" s="7" t="s">
        <v>990</v>
      </c>
      <c r="L98" s="7">
        <v>380</v>
      </c>
      <c r="M98" s="151">
        <v>0.65</v>
      </c>
      <c r="N98" s="7">
        <v>0.9</v>
      </c>
      <c r="O98" s="7">
        <v>10</v>
      </c>
      <c r="P98">
        <v>200</v>
      </c>
      <c r="Q98" s="261" t="s">
        <v>1421</v>
      </c>
      <c r="R98" s="10">
        <v>31</v>
      </c>
      <c r="S98" s="260" t="s">
        <v>1676</v>
      </c>
      <c r="T98" t="s">
        <v>1738</v>
      </c>
      <c r="U98" s="1" t="str" cm="1">
        <f t="array" ref="U98">INDEX(기자재코드!$D$4:$D$25,MATCH(1,(T98=기자재코드!$F$4:$F$25)*1,0))</f>
        <v>S_VAV01</v>
      </c>
      <c r="V98" s="18" t="s">
        <v>1741</v>
      </c>
      <c r="W98">
        <v>8540000</v>
      </c>
      <c r="Y98" s="113" t="s">
        <v>1778</v>
      </c>
      <c r="Z98" t="b">
        <v>1</v>
      </c>
    </row>
    <row r="99" spans="1:26" ht="16.5" customHeight="1">
      <c r="A99" s="203"/>
      <c r="B99" s="1" t="str">
        <f t="shared" si="4"/>
        <v>M_VAV0101_VM_HD_VALVE_250_10</v>
      </c>
      <c r="C99" t="s">
        <v>25</v>
      </c>
      <c r="D99" s="7" t="str" cm="1">
        <f t="array" ref="D99">INDEX(기계코드!$D$4:$D$1022,MATCH(1,(C99=기계코드!$F$4:$F$1022)*1,0))</f>
        <v>M_VAV0101</v>
      </c>
      <c r="E99" s="7" t="s">
        <v>1768</v>
      </c>
      <c r="F99" s="7" t="str" cm="1">
        <f t="array" ref="F99">INDEX(공급업체코드!$B$3:$B$1000,MATCH(1,(E99=공급업체코드!$D$3:$D$1000)*1,0))</f>
        <v>VM_HD_VALVE</v>
      </c>
      <c r="H99">
        <v>250</v>
      </c>
      <c r="I99">
        <v>10</v>
      </c>
      <c r="J99" s="283">
        <v>0.4</v>
      </c>
      <c r="K99" s="7" t="s">
        <v>990</v>
      </c>
      <c r="L99" s="7">
        <v>380</v>
      </c>
      <c r="M99" s="151">
        <v>0.65</v>
      </c>
      <c r="N99" s="7">
        <v>0.9</v>
      </c>
      <c r="O99" s="7">
        <v>10</v>
      </c>
      <c r="P99">
        <v>285</v>
      </c>
      <c r="Q99" s="261" t="s">
        <v>1421</v>
      </c>
      <c r="R99" s="10">
        <v>32</v>
      </c>
      <c r="S99" s="260" t="s">
        <v>1676</v>
      </c>
      <c r="T99" t="s">
        <v>1738</v>
      </c>
      <c r="U99" s="1" t="str" cm="1">
        <f t="array" ref="U99">INDEX(기자재코드!$D$4:$D$25,MATCH(1,(T99=기자재코드!$F$4:$F$25)*1,0))</f>
        <v>S_VAV01</v>
      </c>
      <c r="V99" s="18" t="s">
        <v>1741</v>
      </c>
      <c r="W99">
        <v>9240000</v>
      </c>
      <c r="Y99" s="113" t="s">
        <v>1778</v>
      </c>
      <c r="Z99" t="b">
        <v>1</v>
      </c>
    </row>
    <row r="100" spans="1:26" ht="16.5" customHeight="1">
      <c r="A100" s="203"/>
      <c r="B100" s="1" t="str">
        <f t="shared" si="4"/>
        <v>M_VAV0101_VM_HD_VALVE_300_10</v>
      </c>
      <c r="C100" t="s">
        <v>25</v>
      </c>
      <c r="D100" s="7" t="str" cm="1">
        <f t="array" ref="D100">INDEX(기계코드!$D$4:$D$1022,MATCH(1,(C100=기계코드!$F$4:$F$1022)*1,0))</f>
        <v>M_VAV0101</v>
      </c>
      <c r="E100" s="7" t="s">
        <v>1768</v>
      </c>
      <c r="F100" s="7" t="str" cm="1">
        <f t="array" ref="F100">INDEX(공급업체코드!$B$3:$B$1000,MATCH(1,(E100=공급업체코드!$D$3:$D$1000)*1,0))</f>
        <v>VM_HD_VALVE</v>
      </c>
      <c r="H100">
        <v>300</v>
      </c>
      <c r="I100">
        <v>10</v>
      </c>
      <c r="J100" s="283">
        <v>0.4</v>
      </c>
      <c r="K100" s="7" t="s">
        <v>990</v>
      </c>
      <c r="L100" s="7">
        <v>380</v>
      </c>
      <c r="M100" s="151">
        <v>0.65</v>
      </c>
      <c r="N100" s="7">
        <v>0.9</v>
      </c>
      <c r="O100" s="7">
        <v>10</v>
      </c>
      <c r="P100">
        <v>350</v>
      </c>
      <c r="Q100" s="261" t="s">
        <v>1421</v>
      </c>
      <c r="R100" s="10">
        <v>33</v>
      </c>
      <c r="S100" s="260" t="s">
        <v>1676</v>
      </c>
      <c r="T100" t="s">
        <v>1738</v>
      </c>
      <c r="U100" s="1" t="str" cm="1">
        <f t="array" ref="U100">INDEX(기자재코드!$D$4:$D$25,MATCH(1,(T100=기자재코드!$F$4:$F$25)*1,0))</f>
        <v>S_VAV01</v>
      </c>
      <c r="V100" s="18" t="s">
        <v>1741</v>
      </c>
      <c r="W100">
        <v>9800000</v>
      </c>
      <c r="Y100" s="113" t="s">
        <v>1778</v>
      </c>
      <c r="Z100" t="b">
        <v>1</v>
      </c>
    </row>
    <row r="101" spans="1:26" ht="16.5" customHeight="1">
      <c r="A101" s="203"/>
      <c r="B101" s="1" t="str">
        <f t="shared" si="4"/>
        <v>M_VAV0101_VM_HD_VALVE_350_10</v>
      </c>
      <c r="C101" t="s">
        <v>25</v>
      </c>
      <c r="D101" s="7" t="str" cm="1">
        <f t="array" ref="D101">INDEX(기계코드!$D$4:$D$1022,MATCH(1,(C101=기계코드!$F$4:$F$1022)*1,0))</f>
        <v>M_VAV0101</v>
      </c>
      <c r="E101" s="7" t="s">
        <v>1768</v>
      </c>
      <c r="F101" s="7" t="str" cm="1">
        <f t="array" ref="F101">INDEX(공급업체코드!$B$3:$B$1000,MATCH(1,(E101=공급업체코드!$D$3:$D$1000)*1,0))</f>
        <v>VM_HD_VALVE</v>
      </c>
      <c r="H101">
        <v>350</v>
      </c>
      <c r="I101">
        <v>10</v>
      </c>
      <c r="J101" s="283">
        <v>0.75</v>
      </c>
      <c r="K101" s="7" t="s">
        <v>990</v>
      </c>
      <c r="L101" s="7">
        <v>380</v>
      </c>
      <c r="M101" s="151">
        <v>0.83499999999999996</v>
      </c>
      <c r="N101" s="7">
        <v>0.9</v>
      </c>
      <c r="O101" s="7">
        <v>10</v>
      </c>
      <c r="P101">
        <v>440</v>
      </c>
      <c r="Q101" s="261" t="s">
        <v>1421</v>
      </c>
      <c r="R101" s="10">
        <v>34</v>
      </c>
      <c r="S101" s="260" t="s">
        <v>1676</v>
      </c>
      <c r="T101" t="s">
        <v>1738</v>
      </c>
      <c r="U101" s="1" t="str" cm="1">
        <f t="array" ref="U101">INDEX(기자재코드!$D$4:$D$25,MATCH(1,(T101=기자재코드!$F$4:$F$25)*1,0))</f>
        <v>S_VAV01</v>
      </c>
      <c r="V101" s="18" t="s">
        <v>1741</v>
      </c>
      <c r="W101">
        <v>11309200</v>
      </c>
      <c r="Y101" s="113" t="s">
        <v>1778</v>
      </c>
      <c r="Z101" t="b">
        <v>1</v>
      </c>
    </row>
    <row r="102" spans="1:26" ht="16.5" customHeight="1">
      <c r="A102" s="203"/>
      <c r="B102" s="1" t="str">
        <f t="shared" si="4"/>
        <v>M_VAV0101_VM_HD_VALVE_400_10</v>
      </c>
      <c r="C102" t="s">
        <v>25</v>
      </c>
      <c r="D102" s="7" t="str" cm="1">
        <f t="array" ref="D102">INDEX(기계코드!$D$4:$D$1022,MATCH(1,(C102=기계코드!$F$4:$F$1022)*1,0))</f>
        <v>M_VAV0101</v>
      </c>
      <c r="E102" s="7" t="s">
        <v>1768</v>
      </c>
      <c r="F102" s="7" t="str" cm="1">
        <f t="array" ref="F102">INDEX(공급업체코드!$B$3:$B$1000,MATCH(1,(E102=공급업체코드!$D$3:$D$1000)*1,0))</f>
        <v>VM_HD_VALVE</v>
      </c>
      <c r="H102">
        <v>400</v>
      </c>
      <c r="I102">
        <v>10</v>
      </c>
      <c r="J102" s="283">
        <v>0.75</v>
      </c>
      <c r="K102" s="7" t="s">
        <v>990</v>
      </c>
      <c r="L102" s="7">
        <v>380</v>
      </c>
      <c r="M102" s="151">
        <v>0.83499999999999996</v>
      </c>
      <c r="N102" s="7">
        <v>0.9</v>
      </c>
      <c r="O102" s="7">
        <v>10</v>
      </c>
      <c r="P102">
        <v>605</v>
      </c>
      <c r="Q102" s="261" t="s">
        <v>1421</v>
      </c>
      <c r="R102" s="10">
        <v>35</v>
      </c>
      <c r="S102" s="260" t="s">
        <v>1676</v>
      </c>
      <c r="T102" t="s">
        <v>1738</v>
      </c>
      <c r="U102" s="1" t="str" cm="1">
        <f t="array" ref="U102">INDEX(기자재코드!$D$4:$D$25,MATCH(1,(T102=기자재코드!$F$4:$F$25)*1,0))</f>
        <v>S_VAV01</v>
      </c>
      <c r="V102" s="18" t="s">
        <v>1741</v>
      </c>
      <c r="W102">
        <v>12573400</v>
      </c>
      <c r="Y102" s="113" t="s">
        <v>1778</v>
      </c>
      <c r="Z102" t="b">
        <v>1</v>
      </c>
    </row>
    <row r="103" spans="1:26" ht="16.5" customHeight="1">
      <c r="A103" s="203"/>
      <c r="B103" s="1" t="str">
        <f t="shared" si="4"/>
        <v>M_VAV0101_VM_HD_VALVE_450_10</v>
      </c>
      <c r="C103" t="s">
        <v>25</v>
      </c>
      <c r="D103" s="7" t="str" cm="1">
        <f t="array" ref="D103">INDEX(기계코드!$D$4:$D$1022,MATCH(1,(C103=기계코드!$F$4:$F$1022)*1,0))</f>
        <v>M_VAV0101</v>
      </c>
      <c r="E103" s="7" t="s">
        <v>1768</v>
      </c>
      <c r="F103" s="7" t="str" cm="1">
        <f t="array" ref="F103">INDEX(공급업체코드!$B$3:$B$1000,MATCH(1,(E103=공급업체코드!$D$3:$D$1000)*1,0))</f>
        <v>VM_HD_VALVE</v>
      </c>
      <c r="H103">
        <v>450</v>
      </c>
      <c r="I103">
        <v>10</v>
      </c>
      <c r="J103" s="283">
        <v>0.75</v>
      </c>
      <c r="K103" s="7" t="s">
        <v>990</v>
      </c>
      <c r="L103" s="7">
        <v>380</v>
      </c>
      <c r="M103" s="151">
        <v>0.83499999999999996</v>
      </c>
      <c r="N103" s="7">
        <v>0.9</v>
      </c>
      <c r="O103" s="7">
        <v>10</v>
      </c>
      <c r="P103">
        <v>795</v>
      </c>
      <c r="Q103" s="261" t="s">
        <v>1421</v>
      </c>
      <c r="R103" s="10">
        <v>36</v>
      </c>
      <c r="S103" s="260" t="s">
        <v>1676</v>
      </c>
      <c r="T103" t="s">
        <v>1738</v>
      </c>
      <c r="U103" s="1" t="str" cm="1">
        <f t="array" ref="U103">INDEX(기자재코드!$D$4:$D$25,MATCH(1,(T103=기자재코드!$F$4:$F$25)*1,0))</f>
        <v>S_VAV01</v>
      </c>
      <c r="V103" s="18" t="s">
        <v>1741</v>
      </c>
      <c r="W103">
        <v>16469599.999999998</v>
      </c>
      <c r="Y103" s="113" t="s">
        <v>1778</v>
      </c>
      <c r="Z103" t="b">
        <v>1</v>
      </c>
    </row>
    <row r="104" spans="1:26" ht="16.5" customHeight="1">
      <c r="A104" s="203"/>
      <c r="B104" s="1" t="str">
        <f t="shared" si="4"/>
        <v>M_VAV0101_VM_HD_VALVE_500_10</v>
      </c>
      <c r="C104" t="s">
        <v>25</v>
      </c>
      <c r="D104" s="7" t="str" cm="1">
        <f t="array" ref="D104">INDEX(기계코드!$D$4:$D$1022,MATCH(1,(C104=기계코드!$F$4:$F$1022)*1,0))</f>
        <v>M_VAV0101</v>
      </c>
      <c r="E104" s="7" t="s">
        <v>1768</v>
      </c>
      <c r="F104" s="7" t="str" cm="1">
        <f t="array" ref="F104">INDEX(공급업체코드!$B$3:$B$1000,MATCH(1,(E104=공급업체코드!$D$3:$D$1000)*1,0))</f>
        <v>VM_HD_VALVE</v>
      </c>
      <c r="H104">
        <v>500</v>
      </c>
      <c r="I104">
        <v>10</v>
      </c>
      <c r="J104" s="283">
        <v>0.75</v>
      </c>
      <c r="K104" s="7" t="s">
        <v>990</v>
      </c>
      <c r="L104" s="7">
        <v>380</v>
      </c>
      <c r="M104" s="151">
        <v>0.83499999999999996</v>
      </c>
      <c r="N104" s="7">
        <v>0.9</v>
      </c>
      <c r="O104" s="7">
        <v>10</v>
      </c>
      <c r="P104">
        <v>1020</v>
      </c>
      <c r="Q104" s="261" t="s">
        <v>1421</v>
      </c>
      <c r="R104" s="10">
        <v>37</v>
      </c>
      <c r="S104" s="260" t="s">
        <v>1676</v>
      </c>
      <c r="T104" t="s">
        <v>1738</v>
      </c>
      <c r="U104" s="1" t="str" cm="1">
        <f t="array" ref="U104">INDEX(기자재코드!$D$4:$D$25,MATCH(1,(T104=기자재코드!$F$4:$F$25)*1,0))</f>
        <v>S_VAV01</v>
      </c>
      <c r="V104" s="18" t="s">
        <v>1741</v>
      </c>
      <c r="W104">
        <v>18356800</v>
      </c>
      <c r="Y104" s="113" t="s">
        <v>1778</v>
      </c>
      <c r="Z104" t="b">
        <v>1</v>
      </c>
    </row>
    <row r="105" spans="1:26" ht="16.5" customHeight="1">
      <c r="B105" s="1"/>
      <c r="D105" s="7"/>
      <c r="E105" s="7"/>
      <c r="F105" s="7"/>
    </row>
    <row r="106" spans="1:26" ht="16.5" customHeight="1">
      <c r="A106" t="s">
        <v>1779</v>
      </c>
      <c r="B106" s="1" t="str">
        <f>D106&amp;"_"&amp;F106&amp;"_"&amp;H106</f>
        <v>M_VAV0105_VM_0000_50</v>
      </c>
      <c r="C106" t="s">
        <v>37</v>
      </c>
      <c r="D106" s="7" t="str" cm="1">
        <f t="array" ref="D106">INDEX(기계코드!$D$4:$D$1022,MATCH(1,(C106=기계코드!$F$4:$F$1022)*1,0))</f>
        <v>M_VAV0105</v>
      </c>
      <c r="E106" s="7" t="s">
        <v>1125</v>
      </c>
      <c r="F106" s="7" t="str" cm="1">
        <f t="array" ref="F106">INDEX(공급업체코드!$B$3:$B$1000,MATCH(1,(E106=공급업체코드!$D$3:$D$1000)*1,0))</f>
        <v>VM_0000</v>
      </c>
      <c r="H106">
        <v>50</v>
      </c>
      <c r="J106">
        <v>0.4</v>
      </c>
      <c r="K106" s="7" t="s">
        <v>990</v>
      </c>
      <c r="L106" s="7">
        <v>380</v>
      </c>
      <c r="M106" s="151">
        <v>0.65</v>
      </c>
      <c r="N106" s="7">
        <v>0.9</v>
      </c>
      <c r="O106" s="7">
        <v>10</v>
      </c>
      <c r="P106">
        <v>0.123</v>
      </c>
      <c r="Q106" s="261" t="s">
        <v>1421</v>
      </c>
      <c r="R106" s="10">
        <v>26</v>
      </c>
      <c r="S106" s="260" t="s">
        <v>1676</v>
      </c>
      <c r="W106">
        <v>999</v>
      </c>
      <c r="Y106" s="18" t="s">
        <v>1354</v>
      </c>
      <c r="Z106" t="b">
        <v>1</v>
      </c>
    </row>
    <row r="107" spans="1:26" ht="16.5" customHeight="1">
      <c r="A107" t="s">
        <v>1780</v>
      </c>
      <c r="B107" s="1" t="str">
        <f t="shared" ref="B107:B128" si="5">D107&amp;"_"&amp;F107&amp;"_"&amp;H107</f>
        <v>M_VAV0105_VM_0000_65</v>
      </c>
      <c r="C107" t="s">
        <v>37</v>
      </c>
      <c r="D107" s="7" t="str" cm="1">
        <f t="array" ref="D107">INDEX(기계코드!$D$4:$D$1022,MATCH(1,(C107=기계코드!$F$4:$F$1022)*1,0))</f>
        <v>M_VAV0105</v>
      </c>
      <c r="E107" s="7" t="s">
        <v>1125</v>
      </c>
      <c r="F107" s="7" t="str" cm="1">
        <f t="array" ref="F107">INDEX(공급업체코드!$B$3:$B$1000,MATCH(1,(E107=공급업체코드!$D$3:$D$1000)*1,0))</f>
        <v>VM_0000</v>
      </c>
      <c r="H107">
        <v>65</v>
      </c>
      <c r="J107">
        <v>0.4</v>
      </c>
      <c r="K107" s="7" t="s">
        <v>990</v>
      </c>
      <c r="L107" s="7">
        <v>380</v>
      </c>
      <c r="M107" s="151">
        <v>0.65</v>
      </c>
      <c r="N107" s="7">
        <v>0.9</v>
      </c>
      <c r="O107" s="7">
        <v>10</v>
      </c>
      <c r="P107">
        <v>0.123</v>
      </c>
      <c r="Q107" s="261" t="s">
        <v>1421</v>
      </c>
      <c r="R107" s="10">
        <v>27</v>
      </c>
      <c r="S107" s="260" t="s">
        <v>1676</v>
      </c>
      <c r="W107">
        <v>999</v>
      </c>
      <c r="Y107" s="18" t="s">
        <v>1354</v>
      </c>
      <c r="Z107" t="b">
        <v>1</v>
      </c>
    </row>
    <row r="108" spans="1:26" ht="16.5" customHeight="1">
      <c r="A108" t="s">
        <v>1781</v>
      </c>
      <c r="B108" s="1" t="str">
        <f t="shared" si="5"/>
        <v>M_VAV0105_VM_0000_80</v>
      </c>
      <c r="C108" t="s">
        <v>37</v>
      </c>
      <c r="D108" s="7" t="str" cm="1">
        <f t="array" ref="D108">INDEX(기계코드!$D$4:$D$1022,MATCH(1,(C108=기계코드!$F$4:$F$1022)*1,0))</f>
        <v>M_VAV0105</v>
      </c>
      <c r="E108" s="7" t="s">
        <v>1125</v>
      </c>
      <c r="F108" s="7" t="str" cm="1">
        <f t="array" ref="F108">INDEX(공급업체코드!$B$3:$B$1000,MATCH(1,(E108=공급업체코드!$D$3:$D$1000)*1,0))</f>
        <v>VM_0000</v>
      </c>
      <c r="H108">
        <v>80</v>
      </c>
      <c r="J108">
        <v>0.4</v>
      </c>
      <c r="K108" s="7" t="s">
        <v>990</v>
      </c>
      <c r="L108" s="7">
        <v>380</v>
      </c>
      <c r="M108" s="151">
        <v>0.65</v>
      </c>
      <c r="N108" s="7">
        <v>0.9</v>
      </c>
      <c r="O108" s="7">
        <v>10</v>
      </c>
      <c r="P108">
        <v>0.123</v>
      </c>
      <c r="Q108" s="261" t="s">
        <v>1421</v>
      </c>
      <c r="R108" s="10">
        <v>27</v>
      </c>
      <c r="S108" s="260" t="s">
        <v>1676</v>
      </c>
      <c r="W108">
        <v>999</v>
      </c>
      <c r="Y108" s="18" t="s">
        <v>1354</v>
      </c>
      <c r="Z108" t="b">
        <v>1</v>
      </c>
    </row>
    <row r="109" spans="1:26" ht="16.5" customHeight="1">
      <c r="A109" t="s">
        <v>1782</v>
      </c>
      <c r="B109" s="1" t="str">
        <f t="shared" si="5"/>
        <v>M_VAV0105_VM_0000_100</v>
      </c>
      <c r="C109" t="s">
        <v>37</v>
      </c>
      <c r="D109" s="7" t="str" cm="1">
        <f t="array" ref="D109">INDEX(기계코드!$D$4:$D$1022,MATCH(1,(C109=기계코드!$F$4:$F$1022)*1,0))</f>
        <v>M_VAV0105</v>
      </c>
      <c r="E109" s="7" t="s">
        <v>1125</v>
      </c>
      <c r="F109" s="7" t="str" cm="1">
        <f t="array" ref="F109">INDEX(공급업체코드!$B$3:$B$1000,MATCH(1,(E109=공급업체코드!$D$3:$D$1000)*1,0))</f>
        <v>VM_0000</v>
      </c>
      <c r="H109">
        <v>100</v>
      </c>
      <c r="J109">
        <v>0.4</v>
      </c>
      <c r="K109" s="7" t="s">
        <v>990</v>
      </c>
      <c r="L109" s="7">
        <v>380</v>
      </c>
      <c r="M109" s="151">
        <v>0.65</v>
      </c>
      <c r="N109" s="7">
        <v>0.9</v>
      </c>
      <c r="O109" s="7">
        <v>10</v>
      </c>
      <c r="P109">
        <v>0.123</v>
      </c>
      <c r="Q109" s="261" t="s">
        <v>1421</v>
      </c>
      <c r="R109" s="10">
        <v>28</v>
      </c>
      <c r="S109" s="260" t="s">
        <v>1676</v>
      </c>
      <c r="W109">
        <v>999</v>
      </c>
      <c r="Y109" s="18" t="s">
        <v>1354</v>
      </c>
      <c r="Z109" t="b">
        <v>1</v>
      </c>
    </row>
    <row r="110" spans="1:26" ht="16.5" customHeight="1">
      <c r="A110" t="s">
        <v>1783</v>
      </c>
      <c r="B110" s="1" t="str">
        <f t="shared" si="5"/>
        <v>M_VAV0105_VM_0000_125</v>
      </c>
      <c r="C110" t="s">
        <v>37</v>
      </c>
      <c r="D110" s="7" t="str" cm="1">
        <f t="array" ref="D110">INDEX(기계코드!$D$4:$D$1022,MATCH(1,(C110=기계코드!$F$4:$F$1022)*1,0))</f>
        <v>M_VAV0105</v>
      </c>
      <c r="E110" s="7" t="s">
        <v>1125</v>
      </c>
      <c r="F110" s="7" t="str" cm="1">
        <f t="array" ref="F110">INDEX(공급업체코드!$B$3:$B$1000,MATCH(1,(E110=공급업체코드!$D$3:$D$1000)*1,0))</f>
        <v>VM_0000</v>
      </c>
      <c r="H110">
        <v>125</v>
      </c>
      <c r="J110">
        <v>0.4</v>
      </c>
      <c r="K110" s="7" t="s">
        <v>990</v>
      </c>
      <c r="L110" s="7">
        <v>380</v>
      </c>
      <c r="M110" s="151">
        <v>0.65</v>
      </c>
      <c r="N110" s="7">
        <v>0.9</v>
      </c>
      <c r="O110" s="7">
        <v>10</v>
      </c>
      <c r="P110">
        <v>0.123</v>
      </c>
      <c r="Q110" s="261" t="s">
        <v>1421</v>
      </c>
      <c r="R110" s="10">
        <v>29</v>
      </c>
      <c r="S110" s="260" t="s">
        <v>1676</v>
      </c>
      <c r="W110">
        <v>999</v>
      </c>
      <c r="Y110" s="18" t="s">
        <v>1354</v>
      </c>
      <c r="Z110" t="b">
        <v>1</v>
      </c>
    </row>
    <row r="111" spans="1:26" ht="16.5" customHeight="1">
      <c r="A111" t="s">
        <v>1784</v>
      </c>
      <c r="B111" s="1" t="str">
        <f t="shared" si="5"/>
        <v>M_VAV0105_VM_0000_150</v>
      </c>
      <c r="C111" t="s">
        <v>37</v>
      </c>
      <c r="D111" s="7" t="str" cm="1">
        <f t="array" ref="D111">INDEX(기계코드!$D$4:$D$1022,MATCH(1,(C111=기계코드!$F$4:$F$1022)*1,0))</f>
        <v>M_VAV0105</v>
      </c>
      <c r="E111" s="7" t="s">
        <v>1125</v>
      </c>
      <c r="F111" s="7" t="str" cm="1">
        <f t="array" ref="F111">INDEX(공급업체코드!$B$3:$B$1000,MATCH(1,(E111=공급업체코드!$D$3:$D$1000)*1,0))</f>
        <v>VM_0000</v>
      </c>
      <c r="H111">
        <v>150</v>
      </c>
      <c r="J111">
        <v>0.4</v>
      </c>
      <c r="K111" s="7" t="s">
        <v>990</v>
      </c>
      <c r="L111" s="7">
        <v>380</v>
      </c>
      <c r="M111" s="151">
        <v>0.65</v>
      </c>
      <c r="N111" s="7">
        <v>0.9</v>
      </c>
      <c r="O111" s="7">
        <v>10</v>
      </c>
      <c r="P111">
        <v>0.123</v>
      </c>
      <c r="Q111" s="261" t="s">
        <v>1421</v>
      </c>
      <c r="R111" s="10">
        <v>30</v>
      </c>
      <c r="S111" s="260" t="s">
        <v>1676</v>
      </c>
      <c r="W111">
        <v>999</v>
      </c>
      <c r="Y111" s="18" t="s">
        <v>1354</v>
      </c>
      <c r="Z111" t="b">
        <v>1</v>
      </c>
    </row>
    <row r="112" spans="1:26" ht="16.5" customHeight="1">
      <c r="A112" t="s">
        <v>1785</v>
      </c>
      <c r="B112" s="1" t="str">
        <f t="shared" si="5"/>
        <v>M_VAV0105_VM_0000_200</v>
      </c>
      <c r="C112" t="s">
        <v>37</v>
      </c>
      <c r="D112" s="7" t="str" cm="1">
        <f t="array" ref="D112">INDEX(기계코드!$D$4:$D$1022,MATCH(1,(C112=기계코드!$F$4:$F$1022)*1,0))</f>
        <v>M_VAV0105</v>
      </c>
      <c r="E112" s="7" t="s">
        <v>1125</v>
      </c>
      <c r="F112" s="7" t="str" cm="1">
        <f t="array" ref="F112">INDEX(공급업체코드!$B$3:$B$1000,MATCH(1,(E112=공급업체코드!$D$3:$D$1000)*1,0))</f>
        <v>VM_0000</v>
      </c>
      <c r="H112">
        <v>200</v>
      </c>
      <c r="J112">
        <v>0.4</v>
      </c>
      <c r="K112" s="7" t="s">
        <v>990</v>
      </c>
      <c r="L112" s="7">
        <v>380</v>
      </c>
      <c r="M112" s="151">
        <v>0.65</v>
      </c>
      <c r="N112" s="7">
        <v>0.9</v>
      </c>
      <c r="O112" s="7">
        <v>10</v>
      </c>
      <c r="P112">
        <v>0.123</v>
      </c>
      <c r="Q112" s="261" t="s">
        <v>1421</v>
      </c>
      <c r="R112" s="10">
        <v>31</v>
      </c>
      <c r="S112" s="260" t="s">
        <v>1676</v>
      </c>
      <c r="W112">
        <v>999</v>
      </c>
      <c r="Y112" s="18" t="s">
        <v>1354</v>
      </c>
      <c r="Z112" t="b">
        <v>1</v>
      </c>
    </row>
    <row r="113" spans="1:26" ht="16.5" customHeight="1">
      <c r="A113" t="s">
        <v>1786</v>
      </c>
      <c r="B113" s="1" t="str">
        <f t="shared" si="5"/>
        <v>M_VAV0105_VM_0000_250</v>
      </c>
      <c r="C113" t="s">
        <v>37</v>
      </c>
      <c r="D113" s="7" t="str" cm="1">
        <f t="array" ref="D113">INDEX(기계코드!$D$4:$D$1022,MATCH(1,(C113=기계코드!$F$4:$F$1022)*1,0))</f>
        <v>M_VAV0105</v>
      </c>
      <c r="E113" s="7" t="s">
        <v>1125</v>
      </c>
      <c r="F113" s="7" t="str" cm="1">
        <f t="array" ref="F113">INDEX(공급업체코드!$B$3:$B$1000,MATCH(1,(E113=공급업체코드!$D$3:$D$1000)*1,0))</f>
        <v>VM_0000</v>
      </c>
      <c r="H113">
        <v>250</v>
      </c>
      <c r="J113">
        <v>0.4</v>
      </c>
      <c r="K113" s="7" t="s">
        <v>990</v>
      </c>
      <c r="L113" s="7">
        <v>380</v>
      </c>
      <c r="M113" s="151">
        <v>0.65</v>
      </c>
      <c r="N113" s="7">
        <v>0.9</v>
      </c>
      <c r="O113" s="7">
        <v>10</v>
      </c>
      <c r="P113">
        <v>0.123</v>
      </c>
      <c r="Q113" s="261" t="s">
        <v>1421</v>
      </c>
      <c r="R113" s="10">
        <v>32</v>
      </c>
      <c r="S113" s="260" t="s">
        <v>1676</v>
      </c>
      <c r="W113">
        <v>999</v>
      </c>
      <c r="Y113" s="18" t="s">
        <v>1354</v>
      </c>
      <c r="Z113" t="b">
        <v>1</v>
      </c>
    </row>
    <row r="114" spans="1:26" ht="16.5" customHeight="1">
      <c r="A114" t="s">
        <v>1787</v>
      </c>
      <c r="B114" s="1" t="str">
        <f t="shared" si="5"/>
        <v>M_VAV0105_VM_0000_300</v>
      </c>
      <c r="C114" t="s">
        <v>37</v>
      </c>
      <c r="D114" s="7" t="str" cm="1">
        <f t="array" ref="D114">INDEX(기계코드!$D$4:$D$1022,MATCH(1,(C114=기계코드!$F$4:$F$1022)*1,0))</f>
        <v>M_VAV0105</v>
      </c>
      <c r="E114" s="7" t="s">
        <v>1125</v>
      </c>
      <c r="F114" s="7" t="str" cm="1">
        <f t="array" ref="F114">INDEX(공급업체코드!$B$3:$B$1000,MATCH(1,(E114=공급업체코드!$D$3:$D$1000)*1,0))</f>
        <v>VM_0000</v>
      </c>
      <c r="H114">
        <v>300</v>
      </c>
      <c r="J114">
        <v>0.4</v>
      </c>
      <c r="K114" s="7" t="s">
        <v>990</v>
      </c>
      <c r="L114" s="7">
        <v>380</v>
      </c>
      <c r="M114" s="151">
        <v>0.83499999999999996</v>
      </c>
      <c r="N114" s="7">
        <v>0.9</v>
      </c>
      <c r="O114" s="7">
        <v>10</v>
      </c>
      <c r="P114">
        <v>0.123</v>
      </c>
      <c r="Q114" s="261" t="s">
        <v>1421</v>
      </c>
      <c r="R114" s="10">
        <v>33</v>
      </c>
      <c r="S114" s="260" t="s">
        <v>1676</v>
      </c>
      <c r="W114">
        <v>999</v>
      </c>
      <c r="Y114" s="18" t="s">
        <v>1354</v>
      </c>
      <c r="Z114" t="b">
        <v>1</v>
      </c>
    </row>
    <row r="115" spans="1:26" ht="16.5" customHeight="1">
      <c r="A115" t="s">
        <v>1788</v>
      </c>
      <c r="B115" s="1" t="str">
        <f t="shared" si="5"/>
        <v>M_VAV0105_VM_0000_350</v>
      </c>
      <c r="C115" t="s">
        <v>37</v>
      </c>
      <c r="D115" s="7" t="str" cm="1">
        <f t="array" ref="D115">INDEX(기계코드!$D$4:$D$1022,MATCH(1,(C115=기계코드!$F$4:$F$1022)*1,0))</f>
        <v>M_VAV0105</v>
      </c>
      <c r="E115" s="7" t="s">
        <v>1125</v>
      </c>
      <c r="F115" s="7" t="str" cm="1">
        <f t="array" ref="F115">INDEX(공급업체코드!$B$3:$B$1000,MATCH(1,(E115=공급업체코드!$D$3:$D$1000)*1,0))</f>
        <v>VM_0000</v>
      </c>
      <c r="H115">
        <v>350</v>
      </c>
      <c r="J115">
        <v>0.75</v>
      </c>
      <c r="K115" s="7" t="s">
        <v>990</v>
      </c>
      <c r="L115" s="7">
        <v>380</v>
      </c>
      <c r="M115" s="151">
        <v>0.83499999999999996</v>
      </c>
      <c r="N115" s="7">
        <v>0.9</v>
      </c>
      <c r="O115" s="7">
        <v>10</v>
      </c>
      <c r="P115">
        <v>0.123</v>
      </c>
      <c r="Q115" s="261" t="s">
        <v>1421</v>
      </c>
      <c r="R115" s="10">
        <v>34</v>
      </c>
      <c r="S115" s="260" t="s">
        <v>1676</v>
      </c>
      <c r="W115">
        <v>999</v>
      </c>
      <c r="Y115" s="18" t="s">
        <v>1354</v>
      </c>
      <c r="Z115" t="b">
        <v>1</v>
      </c>
    </row>
    <row r="116" spans="1:26" ht="16.5" customHeight="1">
      <c r="A116" t="s">
        <v>1789</v>
      </c>
      <c r="B116" s="1" t="str">
        <f t="shared" si="5"/>
        <v>M_VAV0105_VM_0000_400</v>
      </c>
      <c r="C116" t="s">
        <v>37</v>
      </c>
      <c r="D116" s="7" t="str" cm="1">
        <f t="array" ref="D116">INDEX(기계코드!$D$4:$D$1022,MATCH(1,(C116=기계코드!$F$4:$F$1022)*1,0))</f>
        <v>M_VAV0105</v>
      </c>
      <c r="E116" s="7" t="s">
        <v>1125</v>
      </c>
      <c r="F116" s="7" t="str" cm="1">
        <f t="array" ref="F116">INDEX(공급업체코드!$B$3:$B$1000,MATCH(1,(E116=공급업체코드!$D$3:$D$1000)*1,0))</f>
        <v>VM_0000</v>
      </c>
      <c r="H116">
        <v>400</v>
      </c>
      <c r="J116">
        <v>0.75</v>
      </c>
      <c r="K116" s="7" t="s">
        <v>990</v>
      </c>
      <c r="L116" s="7">
        <v>380</v>
      </c>
      <c r="M116" s="151">
        <v>0.83499999999999996</v>
      </c>
      <c r="N116" s="7">
        <v>0.9</v>
      </c>
      <c r="O116" s="7">
        <v>10</v>
      </c>
      <c r="P116">
        <v>0.123</v>
      </c>
      <c r="Q116" s="261" t="s">
        <v>1421</v>
      </c>
      <c r="R116" s="10">
        <v>35</v>
      </c>
      <c r="S116" s="260" t="s">
        <v>1676</v>
      </c>
      <c r="W116">
        <v>999</v>
      </c>
      <c r="Y116" s="18" t="s">
        <v>1354</v>
      </c>
      <c r="Z116" t="b">
        <v>1</v>
      </c>
    </row>
    <row r="117" spans="1:26" ht="16.5" customHeight="1">
      <c r="A117" t="s">
        <v>1790</v>
      </c>
      <c r="B117" s="1" t="str">
        <f t="shared" si="5"/>
        <v>M_VAV0105_VM_0000_450</v>
      </c>
      <c r="C117" t="s">
        <v>37</v>
      </c>
      <c r="D117" s="7" t="str" cm="1">
        <f t="array" ref="D117">INDEX(기계코드!$D$4:$D$1022,MATCH(1,(C117=기계코드!$F$4:$F$1022)*1,0))</f>
        <v>M_VAV0105</v>
      </c>
      <c r="E117" s="7" t="s">
        <v>1125</v>
      </c>
      <c r="F117" s="7" t="str" cm="1">
        <f t="array" ref="F117">INDEX(공급업체코드!$B$3:$B$1000,MATCH(1,(E117=공급업체코드!$D$3:$D$1000)*1,0))</f>
        <v>VM_0000</v>
      </c>
      <c r="H117">
        <v>450</v>
      </c>
      <c r="J117">
        <v>0.75</v>
      </c>
      <c r="K117" s="7" t="s">
        <v>990</v>
      </c>
      <c r="L117" s="7">
        <v>380</v>
      </c>
      <c r="M117" s="151">
        <v>0.83499999999999996</v>
      </c>
      <c r="N117" s="7">
        <v>0.9</v>
      </c>
      <c r="O117" s="7">
        <v>10</v>
      </c>
      <c r="P117">
        <v>0.123</v>
      </c>
      <c r="Q117" s="261" t="s">
        <v>1421</v>
      </c>
      <c r="R117" s="10">
        <v>36</v>
      </c>
      <c r="S117" s="260" t="s">
        <v>1676</v>
      </c>
      <c r="W117">
        <v>999</v>
      </c>
      <c r="Y117" s="18" t="s">
        <v>1354</v>
      </c>
      <c r="Z117" t="b">
        <v>1</v>
      </c>
    </row>
    <row r="118" spans="1:26" ht="16.5" customHeight="1">
      <c r="A118" t="s">
        <v>1791</v>
      </c>
      <c r="B118" s="1" t="str">
        <f t="shared" si="5"/>
        <v>M_VAV0105_VM_0000_500</v>
      </c>
      <c r="C118" t="s">
        <v>37</v>
      </c>
      <c r="D118" s="7" t="str" cm="1">
        <f t="array" ref="D118">INDEX(기계코드!$D$4:$D$1022,MATCH(1,(C118=기계코드!$F$4:$F$1022)*1,0))</f>
        <v>M_VAV0105</v>
      </c>
      <c r="E118" s="7" t="s">
        <v>1125</v>
      </c>
      <c r="F118" s="7" t="str" cm="1">
        <f t="array" ref="F118">INDEX(공급업체코드!$B$3:$B$1000,MATCH(1,(E118=공급업체코드!$D$3:$D$1000)*1,0))</f>
        <v>VM_0000</v>
      </c>
      <c r="H118">
        <v>500</v>
      </c>
      <c r="J118">
        <v>0.75</v>
      </c>
      <c r="K118" s="7" t="s">
        <v>990</v>
      </c>
      <c r="L118" s="7">
        <v>380</v>
      </c>
      <c r="M118">
        <v>0.83499999999999996</v>
      </c>
      <c r="N118" s="7">
        <v>0.9</v>
      </c>
      <c r="O118" s="7">
        <v>10</v>
      </c>
      <c r="P118">
        <v>0.123</v>
      </c>
      <c r="Q118" s="261" t="s">
        <v>1421</v>
      </c>
      <c r="R118" s="10">
        <v>37</v>
      </c>
      <c r="S118" s="260" t="s">
        <v>1676</v>
      </c>
      <c r="W118">
        <v>999</v>
      </c>
      <c r="Y118" s="18" t="s">
        <v>1354</v>
      </c>
      <c r="Z118" t="b">
        <v>1</v>
      </c>
    </row>
    <row r="119" spans="1:26" ht="16.5" customHeight="1">
      <c r="A119" t="s">
        <v>1792</v>
      </c>
      <c r="B119" s="1" t="str">
        <f t="shared" si="5"/>
        <v>M_VAV0105_VM_0000_600</v>
      </c>
      <c r="C119" t="s">
        <v>37</v>
      </c>
      <c r="D119" s="7" t="str" cm="1">
        <f t="array" ref="D119">INDEX(기계코드!$D$4:$D$1022,MATCH(1,(C119=기계코드!$F$4:$F$1022)*1,0))</f>
        <v>M_VAV0105</v>
      </c>
      <c r="E119" s="7" t="s">
        <v>1125</v>
      </c>
      <c r="F119" s="7" t="str" cm="1">
        <f t="array" ref="F119">INDEX(공급업체코드!$B$3:$B$1000,MATCH(1,(E119=공급업체코드!$D$3:$D$1000)*1,0))</f>
        <v>VM_0000</v>
      </c>
      <c r="H119">
        <v>600</v>
      </c>
      <c r="J119">
        <v>0.75</v>
      </c>
      <c r="K119" s="7" t="s">
        <v>990</v>
      </c>
      <c r="L119" s="7">
        <v>380</v>
      </c>
      <c r="M119">
        <v>0.83499999999999996</v>
      </c>
      <c r="N119" s="7">
        <v>0.9</v>
      </c>
      <c r="O119" s="7">
        <v>10</v>
      </c>
      <c r="P119">
        <v>0.123</v>
      </c>
      <c r="Q119" s="261" t="s">
        <v>1421</v>
      </c>
      <c r="R119" s="10">
        <v>38</v>
      </c>
      <c r="S119" s="260" t="s">
        <v>1676</v>
      </c>
      <c r="W119">
        <v>999</v>
      </c>
      <c r="Y119" s="18" t="s">
        <v>1354</v>
      </c>
      <c r="Z119" t="b">
        <v>1</v>
      </c>
    </row>
    <row r="120" spans="1:26" ht="16.5" customHeight="1">
      <c r="A120" t="s">
        <v>1793</v>
      </c>
      <c r="B120" s="1" t="str">
        <f t="shared" si="5"/>
        <v>M_VAV0105_VM_0000_700</v>
      </c>
      <c r="C120" t="s">
        <v>37</v>
      </c>
      <c r="D120" s="7" t="str" cm="1">
        <f t="array" ref="D120">INDEX(기계코드!$D$4:$D$1022,MATCH(1,(C120=기계코드!$F$4:$F$1022)*1,0))</f>
        <v>M_VAV0105</v>
      </c>
      <c r="E120" s="7" t="s">
        <v>1125</v>
      </c>
      <c r="F120" s="7" t="str" cm="1">
        <f t="array" ref="F120">INDEX(공급업체코드!$B$3:$B$1000,MATCH(1,(E120=공급업체코드!$D$3:$D$1000)*1,0))</f>
        <v>VM_0000</v>
      </c>
      <c r="H120">
        <v>700</v>
      </c>
      <c r="J120">
        <v>0.75</v>
      </c>
      <c r="K120" s="7" t="s">
        <v>990</v>
      </c>
      <c r="L120" s="7">
        <v>380</v>
      </c>
      <c r="M120">
        <v>0.83499999999999996</v>
      </c>
      <c r="N120" s="7">
        <v>0.9</v>
      </c>
      <c r="O120" s="7">
        <v>10</v>
      </c>
      <c r="P120">
        <v>0.123</v>
      </c>
      <c r="Q120" s="261" t="s">
        <v>1421</v>
      </c>
      <c r="S120" s="260" t="s">
        <v>1676</v>
      </c>
      <c r="W120">
        <v>999</v>
      </c>
      <c r="Y120" s="18" t="s">
        <v>1354</v>
      </c>
      <c r="Z120" t="b">
        <v>1</v>
      </c>
    </row>
    <row r="121" spans="1:26" ht="16.5" customHeight="1">
      <c r="A121" t="s">
        <v>1794</v>
      </c>
      <c r="B121" s="1" t="str">
        <f t="shared" si="5"/>
        <v>M_VAV0105_VM_0000_800</v>
      </c>
      <c r="C121" t="s">
        <v>37</v>
      </c>
      <c r="D121" s="7" t="str" cm="1">
        <f t="array" ref="D121">INDEX(기계코드!$D$4:$D$1022,MATCH(1,(C121=기계코드!$F$4:$F$1022)*1,0))</f>
        <v>M_VAV0105</v>
      </c>
      <c r="E121" s="7" t="s">
        <v>1125</v>
      </c>
      <c r="F121" s="7" t="str" cm="1">
        <f t="array" ref="F121">INDEX(공급업체코드!$B$3:$B$1000,MATCH(1,(E121=공급업체코드!$D$3:$D$1000)*1,0))</f>
        <v>VM_0000</v>
      </c>
      <c r="H121">
        <v>800</v>
      </c>
      <c r="J121">
        <v>1.5</v>
      </c>
      <c r="K121" s="7" t="s">
        <v>990</v>
      </c>
      <c r="L121" s="7">
        <v>380</v>
      </c>
      <c r="M121">
        <v>0.86499999999999999</v>
      </c>
      <c r="N121" s="7">
        <v>0.9</v>
      </c>
      <c r="O121" s="7">
        <v>10</v>
      </c>
      <c r="P121">
        <v>0.123</v>
      </c>
      <c r="Q121" s="261" t="s">
        <v>1421</v>
      </c>
      <c r="S121" s="260" t="s">
        <v>1676</v>
      </c>
      <c r="W121">
        <v>999</v>
      </c>
      <c r="Y121" s="18" t="s">
        <v>1354</v>
      </c>
      <c r="Z121" t="b">
        <v>1</v>
      </c>
    </row>
    <row r="122" spans="1:26" ht="16.5" customHeight="1">
      <c r="A122" t="s">
        <v>1795</v>
      </c>
      <c r="B122" s="1" t="str">
        <f t="shared" si="5"/>
        <v>M_VAV0105_VM_0000_900</v>
      </c>
      <c r="C122" t="s">
        <v>37</v>
      </c>
      <c r="D122" s="7" t="str" cm="1">
        <f t="array" ref="D122">INDEX(기계코드!$D$4:$D$1022,MATCH(1,(C122=기계코드!$F$4:$F$1022)*1,0))</f>
        <v>M_VAV0105</v>
      </c>
      <c r="E122" s="7" t="s">
        <v>1125</v>
      </c>
      <c r="F122" s="7" t="str" cm="1">
        <f t="array" ref="F122">INDEX(공급업체코드!$B$3:$B$1000,MATCH(1,(E122=공급업체코드!$D$3:$D$1000)*1,0))</f>
        <v>VM_0000</v>
      </c>
      <c r="H122">
        <v>900</v>
      </c>
      <c r="J122">
        <v>1.5</v>
      </c>
      <c r="K122" s="7" t="s">
        <v>990</v>
      </c>
      <c r="L122" s="7">
        <v>380</v>
      </c>
      <c r="M122">
        <v>0.86499999999999999</v>
      </c>
      <c r="N122" s="7">
        <v>0.9</v>
      </c>
      <c r="O122" s="7">
        <v>10</v>
      </c>
      <c r="P122">
        <v>0.123</v>
      </c>
      <c r="Q122" s="261" t="s">
        <v>1421</v>
      </c>
      <c r="S122" s="260" t="s">
        <v>1676</v>
      </c>
      <c r="W122">
        <v>999</v>
      </c>
      <c r="Y122" s="18" t="s">
        <v>1354</v>
      </c>
      <c r="Z122" t="b">
        <v>1</v>
      </c>
    </row>
    <row r="123" spans="1:26" ht="16.5" customHeight="1">
      <c r="A123" t="s">
        <v>1796</v>
      </c>
      <c r="B123" s="1" t="str">
        <f t="shared" si="5"/>
        <v>M_VAV0105_VM_0000_1000</v>
      </c>
      <c r="C123" t="s">
        <v>37</v>
      </c>
      <c r="D123" s="7" t="str" cm="1">
        <f t="array" ref="D123">INDEX(기계코드!$D$4:$D$1022,MATCH(1,(C123=기계코드!$F$4:$F$1022)*1,0))</f>
        <v>M_VAV0105</v>
      </c>
      <c r="E123" s="7" t="s">
        <v>1125</v>
      </c>
      <c r="F123" s="7" t="str" cm="1">
        <f t="array" ref="F123">INDEX(공급업체코드!$B$3:$B$1000,MATCH(1,(E123=공급업체코드!$D$3:$D$1000)*1,0))</f>
        <v>VM_0000</v>
      </c>
      <c r="H123">
        <v>1000</v>
      </c>
      <c r="J123">
        <v>2.2000000000000002</v>
      </c>
      <c r="K123" s="7" t="s">
        <v>990</v>
      </c>
      <c r="L123" s="7">
        <v>380</v>
      </c>
      <c r="M123">
        <v>0.89500000000000002</v>
      </c>
      <c r="N123" s="7">
        <v>0.9</v>
      </c>
      <c r="O123" s="7">
        <v>10</v>
      </c>
      <c r="P123">
        <v>0.123</v>
      </c>
      <c r="Q123" s="261" t="s">
        <v>1421</v>
      </c>
      <c r="S123" s="260" t="s">
        <v>1676</v>
      </c>
      <c r="W123">
        <v>999</v>
      </c>
      <c r="Y123" s="18" t="s">
        <v>1354</v>
      </c>
      <c r="Z123" t="b">
        <v>1</v>
      </c>
    </row>
    <row r="124" spans="1:26" ht="16.5" customHeight="1">
      <c r="A124" t="s">
        <v>1797</v>
      </c>
      <c r="B124" s="1" t="str">
        <f t="shared" si="5"/>
        <v>M_VAV0105_VM_0000_1100</v>
      </c>
      <c r="C124" t="s">
        <v>37</v>
      </c>
      <c r="D124" s="7" t="str" cm="1">
        <f t="array" ref="D124">INDEX(기계코드!$D$4:$D$1022,MATCH(1,(C124=기계코드!$F$4:$F$1022)*1,0))</f>
        <v>M_VAV0105</v>
      </c>
      <c r="E124" s="7" t="s">
        <v>1125</v>
      </c>
      <c r="F124" s="7" t="str" cm="1">
        <f t="array" ref="F124">INDEX(공급업체코드!$B$3:$B$1000,MATCH(1,(E124=공급업체코드!$D$3:$D$1000)*1,0))</f>
        <v>VM_0000</v>
      </c>
      <c r="H124">
        <v>1100</v>
      </c>
      <c r="J124">
        <v>2.2000000000000002</v>
      </c>
      <c r="K124" s="7" t="s">
        <v>990</v>
      </c>
      <c r="L124" s="7">
        <v>380</v>
      </c>
      <c r="M124">
        <v>0.89500000000000002</v>
      </c>
      <c r="N124" s="7">
        <v>0.9</v>
      </c>
      <c r="O124" s="7">
        <v>10</v>
      </c>
      <c r="P124">
        <v>0.123</v>
      </c>
      <c r="Q124" s="261" t="s">
        <v>1421</v>
      </c>
      <c r="S124" s="260" t="s">
        <v>1676</v>
      </c>
      <c r="W124">
        <v>999</v>
      </c>
      <c r="Y124" s="18" t="s">
        <v>1354</v>
      </c>
      <c r="Z124" t="b">
        <v>1</v>
      </c>
    </row>
    <row r="125" spans="1:26" ht="16.5" customHeight="1">
      <c r="A125" t="s">
        <v>1798</v>
      </c>
      <c r="B125" s="1" t="str">
        <f t="shared" si="5"/>
        <v>M_VAV0105_VM_0000_1200</v>
      </c>
      <c r="C125" t="s">
        <v>37</v>
      </c>
      <c r="D125" s="7" t="str" cm="1">
        <f t="array" ref="D125">INDEX(기계코드!$D$4:$D$1022,MATCH(1,(C125=기계코드!$F$4:$F$1022)*1,0))</f>
        <v>M_VAV0105</v>
      </c>
      <c r="E125" s="7" t="s">
        <v>1125</v>
      </c>
      <c r="F125" s="7" t="str" cm="1">
        <f t="array" ref="F125">INDEX(공급업체코드!$B$3:$B$1000,MATCH(1,(E125=공급업체코드!$D$3:$D$1000)*1,0))</f>
        <v>VM_0000</v>
      </c>
      <c r="H125">
        <v>1200</v>
      </c>
      <c r="J125">
        <v>3.7</v>
      </c>
      <c r="K125" s="7" t="s">
        <v>990</v>
      </c>
      <c r="L125" s="7">
        <v>380</v>
      </c>
      <c r="M125">
        <v>0.89500000000000002</v>
      </c>
      <c r="N125" s="7">
        <v>0.9</v>
      </c>
      <c r="O125" s="7">
        <v>10</v>
      </c>
      <c r="P125">
        <v>0.123</v>
      </c>
      <c r="Q125" s="261" t="s">
        <v>1421</v>
      </c>
      <c r="S125" s="260" t="s">
        <v>1676</v>
      </c>
      <c r="W125">
        <v>999</v>
      </c>
      <c r="Y125" s="18" t="s">
        <v>1354</v>
      </c>
      <c r="Z125" t="b">
        <v>1</v>
      </c>
    </row>
    <row r="126" spans="1:26" ht="16.5" customHeight="1">
      <c r="A126" t="s">
        <v>1799</v>
      </c>
      <c r="B126" s="1" t="str">
        <f t="shared" si="5"/>
        <v>M_VAV0105_VM_0000_1350</v>
      </c>
      <c r="C126" t="s">
        <v>37</v>
      </c>
      <c r="D126" s="7" t="str" cm="1">
        <f t="array" ref="D126">INDEX(기계코드!$D$4:$D$1022,MATCH(1,(C126=기계코드!$F$4:$F$1022)*1,0))</f>
        <v>M_VAV0105</v>
      </c>
      <c r="E126" s="7" t="s">
        <v>1125</v>
      </c>
      <c r="F126" s="7" t="str" cm="1">
        <f t="array" ref="F126">INDEX(공급업체코드!$B$3:$B$1000,MATCH(1,(E126=공급업체코드!$D$3:$D$1000)*1,0))</f>
        <v>VM_0000</v>
      </c>
      <c r="H126">
        <v>1350</v>
      </c>
      <c r="J126">
        <v>3.7</v>
      </c>
      <c r="K126" s="7" t="s">
        <v>990</v>
      </c>
      <c r="L126" s="7">
        <v>380</v>
      </c>
      <c r="M126">
        <v>0.89500000000000002</v>
      </c>
      <c r="N126" s="7">
        <v>0.9</v>
      </c>
      <c r="O126" s="7">
        <v>10</v>
      </c>
      <c r="P126">
        <v>0.123</v>
      </c>
      <c r="Q126" s="261" t="s">
        <v>1421</v>
      </c>
      <c r="S126" s="260" t="s">
        <v>1676</v>
      </c>
      <c r="W126">
        <v>999</v>
      </c>
      <c r="Y126" s="18" t="s">
        <v>1354</v>
      </c>
      <c r="Z126" t="b">
        <v>1</v>
      </c>
    </row>
    <row r="127" spans="1:26" ht="16.5" customHeight="1">
      <c r="A127" t="s">
        <v>1800</v>
      </c>
      <c r="B127" s="1" t="str">
        <f t="shared" si="5"/>
        <v>M_VAV0105_VM_0000_1500</v>
      </c>
      <c r="C127" t="s">
        <v>37</v>
      </c>
      <c r="D127" s="7" t="str" cm="1">
        <f t="array" ref="D127">INDEX(기계코드!$D$4:$D$1022,MATCH(1,(C127=기계코드!$F$4:$F$1022)*1,0))</f>
        <v>M_VAV0105</v>
      </c>
      <c r="E127" s="7" t="s">
        <v>1125</v>
      </c>
      <c r="F127" s="7" t="str" cm="1">
        <f t="array" ref="F127">INDEX(공급업체코드!$B$3:$B$1000,MATCH(1,(E127=공급업체코드!$D$3:$D$1000)*1,0))</f>
        <v>VM_0000</v>
      </c>
      <c r="H127">
        <v>1500</v>
      </c>
      <c r="J127">
        <v>3.7</v>
      </c>
      <c r="K127" s="7" t="s">
        <v>990</v>
      </c>
      <c r="L127" s="7">
        <v>380</v>
      </c>
      <c r="M127">
        <v>0.89500000000000002</v>
      </c>
      <c r="N127" s="7">
        <v>0.9</v>
      </c>
      <c r="O127" s="7">
        <v>10</v>
      </c>
      <c r="P127">
        <v>0.123</v>
      </c>
      <c r="Q127" s="261" t="s">
        <v>1421</v>
      </c>
      <c r="S127" s="260" t="s">
        <v>1676</v>
      </c>
      <c r="W127">
        <v>999</v>
      </c>
      <c r="Y127" s="18" t="s">
        <v>1354</v>
      </c>
      <c r="Z127" t="b">
        <v>1</v>
      </c>
    </row>
    <row r="128" spans="1:26" ht="16.5" customHeight="1">
      <c r="B128" s="1"/>
    </row>
  </sheetData>
  <phoneticPr fontId="2" type="noConversion"/>
  <dataValidations count="2">
    <dataValidation type="list" allowBlank="1" showInputMessage="1" showErrorMessage="1" sqref="V4:V75" xr:uid="{12DD3115-0047-46DC-89F4-B90354AF5C63}">
      <formula1>"GCD450, SCPH2, SF440A, SSC13, MOB99"</formula1>
    </dataValidation>
    <dataValidation type="list" allowBlank="1" showInputMessage="1" showErrorMessage="1" sqref="V3" xr:uid="{234FD387-7A47-4B32-8887-212D329D55FB}">
      <formula1>"GCD450, SCPH2, SF440A, SSC13"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5F148E-49D2-49E7-B04B-0111D85DBA92}">
          <x14:formula1>
            <xm:f>기계코드!$F$5:$F$43</xm:f>
          </x14:formula1>
          <xm:sqref>C3:C75</xm:sqref>
        </x14:dataValidation>
        <x14:dataValidation type="list" allowBlank="1" showInputMessage="1" showErrorMessage="1" xr:uid="{5B76BF1F-E98A-4A58-9395-3DDA16A69BC3}">
          <x14:formula1>
            <xm:f>기자재코드!$F$10:$F$15</xm:f>
          </x14:formula1>
          <xm:sqref>T3:T75 T93:T104</xm:sqref>
        </x14:dataValidation>
        <x14:dataValidation type="list" allowBlank="1" showInputMessage="1" showErrorMessage="1" xr:uid="{CAD3C886-C07A-409A-8624-50BC9AB9A8A3}">
          <x14:formula1>
            <xm:f>공급업체코드!$D$3:$D$103</xm:f>
          </x14:formula1>
          <xm:sqref>E3:E75 E93:E127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EBED-B56B-437A-968A-3F20D557BDF9}">
  <dimension ref="A1:AB365"/>
  <sheetViews>
    <sheetView workbookViewId="0">
      <pane ySplit="2" topLeftCell="A3" activePane="bottomLeft" state="frozen"/>
      <selection pane="bottomLeft" activeCell="G37" sqref="G37"/>
    </sheetView>
  </sheetViews>
  <sheetFormatPr defaultRowHeight="16.5"/>
  <cols>
    <col min="1" max="1" width="29.75" customWidth="1"/>
    <col min="2" max="2" width="26.875" bestFit="1" customWidth="1"/>
    <col min="3" max="3" width="30.625" customWidth="1"/>
    <col min="4" max="6" width="15.625" customWidth="1"/>
    <col min="7" max="7" width="30.625" customWidth="1"/>
    <col min="8" max="8" width="15.75" bestFit="1" customWidth="1"/>
    <col min="9" max="9" width="24" bestFit="1" customWidth="1"/>
    <col min="10" max="11" width="25.25" customWidth="1"/>
    <col min="12" max="12" width="13" bestFit="1" customWidth="1"/>
    <col min="13" max="13" width="14.375" bestFit="1" customWidth="1"/>
    <col min="14" max="14" width="14.75" bestFit="1" customWidth="1"/>
    <col min="15" max="15" width="20.25" bestFit="1" customWidth="1"/>
    <col min="16" max="16" width="21.375" bestFit="1" customWidth="1"/>
    <col min="17" max="17" width="25.625" customWidth="1"/>
    <col min="18" max="18" width="15.25" bestFit="1" customWidth="1"/>
    <col min="19" max="19" width="13.375" style="10" bestFit="1" customWidth="1"/>
    <col min="20" max="20" width="25.875" style="10" customWidth="1"/>
    <col min="21" max="21" width="16.625" style="10" bestFit="1" customWidth="1"/>
    <col min="22" max="22" width="18.25" bestFit="1" customWidth="1"/>
    <col min="23" max="23" width="21.25" bestFit="1" customWidth="1"/>
    <col min="24" max="24" width="29.25" customWidth="1"/>
    <col min="25" max="25" width="9.25" bestFit="1" customWidth="1"/>
    <col min="26" max="26" width="11.875" bestFit="1" customWidth="1"/>
    <col min="27" max="27" width="18.125" bestFit="1" customWidth="1"/>
  </cols>
  <sheetData>
    <row r="1" spans="1:28">
      <c r="A1" s="10"/>
      <c r="B1" s="210" t="s">
        <v>1801</v>
      </c>
      <c r="C1" s="210"/>
      <c r="D1" s="210" t="s">
        <v>1802</v>
      </c>
      <c r="E1" s="210"/>
      <c r="F1" s="210" t="s">
        <v>1803</v>
      </c>
      <c r="G1" s="210" t="s">
        <v>1804</v>
      </c>
      <c r="H1" s="210" t="s">
        <v>1805</v>
      </c>
      <c r="I1" s="210" t="s">
        <v>1423</v>
      </c>
      <c r="J1" s="10" t="s">
        <v>1806</v>
      </c>
      <c r="K1" s="10" t="s">
        <v>1355</v>
      </c>
      <c r="L1" s="210" t="s">
        <v>1807</v>
      </c>
      <c r="M1" s="210" t="s">
        <v>979</v>
      </c>
      <c r="N1" s="210" t="s">
        <v>1808</v>
      </c>
      <c r="O1" s="210" t="s">
        <v>1809</v>
      </c>
      <c r="P1" s="210" t="s">
        <v>1810</v>
      </c>
      <c r="Q1" s="210" t="s">
        <v>1811</v>
      </c>
      <c r="R1" s="210" t="s">
        <v>1812</v>
      </c>
      <c r="S1" s="288" t="s">
        <v>1290</v>
      </c>
      <c r="T1" s="288" t="s">
        <v>1291</v>
      </c>
      <c r="U1" s="288" t="s">
        <v>1292</v>
      </c>
      <c r="V1" s="210" t="s">
        <v>1813</v>
      </c>
      <c r="W1" s="210" t="s">
        <v>1814</v>
      </c>
      <c r="X1" s="210" t="s">
        <v>1815</v>
      </c>
      <c r="Y1" s="210" t="s">
        <v>1816</v>
      </c>
      <c r="Z1" s="210" t="s">
        <v>1729</v>
      </c>
      <c r="AA1" s="210" t="s">
        <v>1817</v>
      </c>
      <c r="AB1" s="10"/>
    </row>
    <row r="2" spans="1:28">
      <c r="A2" s="1"/>
      <c r="B2" s="289" t="s">
        <v>1439</v>
      </c>
      <c r="C2" s="290" t="s">
        <v>1818</v>
      </c>
      <c r="D2" s="291" t="s">
        <v>1819</v>
      </c>
      <c r="E2" s="290" t="s">
        <v>1818</v>
      </c>
      <c r="F2" s="292" t="s">
        <v>1120</v>
      </c>
      <c r="G2" s="292" t="s">
        <v>1302</v>
      </c>
      <c r="H2" s="291" t="s">
        <v>1730</v>
      </c>
      <c r="I2" s="291" t="s">
        <v>1441</v>
      </c>
      <c r="J2" s="9" t="s">
        <v>1820</v>
      </c>
      <c r="K2" s="73" t="s">
        <v>1356</v>
      </c>
      <c r="L2" s="293" t="s">
        <v>1327</v>
      </c>
      <c r="M2" s="293" t="s">
        <v>1732</v>
      </c>
      <c r="N2" s="294" t="s">
        <v>1821</v>
      </c>
      <c r="O2" s="293" t="s">
        <v>1822</v>
      </c>
      <c r="P2" s="293" t="s">
        <v>1823</v>
      </c>
      <c r="Q2" s="293" t="s">
        <v>1348</v>
      </c>
      <c r="R2" s="293" t="s">
        <v>1333</v>
      </c>
      <c r="S2" s="293" t="s">
        <v>1305</v>
      </c>
      <c r="T2" s="293" t="s">
        <v>1306</v>
      </c>
      <c r="U2" s="293" t="s">
        <v>1307</v>
      </c>
      <c r="V2" s="295" t="s">
        <v>1308</v>
      </c>
      <c r="W2" s="296" t="s">
        <v>1309</v>
      </c>
      <c r="X2" s="295" t="s">
        <v>1824</v>
      </c>
      <c r="Y2" s="297" t="s">
        <v>1311</v>
      </c>
      <c r="Z2" s="292" t="s">
        <v>10</v>
      </c>
      <c r="AA2" s="297" t="s">
        <v>1825</v>
      </c>
      <c r="AB2" s="41"/>
    </row>
    <row r="3" spans="1:28">
      <c r="A3" t="s">
        <v>1826</v>
      </c>
      <c r="B3" s="1" t="str">
        <f t="shared" ref="B3:B8" si="0">D3&amp;"_"&amp;F3&amp;"_"&amp;H3</f>
        <v>M_PKA0101_VM_BKT_32</v>
      </c>
      <c r="C3" s="92" t="s">
        <v>755</v>
      </c>
      <c r="D3" s="92" t="str" cm="1">
        <f t="array" ref="D3">INDEX(기계코드!$D$4:$D$1022,MATCH(1,(C3=기계코드!$F$4:$F$1022)*1,0))</f>
        <v>M_PKA0101</v>
      </c>
      <c r="E3" s="92" t="s">
        <v>1128</v>
      </c>
      <c r="F3" s="92" t="str" cm="1">
        <f t="array" ref="F3">INDEX(공급업체코드!$B$3:$B$1000,MATCH(1,(E3=공급업체코드!$D$3:$D$1000)*1,0))</f>
        <v>VM_BKT</v>
      </c>
      <c r="G3" s="229" t="s">
        <v>1827</v>
      </c>
      <c r="H3" s="110">
        <v>32</v>
      </c>
      <c r="I3" s="64"/>
      <c r="J3" s="64"/>
      <c r="K3" s="64"/>
      <c r="L3" s="304">
        <v>0.4</v>
      </c>
      <c r="M3" s="7" t="s">
        <v>990</v>
      </c>
      <c r="N3" s="7">
        <v>380</v>
      </c>
      <c r="O3" s="301">
        <v>0.65</v>
      </c>
      <c r="P3" s="303">
        <v>0.9</v>
      </c>
      <c r="Q3">
        <v>10</v>
      </c>
      <c r="R3" s="1">
        <v>0.123</v>
      </c>
      <c r="S3" s="10" t="s">
        <v>1421</v>
      </c>
      <c r="T3" s="61"/>
      <c r="U3" s="10" t="s">
        <v>1314</v>
      </c>
      <c r="V3">
        <v>0</v>
      </c>
      <c r="X3" s="10" t="s">
        <v>1828</v>
      </c>
      <c r="Y3" t="b">
        <v>1</v>
      </c>
      <c r="Z3" s="41"/>
      <c r="AA3" s="41"/>
      <c r="AB3" s="41"/>
    </row>
    <row r="4" spans="1:28">
      <c r="A4" t="s">
        <v>1829</v>
      </c>
      <c r="B4" s="1" t="str">
        <f t="shared" si="0"/>
        <v>M_PKA0101_VM_BKT_80</v>
      </c>
      <c r="C4" s="92" t="s">
        <v>755</v>
      </c>
      <c r="D4" s="92" t="str" cm="1">
        <f t="array" ref="D4">INDEX(기계코드!$D$4:$D$1022,MATCH(1,(C4=기계코드!$F$4:$F$1022)*1,0))</f>
        <v>M_PKA0101</v>
      </c>
      <c r="E4" s="92" t="s">
        <v>1128</v>
      </c>
      <c r="F4" s="92" t="str" cm="1">
        <f t="array" ref="F4">INDEX(공급업체코드!$B$3:$B$1000,MATCH(1,(E4=공급업체코드!$D$3:$D$1000)*1,0))</f>
        <v>VM_BKT</v>
      </c>
      <c r="G4" s="229" t="s">
        <v>1830</v>
      </c>
      <c r="H4" s="110">
        <v>80</v>
      </c>
      <c r="I4" s="64"/>
      <c r="J4" s="64"/>
      <c r="K4" s="64"/>
      <c r="L4" s="304">
        <v>0.4</v>
      </c>
      <c r="M4" s="7" t="s">
        <v>990</v>
      </c>
      <c r="N4" s="7">
        <v>380</v>
      </c>
      <c r="O4" s="301">
        <v>0.65</v>
      </c>
      <c r="P4" s="303">
        <v>0.9</v>
      </c>
      <c r="Q4">
        <v>10</v>
      </c>
      <c r="R4" s="1">
        <v>0.123</v>
      </c>
      <c r="S4" s="10" t="s">
        <v>1421</v>
      </c>
      <c r="T4" s="61"/>
      <c r="U4" s="10" t="s">
        <v>1314</v>
      </c>
      <c r="V4">
        <v>0</v>
      </c>
      <c r="X4" s="10" t="s">
        <v>1828</v>
      </c>
      <c r="Y4" t="b">
        <v>1</v>
      </c>
      <c r="Z4" s="41"/>
      <c r="AA4" s="41"/>
      <c r="AB4" s="41"/>
    </row>
    <row r="5" spans="1:28">
      <c r="A5" t="s">
        <v>1831</v>
      </c>
      <c r="B5" s="1" t="str">
        <f t="shared" si="0"/>
        <v>M_PKA0101_VM_BKT_100</v>
      </c>
      <c r="C5" s="92" t="s">
        <v>755</v>
      </c>
      <c r="D5" s="92" t="str" cm="1">
        <f t="array" ref="D5">INDEX(기계코드!$D$4:$D$1022,MATCH(1,(C5=기계코드!$F$4:$F$1022)*1,0))</f>
        <v>M_PKA0101</v>
      </c>
      <c r="E5" s="92" t="s">
        <v>1128</v>
      </c>
      <c r="F5" s="92" t="str" cm="1">
        <f t="array" ref="F5">INDEX(공급업체코드!$B$3:$B$1000,MATCH(1,(E5=공급업체코드!$D$3:$D$1000)*1,0))</f>
        <v>VM_BKT</v>
      </c>
      <c r="G5" s="229" t="s">
        <v>1832</v>
      </c>
      <c r="H5" s="110">
        <v>100</v>
      </c>
      <c r="I5" s="64"/>
      <c r="J5" s="64"/>
      <c r="K5" s="64"/>
      <c r="L5" s="304">
        <v>0.4</v>
      </c>
      <c r="M5" s="7" t="s">
        <v>990</v>
      </c>
      <c r="N5" s="7">
        <v>380</v>
      </c>
      <c r="O5" s="301">
        <v>0.65</v>
      </c>
      <c r="P5" s="303">
        <v>0.9</v>
      </c>
      <c r="Q5">
        <v>10</v>
      </c>
      <c r="R5" s="1">
        <v>0.123</v>
      </c>
      <c r="S5" s="10" t="s">
        <v>1421</v>
      </c>
      <c r="T5" s="61"/>
      <c r="U5" s="10" t="s">
        <v>1314</v>
      </c>
      <c r="V5">
        <v>0</v>
      </c>
      <c r="X5" s="10" t="s">
        <v>1828</v>
      </c>
      <c r="Y5" t="b">
        <v>1</v>
      </c>
      <c r="Z5" s="41"/>
      <c r="AA5" s="41"/>
      <c r="AB5" s="41"/>
    </row>
    <row r="6" spans="1:28">
      <c r="A6" t="s">
        <v>1833</v>
      </c>
      <c r="B6" s="1" t="str">
        <f t="shared" si="0"/>
        <v>M_PKA0101_VM_BKT_150</v>
      </c>
      <c r="C6" s="92" t="s">
        <v>755</v>
      </c>
      <c r="D6" s="92" t="str" cm="1">
        <f t="array" ref="D6">INDEX(기계코드!$D$4:$D$1022,MATCH(1,(C6=기계코드!$F$4:$F$1022)*1,0))</f>
        <v>M_PKA0101</v>
      </c>
      <c r="E6" s="92" t="s">
        <v>1128</v>
      </c>
      <c r="F6" s="92" t="str" cm="1">
        <f t="array" ref="F6">INDEX(공급업체코드!$B$3:$B$1000,MATCH(1,(E6=공급업체코드!$D$3:$D$1000)*1,0))</f>
        <v>VM_BKT</v>
      </c>
      <c r="G6" s="229" t="s">
        <v>1834</v>
      </c>
      <c r="H6" s="110">
        <v>150</v>
      </c>
      <c r="I6" s="64"/>
      <c r="J6" s="64"/>
      <c r="K6" s="64"/>
      <c r="L6" s="304">
        <v>0.4</v>
      </c>
      <c r="M6" s="7" t="s">
        <v>990</v>
      </c>
      <c r="N6" s="7">
        <v>380</v>
      </c>
      <c r="O6" s="301">
        <v>0.65</v>
      </c>
      <c r="P6" s="303">
        <v>0.9</v>
      </c>
      <c r="Q6">
        <v>10</v>
      </c>
      <c r="R6" s="1">
        <v>0.123</v>
      </c>
      <c r="S6" s="10" t="s">
        <v>1421</v>
      </c>
      <c r="T6" s="61"/>
      <c r="U6" s="10" t="s">
        <v>1314</v>
      </c>
      <c r="V6">
        <v>0</v>
      </c>
      <c r="X6" s="10" t="s">
        <v>1828</v>
      </c>
      <c r="Y6" t="b">
        <v>1</v>
      </c>
      <c r="Z6" s="41"/>
      <c r="AA6" s="41"/>
      <c r="AB6" s="41"/>
    </row>
    <row r="7" spans="1:28">
      <c r="A7" t="s">
        <v>1564</v>
      </c>
      <c r="B7" s="1" t="str">
        <f>D7&amp;"_"&amp;F7&amp;"_"&amp;I7</f>
        <v>M_PKA0102_VM_BKT_0.2</v>
      </c>
      <c r="C7" s="92" t="s">
        <v>758</v>
      </c>
      <c r="D7" s="92" t="str" cm="1">
        <f t="array" ref="D7">INDEX(기계코드!$D$4:$D$1022,MATCH(1,(C7=기계코드!$F$4:$F$1022)*1,0))</f>
        <v>M_PKA0102</v>
      </c>
      <c r="E7" s="92" t="s">
        <v>1128</v>
      </c>
      <c r="F7" s="92" t="str" cm="1">
        <f t="array" ref="F7">INDEX(공급업체코드!$B$3:$B$1000,MATCH(1,(E7=공급업체코드!$D$3:$D$1000)*1,0))</f>
        <v>VM_BKT</v>
      </c>
      <c r="G7" s="229" t="s">
        <v>1835</v>
      </c>
      <c r="H7" s="110"/>
      <c r="I7" s="299">
        <v>0.2</v>
      </c>
      <c r="J7" s="299"/>
      <c r="K7" s="304">
        <v>0.75</v>
      </c>
      <c r="L7" s="304">
        <v>0.75</v>
      </c>
      <c r="M7" s="7" t="s">
        <v>981</v>
      </c>
      <c r="N7" s="7">
        <v>380</v>
      </c>
      <c r="O7" s="301">
        <v>0.83499999999999996</v>
      </c>
      <c r="P7" s="303">
        <v>0.9</v>
      </c>
      <c r="Q7" s="64">
        <v>80</v>
      </c>
      <c r="R7" s="300">
        <v>1.5</v>
      </c>
      <c r="S7" s="10" t="s">
        <v>1421</v>
      </c>
      <c r="T7" s="61"/>
      <c r="U7" s="10" t="s">
        <v>1314</v>
      </c>
      <c r="V7">
        <v>0</v>
      </c>
      <c r="X7" s="10" t="s">
        <v>1828</v>
      </c>
      <c r="Y7" t="b">
        <v>1</v>
      </c>
      <c r="Z7" s="41"/>
      <c r="AA7" s="41"/>
      <c r="AB7" s="41"/>
    </row>
    <row r="8" spans="1:28">
      <c r="A8" t="s">
        <v>1568</v>
      </c>
      <c r="B8" s="1" t="str">
        <f t="shared" ref="B8:B12" si="1">D8&amp;"_"&amp;F8&amp;"_"&amp;I8</f>
        <v>M_PKA0102_VM_BKT_0.5</v>
      </c>
      <c r="C8" s="92" t="s">
        <v>758</v>
      </c>
      <c r="D8" s="92" t="str" cm="1">
        <f t="array" ref="D8">INDEX(기계코드!$D$4:$D$1022,MATCH(1,(C8=기계코드!$F$4:$F$1022)*1,0))</f>
        <v>M_PKA0102</v>
      </c>
      <c r="E8" s="92" t="s">
        <v>1128</v>
      </c>
      <c r="F8" s="92" t="str" cm="1">
        <f t="array" ref="F8">INDEX(공급업체코드!$B$3:$B$1000,MATCH(1,(E8=공급업체코드!$D$3:$D$1000)*1,0))</f>
        <v>VM_BKT</v>
      </c>
      <c r="G8" s="229" t="s">
        <v>1836</v>
      </c>
      <c r="H8" s="110"/>
      <c r="I8" s="299">
        <v>0.5</v>
      </c>
      <c r="J8" s="299"/>
      <c r="K8" s="304">
        <v>0.75</v>
      </c>
      <c r="L8" s="304">
        <v>0.75</v>
      </c>
      <c r="M8" s="7" t="s">
        <v>981</v>
      </c>
      <c r="N8" s="7">
        <v>380</v>
      </c>
      <c r="O8" s="151">
        <v>0.83499999999999996</v>
      </c>
      <c r="P8" s="7">
        <v>0.9</v>
      </c>
      <c r="Q8" s="7">
        <v>80</v>
      </c>
      <c r="R8" s="300">
        <v>7.5</v>
      </c>
      <c r="S8" s="10" t="s">
        <v>1421</v>
      </c>
      <c r="U8" s="10" t="s">
        <v>1314</v>
      </c>
      <c r="V8">
        <v>0</v>
      </c>
      <c r="X8" s="10" t="s">
        <v>1828</v>
      </c>
      <c r="Y8" t="b">
        <v>1</v>
      </c>
      <c r="Z8" s="41"/>
      <c r="AA8" s="41"/>
      <c r="AB8" s="41"/>
    </row>
    <row r="9" spans="1:28">
      <c r="A9" t="s">
        <v>1572</v>
      </c>
      <c r="B9" s="1" t="str">
        <f t="shared" si="1"/>
        <v>M_PKA0102_VM_BKT_0.8</v>
      </c>
      <c r="C9" s="92" t="s">
        <v>758</v>
      </c>
      <c r="D9" s="92" t="str" cm="1">
        <f t="array" ref="D9">INDEX(기계코드!$D$4:$D$1022,MATCH(1,(C9=기계코드!$F$4:$F$1022)*1,0))</f>
        <v>M_PKA0102</v>
      </c>
      <c r="E9" s="92" t="s">
        <v>1128</v>
      </c>
      <c r="F9" s="92" t="str" cm="1">
        <f t="array" ref="F9">INDEX(공급업체코드!$B$3:$B$1000,MATCH(1,(E9=공급업체코드!$D$3:$D$1000)*1,0))</f>
        <v>VM_BKT</v>
      </c>
      <c r="G9" s="229" t="s">
        <v>1837</v>
      </c>
      <c r="I9" s="299">
        <v>0.8</v>
      </c>
      <c r="J9" s="299"/>
      <c r="K9" s="304">
        <v>1.5</v>
      </c>
      <c r="L9" s="304">
        <v>1.5</v>
      </c>
      <c r="M9" s="7" t="s">
        <v>981</v>
      </c>
      <c r="N9" s="7">
        <v>380</v>
      </c>
      <c r="O9" s="151">
        <v>0.86499999999999999</v>
      </c>
      <c r="P9" s="7">
        <v>0.9</v>
      </c>
      <c r="Q9" s="7">
        <v>80</v>
      </c>
      <c r="R9" s="300">
        <v>15</v>
      </c>
      <c r="S9" s="10" t="s">
        <v>1421</v>
      </c>
      <c r="U9" s="10" t="s">
        <v>1314</v>
      </c>
      <c r="V9">
        <v>0</v>
      </c>
      <c r="X9" s="10" t="s">
        <v>1828</v>
      </c>
      <c r="Y9" t="b">
        <v>1</v>
      </c>
      <c r="Z9" s="111"/>
      <c r="AA9" s="111"/>
      <c r="AB9" s="41"/>
    </row>
    <row r="10" spans="1:28">
      <c r="A10" t="s">
        <v>1574</v>
      </c>
      <c r="B10" s="1" t="str">
        <f t="shared" si="1"/>
        <v>M_PKA0102_VM_BKT_1.3</v>
      </c>
      <c r="C10" s="92" t="s">
        <v>758</v>
      </c>
      <c r="D10" s="92" t="str" cm="1">
        <f t="array" ref="D10">INDEX(기계코드!$D$4:$D$1022,MATCH(1,(C10=기계코드!$F$4:$F$1022)*1,0))</f>
        <v>M_PKA0102</v>
      </c>
      <c r="E10" s="92" t="s">
        <v>1128</v>
      </c>
      <c r="F10" s="92" t="str" cm="1">
        <f t="array" ref="F10">INDEX(공급업체코드!$B$3:$B$1000,MATCH(1,(E10=공급업체코드!$D$3:$D$1000)*1,0))</f>
        <v>VM_BKT</v>
      </c>
      <c r="G10" s="229" t="s">
        <v>1838</v>
      </c>
      <c r="I10" s="299">
        <v>1.3</v>
      </c>
      <c r="J10" s="299"/>
      <c r="K10" s="304">
        <v>1.5</v>
      </c>
      <c r="L10" s="304">
        <v>1.5</v>
      </c>
      <c r="M10" s="7" t="s">
        <v>981</v>
      </c>
      <c r="N10" s="7">
        <v>380</v>
      </c>
      <c r="O10" s="151">
        <v>0.86499999999999999</v>
      </c>
      <c r="P10" s="7">
        <v>0.9</v>
      </c>
      <c r="Q10" s="7">
        <v>80</v>
      </c>
      <c r="R10" s="300">
        <v>22</v>
      </c>
      <c r="S10" s="10" t="s">
        <v>1421</v>
      </c>
      <c r="U10" s="10" t="s">
        <v>1314</v>
      </c>
      <c r="V10">
        <v>0</v>
      </c>
      <c r="X10" s="10" t="s">
        <v>1828</v>
      </c>
      <c r="Y10" t="b">
        <v>1</v>
      </c>
      <c r="Z10" s="111"/>
      <c r="AA10" s="111"/>
      <c r="AB10" s="111"/>
    </row>
    <row r="11" spans="1:28">
      <c r="A11" t="s">
        <v>1839</v>
      </c>
      <c r="B11" s="1" t="str">
        <f>D11&amp;"_"&amp;F11&amp;"_"&amp;I11&amp;"_"&amp;J11</f>
        <v>M_PKA0103_VM_BKT_0.62_500</v>
      </c>
      <c r="C11" s="92" t="s">
        <v>761</v>
      </c>
      <c r="D11" s="92" t="str" cm="1">
        <f t="array" ref="D11">INDEX(기계코드!$D$4:$D$1022,MATCH(1,(C11=기계코드!$F$4:$F$1022)*1,0))</f>
        <v>M_PKA0103</v>
      </c>
      <c r="E11" s="92" t="s">
        <v>1128</v>
      </c>
      <c r="F11" s="92" t="str" cm="1">
        <f t="array" ref="F11">INDEX(공급업체코드!$B$3:$B$1000,MATCH(1,(E11=공급업체코드!$D$3:$D$1000)*1,0))</f>
        <v>VM_BKT</v>
      </c>
      <c r="G11" s="229" t="s">
        <v>1840</v>
      </c>
      <c r="I11" s="70">
        <v>0.62</v>
      </c>
      <c r="J11" s="64">
        <v>500</v>
      </c>
      <c r="K11" s="64"/>
      <c r="L11" s="304">
        <v>0.1</v>
      </c>
      <c r="M11" s="7" t="s">
        <v>981</v>
      </c>
      <c r="N11" s="7">
        <v>380</v>
      </c>
      <c r="O11" s="151">
        <v>0.57999999999999996</v>
      </c>
      <c r="P11" s="7">
        <v>0.9</v>
      </c>
      <c r="Q11" s="7">
        <v>80</v>
      </c>
      <c r="R11" s="300">
        <v>6.2</v>
      </c>
      <c r="S11" s="10" t="s">
        <v>1421</v>
      </c>
      <c r="U11" s="10" t="s">
        <v>1314</v>
      </c>
      <c r="V11">
        <v>0</v>
      </c>
      <c r="X11" s="10" t="s">
        <v>1841</v>
      </c>
      <c r="Y11" t="b">
        <v>1</v>
      </c>
      <c r="Z11" s="111"/>
      <c r="AA11" s="111"/>
      <c r="AB11" s="41"/>
    </row>
    <row r="12" spans="1:28">
      <c r="A12" t="s">
        <v>1842</v>
      </c>
      <c r="B12" s="1" t="str">
        <f t="shared" ref="B12:B24" si="2">D12&amp;"_"&amp;F12&amp;"_"&amp;I12&amp;"_"&amp;J12</f>
        <v>M_PKA0103_VM_BKT_1.6_1200</v>
      </c>
      <c r="C12" s="92" t="s">
        <v>761</v>
      </c>
      <c r="D12" s="92" t="str" cm="1">
        <f t="array" ref="D12">INDEX(기계코드!$D$4:$D$1022,MATCH(1,(C12=기계코드!$F$4:$F$1022)*1,0))</f>
        <v>M_PKA0103</v>
      </c>
      <c r="E12" s="92" t="s">
        <v>1128</v>
      </c>
      <c r="F12" s="92" t="str" cm="1">
        <f t="array" ref="F12">INDEX(공급업체코드!$B$3:$B$1000,MATCH(1,(E12=공급업체코드!$D$3:$D$1000)*1,0))</f>
        <v>VM_BKT</v>
      </c>
      <c r="G12" s="229" t="s">
        <v>1840</v>
      </c>
      <c r="H12" s="64"/>
      <c r="I12" s="70">
        <v>1.6</v>
      </c>
      <c r="J12" s="64">
        <v>1200</v>
      </c>
      <c r="K12" s="64"/>
      <c r="L12" s="304">
        <v>0.2</v>
      </c>
      <c r="M12" s="7" t="s">
        <v>981</v>
      </c>
      <c r="N12" s="7">
        <v>380</v>
      </c>
      <c r="O12" s="301">
        <v>0.65</v>
      </c>
      <c r="P12" s="7">
        <v>0.9</v>
      </c>
      <c r="Q12" s="7">
        <v>80</v>
      </c>
      <c r="R12" s="1">
        <v>9</v>
      </c>
      <c r="S12" s="10" t="s">
        <v>1421</v>
      </c>
      <c r="U12" s="10" t="s">
        <v>1314</v>
      </c>
      <c r="V12">
        <v>0</v>
      </c>
      <c r="X12" s="10" t="s">
        <v>1841</v>
      </c>
      <c r="Y12" t="b">
        <v>1</v>
      </c>
      <c r="Z12" s="41"/>
      <c r="AA12" s="41"/>
      <c r="AB12" s="41"/>
    </row>
    <row r="13" spans="1:28">
      <c r="A13" t="s">
        <v>1843</v>
      </c>
      <c r="B13" s="1" t="str">
        <f t="shared" si="2"/>
        <v>M_PKA0103_VM_BKT_1.6_1600</v>
      </c>
      <c r="C13" s="92" t="s">
        <v>761</v>
      </c>
      <c r="D13" s="92" t="str" cm="1">
        <f t="array" ref="D13">INDEX(기계코드!$D$4:$D$1022,MATCH(1,(C13=기계코드!$F$4:$F$1022)*1,0))</f>
        <v>M_PKA0103</v>
      </c>
      <c r="E13" s="92" t="s">
        <v>1128</v>
      </c>
      <c r="F13" s="92" t="str" cm="1">
        <f t="array" ref="F13">INDEX(공급업체코드!$B$3:$B$1000,MATCH(1,(E13=공급업체코드!$D$3:$D$1000)*1,0))</f>
        <v>VM_BKT</v>
      </c>
      <c r="G13" s="229" t="s">
        <v>1840</v>
      </c>
      <c r="H13" s="64"/>
      <c r="I13" s="70">
        <v>1.6</v>
      </c>
      <c r="J13" s="64">
        <v>1600</v>
      </c>
      <c r="K13" s="64"/>
      <c r="L13" s="304">
        <v>0.5</v>
      </c>
      <c r="M13" s="7" t="s">
        <v>981</v>
      </c>
      <c r="N13" s="7">
        <v>380</v>
      </c>
      <c r="O13">
        <v>0.71499999999999997</v>
      </c>
      <c r="P13" s="7">
        <v>0.9</v>
      </c>
      <c r="Q13" s="7">
        <v>80</v>
      </c>
      <c r="R13" s="1">
        <v>10</v>
      </c>
      <c r="S13" s="10" t="s">
        <v>1421</v>
      </c>
      <c r="U13" s="10" t="s">
        <v>1314</v>
      </c>
      <c r="V13">
        <v>0</v>
      </c>
      <c r="X13" s="10" t="s">
        <v>1841</v>
      </c>
      <c r="Y13" t="b">
        <v>1</v>
      </c>
      <c r="Z13" s="111"/>
      <c r="AA13" s="111"/>
      <c r="AB13" s="41"/>
    </row>
    <row r="14" spans="1:28">
      <c r="A14" t="s">
        <v>1844</v>
      </c>
      <c r="B14" s="1" t="str">
        <f t="shared" si="2"/>
        <v>M_PKA0103_VM_BKT_3_1300</v>
      </c>
      <c r="C14" s="92" t="s">
        <v>761</v>
      </c>
      <c r="D14" s="92" t="str" cm="1">
        <f t="array" ref="D14">INDEX(기계코드!$D$4:$D$1022,MATCH(1,(C14=기계코드!$F$4:$F$1022)*1,0))</f>
        <v>M_PKA0103</v>
      </c>
      <c r="E14" s="92" t="s">
        <v>1128</v>
      </c>
      <c r="F14" s="92" t="str" cm="1">
        <f t="array" ref="F14">INDEX(공급업체코드!$B$3:$B$1000,MATCH(1,(E14=공급업체코드!$D$3:$D$1000)*1,0))</f>
        <v>VM_BKT</v>
      </c>
      <c r="G14" s="229" t="s">
        <v>1840</v>
      </c>
      <c r="H14" s="64"/>
      <c r="I14" s="70">
        <v>3</v>
      </c>
      <c r="J14" s="64">
        <v>1300</v>
      </c>
      <c r="K14" s="64"/>
      <c r="L14" s="304">
        <v>0.85</v>
      </c>
      <c r="M14" s="7" t="s">
        <v>981</v>
      </c>
      <c r="N14" s="7">
        <v>380</v>
      </c>
      <c r="O14" s="302">
        <v>0.77</v>
      </c>
      <c r="P14" s="7">
        <v>0.9</v>
      </c>
      <c r="Q14" s="7">
        <v>80</v>
      </c>
      <c r="R14" s="1">
        <v>13</v>
      </c>
      <c r="S14" s="10" t="s">
        <v>1421</v>
      </c>
      <c r="U14" s="10" t="s">
        <v>1314</v>
      </c>
      <c r="V14">
        <v>0</v>
      </c>
      <c r="X14" s="10" t="s">
        <v>1841</v>
      </c>
      <c r="Y14" t="b">
        <v>1</v>
      </c>
      <c r="Z14" s="41"/>
      <c r="AA14" s="41"/>
      <c r="AB14" s="41"/>
    </row>
    <row r="15" spans="1:28">
      <c r="A15" t="s">
        <v>1845</v>
      </c>
      <c r="B15" s="1" t="str">
        <f t="shared" si="2"/>
        <v>M_PKA0103_VM_BKT_3_2200</v>
      </c>
      <c r="C15" s="92" t="s">
        <v>761</v>
      </c>
      <c r="D15" s="92" t="str" cm="1">
        <f t="array" ref="D15">INDEX(기계코드!$D$4:$D$1022,MATCH(1,(C15=기계코드!$F$4:$F$1022)*1,0))</f>
        <v>M_PKA0103</v>
      </c>
      <c r="E15" s="92" t="s">
        <v>1128</v>
      </c>
      <c r="F15" s="92" t="str" cm="1">
        <f t="array" ref="F15">INDEX(공급업체코드!$B$3:$B$1000,MATCH(1,(E15=공급업체코드!$D$3:$D$1000)*1,0))</f>
        <v>VM_BKT</v>
      </c>
      <c r="G15" s="229" t="s">
        <v>1840</v>
      </c>
      <c r="H15" s="64"/>
      <c r="I15" s="70">
        <v>3</v>
      </c>
      <c r="J15" s="64">
        <v>2200</v>
      </c>
      <c r="K15" s="64"/>
      <c r="L15" s="304">
        <v>1.5</v>
      </c>
      <c r="M15" s="7" t="s">
        <v>981</v>
      </c>
      <c r="N15" s="7">
        <v>380</v>
      </c>
      <c r="O15">
        <v>0.85499999999999998</v>
      </c>
      <c r="P15" s="7">
        <v>0.9</v>
      </c>
      <c r="Q15" s="7">
        <v>80</v>
      </c>
      <c r="R15" s="1">
        <v>17</v>
      </c>
      <c r="S15" s="10" t="s">
        <v>1421</v>
      </c>
      <c r="U15" s="10" t="s">
        <v>1314</v>
      </c>
      <c r="V15">
        <v>0</v>
      </c>
      <c r="X15" s="10" t="s">
        <v>1841</v>
      </c>
      <c r="Y15" t="b">
        <v>1</v>
      </c>
      <c r="Z15" s="41"/>
      <c r="AA15" s="41"/>
      <c r="AB15" s="41"/>
    </row>
    <row r="16" spans="1:28">
      <c r="A16" t="s">
        <v>1846</v>
      </c>
      <c r="B16" s="1" t="str">
        <f t="shared" si="2"/>
        <v>M_PKA0103_VM_BKT_4.2_2100</v>
      </c>
      <c r="C16" s="92" t="s">
        <v>761</v>
      </c>
      <c r="D16" s="92" t="str" cm="1">
        <f t="array" ref="D16">INDEX(기계코드!$D$4:$D$1022,MATCH(1,(C16=기계코드!$F$4:$F$1022)*1,0))</f>
        <v>M_PKA0103</v>
      </c>
      <c r="E16" s="92" t="s">
        <v>1128</v>
      </c>
      <c r="F16" s="92" t="str" cm="1">
        <f t="array" ref="F16">INDEX(공급업체코드!$B$3:$B$1000,MATCH(1,(E16=공급업체코드!$D$3:$D$1000)*1,0))</f>
        <v>VM_BKT</v>
      </c>
      <c r="G16" s="229" t="s">
        <v>1840</v>
      </c>
      <c r="H16" s="64"/>
      <c r="I16" s="70">
        <v>4.2</v>
      </c>
      <c r="J16" s="64">
        <v>2100</v>
      </c>
      <c r="K16" s="64"/>
      <c r="L16" s="304">
        <v>1.9</v>
      </c>
      <c r="M16" s="7" t="s">
        <v>981</v>
      </c>
      <c r="N16" s="7">
        <v>380</v>
      </c>
      <c r="O16">
        <v>0.85499999999999998</v>
      </c>
      <c r="P16" s="7">
        <v>0.9</v>
      </c>
      <c r="Q16" s="7">
        <v>80</v>
      </c>
      <c r="R16" s="1">
        <v>23</v>
      </c>
      <c r="S16" s="10" t="s">
        <v>1421</v>
      </c>
      <c r="U16" s="10" t="s">
        <v>1314</v>
      </c>
      <c r="V16">
        <v>0</v>
      </c>
      <c r="X16" s="10" t="s">
        <v>1841</v>
      </c>
      <c r="Y16" t="b">
        <v>1</v>
      </c>
      <c r="Z16" s="111"/>
      <c r="AA16" s="111"/>
      <c r="AB16" s="41"/>
    </row>
    <row r="17" spans="1:28">
      <c r="A17" t="s">
        <v>1847</v>
      </c>
      <c r="B17" s="1" t="str">
        <f t="shared" si="2"/>
        <v>M_PKA0103_VM_BKT_4.2_2900</v>
      </c>
      <c r="C17" s="92" t="s">
        <v>761</v>
      </c>
      <c r="D17" s="92" t="str" cm="1">
        <f t="array" ref="D17">INDEX(기계코드!$D$4:$D$1022,MATCH(1,(C17=기계코드!$F$4:$F$1022)*1,0))</f>
        <v>M_PKA0103</v>
      </c>
      <c r="E17" s="92" t="s">
        <v>1128</v>
      </c>
      <c r="F17" s="92" t="str" cm="1">
        <f t="array" ref="F17">INDEX(공급업체코드!$B$3:$B$1000,MATCH(1,(E17=공급업체코드!$D$3:$D$1000)*1,0))</f>
        <v>VM_BKT</v>
      </c>
      <c r="G17" s="229" t="s">
        <v>1840</v>
      </c>
      <c r="H17" s="64"/>
      <c r="I17" s="70">
        <v>4.2</v>
      </c>
      <c r="J17" s="64">
        <v>2900</v>
      </c>
      <c r="K17" s="64"/>
      <c r="L17" s="304">
        <v>2.6</v>
      </c>
      <c r="M17" s="7" t="s">
        <v>981</v>
      </c>
      <c r="N17" s="7">
        <v>380</v>
      </c>
      <c r="O17">
        <v>0.85499999999999998</v>
      </c>
      <c r="P17" s="7">
        <v>0.9</v>
      </c>
      <c r="Q17" s="7">
        <v>80</v>
      </c>
      <c r="R17" s="1">
        <v>25</v>
      </c>
      <c r="S17" s="10" t="s">
        <v>1421</v>
      </c>
      <c r="U17" s="10" t="s">
        <v>1314</v>
      </c>
      <c r="V17">
        <v>0</v>
      </c>
      <c r="X17" s="10" t="s">
        <v>1841</v>
      </c>
      <c r="Y17" t="b">
        <v>1</v>
      </c>
      <c r="Z17" s="41"/>
      <c r="AA17" s="41"/>
      <c r="AB17" s="41"/>
    </row>
    <row r="18" spans="1:28">
      <c r="A18" t="s">
        <v>1848</v>
      </c>
      <c r="B18" s="1" t="str">
        <f t="shared" si="2"/>
        <v>M_PKA0103_VM_BKT_6.2_2300</v>
      </c>
      <c r="C18" s="92" t="s">
        <v>761</v>
      </c>
      <c r="D18" s="92" t="str" cm="1">
        <f t="array" ref="D18">INDEX(기계코드!$D$4:$D$1022,MATCH(1,(C18=기계코드!$F$4:$F$1022)*1,0))</f>
        <v>M_PKA0103</v>
      </c>
      <c r="E18" s="92" t="s">
        <v>1128</v>
      </c>
      <c r="F18" s="92" t="str" cm="1">
        <f t="array" ref="F18">INDEX(공급업체코드!$B$3:$B$1000,MATCH(1,(E18=공급업체코드!$D$3:$D$1000)*1,0))</f>
        <v>VM_BKT</v>
      </c>
      <c r="G18" s="229" t="s">
        <v>1840</v>
      </c>
      <c r="H18" s="64"/>
      <c r="I18" s="70">
        <v>6.2</v>
      </c>
      <c r="J18" s="64">
        <v>2300</v>
      </c>
      <c r="K18" s="64"/>
      <c r="L18" s="304">
        <v>2.6</v>
      </c>
      <c r="M18" s="7" t="s">
        <v>981</v>
      </c>
      <c r="N18" s="7">
        <v>380</v>
      </c>
      <c r="O18">
        <v>0.85499999999999998</v>
      </c>
      <c r="P18" s="7">
        <v>0.9</v>
      </c>
      <c r="Q18" s="7">
        <v>80</v>
      </c>
      <c r="R18" s="1">
        <v>36</v>
      </c>
      <c r="S18" s="10" t="s">
        <v>1421</v>
      </c>
      <c r="U18" s="10" t="s">
        <v>1314</v>
      </c>
      <c r="V18">
        <v>0</v>
      </c>
      <c r="X18" s="10" t="s">
        <v>1841</v>
      </c>
      <c r="Y18" t="b">
        <v>1</v>
      </c>
      <c r="Z18" s="41"/>
      <c r="AA18" s="41"/>
      <c r="AB18" s="41"/>
    </row>
    <row r="19" spans="1:28">
      <c r="A19" t="s">
        <v>1849</v>
      </c>
      <c r="B19" s="1" t="str">
        <f t="shared" si="2"/>
        <v>M_PKA0103_VM_BKT_6.2_2500</v>
      </c>
      <c r="C19" s="92" t="s">
        <v>761</v>
      </c>
      <c r="D19" s="92" t="str" cm="1">
        <f t="array" ref="D19">INDEX(기계코드!$D$4:$D$1022,MATCH(1,(C19=기계코드!$F$4:$F$1022)*1,0))</f>
        <v>M_PKA0103</v>
      </c>
      <c r="E19" s="92" t="s">
        <v>1128</v>
      </c>
      <c r="F19" s="92" t="str" cm="1">
        <f t="array" ref="F19">INDEX(공급업체코드!$B$3:$B$1000,MATCH(1,(E19=공급업체코드!$D$3:$D$1000)*1,0))</f>
        <v>VM_BKT</v>
      </c>
      <c r="G19" s="229" t="s">
        <v>1840</v>
      </c>
      <c r="H19" s="64"/>
      <c r="I19" s="70">
        <v>6.2</v>
      </c>
      <c r="J19" s="64">
        <v>2500</v>
      </c>
      <c r="K19" s="64"/>
      <c r="L19" s="304">
        <v>3.7</v>
      </c>
      <c r="M19" s="7" t="s">
        <v>981</v>
      </c>
      <c r="N19" s="7">
        <v>380</v>
      </c>
      <c r="O19">
        <v>0.86499999999999999</v>
      </c>
      <c r="P19" s="7">
        <v>0.9</v>
      </c>
      <c r="Q19" s="7">
        <v>80</v>
      </c>
      <c r="R19" s="1">
        <v>37</v>
      </c>
      <c r="S19" s="10" t="s">
        <v>1421</v>
      </c>
      <c r="U19" s="10" t="s">
        <v>1314</v>
      </c>
      <c r="V19">
        <v>0</v>
      </c>
      <c r="X19" s="10" t="s">
        <v>1841</v>
      </c>
      <c r="Y19" t="b">
        <v>1</v>
      </c>
      <c r="Z19" s="111"/>
      <c r="AA19" s="111"/>
      <c r="AB19" s="41"/>
    </row>
    <row r="20" spans="1:28">
      <c r="A20" t="s">
        <v>1850</v>
      </c>
      <c r="B20" s="1" t="str">
        <f t="shared" si="2"/>
        <v>M_PKA0103_VM_BKT_6.2_3300</v>
      </c>
      <c r="C20" s="92" t="s">
        <v>761</v>
      </c>
      <c r="D20" s="92" t="str" cm="1">
        <f t="array" ref="D20">INDEX(기계코드!$D$4:$D$1022,MATCH(1,(C20=기계코드!$F$4:$F$1022)*1,0))</f>
        <v>M_PKA0103</v>
      </c>
      <c r="E20" s="92" t="s">
        <v>1128</v>
      </c>
      <c r="F20" s="92" t="str" cm="1">
        <f t="array" ref="F20">INDEX(공급업체코드!$B$3:$B$1000,MATCH(1,(E20=공급업체코드!$D$3:$D$1000)*1,0))</f>
        <v>VM_BKT</v>
      </c>
      <c r="G20" s="229" t="s">
        <v>1840</v>
      </c>
      <c r="H20" s="64"/>
      <c r="I20" s="70">
        <v>6.2</v>
      </c>
      <c r="J20" s="64">
        <v>3300</v>
      </c>
      <c r="K20" s="64"/>
      <c r="L20" s="304">
        <v>4.5999999999999996</v>
      </c>
      <c r="M20" s="7" t="s">
        <v>981</v>
      </c>
      <c r="N20" s="7">
        <v>380</v>
      </c>
      <c r="O20">
        <v>0.86499999999999999</v>
      </c>
      <c r="P20" s="7">
        <v>0.9</v>
      </c>
      <c r="Q20" s="7">
        <v>80</v>
      </c>
      <c r="R20" s="1">
        <v>40</v>
      </c>
      <c r="S20" s="10" t="s">
        <v>1421</v>
      </c>
      <c r="U20" s="10" t="s">
        <v>1314</v>
      </c>
      <c r="V20">
        <v>0</v>
      </c>
      <c r="X20" s="10" t="s">
        <v>1841</v>
      </c>
      <c r="Y20" t="b">
        <v>1</v>
      </c>
      <c r="Z20" s="41"/>
      <c r="AA20" s="41"/>
      <c r="AB20" s="41"/>
    </row>
    <row r="21" spans="1:28">
      <c r="A21" t="s">
        <v>1851</v>
      </c>
      <c r="B21" s="1" t="str">
        <f t="shared" si="2"/>
        <v>M_PKA0103_VM_BKT_10.5_2800</v>
      </c>
      <c r="C21" s="92" t="s">
        <v>761</v>
      </c>
      <c r="D21" s="92" t="str" cm="1">
        <f t="array" ref="D21">INDEX(기계코드!$D$4:$D$1022,MATCH(1,(C21=기계코드!$F$4:$F$1022)*1,0))</f>
        <v>M_PKA0103</v>
      </c>
      <c r="E21" s="92" t="s">
        <v>1128</v>
      </c>
      <c r="F21" s="92" t="str" cm="1">
        <f t="array" ref="F21">INDEX(공급업체코드!$B$3:$B$1000,MATCH(1,(E21=공급업체코드!$D$3:$D$1000)*1,0))</f>
        <v>VM_BKT</v>
      </c>
      <c r="G21" s="229" t="s">
        <v>1840</v>
      </c>
      <c r="H21" s="64"/>
      <c r="I21" s="70">
        <v>10.5</v>
      </c>
      <c r="J21" s="64">
        <v>2800</v>
      </c>
      <c r="K21" s="64"/>
      <c r="L21" s="304">
        <v>6.3</v>
      </c>
      <c r="M21" s="7" t="s">
        <v>981</v>
      </c>
      <c r="N21" s="7">
        <v>380</v>
      </c>
      <c r="O21">
        <v>0.88500000000000001</v>
      </c>
      <c r="P21" s="7">
        <v>0.9</v>
      </c>
      <c r="Q21" s="7">
        <v>80</v>
      </c>
      <c r="R21" s="1">
        <v>66</v>
      </c>
      <c r="S21" s="10" t="s">
        <v>1421</v>
      </c>
      <c r="U21" s="10" t="s">
        <v>1314</v>
      </c>
      <c r="V21">
        <v>0</v>
      </c>
      <c r="X21" s="10" t="s">
        <v>1841</v>
      </c>
      <c r="Y21" t="b">
        <v>1</v>
      </c>
      <c r="Z21" s="111"/>
      <c r="AA21" s="111"/>
      <c r="AB21" s="41"/>
    </row>
    <row r="22" spans="1:28">
      <c r="A22" t="s">
        <v>1852</v>
      </c>
      <c r="B22" s="1" t="str">
        <f t="shared" si="2"/>
        <v>M_PKA0103_VM_BKT_10.5_4000</v>
      </c>
      <c r="C22" s="92" t="s">
        <v>761</v>
      </c>
      <c r="D22" s="92" t="str" cm="1">
        <f t="array" ref="D22">INDEX(기계코드!$D$4:$D$1022,MATCH(1,(C22=기계코드!$F$4:$F$1022)*1,0))</f>
        <v>M_PKA0103</v>
      </c>
      <c r="E22" s="92" t="s">
        <v>1128</v>
      </c>
      <c r="F22" s="92" t="str" cm="1">
        <f t="array" ref="F22">INDEX(공급업체코드!$B$3:$B$1000,MATCH(1,(E22=공급업체코드!$D$3:$D$1000)*1,0))</f>
        <v>VM_BKT</v>
      </c>
      <c r="G22" s="229" t="s">
        <v>1840</v>
      </c>
      <c r="H22" s="64"/>
      <c r="I22" s="70">
        <v>10.5</v>
      </c>
      <c r="J22" s="64">
        <v>4000</v>
      </c>
      <c r="K22" s="64"/>
      <c r="L22" s="304">
        <v>8.6</v>
      </c>
      <c r="M22" s="7" t="s">
        <v>981</v>
      </c>
      <c r="N22" s="7">
        <v>380</v>
      </c>
      <c r="O22">
        <v>0.89500000000000002</v>
      </c>
      <c r="P22" s="7">
        <v>0.9</v>
      </c>
      <c r="Q22" s="7">
        <v>80</v>
      </c>
      <c r="R22" s="1">
        <v>83</v>
      </c>
      <c r="S22" s="10" t="s">
        <v>1421</v>
      </c>
      <c r="U22" s="10" t="s">
        <v>1314</v>
      </c>
      <c r="V22">
        <v>0</v>
      </c>
      <c r="X22" s="10" t="s">
        <v>1841</v>
      </c>
      <c r="Y22" t="b">
        <v>1</v>
      </c>
      <c r="Z22" s="111"/>
      <c r="AA22" s="111"/>
      <c r="AB22" s="111"/>
    </row>
    <row r="23" spans="1:28">
      <c r="A23" t="s">
        <v>1853</v>
      </c>
      <c r="B23" s="1" t="str">
        <f t="shared" si="2"/>
        <v>M_PKA0103_VM_BKT_20_3000</v>
      </c>
      <c r="C23" s="92" t="s">
        <v>761</v>
      </c>
      <c r="D23" s="92" t="str" cm="1">
        <f t="array" ref="D23">INDEX(기계코드!$D$4:$D$1022,MATCH(1,(C23=기계코드!$F$4:$F$1022)*1,0))</f>
        <v>M_PKA0103</v>
      </c>
      <c r="E23" s="92" t="s">
        <v>1128</v>
      </c>
      <c r="F23" s="92" t="str" cm="1">
        <f t="array" ref="F23">INDEX(공급업체코드!$B$3:$B$1000,MATCH(1,(E23=공급업체코드!$D$3:$D$1000)*1,0))</f>
        <v>VM_BKT</v>
      </c>
      <c r="G23" s="229" t="s">
        <v>1840</v>
      </c>
      <c r="H23" s="64"/>
      <c r="I23" s="70">
        <v>20</v>
      </c>
      <c r="J23" s="64">
        <v>3000</v>
      </c>
      <c r="K23" s="64"/>
      <c r="L23" s="304">
        <v>15</v>
      </c>
      <c r="M23" s="7" t="s">
        <v>987</v>
      </c>
      <c r="N23" s="7">
        <v>380</v>
      </c>
      <c r="O23">
        <v>0.91</v>
      </c>
      <c r="P23" s="7">
        <v>0.9</v>
      </c>
      <c r="Q23" s="7">
        <v>80</v>
      </c>
      <c r="R23" s="1">
        <v>122</v>
      </c>
      <c r="S23" s="10" t="s">
        <v>1421</v>
      </c>
      <c r="U23" s="10" t="s">
        <v>1314</v>
      </c>
      <c r="V23">
        <v>0</v>
      </c>
      <c r="X23" s="10" t="s">
        <v>1841</v>
      </c>
      <c r="Y23" t="b">
        <v>1</v>
      </c>
      <c r="Z23" s="111"/>
      <c r="AA23" s="111"/>
      <c r="AB23" s="41"/>
    </row>
    <row r="24" spans="1:28">
      <c r="A24" t="s">
        <v>1854</v>
      </c>
      <c r="B24" s="1" t="str">
        <f t="shared" si="2"/>
        <v>M_PKA0103_VM_BKT_20_4200</v>
      </c>
      <c r="C24" s="92" t="s">
        <v>761</v>
      </c>
      <c r="D24" s="92" t="str" cm="1">
        <f t="array" ref="D24">INDEX(기계코드!$D$4:$D$1022,MATCH(1,(C24=기계코드!$F$4:$F$1022)*1,0))</f>
        <v>M_PKA0103</v>
      </c>
      <c r="E24" s="92" t="s">
        <v>1128</v>
      </c>
      <c r="F24" s="92" t="str" cm="1">
        <f t="array" ref="F24">INDEX(공급업체코드!$B$3:$B$1000,MATCH(1,(E24=공급업체코드!$D$3:$D$1000)*1,0))</f>
        <v>VM_BKT</v>
      </c>
      <c r="G24" s="229" t="s">
        <v>1840</v>
      </c>
      <c r="H24" s="64"/>
      <c r="I24" s="70">
        <v>20</v>
      </c>
      <c r="J24" s="64">
        <v>4200</v>
      </c>
      <c r="K24" s="64"/>
      <c r="L24" s="304">
        <v>22</v>
      </c>
      <c r="M24" s="7" t="s">
        <v>987</v>
      </c>
      <c r="N24" s="7">
        <v>380</v>
      </c>
      <c r="O24">
        <v>0.91700000000000004</v>
      </c>
      <c r="P24" s="7">
        <v>0.9</v>
      </c>
      <c r="Q24" s="7">
        <v>80</v>
      </c>
      <c r="R24" s="1">
        <v>126</v>
      </c>
      <c r="S24" s="10" t="s">
        <v>1421</v>
      </c>
      <c r="U24" s="10" t="s">
        <v>1314</v>
      </c>
      <c r="V24">
        <v>0</v>
      </c>
      <c r="X24" s="10" t="s">
        <v>1841</v>
      </c>
      <c r="Y24" t="b">
        <v>1</v>
      </c>
      <c r="Z24" s="41"/>
      <c r="AA24" s="41"/>
      <c r="AB24" s="41"/>
    </row>
    <row r="25" spans="1:28">
      <c r="A25" t="s">
        <v>1839</v>
      </c>
      <c r="B25" s="1" t="str">
        <f>D25&amp;"_"&amp;F25&amp;"_"&amp;I25&amp;"_"&amp;J25</f>
        <v>M_PKA0103_VM_BKT_0.62_5000</v>
      </c>
      <c r="C25" s="92" t="s">
        <v>761</v>
      </c>
      <c r="D25" s="92" t="str" cm="1">
        <f t="array" ref="D25">INDEX(기계코드!$D$4:$D$1022,MATCH(1,(C25=기계코드!$F$4:$F$1022)*1,0))</f>
        <v>M_PKA0103</v>
      </c>
      <c r="E25" s="92" t="s">
        <v>1128</v>
      </c>
      <c r="F25" s="92" t="str" cm="1">
        <f t="array" ref="F25">INDEX(공급업체코드!$B$3:$B$1000,MATCH(1,(E25=공급업체코드!$D$3:$D$1000)*1,0))</f>
        <v>VM_BKT</v>
      </c>
      <c r="G25" s="229" t="s">
        <v>1840</v>
      </c>
      <c r="I25" s="70">
        <v>0.62</v>
      </c>
      <c r="J25" s="64">
        <v>5000</v>
      </c>
      <c r="K25" s="64"/>
      <c r="L25" s="304">
        <v>0.1</v>
      </c>
      <c r="M25" s="7" t="s">
        <v>981</v>
      </c>
      <c r="N25" s="7">
        <v>380</v>
      </c>
      <c r="O25" s="151">
        <v>0.57999999999999996</v>
      </c>
      <c r="P25" s="7">
        <v>0.9</v>
      </c>
      <c r="Q25" s="7">
        <v>80</v>
      </c>
      <c r="R25" s="300">
        <v>6.2</v>
      </c>
      <c r="S25" s="10" t="s">
        <v>1421</v>
      </c>
      <c r="U25" s="10" t="s">
        <v>1314</v>
      </c>
      <c r="V25">
        <v>0</v>
      </c>
      <c r="X25" s="10" t="s">
        <v>1841</v>
      </c>
      <c r="Y25" t="b">
        <v>1</v>
      </c>
      <c r="Z25" s="111"/>
      <c r="AA25" s="111"/>
      <c r="AB25" s="41"/>
    </row>
    <row r="26" spans="1:28">
      <c r="A26" t="s">
        <v>1842</v>
      </c>
      <c r="B26" s="1" t="str">
        <f t="shared" ref="B26:B31" si="3">D26&amp;"_"&amp;F26&amp;"_"&amp;I26&amp;"_"&amp;J26</f>
        <v>M_PKA0103_VM_BKT_1.6_5000</v>
      </c>
      <c r="C26" s="92" t="s">
        <v>761</v>
      </c>
      <c r="D26" s="92" t="str" cm="1">
        <f t="array" ref="D26">INDEX(기계코드!$D$4:$D$1022,MATCH(1,(C26=기계코드!$F$4:$F$1022)*1,0))</f>
        <v>M_PKA0103</v>
      </c>
      <c r="E26" s="92" t="s">
        <v>1128</v>
      </c>
      <c r="F26" s="92" t="str" cm="1">
        <f t="array" ref="F26">INDEX(공급업체코드!$B$3:$B$1000,MATCH(1,(E26=공급업체코드!$D$3:$D$1000)*1,0))</f>
        <v>VM_BKT</v>
      </c>
      <c r="G26" s="229" t="s">
        <v>1840</v>
      </c>
      <c r="H26" s="64"/>
      <c r="I26" s="70">
        <v>1.6</v>
      </c>
      <c r="J26" s="64">
        <v>5000</v>
      </c>
      <c r="K26" s="64"/>
      <c r="L26" s="304">
        <v>0.2</v>
      </c>
      <c r="M26" s="7" t="s">
        <v>981</v>
      </c>
      <c r="N26" s="7">
        <v>380</v>
      </c>
      <c r="O26" s="301">
        <v>0.65</v>
      </c>
      <c r="P26" s="7">
        <v>0.9</v>
      </c>
      <c r="Q26" s="7">
        <v>80</v>
      </c>
      <c r="R26" s="1">
        <v>9</v>
      </c>
      <c r="S26" s="10" t="s">
        <v>1421</v>
      </c>
      <c r="U26" s="10" t="s">
        <v>1314</v>
      </c>
      <c r="V26">
        <v>0</v>
      </c>
      <c r="X26" s="10" t="s">
        <v>1841</v>
      </c>
      <c r="Y26" t="b">
        <v>1</v>
      </c>
      <c r="Z26" s="41"/>
      <c r="AA26" s="41"/>
      <c r="AB26" s="41"/>
    </row>
    <row r="27" spans="1:28">
      <c r="A27" t="s">
        <v>1844</v>
      </c>
      <c r="B27" s="1" t="str">
        <f t="shared" si="3"/>
        <v>M_PKA0103_VM_BKT_3_5000</v>
      </c>
      <c r="C27" s="92" t="s">
        <v>761</v>
      </c>
      <c r="D27" s="92" t="str" cm="1">
        <f t="array" ref="D27">INDEX(기계코드!$D$4:$D$1022,MATCH(1,(C27=기계코드!$F$4:$F$1022)*1,0))</f>
        <v>M_PKA0103</v>
      </c>
      <c r="E27" s="92" t="s">
        <v>1128</v>
      </c>
      <c r="F27" s="92" t="str" cm="1">
        <f t="array" ref="F27">INDEX(공급업체코드!$B$3:$B$1000,MATCH(1,(E27=공급업체코드!$D$3:$D$1000)*1,0))</f>
        <v>VM_BKT</v>
      </c>
      <c r="G27" s="229" t="s">
        <v>1840</v>
      </c>
      <c r="H27" s="64"/>
      <c r="I27" s="70">
        <v>3</v>
      </c>
      <c r="J27" s="64">
        <v>5000</v>
      </c>
      <c r="K27" s="64"/>
      <c r="L27" s="304">
        <v>0.85</v>
      </c>
      <c r="M27" s="7" t="s">
        <v>981</v>
      </c>
      <c r="N27" s="7">
        <v>380</v>
      </c>
      <c r="O27" s="302">
        <v>0.77</v>
      </c>
      <c r="P27" s="7">
        <v>0.9</v>
      </c>
      <c r="Q27" s="7">
        <v>80</v>
      </c>
      <c r="R27" s="1">
        <v>13</v>
      </c>
      <c r="S27" s="10" t="s">
        <v>1421</v>
      </c>
      <c r="U27" s="10" t="s">
        <v>1314</v>
      </c>
      <c r="V27">
        <v>0</v>
      </c>
      <c r="X27" s="10" t="s">
        <v>1841</v>
      </c>
      <c r="Y27" t="b">
        <v>1</v>
      </c>
      <c r="Z27" s="41"/>
      <c r="AA27" s="41"/>
      <c r="AB27" s="41"/>
    </row>
    <row r="28" spans="1:28">
      <c r="A28" t="s">
        <v>1846</v>
      </c>
      <c r="B28" s="1" t="str">
        <f t="shared" si="3"/>
        <v>M_PKA0103_VM_BKT_4.2_5000</v>
      </c>
      <c r="C28" s="92" t="s">
        <v>761</v>
      </c>
      <c r="D28" s="92" t="str" cm="1">
        <f t="array" ref="D28">INDEX(기계코드!$D$4:$D$1022,MATCH(1,(C28=기계코드!$F$4:$F$1022)*1,0))</f>
        <v>M_PKA0103</v>
      </c>
      <c r="E28" s="92" t="s">
        <v>1128</v>
      </c>
      <c r="F28" s="92" t="str" cm="1">
        <f t="array" ref="F28">INDEX(공급업체코드!$B$3:$B$1000,MATCH(1,(E28=공급업체코드!$D$3:$D$1000)*1,0))</f>
        <v>VM_BKT</v>
      </c>
      <c r="G28" s="229" t="s">
        <v>1840</v>
      </c>
      <c r="H28" s="64"/>
      <c r="I28" s="70">
        <v>4.2</v>
      </c>
      <c r="J28" s="64">
        <v>5000</v>
      </c>
      <c r="K28" s="64"/>
      <c r="L28" s="304">
        <v>1.9</v>
      </c>
      <c r="M28" s="7" t="s">
        <v>981</v>
      </c>
      <c r="N28" s="7">
        <v>380</v>
      </c>
      <c r="O28">
        <v>0.85499999999999998</v>
      </c>
      <c r="P28" s="7">
        <v>0.9</v>
      </c>
      <c r="Q28" s="7">
        <v>80</v>
      </c>
      <c r="R28" s="1">
        <v>23</v>
      </c>
      <c r="S28" s="10" t="s">
        <v>1421</v>
      </c>
      <c r="U28" s="10" t="s">
        <v>1314</v>
      </c>
      <c r="V28">
        <v>0</v>
      </c>
      <c r="X28" s="10" t="s">
        <v>1841</v>
      </c>
      <c r="Y28" t="b">
        <v>1</v>
      </c>
      <c r="Z28" s="111"/>
      <c r="AA28" s="111"/>
      <c r="AB28" s="41"/>
    </row>
    <row r="29" spans="1:28">
      <c r="A29" t="s">
        <v>1848</v>
      </c>
      <c r="B29" s="1" t="str">
        <f t="shared" si="3"/>
        <v>M_PKA0103_VM_BKT_6.2_5000</v>
      </c>
      <c r="C29" s="92" t="s">
        <v>761</v>
      </c>
      <c r="D29" s="92" t="str" cm="1">
        <f t="array" ref="D29">INDEX(기계코드!$D$4:$D$1022,MATCH(1,(C29=기계코드!$F$4:$F$1022)*1,0))</f>
        <v>M_PKA0103</v>
      </c>
      <c r="E29" s="92" t="s">
        <v>1128</v>
      </c>
      <c r="F29" s="92" t="str" cm="1">
        <f t="array" ref="F29">INDEX(공급업체코드!$B$3:$B$1000,MATCH(1,(E29=공급업체코드!$D$3:$D$1000)*1,0))</f>
        <v>VM_BKT</v>
      </c>
      <c r="G29" s="229" t="s">
        <v>1840</v>
      </c>
      <c r="H29" s="64"/>
      <c r="I29" s="70">
        <v>6.2</v>
      </c>
      <c r="J29" s="64">
        <v>5000</v>
      </c>
      <c r="K29" s="64"/>
      <c r="L29" s="304">
        <v>2.6</v>
      </c>
      <c r="M29" s="7" t="s">
        <v>981</v>
      </c>
      <c r="N29" s="7">
        <v>380</v>
      </c>
      <c r="O29">
        <v>0.85499999999999998</v>
      </c>
      <c r="P29" s="7">
        <v>0.9</v>
      </c>
      <c r="Q29" s="7">
        <v>80</v>
      </c>
      <c r="R29" s="1">
        <v>36</v>
      </c>
      <c r="S29" s="10" t="s">
        <v>1421</v>
      </c>
      <c r="U29" s="10" t="s">
        <v>1314</v>
      </c>
      <c r="V29">
        <v>0</v>
      </c>
      <c r="X29" s="10" t="s">
        <v>1841</v>
      </c>
      <c r="Y29" t="b">
        <v>1</v>
      </c>
      <c r="Z29" s="41"/>
      <c r="AA29" s="41"/>
      <c r="AB29" s="41"/>
    </row>
    <row r="30" spans="1:28">
      <c r="A30" t="s">
        <v>1851</v>
      </c>
      <c r="B30" s="1" t="str">
        <f t="shared" si="3"/>
        <v>M_PKA0103_VM_BKT_10.5_5000</v>
      </c>
      <c r="C30" s="92" t="s">
        <v>761</v>
      </c>
      <c r="D30" s="92" t="str" cm="1">
        <f t="array" ref="D30">INDEX(기계코드!$D$4:$D$1022,MATCH(1,(C30=기계코드!$F$4:$F$1022)*1,0))</f>
        <v>M_PKA0103</v>
      </c>
      <c r="E30" s="92" t="s">
        <v>1128</v>
      </c>
      <c r="F30" s="92" t="str" cm="1">
        <f t="array" ref="F30">INDEX(공급업체코드!$B$3:$B$1000,MATCH(1,(E30=공급업체코드!$D$3:$D$1000)*1,0))</f>
        <v>VM_BKT</v>
      </c>
      <c r="G30" s="229" t="s">
        <v>1840</v>
      </c>
      <c r="H30" s="64"/>
      <c r="I30" s="70">
        <v>10.5</v>
      </c>
      <c r="J30" s="64">
        <v>5000</v>
      </c>
      <c r="K30" s="64"/>
      <c r="L30" s="304">
        <v>6.3</v>
      </c>
      <c r="M30" s="7" t="s">
        <v>981</v>
      </c>
      <c r="N30" s="7">
        <v>380</v>
      </c>
      <c r="O30">
        <v>0.88500000000000001</v>
      </c>
      <c r="P30" s="7">
        <v>0.9</v>
      </c>
      <c r="Q30" s="7">
        <v>80</v>
      </c>
      <c r="R30" s="1">
        <v>66</v>
      </c>
      <c r="S30" s="10" t="s">
        <v>1421</v>
      </c>
      <c r="U30" s="10" t="s">
        <v>1314</v>
      </c>
      <c r="V30">
        <v>0</v>
      </c>
      <c r="X30" s="10" t="s">
        <v>1841</v>
      </c>
      <c r="Y30" t="b">
        <v>1</v>
      </c>
      <c r="Z30" s="111"/>
      <c r="AA30" s="111"/>
      <c r="AB30" s="41"/>
    </row>
    <row r="31" spans="1:28">
      <c r="A31" t="s">
        <v>1853</v>
      </c>
      <c r="B31" s="1" t="str">
        <f t="shared" si="3"/>
        <v>M_PKA0103_VM_BKT_20_5000</v>
      </c>
      <c r="C31" s="92" t="s">
        <v>761</v>
      </c>
      <c r="D31" s="92" t="str" cm="1">
        <f t="array" ref="D31">INDEX(기계코드!$D$4:$D$1022,MATCH(1,(C31=기계코드!$F$4:$F$1022)*1,0))</f>
        <v>M_PKA0103</v>
      </c>
      <c r="E31" s="92" t="s">
        <v>1128</v>
      </c>
      <c r="F31" s="92" t="str" cm="1">
        <f t="array" ref="F31">INDEX(공급업체코드!$B$3:$B$1000,MATCH(1,(E31=공급업체코드!$D$3:$D$1000)*1,0))</f>
        <v>VM_BKT</v>
      </c>
      <c r="G31" s="229" t="s">
        <v>1840</v>
      </c>
      <c r="H31" s="64"/>
      <c r="I31" s="70">
        <v>20</v>
      </c>
      <c r="J31" s="64">
        <v>5000</v>
      </c>
      <c r="K31" s="64"/>
      <c r="L31" s="304">
        <v>15</v>
      </c>
      <c r="M31" s="7" t="s">
        <v>987</v>
      </c>
      <c r="N31" s="7">
        <v>380</v>
      </c>
      <c r="O31">
        <v>0.91</v>
      </c>
      <c r="P31" s="7">
        <v>0.9</v>
      </c>
      <c r="Q31" s="7">
        <v>80</v>
      </c>
      <c r="R31" s="1">
        <v>122</v>
      </c>
      <c r="S31" s="10" t="s">
        <v>1421</v>
      </c>
      <c r="U31" s="10" t="s">
        <v>1314</v>
      </c>
      <c r="V31">
        <v>0</v>
      </c>
      <c r="X31" s="10" t="s">
        <v>1841</v>
      </c>
      <c r="Y31" t="b">
        <v>1</v>
      </c>
      <c r="Z31" s="111"/>
      <c r="AA31" s="111"/>
      <c r="AB31" s="41"/>
    </row>
    <row r="32" spans="1:28">
      <c r="B32" s="1"/>
      <c r="C32" s="92"/>
      <c r="D32" s="92"/>
      <c r="E32" s="92"/>
      <c r="F32" s="92"/>
      <c r="H32" s="64"/>
      <c r="I32" s="64"/>
      <c r="J32" s="64"/>
      <c r="K32" s="64"/>
      <c r="L32" s="63"/>
      <c r="N32" s="63"/>
      <c r="O32" s="64"/>
      <c r="R32" s="1"/>
      <c r="Z32" s="41"/>
      <c r="AA32" s="41"/>
      <c r="AB32" s="41"/>
    </row>
    <row r="33" spans="2:28">
      <c r="B33" s="1"/>
      <c r="C33" s="92"/>
      <c r="D33" s="92"/>
      <c r="E33" s="92"/>
      <c r="F33" s="92"/>
      <c r="H33" s="64"/>
      <c r="I33" s="64"/>
      <c r="J33" s="64"/>
      <c r="K33" s="64"/>
      <c r="L33" s="63"/>
      <c r="N33" s="63"/>
      <c r="O33" s="64"/>
      <c r="R33" s="1"/>
      <c r="Z33" s="111"/>
      <c r="AA33" s="111"/>
      <c r="AB33" s="111"/>
    </row>
    <row r="34" spans="2:28">
      <c r="B34" s="1"/>
      <c r="C34" s="92"/>
      <c r="D34" s="92"/>
      <c r="E34" s="92"/>
      <c r="F34" s="92"/>
      <c r="H34" s="64"/>
      <c r="I34" s="64"/>
      <c r="J34" s="64"/>
      <c r="K34" s="64"/>
      <c r="L34" s="63"/>
      <c r="N34" s="63"/>
      <c r="O34" s="64"/>
      <c r="R34" s="1"/>
      <c r="Z34" s="41"/>
      <c r="AA34" s="41"/>
      <c r="AB34" s="41"/>
    </row>
    <row r="35" spans="2:28">
      <c r="B35" s="1"/>
      <c r="C35" s="92"/>
      <c r="D35" s="92"/>
      <c r="E35" s="92"/>
      <c r="F35" s="92"/>
      <c r="H35" s="64"/>
      <c r="I35" s="64"/>
      <c r="J35" s="64"/>
      <c r="K35" s="64"/>
      <c r="L35" s="63"/>
      <c r="N35" s="63"/>
      <c r="O35" s="64"/>
      <c r="R35" s="1"/>
      <c r="Z35" s="41"/>
      <c r="AA35" s="41"/>
      <c r="AB35" s="41"/>
    </row>
    <row r="36" spans="2:28">
      <c r="B36" s="1"/>
      <c r="C36" s="92"/>
      <c r="D36" s="92"/>
      <c r="E36" s="92"/>
      <c r="F36" s="92"/>
      <c r="H36" s="64"/>
      <c r="I36" s="64"/>
      <c r="J36" s="64"/>
      <c r="K36" s="64"/>
      <c r="L36" s="63"/>
      <c r="N36" s="63"/>
      <c r="O36" s="64"/>
      <c r="R36" s="1"/>
      <c r="Z36" s="41"/>
      <c r="AA36" s="41"/>
      <c r="AB36" s="41"/>
    </row>
    <row r="37" spans="2:28">
      <c r="B37" s="1"/>
      <c r="C37" s="92"/>
      <c r="D37" s="92"/>
      <c r="E37" s="92"/>
      <c r="F37" s="92"/>
      <c r="H37" s="64"/>
      <c r="I37" s="64"/>
      <c r="J37" s="64"/>
      <c r="K37" s="64"/>
      <c r="L37" s="63"/>
      <c r="N37" s="63"/>
      <c r="O37" s="64"/>
      <c r="R37" s="1"/>
      <c r="Z37" s="41"/>
      <c r="AA37" s="41"/>
      <c r="AB37" s="41"/>
    </row>
    <row r="38" spans="2:28">
      <c r="B38" s="1"/>
      <c r="C38" s="92"/>
      <c r="D38" s="92"/>
      <c r="E38" s="92"/>
      <c r="F38" s="92"/>
      <c r="H38" s="64"/>
      <c r="I38" s="64"/>
      <c r="J38" s="64"/>
      <c r="K38" s="64"/>
      <c r="L38" s="63"/>
      <c r="N38" s="63"/>
      <c r="O38" s="64"/>
      <c r="R38" s="1"/>
    </row>
    <row r="39" spans="2:28">
      <c r="B39" s="1"/>
      <c r="C39" s="92"/>
      <c r="D39" s="92"/>
      <c r="E39" s="92"/>
      <c r="F39" s="92"/>
      <c r="H39" s="64"/>
      <c r="I39" s="64"/>
      <c r="J39" s="64"/>
      <c r="K39" s="64"/>
      <c r="L39" s="63"/>
      <c r="N39" s="63"/>
      <c r="O39" s="64"/>
      <c r="R39" s="1"/>
    </row>
    <row r="40" spans="2:28">
      <c r="B40" s="1"/>
      <c r="C40" s="92"/>
      <c r="D40" s="92"/>
      <c r="E40" s="92"/>
      <c r="F40" s="92"/>
      <c r="H40" s="64"/>
      <c r="I40" s="64"/>
      <c r="J40" s="64"/>
      <c r="K40" s="64"/>
      <c r="L40" s="63"/>
      <c r="N40" s="63"/>
      <c r="O40" s="64"/>
      <c r="R40" s="1"/>
    </row>
    <row r="41" spans="2:28">
      <c r="B41" s="1"/>
      <c r="C41" s="92"/>
      <c r="D41" s="92"/>
      <c r="E41" s="92"/>
      <c r="F41" s="92"/>
      <c r="H41" s="64"/>
      <c r="I41" s="64"/>
      <c r="J41" s="64"/>
      <c r="K41" s="64"/>
      <c r="L41" s="63"/>
      <c r="N41" s="63"/>
      <c r="O41" s="64"/>
      <c r="R41" s="1"/>
    </row>
    <row r="42" spans="2:28">
      <c r="B42" s="1"/>
      <c r="C42" s="92"/>
      <c r="D42" s="92"/>
      <c r="E42" s="92"/>
      <c r="F42" s="92"/>
      <c r="H42" s="64"/>
      <c r="I42" s="64"/>
      <c r="J42" s="64"/>
      <c r="K42" s="64"/>
      <c r="L42" s="63"/>
      <c r="N42" s="63"/>
      <c r="O42" s="64"/>
      <c r="R42" s="1"/>
    </row>
    <row r="43" spans="2:28">
      <c r="B43" s="1"/>
      <c r="C43" s="92"/>
      <c r="D43" s="92"/>
      <c r="E43" s="92"/>
      <c r="F43" s="92"/>
      <c r="H43" s="64"/>
      <c r="I43" s="64"/>
      <c r="J43" s="64"/>
      <c r="K43" s="64"/>
      <c r="L43" s="63"/>
      <c r="N43" s="63"/>
      <c r="O43" s="64"/>
      <c r="R43" s="1"/>
    </row>
    <row r="44" spans="2:28">
      <c r="B44" s="1"/>
      <c r="C44" s="92"/>
      <c r="D44" s="92"/>
      <c r="E44" s="92"/>
      <c r="F44" s="92"/>
      <c r="H44" s="64"/>
      <c r="I44" s="64"/>
      <c r="J44" s="64"/>
      <c r="K44" s="64"/>
      <c r="L44" s="63"/>
      <c r="N44" s="63"/>
      <c r="O44" s="64"/>
      <c r="R44" s="1"/>
    </row>
    <row r="45" spans="2:28">
      <c r="B45" s="1"/>
      <c r="C45" s="92"/>
      <c r="D45" s="92"/>
      <c r="E45" s="92"/>
      <c r="F45" s="92"/>
      <c r="H45" s="64"/>
      <c r="I45" s="64"/>
      <c r="J45" s="64"/>
      <c r="K45" s="64"/>
      <c r="L45" s="63"/>
      <c r="N45" s="63"/>
      <c r="O45" s="64"/>
      <c r="R45" s="1"/>
    </row>
    <row r="46" spans="2:28">
      <c r="B46" s="1"/>
      <c r="C46" s="92"/>
      <c r="D46" s="92"/>
      <c r="E46" s="92"/>
      <c r="F46" s="92"/>
      <c r="H46" s="64"/>
      <c r="I46" s="64"/>
      <c r="J46" s="64"/>
      <c r="K46" s="64"/>
      <c r="L46" s="63"/>
      <c r="N46" s="63"/>
      <c r="O46" s="64"/>
      <c r="R46" s="1"/>
    </row>
    <row r="47" spans="2:28">
      <c r="B47" s="1"/>
      <c r="C47" s="92"/>
      <c r="D47" s="92"/>
      <c r="E47" s="92"/>
      <c r="F47" s="92"/>
      <c r="H47" s="64"/>
      <c r="I47" s="64"/>
      <c r="J47" s="64"/>
      <c r="K47" s="64"/>
      <c r="L47" s="63"/>
      <c r="N47" s="63"/>
      <c r="O47" s="64"/>
      <c r="R47" s="1"/>
    </row>
    <row r="48" spans="2:28">
      <c r="B48" s="1"/>
      <c r="C48" s="92"/>
      <c r="D48" s="92"/>
      <c r="E48" s="92"/>
      <c r="F48" s="92"/>
      <c r="H48" s="64"/>
      <c r="I48" s="64"/>
      <c r="J48" s="64"/>
      <c r="K48" s="64"/>
      <c r="L48" s="63"/>
      <c r="N48" s="63"/>
      <c r="O48" s="64"/>
      <c r="R48" s="1"/>
    </row>
    <row r="49" spans="2:18">
      <c r="B49" s="1"/>
      <c r="C49" s="92"/>
      <c r="D49" s="92"/>
      <c r="E49" s="92"/>
      <c r="F49" s="92"/>
      <c r="H49" s="64"/>
      <c r="I49" s="64"/>
      <c r="J49" s="64"/>
      <c r="K49" s="64"/>
      <c r="L49" s="63"/>
      <c r="N49" s="63"/>
      <c r="O49" s="64"/>
      <c r="R49" s="1"/>
    </row>
    <row r="50" spans="2:18">
      <c r="B50" s="1"/>
      <c r="C50" s="92"/>
      <c r="D50" s="92"/>
      <c r="E50" s="92"/>
      <c r="F50" s="92"/>
      <c r="H50" s="64"/>
      <c r="I50" s="64"/>
      <c r="J50" s="64"/>
      <c r="K50" s="64"/>
      <c r="L50" s="63"/>
      <c r="N50" s="63"/>
      <c r="O50" s="64"/>
      <c r="R50" s="1"/>
    </row>
    <row r="51" spans="2:18">
      <c r="B51" s="1"/>
      <c r="C51" s="92"/>
      <c r="D51" s="92"/>
      <c r="E51" s="92"/>
      <c r="F51" s="92"/>
      <c r="H51" s="64"/>
      <c r="I51" s="64"/>
      <c r="J51" s="64"/>
      <c r="K51" s="64"/>
      <c r="L51" s="63"/>
      <c r="N51" s="63"/>
      <c r="O51" s="64"/>
      <c r="R51" s="1"/>
    </row>
    <row r="52" spans="2:18">
      <c r="B52" s="1"/>
      <c r="C52" s="92"/>
      <c r="D52" s="92"/>
      <c r="E52" s="92"/>
      <c r="F52" s="92"/>
      <c r="H52" s="64"/>
      <c r="I52" s="64"/>
      <c r="J52" s="64"/>
      <c r="K52" s="64"/>
      <c r="L52" s="63"/>
      <c r="N52" s="63"/>
      <c r="O52" s="64"/>
      <c r="R52" s="1"/>
    </row>
    <row r="53" spans="2:18">
      <c r="B53" s="1"/>
      <c r="C53" s="92"/>
      <c r="D53" s="92"/>
      <c r="E53" s="92"/>
      <c r="F53" s="92"/>
      <c r="H53" s="64"/>
      <c r="I53" s="64"/>
      <c r="J53" s="64"/>
      <c r="K53" s="64"/>
      <c r="L53" s="63"/>
      <c r="N53" s="63"/>
      <c r="O53" s="64"/>
      <c r="R53" s="1"/>
    </row>
    <row r="54" spans="2:18">
      <c r="B54" s="1"/>
      <c r="C54" s="92"/>
      <c r="D54" s="92"/>
      <c r="E54" s="92"/>
      <c r="F54" s="92"/>
      <c r="H54" s="64"/>
      <c r="I54" s="64"/>
      <c r="J54" s="64"/>
      <c r="K54" s="64"/>
      <c r="L54" s="63"/>
      <c r="N54" s="63"/>
      <c r="O54" s="64"/>
      <c r="R54" s="1"/>
    </row>
    <row r="55" spans="2:18">
      <c r="B55" s="1"/>
      <c r="C55" s="92"/>
      <c r="D55" s="92"/>
      <c r="E55" s="92"/>
      <c r="F55" s="92"/>
      <c r="H55" s="64"/>
      <c r="I55" s="64"/>
      <c r="J55" s="64"/>
      <c r="K55" s="64"/>
      <c r="L55" s="63"/>
      <c r="N55" s="63"/>
      <c r="O55" s="64"/>
      <c r="R55" s="1"/>
    </row>
    <row r="56" spans="2:18">
      <c r="B56" s="1"/>
      <c r="C56" s="92"/>
      <c r="D56" s="92"/>
      <c r="E56" s="92"/>
      <c r="F56" s="92"/>
      <c r="H56" s="64"/>
      <c r="I56" s="64"/>
      <c r="J56" s="64"/>
      <c r="K56" s="64"/>
      <c r="L56" s="63"/>
      <c r="N56" s="63"/>
      <c r="O56" s="64"/>
      <c r="R56" s="1"/>
    </row>
    <row r="57" spans="2:18">
      <c r="B57" s="1"/>
      <c r="C57" s="92"/>
      <c r="D57" s="92"/>
      <c r="E57" s="92"/>
      <c r="F57" s="92"/>
      <c r="H57" s="64"/>
      <c r="I57" s="64"/>
      <c r="J57" s="64"/>
      <c r="K57" s="64"/>
      <c r="L57" s="63"/>
      <c r="N57" s="63"/>
      <c r="O57" s="64"/>
      <c r="R57" s="1"/>
    </row>
    <row r="58" spans="2:18">
      <c r="B58" s="1"/>
      <c r="C58" s="92"/>
      <c r="D58" s="92"/>
      <c r="E58" s="92"/>
      <c r="F58" s="92"/>
      <c r="H58" s="64"/>
      <c r="I58" s="64"/>
      <c r="J58" s="64"/>
      <c r="K58" s="64"/>
      <c r="L58" s="63"/>
      <c r="N58" s="63"/>
      <c r="O58" s="64"/>
      <c r="R58" s="1"/>
    </row>
    <row r="59" spans="2:18">
      <c r="B59" s="1"/>
      <c r="C59" s="92"/>
      <c r="D59" s="92"/>
      <c r="E59" s="92"/>
      <c r="F59" s="92"/>
      <c r="H59" s="64"/>
      <c r="I59" s="64"/>
      <c r="J59" s="64"/>
      <c r="K59" s="64"/>
      <c r="L59" s="63"/>
      <c r="N59" s="63"/>
      <c r="O59" s="64"/>
      <c r="R59" s="1"/>
    </row>
    <row r="60" spans="2:18">
      <c r="B60" s="1"/>
      <c r="C60" s="92"/>
      <c r="D60" s="92"/>
      <c r="E60" s="92"/>
      <c r="F60" s="92"/>
      <c r="H60" s="64"/>
      <c r="I60" s="64"/>
      <c r="J60" s="64"/>
      <c r="K60" s="64"/>
      <c r="L60" s="63"/>
      <c r="N60" s="63"/>
      <c r="O60" s="64"/>
      <c r="R60" s="1"/>
    </row>
    <row r="61" spans="2:18">
      <c r="B61" s="1"/>
      <c r="C61" s="92"/>
      <c r="D61" s="92"/>
      <c r="E61" s="92"/>
      <c r="F61" s="92"/>
      <c r="H61" s="64"/>
      <c r="I61" s="64"/>
      <c r="J61" s="64"/>
      <c r="K61" s="64"/>
      <c r="L61" s="63"/>
      <c r="N61" s="63"/>
      <c r="O61" s="64"/>
      <c r="R61" s="1"/>
    </row>
    <row r="62" spans="2:18">
      <c r="B62" s="1"/>
      <c r="C62" s="92"/>
      <c r="D62" s="92"/>
      <c r="E62" s="92"/>
      <c r="F62" s="92"/>
      <c r="H62" s="64"/>
      <c r="I62" s="64"/>
      <c r="J62" s="64"/>
      <c r="K62" s="64"/>
      <c r="L62" s="63"/>
      <c r="N62" s="63"/>
      <c r="O62" s="64"/>
      <c r="R62" s="1"/>
    </row>
    <row r="63" spans="2:18">
      <c r="B63" s="1"/>
      <c r="C63" s="92"/>
      <c r="D63" s="92"/>
      <c r="E63" s="92"/>
      <c r="F63" s="92"/>
      <c r="H63" s="64"/>
      <c r="I63" s="64"/>
      <c r="J63" s="64"/>
      <c r="K63" s="64"/>
      <c r="L63" s="63"/>
      <c r="N63" s="63"/>
      <c r="O63" s="64"/>
      <c r="R63" s="1"/>
    </row>
    <row r="64" spans="2:18">
      <c r="B64" s="1"/>
      <c r="C64" s="92"/>
      <c r="D64" s="92"/>
      <c r="E64" s="92"/>
      <c r="F64" s="92"/>
      <c r="H64" s="64"/>
      <c r="I64" s="64"/>
      <c r="J64" s="64"/>
      <c r="K64" s="64"/>
      <c r="L64" s="63"/>
      <c r="N64" s="63"/>
      <c r="O64" s="64"/>
      <c r="R64" s="1"/>
    </row>
    <row r="65" spans="2:18">
      <c r="B65" s="1"/>
      <c r="C65" s="92"/>
      <c r="D65" s="92"/>
      <c r="E65" s="92"/>
      <c r="F65" s="92"/>
      <c r="H65" s="64"/>
      <c r="I65" s="64"/>
      <c r="J65" s="64"/>
      <c r="K65" s="64"/>
      <c r="L65" s="63"/>
      <c r="N65" s="63"/>
      <c r="O65" s="64"/>
      <c r="R65" s="1"/>
    </row>
    <row r="66" spans="2:18">
      <c r="B66" s="1"/>
      <c r="C66" s="92"/>
      <c r="D66" s="92"/>
      <c r="E66" s="92"/>
      <c r="F66" s="92"/>
      <c r="H66" s="64"/>
      <c r="I66" s="64"/>
      <c r="J66" s="64"/>
      <c r="K66" s="64"/>
      <c r="L66" s="63"/>
      <c r="N66" s="63"/>
      <c r="O66" s="64"/>
      <c r="R66" s="1"/>
    </row>
    <row r="67" spans="2:18">
      <c r="B67" s="1"/>
      <c r="C67" s="92"/>
      <c r="D67" s="92"/>
      <c r="E67" s="92"/>
      <c r="F67" s="92"/>
      <c r="H67" s="64"/>
      <c r="I67" s="64"/>
      <c r="J67" s="64"/>
      <c r="K67" s="64"/>
      <c r="L67" s="63"/>
      <c r="N67" s="63"/>
      <c r="O67" s="64"/>
      <c r="R67" s="1"/>
    </row>
    <row r="68" spans="2:18">
      <c r="B68" s="1"/>
      <c r="C68" s="92"/>
      <c r="D68" s="92"/>
      <c r="E68" s="92"/>
      <c r="F68" s="92"/>
      <c r="H68" s="64"/>
      <c r="I68" s="64"/>
      <c r="J68" s="64"/>
      <c r="K68" s="64"/>
      <c r="L68" s="63"/>
      <c r="N68" s="63"/>
      <c r="O68" s="64"/>
      <c r="R68" s="1"/>
    </row>
    <row r="69" spans="2:18">
      <c r="B69" s="1"/>
      <c r="C69" s="92"/>
      <c r="D69" s="92"/>
      <c r="E69" s="92"/>
      <c r="F69" s="92"/>
      <c r="H69" s="64"/>
      <c r="I69" s="64"/>
      <c r="J69" s="64"/>
      <c r="K69" s="64"/>
      <c r="L69" s="63"/>
      <c r="N69" s="63"/>
      <c r="O69" s="64"/>
      <c r="R69" s="1"/>
    </row>
    <row r="70" spans="2:18">
      <c r="B70" s="1"/>
      <c r="C70" s="92"/>
      <c r="D70" s="92"/>
      <c r="E70" s="92"/>
      <c r="F70" s="92"/>
      <c r="H70" s="64"/>
      <c r="I70" s="64"/>
      <c r="J70" s="64"/>
      <c r="K70" s="64"/>
      <c r="L70" s="63"/>
      <c r="N70" s="63"/>
      <c r="O70" s="64"/>
      <c r="R70" s="1"/>
    </row>
    <row r="71" spans="2:18">
      <c r="B71" s="1"/>
      <c r="C71" s="92"/>
      <c r="D71" s="92"/>
      <c r="E71" s="92"/>
      <c r="F71" s="92"/>
      <c r="H71" s="64"/>
      <c r="I71" s="64"/>
      <c r="J71" s="64"/>
      <c r="K71" s="64"/>
      <c r="L71" s="63"/>
      <c r="N71" s="63"/>
      <c r="O71" s="64"/>
      <c r="R71" s="1"/>
    </row>
    <row r="72" spans="2:18">
      <c r="B72" s="1"/>
      <c r="C72" s="92"/>
      <c r="D72" s="92"/>
      <c r="E72" s="92"/>
      <c r="F72" s="92"/>
      <c r="H72" s="64"/>
      <c r="I72" s="64"/>
      <c r="J72" s="64"/>
      <c r="K72" s="64"/>
      <c r="L72" s="63"/>
      <c r="N72" s="63"/>
      <c r="O72" s="64"/>
      <c r="R72" s="1"/>
    </row>
    <row r="73" spans="2:18">
      <c r="B73" s="1"/>
      <c r="C73" s="92"/>
      <c r="D73" s="92"/>
      <c r="E73" s="92"/>
      <c r="F73" s="92"/>
      <c r="H73" s="64"/>
      <c r="I73" s="64"/>
      <c r="J73" s="64"/>
      <c r="K73" s="64"/>
      <c r="L73" s="63"/>
      <c r="N73" s="63"/>
      <c r="O73" s="64"/>
      <c r="R73" s="1"/>
    </row>
    <row r="74" spans="2:18">
      <c r="B74" s="1"/>
      <c r="C74" s="92"/>
      <c r="D74" s="92"/>
      <c r="E74" s="92"/>
      <c r="F74" s="92"/>
      <c r="H74" s="64"/>
      <c r="I74" s="64"/>
      <c r="J74" s="64"/>
      <c r="K74" s="64"/>
      <c r="L74" s="63"/>
      <c r="N74" s="63"/>
      <c r="O74" s="64"/>
      <c r="R74" s="1"/>
    </row>
    <row r="75" spans="2:18">
      <c r="B75" s="1"/>
      <c r="C75" s="92"/>
      <c r="D75" s="92"/>
      <c r="E75" s="92"/>
      <c r="F75" s="92"/>
      <c r="H75" s="64"/>
      <c r="I75" s="64"/>
      <c r="J75" s="64"/>
      <c r="K75" s="64"/>
      <c r="L75" s="63"/>
      <c r="N75" s="63"/>
      <c r="O75" s="64"/>
      <c r="R75" s="1"/>
    </row>
    <row r="76" spans="2:18">
      <c r="H76" s="64"/>
      <c r="I76" s="64"/>
      <c r="J76" s="64"/>
      <c r="K76" s="64"/>
      <c r="L76" s="63"/>
      <c r="N76" s="63"/>
      <c r="O76" s="64"/>
    </row>
    <row r="77" spans="2:18">
      <c r="H77" s="64"/>
      <c r="I77" s="64"/>
      <c r="J77" s="64"/>
      <c r="K77" s="64"/>
      <c r="L77" s="63"/>
      <c r="N77" s="63"/>
      <c r="O77" s="64"/>
    </row>
    <row r="78" spans="2:18">
      <c r="H78" s="64"/>
      <c r="I78" s="64"/>
      <c r="J78" s="64"/>
      <c r="K78" s="64"/>
      <c r="L78" s="63"/>
      <c r="N78" s="63"/>
      <c r="O78" s="64"/>
    </row>
    <row r="79" spans="2:18">
      <c r="H79" s="64"/>
      <c r="I79" s="64"/>
      <c r="J79" s="64"/>
      <c r="K79" s="64"/>
      <c r="L79" s="63"/>
      <c r="N79" s="63"/>
      <c r="O79" s="64"/>
    </row>
    <row r="80" spans="2:18">
      <c r="H80" s="64"/>
      <c r="I80" s="64"/>
      <c r="J80" s="64"/>
      <c r="K80" s="64"/>
      <c r="L80" s="63"/>
      <c r="N80" s="63"/>
      <c r="O80" s="64"/>
    </row>
    <row r="81" spans="8:15">
      <c r="H81" s="64"/>
      <c r="I81" s="64"/>
      <c r="J81" s="64"/>
      <c r="K81" s="64"/>
      <c r="L81" s="63"/>
      <c r="N81" s="63"/>
      <c r="O81" s="64"/>
    </row>
    <row r="82" spans="8:15">
      <c r="H82" s="64"/>
      <c r="I82" s="64"/>
      <c r="J82" s="64"/>
      <c r="K82" s="64"/>
      <c r="L82" s="63"/>
      <c r="N82" s="63"/>
      <c r="O82" s="64"/>
    </row>
    <row r="83" spans="8:15">
      <c r="H83" s="64"/>
      <c r="I83" s="64"/>
      <c r="J83" s="64"/>
      <c r="K83" s="64"/>
      <c r="L83" s="63"/>
      <c r="N83" s="63"/>
    </row>
    <row r="84" spans="8:15">
      <c r="L84" s="63"/>
      <c r="N84" s="63"/>
    </row>
    <row r="85" spans="8:15">
      <c r="L85" s="63"/>
      <c r="N85" s="63"/>
    </row>
    <row r="86" spans="8:15">
      <c r="L86" s="63"/>
      <c r="N86" s="63"/>
    </row>
    <row r="87" spans="8:15">
      <c r="L87" s="63"/>
      <c r="N87" s="63"/>
    </row>
    <row r="88" spans="8:15">
      <c r="L88" s="63"/>
      <c r="N88" s="63"/>
    </row>
    <row r="89" spans="8:15">
      <c r="L89" s="63"/>
      <c r="N89" s="63"/>
    </row>
    <row r="90" spans="8:15">
      <c r="L90" s="63"/>
      <c r="N90" s="63"/>
    </row>
    <row r="91" spans="8:15">
      <c r="L91" s="63"/>
      <c r="N91" s="63"/>
    </row>
    <row r="92" spans="8:15">
      <c r="L92" s="63"/>
      <c r="N92" s="63"/>
    </row>
    <row r="93" spans="8:15">
      <c r="L93" s="63"/>
      <c r="N93" s="63"/>
    </row>
    <row r="94" spans="8:15">
      <c r="L94" s="63"/>
      <c r="N94" s="63"/>
    </row>
    <row r="95" spans="8:15">
      <c r="L95" s="63"/>
      <c r="N95" s="63"/>
    </row>
    <row r="96" spans="8:15">
      <c r="L96" s="63"/>
      <c r="N96" s="63"/>
    </row>
    <row r="97" spans="12:14">
      <c r="L97" s="63"/>
      <c r="N97" s="63"/>
    </row>
    <row r="98" spans="12:14">
      <c r="L98" s="63"/>
      <c r="N98" s="63"/>
    </row>
    <row r="99" spans="12:14">
      <c r="L99" s="63"/>
      <c r="N99" s="63"/>
    </row>
    <row r="100" spans="12:14">
      <c r="L100" s="63"/>
      <c r="N100" s="63"/>
    </row>
    <row r="101" spans="12:14">
      <c r="L101" s="63"/>
      <c r="N101" s="63"/>
    </row>
    <row r="102" spans="12:14">
      <c r="L102" s="63"/>
      <c r="N102" s="63"/>
    </row>
    <row r="103" spans="12:14">
      <c r="L103" s="63"/>
      <c r="N103" s="63"/>
    </row>
    <row r="104" spans="12:14">
      <c r="L104" s="63"/>
      <c r="N104" s="63"/>
    </row>
    <row r="105" spans="12:14">
      <c r="L105" s="63"/>
      <c r="N105" s="63"/>
    </row>
    <row r="106" spans="12:14">
      <c r="L106" s="63"/>
      <c r="N106" s="63"/>
    </row>
    <row r="107" spans="12:14">
      <c r="L107" s="63"/>
      <c r="N107" s="63"/>
    </row>
    <row r="108" spans="12:14">
      <c r="L108" s="63"/>
      <c r="N108" s="63"/>
    </row>
    <row r="109" spans="12:14">
      <c r="L109" s="63"/>
      <c r="N109" s="63"/>
    </row>
    <row r="110" spans="12:14">
      <c r="L110" s="63"/>
      <c r="N110" s="63"/>
    </row>
    <row r="111" spans="12:14">
      <c r="L111" s="63"/>
      <c r="N111" s="63"/>
    </row>
    <row r="112" spans="12:14">
      <c r="L112" s="63"/>
      <c r="N112" s="63"/>
    </row>
    <row r="113" spans="12:14">
      <c r="L113" s="63"/>
      <c r="N113" s="63"/>
    </row>
    <row r="114" spans="12:14">
      <c r="L114" s="63"/>
      <c r="N114" s="63"/>
    </row>
    <row r="115" spans="12:14">
      <c r="L115" s="63"/>
      <c r="N115" s="63"/>
    </row>
    <row r="116" spans="12:14">
      <c r="L116" s="63"/>
      <c r="N116" s="63"/>
    </row>
    <row r="117" spans="12:14">
      <c r="L117" s="63"/>
      <c r="N117" s="63"/>
    </row>
    <row r="118" spans="12:14">
      <c r="L118" s="63"/>
      <c r="N118" s="63"/>
    </row>
    <row r="119" spans="12:14">
      <c r="L119" s="63"/>
      <c r="N119" s="63"/>
    </row>
    <row r="120" spans="12:14">
      <c r="L120" s="63"/>
      <c r="N120" s="63"/>
    </row>
    <row r="121" spans="12:14">
      <c r="L121" s="63"/>
      <c r="N121" s="63"/>
    </row>
    <row r="122" spans="12:14">
      <c r="L122" s="63"/>
      <c r="N122" s="63"/>
    </row>
    <row r="123" spans="12:14">
      <c r="L123" s="63"/>
      <c r="N123" s="63"/>
    </row>
    <row r="124" spans="12:14">
      <c r="L124" s="63"/>
    </row>
    <row r="125" spans="12:14">
      <c r="L125" s="63"/>
    </row>
    <row r="126" spans="12:14">
      <c r="L126" s="63"/>
    </row>
    <row r="127" spans="12:14">
      <c r="L127" s="63"/>
    </row>
    <row r="128" spans="12:14">
      <c r="L128" s="63"/>
    </row>
    <row r="129" spans="12:12">
      <c r="L129" s="63"/>
    </row>
    <row r="130" spans="12:12">
      <c r="L130" s="63"/>
    </row>
    <row r="131" spans="12:12">
      <c r="L131" s="63"/>
    </row>
    <row r="132" spans="12:12">
      <c r="L132" s="63"/>
    </row>
    <row r="133" spans="12:12">
      <c r="L133" s="63"/>
    </row>
    <row r="134" spans="12:12">
      <c r="L134" s="63"/>
    </row>
    <row r="135" spans="12:12">
      <c r="L135" s="63"/>
    </row>
    <row r="136" spans="12:12">
      <c r="L136" s="63"/>
    </row>
    <row r="137" spans="12:12">
      <c r="L137" s="63"/>
    </row>
    <row r="138" spans="12:12">
      <c r="L138" s="63"/>
    </row>
    <row r="139" spans="12:12">
      <c r="L139" s="63"/>
    </row>
    <row r="140" spans="12:12">
      <c r="L140" s="63"/>
    </row>
    <row r="141" spans="12:12">
      <c r="L141" s="63"/>
    </row>
    <row r="142" spans="12:12">
      <c r="L142" s="63"/>
    </row>
    <row r="143" spans="12:12">
      <c r="L143" s="63"/>
    </row>
    <row r="144" spans="12:12">
      <c r="L144" s="63"/>
    </row>
    <row r="145" spans="12:12">
      <c r="L145" s="63"/>
    </row>
    <row r="146" spans="12:12">
      <c r="L146" s="63"/>
    </row>
    <row r="147" spans="12:12">
      <c r="L147" s="63"/>
    </row>
    <row r="148" spans="12:12">
      <c r="L148" s="63"/>
    </row>
    <row r="149" spans="12:12">
      <c r="L149" s="63"/>
    </row>
    <row r="150" spans="12:12">
      <c r="L150" s="63"/>
    </row>
    <row r="151" spans="12:12">
      <c r="L151" s="63"/>
    </row>
    <row r="152" spans="12:12">
      <c r="L152" s="63"/>
    </row>
    <row r="153" spans="12:12">
      <c r="L153" s="63"/>
    </row>
    <row r="154" spans="12:12">
      <c r="L154" s="63"/>
    </row>
    <row r="155" spans="12:12">
      <c r="L155" s="63"/>
    </row>
    <row r="156" spans="12:12">
      <c r="L156" s="63"/>
    </row>
    <row r="157" spans="12:12">
      <c r="L157" s="63"/>
    </row>
    <row r="158" spans="12:12">
      <c r="L158" s="63"/>
    </row>
    <row r="159" spans="12:12">
      <c r="L159" s="63"/>
    </row>
    <row r="160" spans="12:12">
      <c r="L160" s="63"/>
    </row>
    <row r="161" spans="12:12">
      <c r="L161" s="63"/>
    </row>
    <row r="162" spans="12:12">
      <c r="L162" s="63"/>
    </row>
    <row r="163" spans="12:12">
      <c r="L163" s="63"/>
    </row>
    <row r="164" spans="12:12">
      <c r="L164" s="63"/>
    </row>
    <row r="165" spans="12:12">
      <c r="L165" s="63"/>
    </row>
    <row r="166" spans="12:12">
      <c r="L166" s="63"/>
    </row>
    <row r="167" spans="12:12">
      <c r="L167" s="63"/>
    </row>
    <row r="168" spans="12:12">
      <c r="L168" s="63"/>
    </row>
    <row r="169" spans="12:12">
      <c r="L169" s="63"/>
    </row>
    <row r="170" spans="12:12">
      <c r="L170" s="63"/>
    </row>
    <row r="171" spans="12:12">
      <c r="L171" s="63"/>
    </row>
    <row r="172" spans="12:12">
      <c r="L172" s="63"/>
    </row>
    <row r="173" spans="12:12">
      <c r="L173" s="63"/>
    </row>
    <row r="174" spans="12:12">
      <c r="L174" s="63"/>
    </row>
    <row r="175" spans="12:12">
      <c r="L175" s="63"/>
    </row>
    <row r="176" spans="12:12">
      <c r="L176" s="63"/>
    </row>
    <row r="177" spans="12:12">
      <c r="L177" s="63"/>
    </row>
    <row r="178" spans="12:12">
      <c r="L178" s="63"/>
    </row>
    <row r="179" spans="12:12">
      <c r="L179" s="63"/>
    </row>
    <row r="180" spans="12:12">
      <c r="L180" s="63"/>
    </row>
    <row r="181" spans="12:12">
      <c r="L181" s="63"/>
    </row>
    <row r="182" spans="12:12">
      <c r="L182" s="63"/>
    </row>
    <row r="183" spans="12:12">
      <c r="L183" s="63"/>
    </row>
    <row r="184" spans="12:12">
      <c r="L184" s="63"/>
    </row>
    <row r="185" spans="12:12">
      <c r="L185" s="63"/>
    </row>
    <row r="186" spans="12:12">
      <c r="L186" s="63"/>
    </row>
    <row r="187" spans="12:12">
      <c r="L187" s="63"/>
    </row>
    <row r="188" spans="12:12">
      <c r="L188" s="63"/>
    </row>
    <row r="189" spans="12:12">
      <c r="L189" s="63"/>
    </row>
    <row r="190" spans="12:12">
      <c r="L190" s="63"/>
    </row>
    <row r="191" spans="12:12">
      <c r="L191" s="63"/>
    </row>
    <row r="192" spans="12:12">
      <c r="L192" s="63"/>
    </row>
    <row r="193" spans="12:12">
      <c r="L193" s="63"/>
    </row>
    <row r="194" spans="12:12">
      <c r="L194" s="63"/>
    </row>
    <row r="195" spans="12:12">
      <c r="L195" s="63"/>
    </row>
    <row r="196" spans="12:12">
      <c r="L196" s="63"/>
    </row>
    <row r="197" spans="12:12">
      <c r="L197" s="63"/>
    </row>
    <row r="198" spans="12:12">
      <c r="L198" s="63"/>
    </row>
    <row r="199" spans="12:12">
      <c r="L199" s="63"/>
    </row>
    <row r="200" spans="12:12">
      <c r="L200" s="63"/>
    </row>
    <row r="201" spans="12:12">
      <c r="L201" s="63"/>
    </row>
    <row r="202" spans="12:12">
      <c r="L202" s="63"/>
    </row>
    <row r="203" spans="12:12">
      <c r="L203" s="63"/>
    </row>
    <row r="204" spans="12:12">
      <c r="L204" s="63"/>
    </row>
    <row r="205" spans="12:12">
      <c r="L205" s="63"/>
    </row>
    <row r="206" spans="12:12">
      <c r="L206" s="63"/>
    </row>
    <row r="207" spans="12:12">
      <c r="L207" s="63"/>
    </row>
    <row r="208" spans="12:12">
      <c r="L208" s="63"/>
    </row>
    <row r="209" spans="12:12">
      <c r="L209" s="63"/>
    </row>
    <row r="210" spans="12:12">
      <c r="L210" s="63"/>
    </row>
    <row r="211" spans="12:12">
      <c r="L211" s="63"/>
    </row>
    <row r="212" spans="12:12">
      <c r="L212" s="63"/>
    </row>
    <row r="213" spans="12:12">
      <c r="L213" s="63"/>
    </row>
    <row r="214" spans="12:12">
      <c r="L214" s="63"/>
    </row>
    <row r="215" spans="12:12">
      <c r="L215" s="63"/>
    </row>
    <row r="216" spans="12:12">
      <c r="L216" s="63"/>
    </row>
    <row r="217" spans="12:12">
      <c r="L217" s="63"/>
    </row>
    <row r="218" spans="12:12">
      <c r="L218" s="63"/>
    </row>
    <row r="219" spans="12:12">
      <c r="L219" s="63"/>
    </row>
    <row r="220" spans="12:12">
      <c r="L220" s="63"/>
    </row>
    <row r="221" spans="12:12">
      <c r="L221" s="63"/>
    </row>
    <row r="222" spans="12:12">
      <c r="L222" s="63"/>
    </row>
    <row r="223" spans="12:12">
      <c r="L223" s="63"/>
    </row>
    <row r="224" spans="12:12">
      <c r="L224" s="63"/>
    </row>
    <row r="225" spans="12:12">
      <c r="L225" s="63"/>
    </row>
    <row r="226" spans="12:12">
      <c r="L226" s="63"/>
    </row>
    <row r="227" spans="12:12">
      <c r="L227" s="63"/>
    </row>
    <row r="228" spans="12:12">
      <c r="L228" s="63"/>
    </row>
    <row r="229" spans="12:12">
      <c r="L229" s="63"/>
    </row>
    <row r="230" spans="12:12">
      <c r="L230" s="63"/>
    </row>
    <row r="231" spans="12:12">
      <c r="L231" s="63"/>
    </row>
    <row r="232" spans="12:12">
      <c r="L232" s="63"/>
    </row>
    <row r="233" spans="12:12">
      <c r="L233" s="63"/>
    </row>
    <row r="234" spans="12:12">
      <c r="L234" s="63"/>
    </row>
    <row r="235" spans="12:12">
      <c r="L235" s="63"/>
    </row>
    <row r="236" spans="12:12">
      <c r="L236" s="63"/>
    </row>
    <row r="237" spans="12:12">
      <c r="L237" s="63"/>
    </row>
    <row r="238" spans="12:12">
      <c r="L238" s="63"/>
    </row>
    <row r="239" spans="12:12">
      <c r="L239" s="63"/>
    </row>
    <row r="240" spans="12:12">
      <c r="L240" s="63"/>
    </row>
    <row r="241" spans="12:12">
      <c r="L241" s="63"/>
    </row>
    <row r="242" spans="12:12">
      <c r="L242" s="63"/>
    </row>
    <row r="243" spans="12:12">
      <c r="L243" s="63"/>
    </row>
    <row r="244" spans="12:12">
      <c r="L244" s="63"/>
    </row>
    <row r="245" spans="12:12">
      <c r="L245" s="63"/>
    </row>
    <row r="246" spans="12:12">
      <c r="L246" s="63"/>
    </row>
    <row r="247" spans="12:12">
      <c r="L247" s="63"/>
    </row>
    <row r="248" spans="12:12">
      <c r="L248" s="63"/>
    </row>
    <row r="249" spans="12:12">
      <c r="L249" s="63"/>
    </row>
    <row r="250" spans="12:12">
      <c r="L250" s="63"/>
    </row>
    <row r="251" spans="12:12">
      <c r="L251" s="63"/>
    </row>
    <row r="252" spans="12:12">
      <c r="L252" s="63"/>
    </row>
    <row r="253" spans="12:12">
      <c r="L253" s="63"/>
    </row>
    <row r="254" spans="12:12">
      <c r="L254" s="63"/>
    </row>
    <row r="255" spans="12:12">
      <c r="L255" s="63"/>
    </row>
    <row r="256" spans="12:12">
      <c r="L256" s="63"/>
    </row>
    <row r="257" spans="12:12">
      <c r="L257" s="63"/>
    </row>
    <row r="258" spans="12:12">
      <c r="L258" s="63"/>
    </row>
    <row r="259" spans="12:12">
      <c r="L259" s="63"/>
    </row>
    <row r="260" spans="12:12">
      <c r="L260" s="63"/>
    </row>
    <row r="261" spans="12:12">
      <c r="L261" s="63"/>
    </row>
    <row r="262" spans="12:12">
      <c r="L262" s="63"/>
    </row>
    <row r="263" spans="12:12">
      <c r="L263" s="63"/>
    </row>
    <row r="264" spans="12:12">
      <c r="L264" s="63"/>
    </row>
    <row r="265" spans="12:12">
      <c r="L265" s="63"/>
    </row>
    <row r="266" spans="12:12">
      <c r="L266" s="63"/>
    </row>
    <row r="267" spans="12:12">
      <c r="L267" s="63"/>
    </row>
    <row r="268" spans="12:12">
      <c r="L268" s="63"/>
    </row>
    <row r="269" spans="12:12">
      <c r="L269" s="63"/>
    </row>
    <row r="270" spans="12:12">
      <c r="L270" s="63"/>
    </row>
    <row r="271" spans="12:12">
      <c r="L271" s="63"/>
    </row>
    <row r="272" spans="12:12">
      <c r="L272" s="63"/>
    </row>
    <row r="273" spans="12:12">
      <c r="L273" s="63"/>
    </row>
    <row r="274" spans="12:12">
      <c r="L274" s="63"/>
    </row>
    <row r="275" spans="12:12">
      <c r="L275" s="63"/>
    </row>
    <row r="276" spans="12:12">
      <c r="L276" s="63"/>
    </row>
    <row r="277" spans="12:12">
      <c r="L277" s="63"/>
    </row>
    <row r="278" spans="12:12">
      <c r="L278" s="63"/>
    </row>
    <row r="279" spans="12:12">
      <c r="L279" s="63"/>
    </row>
    <row r="280" spans="12:12">
      <c r="L280" s="63"/>
    </row>
    <row r="281" spans="12:12">
      <c r="L281" s="63"/>
    </row>
    <row r="282" spans="12:12">
      <c r="L282" s="63"/>
    </row>
    <row r="283" spans="12:12">
      <c r="L283" s="63"/>
    </row>
    <row r="284" spans="12:12">
      <c r="L284" s="63"/>
    </row>
    <row r="285" spans="12:12">
      <c r="L285" s="63"/>
    </row>
    <row r="286" spans="12:12">
      <c r="L286" s="63"/>
    </row>
    <row r="287" spans="12:12">
      <c r="L287" s="63"/>
    </row>
    <row r="288" spans="12:12">
      <c r="L288" s="63"/>
    </row>
    <row r="289" spans="12:12">
      <c r="L289" s="63"/>
    </row>
    <row r="290" spans="12:12">
      <c r="L290" s="63"/>
    </row>
    <row r="291" spans="12:12">
      <c r="L291" s="63"/>
    </row>
    <row r="292" spans="12:12">
      <c r="L292" s="63"/>
    </row>
    <row r="293" spans="12:12">
      <c r="L293" s="63"/>
    </row>
    <row r="294" spans="12:12">
      <c r="L294" s="63"/>
    </row>
    <row r="295" spans="12:12">
      <c r="L295" s="63"/>
    </row>
    <row r="296" spans="12:12">
      <c r="L296" s="63"/>
    </row>
    <row r="297" spans="12:12">
      <c r="L297" s="63"/>
    </row>
    <row r="298" spans="12:12">
      <c r="L298" s="63"/>
    </row>
    <row r="299" spans="12:12">
      <c r="L299" s="63"/>
    </row>
    <row r="300" spans="12:12">
      <c r="L300" s="63"/>
    </row>
    <row r="301" spans="12:12">
      <c r="L301" s="63"/>
    </row>
    <row r="302" spans="12:12">
      <c r="L302" s="63"/>
    </row>
    <row r="303" spans="12:12">
      <c r="L303" s="63"/>
    </row>
    <row r="304" spans="12:12">
      <c r="L304" s="63"/>
    </row>
    <row r="305" spans="12:12">
      <c r="L305" s="63"/>
    </row>
    <row r="306" spans="12:12">
      <c r="L306" s="63"/>
    </row>
    <row r="307" spans="12:12">
      <c r="L307" s="63"/>
    </row>
    <row r="308" spans="12:12">
      <c r="L308" s="63"/>
    </row>
    <row r="309" spans="12:12">
      <c r="L309" s="63"/>
    </row>
    <row r="310" spans="12:12">
      <c r="L310" s="63"/>
    </row>
    <row r="311" spans="12:12">
      <c r="L311" s="63"/>
    </row>
    <row r="312" spans="12:12">
      <c r="L312" s="63"/>
    </row>
    <row r="313" spans="12:12">
      <c r="L313" s="63"/>
    </row>
    <row r="314" spans="12:12">
      <c r="L314" s="63"/>
    </row>
    <row r="315" spans="12:12">
      <c r="L315" s="63"/>
    </row>
    <row r="316" spans="12:12">
      <c r="L316" s="63"/>
    </row>
    <row r="317" spans="12:12">
      <c r="L317" s="63"/>
    </row>
    <row r="318" spans="12:12">
      <c r="L318" s="63"/>
    </row>
    <row r="319" spans="12:12">
      <c r="L319" s="63"/>
    </row>
    <row r="320" spans="12:12">
      <c r="L320" s="63"/>
    </row>
    <row r="321" spans="12:12">
      <c r="L321" s="63"/>
    </row>
    <row r="322" spans="12:12">
      <c r="L322" s="63"/>
    </row>
    <row r="323" spans="12:12">
      <c r="L323" s="63"/>
    </row>
    <row r="324" spans="12:12">
      <c r="L324" s="63"/>
    </row>
    <row r="325" spans="12:12">
      <c r="L325" s="63"/>
    </row>
    <row r="326" spans="12:12">
      <c r="L326" s="63"/>
    </row>
    <row r="327" spans="12:12">
      <c r="L327" s="63"/>
    </row>
    <row r="328" spans="12:12">
      <c r="L328" s="63"/>
    </row>
    <row r="329" spans="12:12">
      <c r="L329" s="63"/>
    </row>
    <row r="330" spans="12:12">
      <c r="L330" s="63"/>
    </row>
    <row r="331" spans="12:12">
      <c r="L331" s="63"/>
    </row>
    <row r="332" spans="12:12">
      <c r="L332" s="63"/>
    </row>
    <row r="333" spans="12:12">
      <c r="L333" s="63"/>
    </row>
    <row r="334" spans="12:12">
      <c r="L334" s="63"/>
    </row>
    <row r="335" spans="12:12">
      <c r="L335" s="63"/>
    </row>
    <row r="336" spans="12:12">
      <c r="L336" s="63"/>
    </row>
    <row r="337" spans="12:12">
      <c r="L337" s="63"/>
    </row>
    <row r="338" spans="12:12">
      <c r="L338" s="63"/>
    </row>
    <row r="339" spans="12:12">
      <c r="L339" s="63"/>
    </row>
    <row r="340" spans="12:12">
      <c r="L340" s="63"/>
    </row>
    <row r="341" spans="12:12">
      <c r="L341" s="63"/>
    </row>
    <row r="342" spans="12:12">
      <c r="L342" s="63"/>
    </row>
    <row r="343" spans="12:12">
      <c r="L343" s="63"/>
    </row>
    <row r="344" spans="12:12">
      <c r="L344" s="63"/>
    </row>
    <row r="345" spans="12:12">
      <c r="L345" s="63"/>
    </row>
    <row r="346" spans="12:12">
      <c r="L346" s="63"/>
    </row>
    <row r="347" spans="12:12">
      <c r="L347" s="63"/>
    </row>
    <row r="348" spans="12:12">
      <c r="L348" s="63"/>
    </row>
    <row r="349" spans="12:12">
      <c r="L349" s="63"/>
    </row>
    <row r="350" spans="12:12">
      <c r="L350" s="63"/>
    </row>
    <row r="351" spans="12:12">
      <c r="L351" s="63"/>
    </row>
    <row r="352" spans="12:12">
      <c r="L352" s="63"/>
    </row>
    <row r="353" spans="12:12">
      <c r="L353" s="63"/>
    </row>
    <row r="354" spans="12:12">
      <c r="L354" s="63"/>
    </row>
    <row r="355" spans="12:12">
      <c r="L355" s="63"/>
    </row>
    <row r="356" spans="12:12">
      <c r="L356" s="63"/>
    </row>
    <row r="357" spans="12:12">
      <c r="L357" s="63"/>
    </row>
    <row r="358" spans="12:12">
      <c r="L358" s="63"/>
    </row>
    <row r="359" spans="12:12">
      <c r="L359" s="63"/>
    </row>
    <row r="360" spans="12:12">
      <c r="L360" s="63"/>
    </row>
    <row r="361" spans="12:12">
      <c r="L361" s="63"/>
    </row>
    <row r="362" spans="12:12">
      <c r="L362" s="63"/>
    </row>
    <row r="363" spans="12:12">
      <c r="L363" s="63"/>
    </row>
    <row r="364" spans="12:12">
      <c r="L364" s="63"/>
    </row>
    <row r="365" spans="12:12">
      <c r="L365" s="63"/>
    </row>
  </sheetData>
  <phoneticPr fontId="2" type="noConversion"/>
  <dataValidations count="1">
    <dataValidation allowBlank="1" showInputMessage="1" showErrorMessage="1" sqref="C3:C31 E3:E31" xr:uid="{8E86A232-CC75-420E-95A6-9A6D894ABD4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A67226-08F4-4F91-8A43-2BF88AE400E6}">
          <x14:formula1>
            <xm:f>기계코드!$F$5:$F$43</xm:f>
          </x14:formula1>
          <xm:sqref>C32:C75</xm:sqref>
        </x14:dataValidation>
        <x14:dataValidation type="list" allowBlank="1" showInputMessage="1" showErrorMessage="1" xr:uid="{4534C348-F5E2-4B74-8D2C-55FB0C2F662C}">
          <x14:formula1>
            <xm:f>공급업체코드!$D$3:$D$103</xm:f>
          </x14:formula1>
          <xm:sqref>E32:E75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69A3-8989-4E06-B371-7964C259BDAA}">
  <dimension ref="A1:AB372"/>
  <sheetViews>
    <sheetView workbookViewId="0">
      <pane ySplit="2" topLeftCell="A3" activePane="bottomLeft" state="frozen"/>
      <selection pane="bottomLeft" activeCell="D3" sqref="D3"/>
    </sheetView>
  </sheetViews>
  <sheetFormatPr defaultRowHeight="16.5"/>
  <cols>
    <col min="1" max="1" width="24" bestFit="1" customWidth="1"/>
    <col min="2" max="2" width="32" bestFit="1" customWidth="1"/>
    <col min="3" max="3" width="20.75" bestFit="1" customWidth="1"/>
    <col min="4" max="4" width="16.75" bestFit="1" customWidth="1"/>
    <col min="5" max="5" width="15.25" bestFit="1" customWidth="1"/>
    <col min="6" max="6" width="13.75" bestFit="1" customWidth="1"/>
    <col min="7" max="7" width="22.875" bestFit="1" customWidth="1"/>
    <col min="8" max="8" width="22.25" bestFit="1" customWidth="1"/>
    <col min="9" max="9" width="16.25" bestFit="1" customWidth="1"/>
    <col min="10" max="10" width="16.625" bestFit="1" customWidth="1"/>
    <col min="11" max="11" width="15.25" bestFit="1" customWidth="1"/>
    <col min="12" max="12" width="13.375" style="178" bestFit="1" customWidth="1"/>
    <col min="13" max="13" width="25.875" bestFit="1" customWidth="1"/>
    <col min="14" max="14" width="16.625" bestFit="1" customWidth="1"/>
    <col min="15" max="15" width="18.25" style="178" bestFit="1" customWidth="1"/>
    <col min="16" max="16" width="21.25" bestFit="1" customWidth="1"/>
    <col min="17" max="17" width="21.25" style="113" customWidth="1"/>
    <col min="19" max="19" width="29.125" bestFit="1" customWidth="1"/>
    <col min="20" max="20" width="20.625" customWidth="1"/>
  </cols>
  <sheetData>
    <row r="1" spans="1:28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249" t="s">
        <v>1316</v>
      </c>
      <c r="I1" s="10" t="s">
        <v>1855</v>
      </c>
      <c r="J1" s="10" t="s">
        <v>1856</v>
      </c>
      <c r="K1" s="10" t="s">
        <v>1324</v>
      </c>
      <c r="L1" s="10" t="s">
        <v>1290</v>
      </c>
      <c r="M1" s="10" t="s">
        <v>1291</v>
      </c>
      <c r="N1" s="10" t="s">
        <v>1292</v>
      </c>
      <c r="O1" s="10" t="s">
        <v>1293</v>
      </c>
      <c r="P1" s="17" t="s">
        <v>1294</v>
      </c>
      <c r="Q1" s="61" t="s">
        <v>1295</v>
      </c>
      <c r="R1" s="10" t="s">
        <v>1296</v>
      </c>
      <c r="S1" s="10" t="s">
        <v>1297</v>
      </c>
      <c r="T1" s="210" t="s">
        <v>1298</v>
      </c>
      <c r="U1" s="10"/>
      <c r="V1" s="10"/>
      <c r="W1" s="10"/>
      <c r="X1" s="10"/>
      <c r="Y1" s="10"/>
      <c r="Z1" s="10"/>
      <c r="AA1" s="10"/>
      <c r="AB1" s="10"/>
    </row>
    <row r="2" spans="1:28">
      <c r="A2" s="1"/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23" t="s">
        <v>1302</v>
      </c>
      <c r="H2" s="280" t="s">
        <v>1325</v>
      </c>
      <c r="I2" s="114" t="s">
        <v>1857</v>
      </c>
      <c r="J2" s="114" t="s">
        <v>1858</v>
      </c>
      <c r="K2" s="179" t="s">
        <v>1333</v>
      </c>
      <c r="L2" s="176" t="s">
        <v>1305</v>
      </c>
      <c r="M2" s="114" t="s">
        <v>1306</v>
      </c>
      <c r="N2" s="180" t="s">
        <v>1307</v>
      </c>
      <c r="O2" s="234" t="s">
        <v>1308</v>
      </c>
      <c r="P2" s="235" t="s">
        <v>1309</v>
      </c>
      <c r="Q2" s="241" t="s">
        <v>1310</v>
      </c>
      <c r="R2" s="109" t="s">
        <v>1311</v>
      </c>
      <c r="S2" s="100" t="s">
        <v>10</v>
      </c>
      <c r="T2" s="242" t="s">
        <v>1312</v>
      </c>
      <c r="U2" s="1"/>
      <c r="V2" s="1"/>
      <c r="W2" s="1"/>
      <c r="X2" s="1"/>
      <c r="Y2" s="1"/>
      <c r="Z2" s="41"/>
      <c r="AA2" s="41"/>
      <c r="AB2" s="41"/>
    </row>
    <row r="3" spans="1:28">
      <c r="A3" s="228" t="s">
        <v>1859</v>
      </c>
      <c r="B3" s="1" t="str">
        <f t="shared" ref="B3:B8" si="0">D3&amp;"_"&amp;F3&amp;"_"&amp;H3</f>
        <v>M_HEX01_VM_0000_25000</v>
      </c>
      <c r="C3" s="92" t="s">
        <v>717</v>
      </c>
      <c r="D3" s="92" t="str" cm="1">
        <f t="array" ref="D3">INDEX(기계코드!$D$4:$D$1022,MATCH(1,(C3=기계코드!$F$4:$F$1022)*1,0))</f>
        <v>M_HEX01</v>
      </c>
      <c r="E3" s="92" t="s">
        <v>1125</v>
      </c>
      <c r="F3" s="92" t="str" cm="1">
        <f t="array" ref="F3">INDEX(공급업체코드!$B$3:$B$1000,MATCH(1,(E3=공급업체코드!$D$3:$D$1000)*1,0))</f>
        <v>VM_0000</v>
      </c>
      <c r="G3" s="243"/>
      <c r="H3" s="110">
        <f>I3*1000</f>
        <v>25000</v>
      </c>
      <c r="I3" s="64">
        <v>25</v>
      </c>
      <c r="J3" s="64"/>
      <c r="K3">
        <v>0.123</v>
      </c>
      <c r="L3" s="230" t="s">
        <v>1390</v>
      </c>
      <c r="M3" s="10"/>
      <c r="N3" s="232" t="s">
        <v>1391</v>
      </c>
      <c r="O3" s="238">
        <v>999</v>
      </c>
      <c r="P3" s="239"/>
      <c r="Q3" s="240" t="s">
        <v>1354</v>
      </c>
      <c r="R3" s="1" t="b">
        <v>1</v>
      </c>
      <c r="T3" s="34"/>
      <c r="Z3" s="41"/>
      <c r="AA3" s="41"/>
      <c r="AB3" s="41"/>
    </row>
    <row r="4" spans="1:28">
      <c r="A4" s="228" t="s">
        <v>1860</v>
      </c>
      <c r="B4" s="1" t="str">
        <f t="shared" si="0"/>
        <v>M_HEX01_VM_0000_40000</v>
      </c>
      <c r="C4" s="92" t="s">
        <v>717</v>
      </c>
      <c r="D4" s="92" t="str" cm="1">
        <f t="array" ref="D4">INDEX(기계코드!$D$4:$D$1022,MATCH(1,(C4=기계코드!$F$4:$F$1022)*1,0))</f>
        <v>M_HEX01</v>
      </c>
      <c r="E4" s="92" t="s">
        <v>1125</v>
      </c>
      <c r="F4" s="92" t="str" cm="1">
        <f t="array" ref="F4">INDEX(공급업체코드!$B$3:$B$1000,MATCH(1,(E4=공급업체코드!$D$3:$D$1000)*1,0))</f>
        <v>VM_0000</v>
      </c>
      <c r="G4" s="243"/>
      <c r="H4" s="110">
        <f t="shared" ref="H4:H8" si="1">I4*1000</f>
        <v>40000</v>
      </c>
      <c r="I4" s="64">
        <v>40</v>
      </c>
      <c r="J4" s="64"/>
      <c r="K4">
        <v>0.123</v>
      </c>
      <c r="L4" s="231" t="s">
        <v>1390</v>
      </c>
      <c r="M4" s="10"/>
      <c r="N4" s="233" t="s">
        <v>1391</v>
      </c>
      <c r="O4" s="236">
        <v>999</v>
      </c>
      <c r="Q4" s="113" t="s">
        <v>1354</v>
      </c>
      <c r="R4" s="1" t="b">
        <v>1</v>
      </c>
      <c r="T4" s="34"/>
      <c r="Z4" s="41"/>
      <c r="AA4" s="41"/>
      <c r="AB4" s="41"/>
    </row>
    <row r="5" spans="1:28">
      <c r="A5" s="228" t="s">
        <v>1861</v>
      </c>
      <c r="B5" s="1" t="str">
        <f t="shared" si="0"/>
        <v>M_HEX01_VM_0000_65000</v>
      </c>
      <c r="C5" s="92" t="s">
        <v>717</v>
      </c>
      <c r="D5" s="92" t="str" cm="1">
        <f t="array" ref="D5">INDEX(기계코드!$D$4:$D$1022,MATCH(1,(C5=기계코드!$F$4:$F$1022)*1,0))</f>
        <v>M_HEX01</v>
      </c>
      <c r="E5" s="92" t="s">
        <v>1125</v>
      </c>
      <c r="F5" s="92" t="str" cm="1">
        <f t="array" ref="F5">INDEX(공급업체코드!$B$3:$B$1000,MATCH(1,(E5=공급업체코드!$D$3:$D$1000)*1,0))</f>
        <v>VM_0000</v>
      </c>
      <c r="G5" s="243"/>
      <c r="H5" s="110">
        <f t="shared" si="1"/>
        <v>65000</v>
      </c>
      <c r="I5" s="64">
        <v>65</v>
      </c>
      <c r="J5" s="64"/>
      <c r="K5">
        <v>0.123</v>
      </c>
      <c r="L5" s="231" t="s">
        <v>1390</v>
      </c>
      <c r="M5" s="10"/>
      <c r="N5" s="233" t="s">
        <v>1391</v>
      </c>
      <c r="O5" s="236">
        <v>999</v>
      </c>
      <c r="Q5" s="113" t="s">
        <v>1354</v>
      </c>
      <c r="R5" s="1" t="b">
        <v>1</v>
      </c>
      <c r="T5" s="34"/>
      <c r="Z5" s="41"/>
      <c r="AA5" s="41"/>
      <c r="AB5" s="41"/>
    </row>
    <row r="6" spans="1:28">
      <c r="A6" s="228" t="s">
        <v>1862</v>
      </c>
      <c r="B6" s="1" t="str">
        <f t="shared" si="0"/>
        <v>M_HEX01_VM_0000_80000</v>
      </c>
      <c r="C6" s="92" t="s">
        <v>717</v>
      </c>
      <c r="D6" s="92" t="str" cm="1">
        <f t="array" ref="D6">INDEX(기계코드!$D$4:$D$1022,MATCH(1,(C6=기계코드!$F$4:$F$1022)*1,0))</f>
        <v>M_HEX01</v>
      </c>
      <c r="E6" s="92" t="s">
        <v>1125</v>
      </c>
      <c r="F6" s="92" t="str" cm="1">
        <f t="array" ref="F6">INDEX(공급업체코드!$B$3:$B$1000,MATCH(1,(E6=공급업체코드!$D$3:$D$1000)*1,0))</f>
        <v>VM_0000</v>
      </c>
      <c r="G6" s="243"/>
      <c r="H6" s="110">
        <f t="shared" si="1"/>
        <v>80000</v>
      </c>
      <c r="I6" s="64">
        <v>80</v>
      </c>
      <c r="J6" s="64"/>
      <c r="K6">
        <v>0.123</v>
      </c>
      <c r="L6" s="231" t="s">
        <v>1390</v>
      </c>
      <c r="M6" s="10"/>
      <c r="N6" s="233" t="s">
        <v>1391</v>
      </c>
      <c r="O6" s="236">
        <v>999</v>
      </c>
      <c r="Q6" s="113" t="s">
        <v>1354</v>
      </c>
      <c r="R6" s="1" t="b">
        <v>1</v>
      </c>
      <c r="T6" s="34"/>
      <c r="Z6" s="41"/>
      <c r="AA6" s="41"/>
      <c r="AB6" s="41"/>
    </row>
    <row r="7" spans="1:28">
      <c r="A7" s="228" t="s">
        <v>1863</v>
      </c>
      <c r="B7" s="1" t="str">
        <f t="shared" si="0"/>
        <v>M_HEX01_VM_0000_100000</v>
      </c>
      <c r="C7" s="92" t="s">
        <v>717</v>
      </c>
      <c r="D7" s="92" t="str" cm="1">
        <f t="array" ref="D7">INDEX(기계코드!$D$4:$D$1022,MATCH(1,(C7=기계코드!$F$4:$F$1022)*1,0))</f>
        <v>M_HEX01</v>
      </c>
      <c r="E7" s="92" t="s">
        <v>1125</v>
      </c>
      <c r="F7" s="92" t="str" cm="1">
        <f t="array" ref="F7">INDEX(공급업체코드!$B$3:$B$1000,MATCH(1,(E7=공급업체코드!$D$3:$D$1000)*1,0))</f>
        <v>VM_0000</v>
      </c>
      <c r="G7" s="243"/>
      <c r="H7" s="110">
        <f t="shared" si="1"/>
        <v>100000</v>
      </c>
      <c r="I7" s="64">
        <v>100</v>
      </c>
      <c r="J7" s="64"/>
      <c r="K7">
        <v>0.123</v>
      </c>
      <c r="L7" s="231" t="s">
        <v>1390</v>
      </c>
      <c r="M7" s="10"/>
      <c r="N7" s="233" t="s">
        <v>1391</v>
      </c>
      <c r="O7" s="236">
        <v>999</v>
      </c>
      <c r="Q7" s="113" t="s">
        <v>1354</v>
      </c>
      <c r="R7" s="1" t="b">
        <v>1</v>
      </c>
      <c r="T7" s="34"/>
      <c r="Z7" s="41"/>
      <c r="AA7" s="41"/>
      <c r="AB7" s="41"/>
    </row>
    <row r="8" spans="1:28">
      <c r="A8" s="228" t="s">
        <v>1864</v>
      </c>
      <c r="B8" s="1" t="str">
        <f t="shared" si="0"/>
        <v>M_HEX01_VM_0000_150000</v>
      </c>
      <c r="C8" s="92" t="s">
        <v>717</v>
      </c>
      <c r="D8" s="92" t="str" cm="1">
        <f t="array" ref="D8">INDEX(기계코드!$D$4:$D$1022,MATCH(1,(C8=기계코드!$F$4:$F$1022)*1,0))</f>
        <v>M_HEX01</v>
      </c>
      <c r="E8" s="92" t="s">
        <v>1125</v>
      </c>
      <c r="F8" s="92" t="str" cm="1">
        <f t="array" ref="F8">INDEX(공급업체코드!$B$3:$B$1000,MATCH(1,(E8=공급업체코드!$D$3:$D$1000)*1,0))</f>
        <v>VM_0000</v>
      </c>
      <c r="G8" s="243"/>
      <c r="H8" s="110">
        <f t="shared" si="1"/>
        <v>150000</v>
      </c>
      <c r="I8" s="64">
        <v>150</v>
      </c>
      <c r="J8" s="64"/>
      <c r="K8">
        <v>0.123</v>
      </c>
      <c r="L8" s="231" t="s">
        <v>1390</v>
      </c>
      <c r="M8" s="10"/>
      <c r="N8" s="233" t="s">
        <v>1391</v>
      </c>
      <c r="O8" s="236">
        <v>999</v>
      </c>
      <c r="Q8" s="113" t="s">
        <v>1354</v>
      </c>
      <c r="R8" s="1" t="b">
        <v>1</v>
      </c>
      <c r="Z8" s="41"/>
      <c r="AA8" s="41"/>
      <c r="AB8" s="41"/>
    </row>
    <row r="9" spans="1:28">
      <c r="B9" s="1"/>
      <c r="C9" s="92"/>
      <c r="D9" s="92"/>
      <c r="E9" s="92"/>
      <c r="F9" s="92"/>
      <c r="G9" s="113"/>
      <c r="I9" s="64"/>
      <c r="J9" s="64"/>
      <c r="L9" s="177"/>
      <c r="N9" s="63"/>
      <c r="O9" s="236"/>
      <c r="R9" s="1"/>
      <c r="Z9" s="111"/>
      <c r="AA9" s="111"/>
      <c r="AB9" s="41"/>
    </row>
    <row r="10" spans="1:28">
      <c r="B10" s="1"/>
      <c r="C10" s="92"/>
      <c r="D10" s="92"/>
      <c r="E10" s="92"/>
      <c r="F10" s="92"/>
      <c r="G10" s="113"/>
      <c r="I10" s="64"/>
      <c r="J10" s="64"/>
      <c r="L10" s="177"/>
      <c r="N10" s="63"/>
      <c r="O10" s="236"/>
      <c r="R10" s="1"/>
      <c r="Z10" s="111"/>
      <c r="AA10" s="111"/>
      <c r="AB10" s="111"/>
    </row>
    <row r="11" spans="1:28">
      <c r="B11" s="1"/>
      <c r="C11" s="92"/>
      <c r="D11" s="92"/>
      <c r="E11" s="92"/>
      <c r="F11" s="92"/>
      <c r="G11" s="113"/>
      <c r="I11" s="64"/>
      <c r="J11" s="64"/>
      <c r="L11" s="177"/>
      <c r="N11" s="63"/>
      <c r="O11" s="236"/>
      <c r="R11" s="1"/>
      <c r="Z11" s="111"/>
      <c r="AA11" s="111"/>
      <c r="AB11" s="41"/>
    </row>
    <row r="12" spans="1:28">
      <c r="B12" s="1"/>
      <c r="C12" s="92"/>
      <c r="D12" s="92"/>
      <c r="E12" s="92"/>
      <c r="F12" s="92"/>
      <c r="G12" s="113"/>
      <c r="H12" s="64"/>
      <c r="I12" s="64"/>
      <c r="J12" s="64"/>
      <c r="L12" s="177"/>
      <c r="N12" s="63"/>
      <c r="O12" s="236"/>
      <c r="R12" s="1"/>
      <c r="Z12" s="41"/>
      <c r="AA12" s="41"/>
      <c r="AB12" s="41"/>
    </row>
    <row r="13" spans="1:28">
      <c r="B13" s="1"/>
      <c r="C13" s="92"/>
      <c r="D13" s="92"/>
      <c r="E13" s="92"/>
      <c r="F13" s="92"/>
      <c r="G13" s="113"/>
      <c r="H13" s="64"/>
      <c r="I13" s="64"/>
      <c r="J13" s="64"/>
      <c r="L13" s="177"/>
      <c r="N13" s="63"/>
      <c r="R13" s="1"/>
      <c r="Z13" s="111"/>
      <c r="AA13" s="111"/>
      <c r="AB13" s="41"/>
    </row>
    <row r="14" spans="1:28">
      <c r="B14" s="1"/>
      <c r="C14" s="92"/>
      <c r="D14" s="92"/>
      <c r="E14" s="92"/>
      <c r="F14" s="92"/>
      <c r="G14" s="113"/>
      <c r="H14" s="64"/>
      <c r="I14" s="64"/>
      <c r="J14" s="64"/>
      <c r="L14" s="177"/>
      <c r="N14" s="63"/>
      <c r="R14" s="1"/>
      <c r="Z14" s="41"/>
      <c r="AA14" s="41"/>
      <c r="AB14" s="41"/>
    </row>
    <row r="15" spans="1:28">
      <c r="B15" s="1"/>
      <c r="C15" s="92"/>
      <c r="D15" s="92"/>
      <c r="E15" s="92"/>
      <c r="F15" s="92"/>
      <c r="G15" s="113"/>
      <c r="H15" s="64"/>
      <c r="I15" s="64"/>
      <c r="J15" s="64"/>
      <c r="L15" s="177"/>
      <c r="N15" s="63"/>
      <c r="R15" s="1"/>
      <c r="Z15" s="41"/>
      <c r="AA15" s="41"/>
      <c r="AB15" s="41"/>
    </row>
    <row r="16" spans="1:28">
      <c r="B16" s="1"/>
      <c r="C16" s="92"/>
      <c r="D16" s="92"/>
      <c r="E16" s="92"/>
      <c r="F16" s="92"/>
      <c r="G16" s="113"/>
      <c r="H16" s="64"/>
      <c r="I16" s="64"/>
      <c r="J16" s="64"/>
      <c r="L16" s="177"/>
      <c r="N16" s="63"/>
      <c r="R16" s="1"/>
      <c r="Z16" s="111"/>
      <c r="AA16" s="111"/>
      <c r="AB16" s="41"/>
    </row>
    <row r="17" spans="2:28">
      <c r="B17" s="1"/>
      <c r="C17" s="92"/>
      <c r="D17" s="92"/>
      <c r="E17" s="92"/>
      <c r="F17" s="92"/>
      <c r="G17" s="113"/>
      <c r="H17" s="64"/>
      <c r="I17" s="64"/>
      <c r="J17" s="64"/>
      <c r="L17" s="177"/>
      <c r="N17" s="63"/>
      <c r="R17" s="1"/>
      <c r="Z17" s="41"/>
      <c r="AA17" s="41"/>
      <c r="AB17" s="41"/>
    </row>
    <row r="18" spans="2:28">
      <c r="B18" s="1"/>
      <c r="C18" s="92"/>
      <c r="D18" s="92"/>
      <c r="E18" s="92"/>
      <c r="F18" s="92"/>
      <c r="G18" s="18"/>
      <c r="H18" s="64"/>
      <c r="I18" s="64"/>
      <c r="J18" s="64"/>
      <c r="L18" s="177"/>
      <c r="N18" s="63"/>
      <c r="O18" s="236"/>
      <c r="R18" s="1"/>
      <c r="Z18" s="41"/>
      <c r="AA18" s="41"/>
      <c r="AB18" s="41"/>
    </row>
    <row r="19" spans="2:28">
      <c r="B19" s="1"/>
      <c r="C19" s="92"/>
      <c r="D19" s="92"/>
      <c r="E19" s="92"/>
      <c r="F19" s="92"/>
      <c r="G19" s="18"/>
      <c r="H19" s="64"/>
      <c r="I19" s="64"/>
      <c r="J19" s="64"/>
      <c r="L19" s="177"/>
      <c r="N19" s="63"/>
      <c r="O19" s="236"/>
      <c r="R19" s="1"/>
      <c r="Z19" s="111"/>
      <c r="AA19" s="111"/>
      <c r="AB19" s="41"/>
    </row>
    <row r="20" spans="2:28">
      <c r="B20" s="1"/>
      <c r="C20" s="92"/>
      <c r="D20" s="92"/>
      <c r="E20" s="92"/>
      <c r="F20" s="92"/>
      <c r="G20" s="18"/>
      <c r="H20" s="64"/>
      <c r="I20" s="64"/>
      <c r="J20" s="64"/>
      <c r="L20" s="177"/>
      <c r="N20" s="63"/>
      <c r="O20" s="236"/>
      <c r="R20" s="1"/>
      <c r="Z20" s="41"/>
      <c r="AA20" s="41"/>
      <c r="AB20" s="41"/>
    </row>
    <row r="21" spans="2:28">
      <c r="B21" s="1"/>
      <c r="C21" s="92"/>
      <c r="D21" s="92"/>
      <c r="E21" s="92"/>
      <c r="F21" s="92"/>
      <c r="G21" s="18"/>
      <c r="H21" s="64"/>
      <c r="I21" s="64"/>
      <c r="J21" s="64"/>
      <c r="L21" s="177"/>
      <c r="N21" s="63"/>
      <c r="O21" s="236"/>
      <c r="R21" s="1"/>
      <c r="Z21" s="111"/>
      <c r="AA21" s="111"/>
      <c r="AB21" s="41"/>
    </row>
    <row r="22" spans="2:28">
      <c r="B22" s="1"/>
      <c r="C22" s="92"/>
      <c r="D22" s="92"/>
      <c r="E22" s="92"/>
      <c r="F22" s="92"/>
      <c r="G22" s="18"/>
      <c r="H22" s="64"/>
      <c r="I22" s="64"/>
      <c r="J22" s="64"/>
      <c r="L22" s="177"/>
      <c r="N22" s="63"/>
      <c r="O22" s="236"/>
      <c r="R22" s="1"/>
      <c r="Z22" s="111"/>
      <c r="AA22" s="111"/>
      <c r="AB22" s="111"/>
    </row>
    <row r="23" spans="2:28">
      <c r="B23" s="1"/>
      <c r="C23" s="92"/>
      <c r="D23" s="92"/>
      <c r="E23" s="92"/>
      <c r="F23" s="92"/>
      <c r="G23" s="18"/>
      <c r="H23" s="64"/>
      <c r="I23" s="64"/>
      <c r="J23" s="64"/>
      <c r="L23" s="177"/>
      <c r="N23" s="63"/>
      <c r="O23" s="237"/>
      <c r="R23" s="1"/>
      <c r="Z23" s="111"/>
      <c r="AA23" s="111"/>
      <c r="AB23" s="41"/>
    </row>
    <row r="24" spans="2:28">
      <c r="B24" s="1"/>
      <c r="C24" s="92"/>
      <c r="D24" s="92"/>
      <c r="E24" s="92"/>
      <c r="F24" s="92"/>
      <c r="G24" s="18"/>
      <c r="H24" s="64"/>
      <c r="I24" s="64"/>
      <c r="J24" s="64"/>
      <c r="L24" s="177"/>
      <c r="N24" s="63"/>
      <c r="O24" s="236"/>
      <c r="R24" s="1"/>
      <c r="Z24" s="41"/>
      <c r="AA24" s="41"/>
      <c r="AB24" s="41"/>
    </row>
    <row r="25" spans="2:28">
      <c r="B25" s="1"/>
      <c r="C25" s="92"/>
      <c r="D25" s="92"/>
      <c r="E25" s="92"/>
      <c r="F25" s="92"/>
      <c r="G25" s="18"/>
      <c r="H25" s="64"/>
      <c r="I25" s="64"/>
      <c r="J25" s="64"/>
      <c r="L25" s="177"/>
      <c r="N25" s="63"/>
      <c r="O25" s="236"/>
      <c r="R25" s="1"/>
      <c r="Z25" s="41"/>
      <c r="AA25" s="41"/>
      <c r="AB25" s="41"/>
    </row>
    <row r="26" spans="2:28">
      <c r="B26" s="1"/>
      <c r="C26" s="92"/>
      <c r="D26" s="92"/>
      <c r="E26" s="92"/>
      <c r="F26" s="92"/>
      <c r="G26" s="18"/>
      <c r="H26" s="64"/>
      <c r="I26" s="64"/>
      <c r="J26" s="64"/>
      <c r="L26" s="177"/>
      <c r="N26" s="63"/>
      <c r="O26" s="236"/>
      <c r="R26" s="1"/>
      <c r="Z26" s="41"/>
      <c r="AA26" s="41"/>
      <c r="AB26" s="41"/>
    </row>
    <row r="27" spans="2:28">
      <c r="B27" s="1"/>
      <c r="C27" s="92"/>
      <c r="D27" s="92"/>
      <c r="E27" s="92"/>
      <c r="F27" s="92"/>
      <c r="G27" s="18"/>
      <c r="H27" s="64"/>
      <c r="I27" s="64"/>
      <c r="J27" s="64"/>
      <c r="L27" s="177"/>
      <c r="N27" s="63"/>
      <c r="O27" s="236"/>
      <c r="R27" s="1"/>
      <c r="Z27" s="111"/>
      <c r="AA27" s="111"/>
      <c r="AB27" s="41"/>
    </row>
    <row r="28" spans="2:28">
      <c r="B28" s="1"/>
      <c r="C28" s="92"/>
      <c r="D28" s="92"/>
      <c r="E28" s="92"/>
      <c r="F28" s="92"/>
      <c r="G28" s="18"/>
      <c r="H28" s="64"/>
      <c r="I28" s="64"/>
      <c r="J28" s="64"/>
      <c r="L28" s="177"/>
      <c r="N28" s="63"/>
      <c r="O28" s="236"/>
      <c r="R28" s="1"/>
      <c r="Z28" s="41"/>
      <c r="AA28" s="41"/>
      <c r="AB28" s="41"/>
    </row>
    <row r="29" spans="2:28">
      <c r="B29" s="1"/>
      <c r="C29" s="92"/>
      <c r="D29" s="92"/>
      <c r="E29" s="92"/>
      <c r="F29" s="92"/>
      <c r="G29" s="18"/>
      <c r="H29" s="64"/>
      <c r="I29" s="64"/>
      <c r="J29" s="64"/>
      <c r="L29" s="177"/>
      <c r="N29" s="63"/>
      <c r="O29" s="236"/>
      <c r="R29" s="1"/>
      <c r="Z29" s="41"/>
      <c r="AA29" s="41"/>
      <c r="AB29" s="41"/>
    </row>
    <row r="30" spans="2:28">
      <c r="B30" s="1"/>
      <c r="C30" s="92"/>
      <c r="D30" s="92"/>
      <c r="E30" s="92"/>
      <c r="F30" s="92"/>
      <c r="G30" s="18"/>
      <c r="H30" s="64"/>
      <c r="I30" s="64"/>
      <c r="J30" s="64"/>
      <c r="L30" s="177"/>
      <c r="N30" s="63"/>
      <c r="O30" s="236"/>
      <c r="R30" s="1"/>
      <c r="Z30" s="41"/>
      <c r="AA30" s="41"/>
      <c r="AB30" s="41"/>
    </row>
    <row r="31" spans="2:28">
      <c r="B31" s="1"/>
      <c r="C31" s="92"/>
      <c r="D31" s="92"/>
      <c r="E31" s="92"/>
      <c r="F31" s="92"/>
      <c r="G31" s="18"/>
      <c r="H31" s="64"/>
      <c r="I31" s="64"/>
      <c r="J31" s="64"/>
      <c r="L31" s="177"/>
      <c r="N31" s="63"/>
      <c r="O31" s="236"/>
      <c r="R31" s="1"/>
      <c r="Z31" s="111"/>
      <c r="AA31" s="111"/>
      <c r="AB31" s="41"/>
    </row>
    <row r="32" spans="2:28">
      <c r="B32" s="1"/>
      <c r="C32" s="92"/>
      <c r="D32" s="92"/>
      <c r="E32" s="92"/>
      <c r="F32" s="92"/>
      <c r="G32" s="18"/>
      <c r="H32" s="64"/>
      <c r="I32" s="64"/>
      <c r="J32" s="64"/>
      <c r="L32" s="177"/>
      <c r="N32" s="63"/>
      <c r="O32" s="236"/>
      <c r="R32" s="1"/>
      <c r="Z32" s="41"/>
      <c r="AA32" s="41"/>
      <c r="AB32" s="41"/>
    </row>
    <row r="33" spans="2:28">
      <c r="B33" s="1"/>
      <c r="C33" s="92"/>
      <c r="D33" s="92"/>
      <c r="E33" s="92"/>
      <c r="F33" s="92"/>
      <c r="G33" s="18"/>
      <c r="H33" s="64"/>
      <c r="I33" s="64"/>
      <c r="J33" s="64"/>
      <c r="L33" s="177"/>
      <c r="N33" s="63"/>
      <c r="O33" s="236"/>
      <c r="R33" s="1"/>
      <c r="Z33" s="41"/>
      <c r="AA33" s="41"/>
      <c r="AB33" s="41"/>
    </row>
    <row r="34" spans="2:28">
      <c r="B34" s="1"/>
      <c r="C34" s="92"/>
      <c r="D34" s="92"/>
      <c r="E34" s="92"/>
      <c r="F34" s="92"/>
      <c r="G34" s="18"/>
      <c r="H34" s="64"/>
      <c r="I34" s="64"/>
      <c r="J34" s="64"/>
      <c r="L34" s="177"/>
      <c r="N34" s="63"/>
      <c r="O34" s="236"/>
      <c r="R34" s="1"/>
      <c r="Z34" s="41"/>
      <c r="AA34" s="41"/>
      <c r="AB34" s="41"/>
    </row>
    <row r="35" spans="2:28">
      <c r="B35" s="1"/>
      <c r="C35" s="92"/>
      <c r="D35" s="92"/>
      <c r="E35" s="92"/>
      <c r="F35" s="92"/>
      <c r="G35" s="18"/>
      <c r="H35" s="64"/>
      <c r="I35" s="64"/>
      <c r="J35" s="64"/>
      <c r="L35" s="177"/>
      <c r="N35" s="63"/>
      <c r="O35" s="236"/>
      <c r="R35" s="1"/>
      <c r="Z35" s="111"/>
      <c r="AA35" s="111"/>
      <c r="AB35" s="41"/>
    </row>
    <row r="36" spans="2:28">
      <c r="B36" s="1"/>
      <c r="C36" s="92"/>
      <c r="D36" s="92"/>
      <c r="E36" s="92"/>
      <c r="F36" s="92"/>
      <c r="G36" s="18"/>
      <c r="H36" s="64"/>
      <c r="I36" s="64"/>
      <c r="J36" s="64"/>
      <c r="L36" s="177"/>
      <c r="N36" s="63"/>
      <c r="O36" s="236"/>
      <c r="R36" s="1"/>
      <c r="Z36" s="41"/>
      <c r="AA36" s="41"/>
      <c r="AB36" s="41"/>
    </row>
    <row r="37" spans="2:28">
      <c r="B37" s="1"/>
      <c r="C37" s="92"/>
      <c r="D37" s="92"/>
      <c r="E37" s="92"/>
      <c r="F37" s="92"/>
      <c r="G37" s="18"/>
      <c r="H37" s="64"/>
      <c r="I37" s="64"/>
      <c r="J37" s="64"/>
      <c r="L37" s="177"/>
      <c r="N37" s="63"/>
      <c r="O37" s="236"/>
      <c r="R37" s="1"/>
      <c r="Z37" s="41"/>
      <c r="AA37" s="41"/>
      <c r="AB37" s="41"/>
    </row>
    <row r="38" spans="2:28">
      <c r="B38" s="1"/>
      <c r="C38" s="92"/>
      <c r="D38" s="92"/>
      <c r="E38" s="92"/>
      <c r="F38" s="92"/>
      <c r="G38" s="18"/>
      <c r="H38" s="64"/>
      <c r="I38" s="64"/>
      <c r="J38" s="64"/>
      <c r="L38" s="177"/>
      <c r="N38" s="63"/>
      <c r="O38" s="236"/>
      <c r="R38" s="1"/>
      <c r="Z38" s="111"/>
      <c r="AA38" s="111"/>
      <c r="AB38" s="41"/>
    </row>
    <row r="39" spans="2:28">
      <c r="B39" s="1"/>
      <c r="C39" s="92"/>
      <c r="D39" s="92"/>
      <c r="E39" s="92"/>
      <c r="F39" s="92"/>
      <c r="G39" s="18"/>
      <c r="H39" s="64"/>
      <c r="I39" s="64"/>
      <c r="J39" s="64"/>
      <c r="L39" s="177"/>
      <c r="N39" s="63"/>
      <c r="O39" s="236"/>
      <c r="R39" s="1"/>
      <c r="Z39" s="41"/>
      <c r="AA39" s="41"/>
      <c r="AB39" s="41"/>
    </row>
    <row r="40" spans="2:28">
      <c r="B40" s="1"/>
      <c r="C40" s="92"/>
      <c r="D40" s="92"/>
      <c r="E40" s="92"/>
      <c r="F40" s="92"/>
      <c r="G40" s="18"/>
      <c r="H40" s="64"/>
      <c r="I40" s="64"/>
      <c r="J40" s="64"/>
      <c r="L40" s="177"/>
      <c r="N40" s="63"/>
      <c r="O40" s="236"/>
      <c r="R40" s="1"/>
      <c r="Z40" s="111"/>
      <c r="AA40" s="111"/>
      <c r="AB40" s="111"/>
    </row>
    <row r="41" spans="2:28">
      <c r="B41" s="1"/>
      <c r="C41" s="92"/>
      <c r="D41" s="92"/>
      <c r="E41" s="92"/>
      <c r="F41" s="92"/>
      <c r="G41" s="18"/>
      <c r="H41" s="64"/>
      <c r="I41" s="64"/>
      <c r="J41" s="64"/>
      <c r="L41" s="177"/>
      <c r="N41" s="63"/>
      <c r="O41" s="236"/>
      <c r="R41" s="1"/>
      <c r="Z41" s="41"/>
      <c r="AA41" s="41"/>
      <c r="AB41" s="41"/>
    </row>
    <row r="42" spans="2:28">
      <c r="B42" s="1"/>
      <c r="C42" s="92"/>
      <c r="D42" s="92"/>
      <c r="E42" s="92"/>
      <c r="F42" s="92"/>
      <c r="G42" s="18"/>
      <c r="H42" s="64"/>
      <c r="I42" s="64"/>
      <c r="J42" s="64"/>
      <c r="L42" s="177"/>
      <c r="N42" s="63"/>
      <c r="O42" s="236"/>
      <c r="R42" s="1"/>
      <c r="Z42" s="41"/>
      <c r="AA42" s="41"/>
      <c r="AB42" s="41"/>
    </row>
    <row r="43" spans="2:28">
      <c r="B43" s="1"/>
      <c r="C43" s="92"/>
      <c r="D43" s="92"/>
      <c r="E43" s="92"/>
      <c r="F43" s="92"/>
      <c r="G43" s="18"/>
      <c r="H43" s="64"/>
      <c r="I43" s="64"/>
      <c r="J43" s="64"/>
      <c r="L43" s="177"/>
      <c r="N43" s="63"/>
      <c r="O43" s="236"/>
      <c r="R43" s="1"/>
      <c r="Z43" s="41"/>
      <c r="AA43" s="41"/>
      <c r="AB43" s="41"/>
    </row>
    <row r="44" spans="2:28">
      <c r="B44" s="1"/>
      <c r="C44" s="92"/>
      <c r="D44" s="92"/>
      <c r="E44" s="92"/>
      <c r="F44" s="92"/>
      <c r="G44" s="18"/>
      <c r="H44" s="64"/>
      <c r="I44" s="64"/>
      <c r="J44" s="64"/>
      <c r="L44" s="177"/>
      <c r="N44" s="63"/>
      <c r="O44" s="236"/>
      <c r="R44" s="1"/>
      <c r="Z44" s="41"/>
      <c r="AA44" s="41"/>
      <c r="AB44" s="41"/>
    </row>
    <row r="45" spans="2:28">
      <c r="B45" s="1"/>
      <c r="C45" s="92"/>
      <c r="D45" s="92"/>
      <c r="E45" s="92"/>
      <c r="F45" s="92"/>
      <c r="G45" s="18"/>
      <c r="H45" s="64"/>
      <c r="I45" s="64"/>
      <c r="J45" s="64"/>
      <c r="L45" s="177"/>
      <c r="N45" s="63"/>
      <c r="O45" s="236"/>
      <c r="R45" s="1"/>
    </row>
    <row r="46" spans="2:28">
      <c r="B46" s="1"/>
      <c r="C46" s="92"/>
      <c r="D46" s="92"/>
      <c r="E46" s="92"/>
      <c r="F46" s="92"/>
      <c r="G46" s="18"/>
      <c r="H46" s="64"/>
      <c r="I46" s="64"/>
      <c r="J46" s="64"/>
      <c r="L46" s="177"/>
      <c r="N46" s="63"/>
      <c r="O46" s="236"/>
      <c r="R46" s="1"/>
    </row>
    <row r="47" spans="2:28">
      <c r="B47" s="1"/>
      <c r="C47" s="92"/>
      <c r="D47" s="92"/>
      <c r="E47" s="92"/>
      <c r="F47" s="92"/>
      <c r="G47" s="18"/>
      <c r="H47" s="64"/>
      <c r="I47" s="64"/>
      <c r="J47" s="64"/>
      <c r="L47" s="177"/>
      <c r="N47" s="63"/>
      <c r="O47" s="236"/>
      <c r="R47" s="1"/>
    </row>
    <row r="48" spans="2:28">
      <c r="B48" s="1"/>
      <c r="C48" s="92"/>
      <c r="D48" s="92"/>
      <c r="E48" s="92"/>
      <c r="F48" s="92"/>
      <c r="G48" s="18"/>
      <c r="H48" s="64"/>
      <c r="I48" s="64"/>
      <c r="J48" s="64"/>
      <c r="L48" s="177"/>
      <c r="N48" s="63"/>
      <c r="O48" s="236"/>
      <c r="R48" s="1"/>
    </row>
    <row r="49" spans="2:18">
      <c r="B49" s="1"/>
      <c r="C49" s="92"/>
      <c r="D49" s="92"/>
      <c r="E49" s="92"/>
      <c r="F49" s="92"/>
      <c r="G49" s="18"/>
      <c r="H49" s="64"/>
      <c r="I49" s="64"/>
      <c r="J49" s="64"/>
      <c r="L49" s="177"/>
      <c r="N49" s="63"/>
      <c r="O49" s="236"/>
      <c r="R49" s="1"/>
    </row>
    <row r="50" spans="2:18">
      <c r="B50" s="1"/>
      <c r="C50" s="92"/>
      <c r="D50" s="92"/>
      <c r="E50" s="92"/>
      <c r="F50" s="92"/>
      <c r="G50" s="18"/>
      <c r="H50" s="64"/>
      <c r="I50" s="64"/>
      <c r="J50" s="64"/>
      <c r="L50" s="177"/>
      <c r="N50" s="63"/>
      <c r="O50" s="236"/>
      <c r="R50" s="1"/>
    </row>
    <row r="51" spans="2:18">
      <c r="B51" s="1"/>
      <c r="C51" s="92"/>
      <c r="D51" s="92"/>
      <c r="E51" s="92"/>
      <c r="F51" s="92"/>
      <c r="G51" s="18"/>
      <c r="H51" s="64"/>
      <c r="I51" s="64"/>
      <c r="J51" s="64"/>
      <c r="L51" s="177"/>
      <c r="N51" s="63"/>
      <c r="O51" s="236"/>
      <c r="R51" s="1"/>
    </row>
    <row r="52" spans="2:18">
      <c r="B52" s="1"/>
      <c r="C52" s="92"/>
      <c r="D52" s="92"/>
      <c r="E52" s="92"/>
      <c r="F52" s="92"/>
      <c r="G52" s="18"/>
      <c r="H52" s="64"/>
      <c r="I52" s="64"/>
      <c r="J52" s="64"/>
      <c r="L52" s="177"/>
      <c r="N52" s="63"/>
      <c r="O52" s="236"/>
      <c r="R52" s="1"/>
    </row>
    <row r="53" spans="2:18">
      <c r="B53" s="1"/>
      <c r="C53" s="92"/>
      <c r="D53" s="92"/>
      <c r="E53" s="92"/>
      <c r="F53" s="92"/>
      <c r="G53" s="18"/>
      <c r="H53" s="64"/>
      <c r="I53" s="64"/>
      <c r="J53" s="64"/>
      <c r="L53" s="177"/>
      <c r="N53" s="63"/>
      <c r="O53" s="236"/>
      <c r="R53" s="1"/>
    </row>
    <row r="54" spans="2:18">
      <c r="B54" s="1"/>
      <c r="C54" s="92"/>
      <c r="D54" s="92"/>
      <c r="E54" s="92"/>
      <c r="F54" s="92"/>
      <c r="G54" s="18"/>
      <c r="H54" s="64"/>
      <c r="I54" s="64"/>
      <c r="J54" s="64"/>
      <c r="L54" s="177"/>
      <c r="N54" s="63"/>
      <c r="O54" s="236"/>
      <c r="R54" s="1"/>
    </row>
    <row r="55" spans="2:18">
      <c r="B55" s="1"/>
      <c r="C55" s="92"/>
      <c r="D55" s="92"/>
      <c r="E55" s="92"/>
      <c r="F55" s="92"/>
      <c r="G55" s="18"/>
      <c r="H55" s="64"/>
      <c r="I55" s="64"/>
      <c r="J55" s="64"/>
      <c r="L55" s="177"/>
      <c r="N55" s="63"/>
      <c r="O55" s="236"/>
      <c r="R55" s="1"/>
    </row>
    <row r="56" spans="2:18">
      <c r="B56" s="1"/>
      <c r="C56" s="92"/>
      <c r="D56" s="92"/>
      <c r="E56" s="92"/>
      <c r="F56" s="92"/>
      <c r="G56" s="18"/>
      <c r="H56" s="64"/>
      <c r="I56" s="64"/>
      <c r="J56" s="64"/>
      <c r="L56" s="177"/>
      <c r="N56" s="63"/>
      <c r="O56" s="236"/>
      <c r="R56" s="1"/>
    </row>
    <row r="57" spans="2:18">
      <c r="B57" s="1"/>
      <c r="C57" s="92"/>
      <c r="D57" s="92"/>
      <c r="E57" s="92"/>
      <c r="F57" s="92"/>
      <c r="G57" s="18"/>
      <c r="H57" s="64"/>
      <c r="I57" s="64"/>
      <c r="J57" s="64"/>
      <c r="L57" s="177"/>
      <c r="N57" s="63"/>
      <c r="O57" s="236"/>
      <c r="R57" s="1"/>
    </row>
    <row r="58" spans="2:18">
      <c r="B58" s="1"/>
      <c r="C58" s="92"/>
      <c r="D58" s="92"/>
      <c r="E58" s="92"/>
      <c r="F58" s="92"/>
      <c r="G58" s="18"/>
      <c r="H58" s="64"/>
      <c r="I58" s="64"/>
      <c r="J58" s="64"/>
      <c r="L58" s="177"/>
      <c r="N58" s="63"/>
      <c r="O58" s="236"/>
      <c r="R58" s="1"/>
    </row>
    <row r="59" spans="2:18">
      <c r="B59" s="1"/>
      <c r="C59" s="92"/>
      <c r="D59" s="92"/>
      <c r="E59" s="92"/>
      <c r="F59" s="92"/>
      <c r="G59" s="18"/>
      <c r="H59" s="64"/>
      <c r="I59" s="64"/>
      <c r="J59" s="64"/>
      <c r="L59" s="177"/>
      <c r="N59" s="63"/>
      <c r="O59" s="236"/>
      <c r="R59" s="1"/>
    </row>
    <row r="60" spans="2:18">
      <c r="B60" s="1"/>
      <c r="C60" s="92"/>
      <c r="D60" s="92"/>
      <c r="E60" s="92"/>
      <c r="F60" s="92"/>
      <c r="G60" s="18"/>
      <c r="H60" s="64"/>
      <c r="I60" s="64"/>
      <c r="J60" s="64"/>
      <c r="L60" s="177"/>
      <c r="N60" s="63"/>
      <c r="O60" s="236"/>
      <c r="R60" s="1"/>
    </row>
    <row r="61" spans="2:18">
      <c r="B61" s="1"/>
      <c r="C61" s="92"/>
      <c r="D61" s="92"/>
      <c r="E61" s="92"/>
      <c r="F61" s="92"/>
      <c r="G61" s="18"/>
      <c r="H61" s="64"/>
      <c r="I61" s="64"/>
      <c r="J61" s="64"/>
      <c r="L61" s="177"/>
      <c r="N61" s="63"/>
      <c r="O61" s="236"/>
      <c r="R61" s="1"/>
    </row>
    <row r="62" spans="2:18">
      <c r="B62" s="1"/>
      <c r="C62" s="92"/>
      <c r="D62" s="92"/>
      <c r="E62" s="92"/>
      <c r="F62" s="92"/>
      <c r="G62" s="18"/>
      <c r="H62" s="64"/>
      <c r="I62" s="64"/>
      <c r="J62" s="64"/>
      <c r="L62" s="177"/>
      <c r="N62" s="63"/>
      <c r="O62" s="236"/>
      <c r="R62" s="1"/>
    </row>
    <row r="63" spans="2:18">
      <c r="B63" s="1"/>
      <c r="C63" s="92"/>
      <c r="D63" s="92"/>
      <c r="E63" s="92"/>
      <c r="F63" s="92"/>
      <c r="G63" s="18"/>
      <c r="H63" s="64"/>
      <c r="I63" s="64"/>
      <c r="J63" s="64"/>
      <c r="L63" s="177"/>
      <c r="N63" s="63"/>
      <c r="O63" s="236"/>
      <c r="R63" s="1"/>
    </row>
    <row r="64" spans="2:18">
      <c r="B64" s="1"/>
      <c r="C64" s="92"/>
      <c r="D64" s="92"/>
      <c r="E64" s="92"/>
      <c r="F64" s="92"/>
      <c r="G64" s="18"/>
      <c r="H64" s="64"/>
      <c r="I64" s="64"/>
      <c r="J64" s="64"/>
      <c r="L64" s="177"/>
      <c r="N64" s="63"/>
      <c r="O64" s="236"/>
      <c r="R64" s="1"/>
    </row>
    <row r="65" spans="2:18">
      <c r="B65" s="1"/>
      <c r="C65" s="92"/>
      <c r="D65" s="92"/>
      <c r="E65" s="92"/>
      <c r="F65" s="92"/>
      <c r="G65" s="18"/>
      <c r="H65" s="64"/>
      <c r="I65" s="64"/>
      <c r="J65" s="64"/>
      <c r="L65" s="177"/>
      <c r="N65" s="63"/>
      <c r="O65" s="236"/>
      <c r="R65" s="1"/>
    </row>
    <row r="66" spans="2:18">
      <c r="B66" s="1"/>
      <c r="C66" s="92"/>
      <c r="D66" s="92"/>
      <c r="E66" s="92"/>
      <c r="F66" s="92"/>
      <c r="G66" s="18"/>
      <c r="H66" s="64"/>
      <c r="I66" s="64"/>
      <c r="J66" s="64"/>
      <c r="L66" s="177"/>
      <c r="N66" s="63"/>
      <c r="O66" s="236"/>
      <c r="R66" s="1"/>
    </row>
    <row r="67" spans="2:18">
      <c r="B67" s="1"/>
      <c r="C67" s="92"/>
      <c r="D67" s="92"/>
      <c r="E67" s="92"/>
      <c r="F67" s="92"/>
      <c r="G67" s="18"/>
      <c r="H67" s="64"/>
      <c r="I67" s="64"/>
      <c r="J67" s="64"/>
      <c r="L67" s="177"/>
      <c r="N67" s="63"/>
      <c r="O67" s="236"/>
      <c r="R67" s="1"/>
    </row>
    <row r="68" spans="2:18">
      <c r="B68" s="1"/>
      <c r="C68" s="92"/>
      <c r="D68" s="92"/>
      <c r="E68" s="92"/>
      <c r="F68" s="92"/>
      <c r="G68" s="18"/>
      <c r="H68" s="64"/>
      <c r="I68" s="64"/>
      <c r="J68" s="64"/>
      <c r="L68" s="177"/>
      <c r="N68" s="63"/>
      <c r="O68" s="236"/>
      <c r="R68" s="1"/>
    </row>
    <row r="69" spans="2:18">
      <c r="B69" s="1"/>
      <c r="C69" s="92"/>
      <c r="D69" s="92"/>
      <c r="E69" s="92"/>
      <c r="F69" s="92"/>
      <c r="G69" s="18"/>
      <c r="H69" s="64"/>
      <c r="I69" s="64"/>
      <c r="J69" s="64"/>
      <c r="L69" s="177"/>
      <c r="N69" s="63"/>
      <c r="O69" s="236"/>
      <c r="R69" s="1"/>
    </row>
    <row r="70" spans="2:18">
      <c r="B70" s="1"/>
      <c r="C70" s="92"/>
      <c r="D70" s="92"/>
      <c r="E70" s="92"/>
      <c r="F70" s="92"/>
      <c r="G70" s="18"/>
      <c r="H70" s="64"/>
      <c r="I70" s="64"/>
      <c r="J70" s="64"/>
      <c r="L70" s="177"/>
      <c r="N70" s="63"/>
      <c r="O70" s="236"/>
      <c r="R70" s="1"/>
    </row>
    <row r="71" spans="2:18">
      <c r="B71" s="1"/>
      <c r="C71" s="92"/>
      <c r="D71" s="92"/>
      <c r="E71" s="92"/>
      <c r="F71" s="92"/>
      <c r="G71" s="18"/>
      <c r="H71" s="64"/>
      <c r="I71" s="64"/>
      <c r="J71" s="64"/>
      <c r="L71" s="177"/>
      <c r="N71" s="63"/>
      <c r="O71" s="236"/>
      <c r="R71" s="1"/>
    </row>
    <row r="72" spans="2:18">
      <c r="B72" s="1"/>
      <c r="C72" s="92"/>
      <c r="D72" s="92"/>
      <c r="E72" s="92"/>
      <c r="F72" s="92"/>
      <c r="G72" s="18"/>
      <c r="H72" s="64"/>
      <c r="I72" s="64"/>
      <c r="J72" s="64"/>
      <c r="L72" s="177"/>
      <c r="N72" s="63"/>
      <c r="O72" s="236"/>
      <c r="R72" s="1"/>
    </row>
    <row r="73" spans="2:18">
      <c r="B73" s="1"/>
      <c r="C73" s="92"/>
      <c r="D73" s="92"/>
      <c r="E73" s="92"/>
      <c r="F73" s="92"/>
      <c r="G73" s="18"/>
      <c r="H73" s="64"/>
      <c r="I73" s="64"/>
      <c r="J73" s="64"/>
      <c r="L73" s="177"/>
      <c r="N73" s="63"/>
      <c r="O73" s="236"/>
      <c r="R73" s="1"/>
    </row>
    <row r="74" spans="2:18">
      <c r="B74" s="1"/>
      <c r="C74" s="92"/>
      <c r="D74" s="92"/>
      <c r="E74" s="92"/>
      <c r="F74" s="92"/>
      <c r="G74" s="18"/>
      <c r="H74" s="64"/>
      <c r="I74" s="64"/>
      <c r="J74" s="64"/>
      <c r="L74" s="177"/>
      <c r="N74" s="63"/>
      <c r="O74" s="236"/>
      <c r="R74" s="1"/>
    </row>
    <row r="75" spans="2:18">
      <c r="B75" s="1"/>
      <c r="C75" s="92"/>
      <c r="D75" s="92"/>
      <c r="E75" s="92"/>
      <c r="F75" s="92"/>
      <c r="G75" s="18"/>
      <c r="H75" s="64"/>
      <c r="I75" s="64"/>
      <c r="J75" s="64"/>
      <c r="L75" s="177"/>
      <c r="N75" s="63"/>
      <c r="O75" s="236"/>
      <c r="R75" s="1"/>
    </row>
    <row r="76" spans="2:18">
      <c r="B76" s="1"/>
      <c r="C76" s="92"/>
      <c r="D76" s="92"/>
      <c r="E76" s="92"/>
      <c r="F76" s="92"/>
      <c r="G76" s="18"/>
      <c r="H76" s="64"/>
      <c r="I76" s="64"/>
      <c r="J76" s="64"/>
      <c r="L76" s="177"/>
      <c r="N76" s="63"/>
      <c r="O76" s="236"/>
      <c r="R76" s="1"/>
    </row>
    <row r="77" spans="2:18">
      <c r="B77" s="1"/>
      <c r="C77" s="92"/>
      <c r="D77" s="92"/>
      <c r="E77" s="92"/>
      <c r="F77" s="92"/>
      <c r="G77" s="18"/>
      <c r="H77" s="64"/>
      <c r="I77" s="64"/>
      <c r="J77" s="64"/>
      <c r="L77" s="177"/>
      <c r="N77" s="63"/>
      <c r="O77" s="236"/>
      <c r="R77" s="1"/>
    </row>
    <row r="78" spans="2:18">
      <c r="B78" s="1"/>
      <c r="C78" s="92"/>
      <c r="D78" s="92"/>
      <c r="E78" s="92"/>
      <c r="F78" s="92"/>
      <c r="G78" s="18"/>
      <c r="H78" s="64"/>
      <c r="I78" s="64"/>
      <c r="J78" s="64"/>
      <c r="L78" s="177"/>
      <c r="N78" s="63"/>
      <c r="O78" s="236"/>
      <c r="R78" s="1"/>
    </row>
    <row r="79" spans="2:18">
      <c r="B79" s="1"/>
      <c r="C79" s="92"/>
      <c r="D79" s="92"/>
      <c r="E79" s="92"/>
      <c r="F79" s="92"/>
      <c r="G79" s="18"/>
      <c r="H79" s="64"/>
      <c r="I79" s="64"/>
      <c r="J79" s="64"/>
      <c r="L79" s="177"/>
      <c r="N79" s="63"/>
      <c r="O79" s="236"/>
      <c r="R79" s="1"/>
    </row>
    <row r="80" spans="2:18">
      <c r="B80" s="1"/>
      <c r="C80" s="92"/>
      <c r="D80" s="92"/>
      <c r="E80" s="92"/>
      <c r="F80" s="92"/>
      <c r="G80" s="18"/>
      <c r="H80" s="64"/>
      <c r="I80" s="64"/>
      <c r="J80" s="64"/>
      <c r="L80" s="177"/>
      <c r="N80" s="63"/>
      <c r="O80" s="236"/>
      <c r="R80" s="1"/>
    </row>
    <row r="81" spans="2:18">
      <c r="B81" s="1"/>
      <c r="C81" s="92"/>
      <c r="D81" s="92"/>
      <c r="E81" s="92"/>
      <c r="F81" s="92"/>
      <c r="G81" s="18"/>
      <c r="H81" s="64"/>
      <c r="I81" s="64"/>
      <c r="J81" s="64"/>
      <c r="L81" s="177"/>
      <c r="N81" s="63"/>
      <c r="O81" s="236"/>
      <c r="R81" s="1"/>
    </row>
    <row r="82" spans="2:18">
      <c r="B82" s="1"/>
      <c r="C82" s="92"/>
      <c r="D82" s="92"/>
      <c r="E82" s="92"/>
      <c r="F82" s="92"/>
      <c r="G82" s="18"/>
      <c r="H82" s="64"/>
      <c r="I82" s="64"/>
      <c r="J82" s="64"/>
      <c r="L82" s="177"/>
      <c r="N82" s="63"/>
      <c r="O82" s="236"/>
      <c r="R82" s="1"/>
    </row>
    <row r="83" spans="2:18">
      <c r="G83" s="18"/>
      <c r="H83" s="64"/>
      <c r="I83" s="64"/>
      <c r="J83" s="64"/>
      <c r="L83" s="177"/>
      <c r="N83" s="63"/>
      <c r="O83" s="236"/>
    </row>
    <row r="84" spans="2:18">
      <c r="G84" s="18"/>
      <c r="H84" s="64"/>
      <c r="I84" s="64"/>
      <c r="J84" s="64"/>
      <c r="L84" s="177"/>
      <c r="N84" s="63"/>
      <c r="O84" s="236"/>
    </row>
    <row r="85" spans="2:18">
      <c r="G85" s="18"/>
      <c r="H85" s="64"/>
      <c r="I85" s="64"/>
      <c r="J85" s="64"/>
      <c r="L85" s="177"/>
      <c r="N85" s="63"/>
      <c r="O85" s="236"/>
    </row>
    <row r="86" spans="2:18">
      <c r="G86" s="18"/>
      <c r="H86" s="64"/>
      <c r="I86" s="64"/>
      <c r="J86" s="64"/>
      <c r="L86" s="177"/>
      <c r="N86" s="63"/>
      <c r="O86" s="236"/>
    </row>
    <row r="87" spans="2:18">
      <c r="G87" s="18"/>
      <c r="H87" s="64"/>
      <c r="I87" s="64"/>
      <c r="J87" s="64"/>
      <c r="L87" s="177"/>
      <c r="N87" s="63"/>
      <c r="O87" s="236"/>
    </row>
    <row r="88" spans="2:18">
      <c r="G88" s="18"/>
      <c r="H88" s="64"/>
      <c r="I88" s="64"/>
      <c r="J88" s="64"/>
      <c r="L88" s="177"/>
      <c r="N88" s="63"/>
      <c r="O88" s="236"/>
    </row>
    <row r="89" spans="2:18">
      <c r="G89" s="18"/>
      <c r="H89" s="64"/>
      <c r="I89" s="64"/>
      <c r="J89" s="64"/>
      <c r="L89" s="177"/>
      <c r="N89" s="63"/>
      <c r="O89" s="236"/>
    </row>
    <row r="90" spans="2:18">
      <c r="G90" s="18"/>
      <c r="H90" s="64"/>
      <c r="I90" s="64"/>
      <c r="J90" s="64"/>
      <c r="L90" s="177"/>
      <c r="N90" s="63"/>
    </row>
    <row r="91" spans="2:18">
      <c r="G91" s="18"/>
      <c r="L91" s="177"/>
      <c r="N91" s="63"/>
    </row>
    <row r="92" spans="2:18">
      <c r="G92" s="18"/>
      <c r="L92" s="177"/>
      <c r="N92" s="63"/>
    </row>
    <row r="93" spans="2:18">
      <c r="G93" s="18"/>
      <c r="L93" s="177"/>
      <c r="N93" s="63"/>
    </row>
    <row r="94" spans="2:18">
      <c r="G94" s="18"/>
      <c r="L94" s="177"/>
      <c r="N94" s="63"/>
    </row>
    <row r="95" spans="2:18">
      <c r="G95" s="18"/>
      <c r="L95" s="177"/>
      <c r="N95" s="63"/>
    </row>
    <row r="96" spans="2:18">
      <c r="G96" s="18"/>
      <c r="L96" s="177"/>
      <c r="N96" s="63"/>
    </row>
    <row r="97" spans="7:14">
      <c r="G97" s="18"/>
      <c r="L97" s="177"/>
      <c r="N97" s="63"/>
    </row>
    <row r="98" spans="7:14">
      <c r="G98" s="18"/>
      <c r="L98" s="177"/>
      <c r="N98" s="63"/>
    </row>
    <row r="99" spans="7:14">
      <c r="G99" s="18"/>
      <c r="L99" s="177"/>
      <c r="N99" s="63"/>
    </row>
    <row r="100" spans="7:14">
      <c r="G100" s="18"/>
      <c r="L100" s="177"/>
      <c r="N100" s="63"/>
    </row>
    <row r="101" spans="7:14">
      <c r="G101" s="18"/>
      <c r="L101" s="177"/>
      <c r="N101" s="63"/>
    </row>
    <row r="102" spans="7:14">
      <c r="G102" s="18"/>
      <c r="L102" s="177"/>
      <c r="N102" s="63"/>
    </row>
    <row r="103" spans="7:14">
      <c r="G103" s="18"/>
      <c r="L103" s="177"/>
      <c r="N103" s="63"/>
    </row>
    <row r="104" spans="7:14">
      <c r="G104" s="18"/>
      <c r="L104" s="177"/>
      <c r="N104" s="63"/>
    </row>
    <row r="105" spans="7:14">
      <c r="G105" s="18"/>
      <c r="L105" s="177"/>
      <c r="N105" s="63"/>
    </row>
    <row r="106" spans="7:14">
      <c r="G106" s="18"/>
      <c r="L106" s="177"/>
      <c r="N106" s="63"/>
    </row>
    <row r="107" spans="7:14">
      <c r="G107" s="18"/>
      <c r="L107" s="177"/>
      <c r="N107" s="63"/>
    </row>
    <row r="108" spans="7:14">
      <c r="G108" s="18"/>
      <c r="L108" s="177"/>
      <c r="N108" s="63"/>
    </row>
    <row r="109" spans="7:14">
      <c r="G109" s="18"/>
      <c r="L109" s="177"/>
      <c r="N109" s="63"/>
    </row>
    <row r="110" spans="7:14">
      <c r="G110" s="18"/>
      <c r="L110" s="177"/>
      <c r="N110" s="63"/>
    </row>
    <row r="111" spans="7:14">
      <c r="G111" s="18"/>
      <c r="L111" s="177"/>
      <c r="N111" s="63"/>
    </row>
    <row r="112" spans="7:14">
      <c r="G112" s="18"/>
      <c r="L112" s="177"/>
      <c r="N112" s="63"/>
    </row>
    <row r="113" spans="7:14">
      <c r="G113" s="18"/>
      <c r="L113" s="177"/>
      <c r="N113" s="63"/>
    </row>
    <row r="114" spans="7:14">
      <c r="G114" s="18"/>
      <c r="L114" s="177"/>
      <c r="N114" s="63"/>
    </row>
    <row r="115" spans="7:14">
      <c r="G115" s="18"/>
      <c r="L115" s="177"/>
      <c r="N115" s="63"/>
    </row>
    <row r="116" spans="7:14">
      <c r="G116" s="18"/>
      <c r="L116" s="177"/>
      <c r="N116" s="63"/>
    </row>
    <row r="117" spans="7:14">
      <c r="G117" s="18"/>
      <c r="L117" s="177"/>
      <c r="N117" s="63"/>
    </row>
    <row r="118" spans="7:14">
      <c r="G118" s="18"/>
      <c r="L118" s="177"/>
      <c r="N118" s="63"/>
    </row>
    <row r="119" spans="7:14">
      <c r="G119" s="18"/>
      <c r="L119" s="177"/>
      <c r="N119" s="63"/>
    </row>
    <row r="120" spans="7:14">
      <c r="G120" s="18"/>
      <c r="L120" s="177"/>
      <c r="N120" s="63"/>
    </row>
    <row r="121" spans="7:14">
      <c r="G121" s="18"/>
      <c r="L121" s="177"/>
      <c r="N121" s="63"/>
    </row>
    <row r="122" spans="7:14">
      <c r="G122" s="18"/>
      <c r="L122" s="177"/>
      <c r="N122" s="63"/>
    </row>
    <row r="123" spans="7:14">
      <c r="G123" s="18"/>
      <c r="L123" s="177"/>
      <c r="N123" s="63"/>
    </row>
    <row r="124" spans="7:14">
      <c r="G124" s="18"/>
      <c r="L124" s="177"/>
      <c r="N124" s="63"/>
    </row>
    <row r="125" spans="7:14">
      <c r="G125" s="18"/>
      <c r="L125" s="177"/>
      <c r="N125" s="63"/>
    </row>
    <row r="126" spans="7:14">
      <c r="G126" s="18"/>
      <c r="L126" s="177"/>
      <c r="N126" s="63"/>
    </row>
    <row r="127" spans="7:14">
      <c r="G127" s="18"/>
      <c r="L127" s="177"/>
      <c r="N127" s="63"/>
    </row>
    <row r="128" spans="7:14">
      <c r="G128" s="18"/>
      <c r="L128" s="177"/>
      <c r="N128" s="63"/>
    </row>
    <row r="129" spans="7:14">
      <c r="G129" s="18"/>
      <c r="L129" s="177"/>
      <c r="N129" s="63"/>
    </row>
    <row r="130" spans="7:14">
      <c r="G130" s="18"/>
      <c r="L130" s="177"/>
      <c r="N130" s="63"/>
    </row>
    <row r="131" spans="7:14">
      <c r="G131" s="18"/>
      <c r="L131" s="177"/>
    </row>
    <row r="132" spans="7:14">
      <c r="G132" s="18"/>
      <c r="L132" s="177"/>
    </row>
    <row r="133" spans="7:14">
      <c r="G133" s="18"/>
      <c r="L133" s="177"/>
    </row>
    <row r="134" spans="7:14">
      <c r="G134" s="18"/>
      <c r="L134" s="177"/>
    </row>
    <row r="135" spans="7:14">
      <c r="G135" s="18"/>
      <c r="L135" s="177"/>
    </row>
    <row r="136" spans="7:14">
      <c r="G136" s="18"/>
      <c r="L136" s="177"/>
    </row>
    <row r="137" spans="7:14">
      <c r="G137" s="18"/>
      <c r="L137" s="177"/>
    </row>
    <row r="138" spans="7:14">
      <c r="G138" s="18"/>
      <c r="L138" s="177"/>
    </row>
    <row r="139" spans="7:14">
      <c r="G139" s="18"/>
      <c r="L139" s="177"/>
    </row>
    <row r="140" spans="7:14">
      <c r="G140" s="18"/>
      <c r="L140" s="177"/>
    </row>
    <row r="141" spans="7:14">
      <c r="G141" s="18"/>
      <c r="L141" s="177"/>
    </row>
    <row r="142" spans="7:14">
      <c r="G142" s="18"/>
      <c r="L142" s="177"/>
    </row>
    <row r="143" spans="7:14">
      <c r="G143" s="18"/>
      <c r="L143" s="177"/>
    </row>
    <row r="144" spans="7:14">
      <c r="G144" s="18"/>
      <c r="L144" s="177"/>
    </row>
    <row r="145" spans="7:12">
      <c r="G145" s="18"/>
      <c r="L145" s="177"/>
    </row>
    <row r="146" spans="7:12">
      <c r="G146" s="18"/>
      <c r="L146" s="177"/>
    </row>
    <row r="147" spans="7:12">
      <c r="G147" s="18"/>
      <c r="L147" s="177"/>
    </row>
    <row r="148" spans="7:12">
      <c r="G148" s="18"/>
      <c r="L148" s="177"/>
    </row>
    <row r="149" spans="7:12">
      <c r="G149" s="18"/>
      <c r="L149" s="177"/>
    </row>
    <row r="150" spans="7:12">
      <c r="G150" s="18"/>
      <c r="L150" s="177"/>
    </row>
    <row r="151" spans="7:12">
      <c r="G151" s="18"/>
      <c r="L151" s="177"/>
    </row>
    <row r="152" spans="7:12">
      <c r="G152" s="18"/>
      <c r="L152" s="177"/>
    </row>
    <row r="153" spans="7:12">
      <c r="G153" s="18"/>
      <c r="L153" s="177"/>
    </row>
    <row r="154" spans="7:12">
      <c r="G154" s="18"/>
      <c r="L154" s="177"/>
    </row>
    <row r="155" spans="7:12">
      <c r="G155" s="18"/>
      <c r="L155" s="177"/>
    </row>
    <row r="156" spans="7:12">
      <c r="G156" s="18"/>
      <c r="L156" s="177"/>
    </row>
    <row r="157" spans="7:12">
      <c r="G157" s="18"/>
      <c r="L157" s="177"/>
    </row>
    <row r="158" spans="7:12">
      <c r="G158" s="18"/>
      <c r="L158" s="177"/>
    </row>
    <row r="159" spans="7:12">
      <c r="G159" s="18"/>
      <c r="L159" s="177"/>
    </row>
    <row r="160" spans="7:12">
      <c r="G160" s="18"/>
      <c r="L160" s="177"/>
    </row>
    <row r="161" spans="7:12">
      <c r="G161" s="18"/>
      <c r="L161" s="177"/>
    </row>
    <row r="162" spans="7:12">
      <c r="G162" s="18"/>
      <c r="L162" s="177"/>
    </row>
    <row r="163" spans="7:12">
      <c r="G163" s="18"/>
      <c r="L163" s="177"/>
    </row>
    <row r="164" spans="7:12">
      <c r="G164" s="18"/>
      <c r="L164" s="177"/>
    </row>
    <row r="165" spans="7:12">
      <c r="G165" s="18"/>
      <c r="L165" s="177"/>
    </row>
    <row r="166" spans="7:12">
      <c r="G166" s="18"/>
      <c r="L166" s="177"/>
    </row>
    <row r="167" spans="7:12">
      <c r="G167" s="18"/>
      <c r="L167" s="177"/>
    </row>
    <row r="168" spans="7:12">
      <c r="G168" s="18"/>
      <c r="L168" s="177"/>
    </row>
    <row r="169" spans="7:12">
      <c r="G169" s="18"/>
      <c r="L169" s="177"/>
    </row>
    <row r="170" spans="7:12">
      <c r="G170" s="18"/>
      <c r="L170" s="177"/>
    </row>
    <row r="171" spans="7:12">
      <c r="G171" s="18"/>
      <c r="L171" s="177"/>
    </row>
    <row r="172" spans="7:12">
      <c r="G172" s="18"/>
      <c r="L172" s="177"/>
    </row>
    <row r="173" spans="7:12">
      <c r="G173" s="18"/>
      <c r="L173" s="177"/>
    </row>
    <row r="174" spans="7:12">
      <c r="G174" s="18"/>
      <c r="L174" s="177"/>
    </row>
    <row r="175" spans="7:12">
      <c r="G175" s="18"/>
      <c r="L175" s="177"/>
    </row>
    <row r="176" spans="7:12">
      <c r="G176" s="18"/>
      <c r="L176" s="177"/>
    </row>
    <row r="177" spans="7:12">
      <c r="G177" s="18"/>
      <c r="L177" s="177"/>
    </row>
    <row r="178" spans="7:12">
      <c r="G178" s="18"/>
      <c r="L178" s="177"/>
    </row>
    <row r="179" spans="7:12">
      <c r="G179" s="18"/>
      <c r="L179" s="177"/>
    </row>
    <row r="180" spans="7:12">
      <c r="G180" s="18"/>
      <c r="L180" s="177"/>
    </row>
    <row r="181" spans="7:12">
      <c r="G181" s="18"/>
      <c r="L181" s="177"/>
    </row>
    <row r="182" spans="7:12">
      <c r="G182" s="18"/>
      <c r="L182" s="177"/>
    </row>
    <row r="183" spans="7:12">
      <c r="G183" s="18"/>
      <c r="L183" s="177"/>
    </row>
    <row r="184" spans="7:12">
      <c r="G184" s="18"/>
      <c r="L184" s="177"/>
    </row>
    <row r="185" spans="7:12">
      <c r="G185" s="18"/>
      <c r="L185" s="177"/>
    </row>
    <row r="186" spans="7:12">
      <c r="G186" s="18"/>
      <c r="L186" s="177"/>
    </row>
    <row r="187" spans="7:12">
      <c r="G187" s="18"/>
      <c r="L187" s="177"/>
    </row>
    <row r="188" spans="7:12">
      <c r="G188" s="18"/>
      <c r="L188" s="177"/>
    </row>
    <row r="189" spans="7:12">
      <c r="G189" s="18"/>
      <c r="L189" s="177"/>
    </row>
    <row r="190" spans="7:12">
      <c r="G190" s="18"/>
      <c r="L190" s="177"/>
    </row>
    <row r="191" spans="7:12">
      <c r="G191" s="18"/>
      <c r="L191" s="177"/>
    </row>
    <row r="192" spans="7:12">
      <c r="G192" s="18"/>
      <c r="L192" s="177"/>
    </row>
    <row r="193" spans="7:12">
      <c r="G193" s="18"/>
      <c r="L193" s="177"/>
    </row>
    <row r="194" spans="7:12">
      <c r="G194" s="18"/>
      <c r="L194" s="177"/>
    </row>
    <row r="195" spans="7:12">
      <c r="G195" s="18"/>
      <c r="L195" s="177"/>
    </row>
    <row r="196" spans="7:12">
      <c r="G196" s="18"/>
      <c r="L196" s="177"/>
    </row>
    <row r="197" spans="7:12">
      <c r="G197" s="18"/>
      <c r="L197" s="177"/>
    </row>
    <row r="198" spans="7:12">
      <c r="G198" s="18"/>
      <c r="L198" s="177"/>
    </row>
    <row r="199" spans="7:12">
      <c r="G199" s="18"/>
      <c r="L199" s="177"/>
    </row>
    <row r="200" spans="7:12">
      <c r="G200" s="18"/>
      <c r="L200" s="177"/>
    </row>
    <row r="201" spans="7:12">
      <c r="G201" s="18"/>
      <c r="L201" s="177"/>
    </row>
    <row r="202" spans="7:12">
      <c r="G202" s="18"/>
      <c r="L202" s="177"/>
    </row>
    <row r="203" spans="7:12">
      <c r="G203" s="18"/>
      <c r="L203" s="177"/>
    </row>
    <row r="204" spans="7:12">
      <c r="G204" s="18"/>
      <c r="L204" s="177"/>
    </row>
    <row r="205" spans="7:12">
      <c r="G205" s="18"/>
      <c r="L205" s="177"/>
    </row>
    <row r="206" spans="7:12">
      <c r="G206" s="18"/>
      <c r="L206" s="177"/>
    </row>
    <row r="207" spans="7:12">
      <c r="G207" s="18"/>
      <c r="L207" s="177"/>
    </row>
    <row r="208" spans="7:12">
      <c r="G208" s="18"/>
      <c r="L208" s="177"/>
    </row>
    <row r="209" spans="7:12">
      <c r="G209" s="18"/>
      <c r="L209" s="177"/>
    </row>
    <row r="210" spans="7:12">
      <c r="G210" s="18"/>
      <c r="L210" s="177"/>
    </row>
    <row r="211" spans="7:12">
      <c r="G211" s="18"/>
      <c r="L211" s="177"/>
    </row>
    <row r="212" spans="7:12">
      <c r="G212" s="18"/>
      <c r="L212" s="177"/>
    </row>
    <row r="213" spans="7:12">
      <c r="G213" s="18"/>
      <c r="L213" s="177"/>
    </row>
    <row r="214" spans="7:12">
      <c r="G214" s="18"/>
      <c r="L214" s="177"/>
    </row>
    <row r="215" spans="7:12">
      <c r="G215" s="18"/>
      <c r="L215" s="177"/>
    </row>
    <row r="216" spans="7:12">
      <c r="G216" s="18"/>
      <c r="L216" s="177"/>
    </row>
    <row r="217" spans="7:12">
      <c r="G217" s="18"/>
      <c r="L217" s="177"/>
    </row>
    <row r="218" spans="7:12">
      <c r="G218" s="18"/>
      <c r="L218" s="177"/>
    </row>
    <row r="219" spans="7:12">
      <c r="G219" s="18"/>
      <c r="L219" s="177"/>
    </row>
    <row r="220" spans="7:12">
      <c r="G220" s="18"/>
      <c r="L220" s="177"/>
    </row>
    <row r="221" spans="7:12">
      <c r="G221" s="18"/>
      <c r="L221" s="177"/>
    </row>
    <row r="222" spans="7:12">
      <c r="G222" s="18"/>
      <c r="L222" s="177"/>
    </row>
    <row r="223" spans="7:12">
      <c r="G223" s="18"/>
      <c r="L223" s="177"/>
    </row>
    <row r="224" spans="7:12">
      <c r="G224" s="18"/>
      <c r="L224" s="177"/>
    </row>
    <row r="225" spans="7:12">
      <c r="G225" s="18"/>
      <c r="L225" s="177"/>
    </row>
    <row r="226" spans="7:12">
      <c r="G226" s="18"/>
      <c r="L226" s="177"/>
    </row>
    <row r="227" spans="7:12">
      <c r="G227" s="18"/>
      <c r="L227" s="177"/>
    </row>
    <row r="228" spans="7:12">
      <c r="G228" s="18"/>
      <c r="L228" s="177"/>
    </row>
    <row r="229" spans="7:12">
      <c r="G229" s="18"/>
      <c r="L229" s="177"/>
    </row>
    <row r="230" spans="7:12">
      <c r="G230" s="18"/>
      <c r="L230" s="177"/>
    </row>
    <row r="231" spans="7:12">
      <c r="G231" s="18"/>
      <c r="L231" s="177"/>
    </row>
    <row r="232" spans="7:12">
      <c r="G232" s="18"/>
      <c r="L232" s="177"/>
    </row>
    <row r="233" spans="7:12">
      <c r="G233" s="18"/>
      <c r="L233" s="177"/>
    </row>
    <row r="234" spans="7:12">
      <c r="G234" s="18"/>
      <c r="L234" s="177"/>
    </row>
    <row r="235" spans="7:12">
      <c r="G235" s="18"/>
      <c r="L235" s="177"/>
    </row>
    <row r="236" spans="7:12">
      <c r="G236" s="18"/>
      <c r="L236" s="177"/>
    </row>
    <row r="237" spans="7:12">
      <c r="G237" s="18"/>
      <c r="L237" s="177"/>
    </row>
    <row r="238" spans="7:12">
      <c r="G238" s="18"/>
      <c r="L238" s="177"/>
    </row>
    <row r="239" spans="7:12">
      <c r="G239" s="18"/>
      <c r="L239" s="177"/>
    </row>
    <row r="240" spans="7:12">
      <c r="G240" s="18"/>
      <c r="L240" s="177"/>
    </row>
    <row r="241" spans="7:12">
      <c r="G241" s="18"/>
      <c r="L241" s="177"/>
    </row>
    <row r="242" spans="7:12">
      <c r="G242" s="18"/>
      <c r="L242" s="177"/>
    </row>
    <row r="243" spans="7:12">
      <c r="G243" s="18"/>
      <c r="L243" s="177"/>
    </row>
    <row r="244" spans="7:12">
      <c r="G244" s="18"/>
      <c r="L244" s="177"/>
    </row>
    <row r="245" spans="7:12">
      <c r="G245" s="18"/>
      <c r="L245" s="177"/>
    </row>
    <row r="246" spans="7:12">
      <c r="G246" s="18"/>
      <c r="L246" s="177"/>
    </row>
    <row r="247" spans="7:12">
      <c r="G247" s="18"/>
      <c r="L247" s="177"/>
    </row>
    <row r="248" spans="7:12">
      <c r="G248" s="18"/>
      <c r="L248" s="177"/>
    </row>
    <row r="249" spans="7:12">
      <c r="G249" s="18"/>
      <c r="L249" s="177"/>
    </row>
    <row r="250" spans="7:12">
      <c r="G250" s="18"/>
      <c r="L250" s="177"/>
    </row>
    <row r="251" spans="7:12">
      <c r="G251" s="18"/>
      <c r="L251" s="177"/>
    </row>
    <row r="252" spans="7:12">
      <c r="G252" s="18"/>
      <c r="L252" s="177"/>
    </row>
    <row r="253" spans="7:12">
      <c r="G253" s="18"/>
      <c r="L253" s="177"/>
    </row>
    <row r="254" spans="7:12">
      <c r="G254" s="18"/>
      <c r="L254" s="177"/>
    </row>
    <row r="255" spans="7:12">
      <c r="G255" s="18"/>
      <c r="L255" s="177"/>
    </row>
    <row r="256" spans="7:12">
      <c r="G256" s="18"/>
      <c r="L256" s="177"/>
    </row>
    <row r="257" spans="7:12">
      <c r="G257" s="18"/>
      <c r="L257" s="177"/>
    </row>
    <row r="258" spans="7:12">
      <c r="G258" s="18"/>
      <c r="L258" s="177"/>
    </row>
    <row r="259" spans="7:12">
      <c r="G259" s="18"/>
      <c r="L259" s="177"/>
    </row>
    <row r="260" spans="7:12">
      <c r="G260" s="18"/>
      <c r="L260" s="177"/>
    </row>
    <row r="261" spans="7:12">
      <c r="G261" s="18"/>
      <c r="L261" s="177"/>
    </row>
    <row r="262" spans="7:12">
      <c r="G262" s="18"/>
      <c r="L262" s="177"/>
    </row>
    <row r="263" spans="7:12">
      <c r="G263" s="18"/>
      <c r="L263" s="177"/>
    </row>
    <row r="264" spans="7:12">
      <c r="G264" s="18"/>
      <c r="L264" s="177"/>
    </row>
    <row r="265" spans="7:12">
      <c r="G265" s="18"/>
      <c r="L265" s="177"/>
    </row>
    <row r="266" spans="7:12">
      <c r="G266" s="18"/>
      <c r="L266" s="177"/>
    </row>
    <row r="267" spans="7:12">
      <c r="G267" s="18"/>
      <c r="L267" s="177"/>
    </row>
    <row r="268" spans="7:12">
      <c r="G268" s="18"/>
      <c r="L268" s="177"/>
    </row>
    <row r="269" spans="7:12">
      <c r="G269" s="18"/>
      <c r="L269" s="177"/>
    </row>
    <row r="270" spans="7:12">
      <c r="G270" s="18"/>
      <c r="L270" s="177"/>
    </row>
    <row r="271" spans="7:12">
      <c r="G271" s="18"/>
      <c r="L271" s="177"/>
    </row>
    <row r="272" spans="7:12">
      <c r="G272" s="18"/>
      <c r="L272" s="177"/>
    </row>
    <row r="273" spans="7:12">
      <c r="G273" s="18"/>
      <c r="L273" s="177"/>
    </row>
    <row r="274" spans="7:12">
      <c r="G274" s="18"/>
      <c r="L274" s="177"/>
    </row>
    <row r="275" spans="7:12">
      <c r="G275" s="18"/>
      <c r="L275" s="177"/>
    </row>
    <row r="276" spans="7:12">
      <c r="G276" s="18"/>
      <c r="L276" s="177"/>
    </row>
    <row r="277" spans="7:12">
      <c r="G277" s="18"/>
      <c r="L277" s="177"/>
    </row>
    <row r="278" spans="7:12">
      <c r="G278" s="18"/>
      <c r="L278" s="177"/>
    </row>
    <row r="279" spans="7:12">
      <c r="G279" s="18"/>
      <c r="L279" s="177"/>
    </row>
    <row r="280" spans="7:12">
      <c r="G280" s="18"/>
      <c r="L280" s="177"/>
    </row>
    <row r="281" spans="7:12">
      <c r="G281" s="18"/>
      <c r="L281" s="177"/>
    </row>
    <row r="282" spans="7:12">
      <c r="G282" s="18"/>
      <c r="L282" s="177"/>
    </row>
    <row r="283" spans="7:12">
      <c r="G283" s="18"/>
      <c r="L283" s="177"/>
    </row>
    <row r="284" spans="7:12">
      <c r="G284" s="18"/>
      <c r="L284" s="177"/>
    </row>
    <row r="285" spans="7:12">
      <c r="G285" s="18"/>
      <c r="L285" s="177"/>
    </row>
    <row r="286" spans="7:12">
      <c r="G286" s="18"/>
      <c r="L286" s="177"/>
    </row>
    <row r="287" spans="7:12">
      <c r="G287" s="18"/>
      <c r="L287" s="177"/>
    </row>
    <row r="288" spans="7:12">
      <c r="G288" s="18"/>
      <c r="L288" s="177"/>
    </row>
    <row r="289" spans="7:12">
      <c r="G289" s="18"/>
      <c r="L289" s="177"/>
    </row>
    <row r="290" spans="7:12">
      <c r="G290" s="18"/>
      <c r="L290" s="177"/>
    </row>
    <row r="291" spans="7:12">
      <c r="G291" s="18"/>
      <c r="L291" s="177"/>
    </row>
    <row r="292" spans="7:12">
      <c r="G292" s="18"/>
      <c r="L292" s="177"/>
    </row>
    <row r="293" spans="7:12">
      <c r="G293" s="18"/>
      <c r="L293" s="177"/>
    </row>
    <row r="294" spans="7:12">
      <c r="G294" s="18"/>
      <c r="L294" s="177"/>
    </row>
    <row r="295" spans="7:12">
      <c r="G295" s="18"/>
      <c r="L295" s="177"/>
    </row>
    <row r="296" spans="7:12">
      <c r="G296" s="18"/>
      <c r="L296" s="177"/>
    </row>
    <row r="297" spans="7:12">
      <c r="G297" s="18"/>
      <c r="L297" s="177"/>
    </row>
    <row r="298" spans="7:12">
      <c r="G298" s="18"/>
      <c r="L298" s="177"/>
    </row>
    <row r="299" spans="7:12">
      <c r="G299" s="18"/>
      <c r="L299" s="177"/>
    </row>
    <row r="300" spans="7:12">
      <c r="G300" s="18"/>
      <c r="L300" s="177"/>
    </row>
    <row r="301" spans="7:12">
      <c r="G301" s="18"/>
      <c r="L301" s="177"/>
    </row>
    <row r="302" spans="7:12">
      <c r="G302" s="18"/>
      <c r="L302" s="177"/>
    </row>
    <row r="303" spans="7:12">
      <c r="G303" s="18"/>
      <c r="L303" s="177"/>
    </row>
    <row r="304" spans="7:12">
      <c r="G304" s="18"/>
      <c r="L304" s="177"/>
    </row>
    <row r="305" spans="7:12">
      <c r="G305" s="18"/>
      <c r="L305" s="177"/>
    </row>
    <row r="306" spans="7:12">
      <c r="G306" s="18"/>
      <c r="L306" s="177"/>
    </row>
    <row r="307" spans="7:12">
      <c r="G307" s="18"/>
      <c r="L307" s="177"/>
    </row>
    <row r="308" spans="7:12">
      <c r="G308" s="18"/>
      <c r="L308" s="177"/>
    </row>
    <row r="309" spans="7:12">
      <c r="G309" s="18"/>
      <c r="L309" s="177"/>
    </row>
    <row r="310" spans="7:12">
      <c r="G310" s="18"/>
      <c r="L310" s="177"/>
    </row>
    <row r="311" spans="7:12">
      <c r="G311" s="18"/>
      <c r="L311" s="177"/>
    </row>
    <row r="312" spans="7:12">
      <c r="G312" s="18"/>
      <c r="L312" s="177"/>
    </row>
    <row r="313" spans="7:12">
      <c r="G313" s="18"/>
      <c r="L313" s="177"/>
    </row>
    <row r="314" spans="7:12">
      <c r="G314" s="18"/>
      <c r="L314" s="177"/>
    </row>
    <row r="315" spans="7:12">
      <c r="G315" s="18"/>
      <c r="L315" s="177"/>
    </row>
    <row r="316" spans="7:12">
      <c r="G316" s="18"/>
      <c r="L316" s="177"/>
    </row>
    <row r="317" spans="7:12">
      <c r="G317" s="18"/>
      <c r="L317" s="177"/>
    </row>
    <row r="318" spans="7:12">
      <c r="G318" s="18"/>
      <c r="L318" s="177"/>
    </row>
    <row r="319" spans="7:12">
      <c r="G319" s="18"/>
      <c r="L319" s="177"/>
    </row>
    <row r="320" spans="7:12">
      <c r="G320" s="18"/>
      <c r="L320" s="177"/>
    </row>
    <row r="321" spans="7:12">
      <c r="G321" s="18"/>
      <c r="L321" s="177"/>
    </row>
    <row r="322" spans="7:12">
      <c r="G322" s="18"/>
      <c r="L322" s="177"/>
    </row>
    <row r="323" spans="7:12">
      <c r="G323" s="18"/>
      <c r="L323" s="177"/>
    </row>
    <row r="324" spans="7:12">
      <c r="G324" s="18"/>
      <c r="L324" s="177"/>
    </row>
    <row r="325" spans="7:12">
      <c r="G325" s="18"/>
      <c r="L325" s="177"/>
    </row>
    <row r="326" spans="7:12">
      <c r="G326" s="18"/>
      <c r="L326" s="177"/>
    </row>
    <row r="327" spans="7:12">
      <c r="G327" s="18"/>
      <c r="L327" s="177"/>
    </row>
    <row r="328" spans="7:12">
      <c r="G328" s="18"/>
      <c r="L328" s="177"/>
    </row>
    <row r="329" spans="7:12">
      <c r="G329" s="18"/>
      <c r="L329" s="177"/>
    </row>
    <row r="330" spans="7:12">
      <c r="G330" s="18"/>
      <c r="L330" s="177"/>
    </row>
    <row r="331" spans="7:12">
      <c r="G331" s="18"/>
      <c r="L331" s="177"/>
    </row>
    <row r="332" spans="7:12">
      <c r="G332" s="18"/>
      <c r="L332" s="177"/>
    </row>
    <row r="333" spans="7:12">
      <c r="G333" s="18"/>
      <c r="L333" s="177"/>
    </row>
    <row r="334" spans="7:12">
      <c r="G334" s="18"/>
      <c r="L334" s="177"/>
    </row>
    <row r="335" spans="7:12">
      <c r="G335" s="18"/>
      <c r="L335" s="177"/>
    </row>
    <row r="336" spans="7:12">
      <c r="G336" s="18"/>
      <c r="L336" s="177"/>
    </row>
    <row r="337" spans="7:12">
      <c r="G337" s="18"/>
      <c r="L337" s="177"/>
    </row>
    <row r="338" spans="7:12">
      <c r="G338" s="18"/>
      <c r="L338" s="177"/>
    </row>
    <row r="339" spans="7:12">
      <c r="G339" s="18"/>
      <c r="L339" s="177"/>
    </row>
    <row r="340" spans="7:12">
      <c r="G340" s="18"/>
      <c r="L340" s="177"/>
    </row>
    <row r="341" spans="7:12">
      <c r="G341" s="18"/>
      <c r="L341" s="177"/>
    </row>
    <row r="342" spans="7:12">
      <c r="G342" s="18"/>
      <c r="L342" s="177"/>
    </row>
    <row r="343" spans="7:12">
      <c r="G343" s="18"/>
      <c r="L343" s="177"/>
    </row>
    <row r="344" spans="7:12">
      <c r="G344" s="18"/>
      <c r="L344" s="177"/>
    </row>
    <row r="345" spans="7:12">
      <c r="G345" s="18"/>
      <c r="L345" s="177"/>
    </row>
    <row r="346" spans="7:12">
      <c r="G346" s="18"/>
      <c r="L346" s="177"/>
    </row>
    <row r="347" spans="7:12">
      <c r="G347" s="18"/>
      <c r="L347" s="177"/>
    </row>
    <row r="348" spans="7:12">
      <c r="G348" s="18"/>
      <c r="L348" s="177"/>
    </row>
    <row r="349" spans="7:12">
      <c r="G349" s="18"/>
      <c r="L349" s="177"/>
    </row>
    <row r="350" spans="7:12">
      <c r="G350" s="18"/>
      <c r="L350" s="177"/>
    </row>
    <row r="351" spans="7:12">
      <c r="G351" s="18"/>
      <c r="L351" s="177"/>
    </row>
    <row r="352" spans="7:12">
      <c r="G352" s="18"/>
      <c r="L352" s="177"/>
    </row>
    <row r="353" spans="7:12">
      <c r="G353" s="18"/>
      <c r="L353" s="177"/>
    </row>
    <row r="354" spans="7:12">
      <c r="G354" s="18"/>
      <c r="L354" s="177"/>
    </row>
    <row r="355" spans="7:12">
      <c r="G355" s="18"/>
      <c r="L355" s="177"/>
    </row>
    <row r="356" spans="7:12">
      <c r="G356" s="18"/>
      <c r="L356" s="177"/>
    </row>
    <row r="357" spans="7:12">
      <c r="G357" s="18"/>
      <c r="L357" s="177"/>
    </row>
    <row r="358" spans="7:12">
      <c r="G358" s="18"/>
      <c r="L358" s="177"/>
    </row>
    <row r="359" spans="7:12">
      <c r="G359" s="18"/>
      <c r="L359" s="177"/>
    </row>
    <row r="360" spans="7:12">
      <c r="G360" s="18"/>
      <c r="L360" s="177"/>
    </row>
    <row r="361" spans="7:12">
      <c r="G361" s="18"/>
      <c r="L361" s="177"/>
    </row>
    <row r="362" spans="7:12">
      <c r="G362" s="18"/>
      <c r="L362" s="177"/>
    </row>
    <row r="363" spans="7:12">
      <c r="G363" s="18"/>
      <c r="L363" s="177"/>
    </row>
    <row r="364" spans="7:12">
      <c r="G364" s="18"/>
      <c r="L364" s="177"/>
    </row>
    <row r="365" spans="7:12">
      <c r="G365" s="18"/>
      <c r="L365" s="177"/>
    </row>
    <row r="366" spans="7:12">
      <c r="G366" s="18"/>
      <c r="L366" s="177"/>
    </row>
    <row r="367" spans="7:12">
      <c r="G367" s="18"/>
      <c r="L367" s="177"/>
    </row>
    <row r="368" spans="7:12">
      <c r="G368" s="18"/>
      <c r="L368" s="177"/>
    </row>
    <row r="369" spans="7:12">
      <c r="G369" s="18"/>
      <c r="L369" s="177"/>
    </row>
    <row r="370" spans="7:12">
      <c r="G370" s="18"/>
      <c r="L370" s="177"/>
    </row>
    <row r="371" spans="7:12">
      <c r="G371" s="18"/>
      <c r="L371" s="177"/>
    </row>
    <row r="372" spans="7:12">
      <c r="G372" s="18"/>
      <c r="L372" s="177"/>
    </row>
  </sheetData>
  <phoneticPr fontId="2" type="noConversion"/>
  <dataValidations count="1">
    <dataValidation allowBlank="1" showInputMessage="1" showErrorMessage="1" sqref="C3:C8 E3:E8" xr:uid="{C9241405-3171-4000-859F-A782C2B68AF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16E911E-873F-46D0-80D3-3F574A3D6651}">
          <x14:formula1>
            <xm:f>공급업체코드!$D$3:$D$103</xm:f>
          </x14:formula1>
          <xm:sqref>E9:E82</xm:sqref>
        </x14:dataValidation>
        <x14:dataValidation type="list" allowBlank="1" showInputMessage="1" showErrorMessage="1" xr:uid="{5CC426F4-DECC-46EF-986A-1DA082555B2A}">
          <x14:formula1>
            <xm:f>기계코드!$F$5:$F$43</xm:f>
          </x14:formula1>
          <xm:sqref>C18:C82</xm:sqref>
        </x14:dataValidation>
        <x14:dataValidation type="list" allowBlank="1" showInputMessage="1" showErrorMessage="1" xr:uid="{AC53232D-CE9E-447C-B2D5-F69D71E9C40D}">
          <x14:formula1>
            <xm:f>기계코드!$F$208:$F$214</xm:f>
          </x14:formula1>
          <xm:sqref>C14:C17</xm:sqref>
        </x14:dataValidation>
        <x14:dataValidation type="list" allowBlank="1" showInputMessage="1" showErrorMessage="1" xr:uid="{A40DBB44-DE71-4945-80DE-35E46AB7D8DB}">
          <x14:formula1>
            <xm:f>기계코드!$F$162:$F$168</xm:f>
          </x14:formula1>
          <xm:sqref>C9:C13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EBD8-575D-445A-B7B6-4A60E2553038}">
  <dimension ref="A1:Y1002"/>
  <sheetViews>
    <sheetView workbookViewId="0">
      <pane ySplit="2" topLeftCell="A40" activePane="bottomLeft" state="frozen"/>
      <selection pane="bottomLeft" activeCell="H2" sqref="H2"/>
    </sheetView>
  </sheetViews>
  <sheetFormatPr defaultRowHeight="16.5"/>
  <cols>
    <col min="1" max="1" width="17.625" bestFit="1" customWidth="1"/>
    <col min="2" max="2" width="32" bestFit="1" customWidth="1"/>
    <col min="3" max="3" width="20.75" bestFit="1" customWidth="1"/>
    <col min="4" max="4" width="16.75" bestFit="1" customWidth="1"/>
    <col min="5" max="5" width="15.25" bestFit="1" customWidth="1"/>
    <col min="6" max="6" width="13.75" bestFit="1" customWidth="1"/>
    <col min="7" max="7" width="22.875" bestFit="1" customWidth="1"/>
    <col min="8" max="8" width="22.25" bestFit="1" customWidth="1"/>
    <col min="9" max="9" width="13.375" style="277" bestFit="1" customWidth="1"/>
    <col min="10" max="10" width="25.875" style="10" bestFit="1" customWidth="1"/>
    <col min="11" max="11" width="16.625" style="10" bestFit="1" customWidth="1"/>
    <col min="12" max="12" width="18.25" style="178" bestFit="1" customWidth="1"/>
    <col min="13" max="13" width="21.25" bestFit="1" customWidth="1"/>
    <col min="14" max="14" width="21.25" style="113" customWidth="1"/>
    <col min="16" max="16" width="29.125" bestFit="1" customWidth="1"/>
    <col min="17" max="17" width="20.625" customWidth="1"/>
  </cols>
  <sheetData>
    <row r="1" spans="1:25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7" t="s">
        <v>1865</v>
      </c>
      <c r="I1" s="10" t="s">
        <v>1290</v>
      </c>
      <c r="J1" s="10" t="s">
        <v>1291</v>
      </c>
      <c r="K1" s="10" t="s">
        <v>1292</v>
      </c>
      <c r="L1" s="10" t="s">
        <v>1293</v>
      </c>
      <c r="M1" s="17" t="s">
        <v>1294</v>
      </c>
      <c r="N1" s="61" t="s">
        <v>1295</v>
      </c>
      <c r="O1" s="10" t="s">
        <v>1296</v>
      </c>
      <c r="P1" s="10" t="s">
        <v>1297</v>
      </c>
      <c r="Q1" s="210" t="s">
        <v>1298</v>
      </c>
      <c r="R1" s="10"/>
      <c r="S1" s="10"/>
      <c r="T1" s="10"/>
      <c r="U1" s="10"/>
      <c r="V1" s="10"/>
      <c r="W1" s="10"/>
      <c r="X1" s="10"/>
      <c r="Y1" s="10"/>
    </row>
    <row r="2" spans="1:25"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23" t="s">
        <v>1302</v>
      </c>
      <c r="H2" s="116" t="s">
        <v>1866</v>
      </c>
      <c r="I2" s="176" t="s">
        <v>1305</v>
      </c>
      <c r="J2" s="114" t="s">
        <v>1306</v>
      </c>
      <c r="K2" s="180" t="s">
        <v>1307</v>
      </c>
      <c r="L2" s="234" t="s">
        <v>1308</v>
      </c>
      <c r="M2" s="235" t="s">
        <v>1309</v>
      </c>
      <c r="N2" s="241" t="s">
        <v>1310</v>
      </c>
      <c r="O2" s="109" t="s">
        <v>1311</v>
      </c>
      <c r="P2" s="100" t="s">
        <v>10</v>
      </c>
      <c r="Q2" s="242" t="s">
        <v>1312</v>
      </c>
      <c r="R2" s="1"/>
      <c r="S2" s="1"/>
      <c r="T2" s="1"/>
      <c r="U2" s="1"/>
      <c r="V2" s="1"/>
      <c r="W2" s="41"/>
      <c r="X2" s="41"/>
      <c r="Y2" s="41"/>
    </row>
    <row r="3" spans="1:25">
      <c r="B3" s="1" t="str">
        <f t="shared" ref="B3" si="0">D3&amp;"_"&amp;F3&amp;"_"&amp;H3</f>
        <v>M_MED01_VM_BKT_1</v>
      </c>
      <c r="C3" s="92" t="s">
        <v>727</v>
      </c>
      <c r="D3" s="92" t="str" cm="1">
        <f t="array" ref="D3">INDEX(기계코드!$D$4:$D$1022,MATCH(1,(C3=기계코드!$F$4:$F$1022)*1,0))</f>
        <v>M_MED01</v>
      </c>
      <c r="E3" s="92" t="s">
        <v>1128</v>
      </c>
      <c r="F3" s="92" t="str" cm="1">
        <f t="array" ref="F3">INDEX(공급업체코드!$B$3:$B$1000,MATCH(1,(E3=공급업체코드!$D$3:$D$1000)*1,0))</f>
        <v>VM_BKT</v>
      </c>
      <c r="G3" s="113"/>
      <c r="H3" s="110">
        <v>1</v>
      </c>
      <c r="I3" s="230" t="s">
        <v>1313</v>
      </c>
      <c r="K3" s="232" t="s">
        <v>1314</v>
      </c>
      <c r="L3" s="238">
        <v>999</v>
      </c>
      <c r="M3" s="239"/>
      <c r="N3" s="240" t="s">
        <v>1315</v>
      </c>
      <c r="O3" s="1" t="b">
        <v>1</v>
      </c>
      <c r="Q3" s="34"/>
      <c r="W3" s="41"/>
      <c r="X3" s="41"/>
      <c r="Y3" s="41"/>
    </row>
    <row r="4" spans="1:25">
      <c r="B4" s="1" t="str">
        <f t="shared" ref="B4" si="1">D4&amp;"_"&amp;F4&amp;"_"&amp;H4</f>
        <v>M_MED01_VM_BKT_2</v>
      </c>
      <c r="C4" s="92" t="s">
        <v>727</v>
      </c>
      <c r="D4" s="92" t="str" cm="1">
        <f t="array" ref="D4">INDEX(기계코드!$D$4:$D$1022,MATCH(1,(C4=기계코드!$F$4:$F$1022)*1,0))</f>
        <v>M_MED01</v>
      </c>
      <c r="E4" s="92" t="s">
        <v>1128</v>
      </c>
      <c r="F4" s="92" t="str" cm="1">
        <f t="array" ref="F4">INDEX(공급업체코드!$B$3:$B$1000,MATCH(1,(E4=공급업체코드!$D$3:$D$1000)*1,0))</f>
        <v>VM_BKT</v>
      </c>
      <c r="H4" s="312">
        <v>2</v>
      </c>
      <c r="I4" s="233" t="s">
        <v>1313</v>
      </c>
      <c r="K4" s="233" t="s">
        <v>1314</v>
      </c>
      <c r="L4" s="236">
        <f>$L$3*H4</f>
        <v>1998</v>
      </c>
      <c r="N4" s="113" t="s">
        <v>1315</v>
      </c>
      <c r="O4" s="1" t="b">
        <v>1</v>
      </c>
      <c r="Q4" s="34"/>
      <c r="W4" s="41"/>
      <c r="X4" s="41"/>
      <c r="Y4" s="41"/>
    </row>
    <row r="5" spans="1:25">
      <c r="B5" s="1" t="str">
        <f t="shared" ref="B5:B6" si="2">D5&amp;"_"&amp;F5&amp;"_"&amp;H5</f>
        <v>M_MED01_VM_BKT_3</v>
      </c>
      <c r="C5" s="92" t="s">
        <v>727</v>
      </c>
      <c r="D5" s="92" t="str" cm="1">
        <f t="array" ref="D5">INDEX(기계코드!$D$4:$D$1022,MATCH(1,(C5=기계코드!$F$4:$F$1022)*1,0))</f>
        <v>M_MED01</v>
      </c>
      <c r="E5" s="92" t="s">
        <v>1128</v>
      </c>
      <c r="F5" s="92" t="str" cm="1">
        <f t="array" ref="F5">INDEX(공급업체코드!$B$3:$B$1000,MATCH(1,(E5=공급업체코드!$D$3:$D$1000)*1,0))</f>
        <v>VM_BKT</v>
      </c>
      <c r="H5" s="312">
        <v>3</v>
      </c>
      <c r="I5" s="233" t="s">
        <v>1313</v>
      </c>
      <c r="K5" s="233" t="s">
        <v>1314</v>
      </c>
      <c r="L5" s="236">
        <f t="shared" ref="L5:L68" si="3">$L$3*H5</f>
        <v>2997</v>
      </c>
      <c r="N5" s="113" t="s">
        <v>1315</v>
      </c>
      <c r="O5" s="1" t="b">
        <v>1</v>
      </c>
      <c r="Q5" s="34"/>
      <c r="W5" s="41"/>
      <c r="X5" s="41"/>
      <c r="Y5" s="41"/>
    </row>
    <row r="6" spans="1:25">
      <c r="B6" s="1" t="str">
        <f t="shared" si="2"/>
        <v>M_MED01_VM_BKT_4</v>
      </c>
      <c r="C6" s="92" t="s">
        <v>727</v>
      </c>
      <c r="D6" s="92" t="str" cm="1">
        <f t="array" ref="D6">INDEX(기계코드!$D$4:$D$1022,MATCH(1,(C6=기계코드!$F$4:$F$1022)*1,0))</f>
        <v>M_MED01</v>
      </c>
      <c r="E6" s="92" t="s">
        <v>1128</v>
      </c>
      <c r="F6" s="92" t="str" cm="1">
        <f t="array" ref="F6">INDEX(공급업체코드!$B$3:$B$1000,MATCH(1,(E6=공급업체코드!$D$3:$D$1000)*1,0))</f>
        <v>VM_BKT</v>
      </c>
      <c r="H6" s="312">
        <v>4</v>
      </c>
      <c r="I6" s="233" t="s">
        <v>1313</v>
      </c>
      <c r="K6" s="233" t="s">
        <v>1314</v>
      </c>
      <c r="L6" s="236">
        <f t="shared" si="3"/>
        <v>3996</v>
      </c>
      <c r="N6" s="113" t="s">
        <v>1315</v>
      </c>
      <c r="O6" s="1" t="b">
        <v>1</v>
      </c>
      <c r="Q6" s="34"/>
      <c r="W6" s="41"/>
      <c r="X6" s="41"/>
      <c r="Y6" s="41"/>
    </row>
    <row r="7" spans="1:25">
      <c r="B7" s="1" t="str">
        <f t="shared" ref="B7:B70" si="4">D7&amp;"_"&amp;F7&amp;"_"&amp;H7</f>
        <v>M_MED01_VM_BKT_5</v>
      </c>
      <c r="C7" s="92" t="s">
        <v>727</v>
      </c>
      <c r="D7" s="92" t="str" cm="1">
        <f t="array" ref="D7">INDEX(기계코드!$D$4:$D$1022,MATCH(1,(C7=기계코드!$F$4:$F$1022)*1,0))</f>
        <v>M_MED01</v>
      </c>
      <c r="E7" s="92" t="s">
        <v>1128</v>
      </c>
      <c r="F7" s="92" t="str" cm="1">
        <f t="array" ref="F7">INDEX(공급업체코드!$B$3:$B$1000,MATCH(1,(E7=공급업체코드!$D$3:$D$1000)*1,0))</f>
        <v>VM_BKT</v>
      </c>
      <c r="H7" s="312">
        <v>5</v>
      </c>
      <c r="I7" s="233" t="s">
        <v>1313</v>
      </c>
      <c r="K7" s="233" t="s">
        <v>1314</v>
      </c>
      <c r="L7" s="236">
        <f t="shared" si="3"/>
        <v>4995</v>
      </c>
      <c r="N7" s="113" t="s">
        <v>1315</v>
      </c>
      <c r="O7" s="1" t="b">
        <v>1</v>
      </c>
      <c r="Q7" s="34"/>
      <c r="W7" s="41"/>
      <c r="X7" s="41"/>
      <c r="Y7" s="41"/>
    </row>
    <row r="8" spans="1:25">
      <c r="B8" s="1" t="str">
        <f t="shared" si="4"/>
        <v>M_MED01_VM_BKT_6</v>
      </c>
      <c r="C8" s="92" t="s">
        <v>727</v>
      </c>
      <c r="D8" s="92" t="str" cm="1">
        <f t="array" ref="D8">INDEX(기계코드!$D$4:$D$1022,MATCH(1,(C8=기계코드!$F$4:$F$1022)*1,0))</f>
        <v>M_MED01</v>
      </c>
      <c r="E8" s="92" t="s">
        <v>1128</v>
      </c>
      <c r="F8" s="92" t="str" cm="1">
        <f t="array" ref="F8">INDEX(공급업체코드!$B$3:$B$1000,MATCH(1,(E8=공급업체코드!$D$3:$D$1000)*1,0))</f>
        <v>VM_BKT</v>
      </c>
      <c r="H8" s="312">
        <v>6</v>
      </c>
      <c r="I8" s="233" t="s">
        <v>1313</v>
      </c>
      <c r="K8" s="233" t="s">
        <v>1314</v>
      </c>
      <c r="L8" s="236">
        <f t="shared" si="3"/>
        <v>5994</v>
      </c>
      <c r="N8" s="113" t="s">
        <v>1315</v>
      </c>
      <c r="O8" s="1" t="b">
        <v>1</v>
      </c>
      <c r="Q8" s="34"/>
      <c r="W8" s="41"/>
      <c r="X8" s="41"/>
      <c r="Y8" s="41"/>
    </row>
    <row r="9" spans="1:25">
      <c r="B9" s="1" t="str">
        <f t="shared" si="4"/>
        <v>M_MED01_VM_BKT_7</v>
      </c>
      <c r="C9" s="92" t="s">
        <v>727</v>
      </c>
      <c r="D9" s="92" t="str" cm="1">
        <f t="array" ref="D9">INDEX(기계코드!$D$4:$D$1022,MATCH(1,(C9=기계코드!$F$4:$F$1022)*1,0))</f>
        <v>M_MED01</v>
      </c>
      <c r="E9" s="92" t="s">
        <v>1128</v>
      </c>
      <c r="F9" s="92" t="str" cm="1">
        <f t="array" ref="F9">INDEX(공급업체코드!$B$3:$B$1000,MATCH(1,(E9=공급업체코드!$D$3:$D$1000)*1,0))</f>
        <v>VM_BKT</v>
      </c>
      <c r="H9" s="312">
        <v>7</v>
      </c>
      <c r="I9" s="233" t="s">
        <v>1313</v>
      </c>
      <c r="K9" s="233" t="s">
        <v>1314</v>
      </c>
      <c r="L9" s="236">
        <f t="shared" si="3"/>
        <v>6993</v>
      </c>
      <c r="N9" s="113" t="s">
        <v>1315</v>
      </c>
      <c r="O9" s="1" t="b">
        <v>1</v>
      </c>
      <c r="Q9" s="34"/>
      <c r="W9" s="111"/>
      <c r="X9" s="111"/>
      <c r="Y9" s="41"/>
    </row>
    <row r="10" spans="1:25">
      <c r="B10" s="1" t="str">
        <f t="shared" si="4"/>
        <v>M_MED01_VM_BKT_8</v>
      </c>
      <c r="C10" s="92" t="s">
        <v>727</v>
      </c>
      <c r="D10" s="92" t="str" cm="1">
        <f t="array" ref="D10">INDEX(기계코드!$D$4:$D$1022,MATCH(1,(C10=기계코드!$F$4:$F$1022)*1,0))</f>
        <v>M_MED01</v>
      </c>
      <c r="E10" s="92" t="s">
        <v>1128</v>
      </c>
      <c r="F10" s="92" t="str" cm="1">
        <f t="array" ref="F10">INDEX(공급업체코드!$B$3:$B$1000,MATCH(1,(E10=공급업체코드!$D$3:$D$1000)*1,0))</f>
        <v>VM_BKT</v>
      </c>
      <c r="H10" s="312">
        <v>8</v>
      </c>
      <c r="I10" s="233" t="s">
        <v>1313</v>
      </c>
      <c r="K10" s="233" t="s">
        <v>1314</v>
      </c>
      <c r="L10" s="236">
        <f t="shared" si="3"/>
        <v>7992</v>
      </c>
      <c r="N10" s="113" t="s">
        <v>1315</v>
      </c>
      <c r="O10" s="1" t="b">
        <v>1</v>
      </c>
      <c r="Q10" s="34"/>
      <c r="W10" s="111"/>
      <c r="X10" s="111"/>
      <c r="Y10" s="111"/>
    </row>
    <row r="11" spans="1:25">
      <c r="B11" s="1" t="str">
        <f t="shared" si="4"/>
        <v>M_MED01_VM_BKT_9</v>
      </c>
      <c r="C11" s="92" t="s">
        <v>727</v>
      </c>
      <c r="D11" s="92" t="str" cm="1">
        <f t="array" ref="D11">INDEX(기계코드!$D$4:$D$1022,MATCH(1,(C11=기계코드!$F$4:$F$1022)*1,0))</f>
        <v>M_MED01</v>
      </c>
      <c r="E11" s="92" t="s">
        <v>1128</v>
      </c>
      <c r="F11" s="92" t="str" cm="1">
        <f t="array" ref="F11">INDEX(공급업체코드!$B$3:$B$1000,MATCH(1,(E11=공급업체코드!$D$3:$D$1000)*1,0))</f>
        <v>VM_BKT</v>
      </c>
      <c r="H11" s="312">
        <v>9</v>
      </c>
      <c r="I11" s="233" t="s">
        <v>1313</v>
      </c>
      <c r="K11" s="233" t="s">
        <v>1314</v>
      </c>
      <c r="L11" s="236">
        <f t="shared" si="3"/>
        <v>8991</v>
      </c>
      <c r="N11" s="113" t="s">
        <v>1315</v>
      </c>
      <c r="O11" s="1" t="b">
        <v>1</v>
      </c>
      <c r="Q11" s="34"/>
      <c r="W11" s="111"/>
      <c r="X11" s="111"/>
      <c r="Y11" s="41"/>
    </row>
    <row r="12" spans="1:25">
      <c r="B12" s="1" t="str">
        <f t="shared" si="4"/>
        <v>M_MED01_VM_BKT_10</v>
      </c>
      <c r="C12" s="92" t="s">
        <v>727</v>
      </c>
      <c r="D12" s="92" t="str" cm="1">
        <f t="array" ref="D12">INDEX(기계코드!$D$4:$D$1022,MATCH(1,(C12=기계코드!$F$4:$F$1022)*1,0))</f>
        <v>M_MED01</v>
      </c>
      <c r="E12" s="92" t="s">
        <v>1128</v>
      </c>
      <c r="F12" s="92" t="str" cm="1">
        <f t="array" ref="F12">INDEX(공급업체코드!$B$3:$B$1000,MATCH(1,(E12=공급업체코드!$D$3:$D$1000)*1,0))</f>
        <v>VM_BKT</v>
      </c>
      <c r="H12" s="312">
        <v>10</v>
      </c>
      <c r="I12" s="233" t="s">
        <v>1313</v>
      </c>
      <c r="K12" s="233" t="s">
        <v>1314</v>
      </c>
      <c r="L12" s="236">
        <f t="shared" si="3"/>
        <v>9990</v>
      </c>
      <c r="N12" s="113" t="s">
        <v>1315</v>
      </c>
      <c r="O12" s="1" t="b">
        <v>1</v>
      </c>
      <c r="Q12" s="34"/>
      <c r="W12" s="41"/>
      <c r="X12" s="41"/>
      <c r="Y12" s="41"/>
    </row>
    <row r="13" spans="1:25">
      <c r="B13" s="1" t="str">
        <f t="shared" si="4"/>
        <v>M_MED01_VM_BKT_11</v>
      </c>
      <c r="C13" s="92" t="s">
        <v>727</v>
      </c>
      <c r="D13" s="92" t="str" cm="1">
        <f t="array" ref="D13">INDEX(기계코드!$D$4:$D$1022,MATCH(1,(C13=기계코드!$F$4:$F$1022)*1,0))</f>
        <v>M_MED01</v>
      </c>
      <c r="E13" s="92" t="s">
        <v>1128</v>
      </c>
      <c r="F13" s="92" t="str" cm="1">
        <f t="array" ref="F13">INDEX(공급업체코드!$B$3:$B$1000,MATCH(1,(E13=공급업체코드!$D$3:$D$1000)*1,0))</f>
        <v>VM_BKT</v>
      </c>
      <c r="H13" s="312">
        <v>11</v>
      </c>
      <c r="I13" s="233" t="s">
        <v>1313</v>
      </c>
      <c r="K13" s="233" t="s">
        <v>1314</v>
      </c>
      <c r="L13" s="236">
        <f t="shared" si="3"/>
        <v>10989</v>
      </c>
      <c r="N13" s="113" t="s">
        <v>1315</v>
      </c>
      <c r="O13" s="1" t="b">
        <v>1</v>
      </c>
      <c r="Q13" s="34"/>
      <c r="W13" s="111"/>
      <c r="X13" s="111"/>
      <c r="Y13" s="41"/>
    </row>
    <row r="14" spans="1:25">
      <c r="B14" s="1" t="str">
        <f t="shared" si="4"/>
        <v>M_MED01_VM_BKT_12</v>
      </c>
      <c r="C14" s="92" t="s">
        <v>727</v>
      </c>
      <c r="D14" s="92" t="str" cm="1">
        <f t="array" ref="D14">INDEX(기계코드!$D$4:$D$1022,MATCH(1,(C14=기계코드!$F$4:$F$1022)*1,0))</f>
        <v>M_MED01</v>
      </c>
      <c r="E14" s="92" t="s">
        <v>1128</v>
      </c>
      <c r="F14" s="92" t="str" cm="1">
        <f t="array" ref="F14">INDEX(공급업체코드!$B$3:$B$1000,MATCH(1,(E14=공급업체코드!$D$3:$D$1000)*1,0))</f>
        <v>VM_BKT</v>
      </c>
      <c r="H14" s="312">
        <v>12</v>
      </c>
      <c r="I14" s="233" t="s">
        <v>1313</v>
      </c>
      <c r="K14" s="233" t="s">
        <v>1314</v>
      </c>
      <c r="L14" s="236">
        <f t="shared" si="3"/>
        <v>11988</v>
      </c>
      <c r="N14" s="113" t="s">
        <v>1315</v>
      </c>
      <c r="O14" s="1" t="b">
        <v>1</v>
      </c>
      <c r="Q14" s="34"/>
      <c r="W14" s="41"/>
      <c r="X14" s="41"/>
      <c r="Y14" s="41"/>
    </row>
    <row r="15" spans="1:25">
      <c r="B15" s="1" t="str">
        <f t="shared" si="4"/>
        <v>M_MED01_VM_BKT_13</v>
      </c>
      <c r="C15" s="92" t="s">
        <v>727</v>
      </c>
      <c r="D15" s="92" t="str" cm="1">
        <f t="array" ref="D15">INDEX(기계코드!$D$4:$D$1022,MATCH(1,(C15=기계코드!$F$4:$F$1022)*1,0))</f>
        <v>M_MED01</v>
      </c>
      <c r="E15" s="92" t="s">
        <v>1128</v>
      </c>
      <c r="F15" s="92" t="str" cm="1">
        <f t="array" ref="F15">INDEX(공급업체코드!$B$3:$B$1000,MATCH(1,(E15=공급업체코드!$D$3:$D$1000)*1,0))</f>
        <v>VM_BKT</v>
      </c>
      <c r="H15" s="312">
        <v>13</v>
      </c>
      <c r="I15" s="233" t="s">
        <v>1313</v>
      </c>
      <c r="K15" s="233" t="s">
        <v>1314</v>
      </c>
      <c r="L15" s="236">
        <f t="shared" si="3"/>
        <v>12987</v>
      </c>
      <c r="N15" s="113" t="s">
        <v>1315</v>
      </c>
      <c r="O15" s="1" t="b">
        <v>1</v>
      </c>
      <c r="Q15" s="34"/>
      <c r="W15" s="41"/>
      <c r="X15" s="41"/>
      <c r="Y15" s="41"/>
    </row>
    <row r="16" spans="1:25">
      <c r="B16" s="1" t="str">
        <f t="shared" si="4"/>
        <v>M_MED01_VM_BKT_14</v>
      </c>
      <c r="C16" s="92" t="s">
        <v>727</v>
      </c>
      <c r="D16" s="92" t="str" cm="1">
        <f t="array" ref="D16">INDEX(기계코드!$D$4:$D$1022,MATCH(1,(C16=기계코드!$F$4:$F$1022)*1,0))</f>
        <v>M_MED01</v>
      </c>
      <c r="E16" s="92" t="s">
        <v>1128</v>
      </c>
      <c r="F16" s="92" t="str" cm="1">
        <f t="array" ref="F16">INDEX(공급업체코드!$B$3:$B$1000,MATCH(1,(E16=공급업체코드!$D$3:$D$1000)*1,0))</f>
        <v>VM_BKT</v>
      </c>
      <c r="H16" s="312">
        <v>14</v>
      </c>
      <c r="I16" s="233" t="s">
        <v>1313</v>
      </c>
      <c r="K16" s="233" t="s">
        <v>1314</v>
      </c>
      <c r="L16" s="236">
        <f t="shared" si="3"/>
        <v>13986</v>
      </c>
      <c r="N16" s="113" t="s">
        <v>1315</v>
      </c>
      <c r="O16" s="1" t="b">
        <v>1</v>
      </c>
      <c r="Q16" s="34"/>
      <c r="W16" s="111"/>
      <c r="X16" s="111"/>
      <c r="Y16" s="41"/>
    </row>
    <row r="17" spans="2:25">
      <c r="B17" s="1" t="str">
        <f t="shared" si="4"/>
        <v>M_MED01_VM_BKT_15</v>
      </c>
      <c r="C17" s="92" t="s">
        <v>727</v>
      </c>
      <c r="D17" s="92" t="str" cm="1">
        <f t="array" ref="D17">INDEX(기계코드!$D$4:$D$1022,MATCH(1,(C17=기계코드!$F$4:$F$1022)*1,0))</f>
        <v>M_MED01</v>
      </c>
      <c r="E17" s="92" t="s">
        <v>1128</v>
      </c>
      <c r="F17" s="92" t="str" cm="1">
        <f t="array" ref="F17">INDEX(공급업체코드!$B$3:$B$1000,MATCH(1,(E17=공급업체코드!$D$3:$D$1000)*1,0))</f>
        <v>VM_BKT</v>
      </c>
      <c r="H17" s="312">
        <v>15</v>
      </c>
      <c r="I17" s="233" t="s">
        <v>1313</v>
      </c>
      <c r="K17" s="233" t="s">
        <v>1314</v>
      </c>
      <c r="L17" s="236">
        <f t="shared" si="3"/>
        <v>14985</v>
      </c>
      <c r="N17" s="113" t="s">
        <v>1315</v>
      </c>
      <c r="O17" s="1" t="b">
        <v>1</v>
      </c>
      <c r="Q17" s="34"/>
      <c r="W17" s="41"/>
      <c r="X17" s="41"/>
      <c r="Y17" s="41"/>
    </row>
    <row r="18" spans="2:25">
      <c r="B18" s="1" t="str">
        <f t="shared" si="4"/>
        <v>M_MED01_VM_BKT_16</v>
      </c>
      <c r="C18" s="92" t="s">
        <v>727</v>
      </c>
      <c r="D18" s="92" t="str" cm="1">
        <f t="array" ref="D18">INDEX(기계코드!$D$4:$D$1022,MATCH(1,(C18=기계코드!$F$4:$F$1022)*1,0))</f>
        <v>M_MED01</v>
      </c>
      <c r="E18" s="92" t="s">
        <v>1128</v>
      </c>
      <c r="F18" s="92" t="str" cm="1">
        <f t="array" ref="F18">INDEX(공급업체코드!$B$3:$B$1000,MATCH(1,(E18=공급업체코드!$D$3:$D$1000)*1,0))</f>
        <v>VM_BKT</v>
      </c>
      <c r="H18" s="312">
        <v>16</v>
      </c>
      <c r="I18" s="233" t="s">
        <v>1313</v>
      </c>
      <c r="K18" s="233" t="s">
        <v>1314</v>
      </c>
      <c r="L18" s="236">
        <f t="shared" si="3"/>
        <v>15984</v>
      </c>
      <c r="N18" s="113" t="s">
        <v>1315</v>
      </c>
      <c r="O18" s="1" t="b">
        <v>1</v>
      </c>
      <c r="Q18" s="34"/>
      <c r="W18" s="41"/>
      <c r="X18" s="41"/>
      <c r="Y18" s="41"/>
    </row>
    <row r="19" spans="2:25">
      <c r="B19" s="1" t="str">
        <f t="shared" si="4"/>
        <v>M_MED01_VM_BKT_17</v>
      </c>
      <c r="C19" s="92" t="s">
        <v>727</v>
      </c>
      <c r="D19" s="92" t="str" cm="1">
        <f t="array" ref="D19">INDEX(기계코드!$D$4:$D$1022,MATCH(1,(C19=기계코드!$F$4:$F$1022)*1,0))</f>
        <v>M_MED01</v>
      </c>
      <c r="E19" s="92" t="s">
        <v>1128</v>
      </c>
      <c r="F19" s="92" t="str" cm="1">
        <f t="array" ref="F19">INDEX(공급업체코드!$B$3:$B$1000,MATCH(1,(E19=공급업체코드!$D$3:$D$1000)*1,0))</f>
        <v>VM_BKT</v>
      </c>
      <c r="H19" s="312">
        <v>17</v>
      </c>
      <c r="I19" s="233" t="s">
        <v>1313</v>
      </c>
      <c r="K19" s="233" t="s">
        <v>1314</v>
      </c>
      <c r="L19" s="236">
        <f t="shared" si="3"/>
        <v>16983</v>
      </c>
      <c r="N19" s="113" t="s">
        <v>1315</v>
      </c>
      <c r="O19" s="1" t="b">
        <v>1</v>
      </c>
      <c r="Q19" s="34"/>
      <c r="W19" s="111"/>
      <c r="X19" s="111"/>
      <c r="Y19" s="41"/>
    </row>
    <row r="20" spans="2:25">
      <c r="B20" s="1" t="str">
        <f t="shared" si="4"/>
        <v>M_MED01_VM_BKT_18</v>
      </c>
      <c r="C20" s="92" t="s">
        <v>727</v>
      </c>
      <c r="D20" s="92" t="str" cm="1">
        <f t="array" ref="D20">INDEX(기계코드!$D$4:$D$1022,MATCH(1,(C20=기계코드!$F$4:$F$1022)*1,0))</f>
        <v>M_MED01</v>
      </c>
      <c r="E20" s="92" t="s">
        <v>1128</v>
      </c>
      <c r="F20" s="92" t="str" cm="1">
        <f t="array" ref="F20">INDEX(공급업체코드!$B$3:$B$1000,MATCH(1,(E20=공급업체코드!$D$3:$D$1000)*1,0))</f>
        <v>VM_BKT</v>
      </c>
      <c r="H20" s="312">
        <v>18</v>
      </c>
      <c r="I20" s="233" t="s">
        <v>1313</v>
      </c>
      <c r="K20" s="233" t="s">
        <v>1314</v>
      </c>
      <c r="L20" s="236">
        <f t="shared" si="3"/>
        <v>17982</v>
      </c>
      <c r="N20" s="113" t="s">
        <v>1315</v>
      </c>
      <c r="O20" s="1" t="b">
        <v>1</v>
      </c>
      <c r="Q20" s="34"/>
      <c r="W20" s="41"/>
      <c r="X20" s="41"/>
      <c r="Y20" s="41"/>
    </row>
    <row r="21" spans="2:25">
      <c r="B21" s="1" t="str">
        <f t="shared" si="4"/>
        <v>M_MED01_VM_BKT_19</v>
      </c>
      <c r="C21" s="92" t="s">
        <v>727</v>
      </c>
      <c r="D21" s="92" t="str" cm="1">
        <f t="array" ref="D21">INDEX(기계코드!$D$4:$D$1022,MATCH(1,(C21=기계코드!$F$4:$F$1022)*1,0))</f>
        <v>M_MED01</v>
      </c>
      <c r="E21" s="92" t="s">
        <v>1128</v>
      </c>
      <c r="F21" s="92" t="str" cm="1">
        <f t="array" ref="F21">INDEX(공급업체코드!$B$3:$B$1000,MATCH(1,(E21=공급업체코드!$D$3:$D$1000)*1,0))</f>
        <v>VM_BKT</v>
      </c>
      <c r="H21" s="312">
        <v>19</v>
      </c>
      <c r="I21" s="233" t="s">
        <v>1313</v>
      </c>
      <c r="K21" s="233" t="s">
        <v>1314</v>
      </c>
      <c r="L21" s="236">
        <f t="shared" si="3"/>
        <v>18981</v>
      </c>
      <c r="N21" s="113" t="s">
        <v>1315</v>
      </c>
      <c r="O21" s="1" t="b">
        <v>1</v>
      </c>
      <c r="Q21" s="34"/>
      <c r="W21" s="111"/>
      <c r="X21" s="111"/>
      <c r="Y21" s="41"/>
    </row>
    <row r="22" spans="2:25">
      <c r="B22" s="1" t="str">
        <f t="shared" si="4"/>
        <v>M_MED01_VM_BKT_20</v>
      </c>
      <c r="C22" s="92" t="s">
        <v>727</v>
      </c>
      <c r="D22" s="92" t="str" cm="1">
        <f t="array" ref="D22">INDEX(기계코드!$D$4:$D$1022,MATCH(1,(C22=기계코드!$F$4:$F$1022)*1,0))</f>
        <v>M_MED01</v>
      </c>
      <c r="E22" s="92" t="s">
        <v>1128</v>
      </c>
      <c r="F22" s="92" t="str" cm="1">
        <f t="array" ref="F22">INDEX(공급업체코드!$B$3:$B$1000,MATCH(1,(E22=공급업체코드!$D$3:$D$1000)*1,0))</f>
        <v>VM_BKT</v>
      </c>
      <c r="H22" s="312">
        <v>20</v>
      </c>
      <c r="I22" s="233" t="s">
        <v>1313</v>
      </c>
      <c r="K22" s="233" t="s">
        <v>1314</v>
      </c>
      <c r="L22" s="236">
        <f t="shared" si="3"/>
        <v>19980</v>
      </c>
      <c r="N22" s="113" t="s">
        <v>1315</v>
      </c>
      <c r="O22" s="1" t="b">
        <v>1</v>
      </c>
      <c r="Q22" s="34"/>
      <c r="W22" s="111"/>
      <c r="X22" s="111"/>
      <c r="Y22" s="111"/>
    </row>
    <row r="23" spans="2:25">
      <c r="B23" s="1" t="str">
        <f t="shared" si="4"/>
        <v>M_MED01_VM_BKT_21</v>
      </c>
      <c r="C23" s="92" t="s">
        <v>727</v>
      </c>
      <c r="D23" s="92" t="str" cm="1">
        <f t="array" ref="D23">INDEX(기계코드!$D$4:$D$1022,MATCH(1,(C23=기계코드!$F$4:$F$1022)*1,0))</f>
        <v>M_MED01</v>
      </c>
      <c r="E23" s="92" t="s">
        <v>1128</v>
      </c>
      <c r="F23" s="92" t="str" cm="1">
        <f t="array" ref="F23">INDEX(공급업체코드!$B$3:$B$1000,MATCH(1,(E23=공급업체코드!$D$3:$D$1000)*1,0))</f>
        <v>VM_BKT</v>
      </c>
      <c r="H23" s="312">
        <v>21</v>
      </c>
      <c r="I23" s="233" t="s">
        <v>1313</v>
      </c>
      <c r="K23" s="233" t="s">
        <v>1314</v>
      </c>
      <c r="L23" s="236">
        <f t="shared" si="3"/>
        <v>20979</v>
      </c>
      <c r="N23" s="113" t="s">
        <v>1315</v>
      </c>
      <c r="O23" s="1" t="b">
        <v>1</v>
      </c>
      <c r="Q23" s="34"/>
      <c r="W23" s="111"/>
      <c r="X23" s="111"/>
      <c r="Y23" s="41"/>
    </row>
    <row r="24" spans="2:25">
      <c r="B24" s="1" t="str">
        <f t="shared" si="4"/>
        <v>M_MED01_VM_BKT_22</v>
      </c>
      <c r="C24" s="92" t="s">
        <v>727</v>
      </c>
      <c r="D24" s="92" t="str" cm="1">
        <f t="array" ref="D24">INDEX(기계코드!$D$4:$D$1022,MATCH(1,(C24=기계코드!$F$4:$F$1022)*1,0))</f>
        <v>M_MED01</v>
      </c>
      <c r="E24" s="92" t="s">
        <v>1128</v>
      </c>
      <c r="F24" s="92" t="str" cm="1">
        <f t="array" ref="F24">INDEX(공급업체코드!$B$3:$B$1000,MATCH(1,(E24=공급업체코드!$D$3:$D$1000)*1,0))</f>
        <v>VM_BKT</v>
      </c>
      <c r="H24" s="312">
        <v>22</v>
      </c>
      <c r="I24" s="233" t="s">
        <v>1313</v>
      </c>
      <c r="K24" s="233" t="s">
        <v>1314</v>
      </c>
      <c r="L24" s="236">
        <f t="shared" si="3"/>
        <v>21978</v>
      </c>
      <c r="N24" s="113" t="s">
        <v>1315</v>
      </c>
      <c r="O24" s="1" t="b">
        <v>1</v>
      </c>
      <c r="Q24" s="34"/>
      <c r="W24" s="41"/>
      <c r="X24" s="41"/>
      <c r="Y24" s="41"/>
    </row>
    <row r="25" spans="2:25">
      <c r="B25" s="1" t="str">
        <f t="shared" si="4"/>
        <v>M_MED01_VM_BKT_23</v>
      </c>
      <c r="C25" s="92" t="s">
        <v>727</v>
      </c>
      <c r="D25" s="92" t="str" cm="1">
        <f t="array" ref="D25">INDEX(기계코드!$D$4:$D$1022,MATCH(1,(C25=기계코드!$F$4:$F$1022)*1,0))</f>
        <v>M_MED01</v>
      </c>
      <c r="E25" s="92" t="s">
        <v>1128</v>
      </c>
      <c r="F25" s="92" t="str" cm="1">
        <f t="array" ref="F25">INDEX(공급업체코드!$B$3:$B$1000,MATCH(1,(E25=공급업체코드!$D$3:$D$1000)*1,0))</f>
        <v>VM_BKT</v>
      </c>
      <c r="H25" s="312">
        <v>23</v>
      </c>
      <c r="I25" s="233" t="s">
        <v>1313</v>
      </c>
      <c r="K25" s="233" t="s">
        <v>1314</v>
      </c>
      <c r="L25" s="236">
        <f t="shared" si="3"/>
        <v>22977</v>
      </c>
      <c r="N25" s="113" t="s">
        <v>1315</v>
      </c>
      <c r="O25" s="1" t="b">
        <v>1</v>
      </c>
      <c r="Q25" s="34"/>
      <c r="W25" s="41"/>
      <c r="X25" s="41"/>
      <c r="Y25" s="41"/>
    </row>
    <row r="26" spans="2:25">
      <c r="B26" s="1" t="str">
        <f t="shared" si="4"/>
        <v>M_MED01_VM_BKT_24</v>
      </c>
      <c r="C26" s="92" t="s">
        <v>727</v>
      </c>
      <c r="D26" s="92" t="str" cm="1">
        <f t="array" ref="D26">INDEX(기계코드!$D$4:$D$1022,MATCH(1,(C26=기계코드!$F$4:$F$1022)*1,0))</f>
        <v>M_MED01</v>
      </c>
      <c r="E26" s="92" t="s">
        <v>1128</v>
      </c>
      <c r="F26" s="92" t="str" cm="1">
        <f t="array" ref="F26">INDEX(공급업체코드!$B$3:$B$1000,MATCH(1,(E26=공급업체코드!$D$3:$D$1000)*1,0))</f>
        <v>VM_BKT</v>
      </c>
      <c r="H26" s="312">
        <v>24</v>
      </c>
      <c r="I26" s="233" t="s">
        <v>1313</v>
      </c>
      <c r="K26" s="233" t="s">
        <v>1314</v>
      </c>
      <c r="L26" s="236">
        <f t="shared" si="3"/>
        <v>23976</v>
      </c>
      <c r="N26" s="113" t="s">
        <v>1315</v>
      </c>
      <c r="O26" s="1" t="b">
        <v>1</v>
      </c>
      <c r="Q26" s="34"/>
      <c r="W26" s="41"/>
      <c r="X26" s="41"/>
      <c r="Y26" s="41"/>
    </row>
    <row r="27" spans="2:25">
      <c r="B27" s="1" t="str">
        <f t="shared" si="4"/>
        <v>M_MED01_VM_BKT_25</v>
      </c>
      <c r="C27" s="92" t="s">
        <v>727</v>
      </c>
      <c r="D27" s="92" t="str" cm="1">
        <f t="array" ref="D27">INDEX(기계코드!$D$4:$D$1022,MATCH(1,(C27=기계코드!$F$4:$F$1022)*1,0))</f>
        <v>M_MED01</v>
      </c>
      <c r="E27" s="92" t="s">
        <v>1128</v>
      </c>
      <c r="F27" s="92" t="str" cm="1">
        <f t="array" ref="F27">INDEX(공급업체코드!$B$3:$B$1000,MATCH(1,(E27=공급업체코드!$D$3:$D$1000)*1,0))</f>
        <v>VM_BKT</v>
      </c>
      <c r="H27" s="312">
        <v>25</v>
      </c>
      <c r="I27" s="233" t="s">
        <v>1313</v>
      </c>
      <c r="K27" s="233" t="s">
        <v>1314</v>
      </c>
      <c r="L27" s="236">
        <f t="shared" si="3"/>
        <v>24975</v>
      </c>
      <c r="N27" s="113" t="s">
        <v>1315</v>
      </c>
      <c r="O27" s="1" t="b">
        <v>1</v>
      </c>
      <c r="Q27" s="34"/>
      <c r="W27" s="111"/>
      <c r="X27" s="111"/>
      <c r="Y27" s="41"/>
    </row>
    <row r="28" spans="2:25">
      <c r="B28" s="1" t="str">
        <f t="shared" si="4"/>
        <v>M_MED01_VM_BKT_26</v>
      </c>
      <c r="C28" s="92" t="s">
        <v>727</v>
      </c>
      <c r="D28" s="92" t="str" cm="1">
        <f t="array" ref="D28">INDEX(기계코드!$D$4:$D$1022,MATCH(1,(C28=기계코드!$F$4:$F$1022)*1,0))</f>
        <v>M_MED01</v>
      </c>
      <c r="E28" s="92" t="s">
        <v>1128</v>
      </c>
      <c r="F28" s="92" t="str" cm="1">
        <f t="array" ref="F28">INDEX(공급업체코드!$B$3:$B$1000,MATCH(1,(E28=공급업체코드!$D$3:$D$1000)*1,0))</f>
        <v>VM_BKT</v>
      </c>
      <c r="H28" s="312">
        <v>26</v>
      </c>
      <c r="I28" s="233" t="s">
        <v>1313</v>
      </c>
      <c r="K28" s="233" t="s">
        <v>1314</v>
      </c>
      <c r="L28" s="236">
        <f t="shared" si="3"/>
        <v>25974</v>
      </c>
      <c r="N28" s="113" t="s">
        <v>1315</v>
      </c>
      <c r="O28" s="1" t="b">
        <v>1</v>
      </c>
      <c r="Q28" s="34"/>
      <c r="W28" s="41"/>
      <c r="X28" s="41"/>
      <c r="Y28" s="41"/>
    </row>
    <row r="29" spans="2:25">
      <c r="B29" s="1" t="str">
        <f t="shared" si="4"/>
        <v>M_MED01_VM_BKT_27</v>
      </c>
      <c r="C29" s="92" t="s">
        <v>727</v>
      </c>
      <c r="D29" s="92" t="str" cm="1">
        <f t="array" ref="D29">INDEX(기계코드!$D$4:$D$1022,MATCH(1,(C29=기계코드!$F$4:$F$1022)*1,0))</f>
        <v>M_MED01</v>
      </c>
      <c r="E29" s="92" t="s">
        <v>1128</v>
      </c>
      <c r="F29" s="92" t="str" cm="1">
        <f t="array" ref="F29">INDEX(공급업체코드!$B$3:$B$1000,MATCH(1,(E29=공급업체코드!$D$3:$D$1000)*1,0))</f>
        <v>VM_BKT</v>
      </c>
      <c r="H29" s="312">
        <v>27</v>
      </c>
      <c r="I29" s="233" t="s">
        <v>1313</v>
      </c>
      <c r="K29" s="233" t="s">
        <v>1314</v>
      </c>
      <c r="L29" s="236">
        <f t="shared" si="3"/>
        <v>26973</v>
      </c>
      <c r="N29" s="113" t="s">
        <v>1315</v>
      </c>
      <c r="O29" s="1" t="b">
        <v>1</v>
      </c>
      <c r="Q29" s="34"/>
      <c r="W29" s="41"/>
      <c r="X29" s="41"/>
      <c r="Y29" s="41"/>
    </row>
    <row r="30" spans="2:25">
      <c r="B30" s="1" t="str">
        <f t="shared" si="4"/>
        <v>M_MED01_VM_BKT_28</v>
      </c>
      <c r="C30" s="92" t="s">
        <v>727</v>
      </c>
      <c r="D30" s="92" t="str" cm="1">
        <f t="array" ref="D30">INDEX(기계코드!$D$4:$D$1022,MATCH(1,(C30=기계코드!$F$4:$F$1022)*1,0))</f>
        <v>M_MED01</v>
      </c>
      <c r="E30" s="92" t="s">
        <v>1128</v>
      </c>
      <c r="F30" s="92" t="str" cm="1">
        <f t="array" ref="F30">INDEX(공급업체코드!$B$3:$B$1000,MATCH(1,(E30=공급업체코드!$D$3:$D$1000)*1,0))</f>
        <v>VM_BKT</v>
      </c>
      <c r="H30" s="312">
        <v>28</v>
      </c>
      <c r="I30" s="233" t="s">
        <v>1313</v>
      </c>
      <c r="K30" s="233" t="s">
        <v>1314</v>
      </c>
      <c r="L30" s="236">
        <f t="shared" si="3"/>
        <v>27972</v>
      </c>
      <c r="N30" s="113" t="s">
        <v>1315</v>
      </c>
      <c r="O30" s="1" t="b">
        <v>1</v>
      </c>
      <c r="Q30" s="34"/>
      <c r="W30" s="41"/>
      <c r="X30" s="41"/>
      <c r="Y30" s="41"/>
    </row>
    <row r="31" spans="2:25">
      <c r="B31" s="1" t="str">
        <f t="shared" si="4"/>
        <v>M_MED01_VM_BKT_29</v>
      </c>
      <c r="C31" s="92" t="s">
        <v>727</v>
      </c>
      <c r="D31" s="92" t="str" cm="1">
        <f t="array" ref="D31">INDEX(기계코드!$D$4:$D$1022,MATCH(1,(C31=기계코드!$F$4:$F$1022)*1,0))</f>
        <v>M_MED01</v>
      </c>
      <c r="E31" s="92" t="s">
        <v>1128</v>
      </c>
      <c r="F31" s="92" t="str" cm="1">
        <f t="array" ref="F31">INDEX(공급업체코드!$B$3:$B$1000,MATCH(1,(E31=공급업체코드!$D$3:$D$1000)*1,0))</f>
        <v>VM_BKT</v>
      </c>
      <c r="H31" s="312">
        <v>29</v>
      </c>
      <c r="I31" s="233" t="s">
        <v>1313</v>
      </c>
      <c r="K31" s="233" t="s">
        <v>1314</v>
      </c>
      <c r="L31" s="236">
        <f t="shared" si="3"/>
        <v>28971</v>
      </c>
      <c r="N31" s="113" t="s">
        <v>1315</v>
      </c>
      <c r="O31" s="1" t="b">
        <v>1</v>
      </c>
      <c r="Q31" s="34"/>
      <c r="W31" s="111"/>
      <c r="X31" s="111"/>
      <c r="Y31" s="41"/>
    </row>
    <row r="32" spans="2:25">
      <c r="B32" s="1" t="str">
        <f t="shared" si="4"/>
        <v>M_MED01_VM_BKT_30</v>
      </c>
      <c r="C32" s="92" t="s">
        <v>727</v>
      </c>
      <c r="D32" s="92" t="str" cm="1">
        <f t="array" ref="D32">INDEX(기계코드!$D$4:$D$1022,MATCH(1,(C32=기계코드!$F$4:$F$1022)*1,0))</f>
        <v>M_MED01</v>
      </c>
      <c r="E32" s="92" t="s">
        <v>1128</v>
      </c>
      <c r="F32" s="92" t="str" cm="1">
        <f t="array" ref="F32">INDEX(공급업체코드!$B$3:$B$1000,MATCH(1,(E32=공급업체코드!$D$3:$D$1000)*1,0))</f>
        <v>VM_BKT</v>
      </c>
      <c r="H32" s="312">
        <v>30</v>
      </c>
      <c r="I32" s="233" t="s">
        <v>1313</v>
      </c>
      <c r="K32" s="233" t="s">
        <v>1314</v>
      </c>
      <c r="L32" s="236">
        <f t="shared" si="3"/>
        <v>29970</v>
      </c>
      <c r="N32" s="113" t="s">
        <v>1315</v>
      </c>
      <c r="O32" s="1" t="b">
        <v>1</v>
      </c>
      <c r="Q32" s="34"/>
      <c r="W32" s="41"/>
      <c r="X32" s="41"/>
      <c r="Y32" s="41"/>
    </row>
    <row r="33" spans="2:25">
      <c r="B33" s="1" t="str">
        <f t="shared" si="4"/>
        <v>M_MED01_VM_BKT_31</v>
      </c>
      <c r="C33" s="92" t="s">
        <v>727</v>
      </c>
      <c r="D33" s="92" t="str" cm="1">
        <f t="array" ref="D33">INDEX(기계코드!$D$4:$D$1022,MATCH(1,(C33=기계코드!$F$4:$F$1022)*1,0))</f>
        <v>M_MED01</v>
      </c>
      <c r="E33" s="92" t="s">
        <v>1128</v>
      </c>
      <c r="F33" s="92" t="str" cm="1">
        <f t="array" ref="F33">INDEX(공급업체코드!$B$3:$B$1000,MATCH(1,(E33=공급업체코드!$D$3:$D$1000)*1,0))</f>
        <v>VM_BKT</v>
      </c>
      <c r="H33" s="312">
        <v>31</v>
      </c>
      <c r="I33" s="233" t="s">
        <v>1313</v>
      </c>
      <c r="K33" s="233" t="s">
        <v>1314</v>
      </c>
      <c r="L33" s="236">
        <f t="shared" si="3"/>
        <v>30969</v>
      </c>
      <c r="N33" s="113" t="s">
        <v>1315</v>
      </c>
      <c r="O33" s="1" t="b">
        <v>1</v>
      </c>
      <c r="Q33" s="34"/>
      <c r="W33" s="41"/>
      <c r="X33" s="41"/>
      <c r="Y33" s="41"/>
    </row>
    <row r="34" spans="2:25">
      <c r="B34" s="1" t="str">
        <f t="shared" si="4"/>
        <v>M_MED01_VM_BKT_32</v>
      </c>
      <c r="C34" s="92" t="s">
        <v>727</v>
      </c>
      <c r="D34" s="92" t="str" cm="1">
        <f t="array" ref="D34">INDEX(기계코드!$D$4:$D$1022,MATCH(1,(C34=기계코드!$F$4:$F$1022)*1,0))</f>
        <v>M_MED01</v>
      </c>
      <c r="E34" s="92" t="s">
        <v>1128</v>
      </c>
      <c r="F34" s="92" t="str" cm="1">
        <f t="array" ref="F34">INDEX(공급업체코드!$B$3:$B$1000,MATCH(1,(E34=공급업체코드!$D$3:$D$1000)*1,0))</f>
        <v>VM_BKT</v>
      </c>
      <c r="H34" s="312">
        <v>32</v>
      </c>
      <c r="I34" s="233" t="s">
        <v>1313</v>
      </c>
      <c r="K34" s="233" t="s">
        <v>1314</v>
      </c>
      <c r="L34" s="236">
        <f t="shared" si="3"/>
        <v>31968</v>
      </c>
      <c r="N34" s="113" t="s">
        <v>1315</v>
      </c>
      <c r="O34" s="1" t="b">
        <v>1</v>
      </c>
      <c r="Q34" s="34"/>
      <c r="W34" s="41"/>
      <c r="X34" s="41"/>
      <c r="Y34" s="41"/>
    </row>
    <row r="35" spans="2:25">
      <c r="B35" s="1" t="str">
        <f t="shared" si="4"/>
        <v>M_MED01_VM_BKT_33</v>
      </c>
      <c r="C35" s="92" t="s">
        <v>727</v>
      </c>
      <c r="D35" s="92" t="str" cm="1">
        <f t="array" ref="D35">INDEX(기계코드!$D$4:$D$1022,MATCH(1,(C35=기계코드!$F$4:$F$1022)*1,0))</f>
        <v>M_MED01</v>
      </c>
      <c r="E35" s="92" t="s">
        <v>1128</v>
      </c>
      <c r="F35" s="92" t="str" cm="1">
        <f t="array" ref="F35">INDEX(공급업체코드!$B$3:$B$1000,MATCH(1,(E35=공급업체코드!$D$3:$D$1000)*1,0))</f>
        <v>VM_BKT</v>
      </c>
      <c r="H35" s="312">
        <v>33</v>
      </c>
      <c r="I35" s="233" t="s">
        <v>1313</v>
      </c>
      <c r="K35" s="233" t="s">
        <v>1314</v>
      </c>
      <c r="L35" s="236">
        <f t="shared" si="3"/>
        <v>32967</v>
      </c>
      <c r="N35" s="113" t="s">
        <v>1315</v>
      </c>
      <c r="O35" s="1" t="b">
        <v>1</v>
      </c>
      <c r="Q35" s="34"/>
      <c r="W35" s="111"/>
      <c r="X35" s="111"/>
      <c r="Y35" s="41"/>
    </row>
    <row r="36" spans="2:25">
      <c r="B36" s="1" t="str">
        <f t="shared" si="4"/>
        <v>M_MED01_VM_BKT_34</v>
      </c>
      <c r="C36" s="92" t="s">
        <v>727</v>
      </c>
      <c r="D36" s="92" t="str" cm="1">
        <f t="array" ref="D36">INDEX(기계코드!$D$4:$D$1022,MATCH(1,(C36=기계코드!$F$4:$F$1022)*1,0))</f>
        <v>M_MED01</v>
      </c>
      <c r="E36" s="92" t="s">
        <v>1128</v>
      </c>
      <c r="F36" s="92" t="str" cm="1">
        <f t="array" ref="F36">INDEX(공급업체코드!$B$3:$B$1000,MATCH(1,(E36=공급업체코드!$D$3:$D$1000)*1,0))</f>
        <v>VM_BKT</v>
      </c>
      <c r="H36" s="312">
        <v>34</v>
      </c>
      <c r="I36" s="233" t="s">
        <v>1313</v>
      </c>
      <c r="K36" s="233" t="s">
        <v>1314</v>
      </c>
      <c r="L36" s="236">
        <f t="shared" si="3"/>
        <v>33966</v>
      </c>
      <c r="N36" s="113" t="s">
        <v>1315</v>
      </c>
      <c r="O36" s="1" t="b">
        <v>1</v>
      </c>
      <c r="Q36" s="34"/>
      <c r="W36" s="41"/>
      <c r="X36" s="41"/>
      <c r="Y36" s="41"/>
    </row>
    <row r="37" spans="2:25">
      <c r="B37" s="1" t="str">
        <f t="shared" si="4"/>
        <v>M_MED01_VM_BKT_35</v>
      </c>
      <c r="C37" s="92" t="s">
        <v>727</v>
      </c>
      <c r="D37" s="92" t="str" cm="1">
        <f t="array" ref="D37">INDEX(기계코드!$D$4:$D$1022,MATCH(1,(C37=기계코드!$F$4:$F$1022)*1,0))</f>
        <v>M_MED01</v>
      </c>
      <c r="E37" s="92" t="s">
        <v>1128</v>
      </c>
      <c r="F37" s="92" t="str" cm="1">
        <f t="array" ref="F37">INDEX(공급업체코드!$B$3:$B$1000,MATCH(1,(E37=공급업체코드!$D$3:$D$1000)*1,0))</f>
        <v>VM_BKT</v>
      </c>
      <c r="H37" s="312">
        <v>35</v>
      </c>
      <c r="I37" s="233" t="s">
        <v>1313</v>
      </c>
      <c r="K37" s="233" t="s">
        <v>1314</v>
      </c>
      <c r="L37" s="236">
        <f t="shared" si="3"/>
        <v>34965</v>
      </c>
      <c r="N37" s="113" t="s">
        <v>1315</v>
      </c>
      <c r="O37" s="1" t="b">
        <v>1</v>
      </c>
      <c r="Q37" s="34"/>
      <c r="W37" s="41"/>
      <c r="X37" s="41"/>
      <c r="Y37" s="41"/>
    </row>
    <row r="38" spans="2:25">
      <c r="B38" s="1" t="str">
        <f t="shared" si="4"/>
        <v>M_MED01_VM_BKT_36</v>
      </c>
      <c r="C38" s="92" t="s">
        <v>727</v>
      </c>
      <c r="D38" s="92" t="str" cm="1">
        <f t="array" ref="D38">INDEX(기계코드!$D$4:$D$1022,MATCH(1,(C38=기계코드!$F$4:$F$1022)*1,0))</f>
        <v>M_MED01</v>
      </c>
      <c r="E38" s="92" t="s">
        <v>1128</v>
      </c>
      <c r="F38" s="92" t="str" cm="1">
        <f t="array" ref="F38">INDEX(공급업체코드!$B$3:$B$1000,MATCH(1,(E38=공급업체코드!$D$3:$D$1000)*1,0))</f>
        <v>VM_BKT</v>
      </c>
      <c r="H38" s="312">
        <v>36</v>
      </c>
      <c r="I38" s="233" t="s">
        <v>1313</v>
      </c>
      <c r="K38" s="233" t="s">
        <v>1314</v>
      </c>
      <c r="L38" s="236">
        <f t="shared" si="3"/>
        <v>35964</v>
      </c>
      <c r="N38" s="113" t="s">
        <v>1315</v>
      </c>
      <c r="O38" s="1" t="b">
        <v>1</v>
      </c>
      <c r="Q38" s="34"/>
      <c r="W38" s="111"/>
      <c r="X38" s="111"/>
      <c r="Y38" s="41"/>
    </row>
    <row r="39" spans="2:25">
      <c r="B39" s="1" t="str">
        <f t="shared" si="4"/>
        <v>M_MED01_VM_BKT_37</v>
      </c>
      <c r="C39" s="92" t="s">
        <v>727</v>
      </c>
      <c r="D39" s="92" t="str" cm="1">
        <f t="array" ref="D39">INDEX(기계코드!$D$4:$D$1022,MATCH(1,(C39=기계코드!$F$4:$F$1022)*1,0))</f>
        <v>M_MED01</v>
      </c>
      <c r="E39" s="92" t="s">
        <v>1128</v>
      </c>
      <c r="F39" s="92" t="str" cm="1">
        <f t="array" ref="F39">INDEX(공급업체코드!$B$3:$B$1000,MATCH(1,(E39=공급업체코드!$D$3:$D$1000)*1,0))</f>
        <v>VM_BKT</v>
      </c>
      <c r="H39" s="312">
        <v>37</v>
      </c>
      <c r="I39" s="233" t="s">
        <v>1313</v>
      </c>
      <c r="K39" s="233" t="s">
        <v>1314</v>
      </c>
      <c r="L39" s="236">
        <f t="shared" si="3"/>
        <v>36963</v>
      </c>
      <c r="N39" s="113" t="s">
        <v>1315</v>
      </c>
      <c r="O39" s="1" t="b">
        <v>1</v>
      </c>
      <c r="Q39" s="34"/>
      <c r="W39" s="41"/>
      <c r="X39" s="41"/>
      <c r="Y39" s="41"/>
    </row>
    <row r="40" spans="2:25">
      <c r="B40" s="1" t="str">
        <f t="shared" si="4"/>
        <v>M_MED01_VM_BKT_38</v>
      </c>
      <c r="C40" s="92" t="s">
        <v>727</v>
      </c>
      <c r="D40" s="92" t="str" cm="1">
        <f t="array" ref="D40">INDEX(기계코드!$D$4:$D$1022,MATCH(1,(C40=기계코드!$F$4:$F$1022)*1,0))</f>
        <v>M_MED01</v>
      </c>
      <c r="E40" s="92" t="s">
        <v>1128</v>
      </c>
      <c r="F40" s="92" t="str" cm="1">
        <f t="array" ref="F40">INDEX(공급업체코드!$B$3:$B$1000,MATCH(1,(E40=공급업체코드!$D$3:$D$1000)*1,0))</f>
        <v>VM_BKT</v>
      </c>
      <c r="H40" s="312">
        <v>38</v>
      </c>
      <c r="I40" s="233" t="s">
        <v>1313</v>
      </c>
      <c r="K40" s="233" t="s">
        <v>1314</v>
      </c>
      <c r="L40" s="236">
        <f t="shared" si="3"/>
        <v>37962</v>
      </c>
      <c r="N40" s="113" t="s">
        <v>1315</v>
      </c>
      <c r="O40" s="1" t="b">
        <v>1</v>
      </c>
      <c r="Q40" s="34"/>
      <c r="W40" s="111"/>
      <c r="X40" s="111"/>
      <c r="Y40" s="111"/>
    </row>
    <row r="41" spans="2:25">
      <c r="B41" s="1" t="str">
        <f t="shared" si="4"/>
        <v>M_MED01_VM_BKT_39</v>
      </c>
      <c r="C41" s="92" t="s">
        <v>727</v>
      </c>
      <c r="D41" s="92" t="str" cm="1">
        <f t="array" ref="D41">INDEX(기계코드!$D$4:$D$1022,MATCH(1,(C41=기계코드!$F$4:$F$1022)*1,0))</f>
        <v>M_MED01</v>
      </c>
      <c r="E41" s="92" t="s">
        <v>1128</v>
      </c>
      <c r="F41" s="92" t="str" cm="1">
        <f t="array" ref="F41">INDEX(공급업체코드!$B$3:$B$1000,MATCH(1,(E41=공급업체코드!$D$3:$D$1000)*1,0))</f>
        <v>VM_BKT</v>
      </c>
      <c r="H41" s="312">
        <v>39</v>
      </c>
      <c r="I41" s="233" t="s">
        <v>1313</v>
      </c>
      <c r="K41" s="233" t="s">
        <v>1314</v>
      </c>
      <c r="L41" s="236">
        <f t="shared" si="3"/>
        <v>38961</v>
      </c>
      <c r="N41" s="113" t="s">
        <v>1315</v>
      </c>
      <c r="O41" s="1" t="b">
        <v>1</v>
      </c>
      <c r="Q41" s="34"/>
      <c r="W41" s="41"/>
      <c r="X41" s="41"/>
      <c r="Y41" s="41"/>
    </row>
    <row r="42" spans="2:25">
      <c r="B42" s="1" t="str">
        <f t="shared" si="4"/>
        <v>M_MED01_VM_BKT_40</v>
      </c>
      <c r="C42" s="92" t="s">
        <v>727</v>
      </c>
      <c r="D42" s="92" t="str" cm="1">
        <f t="array" ref="D42">INDEX(기계코드!$D$4:$D$1022,MATCH(1,(C42=기계코드!$F$4:$F$1022)*1,0))</f>
        <v>M_MED01</v>
      </c>
      <c r="E42" s="92" t="s">
        <v>1128</v>
      </c>
      <c r="F42" s="92" t="str" cm="1">
        <f t="array" ref="F42">INDEX(공급업체코드!$B$3:$B$1000,MATCH(1,(E42=공급업체코드!$D$3:$D$1000)*1,0))</f>
        <v>VM_BKT</v>
      </c>
      <c r="H42" s="312">
        <v>40</v>
      </c>
      <c r="I42" s="233" t="s">
        <v>1313</v>
      </c>
      <c r="K42" s="233" t="s">
        <v>1314</v>
      </c>
      <c r="L42" s="236">
        <f t="shared" si="3"/>
        <v>39960</v>
      </c>
      <c r="N42" s="113" t="s">
        <v>1315</v>
      </c>
      <c r="O42" s="1" t="b">
        <v>1</v>
      </c>
      <c r="Q42" s="34"/>
      <c r="W42" s="41"/>
      <c r="X42" s="41"/>
      <c r="Y42" s="41"/>
    </row>
    <row r="43" spans="2:25">
      <c r="B43" s="1" t="str">
        <f t="shared" si="4"/>
        <v>M_MED01_VM_BKT_41</v>
      </c>
      <c r="C43" s="92" t="s">
        <v>727</v>
      </c>
      <c r="D43" s="92" t="str" cm="1">
        <f t="array" ref="D43">INDEX(기계코드!$D$4:$D$1022,MATCH(1,(C43=기계코드!$F$4:$F$1022)*1,0))</f>
        <v>M_MED01</v>
      </c>
      <c r="E43" s="92" t="s">
        <v>1128</v>
      </c>
      <c r="F43" s="92" t="str" cm="1">
        <f t="array" ref="F43">INDEX(공급업체코드!$B$3:$B$1000,MATCH(1,(E43=공급업체코드!$D$3:$D$1000)*1,0))</f>
        <v>VM_BKT</v>
      </c>
      <c r="H43" s="312">
        <v>41</v>
      </c>
      <c r="I43" s="233" t="s">
        <v>1313</v>
      </c>
      <c r="K43" s="233" t="s">
        <v>1314</v>
      </c>
      <c r="L43" s="236">
        <f t="shared" si="3"/>
        <v>40959</v>
      </c>
      <c r="N43" s="113" t="s">
        <v>1315</v>
      </c>
      <c r="O43" s="1" t="b">
        <v>1</v>
      </c>
      <c r="Q43" s="34"/>
      <c r="W43" s="41"/>
      <c r="X43" s="41"/>
      <c r="Y43" s="41"/>
    </row>
    <row r="44" spans="2:25">
      <c r="B44" s="1" t="str">
        <f t="shared" si="4"/>
        <v>M_MED01_VM_BKT_42</v>
      </c>
      <c r="C44" s="92" t="s">
        <v>727</v>
      </c>
      <c r="D44" s="92" t="str" cm="1">
        <f t="array" ref="D44">INDEX(기계코드!$D$4:$D$1022,MATCH(1,(C44=기계코드!$F$4:$F$1022)*1,0))</f>
        <v>M_MED01</v>
      </c>
      <c r="E44" s="92" t="s">
        <v>1128</v>
      </c>
      <c r="F44" s="92" t="str" cm="1">
        <f t="array" ref="F44">INDEX(공급업체코드!$B$3:$B$1000,MATCH(1,(E44=공급업체코드!$D$3:$D$1000)*1,0))</f>
        <v>VM_BKT</v>
      </c>
      <c r="H44" s="312">
        <v>42</v>
      </c>
      <c r="I44" s="233" t="s">
        <v>1313</v>
      </c>
      <c r="K44" s="233" t="s">
        <v>1314</v>
      </c>
      <c r="L44" s="236">
        <f t="shared" si="3"/>
        <v>41958</v>
      </c>
      <c r="N44" s="113" t="s">
        <v>1315</v>
      </c>
      <c r="O44" s="1" t="b">
        <v>1</v>
      </c>
      <c r="Q44" s="34"/>
      <c r="W44" s="41"/>
      <c r="X44" s="41"/>
      <c r="Y44" s="41"/>
    </row>
    <row r="45" spans="2:25">
      <c r="B45" s="1" t="str">
        <f t="shared" si="4"/>
        <v>M_MED01_VM_BKT_43</v>
      </c>
      <c r="C45" s="92" t="s">
        <v>727</v>
      </c>
      <c r="D45" s="92" t="str" cm="1">
        <f t="array" ref="D45">INDEX(기계코드!$D$4:$D$1022,MATCH(1,(C45=기계코드!$F$4:$F$1022)*1,0))</f>
        <v>M_MED01</v>
      </c>
      <c r="E45" s="92" t="s">
        <v>1128</v>
      </c>
      <c r="F45" s="92" t="str" cm="1">
        <f t="array" ref="F45">INDEX(공급업체코드!$B$3:$B$1000,MATCH(1,(E45=공급업체코드!$D$3:$D$1000)*1,0))</f>
        <v>VM_BKT</v>
      </c>
      <c r="H45" s="312">
        <v>43</v>
      </c>
      <c r="I45" s="233" t="s">
        <v>1313</v>
      </c>
      <c r="K45" s="233" t="s">
        <v>1314</v>
      </c>
      <c r="L45" s="236">
        <f t="shared" si="3"/>
        <v>42957</v>
      </c>
      <c r="N45" s="113" t="s">
        <v>1315</v>
      </c>
      <c r="O45" s="1" t="b">
        <v>1</v>
      </c>
      <c r="Q45" s="34"/>
    </row>
    <row r="46" spans="2:25">
      <c r="B46" s="1" t="str">
        <f t="shared" si="4"/>
        <v>M_MED01_VM_BKT_44</v>
      </c>
      <c r="C46" s="92" t="s">
        <v>727</v>
      </c>
      <c r="D46" s="92" t="str" cm="1">
        <f t="array" ref="D46">INDEX(기계코드!$D$4:$D$1022,MATCH(1,(C46=기계코드!$F$4:$F$1022)*1,0))</f>
        <v>M_MED01</v>
      </c>
      <c r="E46" s="92" t="s">
        <v>1128</v>
      </c>
      <c r="F46" s="92" t="str" cm="1">
        <f t="array" ref="F46">INDEX(공급업체코드!$B$3:$B$1000,MATCH(1,(E46=공급업체코드!$D$3:$D$1000)*1,0))</f>
        <v>VM_BKT</v>
      </c>
      <c r="H46" s="312">
        <v>44</v>
      </c>
      <c r="I46" s="233" t="s">
        <v>1313</v>
      </c>
      <c r="K46" s="233" t="s">
        <v>1314</v>
      </c>
      <c r="L46" s="236">
        <f t="shared" si="3"/>
        <v>43956</v>
      </c>
      <c r="N46" s="113" t="s">
        <v>1315</v>
      </c>
      <c r="O46" s="1" t="b">
        <v>1</v>
      </c>
      <c r="Q46" s="34"/>
    </row>
    <row r="47" spans="2:25">
      <c r="B47" s="1" t="str">
        <f t="shared" si="4"/>
        <v>M_MED01_VM_BKT_45</v>
      </c>
      <c r="C47" s="92" t="s">
        <v>727</v>
      </c>
      <c r="D47" s="92" t="str" cm="1">
        <f t="array" ref="D47">INDEX(기계코드!$D$4:$D$1022,MATCH(1,(C47=기계코드!$F$4:$F$1022)*1,0))</f>
        <v>M_MED01</v>
      </c>
      <c r="E47" s="92" t="s">
        <v>1128</v>
      </c>
      <c r="F47" s="92" t="str" cm="1">
        <f t="array" ref="F47">INDEX(공급업체코드!$B$3:$B$1000,MATCH(1,(E47=공급업체코드!$D$3:$D$1000)*1,0))</f>
        <v>VM_BKT</v>
      </c>
      <c r="H47" s="312">
        <v>45</v>
      </c>
      <c r="I47" s="233" t="s">
        <v>1313</v>
      </c>
      <c r="K47" s="233" t="s">
        <v>1314</v>
      </c>
      <c r="L47" s="236">
        <f t="shared" si="3"/>
        <v>44955</v>
      </c>
      <c r="N47" s="113" t="s">
        <v>1315</v>
      </c>
      <c r="O47" s="1" t="b">
        <v>1</v>
      </c>
      <c r="Q47" s="34"/>
    </row>
    <row r="48" spans="2:25">
      <c r="B48" s="1" t="str">
        <f t="shared" si="4"/>
        <v>M_MED01_VM_BKT_46</v>
      </c>
      <c r="C48" s="92" t="s">
        <v>727</v>
      </c>
      <c r="D48" s="92" t="str" cm="1">
        <f t="array" ref="D48">INDEX(기계코드!$D$4:$D$1022,MATCH(1,(C48=기계코드!$F$4:$F$1022)*1,0))</f>
        <v>M_MED01</v>
      </c>
      <c r="E48" s="92" t="s">
        <v>1128</v>
      </c>
      <c r="F48" s="92" t="str" cm="1">
        <f t="array" ref="F48">INDEX(공급업체코드!$B$3:$B$1000,MATCH(1,(E48=공급업체코드!$D$3:$D$1000)*1,0))</f>
        <v>VM_BKT</v>
      </c>
      <c r="H48" s="312">
        <v>46</v>
      </c>
      <c r="I48" s="233" t="s">
        <v>1313</v>
      </c>
      <c r="K48" s="233" t="s">
        <v>1314</v>
      </c>
      <c r="L48" s="236">
        <f t="shared" si="3"/>
        <v>45954</v>
      </c>
      <c r="N48" s="113" t="s">
        <v>1315</v>
      </c>
      <c r="O48" s="1" t="b">
        <v>1</v>
      </c>
      <c r="Q48" s="34"/>
    </row>
    <row r="49" spans="2:17">
      <c r="B49" s="1" t="str">
        <f t="shared" si="4"/>
        <v>M_MED01_VM_BKT_47</v>
      </c>
      <c r="C49" s="92" t="s">
        <v>727</v>
      </c>
      <c r="D49" s="92" t="str" cm="1">
        <f t="array" ref="D49">INDEX(기계코드!$D$4:$D$1022,MATCH(1,(C49=기계코드!$F$4:$F$1022)*1,0))</f>
        <v>M_MED01</v>
      </c>
      <c r="E49" s="92" t="s">
        <v>1128</v>
      </c>
      <c r="F49" s="92" t="str" cm="1">
        <f t="array" ref="F49">INDEX(공급업체코드!$B$3:$B$1000,MATCH(1,(E49=공급업체코드!$D$3:$D$1000)*1,0))</f>
        <v>VM_BKT</v>
      </c>
      <c r="H49" s="312">
        <v>47</v>
      </c>
      <c r="I49" s="233" t="s">
        <v>1313</v>
      </c>
      <c r="K49" s="233" t="s">
        <v>1314</v>
      </c>
      <c r="L49" s="236">
        <f t="shared" si="3"/>
        <v>46953</v>
      </c>
      <c r="N49" s="113" t="s">
        <v>1315</v>
      </c>
      <c r="O49" s="1" t="b">
        <v>1</v>
      </c>
      <c r="Q49" s="34"/>
    </row>
    <row r="50" spans="2:17">
      <c r="B50" s="1" t="str">
        <f t="shared" si="4"/>
        <v>M_MED01_VM_BKT_48</v>
      </c>
      <c r="C50" s="92" t="s">
        <v>727</v>
      </c>
      <c r="D50" s="92" t="str" cm="1">
        <f t="array" ref="D50">INDEX(기계코드!$D$4:$D$1022,MATCH(1,(C50=기계코드!$F$4:$F$1022)*1,0))</f>
        <v>M_MED01</v>
      </c>
      <c r="E50" s="92" t="s">
        <v>1128</v>
      </c>
      <c r="F50" s="92" t="str" cm="1">
        <f t="array" ref="F50">INDEX(공급업체코드!$B$3:$B$1000,MATCH(1,(E50=공급업체코드!$D$3:$D$1000)*1,0))</f>
        <v>VM_BKT</v>
      </c>
      <c r="H50" s="312">
        <v>48</v>
      </c>
      <c r="I50" s="233" t="s">
        <v>1313</v>
      </c>
      <c r="K50" s="233" t="s">
        <v>1314</v>
      </c>
      <c r="L50" s="236">
        <f t="shared" si="3"/>
        <v>47952</v>
      </c>
      <c r="N50" s="113" t="s">
        <v>1315</v>
      </c>
      <c r="O50" s="1" t="b">
        <v>1</v>
      </c>
      <c r="Q50" s="34"/>
    </row>
    <row r="51" spans="2:17">
      <c r="B51" s="1" t="str">
        <f t="shared" si="4"/>
        <v>M_MED01_VM_BKT_49</v>
      </c>
      <c r="C51" s="92" t="s">
        <v>727</v>
      </c>
      <c r="D51" s="92" t="str" cm="1">
        <f t="array" ref="D51">INDEX(기계코드!$D$4:$D$1022,MATCH(1,(C51=기계코드!$F$4:$F$1022)*1,0))</f>
        <v>M_MED01</v>
      </c>
      <c r="E51" s="92" t="s">
        <v>1128</v>
      </c>
      <c r="F51" s="92" t="str" cm="1">
        <f t="array" ref="F51">INDEX(공급업체코드!$B$3:$B$1000,MATCH(1,(E51=공급업체코드!$D$3:$D$1000)*1,0))</f>
        <v>VM_BKT</v>
      </c>
      <c r="H51" s="312">
        <v>49</v>
      </c>
      <c r="I51" s="233" t="s">
        <v>1313</v>
      </c>
      <c r="K51" s="233" t="s">
        <v>1314</v>
      </c>
      <c r="L51" s="236">
        <f t="shared" si="3"/>
        <v>48951</v>
      </c>
      <c r="N51" s="113" t="s">
        <v>1315</v>
      </c>
      <c r="O51" s="1" t="b">
        <v>1</v>
      </c>
      <c r="Q51" s="34"/>
    </row>
    <row r="52" spans="2:17">
      <c r="B52" s="1" t="str">
        <f t="shared" si="4"/>
        <v>M_MED01_VM_BKT_50</v>
      </c>
      <c r="C52" s="92" t="s">
        <v>727</v>
      </c>
      <c r="D52" s="92" t="str" cm="1">
        <f t="array" ref="D52">INDEX(기계코드!$D$4:$D$1022,MATCH(1,(C52=기계코드!$F$4:$F$1022)*1,0))</f>
        <v>M_MED01</v>
      </c>
      <c r="E52" s="92" t="s">
        <v>1128</v>
      </c>
      <c r="F52" s="92" t="str" cm="1">
        <f t="array" ref="F52">INDEX(공급업체코드!$B$3:$B$1000,MATCH(1,(E52=공급업체코드!$D$3:$D$1000)*1,0))</f>
        <v>VM_BKT</v>
      </c>
      <c r="H52" s="312">
        <v>50</v>
      </c>
      <c r="I52" s="233" t="s">
        <v>1313</v>
      </c>
      <c r="K52" s="233" t="s">
        <v>1314</v>
      </c>
      <c r="L52" s="236">
        <f t="shared" si="3"/>
        <v>49950</v>
      </c>
      <c r="N52" s="113" t="s">
        <v>1315</v>
      </c>
      <c r="O52" s="1" t="b">
        <v>1</v>
      </c>
      <c r="Q52" s="34"/>
    </row>
    <row r="53" spans="2:17">
      <c r="B53" s="1" t="str">
        <f t="shared" si="4"/>
        <v>M_MED01_VM_BKT_51</v>
      </c>
      <c r="C53" s="92" t="s">
        <v>727</v>
      </c>
      <c r="D53" s="92" t="str" cm="1">
        <f t="array" ref="D53">INDEX(기계코드!$D$4:$D$1022,MATCH(1,(C53=기계코드!$F$4:$F$1022)*1,0))</f>
        <v>M_MED01</v>
      </c>
      <c r="E53" s="92" t="s">
        <v>1128</v>
      </c>
      <c r="F53" s="92" t="str" cm="1">
        <f t="array" ref="F53">INDEX(공급업체코드!$B$3:$B$1000,MATCH(1,(E53=공급업체코드!$D$3:$D$1000)*1,0))</f>
        <v>VM_BKT</v>
      </c>
      <c r="H53" s="312">
        <v>51</v>
      </c>
      <c r="I53" s="233" t="s">
        <v>1313</v>
      </c>
      <c r="K53" s="233" t="s">
        <v>1314</v>
      </c>
      <c r="L53" s="236">
        <f t="shared" si="3"/>
        <v>50949</v>
      </c>
      <c r="N53" s="113" t="s">
        <v>1315</v>
      </c>
      <c r="O53" s="1" t="b">
        <v>1</v>
      </c>
      <c r="Q53" s="34"/>
    </row>
    <row r="54" spans="2:17">
      <c r="B54" s="1" t="str">
        <f t="shared" si="4"/>
        <v>M_MED01_VM_BKT_52</v>
      </c>
      <c r="C54" s="92" t="s">
        <v>727</v>
      </c>
      <c r="D54" s="92" t="str" cm="1">
        <f t="array" ref="D54">INDEX(기계코드!$D$4:$D$1022,MATCH(1,(C54=기계코드!$F$4:$F$1022)*1,0))</f>
        <v>M_MED01</v>
      </c>
      <c r="E54" s="92" t="s">
        <v>1128</v>
      </c>
      <c r="F54" s="92" t="str" cm="1">
        <f t="array" ref="F54">INDEX(공급업체코드!$B$3:$B$1000,MATCH(1,(E54=공급업체코드!$D$3:$D$1000)*1,0))</f>
        <v>VM_BKT</v>
      </c>
      <c r="H54" s="312">
        <v>52</v>
      </c>
      <c r="I54" s="233" t="s">
        <v>1313</v>
      </c>
      <c r="K54" s="233" t="s">
        <v>1314</v>
      </c>
      <c r="L54" s="236">
        <f t="shared" si="3"/>
        <v>51948</v>
      </c>
      <c r="N54" s="113" t="s">
        <v>1315</v>
      </c>
      <c r="O54" s="1" t="b">
        <v>1</v>
      </c>
      <c r="Q54" s="34"/>
    </row>
    <row r="55" spans="2:17">
      <c r="B55" s="1" t="str">
        <f t="shared" si="4"/>
        <v>M_MED01_VM_BKT_53</v>
      </c>
      <c r="C55" s="92" t="s">
        <v>727</v>
      </c>
      <c r="D55" s="92" t="str" cm="1">
        <f t="array" ref="D55">INDEX(기계코드!$D$4:$D$1022,MATCH(1,(C55=기계코드!$F$4:$F$1022)*1,0))</f>
        <v>M_MED01</v>
      </c>
      <c r="E55" s="92" t="s">
        <v>1128</v>
      </c>
      <c r="F55" s="92" t="str" cm="1">
        <f t="array" ref="F55">INDEX(공급업체코드!$B$3:$B$1000,MATCH(1,(E55=공급업체코드!$D$3:$D$1000)*1,0))</f>
        <v>VM_BKT</v>
      </c>
      <c r="H55" s="312">
        <v>53</v>
      </c>
      <c r="I55" s="233" t="s">
        <v>1313</v>
      </c>
      <c r="K55" s="233" t="s">
        <v>1314</v>
      </c>
      <c r="L55" s="236">
        <f t="shared" si="3"/>
        <v>52947</v>
      </c>
      <c r="N55" s="113" t="s">
        <v>1315</v>
      </c>
      <c r="O55" s="1" t="b">
        <v>1</v>
      </c>
      <c r="Q55" s="34"/>
    </row>
    <row r="56" spans="2:17">
      <c r="B56" s="1" t="str">
        <f t="shared" si="4"/>
        <v>M_MED01_VM_BKT_54</v>
      </c>
      <c r="C56" s="92" t="s">
        <v>727</v>
      </c>
      <c r="D56" s="92" t="str" cm="1">
        <f t="array" ref="D56">INDEX(기계코드!$D$4:$D$1022,MATCH(1,(C56=기계코드!$F$4:$F$1022)*1,0))</f>
        <v>M_MED01</v>
      </c>
      <c r="E56" s="92" t="s">
        <v>1128</v>
      </c>
      <c r="F56" s="92" t="str" cm="1">
        <f t="array" ref="F56">INDEX(공급업체코드!$B$3:$B$1000,MATCH(1,(E56=공급업체코드!$D$3:$D$1000)*1,0))</f>
        <v>VM_BKT</v>
      </c>
      <c r="H56" s="312">
        <v>54</v>
      </c>
      <c r="I56" s="233" t="s">
        <v>1313</v>
      </c>
      <c r="K56" s="233" t="s">
        <v>1314</v>
      </c>
      <c r="L56" s="236">
        <f t="shared" si="3"/>
        <v>53946</v>
      </c>
      <c r="N56" s="113" t="s">
        <v>1315</v>
      </c>
      <c r="O56" s="1" t="b">
        <v>1</v>
      </c>
      <c r="Q56" s="34"/>
    </row>
    <row r="57" spans="2:17">
      <c r="B57" s="1" t="str">
        <f t="shared" si="4"/>
        <v>M_MED01_VM_BKT_55</v>
      </c>
      <c r="C57" s="92" t="s">
        <v>727</v>
      </c>
      <c r="D57" s="92" t="str" cm="1">
        <f t="array" ref="D57">INDEX(기계코드!$D$4:$D$1022,MATCH(1,(C57=기계코드!$F$4:$F$1022)*1,0))</f>
        <v>M_MED01</v>
      </c>
      <c r="E57" s="92" t="s">
        <v>1128</v>
      </c>
      <c r="F57" s="92" t="str" cm="1">
        <f t="array" ref="F57">INDEX(공급업체코드!$B$3:$B$1000,MATCH(1,(E57=공급업체코드!$D$3:$D$1000)*1,0))</f>
        <v>VM_BKT</v>
      </c>
      <c r="H57" s="312">
        <v>55</v>
      </c>
      <c r="I57" s="233" t="s">
        <v>1313</v>
      </c>
      <c r="K57" s="233" t="s">
        <v>1314</v>
      </c>
      <c r="L57" s="236">
        <f t="shared" si="3"/>
        <v>54945</v>
      </c>
      <c r="N57" s="113" t="s">
        <v>1315</v>
      </c>
      <c r="O57" s="1" t="b">
        <v>1</v>
      </c>
      <c r="Q57" s="34"/>
    </row>
    <row r="58" spans="2:17">
      <c r="B58" s="1" t="str">
        <f t="shared" si="4"/>
        <v>M_MED01_VM_BKT_56</v>
      </c>
      <c r="C58" s="92" t="s">
        <v>727</v>
      </c>
      <c r="D58" s="92" t="str" cm="1">
        <f t="array" ref="D58">INDEX(기계코드!$D$4:$D$1022,MATCH(1,(C58=기계코드!$F$4:$F$1022)*1,0))</f>
        <v>M_MED01</v>
      </c>
      <c r="E58" s="92" t="s">
        <v>1128</v>
      </c>
      <c r="F58" s="92" t="str" cm="1">
        <f t="array" ref="F58">INDEX(공급업체코드!$B$3:$B$1000,MATCH(1,(E58=공급업체코드!$D$3:$D$1000)*1,0))</f>
        <v>VM_BKT</v>
      </c>
      <c r="H58" s="312">
        <v>56</v>
      </c>
      <c r="I58" s="233" t="s">
        <v>1313</v>
      </c>
      <c r="K58" s="233" t="s">
        <v>1314</v>
      </c>
      <c r="L58" s="236">
        <f t="shared" si="3"/>
        <v>55944</v>
      </c>
      <c r="N58" s="113" t="s">
        <v>1315</v>
      </c>
      <c r="O58" s="1" t="b">
        <v>1</v>
      </c>
      <c r="Q58" s="34"/>
    </row>
    <row r="59" spans="2:17">
      <c r="B59" s="1" t="str">
        <f t="shared" si="4"/>
        <v>M_MED01_VM_BKT_57</v>
      </c>
      <c r="C59" s="92" t="s">
        <v>727</v>
      </c>
      <c r="D59" s="92" t="str" cm="1">
        <f t="array" ref="D59">INDEX(기계코드!$D$4:$D$1022,MATCH(1,(C59=기계코드!$F$4:$F$1022)*1,0))</f>
        <v>M_MED01</v>
      </c>
      <c r="E59" s="92" t="s">
        <v>1128</v>
      </c>
      <c r="F59" s="92" t="str" cm="1">
        <f t="array" ref="F59">INDEX(공급업체코드!$B$3:$B$1000,MATCH(1,(E59=공급업체코드!$D$3:$D$1000)*1,0))</f>
        <v>VM_BKT</v>
      </c>
      <c r="H59" s="312">
        <v>57</v>
      </c>
      <c r="I59" s="233" t="s">
        <v>1313</v>
      </c>
      <c r="K59" s="233" t="s">
        <v>1314</v>
      </c>
      <c r="L59" s="236">
        <f t="shared" si="3"/>
        <v>56943</v>
      </c>
      <c r="N59" s="113" t="s">
        <v>1315</v>
      </c>
      <c r="O59" s="1" t="b">
        <v>1</v>
      </c>
      <c r="Q59" s="34"/>
    </row>
    <row r="60" spans="2:17">
      <c r="B60" s="1" t="str">
        <f t="shared" si="4"/>
        <v>M_MED01_VM_BKT_58</v>
      </c>
      <c r="C60" s="92" t="s">
        <v>727</v>
      </c>
      <c r="D60" s="92" t="str" cm="1">
        <f t="array" ref="D60">INDEX(기계코드!$D$4:$D$1022,MATCH(1,(C60=기계코드!$F$4:$F$1022)*1,0))</f>
        <v>M_MED01</v>
      </c>
      <c r="E60" s="92" t="s">
        <v>1128</v>
      </c>
      <c r="F60" s="92" t="str" cm="1">
        <f t="array" ref="F60">INDEX(공급업체코드!$B$3:$B$1000,MATCH(1,(E60=공급업체코드!$D$3:$D$1000)*1,0))</f>
        <v>VM_BKT</v>
      </c>
      <c r="H60" s="312">
        <v>58</v>
      </c>
      <c r="I60" s="233" t="s">
        <v>1313</v>
      </c>
      <c r="K60" s="233" t="s">
        <v>1314</v>
      </c>
      <c r="L60" s="236">
        <f t="shared" si="3"/>
        <v>57942</v>
      </c>
      <c r="N60" s="113" t="s">
        <v>1315</v>
      </c>
      <c r="O60" s="1" t="b">
        <v>1</v>
      </c>
      <c r="Q60" s="34"/>
    </row>
    <row r="61" spans="2:17">
      <c r="B61" s="1" t="str">
        <f t="shared" si="4"/>
        <v>M_MED01_VM_BKT_59</v>
      </c>
      <c r="C61" s="92" t="s">
        <v>727</v>
      </c>
      <c r="D61" s="92" t="str" cm="1">
        <f t="array" ref="D61">INDEX(기계코드!$D$4:$D$1022,MATCH(1,(C61=기계코드!$F$4:$F$1022)*1,0))</f>
        <v>M_MED01</v>
      </c>
      <c r="E61" s="92" t="s">
        <v>1128</v>
      </c>
      <c r="F61" s="92" t="str" cm="1">
        <f t="array" ref="F61">INDEX(공급업체코드!$B$3:$B$1000,MATCH(1,(E61=공급업체코드!$D$3:$D$1000)*1,0))</f>
        <v>VM_BKT</v>
      </c>
      <c r="H61" s="312">
        <v>59</v>
      </c>
      <c r="I61" s="233" t="s">
        <v>1313</v>
      </c>
      <c r="K61" s="233" t="s">
        <v>1314</v>
      </c>
      <c r="L61" s="236">
        <f t="shared" si="3"/>
        <v>58941</v>
      </c>
      <c r="N61" s="113" t="s">
        <v>1315</v>
      </c>
      <c r="O61" s="1" t="b">
        <v>1</v>
      </c>
      <c r="Q61" s="34"/>
    </row>
    <row r="62" spans="2:17">
      <c r="B62" s="1" t="str">
        <f t="shared" si="4"/>
        <v>M_MED01_VM_BKT_60</v>
      </c>
      <c r="C62" s="92" t="s">
        <v>727</v>
      </c>
      <c r="D62" s="92" t="str" cm="1">
        <f t="array" ref="D62">INDEX(기계코드!$D$4:$D$1022,MATCH(1,(C62=기계코드!$F$4:$F$1022)*1,0))</f>
        <v>M_MED01</v>
      </c>
      <c r="E62" s="92" t="s">
        <v>1128</v>
      </c>
      <c r="F62" s="92" t="str" cm="1">
        <f t="array" ref="F62">INDEX(공급업체코드!$B$3:$B$1000,MATCH(1,(E62=공급업체코드!$D$3:$D$1000)*1,0))</f>
        <v>VM_BKT</v>
      </c>
      <c r="H62" s="312">
        <v>60</v>
      </c>
      <c r="I62" s="233" t="s">
        <v>1313</v>
      </c>
      <c r="K62" s="233" t="s">
        <v>1314</v>
      </c>
      <c r="L62" s="236">
        <f t="shared" si="3"/>
        <v>59940</v>
      </c>
      <c r="N62" s="113" t="s">
        <v>1315</v>
      </c>
      <c r="O62" s="1" t="b">
        <v>1</v>
      </c>
      <c r="Q62" s="34"/>
    </row>
    <row r="63" spans="2:17">
      <c r="B63" s="1" t="str">
        <f t="shared" si="4"/>
        <v>M_MED01_VM_BKT_61</v>
      </c>
      <c r="C63" s="92" t="s">
        <v>727</v>
      </c>
      <c r="D63" s="92" t="str" cm="1">
        <f t="array" ref="D63">INDEX(기계코드!$D$4:$D$1022,MATCH(1,(C63=기계코드!$F$4:$F$1022)*1,0))</f>
        <v>M_MED01</v>
      </c>
      <c r="E63" s="92" t="s">
        <v>1128</v>
      </c>
      <c r="F63" s="92" t="str" cm="1">
        <f t="array" ref="F63">INDEX(공급업체코드!$B$3:$B$1000,MATCH(1,(E63=공급업체코드!$D$3:$D$1000)*1,0))</f>
        <v>VM_BKT</v>
      </c>
      <c r="H63" s="312">
        <v>61</v>
      </c>
      <c r="I63" s="233" t="s">
        <v>1313</v>
      </c>
      <c r="K63" s="233" t="s">
        <v>1314</v>
      </c>
      <c r="L63" s="236">
        <f t="shared" si="3"/>
        <v>60939</v>
      </c>
      <c r="N63" s="113" t="s">
        <v>1315</v>
      </c>
      <c r="O63" s="1" t="b">
        <v>1</v>
      </c>
      <c r="Q63" s="34"/>
    </row>
    <row r="64" spans="2:17">
      <c r="B64" s="1" t="str">
        <f t="shared" si="4"/>
        <v>M_MED01_VM_BKT_62</v>
      </c>
      <c r="C64" s="92" t="s">
        <v>727</v>
      </c>
      <c r="D64" s="92" t="str" cm="1">
        <f t="array" ref="D64">INDEX(기계코드!$D$4:$D$1022,MATCH(1,(C64=기계코드!$F$4:$F$1022)*1,0))</f>
        <v>M_MED01</v>
      </c>
      <c r="E64" s="92" t="s">
        <v>1128</v>
      </c>
      <c r="F64" s="92" t="str" cm="1">
        <f t="array" ref="F64">INDEX(공급업체코드!$B$3:$B$1000,MATCH(1,(E64=공급업체코드!$D$3:$D$1000)*1,0))</f>
        <v>VM_BKT</v>
      </c>
      <c r="H64" s="312">
        <v>62</v>
      </c>
      <c r="I64" s="233" t="s">
        <v>1313</v>
      </c>
      <c r="K64" s="233" t="s">
        <v>1314</v>
      </c>
      <c r="L64" s="236">
        <f t="shared" si="3"/>
        <v>61938</v>
      </c>
      <c r="N64" s="113" t="s">
        <v>1315</v>
      </c>
      <c r="O64" s="1" t="b">
        <v>1</v>
      </c>
      <c r="Q64" s="34"/>
    </row>
    <row r="65" spans="2:17">
      <c r="B65" s="1" t="str">
        <f t="shared" si="4"/>
        <v>M_MED01_VM_BKT_63</v>
      </c>
      <c r="C65" s="92" t="s">
        <v>727</v>
      </c>
      <c r="D65" s="92" t="str" cm="1">
        <f t="array" ref="D65">INDEX(기계코드!$D$4:$D$1022,MATCH(1,(C65=기계코드!$F$4:$F$1022)*1,0))</f>
        <v>M_MED01</v>
      </c>
      <c r="E65" s="92" t="s">
        <v>1128</v>
      </c>
      <c r="F65" s="92" t="str" cm="1">
        <f t="array" ref="F65">INDEX(공급업체코드!$B$3:$B$1000,MATCH(1,(E65=공급업체코드!$D$3:$D$1000)*1,0))</f>
        <v>VM_BKT</v>
      </c>
      <c r="H65" s="312">
        <v>63</v>
      </c>
      <c r="I65" s="233" t="s">
        <v>1313</v>
      </c>
      <c r="K65" s="233" t="s">
        <v>1314</v>
      </c>
      <c r="L65" s="236">
        <f t="shared" si="3"/>
        <v>62937</v>
      </c>
      <c r="N65" s="113" t="s">
        <v>1315</v>
      </c>
      <c r="O65" s="1" t="b">
        <v>1</v>
      </c>
      <c r="Q65" s="34"/>
    </row>
    <row r="66" spans="2:17">
      <c r="B66" s="1" t="str">
        <f t="shared" si="4"/>
        <v>M_MED01_VM_BKT_64</v>
      </c>
      <c r="C66" s="92" t="s">
        <v>727</v>
      </c>
      <c r="D66" s="92" t="str" cm="1">
        <f t="array" ref="D66">INDEX(기계코드!$D$4:$D$1022,MATCH(1,(C66=기계코드!$F$4:$F$1022)*1,0))</f>
        <v>M_MED01</v>
      </c>
      <c r="E66" s="92" t="s">
        <v>1128</v>
      </c>
      <c r="F66" s="92" t="str" cm="1">
        <f t="array" ref="F66">INDEX(공급업체코드!$B$3:$B$1000,MATCH(1,(E66=공급업체코드!$D$3:$D$1000)*1,0))</f>
        <v>VM_BKT</v>
      </c>
      <c r="H66" s="312">
        <v>64</v>
      </c>
      <c r="I66" s="233" t="s">
        <v>1313</v>
      </c>
      <c r="K66" s="233" t="s">
        <v>1314</v>
      </c>
      <c r="L66" s="236">
        <f t="shared" si="3"/>
        <v>63936</v>
      </c>
      <c r="N66" s="113" t="s">
        <v>1315</v>
      </c>
      <c r="O66" s="1" t="b">
        <v>1</v>
      </c>
      <c r="Q66" s="34"/>
    </row>
    <row r="67" spans="2:17">
      <c r="B67" s="1" t="str">
        <f t="shared" si="4"/>
        <v>M_MED01_VM_BKT_65</v>
      </c>
      <c r="C67" s="92" t="s">
        <v>727</v>
      </c>
      <c r="D67" s="92" t="str" cm="1">
        <f t="array" ref="D67">INDEX(기계코드!$D$4:$D$1022,MATCH(1,(C67=기계코드!$F$4:$F$1022)*1,0))</f>
        <v>M_MED01</v>
      </c>
      <c r="E67" s="92" t="s">
        <v>1128</v>
      </c>
      <c r="F67" s="92" t="str" cm="1">
        <f t="array" ref="F67">INDEX(공급업체코드!$B$3:$B$1000,MATCH(1,(E67=공급업체코드!$D$3:$D$1000)*1,0))</f>
        <v>VM_BKT</v>
      </c>
      <c r="H67" s="312">
        <v>65</v>
      </c>
      <c r="I67" s="233" t="s">
        <v>1313</v>
      </c>
      <c r="K67" s="233" t="s">
        <v>1314</v>
      </c>
      <c r="L67" s="236">
        <f t="shared" si="3"/>
        <v>64935</v>
      </c>
      <c r="N67" s="113" t="s">
        <v>1315</v>
      </c>
      <c r="O67" s="1" t="b">
        <v>1</v>
      </c>
      <c r="Q67" s="34"/>
    </row>
    <row r="68" spans="2:17">
      <c r="B68" s="1" t="str">
        <f t="shared" si="4"/>
        <v>M_MED01_VM_BKT_66</v>
      </c>
      <c r="C68" s="92" t="s">
        <v>727</v>
      </c>
      <c r="D68" s="92" t="str" cm="1">
        <f t="array" ref="D68">INDEX(기계코드!$D$4:$D$1022,MATCH(1,(C68=기계코드!$F$4:$F$1022)*1,0))</f>
        <v>M_MED01</v>
      </c>
      <c r="E68" s="92" t="s">
        <v>1128</v>
      </c>
      <c r="F68" s="92" t="str" cm="1">
        <f t="array" ref="F68">INDEX(공급업체코드!$B$3:$B$1000,MATCH(1,(E68=공급업체코드!$D$3:$D$1000)*1,0))</f>
        <v>VM_BKT</v>
      </c>
      <c r="H68" s="312">
        <v>66</v>
      </c>
      <c r="I68" s="233" t="s">
        <v>1313</v>
      </c>
      <c r="K68" s="233" t="s">
        <v>1314</v>
      </c>
      <c r="L68" s="236">
        <f t="shared" si="3"/>
        <v>65934</v>
      </c>
      <c r="N68" s="113" t="s">
        <v>1315</v>
      </c>
      <c r="O68" s="1" t="b">
        <v>1</v>
      </c>
      <c r="Q68" s="34"/>
    </row>
    <row r="69" spans="2:17">
      <c r="B69" s="1" t="str">
        <f t="shared" si="4"/>
        <v>M_MED01_VM_BKT_67</v>
      </c>
      <c r="C69" s="92" t="s">
        <v>727</v>
      </c>
      <c r="D69" s="92" t="str" cm="1">
        <f t="array" ref="D69">INDEX(기계코드!$D$4:$D$1022,MATCH(1,(C69=기계코드!$F$4:$F$1022)*1,0))</f>
        <v>M_MED01</v>
      </c>
      <c r="E69" s="92" t="s">
        <v>1128</v>
      </c>
      <c r="F69" s="92" t="str" cm="1">
        <f t="array" ref="F69">INDEX(공급업체코드!$B$3:$B$1000,MATCH(1,(E69=공급업체코드!$D$3:$D$1000)*1,0))</f>
        <v>VM_BKT</v>
      </c>
      <c r="H69" s="312">
        <v>67</v>
      </c>
      <c r="I69" s="233" t="s">
        <v>1313</v>
      </c>
      <c r="K69" s="233" t="s">
        <v>1314</v>
      </c>
      <c r="L69" s="236">
        <f t="shared" ref="L69:L132" si="5">$L$3*H69</f>
        <v>66933</v>
      </c>
      <c r="N69" s="113" t="s">
        <v>1315</v>
      </c>
      <c r="O69" s="1" t="b">
        <v>1</v>
      </c>
      <c r="Q69" s="34"/>
    </row>
    <row r="70" spans="2:17">
      <c r="B70" s="1" t="str">
        <f t="shared" si="4"/>
        <v>M_MED01_VM_BKT_68</v>
      </c>
      <c r="C70" s="92" t="s">
        <v>727</v>
      </c>
      <c r="D70" s="92" t="str" cm="1">
        <f t="array" ref="D70">INDEX(기계코드!$D$4:$D$1022,MATCH(1,(C70=기계코드!$F$4:$F$1022)*1,0))</f>
        <v>M_MED01</v>
      </c>
      <c r="E70" s="92" t="s">
        <v>1128</v>
      </c>
      <c r="F70" s="92" t="str" cm="1">
        <f t="array" ref="F70">INDEX(공급업체코드!$B$3:$B$1000,MATCH(1,(E70=공급업체코드!$D$3:$D$1000)*1,0))</f>
        <v>VM_BKT</v>
      </c>
      <c r="H70" s="312">
        <v>68</v>
      </c>
      <c r="I70" s="233" t="s">
        <v>1313</v>
      </c>
      <c r="K70" s="233" t="s">
        <v>1314</v>
      </c>
      <c r="L70" s="236">
        <f t="shared" si="5"/>
        <v>67932</v>
      </c>
      <c r="N70" s="113" t="s">
        <v>1315</v>
      </c>
      <c r="O70" s="1" t="b">
        <v>1</v>
      </c>
      <c r="Q70" s="34"/>
    </row>
    <row r="71" spans="2:17">
      <c r="B71" s="1" t="str">
        <f t="shared" ref="B71:B134" si="6">D71&amp;"_"&amp;F71&amp;"_"&amp;H71</f>
        <v>M_MED01_VM_BKT_69</v>
      </c>
      <c r="C71" s="92" t="s">
        <v>727</v>
      </c>
      <c r="D71" s="92" t="str" cm="1">
        <f t="array" ref="D71">INDEX(기계코드!$D$4:$D$1022,MATCH(1,(C71=기계코드!$F$4:$F$1022)*1,0))</f>
        <v>M_MED01</v>
      </c>
      <c r="E71" s="92" t="s">
        <v>1128</v>
      </c>
      <c r="F71" s="92" t="str" cm="1">
        <f t="array" ref="F71">INDEX(공급업체코드!$B$3:$B$1000,MATCH(1,(E71=공급업체코드!$D$3:$D$1000)*1,0))</f>
        <v>VM_BKT</v>
      </c>
      <c r="H71" s="312">
        <v>69</v>
      </c>
      <c r="I71" s="233" t="s">
        <v>1313</v>
      </c>
      <c r="K71" s="233" t="s">
        <v>1314</v>
      </c>
      <c r="L71" s="236">
        <f t="shared" si="5"/>
        <v>68931</v>
      </c>
      <c r="N71" s="113" t="s">
        <v>1315</v>
      </c>
      <c r="O71" s="1" t="b">
        <v>1</v>
      </c>
      <c r="Q71" s="34"/>
    </row>
    <row r="72" spans="2:17">
      <c r="B72" s="1" t="str">
        <f t="shared" si="6"/>
        <v>M_MED01_VM_BKT_70</v>
      </c>
      <c r="C72" s="92" t="s">
        <v>727</v>
      </c>
      <c r="D72" s="92" t="str" cm="1">
        <f t="array" ref="D72">INDEX(기계코드!$D$4:$D$1022,MATCH(1,(C72=기계코드!$F$4:$F$1022)*1,0))</f>
        <v>M_MED01</v>
      </c>
      <c r="E72" s="92" t="s">
        <v>1128</v>
      </c>
      <c r="F72" s="92" t="str" cm="1">
        <f t="array" ref="F72">INDEX(공급업체코드!$B$3:$B$1000,MATCH(1,(E72=공급업체코드!$D$3:$D$1000)*1,0))</f>
        <v>VM_BKT</v>
      </c>
      <c r="H72" s="312">
        <v>70</v>
      </c>
      <c r="I72" s="233" t="s">
        <v>1313</v>
      </c>
      <c r="K72" s="233" t="s">
        <v>1314</v>
      </c>
      <c r="L72" s="236">
        <f t="shared" si="5"/>
        <v>69930</v>
      </c>
      <c r="N72" s="113" t="s">
        <v>1315</v>
      </c>
      <c r="O72" s="1" t="b">
        <v>1</v>
      </c>
      <c r="Q72" s="34"/>
    </row>
    <row r="73" spans="2:17">
      <c r="B73" s="1" t="str">
        <f t="shared" si="6"/>
        <v>M_MED01_VM_BKT_71</v>
      </c>
      <c r="C73" s="92" t="s">
        <v>727</v>
      </c>
      <c r="D73" s="92" t="str" cm="1">
        <f t="array" ref="D73">INDEX(기계코드!$D$4:$D$1022,MATCH(1,(C73=기계코드!$F$4:$F$1022)*1,0))</f>
        <v>M_MED01</v>
      </c>
      <c r="E73" s="92" t="s">
        <v>1128</v>
      </c>
      <c r="F73" s="92" t="str" cm="1">
        <f t="array" ref="F73">INDEX(공급업체코드!$B$3:$B$1000,MATCH(1,(E73=공급업체코드!$D$3:$D$1000)*1,0))</f>
        <v>VM_BKT</v>
      </c>
      <c r="H73" s="312">
        <v>71</v>
      </c>
      <c r="I73" s="233" t="s">
        <v>1313</v>
      </c>
      <c r="K73" s="233" t="s">
        <v>1314</v>
      </c>
      <c r="L73" s="236">
        <f t="shared" si="5"/>
        <v>70929</v>
      </c>
      <c r="N73" s="113" t="s">
        <v>1315</v>
      </c>
      <c r="O73" s="1" t="b">
        <v>1</v>
      </c>
      <c r="Q73" s="34"/>
    </row>
    <row r="74" spans="2:17">
      <c r="B74" s="1" t="str">
        <f t="shared" si="6"/>
        <v>M_MED01_VM_BKT_72</v>
      </c>
      <c r="C74" s="92" t="s">
        <v>727</v>
      </c>
      <c r="D74" s="92" t="str" cm="1">
        <f t="array" ref="D74">INDEX(기계코드!$D$4:$D$1022,MATCH(1,(C74=기계코드!$F$4:$F$1022)*1,0))</f>
        <v>M_MED01</v>
      </c>
      <c r="E74" s="92" t="s">
        <v>1128</v>
      </c>
      <c r="F74" s="92" t="str" cm="1">
        <f t="array" ref="F74">INDEX(공급업체코드!$B$3:$B$1000,MATCH(1,(E74=공급업체코드!$D$3:$D$1000)*1,0))</f>
        <v>VM_BKT</v>
      </c>
      <c r="H74" s="312">
        <v>72</v>
      </c>
      <c r="I74" s="233" t="s">
        <v>1313</v>
      </c>
      <c r="K74" s="233" t="s">
        <v>1314</v>
      </c>
      <c r="L74" s="236">
        <f t="shared" si="5"/>
        <v>71928</v>
      </c>
      <c r="N74" s="113" t="s">
        <v>1315</v>
      </c>
      <c r="O74" s="1" t="b">
        <v>1</v>
      </c>
      <c r="Q74" s="34"/>
    </row>
    <row r="75" spans="2:17">
      <c r="B75" s="1" t="str">
        <f t="shared" si="6"/>
        <v>M_MED01_VM_BKT_73</v>
      </c>
      <c r="C75" s="92" t="s">
        <v>727</v>
      </c>
      <c r="D75" s="92" t="str" cm="1">
        <f t="array" ref="D75">INDEX(기계코드!$D$4:$D$1022,MATCH(1,(C75=기계코드!$F$4:$F$1022)*1,0))</f>
        <v>M_MED01</v>
      </c>
      <c r="E75" s="92" t="s">
        <v>1128</v>
      </c>
      <c r="F75" s="92" t="str" cm="1">
        <f t="array" ref="F75">INDEX(공급업체코드!$B$3:$B$1000,MATCH(1,(E75=공급업체코드!$D$3:$D$1000)*1,0))</f>
        <v>VM_BKT</v>
      </c>
      <c r="H75" s="312">
        <v>73</v>
      </c>
      <c r="I75" s="233" t="s">
        <v>1313</v>
      </c>
      <c r="K75" s="233" t="s">
        <v>1314</v>
      </c>
      <c r="L75" s="236">
        <f t="shared" si="5"/>
        <v>72927</v>
      </c>
      <c r="N75" s="113" t="s">
        <v>1315</v>
      </c>
      <c r="O75" s="1" t="b">
        <v>1</v>
      </c>
      <c r="Q75" s="34"/>
    </row>
    <row r="76" spans="2:17">
      <c r="B76" s="1" t="str">
        <f t="shared" si="6"/>
        <v>M_MED01_VM_BKT_74</v>
      </c>
      <c r="C76" s="92" t="s">
        <v>727</v>
      </c>
      <c r="D76" s="92" t="str" cm="1">
        <f t="array" ref="D76">INDEX(기계코드!$D$4:$D$1022,MATCH(1,(C76=기계코드!$F$4:$F$1022)*1,0))</f>
        <v>M_MED01</v>
      </c>
      <c r="E76" s="92" t="s">
        <v>1128</v>
      </c>
      <c r="F76" s="92" t="str" cm="1">
        <f t="array" ref="F76">INDEX(공급업체코드!$B$3:$B$1000,MATCH(1,(E76=공급업체코드!$D$3:$D$1000)*1,0))</f>
        <v>VM_BKT</v>
      </c>
      <c r="H76" s="312">
        <v>74</v>
      </c>
      <c r="I76" s="233" t="s">
        <v>1313</v>
      </c>
      <c r="K76" s="233" t="s">
        <v>1314</v>
      </c>
      <c r="L76" s="236">
        <f t="shared" si="5"/>
        <v>73926</v>
      </c>
      <c r="N76" s="113" t="s">
        <v>1315</v>
      </c>
      <c r="O76" s="1" t="b">
        <v>1</v>
      </c>
      <c r="Q76" s="34"/>
    </row>
    <row r="77" spans="2:17">
      <c r="B77" s="1" t="str">
        <f t="shared" si="6"/>
        <v>M_MED01_VM_BKT_75</v>
      </c>
      <c r="C77" s="92" t="s">
        <v>727</v>
      </c>
      <c r="D77" s="92" t="str" cm="1">
        <f t="array" ref="D77">INDEX(기계코드!$D$4:$D$1022,MATCH(1,(C77=기계코드!$F$4:$F$1022)*1,0))</f>
        <v>M_MED01</v>
      </c>
      <c r="E77" s="92" t="s">
        <v>1128</v>
      </c>
      <c r="F77" s="92" t="str" cm="1">
        <f t="array" ref="F77">INDEX(공급업체코드!$B$3:$B$1000,MATCH(1,(E77=공급업체코드!$D$3:$D$1000)*1,0))</f>
        <v>VM_BKT</v>
      </c>
      <c r="H77" s="312">
        <v>75</v>
      </c>
      <c r="I77" s="233" t="s">
        <v>1313</v>
      </c>
      <c r="K77" s="233" t="s">
        <v>1314</v>
      </c>
      <c r="L77" s="236">
        <f t="shared" si="5"/>
        <v>74925</v>
      </c>
      <c r="N77" s="113" t="s">
        <v>1315</v>
      </c>
      <c r="O77" s="1" t="b">
        <v>1</v>
      </c>
      <c r="Q77" s="34"/>
    </row>
    <row r="78" spans="2:17">
      <c r="B78" s="1" t="str">
        <f t="shared" si="6"/>
        <v>M_MED01_VM_BKT_76</v>
      </c>
      <c r="C78" s="92" t="s">
        <v>727</v>
      </c>
      <c r="D78" s="92" t="str" cm="1">
        <f t="array" ref="D78">INDEX(기계코드!$D$4:$D$1022,MATCH(1,(C78=기계코드!$F$4:$F$1022)*1,0))</f>
        <v>M_MED01</v>
      </c>
      <c r="E78" s="92" t="s">
        <v>1128</v>
      </c>
      <c r="F78" s="92" t="str" cm="1">
        <f t="array" ref="F78">INDEX(공급업체코드!$B$3:$B$1000,MATCH(1,(E78=공급업체코드!$D$3:$D$1000)*1,0))</f>
        <v>VM_BKT</v>
      </c>
      <c r="H78" s="312">
        <v>76</v>
      </c>
      <c r="I78" s="233" t="s">
        <v>1313</v>
      </c>
      <c r="K78" s="233" t="s">
        <v>1314</v>
      </c>
      <c r="L78" s="236">
        <f t="shared" si="5"/>
        <v>75924</v>
      </c>
      <c r="N78" s="113" t="s">
        <v>1315</v>
      </c>
      <c r="O78" s="1" t="b">
        <v>1</v>
      </c>
      <c r="Q78" s="34"/>
    </row>
    <row r="79" spans="2:17">
      <c r="B79" s="1" t="str">
        <f t="shared" si="6"/>
        <v>M_MED01_VM_BKT_77</v>
      </c>
      <c r="C79" s="92" t="s">
        <v>727</v>
      </c>
      <c r="D79" s="92" t="str" cm="1">
        <f t="array" ref="D79">INDEX(기계코드!$D$4:$D$1022,MATCH(1,(C79=기계코드!$F$4:$F$1022)*1,0))</f>
        <v>M_MED01</v>
      </c>
      <c r="E79" s="92" t="s">
        <v>1128</v>
      </c>
      <c r="F79" s="92" t="str" cm="1">
        <f t="array" ref="F79">INDEX(공급업체코드!$B$3:$B$1000,MATCH(1,(E79=공급업체코드!$D$3:$D$1000)*1,0))</f>
        <v>VM_BKT</v>
      </c>
      <c r="H79" s="312">
        <v>77</v>
      </c>
      <c r="I79" s="233" t="s">
        <v>1313</v>
      </c>
      <c r="K79" s="233" t="s">
        <v>1314</v>
      </c>
      <c r="L79" s="236">
        <f t="shared" si="5"/>
        <v>76923</v>
      </c>
      <c r="N79" s="113" t="s">
        <v>1315</v>
      </c>
      <c r="O79" s="1" t="b">
        <v>1</v>
      </c>
      <c r="Q79" s="34"/>
    </row>
    <row r="80" spans="2:17">
      <c r="B80" s="1" t="str">
        <f t="shared" si="6"/>
        <v>M_MED01_VM_BKT_78</v>
      </c>
      <c r="C80" s="92" t="s">
        <v>727</v>
      </c>
      <c r="D80" s="92" t="str" cm="1">
        <f t="array" ref="D80">INDEX(기계코드!$D$4:$D$1022,MATCH(1,(C80=기계코드!$F$4:$F$1022)*1,0))</f>
        <v>M_MED01</v>
      </c>
      <c r="E80" s="92" t="s">
        <v>1128</v>
      </c>
      <c r="F80" s="92" t="str" cm="1">
        <f t="array" ref="F80">INDEX(공급업체코드!$B$3:$B$1000,MATCH(1,(E80=공급업체코드!$D$3:$D$1000)*1,0))</f>
        <v>VM_BKT</v>
      </c>
      <c r="H80" s="312">
        <v>78</v>
      </c>
      <c r="I80" s="233" t="s">
        <v>1313</v>
      </c>
      <c r="K80" s="233" t="s">
        <v>1314</v>
      </c>
      <c r="L80" s="236">
        <f t="shared" si="5"/>
        <v>77922</v>
      </c>
      <c r="N80" s="113" t="s">
        <v>1315</v>
      </c>
      <c r="O80" s="1" t="b">
        <v>1</v>
      </c>
      <c r="Q80" s="34"/>
    </row>
    <row r="81" spans="2:17">
      <c r="B81" s="1" t="str">
        <f t="shared" si="6"/>
        <v>M_MED01_VM_BKT_79</v>
      </c>
      <c r="C81" s="92" t="s">
        <v>727</v>
      </c>
      <c r="D81" s="92" t="str" cm="1">
        <f t="array" ref="D81">INDEX(기계코드!$D$4:$D$1022,MATCH(1,(C81=기계코드!$F$4:$F$1022)*1,0))</f>
        <v>M_MED01</v>
      </c>
      <c r="E81" s="92" t="s">
        <v>1128</v>
      </c>
      <c r="F81" s="92" t="str" cm="1">
        <f t="array" ref="F81">INDEX(공급업체코드!$B$3:$B$1000,MATCH(1,(E81=공급업체코드!$D$3:$D$1000)*1,0))</f>
        <v>VM_BKT</v>
      </c>
      <c r="H81" s="312">
        <v>79</v>
      </c>
      <c r="I81" s="233" t="s">
        <v>1313</v>
      </c>
      <c r="K81" s="233" t="s">
        <v>1314</v>
      </c>
      <c r="L81" s="236">
        <f t="shared" si="5"/>
        <v>78921</v>
      </c>
      <c r="N81" s="113" t="s">
        <v>1315</v>
      </c>
      <c r="O81" s="1" t="b">
        <v>1</v>
      </c>
      <c r="Q81" s="34"/>
    </row>
    <row r="82" spans="2:17">
      <c r="B82" s="1" t="str">
        <f t="shared" si="6"/>
        <v>M_MED01_VM_BKT_80</v>
      </c>
      <c r="C82" s="92" t="s">
        <v>727</v>
      </c>
      <c r="D82" s="92" t="str" cm="1">
        <f t="array" ref="D82">INDEX(기계코드!$D$4:$D$1022,MATCH(1,(C82=기계코드!$F$4:$F$1022)*1,0))</f>
        <v>M_MED01</v>
      </c>
      <c r="E82" s="92" t="s">
        <v>1128</v>
      </c>
      <c r="F82" s="92" t="str" cm="1">
        <f t="array" ref="F82">INDEX(공급업체코드!$B$3:$B$1000,MATCH(1,(E82=공급업체코드!$D$3:$D$1000)*1,0))</f>
        <v>VM_BKT</v>
      </c>
      <c r="H82" s="312">
        <v>80</v>
      </c>
      <c r="I82" s="233" t="s">
        <v>1313</v>
      </c>
      <c r="K82" s="233" t="s">
        <v>1314</v>
      </c>
      <c r="L82" s="236">
        <f t="shared" si="5"/>
        <v>79920</v>
      </c>
      <c r="N82" s="113" t="s">
        <v>1315</v>
      </c>
      <c r="O82" s="1" t="b">
        <v>1</v>
      </c>
      <c r="Q82" s="34"/>
    </row>
    <row r="83" spans="2:17">
      <c r="B83" s="1" t="str">
        <f t="shared" si="6"/>
        <v>M_MED01_VM_BKT_81</v>
      </c>
      <c r="C83" s="92" t="s">
        <v>727</v>
      </c>
      <c r="D83" s="92" t="str" cm="1">
        <f t="array" ref="D83">INDEX(기계코드!$D$4:$D$1022,MATCH(1,(C83=기계코드!$F$4:$F$1022)*1,0))</f>
        <v>M_MED01</v>
      </c>
      <c r="E83" s="92" t="s">
        <v>1128</v>
      </c>
      <c r="F83" s="92" t="str" cm="1">
        <f t="array" ref="F83">INDEX(공급업체코드!$B$3:$B$1000,MATCH(1,(E83=공급업체코드!$D$3:$D$1000)*1,0))</f>
        <v>VM_BKT</v>
      </c>
      <c r="H83" s="312">
        <v>81</v>
      </c>
      <c r="I83" s="233" t="s">
        <v>1313</v>
      </c>
      <c r="K83" s="233" t="s">
        <v>1314</v>
      </c>
      <c r="L83" s="236">
        <f t="shared" si="5"/>
        <v>80919</v>
      </c>
      <c r="N83" s="113" t="s">
        <v>1315</v>
      </c>
      <c r="O83" s="1" t="b">
        <v>1</v>
      </c>
      <c r="Q83" s="34"/>
    </row>
    <row r="84" spans="2:17">
      <c r="B84" s="1" t="str">
        <f t="shared" si="6"/>
        <v>M_MED01_VM_BKT_82</v>
      </c>
      <c r="C84" s="92" t="s">
        <v>727</v>
      </c>
      <c r="D84" s="92" t="str" cm="1">
        <f t="array" ref="D84">INDEX(기계코드!$D$4:$D$1022,MATCH(1,(C84=기계코드!$F$4:$F$1022)*1,0))</f>
        <v>M_MED01</v>
      </c>
      <c r="E84" s="92" t="s">
        <v>1128</v>
      </c>
      <c r="F84" s="92" t="str" cm="1">
        <f t="array" ref="F84">INDEX(공급업체코드!$B$3:$B$1000,MATCH(1,(E84=공급업체코드!$D$3:$D$1000)*1,0))</f>
        <v>VM_BKT</v>
      </c>
      <c r="H84" s="312">
        <v>82</v>
      </c>
      <c r="I84" s="233" t="s">
        <v>1313</v>
      </c>
      <c r="K84" s="233" t="s">
        <v>1314</v>
      </c>
      <c r="L84" s="236">
        <f t="shared" si="5"/>
        <v>81918</v>
      </c>
      <c r="N84" s="113" t="s">
        <v>1315</v>
      </c>
      <c r="O84" s="1" t="b">
        <v>1</v>
      </c>
      <c r="Q84" s="34"/>
    </row>
    <row r="85" spans="2:17">
      <c r="B85" s="1" t="str">
        <f t="shared" si="6"/>
        <v>M_MED01_VM_BKT_83</v>
      </c>
      <c r="C85" s="92" t="s">
        <v>727</v>
      </c>
      <c r="D85" s="92" t="str" cm="1">
        <f t="array" ref="D85">INDEX(기계코드!$D$4:$D$1022,MATCH(1,(C85=기계코드!$F$4:$F$1022)*1,0))</f>
        <v>M_MED01</v>
      </c>
      <c r="E85" s="92" t="s">
        <v>1128</v>
      </c>
      <c r="F85" s="92" t="str" cm="1">
        <f t="array" ref="F85">INDEX(공급업체코드!$B$3:$B$1000,MATCH(1,(E85=공급업체코드!$D$3:$D$1000)*1,0))</f>
        <v>VM_BKT</v>
      </c>
      <c r="H85" s="312">
        <v>83</v>
      </c>
      <c r="I85" s="233" t="s">
        <v>1313</v>
      </c>
      <c r="K85" s="233" t="s">
        <v>1314</v>
      </c>
      <c r="L85" s="236">
        <f t="shared" si="5"/>
        <v>82917</v>
      </c>
      <c r="N85" s="113" t="s">
        <v>1315</v>
      </c>
      <c r="O85" s="1" t="b">
        <v>1</v>
      </c>
      <c r="Q85" s="34"/>
    </row>
    <row r="86" spans="2:17">
      <c r="B86" s="1" t="str">
        <f t="shared" si="6"/>
        <v>M_MED01_VM_BKT_84</v>
      </c>
      <c r="C86" s="92" t="s">
        <v>727</v>
      </c>
      <c r="D86" s="92" t="str" cm="1">
        <f t="array" ref="D86">INDEX(기계코드!$D$4:$D$1022,MATCH(1,(C86=기계코드!$F$4:$F$1022)*1,0))</f>
        <v>M_MED01</v>
      </c>
      <c r="E86" s="92" t="s">
        <v>1128</v>
      </c>
      <c r="F86" s="92" t="str" cm="1">
        <f t="array" ref="F86">INDEX(공급업체코드!$B$3:$B$1000,MATCH(1,(E86=공급업체코드!$D$3:$D$1000)*1,0))</f>
        <v>VM_BKT</v>
      </c>
      <c r="H86" s="312">
        <v>84</v>
      </c>
      <c r="I86" s="233" t="s">
        <v>1313</v>
      </c>
      <c r="K86" s="233" t="s">
        <v>1314</v>
      </c>
      <c r="L86" s="236">
        <f t="shared" si="5"/>
        <v>83916</v>
      </c>
      <c r="N86" s="113" t="s">
        <v>1315</v>
      </c>
      <c r="O86" s="1" t="b">
        <v>1</v>
      </c>
      <c r="Q86" s="34"/>
    </row>
    <row r="87" spans="2:17">
      <c r="B87" s="1" t="str">
        <f t="shared" si="6"/>
        <v>M_MED01_VM_BKT_85</v>
      </c>
      <c r="C87" s="92" t="s">
        <v>727</v>
      </c>
      <c r="D87" s="92" t="str" cm="1">
        <f t="array" ref="D87">INDEX(기계코드!$D$4:$D$1022,MATCH(1,(C87=기계코드!$F$4:$F$1022)*1,0))</f>
        <v>M_MED01</v>
      </c>
      <c r="E87" s="92" t="s">
        <v>1128</v>
      </c>
      <c r="F87" s="92" t="str" cm="1">
        <f t="array" ref="F87">INDEX(공급업체코드!$B$3:$B$1000,MATCH(1,(E87=공급업체코드!$D$3:$D$1000)*1,0))</f>
        <v>VM_BKT</v>
      </c>
      <c r="H87" s="312">
        <v>85</v>
      </c>
      <c r="I87" s="233" t="s">
        <v>1313</v>
      </c>
      <c r="K87" s="233" t="s">
        <v>1314</v>
      </c>
      <c r="L87" s="236">
        <f t="shared" si="5"/>
        <v>84915</v>
      </c>
      <c r="N87" s="113" t="s">
        <v>1315</v>
      </c>
      <c r="O87" s="1" t="b">
        <v>1</v>
      </c>
      <c r="Q87" s="34"/>
    </row>
    <row r="88" spans="2:17">
      <c r="B88" s="1" t="str">
        <f t="shared" si="6"/>
        <v>M_MED01_VM_BKT_86</v>
      </c>
      <c r="C88" s="92" t="s">
        <v>727</v>
      </c>
      <c r="D88" s="92" t="str" cm="1">
        <f t="array" ref="D88">INDEX(기계코드!$D$4:$D$1022,MATCH(1,(C88=기계코드!$F$4:$F$1022)*1,0))</f>
        <v>M_MED01</v>
      </c>
      <c r="E88" s="92" t="s">
        <v>1128</v>
      </c>
      <c r="F88" s="92" t="str" cm="1">
        <f t="array" ref="F88">INDEX(공급업체코드!$B$3:$B$1000,MATCH(1,(E88=공급업체코드!$D$3:$D$1000)*1,0))</f>
        <v>VM_BKT</v>
      </c>
      <c r="H88" s="312">
        <v>86</v>
      </c>
      <c r="I88" s="233" t="s">
        <v>1313</v>
      </c>
      <c r="K88" s="233" t="s">
        <v>1314</v>
      </c>
      <c r="L88" s="236">
        <f t="shared" si="5"/>
        <v>85914</v>
      </c>
      <c r="N88" s="113" t="s">
        <v>1315</v>
      </c>
      <c r="O88" s="1" t="b">
        <v>1</v>
      </c>
      <c r="Q88" s="34"/>
    </row>
    <row r="89" spans="2:17">
      <c r="B89" s="1" t="str">
        <f t="shared" si="6"/>
        <v>M_MED01_VM_BKT_87</v>
      </c>
      <c r="C89" s="92" t="s">
        <v>727</v>
      </c>
      <c r="D89" s="92" t="str" cm="1">
        <f t="array" ref="D89">INDEX(기계코드!$D$4:$D$1022,MATCH(1,(C89=기계코드!$F$4:$F$1022)*1,0))</f>
        <v>M_MED01</v>
      </c>
      <c r="E89" s="92" t="s">
        <v>1128</v>
      </c>
      <c r="F89" s="92" t="str" cm="1">
        <f t="array" ref="F89">INDEX(공급업체코드!$B$3:$B$1000,MATCH(1,(E89=공급업체코드!$D$3:$D$1000)*1,0))</f>
        <v>VM_BKT</v>
      </c>
      <c r="H89" s="312">
        <v>87</v>
      </c>
      <c r="I89" s="233" t="s">
        <v>1313</v>
      </c>
      <c r="K89" s="233" t="s">
        <v>1314</v>
      </c>
      <c r="L89" s="236">
        <f t="shared" si="5"/>
        <v>86913</v>
      </c>
      <c r="N89" s="113" t="s">
        <v>1315</v>
      </c>
      <c r="O89" s="1" t="b">
        <v>1</v>
      </c>
      <c r="Q89" s="34"/>
    </row>
    <row r="90" spans="2:17">
      <c r="B90" s="1" t="str">
        <f t="shared" si="6"/>
        <v>M_MED01_VM_BKT_88</v>
      </c>
      <c r="C90" s="92" t="s">
        <v>727</v>
      </c>
      <c r="D90" s="92" t="str" cm="1">
        <f t="array" ref="D90">INDEX(기계코드!$D$4:$D$1022,MATCH(1,(C90=기계코드!$F$4:$F$1022)*1,0))</f>
        <v>M_MED01</v>
      </c>
      <c r="E90" s="92" t="s">
        <v>1128</v>
      </c>
      <c r="F90" s="92" t="str" cm="1">
        <f t="array" ref="F90">INDEX(공급업체코드!$B$3:$B$1000,MATCH(1,(E90=공급업체코드!$D$3:$D$1000)*1,0))</f>
        <v>VM_BKT</v>
      </c>
      <c r="H90" s="312">
        <v>88</v>
      </c>
      <c r="I90" s="233" t="s">
        <v>1313</v>
      </c>
      <c r="K90" s="233" t="s">
        <v>1314</v>
      </c>
      <c r="L90" s="236">
        <f t="shared" si="5"/>
        <v>87912</v>
      </c>
      <c r="N90" s="113" t="s">
        <v>1315</v>
      </c>
      <c r="O90" s="1" t="b">
        <v>1</v>
      </c>
      <c r="Q90" s="34"/>
    </row>
    <row r="91" spans="2:17">
      <c r="B91" s="1" t="str">
        <f t="shared" si="6"/>
        <v>M_MED01_VM_BKT_89</v>
      </c>
      <c r="C91" s="92" t="s">
        <v>727</v>
      </c>
      <c r="D91" s="92" t="str" cm="1">
        <f t="array" ref="D91">INDEX(기계코드!$D$4:$D$1022,MATCH(1,(C91=기계코드!$F$4:$F$1022)*1,0))</f>
        <v>M_MED01</v>
      </c>
      <c r="E91" s="92" t="s">
        <v>1128</v>
      </c>
      <c r="F91" s="92" t="str" cm="1">
        <f t="array" ref="F91">INDEX(공급업체코드!$B$3:$B$1000,MATCH(1,(E91=공급업체코드!$D$3:$D$1000)*1,0))</f>
        <v>VM_BKT</v>
      </c>
      <c r="H91" s="312">
        <v>89</v>
      </c>
      <c r="I91" s="233" t="s">
        <v>1313</v>
      </c>
      <c r="K91" s="233" t="s">
        <v>1314</v>
      </c>
      <c r="L91" s="236">
        <f t="shared" si="5"/>
        <v>88911</v>
      </c>
      <c r="N91" s="113" t="s">
        <v>1315</v>
      </c>
      <c r="O91" s="1" t="b">
        <v>1</v>
      </c>
      <c r="Q91" s="34"/>
    </row>
    <row r="92" spans="2:17">
      <c r="B92" s="1" t="str">
        <f t="shared" si="6"/>
        <v>M_MED01_VM_BKT_90</v>
      </c>
      <c r="C92" s="92" t="s">
        <v>727</v>
      </c>
      <c r="D92" s="92" t="str" cm="1">
        <f t="array" ref="D92">INDEX(기계코드!$D$4:$D$1022,MATCH(1,(C92=기계코드!$F$4:$F$1022)*1,0))</f>
        <v>M_MED01</v>
      </c>
      <c r="E92" s="92" t="s">
        <v>1128</v>
      </c>
      <c r="F92" s="92" t="str" cm="1">
        <f t="array" ref="F92">INDEX(공급업체코드!$B$3:$B$1000,MATCH(1,(E92=공급업체코드!$D$3:$D$1000)*1,0))</f>
        <v>VM_BKT</v>
      </c>
      <c r="H92" s="312">
        <v>90</v>
      </c>
      <c r="I92" s="233" t="s">
        <v>1313</v>
      </c>
      <c r="K92" s="233" t="s">
        <v>1314</v>
      </c>
      <c r="L92" s="236">
        <f t="shared" si="5"/>
        <v>89910</v>
      </c>
      <c r="N92" s="113" t="s">
        <v>1315</v>
      </c>
      <c r="O92" s="1" t="b">
        <v>1</v>
      </c>
      <c r="Q92" s="34"/>
    </row>
    <row r="93" spans="2:17">
      <c r="B93" s="1" t="str">
        <f t="shared" si="6"/>
        <v>M_MED01_VM_BKT_91</v>
      </c>
      <c r="C93" s="92" t="s">
        <v>727</v>
      </c>
      <c r="D93" s="92" t="str" cm="1">
        <f t="array" ref="D93">INDEX(기계코드!$D$4:$D$1022,MATCH(1,(C93=기계코드!$F$4:$F$1022)*1,0))</f>
        <v>M_MED01</v>
      </c>
      <c r="E93" s="92" t="s">
        <v>1128</v>
      </c>
      <c r="F93" s="92" t="str" cm="1">
        <f t="array" ref="F93">INDEX(공급업체코드!$B$3:$B$1000,MATCH(1,(E93=공급업체코드!$D$3:$D$1000)*1,0))</f>
        <v>VM_BKT</v>
      </c>
      <c r="H93" s="312">
        <v>91</v>
      </c>
      <c r="I93" s="233" t="s">
        <v>1313</v>
      </c>
      <c r="K93" s="233" t="s">
        <v>1314</v>
      </c>
      <c r="L93" s="236">
        <f t="shared" si="5"/>
        <v>90909</v>
      </c>
      <c r="N93" s="113" t="s">
        <v>1315</v>
      </c>
      <c r="O93" s="1" t="b">
        <v>1</v>
      </c>
      <c r="Q93" s="34"/>
    </row>
    <row r="94" spans="2:17">
      <c r="B94" s="1" t="str">
        <f t="shared" si="6"/>
        <v>M_MED01_VM_BKT_92</v>
      </c>
      <c r="C94" s="92" t="s">
        <v>727</v>
      </c>
      <c r="D94" s="92" t="str" cm="1">
        <f t="array" ref="D94">INDEX(기계코드!$D$4:$D$1022,MATCH(1,(C94=기계코드!$F$4:$F$1022)*1,0))</f>
        <v>M_MED01</v>
      </c>
      <c r="E94" s="92" t="s">
        <v>1128</v>
      </c>
      <c r="F94" s="92" t="str" cm="1">
        <f t="array" ref="F94">INDEX(공급업체코드!$B$3:$B$1000,MATCH(1,(E94=공급업체코드!$D$3:$D$1000)*1,0))</f>
        <v>VM_BKT</v>
      </c>
      <c r="H94" s="312">
        <v>92</v>
      </c>
      <c r="I94" s="233" t="s">
        <v>1313</v>
      </c>
      <c r="K94" s="233" t="s">
        <v>1314</v>
      </c>
      <c r="L94" s="236">
        <f t="shared" si="5"/>
        <v>91908</v>
      </c>
      <c r="N94" s="113" t="s">
        <v>1315</v>
      </c>
      <c r="O94" s="1" t="b">
        <v>1</v>
      </c>
      <c r="Q94" s="34"/>
    </row>
    <row r="95" spans="2:17">
      <c r="B95" s="1" t="str">
        <f t="shared" si="6"/>
        <v>M_MED01_VM_BKT_93</v>
      </c>
      <c r="C95" s="92" t="s">
        <v>727</v>
      </c>
      <c r="D95" s="92" t="str" cm="1">
        <f t="array" ref="D95">INDEX(기계코드!$D$4:$D$1022,MATCH(1,(C95=기계코드!$F$4:$F$1022)*1,0))</f>
        <v>M_MED01</v>
      </c>
      <c r="E95" s="92" t="s">
        <v>1128</v>
      </c>
      <c r="F95" s="92" t="str" cm="1">
        <f t="array" ref="F95">INDEX(공급업체코드!$B$3:$B$1000,MATCH(1,(E95=공급업체코드!$D$3:$D$1000)*1,0))</f>
        <v>VM_BKT</v>
      </c>
      <c r="H95" s="312">
        <v>93</v>
      </c>
      <c r="I95" s="233" t="s">
        <v>1313</v>
      </c>
      <c r="K95" s="233" t="s">
        <v>1314</v>
      </c>
      <c r="L95" s="236">
        <f t="shared" si="5"/>
        <v>92907</v>
      </c>
      <c r="N95" s="113" t="s">
        <v>1315</v>
      </c>
      <c r="O95" s="1" t="b">
        <v>1</v>
      </c>
      <c r="Q95" s="34"/>
    </row>
    <row r="96" spans="2:17">
      <c r="B96" s="1" t="str">
        <f t="shared" si="6"/>
        <v>M_MED01_VM_BKT_94</v>
      </c>
      <c r="C96" s="92" t="s">
        <v>727</v>
      </c>
      <c r="D96" s="92" t="str" cm="1">
        <f t="array" ref="D96">INDEX(기계코드!$D$4:$D$1022,MATCH(1,(C96=기계코드!$F$4:$F$1022)*1,0))</f>
        <v>M_MED01</v>
      </c>
      <c r="E96" s="92" t="s">
        <v>1128</v>
      </c>
      <c r="F96" s="92" t="str" cm="1">
        <f t="array" ref="F96">INDEX(공급업체코드!$B$3:$B$1000,MATCH(1,(E96=공급업체코드!$D$3:$D$1000)*1,0))</f>
        <v>VM_BKT</v>
      </c>
      <c r="H96" s="312">
        <v>94</v>
      </c>
      <c r="I96" s="233" t="s">
        <v>1313</v>
      </c>
      <c r="K96" s="233" t="s">
        <v>1314</v>
      </c>
      <c r="L96" s="236">
        <f t="shared" si="5"/>
        <v>93906</v>
      </c>
      <c r="N96" s="113" t="s">
        <v>1315</v>
      </c>
      <c r="O96" s="1" t="b">
        <v>1</v>
      </c>
      <c r="Q96" s="34"/>
    </row>
    <row r="97" spans="2:17">
      <c r="B97" s="1" t="str">
        <f t="shared" si="6"/>
        <v>M_MED01_VM_BKT_95</v>
      </c>
      <c r="C97" s="92" t="s">
        <v>727</v>
      </c>
      <c r="D97" s="92" t="str" cm="1">
        <f t="array" ref="D97">INDEX(기계코드!$D$4:$D$1022,MATCH(1,(C97=기계코드!$F$4:$F$1022)*1,0))</f>
        <v>M_MED01</v>
      </c>
      <c r="E97" s="92" t="s">
        <v>1128</v>
      </c>
      <c r="F97" s="92" t="str" cm="1">
        <f t="array" ref="F97">INDEX(공급업체코드!$B$3:$B$1000,MATCH(1,(E97=공급업체코드!$D$3:$D$1000)*1,0))</f>
        <v>VM_BKT</v>
      </c>
      <c r="H97" s="312">
        <v>95</v>
      </c>
      <c r="I97" s="233" t="s">
        <v>1313</v>
      </c>
      <c r="K97" s="233" t="s">
        <v>1314</v>
      </c>
      <c r="L97" s="236">
        <f t="shared" si="5"/>
        <v>94905</v>
      </c>
      <c r="N97" s="113" t="s">
        <v>1315</v>
      </c>
      <c r="O97" s="1" t="b">
        <v>1</v>
      </c>
      <c r="Q97" s="34"/>
    </row>
    <row r="98" spans="2:17">
      <c r="B98" s="1" t="str">
        <f t="shared" si="6"/>
        <v>M_MED01_VM_BKT_96</v>
      </c>
      <c r="C98" s="92" t="s">
        <v>727</v>
      </c>
      <c r="D98" s="92" t="str" cm="1">
        <f t="array" ref="D98">INDEX(기계코드!$D$4:$D$1022,MATCH(1,(C98=기계코드!$F$4:$F$1022)*1,0))</f>
        <v>M_MED01</v>
      </c>
      <c r="E98" s="92" t="s">
        <v>1128</v>
      </c>
      <c r="F98" s="92" t="str" cm="1">
        <f t="array" ref="F98">INDEX(공급업체코드!$B$3:$B$1000,MATCH(1,(E98=공급업체코드!$D$3:$D$1000)*1,0))</f>
        <v>VM_BKT</v>
      </c>
      <c r="H98" s="312">
        <v>96</v>
      </c>
      <c r="I98" s="233" t="s">
        <v>1313</v>
      </c>
      <c r="K98" s="233" t="s">
        <v>1314</v>
      </c>
      <c r="L98" s="236">
        <f t="shared" si="5"/>
        <v>95904</v>
      </c>
      <c r="N98" s="113" t="s">
        <v>1315</v>
      </c>
      <c r="O98" s="1" t="b">
        <v>1</v>
      </c>
      <c r="Q98" s="34"/>
    </row>
    <row r="99" spans="2:17">
      <c r="B99" s="1" t="str">
        <f t="shared" si="6"/>
        <v>M_MED01_VM_BKT_97</v>
      </c>
      <c r="C99" s="92" t="s">
        <v>727</v>
      </c>
      <c r="D99" s="92" t="str" cm="1">
        <f t="array" ref="D99">INDEX(기계코드!$D$4:$D$1022,MATCH(1,(C99=기계코드!$F$4:$F$1022)*1,0))</f>
        <v>M_MED01</v>
      </c>
      <c r="E99" s="92" t="s">
        <v>1128</v>
      </c>
      <c r="F99" s="92" t="str" cm="1">
        <f t="array" ref="F99">INDEX(공급업체코드!$B$3:$B$1000,MATCH(1,(E99=공급업체코드!$D$3:$D$1000)*1,0))</f>
        <v>VM_BKT</v>
      </c>
      <c r="H99" s="312">
        <v>97</v>
      </c>
      <c r="I99" s="233" t="s">
        <v>1313</v>
      </c>
      <c r="K99" s="233" t="s">
        <v>1314</v>
      </c>
      <c r="L99" s="236">
        <f t="shared" si="5"/>
        <v>96903</v>
      </c>
      <c r="N99" s="113" t="s">
        <v>1315</v>
      </c>
      <c r="O99" s="1" t="b">
        <v>1</v>
      </c>
      <c r="Q99" s="34"/>
    </row>
    <row r="100" spans="2:17">
      <c r="B100" s="1" t="str">
        <f t="shared" si="6"/>
        <v>M_MED01_VM_BKT_98</v>
      </c>
      <c r="C100" s="92" t="s">
        <v>727</v>
      </c>
      <c r="D100" s="92" t="str" cm="1">
        <f t="array" ref="D100">INDEX(기계코드!$D$4:$D$1022,MATCH(1,(C100=기계코드!$F$4:$F$1022)*1,0))</f>
        <v>M_MED01</v>
      </c>
      <c r="E100" s="92" t="s">
        <v>1128</v>
      </c>
      <c r="F100" s="92" t="str" cm="1">
        <f t="array" ref="F100">INDEX(공급업체코드!$B$3:$B$1000,MATCH(1,(E100=공급업체코드!$D$3:$D$1000)*1,0))</f>
        <v>VM_BKT</v>
      </c>
      <c r="H100" s="312">
        <v>98</v>
      </c>
      <c r="I100" s="233" t="s">
        <v>1313</v>
      </c>
      <c r="K100" s="233" t="s">
        <v>1314</v>
      </c>
      <c r="L100" s="236">
        <f t="shared" si="5"/>
        <v>97902</v>
      </c>
      <c r="N100" s="113" t="s">
        <v>1315</v>
      </c>
      <c r="O100" s="1" t="b">
        <v>1</v>
      </c>
      <c r="Q100" s="34"/>
    </row>
    <row r="101" spans="2:17">
      <c r="B101" s="1" t="str">
        <f t="shared" si="6"/>
        <v>M_MED01_VM_BKT_99</v>
      </c>
      <c r="C101" s="92" t="s">
        <v>727</v>
      </c>
      <c r="D101" s="92" t="str" cm="1">
        <f t="array" ref="D101">INDEX(기계코드!$D$4:$D$1022,MATCH(1,(C101=기계코드!$F$4:$F$1022)*1,0))</f>
        <v>M_MED01</v>
      </c>
      <c r="E101" s="92" t="s">
        <v>1128</v>
      </c>
      <c r="F101" s="92" t="str" cm="1">
        <f t="array" ref="F101">INDEX(공급업체코드!$B$3:$B$1000,MATCH(1,(E101=공급업체코드!$D$3:$D$1000)*1,0))</f>
        <v>VM_BKT</v>
      </c>
      <c r="H101" s="312">
        <v>99</v>
      </c>
      <c r="I101" s="233" t="s">
        <v>1313</v>
      </c>
      <c r="K101" s="233" t="s">
        <v>1314</v>
      </c>
      <c r="L101" s="236">
        <f t="shared" si="5"/>
        <v>98901</v>
      </c>
      <c r="N101" s="113" t="s">
        <v>1315</v>
      </c>
      <c r="O101" s="1" t="b">
        <v>1</v>
      </c>
      <c r="Q101" s="34"/>
    </row>
    <row r="102" spans="2:17">
      <c r="B102" s="1" t="str">
        <f t="shared" si="6"/>
        <v>M_MED01_VM_BKT_100</v>
      </c>
      <c r="C102" s="92" t="s">
        <v>727</v>
      </c>
      <c r="D102" s="92" t="str" cm="1">
        <f t="array" ref="D102">INDEX(기계코드!$D$4:$D$1022,MATCH(1,(C102=기계코드!$F$4:$F$1022)*1,0))</f>
        <v>M_MED01</v>
      </c>
      <c r="E102" s="92" t="s">
        <v>1128</v>
      </c>
      <c r="F102" s="92" t="str" cm="1">
        <f t="array" ref="F102">INDEX(공급업체코드!$B$3:$B$1000,MATCH(1,(E102=공급업체코드!$D$3:$D$1000)*1,0))</f>
        <v>VM_BKT</v>
      </c>
      <c r="H102" s="312">
        <v>100</v>
      </c>
      <c r="I102" s="233" t="s">
        <v>1313</v>
      </c>
      <c r="K102" s="233" t="s">
        <v>1314</v>
      </c>
      <c r="L102" s="236">
        <f t="shared" si="5"/>
        <v>99900</v>
      </c>
      <c r="N102" s="113" t="s">
        <v>1315</v>
      </c>
      <c r="O102" s="1" t="b">
        <v>1</v>
      </c>
      <c r="Q102" s="34"/>
    </row>
    <row r="103" spans="2:17">
      <c r="B103" s="1" t="str">
        <f t="shared" si="6"/>
        <v>M_MED01_VM_BKT_101</v>
      </c>
      <c r="C103" s="92" t="s">
        <v>727</v>
      </c>
      <c r="D103" s="92" t="str" cm="1">
        <f t="array" ref="D103">INDEX(기계코드!$D$4:$D$1022,MATCH(1,(C103=기계코드!$F$4:$F$1022)*1,0))</f>
        <v>M_MED01</v>
      </c>
      <c r="E103" s="92" t="s">
        <v>1128</v>
      </c>
      <c r="F103" s="92" t="str" cm="1">
        <f t="array" ref="F103">INDEX(공급업체코드!$B$3:$B$1000,MATCH(1,(E103=공급업체코드!$D$3:$D$1000)*1,0))</f>
        <v>VM_BKT</v>
      </c>
      <c r="H103" s="312">
        <v>101</v>
      </c>
      <c r="I103" s="233" t="s">
        <v>1313</v>
      </c>
      <c r="K103" s="233" t="s">
        <v>1314</v>
      </c>
      <c r="L103" s="236">
        <f t="shared" si="5"/>
        <v>100899</v>
      </c>
      <c r="N103" s="113" t="s">
        <v>1315</v>
      </c>
      <c r="O103" s="1" t="b">
        <v>1</v>
      </c>
      <c r="Q103" s="34"/>
    </row>
    <row r="104" spans="2:17">
      <c r="B104" s="1" t="str">
        <f t="shared" si="6"/>
        <v>M_MED01_VM_BKT_102</v>
      </c>
      <c r="C104" s="92" t="s">
        <v>727</v>
      </c>
      <c r="D104" s="92" t="str" cm="1">
        <f t="array" ref="D104">INDEX(기계코드!$D$4:$D$1022,MATCH(1,(C104=기계코드!$F$4:$F$1022)*1,0))</f>
        <v>M_MED01</v>
      </c>
      <c r="E104" s="92" t="s">
        <v>1128</v>
      </c>
      <c r="F104" s="92" t="str" cm="1">
        <f t="array" ref="F104">INDEX(공급업체코드!$B$3:$B$1000,MATCH(1,(E104=공급업체코드!$D$3:$D$1000)*1,0))</f>
        <v>VM_BKT</v>
      </c>
      <c r="H104" s="312">
        <v>102</v>
      </c>
      <c r="I104" s="233" t="s">
        <v>1313</v>
      </c>
      <c r="K104" s="233" t="s">
        <v>1314</v>
      </c>
      <c r="L104" s="236">
        <f t="shared" si="5"/>
        <v>101898</v>
      </c>
      <c r="N104" s="113" t="s">
        <v>1315</v>
      </c>
      <c r="O104" s="1" t="b">
        <v>1</v>
      </c>
      <c r="Q104" s="34"/>
    </row>
    <row r="105" spans="2:17">
      <c r="B105" s="1" t="str">
        <f t="shared" si="6"/>
        <v>M_MED01_VM_BKT_103</v>
      </c>
      <c r="C105" s="92" t="s">
        <v>727</v>
      </c>
      <c r="D105" s="92" t="str" cm="1">
        <f t="array" ref="D105">INDEX(기계코드!$D$4:$D$1022,MATCH(1,(C105=기계코드!$F$4:$F$1022)*1,0))</f>
        <v>M_MED01</v>
      </c>
      <c r="E105" s="92" t="s">
        <v>1128</v>
      </c>
      <c r="F105" s="92" t="str" cm="1">
        <f t="array" ref="F105">INDEX(공급업체코드!$B$3:$B$1000,MATCH(1,(E105=공급업체코드!$D$3:$D$1000)*1,0))</f>
        <v>VM_BKT</v>
      </c>
      <c r="H105" s="312">
        <v>103</v>
      </c>
      <c r="I105" s="233" t="s">
        <v>1313</v>
      </c>
      <c r="K105" s="233" t="s">
        <v>1314</v>
      </c>
      <c r="L105" s="236">
        <f t="shared" si="5"/>
        <v>102897</v>
      </c>
      <c r="N105" s="113" t="s">
        <v>1315</v>
      </c>
      <c r="O105" s="1" t="b">
        <v>1</v>
      </c>
      <c r="Q105" s="34"/>
    </row>
    <row r="106" spans="2:17">
      <c r="B106" s="1" t="str">
        <f t="shared" si="6"/>
        <v>M_MED01_VM_BKT_104</v>
      </c>
      <c r="C106" s="92" t="s">
        <v>727</v>
      </c>
      <c r="D106" s="92" t="str" cm="1">
        <f t="array" ref="D106">INDEX(기계코드!$D$4:$D$1022,MATCH(1,(C106=기계코드!$F$4:$F$1022)*1,0))</f>
        <v>M_MED01</v>
      </c>
      <c r="E106" s="92" t="s">
        <v>1128</v>
      </c>
      <c r="F106" s="92" t="str" cm="1">
        <f t="array" ref="F106">INDEX(공급업체코드!$B$3:$B$1000,MATCH(1,(E106=공급업체코드!$D$3:$D$1000)*1,0))</f>
        <v>VM_BKT</v>
      </c>
      <c r="H106" s="312">
        <v>104</v>
      </c>
      <c r="I106" s="233" t="s">
        <v>1313</v>
      </c>
      <c r="K106" s="233" t="s">
        <v>1314</v>
      </c>
      <c r="L106" s="236">
        <f t="shared" si="5"/>
        <v>103896</v>
      </c>
      <c r="N106" s="113" t="s">
        <v>1315</v>
      </c>
      <c r="O106" s="1" t="b">
        <v>1</v>
      </c>
      <c r="Q106" s="34"/>
    </row>
    <row r="107" spans="2:17">
      <c r="B107" s="1" t="str">
        <f t="shared" si="6"/>
        <v>M_MED01_VM_BKT_105</v>
      </c>
      <c r="C107" s="92" t="s">
        <v>727</v>
      </c>
      <c r="D107" s="92" t="str" cm="1">
        <f t="array" ref="D107">INDEX(기계코드!$D$4:$D$1022,MATCH(1,(C107=기계코드!$F$4:$F$1022)*1,0))</f>
        <v>M_MED01</v>
      </c>
      <c r="E107" s="92" t="s">
        <v>1128</v>
      </c>
      <c r="F107" s="92" t="str" cm="1">
        <f t="array" ref="F107">INDEX(공급업체코드!$B$3:$B$1000,MATCH(1,(E107=공급업체코드!$D$3:$D$1000)*1,0))</f>
        <v>VM_BKT</v>
      </c>
      <c r="H107" s="312">
        <v>105</v>
      </c>
      <c r="I107" s="233" t="s">
        <v>1313</v>
      </c>
      <c r="K107" s="233" t="s">
        <v>1314</v>
      </c>
      <c r="L107" s="236">
        <f t="shared" si="5"/>
        <v>104895</v>
      </c>
      <c r="N107" s="113" t="s">
        <v>1315</v>
      </c>
      <c r="O107" s="1" t="b">
        <v>1</v>
      </c>
      <c r="Q107" s="34"/>
    </row>
    <row r="108" spans="2:17">
      <c r="B108" s="1" t="str">
        <f t="shared" si="6"/>
        <v>M_MED01_VM_BKT_106</v>
      </c>
      <c r="C108" s="92" t="s">
        <v>727</v>
      </c>
      <c r="D108" s="92" t="str" cm="1">
        <f t="array" ref="D108">INDEX(기계코드!$D$4:$D$1022,MATCH(1,(C108=기계코드!$F$4:$F$1022)*1,0))</f>
        <v>M_MED01</v>
      </c>
      <c r="E108" s="92" t="s">
        <v>1128</v>
      </c>
      <c r="F108" s="92" t="str" cm="1">
        <f t="array" ref="F108">INDEX(공급업체코드!$B$3:$B$1000,MATCH(1,(E108=공급업체코드!$D$3:$D$1000)*1,0))</f>
        <v>VM_BKT</v>
      </c>
      <c r="H108" s="312">
        <v>106</v>
      </c>
      <c r="I108" s="233" t="s">
        <v>1313</v>
      </c>
      <c r="K108" s="233" t="s">
        <v>1314</v>
      </c>
      <c r="L108" s="236">
        <f t="shared" si="5"/>
        <v>105894</v>
      </c>
      <c r="N108" s="113" t="s">
        <v>1315</v>
      </c>
      <c r="O108" s="1" t="b">
        <v>1</v>
      </c>
      <c r="Q108" s="34"/>
    </row>
    <row r="109" spans="2:17">
      <c r="B109" s="1" t="str">
        <f t="shared" si="6"/>
        <v>M_MED01_VM_BKT_107</v>
      </c>
      <c r="C109" s="92" t="s">
        <v>727</v>
      </c>
      <c r="D109" s="92" t="str" cm="1">
        <f t="array" ref="D109">INDEX(기계코드!$D$4:$D$1022,MATCH(1,(C109=기계코드!$F$4:$F$1022)*1,0))</f>
        <v>M_MED01</v>
      </c>
      <c r="E109" s="92" t="s">
        <v>1128</v>
      </c>
      <c r="F109" s="92" t="str" cm="1">
        <f t="array" ref="F109">INDEX(공급업체코드!$B$3:$B$1000,MATCH(1,(E109=공급업체코드!$D$3:$D$1000)*1,0))</f>
        <v>VM_BKT</v>
      </c>
      <c r="H109" s="312">
        <v>107</v>
      </c>
      <c r="I109" s="233" t="s">
        <v>1313</v>
      </c>
      <c r="K109" s="233" t="s">
        <v>1314</v>
      </c>
      <c r="L109" s="236">
        <f t="shared" si="5"/>
        <v>106893</v>
      </c>
      <c r="N109" s="113" t="s">
        <v>1315</v>
      </c>
      <c r="O109" s="1" t="b">
        <v>1</v>
      </c>
      <c r="Q109" s="34"/>
    </row>
    <row r="110" spans="2:17">
      <c r="B110" s="1" t="str">
        <f t="shared" si="6"/>
        <v>M_MED01_VM_BKT_108</v>
      </c>
      <c r="C110" s="92" t="s">
        <v>727</v>
      </c>
      <c r="D110" s="92" t="str" cm="1">
        <f t="array" ref="D110">INDEX(기계코드!$D$4:$D$1022,MATCH(1,(C110=기계코드!$F$4:$F$1022)*1,0))</f>
        <v>M_MED01</v>
      </c>
      <c r="E110" s="92" t="s">
        <v>1128</v>
      </c>
      <c r="F110" s="92" t="str" cm="1">
        <f t="array" ref="F110">INDEX(공급업체코드!$B$3:$B$1000,MATCH(1,(E110=공급업체코드!$D$3:$D$1000)*1,0))</f>
        <v>VM_BKT</v>
      </c>
      <c r="H110" s="312">
        <v>108</v>
      </c>
      <c r="I110" s="233" t="s">
        <v>1313</v>
      </c>
      <c r="K110" s="233" t="s">
        <v>1314</v>
      </c>
      <c r="L110" s="236">
        <f t="shared" si="5"/>
        <v>107892</v>
      </c>
      <c r="N110" s="113" t="s">
        <v>1315</v>
      </c>
      <c r="O110" s="1" t="b">
        <v>1</v>
      </c>
      <c r="Q110" s="34"/>
    </row>
    <row r="111" spans="2:17">
      <c r="B111" s="1" t="str">
        <f t="shared" si="6"/>
        <v>M_MED01_VM_BKT_109</v>
      </c>
      <c r="C111" s="92" t="s">
        <v>727</v>
      </c>
      <c r="D111" s="92" t="str" cm="1">
        <f t="array" ref="D111">INDEX(기계코드!$D$4:$D$1022,MATCH(1,(C111=기계코드!$F$4:$F$1022)*1,0))</f>
        <v>M_MED01</v>
      </c>
      <c r="E111" s="92" t="s">
        <v>1128</v>
      </c>
      <c r="F111" s="92" t="str" cm="1">
        <f t="array" ref="F111">INDEX(공급업체코드!$B$3:$B$1000,MATCH(1,(E111=공급업체코드!$D$3:$D$1000)*1,0))</f>
        <v>VM_BKT</v>
      </c>
      <c r="H111" s="312">
        <v>109</v>
      </c>
      <c r="I111" s="233" t="s">
        <v>1313</v>
      </c>
      <c r="K111" s="233" t="s">
        <v>1314</v>
      </c>
      <c r="L111" s="236">
        <f t="shared" si="5"/>
        <v>108891</v>
      </c>
      <c r="N111" s="113" t="s">
        <v>1315</v>
      </c>
      <c r="O111" s="1" t="b">
        <v>1</v>
      </c>
      <c r="Q111" s="34"/>
    </row>
    <row r="112" spans="2:17">
      <c r="B112" s="1" t="str">
        <f t="shared" si="6"/>
        <v>M_MED01_VM_BKT_110</v>
      </c>
      <c r="C112" s="92" t="s">
        <v>727</v>
      </c>
      <c r="D112" s="92" t="str" cm="1">
        <f t="array" ref="D112">INDEX(기계코드!$D$4:$D$1022,MATCH(1,(C112=기계코드!$F$4:$F$1022)*1,0))</f>
        <v>M_MED01</v>
      </c>
      <c r="E112" s="92" t="s">
        <v>1128</v>
      </c>
      <c r="F112" s="92" t="str" cm="1">
        <f t="array" ref="F112">INDEX(공급업체코드!$B$3:$B$1000,MATCH(1,(E112=공급업체코드!$D$3:$D$1000)*1,0))</f>
        <v>VM_BKT</v>
      </c>
      <c r="H112" s="312">
        <v>110</v>
      </c>
      <c r="I112" s="233" t="s">
        <v>1313</v>
      </c>
      <c r="K112" s="233" t="s">
        <v>1314</v>
      </c>
      <c r="L112" s="236">
        <f t="shared" si="5"/>
        <v>109890</v>
      </c>
      <c r="N112" s="113" t="s">
        <v>1315</v>
      </c>
      <c r="O112" s="1" t="b">
        <v>1</v>
      </c>
      <c r="Q112" s="34"/>
    </row>
    <row r="113" spans="2:17">
      <c r="B113" s="1" t="str">
        <f t="shared" si="6"/>
        <v>M_MED01_VM_BKT_111</v>
      </c>
      <c r="C113" s="92" t="s">
        <v>727</v>
      </c>
      <c r="D113" s="92" t="str" cm="1">
        <f t="array" ref="D113">INDEX(기계코드!$D$4:$D$1022,MATCH(1,(C113=기계코드!$F$4:$F$1022)*1,0))</f>
        <v>M_MED01</v>
      </c>
      <c r="E113" s="92" t="s">
        <v>1128</v>
      </c>
      <c r="F113" s="92" t="str" cm="1">
        <f t="array" ref="F113">INDEX(공급업체코드!$B$3:$B$1000,MATCH(1,(E113=공급업체코드!$D$3:$D$1000)*1,0))</f>
        <v>VM_BKT</v>
      </c>
      <c r="H113" s="312">
        <v>111</v>
      </c>
      <c r="I113" s="233" t="s">
        <v>1313</v>
      </c>
      <c r="K113" s="233" t="s">
        <v>1314</v>
      </c>
      <c r="L113" s="236">
        <f t="shared" si="5"/>
        <v>110889</v>
      </c>
      <c r="N113" s="113" t="s">
        <v>1315</v>
      </c>
      <c r="O113" s="1" t="b">
        <v>1</v>
      </c>
      <c r="Q113" s="34"/>
    </row>
    <row r="114" spans="2:17">
      <c r="B114" s="1" t="str">
        <f t="shared" si="6"/>
        <v>M_MED01_VM_BKT_112</v>
      </c>
      <c r="C114" s="92" t="s">
        <v>727</v>
      </c>
      <c r="D114" s="92" t="str" cm="1">
        <f t="array" ref="D114">INDEX(기계코드!$D$4:$D$1022,MATCH(1,(C114=기계코드!$F$4:$F$1022)*1,0))</f>
        <v>M_MED01</v>
      </c>
      <c r="E114" s="92" t="s">
        <v>1128</v>
      </c>
      <c r="F114" s="92" t="str" cm="1">
        <f t="array" ref="F114">INDEX(공급업체코드!$B$3:$B$1000,MATCH(1,(E114=공급업체코드!$D$3:$D$1000)*1,0))</f>
        <v>VM_BKT</v>
      </c>
      <c r="H114" s="312">
        <v>112</v>
      </c>
      <c r="I114" s="233" t="s">
        <v>1313</v>
      </c>
      <c r="K114" s="233" t="s">
        <v>1314</v>
      </c>
      <c r="L114" s="236">
        <f t="shared" si="5"/>
        <v>111888</v>
      </c>
      <c r="N114" s="113" t="s">
        <v>1315</v>
      </c>
      <c r="O114" s="1" t="b">
        <v>1</v>
      </c>
      <c r="Q114" s="34"/>
    </row>
    <row r="115" spans="2:17">
      <c r="B115" s="1" t="str">
        <f t="shared" si="6"/>
        <v>M_MED01_VM_BKT_113</v>
      </c>
      <c r="C115" s="92" t="s">
        <v>727</v>
      </c>
      <c r="D115" s="92" t="str" cm="1">
        <f t="array" ref="D115">INDEX(기계코드!$D$4:$D$1022,MATCH(1,(C115=기계코드!$F$4:$F$1022)*1,0))</f>
        <v>M_MED01</v>
      </c>
      <c r="E115" s="92" t="s">
        <v>1128</v>
      </c>
      <c r="F115" s="92" t="str" cm="1">
        <f t="array" ref="F115">INDEX(공급업체코드!$B$3:$B$1000,MATCH(1,(E115=공급업체코드!$D$3:$D$1000)*1,0))</f>
        <v>VM_BKT</v>
      </c>
      <c r="H115" s="312">
        <v>113</v>
      </c>
      <c r="I115" s="233" t="s">
        <v>1313</v>
      </c>
      <c r="K115" s="233" t="s">
        <v>1314</v>
      </c>
      <c r="L115" s="236">
        <f t="shared" si="5"/>
        <v>112887</v>
      </c>
      <c r="N115" s="113" t="s">
        <v>1315</v>
      </c>
      <c r="O115" s="1" t="b">
        <v>1</v>
      </c>
      <c r="Q115" s="34"/>
    </row>
    <row r="116" spans="2:17">
      <c r="B116" s="1" t="str">
        <f t="shared" si="6"/>
        <v>M_MED01_VM_BKT_114</v>
      </c>
      <c r="C116" s="92" t="s">
        <v>727</v>
      </c>
      <c r="D116" s="92" t="str" cm="1">
        <f t="array" ref="D116">INDEX(기계코드!$D$4:$D$1022,MATCH(1,(C116=기계코드!$F$4:$F$1022)*1,0))</f>
        <v>M_MED01</v>
      </c>
      <c r="E116" s="92" t="s">
        <v>1128</v>
      </c>
      <c r="F116" s="92" t="str" cm="1">
        <f t="array" ref="F116">INDEX(공급업체코드!$B$3:$B$1000,MATCH(1,(E116=공급업체코드!$D$3:$D$1000)*1,0))</f>
        <v>VM_BKT</v>
      </c>
      <c r="H116" s="312">
        <v>114</v>
      </c>
      <c r="I116" s="233" t="s">
        <v>1313</v>
      </c>
      <c r="K116" s="233" t="s">
        <v>1314</v>
      </c>
      <c r="L116" s="236">
        <f t="shared" si="5"/>
        <v>113886</v>
      </c>
      <c r="N116" s="113" t="s">
        <v>1315</v>
      </c>
      <c r="O116" s="1" t="b">
        <v>1</v>
      </c>
      <c r="Q116" s="34"/>
    </row>
    <row r="117" spans="2:17">
      <c r="B117" s="1" t="str">
        <f t="shared" si="6"/>
        <v>M_MED01_VM_BKT_115</v>
      </c>
      <c r="C117" s="92" t="s">
        <v>727</v>
      </c>
      <c r="D117" s="92" t="str" cm="1">
        <f t="array" ref="D117">INDEX(기계코드!$D$4:$D$1022,MATCH(1,(C117=기계코드!$F$4:$F$1022)*1,0))</f>
        <v>M_MED01</v>
      </c>
      <c r="E117" s="92" t="s">
        <v>1128</v>
      </c>
      <c r="F117" s="92" t="str" cm="1">
        <f t="array" ref="F117">INDEX(공급업체코드!$B$3:$B$1000,MATCH(1,(E117=공급업체코드!$D$3:$D$1000)*1,0))</f>
        <v>VM_BKT</v>
      </c>
      <c r="H117" s="312">
        <v>115</v>
      </c>
      <c r="I117" s="233" t="s">
        <v>1313</v>
      </c>
      <c r="K117" s="233" t="s">
        <v>1314</v>
      </c>
      <c r="L117" s="236">
        <f t="shared" si="5"/>
        <v>114885</v>
      </c>
      <c r="N117" s="113" t="s">
        <v>1315</v>
      </c>
      <c r="O117" s="1" t="b">
        <v>1</v>
      </c>
      <c r="Q117" s="34"/>
    </row>
    <row r="118" spans="2:17">
      <c r="B118" s="1" t="str">
        <f t="shared" si="6"/>
        <v>M_MED01_VM_BKT_116</v>
      </c>
      <c r="C118" s="92" t="s">
        <v>727</v>
      </c>
      <c r="D118" s="92" t="str" cm="1">
        <f t="array" ref="D118">INDEX(기계코드!$D$4:$D$1022,MATCH(1,(C118=기계코드!$F$4:$F$1022)*1,0))</f>
        <v>M_MED01</v>
      </c>
      <c r="E118" s="92" t="s">
        <v>1128</v>
      </c>
      <c r="F118" s="92" t="str" cm="1">
        <f t="array" ref="F118">INDEX(공급업체코드!$B$3:$B$1000,MATCH(1,(E118=공급업체코드!$D$3:$D$1000)*1,0))</f>
        <v>VM_BKT</v>
      </c>
      <c r="H118" s="312">
        <v>116</v>
      </c>
      <c r="I118" s="233" t="s">
        <v>1313</v>
      </c>
      <c r="K118" s="233" t="s">
        <v>1314</v>
      </c>
      <c r="L118" s="236">
        <f t="shared" si="5"/>
        <v>115884</v>
      </c>
      <c r="N118" s="113" t="s">
        <v>1315</v>
      </c>
      <c r="O118" s="1" t="b">
        <v>1</v>
      </c>
      <c r="Q118" s="34"/>
    </row>
    <row r="119" spans="2:17">
      <c r="B119" s="1" t="str">
        <f t="shared" si="6"/>
        <v>M_MED01_VM_BKT_117</v>
      </c>
      <c r="C119" s="92" t="s">
        <v>727</v>
      </c>
      <c r="D119" s="92" t="str" cm="1">
        <f t="array" ref="D119">INDEX(기계코드!$D$4:$D$1022,MATCH(1,(C119=기계코드!$F$4:$F$1022)*1,0))</f>
        <v>M_MED01</v>
      </c>
      <c r="E119" s="92" t="s">
        <v>1128</v>
      </c>
      <c r="F119" s="92" t="str" cm="1">
        <f t="array" ref="F119">INDEX(공급업체코드!$B$3:$B$1000,MATCH(1,(E119=공급업체코드!$D$3:$D$1000)*1,0))</f>
        <v>VM_BKT</v>
      </c>
      <c r="H119" s="312">
        <v>117</v>
      </c>
      <c r="I119" s="233" t="s">
        <v>1313</v>
      </c>
      <c r="K119" s="233" t="s">
        <v>1314</v>
      </c>
      <c r="L119" s="236">
        <f t="shared" si="5"/>
        <v>116883</v>
      </c>
      <c r="N119" s="113" t="s">
        <v>1315</v>
      </c>
      <c r="O119" s="1" t="b">
        <v>1</v>
      </c>
      <c r="Q119" s="34"/>
    </row>
    <row r="120" spans="2:17">
      <c r="B120" s="1" t="str">
        <f t="shared" si="6"/>
        <v>M_MED01_VM_BKT_118</v>
      </c>
      <c r="C120" s="92" t="s">
        <v>727</v>
      </c>
      <c r="D120" s="92" t="str" cm="1">
        <f t="array" ref="D120">INDEX(기계코드!$D$4:$D$1022,MATCH(1,(C120=기계코드!$F$4:$F$1022)*1,0))</f>
        <v>M_MED01</v>
      </c>
      <c r="E120" s="92" t="s">
        <v>1128</v>
      </c>
      <c r="F120" s="92" t="str" cm="1">
        <f t="array" ref="F120">INDEX(공급업체코드!$B$3:$B$1000,MATCH(1,(E120=공급업체코드!$D$3:$D$1000)*1,0))</f>
        <v>VM_BKT</v>
      </c>
      <c r="H120" s="312">
        <v>118</v>
      </c>
      <c r="I120" s="233" t="s">
        <v>1313</v>
      </c>
      <c r="K120" s="233" t="s">
        <v>1314</v>
      </c>
      <c r="L120" s="236">
        <f t="shared" si="5"/>
        <v>117882</v>
      </c>
      <c r="N120" s="113" t="s">
        <v>1315</v>
      </c>
      <c r="O120" s="1" t="b">
        <v>1</v>
      </c>
      <c r="Q120" s="34"/>
    </row>
    <row r="121" spans="2:17">
      <c r="B121" s="1" t="str">
        <f t="shared" si="6"/>
        <v>M_MED01_VM_BKT_119</v>
      </c>
      <c r="C121" s="92" t="s">
        <v>727</v>
      </c>
      <c r="D121" s="92" t="str" cm="1">
        <f t="array" ref="D121">INDEX(기계코드!$D$4:$D$1022,MATCH(1,(C121=기계코드!$F$4:$F$1022)*1,0))</f>
        <v>M_MED01</v>
      </c>
      <c r="E121" s="92" t="s">
        <v>1128</v>
      </c>
      <c r="F121" s="92" t="str" cm="1">
        <f t="array" ref="F121">INDEX(공급업체코드!$B$3:$B$1000,MATCH(1,(E121=공급업체코드!$D$3:$D$1000)*1,0))</f>
        <v>VM_BKT</v>
      </c>
      <c r="H121" s="312">
        <v>119</v>
      </c>
      <c r="I121" s="233" t="s">
        <v>1313</v>
      </c>
      <c r="K121" s="233" t="s">
        <v>1314</v>
      </c>
      <c r="L121" s="236">
        <f t="shared" si="5"/>
        <v>118881</v>
      </c>
      <c r="N121" s="113" t="s">
        <v>1315</v>
      </c>
      <c r="O121" s="1" t="b">
        <v>1</v>
      </c>
      <c r="Q121" s="34"/>
    </row>
    <row r="122" spans="2:17">
      <c r="B122" s="1" t="str">
        <f t="shared" si="6"/>
        <v>M_MED01_VM_BKT_120</v>
      </c>
      <c r="C122" s="92" t="s">
        <v>727</v>
      </c>
      <c r="D122" s="92" t="str" cm="1">
        <f t="array" ref="D122">INDEX(기계코드!$D$4:$D$1022,MATCH(1,(C122=기계코드!$F$4:$F$1022)*1,0))</f>
        <v>M_MED01</v>
      </c>
      <c r="E122" s="92" t="s">
        <v>1128</v>
      </c>
      <c r="F122" s="92" t="str" cm="1">
        <f t="array" ref="F122">INDEX(공급업체코드!$B$3:$B$1000,MATCH(1,(E122=공급업체코드!$D$3:$D$1000)*1,0))</f>
        <v>VM_BKT</v>
      </c>
      <c r="H122" s="312">
        <v>120</v>
      </c>
      <c r="I122" s="233" t="s">
        <v>1313</v>
      </c>
      <c r="K122" s="233" t="s">
        <v>1314</v>
      </c>
      <c r="L122" s="236">
        <f t="shared" si="5"/>
        <v>119880</v>
      </c>
      <c r="N122" s="113" t="s">
        <v>1315</v>
      </c>
      <c r="O122" s="1" t="b">
        <v>1</v>
      </c>
      <c r="Q122" s="34"/>
    </row>
    <row r="123" spans="2:17">
      <c r="B123" s="1" t="str">
        <f t="shared" si="6"/>
        <v>M_MED01_VM_BKT_121</v>
      </c>
      <c r="C123" s="92" t="s">
        <v>727</v>
      </c>
      <c r="D123" s="92" t="str" cm="1">
        <f t="array" ref="D123">INDEX(기계코드!$D$4:$D$1022,MATCH(1,(C123=기계코드!$F$4:$F$1022)*1,0))</f>
        <v>M_MED01</v>
      </c>
      <c r="E123" s="92" t="s">
        <v>1128</v>
      </c>
      <c r="F123" s="92" t="str" cm="1">
        <f t="array" ref="F123">INDEX(공급업체코드!$B$3:$B$1000,MATCH(1,(E123=공급업체코드!$D$3:$D$1000)*1,0))</f>
        <v>VM_BKT</v>
      </c>
      <c r="H123" s="312">
        <v>121</v>
      </c>
      <c r="I123" s="233" t="s">
        <v>1313</v>
      </c>
      <c r="K123" s="233" t="s">
        <v>1314</v>
      </c>
      <c r="L123" s="236">
        <f t="shared" si="5"/>
        <v>120879</v>
      </c>
      <c r="N123" s="113" t="s">
        <v>1315</v>
      </c>
      <c r="O123" s="1" t="b">
        <v>1</v>
      </c>
      <c r="Q123" s="34"/>
    </row>
    <row r="124" spans="2:17">
      <c r="B124" s="1" t="str">
        <f t="shared" si="6"/>
        <v>M_MED01_VM_BKT_122</v>
      </c>
      <c r="C124" s="92" t="s">
        <v>727</v>
      </c>
      <c r="D124" s="92" t="str" cm="1">
        <f t="array" ref="D124">INDEX(기계코드!$D$4:$D$1022,MATCH(1,(C124=기계코드!$F$4:$F$1022)*1,0))</f>
        <v>M_MED01</v>
      </c>
      <c r="E124" s="92" t="s">
        <v>1128</v>
      </c>
      <c r="F124" s="92" t="str" cm="1">
        <f t="array" ref="F124">INDEX(공급업체코드!$B$3:$B$1000,MATCH(1,(E124=공급업체코드!$D$3:$D$1000)*1,0))</f>
        <v>VM_BKT</v>
      </c>
      <c r="H124" s="312">
        <v>122</v>
      </c>
      <c r="I124" s="233" t="s">
        <v>1313</v>
      </c>
      <c r="K124" s="233" t="s">
        <v>1314</v>
      </c>
      <c r="L124" s="236">
        <f t="shared" si="5"/>
        <v>121878</v>
      </c>
      <c r="N124" s="113" t="s">
        <v>1315</v>
      </c>
      <c r="O124" s="1" t="b">
        <v>1</v>
      </c>
      <c r="Q124" s="34"/>
    </row>
    <row r="125" spans="2:17">
      <c r="B125" s="1" t="str">
        <f t="shared" si="6"/>
        <v>M_MED01_VM_BKT_123</v>
      </c>
      <c r="C125" s="92" t="s">
        <v>727</v>
      </c>
      <c r="D125" s="92" t="str" cm="1">
        <f t="array" ref="D125">INDEX(기계코드!$D$4:$D$1022,MATCH(1,(C125=기계코드!$F$4:$F$1022)*1,0))</f>
        <v>M_MED01</v>
      </c>
      <c r="E125" s="92" t="s">
        <v>1128</v>
      </c>
      <c r="F125" s="92" t="str" cm="1">
        <f t="array" ref="F125">INDEX(공급업체코드!$B$3:$B$1000,MATCH(1,(E125=공급업체코드!$D$3:$D$1000)*1,0))</f>
        <v>VM_BKT</v>
      </c>
      <c r="H125" s="312">
        <v>123</v>
      </c>
      <c r="I125" s="233" t="s">
        <v>1313</v>
      </c>
      <c r="K125" s="233" t="s">
        <v>1314</v>
      </c>
      <c r="L125" s="236">
        <f t="shared" si="5"/>
        <v>122877</v>
      </c>
      <c r="N125" s="113" t="s">
        <v>1315</v>
      </c>
      <c r="O125" s="1" t="b">
        <v>1</v>
      </c>
      <c r="Q125" s="34"/>
    </row>
    <row r="126" spans="2:17">
      <c r="B126" s="1" t="str">
        <f t="shared" si="6"/>
        <v>M_MED01_VM_BKT_124</v>
      </c>
      <c r="C126" s="92" t="s">
        <v>727</v>
      </c>
      <c r="D126" s="92" t="str" cm="1">
        <f t="array" ref="D126">INDEX(기계코드!$D$4:$D$1022,MATCH(1,(C126=기계코드!$F$4:$F$1022)*1,0))</f>
        <v>M_MED01</v>
      </c>
      <c r="E126" s="92" t="s">
        <v>1128</v>
      </c>
      <c r="F126" s="92" t="str" cm="1">
        <f t="array" ref="F126">INDEX(공급업체코드!$B$3:$B$1000,MATCH(1,(E126=공급업체코드!$D$3:$D$1000)*1,0))</f>
        <v>VM_BKT</v>
      </c>
      <c r="H126" s="312">
        <v>124</v>
      </c>
      <c r="I126" s="233" t="s">
        <v>1313</v>
      </c>
      <c r="K126" s="233" t="s">
        <v>1314</v>
      </c>
      <c r="L126" s="236">
        <f t="shared" si="5"/>
        <v>123876</v>
      </c>
      <c r="N126" s="113" t="s">
        <v>1315</v>
      </c>
      <c r="O126" s="1" t="b">
        <v>1</v>
      </c>
      <c r="Q126" s="34"/>
    </row>
    <row r="127" spans="2:17">
      <c r="B127" s="1" t="str">
        <f t="shared" si="6"/>
        <v>M_MED01_VM_BKT_125</v>
      </c>
      <c r="C127" s="92" t="s">
        <v>727</v>
      </c>
      <c r="D127" s="92" t="str" cm="1">
        <f t="array" ref="D127">INDEX(기계코드!$D$4:$D$1022,MATCH(1,(C127=기계코드!$F$4:$F$1022)*1,0))</f>
        <v>M_MED01</v>
      </c>
      <c r="E127" s="92" t="s">
        <v>1128</v>
      </c>
      <c r="F127" s="92" t="str" cm="1">
        <f t="array" ref="F127">INDEX(공급업체코드!$B$3:$B$1000,MATCH(1,(E127=공급업체코드!$D$3:$D$1000)*1,0))</f>
        <v>VM_BKT</v>
      </c>
      <c r="H127" s="312">
        <v>125</v>
      </c>
      <c r="I127" s="233" t="s">
        <v>1313</v>
      </c>
      <c r="K127" s="233" t="s">
        <v>1314</v>
      </c>
      <c r="L127" s="236">
        <f t="shared" si="5"/>
        <v>124875</v>
      </c>
      <c r="N127" s="113" t="s">
        <v>1315</v>
      </c>
      <c r="O127" s="1" t="b">
        <v>1</v>
      </c>
      <c r="Q127" s="34"/>
    </row>
    <row r="128" spans="2:17">
      <c r="B128" s="1" t="str">
        <f t="shared" si="6"/>
        <v>M_MED01_VM_BKT_126</v>
      </c>
      <c r="C128" s="92" t="s">
        <v>727</v>
      </c>
      <c r="D128" s="92" t="str" cm="1">
        <f t="array" ref="D128">INDEX(기계코드!$D$4:$D$1022,MATCH(1,(C128=기계코드!$F$4:$F$1022)*1,0))</f>
        <v>M_MED01</v>
      </c>
      <c r="E128" s="92" t="s">
        <v>1128</v>
      </c>
      <c r="F128" s="92" t="str" cm="1">
        <f t="array" ref="F128">INDEX(공급업체코드!$B$3:$B$1000,MATCH(1,(E128=공급업체코드!$D$3:$D$1000)*1,0))</f>
        <v>VM_BKT</v>
      </c>
      <c r="H128" s="312">
        <v>126</v>
      </c>
      <c r="I128" s="233" t="s">
        <v>1313</v>
      </c>
      <c r="K128" s="233" t="s">
        <v>1314</v>
      </c>
      <c r="L128" s="236">
        <f t="shared" si="5"/>
        <v>125874</v>
      </c>
      <c r="N128" s="113" t="s">
        <v>1315</v>
      </c>
      <c r="O128" s="1" t="b">
        <v>1</v>
      </c>
      <c r="Q128" s="34"/>
    </row>
    <row r="129" spans="2:17">
      <c r="B129" s="1" t="str">
        <f t="shared" si="6"/>
        <v>M_MED01_VM_BKT_127</v>
      </c>
      <c r="C129" s="92" t="s">
        <v>727</v>
      </c>
      <c r="D129" s="92" t="str" cm="1">
        <f t="array" ref="D129">INDEX(기계코드!$D$4:$D$1022,MATCH(1,(C129=기계코드!$F$4:$F$1022)*1,0))</f>
        <v>M_MED01</v>
      </c>
      <c r="E129" s="92" t="s">
        <v>1128</v>
      </c>
      <c r="F129" s="92" t="str" cm="1">
        <f t="array" ref="F129">INDEX(공급업체코드!$B$3:$B$1000,MATCH(1,(E129=공급업체코드!$D$3:$D$1000)*1,0))</f>
        <v>VM_BKT</v>
      </c>
      <c r="H129" s="312">
        <v>127</v>
      </c>
      <c r="I129" s="233" t="s">
        <v>1313</v>
      </c>
      <c r="K129" s="233" t="s">
        <v>1314</v>
      </c>
      <c r="L129" s="236">
        <f t="shared" si="5"/>
        <v>126873</v>
      </c>
      <c r="N129" s="113" t="s">
        <v>1315</v>
      </c>
      <c r="O129" s="1" t="b">
        <v>1</v>
      </c>
      <c r="Q129" s="34"/>
    </row>
    <row r="130" spans="2:17">
      <c r="B130" s="1" t="str">
        <f t="shared" si="6"/>
        <v>M_MED01_VM_BKT_128</v>
      </c>
      <c r="C130" s="92" t="s">
        <v>727</v>
      </c>
      <c r="D130" s="92" t="str" cm="1">
        <f t="array" ref="D130">INDEX(기계코드!$D$4:$D$1022,MATCH(1,(C130=기계코드!$F$4:$F$1022)*1,0))</f>
        <v>M_MED01</v>
      </c>
      <c r="E130" s="92" t="s">
        <v>1128</v>
      </c>
      <c r="F130" s="92" t="str" cm="1">
        <f t="array" ref="F130">INDEX(공급업체코드!$B$3:$B$1000,MATCH(1,(E130=공급업체코드!$D$3:$D$1000)*1,0))</f>
        <v>VM_BKT</v>
      </c>
      <c r="H130" s="312">
        <v>128</v>
      </c>
      <c r="I130" s="233" t="s">
        <v>1313</v>
      </c>
      <c r="K130" s="233" t="s">
        <v>1314</v>
      </c>
      <c r="L130" s="236">
        <f t="shared" si="5"/>
        <v>127872</v>
      </c>
      <c r="N130" s="113" t="s">
        <v>1315</v>
      </c>
      <c r="O130" s="1" t="b">
        <v>1</v>
      </c>
      <c r="Q130" s="34"/>
    </row>
    <row r="131" spans="2:17">
      <c r="B131" s="1" t="str">
        <f t="shared" si="6"/>
        <v>M_MED01_VM_BKT_129</v>
      </c>
      <c r="C131" s="92" t="s">
        <v>727</v>
      </c>
      <c r="D131" s="92" t="str" cm="1">
        <f t="array" ref="D131">INDEX(기계코드!$D$4:$D$1022,MATCH(1,(C131=기계코드!$F$4:$F$1022)*1,0))</f>
        <v>M_MED01</v>
      </c>
      <c r="E131" s="92" t="s">
        <v>1128</v>
      </c>
      <c r="F131" s="92" t="str" cm="1">
        <f t="array" ref="F131">INDEX(공급업체코드!$B$3:$B$1000,MATCH(1,(E131=공급업체코드!$D$3:$D$1000)*1,0))</f>
        <v>VM_BKT</v>
      </c>
      <c r="H131" s="312">
        <v>129</v>
      </c>
      <c r="I131" s="233" t="s">
        <v>1313</v>
      </c>
      <c r="K131" s="233" t="s">
        <v>1314</v>
      </c>
      <c r="L131" s="236">
        <f t="shared" si="5"/>
        <v>128871</v>
      </c>
      <c r="N131" s="113" t="s">
        <v>1315</v>
      </c>
      <c r="O131" s="1" t="b">
        <v>1</v>
      </c>
      <c r="Q131" s="34"/>
    </row>
    <row r="132" spans="2:17">
      <c r="B132" s="1" t="str">
        <f t="shared" si="6"/>
        <v>M_MED01_VM_BKT_130</v>
      </c>
      <c r="C132" s="92" t="s">
        <v>727</v>
      </c>
      <c r="D132" s="92" t="str" cm="1">
        <f t="array" ref="D132">INDEX(기계코드!$D$4:$D$1022,MATCH(1,(C132=기계코드!$F$4:$F$1022)*1,0))</f>
        <v>M_MED01</v>
      </c>
      <c r="E132" s="92" t="s">
        <v>1128</v>
      </c>
      <c r="F132" s="92" t="str" cm="1">
        <f t="array" ref="F132">INDEX(공급업체코드!$B$3:$B$1000,MATCH(1,(E132=공급업체코드!$D$3:$D$1000)*1,0))</f>
        <v>VM_BKT</v>
      </c>
      <c r="H132" s="312">
        <v>130</v>
      </c>
      <c r="I132" s="233" t="s">
        <v>1313</v>
      </c>
      <c r="K132" s="233" t="s">
        <v>1314</v>
      </c>
      <c r="L132" s="236">
        <f t="shared" si="5"/>
        <v>129870</v>
      </c>
      <c r="N132" s="113" t="s">
        <v>1315</v>
      </c>
      <c r="O132" s="1" t="b">
        <v>1</v>
      </c>
      <c r="Q132" s="34"/>
    </row>
    <row r="133" spans="2:17">
      <c r="B133" s="1" t="str">
        <f t="shared" si="6"/>
        <v>M_MED01_VM_BKT_131</v>
      </c>
      <c r="C133" s="92" t="s">
        <v>727</v>
      </c>
      <c r="D133" s="92" t="str" cm="1">
        <f t="array" ref="D133">INDEX(기계코드!$D$4:$D$1022,MATCH(1,(C133=기계코드!$F$4:$F$1022)*1,0))</f>
        <v>M_MED01</v>
      </c>
      <c r="E133" s="92" t="s">
        <v>1128</v>
      </c>
      <c r="F133" s="92" t="str" cm="1">
        <f t="array" ref="F133">INDEX(공급업체코드!$B$3:$B$1000,MATCH(1,(E133=공급업체코드!$D$3:$D$1000)*1,0))</f>
        <v>VM_BKT</v>
      </c>
      <c r="H133" s="312">
        <v>131</v>
      </c>
      <c r="I133" s="233" t="s">
        <v>1313</v>
      </c>
      <c r="K133" s="233" t="s">
        <v>1314</v>
      </c>
      <c r="L133" s="236">
        <f t="shared" ref="L133:L196" si="7">$L$3*H133</f>
        <v>130869</v>
      </c>
      <c r="N133" s="113" t="s">
        <v>1315</v>
      </c>
      <c r="O133" s="1" t="b">
        <v>1</v>
      </c>
      <c r="Q133" s="34"/>
    </row>
    <row r="134" spans="2:17">
      <c r="B134" s="1" t="str">
        <f t="shared" si="6"/>
        <v>M_MED01_VM_BKT_132</v>
      </c>
      <c r="C134" s="92" t="s">
        <v>727</v>
      </c>
      <c r="D134" s="92" t="str" cm="1">
        <f t="array" ref="D134">INDEX(기계코드!$D$4:$D$1022,MATCH(1,(C134=기계코드!$F$4:$F$1022)*1,0))</f>
        <v>M_MED01</v>
      </c>
      <c r="E134" s="92" t="s">
        <v>1128</v>
      </c>
      <c r="F134" s="92" t="str" cm="1">
        <f t="array" ref="F134">INDEX(공급업체코드!$B$3:$B$1000,MATCH(1,(E134=공급업체코드!$D$3:$D$1000)*1,0))</f>
        <v>VM_BKT</v>
      </c>
      <c r="H134" s="312">
        <v>132</v>
      </c>
      <c r="I134" s="233" t="s">
        <v>1313</v>
      </c>
      <c r="K134" s="233" t="s">
        <v>1314</v>
      </c>
      <c r="L134" s="236">
        <f t="shared" si="7"/>
        <v>131868</v>
      </c>
      <c r="N134" s="113" t="s">
        <v>1315</v>
      </c>
      <c r="O134" s="1" t="b">
        <v>1</v>
      </c>
      <c r="Q134" s="34"/>
    </row>
    <row r="135" spans="2:17">
      <c r="B135" s="1" t="str">
        <f t="shared" ref="B135:B198" si="8">D135&amp;"_"&amp;F135&amp;"_"&amp;H135</f>
        <v>M_MED01_VM_BKT_133</v>
      </c>
      <c r="C135" s="92" t="s">
        <v>727</v>
      </c>
      <c r="D135" s="92" t="str" cm="1">
        <f t="array" ref="D135">INDEX(기계코드!$D$4:$D$1022,MATCH(1,(C135=기계코드!$F$4:$F$1022)*1,0))</f>
        <v>M_MED01</v>
      </c>
      <c r="E135" s="92" t="s">
        <v>1128</v>
      </c>
      <c r="F135" s="92" t="str" cm="1">
        <f t="array" ref="F135">INDEX(공급업체코드!$B$3:$B$1000,MATCH(1,(E135=공급업체코드!$D$3:$D$1000)*1,0))</f>
        <v>VM_BKT</v>
      </c>
      <c r="H135" s="312">
        <v>133</v>
      </c>
      <c r="I135" s="233" t="s">
        <v>1313</v>
      </c>
      <c r="K135" s="233" t="s">
        <v>1314</v>
      </c>
      <c r="L135" s="236">
        <f t="shared" si="7"/>
        <v>132867</v>
      </c>
      <c r="N135" s="113" t="s">
        <v>1315</v>
      </c>
      <c r="O135" s="1" t="b">
        <v>1</v>
      </c>
      <c r="Q135" s="34"/>
    </row>
    <row r="136" spans="2:17">
      <c r="B136" s="1" t="str">
        <f t="shared" si="8"/>
        <v>M_MED01_VM_BKT_134</v>
      </c>
      <c r="C136" s="92" t="s">
        <v>727</v>
      </c>
      <c r="D136" s="92" t="str" cm="1">
        <f t="array" ref="D136">INDEX(기계코드!$D$4:$D$1022,MATCH(1,(C136=기계코드!$F$4:$F$1022)*1,0))</f>
        <v>M_MED01</v>
      </c>
      <c r="E136" s="92" t="s">
        <v>1128</v>
      </c>
      <c r="F136" s="92" t="str" cm="1">
        <f t="array" ref="F136">INDEX(공급업체코드!$B$3:$B$1000,MATCH(1,(E136=공급업체코드!$D$3:$D$1000)*1,0))</f>
        <v>VM_BKT</v>
      </c>
      <c r="H136" s="312">
        <v>134</v>
      </c>
      <c r="I136" s="233" t="s">
        <v>1313</v>
      </c>
      <c r="K136" s="233" t="s">
        <v>1314</v>
      </c>
      <c r="L136" s="236">
        <f t="shared" si="7"/>
        <v>133866</v>
      </c>
      <c r="N136" s="113" t="s">
        <v>1315</v>
      </c>
      <c r="O136" s="1" t="b">
        <v>1</v>
      </c>
      <c r="Q136" s="34"/>
    </row>
    <row r="137" spans="2:17">
      <c r="B137" s="1" t="str">
        <f t="shared" si="8"/>
        <v>M_MED01_VM_BKT_135</v>
      </c>
      <c r="C137" s="92" t="s">
        <v>727</v>
      </c>
      <c r="D137" s="92" t="str" cm="1">
        <f t="array" ref="D137">INDEX(기계코드!$D$4:$D$1022,MATCH(1,(C137=기계코드!$F$4:$F$1022)*1,0))</f>
        <v>M_MED01</v>
      </c>
      <c r="E137" s="92" t="s">
        <v>1128</v>
      </c>
      <c r="F137" s="92" t="str" cm="1">
        <f t="array" ref="F137">INDEX(공급업체코드!$B$3:$B$1000,MATCH(1,(E137=공급업체코드!$D$3:$D$1000)*1,0))</f>
        <v>VM_BKT</v>
      </c>
      <c r="H137" s="312">
        <v>135</v>
      </c>
      <c r="I137" s="233" t="s">
        <v>1313</v>
      </c>
      <c r="K137" s="233" t="s">
        <v>1314</v>
      </c>
      <c r="L137" s="236">
        <f t="shared" si="7"/>
        <v>134865</v>
      </c>
      <c r="N137" s="113" t="s">
        <v>1315</v>
      </c>
      <c r="O137" s="1" t="b">
        <v>1</v>
      </c>
      <c r="Q137" s="34"/>
    </row>
    <row r="138" spans="2:17">
      <c r="B138" s="1" t="str">
        <f t="shared" si="8"/>
        <v>M_MED01_VM_BKT_136</v>
      </c>
      <c r="C138" s="92" t="s">
        <v>727</v>
      </c>
      <c r="D138" s="92" t="str" cm="1">
        <f t="array" ref="D138">INDEX(기계코드!$D$4:$D$1022,MATCH(1,(C138=기계코드!$F$4:$F$1022)*1,0))</f>
        <v>M_MED01</v>
      </c>
      <c r="E138" s="92" t="s">
        <v>1128</v>
      </c>
      <c r="F138" s="92" t="str" cm="1">
        <f t="array" ref="F138">INDEX(공급업체코드!$B$3:$B$1000,MATCH(1,(E138=공급업체코드!$D$3:$D$1000)*1,0))</f>
        <v>VM_BKT</v>
      </c>
      <c r="H138" s="312">
        <v>136</v>
      </c>
      <c r="I138" s="233" t="s">
        <v>1313</v>
      </c>
      <c r="K138" s="233" t="s">
        <v>1314</v>
      </c>
      <c r="L138" s="236">
        <f t="shared" si="7"/>
        <v>135864</v>
      </c>
      <c r="N138" s="113" t="s">
        <v>1315</v>
      </c>
      <c r="O138" s="1" t="b">
        <v>1</v>
      </c>
      <c r="Q138" s="34"/>
    </row>
    <row r="139" spans="2:17">
      <c r="B139" s="1" t="str">
        <f t="shared" si="8"/>
        <v>M_MED01_VM_BKT_137</v>
      </c>
      <c r="C139" s="92" t="s">
        <v>727</v>
      </c>
      <c r="D139" s="92" t="str" cm="1">
        <f t="array" ref="D139">INDEX(기계코드!$D$4:$D$1022,MATCH(1,(C139=기계코드!$F$4:$F$1022)*1,0))</f>
        <v>M_MED01</v>
      </c>
      <c r="E139" s="92" t="s">
        <v>1128</v>
      </c>
      <c r="F139" s="92" t="str" cm="1">
        <f t="array" ref="F139">INDEX(공급업체코드!$B$3:$B$1000,MATCH(1,(E139=공급업체코드!$D$3:$D$1000)*1,0))</f>
        <v>VM_BKT</v>
      </c>
      <c r="H139" s="312">
        <v>137</v>
      </c>
      <c r="I139" s="233" t="s">
        <v>1313</v>
      </c>
      <c r="K139" s="233" t="s">
        <v>1314</v>
      </c>
      <c r="L139" s="236">
        <f t="shared" si="7"/>
        <v>136863</v>
      </c>
      <c r="N139" s="113" t="s">
        <v>1315</v>
      </c>
      <c r="O139" s="1" t="b">
        <v>1</v>
      </c>
      <c r="Q139" s="34"/>
    </row>
    <row r="140" spans="2:17">
      <c r="B140" s="1" t="str">
        <f t="shared" si="8"/>
        <v>M_MED01_VM_BKT_138</v>
      </c>
      <c r="C140" s="92" t="s">
        <v>727</v>
      </c>
      <c r="D140" s="92" t="str" cm="1">
        <f t="array" ref="D140">INDEX(기계코드!$D$4:$D$1022,MATCH(1,(C140=기계코드!$F$4:$F$1022)*1,0))</f>
        <v>M_MED01</v>
      </c>
      <c r="E140" s="92" t="s">
        <v>1128</v>
      </c>
      <c r="F140" s="92" t="str" cm="1">
        <f t="array" ref="F140">INDEX(공급업체코드!$B$3:$B$1000,MATCH(1,(E140=공급업체코드!$D$3:$D$1000)*1,0))</f>
        <v>VM_BKT</v>
      </c>
      <c r="H140" s="312">
        <v>138</v>
      </c>
      <c r="I140" s="233" t="s">
        <v>1313</v>
      </c>
      <c r="K140" s="233" t="s">
        <v>1314</v>
      </c>
      <c r="L140" s="236">
        <f t="shared" si="7"/>
        <v>137862</v>
      </c>
      <c r="N140" s="113" t="s">
        <v>1315</v>
      </c>
      <c r="O140" s="1" t="b">
        <v>1</v>
      </c>
      <c r="Q140" s="34"/>
    </row>
    <row r="141" spans="2:17">
      <c r="B141" s="1" t="str">
        <f t="shared" si="8"/>
        <v>M_MED01_VM_BKT_139</v>
      </c>
      <c r="C141" s="92" t="s">
        <v>727</v>
      </c>
      <c r="D141" s="92" t="str" cm="1">
        <f t="array" ref="D141">INDEX(기계코드!$D$4:$D$1022,MATCH(1,(C141=기계코드!$F$4:$F$1022)*1,0))</f>
        <v>M_MED01</v>
      </c>
      <c r="E141" s="92" t="s">
        <v>1128</v>
      </c>
      <c r="F141" s="92" t="str" cm="1">
        <f t="array" ref="F141">INDEX(공급업체코드!$B$3:$B$1000,MATCH(1,(E141=공급업체코드!$D$3:$D$1000)*1,0))</f>
        <v>VM_BKT</v>
      </c>
      <c r="H141" s="312">
        <v>139</v>
      </c>
      <c r="I141" s="233" t="s">
        <v>1313</v>
      </c>
      <c r="K141" s="233" t="s">
        <v>1314</v>
      </c>
      <c r="L141" s="236">
        <f t="shared" si="7"/>
        <v>138861</v>
      </c>
      <c r="N141" s="113" t="s">
        <v>1315</v>
      </c>
      <c r="O141" s="1" t="b">
        <v>1</v>
      </c>
      <c r="Q141" s="34"/>
    </row>
    <row r="142" spans="2:17">
      <c r="B142" s="1" t="str">
        <f t="shared" si="8"/>
        <v>M_MED01_VM_BKT_140</v>
      </c>
      <c r="C142" s="92" t="s">
        <v>727</v>
      </c>
      <c r="D142" s="92" t="str" cm="1">
        <f t="array" ref="D142">INDEX(기계코드!$D$4:$D$1022,MATCH(1,(C142=기계코드!$F$4:$F$1022)*1,0))</f>
        <v>M_MED01</v>
      </c>
      <c r="E142" s="92" t="s">
        <v>1128</v>
      </c>
      <c r="F142" s="92" t="str" cm="1">
        <f t="array" ref="F142">INDEX(공급업체코드!$B$3:$B$1000,MATCH(1,(E142=공급업체코드!$D$3:$D$1000)*1,0))</f>
        <v>VM_BKT</v>
      </c>
      <c r="H142" s="312">
        <v>140</v>
      </c>
      <c r="I142" s="233" t="s">
        <v>1313</v>
      </c>
      <c r="K142" s="233" t="s">
        <v>1314</v>
      </c>
      <c r="L142" s="236">
        <f t="shared" si="7"/>
        <v>139860</v>
      </c>
      <c r="N142" s="113" t="s">
        <v>1315</v>
      </c>
      <c r="O142" s="1" t="b">
        <v>1</v>
      </c>
      <c r="Q142" s="34"/>
    </row>
    <row r="143" spans="2:17">
      <c r="B143" s="1" t="str">
        <f t="shared" si="8"/>
        <v>M_MED01_VM_BKT_141</v>
      </c>
      <c r="C143" s="92" t="s">
        <v>727</v>
      </c>
      <c r="D143" s="92" t="str" cm="1">
        <f t="array" ref="D143">INDEX(기계코드!$D$4:$D$1022,MATCH(1,(C143=기계코드!$F$4:$F$1022)*1,0))</f>
        <v>M_MED01</v>
      </c>
      <c r="E143" s="92" t="s">
        <v>1128</v>
      </c>
      <c r="F143" s="92" t="str" cm="1">
        <f t="array" ref="F143">INDEX(공급업체코드!$B$3:$B$1000,MATCH(1,(E143=공급업체코드!$D$3:$D$1000)*1,0))</f>
        <v>VM_BKT</v>
      </c>
      <c r="H143" s="312">
        <v>141</v>
      </c>
      <c r="I143" s="233" t="s">
        <v>1313</v>
      </c>
      <c r="K143" s="233" t="s">
        <v>1314</v>
      </c>
      <c r="L143" s="236">
        <f t="shared" si="7"/>
        <v>140859</v>
      </c>
      <c r="N143" s="113" t="s">
        <v>1315</v>
      </c>
      <c r="O143" s="1" t="b">
        <v>1</v>
      </c>
      <c r="Q143" s="34"/>
    </row>
    <row r="144" spans="2:17">
      <c r="B144" s="1" t="str">
        <f t="shared" si="8"/>
        <v>M_MED01_VM_BKT_142</v>
      </c>
      <c r="C144" s="92" t="s">
        <v>727</v>
      </c>
      <c r="D144" s="92" t="str" cm="1">
        <f t="array" ref="D144">INDEX(기계코드!$D$4:$D$1022,MATCH(1,(C144=기계코드!$F$4:$F$1022)*1,0))</f>
        <v>M_MED01</v>
      </c>
      <c r="E144" s="92" t="s">
        <v>1128</v>
      </c>
      <c r="F144" s="92" t="str" cm="1">
        <f t="array" ref="F144">INDEX(공급업체코드!$B$3:$B$1000,MATCH(1,(E144=공급업체코드!$D$3:$D$1000)*1,0))</f>
        <v>VM_BKT</v>
      </c>
      <c r="H144" s="312">
        <v>142</v>
      </c>
      <c r="I144" s="233" t="s">
        <v>1313</v>
      </c>
      <c r="K144" s="233" t="s">
        <v>1314</v>
      </c>
      <c r="L144" s="236">
        <f t="shared" si="7"/>
        <v>141858</v>
      </c>
      <c r="N144" s="113" t="s">
        <v>1315</v>
      </c>
      <c r="O144" s="1" t="b">
        <v>1</v>
      </c>
      <c r="Q144" s="34"/>
    </row>
    <row r="145" spans="2:17">
      <c r="B145" s="1" t="str">
        <f t="shared" si="8"/>
        <v>M_MED01_VM_BKT_143</v>
      </c>
      <c r="C145" s="92" t="s">
        <v>727</v>
      </c>
      <c r="D145" s="92" t="str" cm="1">
        <f t="array" ref="D145">INDEX(기계코드!$D$4:$D$1022,MATCH(1,(C145=기계코드!$F$4:$F$1022)*1,0))</f>
        <v>M_MED01</v>
      </c>
      <c r="E145" s="92" t="s">
        <v>1128</v>
      </c>
      <c r="F145" s="92" t="str" cm="1">
        <f t="array" ref="F145">INDEX(공급업체코드!$B$3:$B$1000,MATCH(1,(E145=공급업체코드!$D$3:$D$1000)*1,0))</f>
        <v>VM_BKT</v>
      </c>
      <c r="H145" s="312">
        <v>143</v>
      </c>
      <c r="I145" s="233" t="s">
        <v>1313</v>
      </c>
      <c r="K145" s="233" t="s">
        <v>1314</v>
      </c>
      <c r="L145" s="236">
        <f t="shared" si="7"/>
        <v>142857</v>
      </c>
      <c r="N145" s="113" t="s">
        <v>1315</v>
      </c>
      <c r="O145" s="1" t="b">
        <v>1</v>
      </c>
      <c r="Q145" s="34"/>
    </row>
    <row r="146" spans="2:17">
      <c r="B146" s="1" t="str">
        <f t="shared" si="8"/>
        <v>M_MED01_VM_BKT_144</v>
      </c>
      <c r="C146" s="92" t="s">
        <v>727</v>
      </c>
      <c r="D146" s="92" t="str" cm="1">
        <f t="array" ref="D146">INDEX(기계코드!$D$4:$D$1022,MATCH(1,(C146=기계코드!$F$4:$F$1022)*1,0))</f>
        <v>M_MED01</v>
      </c>
      <c r="E146" s="92" t="s">
        <v>1128</v>
      </c>
      <c r="F146" s="92" t="str" cm="1">
        <f t="array" ref="F146">INDEX(공급업체코드!$B$3:$B$1000,MATCH(1,(E146=공급업체코드!$D$3:$D$1000)*1,0))</f>
        <v>VM_BKT</v>
      </c>
      <c r="H146" s="312">
        <v>144</v>
      </c>
      <c r="I146" s="233" t="s">
        <v>1313</v>
      </c>
      <c r="K146" s="233" t="s">
        <v>1314</v>
      </c>
      <c r="L146" s="236">
        <f t="shared" si="7"/>
        <v>143856</v>
      </c>
      <c r="N146" s="113" t="s">
        <v>1315</v>
      </c>
      <c r="O146" s="1" t="b">
        <v>1</v>
      </c>
      <c r="Q146" s="34"/>
    </row>
    <row r="147" spans="2:17">
      <c r="B147" s="1" t="str">
        <f t="shared" si="8"/>
        <v>M_MED01_VM_BKT_145</v>
      </c>
      <c r="C147" s="92" t="s">
        <v>727</v>
      </c>
      <c r="D147" s="92" t="str" cm="1">
        <f t="array" ref="D147">INDEX(기계코드!$D$4:$D$1022,MATCH(1,(C147=기계코드!$F$4:$F$1022)*1,0))</f>
        <v>M_MED01</v>
      </c>
      <c r="E147" s="92" t="s">
        <v>1128</v>
      </c>
      <c r="F147" s="92" t="str" cm="1">
        <f t="array" ref="F147">INDEX(공급업체코드!$B$3:$B$1000,MATCH(1,(E147=공급업체코드!$D$3:$D$1000)*1,0))</f>
        <v>VM_BKT</v>
      </c>
      <c r="H147" s="312">
        <v>145</v>
      </c>
      <c r="I147" s="233" t="s">
        <v>1313</v>
      </c>
      <c r="K147" s="233" t="s">
        <v>1314</v>
      </c>
      <c r="L147" s="236">
        <f t="shared" si="7"/>
        <v>144855</v>
      </c>
      <c r="N147" s="113" t="s">
        <v>1315</v>
      </c>
      <c r="O147" s="1" t="b">
        <v>1</v>
      </c>
      <c r="Q147" s="34"/>
    </row>
    <row r="148" spans="2:17">
      <c r="B148" s="1" t="str">
        <f t="shared" si="8"/>
        <v>M_MED01_VM_BKT_146</v>
      </c>
      <c r="C148" s="92" t="s">
        <v>727</v>
      </c>
      <c r="D148" s="92" t="str" cm="1">
        <f t="array" ref="D148">INDEX(기계코드!$D$4:$D$1022,MATCH(1,(C148=기계코드!$F$4:$F$1022)*1,0))</f>
        <v>M_MED01</v>
      </c>
      <c r="E148" s="92" t="s">
        <v>1128</v>
      </c>
      <c r="F148" s="92" t="str" cm="1">
        <f t="array" ref="F148">INDEX(공급업체코드!$B$3:$B$1000,MATCH(1,(E148=공급업체코드!$D$3:$D$1000)*1,0))</f>
        <v>VM_BKT</v>
      </c>
      <c r="H148" s="312">
        <v>146</v>
      </c>
      <c r="I148" s="233" t="s">
        <v>1313</v>
      </c>
      <c r="K148" s="233" t="s">
        <v>1314</v>
      </c>
      <c r="L148" s="236">
        <f t="shared" si="7"/>
        <v>145854</v>
      </c>
      <c r="N148" s="113" t="s">
        <v>1315</v>
      </c>
      <c r="O148" s="1" t="b">
        <v>1</v>
      </c>
      <c r="Q148" s="34"/>
    </row>
    <row r="149" spans="2:17">
      <c r="B149" s="1" t="str">
        <f t="shared" si="8"/>
        <v>M_MED01_VM_BKT_147</v>
      </c>
      <c r="C149" s="92" t="s">
        <v>727</v>
      </c>
      <c r="D149" s="92" t="str" cm="1">
        <f t="array" ref="D149">INDEX(기계코드!$D$4:$D$1022,MATCH(1,(C149=기계코드!$F$4:$F$1022)*1,0))</f>
        <v>M_MED01</v>
      </c>
      <c r="E149" s="92" t="s">
        <v>1128</v>
      </c>
      <c r="F149" s="92" t="str" cm="1">
        <f t="array" ref="F149">INDEX(공급업체코드!$B$3:$B$1000,MATCH(1,(E149=공급업체코드!$D$3:$D$1000)*1,0))</f>
        <v>VM_BKT</v>
      </c>
      <c r="H149" s="312">
        <v>147</v>
      </c>
      <c r="I149" s="233" t="s">
        <v>1313</v>
      </c>
      <c r="K149" s="233" t="s">
        <v>1314</v>
      </c>
      <c r="L149" s="236">
        <f t="shared" si="7"/>
        <v>146853</v>
      </c>
      <c r="N149" s="113" t="s">
        <v>1315</v>
      </c>
      <c r="O149" s="1" t="b">
        <v>1</v>
      </c>
      <c r="Q149" s="34"/>
    </row>
    <row r="150" spans="2:17">
      <c r="B150" s="1" t="str">
        <f t="shared" si="8"/>
        <v>M_MED01_VM_BKT_148</v>
      </c>
      <c r="C150" s="92" t="s">
        <v>727</v>
      </c>
      <c r="D150" s="92" t="str" cm="1">
        <f t="array" ref="D150">INDEX(기계코드!$D$4:$D$1022,MATCH(1,(C150=기계코드!$F$4:$F$1022)*1,0))</f>
        <v>M_MED01</v>
      </c>
      <c r="E150" s="92" t="s">
        <v>1128</v>
      </c>
      <c r="F150" s="92" t="str" cm="1">
        <f t="array" ref="F150">INDEX(공급업체코드!$B$3:$B$1000,MATCH(1,(E150=공급업체코드!$D$3:$D$1000)*1,0))</f>
        <v>VM_BKT</v>
      </c>
      <c r="H150" s="312">
        <v>148</v>
      </c>
      <c r="I150" s="233" t="s">
        <v>1313</v>
      </c>
      <c r="K150" s="233" t="s">
        <v>1314</v>
      </c>
      <c r="L150" s="236">
        <f t="shared" si="7"/>
        <v>147852</v>
      </c>
      <c r="N150" s="113" t="s">
        <v>1315</v>
      </c>
      <c r="O150" s="1" t="b">
        <v>1</v>
      </c>
      <c r="Q150" s="34"/>
    </row>
    <row r="151" spans="2:17">
      <c r="B151" s="1" t="str">
        <f t="shared" si="8"/>
        <v>M_MED01_VM_BKT_149</v>
      </c>
      <c r="C151" s="92" t="s">
        <v>727</v>
      </c>
      <c r="D151" s="92" t="str" cm="1">
        <f t="array" ref="D151">INDEX(기계코드!$D$4:$D$1022,MATCH(1,(C151=기계코드!$F$4:$F$1022)*1,0))</f>
        <v>M_MED01</v>
      </c>
      <c r="E151" s="92" t="s">
        <v>1128</v>
      </c>
      <c r="F151" s="92" t="str" cm="1">
        <f t="array" ref="F151">INDEX(공급업체코드!$B$3:$B$1000,MATCH(1,(E151=공급업체코드!$D$3:$D$1000)*1,0))</f>
        <v>VM_BKT</v>
      </c>
      <c r="H151" s="312">
        <v>149</v>
      </c>
      <c r="I151" s="233" t="s">
        <v>1313</v>
      </c>
      <c r="K151" s="233" t="s">
        <v>1314</v>
      </c>
      <c r="L151" s="236">
        <f t="shared" si="7"/>
        <v>148851</v>
      </c>
      <c r="N151" s="113" t="s">
        <v>1315</v>
      </c>
      <c r="O151" s="1" t="b">
        <v>1</v>
      </c>
      <c r="Q151" s="34"/>
    </row>
    <row r="152" spans="2:17">
      <c r="B152" s="1" t="str">
        <f t="shared" si="8"/>
        <v>M_MED01_VM_BKT_150</v>
      </c>
      <c r="C152" s="92" t="s">
        <v>727</v>
      </c>
      <c r="D152" s="92" t="str" cm="1">
        <f t="array" ref="D152">INDEX(기계코드!$D$4:$D$1022,MATCH(1,(C152=기계코드!$F$4:$F$1022)*1,0))</f>
        <v>M_MED01</v>
      </c>
      <c r="E152" s="92" t="s">
        <v>1128</v>
      </c>
      <c r="F152" s="92" t="str" cm="1">
        <f t="array" ref="F152">INDEX(공급업체코드!$B$3:$B$1000,MATCH(1,(E152=공급업체코드!$D$3:$D$1000)*1,0))</f>
        <v>VM_BKT</v>
      </c>
      <c r="H152" s="312">
        <v>150</v>
      </c>
      <c r="I152" s="233" t="s">
        <v>1313</v>
      </c>
      <c r="K152" s="233" t="s">
        <v>1314</v>
      </c>
      <c r="L152" s="236">
        <f t="shared" si="7"/>
        <v>149850</v>
      </c>
      <c r="N152" s="113" t="s">
        <v>1315</v>
      </c>
      <c r="O152" s="1" t="b">
        <v>1</v>
      </c>
      <c r="Q152" s="34"/>
    </row>
    <row r="153" spans="2:17">
      <c r="B153" s="1" t="str">
        <f t="shared" si="8"/>
        <v>M_MED01_VM_BKT_151</v>
      </c>
      <c r="C153" s="92" t="s">
        <v>727</v>
      </c>
      <c r="D153" s="92" t="str" cm="1">
        <f t="array" ref="D153">INDEX(기계코드!$D$4:$D$1022,MATCH(1,(C153=기계코드!$F$4:$F$1022)*1,0))</f>
        <v>M_MED01</v>
      </c>
      <c r="E153" s="92" t="s">
        <v>1128</v>
      </c>
      <c r="F153" s="92" t="str" cm="1">
        <f t="array" ref="F153">INDEX(공급업체코드!$B$3:$B$1000,MATCH(1,(E153=공급업체코드!$D$3:$D$1000)*1,0))</f>
        <v>VM_BKT</v>
      </c>
      <c r="H153" s="312">
        <v>151</v>
      </c>
      <c r="I153" s="233" t="s">
        <v>1313</v>
      </c>
      <c r="K153" s="233" t="s">
        <v>1314</v>
      </c>
      <c r="L153" s="236">
        <f t="shared" si="7"/>
        <v>150849</v>
      </c>
      <c r="N153" s="113" t="s">
        <v>1315</v>
      </c>
      <c r="O153" s="1" t="b">
        <v>1</v>
      </c>
      <c r="Q153" s="34"/>
    </row>
    <row r="154" spans="2:17">
      <c r="B154" s="1" t="str">
        <f t="shared" si="8"/>
        <v>M_MED01_VM_BKT_152</v>
      </c>
      <c r="C154" s="92" t="s">
        <v>727</v>
      </c>
      <c r="D154" s="92" t="str" cm="1">
        <f t="array" ref="D154">INDEX(기계코드!$D$4:$D$1022,MATCH(1,(C154=기계코드!$F$4:$F$1022)*1,0))</f>
        <v>M_MED01</v>
      </c>
      <c r="E154" s="92" t="s">
        <v>1128</v>
      </c>
      <c r="F154" s="92" t="str" cm="1">
        <f t="array" ref="F154">INDEX(공급업체코드!$B$3:$B$1000,MATCH(1,(E154=공급업체코드!$D$3:$D$1000)*1,0))</f>
        <v>VM_BKT</v>
      </c>
      <c r="H154" s="312">
        <v>152</v>
      </c>
      <c r="I154" s="233" t="s">
        <v>1313</v>
      </c>
      <c r="K154" s="233" t="s">
        <v>1314</v>
      </c>
      <c r="L154" s="236">
        <f t="shared" si="7"/>
        <v>151848</v>
      </c>
      <c r="N154" s="113" t="s">
        <v>1315</v>
      </c>
      <c r="O154" s="1" t="b">
        <v>1</v>
      </c>
      <c r="Q154" s="34"/>
    </row>
    <row r="155" spans="2:17">
      <c r="B155" s="1" t="str">
        <f t="shared" si="8"/>
        <v>M_MED01_VM_BKT_153</v>
      </c>
      <c r="C155" s="92" t="s">
        <v>727</v>
      </c>
      <c r="D155" s="92" t="str" cm="1">
        <f t="array" ref="D155">INDEX(기계코드!$D$4:$D$1022,MATCH(1,(C155=기계코드!$F$4:$F$1022)*1,0))</f>
        <v>M_MED01</v>
      </c>
      <c r="E155" s="92" t="s">
        <v>1128</v>
      </c>
      <c r="F155" s="92" t="str" cm="1">
        <f t="array" ref="F155">INDEX(공급업체코드!$B$3:$B$1000,MATCH(1,(E155=공급업체코드!$D$3:$D$1000)*1,0))</f>
        <v>VM_BKT</v>
      </c>
      <c r="H155" s="312">
        <v>153</v>
      </c>
      <c r="I155" s="233" t="s">
        <v>1313</v>
      </c>
      <c r="K155" s="233" t="s">
        <v>1314</v>
      </c>
      <c r="L155" s="236">
        <f t="shared" si="7"/>
        <v>152847</v>
      </c>
      <c r="N155" s="113" t="s">
        <v>1315</v>
      </c>
      <c r="O155" s="1" t="b">
        <v>1</v>
      </c>
      <c r="Q155" s="34"/>
    </row>
    <row r="156" spans="2:17">
      <c r="B156" s="1" t="str">
        <f t="shared" si="8"/>
        <v>M_MED01_VM_BKT_154</v>
      </c>
      <c r="C156" s="92" t="s">
        <v>727</v>
      </c>
      <c r="D156" s="92" t="str" cm="1">
        <f t="array" ref="D156">INDEX(기계코드!$D$4:$D$1022,MATCH(1,(C156=기계코드!$F$4:$F$1022)*1,0))</f>
        <v>M_MED01</v>
      </c>
      <c r="E156" s="92" t="s">
        <v>1128</v>
      </c>
      <c r="F156" s="92" t="str" cm="1">
        <f t="array" ref="F156">INDEX(공급업체코드!$B$3:$B$1000,MATCH(1,(E156=공급업체코드!$D$3:$D$1000)*1,0))</f>
        <v>VM_BKT</v>
      </c>
      <c r="H156" s="312">
        <v>154</v>
      </c>
      <c r="I156" s="233" t="s">
        <v>1313</v>
      </c>
      <c r="K156" s="233" t="s">
        <v>1314</v>
      </c>
      <c r="L156" s="236">
        <f t="shared" si="7"/>
        <v>153846</v>
      </c>
      <c r="N156" s="113" t="s">
        <v>1315</v>
      </c>
      <c r="O156" s="1" t="b">
        <v>1</v>
      </c>
      <c r="Q156" s="34"/>
    </row>
    <row r="157" spans="2:17">
      <c r="B157" s="1" t="str">
        <f t="shared" si="8"/>
        <v>M_MED01_VM_BKT_155</v>
      </c>
      <c r="C157" s="92" t="s">
        <v>727</v>
      </c>
      <c r="D157" s="92" t="str" cm="1">
        <f t="array" ref="D157">INDEX(기계코드!$D$4:$D$1022,MATCH(1,(C157=기계코드!$F$4:$F$1022)*1,0))</f>
        <v>M_MED01</v>
      </c>
      <c r="E157" s="92" t="s">
        <v>1128</v>
      </c>
      <c r="F157" s="92" t="str" cm="1">
        <f t="array" ref="F157">INDEX(공급업체코드!$B$3:$B$1000,MATCH(1,(E157=공급업체코드!$D$3:$D$1000)*1,0))</f>
        <v>VM_BKT</v>
      </c>
      <c r="H157" s="312">
        <v>155</v>
      </c>
      <c r="I157" s="233" t="s">
        <v>1313</v>
      </c>
      <c r="K157" s="233" t="s">
        <v>1314</v>
      </c>
      <c r="L157" s="236">
        <f t="shared" si="7"/>
        <v>154845</v>
      </c>
      <c r="N157" s="113" t="s">
        <v>1315</v>
      </c>
      <c r="O157" s="1" t="b">
        <v>1</v>
      </c>
      <c r="Q157" s="34"/>
    </row>
    <row r="158" spans="2:17">
      <c r="B158" s="1" t="str">
        <f t="shared" si="8"/>
        <v>M_MED01_VM_BKT_156</v>
      </c>
      <c r="C158" s="92" t="s">
        <v>727</v>
      </c>
      <c r="D158" s="92" t="str" cm="1">
        <f t="array" ref="D158">INDEX(기계코드!$D$4:$D$1022,MATCH(1,(C158=기계코드!$F$4:$F$1022)*1,0))</f>
        <v>M_MED01</v>
      </c>
      <c r="E158" s="92" t="s">
        <v>1128</v>
      </c>
      <c r="F158" s="92" t="str" cm="1">
        <f t="array" ref="F158">INDEX(공급업체코드!$B$3:$B$1000,MATCH(1,(E158=공급업체코드!$D$3:$D$1000)*1,0))</f>
        <v>VM_BKT</v>
      </c>
      <c r="H158" s="312">
        <v>156</v>
      </c>
      <c r="I158" s="233" t="s">
        <v>1313</v>
      </c>
      <c r="K158" s="233" t="s">
        <v>1314</v>
      </c>
      <c r="L158" s="236">
        <f t="shared" si="7"/>
        <v>155844</v>
      </c>
      <c r="N158" s="113" t="s">
        <v>1315</v>
      </c>
      <c r="O158" s="1" t="b">
        <v>1</v>
      </c>
      <c r="Q158" s="34"/>
    </row>
    <row r="159" spans="2:17">
      <c r="B159" s="1" t="str">
        <f t="shared" si="8"/>
        <v>M_MED01_VM_BKT_157</v>
      </c>
      <c r="C159" s="92" t="s">
        <v>727</v>
      </c>
      <c r="D159" s="92" t="str" cm="1">
        <f t="array" ref="D159">INDEX(기계코드!$D$4:$D$1022,MATCH(1,(C159=기계코드!$F$4:$F$1022)*1,0))</f>
        <v>M_MED01</v>
      </c>
      <c r="E159" s="92" t="s">
        <v>1128</v>
      </c>
      <c r="F159" s="92" t="str" cm="1">
        <f t="array" ref="F159">INDEX(공급업체코드!$B$3:$B$1000,MATCH(1,(E159=공급업체코드!$D$3:$D$1000)*1,0))</f>
        <v>VM_BKT</v>
      </c>
      <c r="H159" s="312">
        <v>157</v>
      </c>
      <c r="I159" s="233" t="s">
        <v>1313</v>
      </c>
      <c r="K159" s="233" t="s">
        <v>1314</v>
      </c>
      <c r="L159" s="236">
        <f t="shared" si="7"/>
        <v>156843</v>
      </c>
      <c r="N159" s="113" t="s">
        <v>1315</v>
      </c>
      <c r="O159" s="1" t="b">
        <v>1</v>
      </c>
      <c r="Q159" s="34"/>
    </row>
    <row r="160" spans="2:17">
      <c r="B160" s="1" t="str">
        <f t="shared" si="8"/>
        <v>M_MED01_VM_BKT_158</v>
      </c>
      <c r="C160" s="92" t="s">
        <v>727</v>
      </c>
      <c r="D160" s="92" t="str" cm="1">
        <f t="array" ref="D160">INDEX(기계코드!$D$4:$D$1022,MATCH(1,(C160=기계코드!$F$4:$F$1022)*1,0))</f>
        <v>M_MED01</v>
      </c>
      <c r="E160" s="92" t="s">
        <v>1128</v>
      </c>
      <c r="F160" s="92" t="str" cm="1">
        <f t="array" ref="F160">INDEX(공급업체코드!$B$3:$B$1000,MATCH(1,(E160=공급업체코드!$D$3:$D$1000)*1,0))</f>
        <v>VM_BKT</v>
      </c>
      <c r="H160" s="312">
        <v>158</v>
      </c>
      <c r="I160" s="233" t="s">
        <v>1313</v>
      </c>
      <c r="K160" s="233" t="s">
        <v>1314</v>
      </c>
      <c r="L160" s="236">
        <f t="shared" si="7"/>
        <v>157842</v>
      </c>
      <c r="N160" s="113" t="s">
        <v>1315</v>
      </c>
      <c r="O160" s="1" t="b">
        <v>1</v>
      </c>
      <c r="Q160" s="34"/>
    </row>
    <row r="161" spans="2:17">
      <c r="B161" s="1" t="str">
        <f t="shared" si="8"/>
        <v>M_MED01_VM_BKT_159</v>
      </c>
      <c r="C161" s="92" t="s">
        <v>727</v>
      </c>
      <c r="D161" s="92" t="str" cm="1">
        <f t="array" ref="D161">INDEX(기계코드!$D$4:$D$1022,MATCH(1,(C161=기계코드!$F$4:$F$1022)*1,0))</f>
        <v>M_MED01</v>
      </c>
      <c r="E161" s="92" t="s">
        <v>1128</v>
      </c>
      <c r="F161" s="92" t="str" cm="1">
        <f t="array" ref="F161">INDEX(공급업체코드!$B$3:$B$1000,MATCH(1,(E161=공급업체코드!$D$3:$D$1000)*1,0))</f>
        <v>VM_BKT</v>
      </c>
      <c r="H161" s="312">
        <v>159</v>
      </c>
      <c r="I161" s="233" t="s">
        <v>1313</v>
      </c>
      <c r="K161" s="233" t="s">
        <v>1314</v>
      </c>
      <c r="L161" s="236">
        <f t="shared" si="7"/>
        <v>158841</v>
      </c>
      <c r="N161" s="113" t="s">
        <v>1315</v>
      </c>
      <c r="O161" s="1" t="b">
        <v>1</v>
      </c>
      <c r="Q161" s="34"/>
    </row>
    <row r="162" spans="2:17">
      <c r="B162" s="1" t="str">
        <f t="shared" si="8"/>
        <v>M_MED01_VM_BKT_160</v>
      </c>
      <c r="C162" s="92" t="s">
        <v>727</v>
      </c>
      <c r="D162" s="92" t="str" cm="1">
        <f t="array" ref="D162">INDEX(기계코드!$D$4:$D$1022,MATCH(1,(C162=기계코드!$F$4:$F$1022)*1,0))</f>
        <v>M_MED01</v>
      </c>
      <c r="E162" s="92" t="s">
        <v>1128</v>
      </c>
      <c r="F162" s="92" t="str" cm="1">
        <f t="array" ref="F162">INDEX(공급업체코드!$B$3:$B$1000,MATCH(1,(E162=공급업체코드!$D$3:$D$1000)*1,0))</f>
        <v>VM_BKT</v>
      </c>
      <c r="H162" s="312">
        <v>160</v>
      </c>
      <c r="I162" s="233" t="s">
        <v>1313</v>
      </c>
      <c r="K162" s="233" t="s">
        <v>1314</v>
      </c>
      <c r="L162" s="236">
        <f t="shared" si="7"/>
        <v>159840</v>
      </c>
      <c r="N162" s="113" t="s">
        <v>1315</v>
      </c>
      <c r="O162" s="1" t="b">
        <v>1</v>
      </c>
      <c r="Q162" s="34"/>
    </row>
    <row r="163" spans="2:17">
      <c r="B163" s="1" t="str">
        <f t="shared" si="8"/>
        <v>M_MED01_VM_BKT_161</v>
      </c>
      <c r="C163" s="92" t="s">
        <v>727</v>
      </c>
      <c r="D163" s="92" t="str" cm="1">
        <f t="array" ref="D163">INDEX(기계코드!$D$4:$D$1022,MATCH(1,(C163=기계코드!$F$4:$F$1022)*1,0))</f>
        <v>M_MED01</v>
      </c>
      <c r="E163" s="92" t="s">
        <v>1128</v>
      </c>
      <c r="F163" s="92" t="str" cm="1">
        <f t="array" ref="F163">INDEX(공급업체코드!$B$3:$B$1000,MATCH(1,(E163=공급업체코드!$D$3:$D$1000)*1,0))</f>
        <v>VM_BKT</v>
      </c>
      <c r="H163" s="312">
        <v>161</v>
      </c>
      <c r="I163" s="233" t="s">
        <v>1313</v>
      </c>
      <c r="K163" s="233" t="s">
        <v>1314</v>
      </c>
      <c r="L163" s="236">
        <f t="shared" si="7"/>
        <v>160839</v>
      </c>
      <c r="N163" s="113" t="s">
        <v>1315</v>
      </c>
      <c r="O163" s="1" t="b">
        <v>1</v>
      </c>
      <c r="Q163" s="34"/>
    </row>
    <row r="164" spans="2:17">
      <c r="B164" s="1" t="str">
        <f t="shared" si="8"/>
        <v>M_MED01_VM_BKT_162</v>
      </c>
      <c r="C164" s="92" t="s">
        <v>727</v>
      </c>
      <c r="D164" s="92" t="str" cm="1">
        <f t="array" ref="D164">INDEX(기계코드!$D$4:$D$1022,MATCH(1,(C164=기계코드!$F$4:$F$1022)*1,0))</f>
        <v>M_MED01</v>
      </c>
      <c r="E164" s="92" t="s">
        <v>1128</v>
      </c>
      <c r="F164" s="92" t="str" cm="1">
        <f t="array" ref="F164">INDEX(공급업체코드!$B$3:$B$1000,MATCH(1,(E164=공급업체코드!$D$3:$D$1000)*1,0))</f>
        <v>VM_BKT</v>
      </c>
      <c r="H164" s="312">
        <v>162</v>
      </c>
      <c r="I164" s="233" t="s">
        <v>1313</v>
      </c>
      <c r="K164" s="233" t="s">
        <v>1314</v>
      </c>
      <c r="L164" s="236">
        <f t="shared" si="7"/>
        <v>161838</v>
      </c>
      <c r="N164" s="113" t="s">
        <v>1315</v>
      </c>
      <c r="O164" s="1" t="b">
        <v>1</v>
      </c>
      <c r="Q164" s="34"/>
    </row>
    <row r="165" spans="2:17">
      <c r="B165" s="1" t="str">
        <f t="shared" si="8"/>
        <v>M_MED01_VM_BKT_163</v>
      </c>
      <c r="C165" s="92" t="s">
        <v>727</v>
      </c>
      <c r="D165" s="92" t="str" cm="1">
        <f t="array" ref="D165">INDEX(기계코드!$D$4:$D$1022,MATCH(1,(C165=기계코드!$F$4:$F$1022)*1,0))</f>
        <v>M_MED01</v>
      </c>
      <c r="E165" s="92" t="s">
        <v>1128</v>
      </c>
      <c r="F165" s="92" t="str" cm="1">
        <f t="array" ref="F165">INDEX(공급업체코드!$B$3:$B$1000,MATCH(1,(E165=공급업체코드!$D$3:$D$1000)*1,0))</f>
        <v>VM_BKT</v>
      </c>
      <c r="H165" s="312">
        <v>163</v>
      </c>
      <c r="I165" s="233" t="s">
        <v>1313</v>
      </c>
      <c r="K165" s="233" t="s">
        <v>1314</v>
      </c>
      <c r="L165" s="236">
        <f t="shared" si="7"/>
        <v>162837</v>
      </c>
      <c r="N165" s="113" t="s">
        <v>1315</v>
      </c>
      <c r="O165" s="1" t="b">
        <v>1</v>
      </c>
      <c r="Q165" s="34"/>
    </row>
    <row r="166" spans="2:17">
      <c r="B166" s="1" t="str">
        <f t="shared" si="8"/>
        <v>M_MED01_VM_BKT_164</v>
      </c>
      <c r="C166" s="92" t="s">
        <v>727</v>
      </c>
      <c r="D166" s="92" t="str" cm="1">
        <f t="array" ref="D166">INDEX(기계코드!$D$4:$D$1022,MATCH(1,(C166=기계코드!$F$4:$F$1022)*1,0))</f>
        <v>M_MED01</v>
      </c>
      <c r="E166" s="92" t="s">
        <v>1128</v>
      </c>
      <c r="F166" s="92" t="str" cm="1">
        <f t="array" ref="F166">INDEX(공급업체코드!$B$3:$B$1000,MATCH(1,(E166=공급업체코드!$D$3:$D$1000)*1,0))</f>
        <v>VM_BKT</v>
      </c>
      <c r="H166" s="312">
        <v>164</v>
      </c>
      <c r="I166" s="233" t="s">
        <v>1313</v>
      </c>
      <c r="K166" s="233" t="s">
        <v>1314</v>
      </c>
      <c r="L166" s="236">
        <f t="shared" si="7"/>
        <v>163836</v>
      </c>
      <c r="N166" s="113" t="s">
        <v>1315</v>
      </c>
      <c r="O166" s="1" t="b">
        <v>1</v>
      </c>
      <c r="Q166" s="34"/>
    </row>
    <row r="167" spans="2:17">
      <c r="B167" s="1" t="str">
        <f t="shared" si="8"/>
        <v>M_MED01_VM_BKT_165</v>
      </c>
      <c r="C167" s="92" t="s">
        <v>727</v>
      </c>
      <c r="D167" s="92" t="str" cm="1">
        <f t="array" ref="D167">INDEX(기계코드!$D$4:$D$1022,MATCH(1,(C167=기계코드!$F$4:$F$1022)*1,0))</f>
        <v>M_MED01</v>
      </c>
      <c r="E167" s="92" t="s">
        <v>1128</v>
      </c>
      <c r="F167" s="92" t="str" cm="1">
        <f t="array" ref="F167">INDEX(공급업체코드!$B$3:$B$1000,MATCH(1,(E167=공급업체코드!$D$3:$D$1000)*1,0))</f>
        <v>VM_BKT</v>
      </c>
      <c r="H167" s="312">
        <v>165</v>
      </c>
      <c r="I167" s="233" t="s">
        <v>1313</v>
      </c>
      <c r="K167" s="233" t="s">
        <v>1314</v>
      </c>
      <c r="L167" s="236">
        <f t="shared" si="7"/>
        <v>164835</v>
      </c>
      <c r="N167" s="113" t="s">
        <v>1315</v>
      </c>
      <c r="O167" s="1" t="b">
        <v>1</v>
      </c>
      <c r="Q167" s="34"/>
    </row>
    <row r="168" spans="2:17">
      <c r="B168" s="1" t="str">
        <f t="shared" si="8"/>
        <v>M_MED01_VM_BKT_166</v>
      </c>
      <c r="C168" s="92" t="s">
        <v>727</v>
      </c>
      <c r="D168" s="92" t="str" cm="1">
        <f t="array" ref="D168">INDEX(기계코드!$D$4:$D$1022,MATCH(1,(C168=기계코드!$F$4:$F$1022)*1,0))</f>
        <v>M_MED01</v>
      </c>
      <c r="E168" s="92" t="s">
        <v>1128</v>
      </c>
      <c r="F168" s="92" t="str" cm="1">
        <f t="array" ref="F168">INDEX(공급업체코드!$B$3:$B$1000,MATCH(1,(E168=공급업체코드!$D$3:$D$1000)*1,0))</f>
        <v>VM_BKT</v>
      </c>
      <c r="H168" s="312">
        <v>166</v>
      </c>
      <c r="I168" s="233" t="s">
        <v>1313</v>
      </c>
      <c r="K168" s="233" t="s">
        <v>1314</v>
      </c>
      <c r="L168" s="236">
        <f t="shared" si="7"/>
        <v>165834</v>
      </c>
      <c r="N168" s="113" t="s">
        <v>1315</v>
      </c>
      <c r="O168" s="1" t="b">
        <v>1</v>
      </c>
      <c r="Q168" s="34"/>
    </row>
    <row r="169" spans="2:17">
      <c r="B169" s="1" t="str">
        <f t="shared" si="8"/>
        <v>M_MED01_VM_BKT_167</v>
      </c>
      <c r="C169" s="92" t="s">
        <v>727</v>
      </c>
      <c r="D169" s="92" t="str" cm="1">
        <f t="array" ref="D169">INDEX(기계코드!$D$4:$D$1022,MATCH(1,(C169=기계코드!$F$4:$F$1022)*1,0))</f>
        <v>M_MED01</v>
      </c>
      <c r="E169" s="92" t="s">
        <v>1128</v>
      </c>
      <c r="F169" s="92" t="str" cm="1">
        <f t="array" ref="F169">INDEX(공급업체코드!$B$3:$B$1000,MATCH(1,(E169=공급업체코드!$D$3:$D$1000)*1,0))</f>
        <v>VM_BKT</v>
      </c>
      <c r="H169" s="312">
        <v>167</v>
      </c>
      <c r="I169" s="233" t="s">
        <v>1313</v>
      </c>
      <c r="K169" s="233" t="s">
        <v>1314</v>
      </c>
      <c r="L169" s="236">
        <f t="shared" si="7"/>
        <v>166833</v>
      </c>
      <c r="N169" s="113" t="s">
        <v>1315</v>
      </c>
      <c r="O169" s="1" t="b">
        <v>1</v>
      </c>
      <c r="Q169" s="34"/>
    </row>
    <row r="170" spans="2:17">
      <c r="B170" s="1" t="str">
        <f t="shared" si="8"/>
        <v>M_MED01_VM_BKT_168</v>
      </c>
      <c r="C170" s="92" t="s">
        <v>727</v>
      </c>
      <c r="D170" s="92" t="str" cm="1">
        <f t="array" ref="D170">INDEX(기계코드!$D$4:$D$1022,MATCH(1,(C170=기계코드!$F$4:$F$1022)*1,0))</f>
        <v>M_MED01</v>
      </c>
      <c r="E170" s="92" t="s">
        <v>1128</v>
      </c>
      <c r="F170" s="92" t="str" cm="1">
        <f t="array" ref="F170">INDEX(공급업체코드!$B$3:$B$1000,MATCH(1,(E170=공급업체코드!$D$3:$D$1000)*1,0))</f>
        <v>VM_BKT</v>
      </c>
      <c r="H170" s="312">
        <v>168</v>
      </c>
      <c r="I170" s="233" t="s">
        <v>1313</v>
      </c>
      <c r="K170" s="233" t="s">
        <v>1314</v>
      </c>
      <c r="L170" s="236">
        <f t="shared" si="7"/>
        <v>167832</v>
      </c>
      <c r="N170" s="113" t="s">
        <v>1315</v>
      </c>
      <c r="O170" s="1" t="b">
        <v>1</v>
      </c>
      <c r="Q170" s="34"/>
    </row>
    <row r="171" spans="2:17">
      <c r="B171" s="1" t="str">
        <f t="shared" si="8"/>
        <v>M_MED01_VM_BKT_169</v>
      </c>
      <c r="C171" s="92" t="s">
        <v>727</v>
      </c>
      <c r="D171" s="92" t="str" cm="1">
        <f t="array" ref="D171">INDEX(기계코드!$D$4:$D$1022,MATCH(1,(C171=기계코드!$F$4:$F$1022)*1,0))</f>
        <v>M_MED01</v>
      </c>
      <c r="E171" s="92" t="s">
        <v>1128</v>
      </c>
      <c r="F171" s="92" t="str" cm="1">
        <f t="array" ref="F171">INDEX(공급업체코드!$B$3:$B$1000,MATCH(1,(E171=공급업체코드!$D$3:$D$1000)*1,0))</f>
        <v>VM_BKT</v>
      </c>
      <c r="H171" s="312">
        <v>169</v>
      </c>
      <c r="I171" s="233" t="s">
        <v>1313</v>
      </c>
      <c r="K171" s="233" t="s">
        <v>1314</v>
      </c>
      <c r="L171" s="236">
        <f t="shared" si="7"/>
        <v>168831</v>
      </c>
      <c r="N171" s="113" t="s">
        <v>1315</v>
      </c>
      <c r="O171" s="1" t="b">
        <v>1</v>
      </c>
      <c r="Q171" s="34"/>
    </row>
    <row r="172" spans="2:17">
      <c r="B172" s="1" t="str">
        <f t="shared" si="8"/>
        <v>M_MED01_VM_BKT_170</v>
      </c>
      <c r="C172" s="92" t="s">
        <v>727</v>
      </c>
      <c r="D172" s="92" t="str" cm="1">
        <f t="array" ref="D172">INDEX(기계코드!$D$4:$D$1022,MATCH(1,(C172=기계코드!$F$4:$F$1022)*1,0))</f>
        <v>M_MED01</v>
      </c>
      <c r="E172" s="92" t="s">
        <v>1128</v>
      </c>
      <c r="F172" s="92" t="str" cm="1">
        <f t="array" ref="F172">INDEX(공급업체코드!$B$3:$B$1000,MATCH(1,(E172=공급업체코드!$D$3:$D$1000)*1,0))</f>
        <v>VM_BKT</v>
      </c>
      <c r="H172" s="312">
        <v>170</v>
      </c>
      <c r="I172" s="233" t="s">
        <v>1313</v>
      </c>
      <c r="K172" s="233" t="s">
        <v>1314</v>
      </c>
      <c r="L172" s="236">
        <f t="shared" si="7"/>
        <v>169830</v>
      </c>
      <c r="N172" s="113" t="s">
        <v>1315</v>
      </c>
      <c r="O172" s="1" t="b">
        <v>1</v>
      </c>
      <c r="Q172" s="34"/>
    </row>
    <row r="173" spans="2:17">
      <c r="B173" s="1" t="str">
        <f t="shared" si="8"/>
        <v>M_MED01_VM_BKT_171</v>
      </c>
      <c r="C173" s="92" t="s">
        <v>727</v>
      </c>
      <c r="D173" s="92" t="str" cm="1">
        <f t="array" ref="D173">INDEX(기계코드!$D$4:$D$1022,MATCH(1,(C173=기계코드!$F$4:$F$1022)*1,0))</f>
        <v>M_MED01</v>
      </c>
      <c r="E173" s="92" t="s">
        <v>1128</v>
      </c>
      <c r="F173" s="92" t="str" cm="1">
        <f t="array" ref="F173">INDEX(공급업체코드!$B$3:$B$1000,MATCH(1,(E173=공급업체코드!$D$3:$D$1000)*1,0))</f>
        <v>VM_BKT</v>
      </c>
      <c r="H173" s="312">
        <v>171</v>
      </c>
      <c r="I173" s="233" t="s">
        <v>1313</v>
      </c>
      <c r="K173" s="233" t="s">
        <v>1314</v>
      </c>
      <c r="L173" s="236">
        <f t="shared" si="7"/>
        <v>170829</v>
      </c>
      <c r="N173" s="113" t="s">
        <v>1315</v>
      </c>
      <c r="O173" s="1" t="b">
        <v>1</v>
      </c>
      <c r="Q173" s="34"/>
    </row>
    <row r="174" spans="2:17">
      <c r="B174" s="1" t="str">
        <f t="shared" si="8"/>
        <v>M_MED01_VM_BKT_172</v>
      </c>
      <c r="C174" s="92" t="s">
        <v>727</v>
      </c>
      <c r="D174" s="92" t="str" cm="1">
        <f t="array" ref="D174">INDEX(기계코드!$D$4:$D$1022,MATCH(1,(C174=기계코드!$F$4:$F$1022)*1,0))</f>
        <v>M_MED01</v>
      </c>
      <c r="E174" s="92" t="s">
        <v>1128</v>
      </c>
      <c r="F174" s="92" t="str" cm="1">
        <f t="array" ref="F174">INDEX(공급업체코드!$B$3:$B$1000,MATCH(1,(E174=공급업체코드!$D$3:$D$1000)*1,0))</f>
        <v>VM_BKT</v>
      </c>
      <c r="H174" s="312">
        <v>172</v>
      </c>
      <c r="I174" s="233" t="s">
        <v>1313</v>
      </c>
      <c r="K174" s="233" t="s">
        <v>1314</v>
      </c>
      <c r="L174" s="236">
        <f t="shared" si="7"/>
        <v>171828</v>
      </c>
      <c r="N174" s="113" t="s">
        <v>1315</v>
      </c>
      <c r="O174" s="1" t="b">
        <v>1</v>
      </c>
      <c r="Q174" s="34"/>
    </row>
    <row r="175" spans="2:17">
      <c r="B175" s="1" t="str">
        <f t="shared" si="8"/>
        <v>M_MED01_VM_BKT_173</v>
      </c>
      <c r="C175" s="92" t="s">
        <v>727</v>
      </c>
      <c r="D175" s="92" t="str" cm="1">
        <f t="array" ref="D175">INDEX(기계코드!$D$4:$D$1022,MATCH(1,(C175=기계코드!$F$4:$F$1022)*1,0))</f>
        <v>M_MED01</v>
      </c>
      <c r="E175" s="92" t="s">
        <v>1128</v>
      </c>
      <c r="F175" s="92" t="str" cm="1">
        <f t="array" ref="F175">INDEX(공급업체코드!$B$3:$B$1000,MATCH(1,(E175=공급업체코드!$D$3:$D$1000)*1,0))</f>
        <v>VM_BKT</v>
      </c>
      <c r="H175" s="312">
        <v>173</v>
      </c>
      <c r="I175" s="233" t="s">
        <v>1313</v>
      </c>
      <c r="K175" s="233" t="s">
        <v>1314</v>
      </c>
      <c r="L175" s="236">
        <f t="shared" si="7"/>
        <v>172827</v>
      </c>
      <c r="N175" s="113" t="s">
        <v>1315</v>
      </c>
      <c r="O175" s="1" t="b">
        <v>1</v>
      </c>
      <c r="Q175" s="34"/>
    </row>
    <row r="176" spans="2:17">
      <c r="B176" s="1" t="str">
        <f t="shared" si="8"/>
        <v>M_MED01_VM_BKT_174</v>
      </c>
      <c r="C176" s="92" t="s">
        <v>727</v>
      </c>
      <c r="D176" s="92" t="str" cm="1">
        <f t="array" ref="D176">INDEX(기계코드!$D$4:$D$1022,MATCH(1,(C176=기계코드!$F$4:$F$1022)*1,0))</f>
        <v>M_MED01</v>
      </c>
      <c r="E176" s="92" t="s">
        <v>1128</v>
      </c>
      <c r="F176" s="92" t="str" cm="1">
        <f t="array" ref="F176">INDEX(공급업체코드!$B$3:$B$1000,MATCH(1,(E176=공급업체코드!$D$3:$D$1000)*1,0))</f>
        <v>VM_BKT</v>
      </c>
      <c r="H176" s="312">
        <v>174</v>
      </c>
      <c r="I176" s="233" t="s">
        <v>1313</v>
      </c>
      <c r="K176" s="233" t="s">
        <v>1314</v>
      </c>
      <c r="L176" s="236">
        <f t="shared" si="7"/>
        <v>173826</v>
      </c>
      <c r="N176" s="113" t="s">
        <v>1315</v>
      </c>
      <c r="O176" s="1" t="b">
        <v>1</v>
      </c>
      <c r="Q176" s="34"/>
    </row>
    <row r="177" spans="2:17">
      <c r="B177" s="1" t="str">
        <f t="shared" si="8"/>
        <v>M_MED01_VM_BKT_175</v>
      </c>
      <c r="C177" s="92" t="s">
        <v>727</v>
      </c>
      <c r="D177" s="92" t="str" cm="1">
        <f t="array" ref="D177">INDEX(기계코드!$D$4:$D$1022,MATCH(1,(C177=기계코드!$F$4:$F$1022)*1,0))</f>
        <v>M_MED01</v>
      </c>
      <c r="E177" s="92" t="s">
        <v>1128</v>
      </c>
      <c r="F177" s="92" t="str" cm="1">
        <f t="array" ref="F177">INDEX(공급업체코드!$B$3:$B$1000,MATCH(1,(E177=공급업체코드!$D$3:$D$1000)*1,0))</f>
        <v>VM_BKT</v>
      </c>
      <c r="H177" s="312">
        <v>175</v>
      </c>
      <c r="I177" s="233" t="s">
        <v>1313</v>
      </c>
      <c r="K177" s="233" t="s">
        <v>1314</v>
      </c>
      <c r="L177" s="236">
        <f t="shared" si="7"/>
        <v>174825</v>
      </c>
      <c r="N177" s="113" t="s">
        <v>1315</v>
      </c>
      <c r="O177" s="1" t="b">
        <v>1</v>
      </c>
      <c r="Q177" s="34"/>
    </row>
    <row r="178" spans="2:17">
      <c r="B178" s="1" t="str">
        <f t="shared" si="8"/>
        <v>M_MED01_VM_BKT_176</v>
      </c>
      <c r="C178" s="92" t="s">
        <v>727</v>
      </c>
      <c r="D178" s="92" t="str" cm="1">
        <f t="array" ref="D178">INDEX(기계코드!$D$4:$D$1022,MATCH(1,(C178=기계코드!$F$4:$F$1022)*1,0))</f>
        <v>M_MED01</v>
      </c>
      <c r="E178" s="92" t="s">
        <v>1128</v>
      </c>
      <c r="F178" s="92" t="str" cm="1">
        <f t="array" ref="F178">INDEX(공급업체코드!$B$3:$B$1000,MATCH(1,(E178=공급업체코드!$D$3:$D$1000)*1,0))</f>
        <v>VM_BKT</v>
      </c>
      <c r="H178" s="312">
        <v>176</v>
      </c>
      <c r="I178" s="233" t="s">
        <v>1313</v>
      </c>
      <c r="K178" s="233" t="s">
        <v>1314</v>
      </c>
      <c r="L178" s="236">
        <f t="shared" si="7"/>
        <v>175824</v>
      </c>
      <c r="N178" s="113" t="s">
        <v>1315</v>
      </c>
      <c r="O178" s="1" t="b">
        <v>1</v>
      </c>
      <c r="Q178" s="34"/>
    </row>
    <row r="179" spans="2:17">
      <c r="B179" s="1" t="str">
        <f t="shared" si="8"/>
        <v>M_MED01_VM_BKT_177</v>
      </c>
      <c r="C179" s="92" t="s">
        <v>727</v>
      </c>
      <c r="D179" s="92" t="str" cm="1">
        <f t="array" ref="D179">INDEX(기계코드!$D$4:$D$1022,MATCH(1,(C179=기계코드!$F$4:$F$1022)*1,0))</f>
        <v>M_MED01</v>
      </c>
      <c r="E179" s="92" t="s">
        <v>1128</v>
      </c>
      <c r="F179" s="92" t="str" cm="1">
        <f t="array" ref="F179">INDEX(공급업체코드!$B$3:$B$1000,MATCH(1,(E179=공급업체코드!$D$3:$D$1000)*1,0))</f>
        <v>VM_BKT</v>
      </c>
      <c r="H179" s="312">
        <v>177</v>
      </c>
      <c r="I179" s="233" t="s">
        <v>1313</v>
      </c>
      <c r="K179" s="233" t="s">
        <v>1314</v>
      </c>
      <c r="L179" s="236">
        <f t="shared" si="7"/>
        <v>176823</v>
      </c>
      <c r="N179" s="113" t="s">
        <v>1315</v>
      </c>
      <c r="O179" s="1" t="b">
        <v>1</v>
      </c>
      <c r="Q179" s="34"/>
    </row>
    <row r="180" spans="2:17">
      <c r="B180" s="1" t="str">
        <f t="shared" si="8"/>
        <v>M_MED01_VM_BKT_178</v>
      </c>
      <c r="C180" s="92" t="s">
        <v>727</v>
      </c>
      <c r="D180" s="92" t="str" cm="1">
        <f t="array" ref="D180">INDEX(기계코드!$D$4:$D$1022,MATCH(1,(C180=기계코드!$F$4:$F$1022)*1,0))</f>
        <v>M_MED01</v>
      </c>
      <c r="E180" s="92" t="s">
        <v>1128</v>
      </c>
      <c r="F180" s="92" t="str" cm="1">
        <f t="array" ref="F180">INDEX(공급업체코드!$B$3:$B$1000,MATCH(1,(E180=공급업체코드!$D$3:$D$1000)*1,0))</f>
        <v>VM_BKT</v>
      </c>
      <c r="H180" s="312">
        <v>178</v>
      </c>
      <c r="I180" s="233" t="s">
        <v>1313</v>
      </c>
      <c r="K180" s="233" t="s">
        <v>1314</v>
      </c>
      <c r="L180" s="236">
        <f t="shared" si="7"/>
        <v>177822</v>
      </c>
      <c r="N180" s="113" t="s">
        <v>1315</v>
      </c>
      <c r="O180" s="1" t="b">
        <v>1</v>
      </c>
      <c r="Q180" s="34"/>
    </row>
    <row r="181" spans="2:17">
      <c r="B181" s="1" t="str">
        <f t="shared" si="8"/>
        <v>M_MED01_VM_BKT_179</v>
      </c>
      <c r="C181" s="92" t="s">
        <v>727</v>
      </c>
      <c r="D181" s="92" t="str" cm="1">
        <f t="array" ref="D181">INDEX(기계코드!$D$4:$D$1022,MATCH(1,(C181=기계코드!$F$4:$F$1022)*1,0))</f>
        <v>M_MED01</v>
      </c>
      <c r="E181" s="92" t="s">
        <v>1128</v>
      </c>
      <c r="F181" s="92" t="str" cm="1">
        <f t="array" ref="F181">INDEX(공급업체코드!$B$3:$B$1000,MATCH(1,(E181=공급업체코드!$D$3:$D$1000)*1,0))</f>
        <v>VM_BKT</v>
      </c>
      <c r="H181" s="312">
        <v>179</v>
      </c>
      <c r="I181" s="233" t="s">
        <v>1313</v>
      </c>
      <c r="K181" s="233" t="s">
        <v>1314</v>
      </c>
      <c r="L181" s="236">
        <f t="shared" si="7"/>
        <v>178821</v>
      </c>
      <c r="N181" s="113" t="s">
        <v>1315</v>
      </c>
      <c r="O181" s="1" t="b">
        <v>1</v>
      </c>
      <c r="Q181" s="34"/>
    </row>
    <row r="182" spans="2:17">
      <c r="B182" s="1" t="str">
        <f t="shared" si="8"/>
        <v>M_MED01_VM_BKT_180</v>
      </c>
      <c r="C182" s="92" t="s">
        <v>727</v>
      </c>
      <c r="D182" s="92" t="str" cm="1">
        <f t="array" ref="D182">INDEX(기계코드!$D$4:$D$1022,MATCH(1,(C182=기계코드!$F$4:$F$1022)*1,0))</f>
        <v>M_MED01</v>
      </c>
      <c r="E182" s="92" t="s">
        <v>1128</v>
      </c>
      <c r="F182" s="92" t="str" cm="1">
        <f t="array" ref="F182">INDEX(공급업체코드!$B$3:$B$1000,MATCH(1,(E182=공급업체코드!$D$3:$D$1000)*1,0))</f>
        <v>VM_BKT</v>
      </c>
      <c r="H182" s="312">
        <v>180</v>
      </c>
      <c r="I182" s="233" t="s">
        <v>1313</v>
      </c>
      <c r="K182" s="233" t="s">
        <v>1314</v>
      </c>
      <c r="L182" s="236">
        <f t="shared" si="7"/>
        <v>179820</v>
      </c>
      <c r="N182" s="113" t="s">
        <v>1315</v>
      </c>
      <c r="O182" s="1" t="b">
        <v>1</v>
      </c>
      <c r="Q182" s="34"/>
    </row>
    <row r="183" spans="2:17">
      <c r="B183" s="1" t="str">
        <f t="shared" si="8"/>
        <v>M_MED01_VM_BKT_181</v>
      </c>
      <c r="C183" s="92" t="s">
        <v>727</v>
      </c>
      <c r="D183" s="92" t="str" cm="1">
        <f t="array" ref="D183">INDEX(기계코드!$D$4:$D$1022,MATCH(1,(C183=기계코드!$F$4:$F$1022)*1,0))</f>
        <v>M_MED01</v>
      </c>
      <c r="E183" s="92" t="s">
        <v>1128</v>
      </c>
      <c r="F183" s="92" t="str" cm="1">
        <f t="array" ref="F183">INDEX(공급업체코드!$B$3:$B$1000,MATCH(1,(E183=공급업체코드!$D$3:$D$1000)*1,0))</f>
        <v>VM_BKT</v>
      </c>
      <c r="H183" s="312">
        <v>181</v>
      </c>
      <c r="I183" s="233" t="s">
        <v>1313</v>
      </c>
      <c r="K183" s="233" t="s">
        <v>1314</v>
      </c>
      <c r="L183" s="236">
        <f t="shared" si="7"/>
        <v>180819</v>
      </c>
      <c r="N183" s="113" t="s">
        <v>1315</v>
      </c>
      <c r="O183" s="1" t="b">
        <v>1</v>
      </c>
      <c r="Q183" s="34"/>
    </row>
    <row r="184" spans="2:17">
      <c r="B184" s="1" t="str">
        <f t="shared" si="8"/>
        <v>M_MED01_VM_BKT_182</v>
      </c>
      <c r="C184" s="92" t="s">
        <v>727</v>
      </c>
      <c r="D184" s="92" t="str" cm="1">
        <f t="array" ref="D184">INDEX(기계코드!$D$4:$D$1022,MATCH(1,(C184=기계코드!$F$4:$F$1022)*1,0))</f>
        <v>M_MED01</v>
      </c>
      <c r="E184" s="92" t="s">
        <v>1128</v>
      </c>
      <c r="F184" s="92" t="str" cm="1">
        <f t="array" ref="F184">INDEX(공급업체코드!$B$3:$B$1000,MATCH(1,(E184=공급업체코드!$D$3:$D$1000)*1,0))</f>
        <v>VM_BKT</v>
      </c>
      <c r="H184" s="312">
        <v>182</v>
      </c>
      <c r="I184" s="233" t="s">
        <v>1313</v>
      </c>
      <c r="K184" s="233" t="s">
        <v>1314</v>
      </c>
      <c r="L184" s="236">
        <f t="shared" si="7"/>
        <v>181818</v>
      </c>
      <c r="N184" s="113" t="s">
        <v>1315</v>
      </c>
      <c r="O184" s="1" t="b">
        <v>1</v>
      </c>
      <c r="Q184" s="34"/>
    </row>
    <row r="185" spans="2:17">
      <c r="B185" s="1" t="str">
        <f t="shared" si="8"/>
        <v>M_MED01_VM_BKT_183</v>
      </c>
      <c r="C185" s="92" t="s">
        <v>727</v>
      </c>
      <c r="D185" s="92" t="str" cm="1">
        <f t="array" ref="D185">INDEX(기계코드!$D$4:$D$1022,MATCH(1,(C185=기계코드!$F$4:$F$1022)*1,0))</f>
        <v>M_MED01</v>
      </c>
      <c r="E185" s="92" t="s">
        <v>1128</v>
      </c>
      <c r="F185" s="92" t="str" cm="1">
        <f t="array" ref="F185">INDEX(공급업체코드!$B$3:$B$1000,MATCH(1,(E185=공급업체코드!$D$3:$D$1000)*1,0))</f>
        <v>VM_BKT</v>
      </c>
      <c r="H185" s="312">
        <v>183</v>
      </c>
      <c r="I185" s="233" t="s">
        <v>1313</v>
      </c>
      <c r="K185" s="233" t="s">
        <v>1314</v>
      </c>
      <c r="L185" s="236">
        <f t="shared" si="7"/>
        <v>182817</v>
      </c>
      <c r="N185" s="113" t="s">
        <v>1315</v>
      </c>
      <c r="O185" s="1" t="b">
        <v>1</v>
      </c>
      <c r="Q185" s="34"/>
    </row>
    <row r="186" spans="2:17">
      <c r="B186" s="1" t="str">
        <f t="shared" si="8"/>
        <v>M_MED01_VM_BKT_184</v>
      </c>
      <c r="C186" s="92" t="s">
        <v>727</v>
      </c>
      <c r="D186" s="92" t="str" cm="1">
        <f t="array" ref="D186">INDEX(기계코드!$D$4:$D$1022,MATCH(1,(C186=기계코드!$F$4:$F$1022)*1,0))</f>
        <v>M_MED01</v>
      </c>
      <c r="E186" s="92" t="s">
        <v>1128</v>
      </c>
      <c r="F186" s="92" t="str" cm="1">
        <f t="array" ref="F186">INDEX(공급업체코드!$B$3:$B$1000,MATCH(1,(E186=공급업체코드!$D$3:$D$1000)*1,0))</f>
        <v>VM_BKT</v>
      </c>
      <c r="H186" s="312">
        <v>184</v>
      </c>
      <c r="I186" s="233" t="s">
        <v>1313</v>
      </c>
      <c r="K186" s="233" t="s">
        <v>1314</v>
      </c>
      <c r="L186" s="236">
        <f t="shared" si="7"/>
        <v>183816</v>
      </c>
      <c r="N186" s="113" t="s">
        <v>1315</v>
      </c>
      <c r="O186" s="1" t="b">
        <v>1</v>
      </c>
      <c r="Q186" s="34"/>
    </row>
    <row r="187" spans="2:17">
      <c r="B187" s="1" t="str">
        <f t="shared" si="8"/>
        <v>M_MED01_VM_BKT_185</v>
      </c>
      <c r="C187" s="92" t="s">
        <v>727</v>
      </c>
      <c r="D187" s="92" t="str" cm="1">
        <f t="array" ref="D187">INDEX(기계코드!$D$4:$D$1022,MATCH(1,(C187=기계코드!$F$4:$F$1022)*1,0))</f>
        <v>M_MED01</v>
      </c>
      <c r="E187" s="92" t="s">
        <v>1128</v>
      </c>
      <c r="F187" s="92" t="str" cm="1">
        <f t="array" ref="F187">INDEX(공급업체코드!$B$3:$B$1000,MATCH(1,(E187=공급업체코드!$D$3:$D$1000)*1,0))</f>
        <v>VM_BKT</v>
      </c>
      <c r="H187" s="312">
        <v>185</v>
      </c>
      <c r="I187" s="233" t="s">
        <v>1313</v>
      </c>
      <c r="K187" s="233" t="s">
        <v>1314</v>
      </c>
      <c r="L187" s="236">
        <f t="shared" si="7"/>
        <v>184815</v>
      </c>
      <c r="N187" s="113" t="s">
        <v>1315</v>
      </c>
      <c r="O187" s="1" t="b">
        <v>1</v>
      </c>
      <c r="Q187" s="34"/>
    </row>
    <row r="188" spans="2:17">
      <c r="B188" s="1" t="str">
        <f t="shared" si="8"/>
        <v>M_MED01_VM_BKT_186</v>
      </c>
      <c r="C188" s="92" t="s">
        <v>727</v>
      </c>
      <c r="D188" s="92" t="str" cm="1">
        <f t="array" ref="D188">INDEX(기계코드!$D$4:$D$1022,MATCH(1,(C188=기계코드!$F$4:$F$1022)*1,0))</f>
        <v>M_MED01</v>
      </c>
      <c r="E188" s="92" t="s">
        <v>1128</v>
      </c>
      <c r="F188" s="92" t="str" cm="1">
        <f t="array" ref="F188">INDEX(공급업체코드!$B$3:$B$1000,MATCH(1,(E188=공급업체코드!$D$3:$D$1000)*1,0))</f>
        <v>VM_BKT</v>
      </c>
      <c r="H188" s="312">
        <v>186</v>
      </c>
      <c r="I188" s="233" t="s">
        <v>1313</v>
      </c>
      <c r="K188" s="233" t="s">
        <v>1314</v>
      </c>
      <c r="L188" s="236">
        <f t="shared" si="7"/>
        <v>185814</v>
      </c>
      <c r="N188" s="113" t="s">
        <v>1315</v>
      </c>
      <c r="O188" s="1" t="b">
        <v>1</v>
      </c>
      <c r="Q188" s="34"/>
    </row>
    <row r="189" spans="2:17">
      <c r="B189" s="1" t="str">
        <f t="shared" si="8"/>
        <v>M_MED01_VM_BKT_187</v>
      </c>
      <c r="C189" s="92" t="s">
        <v>727</v>
      </c>
      <c r="D189" s="92" t="str" cm="1">
        <f t="array" ref="D189">INDEX(기계코드!$D$4:$D$1022,MATCH(1,(C189=기계코드!$F$4:$F$1022)*1,0))</f>
        <v>M_MED01</v>
      </c>
      <c r="E189" s="92" t="s">
        <v>1128</v>
      </c>
      <c r="F189" s="92" t="str" cm="1">
        <f t="array" ref="F189">INDEX(공급업체코드!$B$3:$B$1000,MATCH(1,(E189=공급업체코드!$D$3:$D$1000)*1,0))</f>
        <v>VM_BKT</v>
      </c>
      <c r="H189" s="312">
        <v>187</v>
      </c>
      <c r="I189" s="233" t="s">
        <v>1313</v>
      </c>
      <c r="K189" s="233" t="s">
        <v>1314</v>
      </c>
      <c r="L189" s="236">
        <f t="shared" si="7"/>
        <v>186813</v>
      </c>
      <c r="N189" s="113" t="s">
        <v>1315</v>
      </c>
      <c r="O189" s="1" t="b">
        <v>1</v>
      </c>
      <c r="Q189" s="34"/>
    </row>
    <row r="190" spans="2:17">
      <c r="B190" s="1" t="str">
        <f t="shared" si="8"/>
        <v>M_MED01_VM_BKT_188</v>
      </c>
      <c r="C190" s="92" t="s">
        <v>727</v>
      </c>
      <c r="D190" s="92" t="str" cm="1">
        <f t="array" ref="D190">INDEX(기계코드!$D$4:$D$1022,MATCH(1,(C190=기계코드!$F$4:$F$1022)*1,0))</f>
        <v>M_MED01</v>
      </c>
      <c r="E190" s="92" t="s">
        <v>1128</v>
      </c>
      <c r="F190" s="92" t="str" cm="1">
        <f t="array" ref="F190">INDEX(공급업체코드!$B$3:$B$1000,MATCH(1,(E190=공급업체코드!$D$3:$D$1000)*1,0))</f>
        <v>VM_BKT</v>
      </c>
      <c r="H190" s="312">
        <v>188</v>
      </c>
      <c r="I190" s="233" t="s">
        <v>1313</v>
      </c>
      <c r="K190" s="233" t="s">
        <v>1314</v>
      </c>
      <c r="L190" s="236">
        <f t="shared" si="7"/>
        <v>187812</v>
      </c>
      <c r="N190" s="113" t="s">
        <v>1315</v>
      </c>
      <c r="O190" s="1" t="b">
        <v>1</v>
      </c>
      <c r="Q190" s="34"/>
    </row>
    <row r="191" spans="2:17">
      <c r="B191" s="1" t="str">
        <f t="shared" si="8"/>
        <v>M_MED01_VM_BKT_189</v>
      </c>
      <c r="C191" s="92" t="s">
        <v>727</v>
      </c>
      <c r="D191" s="92" t="str" cm="1">
        <f t="array" ref="D191">INDEX(기계코드!$D$4:$D$1022,MATCH(1,(C191=기계코드!$F$4:$F$1022)*1,0))</f>
        <v>M_MED01</v>
      </c>
      <c r="E191" s="92" t="s">
        <v>1128</v>
      </c>
      <c r="F191" s="92" t="str" cm="1">
        <f t="array" ref="F191">INDEX(공급업체코드!$B$3:$B$1000,MATCH(1,(E191=공급업체코드!$D$3:$D$1000)*1,0))</f>
        <v>VM_BKT</v>
      </c>
      <c r="H191" s="312">
        <v>189</v>
      </c>
      <c r="I191" s="233" t="s">
        <v>1313</v>
      </c>
      <c r="K191" s="233" t="s">
        <v>1314</v>
      </c>
      <c r="L191" s="236">
        <f t="shared" si="7"/>
        <v>188811</v>
      </c>
      <c r="N191" s="113" t="s">
        <v>1315</v>
      </c>
      <c r="O191" s="1" t="b">
        <v>1</v>
      </c>
      <c r="Q191" s="34"/>
    </row>
    <row r="192" spans="2:17">
      <c r="B192" s="1" t="str">
        <f t="shared" si="8"/>
        <v>M_MED01_VM_BKT_190</v>
      </c>
      <c r="C192" s="92" t="s">
        <v>727</v>
      </c>
      <c r="D192" s="92" t="str" cm="1">
        <f t="array" ref="D192">INDEX(기계코드!$D$4:$D$1022,MATCH(1,(C192=기계코드!$F$4:$F$1022)*1,0))</f>
        <v>M_MED01</v>
      </c>
      <c r="E192" s="92" t="s">
        <v>1128</v>
      </c>
      <c r="F192" s="92" t="str" cm="1">
        <f t="array" ref="F192">INDEX(공급업체코드!$B$3:$B$1000,MATCH(1,(E192=공급업체코드!$D$3:$D$1000)*1,0))</f>
        <v>VM_BKT</v>
      </c>
      <c r="H192" s="312">
        <v>190</v>
      </c>
      <c r="I192" s="233" t="s">
        <v>1313</v>
      </c>
      <c r="K192" s="233" t="s">
        <v>1314</v>
      </c>
      <c r="L192" s="236">
        <f t="shared" si="7"/>
        <v>189810</v>
      </c>
      <c r="N192" s="113" t="s">
        <v>1315</v>
      </c>
      <c r="O192" s="1" t="b">
        <v>1</v>
      </c>
      <c r="Q192" s="34"/>
    </row>
    <row r="193" spans="2:17">
      <c r="B193" s="1" t="str">
        <f t="shared" si="8"/>
        <v>M_MED01_VM_BKT_191</v>
      </c>
      <c r="C193" s="92" t="s">
        <v>727</v>
      </c>
      <c r="D193" s="92" t="str" cm="1">
        <f t="array" ref="D193">INDEX(기계코드!$D$4:$D$1022,MATCH(1,(C193=기계코드!$F$4:$F$1022)*1,0))</f>
        <v>M_MED01</v>
      </c>
      <c r="E193" s="92" t="s">
        <v>1128</v>
      </c>
      <c r="F193" s="92" t="str" cm="1">
        <f t="array" ref="F193">INDEX(공급업체코드!$B$3:$B$1000,MATCH(1,(E193=공급업체코드!$D$3:$D$1000)*1,0))</f>
        <v>VM_BKT</v>
      </c>
      <c r="H193" s="312">
        <v>191</v>
      </c>
      <c r="I193" s="233" t="s">
        <v>1313</v>
      </c>
      <c r="K193" s="233" t="s">
        <v>1314</v>
      </c>
      <c r="L193" s="236">
        <f t="shared" si="7"/>
        <v>190809</v>
      </c>
      <c r="N193" s="113" t="s">
        <v>1315</v>
      </c>
      <c r="O193" s="1" t="b">
        <v>1</v>
      </c>
      <c r="Q193" s="34"/>
    </row>
    <row r="194" spans="2:17">
      <c r="B194" s="1" t="str">
        <f t="shared" si="8"/>
        <v>M_MED01_VM_BKT_192</v>
      </c>
      <c r="C194" s="92" t="s">
        <v>727</v>
      </c>
      <c r="D194" s="92" t="str" cm="1">
        <f t="array" ref="D194">INDEX(기계코드!$D$4:$D$1022,MATCH(1,(C194=기계코드!$F$4:$F$1022)*1,0))</f>
        <v>M_MED01</v>
      </c>
      <c r="E194" s="92" t="s">
        <v>1128</v>
      </c>
      <c r="F194" s="92" t="str" cm="1">
        <f t="array" ref="F194">INDEX(공급업체코드!$B$3:$B$1000,MATCH(1,(E194=공급업체코드!$D$3:$D$1000)*1,0))</f>
        <v>VM_BKT</v>
      </c>
      <c r="H194" s="312">
        <v>192</v>
      </c>
      <c r="I194" s="233" t="s">
        <v>1313</v>
      </c>
      <c r="K194" s="233" t="s">
        <v>1314</v>
      </c>
      <c r="L194" s="236">
        <f t="shared" si="7"/>
        <v>191808</v>
      </c>
      <c r="N194" s="113" t="s">
        <v>1315</v>
      </c>
      <c r="O194" s="1" t="b">
        <v>1</v>
      </c>
      <c r="Q194" s="34"/>
    </row>
    <row r="195" spans="2:17">
      <c r="B195" s="1" t="str">
        <f t="shared" si="8"/>
        <v>M_MED01_VM_BKT_193</v>
      </c>
      <c r="C195" s="92" t="s">
        <v>727</v>
      </c>
      <c r="D195" s="92" t="str" cm="1">
        <f t="array" ref="D195">INDEX(기계코드!$D$4:$D$1022,MATCH(1,(C195=기계코드!$F$4:$F$1022)*1,0))</f>
        <v>M_MED01</v>
      </c>
      <c r="E195" s="92" t="s">
        <v>1128</v>
      </c>
      <c r="F195" s="92" t="str" cm="1">
        <f t="array" ref="F195">INDEX(공급업체코드!$B$3:$B$1000,MATCH(1,(E195=공급업체코드!$D$3:$D$1000)*1,0))</f>
        <v>VM_BKT</v>
      </c>
      <c r="H195" s="312">
        <v>193</v>
      </c>
      <c r="I195" s="233" t="s">
        <v>1313</v>
      </c>
      <c r="K195" s="233" t="s">
        <v>1314</v>
      </c>
      <c r="L195" s="236">
        <f t="shared" si="7"/>
        <v>192807</v>
      </c>
      <c r="N195" s="113" t="s">
        <v>1315</v>
      </c>
      <c r="O195" s="1" t="b">
        <v>1</v>
      </c>
      <c r="Q195" s="34"/>
    </row>
    <row r="196" spans="2:17">
      <c r="B196" s="1" t="str">
        <f t="shared" si="8"/>
        <v>M_MED01_VM_BKT_194</v>
      </c>
      <c r="C196" s="92" t="s">
        <v>727</v>
      </c>
      <c r="D196" s="92" t="str" cm="1">
        <f t="array" ref="D196">INDEX(기계코드!$D$4:$D$1022,MATCH(1,(C196=기계코드!$F$4:$F$1022)*1,0))</f>
        <v>M_MED01</v>
      </c>
      <c r="E196" s="92" t="s">
        <v>1128</v>
      </c>
      <c r="F196" s="92" t="str" cm="1">
        <f t="array" ref="F196">INDEX(공급업체코드!$B$3:$B$1000,MATCH(1,(E196=공급업체코드!$D$3:$D$1000)*1,0))</f>
        <v>VM_BKT</v>
      </c>
      <c r="H196" s="312">
        <v>194</v>
      </c>
      <c r="I196" s="233" t="s">
        <v>1313</v>
      </c>
      <c r="K196" s="233" t="s">
        <v>1314</v>
      </c>
      <c r="L196" s="236">
        <f t="shared" si="7"/>
        <v>193806</v>
      </c>
      <c r="N196" s="113" t="s">
        <v>1315</v>
      </c>
      <c r="O196" s="1" t="b">
        <v>1</v>
      </c>
      <c r="Q196" s="34"/>
    </row>
    <row r="197" spans="2:17">
      <c r="B197" s="1" t="str">
        <f t="shared" si="8"/>
        <v>M_MED01_VM_BKT_195</v>
      </c>
      <c r="C197" s="92" t="s">
        <v>727</v>
      </c>
      <c r="D197" s="92" t="str" cm="1">
        <f t="array" ref="D197">INDEX(기계코드!$D$4:$D$1022,MATCH(1,(C197=기계코드!$F$4:$F$1022)*1,0))</f>
        <v>M_MED01</v>
      </c>
      <c r="E197" s="92" t="s">
        <v>1128</v>
      </c>
      <c r="F197" s="92" t="str" cm="1">
        <f t="array" ref="F197">INDEX(공급업체코드!$B$3:$B$1000,MATCH(1,(E197=공급업체코드!$D$3:$D$1000)*1,0))</f>
        <v>VM_BKT</v>
      </c>
      <c r="H197" s="312">
        <v>195</v>
      </c>
      <c r="I197" s="233" t="s">
        <v>1313</v>
      </c>
      <c r="K197" s="233" t="s">
        <v>1314</v>
      </c>
      <c r="L197" s="236">
        <f t="shared" ref="L197:L260" si="9">$L$3*H197</f>
        <v>194805</v>
      </c>
      <c r="N197" s="113" t="s">
        <v>1315</v>
      </c>
      <c r="O197" s="1" t="b">
        <v>1</v>
      </c>
      <c r="Q197" s="34"/>
    </row>
    <row r="198" spans="2:17">
      <c r="B198" s="1" t="str">
        <f t="shared" si="8"/>
        <v>M_MED01_VM_BKT_196</v>
      </c>
      <c r="C198" s="92" t="s">
        <v>727</v>
      </c>
      <c r="D198" s="92" t="str" cm="1">
        <f t="array" ref="D198">INDEX(기계코드!$D$4:$D$1022,MATCH(1,(C198=기계코드!$F$4:$F$1022)*1,0))</f>
        <v>M_MED01</v>
      </c>
      <c r="E198" s="92" t="s">
        <v>1128</v>
      </c>
      <c r="F198" s="92" t="str" cm="1">
        <f t="array" ref="F198">INDEX(공급업체코드!$B$3:$B$1000,MATCH(1,(E198=공급업체코드!$D$3:$D$1000)*1,0))</f>
        <v>VM_BKT</v>
      </c>
      <c r="H198" s="312">
        <v>196</v>
      </c>
      <c r="I198" s="233" t="s">
        <v>1313</v>
      </c>
      <c r="K198" s="233" t="s">
        <v>1314</v>
      </c>
      <c r="L198" s="236">
        <f t="shared" si="9"/>
        <v>195804</v>
      </c>
      <c r="N198" s="113" t="s">
        <v>1315</v>
      </c>
      <c r="O198" s="1" t="b">
        <v>1</v>
      </c>
      <c r="Q198" s="34"/>
    </row>
    <row r="199" spans="2:17">
      <c r="B199" s="1" t="str">
        <f t="shared" ref="B199:B262" si="10">D199&amp;"_"&amp;F199&amp;"_"&amp;H199</f>
        <v>M_MED01_VM_BKT_197</v>
      </c>
      <c r="C199" s="92" t="s">
        <v>727</v>
      </c>
      <c r="D199" s="92" t="str" cm="1">
        <f t="array" ref="D199">INDEX(기계코드!$D$4:$D$1022,MATCH(1,(C199=기계코드!$F$4:$F$1022)*1,0))</f>
        <v>M_MED01</v>
      </c>
      <c r="E199" s="92" t="s">
        <v>1128</v>
      </c>
      <c r="F199" s="92" t="str" cm="1">
        <f t="array" ref="F199">INDEX(공급업체코드!$B$3:$B$1000,MATCH(1,(E199=공급업체코드!$D$3:$D$1000)*1,0))</f>
        <v>VM_BKT</v>
      </c>
      <c r="H199" s="312">
        <v>197</v>
      </c>
      <c r="I199" s="233" t="s">
        <v>1313</v>
      </c>
      <c r="K199" s="233" t="s">
        <v>1314</v>
      </c>
      <c r="L199" s="236">
        <f t="shared" si="9"/>
        <v>196803</v>
      </c>
      <c r="N199" s="113" t="s">
        <v>1315</v>
      </c>
      <c r="O199" s="1" t="b">
        <v>1</v>
      </c>
      <c r="Q199" s="34"/>
    </row>
    <row r="200" spans="2:17">
      <c r="B200" s="1" t="str">
        <f t="shared" si="10"/>
        <v>M_MED01_VM_BKT_198</v>
      </c>
      <c r="C200" s="92" t="s">
        <v>727</v>
      </c>
      <c r="D200" s="92" t="str" cm="1">
        <f t="array" ref="D200">INDEX(기계코드!$D$4:$D$1022,MATCH(1,(C200=기계코드!$F$4:$F$1022)*1,0))</f>
        <v>M_MED01</v>
      </c>
      <c r="E200" s="92" t="s">
        <v>1128</v>
      </c>
      <c r="F200" s="92" t="str" cm="1">
        <f t="array" ref="F200">INDEX(공급업체코드!$B$3:$B$1000,MATCH(1,(E200=공급업체코드!$D$3:$D$1000)*1,0))</f>
        <v>VM_BKT</v>
      </c>
      <c r="H200" s="312">
        <v>198</v>
      </c>
      <c r="I200" s="233" t="s">
        <v>1313</v>
      </c>
      <c r="K200" s="233" t="s">
        <v>1314</v>
      </c>
      <c r="L200" s="236">
        <f t="shared" si="9"/>
        <v>197802</v>
      </c>
      <c r="N200" s="113" t="s">
        <v>1315</v>
      </c>
      <c r="O200" s="1" t="b">
        <v>1</v>
      </c>
      <c r="Q200" s="34"/>
    </row>
    <row r="201" spans="2:17">
      <c r="B201" s="1" t="str">
        <f t="shared" si="10"/>
        <v>M_MED01_VM_BKT_199</v>
      </c>
      <c r="C201" s="92" t="s">
        <v>727</v>
      </c>
      <c r="D201" s="92" t="str" cm="1">
        <f t="array" ref="D201">INDEX(기계코드!$D$4:$D$1022,MATCH(1,(C201=기계코드!$F$4:$F$1022)*1,0))</f>
        <v>M_MED01</v>
      </c>
      <c r="E201" s="92" t="s">
        <v>1128</v>
      </c>
      <c r="F201" s="92" t="str" cm="1">
        <f t="array" ref="F201">INDEX(공급업체코드!$B$3:$B$1000,MATCH(1,(E201=공급업체코드!$D$3:$D$1000)*1,0))</f>
        <v>VM_BKT</v>
      </c>
      <c r="H201" s="312">
        <v>199</v>
      </c>
      <c r="I201" s="233" t="s">
        <v>1313</v>
      </c>
      <c r="K201" s="233" t="s">
        <v>1314</v>
      </c>
      <c r="L201" s="236">
        <f t="shared" si="9"/>
        <v>198801</v>
      </c>
      <c r="N201" s="113" t="s">
        <v>1315</v>
      </c>
      <c r="O201" s="1" t="b">
        <v>1</v>
      </c>
      <c r="Q201" s="34"/>
    </row>
    <row r="202" spans="2:17">
      <c r="B202" s="1" t="str">
        <f t="shared" si="10"/>
        <v>M_MED01_VM_BKT_200</v>
      </c>
      <c r="C202" s="92" t="s">
        <v>727</v>
      </c>
      <c r="D202" s="92" t="str" cm="1">
        <f t="array" ref="D202">INDEX(기계코드!$D$4:$D$1022,MATCH(1,(C202=기계코드!$F$4:$F$1022)*1,0))</f>
        <v>M_MED01</v>
      </c>
      <c r="E202" s="92" t="s">
        <v>1128</v>
      </c>
      <c r="F202" s="92" t="str" cm="1">
        <f t="array" ref="F202">INDEX(공급업체코드!$B$3:$B$1000,MATCH(1,(E202=공급업체코드!$D$3:$D$1000)*1,0))</f>
        <v>VM_BKT</v>
      </c>
      <c r="H202" s="312">
        <v>200</v>
      </c>
      <c r="I202" s="233" t="s">
        <v>1313</v>
      </c>
      <c r="K202" s="233" t="s">
        <v>1314</v>
      </c>
      <c r="L202" s="236">
        <f t="shared" si="9"/>
        <v>199800</v>
      </c>
      <c r="N202" s="113" t="s">
        <v>1315</v>
      </c>
      <c r="O202" s="1" t="b">
        <v>1</v>
      </c>
      <c r="Q202" s="34"/>
    </row>
    <row r="203" spans="2:17">
      <c r="B203" s="1" t="str">
        <f t="shared" si="10"/>
        <v>M_MED01_VM_BKT_201</v>
      </c>
      <c r="C203" s="92" t="s">
        <v>727</v>
      </c>
      <c r="D203" s="92" t="str" cm="1">
        <f t="array" ref="D203">INDEX(기계코드!$D$4:$D$1022,MATCH(1,(C203=기계코드!$F$4:$F$1022)*1,0))</f>
        <v>M_MED01</v>
      </c>
      <c r="E203" s="92" t="s">
        <v>1128</v>
      </c>
      <c r="F203" s="92" t="str" cm="1">
        <f t="array" ref="F203">INDEX(공급업체코드!$B$3:$B$1000,MATCH(1,(E203=공급업체코드!$D$3:$D$1000)*1,0))</f>
        <v>VM_BKT</v>
      </c>
      <c r="H203" s="312">
        <v>201</v>
      </c>
      <c r="I203" s="233" t="s">
        <v>1313</v>
      </c>
      <c r="K203" s="233" t="s">
        <v>1314</v>
      </c>
      <c r="L203" s="236">
        <f t="shared" si="9"/>
        <v>200799</v>
      </c>
      <c r="N203" s="113" t="s">
        <v>1315</v>
      </c>
      <c r="O203" s="1" t="b">
        <v>1</v>
      </c>
      <c r="Q203" s="34"/>
    </row>
    <row r="204" spans="2:17">
      <c r="B204" s="1" t="str">
        <f t="shared" si="10"/>
        <v>M_MED01_VM_BKT_202</v>
      </c>
      <c r="C204" s="92" t="s">
        <v>727</v>
      </c>
      <c r="D204" s="92" t="str" cm="1">
        <f t="array" ref="D204">INDEX(기계코드!$D$4:$D$1022,MATCH(1,(C204=기계코드!$F$4:$F$1022)*1,0))</f>
        <v>M_MED01</v>
      </c>
      <c r="E204" s="92" t="s">
        <v>1128</v>
      </c>
      <c r="F204" s="92" t="str" cm="1">
        <f t="array" ref="F204">INDEX(공급업체코드!$B$3:$B$1000,MATCH(1,(E204=공급업체코드!$D$3:$D$1000)*1,0))</f>
        <v>VM_BKT</v>
      </c>
      <c r="H204" s="312">
        <v>202</v>
      </c>
      <c r="I204" s="233" t="s">
        <v>1313</v>
      </c>
      <c r="K204" s="233" t="s">
        <v>1314</v>
      </c>
      <c r="L204" s="236">
        <f t="shared" si="9"/>
        <v>201798</v>
      </c>
      <c r="N204" s="113" t="s">
        <v>1315</v>
      </c>
      <c r="O204" s="1" t="b">
        <v>1</v>
      </c>
      <c r="Q204" s="34"/>
    </row>
    <row r="205" spans="2:17">
      <c r="B205" s="1" t="str">
        <f t="shared" si="10"/>
        <v>M_MED01_VM_BKT_203</v>
      </c>
      <c r="C205" s="92" t="s">
        <v>727</v>
      </c>
      <c r="D205" s="92" t="str" cm="1">
        <f t="array" ref="D205">INDEX(기계코드!$D$4:$D$1022,MATCH(1,(C205=기계코드!$F$4:$F$1022)*1,0))</f>
        <v>M_MED01</v>
      </c>
      <c r="E205" s="92" t="s">
        <v>1128</v>
      </c>
      <c r="F205" s="92" t="str" cm="1">
        <f t="array" ref="F205">INDEX(공급업체코드!$B$3:$B$1000,MATCH(1,(E205=공급업체코드!$D$3:$D$1000)*1,0))</f>
        <v>VM_BKT</v>
      </c>
      <c r="H205" s="312">
        <v>203</v>
      </c>
      <c r="I205" s="233" t="s">
        <v>1313</v>
      </c>
      <c r="K205" s="233" t="s">
        <v>1314</v>
      </c>
      <c r="L205" s="236">
        <f t="shared" si="9"/>
        <v>202797</v>
      </c>
      <c r="N205" s="113" t="s">
        <v>1315</v>
      </c>
      <c r="O205" s="1" t="b">
        <v>1</v>
      </c>
      <c r="Q205" s="34"/>
    </row>
    <row r="206" spans="2:17">
      <c r="B206" s="1" t="str">
        <f t="shared" si="10"/>
        <v>M_MED01_VM_BKT_204</v>
      </c>
      <c r="C206" s="92" t="s">
        <v>727</v>
      </c>
      <c r="D206" s="92" t="str" cm="1">
        <f t="array" ref="D206">INDEX(기계코드!$D$4:$D$1022,MATCH(1,(C206=기계코드!$F$4:$F$1022)*1,0))</f>
        <v>M_MED01</v>
      </c>
      <c r="E206" s="92" t="s">
        <v>1128</v>
      </c>
      <c r="F206" s="92" t="str" cm="1">
        <f t="array" ref="F206">INDEX(공급업체코드!$B$3:$B$1000,MATCH(1,(E206=공급업체코드!$D$3:$D$1000)*1,0))</f>
        <v>VM_BKT</v>
      </c>
      <c r="H206" s="312">
        <v>204</v>
      </c>
      <c r="I206" s="233" t="s">
        <v>1313</v>
      </c>
      <c r="K206" s="233" t="s">
        <v>1314</v>
      </c>
      <c r="L206" s="236">
        <f t="shared" si="9"/>
        <v>203796</v>
      </c>
      <c r="N206" s="113" t="s">
        <v>1315</v>
      </c>
      <c r="O206" s="1" t="b">
        <v>1</v>
      </c>
      <c r="Q206" s="34"/>
    </row>
    <row r="207" spans="2:17">
      <c r="B207" s="1" t="str">
        <f t="shared" si="10"/>
        <v>M_MED01_VM_BKT_205</v>
      </c>
      <c r="C207" s="92" t="s">
        <v>727</v>
      </c>
      <c r="D207" s="92" t="str" cm="1">
        <f t="array" ref="D207">INDEX(기계코드!$D$4:$D$1022,MATCH(1,(C207=기계코드!$F$4:$F$1022)*1,0))</f>
        <v>M_MED01</v>
      </c>
      <c r="E207" s="92" t="s">
        <v>1128</v>
      </c>
      <c r="F207" s="92" t="str" cm="1">
        <f t="array" ref="F207">INDEX(공급업체코드!$B$3:$B$1000,MATCH(1,(E207=공급업체코드!$D$3:$D$1000)*1,0))</f>
        <v>VM_BKT</v>
      </c>
      <c r="H207" s="312">
        <v>205</v>
      </c>
      <c r="I207" s="233" t="s">
        <v>1313</v>
      </c>
      <c r="K207" s="233" t="s">
        <v>1314</v>
      </c>
      <c r="L207" s="236">
        <f t="shared" si="9"/>
        <v>204795</v>
      </c>
      <c r="N207" s="113" t="s">
        <v>1315</v>
      </c>
      <c r="O207" s="1" t="b">
        <v>1</v>
      </c>
      <c r="Q207" s="34"/>
    </row>
    <row r="208" spans="2:17">
      <c r="B208" s="1" t="str">
        <f t="shared" si="10"/>
        <v>M_MED01_VM_BKT_206</v>
      </c>
      <c r="C208" s="92" t="s">
        <v>727</v>
      </c>
      <c r="D208" s="92" t="str" cm="1">
        <f t="array" ref="D208">INDEX(기계코드!$D$4:$D$1022,MATCH(1,(C208=기계코드!$F$4:$F$1022)*1,0))</f>
        <v>M_MED01</v>
      </c>
      <c r="E208" s="92" t="s">
        <v>1128</v>
      </c>
      <c r="F208" s="92" t="str" cm="1">
        <f t="array" ref="F208">INDEX(공급업체코드!$B$3:$B$1000,MATCH(1,(E208=공급업체코드!$D$3:$D$1000)*1,0))</f>
        <v>VM_BKT</v>
      </c>
      <c r="H208" s="312">
        <v>206</v>
      </c>
      <c r="I208" s="233" t="s">
        <v>1313</v>
      </c>
      <c r="K208" s="233" t="s">
        <v>1314</v>
      </c>
      <c r="L208" s="236">
        <f t="shared" si="9"/>
        <v>205794</v>
      </c>
      <c r="N208" s="113" t="s">
        <v>1315</v>
      </c>
      <c r="O208" s="1" t="b">
        <v>1</v>
      </c>
      <c r="Q208" s="34"/>
    </row>
    <row r="209" spans="2:17">
      <c r="B209" s="1" t="str">
        <f t="shared" si="10"/>
        <v>M_MED01_VM_BKT_207</v>
      </c>
      <c r="C209" s="92" t="s">
        <v>727</v>
      </c>
      <c r="D209" s="92" t="str" cm="1">
        <f t="array" ref="D209">INDEX(기계코드!$D$4:$D$1022,MATCH(1,(C209=기계코드!$F$4:$F$1022)*1,0))</f>
        <v>M_MED01</v>
      </c>
      <c r="E209" s="92" t="s">
        <v>1128</v>
      </c>
      <c r="F209" s="92" t="str" cm="1">
        <f t="array" ref="F209">INDEX(공급업체코드!$B$3:$B$1000,MATCH(1,(E209=공급업체코드!$D$3:$D$1000)*1,0))</f>
        <v>VM_BKT</v>
      </c>
      <c r="H209" s="312">
        <v>207</v>
      </c>
      <c r="I209" s="233" t="s">
        <v>1313</v>
      </c>
      <c r="K209" s="233" t="s">
        <v>1314</v>
      </c>
      <c r="L209" s="236">
        <f t="shared" si="9"/>
        <v>206793</v>
      </c>
      <c r="N209" s="113" t="s">
        <v>1315</v>
      </c>
      <c r="O209" s="1" t="b">
        <v>1</v>
      </c>
      <c r="Q209" s="34"/>
    </row>
    <row r="210" spans="2:17">
      <c r="B210" s="1" t="str">
        <f t="shared" si="10"/>
        <v>M_MED01_VM_BKT_208</v>
      </c>
      <c r="C210" s="92" t="s">
        <v>727</v>
      </c>
      <c r="D210" s="92" t="str" cm="1">
        <f t="array" ref="D210">INDEX(기계코드!$D$4:$D$1022,MATCH(1,(C210=기계코드!$F$4:$F$1022)*1,0))</f>
        <v>M_MED01</v>
      </c>
      <c r="E210" s="92" t="s">
        <v>1128</v>
      </c>
      <c r="F210" s="92" t="str" cm="1">
        <f t="array" ref="F210">INDEX(공급업체코드!$B$3:$B$1000,MATCH(1,(E210=공급업체코드!$D$3:$D$1000)*1,0))</f>
        <v>VM_BKT</v>
      </c>
      <c r="H210" s="312">
        <v>208</v>
      </c>
      <c r="I210" s="233" t="s">
        <v>1313</v>
      </c>
      <c r="K210" s="233" t="s">
        <v>1314</v>
      </c>
      <c r="L210" s="236">
        <f t="shared" si="9"/>
        <v>207792</v>
      </c>
      <c r="N210" s="113" t="s">
        <v>1315</v>
      </c>
      <c r="O210" s="1" t="b">
        <v>1</v>
      </c>
      <c r="Q210" s="34"/>
    </row>
    <row r="211" spans="2:17">
      <c r="B211" s="1" t="str">
        <f t="shared" si="10"/>
        <v>M_MED01_VM_BKT_209</v>
      </c>
      <c r="C211" s="92" t="s">
        <v>727</v>
      </c>
      <c r="D211" s="92" t="str" cm="1">
        <f t="array" ref="D211">INDEX(기계코드!$D$4:$D$1022,MATCH(1,(C211=기계코드!$F$4:$F$1022)*1,0))</f>
        <v>M_MED01</v>
      </c>
      <c r="E211" s="92" t="s">
        <v>1128</v>
      </c>
      <c r="F211" s="92" t="str" cm="1">
        <f t="array" ref="F211">INDEX(공급업체코드!$B$3:$B$1000,MATCH(1,(E211=공급업체코드!$D$3:$D$1000)*1,0))</f>
        <v>VM_BKT</v>
      </c>
      <c r="H211" s="312">
        <v>209</v>
      </c>
      <c r="I211" s="233" t="s">
        <v>1313</v>
      </c>
      <c r="K211" s="233" t="s">
        <v>1314</v>
      </c>
      <c r="L211" s="236">
        <f t="shared" si="9"/>
        <v>208791</v>
      </c>
      <c r="N211" s="113" t="s">
        <v>1315</v>
      </c>
      <c r="O211" s="1" t="b">
        <v>1</v>
      </c>
      <c r="Q211" s="34"/>
    </row>
    <row r="212" spans="2:17">
      <c r="B212" s="1" t="str">
        <f t="shared" si="10"/>
        <v>M_MED01_VM_BKT_210</v>
      </c>
      <c r="C212" s="92" t="s">
        <v>727</v>
      </c>
      <c r="D212" s="92" t="str" cm="1">
        <f t="array" ref="D212">INDEX(기계코드!$D$4:$D$1022,MATCH(1,(C212=기계코드!$F$4:$F$1022)*1,0))</f>
        <v>M_MED01</v>
      </c>
      <c r="E212" s="92" t="s">
        <v>1128</v>
      </c>
      <c r="F212" s="92" t="str" cm="1">
        <f t="array" ref="F212">INDEX(공급업체코드!$B$3:$B$1000,MATCH(1,(E212=공급업체코드!$D$3:$D$1000)*1,0))</f>
        <v>VM_BKT</v>
      </c>
      <c r="H212" s="312">
        <v>210</v>
      </c>
      <c r="I212" s="233" t="s">
        <v>1313</v>
      </c>
      <c r="K212" s="233" t="s">
        <v>1314</v>
      </c>
      <c r="L212" s="236">
        <f t="shared" si="9"/>
        <v>209790</v>
      </c>
      <c r="N212" s="113" t="s">
        <v>1315</v>
      </c>
      <c r="O212" s="1" t="b">
        <v>1</v>
      </c>
      <c r="Q212" s="34"/>
    </row>
    <row r="213" spans="2:17">
      <c r="B213" s="1" t="str">
        <f t="shared" si="10"/>
        <v>M_MED01_VM_BKT_211</v>
      </c>
      <c r="C213" s="92" t="s">
        <v>727</v>
      </c>
      <c r="D213" s="92" t="str" cm="1">
        <f t="array" ref="D213">INDEX(기계코드!$D$4:$D$1022,MATCH(1,(C213=기계코드!$F$4:$F$1022)*1,0))</f>
        <v>M_MED01</v>
      </c>
      <c r="E213" s="92" t="s">
        <v>1128</v>
      </c>
      <c r="F213" s="92" t="str" cm="1">
        <f t="array" ref="F213">INDEX(공급업체코드!$B$3:$B$1000,MATCH(1,(E213=공급업체코드!$D$3:$D$1000)*1,0))</f>
        <v>VM_BKT</v>
      </c>
      <c r="H213" s="312">
        <v>211</v>
      </c>
      <c r="I213" s="233" t="s">
        <v>1313</v>
      </c>
      <c r="K213" s="233" t="s">
        <v>1314</v>
      </c>
      <c r="L213" s="236">
        <f t="shared" si="9"/>
        <v>210789</v>
      </c>
      <c r="N213" s="113" t="s">
        <v>1315</v>
      </c>
      <c r="O213" s="1" t="b">
        <v>1</v>
      </c>
      <c r="Q213" s="34"/>
    </row>
    <row r="214" spans="2:17">
      <c r="B214" s="1" t="str">
        <f t="shared" si="10"/>
        <v>M_MED01_VM_BKT_212</v>
      </c>
      <c r="C214" s="92" t="s">
        <v>727</v>
      </c>
      <c r="D214" s="92" t="str" cm="1">
        <f t="array" ref="D214">INDEX(기계코드!$D$4:$D$1022,MATCH(1,(C214=기계코드!$F$4:$F$1022)*1,0))</f>
        <v>M_MED01</v>
      </c>
      <c r="E214" s="92" t="s">
        <v>1128</v>
      </c>
      <c r="F214" s="92" t="str" cm="1">
        <f t="array" ref="F214">INDEX(공급업체코드!$B$3:$B$1000,MATCH(1,(E214=공급업체코드!$D$3:$D$1000)*1,0))</f>
        <v>VM_BKT</v>
      </c>
      <c r="H214" s="312">
        <v>212</v>
      </c>
      <c r="I214" s="233" t="s">
        <v>1313</v>
      </c>
      <c r="K214" s="233" t="s">
        <v>1314</v>
      </c>
      <c r="L214" s="236">
        <f t="shared" si="9"/>
        <v>211788</v>
      </c>
      <c r="N214" s="113" t="s">
        <v>1315</v>
      </c>
      <c r="O214" s="1" t="b">
        <v>1</v>
      </c>
      <c r="Q214" s="34"/>
    </row>
    <row r="215" spans="2:17">
      <c r="B215" s="1" t="str">
        <f t="shared" si="10"/>
        <v>M_MED01_VM_BKT_213</v>
      </c>
      <c r="C215" s="92" t="s">
        <v>727</v>
      </c>
      <c r="D215" s="92" t="str" cm="1">
        <f t="array" ref="D215">INDEX(기계코드!$D$4:$D$1022,MATCH(1,(C215=기계코드!$F$4:$F$1022)*1,0))</f>
        <v>M_MED01</v>
      </c>
      <c r="E215" s="92" t="s">
        <v>1128</v>
      </c>
      <c r="F215" s="92" t="str" cm="1">
        <f t="array" ref="F215">INDEX(공급업체코드!$B$3:$B$1000,MATCH(1,(E215=공급업체코드!$D$3:$D$1000)*1,0))</f>
        <v>VM_BKT</v>
      </c>
      <c r="H215" s="312">
        <v>213</v>
      </c>
      <c r="I215" s="233" t="s">
        <v>1313</v>
      </c>
      <c r="K215" s="233" t="s">
        <v>1314</v>
      </c>
      <c r="L215" s="236">
        <f t="shared" si="9"/>
        <v>212787</v>
      </c>
      <c r="N215" s="113" t="s">
        <v>1315</v>
      </c>
      <c r="O215" s="1" t="b">
        <v>1</v>
      </c>
      <c r="Q215" s="34"/>
    </row>
    <row r="216" spans="2:17">
      <c r="B216" s="1" t="str">
        <f t="shared" si="10"/>
        <v>M_MED01_VM_BKT_214</v>
      </c>
      <c r="C216" s="92" t="s">
        <v>727</v>
      </c>
      <c r="D216" s="92" t="str" cm="1">
        <f t="array" ref="D216">INDEX(기계코드!$D$4:$D$1022,MATCH(1,(C216=기계코드!$F$4:$F$1022)*1,0))</f>
        <v>M_MED01</v>
      </c>
      <c r="E216" s="92" t="s">
        <v>1128</v>
      </c>
      <c r="F216" s="92" t="str" cm="1">
        <f t="array" ref="F216">INDEX(공급업체코드!$B$3:$B$1000,MATCH(1,(E216=공급업체코드!$D$3:$D$1000)*1,0))</f>
        <v>VM_BKT</v>
      </c>
      <c r="H216" s="312">
        <v>214</v>
      </c>
      <c r="I216" s="233" t="s">
        <v>1313</v>
      </c>
      <c r="K216" s="233" t="s">
        <v>1314</v>
      </c>
      <c r="L216" s="236">
        <f t="shared" si="9"/>
        <v>213786</v>
      </c>
      <c r="N216" s="113" t="s">
        <v>1315</v>
      </c>
      <c r="O216" s="1" t="b">
        <v>1</v>
      </c>
      <c r="Q216" s="34"/>
    </row>
    <row r="217" spans="2:17">
      <c r="B217" s="1" t="str">
        <f t="shared" si="10"/>
        <v>M_MED01_VM_BKT_215</v>
      </c>
      <c r="C217" s="92" t="s">
        <v>727</v>
      </c>
      <c r="D217" s="92" t="str" cm="1">
        <f t="array" ref="D217">INDEX(기계코드!$D$4:$D$1022,MATCH(1,(C217=기계코드!$F$4:$F$1022)*1,0))</f>
        <v>M_MED01</v>
      </c>
      <c r="E217" s="92" t="s">
        <v>1128</v>
      </c>
      <c r="F217" s="92" t="str" cm="1">
        <f t="array" ref="F217">INDEX(공급업체코드!$B$3:$B$1000,MATCH(1,(E217=공급업체코드!$D$3:$D$1000)*1,0))</f>
        <v>VM_BKT</v>
      </c>
      <c r="H217" s="312">
        <v>215</v>
      </c>
      <c r="I217" s="233" t="s">
        <v>1313</v>
      </c>
      <c r="K217" s="233" t="s">
        <v>1314</v>
      </c>
      <c r="L217" s="236">
        <f t="shared" si="9"/>
        <v>214785</v>
      </c>
      <c r="N217" s="113" t="s">
        <v>1315</v>
      </c>
      <c r="O217" s="1" t="b">
        <v>1</v>
      </c>
      <c r="Q217" s="34"/>
    </row>
    <row r="218" spans="2:17">
      <c r="B218" s="1" t="str">
        <f t="shared" si="10"/>
        <v>M_MED01_VM_BKT_216</v>
      </c>
      <c r="C218" s="92" t="s">
        <v>727</v>
      </c>
      <c r="D218" s="92" t="str" cm="1">
        <f t="array" ref="D218">INDEX(기계코드!$D$4:$D$1022,MATCH(1,(C218=기계코드!$F$4:$F$1022)*1,0))</f>
        <v>M_MED01</v>
      </c>
      <c r="E218" s="92" t="s">
        <v>1128</v>
      </c>
      <c r="F218" s="92" t="str" cm="1">
        <f t="array" ref="F218">INDEX(공급업체코드!$B$3:$B$1000,MATCH(1,(E218=공급업체코드!$D$3:$D$1000)*1,0))</f>
        <v>VM_BKT</v>
      </c>
      <c r="H218" s="312">
        <v>216</v>
      </c>
      <c r="I218" s="233" t="s">
        <v>1313</v>
      </c>
      <c r="K218" s="233" t="s">
        <v>1314</v>
      </c>
      <c r="L218" s="236">
        <f t="shared" si="9"/>
        <v>215784</v>
      </c>
      <c r="N218" s="113" t="s">
        <v>1315</v>
      </c>
      <c r="O218" s="1" t="b">
        <v>1</v>
      </c>
      <c r="Q218" s="34"/>
    </row>
    <row r="219" spans="2:17">
      <c r="B219" s="1" t="str">
        <f t="shared" si="10"/>
        <v>M_MED01_VM_BKT_217</v>
      </c>
      <c r="C219" s="92" t="s">
        <v>727</v>
      </c>
      <c r="D219" s="92" t="str" cm="1">
        <f t="array" ref="D219">INDEX(기계코드!$D$4:$D$1022,MATCH(1,(C219=기계코드!$F$4:$F$1022)*1,0))</f>
        <v>M_MED01</v>
      </c>
      <c r="E219" s="92" t="s">
        <v>1128</v>
      </c>
      <c r="F219" s="92" t="str" cm="1">
        <f t="array" ref="F219">INDEX(공급업체코드!$B$3:$B$1000,MATCH(1,(E219=공급업체코드!$D$3:$D$1000)*1,0))</f>
        <v>VM_BKT</v>
      </c>
      <c r="H219" s="312">
        <v>217</v>
      </c>
      <c r="I219" s="233" t="s">
        <v>1313</v>
      </c>
      <c r="K219" s="233" t="s">
        <v>1314</v>
      </c>
      <c r="L219" s="236">
        <f t="shared" si="9"/>
        <v>216783</v>
      </c>
      <c r="N219" s="113" t="s">
        <v>1315</v>
      </c>
      <c r="O219" s="1" t="b">
        <v>1</v>
      </c>
      <c r="Q219" s="34"/>
    </row>
    <row r="220" spans="2:17">
      <c r="B220" s="1" t="str">
        <f t="shared" si="10"/>
        <v>M_MED01_VM_BKT_218</v>
      </c>
      <c r="C220" s="92" t="s">
        <v>727</v>
      </c>
      <c r="D220" s="92" t="str" cm="1">
        <f t="array" ref="D220">INDEX(기계코드!$D$4:$D$1022,MATCH(1,(C220=기계코드!$F$4:$F$1022)*1,0))</f>
        <v>M_MED01</v>
      </c>
      <c r="E220" s="92" t="s">
        <v>1128</v>
      </c>
      <c r="F220" s="92" t="str" cm="1">
        <f t="array" ref="F220">INDEX(공급업체코드!$B$3:$B$1000,MATCH(1,(E220=공급업체코드!$D$3:$D$1000)*1,0))</f>
        <v>VM_BKT</v>
      </c>
      <c r="H220" s="312">
        <v>218</v>
      </c>
      <c r="I220" s="233" t="s">
        <v>1313</v>
      </c>
      <c r="K220" s="233" t="s">
        <v>1314</v>
      </c>
      <c r="L220" s="236">
        <f t="shared" si="9"/>
        <v>217782</v>
      </c>
      <c r="N220" s="113" t="s">
        <v>1315</v>
      </c>
      <c r="O220" s="1" t="b">
        <v>1</v>
      </c>
      <c r="Q220" s="34"/>
    </row>
    <row r="221" spans="2:17">
      <c r="B221" s="1" t="str">
        <f t="shared" si="10"/>
        <v>M_MED01_VM_BKT_219</v>
      </c>
      <c r="C221" s="92" t="s">
        <v>727</v>
      </c>
      <c r="D221" s="92" t="str" cm="1">
        <f t="array" ref="D221">INDEX(기계코드!$D$4:$D$1022,MATCH(1,(C221=기계코드!$F$4:$F$1022)*1,0))</f>
        <v>M_MED01</v>
      </c>
      <c r="E221" s="92" t="s">
        <v>1128</v>
      </c>
      <c r="F221" s="92" t="str" cm="1">
        <f t="array" ref="F221">INDEX(공급업체코드!$B$3:$B$1000,MATCH(1,(E221=공급업체코드!$D$3:$D$1000)*1,0))</f>
        <v>VM_BKT</v>
      </c>
      <c r="H221" s="312">
        <v>219</v>
      </c>
      <c r="I221" s="233" t="s">
        <v>1313</v>
      </c>
      <c r="K221" s="233" t="s">
        <v>1314</v>
      </c>
      <c r="L221" s="236">
        <f t="shared" si="9"/>
        <v>218781</v>
      </c>
      <c r="N221" s="113" t="s">
        <v>1315</v>
      </c>
      <c r="O221" s="1" t="b">
        <v>1</v>
      </c>
      <c r="Q221" s="34"/>
    </row>
    <row r="222" spans="2:17">
      <c r="B222" s="1" t="str">
        <f t="shared" si="10"/>
        <v>M_MED01_VM_BKT_220</v>
      </c>
      <c r="C222" s="92" t="s">
        <v>727</v>
      </c>
      <c r="D222" s="92" t="str" cm="1">
        <f t="array" ref="D222">INDEX(기계코드!$D$4:$D$1022,MATCH(1,(C222=기계코드!$F$4:$F$1022)*1,0))</f>
        <v>M_MED01</v>
      </c>
      <c r="E222" s="92" t="s">
        <v>1128</v>
      </c>
      <c r="F222" s="92" t="str" cm="1">
        <f t="array" ref="F222">INDEX(공급업체코드!$B$3:$B$1000,MATCH(1,(E222=공급업체코드!$D$3:$D$1000)*1,0))</f>
        <v>VM_BKT</v>
      </c>
      <c r="H222" s="312">
        <v>220</v>
      </c>
      <c r="I222" s="233" t="s">
        <v>1313</v>
      </c>
      <c r="K222" s="233" t="s">
        <v>1314</v>
      </c>
      <c r="L222" s="236">
        <f t="shared" si="9"/>
        <v>219780</v>
      </c>
      <c r="N222" s="113" t="s">
        <v>1315</v>
      </c>
      <c r="O222" s="1" t="b">
        <v>1</v>
      </c>
      <c r="Q222" s="34"/>
    </row>
    <row r="223" spans="2:17">
      <c r="B223" s="1" t="str">
        <f t="shared" si="10"/>
        <v>M_MED01_VM_BKT_221</v>
      </c>
      <c r="C223" s="92" t="s">
        <v>727</v>
      </c>
      <c r="D223" s="92" t="str" cm="1">
        <f t="array" ref="D223">INDEX(기계코드!$D$4:$D$1022,MATCH(1,(C223=기계코드!$F$4:$F$1022)*1,0))</f>
        <v>M_MED01</v>
      </c>
      <c r="E223" s="92" t="s">
        <v>1128</v>
      </c>
      <c r="F223" s="92" t="str" cm="1">
        <f t="array" ref="F223">INDEX(공급업체코드!$B$3:$B$1000,MATCH(1,(E223=공급업체코드!$D$3:$D$1000)*1,0))</f>
        <v>VM_BKT</v>
      </c>
      <c r="H223" s="312">
        <v>221</v>
      </c>
      <c r="I223" s="233" t="s">
        <v>1313</v>
      </c>
      <c r="K223" s="233" t="s">
        <v>1314</v>
      </c>
      <c r="L223" s="236">
        <f t="shared" si="9"/>
        <v>220779</v>
      </c>
      <c r="N223" s="113" t="s">
        <v>1315</v>
      </c>
      <c r="O223" s="1" t="b">
        <v>1</v>
      </c>
      <c r="Q223" s="34"/>
    </row>
    <row r="224" spans="2:17">
      <c r="B224" s="1" t="str">
        <f t="shared" si="10"/>
        <v>M_MED01_VM_BKT_222</v>
      </c>
      <c r="C224" s="92" t="s">
        <v>727</v>
      </c>
      <c r="D224" s="92" t="str" cm="1">
        <f t="array" ref="D224">INDEX(기계코드!$D$4:$D$1022,MATCH(1,(C224=기계코드!$F$4:$F$1022)*1,0))</f>
        <v>M_MED01</v>
      </c>
      <c r="E224" s="92" t="s">
        <v>1128</v>
      </c>
      <c r="F224" s="92" t="str" cm="1">
        <f t="array" ref="F224">INDEX(공급업체코드!$B$3:$B$1000,MATCH(1,(E224=공급업체코드!$D$3:$D$1000)*1,0))</f>
        <v>VM_BKT</v>
      </c>
      <c r="H224" s="312">
        <v>222</v>
      </c>
      <c r="I224" s="233" t="s">
        <v>1313</v>
      </c>
      <c r="K224" s="233" t="s">
        <v>1314</v>
      </c>
      <c r="L224" s="236">
        <f t="shared" si="9"/>
        <v>221778</v>
      </c>
      <c r="N224" s="113" t="s">
        <v>1315</v>
      </c>
      <c r="O224" s="1" t="b">
        <v>1</v>
      </c>
      <c r="Q224" s="34"/>
    </row>
    <row r="225" spans="2:17">
      <c r="B225" s="1" t="str">
        <f t="shared" si="10"/>
        <v>M_MED01_VM_BKT_223</v>
      </c>
      <c r="C225" s="92" t="s">
        <v>727</v>
      </c>
      <c r="D225" s="92" t="str" cm="1">
        <f t="array" ref="D225">INDEX(기계코드!$D$4:$D$1022,MATCH(1,(C225=기계코드!$F$4:$F$1022)*1,0))</f>
        <v>M_MED01</v>
      </c>
      <c r="E225" s="92" t="s">
        <v>1128</v>
      </c>
      <c r="F225" s="92" t="str" cm="1">
        <f t="array" ref="F225">INDEX(공급업체코드!$B$3:$B$1000,MATCH(1,(E225=공급업체코드!$D$3:$D$1000)*1,0))</f>
        <v>VM_BKT</v>
      </c>
      <c r="H225" s="312">
        <v>223</v>
      </c>
      <c r="I225" s="233" t="s">
        <v>1313</v>
      </c>
      <c r="K225" s="233" t="s">
        <v>1314</v>
      </c>
      <c r="L225" s="236">
        <f t="shared" si="9"/>
        <v>222777</v>
      </c>
      <c r="N225" s="113" t="s">
        <v>1315</v>
      </c>
      <c r="O225" s="1" t="b">
        <v>1</v>
      </c>
      <c r="Q225" s="34"/>
    </row>
    <row r="226" spans="2:17">
      <c r="B226" s="1" t="str">
        <f t="shared" si="10"/>
        <v>M_MED01_VM_BKT_224</v>
      </c>
      <c r="C226" s="92" t="s">
        <v>727</v>
      </c>
      <c r="D226" s="92" t="str" cm="1">
        <f t="array" ref="D226">INDEX(기계코드!$D$4:$D$1022,MATCH(1,(C226=기계코드!$F$4:$F$1022)*1,0))</f>
        <v>M_MED01</v>
      </c>
      <c r="E226" s="92" t="s">
        <v>1128</v>
      </c>
      <c r="F226" s="92" t="str" cm="1">
        <f t="array" ref="F226">INDEX(공급업체코드!$B$3:$B$1000,MATCH(1,(E226=공급업체코드!$D$3:$D$1000)*1,0))</f>
        <v>VM_BKT</v>
      </c>
      <c r="H226" s="312">
        <v>224</v>
      </c>
      <c r="I226" s="233" t="s">
        <v>1313</v>
      </c>
      <c r="K226" s="233" t="s">
        <v>1314</v>
      </c>
      <c r="L226" s="236">
        <f t="shared" si="9"/>
        <v>223776</v>
      </c>
      <c r="N226" s="113" t="s">
        <v>1315</v>
      </c>
      <c r="O226" s="1" t="b">
        <v>1</v>
      </c>
      <c r="Q226" s="34"/>
    </row>
    <row r="227" spans="2:17">
      <c r="B227" s="1" t="str">
        <f t="shared" si="10"/>
        <v>M_MED01_VM_BKT_225</v>
      </c>
      <c r="C227" s="92" t="s">
        <v>727</v>
      </c>
      <c r="D227" s="92" t="str" cm="1">
        <f t="array" ref="D227">INDEX(기계코드!$D$4:$D$1022,MATCH(1,(C227=기계코드!$F$4:$F$1022)*1,0))</f>
        <v>M_MED01</v>
      </c>
      <c r="E227" s="92" t="s">
        <v>1128</v>
      </c>
      <c r="F227" s="92" t="str" cm="1">
        <f t="array" ref="F227">INDEX(공급업체코드!$B$3:$B$1000,MATCH(1,(E227=공급업체코드!$D$3:$D$1000)*1,0))</f>
        <v>VM_BKT</v>
      </c>
      <c r="H227" s="312">
        <v>225</v>
      </c>
      <c r="I227" s="233" t="s">
        <v>1313</v>
      </c>
      <c r="K227" s="233" t="s">
        <v>1314</v>
      </c>
      <c r="L227" s="236">
        <f t="shared" si="9"/>
        <v>224775</v>
      </c>
      <c r="N227" s="113" t="s">
        <v>1315</v>
      </c>
      <c r="O227" s="1" t="b">
        <v>1</v>
      </c>
      <c r="Q227" s="34"/>
    </row>
    <row r="228" spans="2:17">
      <c r="B228" s="1" t="str">
        <f t="shared" si="10"/>
        <v>M_MED01_VM_BKT_226</v>
      </c>
      <c r="C228" s="92" t="s">
        <v>727</v>
      </c>
      <c r="D228" s="92" t="str" cm="1">
        <f t="array" ref="D228">INDEX(기계코드!$D$4:$D$1022,MATCH(1,(C228=기계코드!$F$4:$F$1022)*1,0))</f>
        <v>M_MED01</v>
      </c>
      <c r="E228" s="92" t="s">
        <v>1128</v>
      </c>
      <c r="F228" s="92" t="str" cm="1">
        <f t="array" ref="F228">INDEX(공급업체코드!$B$3:$B$1000,MATCH(1,(E228=공급업체코드!$D$3:$D$1000)*1,0))</f>
        <v>VM_BKT</v>
      </c>
      <c r="H228" s="312">
        <v>226</v>
      </c>
      <c r="I228" s="233" t="s">
        <v>1313</v>
      </c>
      <c r="K228" s="233" t="s">
        <v>1314</v>
      </c>
      <c r="L228" s="236">
        <f t="shared" si="9"/>
        <v>225774</v>
      </c>
      <c r="N228" s="113" t="s">
        <v>1315</v>
      </c>
      <c r="O228" s="1" t="b">
        <v>1</v>
      </c>
      <c r="Q228" s="34"/>
    </row>
    <row r="229" spans="2:17">
      <c r="B229" s="1" t="str">
        <f t="shared" si="10"/>
        <v>M_MED01_VM_BKT_227</v>
      </c>
      <c r="C229" s="92" t="s">
        <v>727</v>
      </c>
      <c r="D229" s="92" t="str" cm="1">
        <f t="array" ref="D229">INDEX(기계코드!$D$4:$D$1022,MATCH(1,(C229=기계코드!$F$4:$F$1022)*1,0))</f>
        <v>M_MED01</v>
      </c>
      <c r="E229" s="92" t="s">
        <v>1128</v>
      </c>
      <c r="F229" s="92" t="str" cm="1">
        <f t="array" ref="F229">INDEX(공급업체코드!$B$3:$B$1000,MATCH(1,(E229=공급업체코드!$D$3:$D$1000)*1,0))</f>
        <v>VM_BKT</v>
      </c>
      <c r="H229" s="312">
        <v>227</v>
      </c>
      <c r="I229" s="233" t="s">
        <v>1313</v>
      </c>
      <c r="K229" s="233" t="s">
        <v>1314</v>
      </c>
      <c r="L229" s="236">
        <f t="shared" si="9"/>
        <v>226773</v>
      </c>
      <c r="N229" s="113" t="s">
        <v>1315</v>
      </c>
      <c r="O229" s="1" t="b">
        <v>1</v>
      </c>
      <c r="Q229" s="34"/>
    </row>
    <row r="230" spans="2:17">
      <c r="B230" s="1" t="str">
        <f t="shared" si="10"/>
        <v>M_MED01_VM_BKT_228</v>
      </c>
      <c r="C230" s="92" t="s">
        <v>727</v>
      </c>
      <c r="D230" s="92" t="str" cm="1">
        <f t="array" ref="D230">INDEX(기계코드!$D$4:$D$1022,MATCH(1,(C230=기계코드!$F$4:$F$1022)*1,0))</f>
        <v>M_MED01</v>
      </c>
      <c r="E230" s="92" t="s">
        <v>1128</v>
      </c>
      <c r="F230" s="92" t="str" cm="1">
        <f t="array" ref="F230">INDEX(공급업체코드!$B$3:$B$1000,MATCH(1,(E230=공급업체코드!$D$3:$D$1000)*1,0))</f>
        <v>VM_BKT</v>
      </c>
      <c r="H230" s="312">
        <v>228</v>
      </c>
      <c r="I230" s="233" t="s">
        <v>1313</v>
      </c>
      <c r="K230" s="233" t="s">
        <v>1314</v>
      </c>
      <c r="L230" s="236">
        <f t="shared" si="9"/>
        <v>227772</v>
      </c>
      <c r="N230" s="113" t="s">
        <v>1315</v>
      </c>
      <c r="O230" s="1" t="b">
        <v>1</v>
      </c>
      <c r="Q230" s="34"/>
    </row>
    <row r="231" spans="2:17">
      <c r="B231" s="1" t="str">
        <f t="shared" si="10"/>
        <v>M_MED01_VM_BKT_229</v>
      </c>
      <c r="C231" s="92" t="s">
        <v>727</v>
      </c>
      <c r="D231" s="92" t="str" cm="1">
        <f t="array" ref="D231">INDEX(기계코드!$D$4:$D$1022,MATCH(1,(C231=기계코드!$F$4:$F$1022)*1,0))</f>
        <v>M_MED01</v>
      </c>
      <c r="E231" s="92" t="s">
        <v>1128</v>
      </c>
      <c r="F231" s="92" t="str" cm="1">
        <f t="array" ref="F231">INDEX(공급업체코드!$B$3:$B$1000,MATCH(1,(E231=공급업체코드!$D$3:$D$1000)*1,0))</f>
        <v>VM_BKT</v>
      </c>
      <c r="H231" s="312">
        <v>229</v>
      </c>
      <c r="I231" s="233" t="s">
        <v>1313</v>
      </c>
      <c r="K231" s="233" t="s">
        <v>1314</v>
      </c>
      <c r="L231" s="236">
        <f t="shared" si="9"/>
        <v>228771</v>
      </c>
      <c r="N231" s="113" t="s">
        <v>1315</v>
      </c>
      <c r="O231" s="1" t="b">
        <v>1</v>
      </c>
      <c r="Q231" s="34"/>
    </row>
    <row r="232" spans="2:17">
      <c r="B232" s="1" t="str">
        <f t="shared" si="10"/>
        <v>M_MED01_VM_BKT_230</v>
      </c>
      <c r="C232" s="92" t="s">
        <v>727</v>
      </c>
      <c r="D232" s="92" t="str" cm="1">
        <f t="array" ref="D232">INDEX(기계코드!$D$4:$D$1022,MATCH(1,(C232=기계코드!$F$4:$F$1022)*1,0))</f>
        <v>M_MED01</v>
      </c>
      <c r="E232" s="92" t="s">
        <v>1128</v>
      </c>
      <c r="F232" s="92" t="str" cm="1">
        <f t="array" ref="F232">INDEX(공급업체코드!$B$3:$B$1000,MATCH(1,(E232=공급업체코드!$D$3:$D$1000)*1,0))</f>
        <v>VM_BKT</v>
      </c>
      <c r="H232" s="312">
        <v>230</v>
      </c>
      <c r="I232" s="233" t="s">
        <v>1313</v>
      </c>
      <c r="K232" s="233" t="s">
        <v>1314</v>
      </c>
      <c r="L232" s="236">
        <f t="shared" si="9"/>
        <v>229770</v>
      </c>
      <c r="N232" s="113" t="s">
        <v>1315</v>
      </c>
      <c r="O232" s="1" t="b">
        <v>1</v>
      </c>
      <c r="Q232" s="34"/>
    </row>
    <row r="233" spans="2:17">
      <c r="B233" s="1" t="str">
        <f t="shared" si="10"/>
        <v>M_MED01_VM_BKT_231</v>
      </c>
      <c r="C233" s="92" t="s">
        <v>727</v>
      </c>
      <c r="D233" s="92" t="str" cm="1">
        <f t="array" ref="D233">INDEX(기계코드!$D$4:$D$1022,MATCH(1,(C233=기계코드!$F$4:$F$1022)*1,0))</f>
        <v>M_MED01</v>
      </c>
      <c r="E233" s="92" t="s">
        <v>1128</v>
      </c>
      <c r="F233" s="92" t="str" cm="1">
        <f t="array" ref="F233">INDEX(공급업체코드!$B$3:$B$1000,MATCH(1,(E233=공급업체코드!$D$3:$D$1000)*1,0))</f>
        <v>VM_BKT</v>
      </c>
      <c r="H233" s="312">
        <v>231</v>
      </c>
      <c r="I233" s="233" t="s">
        <v>1313</v>
      </c>
      <c r="K233" s="233" t="s">
        <v>1314</v>
      </c>
      <c r="L233" s="236">
        <f t="shared" si="9"/>
        <v>230769</v>
      </c>
      <c r="N233" s="113" t="s">
        <v>1315</v>
      </c>
      <c r="O233" s="1" t="b">
        <v>1</v>
      </c>
      <c r="Q233" s="34"/>
    </row>
    <row r="234" spans="2:17">
      <c r="B234" s="1" t="str">
        <f t="shared" si="10"/>
        <v>M_MED01_VM_BKT_232</v>
      </c>
      <c r="C234" s="92" t="s">
        <v>727</v>
      </c>
      <c r="D234" s="92" t="str" cm="1">
        <f t="array" ref="D234">INDEX(기계코드!$D$4:$D$1022,MATCH(1,(C234=기계코드!$F$4:$F$1022)*1,0))</f>
        <v>M_MED01</v>
      </c>
      <c r="E234" s="92" t="s">
        <v>1128</v>
      </c>
      <c r="F234" s="92" t="str" cm="1">
        <f t="array" ref="F234">INDEX(공급업체코드!$B$3:$B$1000,MATCH(1,(E234=공급업체코드!$D$3:$D$1000)*1,0))</f>
        <v>VM_BKT</v>
      </c>
      <c r="H234" s="312">
        <v>232</v>
      </c>
      <c r="I234" s="233" t="s">
        <v>1313</v>
      </c>
      <c r="K234" s="233" t="s">
        <v>1314</v>
      </c>
      <c r="L234" s="236">
        <f t="shared" si="9"/>
        <v>231768</v>
      </c>
      <c r="N234" s="113" t="s">
        <v>1315</v>
      </c>
      <c r="O234" s="1" t="b">
        <v>1</v>
      </c>
      <c r="Q234" s="34"/>
    </row>
    <row r="235" spans="2:17">
      <c r="B235" s="1" t="str">
        <f t="shared" si="10"/>
        <v>M_MED01_VM_BKT_233</v>
      </c>
      <c r="C235" s="92" t="s">
        <v>727</v>
      </c>
      <c r="D235" s="92" t="str" cm="1">
        <f t="array" ref="D235">INDEX(기계코드!$D$4:$D$1022,MATCH(1,(C235=기계코드!$F$4:$F$1022)*1,0))</f>
        <v>M_MED01</v>
      </c>
      <c r="E235" s="92" t="s">
        <v>1128</v>
      </c>
      <c r="F235" s="92" t="str" cm="1">
        <f t="array" ref="F235">INDEX(공급업체코드!$B$3:$B$1000,MATCH(1,(E235=공급업체코드!$D$3:$D$1000)*1,0))</f>
        <v>VM_BKT</v>
      </c>
      <c r="H235" s="312">
        <v>233</v>
      </c>
      <c r="I235" s="233" t="s">
        <v>1313</v>
      </c>
      <c r="K235" s="233" t="s">
        <v>1314</v>
      </c>
      <c r="L235" s="236">
        <f t="shared" si="9"/>
        <v>232767</v>
      </c>
      <c r="N235" s="113" t="s">
        <v>1315</v>
      </c>
      <c r="O235" s="1" t="b">
        <v>1</v>
      </c>
      <c r="Q235" s="34"/>
    </row>
    <row r="236" spans="2:17">
      <c r="B236" s="1" t="str">
        <f t="shared" si="10"/>
        <v>M_MED01_VM_BKT_234</v>
      </c>
      <c r="C236" s="92" t="s">
        <v>727</v>
      </c>
      <c r="D236" s="92" t="str" cm="1">
        <f t="array" ref="D236">INDEX(기계코드!$D$4:$D$1022,MATCH(1,(C236=기계코드!$F$4:$F$1022)*1,0))</f>
        <v>M_MED01</v>
      </c>
      <c r="E236" s="92" t="s">
        <v>1128</v>
      </c>
      <c r="F236" s="92" t="str" cm="1">
        <f t="array" ref="F236">INDEX(공급업체코드!$B$3:$B$1000,MATCH(1,(E236=공급업체코드!$D$3:$D$1000)*1,0))</f>
        <v>VM_BKT</v>
      </c>
      <c r="H236" s="312">
        <v>234</v>
      </c>
      <c r="I236" s="233" t="s">
        <v>1313</v>
      </c>
      <c r="K236" s="233" t="s">
        <v>1314</v>
      </c>
      <c r="L236" s="236">
        <f t="shared" si="9"/>
        <v>233766</v>
      </c>
      <c r="N236" s="113" t="s">
        <v>1315</v>
      </c>
      <c r="O236" s="1" t="b">
        <v>1</v>
      </c>
      <c r="Q236" s="34"/>
    </row>
    <row r="237" spans="2:17">
      <c r="B237" s="1" t="str">
        <f t="shared" si="10"/>
        <v>M_MED01_VM_BKT_235</v>
      </c>
      <c r="C237" s="92" t="s">
        <v>727</v>
      </c>
      <c r="D237" s="92" t="str" cm="1">
        <f t="array" ref="D237">INDEX(기계코드!$D$4:$D$1022,MATCH(1,(C237=기계코드!$F$4:$F$1022)*1,0))</f>
        <v>M_MED01</v>
      </c>
      <c r="E237" s="92" t="s">
        <v>1128</v>
      </c>
      <c r="F237" s="92" t="str" cm="1">
        <f t="array" ref="F237">INDEX(공급업체코드!$B$3:$B$1000,MATCH(1,(E237=공급업체코드!$D$3:$D$1000)*1,0))</f>
        <v>VM_BKT</v>
      </c>
      <c r="H237" s="312">
        <v>235</v>
      </c>
      <c r="I237" s="233" t="s">
        <v>1313</v>
      </c>
      <c r="K237" s="233" t="s">
        <v>1314</v>
      </c>
      <c r="L237" s="236">
        <f t="shared" si="9"/>
        <v>234765</v>
      </c>
      <c r="N237" s="113" t="s">
        <v>1315</v>
      </c>
      <c r="O237" s="1" t="b">
        <v>1</v>
      </c>
      <c r="Q237" s="34"/>
    </row>
    <row r="238" spans="2:17">
      <c r="B238" s="1" t="str">
        <f t="shared" si="10"/>
        <v>M_MED01_VM_BKT_236</v>
      </c>
      <c r="C238" s="92" t="s">
        <v>727</v>
      </c>
      <c r="D238" s="92" t="str" cm="1">
        <f t="array" ref="D238">INDEX(기계코드!$D$4:$D$1022,MATCH(1,(C238=기계코드!$F$4:$F$1022)*1,0))</f>
        <v>M_MED01</v>
      </c>
      <c r="E238" s="92" t="s">
        <v>1128</v>
      </c>
      <c r="F238" s="92" t="str" cm="1">
        <f t="array" ref="F238">INDEX(공급업체코드!$B$3:$B$1000,MATCH(1,(E238=공급업체코드!$D$3:$D$1000)*1,0))</f>
        <v>VM_BKT</v>
      </c>
      <c r="H238" s="312">
        <v>236</v>
      </c>
      <c r="I238" s="233" t="s">
        <v>1313</v>
      </c>
      <c r="K238" s="233" t="s">
        <v>1314</v>
      </c>
      <c r="L238" s="236">
        <f t="shared" si="9"/>
        <v>235764</v>
      </c>
      <c r="N238" s="113" t="s">
        <v>1315</v>
      </c>
      <c r="O238" s="1" t="b">
        <v>1</v>
      </c>
      <c r="Q238" s="34"/>
    </row>
    <row r="239" spans="2:17">
      <c r="B239" s="1" t="str">
        <f t="shared" si="10"/>
        <v>M_MED01_VM_BKT_237</v>
      </c>
      <c r="C239" s="92" t="s">
        <v>727</v>
      </c>
      <c r="D239" s="92" t="str" cm="1">
        <f t="array" ref="D239">INDEX(기계코드!$D$4:$D$1022,MATCH(1,(C239=기계코드!$F$4:$F$1022)*1,0))</f>
        <v>M_MED01</v>
      </c>
      <c r="E239" s="92" t="s">
        <v>1128</v>
      </c>
      <c r="F239" s="92" t="str" cm="1">
        <f t="array" ref="F239">INDEX(공급업체코드!$B$3:$B$1000,MATCH(1,(E239=공급업체코드!$D$3:$D$1000)*1,0))</f>
        <v>VM_BKT</v>
      </c>
      <c r="H239" s="312">
        <v>237</v>
      </c>
      <c r="I239" s="233" t="s">
        <v>1313</v>
      </c>
      <c r="K239" s="233" t="s">
        <v>1314</v>
      </c>
      <c r="L239" s="236">
        <f t="shared" si="9"/>
        <v>236763</v>
      </c>
      <c r="N239" s="113" t="s">
        <v>1315</v>
      </c>
      <c r="O239" s="1" t="b">
        <v>1</v>
      </c>
      <c r="Q239" s="34"/>
    </row>
    <row r="240" spans="2:17">
      <c r="B240" s="1" t="str">
        <f t="shared" si="10"/>
        <v>M_MED01_VM_BKT_238</v>
      </c>
      <c r="C240" s="92" t="s">
        <v>727</v>
      </c>
      <c r="D240" s="92" t="str" cm="1">
        <f t="array" ref="D240">INDEX(기계코드!$D$4:$D$1022,MATCH(1,(C240=기계코드!$F$4:$F$1022)*1,0))</f>
        <v>M_MED01</v>
      </c>
      <c r="E240" s="92" t="s">
        <v>1128</v>
      </c>
      <c r="F240" s="92" t="str" cm="1">
        <f t="array" ref="F240">INDEX(공급업체코드!$B$3:$B$1000,MATCH(1,(E240=공급업체코드!$D$3:$D$1000)*1,0))</f>
        <v>VM_BKT</v>
      </c>
      <c r="H240" s="312">
        <v>238</v>
      </c>
      <c r="I240" s="233" t="s">
        <v>1313</v>
      </c>
      <c r="K240" s="233" t="s">
        <v>1314</v>
      </c>
      <c r="L240" s="236">
        <f t="shared" si="9"/>
        <v>237762</v>
      </c>
      <c r="N240" s="113" t="s">
        <v>1315</v>
      </c>
      <c r="O240" s="1" t="b">
        <v>1</v>
      </c>
      <c r="Q240" s="34"/>
    </row>
    <row r="241" spans="2:17">
      <c r="B241" s="1" t="str">
        <f t="shared" si="10"/>
        <v>M_MED01_VM_BKT_239</v>
      </c>
      <c r="C241" s="92" t="s">
        <v>727</v>
      </c>
      <c r="D241" s="92" t="str" cm="1">
        <f t="array" ref="D241">INDEX(기계코드!$D$4:$D$1022,MATCH(1,(C241=기계코드!$F$4:$F$1022)*1,0))</f>
        <v>M_MED01</v>
      </c>
      <c r="E241" s="92" t="s">
        <v>1128</v>
      </c>
      <c r="F241" s="92" t="str" cm="1">
        <f t="array" ref="F241">INDEX(공급업체코드!$B$3:$B$1000,MATCH(1,(E241=공급업체코드!$D$3:$D$1000)*1,0))</f>
        <v>VM_BKT</v>
      </c>
      <c r="H241" s="312">
        <v>239</v>
      </c>
      <c r="I241" s="233" t="s">
        <v>1313</v>
      </c>
      <c r="K241" s="233" t="s">
        <v>1314</v>
      </c>
      <c r="L241" s="236">
        <f t="shared" si="9"/>
        <v>238761</v>
      </c>
      <c r="N241" s="113" t="s">
        <v>1315</v>
      </c>
      <c r="O241" s="1" t="b">
        <v>1</v>
      </c>
      <c r="Q241" s="34"/>
    </row>
    <row r="242" spans="2:17">
      <c r="B242" s="1" t="str">
        <f t="shared" si="10"/>
        <v>M_MED01_VM_BKT_240</v>
      </c>
      <c r="C242" s="92" t="s">
        <v>727</v>
      </c>
      <c r="D242" s="92" t="str" cm="1">
        <f t="array" ref="D242">INDEX(기계코드!$D$4:$D$1022,MATCH(1,(C242=기계코드!$F$4:$F$1022)*1,0))</f>
        <v>M_MED01</v>
      </c>
      <c r="E242" s="92" t="s">
        <v>1128</v>
      </c>
      <c r="F242" s="92" t="str" cm="1">
        <f t="array" ref="F242">INDEX(공급업체코드!$B$3:$B$1000,MATCH(1,(E242=공급업체코드!$D$3:$D$1000)*1,0))</f>
        <v>VM_BKT</v>
      </c>
      <c r="H242" s="312">
        <v>240</v>
      </c>
      <c r="I242" s="233" t="s">
        <v>1313</v>
      </c>
      <c r="K242" s="233" t="s">
        <v>1314</v>
      </c>
      <c r="L242" s="236">
        <f t="shared" si="9"/>
        <v>239760</v>
      </c>
      <c r="N242" s="113" t="s">
        <v>1315</v>
      </c>
      <c r="O242" s="1" t="b">
        <v>1</v>
      </c>
      <c r="Q242" s="34"/>
    </row>
    <row r="243" spans="2:17">
      <c r="B243" s="1" t="str">
        <f t="shared" si="10"/>
        <v>M_MED01_VM_BKT_241</v>
      </c>
      <c r="C243" s="92" t="s">
        <v>727</v>
      </c>
      <c r="D243" s="92" t="str" cm="1">
        <f t="array" ref="D243">INDEX(기계코드!$D$4:$D$1022,MATCH(1,(C243=기계코드!$F$4:$F$1022)*1,0))</f>
        <v>M_MED01</v>
      </c>
      <c r="E243" s="92" t="s">
        <v>1128</v>
      </c>
      <c r="F243" s="92" t="str" cm="1">
        <f t="array" ref="F243">INDEX(공급업체코드!$B$3:$B$1000,MATCH(1,(E243=공급업체코드!$D$3:$D$1000)*1,0))</f>
        <v>VM_BKT</v>
      </c>
      <c r="H243" s="312">
        <v>241</v>
      </c>
      <c r="I243" s="233" t="s">
        <v>1313</v>
      </c>
      <c r="K243" s="233" t="s">
        <v>1314</v>
      </c>
      <c r="L243" s="236">
        <f t="shared" si="9"/>
        <v>240759</v>
      </c>
      <c r="N243" s="113" t="s">
        <v>1315</v>
      </c>
      <c r="O243" s="1" t="b">
        <v>1</v>
      </c>
      <c r="Q243" s="34"/>
    </row>
    <row r="244" spans="2:17">
      <c r="B244" s="1" t="str">
        <f t="shared" si="10"/>
        <v>M_MED01_VM_BKT_242</v>
      </c>
      <c r="C244" s="92" t="s">
        <v>727</v>
      </c>
      <c r="D244" s="92" t="str" cm="1">
        <f t="array" ref="D244">INDEX(기계코드!$D$4:$D$1022,MATCH(1,(C244=기계코드!$F$4:$F$1022)*1,0))</f>
        <v>M_MED01</v>
      </c>
      <c r="E244" s="92" t="s">
        <v>1128</v>
      </c>
      <c r="F244" s="92" t="str" cm="1">
        <f t="array" ref="F244">INDEX(공급업체코드!$B$3:$B$1000,MATCH(1,(E244=공급업체코드!$D$3:$D$1000)*1,0))</f>
        <v>VM_BKT</v>
      </c>
      <c r="H244" s="312">
        <v>242</v>
      </c>
      <c r="I244" s="233" t="s">
        <v>1313</v>
      </c>
      <c r="K244" s="233" t="s">
        <v>1314</v>
      </c>
      <c r="L244" s="236">
        <f t="shared" si="9"/>
        <v>241758</v>
      </c>
      <c r="N244" s="113" t="s">
        <v>1315</v>
      </c>
      <c r="O244" s="1" t="b">
        <v>1</v>
      </c>
      <c r="Q244" s="34"/>
    </row>
    <row r="245" spans="2:17">
      <c r="B245" s="1" t="str">
        <f t="shared" si="10"/>
        <v>M_MED01_VM_BKT_243</v>
      </c>
      <c r="C245" s="92" t="s">
        <v>727</v>
      </c>
      <c r="D245" s="92" t="str" cm="1">
        <f t="array" ref="D245">INDEX(기계코드!$D$4:$D$1022,MATCH(1,(C245=기계코드!$F$4:$F$1022)*1,0))</f>
        <v>M_MED01</v>
      </c>
      <c r="E245" s="92" t="s">
        <v>1128</v>
      </c>
      <c r="F245" s="92" t="str" cm="1">
        <f t="array" ref="F245">INDEX(공급업체코드!$B$3:$B$1000,MATCH(1,(E245=공급업체코드!$D$3:$D$1000)*1,0))</f>
        <v>VM_BKT</v>
      </c>
      <c r="H245" s="312">
        <v>243</v>
      </c>
      <c r="I245" s="233" t="s">
        <v>1313</v>
      </c>
      <c r="K245" s="233" t="s">
        <v>1314</v>
      </c>
      <c r="L245" s="236">
        <f t="shared" si="9"/>
        <v>242757</v>
      </c>
      <c r="N245" s="113" t="s">
        <v>1315</v>
      </c>
      <c r="O245" s="1" t="b">
        <v>1</v>
      </c>
      <c r="Q245" s="34"/>
    </row>
    <row r="246" spans="2:17">
      <c r="B246" s="1" t="str">
        <f t="shared" si="10"/>
        <v>M_MED01_VM_BKT_244</v>
      </c>
      <c r="C246" s="92" t="s">
        <v>727</v>
      </c>
      <c r="D246" s="92" t="str" cm="1">
        <f t="array" ref="D246">INDEX(기계코드!$D$4:$D$1022,MATCH(1,(C246=기계코드!$F$4:$F$1022)*1,0))</f>
        <v>M_MED01</v>
      </c>
      <c r="E246" s="92" t="s">
        <v>1128</v>
      </c>
      <c r="F246" s="92" t="str" cm="1">
        <f t="array" ref="F246">INDEX(공급업체코드!$B$3:$B$1000,MATCH(1,(E246=공급업체코드!$D$3:$D$1000)*1,0))</f>
        <v>VM_BKT</v>
      </c>
      <c r="H246" s="312">
        <v>244</v>
      </c>
      <c r="I246" s="233" t="s">
        <v>1313</v>
      </c>
      <c r="K246" s="233" t="s">
        <v>1314</v>
      </c>
      <c r="L246" s="236">
        <f t="shared" si="9"/>
        <v>243756</v>
      </c>
      <c r="N246" s="113" t="s">
        <v>1315</v>
      </c>
      <c r="O246" s="1" t="b">
        <v>1</v>
      </c>
      <c r="Q246" s="34"/>
    </row>
    <row r="247" spans="2:17">
      <c r="B247" s="1" t="str">
        <f t="shared" si="10"/>
        <v>M_MED01_VM_BKT_245</v>
      </c>
      <c r="C247" s="92" t="s">
        <v>727</v>
      </c>
      <c r="D247" s="92" t="str" cm="1">
        <f t="array" ref="D247">INDEX(기계코드!$D$4:$D$1022,MATCH(1,(C247=기계코드!$F$4:$F$1022)*1,0))</f>
        <v>M_MED01</v>
      </c>
      <c r="E247" s="92" t="s">
        <v>1128</v>
      </c>
      <c r="F247" s="92" t="str" cm="1">
        <f t="array" ref="F247">INDEX(공급업체코드!$B$3:$B$1000,MATCH(1,(E247=공급업체코드!$D$3:$D$1000)*1,0))</f>
        <v>VM_BKT</v>
      </c>
      <c r="H247" s="312">
        <v>245</v>
      </c>
      <c r="I247" s="233" t="s">
        <v>1313</v>
      </c>
      <c r="K247" s="233" t="s">
        <v>1314</v>
      </c>
      <c r="L247" s="236">
        <f t="shared" si="9"/>
        <v>244755</v>
      </c>
      <c r="N247" s="113" t="s">
        <v>1315</v>
      </c>
      <c r="O247" s="1" t="b">
        <v>1</v>
      </c>
      <c r="Q247" s="34"/>
    </row>
    <row r="248" spans="2:17">
      <c r="B248" s="1" t="str">
        <f t="shared" si="10"/>
        <v>M_MED01_VM_BKT_246</v>
      </c>
      <c r="C248" s="92" t="s">
        <v>727</v>
      </c>
      <c r="D248" s="92" t="str" cm="1">
        <f t="array" ref="D248">INDEX(기계코드!$D$4:$D$1022,MATCH(1,(C248=기계코드!$F$4:$F$1022)*1,0))</f>
        <v>M_MED01</v>
      </c>
      <c r="E248" s="92" t="s">
        <v>1128</v>
      </c>
      <c r="F248" s="92" t="str" cm="1">
        <f t="array" ref="F248">INDEX(공급업체코드!$B$3:$B$1000,MATCH(1,(E248=공급업체코드!$D$3:$D$1000)*1,0))</f>
        <v>VM_BKT</v>
      </c>
      <c r="H248" s="312">
        <v>246</v>
      </c>
      <c r="I248" s="233" t="s">
        <v>1313</v>
      </c>
      <c r="K248" s="233" t="s">
        <v>1314</v>
      </c>
      <c r="L248" s="236">
        <f t="shared" si="9"/>
        <v>245754</v>
      </c>
      <c r="N248" s="113" t="s">
        <v>1315</v>
      </c>
      <c r="O248" s="1" t="b">
        <v>1</v>
      </c>
      <c r="Q248" s="34"/>
    </row>
    <row r="249" spans="2:17">
      <c r="B249" s="1" t="str">
        <f t="shared" si="10"/>
        <v>M_MED01_VM_BKT_247</v>
      </c>
      <c r="C249" s="92" t="s">
        <v>727</v>
      </c>
      <c r="D249" s="92" t="str" cm="1">
        <f t="array" ref="D249">INDEX(기계코드!$D$4:$D$1022,MATCH(1,(C249=기계코드!$F$4:$F$1022)*1,0))</f>
        <v>M_MED01</v>
      </c>
      <c r="E249" s="92" t="s">
        <v>1128</v>
      </c>
      <c r="F249" s="92" t="str" cm="1">
        <f t="array" ref="F249">INDEX(공급업체코드!$B$3:$B$1000,MATCH(1,(E249=공급업체코드!$D$3:$D$1000)*1,0))</f>
        <v>VM_BKT</v>
      </c>
      <c r="H249" s="312">
        <v>247</v>
      </c>
      <c r="I249" s="233" t="s">
        <v>1313</v>
      </c>
      <c r="K249" s="233" t="s">
        <v>1314</v>
      </c>
      <c r="L249" s="236">
        <f t="shared" si="9"/>
        <v>246753</v>
      </c>
      <c r="N249" s="113" t="s">
        <v>1315</v>
      </c>
      <c r="O249" s="1" t="b">
        <v>1</v>
      </c>
      <c r="Q249" s="34"/>
    </row>
    <row r="250" spans="2:17">
      <c r="B250" s="1" t="str">
        <f t="shared" si="10"/>
        <v>M_MED01_VM_BKT_248</v>
      </c>
      <c r="C250" s="92" t="s">
        <v>727</v>
      </c>
      <c r="D250" s="92" t="str" cm="1">
        <f t="array" ref="D250">INDEX(기계코드!$D$4:$D$1022,MATCH(1,(C250=기계코드!$F$4:$F$1022)*1,0))</f>
        <v>M_MED01</v>
      </c>
      <c r="E250" s="92" t="s">
        <v>1128</v>
      </c>
      <c r="F250" s="92" t="str" cm="1">
        <f t="array" ref="F250">INDEX(공급업체코드!$B$3:$B$1000,MATCH(1,(E250=공급업체코드!$D$3:$D$1000)*1,0))</f>
        <v>VM_BKT</v>
      </c>
      <c r="H250" s="312">
        <v>248</v>
      </c>
      <c r="I250" s="233" t="s">
        <v>1313</v>
      </c>
      <c r="K250" s="233" t="s">
        <v>1314</v>
      </c>
      <c r="L250" s="236">
        <f t="shared" si="9"/>
        <v>247752</v>
      </c>
      <c r="N250" s="113" t="s">
        <v>1315</v>
      </c>
      <c r="O250" s="1" t="b">
        <v>1</v>
      </c>
      <c r="Q250" s="34"/>
    </row>
    <row r="251" spans="2:17">
      <c r="B251" s="1" t="str">
        <f t="shared" si="10"/>
        <v>M_MED01_VM_BKT_249</v>
      </c>
      <c r="C251" s="92" t="s">
        <v>727</v>
      </c>
      <c r="D251" s="92" t="str" cm="1">
        <f t="array" ref="D251">INDEX(기계코드!$D$4:$D$1022,MATCH(1,(C251=기계코드!$F$4:$F$1022)*1,0))</f>
        <v>M_MED01</v>
      </c>
      <c r="E251" s="92" t="s">
        <v>1128</v>
      </c>
      <c r="F251" s="92" t="str" cm="1">
        <f t="array" ref="F251">INDEX(공급업체코드!$B$3:$B$1000,MATCH(1,(E251=공급업체코드!$D$3:$D$1000)*1,0))</f>
        <v>VM_BKT</v>
      </c>
      <c r="H251" s="312">
        <v>249</v>
      </c>
      <c r="I251" s="233" t="s">
        <v>1313</v>
      </c>
      <c r="K251" s="233" t="s">
        <v>1314</v>
      </c>
      <c r="L251" s="236">
        <f t="shared" si="9"/>
        <v>248751</v>
      </c>
      <c r="N251" s="113" t="s">
        <v>1315</v>
      </c>
      <c r="O251" s="1" t="b">
        <v>1</v>
      </c>
      <c r="Q251" s="34"/>
    </row>
    <row r="252" spans="2:17">
      <c r="B252" s="1" t="str">
        <f t="shared" si="10"/>
        <v>M_MED01_VM_BKT_250</v>
      </c>
      <c r="C252" s="92" t="s">
        <v>727</v>
      </c>
      <c r="D252" s="92" t="str" cm="1">
        <f t="array" ref="D252">INDEX(기계코드!$D$4:$D$1022,MATCH(1,(C252=기계코드!$F$4:$F$1022)*1,0))</f>
        <v>M_MED01</v>
      </c>
      <c r="E252" s="92" t="s">
        <v>1128</v>
      </c>
      <c r="F252" s="92" t="str" cm="1">
        <f t="array" ref="F252">INDEX(공급업체코드!$B$3:$B$1000,MATCH(1,(E252=공급업체코드!$D$3:$D$1000)*1,0))</f>
        <v>VM_BKT</v>
      </c>
      <c r="H252" s="312">
        <v>250</v>
      </c>
      <c r="I252" s="233" t="s">
        <v>1313</v>
      </c>
      <c r="K252" s="233" t="s">
        <v>1314</v>
      </c>
      <c r="L252" s="236">
        <f t="shared" si="9"/>
        <v>249750</v>
      </c>
      <c r="N252" s="113" t="s">
        <v>1315</v>
      </c>
      <c r="O252" s="1" t="b">
        <v>1</v>
      </c>
      <c r="Q252" s="34"/>
    </row>
    <row r="253" spans="2:17">
      <c r="B253" s="1" t="str">
        <f t="shared" si="10"/>
        <v>M_MED01_VM_BKT_251</v>
      </c>
      <c r="C253" s="92" t="s">
        <v>727</v>
      </c>
      <c r="D253" s="92" t="str" cm="1">
        <f t="array" ref="D253">INDEX(기계코드!$D$4:$D$1022,MATCH(1,(C253=기계코드!$F$4:$F$1022)*1,0))</f>
        <v>M_MED01</v>
      </c>
      <c r="E253" s="92" t="s">
        <v>1128</v>
      </c>
      <c r="F253" s="92" t="str" cm="1">
        <f t="array" ref="F253">INDEX(공급업체코드!$B$3:$B$1000,MATCH(1,(E253=공급업체코드!$D$3:$D$1000)*1,0))</f>
        <v>VM_BKT</v>
      </c>
      <c r="H253" s="312">
        <v>251</v>
      </c>
      <c r="I253" s="233" t="s">
        <v>1313</v>
      </c>
      <c r="K253" s="233" t="s">
        <v>1314</v>
      </c>
      <c r="L253" s="236">
        <f t="shared" si="9"/>
        <v>250749</v>
      </c>
      <c r="N253" s="113" t="s">
        <v>1315</v>
      </c>
      <c r="O253" s="1" t="b">
        <v>1</v>
      </c>
      <c r="Q253" s="34"/>
    </row>
    <row r="254" spans="2:17">
      <c r="B254" s="1" t="str">
        <f t="shared" si="10"/>
        <v>M_MED01_VM_BKT_252</v>
      </c>
      <c r="C254" s="92" t="s">
        <v>727</v>
      </c>
      <c r="D254" s="92" t="str" cm="1">
        <f t="array" ref="D254">INDEX(기계코드!$D$4:$D$1022,MATCH(1,(C254=기계코드!$F$4:$F$1022)*1,0))</f>
        <v>M_MED01</v>
      </c>
      <c r="E254" s="92" t="s">
        <v>1128</v>
      </c>
      <c r="F254" s="92" t="str" cm="1">
        <f t="array" ref="F254">INDEX(공급업체코드!$B$3:$B$1000,MATCH(1,(E254=공급업체코드!$D$3:$D$1000)*1,0))</f>
        <v>VM_BKT</v>
      </c>
      <c r="H254" s="312">
        <v>252</v>
      </c>
      <c r="I254" s="233" t="s">
        <v>1313</v>
      </c>
      <c r="K254" s="233" t="s">
        <v>1314</v>
      </c>
      <c r="L254" s="236">
        <f t="shared" si="9"/>
        <v>251748</v>
      </c>
      <c r="N254" s="113" t="s">
        <v>1315</v>
      </c>
      <c r="O254" s="1" t="b">
        <v>1</v>
      </c>
      <c r="Q254" s="34"/>
    </row>
    <row r="255" spans="2:17">
      <c r="B255" s="1" t="str">
        <f t="shared" si="10"/>
        <v>M_MED01_VM_BKT_253</v>
      </c>
      <c r="C255" s="92" t="s">
        <v>727</v>
      </c>
      <c r="D255" s="92" t="str" cm="1">
        <f t="array" ref="D255">INDEX(기계코드!$D$4:$D$1022,MATCH(1,(C255=기계코드!$F$4:$F$1022)*1,0))</f>
        <v>M_MED01</v>
      </c>
      <c r="E255" s="92" t="s">
        <v>1128</v>
      </c>
      <c r="F255" s="92" t="str" cm="1">
        <f t="array" ref="F255">INDEX(공급업체코드!$B$3:$B$1000,MATCH(1,(E255=공급업체코드!$D$3:$D$1000)*1,0))</f>
        <v>VM_BKT</v>
      </c>
      <c r="H255" s="312">
        <v>253</v>
      </c>
      <c r="I255" s="233" t="s">
        <v>1313</v>
      </c>
      <c r="K255" s="233" t="s">
        <v>1314</v>
      </c>
      <c r="L255" s="236">
        <f t="shared" si="9"/>
        <v>252747</v>
      </c>
      <c r="N255" s="113" t="s">
        <v>1315</v>
      </c>
      <c r="O255" s="1" t="b">
        <v>1</v>
      </c>
      <c r="Q255" s="34"/>
    </row>
    <row r="256" spans="2:17">
      <c r="B256" s="1" t="str">
        <f t="shared" si="10"/>
        <v>M_MED01_VM_BKT_254</v>
      </c>
      <c r="C256" s="92" t="s">
        <v>727</v>
      </c>
      <c r="D256" s="92" t="str" cm="1">
        <f t="array" ref="D256">INDEX(기계코드!$D$4:$D$1022,MATCH(1,(C256=기계코드!$F$4:$F$1022)*1,0))</f>
        <v>M_MED01</v>
      </c>
      <c r="E256" s="92" t="s">
        <v>1128</v>
      </c>
      <c r="F256" s="92" t="str" cm="1">
        <f t="array" ref="F256">INDEX(공급업체코드!$B$3:$B$1000,MATCH(1,(E256=공급업체코드!$D$3:$D$1000)*1,0))</f>
        <v>VM_BKT</v>
      </c>
      <c r="H256" s="312">
        <v>254</v>
      </c>
      <c r="I256" s="233" t="s">
        <v>1313</v>
      </c>
      <c r="K256" s="233" t="s">
        <v>1314</v>
      </c>
      <c r="L256" s="236">
        <f t="shared" si="9"/>
        <v>253746</v>
      </c>
      <c r="N256" s="113" t="s">
        <v>1315</v>
      </c>
      <c r="O256" s="1" t="b">
        <v>1</v>
      </c>
      <c r="Q256" s="34"/>
    </row>
    <row r="257" spans="2:17">
      <c r="B257" s="1" t="str">
        <f t="shared" si="10"/>
        <v>M_MED01_VM_BKT_255</v>
      </c>
      <c r="C257" s="92" t="s">
        <v>727</v>
      </c>
      <c r="D257" s="92" t="str" cm="1">
        <f t="array" ref="D257">INDEX(기계코드!$D$4:$D$1022,MATCH(1,(C257=기계코드!$F$4:$F$1022)*1,0))</f>
        <v>M_MED01</v>
      </c>
      <c r="E257" s="92" t="s">
        <v>1128</v>
      </c>
      <c r="F257" s="92" t="str" cm="1">
        <f t="array" ref="F257">INDEX(공급업체코드!$B$3:$B$1000,MATCH(1,(E257=공급업체코드!$D$3:$D$1000)*1,0))</f>
        <v>VM_BKT</v>
      </c>
      <c r="H257" s="312">
        <v>255</v>
      </c>
      <c r="I257" s="233" t="s">
        <v>1313</v>
      </c>
      <c r="K257" s="233" t="s">
        <v>1314</v>
      </c>
      <c r="L257" s="236">
        <f t="shared" si="9"/>
        <v>254745</v>
      </c>
      <c r="N257" s="113" t="s">
        <v>1315</v>
      </c>
      <c r="O257" s="1" t="b">
        <v>1</v>
      </c>
      <c r="Q257" s="34"/>
    </row>
    <row r="258" spans="2:17">
      <c r="B258" s="1" t="str">
        <f t="shared" si="10"/>
        <v>M_MED01_VM_BKT_256</v>
      </c>
      <c r="C258" s="92" t="s">
        <v>727</v>
      </c>
      <c r="D258" s="92" t="str" cm="1">
        <f t="array" ref="D258">INDEX(기계코드!$D$4:$D$1022,MATCH(1,(C258=기계코드!$F$4:$F$1022)*1,0))</f>
        <v>M_MED01</v>
      </c>
      <c r="E258" s="92" t="s">
        <v>1128</v>
      </c>
      <c r="F258" s="92" t="str" cm="1">
        <f t="array" ref="F258">INDEX(공급업체코드!$B$3:$B$1000,MATCH(1,(E258=공급업체코드!$D$3:$D$1000)*1,0))</f>
        <v>VM_BKT</v>
      </c>
      <c r="H258" s="312">
        <v>256</v>
      </c>
      <c r="I258" s="233" t="s">
        <v>1313</v>
      </c>
      <c r="K258" s="233" t="s">
        <v>1314</v>
      </c>
      <c r="L258" s="236">
        <f t="shared" si="9"/>
        <v>255744</v>
      </c>
      <c r="N258" s="113" t="s">
        <v>1315</v>
      </c>
      <c r="O258" s="1" t="b">
        <v>1</v>
      </c>
      <c r="Q258" s="34"/>
    </row>
    <row r="259" spans="2:17">
      <c r="B259" s="1" t="str">
        <f t="shared" si="10"/>
        <v>M_MED01_VM_BKT_257</v>
      </c>
      <c r="C259" s="92" t="s">
        <v>727</v>
      </c>
      <c r="D259" s="92" t="str" cm="1">
        <f t="array" ref="D259">INDEX(기계코드!$D$4:$D$1022,MATCH(1,(C259=기계코드!$F$4:$F$1022)*1,0))</f>
        <v>M_MED01</v>
      </c>
      <c r="E259" s="92" t="s">
        <v>1128</v>
      </c>
      <c r="F259" s="92" t="str" cm="1">
        <f t="array" ref="F259">INDEX(공급업체코드!$B$3:$B$1000,MATCH(1,(E259=공급업체코드!$D$3:$D$1000)*1,0))</f>
        <v>VM_BKT</v>
      </c>
      <c r="H259" s="312">
        <v>257</v>
      </c>
      <c r="I259" s="233" t="s">
        <v>1313</v>
      </c>
      <c r="K259" s="233" t="s">
        <v>1314</v>
      </c>
      <c r="L259" s="236">
        <f t="shared" si="9"/>
        <v>256743</v>
      </c>
      <c r="N259" s="113" t="s">
        <v>1315</v>
      </c>
      <c r="O259" s="1" t="b">
        <v>1</v>
      </c>
      <c r="Q259" s="34"/>
    </row>
    <row r="260" spans="2:17">
      <c r="B260" s="1" t="str">
        <f t="shared" si="10"/>
        <v>M_MED01_VM_BKT_258</v>
      </c>
      <c r="C260" s="92" t="s">
        <v>727</v>
      </c>
      <c r="D260" s="92" t="str" cm="1">
        <f t="array" ref="D260">INDEX(기계코드!$D$4:$D$1022,MATCH(1,(C260=기계코드!$F$4:$F$1022)*1,0))</f>
        <v>M_MED01</v>
      </c>
      <c r="E260" s="92" t="s">
        <v>1128</v>
      </c>
      <c r="F260" s="92" t="str" cm="1">
        <f t="array" ref="F260">INDEX(공급업체코드!$B$3:$B$1000,MATCH(1,(E260=공급업체코드!$D$3:$D$1000)*1,0))</f>
        <v>VM_BKT</v>
      </c>
      <c r="H260" s="312">
        <v>258</v>
      </c>
      <c r="I260" s="233" t="s">
        <v>1313</v>
      </c>
      <c r="K260" s="233" t="s">
        <v>1314</v>
      </c>
      <c r="L260" s="236">
        <f t="shared" si="9"/>
        <v>257742</v>
      </c>
      <c r="N260" s="113" t="s">
        <v>1315</v>
      </c>
      <c r="O260" s="1" t="b">
        <v>1</v>
      </c>
      <c r="Q260" s="34"/>
    </row>
    <row r="261" spans="2:17">
      <c r="B261" s="1" t="str">
        <f t="shared" si="10"/>
        <v>M_MED01_VM_BKT_259</v>
      </c>
      <c r="C261" s="92" t="s">
        <v>727</v>
      </c>
      <c r="D261" s="92" t="str" cm="1">
        <f t="array" ref="D261">INDEX(기계코드!$D$4:$D$1022,MATCH(1,(C261=기계코드!$F$4:$F$1022)*1,0))</f>
        <v>M_MED01</v>
      </c>
      <c r="E261" s="92" t="s">
        <v>1128</v>
      </c>
      <c r="F261" s="92" t="str" cm="1">
        <f t="array" ref="F261">INDEX(공급업체코드!$B$3:$B$1000,MATCH(1,(E261=공급업체코드!$D$3:$D$1000)*1,0))</f>
        <v>VM_BKT</v>
      </c>
      <c r="H261" s="312">
        <v>259</v>
      </c>
      <c r="I261" s="233" t="s">
        <v>1313</v>
      </c>
      <c r="K261" s="233" t="s">
        <v>1314</v>
      </c>
      <c r="L261" s="236">
        <f t="shared" ref="L261:L324" si="11">$L$3*H261</f>
        <v>258741</v>
      </c>
      <c r="N261" s="113" t="s">
        <v>1315</v>
      </c>
      <c r="O261" s="1" t="b">
        <v>1</v>
      </c>
      <c r="Q261" s="34"/>
    </row>
    <row r="262" spans="2:17">
      <c r="B262" s="1" t="str">
        <f t="shared" si="10"/>
        <v>M_MED01_VM_BKT_260</v>
      </c>
      <c r="C262" s="92" t="s">
        <v>727</v>
      </c>
      <c r="D262" s="92" t="str" cm="1">
        <f t="array" ref="D262">INDEX(기계코드!$D$4:$D$1022,MATCH(1,(C262=기계코드!$F$4:$F$1022)*1,0))</f>
        <v>M_MED01</v>
      </c>
      <c r="E262" s="92" t="s">
        <v>1128</v>
      </c>
      <c r="F262" s="92" t="str" cm="1">
        <f t="array" ref="F262">INDEX(공급업체코드!$B$3:$B$1000,MATCH(1,(E262=공급업체코드!$D$3:$D$1000)*1,0))</f>
        <v>VM_BKT</v>
      </c>
      <c r="H262" s="312">
        <v>260</v>
      </c>
      <c r="I262" s="233" t="s">
        <v>1313</v>
      </c>
      <c r="K262" s="233" t="s">
        <v>1314</v>
      </c>
      <c r="L262" s="236">
        <f t="shared" si="11"/>
        <v>259740</v>
      </c>
      <c r="N262" s="113" t="s">
        <v>1315</v>
      </c>
      <c r="O262" s="1" t="b">
        <v>1</v>
      </c>
      <c r="Q262" s="34"/>
    </row>
    <row r="263" spans="2:17">
      <c r="B263" s="1" t="str">
        <f t="shared" ref="B263:B326" si="12">D263&amp;"_"&amp;F263&amp;"_"&amp;H263</f>
        <v>M_MED01_VM_BKT_261</v>
      </c>
      <c r="C263" s="92" t="s">
        <v>727</v>
      </c>
      <c r="D263" s="92" t="str" cm="1">
        <f t="array" ref="D263">INDEX(기계코드!$D$4:$D$1022,MATCH(1,(C263=기계코드!$F$4:$F$1022)*1,0))</f>
        <v>M_MED01</v>
      </c>
      <c r="E263" s="92" t="s">
        <v>1128</v>
      </c>
      <c r="F263" s="92" t="str" cm="1">
        <f t="array" ref="F263">INDEX(공급업체코드!$B$3:$B$1000,MATCH(1,(E263=공급업체코드!$D$3:$D$1000)*1,0))</f>
        <v>VM_BKT</v>
      </c>
      <c r="H263" s="312">
        <v>261</v>
      </c>
      <c r="I263" s="233" t="s">
        <v>1313</v>
      </c>
      <c r="K263" s="233" t="s">
        <v>1314</v>
      </c>
      <c r="L263" s="236">
        <f t="shared" si="11"/>
        <v>260739</v>
      </c>
      <c r="N263" s="113" t="s">
        <v>1315</v>
      </c>
      <c r="O263" s="1" t="b">
        <v>1</v>
      </c>
      <c r="Q263" s="34"/>
    </row>
    <row r="264" spans="2:17">
      <c r="B264" s="1" t="str">
        <f t="shared" si="12"/>
        <v>M_MED01_VM_BKT_262</v>
      </c>
      <c r="C264" s="92" t="s">
        <v>727</v>
      </c>
      <c r="D264" s="92" t="str" cm="1">
        <f t="array" ref="D264">INDEX(기계코드!$D$4:$D$1022,MATCH(1,(C264=기계코드!$F$4:$F$1022)*1,0))</f>
        <v>M_MED01</v>
      </c>
      <c r="E264" s="92" t="s">
        <v>1128</v>
      </c>
      <c r="F264" s="92" t="str" cm="1">
        <f t="array" ref="F264">INDEX(공급업체코드!$B$3:$B$1000,MATCH(1,(E264=공급업체코드!$D$3:$D$1000)*1,0))</f>
        <v>VM_BKT</v>
      </c>
      <c r="H264" s="312">
        <v>262</v>
      </c>
      <c r="I264" s="233" t="s">
        <v>1313</v>
      </c>
      <c r="K264" s="233" t="s">
        <v>1314</v>
      </c>
      <c r="L264" s="236">
        <f t="shared" si="11"/>
        <v>261738</v>
      </c>
      <c r="N264" s="113" t="s">
        <v>1315</v>
      </c>
      <c r="O264" s="1" t="b">
        <v>1</v>
      </c>
      <c r="Q264" s="34"/>
    </row>
    <row r="265" spans="2:17">
      <c r="B265" s="1" t="str">
        <f t="shared" si="12"/>
        <v>M_MED01_VM_BKT_263</v>
      </c>
      <c r="C265" s="92" t="s">
        <v>727</v>
      </c>
      <c r="D265" s="92" t="str" cm="1">
        <f t="array" ref="D265">INDEX(기계코드!$D$4:$D$1022,MATCH(1,(C265=기계코드!$F$4:$F$1022)*1,0))</f>
        <v>M_MED01</v>
      </c>
      <c r="E265" s="92" t="s">
        <v>1128</v>
      </c>
      <c r="F265" s="92" t="str" cm="1">
        <f t="array" ref="F265">INDEX(공급업체코드!$B$3:$B$1000,MATCH(1,(E265=공급업체코드!$D$3:$D$1000)*1,0))</f>
        <v>VM_BKT</v>
      </c>
      <c r="H265" s="312">
        <v>263</v>
      </c>
      <c r="I265" s="233" t="s">
        <v>1313</v>
      </c>
      <c r="K265" s="233" t="s">
        <v>1314</v>
      </c>
      <c r="L265" s="236">
        <f t="shared" si="11"/>
        <v>262737</v>
      </c>
      <c r="N265" s="113" t="s">
        <v>1315</v>
      </c>
      <c r="O265" s="1" t="b">
        <v>1</v>
      </c>
      <c r="Q265" s="34"/>
    </row>
    <row r="266" spans="2:17">
      <c r="B266" s="1" t="str">
        <f t="shared" si="12"/>
        <v>M_MED01_VM_BKT_264</v>
      </c>
      <c r="C266" s="92" t="s">
        <v>727</v>
      </c>
      <c r="D266" s="92" t="str" cm="1">
        <f t="array" ref="D266">INDEX(기계코드!$D$4:$D$1022,MATCH(1,(C266=기계코드!$F$4:$F$1022)*1,0))</f>
        <v>M_MED01</v>
      </c>
      <c r="E266" s="92" t="s">
        <v>1128</v>
      </c>
      <c r="F266" s="92" t="str" cm="1">
        <f t="array" ref="F266">INDEX(공급업체코드!$B$3:$B$1000,MATCH(1,(E266=공급업체코드!$D$3:$D$1000)*1,0))</f>
        <v>VM_BKT</v>
      </c>
      <c r="H266" s="312">
        <v>264</v>
      </c>
      <c r="I266" s="233" t="s">
        <v>1313</v>
      </c>
      <c r="K266" s="233" t="s">
        <v>1314</v>
      </c>
      <c r="L266" s="236">
        <f t="shared" si="11"/>
        <v>263736</v>
      </c>
      <c r="N266" s="113" t="s">
        <v>1315</v>
      </c>
      <c r="O266" s="1" t="b">
        <v>1</v>
      </c>
      <c r="Q266" s="34"/>
    </row>
    <row r="267" spans="2:17">
      <c r="B267" s="1" t="str">
        <f t="shared" si="12"/>
        <v>M_MED01_VM_BKT_265</v>
      </c>
      <c r="C267" s="92" t="s">
        <v>727</v>
      </c>
      <c r="D267" s="92" t="str" cm="1">
        <f t="array" ref="D267">INDEX(기계코드!$D$4:$D$1022,MATCH(1,(C267=기계코드!$F$4:$F$1022)*1,0))</f>
        <v>M_MED01</v>
      </c>
      <c r="E267" s="92" t="s">
        <v>1128</v>
      </c>
      <c r="F267" s="92" t="str" cm="1">
        <f t="array" ref="F267">INDEX(공급업체코드!$B$3:$B$1000,MATCH(1,(E267=공급업체코드!$D$3:$D$1000)*1,0))</f>
        <v>VM_BKT</v>
      </c>
      <c r="H267" s="312">
        <v>265</v>
      </c>
      <c r="I267" s="233" t="s">
        <v>1313</v>
      </c>
      <c r="K267" s="233" t="s">
        <v>1314</v>
      </c>
      <c r="L267" s="236">
        <f t="shared" si="11"/>
        <v>264735</v>
      </c>
      <c r="N267" s="113" t="s">
        <v>1315</v>
      </c>
      <c r="O267" s="1" t="b">
        <v>1</v>
      </c>
      <c r="Q267" s="34"/>
    </row>
    <row r="268" spans="2:17">
      <c r="B268" s="1" t="str">
        <f t="shared" si="12"/>
        <v>M_MED01_VM_BKT_266</v>
      </c>
      <c r="C268" s="92" t="s">
        <v>727</v>
      </c>
      <c r="D268" s="92" t="str" cm="1">
        <f t="array" ref="D268">INDEX(기계코드!$D$4:$D$1022,MATCH(1,(C268=기계코드!$F$4:$F$1022)*1,0))</f>
        <v>M_MED01</v>
      </c>
      <c r="E268" s="92" t="s">
        <v>1128</v>
      </c>
      <c r="F268" s="92" t="str" cm="1">
        <f t="array" ref="F268">INDEX(공급업체코드!$B$3:$B$1000,MATCH(1,(E268=공급업체코드!$D$3:$D$1000)*1,0))</f>
        <v>VM_BKT</v>
      </c>
      <c r="H268" s="312">
        <v>266</v>
      </c>
      <c r="I268" s="233" t="s">
        <v>1313</v>
      </c>
      <c r="K268" s="233" t="s">
        <v>1314</v>
      </c>
      <c r="L268" s="236">
        <f t="shared" si="11"/>
        <v>265734</v>
      </c>
      <c r="N268" s="113" t="s">
        <v>1315</v>
      </c>
      <c r="O268" s="1" t="b">
        <v>1</v>
      </c>
      <c r="Q268" s="34"/>
    </row>
    <row r="269" spans="2:17">
      <c r="B269" s="1" t="str">
        <f t="shared" si="12"/>
        <v>M_MED01_VM_BKT_267</v>
      </c>
      <c r="C269" s="92" t="s">
        <v>727</v>
      </c>
      <c r="D269" s="92" t="str" cm="1">
        <f t="array" ref="D269">INDEX(기계코드!$D$4:$D$1022,MATCH(1,(C269=기계코드!$F$4:$F$1022)*1,0))</f>
        <v>M_MED01</v>
      </c>
      <c r="E269" s="92" t="s">
        <v>1128</v>
      </c>
      <c r="F269" s="92" t="str" cm="1">
        <f t="array" ref="F269">INDEX(공급업체코드!$B$3:$B$1000,MATCH(1,(E269=공급업체코드!$D$3:$D$1000)*1,0))</f>
        <v>VM_BKT</v>
      </c>
      <c r="H269" s="312">
        <v>267</v>
      </c>
      <c r="I269" s="233" t="s">
        <v>1313</v>
      </c>
      <c r="K269" s="233" t="s">
        <v>1314</v>
      </c>
      <c r="L269" s="236">
        <f t="shared" si="11"/>
        <v>266733</v>
      </c>
      <c r="N269" s="113" t="s">
        <v>1315</v>
      </c>
      <c r="O269" s="1" t="b">
        <v>1</v>
      </c>
      <c r="Q269" s="34"/>
    </row>
    <row r="270" spans="2:17">
      <c r="B270" s="1" t="str">
        <f t="shared" si="12"/>
        <v>M_MED01_VM_BKT_268</v>
      </c>
      <c r="C270" s="92" t="s">
        <v>727</v>
      </c>
      <c r="D270" s="92" t="str" cm="1">
        <f t="array" ref="D270">INDEX(기계코드!$D$4:$D$1022,MATCH(1,(C270=기계코드!$F$4:$F$1022)*1,0))</f>
        <v>M_MED01</v>
      </c>
      <c r="E270" s="92" t="s">
        <v>1128</v>
      </c>
      <c r="F270" s="92" t="str" cm="1">
        <f t="array" ref="F270">INDEX(공급업체코드!$B$3:$B$1000,MATCH(1,(E270=공급업체코드!$D$3:$D$1000)*1,0))</f>
        <v>VM_BKT</v>
      </c>
      <c r="H270" s="312">
        <v>268</v>
      </c>
      <c r="I270" s="233" t="s">
        <v>1313</v>
      </c>
      <c r="K270" s="233" t="s">
        <v>1314</v>
      </c>
      <c r="L270" s="236">
        <f t="shared" si="11"/>
        <v>267732</v>
      </c>
      <c r="N270" s="113" t="s">
        <v>1315</v>
      </c>
      <c r="O270" s="1" t="b">
        <v>1</v>
      </c>
      <c r="Q270" s="34"/>
    </row>
    <row r="271" spans="2:17">
      <c r="B271" s="1" t="str">
        <f t="shared" si="12"/>
        <v>M_MED01_VM_BKT_269</v>
      </c>
      <c r="C271" s="92" t="s">
        <v>727</v>
      </c>
      <c r="D271" s="92" t="str" cm="1">
        <f t="array" ref="D271">INDEX(기계코드!$D$4:$D$1022,MATCH(1,(C271=기계코드!$F$4:$F$1022)*1,0))</f>
        <v>M_MED01</v>
      </c>
      <c r="E271" s="92" t="s">
        <v>1128</v>
      </c>
      <c r="F271" s="92" t="str" cm="1">
        <f t="array" ref="F271">INDEX(공급업체코드!$B$3:$B$1000,MATCH(1,(E271=공급업체코드!$D$3:$D$1000)*1,0))</f>
        <v>VM_BKT</v>
      </c>
      <c r="H271" s="312">
        <v>269</v>
      </c>
      <c r="I271" s="233" t="s">
        <v>1313</v>
      </c>
      <c r="K271" s="233" t="s">
        <v>1314</v>
      </c>
      <c r="L271" s="236">
        <f t="shared" si="11"/>
        <v>268731</v>
      </c>
      <c r="N271" s="113" t="s">
        <v>1315</v>
      </c>
      <c r="O271" s="1" t="b">
        <v>1</v>
      </c>
      <c r="Q271" s="34"/>
    </row>
    <row r="272" spans="2:17">
      <c r="B272" s="1" t="str">
        <f t="shared" si="12"/>
        <v>M_MED01_VM_BKT_270</v>
      </c>
      <c r="C272" s="92" t="s">
        <v>727</v>
      </c>
      <c r="D272" s="92" t="str" cm="1">
        <f t="array" ref="D272">INDEX(기계코드!$D$4:$D$1022,MATCH(1,(C272=기계코드!$F$4:$F$1022)*1,0))</f>
        <v>M_MED01</v>
      </c>
      <c r="E272" s="92" t="s">
        <v>1128</v>
      </c>
      <c r="F272" s="92" t="str" cm="1">
        <f t="array" ref="F272">INDEX(공급업체코드!$B$3:$B$1000,MATCH(1,(E272=공급업체코드!$D$3:$D$1000)*1,0))</f>
        <v>VM_BKT</v>
      </c>
      <c r="H272" s="312">
        <v>270</v>
      </c>
      <c r="I272" s="233" t="s">
        <v>1313</v>
      </c>
      <c r="K272" s="233" t="s">
        <v>1314</v>
      </c>
      <c r="L272" s="236">
        <f t="shared" si="11"/>
        <v>269730</v>
      </c>
      <c r="N272" s="113" t="s">
        <v>1315</v>
      </c>
      <c r="O272" s="1" t="b">
        <v>1</v>
      </c>
      <c r="Q272" s="34"/>
    </row>
    <row r="273" spans="2:17">
      <c r="B273" s="1" t="str">
        <f t="shared" si="12"/>
        <v>M_MED01_VM_BKT_271</v>
      </c>
      <c r="C273" s="92" t="s">
        <v>727</v>
      </c>
      <c r="D273" s="92" t="str" cm="1">
        <f t="array" ref="D273">INDEX(기계코드!$D$4:$D$1022,MATCH(1,(C273=기계코드!$F$4:$F$1022)*1,0))</f>
        <v>M_MED01</v>
      </c>
      <c r="E273" s="92" t="s">
        <v>1128</v>
      </c>
      <c r="F273" s="92" t="str" cm="1">
        <f t="array" ref="F273">INDEX(공급업체코드!$B$3:$B$1000,MATCH(1,(E273=공급업체코드!$D$3:$D$1000)*1,0))</f>
        <v>VM_BKT</v>
      </c>
      <c r="H273" s="312">
        <v>271</v>
      </c>
      <c r="I273" s="233" t="s">
        <v>1313</v>
      </c>
      <c r="K273" s="233" t="s">
        <v>1314</v>
      </c>
      <c r="L273" s="236">
        <f t="shared" si="11"/>
        <v>270729</v>
      </c>
      <c r="N273" s="113" t="s">
        <v>1315</v>
      </c>
      <c r="O273" s="1" t="b">
        <v>1</v>
      </c>
      <c r="Q273" s="34"/>
    </row>
    <row r="274" spans="2:17">
      <c r="B274" s="1" t="str">
        <f t="shared" si="12"/>
        <v>M_MED01_VM_BKT_272</v>
      </c>
      <c r="C274" s="92" t="s">
        <v>727</v>
      </c>
      <c r="D274" s="92" t="str" cm="1">
        <f t="array" ref="D274">INDEX(기계코드!$D$4:$D$1022,MATCH(1,(C274=기계코드!$F$4:$F$1022)*1,0))</f>
        <v>M_MED01</v>
      </c>
      <c r="E274" s="92" t="s">
        <v>1128</v>
      </c>
      <c r="F274" s="92" t="str" cm="1">
        <f t="array" ref="F274">INDEX(공급업체코드!$B$3:$B$1000,MATCH(1,(E274=공급업체코드!$D$3:$D$1000)*1,0))</f>
        <v>VM_BKT</v>
      </c>
      <c r="H274" s="312">
        <v>272</v>
      </c>
      <c r="I274" s="233" t="s">
        <v>1313</v>
      </c>
      <c r="K274" s="233" t="s">
        <v>1314</v>
      </c>
      <c r="L274" s="236">
        <f t="shared" si="11"/>
        <v>271728</v>
      </c>
      <c r="N274" s="113" t="s">
        <v>1315</v>
      </c>
      <c r="O274" s="1" t="b">
        <v>1</v>
      </c>
      <c r="Q274" s="34"/>
    </row>
    <row r="275" spans="2:17">
      <c r="B275" s="1" t="str">
        <f t="shared" si="12"/>
        <v>M_MED01_VM_BKT_273</v>
      </c>
      <c r="C275" s="92" t="s">
        <v>727</v>
      </c>
      <c r="D275" s="92" t="str" cm="1">
        <f t="array" ref="D275">INDEX(기계코드!$D$4:$D$1022,MATCH(1,(C275=기계코드!$F$4:$F$1022)*1,0))</f>
        <v>M_MED01</v>
      </c>
      <c r="E275" s="92" t="s">
        <v>1128</v>
      </c>
      <c r="F275" s="92" t="str" cm="1">
        <f t="array" ref="F275">INDEX(공급업체코드!$B$3:$B$1000,MATCH(1,(E275=공급업체코드!$D$3:$D$1000)*1,0))</f>
        <v>VM_BKT</v>
      </c>
      <c r="H275" s="312">
        <v>273</v>
      </c>
      <c r="I275" s="233" t="s">
        <v>1313</v>
      </c>
      <c r="K275" s="233" t="s">
        <v>1314</v>
      </c>
      <c r="L275" s="236">
        <f t="shared" si="11"/>
        <v>272727</v>
      </c>
      <c r="N275" s="113" t="s">
        <v>1315</v>
      </c>
      <c r="O275" s="1" t="b">
        <v>1</v>
      </c>
      <c r="Q275" s="34"/>
    </row>
    <row r="276" spans="2:17">
      <c r="B276" s="1" t="str">
        <f t="shared" si="12"/>
        <v>M_MED01_VM_BKT_274</v>
      </c>
      <c r="C276" s="92" t="s">
        <v>727</v>
      </c>
      <c r="D276" s="92" t="str" cm="1">
        <f t="array" ref="D276">INDEX(기계코드!$D$4:$D$1022,MATCH(1,(C276=기계코드!$F$4:$F$1022)*1,0))</f>
        <v>M_MED01</v>
      </c>
      <c r="E276" s="92" t="s">
        <v>1128</v>
      </c>
      <c r="F276" s="92" t="str" cm="1">
        <f t="array" ref="F276">INDEX(공급업체코드!$B$3:$B$1000,MATCH(1,(E276=공급업체코드!$D$3:$D$1000)*1,0))</f>
        <v>VM_BKT</v>
      </c>
      <c r="H276" s="312">
        <v>274</v>
      </c>
      <c r="I276" s="233" t="s">
        <v>1313</v>
      </c>
      <c r="K276" s="233" t="s">
        <v>1314</v>
      </c>
      <c r="L276" s="236">
        <f t="shared" si="11"/>
        <v>273726</v>
      </c>
      <c r="N276" s="113" t="s">
        <v>1315</v>
      </c>
      <c r="O276" s="1" t="b">
        <v>1</v>
      </c>
      <c r="Q276" s="34"/>
    </row>
    <row r="277" spans="2:17">
      <c r="B277" s="1" t="str">
        <f t="shared" si="12"/>
        <v>M_MED01_VM_BKT_275</v>
      </c>
      <c r="C277" s="92" t="s">
        <v>727</v>
      </c>
      <c r="D277" s="92" t="str" cm="1">
        <f t="array" ref="D277">INDEX(기계코드!$D$4:$D$1022,MATCH(1,(C277=기계코드!$F$4:$F$1022)*1,0))</f>
        <v>M_MED01</v>
      </c>
      <c r="E277" s="92" t="s">
        <v>1128</v>
      </c>
      <c r="F277" s="92" t="str" cm="1">
        <f t="array" ref="F277">INDEX(공급업체코드!$B$3:$B$1000,MATCH(1,(E277=공급업체코드!$D$3:$D$1000)*1,0))</f>
        <v>VM_BKT</v>
      </c>
      <c r="H277" s="312">
        <v>275</v>
      </c>
      <c r="I277" s="233" t="s">
        <v>1313</v>
      </c>
      <c r="K277" s="233" t="s">
        <v>1314</v>
      </c>
      <c r="L277" s="236">
        <f t="shared" si="11"/>
        <v>274725</v>
      </c>
      <c r="N277" s="113" t="s">
        <v>1315</v>
      </c>
      <c r="O277" s="1" t="b">
        <v>1</v>
      </c>
      <c r="Q277" s="34"/>
    </row>
    <row r="278" spans="2:17">
      <c r="B278" s="1" t="str">
        <f t="shared" si="12"/>
        <v>M_MED01_VM_BKT_276</v>
      </c>
      <c r="C278" s="92" t="s">
        <v>727</v>
      </c>
      <c r="D278" s="92" t="str" cm="1">
        <f t="array" ref="D278">INDEX(기계코드!$D$4:$D$1022,MATCH(1,(C278=기계코드!$F$4:$F$1022)*1,0))</f>
        <v>M_MED01</v>
      </c>
      <c r="E278" s="92" t="s">
        <v>1128</v>
      </c>
      <c r="F278" s="92" t="str" cm="1">
        <f t="array" ref="F278">INDEX(공급업체코드!$B$3:$B$1000,MATCH(1,(E278=공급업체코드!$D$3:$D$1000)*1,0))</f>
        <v>VM_BKT</v>
      </c>
      <c r="H278" s="312">
        <v>276</v>
      </c>
      <c r="I278" s="233" t="s">
        <v>1313</v>
      </c>
      <c r="K278" s="233" t="s">
        <v>1314</v>
      </c>
      <c r="L278" s="236">
        <f t="shared" si="11"/>
        <v>275724</v>
      </c>
      <c r="N278" s="113" t="s">
        <v>1315</v>
      </c>
      <c r="O278" s="1" t="b">
        <v>1</v>
      </c>
      <c r="Q278" s="34"/>
    </row>
    <row r="279" spans="2:17">
      <c r="B279" s="1" t="str">
        <f t="shared" si="12"/>
        <v>M_MED01_VM_BKT_277</v>
      </c>
      <c r="C279" s="92" t="s">
        <v>727</v>
      </c>
      <c r="D279" s="92" t="str" cm="1">
        <f t="array" ref="D279">INDEX(기계코드!$D$4:$D$1022,MATCH(1,(C279=기계코드!$F$4:$F$1022)*1,0))</f>
        <v>M_MED01</v>
      </c>
      <c r="E279" s="92" t="s">
        <v>1128</v>
      </c>
      <c r="F279" s="92" t="str" cm="1">
        <f t="array" ref="F279">INDEX(공급업체코드!$B$3:$B$1000,MATCH(1,(E279=공급업체코드!$D$3:$D$1000)*1,0))</f>
        <v>VM_BKT</v>
      </c>
      <c r="H279" s="312">
        <v>277</v>
      </c>
      <c r="I279" s="233" t="s">
        <v>1313</v>
      </c>
      <c r="K279" s="233" t="s">
        <v>1314</v>
      </c>
      <c r="L279" s="236">
        <f t="shared" si="11"/>
        <v>276723</v>
      </c>
      <c r="N279" s="113" t="s">
        <v>1315</v>
      </c>
      <c r="O279" s="1" t="b">
        <v>1</v>
      </c>
      <c r="Q279" s="34"/>
    </row>
    <row r="280" spans="2:17">
      <c r="B280" s="1" t="str">
        <f t="shared" si="12"/>
        <v>M_MED01_VM_BKT_278</v>
      </c>
      <c r="C280" s="92" t="s">
        <v>727</v>
      </c>
      <c r="D280" s="92" t="str" cm="1">
        <f t="array" ref="D280">INDEX(기계코드!$D$4:$D$1022,MATCH(1,(C280=기계코드!$F$4:$F$1022)*1,0))</f>
        <v>M_MED01</v>
      </c>
      <c r="E280" s="92" t="s">
        <v>1128</v>
      </c>
      <c r="F280" s="92" t="str" cm="1">
        <f t="array" ref="F280">INDEX(공급업체코드!$B$3:$B$1000,MATCH(1,(E280=공급업체코드!$D$3:$D$1000)*1,0))</f>
        <v>VM_BKT</v>
      </c>
      <c r="H280" s="312">
        <v>278</v>
      </c>
      <c r="I280" s="233" t="s">
        <v>1313</v>
      </c>
      <c r="K280" s="233" t="s">
        <v>1314</v>
      </c>
      <c r="L280" s="236">
        <f t="shared" si="11"/>
        <v>277722</v>
      </c>
      <c r="N280" s="113" t="s">
        <v>1315</v>
      </c>
      <c r="O280" s="1" t="b">
        <v>1</v>
      </c>
      <c r="Q280" s="34"/>
    </row>
    <row r="281" spans="2:17">
      <c r="B281" s="1" t="str">
        <f t="shared" si="12"/>
        <v>M_MED01_VM_BKT_279</v>
      </c>
      <c r="C281" s="92" t="s">
        <v>727</v>
      </c>
      <c r="D281" s="92" t="str" cm="1">
        <f t="array" ref="D281">INDEX(기계코드!$D$4:$D$1022,MATCH(1,(C281=기계코드!$F$4:$F$1022)*1,0))</f>
        <v>M_MED01</v>
      </c>
      <c r="E281" s="92" t="s">
        <v>1128</v>
      </c>
      <c r="F281" s="92" t="str" cm="1">
        <f t="array" ref="F281">INDEX(공급업체코드!$B$3:$B$1000,MATCH(1,(E281=공급업체코드!$D$3:$D$1000)*1,0))</f>
        <v>VM_BKT</v>
      </c>
      <c r="H281" s="312">
        <v>279</v>
      </c>
      <c r="I281" s="233" t="s">
        <v>1313</v>
      </c>
      <c r="K281" s="233" t="s">
        <v>1314</v>
      </c>
      <c r="L281" s="236">
        <f t="shared" si="11"/>
        <v>278721</v>
      </c>
      <c r="N281" s="113" t="s">
        <v>1315</v>
      </c>
      <c r="O281" s="1" t="b">
        <v>1</v>
      </c>
      <c r="Q281" s="34"/>
    </row>
    <row r="282" spans="2:17">
      <c r="B282" s="1" t="str">
        <f t="shared" si="12"/>
        <v>M_MED01_VM_BKT_280</v>
      </c>
      <c r="C282" s="92" t="s">
        <v>727</v>
      </c>
      <c r="D282" s="92" t="str" cm="1">
        <f t="array" ref="D282">INDEX(기계코드!$D$4:$D$1022,MATCH(1,(C282=기계코드!$F$4:$F$1022)*1,0))</f>
        <v>M_MED01</v>
      </c>
      <c r="E282" s="92" t="s">
        <v>1128</v>
      </c>
      <c r="F282" s="92" t="str" cm="1">
        <f t="array" ref="F282">INDEX(공급업체코드!$B$3:$B$1000,MATCH(1,(E282=공급업체코드!$D$3:$D$1000)*1,0))</f>
        <v>VM_BKT</v>
      </c>
      <c r="H282" s="312">
        <v>280</v>
      </c>
      <c r="I282" s="233" t="s">
        <v>1313</v>
      </c>
      <c r="K282" s="233" t="s">
        <v>1314</v>
      </c>
      <c r="L282" s="236">
        <f t="shared" si="11"/>
        <v>279720</v>
      </c>
      <c r="N282" s="113" t="s">
        <v>1315</v>
      </c>
      <c r="O282" s="1" t="b">
        <v>1</v>
      </c>
      <c r="Q282" s="34"/>
    </row>
    <row r="283" spans="2:17">
      <c r="B283" s="1" t="str">
        <f t="shared" si="12"/>
        <v>M_MED01_VM_BKT_281</v>
      </c>
      <c r="C283" s="92" t="s">
        <v>727</v>
      </c>
      <c r="D283" s="92" t="str" cm="1">
        <f t="array" ref="D283">INDEX(기계코드!$D$4:$D$1022,MATCH(1,(C283=기계코드!$F$4:$F$1022)*1,0))</f>
        <v>M_MED01</v>
      </c>
      <c r="E283" s="92" t="s">
        <v>1128</v>
      </c>
      <c r="F283" s="92" t="str" cm="1">
        <f t="array" ref="F283">INDEX(공급업체코드!$B$3:$B$1000,MATCH(1,(E283=공급업체코드!$D$3:$D$1000)*1,0))</f>
        <v>VM_BKT</v>
      </c>
      <c r="H283" s="312">
        <v>281</v>
      </c>
      <c r="I283" s="233" t="s">
        <v>1313</v>
      </c>
      <c r="K283" s="233" t="s">
        <v>1314</v>
      </c>
      <c r="L283" s="236">
        <f t="shared" si="11"/>
        <v>280719</v>
      </c>
      <c r="N283" s="113" t="s">
        <v>1315</v>
      </c>
      <c r="O283" s="1" t="b">
        <v>1</v>
      </c>
      <c r="Q283" s="34"/>
    </row>
    <row r="284" spans="2:17">
      <c r="B284" s="1" t="str">
        <f t="shared" si="12"/>
        <v>M_MED01_VM_BKT_282</v>
      </c>
      <c r="C284" s="92" t="s">
        <v>727</v>
      </c>
      <c r="D284" s="92" t="str" cm="1">
        <f t="array" ref="D284">INDEX(기계코드!$D$4:$D$1022,MATCH(1,(C284=기계코드!$F$4:$F$1022)*1,0))</f>
        <v>M_MED01</v>
      </c>
      <c r="E284" s="92" t="s">
        <v>1128</v>
      </c>
      <c r="F284" s="92" t="str" cm="1">
        <f t="array" ref="F284">INDEX(공급업체코드!$B$3:$B$1000,MATCH(1,(E284=공급업체코드!$D$3:$D$1000)*1,0))</f>
        <v>VM_BKT</v>
      </c>
      <c r="H284" s="312">
        <v>282</v>
      </c>
      <c r="I284" s="233" t="s">
        <v>1313</v>
      </c>
      <c r="K284" s="233" t="s">
        <v>1314</v>
      </c>
      <c r="L284" s="236">
        <f t="shared" si="11"/>
        <v>281718</v>
      </c>
      <c r="N284" s="113" t="s">
        <v>1315</v>
      </c>
      <c r="O284" s="1" t="b">
        <v>1</v>
      </c>
      <c r="Q284" s="34"/>
    </row>
    <row r="285" spans="2:17">
      <c r="B285" s="1" t="str">
        <f t="shared" si="12"/>
        <v>M_MED01_VM_BKT_283</v>
      </c>
      <c r="C285" s="92" t="s">
        <v>727</v>
      </c>
      <c r="D285" s="92" t="str" cm="1">
        <f t="array" ref="D285">INDEX(기계코드!$D$4:$D$1022,MATCH(1,(C285=기계코드!$F$4:$F$1022)*1,0))</f>
        <v>M_MED01</v>
      </c>
      <c r="E285" s="92" t="s">
        <v>1128</v>
      </c>
      <c r="F285" s="92" t="str" cm="1">
        <f t="array" ref="F285">INDEX(공급업체코드!$B$3:$B$1000,MATCH(1,(E285=공급업체코드!$D$3:$D$1000)*1,0))</f>
        <v>VM_BKT</v>
      </c>
      <c r="H285" s="312">
        <v>283</v>
      </c>
      <c r="I285" s="233" t="s">
        <v>1313</v>
      </c>
      <c r="K285" s="233" t="s">
        <v>1314</v>
      </c>
      <c r="L285" s="236">
        <f t="shared" si="11"/>
        <v>282717</v>
      </c>
      <c r="N285" s="113" t="s">
        <v>1315</v>
      </c>
      <c r="O285" s="1" t="b">
        <v>1</v>
      </c>
      <c r="Q285" s="34"/>
    </row>
    <row r="286" spans="2:17">
      <c r="B286" s="1" t="str">
        <f t="shared" si="12"/>
        <v>M_MED01_VM_BKT_284</v>
      </c>
      <c r="C286" s="92" t="s">
        <v>727</v>
      </c>
      <c r="D286" s="92" t="str" cm="1">
        <f t="array" ref="D286">INDEX(기계코드!$D$4:$D$1022,MATCH(1,(C286=기계코드!$F$4:$F$1022)*1,0))</f>
        <v>M_MED01</v>
      </c>
      <c r="E286" s="92" t="s">
        <v>1128</v>
      </c>
      <c r="F286" s="92" t="str" cm="1">
        <f t="array" ref="F286">INDEX(공급업체코드!$B$3:$B$1000,MATCH(1,(E286=공급업체코드!$D$3:$D$1000)*1,0))</f>
        <v>VM_BKT</v>
      </c>
      <c r="H286" s="312">
        <v>284</v>
      </c>
      <c r="I286" s="233" t="s">
        <v>1313</v>
      </c>
      <c r="K286" s="233" t="s">
        <v>1314</v>
      </c>
      <c r="L286" s="236">
        <f t="shared" si="11"/>
        <v>283716</v>
      </c>
      <c r="N286" s="113" t="s">
        <v>1315</v>
      </c>
      <c r="O286" s="1" t="b">
        <v>1</v>
      </c>
      <c r="Q286" s="34"/>
    </row>
    <row r="287" spans="2:17">
      <c r="B287" s="1" t="str">
        <f t="shared" si="12"/>
        <v>M_MED01_VM_BKT_285</v>
      </c>
      <c r="C287" s="92" t="s">
        <v>727</v>
      </c>
      <c r="D287" s="92" t="str" cm="1">
        <f t="array" ref="D287">INDEX(기계코드!$D$4:$D$1022,MATCH(1,(C287=기계코드!$F$4:$F$1022)*1,0))</f>
        <v>M_MED01</v>
      </c>
      <c r="E287" s="92" t="s">
        <v>1128</v>
      </c>
      <c r="F287" s="92" t="str" cm="1">
        <f t="array" ref="F287">INDEX(공급업체코드!$B$3:$B$1000,MATCH(1,(E287=공급업체코드!$D$3:$D$1000)*1,0))</f>
        <v>VM_BKT</v>
      </c>
      <c r="H287" s="312">
        <v>285</v>
      </c>
      <c r="I287" s="233" t="s">
        <v>1313</v>
      </c>
      <c r="K287" s="233" t="s">
        <v>1314</v>
      </c>
      <c r="L287" s="236">
        <f t="shared" si="11"/>
        <v>284715</v>
      </c>
      <c r="N287" s="113" t="s">
        <v>1315</v>
      </c>
      <c r="O287" s="1" t="b">
        <v>1</v>
      </c>
      <c r="Q287" s="34"/>
    </row>
    <row r="288" spans="2:17">
      <c r="B288" s="1" t="str">
        <f t="shared" si="12"/>
        <v>M_MED01_VM_BKT_286</v>
      </c>
      <c r="C288" s="92" t="s">
        <v>727</v>
      </c>
      <c r="D288" s="92" t="str" cm="1">
        <f t="array" ref="D288">INDEX(기계코드!$D$4:$D$1022,MATCH(1,(C288=기계코드!$F$4:$F$1022)*1,0))</f>
        <v>M_MED01</v>
      </c>
      <c r="E288" s="92" t="s">
        <v>1128</v>
      </c>
      <c r="F288" s="92" t="str" cm="1">
        <f t="array" ref="F288">INDEX(공급업체코드!$B$3:$B$1000,MATCH(1,(E288=공급업체코드!$D$3:$D$1000)*1,0))</f>
        <v>VM_BKT</v>
      </c>
      <c r="H288" s="312">
        <v>286</v>
      </c>
      <c r="I288" s="233" t="s">
        <v>1313</v>
      </c>
      <c r="K288" s="233" t="s">
        <v>1314</v>
      </c>
      <c r="L288" s="236">
        <f t="shared" si="11"/>
        <v>285714</v>
      </c>
      <c r="N288" s="113" t="s">
        <v>1315</v>
      </c>
      <c r="O288" s="1" t="b">
        <v>1</v>
      </c>
      <c r="Q288" s="34"/>
    </row>
    <row r="289" spans="2:17">
      <c r="B289" s="1" t="str">
        <f t="shared" si="12"/>
        <v>M_MED01_VM_BKT_287</v>
      </c>
      <c r="C289" s="92" t="s">
        <v>727</v>
      </c>
      <c r="D289" s="92" t="str" cm="1">
        <f t="array" ref="D289">INDEX(기계코드!$D$4:$D$1022,MATCH(1,(C289=기계코드!$F$4:$F$1022)*1,0))</f>
        <v>M_MED01</v>
      </c>
      <c r="E289" s="92" t="s">
        <v>1128</v>
      </c>
      <c r="F289" s="92" t="str" cm="1">
        <f t="array" ref="F289">INDEX(공급업체코드!$B$3:$B$1000,MATCH(1,(E289=공급업체코드!$D$3:$D$1000)*1,0))</f>
        <v>VM_BKT</v>
      </c>
      <c r="H289" s="312">
        <v>287</v>
      </c>
      <c r="I289" s="233" t="s">
        <v>1313</v>
      </c>
      <c r="K289" s="233" t="s">
        <v>1314</v>
      </c>
      <c r="L289" s="236">
        <f t="shared" si="11"/>
        <v>286713</v>
      </c>
      <c r="N289" s="113" t="s">
        <v>1315</v>
      </c>
      <c r="O289" s="1" t="b">
        <v>1</v>
      </c>
      <c r="Q289" s="34"/>
    </row>
    <row r="290" spans="2:17">
      <c r="B290" s="1" t="str">
        <f t="shared" si="12"/>
        <v>M_MED01_VM_BKT_288</v>
      </c>
      <c r="C290" s="92" t="s">
        <v>727</v>
      </c>
      <c r="D290" s="92" t="str" cm="1">
        <f t="array" ref="D290">INDEX(기계코드!$D$4:$D$1022,MATCH(1,(C290=기계코드!$F$4:$F$1022)*1,0))</f>
        <v>M_MED01</v>
      </c>
      <c r="E290" s="92" t="s">
        <v>1128</v>
      </c>
      <c r="F290" s="92" t="str" cm="1">
        <f t="array" ref="F290">INDEX(공급업체코드!$B$3:$B$1000,MATCH(1,(E290=공급업체코드!$D$3:$D$1000)*1,0))</f>
        <v>VM_BKT</v>
      </c>
      <c r="H290" s="312">
        <v>288</v>
      </c>
      <c r="I290" s="233" t="s">
        <v>1313</v>
      </c>
      <c r="K290" s="233" t="s">
        <v>1314</v>
      </c>
      <c r="L290" s="236">
        <f t="shared" si="11"/>
        <v>287712</v>
      </c>
      <c r="N290" s="113" t="s">
        <v>1315</v>
      </c>
      <c r="O290" s="1" t="b">
        <v>1</v>
      </c>
      <c r="Q290" s="34"/>
    </row>
    <row r="291" spans="2:17">
      <c r="B291" s="1" t="str">
        <f t="shared" si="12"/>
        <v>M_MED01_VM_BKT_289</v>
      </c>
      <c r="C291" s="92" t="s">
        <v>727</v>
      </c>
      <c r="D291" s="92" t="str" cm="1">
        <f t="array" ref="D291">INDEX(기계코드!$D$4:$D$1022,MATCH(1,(C291=기계코드!$F$4:$F$1022)*1,0))</f>
        <v>M_MED01</v>
      </c>
      <c r="E291" s="92" t="s">
        <v>1128</v>
      </c>
      <c r="F291" s="92" t="str" cm="1">
        <f t="array" ref="F291">INDEX(공급업체코드!$B$3:$B$1000,MATCH(1,(E291=공급업체코드!$D$3:$D$1000)*1,0))</f>
        <v>VM_BKT</v>
      </c>
      <c r="H291" s="312">
        <v>289</v>
      </c>
      <c r="I291" s="233" t="s">
        <v>1313</v>
      </c>
      <c r="K291" s="233" t="s">
        <v>1314</v>
      </c>
      <c r="L291" s="236">
        <f t="shared" si="11"/>
        <v>288711</v>
      </c>
      <c r="N291" s="113" t="s">
        <v>1315</v>
      </c>
      <c r="O291" s="1" t="b">
        <v>1</v>
      </c>
      <c r="Q291" s="34"/>
    </row>
    <row r="292" spans="2:17">
      <c r="B292" s="1" t="str">
        <f t="shared" si="12"/>
        <v>M_MED01_VM_BKT_290</v>
      </c>
      <c r="C292" s="92" t="s">
        <v>727</v>
      </c>
      <c r="D292" s="92" t="str" cm="1">
        <f t="array" ref="D292">INDEX(기계코드!$D$4:$D$1022,MATCH(1,(C292=기계코드!$F$4:$F$1022)*1,0))</f>
        <v>M_MED01</v>
      </c>
      <c r="E292" s="92" t="s">
        <v>1128</v>
      </c>
      <c r="F292" s="92" t="str" cm="1">
        <f t="array" ref="F292">INDEX(공급업체코드!$B$3:$B$1000,MATCH(1,(E292=공급업체코드!$D$3:$D$1000)*1,0))</f>
        <v>VM_BKT</v>
      </c>
      <c r="H292" s="312">
        <v>290</v>
      </c>
      <c r="I292" s="233" t="s">
        <v>1313</v>
      </c>
      <c r="K292" s="233" t="s">
        <v>1314</v>
      </c>
      <c r="L292" s="236">
        <f t="shared" si="11"/>
        <v>289710</v>
      </c>
      <c r="N292" s="113" t="s">
        <v>1315</v>
      </c>
      <c r="O292" s="1" t="b">
        <v>1</v>
      </c>
      <c r="Q292" s="34"/>
    </row>
    <row r="293" spans="2:17">
      <c r="B293" s="1" t="str">
        <f t="shared" si="12"/>
        <v>M_MED01_VM_BKT_291</v>
      </c>
      <c r="C293" s="92" t="s">
        <v>727</v>
      </c>
      <c r="D293" s="92" t="str" cm="1">
        <f t="array" ref="D293">INDEX(기계코드!$D$4:$D$1022,MATCH(1,(C293=기계코드!$F$4:$F$1022)*1,0))</f>
        <v>M_MED01</v>
      </c>
      <c r="E293" s="92" t="s">
        <v>1128</v>
      </c>
      <c r="F293" s="92" t="str" cm="1">
        <f t="array" ref="F293">INDEX(공급업체코드!$B$3:$B$1000,MATCH(1,(E293=공급업체코드!$D$3:$D$1000)*1,0))</f>
        <v>VM_BKT</v>
      </c>
      <c r="H293" s="312">
        <v>291</v>
      </c>
      <c r="I293" s="233" t="s">
        <v>1313</v>
      </c>
      <c r="K293" s="233" t="s">
        <v>1314</v>
      </c>
      <c r="L293" s="236">
        <f t="shared" si="11"/>
        <v>290709</v>
      </c>
      <c r="N293" s="113" t="s">
        <v>1315</v>
      </c>
      <c r="O293" s="1" t="b">
        <v>1</v>
      </c>
      <c r="Q293" s="34"/>
    </row>
    <row r="294" spans="2:17">
      <c r="B294" s="1" t="str">
        <f t="shared" si="12"/>
        <v>M_MED01_VM_BKT_292</v>
      </c>
      <c r="C294" s="92" t="s">
        <v>727</v>
      </c>
      <c r="D294" s="92" t="str" cm="1">
        <f t="array" ref="D294">INDEX(기계코드!$D$4:$D$1022,MATCH(1,(C294=기계코드!$F$4:$F$1022)*1,0))</f>
        <v>M_MED01</v>
      </c>
      <c r="E294" s="92" t="s">
        <v>1128</v>
      </c>
      <c r="F294" s="92" t="str" cm="1">
        <f t="array" ref="F294">INDEX(공급업체코드!$B$3:$B$1000,MATCH(1,(E294=공급업체코드!$D$3:$D$1000)*1,0))</f>
        <v>VM_BKT</v>
      </c>
      <c r="H294" s="312">
        <v>292</v>
      </c>
      <c r="I294" s="233" t="s">
        <v>1313</v>
      </c>
      <c r="K294" s="233" t="s">
        <v>1314</v>
      </c>
      <c r="L294" s="236">
        <f t="shared" si="11"/>
        <v>291708</v>
      </c>
      <c r="N294" s="113" t="s">
        <v>1315</v>
      </c>
      <c r="O294" s="1" t="b">
        <v>1</v>
      </c>
      <c r="Q294" s="34"/>
    </row>
    <row r="295" spans="2:17">
      <c r="B295" s="1" t="str">
        <f t="shared" si="12"/>
        <v>M_MED01_VM_BKT_293</v>
      </c>
      <c r="C295" s="92" t="s">
        <v>727</v>
      </c>
      <c r="D295" s="92" t="str" cm="1">
        <f t="array" ref="D295">INDEX(기계코드!$D$4:$D$1022,MATCH(1,(C295=기계코드!$F$4:$F$1022)*1,0))</f>
        <v>M_MED01</v>
      </c>
      <c r="E295" s="92" t="s">
        <v>1128</v>
      </c>
      <c r="F295" s="92" t="str" cm="1">
        <f t="array" ref="F295">INDEX(공급업체코드!$B$3:$B$1000,MATCH(1,(E295=공급업체코드!$D$3:$D$1000)*1,0))</f>
        <v>VM_BKT</v>
      </c>
      <c r="H295" s="312">
        <v>293</v>
      </c>
      <c r="I295" s="233" t="s">
        <v>1313</v>
      </c>
      <c r="K295" s="233" t="s">
        <v>1314</v>
      </c>
      <c r="L295" s="236">
        <f t="shared" si="11"/>
        <v>292707</v>
      </c>
      <c r="N295" s="113" t="s">
        <v>1315</v>
      </c>
      <c r="O295" s="1" t="b">
        <v>1</v>
      </c>
      <c r="Q295" s="34"/>
    </row>
    <row r="296" spans="2:17">
      <c r="B296" s="1" t="str">
        <f t="shared" si="12"/>
        <v>M_MED01_VM_BKT_294</v>
      </c>
      <c r="C296" s="92" t="s">
        <v>727</v>
      </c>
      <c r="D296" s="92" t="str" cm="1">
        <f t="array" ref="D296">INDEX(기계코드!$D$4:$D$1022,MATCH(1,(C296=기계코드!$F$4:$F$1022)*1,0))</f>
        <v>M_MED01</v>
      </c>
      <c r="E296" s="92" t="s">
        <v>1128</v>
      </c>
      <c r="F296" s="92" t="str" cm="1">
        <f t="array" ref="F296">INDEX(공급업체코드!$B$3:$B$1000,MATCH(1,(E296=공급업체코드!$D$3:$D$1000)*1,0))</f>
        <v>VM_BKT</v>
      </c>
      <c r="H296" s="312">
        <v>294</v>
      </c>
      <c r="I296" s="233" t="s">
        <v>1313</v>
      </c>
      <c r="K296" s="233" t="s">
        <v>1314</v>
      </c>
      <c r="L296" s="236">
        <f t="shared" si="11"/>
        <v>293706</v>
      </c>
      <c r="N296" s="113" t="s">
        <v>1315</v>
      </c>
      <c r="O296" s="1" t="b">
        <v>1</v>
      </c>
      <c r="Q296" s="34"/>
    </row>
    <row r="297" spans="2:17">
      <c r="B297" s="1" t="str">
        <f t="shared" si="12"/>
        <v>M_MED01_VM_BKT_295</v>
      </c>
      <c r="C297" s="92" t="s">
        <v>727</v>
      </c>
      <c r="D297" s="92" t="str" cm="1">
        <f t="array" ref="D297">INDEX(기계코드!$D$4:$D$1022,MATCH(1,(C297=기계코드!$F$4:$F$1022)*1,0))</f>
        <v>M_MED01</v>
      </c>
      <c r="E297" s="92" t="s">
        <v>1128</v>
      </c>
      <c r="F297" s="92" t="str" cm="1">
        <f t="array" ref="F297">INDEX(공급업체코드!$B$3:$B$1000,MATCH(1,(E297=공급업체코드!$D$3:$D$1000)*1,0))</f>
        <v>VM_BKT</v>
      </c>
      <c r="H297" s="312">
        <v>295</v>
      </c>
      <c r="I297" s="233" t="s">
        <v>1313</v>
      </c>
      <c r="K297" s="233" t="s">
        <v>1314</v>
      </c>
      <c r="L297" s="236">
        <f t="shared" si="11"/>
        <v>294705</v>
      </c>
      <c r="N297" s="113" t="s">
        <v>1315</v>
      </c>
      <c r="O297" s="1" t="b">
        <v>1</v>
      </c>
      <c r="Q297" s="34"/>
    </row>
    <row r="298" spans="2:17">
      <c r="B298" s="1" t="str">
        <f t="shared" si="12"/>
        <v>M_MED01_VM_BKT_296</v>
      </c>
      <c r="C298" s="92" t="s">
        <v>727</v>
      </c>
      <c r="D298" s="92" t="str" cm="1">
        <f t="array" ref="D298">INDEX(기계코드!$D$4:$D$1022,MATCH(1,(C298=기계코드!$F$4:$F$1022)*1,0))</f>
        <v>M_MED01</v>
      </c>
      <c r="E298" s="92" t="s">
        <v>1128</v>
      </c>
      <c r="F298" s="92" t="str" cm="1">
        <f t="array" ref="F298">INDEX(공급업체코드!$B$3:$B$1000,MATCH(1,(E298=공급업체코드!$D$3:$D$1000)*1,0))</f>
        <v>VM_BKT</v>
      </c>
      <c r="H298" s="312">
        <v>296</v>
      </c>
      <c r="I298" s="233" t="s">
        <v>1313</v>
      </c>
      <c r="K298" s="233" t="s">
        <v>1314</v>
      </c>
      <c r="L298" s="236">
        <f t="shared" si="11"/>
        <v>295704</v>
      </c>
      <c r="N298" s="113" t="s">
        <v>1315</v>
      </c>
      <c r="O298" s="1" t="b">
        <v>1</v>
      </c>
      <c r="Q298" s="34"/>
    </row>
    <row r="299" spans="2:17">
      <c r="B299" s="1" t="str">
        <f t="shared" si="12"/>
        <v>M_MED01_VM_BKT_297</v>
      </c>
      <c r="C299" s="92" t="s">
        <v>727</v>
      </c>
      <c r="D299" s="92" t="str" cm="1">
        <f t="array" ref="D299">INDEX(기계코드!$D$4:$D$1022,MATCH(1,(C299=기계코드!$F$4:$F$1022)*1,0))</f>
        <v>M_MED01</v>
      </c>
      <c r="E299" s="92" t="s">
        <v>1128</v>
      </c>
      <c r="F299" s="92" t="str" cm="1">
        <f t="array" ref="F299">INDEX(공급업체코드!$B$3:$B$1000,MATCH(1,(E299=공급업체코드!$D$3:$D$1000)*1,0))</f>
        <v>VM_BKT</v>
      </c>
      <c r="H299" s="312">
        <v>297</v>
      </c>
      <c r="I299" s="233" t="s">
        <v>1313</v>
      </c>
      <c r="K299" s="233" t="s">
        <v>1314</v>
      </c>
      <c r="L299" s="236">
        <f t="shared" si="11"/>
        <v>296703</v>
      </c>
      <c r="N299" s="113" t="s">
        <v>1315</v>
      </c>
      <c r="O299" s="1" t="b">
        <v>1</v>
      </c>
      <c r="Q299" s="34"/>
    </row>
    <row r="300" spans="2:17">
      <c r="B300" s="1" t="str">
        <f t="shared" si="12"/>
        <v>M_MED01_VM_BKT_298</v>
      </c>
      <c r="C300" s="92" t="s">
        <v>727</v>
      </c>
      <c r="D300" s="92" t="str" cm="1">
        <f t="array" ref="D300">INDEX(기계코드!$D$4:$D$1022,MATCH(1,(C300=기계코드!$F$4:$F$1022)*1,0))</f>
        <v>M_MED01</v>
      </c>
      <c r="E300" s="92" t="s">
        <v>1128</v>
      </c>
      <c r="F300" s="92" t="str" cm="1">
        <f t="array" ref="F300">INDEX(공급업체코드!$B$3:$B$1000,MATCH(1,(E300=공급업체코드!$D$3:$D$1000)*1,0))</f>
        <v>VM_BKT</v>
      </c>
      <c r="H300" s="312">
        <v>298</v>
      </c>
      <c r="I300" s="233" t="s">
        <v>1313</v>
      </c>
      <c r="K300" s="233" t="s">
        <v>1314</v>
      </c>
      <c r="L300" s="236">
        <f t="shared" si="11"/>
        <v>297702</v>
      </c>
      <c r="N300" s="113" t="s">
        <v>1315</v>
      </c>
      <c r="O300" s="1" t="b">
        <v>1</v>
      </c>
      <c r="Q300" s="34"/>
    </row>
    <row r="301" spans="2:17">
      <c r="B301" s="1" t="str">
        <f t="shared" si="12"/>
        <v>M_MED01_VM_BKT_299</v>
      </c>
      <c r="C301" s="92" t="s">
        <v>727</v>
      </c>
      <c r="D301" s="92" t="str" cm="1">
        <f t="array" ref="D301">INDEX(기계코드!$D$4:$D$1022,MATCH(1,(C301=기계코드!$F$4:$F$1022)*1,0))</f>
        <v>M_MED01</v>
      </c>
      <c r="E301" s="92" t="s">
        <v>1128</v>
      </c>
      <c r="F301" s="92" t="str" cm="1">
        <f t="array" ref="F301">INDEX(공급업체코드!$B$3:$B$1000,MATCH(1,(E301=공급업체코드!$D$3:$D$1000)*1,0))</f>
        <v>VM_BKT</v>
      </c>
      <c r="H301" s="312">
        <v>299</v>
      </c>
      <c r="I301" s="233" t="s">
        <v>1313</v>
      </c>
      <c r="K301" s="233" t="s">
        <v>1314</v>
      </c>
      <c r="L301" s="236">
        <f t="shared" si="11"/>
        <v>298701</v>
      </c>
      <c r="N301" s="113" t="s">
        <v>1315</v>
      </c>
      <c r="O301" s="1" t="b">
        <v>1</v>
      </c>
      <c r="Q301" s="34"/>
    </row>
    <row r="302" spans="2:17">
      <c r="B302" s="1" t="str">
        <f t="shared" si="12"/>
        <v>M_MED01_VM_BKT_300</v>
      </c>
      <c r="C302" s="92" t="s">
        <v>727</v>
      </c>
      <c r="D302" s="92" t="str" cm="1">
        <f t="array" ref="D302">INDEX(기계코드!$D$4:$D$1022,MATCH(1,(C302=기계코드!$F$4:$F$1022)*1,0))</f>
        <v>M_MED01</v>
      </c>
      <c r="E302" s="92" t="s">
        <v>1128</v>
      </c>
      <c r="F302" s="92" t="str" cm="1">
        <f t="array" ref="F302">INDEX(공급업체코드!$B$3:$B$1000,MATCH(1,(E302=공급업체코드!$D$3:$D$1000)*1,0))</f>
        <v>VM_BKT</v>
      </c>
      <c r="H302" s="312">
        <v>300</v>
      </c>
      <c r="I302" s="233" t="s">
        <v>1313</v>
      </c>
      <c r="K302" s="233" t="s">
        <v>1314</v>
      </c>
      <c r="L302" s="236">
        <f t="shared" si="11"/>
        <v>299700</v>
      </c>
      <c r="N302" s="113" t="s">
        <v>1315</v>
      </c>
      <c r="O302" s="1" t="b">
        <v>1</v>
      </c>
      <c r="Q302" s="34"/>
    </row>
    <row r="303" spans="2:17">
      <c r="B303" s="1" t="str">
        <f t="shared" si="12"/>
        <v>M_MED01_VM_BKT_301</v>
      </c>
      <c r="C303" s="92" t="s">
        <v>727</v>
      </c>
      <c r="D303" s="92" t="str" cm="1">
        <f t="array" ref="D303">INDEX(기계코드!$D$4:$D$1022,MATCH(1,(C303=기계코드!$F$4:$F$1022)*1,0))</f>
        <v>M_MED01</v>
      </c>
      <c r="E303" s="92" t="s">
        <v>1128</v>
      </c>
      <c r="F303" s="92" t="str" cm="1">
        <f t="array" ref="F303">INDEX(공급업체코드!$B$3:$B$1000,MATCH(1,(E303=공급업체코드!$D$3:$D$1000)*1,0))</f>
        <v>VM_BKT</v>
      </c>
      <c r="H303" s="312">
        <v>301</v>
      </c>
      <c r="I303" s="233" t="s">
        <v>1313</v>
      </c>
      <c r="K303" s="233" t="s">
        <v>1314</v>
      </c>
      <c r="L303" s="236">
        <f t="shared" si="11"/>
        <v>300699</v>
      </c>
      <c r="N303" s="113" t="s">
        <v>1315</v>
      </c>
      <c r="O303" s="1" t="b">
        <v>1</v>
      </c>
      <c r="Q303" s="34"/>
    </row>
    <row r="304" spans="2:17">
      <c r="B304" s="1" t="str">
        <f t="shared" si="12"/>
        <v>M_MED01_VM_BKT_302</v>
      </c>
      <c r="C304" s="92" t="s">
        <v>727</v>
      </c>
      <c r="D304" s="92" t="str" cm="1">
        <f t="array" ref="D304">INDEX(기계코드!$D$4:$D$1022,MATCH(1,(C304=기계코드!$F$4:$F$1022)*1,0))</f>
        <v>M_MED01</v>
      </c>
      <c r="E304" s="92" t="s">
        <v>1128</v>
      </c>
      <c r="F304" s="92" t="str" cm="1">
        <f t="array" ref="F304">INDEX(공급업체코드!$B$3:$B$1000,MATCH(1,(E304=공급업체코드!$D$3:$D$1000)*1,0))</f>
        <v>VM_BKT</v>
      </c>
      <c r="H304" s="312">
        <v>302</v>
      </c>
      <c r="I304" s="233" t="s">
        <v>1313</v>
      </c>
      <c r="K304" s="233" t="s">
        <v>1314</v>
      </c>
      <c r="L304" s="236">
        <f t="shared" si="11"/>
        <v>301698</v>
      </c>
      <c r="N304" s="113" t="s">
        <v>1315</v>
      </c>
      <c r="O304" s="1" t="b">
        <v>1</v>
      </c>
      <c r="Q304" s="34"/>
    </row>
    <row r="305" spans="2:17">
      <c r="B305" s="1" t="str">
        <f t="shared" si="12"/>
        <v>M_MED01_VM_BKT_303</v>
      </c>
      <c r="C305" s="92" t="s">
        <v>727</v>
      </c>
      <c r="D305" s="92" t="str" cm="1">
        <f t="array" ref="D305">INDEX(기계코드!$D$4:$D$1022,MATCH(1,(C305=기계코드!$F$4:$F$1022)*1,0))</f>
        <v>M_MED01</v>
      </c>
      <c r="E305" s="92" t="s">
        <v>1128</v>
      </c>
      <c r="F305" s="92" t="str" cm="1">
        <f t="array" ref="F305">INDEX(공급업체코드!$B$3:$B$1000,MATCH(1,(E305=공급업체코드!$D$3:$D$1000)*1,0))</f>
        <v>VM_BKT</v>
      </c>
      <c r="H305" s="312">
        <v>303</v>
      </c>
      <c r="I305" s="233" t="s">
        <v>1313</v>
      </c>
      <c r="K305" s="233" t="s">
        <v>1314</v>
      </c>
      <c r="L305" s="236">
        <f t="shared" si="11"/>
        <v>302697</v>
      </c>
      <c r="N305" s="113" t="s">
        <v>1315</v>
      </c>
      <c r="O305" s="1" t="b">
        <v>1</v>
      </c>
      <c r="Q305" s="34"/>
    </row>
    <row r="306" spans="2:17">
      <c r="B306" s="1" t="str">
        <f t="shared" si="12"/>
        <v>M_MED01_VM_BKT_304</v>
      </c>
      <c r="C306" s="92" t="s">
        <v>727</v>
      </c>
      <c r="D306" s="92" t="str" cm="1">
        <f t="array" ref="D306">INDEX(기계코드!$D$4:$D$1022,MATCH(1,(C306=기계코드!$F$4:$F$1022)*1,0))</f>
        <v>M_MED01</v>
      </c>
      <c r="E306" s="92" t="s">
        <v>1128</v>
      </c>
      <c r="F306" s="92" t="str" cm="1">
        <f t="array" ref="F306">INDEX(공급업체코드!$B$3:$B$1000,MATCH(1,(E306=공급업체코드!$D$3:$D$1000)*1,0))</f>
        <v>VM_BKT</v>
      </c>
      <c r="H306" s="312">
        <v>304</v>
      </c>
      <c r="I306" s="233" t="s">
        <v>1313</v>
      </c>
      <c r="K306" s="233" t="s">
        <v>1314</v>
      </c>
      <c r="L306" s="236">
        <f t="shared" si="11"/>
        <v>303696</v>
      </c>
      <c r="N306" s="113" t="s">
        <v>1315</v>
      </c>
      <c r="O306" s="1" t="b">
        <v>1</v>
      </c>
      <c r="Q306" s="34"/>
    </row>
    <row r="307" spans="2:17">
      <c r="B307" s="1" t="str">
        <f t="shared" si="12"/>
        <v>M_MED01_VM_BKT_305</v>
      </c>
      <c r="C307" s="92" t="s">
        <v>727</v>
      </c>
      <c r="D307" s="92" t="str" cm="1">
        <f t="array" ref="D307">INDEX(기계코드!$D$4:$D$1022,MATCH(1,(C307=기계코드!$F$4:$F$1022)*1,0))</f>
        <v>M_MED01</v>
      </c>
      <c r="E307" s="92" t="s">
        <v>1128</v>
      </c>
      <c r="F307" s="92" t="str" cm="1">
        <f t="array" ref="F307">INDEX(공급업체코드!$B$3:$B$1000,MATCH(1,(E307=공급업체코드!$D$3:$D$1000)*1,0))</f>
        <v>VM_BKT</v>
      </c>
      <c r="H307" s="312">
        <v>305</v>
      </c>
      <c r="I307" s="233" t="s">
        <v>1313</v>
      </c>
      <c r="K307" s="233" t="s">
        <v>1314</v>
      </c>
      <c r="L307" s="236">
        <f t="shared" si="11"/>
        <v>304695</v>
      </c>
      <c r="N307" s="113" t="s">
        <v>1315</v>
      </c>
      <c r="O307" s="1" t="b">
        <v>1</v>
      </c>
      <c r="Q307" s="34"/>
    </row>
    <row r="308" spans="2:17">
      <c r="B308" s="1" t="str">
        <f t="shared" si="12"/>
        <v>M_MED01_VM_BKT_306</v>
      </c>
      <c r="C308" s="92" t="s">
        <v>727</v>
      </c>
      <c r="D308" s="92" t="str" cm="1">
        <f t="array" ref="D308">INDEX(기계코드!$D$4:$D$1022,MATCH(1,(C308=기계코드!$F$4:$F$1022)*1,0))</f>
        <v>M_MED01</v>
      </c>
      <c r="E308" s="92" t="s">
        <v>1128</v>
      </c>
      <c r="F308" s="92" t="str" cm="1">
        <f t="array" ref="F308">INDEX(공급업체코드!$B$3:$B$1000,MATCH(1,(E308=공급업체코드!$D$3:$D$1000)*1,0))</f>
        <v>VM_BKT</v>
      </c>
      <c r="H308" s="312">
        <v>306</v>
      </c>
      <c r="I308" s="233" t="s">
        <v>1313</v>
      </c>
      <c r="K308" s="233" t="s">
        <v>1314</v>
      </c>
      <c r="L308" s="236">
        <f t="shared" si="11"/>
        <v>305694</v>
      </c>
      <c r="N308" s="113" t="s">
        <v>1315</v>
      </c>
      <c r="O308" s="1" t="b">
        <v>1</v>
      </c>
      <c r="Q308" s="34"/>
    </row>
    <row r="309" spans="2:17">
      <c r="B309" s="1" t="str">
        <f t="shared" si="12"/>
        <v>M_MED01_VM_BKT_307</v>
      </c>
      <c r="C309" s="92" t="s">
        <v>727</v>
      </c>
      <c r="D309" s="92" t="str" cm="1">
        <f t="array" ref="D309">INDEX(기계코드!$D$4:$D$1022,MATCH(1,(C309=기계코드!$F$4:$F$1022)*1,0))</f>
        <v>M_MED01</v>
      </c>
      <c r="E309" s="92" t="s">
        <v>1128</v>
      </c>
      <c r="F309" s="92" t="str" cm="1">
        <f t="array" ref="F309">INDEX(공급업체코드!$B$3:$B$1000,MATCH(1,(E309=공급업체코드!$D$3:$D$1000)*1,0))</f>
        <v>VM_BKT</v>
      </c>
      <c r="H309" s="312">
        <v>307</v>
      </c>
      <c r="I309" s="233" t="s">
        <v>1313</v>
      </c>
      <c r="K309" s="233" t="s">
        <v>1314</v>
      </c>
      <c r="L309" s="236">
        <f t="shared" si="11"/>
        <v>306693</v>
      </c>
      <c r="N309" s="113" t="s">
        <v>1315</v>
      </c>
      <c r="O309" s="1" t="b">
        <v>1</v>
      </c>
      <c r="Q309" s="34"/>
    </row>
    <row r="310" spans="2:17">
      <c r="B310" s="1" t="str">
        <f t="shared" si="12"/>
        <v>M_MED01_VM_BKT_308</v>
      </c>
      <c r="C310" s="92" t="s">
        <v>727</v>
      </c>
      <c r="D310" s="92" t="str" cm="1">
        <f t="array" ref="D310">INDEX(기계코드!$D$4:$D$1022,MATCH(1,(C310=기계코드!$F$4:$F$1022)*1,0))</f>
        <v>M_MED01</v>
      </c>
      <c r="E310" s="92" t="s">
        <v>1128</v>
      </c>
      <c r="F310" s="92" t="str" cm="1">
        <f t="array" ref="F310">INDEX(공급업체코드!$B$3:$B$1000,MATCH(1,(E310=공급업체코드!$D$3:$D$1000)*1,0))</f>
        <v>VM_BKT</v>
      </c>
      <c r="H310" s="312">
        <v>308</v>
      </c>
      <c r="I310" s="233" t="s">
        <v>1313</v>
      </c>
      <c r="K310" s="233" t="s">
        <v>1314</v>
      </c>
      <c r="L310" s="236">
        <f t="shared" si="11"/>
        <v>307692</v>
      </c>
      <c r="N310" s="113" t="s">
        <v>1315</v>
      </c>
      <c r="O310" s="1" t="b">
        <v>1</v>
      </c>
      <c r="Q310" s="34"/>
    </row>
    <row r="311" spans="2:17">
      <c r="B311" s="1" t="str">
        <f t="shared" si="12"/>
        <v>M_MED01_VM_BKT_309</v>
      </c>
      <c r="C311" s="92" t="s">
        <v>727</v>
      </c>
      <c r="D311" s="92" t="str" cm="1">
        <f t="array" ref="D311">INDEX(기계코드!$D$4:$D$1022,MATCH(1,(C311=기계코드!$F$4:$F$1022)*1,0))</f>
        <v>M_MED01</v>
      </c>
      <c r="E311" s="92" t="s">
        <v>1128</v>
      </c>
      <c r="F311" s="92" t="str" cm="1">
        <f t="array" ref="F311">INDEX(공급업체코드!$B$3:$B$1000,MATCH(1,(E311=공급업체코드!$D$3:$D$1000)*1,0))</f>
        <v>VM_BKT</v>
      </c>
      <c r="H311" s="312">
        <v>309</v>
      </c>
      <c r="I311" s="233" t="s">
        <v>1313</v>
      </c>
      <c r="K311" s="233" t="s">
        <v>1314</v>
      </c>
      <c r="L311" s="236">
        <f t="shared" si="11"/>
        <v>308691</v>
      </c>
      <c r="N311" s="113" t="s">
        <v>1315</v>
      </c>
      <c r="O311" s="1" t="b">
        <v>1</v>
      </c>
      <c r="Q311" s="34"/>
    </row>
    <row r="312" spans="2:17">
      <c r="B312" s="1" t="str">
        <f t="shared" si="12"/>
        <v>M_MED01_VM_BKT_310</v>
      </c>
      <c r="C312" s="92" t="s">
        <v>727</v>
      </c>
      <c r="D312" s="92" t="str" cm="1">
        <f t="array" ref="D312">INDEX(기계코드!$D$4:$D$1022,MATCH(1,(C312=기계코드!$F$4:$F$1022)*1,0))</f>
        <v>M_MED01</v>
      </c>
      <c r="E312" s="92" t="s">
        <v>1128</v>
      </c>
      <c r="F312" s="92" t="str" cm="1">
        <f t="array" ref="F312">INDEX(공급업체코드!$B$3:$B$1000,MATCH(1,(E312=공급업체코드!$D$3:$D$1000)*1,0))</f>
        <v>VM_BKT</v>
      </c>
      <c r="H312" s="312">
        <v>310</v>
      </c>
      <c r="I312" s="233" t="s">
        <v>1313</v>
      </c>
      <c r="K312" s="233" t="s">
        <v>1314</v>
      </c>
      <c r="L312" s="236">
        <f t="shared" si="11"/>
        <v>309690</v>
      </c>
      <c r="N312" s="113" t="s">
        <v>1315</v>
      </c>
      <c r="O312" s="1" t="b">
        <v>1</v>
      </c>
      <c r="Q312" s="34"/>
    </row>
    <row r="313" spans="2:17">
      <c r="B313" s="1" t="str">
        <f t="shared" si="12"/>
        <v>M_MED01_VM_BKT_311</v>
      </c>
      <c r="C313" s="92" t="s">
        <v>727</v>
      </c>
      <c r="D313" s="92" t="str" cm="1">
        <f t="array" ref="D313">INDEX(기계코드!$D$4:$D$1022,MATCH(1,(C313=기계코드!$F$4:$F$1022)*1,0))</f>
        <v>M_MED01</v>
      </c>
      <c r="E313" s="92" t="s">
        <v>1128</v>
      </c>
      <c r="F313" s="92" t="str" cm="1">
        <f t="array" ref="F313">INDEX(공급업체코드!$B$3:$B$1000,MATCH(1,(E313=공급업체코드!$D$3:$D$1000)*1,0))</f>
        <v>VM_BKT</v>
      </c>
      <c r="H313" s="312">
        <v>311</v>
      </c>
      <c r="I313" s="233" t="s">
        <v>1313</v>
      </c>
      <c r="K313" s="233" t="s">
        <v>1314</v>
      </c>
      <c r="L313" s="236">
        <f t="shared" si="11"/>
        <v>310689</v>
      </c>
      <c r="N313" s="113" t="s">
        <v>1315</v>
      </c>
      <c r="O313" s="1" t="b">
        <v>1</v>
      </c>
      <c r="Q313" s="34"/>
    </row>
    <row r="314" spans="2:17">
      <c r="B314" s="1" t="str">
        <f t="shared" si="12"/>
        <v>M_MED01_VM_BKT_312</v>
      </c>
      <c r="C314" s="92" t="s">
        <v>727</v>
      </c>
      <c r="D314" s="92" t="str" cm="1">
        <f t="array" ref="D314">INDEX(기계코드!$D$4:$D$1022,MATCH(1,(C314=기계코드!$F$4:$F$1022)*1,0))</f>
        <v>M_MED01</v>
      </c>
      <c r="E314" s="92" t="s">
        <v>1128</v>
      </c>
      <c r="F314" s="92" t="str" cm="1">
        <f t="array" ref="F314">INDEX(공급업체코드!$B$3:$B$1000,MATCH(1,(E314=공급업체코드!$D$3:$D$1000)*1,0))</f>
        <v>VM_BKT</v>
      </c>
      <c r="H314" s="312">
        <v>312</v>
      </c>
      <c r="I314" s="233" t="s">
        <v>1313</v>
      </c>
      <c r="K314" s="233" t="s">
        <v>1314</v>
      </c>
      <c r="L314" s="236">
        <f t="shared" si="11"/>
        <v>311688</v>
      </c>
      <c r="N314" s="113" t="s">
        <v>1315</v>
      </c>
      <c r="O314" s="1" t="b">
        <v>1</v>
      </c>
      <c r="Q314" s="34"/>
    </row>
    <row r="315" spans="2:17">
      <c r="B315" s="1" t="str">
        <f t="shared" si="12"/>
        <v>M_MED01_VM_BKT_313</v>
      </c>
      <c r="C315" s="92" t="s">
        <v>727</v>
      </c>
      <c r="D315" s="92" t="str" cm="1">
        <f t="array" ref="D315">INDEX(기계코드!$D$4:$D$1022,MATCH(1,(C315=기계코드!$F$4:$F$1022)*1,0))</f>
        <v>M_MED01</v>
      </c>
      <c r="E315" s="92" t="s">
        <v>1128</v>
      </c>
      <c r="F315" s="92" t="str" cm="1">
        <f t="array" ref="F315">INDEX(공급업체코드!$B$3:$B$1000,MATCH(1,(E315=공급업체코드!$D$3:$D$1000)*1,0))</f>
        <v>VM_BKT</v>
      </c>
      <c r="H315" s="312">
        <v>313</v>
      </c>
      <c r="I315" s="233" t="s">
        <v>1313</v>
      </c>
      <c r="K315" s="233" t="s">
        <v>1314</v>
      </c>
      <c r="L315" s="236">
        <f t="shared" si="11"/>
        <v>312687</v>
      </c>
      <c r="N315" s="113" t="s">
        <v>1315</v>
      </c>
      <c r="O315" s="1" t="b">
        <v>1</v>
      </c>
      <c r="Q315" s="34"/>
    </row>
    <row r="316" spans="2:17">
      <c r="B316" s="1" t="str">
        <f t="shared" si="12"/>
        <v>M_MED01_VM_BKT_314</v>
      </c>
      <c r="C316" s="92" t="s">
        <v>727</v>
      </c>
      <c r="D316" s="92" t="str" cm="1">
        <f t="array" ref="D316">INDEX(기계코드!$D$4:$D$1022,MATCH(1,(C316=기계코드!$F$4:$F$1022)*1,0))</f>
        <v>M_MED01</v>
      </c>
      <c r="E316" s="92" t="s">
        <v>1128</v>
      </c>
      <c r="F316" s="92" t="str" cm="1">
        <f t="array" ref="F316">INDEX(공급업체코드!$B$3:$B$1000,MATCH(1,(E316=공급업체코드!$D$3:$D$1000)*1,0))</f>
        <v>VM_BKT</v>
      </c>
      <c r="H316" s="312">
        <v>314</v>
      </c>
      <c r="I316" s="233" t="s">
        <v>1313</v>
      </c>
      <c r="K316" s="233" t="s">
        <v>1314</v>
      </c>
      <c r="L316" s="236">
        <f t="shared" si="11"/>
        <v>313686</v>
      </c>
      <c r="N316" s="113" t="s">
        <v>1315</v>
      </c>
      <c r="O316" s="1" t="b">
        <v>1</v>
      </c>
      <c r="Q316" s="34"/>
    </row>
    <row r="317" spans="2:17">
      <c r="B317" s="1" t="str">
        <f t="shared" si="12"/>
        <v>M_MED01_VM_BKT_315</v>
      </c>
      <c r="C317" s="92" t="s">
        <v>727</v>
      </c>
      <c r="D317" s="92" t="str" cm="1">
        <f t="array" ref="D317">INDEX(기계코드!$D$4:$D$1022,MATCH(1,(C317=기계코드!$F$4:$F$1022)*1,0))</f>
        <v>M_MED01</v>
      </c>
      <c r="E317" s="92" t="s">
        <v>1128</v>
      </c>
      <c r="F317" s="92" t="str" cm="1">
        <f t="array" ref="F317">INDEX(공급업체코드!$B$3:$B$1000,MATCH(1,(E317=공급업체코드!$D$3:$D$1000)*1,0))</f>
        <v>VM_BKT</v>
      </c>
      <c r="H317" s="312">
        <v>315</v>
      </c>
      <c r="I317" s="233" t="s">
        <v>1313</v>
      </c>
      <c r="K317" s="233" t="s">
        <v>1314</v>
      </c>
      <c r="L317" s="236">
        <f t="shared" si="11"/>
        <v>314685</v>
      </c>
      <c r="N317" s="113" t="s">
        <v>1315</v>
      </c>
      <c r="O317" s="1" t="b">
        <v>1</v>
      </c>
      <c r="Q317" s="34"/>
    </row>
    <row r="318" spans="2:17">
      <c r="B318" s="1" t="str">
        <f t="shared" si="12"/>
        <v>M_MED01_VM_BKT_316</v>
      </c>
      <c r="C318" s="92" t="s">
        <v>727</v>
      </c>
      <c r="D318" s="92" t="str" cm="1">
        <f t="array" ref="D318">INDEX(기계코드!$D$4:$D$1022,MATCH(1,(C318=기계코드!$F$4:$F$1022)*1,0))</f>
        <v>M_MED01</v>
      </c>
      <c r="E318" s="92" t="s">
        <v>1128</v>
      </c>
      <c r="F318" s="92" t="str" cm="1">
        <f t="array" ref="F318">INDEX(공급업체코드!$B$3:$B$1000,MATCH(1,(E318=공급업체코드!$D$3:$D$1000)*1,0))</f>
        <v>VM_BKT</v>
      </c>
      <c r="H318" s="312">
        <v>316</v>
      </c>
      <c r="I318" s="233" t="s">
        <v>1313</v>
      </c>
      <c r="K318" s="233" t="s">
        <v>1314</v>
      </c>
      <c r="L318" s="236">
        <f t="shared" si="11"/>
        <v>315684</v>
      </c>
      <c r="N318" s="113" t="s">
        <v>1315</v>
      </c>
      <c r="O318" s="1" t="b">
        <v>1</v>
      </c>
      <c r="Q318" s="34"/>
    </row>
    <row r="319" spans="2:17">
      <c r="B319" s="1" t="str">
        <f t="shared" si="12"/>
        <v>M_MED01_VM_BKT_317</v>
      </c>
      <c r="C319" s="92" t="s">
        <v>727</v>
      </c>
      <c r="D319" s="92" t="str" cm="1">
        <f t="array" ref="D319">INDEX(기계코드!$D$4:$D$1022,MATCH(1,(C319=기계코드!$F$4:$F$1022)*1,0))</f>
        <v>M_MED01</v>
      </c>
      <c r="E319" s="92" t="s">
        <v>1128</v>
      </c>
      <c r="F319" s="92" t="str" cm="1">
        <f t="array" ref="F319">INDEX(공급업체코드!$B$3:$B$1000,MATCH(1,(E319=공급업체코드!$D$3:$D$1000)*1,0))</f>
        <v>VM_BKT</v>
      </c>
      <c r="H319" s="312">
        <v>317</v>
      </c>
      <c r="I319" s="233" t="s">
        <v>1313</v>
      </c>
      <c r="K319" s="233" t="s">
        <v>1314</v>
      </c>
      <c r="L319" s="236">
        <f t="shared" si="11"/>
        <v>316683</v>
      </c>
      <c r="N319" s="113" t="s">
        <v>1315</v>
      </c>
      <c r="O319" s="1" t="b">
        <v>1</v>
      </c>
      <c r="Q319" s="34"/>
    </row>
    <row r="320" spans="2:17">
      <c r="B320" s="1" t="str">
        <f t="shared" si="12"/>
        <v>M_MED01_VM_BKT_318</v>
      </c>
      <c r="C320" s="92" t="s">
        <v>727</v>
      </c>
      <c r="D320" s="92" t="str" cm="1">
        <f t="array" ref="D320">INDEX(기계코드!$D$4:$D$1022,MATCH(1,(C320=기계코드!$F$4:$F$1022)*1,0))</f>
        <v>M_MED01</v>
      </c>
      <c r="E320" s="92" t="s">
        <v>1128</v>
      </c>
      <c r="F320" s="92" t="str" cm="1">
        <f t="array" ref="F320">INDEX(공급업체코드!$B$3:$B$1000,MATCH(1,(E320=공급업체코드!$D$3:$D$1000)*1,0))</f>
        <v>VM_BKT</v>
      </c>
      <c r="H320" s="312">
        <v>318</v>
      </c>
      <c r="I320" s="233" t="s">
        <v>1313</v>
      </c>
      <c r="K320" s="233" t="s">
        <v>1314</v>
      </c>
      <c r="L320" s="236">
        <f t="shared" si="11"/>
        <v>317682</v>
      </c>
      <c r="N320" s="113" t="s">
        <v>1315</v>
      </c>
      <c r="O320" s="1" t="b">
        <v>1</v>
      </c>
      <c r="Q320" s="34"/>
    </row>
    <row r="321" spans="2:17">
      <c r="B321" s="1" t="str">
        <f t="shared" si="12"/>
        <v>M_MED01_VM_BKT_319</v>
      </c>
      <c r="C321" s="92" t="s">
        <v>727</v>
      </c>
      <c r="D321" s="92" t="str" cm="1">
        <f t="array" ref="D321">INDEX(기계코드!$D$4:$D$1022,MATCH(1,(C321=기계코드!$F$4:$F$1022)*1,0))</f>
        <v>M_MED01</v>
      </c>
      <c r="E321" s="92" t="s">
        <v>1128</v>
      </c>
      <c r="F321" s="92" t="str" cm="1">
        <f t="array" ref="F321">INDEX(공급업체코드!$B$3:$B$1000,MATCH(1,(E321=공급업체코드!$D$3:$D$1000)*1,0))</f>
        <v>VM_BKT</v>
      </c>
      <c r="H321" s="312">
        <v>319</v>
      </c>
      <c r="I321" s="233" t="s">
        <v>1313</v>
      </c>
      <c r="K321" s="233" t="s">
        <v>1314</v>
      </c>
      <c r="L321" s="236">
        <f t="shared" si="11"/>
        <v>318681</v>
      </c>
      <c r="N321" s="113" t="s">
        <v>1315</v>
      </c>
      <c r="O321" s="1" t="b">
        <v>1</v>
      </c>
      <c r="Q321" s="34"/>
    </row>
    <row r="322" spans="2:17">
      <c r="B322" s="1" t="str">
        <f t="shared" si="12"/>
        <v>M_MED01_VM_BKT_320</v>
      </c>
      <c r="C322" s="92" t="s">
        <v>727</v>
      </c>
      <c r="D322" s="92" t="str" cm="1">
        <f t="array" ref="D322">INDEX(기계코드!$D$4:$D$1022,MATCH(1,(C322=기계코드!$F$4:$F$1022)*1,0))</f>
        <v>M_MED01</v>
      </c>
      <c r="E322" s="92" t="s">
        <v>1128</v>
      </c>
      <c r="F322" s="92" t="str" cm="1">
        <f t="array" ref="F322">INDEX(공급업체코드!$B$3:$B$1000,MATCH(1,(E322=공급업체코드!$D$3:$D$1000)*1,0))</f>
        <v>VM_BKT</v>
      </c>
      <c r="H322" s="312">
        <v>320</v>
      </c>
      <c r="I322" s="233" t="s">
        <v>1313</v>
      </c>
      <c r="K322" s="233" t="s">
        <v>1314</v>
      </c>
      <c r="L322" s="236">
        <f t="shared" si="11"/>
        <v>319680</v>
      </c>
      <c r="N322" s="113" t="s">
        <v>1315</v>
      </c>
      <c r="O322" s="1" t="b">
        <v>1</v>
      </c>
      <c r="Q322" s="34"/>
    </row>
    <row r="323" spans="2:17">
      <c r="B323" s="1" t="str">
        <f t="shared" si="12"/>
        <v>M_MED01_VM_BKT_321</v>
      </c>
      <c r="C323" s="92" t="s">
        <v>727</v>
      </c>
      <c r="D323" s="92" t="str" cm="1">
        <f t="array" ref="D323">INDEX(기계코드!$D$4:$D$1022,MATCH(1,(C323=기계코드!$F$4:$F$1022)*1,0))</f>
        <v>M_MED01</v>
      </c>
      <c r="E323" s="92" t="s">
        <v>1128</v>
      </c>
      <c r="F323" s="92" t="str" cm="1">
        <f t="array" ref="F323">INDEX(공급업체코드!$B$3:$B$1000,MATCH(1,(E323=공급업체코드!$D$3:$D$1000)*1,0))</f>
        <v>VM_BKT</v>
      </c>
      <c r="H323" s="312">
        <v>321</v>
      </c>
      <c r="I323" s="233" t="s">
        <v>1313</v>
      </c>
      <c r="K323" s="233" t="s">
        <v>1314</v>
      </c>
      <c r="L323" s="236">
        <f t="shared" si="11"/>
        <v>320679</v>
      </c>
      <c r="N323" s="113" t="s">
        <v>1315</v>
      </c>
      <c r="O323" s="1" t="b">
        <v>1</v>
      </c>
      <c r="Q323" s="34"/>
    </row>
    <row r="324" spans="2:17">
      <c r="B324" s="1" t="str">
        <f t="shared" si="12"/>
        <v>M_MED01_VM_BKT_322</v>
      </c>
      <c r="C324" s="92" t="s">
        <v>727</v>
      </c>
      <c r="D324" s="92" t="str" cm="1">
        <f t="array" ref="D324">INDEX(기계코드!$D$4:$D$1022,MATCH(1,(C324=기계코드!$F$4:$F$1022)*1,0))</f>
        <v>M_MED01</v>
      </c>
      <c r="E324" s="92" t="s">
        <v>1128</v>
      </c>
      <c r="F324" s="92" t="str" cm="1">
        <f t="array" ref="F324">INDEX(공급업체코드!$B$3:$B$1000,MATCH(1,(E324=공급업체코드!$D$3:$D$1000)*1,0))</f>
        <v>VM_BKT</v>
      </c>
      <c r="H324" s="312">
        <v>322</v>
      </c>
      <c r="I324" s="233" t="s">
        <v>1313</v>
      </c>
      <c r="K324" s="233" t="s">
        <v>1314</v>
      </c>
      <c r="L324" s="236">
        <f t="shared" si="11"/>
        <v>321678</v>
      </c>
      <c r="N324" s="113" t="s">
        <v>1315</v>
      </c>
      <c r="O324" s="1" t="b">
        <v>1</v>
      </c>
      <c r="Q324" s="34"/>
    </row>
    <row r="325" spans="2:17">
      <c r="B325" s="1" t="str">
        <f t="shared" si="12"/>
        <v>M_MED01_VM_BKT_323</v>
      </c>
      <c r="C325" s="92" t="s">
        <v>727</v>
      </c>
      <c r="D325" s="92" t="str" cm="1">
        <f t="array" ref="D325">INDEX(기계코드!$D$4:$D$1022,MATCH(1,(C325=기계코드!$F$4:$F$1022)*1,0))</f>
        <v>M_MED01</v>
      </c>
      <c r="E325" s="92" t="s">
        <v>1128</v>
      </c>
      <c r="F325" s="92" t="str" cm="1">
        <f t="array" ref="F325">INDEX(공급업체코드!$B$3:$B$1000,MATCH(1,(E325=공급업체코드!$D$3:$D$1000)*1,0))</f>
        <v>VM_BKT</v>
      </c>
      <c r="H325" s="312">
        <v>323</v>
      </c>
      <c r="I325" s="233" t="s">
        <v>1313</v>
      </c>
      <c r="K325" s="233" t="s">
        <v>1314</v>
      </c>
      <c r="L325" s="236">
        <f t="shared" ref="L325:L388" si="13">$L$3*H325</f>
        <v>322677</v>
      </c>
      <c r="N325" s="113" t="s">
        <v>1315</v>
      </c>
      <c r="O325" s="1" t="b">
        <v>1</v>
      </c>
      <c r="Q325" s="34"/>
    </row>
    <row r="326" spans="2:17">
      <c r="B326" s="1" t="str">
        <f t="shared" si="12"/>
        <v>M_MED01_VM_BKT_324</v>
      </c>
      <c r="C326" s="92" t="s">
        <v>727</v>
      </c>
      <c r="D326" s="92" t="str" cm="1">
        <f t="array" ref="D326">INDEX(기계코드!$D$4:$D$1022,MATCH(1,(C326=기계코드!$F$4:$F$1022)*1,0))</f>
        <v>M_MED01</v>
      </c>
      <c r="E326" s="92" t="s">
        <v>1128</v>
      </c>
      <c r="F326" s="92" t="str" cm="1">
        <f t="array" ref="F326">INDEX(공급업체코드!$B$3:$B$1000,MATCH(1,(E326=공급업체코드!$D$3:$D$1000)*1,0))</f>
        <v>VM_BKT</v>
      </c>
      <c r="H326" s="312">
        <v>324</v>
      </c>
      <c r="I326" s="233" t="s">
        <v>1313</v>
      </c>
      <c r="K326" s="233" t="s">
        <v>1314</v>
      </c>
      <c r="L326" s="236">
        <f t="shared" si="13"/>
        <v>323676</v>
      </c>
      <c r="N326" s="113" t="s">
        <v>1315</v>
      </c>
      <c r="O326" s="1" t="b">
        <v>1</v>
      </c>
      <c r="Q326" s="34"/>
    </row>
    <row r="327" spans="2:17">
      <c r="B327" s="1" t="str">
        <f t="shared" ref="B327:B390" si="14">D327&amp;"_"&amp;F327&amp;"_"&amp;H327</f>
        <v>M_MED01_VM_BKT_325</v>
      </c>
      <c r="C327" s="92" t="s">
        <v>727</v>
      </c>
      <c r="D327" s="92" t="str" cm="1">
        <f t="array" ref="D327">INDEX(기계코드!$D$4:$D$1022,MATCH(1,(C327=기계코드!$F$4:$F$1022)*1,0))</f>
        <v>M_MED01</v>
      </c>
      <c r="E327" s="92" t="s">
        <v>1128</v>
      </c>
      <c r="F327" s="92" t="str" cm="1">
        <f t="array" ref="F327">INDEX(공급업체코드!$B$3:$B$1000,MATCH(1,(E327=공급업체코드!$D$3:$D$1000)*1,0))</f>
        <v>VM_BKT</v>
      </c>
      <c r="H327" s="312">
        <v>325</v>
      </c>
      <c r="I327" s="233" t="s">
        <v>1313</v>
      </c>
      <c r="K327" s="233" t="s">
        <v>1314</v>
      </c>
      <c r="L327" s="236">
        <f t="shared" si="13"/>
        <v>324675</v>
      </c>
      <c r="N327" s="113" t="s">
        <v>1315</v>
      </c>
      <c r="O327" s="1" t="b">
        <v>1</v>
      </c>
      <c r="Q327" s="34"/>
    </row>
    <row r="328" spans="2:17">
      <c r="B328" s="1" t="str">
        <f t="shared" si="14"/>
        <v>M_MED01_VM_BKT_326</v>
      </c>
      <c r="C328" s="92" t="s">
        <v>727</v>
      </c>
      <c r="D328" s="92" t="str" cm="1">
        <f t="array" ref="D328">INDEX(기계코드!$D$4:$D$1022,MATCH(1,(C328=기계코드!$F$4:$F$1022)*1,0))</f>
        <v>M_MED01</v>
      </c>
      <c r="E328" s="92" t="s">
        <v>1128</v>
      </c>
      <c r="F328" s="92" t="str" cm="1">
        <f t="array" ref="F328">INDEX(공급업체코드!$B$3:$B$1000,MATCH(1,(E328=공급업체코드!$D$3:$D$1000)*1,0))</f>
        <v>VM_BKT</v>
      </c>
      <c r="H328" s="312">
        <v>326</v>
      </c>
      <c r="I328" s="233" t="s">
        <v>1313</v>
      </c>
      <c r="K328" s="233" t="s">
        <v>1314</v>
      </c>
      <c r="L328" s="236">
        <f t="shared" si="13"/>
        <v>325674</v>
      </c>
      <c r="N328" s="113" t="s">
        <v>1315</v>
      </c>
      <c r="O328" s="1" t="b">
        <v>1</v>
      </c>
      <c r="Q328" s="34"/>
    </row>
    <row r="329" spans="2:17">
      <c r="B329" s="1" t="str">
        <f t="shared" si="14"/>
        <v>M_MED01_VM_BKT_327</v>
      </c>
      <c r="C329" s="92" t="s">
        <v>727</v>
      </c>
      <c r="D329" s="92" t="str" cm="1">
        <f t="array" ref="D329">INDEX(기계코드!$D$4:$D$1022,MATCH(1,(C329=기계코드!$F$4:$F$1022)*1,0))</f>
        <v>M_MED01</v>
      </c>
      <c r="E329" s="92" t="s">
        <v>1128</v>
      </c>
      <c r="F329" s="92" t="str" cm="1">
        <f t="array" ref="F329">INDEX(공급업체코드!$B$3:$B$1000,MATCH(1,(E329=공급업체코드!$D$3:$D$1000)*1,0))</f>
        <v>VM_BKT</v>
      </c>
      <c r="H329" s="312">
        <v>327</v>
      </c>
      <c r="I329" s="233" t="s">
        <v>1313</v>
      </c>
      <c r="K329" s="233" t="s">
        <v>1314</v>
      </c>
      <c r="L329" s="236">
        <f t="shared" si="13"/>
        <v>326673</v>
      </c>
      <c r="N329" s="113" t="s">
        <v>1315</v>
      </c>
      <c r="O329" s="1" t="b">
        <v>1</v>
      </c>
      <c r="Q329" s="34"/>
    </row>
    <row r="330" spans="2:17">
      <c r="B330" s="1" t="str">
        <f t="shared" si="14"/>
        <v>M_MED01_VM_BKT_328</v>
      </c>
      <c r="C330" s="92" t="s">
        <v>727</v>
      </c>
      <c r="D330" s="92" t="str" cm="1">
        <f t="array" ref="D330">INDEX(기계코드!$D$4:$D$1022,MATCH(1,(C330=기계코드!$F$4:$F$1022)*1,0))</f>
        <v>M_MED01</v>
      </c>
      <c r="E330" s="92" t="s">
        <v>1128</v>
      </c>
      <c r="F330" s="92" t="str" cm="1">
        <f t="array" ref="F330">INDEX(공급업체코드!$B$3:$B$1000,MATCH(1,(E330=공급업체코드!$D$3:$D$1000)*1,0))</f>
        <v>VM_BKT</v>
      </c>
      <c r="H330" s="312">
        <v>328</v>
      </c>
      <c r="I330" s="233" t="s">
        <v>1313</v>
      </c>
      <c r="K330" s="233" t="s">
        <v>1314</v>
      </c>
      <c r="L330" s="236">
        <f t="shared" si="13"/>
        <v>327672</v>
      </c>
      <c r="N330" s="113" t="s">
        <v>1315</v>
      </c>
      <c r="O330" s="1" t="b">
        <v>1</v>
      </c>
      <c r="Q330" s="34"/>
    </row>
    <row r="331" spans="2:17">
      <c r="B331" s="1" t="str">
        <f t="shared" si="14"/>
        <v>M_MED01_VM_BKT_329</v>
      </c>
      <c r="C331" s="92" t="s">
        <v>727</v>
      </c>
      <c r="D331" s="92" t="str" cm="1">
        <f t="array" ref="D331">INDEX(기계코드!$D$4:$D$1022,MATCH(1,(C331=기계코드!$F$4:$F$1022)*1,0))</f>
        <v>M_MED01</v>
      </c>
      <c r="E331" s="92" t="s">
        <v>1128</v>
      </c>
      <c r="F331" s="92" t="str" cm="1">
        <f t="array" ref="F331">INDEX(공급업체코드!$B$3:$B$1000,MATCH(1,(E331=공급업체코드!$D$3:$D$1000)*1,0))</f>
        <v>VM_BKT</v>
      </c>
      <c r="H331" s="312">
        <v>329</v>
      </c>
      <c r="I331" s="233" t="s">
        <v>1313</v>
      </c>
      <c r="K331" s="233" t="s">
        <v>1314</v>
      </c>
      <c r="L331" s="236">
        <f t="shared" si="13"/>
        <v>328671</v>
      </c>
      <c r="N331" s="113" t="s">
        <v>1315</v>
      </c>
      <c r="O331" s="1" t="b">
        <v>1</v>
      </c>
      <c r="Q331" s="34"/>
    </row>
    <row r="332" spans="2:17">
      <c r="B332" s="1" t="str">
        <f t="shared" si="14"/>
        <v>M_MED01_VM_BKT_330</v>
      </c>
      <c r="C332" s="92" t="s">
        <v>727</v>
      </c>
      <c r="D332" s="92" t="str" cm="1">
        <f t="array" ref="D332">INDEX(기계코드!$D$4:$D$1022,MATCH(1,(C332=기계코드!$F$4:$F$1022)*1,0))</f>
        <v>M_MED01</v>
      </c>
      <c r="E332" s="92" t="s">
        <v>1128</v>
      </c>
      <c r="F332" s="92" t="str" cm="1">
        <f t="array" ref="F332">INDEX(공급업체코드!$B$3:$B$1000,MATCH(1,(E332=공급업체코드!$D$3:$D$1000)*1,0))</f>
        <v>VM_BKT</v>
      </c>
      <c r="H332" s="312">
        <v>330</v>
      </c>
      <c r="I332" s="233" t="s">
        <v>1313</v>
      </c>
      <c r="K332" s="233" t="s">
        <v>1314</v>
      </c>
      <c r="L332" s="236">
        <f t="shared" si="13"/>
        <v>329670</v>
      </c>
      <c r="N332" s="113" t="s">
        <v>1315</v>
      </c>
      <c r="O332" s="1" t="b">
        <v>1</v>
      </c>
      <c r="Q332" s="34"/>
    </row>
    <row r="333" spans="2:17">
      <c r="B333" s="1" t="str">
        <f t="shared" si="14"/>
        <v>M_MED01_VM_BKT_331</v>
      </c>
      <c r="C333" s="92" t="s">
        <v>727</v>
      </c>
      <c r="D333" s="92" t="str" cm="1">
        <f t="array" ref="D333">INDEX(기계코드!$D$4:$D$1022,MATCH(1,(C333=기계코드!$F$4:$F$1022)*1,0))</f>
        <v>M_MED01</v>
      </c>
      <c r="E333" s="92" t="s">
        <v>1128</v>
      </c>
      <c r="F333" s="92" t="str" cm="1">
        <f t="array" ref="F333">INDEX(공급업체코드!$B$3:$B$1000,MATCH(1,(E333=공급업체코드!$D$3:$D$1000)*1,0))</f>
        <v>VM_BKT</v>
      </c>
      <c r="H333" s="312">
        <v>331</v>
      </c>
      <c r="I333" s="233" t="s">
        <v>1313</v>
      </c>
      <c r="K333" s="233" t="s">
        <v>1314</v>
      </c>
      <c r="L333" s="236">
        <f t="shared" si="13"/>
        <v>330669</v>
      </c>
      <c r="N333" s="113" t="s">
        <v>1315</v>
      </c>
      <c r="O333" s="1" t="b">
        <v>1</v>
      </c>
      <c r="Q333" s="34"/>
    </row>
    <row r="334" spans="2:17">
      <c r="B334" s="1" t="str">
        <f t="shared" si="14"/>
        <v>M_MED01_VM_BKT_332</v>
      </c>
      <c r="C334" s="92" t="s">
        <v>727</v>
      </c>
      <c r="D334" s="92" t="str" cm="1">
        <f t="array" ref="D334">INDEX(기계코드!$D$4:$D$1022,MATCH(1,(C334=기계코드!$F$4:$F$1022)*1,0))</f>
        <v>M_MED01</v>
      </c>
      <c r="E334" s="92" t="s">
        <v>1128</v>
      </c>
      <c r="F334" s="92" t="str" cm="1">
        <f t="array" ref="F334">INDEX(공급업체코드!$B$3:$B$1000,MATCH(1,(E334=공급업체코드!$D$3:$D$1000)*1,0))</f>
        <v>VM_BKT</v>
      </c>
      <c r="H334" s="312">
        <v>332</v>
      </c>
      <c r="I334" s="233" t="s">
        <v>1313</v>
      </c>
      <c r="K334" s="233" t="s">
        <v>1314</v>
      </c>
      <c r="L334" s="236">
        <f t="shared" si="13"/>
        <v>331668</v>
      </c>
      <c r="N334" s="113" t="s">
        <v>1315</v>
      </c>
      <c r="O334" s="1" t="b">
        <v>1</v>
      </c>
      <c r="Q334" s="34"/>
    </row>
    <row r="335" spans="2:17">
      <c r="B335" s="1" t="str">
        <f t="shared" si="14"/>
        <v>M_MED01_VM_BKT_333</v>
      </c>
      <c r="C335" s="92" t="s">
        <v>727</v>
      </c>
      <c r="D335" s="92" t="str" cm="1">
        <f t="array" ref="D335">INDEX(기계코드!$D$4:$D$1022,MATCH(1,(C335=기계코드!$F$4:$F$1022)*1,0))</f>
        <v>M_MED01</v>
      </c>
      <c r="E335" s="92" t="s">
        <v>1128</v>
      </c>
      <c r="F335" s="92" t="str" cm="1">
        <f t="array" ref="F335">INDEX(공급업체코드!$B$3:$B$1000,MATCH(1,(E335=공급업체코드!$D$3:$D$1000)*1,0))</f>
        <v>VM_BKT</v>
      </c>
      <c r="H335" s="312">
        <v>333</v>
      </c>
      <c r="I335" s="233" t="s">
        <v>1313</v>
      </c>
      <c r="K335" s="233" t="s">
        <v>1314</v>
      </c>
      <c r="L335" s="236">
        <f t="shared" si="13"/>
        <v>332667</v>
      </c>
      <c r="N335" s="113" t="s">
        <v>1315</v>
      </c>
      <c r="O335" s="1" t="b">
        <v>1</v>
      </c>
      <c r="Q335" s="34"/>
    </row>
    <row r="336" spans="2:17">
      <c r="B336" s="1" t="str">
        <f t="shared" si="14"/>
        <v>M_MED01_VM_BKT_334</v>
      </c>
      <c r="C336" s="92" t="s">
        <v>727</v>
      </c>
      <c r="D336" s="92" t="str" cm="1">
        <f t="array" ref="D336">INDEX(기계코드!$D$4:$D$1022,MATCH(1,(C336=기계코드!$F$4:$F$1022)*1,0))</f>
        <v>M_MED01</v>
      </c>
      <c r="E336" s="92" t="s">
        <v>1128</v>
      </c>
      <c r="F336" s="92" t="str" cm="1">
        <f t="array" ref="F336">INDEX(공급업체코드!$B$3:$B$1000,MATCH(1,(E336=공급업체코드!$D$3:$D$1000)*1,0))</f>
        <v>VM_BKT</v>
      </c>
      <c r="H336" s="312">
        <v>334</v>
      </c>
      <c r="I336" s="233" t="s">
        <v>1313</v>
      </c>
      <c r="K336" s="233" t="s">
        <v>1314</v>
      </c>
      <c r="L336" s="236">
        <f t="shared" si="13"/>
        <v>333666</v>
      </c>
      <c r="N336" s="113" t="s">
        <v>1315</v>
      </c>
      <c r="O336" s="1" t="b">
        <v>1</v>
      </c>
      <c r="Q336" s="34"/>
    </row>
    <row r="337" spans="2:17">
      <c r="B337" s="1" t="str">
        <f t="shared" si="14"/>
        <v>M_MED01_VM_BKT_335</v>
      </c>
      <c r="C337" s="92" t="s">
        <v>727</v>
      </c>
      <c r="D337" s="92" t="str" cm="1">
        <f t="array" ref="D337">INDEX(기계코드!$D$4:$D$1022,MATCH(1,(C337=기계코드!$F$4:$F$1022)*1,0))</f>
        <v>M_MED01</v>
      </c>
      <c r="E337" s="92" t="s">
        <v>1128</v>
      </c>
      <c r="F337" s="92" t="str" cm="1">
        <f t="array" ref="F337">INDEX(공급업체코드!$B$3:$B$1000,MATCH(1,(E337=공급업체코드!$D$3:$D$1000)*1,0))</f>
        <v>VM_BKT</v>
      </c>
      <c r="H337" s="312">
        <v>335</v>
      </c>
      <c r="I337" s="233" t="s">
        <v>1313</v>
      </c>
      <c r="K337" s="233" t="s">
        <v>1314</v>
      </c>
      <c r="L337" s="236">
        <f t="shared" si="13"/>
        <v>334665</v>
      </c>
      <c r="N337" s="113" t="s">
        <v>1315</v>
      </c>
      <c r="O337" s="1" t="b">
        <v>1</v>
      </c>
      <c r="Q337" s="34"/>
    </row>
    <row r="338" spans="2:17">
      <c r="B338" s="1" t="str">
        <f t="shared" si="14"/>
        <v>M_MED01_VM_BKT_336</v>
      </c>
      <c r="C338" s="92" t="s">
        <v>727</v>
      </c>
      <c r="D338" s="92" t="str" cm="1">
        <f t="array" ref="D338">INDEX(기계코드!$D$4:$D$1022,MATCH(1,(C338=기계코드!$F$4:$F$1022)*1,0))</f>
        <v>M_MED01</v>
      </c>
      <c r="E338" s="92" t="s">
        <v>1128</v>
      </c>
      <c r="F338" s="92" t="str" cm="1">
        <f t="array" ref="F338">INDEX(공급업체코드!$B$3:$B$1000,MATCH(1,(E338=공급업체코드!$D$3:$D$1000)*1,0))</f>
        <v>VM_BKT</v>
      </c>
      <c r="H338" s="312">
        <v>336</v>
      </c>
      <c r="I338" s="233" t="s">
        <v>1313</v>
      </c>
      <c r="K338" s="233" t="s">
        <v>1314</v>
      </c>
      <c r="L338" s="236">
        <f t="shared" si="13"/>
        <v>335664</v>
      </c>
      <c r="N338" s="113" t="s">
        <v>1315</v>
      </c>
      <c r="O338" s="1" t="b">
        <v>1</v>
      </c>
      <c r="Q338" s="34"/>
    </row>
    <row r="339" spans="2:17">
      <c r="B339" s="1" t="str">
        <f t="shared" si="14"/>
        <v>M_MED01_VM_BKT_337</v>
      </c>
      <c r="C339" s="92" t="s">
        <v>727</v>
      </c>
      <c r="D339" s="92" t="str" cm="1">
        <f t="array" ref="D339">INDEX(기계코드!$D$4:$D$1022,MATCH(1,(C339=기계코드!$F$4:$F$1022)*1,0))</f>
        <v>M_MED01</v>
      </c>
      <c r="E339" s="92" t="s">
        <v>1128</v>
      </c>
      <c r="F339" s="92" t="str" cm="1">
        <f t="array" ref="F339">INDEX(공급업체코드!$B$3:$B$1000,MATCH(1,(E339=공급업체코드!$D$3:$D$1000)*1,0))</f>
        <v>VM_BKT</v>
      </c>
      <c r="H339" s="312">
        <v>337</v>
      </c>
      <c r="I339" s="233" t="s">
        <v>1313</v>
      </c>
      <c r="K339" s="233" t="s">
        <v>1314</v>
      </c>
      <c r="L339" s="236">
        <f t="shared" si="13"/>
        <v>336663</v>
      </c>
      <c r="N339" s="113" t="s">
        <v>1315</v>
      </c>
      <c r="O339" s="1" t="b">
        <v>1</v>
      </c>
      <c r="Q339" s="34"/>
    </row>
    <row r="340" spans="2:17">
      <c r="B340" s="1" t="str">
        <f t="shared" si="14"/>
        <v>M_MED01_VM_BKT_338</v>
      </c>
      <c r="C340" s="92" t="s">
        <v>727</v>
      </c>
      <c r="D340" s="92" t="str" cm="1">
        <f t="array" ref="D340">INDEX(기계코드!$D$4:$D$1022,MATCH(1,(C340=기계코드!$F$4:$F$1022)*1,0))</f>
        <v>M_MED01</v>
      </c>
      <c r="E340" s="92" t="s">
        <v>1128</v>
      </c>
      <c r="F340" s="92" t="str" cm="1">
        <f t="array" ref="F340">INDEX(공급업체코드!$B$3:$B$1000,MATCH(1,(E340=공급업체코드!$D$3:$D$1000)*1,0))</f>
        <v>VM_BKT</v>
      </c>
      <c r="H340" s="312">
        <v>338</v>
      </c>
      <c r="I340" s="233" t="s">
        <v>1313</v>
      </c>
      <c r="K340" s="233" t="s">
        <v>1314</v>
      </c>
      <c r="L340" s="236">
        <f t="shared" si="13"/>
        <v>337662</v>
      </c>
      <c r="N340" s="113" t="s">
        <v>1315</v>
      </c>
      <c r="O340" s="1" t="b">
        <v>1</v>
      </c>
      <c r="Q340" s="34"/>
    </row>
    <row r="341" spans="2:17">
      <c r="B341" s="1" t="str">
        <f t="shared" si="14"/>
        <v>M_MED01_VM_BKT_339</v>
      </c>
      <c r="C341" s="92" t="s">
        <v>727</v>
      </c>
      <c r="D341" s="92" t="str" cm="1">
        <f t="array" ref="D341">INDEX(기계코드!$D$4:$D$1022,MATCH(1,(C341=기계코드!$F$4:$F$1022)*1,0))</f>
        <v>M_MED01</v>
      </c>
      <c r="E341" s="92" t="s">
        <v>1128</v>
      </c>
      <c r="F341" s="92" t="str" cm="1">
        <f t="array" ref="F341">INDEX(공급업체코드!$B$3:$B$1000,MATCH(1,(E341=공급업체코드!$D$3:$D$1000)*1,0))</f>
        <v>VM_BKT</v>
      </c>
      <c r="H341" s="312">
        <v>339</v>
      </c>
      <c r="I341" s="233" t="s">
        <v>1313</v>
      </c>
      <c r="K341" s="233" t="s">
        <v>1314</v>
      </c>
      <c r="L341" s="236">
        <f t="shared" si="13"/>
        <v>338661</v>
      </c>
      <c r="N341" s="113" t="s">
        <v>1315</v>
      </c>
      <c r="O341" s="1" t="b">
        <v>1</v>
      </c>
      <c r="Q341" s="34"/>
    </row>
    <row r="342" spans="2:17">
      <c r="B342" s="1" t="str">
        <f t="shared" si="14"/>
        <v>M_MED01_VM_BKT_340</v>
      </c>
      <c r="C342" s="92" t="s">
        <v>727</v>
      </c>
      <c r="D342" s="92" t="str" cm="1">
        <f t="array" ref="D342">INDEX(기계코드!$D$4:$D$1022,MATCH(1,(C342=기계코드!$F$4:$F$1022)*1,0))</f>
        <v>M_MED01</v>
      </c>
      <c r="E342" s="92" t="s">
        <v>1128</v>
      </c>
      <c r="F342" s="92" t="str" cm="1">
        <f t="array" ref="F342">INDEX(공급업체코드!$B$3:$B$1000,MATCH(1,(E342=공급업체코드!$D$3:$D$1000)*1,0))</f>
        <v>VM_BKT</v>
      </c>
      <c r="H342" s="312">
        <v>340</v>
      </c>
      <c r="I342" s="233" t="s">
        <v>1313</v>
      </c>
      <c r="K342" s="233" t="s">
        <v>1314</v>
      </c>
      <c r="L342" s="236">
        <f t="shared" si="13"/>
        <v>339660</v>
      </c>
      <c r="N342" s="113" t="s">
        <v>1315</v>
      </c>
      <c r="O342" s="1" t="b">
        <v>1</v>
      </c>
      <c r="Q342" s="34"/>
    </row>
    <row r="343" spans="2:17">
      <c r="B343" s="1" t="str">
        <f t="shared" si="14"/>
        <v>M_MED01_VM_BKT_341</v>
      </c>
      <c r="C343" s="92" t="s">
        <v>727</v>
      </c>
      <c r="D343" s="92" t="str" cm="1">
        <f t="array" ref="D343">INDEX(기계코드!$D$4:$D$1022,MATCH(1,(C343=기계코드!$F$4:$F$1022)*1,0))</f>
        <v>M_MED01</v>
      </c>
      <c r="E343" s="92" t="s">
        <v>1128</v>
      </c>
      <c r="F343" s="92" t="str" cm="1">
        <f t="array" ref="F343">INDEX(공급업체코드!$B$3:$B$1000,MATCH(1,(E343=공급업체코드!$D$3:$D$1000)*1,0))</f>
        <v>VM_BKT</v>
      </c>
      <c r="H343" s="312">
        <v>341</v>
      </c>
      <c r="I343" s="233" t="s">
        <v>1313</v>
      </c>
      <c r="K343" s="233" t="s">
        <v>1314</v>
      </c>
      <c r="L343" s="236">
        <f t="shared" si="13"/>
        <v>340659</v>
      </c>
      <c r="N343" s="113" t="s">
        <v>1315</v>
      </c>
      <c r="O343" s="1" t="b">
        <v>1</v>
      </c>
      <c r="Q343" s="34"/>
    </row>
    <row r="344" spans="2:17">
      <c r="B344" s="1" t="str">
        <f t="shared" si="14"/>
        <v>M_MED01_VM_BKT_342</v>
      </c>
      <c r="C344" s="92" t="s">
        <v>727</v>
      </c>
      <c r="D344" s="92" t="str" cm="1">
        <f t="array" ref="D344">INDEX(기계코드!$D$4:$D$1022,MATCH(1,(C344=기계코드!$F$4:$F$1022)*1,0))</f>
        <v>M_MED01</v>
      </c>
      <c r="E344" s="92" t="s">
        <v>1128</v>
      </c>
      <c r="F344" s="92" t="str" cm="1">
        <f t="array" ref="F344">INDEX(공급업체코드!$B$3:$B$1000,MATCH(1,(E344=공급업체코드!$D$3:$D$1000)*1,0))</f>
        <v>VM_BKT</v>
      </c>
      <c r="H344" s="312">
        <v>342</v>
      </c>
      <c r="I344" s="233" t="s">
        <v>1313</v>
      </c>
      <c r="K344" s="233" t="s">
        <v>1314</v>
      </c>
      <c r="L344" s="236">
        <f t="shared" si="13"/>
        <v>341658</v>
      </c>
      <c r="N344" s="113" t="s">
        <v>1315</v>
      </c>
      <c r="O344" s="1" t="b">
        <v>1</v>
      </c>
      <c r="Q344" s="34"/>
    </row>
    <row r="345" spans="2:17">
      <c r="B345" s="1" t="str">
        <f t="shared" si="14"/>
        <v>M_MED01_VM_BKT_343</v>
      </c>
      <c r="C345" s="92" t="s">
        <v>727</v>
      </c>
      <c r="D345" s="92" t="str" cm="1">
        <f t="array" ref="D345">INDEX(기계코드!$D$4:$D$1022,MATCH(1,(C345=기계코드!$F$4:$F$1022)*1,0))</f>
        <v>M_MED01</v>
      </c>
      <c r="E345" s="92" t="s">
        <v>1128</v>
      </c>
      <c r="F345" s="92" t="str" cm="1">
        <f t="array" ref="F345">INDEX(공급업체코드!$B$3:$B$1000,MATCH(1,(E345=공급업체코드!$D$3:$D$1000)*1,0))</f>
        <v>VM_BKT</v>
      </c>
      <c r="H345" s="312">
        <v>343</v>
      </c>
      <c r="I345" s="233" t="s">
        <v>1313</v>
      </c>
      <c r="K345" s="233" t="s">
        <v>1314</v>
      </c>
      <c r="L345" s="236">
        <f t="shared" si="13"/>
        <v>342657</v>
      </c>
      <c r="N345" s="113" t="s">
        <v>1315</v>
      </c>
      <c r="O345" s="1" t="b">
        <v>1</v>
      </c>
      <c r="Q345" s="34"/>
    </row>
    <row r="346" spans="2:17">
      <c r="B346" s="1" t="str">
        <f t="shared" si="14"/>
        <v>M_MED01_VM_BKT_344</v>
      </c>
      <c r="C346" s="92" t="s">
        <v>727</v>
      </c>
      <c r="D346" s="92" t="str" cm="1">
        <f t="array" ref="D346">INDEX(기계코드!$D$4:$D$1022,MATCH(1,(C346=기계코드!$F$4:$F$1022)*1,0))</f>
        <v>M_MED01</v>
      </c>
      <c r="E346" s="92" t="s">
        <v>1128</v>
      </c>
      <c r="F346" s="92" t="str" cm="1">
        <f t="array" ref="F346">INDEX(공급업체코드!$B$3:$B$1000,MATCH(1,(E346=공급업체코드!$D$3:$D$1000)*1,0))</f>
        <v>VM_BKT</v>
      </c>
      <c r="H346" s="312">
        <v>344</v>
      </c>
      <c r="I346" s="233" t="s">
        <v>1313</v>
      </c>
      <c r="K346" s="233" t="s">
        <v>1314</v>
      </c>
      <c r="L346" s="236">
        <f t="shared" si="13"/>
        <v>343656</v>
      </c>
      <c r="N346" s="113" t="s">
        <v>1315</v>
      </c>
      <c r="O346" s="1" t="b">
        <v>1</v>
      </c>
      <c r="Q346" s="34"/>
    </row>
    <row r="347" spans="2:17">
      <c r="B347" s="1" t="str">
        <f t="shared" si="14"/>
        <v>M_MED01_VM_BKT_345</v>
      </c>
      <c r="C347" s="92" t="s">
        <v>727</v>
      </c>
      <c r="D347" s="92" t="str" cm="1">
        <f t="array" ref="D347">INDEX(기계코드!$D$4:$D$1022,MATCH(1,(C347=기계코드!$F$4:$F$1022)*1,0))</f>
        <v>M_MED01</v>
      </c>
      <c r="E347" s="92" t="s">
        <v>1128</v>
      </c>
      <c r="F347" s="92" t="str" cm="1">
        <f t="array" ref="F347">INDEX(공급업체코드!$B$3:$B$1000,MATCH(1,(E347=공급업체코드!$D$3:$D$1000)*1,0))</f>
        <v>VM_BKT</v>
      </c>
      <c r="H347" s="312">
        <v>345</v>
      </c>
      <c r="I347" s="233" t="s">
        <v>1313</v>
      </c>
      <c r="K347" s="233" t="s">
        <v>1314</v>
      </c>
      <c r="L347" s="236">
        <f t="shared" si="13"/>
        <v>344655</v>
      </c>
      <c r="N347" s="113" t="s">
        <v>1315</v>
      </c>
      <c r="O347" s="1" t="b">
        <v>1</v>
      </c>
      <c r="Q347" s="34"/>
    </row>
    <row r="348" spans="2:17">
      <c r="B348" s="1" t="str">
        <f t="shared" si="14"/>
        <v>M_MED01_VM_BKT_346</v>
      </c>
      <c r="C348" s="92" t="s">
        <v>727</v>
      </c>
      <c r="D348" s="92" t="str" cm="1">
        <f t="array" ref="D348">INDEX(기계코드!$D$4:$D$1022,MATCH(1,(C348=기계코드!$F$4:$F$1022)*1,0))</f>
        <v>M_MED01</v>
      </c>
      <c r="E348" s="92" t="s">
        <v>1128</v>
      </c>
      <c r="F348" s="92" t="str" cm="1">
        <f t="array" ref="F348">INDEX(공급업체코드!$B$3:$B$1000,MATCH(1,(E348=공급업체코드!$D$3:$D$1000)*1,0))</f>
        <v>VM_BKT</v>
      </c>
      <c r="H348" s="312">
        <v>346</v>
      </c>
      <c r="I348" s="233" t="s">
        <v>1313</v>
      </c>
      <c r="K348" s="233" t="s">
        <v>1314</v>
      </c>
      <c r="L348" s="236">
        <f t="shared" si="13"/>
        <v>345654</v>
      </c>
      <c r="N348" s="113" t="s">
        <v>1315</v>
      </c>
      <c r="O348" s="1" t="b">
        <v>1</v>
      </c>
      <c r="Q348" s="34"/>
    </row>
    <row r="349" spans="2:17">
      <c r="B349" s="1" t="str">
        <f t="shared" si="14"/>
        <v>M_MED01_VM_BKT_347</v>
      </c>
      <c r="C349" s="92" t="s">
        <v>727</v>
      </c>
      <c r="D349" s="92" t="str" cm="1">
        <f t="array" ref="D349">INDEX(기계코드!$D$4:$D$1022,MATCH(1,(C349=기계코드!$F$4:$F$1022)*1,0))</f>
        <v>M_MED01</v>
      </c>
      <c r="E349" s="92" t="s">
        <v>1128</v>
      </c>
      <c r="F349" s="92" t="str" cm="1">
        <f t="array" ref="F349">INDEX(공급업체코드!$B$3:$B$1000,MATCH(1,(E349=공급업체코드!$D$3:$D$1000)*1,0))</f>
        <v>VM_BKT</v>
      </c>
      <c r="H349" s="312">
        <v>347</v>
      </c>
      <c r="I349" s="233" t="s">
        <v>1313</v>
      </c>
      <c r="K349" s="233" t="s">
        <v>1314</v>
      </c>
      <c r="L349" s="236">
        <f t="shared" si="13"/>
        <v>346653</v>
      </c>
      <c r="N349" s="113" t="s">
        <v>1315</v>
      </c>
      <c r="O349" s="1" t="b">
        <v>1</v>
      </c>
      <c r="Q349" s="34"/>
    </row>
    <row r="350" spans="2:17">
      <c r="B350" s="1" t="str">
        <f t="shared" si="14"/>
        <v>M_MED01_VM_BKT_348</v>
      </c>
      <c r="C350" s="92" t="s">
        <v>727</v>
      </c>
      <c r="D350" s="92" t="str" cm="1">
        <f t="array" ref="D350">INDEX(기계코드!$D$4:$D$1022,MATCH(1,(C350=기계코드!$F$4:$F$1022)*1,0))</f>
        <v>M_MED01</v>
      </c>
      <c r="E350" s="92" t="s">
        <v>1128</v>
      </c>
      <c r="F350" s="92" t="str" cm="1">
        <f t="array" ref="F350">INDEX(공급업체코드!$B$3:$B$1000,MATCH(1,(E350=공급업체코드!$D$3:$D$1000)*1,0))</f>
        <v>VM_BKT</v>
      </c>
      <c r="H350" s="312">
        <v>348</v>
      </c>
      <c r="I350" s="233" t="s">
        <v>1313</v>
      </c>
      <c r="K350" s="233" t="s">
        <v>1314</v>
      </c>
      <c r="L350" s="236">
        <f t="shared" si="13"/>
        <v>347652</v>
      </c>
      <c r="N350" s="113" t="s">
        <v>1315</v>
      </c>
      <c r="O350" s="1" t="b">
        <v>1</v>
      </c>
      <c r="Q350" s="34"/>
    </row>
    <row r="351" spans="2:17">
      <c r="B351" s="1" t="str">
        <f t="shared" si="14"/>
        <v>M_MED01_VM_BKT_349</v>
      </c>
      <c r="C351" s="92" t="s">
        <v>727</v>
      </c>
      <c r="D351" s="92" t="str" cm="1">
        <f t="array" ref="D351">INDEX(기계코드!$D$4:$D$1022,MATCH(1,(C351=기계코드!$F$4:$F$1022)*1,0))</f>
        <v>M_MED01</v>
      </c>
      <c r="E351" s="92" t="s">
        <v>1128</v>
      </c>
      <c r="F351" s="92" t="str" cm="1">
        <f t="array" ref="F351">INDEX(공급업체코드!$B$3:$B$1000,MATCH(1,(E351=공급업체코드!$D$3:$D$1000)*1,0))</f>
        <v>VM_BKT</v>
      </c>
      <c r="H351" s="312">
        <v>349</v>
      </c>
      <c r="I351" s="233" t="s">
        <v>1313</v>
      </c>
      <c r="K351" s="233" t="s">
        <v>1314</v>
      </c>
      <c r="L351" s="236">
        <f t="shared" si="13"/>
        <v>348651</v>
      </c>
      <c r="N351" s="113" t="s">
        <v>1315</v>
      </c>
      <c r="O351" s="1" t="b">
        <v>1</v>
      </c>
      <c r="Q351" s="34"/>
    </row>
    <row r="352" spans="2:17">
      <c r="B352" s="1" t="str">
        <f t="shared" si="14"/>
        <v>M_MED01_VM_BKT_350</v>
      </c>
      <c r="C352" s="92" t="s">
        <v>727</v>
      </c>
      <c r="D352" s="92" t="str" cm="1">
        <f t="array" ref="D352">INDEX(기계코드!$D$4:$D$1022,MATCH(1,(C352=기계코드!$F$4:$F$1022)*1,0))</f>
        <v>M_MED01</v>
      </c>
      <c r="E352" s="92" t="s">
        <v>1128</v>
      </c>
      <c r="F352" s="92" t="str" cm="1">
        <f t="array" ref="F352">INDEX(공급업체코드!$B$3:$B$1000,MATCH(1,(E352=공급업체코드!$D$3:$D$1000)*1,0))</f>
        <v>VM_BKT</v>
      </c>
      <c r="H352" s="312">
        <v>350</v>
      </c>
      <c r="I352" s="233" t="s">
        <v>1313</v>
      </c>
      <c r="K352" s="233" t="s">
        <v>1314</v>
      </c>
      <c r="L352" s="236">
        <f t="shared" si="13"/>
        <v>349650</v>
      </c>
      <c r="N352" s="113" t="s">
        <v>1315</v>
      </c>
      <c r="O352" s="1" t="b">
        <v>1</v>
      </c>
      <c r="Q352" s="34"/>
    </row>
    <row r="353" spans="2:17">
      <c r="B353" s="1" t="str">
        <f t="shared" si="14"/>
        <v>M_MED01_VM_BKT_351</v>
      </c>
      <c r="C353" s="92" t="s">
        <v>727</v>
      </c>
      <c r="D353" s="92" t="str" cm="1">
        <f t="array" ref="D353">INDEX(기계코드!$D$4:$D$1022,MATCH(1,(C353=기계코드!$F$4:$F$1022)*1,0))</f>
        <v>M_MED01</v>
      </c>
      <c r="E353" s="92" t="s">
        <v>1128</v>
      </c>
      <c r="F353" s="92" t="str" cm="1">
        <f t="array" ref="F353">INDEX(공급업체코드!$B$3:$B$1000,MATCH(1,(E353=공급업체코드!$D$3:$D$1000)*1,0))</f>
        <v>VM_BKT</v>
      </c>
      <c r="H353" s="312">
        <v>351</v>
      </c>
      <c r="I353" s="233" t="s">
        <v>1313</v>
      </c>
      <c r="K353" s="233" t="s">
        <v>1314</v>
      </c>
      <c r="L353" s="236">
        <f t="shared" si="13"/>
        <v>350649</v>
      </c>
      <c r="N353" s="113" t="s">
        <v>1315</v>
      </c>
      <c r="O353" s="1" t="b">
        <v>1</v>
      </c>
      <c r="Q353" s="34"/>
    </row>
    <row r="354" spans="2:17">
      <c r="B354" s="1" t="str">
        <f t="shared" si="14"/>
        <v>M_MED01_VM_BKT_352</v>
      </c>
      <c r="C354" s="92" t="s">
        <v>727</v>
      </c>
      <c r="D354" s="92" t="str" cm="1">
        <f t="array" ref="D354">INDEX(기계코드!$D$4:$D$1022,MATCH(1,(C354=기계코드!$F$4:$F$1022)*1,0))</f>
        <v>M_MED01</v>
      </c>
      <c r="E354" s="92" t="s">
        <v>1128</v>
      </c>
      <c r="F354" s="92" t="str" cm="1">
        <f t="array" ref="F354">INDEX(공급업체코드!$B$3:$B$1000,MATCH(1,(E354=공급업체코드!$D$3:$D$1000)*1,0))</f>
        <v>VM_BKT</v>
      </c>
      <c r="H354" s="312">
        <v>352</v>
      </c>
      <c r="I354" s="233" t="s">
        <v>1313</v>
      </c>
      <c r="K354" s="233" t="s">
        <v>1314</v>
      </c>
      <c r="L354" s="236">
        <f t="shared" si="13"/>
        <v>351648</v>
      </c>
      <c r="N354" s="113" t="s">
        <v>1315</v>
      </c>
      <c r="O354" s="1" t="b">
        <v>1</v>
      </c>
      <c r="Q354" s="34"/>
    </row>
    <row r="355" spans="2:17">
      <c r="B355" s="1" t="str">
        <f t="shared" si="14"/>
        <v>M_MED01_VM_BKT_353</v>
      </c>
      <c r="C355" s="92" t="s">
        <v>727</v>
      </c>
      <c r="D355" s="92" t="str" cm="1">
        <f t="array" ref="D355">INDEX(기계코드!$D$4:$D$1022,MATCH(1,(C355=기계코드!$F$4:$F$1022)*1,0))</f>
        <v>M_MED01</v>
      </c>
      <c r="E355" s="92" t="s">
        <v>1128</v>
      </c>
      <c r="F355" s="92" t="str" cm="1">
        <f t="array" ref="F355">INDEX(공급업체코드!$B$3:$B$1000,MATCH(1,(E355=공급업체코드!$D$3:$D$1000)*1,0))</f>
        <v>VM_BKT</v>
      </c>
      <c r="H355" s="312">
        <v>353</v>
      </c>
      <c r="I355" s="233" t="s">
        <v>1313</v>
      </c>
      <c r="K355" s="233" t="s">
        <v>1314</v>
      </c>
      <c r="L355" s="236">
        <f t="shared" si="13"/>
        <v>352647</v>
      </c>
      <c r="N355" s="113" t="s">
        <v>1315</v>
      </c>
      <c r="O355" s="1" t="b">
        <v>1</v>
      </c>
      <c r="Q355" s="34"/>
    </row>
    <row r="356" spans="2:17">
      <c r="B356" s="1" t="str">
        <f t="shared" si="14"/>
        <v>M_MED01_VM_BKT_354</v>
      </c>
      <c r="C356" s="92" t="s">
        <v>727</v>
      </c>
      <c r="D356" s="92" t="str" cm="1">
        <f t="array" ref="D356">INDEX(기계코드!$D$4:$D$1022,MATCH(1,(C356=기계코드!$F$4:$F$1022)*1,0))</f>
        <v>M_MED01</v>
      </c>
      <c r="E356" s="92" t="s">
        <v>1128</v>
      </c>
      <c r="F356" s="92" t="str" cm="1">
        <f t="array" ref="F356">INDEX(공급업체코드!$B$3:$B$1000,MATCH(1,(E356=공급업체코드!$D$3:$D$1000)*1,0))</f>
        <v>VM_BKT</v>
      </c>
      <c r="H356" s="312">
        <v>354</v>
      </c>
      <c r="I356" s="233" t="s">
        <v>1313</v>
      </c>
      <c r="K356" s="233" t="s">
        <v>1314</v>
      </c>
      <c r="L356" s="236">
        <f t="shared" si="13"/>
        <v>353646</v>
      </c>
      <c r="N356" s="113" t="s">
        <v>1315</v>
      </c>
      <c r="O356" s="1" t="b">
        <v>1</v>
      </c>
      <c r="Q356" s="34"/>
    </row>
    <row r="357" spans="2:17">
      <c r="B357" s="1" t="str">
        <f t="shared" si="14"/>
        <v>M_MED01_VM_BKT_355</v>
      </c>
      <c r="C357" s="92" t="s">
        <v>727</v>
      </c>
      <c r="D357" s="92" t="str" cm="1">
        <f t="array" ref="D357">INDEX(기계코드!$D$4:$D$1022,MATCH(1,(C357=기계코드!$F$4:$F$1022)*1,0))</f>
        <v>M_MED01</v>
      </c>
      <c r="E357" s="92" t="s">
        <v>1128</v>
      </c>
      <c r="F357" s="92" t="str" cm="1">
        <f t="array" ref="F357">INDEX(공급업체코드!$B$3:$B$1000,MATCH(1,(E357=공급업체코드!$D$3:$D$1000)*1,0))</f>
        <v>VM_BKT</v>
      </c>
      <c r="H357" s="312">
        <v>355</v>
      </c>
      <c r="I357" s="233" t="s">
        <v>1313</v>
      </c>
      <c r="K357" s="233" t="s">
        <v>1314</v>
      </c>
      <c r="L357" s="236">
        <f t="shared" si="13"/>
        <v>354645</v>
      </c>
      <c r="N357" s="113" t="s">
        <v>1315</v>
      </c>
      <c r="O357" s="1" t="b">
        <v>1</v>
      </c>
      <c r="Q357" s="34"/>
    </row>
    <row r="358" spans="2:17">
      <c r="B358" s="1" t="str">
        <f t="shared" si="14"/>
        <v>M_MED01_VM_BKT_356</v>
      </c>
      <c r="C358" s="92" t="s">
        <v>727</v>
      </c>
      <c r="D358" s="92" t="str" cm="1">
        <f t="array" ref="D358">INDEX(기계코드!$D$4:$D$1022,MATCH(1,(C358=기계코드!$F$4:$F$1022)*1,0))</f>
        <v>M_MED01</v>
      </c>
      <c r="E358" s="92" t="s">
        <v>1128</v>
      </c>
      <c r="F358" s="92" t="str" cm="1">
        <f t="array" ref="F358">INDEX(공급업체코드!$B$3:$B$1000,MATCH(1,(E358=공급업체코드!$D$3:$D$1000)*1,0))</f>
        <v>VM_BKT</v>
      </c>
      <c r="H358" s="312">
        <v>356</v>
      </c>
      <c r="I358" s="233" t="s">
        <v>1313</v>
      </c>
      <c r="K358" s="233" t="s">
        <v>1314</v>
      </c>
      <c r="L358" s="236">
        <f t="shared" si="13"/>
        <v>355644</v>
      </c>
      <c r="N358" s="113" t="s">
        <v>1315</v>
      </c>
      <c r="O358" s="1" t="b">
        <v>1</v>
      </c>
      <c r="Q358" s="34"/>
    </row>
    <row r="359" spans="2:17">
      <c r="B359" s="1" t="str">
        <f t="shared" si="14"/>
        <v>M_MED01_VM_BKT_357</v>
      </c>
      <c r="C359" s="92" t="s">
        <v>727</v>
      </c>
      <c r="D359" s="92" t="str" cm="1">
        <f t="array" ref="D359">INDEX(기계코드!$D$4:$D$1022,MATCH(1,(C359=기계코드!$F$4:$F$1022)*1,0))</f>
        <v>M_MED01</v>
      </c>
      <c r="E359" s="92" t="s">
        <v>1128</v>
      </c>
      <c r="F359" s="92" t="str" cm="1">
        <f t="array" ref="F359">INDEX(공급업체코드!$B$3:$B$1000,MATCH(1,(E359=공급업체코드!$D$3:$D$1000)*1,0))</f>
        <v>VM_BKT</v>
      </c>
      <c r="H359" s="312">
        <v>357</v>
      </c>
      <c r="I359" s="233" t="s">
        <v>1313</v>
      </c>
      <c r="K359" s="233" t="s">
        <v>1314</v>
      </c>
      <c r="L359" s="236">
        <f t="shared" si="13"/>
        <v>356643</v>
      </c>
      <c r="N359" s="113" t="s">
        <v>1315</v>
      </c>
      <c r="O359" s="1" t="b">
        <v>1</v>
      </c>
      <c r="Q359" s="34"/>
    </row>
    <row r="360" spans="2:17">
      <c r="B360" s="1" t="str">
        <f t="shared" si="14"/>
        <v>M_MED01_VM_BKT_358</v>
      </c>
      <c r="C360" s="92" t="s">
        <v>727</v>
      </c>
      <c r="D360" s="92" t="str" cm="1">
        <f t="array" ref="D360">INDEX(기계코드!$D$4:$D$1022,MATCH(1,(C360=기계코드!$F$4:$F$1022)*1,0))</f>
        <v>M_MED01</v>
      </c>
      <c r="E360" s="92" t="s">
        <v>1128</v>
      </c>
      <c r="F360" s="92" t="str" cm="1">
        <f t="array" ref="F360">INDEX(공급업체코드!$B$3:$B$1000,MATCH(1,(E360=공급업체코드!$D$3:$D$1000)*1,0))</f>
        <v>VM_BKT</v>
      </c>
      <c r="H360" s="312">
        <v>358</v>
      </c>
      <c r="I360" s="233" t="s">
        <v>1313</v>
      </c>
      <c r="K360" s="233" t="s">
        <v>1314</v>
      </c>
      <c r="L360" s="236">
        <f t="shared" si="13"/>
        <v>357642</v>
      </c>
      <c r="N360" s="113" t="s">
        <v>1315</v>
      </c>
      <c r="O360" s="1" t="b">
        <v>1</v>
      </c>
      <c r="Q360" s="34"/>
    </row>
    <row r="361" spans="2:17">
      <c r="B361" s="1" t="str">
        <f t="shared" si="14"/>
        <v>M_MED01_VM_BKT_359</v>
      </c>
      <c r="C361" s="92" t="s">
        <v>727</v>
      </c>
      <c r="D361" s="92" t="str" cm="1">
        <f t="array" ref="D361">INDEX(기계코드!$D$4:$D$1022,MATCH(1,(C361=기계코드!$F$4:$F$1022)*1,0))</f>
        <v>M_MED01</v>
      </c>
      <c r="E361" s="92" t="s">
        <v>1128</v>
      </c>
      <c r="F361" s="92" t="str" cm="1">
        <f t="array" ref="F361">INDEX(공급업체코드!$B$3:$B$1000,MATCH(1,(E361=공급업체코드!$D$3:$D$1000)*1,0))</f>
        <v>VM_BKT</v>
      </c>
      <c r="H361" s="312">
        <v>359</v>
      </c>
      <c r="I361" s="233" t="s">
        <v>1313</v>
      </c>
      <c r="K361" s="233" t="s">
        <v>1314</v>
      </c>
      <c r="L361" s="236">
        <f t="shared" si="13"/>
        <v>358641</v>
      </c>
      <c r="N361" s="113" t="s">
        <v>1315</v>
      </c>
      <c r="O361" s="1" t="b">
        <v>1</v>
      </c>
      <c r="Q361" s="34"/>
    </row>
    <row r="362" spans="2:17">
      <c r="B362" s="1" t="str">
        <f t="shared" si="14"/>
        <v>M_MED01_VM_BKT_360</v>
      </c>
      <c r="C362" s="92" t="s">
        <v>727</v>
      </c>
      <c r="D362" s="92" t="str" cm="1">
        <f t="array" ref="D362">INDEX(기계코드!$D$4:$D$1022,MATCH(1,(C362=기계코드!$F$4:$F$1022)*1,0))</f>
        <v>M_MED01</v>
      </c>
      <c r="E362" s="92" t="s">
        <v>1128</v>
      </c>
      <c r="F362" s="92" t="str" cm="1">
        <f t="array" ref="F362">INDEX(공급업체코드!$B$3:$B$1000,MATCH(1,(E362=공급업체코드!$D$3:$D$1000)*1,0))</f>
        <v>VM_BKT</v>
      </c>
      <c r="H362" s="312">
        <v>360</v>
      </c>
      <c r="I362" s="233" t="s">
        <v>1313</v>
      </c>
      <c r="K362" s="233" t="s">
        <v>1314</v>
      </c>
      <c r="L362" s="236">
        <f t="shared" si="13"/>
        <v>359640</v>
      </c>
      <c r="N362" s="113" t="s">
        <v>1315</v>
      </c>
      <c r="O362" s="1" t="b">
        <v>1</v>
      </c>
      <c r="Q362" s="34"/>
    </row>
    <row r="363" spans="2:17">
      <c r="B363" s="1" t="str">
        <f t="shared" si="14"/>
        <v>M_MED01_VM_BKT_361</v>
      </c>
      <c r="C363" s="92" t="s">
        <v>727</v>
      </c>
      <c r="D363" s="92" t="str" cm="1">
        <f t="array" ref="D363">INDEX(기계코드!$D$4:$D$1022,MATCH(1,(C363=기계코드!$F$4:$F$1022)*1,0))</f>
        <v>M_MED01</v>
      </c>
      <c r="E363" s="92" t="s">
        <v>1128</v>
      </c>
      <c r="F363" s="92" t="str" cm="1">
        <f t="array" ref="F363">INDEX(공급업체코드!$B$3:$B$1000,MATCH(1,(E363=공급업체코드!$D$3:$D$1000)*1,0))</f>
        <v>VM_BKT</v>
      </c>
      <c r="H363" s="312">
        <v>361</v>
      </c>
      <c r="I363" s="233" t="s">
        <v>1313</v>
      </c>
      <c r="K363" s="233" t="s">
        <v>1314</v>
      </c>
      <c r="L363" s="236">
        <f t="shared" si="13"/>
        <v>360639</v>
      </c>
      <c r="N363" s="113" t="s">
        <v>1315</v>
      </c>
      <c r="O363" s="1" t="b">
        <v>1</v>
      </c>
      <c r="Q363" s="34"/>
    </row>
    <row r="364" spans="2:17">
      <c r="B364" s="1" t="str">
        <f t="shared" si="14"/>
        <v>M_MED01_VM_BKT_362</v>
      </c>
      <c r="C364" s="92" t="s">
        <v>727</v>
      </c>
      <c r="D364" s="92" t="str" cm="1">
        <f t="array" ref="D364">INDEX(기계코드!$D$4:$D$1022,MATCH(1,(C364=기계코드!$F$4:$F$1022)*1,0))</f>
        <v>M_MED01</v>
      </c>
      <c r="E364" s="92" t="s">
        <v>1128</v>
      </c>
      <c r="F364" s="92" t="str" cm="1">
        <f t="array" ref="F364">INDEX(공급업체코드!$B$3:$B$1000,MATCH(1,(E364=공급업체코드!$D$3:$D$1000)*1,0))</f>
        <v>VM_BKT</v>
      </c>
      <c r="H364" s="312">
        <v>362</v>
      </c>
      <c r="I364" s="233" t="s">
        <v>1313</v>
      </c>
      <c r="K364" s="233" t="s">
        <v>1314</v>
      </c>
      <c r="L364" s="236">
        <f t="shared" si="13"/>
        <v>361638</v>
      </c>
      <c r="N364" s="113" t="s">
        <v>1315</v>
      </c>
      <c r="O364" s="1" t="b">
        <v>1</v>
      </c>
      <c r="Q364" s="34"/>
    </row>
    <row r="365" spans="2:17">
      <c r="B365" s="1" t="str">
        <f t="shared" si="14"/>
        <v>M_MED01_VM_BKT_363</v>
      </c>
      <c r="C365" s="92" t="s">
        <v>727</v>
      </c>
      <c r="D365" s="92" t="str" cm="1">
        <f t="array" ref="D365">INDEX(기계코드!$D$4:$D$1022,MATCH(1,(C365=기계코드!$F$4:$F$1022)*1,0))</f>
        <v>M_MED01</v>
      </c>
      <c r="E365" s="92" t="s">
        <v>1128</v>
      </c>
      <c r="F365" s="92" t="str" cm="1">
        <f t="array" ref="F365">INDEX(공급업체코드!$B$3:$B$1000,MATCH(1,(E365=공급업체코드!$D$3:$D$1000)*1,0))</f>
        <v>VM_BKT</v>
      </c>
      <c r="H365" s="312">
        <v>363</v>
      </c>
      <c r="I365" s="233" t="s">
        <v>1313</v>
      </c>
      <c r="K365" s="233" t="s">
        <v>1314</v>
      </c>
      <c r="L365" s="236">
        <f t="shared" si="13"/>
        <v>362637</v>
      </c>
      <c r="N365" s="113" t="s">
        <v>1315</v>
      </c>
      <c r="O365" s="1" t="b">
        <v>1</v>
      </c>
      <c r="Q365" s="34"/>
    </row>
    <row r="366" spans="2:17">
      <c r="B366" s="1" t="str">
        <f t="shared" si="14"/>
        <v>M_MED01_VM_BKT_364</v>
      </c>
      <c r="C366" s="92" t="s">
        <v>727</v>
      </c>
      <c r="D366" s="92" t="str" cm="1">
        <f t="array" ref="D366">INDEX(기계코드!$D$4:$D$1022,MATCH(1,(C366=기계코드!$F$4:$F$1022)*1,0))</f>
        <v>M_MED01</v>
      </c>
      <c r="E366" s="92" t="s">
        <v>1128</v>
      </c>
      <c r="F366" s="92" t="str" cm="1">
        <f t="array" ref="F366">INDEX(공급업체코드!$B$3:$B$1000,MATCH(1,(E366=공급업체코드!$D$3:$D$1000)*1,0))</f>
        <v>VM_BKT</v>
      </c>
      <c r="H366" s="312">
        <v>364</v>
      </c>
      <c r="I366" s="233" t="s">
        <v>1313</v>
      </c>
      <c r="K366" s="233" t="s">
        <v>1314</v>
      </c>
      <c r="L366" s="236">
        <f t="shared" si="13"/>
        <v>363636</v>
      </c>
      <c r="N366" s="113" t="s">
        <v>1315</v>
      </c>
      <c r="O366" s="1" t="b">
        <v>1</v>
      </c>
      <c r="Q366" s="34"/>
    </row>
    <row r="367" spans="2:17">
      <c r="B367" s="1" t="str">
        <f t="shared" si="14"/>
        <v>M_MED01_VM_BKT_365</v>
      </c>
      <c r="C367" s="92" t="s">
        <v>727</v>
      </c>
      <c r="D367" s="92" t="str" cm="1">
        <f t="array" ref="D367">INDEX(기계코드!$D$4:$D$1022,MATCH(1,(C367=기계코드!$F$4:$F$1022)*1,0))</f>
        <v>M_MED01</v>
      </c>
      <c r="E367" s="92" t="s">
        <v>1128</v>
      </c>
      <c r="F367" s="92" t="str" cm="1">
        <f t="array" ref="F367">INDEX(공급업체코드!$B$3:$B$1000,MATCH(1,(E367=공급업체코드!$D$3:$D$1000)*1,0))</f>
        <v>VM_BKT</v>
      </c>
      <c r="H367" s="312">
        <v>365</v>
      </c>
      <c r="I367" s="233" t="s">
        <v>1313</v>
      </c>
      <c r="K367" s="233" t="s">
        <v>1314</v>
      </c>
      <c r="L367" s="236">
        <f t="shared" si="13"/>
        <v>364635</v>
      </c>
      <c r="N367" s="113" t="s">
        <v>1315</v>
      </c>
      <c r="O367" s="1" t="b">
        <v>1</v>
      </c>
      <c r="Q367" s="34"/>
    </row>
    <row r="368" spans="2:17">
      <c r="B368" s="1" t="str">
        <f t="shared" si="14"/>
        <v>M_MED01_VM_BKT_366</v>
      </c>
      <c r="C368" s="92" t="s">
        <v>727</v>
      </c>
      <c r="D368" s="92" t="str" cm="1">
        <f t="array" ref="D368">INDEX(기계코드!$D$4:$D$1022,MATCH(1,(C368=기계코드!$F$4:$F$1022)*1,0))</f>
        <v>M_MED01</v>
      </c>
      <c r="E368" s="92" t="s">
        <v>1128</v>
      </c>
      <c r="F368" s="92" t="str" cm="1">
        <f t="array" ref="F368">INDEX(공급업체코드!$B$3:$B$1000,MATCH(1,(E368=공급업체코드!$D$3:$D$1000)*1,0))</f>
        <v>VM_BKT</v>
      </c>
      <c r="H368" s="312">
        <v>366</v>
      </c>
      <c r="I368" s="233" t="s">
        <v>1313</v>
      </c>
      <c r="K368" s="233" t="s">
        <v>1314</v>
      </c>
      <c r="L368" s="236">
        <f t="shared" si="13"/>
        <v>365634</v>
      </c>
      <c r="N368" s="113" t="s">
        <v>1315</v>
      </c>
      <c r="O368" s="1" t="b">
        <v>1</v>
      </c>
      <c r="Q368" s="34"/>
    </row>
    <row r="369" spans="2:17">
      <c r="B369" s="1" t="str">
        <f t="shared" si="14"/>
        <v>M_MED01_VM_BKT_367</v>
      </c>
      <c r="C369" s="92" t="s">
        <v>727</v>
      </c>
      <c r="D369" s="92" t="str" cm="1">
        <f t="array" ref="D369">INDEX(기계코드!$D$4:$D$1022,MATCH(1,(C369=기계코드!$F$4:$F$1022)*1,0))</f>
        <v>M_MED01</v>
      </c>
      <c r="E369" s="92" t="s">
        <v>1128</v>
      </c>
      <c r="F369" s="92" t="str" cm="1">
        <f t="array" ref="F369">INDEX(공급업체코드!$B$3:$B$1000,MATCH(1,(E369=공급업체코드!$D$3:$D$1000)*1,0))</f>
        <v>VM_BKT</v>
      </c>
      <c r="H369" s="312">
        <v>367</v>
      </c>
      <c r="I369" s="233" t="s">
        <v>1313</v>
      </c>
      <c r="K369" s="233" t="s">
        <v>1314</v>
      </c>
      <c r="L369" s="236">
        <f t="shared" si="13"/>
        <v>366633</v>
      </c>
      <c r="N369" s="113" t="s">
        <v>1315</v>
      </c>
      <c r="O369" s="1" t="b">
        <v>1</v>
      </c>
      <c r="Q369" s="34"/>
    </row>
    <row r="370" spans="2:17">
      <c r="B370" s="1" t="str">
        <f t="shared" si="14"/>
        <v>M_MED01_VM_BKT_368</v>
      </c>
      <c r="C370" s="92" t="s">
        <v>727</v>
      </c>
      <c r="D370" s="92" t="str" cm="1">
        <f t="array" ref="D370">INDEX(기계코드!$D$4:$D$1022,MATCH(1,(C370=기계코드!$F$4:$F$1022)*1,0))</f>
        <v>M_MED01</v>
      </c>
      <c r="E370" s="92" t="s">
        <v>1128</v>
      </c>
      <c r="F370" s="92" t="str" cm="1">
        <f t="array" ref="F370">INDEX(공급업체코드!$B$3:$B$1000,MATCH(1,(E370=공급업체코드!$D$3:$D$1000)*1,0))</f>
        <v>VM_BKT</v>
      </c>
      <c r="H370" s="312">
        <v>368</v>
      </c>
      <c r="I370" s="233" t="s">
        <v>1313</v>
      </c>
      <c r="K370" s="233" t="s">
        <v>1314</v>
      </c>
      <c r="L370" s="236">
        <f t="shared" si="13"/>
        <v>367632</v>
      </c>
      <c r="N370" s="113" t="s">
        <v>1315</v>
      </c>
      <c r="O370" s="1" t="b">
        <v>1</v>
      </c>
      <c r="Q370" s="34"/>
    </row>
    <row r="371" spans="2:17">
      <c r="B371" s="1" t="str">
        <f t="shared" si="14"/>
        <v>M_MED01_VM_BKT_369</v>
      </c>
      <c r="C371" s="92" t="s">
        <v>727</v>
      </c>
      <c r="D371" s="92" t="str" cm="1">
        <f t="array" ref="D371">INDEX(기계코드!$D$4:$D$1022,MATCH(1,(C371=기계코드!$F$4:$F$1022)*1,0))</f>
        <v>M_MED01</v>
      </c>
      <c r="E371" s="92" t="s">
        <v>1128</v>
      </c>
      <c r="F371" s="92" t="str" cm="1">
        <f t="array" ref="F371">INDEX(공급업체코드!$B$3:$B$1000,MATCH(1,(E371=공급업체코드!$D$3:$D$1000)*1,0))</f>
        <v>VM_BKT</v>
      </c>
      <c r="H371" s="312">
        <v>369</v>
      </c>
      <c r="I371" s="233" t="s">
        <v>1313</v>
      </c>
      <c r="K371" s="233" t="s">
        <v>1314</v>
      </c>
      <c r="L371" s="236">
        <f t="shared" si="13"/>
        <v>368631</v>
      </c>
      <c r="N371" s="113" t="s">
        <v>1315</v>
      </c>
      <c r="O371" s="1" t="b">
        <v>1</v>
      </c>
      <c r="Q371" s="34"/>
    </row>
    <row r="372" spans="2:17">
      <c r="B372" s="1" t="str">
        <f t="shared" si="14"/>
        <v>M_MED01_VM_BKT_370</v>
      </c>
      <c r="C372" s="92" t="s">
        <v>727</v>
      </c>
      <c r="D372" s="92" t="str" cm="1">
        <f t="array" ref="D372">INDEX(기계코드!$D$4:$D$1022,MATCH(1,(C372=기계코드!$F$4:$F$1022)*1,0))</f>
        <v>M_MED01</v>
      </c>
      <c r="E372" s="92" t="s">
        <v>1128</v>
      </c>
      <c r="F372" s="92" t="str" cm="1">
        <f t="array" ref="F372">INDEX(공급업체코드!$B$3:$B$1000,MATCH(1,(E372=공급업체코드!$D$3:$D$1000)*1,0))</f>
        <v>VM_BKT</v>
      </c>
      <c r="H372" s="312">
        <v>370</v>
      </c>
      <c r="I372" s="233" t="s">
        <v>1313</v>
      </c>
      <c r="K372" s="233" t="s">
        <v>1314</v>
      </c>
      <c r="L372" s="236">
        <f t="shared" si="13"/>
        <v>369630</v>
      </c>
      <c r="N372" s="113" t="s">
        <v>1315</v>
      </c>
      <c r="O372" s="1" t="b">
        <v>1</v>
      </c>
      <c r="Q372" s="34"/>
    </row>
    <row r="373" spans="2:17">
      <c r="B373" s="1" t="str">
        <f t="shared" si="14"/>
        <v>M_MED01_VM_BKT_371</v>
      </c>
      <c r="C373" s="92" t="s">
        <v>727</v>
      </c>
      <c r="D373" s="92" t="str" cm="1">
        <f t="array" ref="D373">INDEX(기계코드!$D$4:$D$1022,MATCH(1,(C373=기계코드!$F$4:$F$1022)*1,0))</f>
        <v>M_MED01</v>
      </c>
      <c r="E373" s="92" t="s">
        <v>1128</v>
      </c>
      <c r="F373" s="92" t="str" cm="1">
        <f t="array" ref="F373">INDEX(공급업체코드!$B$3:$B$1000,MATCH(1,(E373=공급업체코드!$D$3:$D$1000)*1,0))</f>
        <v>VM_BKT</v>
      </c>
      <c r="H373" s="312">
        <v>371</v>
      </c>
      <c r="I373" s="233" t="s">
        <v>1313</v>
      </c>
      <c r="K373" s="233" t="s">
        <v>1314</v>
      </c>
      <c r="L373" s="236">
        <f t="shared" si="13"/>
        <v>370629</v>
      </c>
      <c r="N373" s="113" t="s">
        <v>1315</v>
      </c>
      <c r="O373" s="1" t="b">
        <v>1</v>
      </c>
      <c r="Q373" s="34"/>
    </row>
    <row r="374" spans="2:17">
      <c r="B374" s="1" t="str">
        <f t="shared" si="14"/>
        <v>M_MED01_VM_BKT_372</v>
      </c>
      <c r="C374" s="92" t="s">
        <v>727</v>
      </c>
      <c r="D374" s="92" t="str" cm="1">
        <f t="array" ref="D374">INDEX(기계코드!$D$4:$D$1022,MATCH(1,(C374=기계코드!$F$4:$F$1022)*1,0))</f>
        <v>M_MED01</v>
      </c>
      <c r="E374" s="92" t="s">
        <v>1128</v>
      </c>
      <c r="F374" s="92" t="str" cm="1">
        <f t="array" ref="F374">INDEX(공급업체코드!$B$3:$B$1000,MATCH(1,(E374=공급업체코드!$D$3:$D$1000)*1,0))</f>
        <v>VM_BKT</v>
      </c>
      <c r="H374" s="312">
        <v>372</v>
      </c>
      <c r="I374" s="233" t="s">
        <v>1313</v>
      </c>
      <c r="K374" s="233" t="s">
        <v>1314</v>
      </c>
      <c r="L374" s="236">
        <f t="shared" si="13"/>
        <v>371628</v>
      </c>
      <c r="N374" s="113" t="s">
        <v>1315</v>
      </c>
      <c r="O374" s="1" t="b">
        <v>1</v>
      </c>
      <c r="Q374" s="34"/>
    </row>
    <row r="375" spans="2:17">
      <c r="B375" s="1" t="str">
        <f t="shared" si="14"/>
        <v>M_MED01_VM_BKT_373</v>
      </c>
      <c r="C375" s="92" t="s">
        <v>727</v>
      </c>
      <c r="D375" s="92" t="str" cm="1">
        <f t="array" ref="D375">INDEX(기계코드!$D$4:$D$1022,MATCH(1,(C375=기계코드!$F$4:$F$1022)*1,0))</f>
        <v>M_MED01</v>
      </c>
      <c r="E375" s="92" t="s">
        <v>1128</v>
      </c>
      <c r="F375" s="92" t="str" cm="1">
        <f t="array" ref="F375">INDEX(공급업체코드!$B$3:$B$1000,MATCH(1,(E375=공급업체코드!$D$3:$D$1000)*1,0))</f>
        <v>VM_BKT</v>
      </c>
      <c r="H375" s="312">
        <v>373</v>
      </c>
      <c r="I375" s="233" t="s">
        <v>1313</v>
      </c>
      <c r="K375" s="233" t="s">
        <v>1314</v>
      </c>
      <c r="L375" s="236">
        <f t="shared" si="13"/>
        <v>372627</v>
      </c>
      <c r="N375" s="113" t="s">
        <v>1315</v>
      </c>
      <c r="O375" s="1" t="b">
        <v>1</v>
      </c>
      <c r="Q375" s="34"/>
    </row>
    <row r="376" spans="2:17">
      <c r="B376" s="1" t="str">
        <f t="shared" si="14"/>
        <v>M_MED01_VM_BKT_374</v>
      </c>
      <c r="C376" s="92" t="s">
        <v>727</v>
      </c>
      <c r="D376" s="92" t="str" cm="1">
        <f t="array" ref="D376">INDEX(기계코드!$D$4:$D$1022,MATCH(1,(C376=기계코드!$F$4:$F$1022)*1,0))</f>
        <v>M_MED01</v>
      </c>
      <c r="E376" s="92" t="s">
        <v>1128</v>
      </c>
      <c r="F376" s="92" t="str" cm="1">
        <f t="array" ref="F376">INDEX(공급업체코드!$B$3:$B$1000,MATCH(1,(E376=공급업체코드!$D$3:$D$1000)*1,0))</f>
        <v>VM_BKT</v>
      </c>
      <c r="H376" s="312">
        <v>374</v>
      </c>
      <c r="I376" s="233" t="s">
        <v>1313</v>
      </c>
      <c r="K376" s="233" t="s">
        <v>1314</v>
      </c>
      <c r="L376" s="236">
        <f t="shared" si="13"/>
        <v>373626</v>
      </c>
      <c r="N376" s="113" t="s">
        <v>1315</v>
      </c>
      <c r="O376" s="1" t="b">
        <v>1</v>
      </c>
      <c r="Q376" s="34"/>
    </row>
    <row r="377" spans="2:17">
      <c r="B377" s="1" t="str">
        <f t="shared" si="14"/>
        <v>M_MED01_VM_BKT_375</v>
      </c>
      <c r="C377" s="92" t="s">
        <v>727</v>
      </c>
      <c r="D377" s="92" t="str" cm="1">
        <f t="array" ref="D377">INDEX(기계코드!$D$4:$D$1022,MATCH(1,(C377=기계코드!$F$4:$F$1022)*1,0))</f>
        <v>M_MED01</v>
      </c>
      <c r="E377" s="92" t="s">
        <v>1128</v>
      </c>
      <c r="F377" s="92" t="str" cm="1">
        <f t="array" ref="F377">INDEX(공급업체코드!$B$3:$B$1000,MATCH(1,(E377=공급업체코드!$D$3:$D$1000)*1,0))</f>
        <v>VM_BKT</v>
      </c>
      <c r="H377" s="312">
        <v>375</v>
      </c>
      <c r="I377" s="233" t="s">
        <v>1313</v>
      </c>
      <c r="K377" s="233" t="s">
        <v>1314</v>
      </c>
      <c r="L377" s="236">
        <f t="shared" si="13"/>
        <v>374625</v>
      </c>
      <c r="N377" s="113" t="s">
        <v>1315</v>
      </c>
      <c r="O377" s="1" t="b">
        <v>1</v>
      </c>
      <c r="Q377" s="34"/>
    </row>
    <row r="378" spans="2:17">
      <c r="B378" s="1" t="str">
        <f t="shared" si="14"/>
        <v>M_MED01_VM_BKT_376</v>
      </c>
      <c r="C378" s="92" t="s">
        <v>727</v>
      </c>
      <c r="D378" s="92" t="str" cm="1">
        <f t="array" ref="D378">INDEX(기계코드!$D$4:$D$1022,MATCH(1,(C378=기계코드!$F$4:$F$1022)*1,0))</f>
        <v>M_MED01</v>
      </c>
      <c r="E378" s="92" t="s">
        <v>1128</v>
      </c>
      <c r="F378" s="92" t="str" cm="1">
        <f t="array" ref="F378">INDEX(공급업체코드!$B$3:$B$1000,MATCH(1,(E378=공급업체코드!$D$3:$D$1000)*1,0))</f>
        <v>VM_BKT</v>
      </c>
      <c r="H378" s="312">
        <v>376</v>
      </c>
      <c r="I378" s="233" t="s">
        <v>1313</v>
      </c>
      <c r="K378" s="233" t="s">
        <v>1314</v>
      </c>
      <c r="L378" s="236">
        <f t="shared" si="13"/>
        <v>375624</v>
      </c>
      <c r="N378" s="113" t="s">
        <v>1315</v>
      </c>
      <c r="O378" s="1" t="b">
        <v>1</v>
      </c>
      <c r="Q378" s="34"/>
    </row>
    <row r="379" spans="2:17">
      <c r="B379" s="1" t="str">
        <f t="shared" si="14"/>
        <v>M_MED01_VM_BKT_377</v>
      </c>
      <c r="C379" s="92" t="s">
        <v>727</v>
      </c>
      <c r="D379" s="92" t="str" cm="1">
        <f t="array" ref="D379">INDEX(기계코드!$D$4:$D$1022,MATCH(1,(C379=기계코드!$F$4:$F$1022)*1,0))</f>
        <v>M_MED01</v>
      </c>
      <c r="E379" s="92" t="s">
        <v>1128</v>
      </c>
      <c r="F379" s="92" t="str" cm="1">
        <f t="array" ref="F379">INDEX(공급업체코드!$B$3:$B$1000,MATCH(1,(E379=공급업체코드!$D$3:$D$1000)*1,0))</f>
        <v>VM_BKT</v>
      </c>
      <c r="H379" s="312">
        <v>377</v>
      </c>
      <c r="I379" s="233" t="s">
        <v>1313</v>
      </c>
      <c r="K379" s="233" t="s">
        <v>1314</v>
      </c>
      <c r="L379" s="236">
        <f t="shared" si="13"/>
        <v>376623</v>
      </c>
      <c r="N379" s="113" t="s">
        <v>1315</v>
      </c>
      <c r="O379" s="1" t="b">
        <v>1</v>
      </c>
      <c r="Q379" s="34"/>
    </row>
    <row r="380" spans="2:17">
      <c r="B380" s="1" t="str">
        <f t="shared" si="14"/>
        <v>M_MED01_VM_BKT_378</v>
      </c>
      <c r="C380" s="92" t="s">
        <v>727</v>
      </c>
      <c r="D380" s="92" t="str" cm="1">
        <f t="array" ref="D380">INDEX(기계코드!$D$4:$D$1022,MATCH(1,(C380=기계코드!$F$4:$F$1022)*1,0))</f>
        <v>M_MED01</v>
      </c>
      <c r="E380" s="92" t="s">
        <v>1128</v>
      </c>
      <c r="F380" s="92" t="str" cm="1">
        <f t="array" ref="F380">INDEX(공급업체코드!$B$3:$B$1000,MATCH(1,(E380=공급업체코드!$D$3:$D$1000)*1,0))</f>
        <v>VM_BKT</v>
      </c>
      <c r="H380" s="312">
        <v>378</v>
      </c>
      <c r="I380" s="233" t="s">
        <v>1313</v>
      </c>
      <c r="K380" s="233" t="s">
        <v>1314</v>
      </c>
      <c r="L380" s="236">
        <f t="shared" si="13"/>
        <v>377622</v>
      </c>
      <c r="N380" s="113" t="s">
        <v>1315</v>
      </c>
      <c r="O380" s="1" t="b">
        <v>1</v>
      </c>
      <c r="Q380" s="34"/>
    </row>
    <row r="381" spans="2:17">
      <c r="B381" s="1" t="str">
        <f t="shared" si="14"/>
        <v>M_MED01_VM_BKT_379</v>
      </c>
      <c r="C381" s="92" t="s">
        <v>727</v>
      </c>
      <c r="D381" s="92" t="str" cm="1">
        <f t="array" ref="D381">INDEX(기계코드!$D$4:$D$1022,MATCH(1,(C381=기계코드!$F$4:$F$1022)*1,0))</f>
        <v>M_MED01</v>
      </c>
      <c r="E381" s="92" t="s">
        <v>1128</v>
      </c>
      <c r="F381" s="92" t="str" cm="1">
        <f t="array" ref="F381">INDEX(공급업체코드!$B$3:$B$1000,MATCH(1,(E381=공급업체코드!$D$3:$D$1000)*1,0))</f>
        <v>VM_BKT</v>
      </c>
      <c r="H381" s="312">
        <v>379</v>
      </c>
      <c r="I381" s="233" t="s">
        <v>1313</v>
      </c>
      <c r="K381" s="233" t="s">
        <v>1314</v>
      </c>
      <c r="L381" s="236">
        <f t="shared" si="13"/>
        <v>378621</v>
      </c>
      <c r="N381" s="113" t="s">
        <v>1315</v>
      </c>
      <c r="O381" s="1" t="b">
        <v>1</v>
      </c>
      <c r="Q381" s="34"/>
    </row>
    <row r="382" spans="2:17">
      <c r="B382" s="1" t="str">
        <f t="shared" si="14"/>
        <v>M_MED01_VM_BKT_380</v>
      </c>
      <c r="C382" s="92" t="s">
        <v>727</v>
      </c>
      <c r="D382" s="92" t="str" cm="1">
        <f t="array" ref="D382">INDEX(기계코드!$D$4:$D$1022,MATCH(1,(C382=기계코드!$F$4:$F$1022)*1,0))</f>
        <v>M_MED01</v>
      </c>
      <c r="E382" s="92" t="s">
        <v>1128</v>
      </c>
      <c r="F382" s="92" t="str" cm="1">
        <f t="array" ref="F382">INDEX(공급업체코드!$B$3:$B$1000,MATCH(1,(E382=공급업체코드!$D$3:$D$1000)*1,0))</f>
        <v>VM_BKT</v>
      </c>
      <c r="H382" s="312">
        <v>380</v>
      </c>
      <c r="I382" s="233" t="s">
        <v>1313</v>
      </c>
      <c r="K382" s="233" t="s">
        <v>1314</v>
      </c>
      <c r="L382" s="236">
        <f t="shared" si="13"/>
        <v>379620</v>
      </c>
      <c r="N382" s="113" t="s">
        <v>1315</v>
      </c>
      <c r="O382" s="1" t="b">
        <v>1</v>
      </c>
      <c r="Q382" s="34"/>
    </row>
    <row r="383" spans="2:17">
      <c r="B383" s="1" t="str">
        <f t="shared" si="14"/>
        <v>M_MED01_VM_BKT_381</v>
      </c>
      <c r="C383" s="92" t="s">
        <v>727</v>
      </c>
      <c r="D383" s="92" t="str" cm="1">
        <f t="array" ref="D383">INDEX(기계코드!$D$4:$D$1022,MATCH(1,(C383=기계코드!$F$4:$F$1022)*1,0))</f>
        <v>M_MED01</v>
      </c>
      <c r="E383" s="92" t="s">
        <v>1128</v>
      </c>
      <c r="F383" s="92" t="str" cm="1">
        <f t="array" ref="F383">INDEX(공급업체코드!$B$3:$B$1000,MATCH(1,(E383=공급업체코드!$D$3:$D$1000)*1,0))</f>
        <v>VM_BKT</v>
      </c>
      <c r="H383" s="312">
        <v>381</v>
      </c>
      <c r="I383" s="233" t="s">
        <v>1313</v>
      </c>
      <c r="K383" s="233" t="s">
        <v>1314</v>
      </c>
      <c r="L383" s="236">
        <f t="shared" si="13"/>
        <v>380619</v>
      </c>
      <c r="N383" s="113" t="s">
        <v>1315</v>
      </c>
      <c r="O383" s="1" t="b">
        <v>1</v>
      </c>
      <c r="Q383" s="34"/>
    </row>
    <row r="384" spans="2:17">
      <c r="B384" s="1" t="str">
        <f t="shared" si="14"/>
        <v>M_MED01_VM_BKT_382</v>
      </c>
      <c r="C384" s="92" t="s">
        <v>727</v>
      </c>
      <c r="D384" s="92" t="str" cm="1">
        <f t="array" ref="D384">INDEX(기계코드!$D$4:$D$1022,MATCH(1,(C384=기계코드!$F$4:$F$1022)*1,0))</f>
        <v>M_MED01</v>
      </c>
      <c r="E384" s="92" t="s">
        <v>1128</v>
      </c>
      <c r="F384" s="92" t="str" cm="1">
        <f t="array" ref="F384">INDEX(공급업체코드!$B$3:$B$1000,MATCH(1,(E384=공급업체코드!$D$3:$D$1000)*1,0))</f>
        <v>VM_BKT</v>
      </c>
      <c r="H384" s="312">
        <v>382</v>
      </c>
      <c r="I384" s="233" t="s">
        <v>1313</v>
      </c>
      <c r="K384" s="233" t="s">
        <v>1314</v>
      </c>
      <c r="L384" s="236">
        <f t="shared" si="13"/>
        <v>381618</v>
      </c>
      <c r="N384" s="113" t="s">
        <v>1315</v>
      </c>
      <c r="O384" s="1" t="b">
        <v>1</v>
      </c>
      <c r="Q384" s="34"/>
    </row>
    <row r="385" spans="2:17">
      <c r="B385" s="1" t="str">
        <f t="shared" si="14"/>
        <v>M_MED01_VM_BKT_383</v>
      </c>
      <c r="C385" s="92" t="s">
        <v>727</v>
      </c>
      <c r="D385" s="92" t="str" cm="1">
        <f t="array" ref="D385">INDEX(기계코드!$D$4:$D$1022,MATCH(1,(C385=기계코드!$F$4:$F$1022)*1,0))</f>
        <v>M_MED01</v>
      </c>
      <c r="E385" s="92" t="s">
        <v>1128</v>
      </c>
      <c r="F385" s="92" t="str" cm="1">
        <f t="array" ref="F385">INDEX(공급업체코드!$B$3:$B$1000,MATCH(1,(E385=공급업체코드!$D$3:$D$1000)*1,0))</f>
        <v>VM_BKT</v>
      </c>
      <c r="H385" s="312">
        <v>383</v>
      </c>
      <c r="I385" s="233" t="s">
        <v>1313</v>
      </c>
      <c r="K385" s="233" t="s">
        <v>1314</v>
      </c>
      <c r="L385" s="236">
        <f t="shared" si="13"/>
        <v>382617</v>
      </c>
      <c r="N385" s="113" t="s">
        <v>1315</v>
      </c>
      <c r="O385" s="1" t="b">
        <v>1</v>
      </c>
      <c r="Q385" s="34"/>
    </row>
    <row r="386" spans="2:17">
      <c r="B386" s="1" t="str">
        <f t="shared" si="14"/>
        <v>M_MED01_VM_BKT_384</v>
      </c>
      <c r="C386" s="92" t="s">
        <v>727</v>
      </c>
      <c r="D386" s="92" t="str" cm="1">
        <f t="array" ref="D386">INDEX(기계코드!$D$4:$D$1022,MATCH(1,(C386=기계코드!$F$4:$F$1022)*1,0))</f>
        <v>M_MED01</v>
      </c>
      <c r="E386" s="92" t="s">
        <v>1128</v>
      </c>
      <c r="F386" s="92" t="str" cm="1">
        <f t="array" ref="F386">INDEX(공급업체코드!$B$3:$B$1000,MATCH(1,(E386=공급업체코드!$D$3:$D$1000)*1,0))</f>
        <v>VM_BKT</v>
      </c>
      <c r="H386" s="312">
        <v>384</v>
      </c>
      <c r="I386" s="233" t="s">
        <v>1313</v>
      </c>
      <c r="K386" s="233" t="s">
        <v>1314</v>
      </c>
      <c r="L386" s="236">
        <f t="shared" si="13"/>
        <v>383616</v>
      </c>
      <c r="N386" s="113" t="s">
        <v>1315</v>
      </c>
      <c r="O386" s="1" t="b">
        <v>1</v>
      </c>
      <c r="Q386" s="34"/>
    </row>
    <row r="387" spans="2:17">
      <c r="B387" s="1" t="str">
        <f t="shared" si="14"/>
        <v>M_MED01_VM_BKT_385</v>
      </c>
      <c r="C387" s="92" t="s">
        <v>727</v>
      </c>
      <c r="D387" s="92" t="str" cm="1">
        <f t="array" ref="D387">INDEX(기계코드!$D$4:$D$1022,MATCH(1,(C387=기계코드!$F$4:$F$1022)*1,0))</f>
        <v>M_MED01</v>
      </c>
      <c r="E387" s="92" t="s">
        <v>1128</v>
      </c>
      <c r="F387" s="92" t="str" cm="1">
        <f t="array" ref="F387">INDEX(공급업체코드!$B$3:$B$1000,MATCH(1,(E387=공급업체코드!$D$3:$D$1000)*1,0))</f>
        <v>VM_BKT</v>
      </c>
      <c r="H387" s="312">
        <v>385</v>
      </c>
      <c r="I387" s="233" t="s">
        <v>1313</v>
      </c>
      <c r="K387" s="233" t="s">
        <v>1314</v>
      </c>
      <c r="L387" s="236">
        <f t="shared" si="13"/>
        <v>384615</v>
      </c>
      <c r="N387" s="113" t="s">
        <v>1315</v>
      </c>
      <c r="O387" s="1" t="b">
        <v>1</v>
      </c>
      <c r="Q387" s="34"/>
    </row>
    <row r="388" spans="2:17">
      <c r="B388" s="1" t="str">
        <f t="shared" si="14"/>
        <v>M_MED01_VM_BKT_386</v>
      </c>
      <c r="C388" s="92" t="s">
        <v>727</v>
      </c>
      <c r="D388" s="92" t="str" cm="1">
        <f t="array" ref="D388">INDEX(기계코드!$D$4:$D$1022,MATCH(1,(C388=기계코드!$F$4:$F$1022)*1,0))</f>
        <v>M_MED01</v>
      </c>
      <c r="E388" s="92" t="s">
        <v>1128</v>
      </c>
      <c r="F388" s="92" t="str" cm="1">
        <f t="array" ref="F388">INDEX(공급업체코드!$B$3:$B$1000,MATCH(1,(E388=공급업체코드!$D$3:$D$1000)*1,0))</f>
        <v>VM_BKT</v>
      </c>
      <c r="H388" s="312">
        <v>386</v>
      </c>
      <c r="I388" s="233" t="s">
        <v>1313</v>
      </c>
      <c r="K388" s="233" t="s">
        <v>1314</v>
      </c>
      <c r="L388" s="236">
        <f t="shared" si="13"/>
        <v>385614</v>
      </c>
      <c r="N388" s="113" t="s">
        <v>1315</v>
      </c>
      <c r="O388" s="1" t="b">
        <v>1</v>
      </c>
      <c r="Q388" s="34"/>
    </row>
    <row r="389" spans="2:17">
      <c r="B389" s="1" t="str">
        <f t="shared" si="14"/>
        <v>M_MED01_VM_BKT_387</v>
      </c>
      <c r="C389" s="92" t="s">
        <v>727</v>
      </c>
      <c r="D389" s="92" t="str" cm="1">
        <f t="array" ref="D389">INDEX(기계코드!$D$4:$D$1022,MATCH(1,(C389=기계코드!$F$4:$F$1022)*1,0))</f>
        <v>M_MED01</v>
      </c>
      <c r="E389" s="92" t="s">
        <v>1128</v>
      </c>
      <c r="F389" s="92" t="str" cm="1">
        <f t="array" ref="F389">INDEX(공급업체코드!$B$3:$B$1000,MATCH(1,(E389=공급업체코드!$D$3:$D$1000)*1,0))</f>
        <v>VM_BKT</v>
      </c>
      <c r="H389" s="312">
        <v>387</v>
      </c>
      <c r="I389" s="233" t="s">
        <v>1313</v>
      </c>
      <c r="K389" s="233" t="s">
        <v>1314</v>
      </c>
      <c r="L389" s="236">
        <f t="shared" ref="L389:L452" si="15">$L$3*H389</f>
        <v>386613</v>
      </c>
      <c r="N389" s="113" t="s">
        <v>1315</v>
      </c>
      <c r="O389" s="1" t="b">
        <v>1</v>
      </c>
      <c r="Q389" s="34"/>
    </row>
    <row r="390" spans="2:17">
      <c r="B390" s="1" t="str">
        <f t="shared" si="14"/>
        <v>M_MED01_VM_BKT_388</v>
      </c>
      <c r="C390" s="92" t="s">
        <v>727</v>
      </c>
      <c r="D390" s="92" t="str" cm="1">
        <f t="array" ref="D390">INDEX(기계코드!$D$4:$D$1022,MATCH(1,(C390=기계코드!$F$4:$F$1022)*1,0))</f>
        <v>M_MED01</v>
      </c>
      <c r="E390" s="92" t="s">
        <v>1128</v>
      </c>
      <c r="F390" s="92" t="str" cm="1">
        <f t="array" ref="F390">INDEX(공급업체코드!$B$3:$B$1000,MATCH(1,(E390=공급업체코드!$D$3:$D$1000)*1,0))</f>
        <v>VM_BKT</v>
      </c>
      <c r="H390" s="312">
        <v>388</v>
      </c>
      <c r="I390" s="233" t="s">
        <v>1313</v>
      </c>
      <c r="K390" s="233" t="s">
        <v>1314</v>
      </c>
      <c r="L390" s="236">
        <f t="shared" si="15"/>
        <v>387612</v>
      </c>
      <c r="N390" s="113" t="s">
        <v>1315</v>
      </c>
      <c r="O390" s="1" t="b">
        <v>1</v>
      </c>
      <c r="Q390" s="34"/>
    </row>
    <row r="391" spans="2:17">
      <c r="B391" s="1" t="str">
        <f t="shared" ref="B391:B454" si="16">D391&amp;"_"&amp;F391&amp;"_"&amp;H391</f>
        <v>M_MED01_VM_BKT_389</v>
      </c>
      <c r="C391" s="92" t="s">
        <v>727</v>
      </c>
      <c r="D391" s="92" t="str" cm="1">
        <f t="array" ref="D391">INDEX(기계코드!$D$4:$D$1022,MATCH(1,(C391=기계코드!$F$4:$F$1022)*1,0))</f>
        <v>M_MED01</v>
      </c>
      <c r="E391" s="92" t="s">
        <v>1128</v>
      </c>
      <c r="F391" s="92" t="str" cm="1">
        <f t="array" ref="F391">INDEX(공급업체코드!$B$3:$B$1000,MATCH(1,(E391=공급업체코드!$D$3:$D$1000)*1,0))</f>
        <v>VM_BKT</v>
      </c>
      <c r="H391" s="312">
        <v>389</v>
      </c>
      <c r="I391" s="233" t="s">
        <v>1313</v>
      </c>
      <c r="K391" s="233" t="s">
        <v>1314</v>
      </c>
      <c r="L391" s="236">
        <f t="shared" si="15"/>
        <v>388611</v>
      </c>
      <c r="N391" s="113" t="s">
        <v>1315</v>
      </c>
      <c r="O391" s="1" t="b">
        <v>1</v>
      </c>
      <c r="Q391" s="34"/>
    </row>
    <row r="392" spans="2:17">
      <c r="B392" s="1" t="str">
        <f t="shared" si="16"/>
        <v>M_MED01_VM_BKT_390</v>
      </c>
      <c r="C392" s="92" t="s">
        <v>727</v>
      </c>
      <c r="D392" s="92" t="str" cm="1">
        <f t="array" ref="D392">INDEX(기계코드!$D$4:$D$1022,MATCH(1,(C392=기계코드!$F$4:$F$1022)*1,0))</f>
        <v>M_MED01</v>
      </c>
      <c r="E392" s="92" t="s">
        <v>1128</v>
      </c>
      <c r="F392" s="92" t="str" cm="1">
        <f t="array" ref="F392">INDEX(공급업체코드!$B$3:$B$1000,MATCH(1,(E392=공급업체코드!$D$3:$D$1000)*1,0))</f>
        <v>VM_BKT</v>
      </c>
      <c r="H392" s="312">
        <v>390</v>
      </c>
      <c r="I392" s="233" t="s">
        <v>1313</v>
      </c>
      <c r="K392" s="233" t="s">
        <v>1314</v>
      </c>
      <c r="L392" s="236">
        <f t="shared" si="15"/>
        <v>389610</v>
      </c>
      <c r="N392" s="113" t="s">
        <v>1315</v>
      </c>
      <c r="O392" s="1" t="b">
        <v>1</v>
      </c>
      <c r="Q392" s="34"/>
    </row>
    <row r="393" spans="2:17">
      <c r="B393" s="1" t="str">
        <f t="shared" si="16"/>
        <v>M_MED01_VM_BKT_391</v>
      </c>
      <c r="C393" s="92" t="s">
        <v>727</v>
      </c>
      <c r="D393" s="92" t="str" cm="1">
        <f t="array" ref="D393">INDEX(기계코드!$D$4:$D$1022,MATCH(1,(C393=기계코드!$F$4:$F$1022)*1,0))</f>
        <v>M_MED01</v>
      </c>
      <c r="E393" s="92" t="s">
        <v>1128</v>
      </c>
      <c r="F393" s="92" t="str" cm="1">
        <f t="array" ref="F393">INDEX(공급업체코드!$B$3:$B$1000,MATCH(1,(E393=공급업체코드!$D$3:$D$1000)*1,0))</f>
        <v>VM_BKT</v>
      </c>
      <c r="H393" s="312">
        <v>391</v>
      </c>
      <c r="I393" s="233" t="s">
        <v>1313</v>
      </c>
      <c r="K393" s="233" t="s">
        <v>1314</v>
      </c>
      <c r="L393" s="236">
        <f t="shared" si="15"/>
        <v>390609</v>
      </c>
      <c r="N393" s="113" t="s">
        <v>1315</v>
      </c>
      <c r="O393" s="1" t="b">
        <v>1</v>
      </c>
      <c r="Q393" s="34"/>
    </row>
    <row r="394" spans="2:17">
      <c r="B394" s="1" t="str">
        <f t="shared" si="16"/>
        <v>M_MED01_VM_BKT_392</v>
      </c>
      <c r="C394" s="92" t="s">
        <v>727</v>
      </c>
      <c r="D394" s="92" t="str" cm="1">
        <f t="array" ref="D394">INDEX(기계코드!$D$4:$D$1022,MATCH(1,(C394=기계코드!$F$4:$F$1022)*1,0))</f>
        <v>M_MED01</v>
      </c>
      <c r="E394" s="92" t="s">
        <v>1128</v>
      </c>
      <c r="F394" s="92" t="str" cm="1">
        <f t="array" ref="F394">INDEX(공급업체코드!$B$3:$B$1000,MATCH(1,(E394=공급업체코드!$D$3:$D$1000)*1,0))</f>
        <v>VM_BKT</v>
      </c>
      <c r="H394" s="312">
        <v>392</v>
      </c>
      <c r="I394" s="233" t="s">
        <v>1313</v>
      </c>
      <c r="K394" s="233" t="s">
        <v>1314</v>
      </c>
      <c r="L394" s="236">
        <f t="shared" si="15"/>
        <v>391608</v>
      </c>
      <c r="N394" s="113" t="s">
        <v>1315</v>
      </c>
      <c r="O394" s="1" t="b">
        <v>1</v>
      </c>
      <c r="Q394" s="34"/>
    </row>
    <row r="395" spans="2:17">
      <c r="B395" s="1" t="str">
        <f t="shared" si="16"/>
        <v>M_MED01_VM_BKT_393</v>
      </c>
      <c r="C395" s="92" t="s">
        <v>727</v>
      </c>
      <c r="D395" s="92" t="str" cm="1">
        <f t="array" ref="D395">INDEX(기계코드!$D$4:$D$1022,MATCH(1,(C395=기계코드!$F$4:$F$1022)*1,0))</f>
        <v>M_MED01</v>
      </c>
      <c r="E395" s="92" t="s">
        <v>1128</v>
      </c>
      <c r="F395" s="92" t="str" cm="1">
        <f t="array" ref="F395">INDEX(공급업체코드!$B$3:$B$1000,MATCH(1,(E395=공급업체코드!$D$3:$D$1000)*1,0))</f>
        <v>VM_BKT</v>
      </c>
      <c r="H395" s="312">
        <v>393</v>
      </c>
      <c r="I395" s="233" t="s">
        <v>1313</v>
      </c>
      <c r="K395" s="233" t="s">
        <v>1314</v>
      </c>
      <c r="L395" s="236">
        <f t="shared" si="15"/>
        <v>392607</v>
      </c>
      <c r="N395" s="113" t="s">
        <v>1315</v>
      </c>
      <c r="O395" s="1" t="b">
        <v>1</v>
      </c>
      <c r="Q395" s="34"/>
    </row>
    <row r="396" spans="2:17">
      <c r="B396" s="1" t="str">
        <f t="shared" si="16"/>
        <v>M_MED01_VM_BKT_394</v>
      </c>
      <c r="C396" s="92" t="s">
        <v>727</v>
      </c>
      <c r="D396" s="92" t="str" cm="1">
        <f t="array" ref="D396">INDEX(기계코드!$D$4:$D$1022,MATCH(1,(C396=기계코드!$F$4:$F$1022)*1,0))</f>
        <v>M_MED01</v>
      </c>
      <c r="E396" s="92" t="s">
        <v>1128</v>
      </c>
      <c r="F396" s="92" t="str" cm="1">
        <f t="array" ref="F396">INDEX(공급업체코드!$B$3:$B$1000,MATCH(1,(E396=공급업체코드!$D$3:$D$1000)*1,0))</f>
        <v>VM_BKT</v>
      </c>
      <c r="H396" s="312">
        <v>394</v>
      </c>
      <c r="I396" s="233" t="s">
        <v>1313</v>
      </c>
      <c r="K396" s="233" t="s">
        <v>1314</v>
      </c>
      <c r="L396" s="236">
        <f t="shared" si="15"/>
        <v>393606</v>
      </c>
      <c r="N396" s="113" t="s">
        <v>1315</v>
      </c>
      <c r="O396" s="1" t="b">
        <v>1</v>
      </c>
      <c r="Q396" s="34"/>
    </row>
    <row r="397" spans="2:17">
      <c r="B397" s="1" t="str">
        <f t="shared" si="16"/>
        <v>M_MED01_VM_BKT_395</v>
      </c>
      <c r="C397" s="92" t="s">
        <v>727</v>
      </c>
      <c r="D397" s="92" t="str" cm="1">
        <f t="array" ref="D397">INDEX(기계코드!$D$4:$D$1022,MATCH(1,(C397=기계코드!$F$4:$F$1022)*1,0))</f>
        <v>M_MED01</v>
      </c>
      <c r="E397" s="92" t="s">
        <v>1128</v>
      </c>
      <c r="F397" s="92" t="str" cm="1">
        <f t="array" ref="F397">INDEX(공급업체코드!$B$3:$B$1000,MATCH(1,(E397=공급업체코드!$D$3:$D$1000)*1,0))</f>
        <v>VM_BKT</v>
      </c>
      <c r="H397" s="312">
        <v>395</v>
      </c>
      <c r="I397" s="233" t="s">
        <v>1313</v>
      </c>
      <c r="K397" s="233" t="s">
        <v>1314</v>
      </c>
      <c r="L397" s="236">
        <f t="shared" si="15"/>
        <v>394605</v>
      </c>
      <c r="N397" s="113" t="s">
        <v>1315</v>
      </c>
      <c r="O397" s="1" t="b">
        <v>1</v>
      </c>
      <c r="Q397" s="34"/>
    </row>
    <row r="398" spans="2:17">
      <c r="B398" s="1" t="str">
        <f t="shared" si="16"/>
        <v>M_MED01_VM_BKT_396</v>
      </c>
      <c r="C398" s="92" t="s">
        <v>727</v>
      </c>
      <c r="D398" s="92" t="str" cm="1">
        <f t="array" ref="D398">INDEX(기계코드!$D$4:$D$1022,MATCH(1,(C398=기계코드!$F$4:$F$1022)*1,0))</f>
        <v>M_MED01</v>
      </c>
      <c r="E398" s="92" t="s">
        <v>1128</v>
      </c>
      <c r="F398" s="92" t="str" cm="1">
        <f t="array" ref="F398">INDEX(공급업체코드!$B$3:$B$1000,MATCH(1,(E398=공급업체코드!$D$3:$D$1000)*1,0))</f>
        <v>VM_BKT</v>
      </c>
      <c r="H398" s="312">
        <v>396</v>
      </c>
      <c r="I398" s="233" t="s">
        <v>1313</v>
      </c>
      <c r="K398" s="233" t="s">
        <v>1314</v>
      </c>
      <c r="L398" s="236">
        <f t="shared" si="15"/>
        <v>395604</v>
      </c>
      <c r="N398" s="113" t="s">
        <v>1315</v>
      </c>
      <c r="O398" s="1" t="b">
        <v>1</v>
      </c>
      <c r="Q398" s="34"/>
    </row>
    <row r="399" spans="2:17">
      <c r="B399" s="1" t="str">
        <f t="shared" si="16"/>
        <v>M_MED01_VM_BKT_397</v>
      </c>
      <c r="C399" s="92" t="s">
        <v>727</v>
      </c>
      <c r="D399" s="92" t="str" cm="1">
        <f t="array" ref="D399">INDEX(기계코드!$D$4:$D$1022,MATCH(1,(C399=기계코드!$F$4:$F$1022)*1,0))</f>
        <v>M_MED01</v>
      </c>
      <c r="E399" s="92" t="s">
        <v>1128</v>
      </c>
      <c r="F399" s="92" t="str" cm="1">
        <f t="array" ref="F399">INDEX(공급업체코드!$B$3:$B$1000,MATCH(1,(E399=공급업체코드!$D$3:$D$1000)*1,0))</f>
        <v>VM_BKT</v>
      </c>
      <c r="H399" s="312">
        <v>397</v>
      </c>
      <c r="I399" s="233" t="s">
        <v>1313</v>
      </c>
      <c r="K399" s="233" t="s">
        <v>1314</v>
      </c>
      <c r="L399" s="236">
        <f t="shared" si="15"/>
        <v>396603</v>
      </c>
      <c r="N399" s="113" t="s">
        <v>1315</v>
      </c>
      <c r="O399" s="1" t="b">
        <v>1</v>
      </c>
      <c r="Q399" s="34"/>
    </row>
    <row r="400" spans="2:17">
      <c r="B400" s="1" t="str">
        <f t="shared" si="16"/>
        <v>M_MED01_VM_BKT_398</v>
      </c>
      <c r="C400" s="92" t="s">
        <v>727</v>
      </c>
      <c r="D400" s="92" t="str" cm="1">
        <f t="array" ref="D400">INDEX(기계코드!$D$4:$D$1022,MATCH(1,(C400=기계코드!$F$4:$F$1022)*1,0))</f>
        <v>M_MED01</v>
      </c>
      <c r="E400" s="92" t="s">
        <v>1128</v>
      </c>
      <c r="F400" s="92" t="str" cm="1">
        <f t="array" ref="F400">INDEX(공급업체코드!$B$3:$B$1000,MATCH(1,(E400=공급업체코드!$D$3:$D$1000)*1,0))</f>
        <v>VM_BKT</v>
      </c>
      <c r="H400" s="312">
        <v>398</v>
      </c>
      <c r="I400" s="233" t="s">
        <v>1313</v>
      </c>
      <c r="K400" s="233" t="s">
        <v>1314</v>
      </c>
      <c r="L400" s="236">
        <f t="shared" si="15"/>
        <v>397602</v>
      </c>
      <c r="N400" s="113" t="s">
        <v>1315</v>
      </c>
      <c r="O400" s="1" t="b">
        <v>1</v>
      </c>
      <c r="Q400" s="34"/>
    </row>
    <row r="401" spans="2:17">
      <c r="B401" s="1" t="str">
        <f t="shared" si="16"/>
        <v>M_MED01_VM_BKT_399</v>
      </c>
      <c r="C401" s="92" t="s">
        <v>727</v>
      </c>
      <c r="D401" s="92" t="str" cm="1">
        <f t="array" ref="D401">INDEX(기계코드!$D$4:$D$1022,MATCH(1,(C401=기계코드!$F$4:$F$1022)*1,0))</f>
        <v>M_MED01</v>
      </c>
      <c r="E401" s="92" t="s">
        <v>1128</v>
      </c>
      <c r="F401" s="92" t="str" cm="1">
        <f t="array" ref="F401">INDEX(공급업체코드!$B$3:$B$1000,MATCH(1,(E401=공급업체코드!$D$3:$D$1000)*1,0))</f>
        <v>VM_BKT</v>
      </c>
      <c r="H401" s="312">
        <v>399</v>
      </c>
      <c r="I401" s="233" t="s">
        <v>1313</v>
      </c>
      <c r="K401" s="233" t="s">
        <v>1314</v>
      </c>
      <c r="L401" s="236">
        <f t="shared" si="15"/>
        <v>398601</v>
      </c>
      <c r="N401" s="113" t="s">
        <v>1315</v>
      </c>
      <c r="O401" s="1" t="b">
        <v>1</v>
      </c>
      <c r="Q401" s="34"/>
    </row>
    <row r="402" spans="2:17">
      <c r="B402" s="1" t="str">
        <f t="shared" si="16"/>
        <v>M_MED01_VM_BKT_400</v>
      </c>
      <c r="C402" s="92" t="s">
        <v>727</v>
      </c>
      <c r="D402" s="92" t="str" cm="1">
        <f t="array" ref="D402">INDEX(기계코드!$D$4:$D$1022,MATCH(1,(C402=기계코드!$F$4:$F$1022)*1,0))</f>
        <v>M_MED01</v>
      </c>
      <c r="E402" s="92" t="s">
        <v>1128</v>
      </c>
      <c r="F402" s="92" t="str" cm="1">
        <f t="array" ref="F402">INDEX(공급업체코드!$B$3:$B$1000,MATCH(1,(E402=공급업체코드!$D$3:$D$1000)*1,0))</f>
        <v>VM_BKT</v>
      </c>
      <c r="H402" s="312">
        <v>400</v>
      </c>
      <c r="I402" s="233" t="s">
        <v>1313</v>
      </c>
      <c r="K402" s="233" t="s">
        <v>1314</v>
      </c>
      <c r="L402" s="236">
        <f t="shared" si="15"/>
        <v>399600</v>
      </c>
      <c r="N402" s="113" t="s">
        <v>1315</v>
      </c>
      <c r="O402" s="1" t="b">
        <v>1</v>
      </c>
      <c r="Q402" s="34"/>
    </row>
    <row r="403" spans="2:17">
      <c r="B403" s="1" t="str">
        <f t="shared" si="16"/>
        <v>M_MED01_VM_BKT_401</v>
      </c>
      <c r="C403" s="92" t="s">
        <v>727</v>
      </c>
      <c r="D403" s="92" t="str" cm="1">
        <f t="array" ref="D403">INDEX(기계코드!$D$4:$D$1022,MATCH(1,(C403=기계코드!$F$4:$F$1022)*1,0))</f>
        <v>M_MED01</v>
      </c>
      <c r="E403" s="92" t="s">
        <v>1128</v>
      </c>
      <c r="F403" s="92" t="str" cm="1">
        <f t="array" ref="F403">INDEX(공급업체코드!$B$3:$B$1000,MATCH(1,(E403=공급업체코드!$D$3:$D$1000)*1,0))</f>
        <v>VM_BKT</v>
      </c>
      <c r="H403" s="312">
        <v>401</v>
      </c>
      <c r="I403" s="233" t="s">
        <v>1313</v>
      </c>
      <c r="K403" s="233" t="s">
        <v>1314</v>
      </c>
      <c r="L403" s="236">
        <f t="shared" si="15"/>
        <v>400599</v>
      </c>
      <c r="N403" s="113" t="s">
        <v>1315</v>
      </c>
      <c r="O403" s="1" t="b">
        <v>1</v>
      </c>
      <c r="Q403" s="34"/>
    </row>
    <row r="404" spans="2:17">
      <c r="B404" s="1" t="str">
        <f t="shared" si="16"/>
        <v>M_MED01_VM_BKT_402</v>
      </c>
      <c r="C404" s="92" t="s">
        <v>727</v>
      </c>
      <c r="D404" s="92" t="str" cm="1">
        <f t="array" ref="D404">INDEX(기계코드!$D$4:$D$1022,MATCH(1,(C404=기계코드!$F$4:$F$1022)*1,0))</f>
        <v>M_MED01</v>
      </c>
      <c r="E404" s="92" t="s">
        <v>1128</v>
      </c>
      <c r="F404" s="92" t="str" cm="1">
        <f t="array" ref="F404">INDEX(공급업체코드!$B$3:$B$1000,MATCH(1,(E404=공급업체코드!$D$3:$D$1000)*1,0))</f>
        <v>VM_BKT</v>
      </c>
      <c r="H404" s="312">
        <v>402</v>
      </c>
      <c r="I404" s="233" t="s">
        <v>1313</v>
      </c>
      <c r="K404" s="233" t="s">
        <v>1314</v>
      </c>
      <c r="L404" s="236">
        <f t="shared" si="15"/>
        <v>401598</v>
      </c>
      <c r="N404" s="113" t="s">
        <v>1315</v>
      </c>
      <c r="O404" s="1" t="b">
        <v>1</v>
      </c>
      <c r="Q404" s="34"/>
    </row>
    <row r="405" spans="2:17">
      <c r="B405" s="1" t="str">
        <f t="shared" si="16"/>
        <v>M_MED01_VM_BKT_403</v>
      </c>
      <c r="C405" s="92" t="s">
        <v>727</v>
      </c>
      <c r="D405" s="92" t="str" cm="1">
        <f t="array" ref="D405">INDEX(기계코드!$D$4:$D$1022,MATCH(1,(C405=기계코드!$F$4:$F$1022)*1,0))</f>
        <v>M_MED01</v>
      </c>
      <c r="E405" s="92" t="s">
        <v>1128</v>
      </c>
      <c r="F405" s="92" t="str" cm="1">
        <f t="array" ref="F405">INDEX(공급업체코드!$B$3:$B$1000,MATCH(1,(E405=공급업체코드!$D$3:$D$1000)*1,0))</f>
        <v>VM_BKT</v>
      </c>
      <c r="H405" s="312">
        <v>403</v>
      </c>
      <c r="I405" s="233" t="s">
        <v>1313</v>
      </c>
      <c r="K405" s="233" t="s">
        <v>1314</v>
      </c>
      <c r="L405" s="236">
        <f t="shared" si="15"/>
        <v>402597</v>
      </c>
      <c r="N405" s="113" t="s">
        <v>1315</v>
      </c>
      <c r="O405" s="1" t="b">
        <v>1</v>
      </c>
      <c r="Q405" s="34"/>
    </row>
    <row r="406" spans="2:17">
      <c r="B406" s="1" t="str">
        <f t="shared" si="16"/>
        <v>M_MED01_VM_BKT_404</v>
      </c>
      <c r="C406" s="92" t="s">
        <v>727</v>
      </c>
      <c r="D406" s="92" t="str" cm="1">
        <f t="array" ref="D406">INDEX(기계코드!$D$4:$D$1022,MATCH(1,(C406=기계코드!$F$4:$F$1022)*1,0))</f>
        <v>M_MED01</v>
      </c>
      <c r="E406" s="92" t="s">
        <v>1128</v>
      </c>
      <c r="F406" s="92" t="str" cm="1">
        <f t="array" ref="F406">INDEX(공급업체코드!$B$3:$B$1000,MATCH(1,(E406=공급업체코드!$D$3:$D$1000)*1,0))</f>
        <v>VM_BKT</v>
      </c>
      <c r="H406" s="312">
        <v>404</v>
      </c>
      <c r="I406" s="233" t="s">
        <v>1313</v>
      </c>
      <c r="K406" s="233" t="s">
        <v>1314</v>
      </c>
      <c r="L406" s="236">
        <f t="shared" si="15"/>
        <v>403596</v>
      </c>
      <c r="N406" s="113" t="s">
        <v>1315</v>
      </c>
      <c r="O406" s="1" t="b">
        <v>1</v>
      </c>
      <c r="Q406" s="34"/>
    </row>
    <row r="407" spans="2:17">
      <c r="B407" s="1" t="str">
        <f t="shared" si="16"/>
        <v>M_MED01_VM_BKT_405</v>
      </c>
      <c r="C407" s="92" t="s">
        <v>727</v>
      </c>
      <c r="D407" s="92" t="str" cm="1">
        <f t="array" ref="D407">INDEX(기계코드!$D$4:$D$1022,MATCH(1,(C407=기계코드!$F$4:$F$1022)*1,0))</f>
        <v>M_MED01</v>
      </c>
      <c r="E407" s="92" t="s">
        <v>1128</v>
      </c>
      <c r="F407" s="92" t="str" cm="1">
        <f t="array" ref="F407">INDEX(공급업체코드!$B$3:$B$1000,MATCH(1,(E407=공급업체코드!$D$3:$D$1000)*1,0))</f>
        <v>VM_BKT</v>
      </c>
      <c r="H407" s="312">
        <v>405</v>
      </c>
      <c r="I407" s="233" t="s">
        <v>1313</v>
      </c>
      <c r="K407" s="233" t="s">
        <v>1314</v>
      </c>
      <c r="L407" s="236">
        <f t="shared" si="15"/>
        <v>404595</v>
      </c>
      <c r="N407" s="113" t="s">
        <v>1315</v>
      </c>
      <c r="O407" s="1" t="b">
        <v>1</v>
      </c>
      <c r="Q407" s="34"/>
    </row>
    <row r="408" spans="2:17">
      <c r="B408" s="1" t="str">
        <f t="shared" si="16"/>
        <v>M_MED01_VM_BKT_406</v>
      </c>
      <c r="C408" s="92" t="s">
        <v>727</v>
      </c>
      <c r="D408" s="92" t="str" cm="1">
        <f t="array" ref="D408">INDEX(기계코드!$D$4:$D$1022,MATCH(1,(C408=기계코드!$F$4:$F$1022)*1,0))</f>
        <v>M_MED01</v>
      </c>
      <c r="E408" s="92" t="s">
        <v>1128</v>
      </c>
      <c r="F408" s="92" t="str" cm="1">
        <f t="array" ref="F408">INDEX(공급업체코드!$B$3:$B$1000,MATCH(1,(E408=공급업체코드!$D$3:$D$1000)*1,0))</f>
        <v>VM_BKT</v>
      </c>
      <c r="H408" s="312">
        <v>406</v>
      </c>
      <c r="I408" s="233" t="s">
        <v>1313</v>
      </c>
      <c r="K408" s="233" t="s">
        <v>1314</v>
      </c>
      <c r="L408" s="236">
        <f t="shared" si="15"/>
        <v>405594</v>
      </c>
      <c r="N408" s="113" t="s">
        <v>1315</v>
      </c>
      <c r="O408" s="1" t="b">
        <v>1</v>
      </c>
      <c r="Q408" s="34"/>
    </row>
    <row r="409" spans="2:17">
      <c r="B409" s="1" t="str">
        <f t="shared" si="16"/>
        <v>M_MED01_VM_BKT_407</v>
      </c>
      <c r="C409" s="92" t="s">
        <v>727</v>
      </c>
      <c r="D409" s="92" t="str" cm="1">
        <f t="array" ref="D409">INDEX(기계코드!$D$4:$D$1022,MATCH(1,(C409=기계코드!$F$4:$F$1022)*1,0))</f>
        <v>M_MED01</v>
      </c>
      <c r="E409" s="92" t="s">
        <v>1128</v>
      </c>
      <c r="F409" s="92" t="str" cm="1">
        <f t="array" ref="F409">INDEX(공급업체코드!$B$3:$B$1000,MATCH(1,(E409=공급업체코드!$D$3:$D$1000)*1,0))</f>
        <v>VM_BKT</v>
      </c>
      <c r="H409" s="312">
        <v>407</v>
      </c>
      <c r="I409" s="233" t="s">
        <v>1313</v>
      </c>
      <c r="K409" s="233" t="s">
        <v>1314</v>
      </c>
      <c r="L409" s="236">
        <f t="shared" si="15"/>
        <v>406593</v>
      </c>
      <c r="N409" s="113" t="s">
        <v>1315</v>
      </c>
      <c r="O409" s="1" t="b">
        <v>1</v>
      </c>
      <c r="Q409" s="34"/>
    </row>
    <row r="410" spans="2:17">
      <c r="B410" s="1" t="str">
        <f t="shared" si="16"/>
        <v>M_MED01_VM_BKT_408</v>
      </c>
      <c r="C410" s="92" t="s">
        <v>727</v>
      </c>
      <c r="D410" s="92" t="str" cm="1">
        <f t="array" ref="D410">INDEX(기계코드!$D$4:$D$1022,MATCH(1,(C410=기계코드!$F$4:$F$1022)*1,0))</f>
        <v>M_MED01</v>
      </c>
      <c r="E410" s="92" t="s">
        <v>1128</v>
      </c>
      <c r="F410" s="92" t="str" cm="1">
        <f t="array" ref="F410">INDEX(공급업체코드!$B$3:$B$1000,MATCH(1,(E410=공급업체코드!$D$3:$D$1000)*1,0))</f>
        <v>VM_BKT</v>
      </c>
      <c r="H410" s="312">
        <v>408</v>
      </c>
      <c r="I410" s="233" t="s">
        <v>1313</v>
      </c>
      <c r="K410" s="233" t="s">
        <v>1314</v>
      </c>
      <c r="L410" s="236">
        <f t="shared" si="15"/>
        <v>407592</v>
      </c>
      <c r="N410" s="113" t="s">
        <v>1315</v>
      </c>
      <c r="O410" s="1" t="b">
        <v>1</v>
      </c>
      <c r="Q410" s="34"/>
    </row>
    <row r="411" spans="2:17">
      <c r="B411" s="1" t="str">
        <f t="shared" si="16"/>
        <v>M_MED01_VM_BKT_409</v>
      </c>
      <c r="C411" s="92" t="s">
        <v>727</v>
      </c>
      <c r="D411" s="92" t="str" cm="1">
        <f t="array" ref="D411">INDEX(기계코드!$D$4:$D$1022,MATCH(1,(C411=기계코드!$F$4:$F$1022)*1,0))</f>
        <v>M_MED01</v>
      </c>
      <c r="E411" s="92" t="s">
        <v>1128</v>
      </c>
      <c r="F411" s="92" t="str" cm="1">
        <f t="array" ref="F411">INDEX(공급업체코드!$B$3:$B$1000,MATCH(1,(E411=공급업체코드!$D$3:$D$1000)*1,0))</f>
        <v>VM_BKT</v>
      </c>
      <c r="H411" s="312">
        <v>409</v>
      </c>
      <c r="I411" s="233" t="s">
        <v>1313</v>
      </c>
      <c r="K411" s="233" t="s">
        <v>1314</v>
      </c>
      <c r="L411" s="236">
        <f t="shared" si="15"/>
        <v>408591</v>
      </c>
      <c r="N411" s="113" t="s">
        <v>1315</v>
      </c>
      <c r="O411" s="1" t="b">
        <v>1</v>
      </c>
      <c r="Q411" s="34"/>
    </row>
    <row r="412" spans="2:17">
      <c r="B412" s="1" t="str">
        <f t="shared" si="16"/>
        <v>M_MED01_VM_BKT_410</v>
      </c>
      <c r="C412" s="92" t="s">
        <v>727</v>
      </c>
      <c r="D412" s="92" t="str" cm="1">
        <f t="array" ref="D412">INDEX(기계코드!$D$4:$D$1022,MATCH(1,(C412=기계코드!$F$4:$F$1022)*1,0))</f>
        <v>M_MED01</v>
      </c>
      <c r="E412" s="92" t="s">
        <v>1128</v>
      </c>
      <c r="F412" s="92" t="str" cm="1">
        <f t="array" ref="F412">INDEX(공급업체코드!$B$3:$B$1000,MATCH(1,(E412=공급업체코드!$D$3:$D$1000)*1,0))</f>
        <v>VM_BKT</v>
      </c>
      <c r="H412" s="312">
        <v>410</v>
      </c>
      <c r="I412" s="233" t="s">
        <v>1313</v>
      </c>
      <c r="K412" s="233" t="s">
        <v>1314</v>
      </c>
      <c r="L412" s="236">
        <f t="shared" si="15"/>
        <v>409590</v>
      </c>
      <c r="N412" s="113" t="s">
        <v>1315</v>
      </c>
      <c r="O412" s="1" t="b">
        <v>1</v>
      </c>
      <c r="Q412" s="34"/>
    </row>
    <row r="413" spans="2:17">
      <c r="B413" s="1" t="str">
        <f t="shared" si="16"/>
        <v>M_MED01_VM_BKT_411</v>
      </c>
      <c r="C413" s="92" t="s">
        <v>727</v>
      </c>
      <c r="D413" s="92" t="str" cm="1">
        <f t="array" ref="D413">INDEX(기계코드!$D$4:$D$1022,MATCH(1,(C413=기계코드!$F$4:$F$1022)*1,0))</f>
        <v>M_MED01</v>
      </c>
      <c r="E413" s="92" t="s">
        <v>1128</v>
      </c>
      <c r="F413" s="92" t="str" cm="1">
        <f t="array" ref="F413">INDEX(공급업체코드!$B$3:$B$1000,MATCH(1,(E413=공급업체코드!$D$3:$D$1000)*1,0))</f>
        <v>VM_BKT</v>
      </c>
      <c r="H413" s="312">
        <v>411</v>
      </c>
      <c r="I413" s="233" t="s">
        <v>1313</v>
      </c>
      <c r="K413" s="233" t="s">
        <v>1314</v>
      </c>
      <c r="L413" s="236">
        <f t="shared" si="15"/>
        <v>410589</v>
      </c>
      <c r="N413" s="113" t="s">
        <v>1315</v>
      </c>
      <c r="O413" s="1" t="b">
        <v>1</v>
      </c>
      <c r="Q413" s="34"/>
    </row>
    <row r="414" spans="2:17">
      <c r="B414" s="1" t="str">
        <f t="shared" si="16"/>
        <v>M_MED01_VM_BKT_412</v>
      </c>
      <c r="C414" s="92" t="s">
        <v>727</v>
      </c>
      <c r="D414" s="92" t="str" cm="1">
        <f t="array" ref="D414">INDEX(기계코드!$D$4:$D$1022,MATCH(1,(C414=기계코드!$F$4:$F$1022)*1,0))</f>
        <v>M_MED01</v>
      </c>
      <c r="E414" s="92" t="s">
        <v>1128</v>
      </c>
      <c r="F414" s="92" t="str" cm="1">
        <f t="array" ref="F414">INDEX(공급업체코드!$B$3:$B$1000,MATCH(1,(E414=공급업체코드!$D$3:$D$1000)*1,0))</f>
        <v>VM_BKT</v>
      </c>
      <c r="H414" s="312">
        <v>412</v>
      </c>
      <c r="I414" s="233" t="s">
        <v>1313</v>
      </c>
      <c r="K414" s="233" t="s">
        <v>1314</v>
      </c>
      <c r="L414" s="236">
        <f t="shared" si="15"/>
        <v>411588</v>
      </c>
      <c r="N414" s="113" t="s">
        <v>1315</v>
      </c>
      <c r="O414" s="1" t="b">
        <v>1</v>
      </c>
      <c r="Q414" s="34"/>
    </row>
    <row r="415" spans="2:17">
      <c r="B415" s="1" t="str">
        <f t="shared" si="16"/>
        <v>M_MED01_VM_BKT_413</v>
      </c>
      <c r="C415" s="92" t="s">
        <v>727</v>
      </c>
      <c r="D415" s="92" t="str" cm="1">
        <f t="array" ref="D415">INDEX(기계코드!$D$4:$D$1022,MATCH(1,(C415=기계코드!$F$4:$F$1022)*1,0))</f>
        <v>M_MED01</v>
      </c>
      <c r="E415" s="92" t="s">
        <v>1128</v>
      </c>
      <c r="F415" s="92" t="str" cm="1">
        <f t="array" ref="F415">INDEX(공급업체코드!$B$3:$B$1000,MATCH(1,(E415=공급업체코드!$D$3:$D$1000)*1,0))</f>
        <v>VM_BKT</v>
      </c>
      <c r="H415" s="312">
        <v>413</v>
      </c>
      <c r="I415" s="233" t="s">
        <v>1313</v>
      </c>
      <c r="K415" s="233" t="s">
        <v>1314</v>
      </c>
      <c r="L415" s="236">
        <f t="shared" si="15"/>
        <v>412587</v>
      </c>
      <c r="N415" s="113" t="s">
        <v>1315</v>
      </c>
      <c r="O415" s="1" t="b">
        <v>1</v>
      </c>
      <c r="Q415" s="34"/>
    </row>
    <row r="416" spans="2:17">
      <c r="B416" s="1" t="str">
        <f t="shared" si="16"/>
        <v>M_MED01_VM_BKT_414</v>
      </c>
      <c r="C416" s="92" t="s">
        <v>727</v>
      </c>
      <c r="D416" s="92" t="str" cm="1">
        <f t="array" ref="D416">INDEX(기계코드!$D$4:$D$1022,MATCH(1,(C416=기계코드!$F$4:$F$1022)*1,0))</f>
        <v>M_MED01</v>
      </c>
      <c r="E416" s="92" t="s">
        <v>1128</v>
      </c>
      <c r="F416" s="92" t="str" cm="1">
        <f t="array" ref="F416">INDEX(공급업체코드!$B$3:$B$1000,MATCH(1,(E416=공급업체코드!$D$3:$D$1000)*1,0))</f>
        <v>VM_BKT</v>
      </c>
      <c r="H416" s="312">
        <v>414</v>
      </c>
      <c r="I416" s="233" t="s">
        <v>1313</v>
      </c>
      <c r="K416" s="233" t="s">
        <v>1314</v>
      </c>
      <c r="L416" s="236">
        <f t="shared" si="15"/>
        <v>413586</v>
      </c>
      <c r="N416" s="113" t="s">
        <v>1315</v>
      </c>
      <c r="O416" s="1" t="b">
        <v>1</v>
      </c>
      <c r="Q416" s="34"/>
    </row>
    <row r="417" spans="2:17">
      <c r="B417" s="1" t="str">
        <f t="shared" si="16"/>
        <v>M_MED01_VM_BKT_415</v>
      </c>
      <c r="C417" s="92" t="s">
        <v>727</v>
      </c>
      <c r="D417" s="92" t="str" cm="1">
        <f t="array" ref="D417">INDEX(기계코드!$D$4:$D$1022,MATCH(1,(C417=기계코드!$F$4:$F$1022)*1,0))</f>
        <v>M_MED01</v>
      </c>
      <c r="E417" s="92" t="s">
        <v>1128</v>
      </c>
      <c r="F417" s="92" t="str" cm="1">
        <f t="array" ref="F417">INDEX(공급업체코드!$B$3:$B$1000,MATCH(1,(E417=공급업체코드!$D$3:$D$1000)*1,0))</f>
        <v>VM_BKT</v>
      </c>
      <c r="H417" s="312">
        <v>415</v>
      </c>
      <c r="I417" s="233" t="s">
        <v>1313</v>
      </c>
      <c r="K417" s="233" t="s">
        <v>1314</v>
      </c>
      <c r="L417" s="236">
        <f t="shared" si="15"/>
        <v>414585</v>
      </c>
      <c r="N417" s="113" t="s">
        <v>1315</v>
      </c>
      <c r="O417" s="1" t="b">
        <v>1</v>
      </c>
      <c r="Q417" s="34"/>
    </row>
    <row r="418" spans="2:17">
      <c r="B418" s="1" t="str">
        <f t="shared" si="16"/>
        <v>M_MED01_VM_BKT_416</v>
      </c>
      <c r="C418" s="92" t="s">
        <v>727</v>
      </c>
      <c r="D418" s="92" t="str" cm="1">
        <f t="array" ref="D418">INDEX(기계코드!$D$4:$D$1022,MATCH(1,(C418=기계코드!$F$4:$F$1022)*1,0))</f>
        <v>M_MED01</v>
      </c>
      <c r="E418" s="92" t="s">
        <v>1128</v>
      </c>
      <c r="F418" s="92" t="str" cm="1">
        <f t="array" ref="F418">INDEX(공급업체코드!$B$3:$B$1000,MATCH(1,(E418=공급업체코드!$D$3:$D$1000)*1,0))</f>
        <v>VM_BKT</v>
      </c>
      <c r="H418" s="312">
        <v>416</v>
      </c>
      <c r="I418" s="233" t="s">
        <v>1313</v>
      </c>
      <c r="K418" s="233" t="s">
        <v>1314</v>
      </c>
      <c r="L418" s="236">
        <f t="shared" si="15"/>
        <v>415584</v>
      </c>
      <c r="N418" s="113" t="s">
        <v>1315</v>
      </c>
      <c r="O418" s="1" t="b">
        <v>1</v>
      </c>
      <c r="Q418" s="34"/>
    </row>
    <row r="419" spans="2:17">
      <c r="B419" s="1" t="str">
        <f t="shared" si="16"/>
        <v>M_MED01_VM_BKT_417</v>
      </c>
      <c r="C419" s="92" t="s">
        <v>727</v>
      </c>
      <c r="D419" s="92" t="str" cm="1">
        <f t="array" ref="D419">INDEX(기계코드!$D$4:$D$1022,MATCH(1,(C419=기계코드!$F$4:$F$1022)*1,0))</f>
        <v>M_MED01</v>
      </c>
      <c r="E419" s="92" t="s">
        <v>1128</v>
      </c>
      <c r="F419" s="92" t="str" cm="1">
        <f t="array" ref="F419">INDEX(공급업체코드!$B$3:$B$1000,MATCH(1,(E419=공급업체코드!$D$3:$D$1000)*1,0))</f>
        <v>VM_BKT</v>
      </c>
      <c r="H419" s="312">
        <v>417</v>
      </c>
      <c r="I419" s="233" t="s">
        <v>1313</v>
      </c>
      <c r="K419" s="233" t="s">
        <v>1314</v>
      </c>
      <c r="L419" s="236">
        <f t="shared" si="15"/>
        <v>416583</v>
      </c>
      <c r="N419" s="113" t="s">
        <v>1315</v>
      </c>
      <c r="O419" s="1" t="b">
        <v>1</v>
      </c>
      <c r="Q419" s="34"/>
    </row>
    <row r="420" spans="2:17">
      <c r="B420" s="1" t="str">
        <f t="shared" si="16"/>
        <v>M_MED01_VM_BKT_418</v>
      </c>
      <c r="C420" s="92" t="s">
        <v>727</v>
      </c>
      <c r="D420" s="92" t="str" cm="1">
        <f t="array" ref="D420">INDEX(기계코드!$D$4:$D$1022,MATCH(1,(C420=기계코드!$F$4:$F$1022)*1,0))</f>
        <v>M_MED01</v>
      </c>
      <c r="E420" s="92" t="s">
        <v>1128</v>
      </c>
      <c r="F420" s="92" t="str" cm="1">
        <f t="array" ref="F420">INDEX(공급업체코드!$B$3:$B$1000,MATCH(1,(E420=공급업체코드!$D$3:$D$1000)*1,0))</f>
        <v>VM_BKT</v>
      </c>
      <c r="H420" s="312">
        <v>418</v>
      </c>
      <c r="I420" s="233" t="s">
        <v>1313</v>
      </c>
      <c r="K420" s="233" t="s">
        <v>1314</v>
      </c>
      <c r="L420" s="236">
        <f t="shared" si="15"/>
        <v>417582</v>
      </c>
      <c r="N420" s="113" t="s">
        <v>1315</v>
      </c>
      <c r="O420" s="1" t="b">
        <v>1</v>
      </c>
      <c r="Q420" s="34"/>
    </row>
    <row r="421" spans="2:17">
      <c r="B421" s="1" t="str">
        <f t="shared" si="16"/>
        <v>M_MED01_VM_BKT_419</v>
      </c>
      <c r="C421" s="92" t="s">
        <v>727</v>
      </c>
      <c r="D421" s="92" t="str" cm="1">
        <f t="array" ref="D421">INDEX(기계코드!$D$4:$D$1022,MATCH(1,(C421=기계코드!$F$4:$F$1022)*1,0))</f>
        <v>M_MED01</v>
      </c>
      <c r="E421" s="92" t="s">
        <v>1128</v>
      </c>
      <c r="F421" s="92" t="str" cm="1">
        <f t="array" ref="F421">INDEX(공급업체코드!$B$3:$B$1000,MATCH(1,(E421=공급업체코드!$D$3:$D$1000)*1,0))</f>
        <v>VM_BKT</v>
      </c>
      <c r="H421" s="312">
        <v>419</v>
      </c>
      <c r="I421" s="233" t="s">
        <v>1313</v>
      </c>
      <c r="K421" s="233" t="s">
        <v>1314</v>
      </c>
      <c r="L421" s="236">
        <f t="shared" si="15"/>
        <v>418581</v>
      </c>
      <c r="N421" s="113" t="s">
        <v>1315</v>
      </c>
      <c r="O421" s="1" t="b">
        <v>1</v>
      </c>
      <c r="Q421" s="34"/>
    </row>
    <row r="422" spans="2:17">
      <c r="B422" s="1" t="str">
        <f t="shared" si="16"/>
        <v>M_MED01_VM_BKT_420</v>
      </c>
      <c r="C422" s="92" t="s">
        <v>727</v>
      </c>
      <c r="D422" s="92" t="str" cm="1">
        <f t="array" ref="D422">INDEX(기계코드!$D$4:$D$1022,MATCH(1,(C422=기계코드!$F$4:$F$1022)*1,0))</f>
        <v>M_MED01</v>
      </c>
      <c r="E422" s="92" t="s">
        <v>1128</v>
      </c>
      <c r="F422" s="92" t="str" cm="1">
        <f t="array" ref="F422">INDEX(공급업체코드!$B$3:$B$1000,MATCH(1,(E422=공급업체코드!$D$3:$D$1000)*1,0))</f>
        <v>VM_BKT</v>
      </c>
      <c r="H422" s="312">
        <v>420</v>
      </c>
      <c r="I422" s="233" t="s">
        <v>1313</v>
      </c>
      <c r="K422" s="233" t="s">
        <v>1314</v>
      </c>
      <c r="L422" s="236">
        <f t="shared" si="15"/>
        <v>419580</v>
      </c>
      <c r="N422" s="113" t="s">
        <v>1315</v>
      </c>
      <c r="O422" s="1" t="b">
        <v>1</v>
      </c>
      <c r="Q422" s="34"/>
    </row>
    <row r="423" spans="2:17">
      <c r="B423" s="1" t="str">
        <f t="shared" si="16"/>
        <v>M_MED01_VM_BKT_421</v>
      </c>
      <c r="C423" s="92" t="s">
        <v>727</v>
      </c>
      <c r="D423" s="92" t="str" cm="1">
        <f t="array" ref="D423">INDEX(기계코드!$D$4:$D$1022,MATCH(1,(C423=기계코드!$F$4:$F$1022)*1,0))</f>
        <v>M_MED01</v>
      </c>
      <c r="E423" s="92" t="s">
        <v>1128</v>
      </c>
      <c r="F423" s="92" t="str" cm="1">
        <f t="array" ref="F423">INDEX(공급업체코드!$B$3:$B$1000,MATCH(1,(E423=공급업체코드!$D$3:$D$1000)*1,0))</f>
        <v>VM_BKT</v>
      </c>
      <c r="H423" s="312">
        <v>421</v>
      </c>
      <c r="I423" s="233" t="s">
        <v>1313</v>
      </c>
      <c r="K423" s="233" t="s">
        <v>1314</v>
      </c>
      <c r="L423" s="236">
        <f t="shared" si="15"/>
        <v>420579</v>
      </c>
      <c r="N423" s="113" t="s">
        <v>1315</v>
      </c>
      <c r="O423" s="1" t="b">
        <v>1</v>
      </c>
      <c r="Q423" s="34"/>
    </row>
    <row r="424" spans="2:17">
      <c r="B424" s="1" t="str">
        <f t="shared" si="16"/>
        <v>M_MED01_VM_BKT_422</v>
      </c>
      <c r="C424" s="92" t="s">
        <v>727</v>
      </c>
      <c r="D424" s="92" t="str" cm="1">
        <f t="array" ref="D424">INDEX(기계코드!$D$4:$D$1022,MATCH(1,(C424=기계코드!$F$4:$F$1022)*1,0))</f>
        <v>M_MED01</v>
      </c>
      <c r="E424" s="92" t="s">
        <v>1128</v>
      </c>
      <c r="F424" s="92" t="str" cm="1">
        <f t="array" ref="F424">INDEX(공급업체코드!$B$3:$B$1000,MATCH(1,(E424=공급업체코드!$D$3:$D$1000)*1,0))</f>
        <v>VM_BKT</v>
      </c>
      <c r="H424" s="312">
        <v>422</v>
      </c>
      <c r="I424" s="233" t="s">
        <v>1313</v>
      </c>
      <c r="K424" s="233" t="s">
        <v>1314</v>
      </c>
      <c r="L424" s="236">
        <f t="shared" si="15"/>
        <v>421578</v>
      </c>
      <c r="N424" s="113" t="s">
        <v>1315</v>
      </c>
      <c r="O424" s="1" t="b">
        <v>1</v>
      </c>
      <c r="Q424" s="34"/>
    </row>
    <row r="425" spans="2:17">
      <c r="B425" s="1" t="str">
        <f t="shared" si="16"/>
        <v>M_MED01_VM_BKT_423</v>
      </c>
      <c r="C425" s="92" t="s">
        <v>727</v>
      </c>
      <c r="D425" s="92" t="str" cm="1">
        <f t="array" ref="D425">INDEX(기계코드!$D$4:$D$1022,MATCH(1,(C425=기계코드!$F$4:$F$1022)*1,0))</f>
        <v>M_MED01</v>
      </c>
      <c r="E425" s="92" t="s">
        <v>1128</v>
      </c>
      <c r="F425" s="92" t="str" cm="1">
        <f t="array" ref="F425">INDEX(공급업체코드!$B$3:$B$1000,MATCH(1,(E425=공급업체코드!$D$3:$D$1000)*1,0))</f>
        <v>VM_BKT</v>
      </c>
      <c r="H425" s="312">
        <v>423</v>
      </c>
      <c r="I425" s="233" t="s">
        <v>1313</v>
      </c>
      <c r="K425" s="233" t="s">
        <v>1314</v>
      </c>
      <c r="L425" s="236">
        <f t="shared" si="15"/>
        <v>422577</v>
      </c>
      <c r="N425" s="113" t="s">
        <v>1315</v>
      </c>
      <c r="O425" s="1" t="b">
        <v>1</v>
      </c>
      <c r="Q425" s="34"/>
    </row>
    <row r="426" spans="2:17">
      <c r="B426" s="1" t="str">
        <f t="shared" si="16"/>
        <v>M_MED01_VM_BKT_424</v>
      </c>
      <c r="C426" s="92" t="s">
        <v>727</v>
      </c>
      <c r="D426" s="92" t="str" cm="1">
        <f t="array" ref="D426">INDEX(기계코드!$D$4:$D$1022,MATCH(1,(C426=기계코드!$F$4:$F$1022)*1,0))</f>
        <v>M_MED01</v>
      </c>
      <c r="E426" s="92" t="s">
        <v>1128</v>
      </c>
      <c r="F426" s="92" t="str" cm="1">
        <f t="array" ref="F426">INDEX(공급업체코드!$B$3:$B$1000,MATCH(1,(E426=공급업체코드!$D$3:$D$1000)*1,0))</f>
        <v>VM_BKT</v>
      </c>
      <c r="H426" s="312">
        <v>424</v>
      </c>
      <c r="I426" s="233" t="s">
        <v>1313</v>
      </c>
      <c r="K426" s="233" t="s">
        <v>1314</v>
      </c>
      <c r="L426" s="236">
        <f t="shared" si="15"/>
        <v>423576</v>
      </c>
      <c r="N426" s="113" t="s">
        <v>1315</v>
      </c>
      <c r="O426" s="1" t="b">
        <v>1</v>
      </c>
      <c r="Q426" s="34"/>
    </row>
    <row r="427" spans="2:17">
      <c r="B427" s="1" t="str">
        <f t="shared" si="16"/>
        <v>M_MED01_VM_BKT_425</v>
      </c>
      <c r="C427" s="92" t="s">
        <v>727</v>
      </c>
      <c r="D427" s="92" t="str" cm="1">
        <f t="array" ref="D427">INDEX(기계코드!$D$4:$D$1022,MATCH(1,(C427=기계코드!$F$4:$F$1022)*1,0))</f>
        <v>M_MED01</v>
      </c>
      <c r="E427" s="92" t="s">
        <v>1128</v>
      </c>
      <c r="F427" s="92" t="str" cm="1">
        <f t="array" ref="F427">INDEX(공급업체코드!$B$3:$B$1000,MATCH(1,(E427=공급업체코드!$D$3:$D$1000)*1,0))</f>
        <v>VM_BKT</v>
      </c>
      <c r="H427" s="312">
        <v>425</v>
      </c>
      <c r="I427" s="233" t="s">
        <v>1313</v>
      </c>
      <c r="K427" s="233" t="s">
        <v>1314</v>
      </c>
      <c r="L427" s="236">
        <f t="shared" si="15"/>
        <v>424575</v>
      </c>
      <c r="N427" s="113" t="s">
        <v>1315</v>
      </c>
      <c r="O427" s="1" t="b">
        <v>1</v>
      </c>
      <c r="Q427" s="34"/>
    </row>
    <row r="428" spans="2:17">
      <c r="B428" s="1" t="str">
        <f t="shared" si="16"/>
        <v>M_MED01_VM_BKT_426</v>
      </c>
      <c r="C428" s="92" t="s">
        <v>727</v>
      </c>
      <c r="D428" s="92" t="str" cm="1">
        <f t="array" ref="D428">INDEX(기계코드!$D$4:$D$1022,MATCH(1,(C428=기계코드!$F$4:$F$1022)*1,0))</f>
        <v>M_MED01</v>
      </c>
      <c r="E428" s="92" t="s">
        <v>1128</v>
      </c>
      <c r="F428" s="92" t="str" cm="1">
        <f t="array" ref="F428">INDEX(공급업체코드!$B$3:$B$1000,MATCH(1,(E428=공급업체코드!$D$3:$D$1000)*1,0))</f>
        <v>VM_BKT</v>
      </c>
      <c r="H428" s="312">
        <v>426</v>
      </c>
      <c r="I428" s="233" t="s">
        <v>1313</v>
      </c>
      <c r="K428" s="233" t="s">
        <v>1314</v>
      </c>
      <c r="L428" s="236">
        <f t="shared" si="15"/>
        <v>425574</v>
      </c>
      <c r="N428" s="113" t="s">
        <v>1315</v>
      </c>
      <c r="O428" s="1" t="b">
        <v>1</v>
      </c>
      <c r="Q428" s="34"/>
    </row>
    <row r="429" spans="2:17">
      <c r="B429" s="1" t="str">
        <f t="shared" si="16"/>
        <v>M_MED01_VM_BKT_427</v>
      </c>
      <c r="C429" s="92" t="s">
        <v>727</v>
      </c>
      <c r="D429" s="92" t="str" cm="1">
        <f t="array" ref="D429">INDEX(기계코드!$D$4:$D$1022,MATCH(1,(C429=기계코드!$F$4:$F$1022)*1,0))</f>
        <v>M_MED01</v>
      </c>
      <c r="E429" s="92" t="s">
        <v>1128</v>
      </c>
      <c r="F429" s="92" t="str" cm="1">
        <f t="array" ref="F429">INDEX(공급업체코드!$B$3:$B$1000,MATCH(1,(E429=공급업체코드!$D$3:$D$1000)*1,0))</f>
        <v>VM_BKT</v>
      </c>
      <c r="H429" s="312">
        <v>427</v>
      </c>
      <c r="I429" s="233" t="s">
        <v>1313</v>
      </c>
      <c r="K429" s="233" t="s">
        <v>1314</v>
      </c>
      <c r="L429" s="236">
        <f t="shared" si="15"/>
        <v>426573</v>
      </c>
      <c r="N429" s="113" t="s">
        <v>1315</v>
      </c>
      <c r="O429" s="1" t="b">
        <v>1</v>
      </c>
      <c r="Q429" s="34"/>
    </row>
    <row r="430" spans="2:17">
      <c r="B430" s="1" t="str">
        <f t="shared" si="16"/>
        <v>M_MED01_VM_BKT_428</v>
      </c>
      <c r="C430" s="92" t="s">
        <v>727</v>
      </c>
      <c r="D430" s="92" t="str" cm="1">
        <f t="array" ref="D430">INDEX(기계코드!$D$4:$D$1022,MATCH(1,(C430=기계코드!$F$4:$F$1022)*1,0))</f>
        <v>M_MED01</v>
      </c>
      <c r="E430" s="92" t="s">
        <v>1128</v>
      </c>
      <c r="F430" s="92" t="str" cm="1">
        <f t="array" ref="F430">INDEX(공급업체코드!$B$3:$B$1000,MATCH(1,(E430=공급업체코드!$D$3:$D$1000)*1,0))</f>
        <v>VM_BKT</v>
      </c>
      <c r="H430" s="312">
        <v>428</v>
      </c>
      <c r="I430" s="233" t="s">
        <v>1313</v>
      </c>
      <c r="K430" s="233" t="s">
        <v>1314</v>
      </c>
      <c r="L430" s="236">
        <f t="shared" si="15"/>
        <v>427572</v>
      </c>
      <c r="N430" s="113" t="s">
        <v>1315</v>
      </c>
      <c r="O430" s="1" t="b">
        <v>1</v>
      </c>
      <c r="Q430" s="34"/>
    </row>
    <row r="431" spans="2:17">
      <c r="B431" s="1" t="str">
        <f t="shared" si="16"/>
        <v>M_MED01_VM_BKT_429</v>
      </c>
      <c r="C431" s="92" t="s">
        <v>727</v>
      </c>
      <c r="D431" s="92" t="str" cm="1">
        <f t="array" ref="D431">INDEX(기계코드!$D$4:$D$1022,MATCH(1,(C431=기계코드!$F$4:$F$1022)*1,0))</f>
        <v>M_MED01</v>
      </c>
      <c r="E431" s="92" t="s">
        <v>1128</v>
      </c>
      <c r="F431" s="92" t="str" cm="1">
        <f t="array" ref="F431">INDEX(공급업체코드!$B$3:$B$1000,MATCH(1,(E431=공급업체코드!$D$3:$D$1000)*1,0))</f>
        <v>VM_BKT</v>
      </c>
      <c r="H431" s="312">
        <v>429</v>
      </c>
      <c r="I431" s="233" t="s">
        <v>1313</v>
      </c>
      <c r="K431" s="233" t="s">
        <v>1314</v>
      </c>
      <c r="L431" s="236">
        <f t="shared" si="15"/>
        <v>428571</v>
      </c>
      <c r="N431" s="113" t="s">
        <v>1315</v>
      </c>
      <c r="O431" s="1" t="b">
        <v>1</v>
      </c>
      <c r="Q431" s="34"/>
    </row>
    <row r="432" spans="2:17">
      <c r="B432" s="1" t="str">
        <f t="shared" si="16"/>
        <v>M_MED01_VM_BKT_430</v>
      </c>
      <c r="C432" s="92" t="s">
        <v>727</v>
      </c>
      <c r="D432" s="92" t="str" cm="1">
        <f t="array" ref="D432">INDEX(기계코드!$D$4:$D$1022,MATCH(1,(C432=기계코드!$F$4:$F$1022)*1,0))</f>
        <v>M_MED01</v>
      </c>
      <c r="E432" s="92" t="s">
        <v>1128</v>
      </c>
      <c r="F432" s="92" t="str" cm="1">
        <f t="array" ref="F432">INDEX(공급업체코드!$B$3:$B$1000,MATCH(1,(E432=공급업체코드!$D$3:$D$1000)*1,0))</f>
        <v>VM_BKT</v>
      </c>
      <c r="H432" s="312">
        <v>430</v>
      </c>
      <c r="I432" s="233" t="s">
        <v>1313</v>
      </c>
      <c r="K432" s="233" t="s">
        <v>1314</v>
      </c>
      <c r="L432" s="236">
        <f t="shared" si="15"/>
        <v>429570</v>
      </c>
      <c r="N432" s="113" t="s">
        <v>1315</v>
      </c>
      <c r="O432" s="1" t="b">
        <v>1</v>
      </c>
      <c r="Q432" s="34"/>
    </row>
    <row r="433" spans="2:17">
      <c r="B433" s="1" t="str">
        <f t="shared" si="16"/>
        <v>M_MED01_VM_BKT_431</v>
      </c>
      <c r="C433" s="92" t="s">
        <v>727</v>
      </c>
      <c r="D433" s="92" t="str" cm="1">
        <f t="array" ref="D433">INDEX(기계코드!$D$4:$D$1022,MATCH(1,(C433=기계코드!$F$4:$F$1022)*1,0))</f>
        <v>M_MED01</v>
      </c>
      <c r="E433" s="92" t="s">
        <v>1128</v>
      </c>
      <c r="F433" s="92" t="str" cm="1">
        <f t="array" ref="F433">INDEX(공급업체코드!$B$3:$B$1000,MATCH(1,(E433=공급업체코드!$D$3:$D$1000)*1,0))</f>
        <v>VM_BKT</v>
      </c>
      <c r="H433" s="312">
        <v>431</v>
      </c>
      <c r="I433" s="233" t="s">
        <v>1313</v>
      </c>
      <c r="K433" s="233" t="s">
        <v>1314</v>
      </c>
      <c r="L433" s="236">
        <f t="shared" si="15"/>
        <v>430569</v>
      </c>
      <c r="N433" s="113" t="s">
        <v>1315</v>
      </c>
      <c r="O433" s="1" t="b">
        <v>1</v>
      </c>
      <c r="Q433" s="34"/>
    </row>
    <row r="434" spans="2:17">
      <c r="B434" s="1" t="str">
        <f t="shared" si="16"/>
        <v>M_MED01_VM_BKT_432</v>
      </c>
      <c r="C434" s="92" t="s">
        <v>727</v>
      </c>
      <c r="D434" s="92" t="str" cm="1">
        <f t="array" ref="D434">INDEX(기계코드!$D$4:$D$1022,MATCH(1,(C434=기계코드!$F$4:$F$1022)*1,0))</f>
        <v>M_MED01</v>
      </c>
      <c r="E434" s="92" t="s">
        <v>1128</v>
      </c>
      <c r="F434" s="92" t="str" cm="1">
        <f t="array" ref="F434">INDEX(공급업체코드!$B$3:$B$1000,MATCH(1,(E434=공급업체코드!$D$3:$D$1000)*1,0))</f>
        <v>VM_BKT</v>
      </c>
      <c r="H434" s="312">
        <v>432</v>
      </c>
      <c r="I434" s="233" t="s">
        <v>1313</v>
      </c>
      <c r="K434" s="233" t="s">
        <v>1314</v>
      </c>
      <c r="L434" s="236">
        <f t="shared" si="15"/>
        <v>431568</v>
      </c>
      <c r="N434" s="113" t="s">
        <v>1315</v>
      </c>
      <c r="O434" s="1" t="b">
        <v>1</v>
      </c>
      <c r="Q434" s="34"/>
    </row>
    <row r="435" spans="2:17">
      <c r="B435" s="1" t="str">
        <f t="shared" si="16"/>
        <v>M_MED01_VM_BKT_433</v>
      </c>
      <c r="C435" s="92" t="s">
        <v>727</v>
      </c>
      <c r="D435" s="92" t="str" cm="1">
        <f t="array" ref="D435">INDEX(기계코드!$D$4:$D$1022,MATCH(1,(C435=기계코드!$F$4:$F$1022)*1,0))</f>
        <v>M_MED01</v>
      </c>
      <c r="E435" s="92" t="s">
        <v>1128</v>
      </c>
      <c r="F435" s="92" t="str" cm="1">
        <f t="array" ref="F435">INDEX(공급업체코드!$B$3:$B$1000,MATCH(1,(E435=공급업체코드!$D$3:$D$1000)*1,0))</f>
        <v>VM_BKT</v>
      </c>
      <c r="H435" s="312">
        <v>433</v>
      </c>
      <c r="I435" s="233" t="s">
        <v>1313</v>
      </c>
      <c r="K435" s="233" t="s">
        <v>1314</v>
      </c>
      <c r="L435" s="236">
        <f t="shared" si="15"/>
        <v>432567</v>
      </c>
      <c r="N435" s="113" t="s">
        <v>1315</v>
      </c>
      <c r="O435" s="1" t="b">
        <v>1</v>
      </c>
      <c r="Q435" s="34"/>
    </row>
    <row r="436" spans="2:17">
      <c r="B436" s="1" t="str">
        <f t="shared" si="16"/>
        <v>M_MED01_VM_BKT_434</v>
      </c>
      <c r="C436" s="92" t="s">
        <v>727</v>
      </c>
      <c r="D436" s="92" t="str" cm="1">
        <f t="array" ref="D436">INDEX(기계코드!$D$4:$D$1022,MATCH(1,(C436=기계코드!$F$4:$F$1022)*1,0))</f>
        <v>M_MED01</v>
      </c>
      <c r="E436" s="92" t="s">
        <v>1128</v>
      </c>
      <c r="F436" s="92" t="str" cm="1">
        <f t="array" ref="F436">INDEX(공급업체코드!$B$3:$B$1000,MATCH(1,(E436=공급업체코드!$D$3:$D$1000)*1,0))</f>
        <v>VM_BKT</v>
      </c>
      <c r="H436" s="312">
        <v>434</v>
      </c>
      <c r="I436" s="233" t="s">
        <v>1313</v>
      </c>
      <c r="K436" s="233" t="s">
        <v>1314</v>
      </c>
      <c r="L436" s="236">
        <f t="shared" si="15"/>
        <v>433566</v>
      </c>
      <c r="N436" s="113" t="s">
        <v>1315</v>
      </c>
      <c r="O436" s="1" t="b">
        <v>1</v>
      </c>
      <c r="Q436" s="34"/>
    </row>
    <row r="437" spans="2:17">
      <c r="B437" s="1" t="str">
        <f t="shared" si="16"/>
        <v>M_MED01_VM_BKT_435</v>
      </c>
      <c r="C437" s="92" t="s">
        <v>727</v>
      </c>
      <c r="D437" s="92" t="str" cm="1">
        <f t="array" ref="D437">INDEX(기계코드!$D$4:$D$1022,MATCH(1,(C437=기계코드!$F$4:$F$1022)*1,0))</f>
        <v>M_MED01</v>
      </c>
      <c r="E437" s="92" t="s">
        <v>1128</v>
      </c>
      <c r="F437" s="92" t="str" cm="1">
        <f t="array" ref="F437">INDEX(공급업체코드!$B$3:$B$1000,MATCH(1,(E437=공급업체코드!$D$3:$D$1000)*1,0))</f>
        <v>VM_BKT</v>
      </c>
      <c r="H437" s="312">
        <v>435</v>
      </c>
      <c r="I437" s="233" t="s">
        <v>1313</v>
      </c>
      <c r="K437" s="233" t="s">
        <v>1314</v>
      </c>
      <c r="L437" s="236">
        <f t="shared" si="15"/>
        <v>434565</v>
      </c>
      <c r="N437" s="113" t="s">
        <v>1315</v>
      </c>
      <c r="O437" s="1" t="b">
        <v>1</v>
      </c>
      <c r="Q437" s="34"/>
    </row>
    <row r="438" spans="2:17">
      <c r="B438" s="1" t="str">
        <f t="shared" si="16"/>
        <v>M_MED01_VM_BKT_436</v>
      </c>
      <c r="C438" s="92" t="s">
        <v>727</v>
      </c>
      <c r="D438" s="92" t="str" cm="1">
        <f t="array" ref="D438">INDEX(기계코드!$D$4:$D$1022,MATCH(1,(C438=기계코드!$F$4:$F$1022)*1,0))</f>
        <v>M_MED01</v>
      </c>
      <c r="E438" s="92" t="s">
        <v>1128</v>
      </c>
      <c r="F438" s="92" t="str" cm="1">
        <f t="array" ref="F438">INDEX(공급업체코드!$B$3:$B$1000,MATCH(1,(E438=공급업체코드!$D$3:$D$1000)*1,0))</f>
        <v>VM_BKT</v>
      </c>
      <c r="H438" s="312">
        <v>436</v>
      </c>
      <c r="I438" s="233" t="s">
        <v>1313</v>
      </c>
      <c r="K438" s="233" t="s">
        <v>1314</v>
      </c>
      <c r="L438" s="236">
        <f t="shared" si="15"/>
        <v>435564</v>
      </c>
      <c r="N438" s="113" t="s">
        <v>1315</v>
      </c>
      <c r="O438" s="1" t="b">
        <v>1</v>
      </c>
      <c r="Q438" s="34"/>
    </row>
    <row r="439" spans="2:17">
      <c r="B439" s="1" t="str">
        <f t="shared" si="16"/>
        <v>M_MED01_VM_BKT_437</v>
      </c>
      <c r="C439" s="92" t="s">
        <v>727</v>
      </c>
      <c r="D439" s="92" t="str" cm="1">
        <f t="array" ref="D439">INDEX(기계코드!$D$4:$D$1022,MATCH(1,(C439=기계코드!$F$4:$F$1022)*1,0))</f>
        <v>M_MED01</v>
      </c>
      <c r="E439" s="92" t="s">
        <v>1128</v>
      </c>
      <c r="F439" s="92" t="str" cm="1">
        <f t="array" ref="F439">INDEX(공급업체코드!$B$3:$B$1000,MATCH(1,(E439=공급업체코드!$D$3:$D$1000)*1,0))</f>
        <v>VM_BKT</v>
      </c>
      <c r="H439" s="312">
        <v>437</v>
      </c>
      <c r="I439" s="233" t="s">
        <v>1313</v>
      </c>
      <c r="K439" s="233" t="s">
        <v>1314</v>
      </c>
      <c r="L439" s="236">
        <f t="shared" si="15"/>
        <v>436563</v>
      </c>
      <c r="N439" s="113" t="s">
        <v>1315</v>
      </c>
      <c r="O439" s="1" t="b">
        <v>1</v>
      </c>
      <c r="Q439" s="34"/>
    </row>
    <row r="440" spans="2:17">
      <c r="B440" s="1" t="str">
        <f t="shared" si="16"/>
        <v>M_MED01_VM_BKT_438</v>
      </c>
      <c r="C440" s="92" t="s">
        <v>727</v>
      </c>
      <c r="D440" s="92" t="str" cm="1">
        <f t="array" ref="D440">INDEX(기계코드!$D$4:$D$1022,MATCH(1,(C440=기계코드!$F$4:$F$1022)*1,0))</f>
        <v>M_MED01</v>
      </c>
      <c r="E440" s="92" t="s">
        <v>1128</v>
      </c>
      <c r="F440" s="92" t="str" cm="1">
        <f t="array" ref="F440">INDEX(공급업체코드!$B$3:$B$1000,MATCH(1,(E440=공급업체코드!$D$3:$D$1000)*1,0))</f>
        <v>VM_BKT</v>
      </c>
      <c r="H440" s="312">
        <v>438</v>
      </c>
      <c r="I440" s="233" t="s">
        <v>1313</v>
      </c>
      <c r="K440" s="233" t="s">
        <v>1314</v>
      </c>
      <c r="L440" s="236">
        <f t="shared" si="15"/>
        <v>437562</v>
      </c>
      <c r="N440" s="113" t="s">
        <v>1315</v>
      </c>
      <c r="O440" s="1" t="b">
        <v>1</v>
      </c>
      <c r="Q440" s="34"/>
    </row>
    <row r="441" spans="2:17">
      <c r="B441" s="1" t="str">
        <f t="shared" si="16"/>
        <v>M_MED01_VM_BKT_439</v>
      </c>
      <c r="C441" s="92" t="s">
        <v>727</v>
      </c>
      <c r="D441" s="92" t="str" cm="1">
        <f t="array" ref="D441">INDEX(기계코드!$D$4:$D$1022,MATCH(1,(C441=기계코드!$F$4:$F$1022)*1,0))</f>
        <v>M_MED01</v>
      </c>
      <c r="E441" s="92" t="s">
        <v>1128</v>
      </c>
      <c r="F441" s="92" t="str" cm="1">
        <f t="array" ref="F441">INDEX(공급업체코드!$B$3:$B$1000,MATCH(1,(E441=공급업체코드!$D$3:$D$1000)*1,0))</f>
        <v>VM_BKT</v>
      </c>
      <c r="H441" s="312">
        <v>439</v>
      </c>
      <c r="I441" s="233" t="s">
        <v>1313</v>
      </c>
      <c r="K441" s="233" t="s">
        <v>1314</v>
      </c>
      <c r="L441" s="236">
        <f t="shared" si="15"/>
        <v>438561</v>
      </c>
      <c r="N441" s="113" t="s">
        <v>1315</v>
      </c>
      <c r="O441" s="1" t="b">
        <v>1</v>
      </c>
      <c r="Q441" s="34"/>
    </row>
    <row r="442" spans="2:17">
      <c r="B442" s="1" t="str">
        <f t="shared" si="16"/>
        <v>M_MED01_VM_BKT_440</v>
      </c>
      <c r="C442" s="92" t="s">
        <v>727</v>
      </c>
      <c r="D442" s="92" t="str" cm="1">
        <f t="array" ref="D442">INDEX(기계코드!$D$4:$D$1022,MATCH(1,(C442=기계코드!$F$4:$F$1022)*1,0))</f>
        <v>M_MED01</v>
      </c>
      <c r="E442" s="92" t="s">
        <v>1128</v>
      </c>
      <c r="F442" s="92" t="str" cm="1">
        <f t="array" ref="F442">INDEX(공급업체코드!$B$3:$B$1000,MATCH(1,(E442=공급업체코드!$D$3:$D$1000)*1,0))</f>
        <v>VM_BKT</v>
      </c>
      <c r="H442" s="312">
        <v>440</v>
      </c>
      <c r="I442" s="233" t="s">
        <v>1313</v>
      </c>
      <c r="K442" s="233" t="s">
        <v>1314</v>
      </c>
      <c r="L442" s="236">
        <f t="shared" si="15"/>
        <v>439560</v>
      </c>
      <c r="N442" s="113" t="s">
        <v>1315</v>
      </c>
      <c r="O442" s="1" t="b">
        <v>1</v>
      </c>
      <c r="Q442" s="34"/>
    </row>
    <row r="443" spans="2:17">
      <c r="B443" s="1" t="str">
        <f t="shared" si="16"/>
        <v>M_MED01_VM_BKT_441</v>
      </c>
      <c r="C443" s="92" t="s">
        <v>727</v>
      </c>
      <c r="D443" s="92" t="str" cm="1">
        <f t="array" ref="D443">INDEX(기계코드!$D$4:$D$1022,MATCH(1,(C443=기계코드!$F$4:$F$1022)*1,0))</f>
        <v>M_MED01</v>
      </c>
      <c r="E443" s="92" t="s">
        <v>1128</v>
      </c>
      <c r="F443" s="92" t="str" cm="1">
        <f t="array" ref="F443">INDEX(공급업체코드!$B$3:$B$1000,MATCH(1,(E443=공급업체코드!$D$3:$D$1000)*1,0))</f>
        <v>VM_BKT</v>
      </c>
      <c r="H443" s="312">
        <v>441</v>
      </c>
      <c r="I443" s="233" t="s">
        <v>1313</v>
      </c>
      <c r="K443" s="233" t="s">
        <v>1314</v>
      </c>
      <c r="L443" s="236">
        <f t="shared" si="15"/>
        <v>440559</v>
      </c>
      <c r="N443" s="113" t="s">
        <v>1315</v>
      </c>
      <c r="O443" s="1" t="b">
        <v>1</v>
      </c>
      <c r="Q443" s="34"/>
    </row>
    <row r="444" spans="2:17">
      <c r="B444" s="1" t="str">
        <f t="shared" si="16"/>
        <v>M_MED01_VM_BKT_442</v>
      </c>
      <c r="C444" s="92" t="s">
        <v>727</v>
      </c>
      <c r="D444" s="92" t="str" cm="1">
        <f t="array" ref="D444">INDEX(기계코드!$D$4:$D$1022,MATCH(1,(C444=기계코드!$F$4:$F$1022)*1,0))</f>
        <v>M_MED01</v>
      </c>
      <c r="E444" s="92" t="s">
        <v>1128</v>
      </c>
      <c r="F444" s="92" t="str" cm="1">
        <f t="array" ref="F444">INDEX(공급업체코드!$B$3:$B$1000,MATCH(1,(E444=공급업체코드!$D$3:$D$1000)*1,0))</f>
        <v>VM_BKT</v>
      </c>
      <c r="H444" s="312">
        <v>442</v>
      </c>
      <c r="I444" s="233" t="s">
        <v>1313</v>
      </c>
      <c r="K444" s="233" t="s">
        <v>1314</v>
      </c>
      <c r="L444" s="236">
        <f t="shared" si="15"/>
        <v>441558</v>
      </c>
      <c r="N444" s="113" t="s">
        <v>1315</v>
      </c>
      <c r="O444" s="1" t="b">
        <v>1</v>
      </c>
      <c r="Q444" s="34"/>
    </row>
    <row r="445" spans="2:17">
      <c r="B445" s="1" t="str">
        <f t="shared" si="16"/>
        <v>M_MED01_VM_BKT_443</v>
      </c>
      <c r="C445" s="92" t="s">
        <v>727</v>
      </c>
      <c r="D445" s="92" t="str" cm="1">
        <f t="array" ref="D445">INDEX(기계코드!$D$4:$D$1022,MATCH(1,(C445=기계코드!$F$4:$F$1022)*1,0))</f>
        <v>M_MED01</v>
      </c>
      <c r="E445" s="92" t="s">
        <v>1128</v>
      </c>
      <c r="F445" s="92" t="str" cm="1">
        <f t="array" ref="F445">INDEX(공급업체코드!$B$3:$B$1000,MATCH(1,(E445=공급업체코드!$D$3:$D$1000)*1,0))</f>
        <v>VM_BKT</v>
      </c>
      <c r="H445" s="312">
        <v>443</v>
      </c>
      <c r="I445" s="233" t="s">
        <v>1313</v>
      </c>
      <c r="K445" s="233" t="s">
        <v>1314</v>
      </c>
      <c r="L445" s="236">
        <f t="shared" si="15"/>
        <v>442557</v>
      </c>
      <c r="N445" s="113" t="s">
        <v>1315</v>
      </c>
      <c r="O445" s="1" t="b">
        <v>1</v>
      </c>
      <c r="Q445" s="34"/>
    </row>
    <row r="446" spans="2:17">
      <c r="B446" s="1" t="str">
        <f t="shared" si="16"/>
        <v>M_MED01_VM_BKT_444</v>
      </c>
      <c r="C446" s="92" t="s">
        <v>727</v>
      </c>
      <c r="D446" s="92" t="str" cm="1">
        <f t="array" ref="D446">INDEX(기계코드!$D$4:$D$1022,MATCH(1,(C446=기계코드!$F$4:$F$1022)*1,0))</f>
        <v>M_MED01</v>
      </c>
      <c r="E446" s="92" t="s">
        <v>1128</v>
      </c>
      <c r="F446" s="92" t="str" cm="1">
        <f t="array" ref="F446">INDEX(공급업체코드!$B$3:$B$1000,MATCH(1,(E446=공급업체코드!$D$3:$D$1000)*1,0))</f>
        <v>VM_BKT</v>
      </c>
      <c r="H446" s="312">
        <v>444</v>
      </c>
      <c r="I446" s="233" t="s">
        <v>1313</v>
      </c>
      <c r="K446" s="233" t="s">
        <v>1314</v>
      </c>
      <c r="L446" s="236">
        <f t="shared" si="15"/>
        <v>443556</v>
      </c>
      <c r="N446" s="113" t="s">
        <v>1315</v>
      </c>
      <c r="O446" s="1" t="b">
        <v>1</v>
      </c>
      <c r="Q446" s="34"/>
    </row>
    <row r="447" spans="2:17">
      <c r="B447" s="1" t="str">
        <f t="shared" si="16"/>
        <v>M_MED01_VM_BKT_445</v>
      </c>
      <c r="C447" s="92" t="s">
        <v>727</v>
      </c>
      <c r="D447" s="92" t="str" cm="1">
        <f t="array" ref="D447">INDEX(기계코드!$D$4:$D$1022,MATCH(1,(C447=기계코드!$F$4:$F$1022)*1,0))</f>
        <v>M_MED01</v>
      </c>
      <c r="E447" s="92" t="s">
        <v>1128</v>
      </c>
      <c r="F447" s="92" t="str" cm="1">
        <f t="array" ref="F447">INDEX(공급업체코드!$B$3:$B$1000,MATCH(1,(E447=공급업체코드!$D$3:$D$1000)*1,0))</f>
        <v>VM_BKT</v>
      </c>
      <c r="H447" s="312">
        <v>445</v>
      </c>
      <c r="I447" s="233" t="s">
        <v>1313</v>
      </c>
      <c r="K447" s="233" t="s">
        <v>1314</v>
      </c>
      <c r="L447" s="236">
        <f t="shared" si="15"/>
        <v>444555</v>
      </c>
      <c r="N447" s="113" t="s">
        <v>1315</v>
      </c>
      <c r="O447" s="1" t="b">
        <v>1</v>
      </c>
      <c r="Q447" s="34"/>
    </row>
    <row r="448" spans="2:17">
      <c r="B448" s="1" t="str">
        <f t="shared" si="16"/>
        <v>M_MED01_VM_BKT_446</v>
      </c>
      <c r="C448" s="92" t="s">
        <v>727</v>
      </c>
      <c r="D448" s="92" t="str" cm="1">
        <f t="array" ref="D448">INDEX(기계코드!$D$4:$D$1022,MATCH(1,(C448=기계코드!$F$4:$F$1022)*1,0))</f>
        <v>M_MED01</v>
      </c>
      <c r="E448" s="92" t="s">
        <v>1128</v>
      </c>
      <c r="F448" s="92" t="str" cm="1">
        <f t="array" ref="F448">INDEX(공급업체코드!$B$3:$B$1000,MATCH(1,(E448=공급업체코드!$D$3:$D$1000)*1,0))</f>
        <v>VM_BKT</v>
      </c>
      <c r="H448" s="312">
        <v>446</v>
      </c>
      <c r="I448" s="233" t="s">
        <v>1313</v>
      </c>
      <c r="K448" s="233" t="s">
        <v>1314</v>
      </c>
      <c r="L448" s="236">
        <f t="shared" si="15"/>
        <v>445554</v>
      </c>
      <c r="N448" s="113" t="s">
        <v>1315</v>
      </c>
      <c r="O448" s="1" t="b">
        <v>1</v>
      </c>
      <c r="Q448" s="34"/>
    </row>
    <row r="449" spans="2:17">
      <c r="B449" s="1" t="str">
        <f t="shared" si="16"/>
        <v>M_MED01_VM_BKT_447</v>
      </c>
      <c r="C449" s="92" t="s">
        <v>727</v>
      </c>
      <c r="D449" s="92" t="str" cm="1">
        <f t="array" ref="D449">INDEX(기계코드!$D$4:$D$1022,MATCH(1,(C449=기계코드!$F$4:$F$1022)*1,0))</f>
        <v>M_MED01</v>
      </c>
      <c r="E449" s="92" t="s">
        <v>1128</v>
      </c>
      <c r="F449" s="92" t="str" cm="1">
        <f t="array" ref="F449">INDEX(공급업체코드!$B$3:$B$1000,MATCH(1,(E449=공급업체코드!$D$3:$D$1000)*1,0))</f>
        <v>VM_BKT</v>
      </c>
      <c r="H449" s="312">
        <v>447</v>
      </c>
      <c r="I449" s="233" t="s">
        <v>1313</v>
      </c>
      <c r="K449" s="233" t="s">
        <v>1314</v>
      </c>
      <c r="L449" s="236">
        <f t="shared" si="15"/>
        <v>446553</v>
      </c>
      <c r="N449" s="113" t="s">
        <v>1315</v>
      </c>
      <c r="O449" s="1" t="b">
        <v>1</v>
      </c>
      <c r="Q449" s="34"/>
    </row>
    <row r="450" spans="2:17">
      <c r="B450" s="1" t="str">
        <f t="shared" si="16"/>
        <v>M_MED01_VM_BKT_448</v>
      </c>
      <c r="C450" s="92" t="s">
        <v>727</v>
      </c>
      <c r="D450" s="92" t="str" cm="1">
        <f t="array" ref="D450">INDEX(기계코드!$D$4:$D$1022,MATCH(1,(C450=기계코드!$F$4:$F$1022)*1,0))</f>
        <v>M_MED01</v>
      </c>
      <c r="E450" s="92" t="s">
        <v>1128</v>
      </c>
      <c r="F450" s="92" t="str" cm="1">
        <f t="array" ref="F450">INDEX(공급업체코드!$B$3:$B$1000,MATCH(1,(E450=공급업체코드!$D$3:$D$1000)*1,0))</f>
        <v>VM_BKT</v>
      </c>
      <c r="H450" s="312">
        <v>448</v>
      </c>
      <c r="I450" s="233" t="s">
        <v>1313</v>
      </c>
      <c r="K450" s="233" t="s">
        <v>1314</v>
      </c>
      <c r="L450" s="236">
        <f t="shared" si="15"/>
        <v>447552</v>
      </c>
      <c r="N450" s="113" t="s">
        <v>1315</v>
      </c>
      <c r="O450" s="1" t="b">
        <v>1</v>
      </c>
      <c r="Q450" s="34"/>
    </row>
    <row r="451" spans="2:17">
      <c r="B451" s="1" t="str">
        <f t="shared" si="16"/>
        <v>M_MED01_VM_BKT_449</v>
      </c>
      <c r="C451" s="92" t="s">
        <v>727</v>
      </c>
      <c r="D451" s="92" t="str" cm="1">
        <f t="array" ref="D451">INDEX(기계코드!$D$4:$D$1022,MATCH(1,(C451=기계코드!$F$4:$F$1022)*1,0))</f>
        <v>M_MED01</v>
      </c>
      <c r="E451" s="92" t="s">
        <v>1128</v>
      </c>
      <c r="F451" s="92" t="str" cm="1">
        <f t="array" ref="F451">INDEX(공급업체코드!$B$3:$B$1000,MATCH(1,(E451=공급업체코드!$D$3:$D$1000)*1,0))</f>
        <v>VM_BKT</v>
      </c>
      <c r="H451" s="312">
        <v>449</v>
      </c>
      <c r="I451" s="233" t="s">
        <v>1313</v>
      </c>
      <c r="K451" s="233" t="s">
        <v>1314</v>
      </c>
      <c r="L451" s="236">
        <f t="shared" si="15"/>
        <v>448551</v>
      </c>
      <c r="N451" s="113" t="s">
        <v>1315</v>
      </c>
      <c r="O451" s="1" t="b">
        <v>1</v>
      </c>
      <c r="Q451" s="34"/>
    </row>
    <row r="452" spans="2:17">
      <c r="B452" s="1" t="str">
        <f t="shared" si="16"/>
        <v>M_MED01_VM_BKT_450</v>
      </c>
      <c r="C452" s="92" t="s">
        <v>727</v>
      </c>
      <c r="D452" s="92" t="str" cm="1">
        <f t="array" ref="D452">INDEX(기계코드!$D$4:$D$1022,MATCH(1,(C452=기계코드!$F$4:$F$1022)*1,0))</f>
        <v>M_MED01</v>
      </c>
      <c r="E452" s="92" t="s">
        <v>1128</v>
      </c>
      <c r="F452" s="92" t="str" cm="1">
        <f t="array" ref="F452">INDEX(공급업체코드!$B$3:$B$1000,MATCH(1,(E452=공급업체코드!$D$3:$D$1000)*1,0))</f>
        <v>VM_BKT</v>
      </c>
      <c r="H452" s="312">
        <v>450</v>
      </c>
      <c r="I452" s="233" t="s">
        <v>1313</v>
      </c>
      <c r="K452" s="233" t="s">
        <v>1314</v>
      </c>
      <c r="L452" s="236">
        <f t="shared" si="15"/>
        <v>449550</v>
      </c>
      <c r="N452" s="113" t="s">
        <v>1315</v>
      </c>
      <c r="O452" s="1" t="b">
        <v>1</v>
      </c>
      <c r="Q452" s="34"/>
    </row>
    <row r="453" spans="2:17">
      <c r="B453" s="1" t="str">
        <f t="shared" si="16"/>
        <v>M_MED01_VM_BKT_451</v>
      </c>
      <c r="C453" s="92" t="s">
        <v>727</v>
      </c>
      <c r="D453" s="92" t="str" cm="1">
        <f t="array" ref="D453">INDEX(기계코드!$D$4:$D$1022,MATCH(1,(C453=기계코드!$F$4:$F$1022)*1,0))</f>
        <v>M_MED01</v>
      </c>
      <c r="E453" s="92" t="s">
        <v>1128</v>
      </c>
      <c r="F453" s="92" t="str" cm="1">
        <f t="array" ref="F453">INDEX(공급업체코드!$B$3:$B$1000,MATCH(1,(E453=공급업체코드!$D$3:$D$1000)*1,0))</f>
        <v>VM_BKT</v>
      </c>
      <c r="H453" s="312">
        <v>451</v>
      </c>
      <c r="I453" s="233" t="s">
        <v>1313</v>
      </c>
      <c r="K453" s="233" t="s">
        <v>1314</v>
      </c>
      <c r="L453" s="236">
        <f t="shared" ref="L453:L516" si="17">$L$3*H453</f>
        <v>450549</v>
      </c>
      <c r="N453" s="113" t="s">
        <v>1315</v>
      </c>
      <c r="O453" s="1" t="b">
        <v>1</v>
      </c>
      <c r="Q453" s="34"/>
    </row>
    <row r="454" spans="2:17">
      <c r="B454" s="1" t="str">
        <f t="shared" si="16"/>
        <v>M_MED01_VM_BKT_452</v>
      </c>
      <c r="C454" s="92" t="s">
        <v>727</v>
      </c>
      <c r="D454" s="92" t="str" cm="1">
        <f t="array" ref="D454">INDEX(기계코드!$D$4:$D$1022,MATCH(1,(C454=기계코드!$F$4:$F$1022)*1,0))</f>
        <v>M_MED01</v>
      </c>
      <c r="E454" s="92" t="s">
        <v>1128</v>
      </c>
      <c r="F454" s="92" t="str" cm="1">
        <f t="array" ref="F454">INDEX(공급업체코드!$B$3:$B$1000,MATCH(1,(E454=공급업체코드!$D$3:$D$1000)*1,0))</f>
        <v>VM_BKT</v>
      </c>
      <c r="H454" s="312">
        <v>452</v>
      </c>
      <c r="I454" s="233" t="s">
        <v>1313</v>
      </c>
      <c r="K454" s="233" t="s">
        <v>1314</v>
      </c>
      <c r="L454" s="236">
        <f t="shared" si="17"/>
        <v>451548</v>
      </c>
      <c r="N454" s="113" t="s">
        <v>1315</v>
      </c>
      <c r="O454" s="1" t="b">
        <v>1</v>
      </c>
      <c r="Q454" s="34"/>
    </row>
    <row r="455" spans="2:17">
      <c r="B455" s="1" t="str">
        <f t="shared" ref="B455:B518" si="18">D455&amp;"_"&amp;F455&amp;"_"&amp;H455</f>
        <v>M_MED01_VM_BKT_453</v>
      </c>
      <c r="C455" s="92" t="s">
        <v>727</v>
      </c>
      <c r="D455" s="92" t="str" cm="1">
        <f t="array" ref="D455">INDEX(기계코드!$D$4:$D$1022,MATCH(1,(C455=기계코드!$F$4:$F$1022)*1,0))</f>
        <v>M_MED01</v>
      </c>
      <c r="E455" s="92" t="s">
        <v>1128</v>
      </c>
      <c r="F455" s="92" t="str" cm="1">
        <f t="array" ref="F455">INDEX(공급업체코드!$B$3:$B$1000,MATCH(1,(E455=공급업체코드!$D$3:$D$1000)*1,0))</f>
        <v>VM_BKT</v>
      </c>
      <c r="H455" s="312">
        <v>453</v>
      </c>
      <c r="I455" s="233" t="s">
        <v>1313</v>
      </c>
      <c r="K455" s="233" t="s">
        <v>1314</v>
      </c>
      <c r="L455" s="236">
        <f t="shared" si="17"/>
        <v>452547</v>
      </c>
      <c r="N455" s="113" t="s">
        <v>1315</v>
      </c>
      <c r="O455" s="1" t="b">
        <v>1</v>
      </c>
      <c r="Q455" s="34"/>
    </row>
    <row r="456" spans="2:17">
      <c r="B456" s="1" t="str">
        <f t="shared" si="18"/>
        <v>M_MED01_VM_BKT_454</v>
      </c>
      <c r="C456" s="92" t="s">
        <v>727</v>
      </c>
      <c r="D456" s="92" t="str" cm="1">
        <f t="array" ref="D456">INDEX(기계코드!$D$4:$D$1022,MATCH(1,(C456=기계코드!$F$4:$F$1022)*1,0))</f>
        <v>M_MED01</v>
      </c>
      <c r="E456" s="92" t="s">
        <v>1128</v>
      </c>
      <c r="F456" s="92" t="str" cm="1">
        <f t="array" ref="F456">INDEX(공급업체코드!$B$3:$B$1000,MATCH(1,(E456=공급업체코드!$D$3:$D$1000)*1,0))</f>
        <v>VM_BKT</v>
      </c>
      <c r="H456" s="312">
        <v>454</v>
      </c>
      <c r="I456" s="233" t="s">
        <v>1313</v>
      </c>
      <c r="K456" s="233" t="s">
        <v>1314</v>
      </c>
      <c r="L456" s="236">
        <f t="shared" si="17"/>
        <v>453546</v>
      </c>
      <c r="N456" s="113" t="s">
        <v>1315</v>
      </c>
      <c r="O456" s="1" t="b">
        <v>1</v>
      </c>
      <c r="Q456" s="34"/>
    </row>
    <row r="457" spans="2:17">
      <c r="B457" s="1" t="str">
        <f t="shared" si="18"/>
        <v>M_MED01_VM_BKT_455</v>
      </c>
      <c r="C457" s="92" t="s">
        <v>727</v>
      </c>
      <c r="D457" s="92" t="str" cm="1">
        <f t="array" ref="D457">INDEX(기계코드!$D$4:$D$1022,MATCH(1,(C457=기계코드!$F$4:$F$1022)*1,0))</f>
        <v>M_MED01</v>
      </c>
      <c r="E457" s="92" t="s">
        <v>1128</v>
      </c>
      <c r="F457" s="92" t="str" cm="1">
        <f t="array" ref="F457">INDEX(공급업체코드!$B$3:$B$1000,MATCH(1,(E457=공급업체코드!$D$3:$D$1000)*1,0))</f>
        <v>VM_BKT</v>
      </c>
      <c r="H457" s="312">
        <v>455</v>
      </c>
      <c r="I457" s="233" t="s">
        <v>1313</v>
      </c>
      <c r="K457" s="233" t="s">
        <v>1314</v>
      </c>
      <c r="L457" s="236">
        <f t="shared" si="17"/>
        <v>454545</v>
      </c>
      <c r="N457" s="113" t="s">
        <v>1315</v>
      </c>
      <c r="O457" s="1" t="b">
        <v>1</v>
      </c>
      <c r="Q457" s="34"/>
    </row>
    <row r="458" spans="2:17">
      <c r="B458" s="1" t="str">
        <f t="shared" si="18"/>
        <v>M_MED01_VM_BKT_456</v>
      </c>
      <c r="C458" s="92" t="s">
        <v>727</v>
      </c>
      <c r="D458" s="92" t="str" cm="1">
        <f t="array" ref="D458">INDEX(기계코드!$D$4:$D$1022,MATCH(1,(C458=기계코드!$F$4:$F$1022)*1,0))</f>
        <v>M_MED01</v>
      </c>
      <c r="E458" s="92" t="s">
        <v>1128</v>
      </c>
      <c r="F458" s="92" t="str" cm="1">
        <f t="array" ref="F458">INDEX(공급업체코드!$B$3:$B$1000,MATCH(1,(E458=공급업체코드!$D$3:$D$1000)*1,0))</f>
        <v>VM_BKT</v>
      </c>
      <c r="H458" s="312">
        <v>456</v>
      </c>
      <c r="I458" s="233" t="s">
        <v>1313</v>
      </c>
      <c r="K458" s="233" t="s">
        <v>1314</v>
      </c>
      <c r="L458" s="236">
        <f t="shared" si="17"/>
        <v>455544</v>
      </c>
      <c r="N458" s="113" t="s">
        <v>1315</v>
      </c>
      <c r="O458" s="1" t="b">
        <v>1</v>
      </c>
      <c r="Q458" s="34"/>
    </row>
    <row r="459" spans="2:17">
      <c r="B459" s="1" t="str">
        <f t="shared" si="18"/>
        <v>M_MED01_VM_BKT_457</v>
      </c>
      <c r="C459" s="92" t="s">
        <v>727</v>
      </c>
      <c r="D459" s="92" t="str" cm="1">
        <f t="array" ref="D459">INDEX(기계코드!$D$4:$D$1022,MATCH(1,(C459=기계코드!$F$4:$F$1022)*1,0))</f>
        <v>M_MED01</v>
      </c>
      <c r="E459" s="92" t="s">
        <v>1128</v>
      </c>
      <c r="F459" s="92" t="str" cm="1">
        <f t="array" ref="F459">INDEX(공급업체코드!$B$3:$B$1000,MATCH(1,(E459=공급업체코드!$D$3:$D$1000)*1,0))</f>
        <v>VM_BKT</v>
      </c>
      <c r="H459" s="312">
        <v>457</v>
      </c>
      <c r="I459" s="233" t="s">
        <v>1313</v>
      </c>
      <c r="K459" s="233" t="s">
        <v>1314</v>
      </c>
      <c r="L459" s="236">
        <f t="shared" si="17"/>
        <v>456543</v>
      </c>
      <c r="N459" s="113" t="s">
        <v>1315</v>
      </c>
      <c r="O459" s="1" t="b">
        <v>1</v>
      </c>
      <c r="Q459" s="34"/>
    </row>
    <row r="460" spans="2:17">
      <c r="B460" s="1" t="str">
        <f t="shared" si="18"/>
        <v>M_MED01_VM_BKT_458</v>
      </c>
      <c r="C460" s="92" t="s">
        <v>727</v>
      </c>
      <c r="D460" s="92" t="str" cm="1">
        <f t="array" ref="D460">INDEX(기계코드!$D$4:$D$1022,MATCH(1,(C460=기계코드!$F$4:$F$1022)*1,0))</f>
        <v>M_MED01</v>
      </c>
      <c r="E460" s="92" t="s">
        <v>1128</v>
      </c>
      <c r="F460" s="92" t="str" cm="1">
        <f t="array" ref="F460">INDEX(공급업체코드!$B$3:$B$1000,MATCH(1,(E460=공급업체코드!$D$3:$D$1000)*1,0))</f>
        <v>VM_BKT</v>
      </c>
      <c r="H460" s="312">
        <v>458</v>
      </c>
      <c r="I460" s="233" t="s">
        <v>1313</v>
      </c>
      <c r="K460" s="233" t="s">
        <v>1314</v>
      </c>
      <c r="L460" s="236">
        <f t="shared" si="17"/>
        <v>457542</v>
      </c>
      <c r="N460" s="113" t="s">
        <v>1315</v>
      </c>
      <c r="O460" s="1" t="b">
        <v>1</v>
      </c>
      <c r="Q460" s="34"/>
    </row>
    <row r="461" spans="2:17">
      <c r="B461" s="1" t="str">
        <f t="shared" si="18"/>
        <v>M_MED01_VM_BKT_459</v>
      </c>
      <c r="C461" s="92" t="s">
        <v>727</v>
      </c>
      <c r="D461" s="92" t="str" cm="1">
        <f t="array" ref="D461">INDEX(기계코드!$D$4:$D$1022,MATCH(1,(C461=기계코드!$F$4:$F$1022)*1,0))</f>
        <v>M_MED01</v>
      </c>
      <c r="E461" s="92" t="s">
        <v>1128</v>
      </c>
      <c r="F461" s="92" t="str" cm="1">
        <f t="array" ref="F461">INDEX(공급업체코드!$B$3:$B$1000,MATCH(1,(E461=공급업체코드!$D$3:$D$1000)*1,0))</f>
        <v>VM_BKT</v>
      </c>
      <c r="H461" s="312">
        <v>459</v>
      </c>
      <c r="I461" s="233" t="s">
        <v>1313</v>
      </c>
      <c r="K461" s="233" t="s">
        <v>1314</v>
      </c>
      <c r="L461" s="236">
        <f t="shared" si="17"/>
        <v>458541</v>
      </c>
      <c r="N461" s="113" t="s">
        <v>1315</v>
      </c>
      <c r="O461" s="1" t="b">
        <v>1</v>
      </c>
      <c r="Q461" s="34"/>
    </row>
    <row r="462" spans="2:17">
      <c r="B462" s="1" t="str">
        <f t="shared" si="18"/>
        <v>M_MED01_VM_BKT_460</v>
      </c>
      <c r="C462" s="92" t="s">
        <v>727</v>
      </c>
      <c r="D462" s="92" t="str" cm="1">
        <f t="array" ref="D462">INDEX(기계코드!$D$4:$D$1022,MATCH(1,(C462=기계코드!$F$4:$F$1022)*1,0))</f>
        <v>M_MED01</v>
      </c>
      <c r="E462" s="92" t="s">
        <v>1128</v>
      </c>
      <c r="F462" s="92" t="str" cm="1">
        <f t="array" ref="F462">INDEX(공급업체코드!$B$3:$B$1000,MATCH(1,(E462=공급업체코드!$D$3:$D$1000)*1,0))</f>
        <v>VM_BKT</v>
      </c>
      <c r="H462" s="312">
        <v>460</v>
      </c>
      <c r="I462" s="233" t="s">
        <v>1313</v>
      </c>
      <c r="K462" s="233" t="s">
        <v>1314</v>
      </c>
      <c r="L462" s="236">
        <f t="shared" si="17"/>
        <v>459540</v>
      </c>
      <c r="N462" s="113" t="s">
        <v>1315</v>
      </c>
      <c r="O462" s="1" t="b">
        <v>1</v>
      </c>
      <c r="Q462" s="34"/>
    </row>
    <row r="463" spans="2:17">
      <c r="B463" s="1" t="str">
        <f t="shared" si="18"/>
        <v>M_MED01_VM_BKT_461</v>
      </c>
      <c r="C463" s="92" t="s">
        <v>727</v>
      </c>
      <c r="D463" s="92" t="str" cm="1">
        <f t="array" ref="D463">INDEX(기계코드!$D$4:$D$1022,MATCH(1,(C463=기계코드!$F$4:$F$1022)*1,0))</f>
        <v>M_MED01</v>
      </c>
      <c r="E463" s="92" t="s">
        <v>1128</v>
      </c>
      <c r="F463" s="92" t="str" cm="1">
        <f t="array" ref="F463">INDEX(공급업체코드!$B$3:$B$1000,MATCH(1,(E463=공급업체코드!$D$3:$D$1000)*1,0))</f>
        <v>VM_BKT</v>
      </c>
      <c r="H463" s="312">
        <v>461</v>
      </c>
      <c r="I463" s="233" t="s">
        <v>1313</v>
      </c>
      <c r="K463" s="233" t="s">
        <v>1314</v>
      </c>
      <c r="L463" s="236">
        <f t="shared" si="17"/>
        <v>460539</v>
      </c>
      <c r="N463" s="113" t="s">
        <v>1315</v>
      </c>
      <c r="O463" s="1" t="b">
        <v>1</v>
      </c>
      <c r="Q463" s="34"/>
    </row>
    <row r="464" spans="2:17">
      <c r="B464" s="1" t="str">
        <f t="shared" si="18"/>
        <v>M_MED01_VM_BKT_462</v>
      </c>
      <c r="C464" s="92" t="s">
        <v>727</v>
      </c>
      <c r="D464" s="92" t="str" cm="1">
        <f t="array" ref="D464">INDEX(기계코드!$D$4:$D$1022,MATCH(1,(C464=기계코드!$F$4:$F$1022)*1,0))</f>
        <v>M_MED01</v>
      </c>
      <c r="E464" s="92" t="s">
        <v>1128</v>
      </c>
      <c r="F464" s="92" t="str" cm="1">
        <f t="array" ref="F464">INDEX(공급업체코드!$B$3:$B$1000,MATCH(1,(E464=공급업체코드!$D$3:$D$1000)*1,0))</f>
        <v>VM_BKT</v>
      </c>
      <c r="H464" s="312">
        <v>462</v>
      </c>
      <c r="I464" s="233" t="s">
        <v>1313</v>
      </c>
      <c r="K464" s="233" t="s">
        <v>1314</v>
      </c>
      <c r="L464" s="236">
        <f t="shared" si="17"/>
        <v>461538</v>
      </c>
      <c r="N464" s="113" t="s">
        <v>1315</v>
      </c>
      <c r="O464" s="1" t="b">
        <v>1</v>
      </c>
      <c r="Q464" s="34"/>
    </row>
    <row r="465" spans="2:17">
      <c r="B465" s="1" t="str">
        <f t="shared" si="18"/>
        <v>M_MED01_VM_BKT_463</v>
      </c>
      <c r="C465" s="92" t="s">
        <v>727</v>
      </c>
      <c r="D465" s="92" t="str" cm="1">
        <f t="array" ref="D465">INDEX(기계코드!$D$4:$D$1022,MATCH(1,(C465=기계코드!$F$4:$F$1022)*1,0))</f>
        <v>M_MED01</v>
      </c>
      <c r="E465" s="92" t="s">
        <v>1128</v>
      </c>
      <c r="F465" s="92" t="str" cm="1">
        <f t="array" ref="F465">INDEX(공급업체코드!$B$3:$B$1000,MATCH(1,(E465=공급업체코드!$D$3:$D$1000)*1,0))</f>
        <v>VM_BKT</v>
      </c>
      <c r="H465" s="312">
        <v>463</v>
      </c>
      <c r="I465" s="233" t="s">
        <v>1313</v>
      </c>
      <c r="K465" s="233" t="s">
        <v>1314</v>
      </c>
      <c r="L465" s="236">
        <f t="shared" si="17"/>
        <v>462537</v>
      </c>
      <c r="N465" s="113" t="s">
        <v>1315</v>
      </c>
      <c r="O465" s="1" t="b">
        <v>1</v>
      </c>
      <c r="Q465" s="34"/>
    </row>
    <row r="466" spans="2:17">
      <c r="B466" s="1" t="str">
        <f t="shared" si="18"/>
        <v>M_MED01_VM_BKT_464</v>
      </c>
      <c r="C466" s="92" t="s">
        <v>727</v>
      </c>
      <c r="D466" s="92" t="str" cm="1">
        <f t="array" ref="D466">INDEX(기계코드!$D$4:$D$1022,MATCH(1,(C466=기계코드!$F$4:$F$1022)*1,0))</f>
        <v>M_MED01</v>
      </c>
      <c r="E466" s="92" t="s">
        <v>1128</v>
      </c>
      <c r="F466" s="92" t="str" cm="1">
        <f t="array" ref="F466">INDEX(공급업체코드!$B$3:$B$1000,MATCH(1,(E466=공급업체코드!$D$3:$D$1000)*1,0))</f>
        <v>VM_BKT</v>
      </c>
      <c r="H466" s="312">
        <v>464</v>
      </c>
      <c r="I466" s="233" t="s">
        <v>1313</v>
      </c>
      <c r="K466" s="233" t="s">
        <v>1314</v>
      </c>
      <c r="L466" s="236">
        <f t="shared" si="17"/>
        <v>463536</v>
      </c>
      <c r="N466" s="113" t="s">
        <v>1315</v>
      </c>
      <c r="O466" s="1" t="b">
        <v>1</v>
      </c>
      <c r="Q466" s="34"/>
    </row>
    <row r="467" spans="2:17">
      <c r="B467" s="1" t="str">
        <f t="shared" si="18"/>
        <v>M_MED01_VM_BKT_465</v>
      </c>
      <c r="C467" s="92" t="s">
        <v>727</v>
      </c>
      <c r="D467" s="92" t="str" cm="1">
        <f t="array" ref="D467">INDEX(기계코드!$D$4:$D$1022,MATCH(1,(C467=기계코드!$F$4:$F$1022)*1,0))</f>
        <v>M_MED01</v>
      </c>
      <c r="E467" s="92" t="s">
        <v>1128</v>
      </c>
      <c r="F467" s="92" t="str" cm="1">
        <f t="array" ref="F467">INDEX(공급업체코드!$B$3:$B$1000,MATCH(1,(E467=공급업체코드!$D$3:$D$1000)*1,0))</f>
        <v>VM_BKT</v>
      </c>
      <c r="H467" s="312">
        <v>465</v>
      </c>
      <c r="I467" s="233" t="s">
        <v>1313</v>
      </c>
      <c r="K467" s="233" t="s">
        <v>1314</v>
      </c>
      <c r="L467" s="236">
        <f t="shared" si="17"/>
        <v>464535</v>
      </c>
      <c r="N467" s="113" t="s">
        <v>1315</v>
      </c>
      <c r="O467" s="1" t="b">
        <v>1</v>
      </c>
      <c r="Q467" s="34"/>
    </row>
    <row r="468" spans="2:17">
      <c r="B468" s="1" t="str">
        <f t="shared" si="18"/>
        <v>M_MED01_VM_BKT_466</v>
      </c>
      <c r="C468" s="92" t="s">
        <v>727</v>
      </c>
      <c r="D468" s="92" t="str" cm="1">
        <f t="array" ref="D468">INDEX(기계코드!$D$4:$D$1022,MATCH(1,(C468=기계코드!$F$4:$F$1022)*1,0))</f>
        <v>M_MED01</v>
      </c>
      <c r="E468" s="92" t="s">
        <v>1128</v>
      </c>
      <c r="F468" s="92" t="str" cm="1">
        <f t="array" ref="F468">INDEX(공급업체코드!$B$3:$B$1000,MATCH(1,(E468=공급업체코드!$D$3:$D$1000)*1,0))</f>
        <v>VM_BKT</v>
      </c>
      <c r="H468" s="312">
        <v>466</v>
      </c>
      <c r="I468" s="233" t="s">
        <v>1313</v>
      </c>
      <c r="K468" s="233" t="s">
        <v>1314</v>
      </c>
      <c r="L468" s="236">
        <f t="shared" si="17"/>
        <v>465534</v>
      </c>
      <c r="N468" s="113" t="s">
        <v>1315</v>
      </c>
      <c r="O468" s="1" t="b">
        <v>1</v>
      </c>
      <c r="Q468" s="34"/>
    </row>
    <row r="469" spans="2:17">
      <c r="B469" s="1" t="str">
        <f t="shared" si="18"/>
        <v>M_MED01_VM_BKT_467</v>
      </c>
      <c r="C469" s="92" t="s">
        <v>727</v>
      </c>
      <c r="D469" s="92" t="str" cm="1">
        <f t="array" ref="D469">INDEX(기계코드!$D$4:$D$1022,MATCH(1,(C469=기계코드!$F$4:$F$1022)*1,0))</f>
        <v>M_MED01</v>
      </c>
      <c r="E469" s="92" t="s">
        <v>1128</v>
      </c>
      <c r="F469" s="92" t="str" cm="1">
        <f t="array" ref="F469">INDEX(공급업체코드!$B$3:$B$1000,MATCH(1,(E469=공급업체코드!$D$3:$D$1000)*1,0))</f>
        <v>VM_BKT</v>
      </c>
      <c r="H469" s="312">
        <v>467</v>
      </c>
      <c r="I469" s="233" t="s">
        <v>1313</v>
      </c>
      <c r="K469" s="233" t="s">
        <v>1314</v>
      </c>
      <c r="L469" s="236">
        <f t="shared" si="17"/>
        <v>466533</v>
      </c>
      <c r="N469" s="113" t="s">
        <v>1315</v>
      </c>
      <c r="O469" s="1" t="b">
        <v>1</v>
      </c>
      <c r="Q469" s="34"/>
    </row>
    <row r="470" spans="2:17">
      <c r="B470" s="1" t="str">
        <f t="shared" si="18"/>
        <v>M_MED01_VM_BKT_468</v>
      </c>
      <c r="C470" s="92" t="s">
        <v>727</v>
      </c>
      <c r="D470" s="92" t="str" cm="1">
        <f t="array" ref="D470">INDEX(기계코드!$D$4:$D$1022,MATCH(1,(C470=기계코드!$F$4:$F$1022)*1,0))</f>
        <v>M_MED01</v>
      </c>
      <c r="E470" s="92" t="s">
        <v>1128</v>
      </c>
      <c r="F470" s="92" t="str" cm="1">
        <f t="array" ref="F470">INDEX(공급업체코드!$B$3:$B$1000,MATCH(1,(E470=공급업체코드!$D$3:$D$1000)*1,0))</f>
        <v>VM_BKT</v>
      </c>
      <c r="H470" s="312">
        <v>468</v>
      </c>
      <c r="I470" s="233" t="s">
        <v>1313</v>
      </c>
      <c r="K470" s="233" t="s">
        <v>1314</v>
      </c>
      <c r="L470" s="236">
        <f t="shared" si="17"/>
        <v>467532</v>
      </c>
      <c r="N470" s="113" t="s">
        <v>1315</v>
      </c>
      <c r="O470" s="1" t="b">
        <v>1</v>
      </c>
      <c r="Q470" s="34"/>
    </row>
    <row r="471" spans="2:17">
      <c r="B471" s="1" t="str">
        <f t="shared" si="18"/>
        <v>M_MED01_VM_BKT_469</v>
      </c>
      <c r="C471" s="92" t="s">
        <v>727</v>
      </c>
      <c r="D471" s="92" t="str" cm="1">
        <f t="array" ref="D471">INDEX(기계코드!$D$4:$D$1022,MATCH(1,(C471=기계코드!$F$4:$F$1022)*1,0))</f>
        <v>M_MED01</v>
      </c>
      <c r="E471" s="92" t="s">
        <v>1128</v>
      </c>
      <c r="F471" s="92" t="str" cm="1">
        <f t="array" ref="F471">INDEX(공급업체코드!$B$3:$B$1000,MATCH(1,(E471=공급업체코드!$D$3:$D$1000)*1,0))</f>
        <v>VM_BKT</v>
      </c>
      <c r="H471" s="312">
        <v>469</v>
      </c>
      <c r="I471" s="233" t="s">
        <v>1313</v>
      </c>
      <c r="K471" s="233" t="s">
        <v>1314</v>
      </c>
      <c r="L471" s="236">
        <f t="shared" si="17"/>
        <v>468531</v>
      </c>
      <c r="N471" s="113" t="s">
        <v>1315</v>
      </c>
      <c r="O471" s="1" t="b">
        <v>1</v>
      </c>
      <c r="Q471" s="34"/>
    </row>
    <row r="472" spans="2:17">
      <c r="B472" s="1" t="str">
        <f t="shared" si="18"/>
        <v>M_MED01_VM_BKT_470</v>
      </c>
      <c r="C472" s="92" t="s">
        <v>727</v>
      </c>
      <c r="D472" s="92" t="str" cm="1">
        <f t="array" ref="D472">INDEX(기계코드!$D$4:$D$1022,MATCH(1,(C472=기계코드!$F$4:$F$1022)*1,0))</f>
        <v>M_MED01</v>
      </c>
      <c r="E472" s="92" t="s">
        <v>1128</v>
      </c>
      <c r="F472" s="92" t="str" cm="1">
        <f t="array" ref="F472">INDEX(공급업체코드!$B$3:$B$1000,MATCH(1,(E472=공급업체코드!$D$3:$D$1000)*1,0))</f>
        <v>VM_BKT</v>
      </c>
      <c r="H472" s="312">
        <v>470</v>
      </c>
      <c r="I472" s="233" t="s">
        <v>1313</v>
      </c>
      <c r="K472" s="233" t="s">
        <v>1314</v>
      </c>
      <c r="L472" s="236">
        <f t="shared" si="17"/>
        <v>469530</v>
      </c>
      <c r="N472" s="113" t="s">
        <v>1315</v>
      </c>
      <c r="O472" s="1" t="b">
        <v>1</v>
      </c>
      <c r="Q472" s="34"/>
    </row>
    <row r="473" spans="2:17">
      <c r="B473" s="1" t="str">
        <f t="shared" si="18"/>
        <v>M_MED01_VM_BKT_471</v>
      </c>
      <c r="C473" s="92" t="s">
        <v>727</v>
      </c>
      <c r="D473" s="92" t="str" cm="1">
        <f t="array" ref="D473">INDEX(기계코드!$D$4:$D$1022,MATCH(1,(C473=기계코드!$F$4:$F$1022)*1,0))</f>
        <v>M_MED01</v>
      </c>
      <c r="E473" s="92" t="s">
        <v>1128</v>
      </c>
      <c r="F473" s="92" t="str" cm="1">
        <f t="array" ref="F473">INDEX(공급업체코드!$B$3:$B$1000,MATCH(1,(E473=공급업체코드!$D$3:$D$1000)*1,0))</f>
        <v>VM_BKT</v>
      </c>
      <c r="H473" s="312">
        <v>471</v>
      </c>
      <c r="I473" s="233" t="s">
        <v>1313</v>
      </c>
      <c r="K473" s="233" t="s">
        <v>1314</v>
      </c>
      <c r="L473" s="236">
        <f t="shared" si="17"/>
        <v>470529</v>
      </c>
      <c r="N473" s="113" t="s">
        <v>1315</v>
      </c>
      <c r="O473" s="1" t="b">
        <v>1</v>
      </c>
      <c r="Q473" s="34"/>
    </row>
    <row r="474" spans="2:17">
      <c r="B474" s="1" t="str">
        <f t="shared" si="18"/>
        <v>M_MED01_VM_BKT_472</v>
      </c>
      <c r="C474" s="92" t="s">
        <v>727</v>
      </c>
      <c r="D474" s="92" t="str" cm="1">
        <f t="array" ref="D474">INDEX(기계코드!$D$4:$D$1022,MATCH(1,(C474=기계코드!$F$4:$F$1022)*1,0))</f>
        <v>M_MED01</v>
      </c>
      <c r="E474" s="92" t="s">
        <v>1128</v>
      </c>
      <c r="F474" s="92" t="str" cm="1">
        <f t="array" ref="F474">INDEX(공급업체코드!$B$3:$B$1000,MATCH(1,(E474=공급업체코드!$D$3:$D$1000)*1,0))</f>
        <v>VM_BKT</v>
      </c>
      <c r="H474" s="312">
        <v>472</v>
      </c>
      <c r="I474" s="233" t="s">
        <v>1313</v>
      </c>
      <c r="K474" s="233" t="s">
        <v>1314</v>
      </c>
      <c r="L474" s="236">
        <f t="shared" si="17"/>
        <v>471528</v>
      </c>
      <c r="N474" s="113" t="s">
        <v>1315</v>
      </c>
      <c r="O474" s="1" t="b">
        <v>1</v>
      </c>
      <c r="Q474" s="34"/>
    </row>
    <row r="475" spans="2:17">
      <c r="B475" s="1" t="str">
        <f t="shared" si="18"/>
        <v>M_MED01_VM_BKT_473</v>
      </c>
      <c r="C475" s="92" t="s">
        <v>727</v>
      </c>
      <c r="D475" s="92" t="str" cm="1">
        <f t="array" ref="D475">INDEX(기계코드!$D$4:$D$1022,MATCH(1,(C475=기계코드!$F$4:$F$1022)*1,0))</f>
        <v>M_MED01</v>
      </c>
      <c r="E475" s="92" t="s">
        <v>1128</v>
      </c>
      <c r="F475" s="92" t="str" cm="1">
        <f t="array" ref="F475">INDEX(공급업체코드!$B$3:$B$1000,MATCH(1,(E475=공급업체코드!$D$3:$D$1000)*1,0))</f>
        <v>VM_BKT</v>
      </c>
      <c r="H475" s="312">
        <v>473</v>
      </c>
      <c r="I475" s="233" t="s">
        <v>1313</v>
      </c>
      <c r="K475" s="233" t="s">
        <v>1314</v>
      </c>
      <c r="L475" s="236">
        <f t="shared" si="17"/>
        <v>472527</v>
      </c>
      <c r="N475" s="113" t="s">
        <v>1315</v>
      </c>
      <c r="O475" s="1" t="b">
        <v>1</v>
      </c>
      <c r="Q475" s="34"/>
    </row>
    <row r="476" spans="2:17">
      <c r="B476" s="1" t="str">
        <f t="shared" si="18"/>
        <v>M_MED01_VM_BKT_474</v>
      </c>
      <c r="C476" s="92" t="s">
        <v>727</v>
      </c>
      <c r="D476" s="92" t="str" cm="1">
        <f t="array" ref="D476">INDEX(기계코드!$D$4:$D$1022,MATCH(1,(C476=기계코드!$F$4:$F$1022)*1,0))</f>
        <v>M_MED01</v>
      </c>
      <c r="E476" s="92" t="s">
        <v>1128</v>
      </c>
      <c r="F476" s="92" t="str" cm="1">
        <f t="array" ref="F476">INDEX(공급업체코드!$B$3:$B$1000,MATCH(1,(E476=공급업체코드!$D$3:$D$1000)*1,0))</f>
        <v>VM_BKT</v>
      </c>
      <c r="H476" s="312">
        <v>474</v>
      </c>
      <c r="I476" s="233" t="s">
        <v>1313</v>
      </c>
      <c r="K476" s="233" t="s">
        <v>1314</v>
      </c>
      <c r="L476" s="236">
        <f t="shared" si="17"/>
        <v>473526</v>
      </c>
      <c r="N476" s="113" t="s">
        <v>1315</v>
      </c>
      <c r="O476" s="1" t="b">
        <v>1</v>
      </c>
      <c r="Q476" s="34"/>
    </row>
    <row r="477" spans="2:17">
      <c r="B477" s="1" t="str">
        <f t="shared" si="18"/>
        <v>M_MED01_VM_BKT_475</v>
      </c>
      <c r="C477" s="92" t="s">
        <v>727</v>
      </c>
      <c r="D477" s="92" t="str" cm="1">
        <f t="array" ref="D477">INDEX(기계코드!$D$4:$D$1022,MATCH(1,(C477=기계코드!$F$4:$F$1022)*1,0))</f>
        <v>M_MED01</v>
      </c>
      <c r="E477" s="92" t="s">
        <v>1128</v>
      </c>
      <c r="F477" s="92" t="str" cm="1">
        <f t="array" ref="F477">INDEX(공급업체코드!$B$3:$B$1000,MATCH(1,(E477=공급업체코드!$D$3:$D$1000)*1,0))</f>
        <v>VM_BKT</v>
      </c>
      <c r="H477" s="312">
        <v>475</v>
      </c>
      <c r="I477" s="233" t="s">
        <v>1313</v>
      </c>
      <c r="K477" s="233" t="s">
        <v>1314</v>
      </c>
      <c r="L477" s="236">
        <f t="shared" si="17"/>
        <v>474525</v>
      </c>
      <c r="N477" s="113" t="s">
        <v>1315</v>
      </c>
      <c r="O477" s="1" t="b">
        <v>1</v>
      </c>
      <c r="Q477" s="34"/>
    </row>
    <row r="478" spans="2:17">
      <c r="B478" s="1" t="str">
        <f t="shared" si="18"/>
        <v>M_MED01_VM_BKT_476</v>
      </c>
      <c r="C478" s="92" t="s">
        <v>727</v>
      </c>
      <c r="D478" s="92" t="str" cm="1">
        <f t="array" ref="D478">INDEX(기계코드!$D$4:$D$1022,MATCH(1,(C478=기계코드!$F$4:$F$1022)*1,0))</f>
        <v>M_MED01</v>
      </c>
      <c r="E478" s="92" t="s">
        <v>1128</v>
      </c>
      <c r="F478" s="92" t="str" cm="1">
        <f t="array" ref="F478">INDEX(공급업체코드!$B$3:$B$1000,MATCH(1,(E478=공급업체코드!$D$3:$D$1000)*1,0))</f>
        <v>VM_BKT</v>
      </c>
      <c r="H478" s="312">
        <v>476</v>
      </c>
      <c r="I478" s="233" t="s">
        <v>1313</v>
      </c>
      <c r="K478" s="233" t="s">
        <v>1314</v>
      </c>
      <c r="L478" s="236">
        <f t="shared" si="17"/>
        <v>475524</v>
      </c>
      <c r="N478" s="113" t="s">
        <v>1315</v>
      </c>
      <c r="O478" s="1" t="b">
        <v>1</v>
      </c>
      <c r="Q478" s="34"/>
    </row>
    <row r="479" spans="2:17">
      <c r="B479" s="1" t="str">
        <f t="shared" si="18"/>
        <v>M_MED01_VM_BKT_477</v>
      </c>
      <c r="C479" s="92" t="s">
        <v>727</v>
      </c>
      <c r="D479" s="92" t="str" cm="1">
        <f t="array" ref="D479">INDEX(기계코드!$D$4:$D$1022,MATCH(1,(C479=기계코드!$F$4:$F$1022)*1,0))</f>
        <v>M_MED01</v>
      </c>
      <c r="E479" s="92" t="s">
        <v>1128</v>
      </c>
      <c r="F479" s="92" t="str" cm="1">
        <f t="array" ref="F479">INDEX(공급업체코드!$B$3:$B$1000,MATCH(1,(E479=공급업체코드!$D$3:$D$1000)*1,0))</f>
        <v>VM_BKT</v>
      </c>
      <c r="H479" s="312">
        <v>477</v>
      </c>
      <c r="I479" s="233" t="s">
        <v>1313</v>
      </c>
      <c r="K479" s="233" t="s">
        <v>1314</v>
      </c>
      <c r="L479" s="236">
        <f t="shared" si="17"/>
        <v>476523</v>
      </c>
      <c r="N479" s="113" t="s">
        <v>1315</v>
      </c>
      <c r="O479" s="1" t="b">
        <v>1</v>
      </c>
      <c r="Q479" s="34"/>
    </row>
    <row r="480" spans="2:17">
      <c r="B480" s="1" t="str">
        <f t="shared" si="18"/>
        <v>M_MED01_VM_BKT_478</v>
      </c>
      <c r="C480" s="92" t="s">
        <v>727</v>
      </c>
      <c r="D480" s="92" t="str" cm="1">
        <f t="array" ref="D480">INDEX(기계코드!$D$4:$D$1022,MATCH(1,(C480=기계코드!$F$4:$F$1022)*1,0))</f>
        <v>M_MED01</v>
      </c>
      <c r="E480" s="92" t="s">
        <v>1128</v>
      </c>
      <c r="F480" s="92" t="str" cm="1">
        <f t="array" ref="F480">INDEX(공급업체코드!$B$3:$B$1000,MATCH(1,(E480=공급업체코드!$D$3:$D$1000)*1,0))</f>
        <v>VM_BKT</v>
      </c>
      <c r="H480" s="312">
        <v>478</v>
      </c>
      <c r="I480" s="233" t="s">
        <v>1313</v>
      </c>
      <c r="K480" s="233" t="s">
        <v>1314</v>
      </c>
      <c r="L480" s="236">
        <f t="shared" si="17"/>
        <v>477522</v>
      </c>
      <c r="N480" s="113" t="s">
        <v>1315</v>
      </c>
      <c r="O480" s="1" t="b">
        <v>1</v>
      </c>
      <c r="Q480" s="34"/>
    </row>
    <row r="481" spans="2:17">
      <c r="B481" s="1" t="str">
        <f t="shared" si="18"/>
        <v>M_MED01_VM_BKT_479</v>
      </c>
      <c r="C481" s="92" t="s">
        <v>727</v>
      </c>
      <c r="D481" s="92" t="str" cm="1">
        <f t="array" ref="D481">INDEX(기계코드!$D$4:$D$1022,MATCH(1,(C481=기계코드!$F$4:$F$1022)*1,0))</f>
        <v>M_MED01</v>
      </c>
      <c r="E481" s="92" t="s">
        <v>1128</v>
      </c>
      <c r="F481" s="92" t="str" cm="1">
        <f t="array" ref="F481">INDEX(공급업체코드!$B$3:$B$1000,MATCH(1,(E481=공급업체코드!$D$3:$D$1000)*1,0))</f>
        <v>VM_BKT</v>
      </c>
      <c r="H481" s="312">
        <v>479</v>
      </c>
      <c r="I481" s="233" t="s">
        <v>1313</v>
      </c>
      <c r="K481" s="233" t="s">
        <v>1314</v>
      </c>
      <c r="L481" s="236">
        <f t="shared" si="17"/>
        <v>478521</v>
      </c>
      <c r="N481" s="113" t="s">
        <v>1315</v>
      </c>
      <c r="O481" s="1" t="b">
        <v>1</v>
      </c>
      <c r="Q481" s="34"/>
    </row>
    <row r="482" spans="2:17">
      <c r="B482" s="1" t="str">
        <f t="shared" si="18"/>
        <v>M_MED01_VM_BKT_480</v>
      </c>
      <c r="C482" s="92" t="s">
        <v>727</v>
      </c>
      <c r="D482" s="92" t="str" cm="1">
        <f t="array" ref="D482">INDEX(기계코드!$D$4:$D$1022,MATCH(1,(C482=기계코드!$F$4:$F$1022)*1,0))</f>
        <v>M_MED01</v>
      </c>
      <c r="E482" s="92" t="s">
        <v>1128</v>
      </c>
      <c r="F482" s="92" t="str" cm="1">
        <f t="array" ref="F482">INDEX(공급업체코드!$B$3:$B$1000,MATCH(1,(E482=공급업체코드!$D$3:$D$1000)*1,0))</f>
        <v>VM_BKT</v>
      </c>
      <c r="H482" s="312">
        <v>480</v>
      </c>
      <c r="I482" s="233" t="s">
        <v>1313</v>
      </c>
      <c r="K482" s="233" t="s">
        <v>1314</v>
      </c>
      <c r="L482" s="236">
        <f t="shared" si="17"/>
        <v>479520</v>
      </c>
      <c r="N482" s="113" t="s">
        <v>1315</v>
      </c>
      <c r="O482" s="1" t="b">
        <v>1</v>
      </c>
      <c r="Q482" s="34"/>
    </row>
    <row r="483" spans="2:17">
      <c r="B483" s="1" t="str">
        <f t="shared" si="18"/>
        <v>M_MED01_VM_BKT_481</v>
      </c>
      <c r="C483" s="92" t="s">
        <v>727</v>
      </c>
      <c r="D483" s="92" t="str" cm="1">
        <f t="array" ref="D483">INDEX(기계코드!$D$4:$D$1022,MATCH(1,(C483=기계코드!$F$4:$F$1022)*1,0))</f>
        <v>M_MED01</v>
      </c>
      <c r="E483" s="92" t="s">
        <v>1128</v>
      </c>
      <c r="F483" s="92" t="str" cm="1">
        <f t="array" ref="F483">INDEX(공급업체코드!$B$3:$B$1000,MATCH(1,(E483=공급업체코드!$D$3:$D$1000)*1,0))</f>
        <v>VM_BKT</v>
      </c>
      <c r="H483" s="312">
        <v>481</v>
      </c>
      <c r="I483" s="233" t="s">
        <v>1313</v>
      </c>
      <c r="K483" s="233" t="s">
        <v>1314</v>
      </c>
      <c r="L483" s="236">
        <f t="shared" si="17"/>
        <v>480519</v>
      </c>
      <c r="N483" s="113" t="s">
        <v>1315</v>
      </c>
      <c r="O483" s="1" t="b">
        <v>1</v>
      </c>
      <c r="Q483" s="34"/>
    </row>
    <row r="484" spans="2:17">
      <c r="B484" s="1" t="str">
        <f t="shared" si="18"/>
        <v>M_MED01_VM_BKT_482</v>
      </c>
      <c r="C484" s="92" t="s">
        <v>727</v>
      </c>
      <c r="D484" s="92" t="str" cm="1">
        <f t="array" ref="D484">INDEX(기계코드!$D$4:$D$1022,MATCH(1,(C484=기계코드!$F$4:$F$1022)*1,0))</f>
        <v>M_MED01</v>
      </c>
      <c r="E484" s="92" t="s">
        <v>1128</v>
      </c>
      <c r="F484" s="92" t="str" cm="1">
        <f t="array" ref="F484">INDEX(공급업체코드!$B$3:$B$1000,MATCH(1,(E484=공급업체코드!$D$3:$D$1000)*1,0))</f>
        <v>VM_BKT</v>
      </c>
      <c r="H484" s="312">
        <v>482</v>
      </c>
      <c r="I484" s="233" t="s">
        <v>1313</v>
      </c>
      <c r="K484" s="233" t="s">
        <v>1314</v>
      </c>
      <c r="L484" s="236">
        <f t="shared" si="17"/>
        <v>481518</v>
      </c>
      <c r="N484" s="113" t="s">
        <v>1315</v>
      </c>
      <c r="O484" s="1" t="b">
        <v>1</v>
      </c>
      <c r="Q484" s="34"/>
    </row>
    <row r="485" spans="2:17">
      <c r="B485" s="1" t="str">
        <f t="shared" si="18"/>
        <v>M_MED01_VM_BKT_483</v>
      </c>
      <c r="C485" s="92" t="s">
        <v>727</v>
      </c>
      <c r="D485" s="92" t="str" cm="1">
        <f t="array" ref="D485">INDEX(기계코드!$D$4:$D$1022,MATCH(1,(C485=기계코드!$F$4:$F$1022)*1,0))</f>
        <v>M_MED01</v>
      </c>
      <c r="E485" s="92" t="s">
        <v>1128</v>
      </c>
      <c r="F485" s="92" t="str" cm="1">
        <f t="array" ref="F485">INDEX(공급업체코드!$B$3:$B$1000,MATCH(1,(E485=공급업체코드!$D$3:$D$1000)*1,0))</f>
        <v>VM_BKT</v>
      </c>
      <c r="H485" s="312">
        <v>483</v>
      </c>
      <c r="I485" s="233" t="s">
        <v>1313</v>
      </c>
      <c r="K485" s="233" t="s">
        <v>1314</v>
      </c>
      <c r="L485" s="236">
        <f t="shared" si="17"/>
        <v>482517</v>
      </c>
      <c r="N485" s="113" t="s">
        <v>1315</v>
      </c>
      <c r="O485" s="1" t="b">
        <v>1</v>
      </c>
      <c r="Q485" s="34"/>
    </row>
    <row r="486" spans="2:17">
      <c r="B486" s="1" t="str">
        <f t="shared" si="18"/>
        <v>M_MED01_VM_BKT_484</v>
      </c>
      <c r="C486" s="92" t="s">
        <v>727</v>
      </c>
      <c r="D486" s="92" t="str" cm="1">
        <f t="array" ref="D486">INDEX(기계코드!$D$4:$D$1022,MATCH(1,(C486=기계코드!$F$4:$F$1022)*1,0))</f>
        <v>M_MED01</v>
      </c>
      <c r="E486" s="92" t="s">
        <v>1128</v>
      </c>
      <c r="F486" s="92" t="str" cm="1">
        <f t="array" ref="F486">INDEX(공급업체코드!$B$3:$B$1000,MATCH(1,(E486=공급업체코드!$D$3:$D$1000)*1,0))</f>
        <v>VM_BKT</v>
      </c>
      <c r="H486" s="312">
        <v>484</v>
      </c>
      <c r="I486" s="233" t="s">
        <v>1313</v>
      </c>
      <c r="K486" s="233" t="s">
        <v>1314</v>
      </c>
      <c r="L486" s="236">
        <f t="shared" si="17"/>
        <v>483516</v>
      </c>
      <c r="N486" s="113" t="s">
        <v>1315</v>
      </c>
      <c r="O486" s="1" t="b">
        <v>1</v>
      </c>
      <c r="Q486" s="34"/>
    </row>
    <row r="487" spans="2:17">
      <c r="B487" s="1" t="str">
        <f t="shared" si="18"/>
        <v>M_MED01_VM_BKT_485</v>
      </c>
      <c r="C487" s="92" t="s">
        <v>727</v>
      </c>
      <c r="D487" s="92" t="str" cm="1">
        <f t="array" ref="D487">INDEX(기계코드!$D$4:$D$1022,MATCH(1,(C487=기계코드!$F$4:$F$1022)*1,0))</f>
        <v>M_MED01</v>
      </c>
      <c r="E487" s="92" t="s">
        <v>1128</v>
      </c>
      <c r="F487" s="92" t="str" cm="1">
        <f t="array" ref="F487">INDEX(공급업체코드!$B$3:$B$1000,MATCH(1,(E487=공급업체코드!$D$3:$D$1000)*1,0))</f>
        <v>VM_BKT</v>
      </c>
      <c r="H487" s="312">
        <v>485</v>
      </c>
      <c r="I487" s="233" t="s">
        <v>1313</v>
      </c>
      <c r="K487" s="233" t="s">
        <v>1314</v>
      </c>
      <c r="L487" s="236">
        <f t="shared" si="17"/>
        <v>484515</v>
      </c>
      <c r="N487" s="113" t="s">
        <v>1315</v>
      </c>
      <c r="O487" s="1" t="b">
        <v>1</v>
      </c>
      <c r="Q487" s="34"/>
    </row>
    <row r="488" spans="2:17">
      <c r="B488" s="1" t="str">
        <f t="shared" si="18"/>
        <v>M_MED01_VM_BKT_486</v>
      </c>
      <c r="C488" s="92" t="s">
        <v>727</v>
      </c>
      <c r="D488" s="92" t="str" cm="1">
        <f t="array" ref="D488">INDEX(기계코드!$D$4:$D$1022,MATCH(1,(C488=기계코드!$F$4:$F$1022)*1,0))</f>
        <v>M_MED01</v>
      </c>
      <c r="E488" s="92" t="s">
        <v>1128</v>
      </c>
      <c r="F488" s="92" t="str" cm="1">
        <f t="array" ref="F488">INDEX(공급업체코드!$B$3:$B$1000,MATCH(1,(E488=공급업체코드!$D$3:$D$1000)*1,0))</f>
        <v>VM_BKT</v>
      </c>
      <c r="H488" s="312">
        <v>486</v>
      </c>
      <c r="I488" s="233" t="s">
        <v>1313</v>
      </c>
      <c r="K488" s="233" t="s">
        <v>1314</v>
      </c>
      <c r="L488" s="236">
        <f t="shared" si="17"/>
        <v>485514</v>
      </c>
      <c r="N488" s="113" t="s">
        <v>1315</v>
      </c>
      <c r="O488" s="1" t="b">
        <v>1</v>
      </c>
      <c r="Q488" s="34"/>
    </row>
    <row r="489" spans="2:17">
      <c r="B489" s="1" t="str">
        <f t="shared" si="18"/>
        <v>M_MED01_VM_BKT_487</v>
      </c>
      <c r="C489" s="92" t="s">
        <v>727</v>
      </c>
      <c r="D489" s="92" t="str" cm="1">
        <f t="array" ref="D489">INDEX(기계코드!$D$4:$D$1022,MATCH(1,(C489=기계코드!$F$4:$F$1022)*1,0))</f>
        <v>M_MED01</v>
      </c>
      <c r="E489" s="92" t="s">
        <v>1128</v>
      </c>
      <c r="F489" s="92" t="str" cm="1">
        <f t="array" ref="F489">INDEX(공급업체코드!$B$3:$B$1000,MATCH(1,(E489=공급업체코드!$D$3:$D$1000)*1,0))</f>
        <v>VM_BKT</v>
      </c>
      <c r="H489" s="312">
        <v>487</v>
      </c>
      <c r="I489" s="233" t="s">
        <v>1313</v>
      </c>
      <c r="K489" s="233" t="s">
        <v>1314</v>
      </c>
      <c r="L489" s="236">
        <f t="shared" si="17"/>
        <v>486513</v>
      </c>
      <c r="N489" s="113" t="s">
        <v>1315</v>
      </c>
      <c r="O489" s="1" t="b">
        <v>1</v>
      </c>
      <c r="Q489" s="34"/>
    </row>
    <row r="490" spans="2:17">
      <c r="B490" s="1" t="str">
        <f t="shared" si="18"/>
        <v>M_MED01_VM_BKT_488</v>
      </c>
      <c r="C490" s="92" t="s">
        <v>727</v>
      </c>
      <c r="D490" s="92" t="str" cm="1">
        <f t="array" ref="D490">INDEX(기계코드!$D$4:$D$1022,MATCH(1,(C490=기계코드!$F$4:$F$1022)*1,0))</f>
        <v>M_MED01</v>
      </c>
      <c r="E490" s="92" t="s">
        <v>1128</v>
      </c>
      <c r="F490" s="92" t="str" cm="1">
        <f t="array" ref="F490">INDEX(공급업체코드!$B$3:$B$1000,MATCH(1,(E490=공급업체코드!$D$3:$D$1000)*1,0))</f>
        <v>VM_BKT</v>
      </c>
      <c r="H490" s="312">
        <v>488</v>
      </c>
      <c r="I490" s="233" t="s">
        <v>1313</v>
      </c>
      <c r="K490" s="233" t="s">
        <v>1314</v>
      </c>
      <c r="L490" s="236">
        <f t="shared" si="17"/>
        <v>487512</v>
      </c>
      <c r="N490" s="113" t="s">
        <v>1315</v>
      </c>
      <c r="O490" s="1" t="b">
        <v>1</v>
      </c>
      <c r="Q490" s="34"/>
    </row>
    <row r="491" spans="2:17">
      <c r="B491" s="1" t="str">
        <f t="shared" si="18"/>
        <v>M_MED01_VM_BKT_489</v>
      </c>
      <c r="C491" s="92" t="s">
        <v>727</v>
      </c>
      <c r="D491" s="92" t="str" cm="1">
        <f t="array" ref="D491">INDEX(기계코드!$D$4:$D$1022,MATCH(1,(C491=기계코드!$F$4:$F$1022)*1,0))</f>
        <v>M_MED01</v>
      </c>
      <c r="E491" s="92" t="s">
        <v>1128</v>
      </c>
      <c r="F491" s="92" t="str" cm="1">
        <f t="array" ref="F491">INDEX(공급업체코드!$B$3:$B$1000,MATCH(1,(E491=공급업체코드!$D$3:$D$1000)*1,0))</f>
        <v>VM_BKT</v>
      </c>
      <c r="H491" s="312">
        <v>489</v>
      </c>
      <c r="I491" s="233" t="s">
        <v>1313</v>
      </c>
      <c r="K491" s="233" t="s">
        <v>1314</v>
      </c>
      <c r="L491" s="236">
        <f t="shared" si="17"/>
        <v>488511</v>
      </c>
      <c r="N491" s="113" t="s">
        <v>1315</v>
      </c>
      <c r="O491" s="1" t="b">
        <v>1</v>
      </c>
      <c r="Q491" s="34"/>
    </row>
    <row r="492" spans="2:17">
      <c r="B492" s="1" t="str">
        <f t="shared" si="18"/>
        <v>M_MED01_VM_BKT_490</v>
      </c>
      <c r="C492" s="92" t="s">
        <v>727</v>
      </c>
      <c r="D492" s="92" t="str" cm="1">
        <f t="array" ref="D492">INDEX(기계코드!$D$4:$D$1022,MATCH(1,(C492=기계코드!$F$4:$F$1022)*1,0))</f>
        <v>M_MED01</v>
      </c>
      <c r="E492" s="92" t="s">
        <v>1128</v>
      </c>
      <c r="F492" s="92" t="str" cm="1">
        <f t="array" ref="F492">INDEX(공급업체코드!$B$3:$B$1000,MATCH(1,(E492=공급업체코드!$D$3:$D$1000)*1,0))</f>
        <v>VM_BKT</v>
      </c>
      <c r="H492" s="312">
        <v>490</v>
      </c>
      <c r="I492" s="233" t="s">
        <v>1313</v>
      </c>
      <c r="K492" s="233" t="s">
        <v>1314</v>
      </c>
      <c r="L492" s="236">
        <f t="shared" si="17"/>
        <v>489510</v>
      </c>
      <c r="N492" s="113" t="s">
        <v>1315</v>
      </c>
      <c r="O492" s="1" t="b">
        <v>1</v>
      </c>
      <c r="Q492" s="34"/>
    </row>
    <row r="493" spans="2:17">
      <c r="B493" s="1" t="str">
        <f t="shared" si="18"/>
        <v>M_MED01_VM_BKT_491</v>
      </c>
      <c r="C493" s="92" t="s">
        <v>727</v>
      </c>
      <c r="D493" s="92" t="str" cm="1">
        <f t="array" ref="D493">INDEX(기계코드!$D$4:$D$1022,MATCH(1,(C493=기계코드!$F$4:$F$1022)*1,0))</f>
        <v>M_MED01</v>
      </c>
      <c r="E493" s="92" t="s">
        <v>1128</v>
      </c>
      <c r="F493" s="92" t="str" cm="1">
        <f t="array" ref="F493">INDEX(공급업체코드!$B$3:$B$1000,MATCH(1,(E493=공급업체코드!$D$3:$D$1000)*1,0))</f>
        <v>VM_BKT</v>
      </c>
      <c r="H493" s="312">
        <v>491</v>
      </c>
      <c r="I493" s="233" t="s">
        <v>1313</v>
      </c>
      <c r="K493" s="233" t="s">
        <v>1314</v>
      </c>
      <c r="L493" s="236">
        <f t="shared" si="17"/>
        <v>490509</v>
      </c>
      <c r="N493" s="113" t="s">
        <v>1315</v>
      </c>
      <c r="O493" s="1" t="b">
        <v>1</v>
      </c>
      <c r="Q493" s="34"/>
    </row>
    <row r="494" spans="2:17">
      <c r="B494" s="1" t="str">
        <f t="shared" si="18"/>
        <v>M_MED01_VM_BKT_492</v>
      </c>
      <c r="C494" s="92" t="s">
        <v>727</v>
      </c>
      <c r="D494" s="92" t="str" cm="1">
        <f t="array" ref="D494">INDEX(기계코드!$D$4:$D$1022,MATCH(1,(C494=기계코드!$F$4:$F$1022)*1,0))</f>
        <v>M_MED01</v>
      </c>
      <c r="E494" s="92" t="s">
        <v>1128</v>
      </c>
      <c r="F494" s="92" t="str" cm="1">
        <f t="array" ref="F494">INDEX(공급업체코드!$B$3:$B$1000,MATCH(1,(E494=공급업체코드!$D$3:$D$1000)*1,0))</f>
        <v>VM_BKT</v>
      </c>
      <c r="H494" s="312">
        <v>492</v>
      </c>
      <c r="I494" s="233" t="s">
        <v>1313</v>
      </c>
      <c r="K494" s="233" t="s">
        <v>1314</v>
      </c>
      <c r="L494" s="236">
        <f t="shared" si="17"/>
        <v>491508</v>
      </c>
      <c r="N494" s="113" t="s">
        <v>1315</v>
      </c>
      <c r="O494" s="1" t="b">
        <v>1</v>
      </c>
      <c r="Q494" s="34"/>
    </row>
    <row r="495" spans="2:17">
      <c r="B495" s="1" t="str">
        <f t="shared" si="18"/>
        <v>M_MED01_VM_BKT_493</v>
      </c>
      <c r="C495" s="92" t="s">
        <v>727</v>
      </c>
      <c r="D495" s="92" t="str" cm="1">
        <f t="array" ref="D495">INDEX(기계코드!$D$4:$D$1022,MATCH(1,(C495=기계코드!$F$4:$F$1022)*1,0))</f>
        <v>M_MED01</v>
      </c>
      <c r="E495" s="92" t="s">
        <v>1128</v>
      </c>
      <c r="F495" s="92" t="str" cm="1">
        <f t="array" ref="F495">INDEX(공급업체코드!$B$3:$B$1000,MATCH(1,(E495=공급업체코드!$D$3:$D$1000)*1,0))</f>
        <v>VM_BKT</v>
      </c>
      <c r="H495" s="312">
        <v>493</v>
      </c>
      <c r="I495" s="233" t="s">
        <v>1313</v>
      </c>
      <c r="K495" s="233" t="s">
        <v>1314</v>
      </c>
      <c r="L495" s="236">
        <f t="shared" si="17"/>
        <v>492507</v>
      </c>
      <c r="N495" s="113" t="s">
        <v>1315</v>
      </c>
      <c r="O495" s="1" t="b">
        <v>1</v>
      </c>
      <c r="Q495" s="34"/>
    </row>
    <row r="496" spans="2:17">
      <c r="B496" s="1" t="str">
        <f t="shared" si="18"/>
        <v>M_MED01_VM_BKT_494</v>
      </c>
      <c r="C496" s="92" t="s">
        <v>727</v>
      </c>
      <c r="D496" s="92" t="str" cm="1">
        <f t="array" ref="D496">INDEX(기계코드!$D$4:$D$1022,MATCH(1,(C496=기계코드!$F$4:$F$1022)*1,0))</f>
        <v>M_MED01</v>
      </c>
      <c r="E496" s="92" t="s">
        <v>1128</v>
      </c>
      <c r="F496" s="92" t="str" cm="1">
        <f t="array" ref="F496">INDEX(공급업체코드!$B$3:$B$1000,MATCH(1,(E496=공급업체코드!$D$3:$D$1000)*1,0))</f>
        <v>VM_BKT</v>
      </c>
      <c r="H496" s="312">
        <v>494</v>
      </c>
      <c r="I496" s="233" t="s">
        <v>1313</v>
      </c>
      <c r="K496" s="233" t="s">
        <v>1314</v>
      </c>
      <c r="L496" s="236">
        <f t="shared" si="17"/>
        <v>493506</v>
      </c>
      <c r="N496" s="113" t="s">
        <v>1315</v>
      </c>
      <c r="O496" s="1" t="b">
        <v>1</v>
      </c>
      <c r="Q496" s="34"/>
    </row>
    <row r="497" spans="2:17">
      <c r="B497" s="1" t="str">
        <f t="shared" si="18"/>
        <v>M_MED01_VM_BKT_495</v>
      </c>
      <c r="C497" s="92" t="s">
        <v>727</v>
      </c>
      <c r="D497" s="92" t="str" cm="1">
        <f t="array" ref="D497">INDEX(기계코드!$D$4:$D$1022,MATCH(1,(C497=기계코드!$F$4:$F$1022)*1,0))</f>
        <v>M_MED01</v>
      </c>
      <c r="E497" s="92" t="s">
        <v>1128</v>
      </c>
      <c r="F497" s="92" t="str" cm="1">
        <f t="array" ref="F497">INDEX(공급업체코드!$B$3:$B$1000,MATCH(1,(E497=공급업체코드!$D$3:$D$1000)*1,0))</f>
        <v>VM_BKT</v>
      </c>
      <c r="H497" s="312">
        <v>495</v>
      </c>
      <c r="I497" s="233" t="s">
        <v>1313</v>
      </c>
      <c r="K497" s="233" t="s">
        <v>1314</v>
      </c>
      <c r="L497" s="236">
        <f t="shared" si="17"/>
        <v>494505</v>
      </c>
      <c r="N497" s="113" t="s">
        <v>1315</v>
      </c>
      <c r="O497" s="1" t="b">
        <v>1</v>
      </c>
      <c r="Q497" s="34"/>
    </row>
    <row r="498" spans="2:17">
      <c r="B498" s="1" t="str">
        <f t="shared" si="18"/>
        <v>M_MED01_VM_BKT_496</v>
      </c>
      <c r="C498" s="92" t="s">
        <v>727</v>
      </c>
      <c r="D498" s="92" t="str" cm="1">
        <f t="array" ref="D498">INDEX(기계코드!$D$4:$D$1022,MATCH(1,(C498=기계코드!$F$4:$F$1022)*1,0))</f>
        <v>M_MED01</v>
      </c>
      <c r="E498" s="92" t="s">
        <v>1128</v>
      </c>
      <c r="F498" s="92" t="str" cm="1">
        <f t="array" ref="F498">INDEX(공급업체코드!$B$3:$B$1000,MATCH(1,(E498=공급업체코드!$D$3:$D$1000)*1,0))</f>
        <v>VM_BKT</v>
      </c>
      <c r="H498" s="312">
        <v>496</v>
      </c>
      <c r="I498" s="233" t="s">
        <v>1313</v>
      </c>
      <c r="K498" s="233" t="s">
        <v>1314</v>
      </c>
      <c r="L498" s="236">
        <f t="shared" si="17"/>
        <v>495504</v>
      </c>
      <c r="N498" s="113" t="s">
        <v>1315</v>
      </c>
      <c r="O498" s="1" t="b">
        <v>1</v>
      </c>
      <c r="Q498" s="34"/>
    </row>
    <row r="499" spans="2:17">
      <c r="B499" s="1" t="str">
        <f t="shared" si="18"/>
        <v>M_MED01_VM_BKT_497</v>
      </c>
      <c r="C499" s="92" t="s">
        <v>727</v>
      </c>
      <c r="D499" s="92" t="str" cm="1">
        <f t="array" ref="D499">INDEX(기계코드!$D$4:$D$1022,MATCH(1,(C499=기계코드!$F$4:$F$1022)*1,0))</f>
        <v>M_MED01</v>
      </c>
      <c r="E499" s="92" t="s">
        <v>1128</v>
      </c>
      <c r="F499" s="92" t="str" cm="1">
        <f t="array" ref="F499">INDEX(공급업체코드!$B$3:$B$1000,MATCH(1,(E499=공급업체코드!$D$3:$D$1000)*1,0))</f>
        <v>VM_BKT</v>
      </c>
      <c r="H499" s="312">
        <v>497</v>
      </c>
      <c r="I499" s="233" t="s">
        <v>1313</v>
      </c>
      <c r="K499" s="233" t="s">
        <v>1314</v>
      </c>
      <c r="L499" s="236">
        <f t="shared" si="17"/>
        <v>496503</v>
      </c>
      <c r="N499" s="113" t="s">
        <v>1315</v>
      </c>
      <c r="O499" s="1" t="b">
        <v>1</v>
      </c>
      <c r="Q499" s="34"/>
    </row>
    <row r="500" spans="2:17">
      <c r="B500" s="1" t="str">
        <f t="shared" si="18"/>
        <v>M_MED01_VM_BKT_498</v>
      </c>
      <c r="C500" s="92" t="s">
        <v>727</v>
      </c>
      <c r="D500" s="92" t="str" cm="1">
        <f t="array" ref="D500">INDEX(기계코드!$D$4:$D$1022,MATCH(1,(C500=기계코드!$F$4:$F$1022)*1,0))</f>
        <v>M_MED01</v>
      </c>
      <c r="E500" s="92" t="s">
        <v>1128</v>
      </c>
      <c r="F500" s="92" t="str" cm="1">
        <f t="array" ref="F500">INDEX(공급업체코드!$B$3:$B$1000,MATCH(1,(E500=공급업체코드!$D$3:$D$1000)*1,0))</f>
        <v>VM_BKT</v>
      </c>
      <c r="H500" s="312">
        <v>498</v>
      </c>
      <c r="I500" s="233" t="s">
        <v>1313</v>
      </c>
      <c r="K500" s="233" t="s">
        <v>1314</v>
      </c>
      <c r="L500" s="236">
        <f t="shared" si="17"/>
        <v>497502</v>
      </c>
      <c r="N500" s="113" t="s">
        <v>1315</v>
      </c>
      <c r="O500" s="1" t="b">
        <v>1</v>
      </c>
      <c r="Q500" s="34"/>
    </row>
    <row r="501" spans="2:17">
      <c r="B501" s="1" t="str">
        <f t="shared" si="18"/>
        <v>M_MED01_VM_BKT_499</v>
      </c>
      <c r="C501" s="92" t="s">
        <v>727</v>
      </c>
      <c r="D501" s="92" t="str" cm="1">
        <f t="array" ref="D501">INDEX(기계코드!$D$4:$D$1022,MATCH(1,(C501=기계코드!$F$4:$F$1022)*1,0))</f>
        <v>M_MED01</v>
      </c>
      <c r="E501" s="92" t="s">
        <v>1128</v>
      </c>
      <c r="F501" s="92" t="str" cm="1">
        <f t="array" ref="F501">INDEX(공급업체코드!$B$3:$B$1000,MATCH(1,(E501=공급업체코드!$D$3:$D$1000)*1,0))</f>
        <v>VM_BKT</v>
      </c>
      <c r="H501" s="312">
        <v>499</v>
      </c>
      <c r="I501" s="233" t="s">
        <v>1313</v>
      </c>
      <c r="K501" s="233" t="s">
        <v>1314</v>
      </c>
      <c r="L501" s="236">
        <f t="shared" si="17"/>
        <v>498501</v>
      </c>
      <c r="N501" s="113" t="s">
        <v>1315</v>
      </c>
      <c r="O501" s="1" t="b">
        <v>1</v>
      </c>
      <c r="Q501" s="34"/>
    </row>
    <row r="502" spans="2:17">
      <c r="B502" s="1" t="str">
        <f t="shared" si="18"/>
        <v>M_MED01_VM_BKT_500</v>
      </c>
      <c r="C502" s="92" t="s">
        <v>727</v>
      </c>
      <c r="D502" s="92" t="str" cm="1">
        <f t="array" ref="D502">INDEX(기계코드!$D$4:$D$1022,MATCH(1,(C502=기계코드!$F$4:$F$1022)*1,0))</f>
        <v>M_MED01</v>
      </c>
      <c r="E502" s="92" t="s">
        <v>1128</v>
      </c>
      <c r="F502" s="92" t="str" cm="1">
        <f t="array" ref="F502">INDEX(공급업체코드!$B$3:$B$1000,MATCH(1,(E502=공급업체코드!$D$3:$D$1000)*1,0))</f>
        <v>VM_BKT</v>
      </c>
      <c r="H502" s="312">
        <v>500</v>
      </c>
      <c r="I502" s="233" t="s">
        <v>1313</v>
      </c>
      <c r="K502" s="233" t="s">
        <v>1314</v>
      </c>
      <c r="L502" s="236">
        <f t="shared" si="17"/>
        <v>499500</v>
      </c>
      <c r="N502" s="113" t="s">
        <v>1315</v>
      </c>
      <c r="O502" s="1" t="b">
        <v>1</v>
      </c>
      <c r="Q502" s="34"/>
    </row>
    <row r="503" spans="2:17">
      <c r="B503" s="1" t="str">
        <f t="shared" si="18"/>
        <v>M_MED01_VM_BKT_501</v>
      </c>
      <c r="C503" s="92" t="s">
        <v>727</v>
      </c>
      <c r="D503" s="92" t="str" cm="1">
        <f t="array" ref="D503">INDEX(기계코드!$D$4:$D$1022,MATCH(1,(C503=기계코드!$F$4:$F$1022)*1,0))</f>
        <v>M_MED01</v>
      </c>
      <c r="E503" s="92" t="s">
        <v>1128</v>
      </c>
      <c r="F503" s="92" t="str" cm="1">
        <f t="array" ref="F503">INDEX(공급업체코드!$B$3:$B$1000,MATCH(1,(E503=공급업체코드!$D$3:$D$1000)*1,0))</f>
        <v>VM_BKT</v>
      </c>
      <c r="H503" s="312">
        <v>501</v>
      </c>
      <c r="I503" s="233" t="s">
        <v>1313</v>
      </c>
      <c r="K503" s="233" t="s">
        <v>1314</v>
      </c>
      <c r="L503" s="236">
        <f t="shared" si="17"/>
        <v>500499</v>
      </c>
      <c r="N503" s="113" t="s">
        <v>1315</v>
      </c>
      <c r="O503" s="1" t="b">
        <v>1</v>
      </c>
      <c r="Q503" s="34"/>
    </row>
    <row r="504" spans="2:17">
      <c r="B504" s="1" t="str">
        <f t="shared" si="18"/>
        <v>M_MED01_VM_BKT_502</v>
      </c>
      <c r="C504" s="92" t="s">
        <v>727</v>
      </c>
      <c r="D504" s="92" t="str" cm="1">
        <f t="array" ref="D504">INDEX(기계코드!$D$4:$D$1022,MATCH(1,(C504=기계코드!$F$4:$F$1022)*1,0))</f>
        <v>M_MED01</v>
      </c>
      <c r="E504" s="92" t="s">
        <v>1128</v>
      </c>
      <c r="F504" s="92" t="str" cm="1">
        <f t="array" ref="F504">INDEX(공급업체코드!$B$3:$B$1000,MATCH(1,(E504=공급업체코드!$D$3:$D$1000)*1,0))</f>
        <v>VM_BKT</v>
      </c>
      <c r="H504" s="312">
        <v>502</v>
      </c>
      <c r="I504" s="233" t="s">
        <v>1313</v>
      </c>
      <c r="K504" s="233" t="s">
        <v>1314</v>
      </c>
      <c r="L504" s="236">
        <f t="shared" si="17"/>
        <v>501498</v>
      </c>
      <c r="N504" s="113" t="s">
        <v>1315</v>
      </c>
      <c r="O504" s="1" t="b">
        <v>1</v>
      </c>
      <c r="Q504" s="34"/>
    </row>
    <row r="505" spans="2:17">
      <c r="B505" s="1" t="str">
        <f t="shared" si="18"/>
        <v>M_MED01_VM_BKT_503</v>
      </c>
      <c r="C505" s="92" t="s">
        <v>727</v>
      </c>
      <c r="D505" s="92" t="str" cm="1">
        <f t="array" ref="D505">INDEX(기계코드!$D$4:$D$1022,MATCH(1,(C505=기계코드!$F$4:$F$1022)*1,0))</f>
        <v>M_MED01</v>
      </c>
      <c r="E505" s="92" t="s">
        <v>1128</v>
      </c>
      <c r="F505" s="92" t="str" cm="1">
        <f t="array" ref="F505">INDEX(공급업체코드!$B$3:$B$1000,MATCH(1,(E505=공급업체코드!$D$3:$D$1000)*1,0))</f>
        <v>VM_BKT</v>
      </c>
      <c r="H505" s="312">
        <v>503</v>
      </c>
      <c r="I505" s="233" t="s">
        <v>1313</v>
      </c>
      <c r="K505" s="233" t="s">
        <v>1314</v>
      </c>
      <c r="L505" s="236">
        <f t="shared" si="17"/>
        <v>502497</v>
      </c>
      <c r="N505" s="113" t="s">
        <v>1315</v>
      </c>
      <c r="O505" s="1" t="b">
        <v>1</v>
      </c>
      <c r="Q505" s="34"/>
    </row>
    <row r="506" spans="2:17">
      <c r="B506" s="1" t="str">
        <f t="shared" si="18"/>
        <v>M_MED01_VM_BKT_504</v>
      </c>
      <c r="C506" s="92" t="s">
        <v>727</v>
      </c>
      <c r="D506" s="92" t="str" cm="1">
        <f t="array" ref="D506">INDEX(기계코드!$D$4:$D$1022,MATCH(1,(C506=기계코드!$F$4:$F$1022)*1,0))</f>
        <v>M_MED01</v>
      </c>
      <c r="E506" s="92" t="s">
        <v>1128</v>
      </c>
      <c r="F506" s="92" t="str" cm="1">
        <f t="array" ref="F506">INDEX(공급업체코드!$B$3:$B$1000,MATCH(1,(E506=공급업체코드!$D$3:$D$1000)*1,0))</f>
        <v>VM_BKT</v>
      </c>
      <c r="H506" s="312">
        <v>504</v>
      </c>
      <c r="I506" s="233" t="s">
        <v>1313</v>
      </c>
      <c r="K506" s="233" t="s">
        <v>1314</v>
      </c>
      <c r="L506" s="236">
        <f t="shared" si="17"/>
        <v>503496</v>
      </c>
      <c r="N506" s="113" t="s">
        <v>1315</v>
      </c>
      <c r="O506" s="1" t="b">
        <v>1</v>
      </c>
      <c r="Q506" s="34"/>
    </row>
    <row r="507" spans="2:17">
      <c r="B507" s="1" t="str">
        <f t="shared" si="18"/>
        <v>M_MED01_VM_BKT_505</v>
      </c>
      <c r="C507" s="92" t="s">
        <v>727</v>
      </c>
      <c r="D507" s="92" t="str" cm="1">
        <f t="array" ref="D507">INDEX(기계코드!$D$4:$D$1022,MATCH(1,(C507=기계코드!$F$4:$F$1022)*1,0))</f>
        <v>M_MED01</v>
      </c>
      <c r="E507" s="92" t="s">
        <v>1128</v>
      </c>
      <c r="F507" s="92" t="str" cm="1">
        <f t="array" ref="F507">INDEX(공급업체코드!$B$3:$B$1000,MATCH(1,(E507=공급업체코드!$D$3:$D$1000)*1,0))</f>
        <v>VM_BKT</v>
      </c>
      <c r="H507" s="312">
        <v>505</v>
      </c>
      <c r="I507" s="233" t="s">
        <v>1313</v>
      </c>
      <c r="K507" s="233" t="s">
        <v>1314</v>
      </c>
      <c r="L507" s="236">
        <f t="shared" si="17"/>
        <v>504495</v>
      </c>
      <c r="N507" s="113" t="s">
        <v>1315</v>
      </c>
      <c r="O507" s="1" t="b">
        <v>1</v>
      </c>
      <c r="Q507" s="34"/>
    </row>
    <row r="508" spans="2:17">
      <c r="B508" s="1" t="str">
        <f t="shared" si="18"/>
        <v>M_MED01_VM_BKT_506</v>
      </c>
      <c r="C508" s="92" t="s">
        <v>727</v>
      </c>
      <c r="D508" s="92" t="str" cm="1">
        <f t="array" ref="D508">INDEX(기계코드!$D$4:$D$1022,MATCH(1,(C508=기계코드!$F$4:$F$1022)*1,0))</f>
        <v>M_MED01</v>
      </c>
      <c r="E508" s="92" t="s">
        <v>1128</v>
      </c>
      <c r="F508" s="92" t="str" cm="1">
        <f t="array" ref="F508">INDEX(공급업체코드!$B$3:$B$1000,MATCH(1,(E508=공급업체코드!$D$3:$D$1000)*1,0))</f>
        <v>VM_BKT</v>
      </c>
      <c r="H508" s="312">
        <v>506</v>
      </c>
      <c r="I508" s="233" t="s">
        <v>1313</v>
      </c>
      <c r="K508" s="233" t="s">
        <v>1314</v>
      </c>
      <c r="L508" s="236">
        <f t="shared" si="17"/>
        <v>505494</v>
      </c>
      <c r="N508" s="113" t="s">
        <v>1315</v>
      </c>
      <c r="O508" s="1" t="b">
        <v>1</v>
      </c>
      <c r="Q508" s="34"/>
    </row>
    <row r="509" spans="2:17">
      <c r="B509" s="1" t="str">
        <f t="shared" si="18"/>
        <v>M_MED01_VM_BKT_507</v>
      </c>
      <c r="C509" s="92" t="s">
        <v>727</v>
      </c>
      <c r="D509" s="92" t="str" cm="1">
        <f t="array" ref="D509">INDEX(기계코드!$D$4:$D$1022,MATCH(1,(C509=기계코드!$F$4:$F$1022)*1,0))</f>
        <v>M_MED01</v>
      </c>
      <c r="E509" s="92" t="s">
        <v>1128</v>
      </c>
      <c r="F509" s="92" t="str" cm="1">
        <f t="array" ref="F509">INDEX(공급업체코드!$B$3:$B$1000,MATCH(1,(E509=공급업체코드!$D$3:$D$1000)*1,0))</f>
        <v>VM_BKT</v>
      </c>
      <c r="H509" s="312">
        <v>507</v>
      </c>
      <c r="I509" s="233" t="s">
        <v>1313</v>
      </c>
      <c r="K509" s="233" t="s">
        <v>1314</v>
      </c>
      <c r="L509" s="236">
        <f t="shared" si="17"/>
        <v>506493</v>
      </c>
      <c r="N509" s="113" t="s">
        <v>1315</v>
      </c>
      <c r="O509" s="1" t="b">
        <v>1</v>
      </c>
      <c r="Q509" s="34"/>
    </row>
    <row r="510" spans="2:17">
      <c r="B510" s="1" t="str">
        <f t="shared" si="18"/>
        <v>M_MED01_VM_BKT_508</v>
      </c>
      <c r="C510" s="92" t="s">
        <v>727</v>
      </c>
      <c r="D510" s="92" t="str" cm="1">
        <f t="array" ref="D510">INDEX(기계코드!$D$4:$D$1022,MATCH(1,(C510=기계코드!$F$4:$F$1022)*1,0))</f>
        <v>M_MED01</v>
      </c>
      <c r="E510" s="92" t="s">
        <v>1128</v>
      </c>
      <c r="F510" s="92" t="str" cm="1">
        <f t="array" ref="F510">INDEX(공급업체코드!$B$3:$B$1000,MATCH(1,(E510=공급업체코드!$D$3:$D$1000)*1,0))</f>
        <v>VM_BKT</v>
      </c>
      <c r="H510" s="312">
        <v>508</v>
      </c>
      <c r="I510" s="233" t="s">
        <v>1313</v>
      </c>
      <c r="K510" s="233" t="s">
        <v>1314</v>
      </c>
      <c r="L510" s="236">
        <f t="shared" si="17"/>
        <v>507492</v>
      </c>
      <c r="N510" s="113" t="s">
        <v>1315</v>
      </c>
      <c r="O510" s="1" t="b">
        <v>1</v>
      </c>
      <c r="Q510" s="34"/>
    </row>
    <row r="511" spans="2:17">
      <c r="B511" s="1" t="str">
        <f t="shared" si="18"/>
        <v>M_MED01_VM_BKT_509</v>
      </c>
      <c r="C511" s="92" t="s">
        <v>727</v>
      </c>
      <c r="D511" s="92" t="str" cm="1">
        <f t="array" ref="D511">INDEX(기계코드!$D$4:$D$1022,MATCH(1,(C511=기계코드!$F$4:$F$1022)*1,0))</f>
        <v>M_MED01</v>
      </c>
      <c r="E511" s="92" t="s">
        <v>1128</v>
      </c>
      <c r="F511" s="92" t="str" cm="1">
        <f t="array" ref="F511">INDEX(공급업체코드!$B$3:$B$1000,MATCH(1,(E511=공급업체코드!$D$3:$D$1000)*1,0))</f>
        <v>VM_BKT</v>
      </c>
      <c r="H511" s="312">
        <v>509</v>
      </c>
      <c r="I511" s="233" t="s">
        <v>1313</v>
      </c>
      <c r="K511" s="233" t="s">
        <v>1314</v>
      </c>
      <c r="L511" s="236">
        <f t="shared" si="17"/>
        <v>508491</v>
      </c>
      <c r="N511" s="113" t="s">
        <v>1315</v>
      </c>
      <c r="O511" s="1" t="b">
        <v>1</v>
      </c>
      <c r="Q511" s="34"/>
    </row>
    <row r="512" spans="2:17">
      <c r="B512" s="1" t="str">
        <f t="shared" si="18"/>
        <v>M_MED01_VM_BKT_510</v>
      </c>
      <c r="C512" s="92" t="s">
        <v>727</v>
      </c>
      <c r="D512" s="92" t="str" cm="1">
        <f t="array" ref="D512">INDEX(기계코드!$D$4:$D$1022,MATCH(1,(C512=기계코드!$F$4:$F$1022)*1,0))</f>
        <v>M_MED01</v>
      </c>
      <c r="E512" s="92" t="s">
        <v>1128</v>
      </c>
      <c r="F512" s="92" t="str" cm="1">
        <f t="array" ref="F512">INDEX(공급업체코드!$B$3:$B$1000,MATCH(1,(E512=공급업체코드!$D$3:$D$1000)*1,0))</f>
        <v>VM_BKT</v>
      </c>
      <c r="H512" s="312">
        <v>510</v>
      </c>
      <c r="I512" s="233" t="s">
        <v>1313</v>
      </c>
      <c r="K512" s="233" t="s">
        <v>1314</v>
      </c>
      <c r="L512" s="236">
        <f t="shared" si="17"/>
        <v>509490</v>
      </c>
      <c r="N512" s="113" t="s">
        <v>1315</v>
      </c>
      <c r="O512" s="1" t="b">
        <v>1</v>
      </c>
      <c r="Q512" s="34"/>
    </row>
    <row r="513" spans="2:17">
      <c r="B513" s="1" t="str">
        <f t="shared" si="18"/>
        <v>M_MED01_VM_BKT_511</v>
      </c>
      <c r="C513" s="92" t="s">
        <v>727</v>
      </c>
      <c r="D513" s="92" t="str" cm="1">
        <f t="array" ref="D513">INDEX(기계코드!$D$4:$D$1022,MATCH(1,(C513=기계코드!$F$4:$F$1022)*1,0))</f>
        <v>M_MED01</v>
      </c>
      <c r="E513" s="92" t="s">
        <v>1128</v>
      </c>
      <c r="F513" s="92" t="str" cm="1">
        <f t="array" ref="F513">INDEX(공급업체코드!$B$3:$B$1000,MATCH(1,(E513=공급업체코드!$D$3:$D$1000)*1,0))</f>
        <v>VM_BKT</v>
      </c>
      <c r="H513" s="312">
        <v>511</v>
      </c>
      <c r="I513" s="233" t="s">
        <v>1313</v>
      </c>
      <c r="K513" s="233" t="s">
        <v>1314</v>
      </c>
      <c r="L513" s="236">
        <f t="shared" si="17"/>
        <v>510489</v>
      </c>
      <c r="N513" s="113" t="s">
        <v>1315</v>
      </c>
      <c r="O513" s="1" t="b">
        <v>1</v>
      </c>
      <c r="Q513" s="34"/>
    </row>
    <row r="514" spans="2:17">
      <c r="B514" s="1" t="str">
        <f t="shared" si="18"/>
        <v>M_MED01_VM_BKT_512</v>
      </c>
      <c r="C514" s="92" t="s">
        <v>727</v>
      </c>
      <c r="D514" s="92" t="str" cm="1">
        <f t="array" ref="D514">INDEX(기계코드!$D$4:$D$1022,MATCH(1,(C514=기계코드!$F$4:$F$1022)*1,0))</f>
        <v>M_MED01</v>
      </c>
      <c r="E514" s="92" t="s">
        <v>1128</v>
      </c>
      <c r="F514" s="92" t="str" cm="1">
        <f t="array" ref="F514">INDEX(공급업체코드!$B$3:$B$1000,MATCH(1,(E514=공급업체코드!$D$3:$D$1000)*1,0))</f>
        <v>VM_BKT</v>
      </c>
      <c r="H514" s="312">
        <v>512</v>
      </c>
      <c r="I514" s="233" t="s">
        <v>1313</v>
      </c>
      <c r="K514" s="233" t="s">
        <v>1314</v>
      </c>
      <c r="L514" s="236">
        <f t="shared" si="17"/>
        <v>511488</v>
      </c>
      <c r="N514" s="113" t="s">
        <v>1315</v>
      </c>
      <c r="O514" s="1" t="b">
        <v>1</v>
      </c>
      <c r="Q514" s="34"/>
    </row>
    <row r="515" spans="2:17">
      <c r="B515" s="1" t="str">
        <f t="shared" si="18"/>
        <v>M_MED01_VM_BKT_513</v>
      </c>
      <c r="C515" s="92" t="s">
        <v>727</v>
      </c>
      <c r="D515" s="92" t="str" cm="1">
        <f t="array" ref="D515">INDEX(기계코드!$D$4:$D$1022,MATCH(1,(C515=기계코드!$F$4:$F$1022)*1,0))</f>
        <v>M_MED01</v>
      </c>
      <c r="E515" s="92" t="s">
        <v>1128</v>
      </c>
      <c r="F515" s="92" t="str" cm="1">
        <f t="array" ref="F515">INDEX(공급업체코드!$B$3:$B$1000,MATCH(1,(E515=공급업체코드!$D$3:$D$1000)*1,0))</f>
        <v>VM_BKT</v>
      </c>
      <c r="H515" s="312">
        <v>513</v>
      </c>
      <c r="I515" s="233" t="s">
        <v>1313</v>
      </c>
      <c r="K515" s="233" t="s">
        <v>1314</v>
      </c>
      <c r="L515" s="236">
        <f t="shared" si="17"/>
        <v>512487</v>
      </c>
      <c r="N515" s="113" t="s">
        <v>1315</v>
      </c>
      <c r="O515" s="1" t="b">
        <v>1</v>
      </c>
      <c r="Q515" s="34"/>
    </row>
    <row r="516" spans="2:17">
      <c r="B516" s="1" t="str">
        <f t="shared" si="18"/>
        <v>M_MED01_VM_BKT_514</v>
      </c>
      <c r="C516" s="92" t="s">
        <v>727</v>
      </c>
      <c r="D516" s="92" t="str" cm="1">
        <f t="array" ref="D516">INDEX(기계코드!$D$4:$D$1022,MATCH(1,(C516=기계코드!$F$4:$F$1022)*1,0))</f>
        <v>M_MED01</v>
      </c>
      <c r="E516" s="92" t="s">
        <v>1128</v>
      </c>
      <c r="F516" s="92" t="str" cm="1">
        <f t="array" ref="F516">INDEX(공급업체코드!$B$3:$B$1000,MATCH(1,(E516=공급업체코드!$D$3:$D$1000)*1,0))</f>
        <v>VM_BKT</v>
      </c>
      <c r="H516" s="312">
        <v>514</v>
      </c>
      <c r="I516" s="233" t="s">
        <v>1313</v>
      </c>
      <c r="K516" s="233" t="s">
        <v>1314</v>
      </c>
      <c r="L516" s="236">
        <f t="shared" si="17"/>
        <v>513486</v>
      </c>
      <c r="N516" s="113" t="s">
        <v>1315</v>
      </c>
      <c r="O516" s="1" t="b">
        <v>1</v>
      </c>
      <c r="Q516" s="34"/>
    </row>
    <row r="517" spans="2:17">
      <c r="B517" s="1" t="str">
        <f t="shared" si="18"/>
        <v>M_MED01_VM_BKT_515</v>
      </c>
      <c r="C517" s="92" t="s">
        <v>727</v>
      </c>
      <c r="D517" s="92" t="str" cm="1">
        <f t="array" ref="D517">INDEX(기계코드!$D$4:$D$1022,MATCH(1,(C517=기계코드!$F$4:$F$1022)*1,0))</f>
        <v>M_MED01</v>
      </c>
      <c r="E517" s="92" t="s">
        <v>1128</v>
      </c>
      <c r="F517" s="92" t="str" cm="1">
        <f t="array" ref="F517">INDEX(공급업체코드!$B$3:$B$1000,MATCH(1,(E517=공급업체코드!$D$3:$D$1000)*1,0))</f>
        <v>VM_BKT</v>
      </c>
      <c r="H517" s="312">
        <v>515</v>
      </c>
      <c r="I517" s="233" t="s">
        <v>1313</v>
      </c>
      <c r="K517" s="233" t="s">
        <v>1314</v>
      </c>
      <c r="L517" s="236">
        <f t="shared" ref="L517:L580" si="19">$L$3*H517</f>
        <v>514485</v>
      </c>
      <c r="N517" s="113" t="s">
        <v>1315</v>
      </c>
      <c r="O517" s="1" t="b">
        <v>1</v>
      </c>
      <c r="Q517" s="34"/>
    </row>
    <row r="518" spans="2:17">
      <c r="B518" s="1" t="str">
        <f t="shared" si="18"/>
        <v>M_MED01_VM_BKT_516</v>
      </c>
      <c r="C518" s="92" t="s">
        <v>727</v>
      </c>
      <c r="D518" s="92" t="str" cm="1">
        <f t="array" ref="D518">INDEX(기계코드!$D$4:$D$1022,MATCH(1,(C518=기계코드!$F$4:$F$1022)*1,0))</f>
        <v>M_MED01</v>
      </c>
      <c r="E518" s="92" t="s">
        <v>1128</v>
      </c>
      <c r="F518" s="92" t="str" cm="1">
        <f t="array" ref="F518">INDEX(공급업체코드!$B$3:$B$1000,MATCH(1,(E518=공급업체코드!$D$3:$D$1000)*1,0))</f>
        <v>VM_BKT</v>
      </c>
      <c r="H518" s="312">
        <v>516</v>
      </c>
      <c r="I518" s="233" t="s">
        <v>1313</v>
      </c>
      <c r="K518" s="233" t="s">
        <v>1314</v>
      </c>
      <c r="L518" s="236">
        <f t="shared" si="19"/>
        <v>515484</v>
      </c>
      <c r="N518" s="113" t="s">
        <v>1315</v>
      </c>
      <c r="O518" s="1" t="b">
        <v>1</v>
      </c>
      <c r="Q518" s="34"/>
    </row>
    <row r="519" spans="2:17">
      <c r="B519" s="1" t="str">
        <f t="shared" ref="B519:B582" si="20">D519&amp;"_"&amp;F519&amp;"_"&amp;H519</f>
        <v>M_MED01_VM_BKT_517</v>
      </c>
      <c r="C519" s="92" t="s">
        <v>727</v>
      </c>
      <c r="D519" s="92" t="str" cm="1">
        <f t="array" ref="D519">INDEX(기계코드!$D$4:$D$1022,MATCH(1,(C519=기계코드!$F$4:$F$1022)*1,0))</f>
        <v>M_MED01</v>
      </c>
      <c r="E519" s="92" t="s">
        <v>1128</v>
      </c>
      <c r="F519" s="92" t="str" cm="1">
        <f t="array" ref="F519">INDEX(공급업체코드!$B$3:$B$1000,MATCH(1,(E519=공급업체코드!$D$3:$D$1000)*1,0))</f>
        <v>VM_BKT</v>
      </c>
      <c r="H519" s="312">
        <v>517</v>
      </c>
      <c r="I519" s="233" t="s">
        <v>1313</v>
      </c>
      <c r="K519" s="233" t="s">
        <v>1314</v>
      </c>
      <c r="L519" s="236">
        <f t="shared" si="19"/>
        <v>516483</v>
      </c>
      <c r="N519" s="113" t="s">
        <v>1315</v>
      </c>
      <c r="O519" s="1" t="b">
        <v>1</v>
      </c>
      <c r="Q519" s="34"/>
    </row>
    <row r="520" spans="2:17">
      <c r="B520" s="1" t="str">
        <f t="shared" si="20"/>
        <v>M_MED01_VM_BKT_518</v>
      </c>
      <c r="C520" s="92" t="s">
        <v>727</v>
      </c>
      <c r="D520" s="92" t="str" cm="1">
        <f t="array" ref="D520">INDEX(기계코드!$D$4:$D$1022,MATCH(1,(C520=기계코드!$F$4:$F$1022)*1,0))</f>
        <v>M_MED01</v>
      </c>
      <c r="E520" s="92" t="s">
        <v>1128</v>
      </c>
      <c r="F520" s="92" t="str" cm="1">
        <f t="array" ref="F520">INDEX(공급업체코드!$B$3:$B$1000,MATCH(1,(E520=공급업체코드!$D$3:$D$1000)*1,0))</f>
        <v>VM_BKT</v>
      </c>
      <c r="H520" s="312">
        <v>518</v>
      </c>
      <c r="I520" s="233" t="s">
        <v>1313</v>
      </c>
      <c r="K520" s="233" t="s">
        <v>1314</v>
      </c>
      <c r="L520" s="236">
        <f t="shared" si="19"/>
        <v>517482</v>
      </c>
      <c r="N520" s="113" t="s">
        <v>1315</v>
      </c>
      <c r="O520" s="1" t="b">
        <v>1</v>
      </c>
      <c r="Q520" s="34"/>
    </row>
    <row r="521" spans="2:17">
      <c r="B521" s="1" t="str">
        <f t="shared" si="20"/>
        <v>M_MED01_VM_BKT_519</v>
      </c>
      <c r="C521" s="92" t="s">
        <v>727</v>
      </c>
      <c r="D521" s="92" t="str" cm="1">
        <f t="array" ref="D521">INDEX(기계코드!$D$4:$D$1022,MATCH(1,(C521=기계코드!$F$4:$F$1022)*1,0))</f>
        <v>M_MED01</v>
      </c>
      <c r="E521" s="92" t="s">
        <v>1128</v>
      </c>
      <c r="F521" s="92" t="str" cm="1">
        <f t="array" ref="F521">INDEX(공급업체코드!$B$3:$B$1000,MATCH(1,(E521=공급업체코드!$D$3:$D$1000)*1,0))</f>
        <v>VM_BKT</v>
      </c>
      <c r="H521" s="312">
        <v>519</v>
      </c>
      <c r="I521" s="233" t="s">
        <v>1313</v>
      </c>
      <c r="K521" s="233" t="s">
        <v>1314</v>
      </c>
      <c r="L521" s="236">
        <f t="shared" si="19"/>
        <v>518481</v>
      </c>
      <c r="N521" s="113" t="s">
        <v>1315</v>
      </c>
      <c r="O521" s="1" t="b">
        <v>1</v>
      </c>
      <c r="Q521" s="34"/>
    </row>
    <row r="522" spans="2:17">
      <c r="B522" s="1" t="str">
        <f t="shared" si="20"/>
        <v>M_MED01_VM_BKT_520</v>
      </c>
      <c r="C522" s="92" t="s">
        <v>727</v>
      </c>
      <c r="D522" s="92" t="str" cm="1">
        <f t="array" ref="D522">INDEX(기계코드!$D$4:$D$1022,MATCH(1,(C522=기계코드!$F$4:$F$1022)*1,0))</f>
        <v>M_MED01</v>
      </c>
      <c r="E522" s="92" t="s">
        <v>1128</v>
      </c>
      <c r="F522" s="92" t="str" cm="1">
        <f t="array" ref="F522">INDEX(공급업체코드!$B$3:$B$1000,MATCH(1,(E522=공급업체코드!$D$3:$D$1000)*1,0))</f>
        <v>VM_BKT</v>
      </c>
      <c r="H522" s="312">
        <v>520</v>
      </c>
      <c r="I522" s="233" t="s">
        <v>1313</v>
      </c>
      <c r="K522" s="233" t="s">
        <v>1314</v>
      </c>
      <c r="L522" s="236">
        <f t="shared" si="19"/>
        <v>519480</v>
      </c>
      <c r="N522" s="113" t="s">
        <v>1315</v>
      </c>
      <c r="O522" s="1" t="b">
        <v>1</v>
      </c>
      <c r="Q522" s="34"/>
    </row>
    <row r="523" spans="2:17">
      <c r="B523" s="1" t="str">
        <f t="shared" si="20"/>
        <v>M_MED01_VM_BKT_521</v>
      </c>
      <c r="C523" s="92" t="s">
        <v>727</v>
      </c>
      <c r="D523" s="92" t="str" cm="1">
        <f t="array" ref="D523">INDEX(기계코드!$D$4:$D$1022,MATCH(1,(C523=기계코드!$F$4:$F$1022)*1,0))</f>
        <v>M_MED01</v>
      </c>
      <c r="E523" s="92" t="s">
        <v>1128</v>
      </c>
      <c r="F523" s="92" t="str" cm="1">
        <f t="array" ref="F523">INDEX(공급업체코드!$B$3:$B$1000,MATCH(1,(E523=공급업체코드!$D$3:$D$1000)*1,0))</f>
        <v>VM_BKT</v>
      </c>
      <c r="H523" s="312">
        <v>521</v>
      </c>
      <c r="I523" s="233" t="s">
        <v>1313</v>
      </c>
      <c r="K523" s="233" t="s">
        <v>1314</v>
      </c>
      <c r="L523" s="236">
        <f t="shared" si="19"/>
        <v>520479</v>
      </c>
      <c r="N523" s="113" t="s">
        <v>1315</v>
      </c>
      <c r="O523" s="1" t="b">
        <v>1</v>
      </c>
      <c r="Q523" s="34"/>
    </row>
    <row r="524" spans="2:17">
      <c r="B524" s="1" t="str">
        <f t="shared" si="20"/>
        <v>M_MED01_VM_BKT_522</v>
      </c>
      <c r="C524" s="92" t="s">
        <v>727</v>
      </c>
      <c r="D524" s="92" t="str" cm="1">
        <f t="array" ref="D524">INDEX(기계코드!$D$4:$D$1022,MATCH(1,(C524=기계코드!$F$4:$F$1022)*1,0))</f>
        <v>M_MED01</v>
      </c>
      <c r="E524" s="92" t="s">
        <v>1128</v>
      </c>
      <c r="F524" s="92" t="str" cm="1">
        <f t="array" ref="F524">INDEX(공급업체코드!$B$3:$B$1000,MATCH(1,(E524=공급업체코드!$D$3:$D$1000)*1,0))</f>
        <v>VM_BKT</v>
      </c>
      <c r="H524" s="312">
        <v>522</v>
      </c>
      <c r="I524" s="233" t="s">
        <v>1313</v>
      </c>
      <c r="K524" s="233" t="s">
        <v>1314</v>
      </c>
      <c r="L524" s="236">
        <f t="shared" si="19"/>
        <v>521478</v>
      </c>
      <c r="N524" s="113" t="s">
        <v>1315</v>
      </c>
      <c r="O524" s="1" t="b">
        <v>1</v>
      </c>
      <c r="Q524" s="34"/>
    </row>
    <row r="525" spans="2:17">
      <c r="B525" s="1" t="str">
        <f t="shared" si="20"/>
        <v>M_MED01_VM_BKT_523</v>
      </c>
      <c r="C525" s="92" t="s">
        <v>727</v>
      </c>
      <c r="D525" s="92" t="str" cm="1">
        <f t="array" ref="D525">INDEX(기계코드!$D$4:$D$1022,MATCH(1,(C525=기계코드!$F$4:$F$1022)*1,0))</f>
        <v>M_MED01</v>
      </c>
      <c r="E525" s="92" t="s">
        <v>1128</v>
      </c>
      <c r="F525" s="92" t="str" cm="1">
        <f t="array" ref="F525">INDEX(공급업체코드!$B$3:$B$1000,MATCH(1,(E525=공급업체코드!$D$3:$D$1000)*1,0))</f>
        <v>VM_BKT</v>
      </c>
      <c r="H525" s="312">
        <v>523</v>
      </c>
      <c r="I525" s="233" t="s">
        <v>1313</v>
      </c>
      <c r="K525" s="233" t="s">
        <v>1314</v>
      </c>
      <c r="L525" s="236">
        <f t="shared" si="19"/>
        <v>522477</v>
      </c>
      <c r="N525" s="113" t="s">
        <v>1315</v>
      </c>
      <c r="O525" s="1" t="b">
        <v>1</v>
      </c>
      <c r="Q525" s="34"/>
    </row>
    <row r="526" spans="2:17">
      <c r="B526" s="1" t="str">
        <f t="shared" si="20"/>
        <v>M_MED01_VM_BKT_524</v>
      </c>
      <c r="C526" s="92" t="s">
        <v>727</v>
      </c>
      <c r="D526" s="92" t="str" cm="1">
        <f t="array" ref="D526">INDEX(기계코드!$D$4:$D$1022,MATCH(1,(C526=기계코드!$F$4:$F$1022)*1,0))</f>
        <v>M_MED01</v>
      </c>
      <c r="E526" s="92" t="s">
        <v>1128</v>
      </c>
      <c r="F526" s="92" t="str" cm="1">
        <f t="array" ref="F526">INDEX(공급업체코드!$B$3:$B$1000,MATCH(1,(E526=공급업체코드!$D$3:$D$1000)*1,0))</f>
        <v>VM_BKT</v>
      </c>
      <c r="H526" s="312">
        <v>524</v>
      </c>
      <c r="I526" s="233" t="s">
        <v>1313</v>
      </c>
      <c r="K526" s="233" t="s">
        <v>1314</v>
      </c>
      <c r="L526" s="236">
        <f t="shared" si="19"/>
        <v>523476</v>
      </c>
      <c r="N526" s="113" t="s">
        <v>1315</v>
      </c>
      <c r="O526" s="1" t="b">
        <v>1</v>
      </c>
      <c r="Q526" s="34"/>
    </row>
    <row r="527" spans="2:17">
      <c r="B527" s="1" t="str">
        <f t="shared" si="20"/>
        <v>M_MED01_VM_BKT_525</v>
      </c>
      <c r="C527" s="92" t="s">
        <v>727</v>
      </c>
      <c r="D527" s="92" t="str" cm="1">
        <f t="array" ref="D527">INDEX(기계코드!$D$4:$D$1022,MATCH(1,(C527=기계코드!$F$4:$F$1022)*1,0))</f>
        <v>M_MED01</v>
      </c>
      <c r="E527" s="92" t="s">
        <v>1128</v>
      </c>
      <c r="F527" s="92" t="str" cm="1">
        <f t="array" ref="F527">INDEX(공급업체코드!$B$3:$B$1000,MATCH(1,(E527=공급업체코드!$D$3:$D$1000)*1,0))</f>
        <v>VM_BKT</v>
      </c>
      <c r="H527" s="312">
        <v>525</v>
      </c>
      <c r="I527" s="233" t="s">
        <v>1313</v>
      </c>
      <c r="K527" s="233" t="s">
        <v>1314</v>
      </c>
      <c r="L527" s="236">
        <f t="shared" si="19"/>
        <v>524475</v>
      </c>
      <c r="N527" s="113" t="s">
        <v>1315</v>
      </c>
      <c r="O527" s="1" t="b">
        <v>1</v>
      </c>
      <c r="Q527" s="34"/>
    </row>
    <row r="528" spans="2:17">
      <c r="B528" s="1" t="str">
        <f t="shared" si="20"/>
        <v>M_MED01_VM_BKT_526</v>
      </c>
      <c r="C528" s="92" t="s">
        <v>727</v>
      </c>
      <c r="D528" s="92" t="str" cm="1">
        <f t="array" ref="D528">INDEX(기계코드!$D$4:$D$1022,MATCH(1,(C528=기계코드!$F$4:$F$1022)*1,0))</f>
        <v>M_MED01</v>
      </c>
      <c r="E528" s="92" t="s">
        <v>1128</v>
      </c>
      <c r="F528" s="92" t="str" cm="1">
        <f t="array" ref="F528">INDEX(공급업체코드!$B$3:$B$1000,MATCH(1,(E528=공급업체코드!$D$3:$D$1000)*1,0))</f>
        <v>VM_BKT</v>
      </c>
      <c r="H528" s="312">
        <v>526</v>
      </c>
      <c r="I528" s="233" t="s">
        <v>1313</v>
      </c>
      <c r="K528" s="233" t="s">
        <v>1314</v>
      </c>
      <c r="L528" s="236">
        <f t="shared" si="19"/>
        <v>525474</v>
      </c>
      <c r="N528" s="113" t="s">
        <v>1315</v>
      </c>
      <c r="O528" s="1" t="b">
        <v>1</v>
      </c>
      <c r="Q528" s="34"/>
    </row>
    <row r="529" spans="2:17">
      <c r="B529" s="1" t="str">
        <f t="shared" si="20"/>
        <v>M_MED01_VM_BKT_527</v>
      </c>
      <c r="C529" s="92" t="s">
        <v>727</v>
      </c>
      <c r="D529" s="92" t="str" cm="1">
        <f t="array" ref="D529">INDEX(기계코드!$D$4:$D$1022,MATCH(1,(C529=기계코드!$F$4:$F$1022)*1,0))</f>
        <v>M_MED01</v>
      </c>
      <c r="E529" s="92" t="s">
        <v>1128</v>
      </c>
      <c r="F529" s="92" t="str" cm="1">
        <f t="array" ref="F529">INDEX(공급업체코드!$B$3:$B$1000,MATCH(1,(E529=공급업체코드!$D$3:$D$1000)*1,0))</f>
        <v>VM_BKT</v>
      </c>
      <c r="H529" s="312">
        <v>527</v>
      </c>
      <c r="I529" s="233" t="s">
        <v>1313</v>
      </c>
      <c r="K529" s="233" t="s">
        <v>1314</v>
      </c>
      <c r="L529" s="236">
        <f t="shared" si="19"/>
        <v>526473</v>
      </c>
      <c r="N529" s="113" t="s">
        <v>1315</v>
      </c>
      <c r="O529" s="1" t="b">
        <v>1</v>
      </c>
      <c r="Q529" s="34"/>
    </row>
    <row r="530" spans="2:17">
      <c r="B530" s="1" t="str">
        <f t="shared" si="20"/>
        <v>M_MED01_VM_BKT_528</v>
      </c>
      <c r="C530" s="92" t="s">
        <v>727</v>
      </c>
      <c r="D530" s="92" t="str" cm="1">
        <f t="array" ref="D530">INDEX(기계코드!$D$4:$D$1022,MATCH(1,(C530=기계코드!$F$4:$F$1022)*1,0))</f>
        <v>M_MED01</v>
      </c>
      <c r="E530" s="92" t="s">
        <v>1128</v>
      </c>
      <c r="F530" s="92" t="str" cm="1">
        <f t="array" ref="F530">INDEX(공급업체코드!$B$3:$B$1000,MATCH(1,(E530=공급업체코드!$D$3:$D$1000)*1,0))</f>
        <v>VM_BKT</v>
      </c>
      <c r="H530" s="312">
        <v>528</v>
      </c>
      <c r="I530" s="233" t="s">
        <v>1313</v>
      </c>
      <c r="K530" s="233" t="s">
        <v>1314</v>
      </c>
      <c r="L530" s="236">
        <f t="shared" si="19"/>
        <v>527472</v>
      </c>
      <c r="N530" s="113" t="s">
        <v>1315</v>
      </c>
      <c r="O530" s="1" t="b">
        <v>1</v>
      </c>
      <c r="Q530" s="34"/>
    </row>
    <row r="531" spans="2:17">
      <c r="B531" s="1" t="str">
        <f t="shared" si="20"/>
        <v>M_MED01_VM_BKT_529</v>
      </c>
      <c r="C531" s="92" t="s">
        <v>727</v>
      </c>
      <c r="D531" s="92" t="str" cm="1">
        <f t="array" ref="D531">INDEX(기계코드!$D$4:$D$1022,MATCH(1,(C531=기계코드!$F$4:$F$1022)*1,0))</f>
        <v>M_MED01</v>
      </c>
      <c r="E531" s="92" t="s">
        <v>1128</v>
      </c>
      <c r="F531" s="92" t="str" cm="1">
        <f t="array" ref="F531">INDEX(공급업체코드!$B$3:$B$1000,MATCH(1,(E531=공급업체코드!$D$3:$D$1000)*1,0))</f>
        <v>VM_BKT</v>
      </c>
      <c r="H531" s="312">
        <v>529</v>
      </c>
      <c r="I531" s="233" t="s">
        <v>1313</v>
      </c>
      <c r="K531" s="233" t="s">
        <v>1314</v>
      </c>
      <c r="L531" s="236">
        <f t="shared" si="19"/>
        <v>528471</v>
      </c>
      <c r="N531" s="113" t="s">
        <v>1315</v>
      </c>
      <c r="O531" s="1" t="b">
        <v>1</v>
      </c>
      <c r="Q531" s="34"/>
    </row>
    <row r="532" spans="2:17">
      <c r="B532" s="1" t="str">
        <f t="shared" si="20"/>
        <v>M_MED01_VM_BKT_530</v>
      </c>
      <c r="C532" s="92" t="s">
        <v>727</v>
      </c>
      <c r="D532" s="92" t="str" cm="1">
        <f t="array" ref="D532">INDEX(기계코드!$D$4:$D$1022,MATCH(1,(C532=기계코드!$F$4:$F$1022)*1,0))</f>
        <v>M_MED01</v>
      </c>
      <c r="E532" s="92" t="s">
        <v>1128</v>
      </c>
      <c r="F532" s="92" t="str" cm="1">
        <f t="array" ref="F532">INDEX(공급업체코드!$B$3:$B$1000,MATCH(1,(E532=공급업체코드!$D$3:$D$1000)*1,0))</f>
        <v>VM_BKT</v>
      </c>
      <c r="H532" s="312">
        <v>530</v>
      </c>
      <c r="I532" s="233" t="s">
        <v>1313</v>
      </c>
      <c r="K532" s="233" t="s">
        <v>1314</v>
      </c>
      <c r="L532" s="236">
        <f t="shared" si="19"/>
        <v>529470</v>
      </c>
      <c r="N532" s="113" t="s">
        <v>1315</v>
      </c>
      <c r="O532" s="1" t="b">
        <v>1</v>
      </c>
      <c r="Q532" s="34"/>
    </row>
    <row r="533" spans="2:17">
      <c r="B533" s="1" t="str">
        <f t="shared" si="20"/>
        <v>M_MED01_VM_BKT_531</v>
      </c>
      <c r="C533" s="92" t="s">
        <v>727</v>
      </c>
      <c r="D533" s="92" t="str" cm="1">
        <f t="array" ref="D533">INDEX(기계코드!$D$4:$D$1022,MATCH(1,(C533=기계코드!$F$4:$F$1022)*1,0))</f>
        <v>M_MED01</v>
      </c>
      <c r="E533" s="92" t="s">
        <v>1128</v>
      </c>
      <c r="F533" s="92" t="str" cm="1">
        <f t="array" ref="F533">INDEX(공급업체코드!$B$3:$B$1000,MATCH(1,(E533=공급업체코드!$D$3:$D$1000)*1,0))</f>
        <v>VM_BKT</v>
      </c>
      <c r="H533" s="312">
        <v>531</v>
      </c>
      <c r="I533" s="233" t="s">
        <v>1313</v>
      </c>
      <c r="K533" s="233" t="s">
        <v>1314</v>
      </c>
      <c r="L533" s="236">
        <f t="shared" si="19"/>
        <v>530469</v>
      </c>
      <c r="N533" s="113" t="s">
        <v>1315</v>
      </c>
      <c r="O533" s="1" t="b">
        <v>1</v>
      </c>
      <c r="Q533" s="34"/>
    </row>
    <row r="534" spans="2:17">
      <c r="B534" s="1" t="str">
        <f t="shared" si="20"/>
        <v>M_MED01_VM_BKT_532</v>
      </c>
      <c r="C534" s="92" t="s">
        <v>727</v>
      </c>
      <c r="D534" s="92" t="str" cm="1">
        <f t="array" ref="D534">INDEX(기계코드!$D$4:$D$1022,MATCH(1,(C534=기계코드!$F$4:$F$1022)*1,0))</f>
        <v>M_MED01</v>
      </c>
      <c r="E534" s="92" t="s">
        <v>1128</v>
      </c>
      <c r="F534" s="92" t="str" cm="1">
        <f t="array" ref="F534">INDEX(공급업체코드!$B$3:$B$1000,MATCH(1,(E534=공급업체코드!$D$3:$D$1000)*1,0))</f>
        <v>VM_BKT</v>
      </c>
      <c r="H534" s="312">
        <v>532</v>
      </c>
      <c r="I534" s="233" t="s">
        <v>1313</v>
      </c>
      <c r="K534" s="233" t="s">
        <v>1314</v>
      </c>
      <c r="L534" s="236">
        <f t="shared" si="19"/>
        <v>531468</v>
      </c>
      <c r="N534" s="113" t="s">
        <v>1315</v>
      </c>
      <c r="O534" s="1" t="b">
        <v>1</v>
      </c>
      <c r="Q534" s="34"/>
    </row>
    <row r="535" spans="2:17">
      <c r="B535" s="1" t="str">
        <f t="shared" si="20"/>
        <v>M_MED01_VM_BKT_533</v>
      </c>
      <c r="C535" s="92" t="s">
        <v>727</v>
      </c>
      <c r="D535" s="92" t="str" cm="1">
        <f t="array" ref="D535">INDEX(기계코드!$D$4:$D$1022,MATCH(1,(C535=기계코드!$F$4:$F$1022)*1,0))</f>
        <v>M_MED01</v>
      </c>
      <c r="E535" s="92" t="s">
        <v>1128</v>
      </c>
      <c r="F535" s="92" t="str" cm="1">
        <f t="array" ref="F535">INDEX(공급업체코드!$B$3:$B$1000,MATCH(1,(E535=공급업체코드!$D$3:$D$1000)*1,0))</f>
        <v>VM_BKT</v>
      </c>
      <c r="H535" s="312">
        <v>533</v>
      </c>
      <c r="I535" s="233" t="s">
        <v>1313</v>
      </c>
      <c r="K535" s="233" t="s">
        <v>1314</v>
      </c>
      <c r="L535" s="236">
        <f t="shared" si="19"/>
        <v>532467</v>
      </c>
      <c r="N535" s="113" t="s">
        <v>1315</v>
      </c>
      <c r="O535" s="1" t="b">
        <v>1</v>
      </c>
      <c r="Q535" s="34"/>
    </row>
    <row r="536" spans="2:17">
      <c r="B536" s="1" t="str">
        <f t="shared" si="20"/>
        <v>M_MED01_VM_BKT_534</v>
      </c>
      <c r="C536" s="92" t="s">
        <v>727</v>
      </c>
      <c r="D536" s="92" t="str" cm="1">
        <f t="array" ref="D536">INDEX(기계코드!$D$4:$D$1022,MATCH(1,(C536=기계코드!$F$4:$F$1022)*1,0))</f>
        <v>M_MED01</v>
      </c>
      <c r="E536" s="92" t="s">
        <v>1128</v>
      </c>
      <c r="F536" s="92" t="str" cm="1">
        <f t="array" ref="F536">INDEX(공급업체코드!$B$3:$B$1000,MATCH(1,(E536=공급업체코드!$D$3:$D$1000)*1,0))</f>
        <v>VM_BKT</v>
      </c>
      <c r="H536" s="312">
        <v>534</v>
      </c>
      <c r="I536" s="233" t="s">
        <v>1313</v>
      </c>
      <c r="K536" s="233" t="s">
        <v>1314</v>
      </c>
      <c r="L536" s="236">
        <f t="shared" si="19"/>
        <v>533466</v>
      </c>
      <c r="N536" s="113" t="s">
        <v>1315</v>
      </c>
      <c r="O536" s="1" t="b">
        <v>1</v>
      </c>
      <c r="Q536" s="34"/>
    </row>
    <row r="537" spans="2:17">
      <c r="B537" s="1" t="str">
        <f t="shared" si="20"/>
        <v>M_MED01_VM_BKT_535</v>
      </c>
      <c r="C537" s="92" t="s">
        <v>727</v>
      </c>
      <c r="D537" s="92" t="str" cm="1">
        <f t="array" ref="D537">INDEX(기계코드!$D$4:$D$1022,MATCH(1,(C537=기계코드!$F$4:$F$1022)*1,0))</f>
        <v>M_MED01</v>
      </c>
      <c r="E537" s="92" t="s">
        <v>1128</v>
      </c>
      <c r="F537" s="92" t="str" cm="1">
        <f t="array" ref="F537">INDEX(공급업체코드!$B$3:$B$1000,MATCH(1,(E537=공급업체코드!$D$3:$D$1000)*1,0))</f>
        <v>VM_BKT</v>
      </c>
      <c r="H537" s="312">
        <v>535</v>
      </c>
      <c r="I537" s="233" t="s">
        <v>1313</v>
      </c>
      <c r="K537" s="233" t="s">
        <v>1314</v>
      </c>
      <c r="L537" s="236">
        <f t="shared" si="19"/>
        <v>534465</v>
      </c>
      <c r="N537" s="113" t="s">
        <v>1315</v>
      </c>
      <c r="O537" s="1" t="b">
        <v>1</v>
      </c>
      <c r="Q537" s="34"/>
    </row>
    <row r="538" spans="2:17">
      <c r="B538" s="1" t="str">
        <f t="shared" si="20"/>
        <v>M_MED01_VM_BKT_536</v>
      </c>
      <c r="C538" s="92" t="s">
        <v>727</v>
      </c>
      <c r="D538" s="92" t="str" cm="1">
        <f t="array" ref="D538">INDEX(기계코드!$D$4:$D$1022,MATCH(1,(C538=기계코드!$F$4:$F$1022)*1,0))</f>
        <v>M_MED01</v>
      </c>
      <c r="E538" s="92" t="s">
        <v>1128</v>
      </c>
      <c r="F538" s="92" t="str" cm="1">
        <f t="array" ref="F538">INDEX(공급업체코드!$B$3:$B$1000,MATCH(1,(E538=공급업체코드!$D$3:$D$1000)*1,0))</f>
        <v>VM_BKT</v>
      </c>
      <c r="H538" s="312">
        <v>536</v>
      </c>
      <c r="I538" s="233" t="s">
        <v>1313</v>
      </c>
      <c r="K538" s="233" t="s">
        <v>1314</v>
      </c>
      <c r="L538" s="236">
        <f t="shared" si="19"/>
        <v>535464</v>
      </c>
      <c r="N538" s="113" t="s">
        <v>1315</v>
      </c>
      <c r="O538" s="1" t="b">
        <v>1</v>
      </c>
      <c r="Q538" s="34"/>
    </row>
    <row r="539" spans="2:17">
      <c r="B539" s="1" t="str">
        <f t="shared" si="20"/>
        <v>M_MED01_VM_BKT_537</v>
      </c>
      <c r="C539" s="92" t="s">
        <v>727</v>
      </c>
      <c r="D539" s="92" t="str" cm="1">
        <f t="array" ref="D539">INDEX(기계코드!$D$4:$D$1022,MATCH(1,(C539=기계코드!$F$4:$F$1022)*1,0))</f>
        <v>M_MED01</v>
      </c>
      <c r="E539" s="92" t="s">
        <v>1128</v>
      </c>
      <c r="F539" s="92" t="str" cm="1">
        <f t="array" ref="F539">INDEX(공급업체코드!$B$3:$B$1000,MATCH(1,(E539=공급업체코드!$D$3:$D$1000)*1,0))</f>
        <v>VM_BKT</v>
      </c>
      <c r="H539" s="312">
        <v>537</v>
      </c>
      <c r="I539" s="233" t="s">
        <v>1313</v>
      </c>
      <c r="K539" s="233" t="s">
        <v>1314</v>
      </c>
      <c r="L539" s="236">
        <f t="shared" si="19"/>
        <v>536463</v>
      </c>
      <c r="N539" s="113" t="s">
        <v>1315</v>
      </c>
      <c r="O539" s="1" t="b">
        <v>1</v>
      </c>
      <c r="Q539" s="34"/>
    </row>
    <row r="540" spans="2:17">
      <c r="B540" s="1" t="str">
        <f t="shared" si="20"/>
        <v>M_MED01_VM_BKT_538</v>
      </c>
      <c r="C540" s="92" t="s">
        <v>727</v>
      </c>
      <c r="D540" s="92" t="str" cm="1">
        <f t="array" ref="D540">INDEX(기계코드!$D$4:$D$1022,MATCH(1,(C540=기계코드!$F$4:$F$1022)*1,0))</f>
        <v>M_MED01</v>
      </c>
      <c r="E540" s="92" t="s">
        <v>1128</v>
      </c>
      <c r="F540" s="92" t="str" cm="1">
        <f t="array" ref="F540">INDEX(공급업체코드!$B$3:$B$1000,MATCH(1,(E540=공급업체코드!$D$3:$D$1000)*1,0))</f>
        <v>VM_BKT</v>
      </c>
      <c r="H540" s="312">
        <v>538</v>
      </c>
      <c r="I540" s="233" t="s">
        <v>1313</v>
      </c>
      <c r="K540" s="233" t="s">
        <v>1314</v>
      </c>
      <c r="L540" s="236">
        <f t="shared" si="19"/>
        <v>537462</v>
      </c>
      <c r="N540" s="113" t="s">
        <v>1315</v>
      </c>
      <c r="O540" s="1" t="b">
        <v>1</v>
      </c>
      <c r="Q540" s="34"/>
    </row>
    <row r="541" spans="2:17">
      <c r="B541" s="1" t="str">
        <f t="shared" si="20"/>
        <v>M_MED01_VM_BKT_539</v>
      </c>
      <c r="C541" s="92" t="s">
        <v>727</v>
      </c>
      <c r="D541" s="92" t="str" cm="1">
        <f t="array" ref="D541">INDEX(기계코드!$D$4:$D$1022,MATCH(1,(C541=기계코드!$F$4:$F$1022)*1,0))</f>
        <v>M_MED01</v>
      </c>
      <c r="E541" s="92" t="s">
        <v>1128</v>
      </c>
      <c r="F541" s="92" t="str" cm="1">
        <f t="array" ref="F541">INDEX(공급업체코드!$B$3:$B$1000,MATCH(1,(E541=공급업체코드!$D$3:$D$1000)*1,0))</f>
        <v>VM_BKT</v>
      </c>
      <c r="H541" s="312">
        <v>539</v>
      </c>
      <c r="I541" s="233" t="s">
        <v>1313</v>
      </c>
      <c r="K541" s="233" t="s">
        <v>1314</v>
      </c>
      <c r="L541" s="236">
        <f t="shared" si="19"/>
        <v>538461</v>
      </c>
      <c r="N541" s="113" t="s">
        <v>1315</v>
      </c>
      <c r="O541" s="1" t="b">
        <v>1</v>
      </c>
      <c r="Q541" s="34"/>
    </row>
    <row r="542" spans="2:17">
      <c r="B542" s="1" t="str">
        <f t="shared" si="20"/>
        <v>M_MED01_VM_BKT_540</v>
      </c>
      <c r="C542" s="92" t="s">
        <v>727</v>
      </c>
      <c r="D542" s="92" t="str" cm="1">
        <f t="array" ref="D542">INDEX(기계코드!$D$4:$D$1022,MATCH(1,(C542=기계코드!$F$4:$F$1022)*1,0))</f>
        <v>M_MED01</v>
      </c>
      <c r="E542" s="92" t="s">
        <v>1128</v>
      </c>
      <c r="F542" s="92" t="str" cm="1">
        <f t="array" ref="F542">INDEX(공급업체코드!$B$3:$B$1000,MATCH(1,(E542=공급업체코드!$D$3:$D$1000)*1,0))</f>
        <v>VM_BKT</v>
      </c>
      <c r="H542" s="312">
        <v>540</v>
      </c>
      <c r="I542" s="233" t="s">
        <v>1313</v>
      </c>
      <c r="K542" s="233" t="s">
        <v>1314</v>
      </c>
      <c r="L542" s="236">
        <f t="shared" si="19"/>
        <v>539460</v>
      </c>
      <c r="N542" s="113" t="s">
        <v>1315</v>
      </c>
      <c r="O542" s="1" t="b">
        <v>1</v>
      </c>
      <c r="Q542" s="34"/>
    </row>
    <row r="543" spans="2:17">
      <c r="B543" s="1" t="str">
        <f t="shared" si="20"/>
        <v>M_MED01_VM_BKT_541</v>
      </c>
      <c r="C543" s="92" t="s">
        <v>727</v>
      </c>
      <c r="D543" s="92" t="str" cm="1">
        <f t="array" ref="D543">INDEX(기계코드!$D$4:$D$1022,MATCH(1,(C543=기계코드!$F$4:$F$1022)*1,0))</f>
        <v>M_MED01</v>
      </c>
      <c r="E543" s="92" t="s">
        <v>1128</v>
      </c>
      <c r="F543" s="92" t="str" cm="1">
        <f t="array" ref="F543">INDEX(공급업체코드!$B$3:$B$1000,MATCH(1,(E543=공급업체코드!$D$3:$D$1000)*1,0))</f>
        <v>VM_BKT</v>
      </c>
      <c r="H543" s="312">
        <v>541</v>
      </c>
      <c r="I543" s="233" t="s">
        <v>1313</v>
      </c>
      <c r="K543" s="233" t="s">
        <v>1314</v>
      </c>
      <c r="L543" s="236">
        <f t="shared" si="19"/>
        <v>540459</v>
      </c>
      <c r="N543" s="113" t="s">
        <v>1315</v>
      </c>
      <c r="O543" s="1" t="b">
        <v>1</v>
      </c>
      <c r="Q543" s="34"/>
    </row>
    <row r="544" spans="2:17">
      <c r="B544" s="1" t="str">
        <f t="shared" si="20"/>
        <v>M_MED01_VM_BKT_542</v>
      </c>
      <c r="C544" s="92" t="s">
        <v>727</v>
      </c>
      <c r="D544" s="92" t="str" cm="1">
        <f t="array" ref="D544">INDEX(기계코드!$D$4:$D$1022,MATCH(1,(C544=기계코드!$F$4:$F$1022)*1,0))</f>
        <v>M_MED01</v>
      </c>
      <c r="E544" s="92" t="s">
        <v>1128</v>
      </c>
      <c r="F544" s="92" t="str" cm="1">
        <f t="array" ref="F544">INDEX(공급업체코드!$B$3:$B$1000,MATCH(1,(E544=공급업체코드!$D$3:$D$1000)*1,0))</f>
        <v>VM_BKT</v>
      </c>
      <c r="H544" s="312">
        <v>542</v>
      </c>
      <c r="I544" s="233" t="s">
        <v>1313</v>
      </c>
      <c r="K544" s="233" t="s">
        <v>1314</v>
      </c>
      <c r="L544" s="236">
        <f t="shared" si="19"/>
        <v>541458</v>
      </c>
      <c r="N544" s="113" t="s">
        <v>1315</v>
      </c>
      <c r="O544" s="1" t="b">
        <v>1</v>
      </c>
      <c r="Q544" s="34"/>
    </row>
    <row r="545" spans="2:17">
      <c r="B545" s="1" t="str">
        <f t="shared" si="20"/>
        <v>M_MED01_VM_BKT_543</v>
      </c>
      <c r="C545" s="92" t="s">
        <v>727</v>
      </c>
      <c r="D545" s="92" t="str" cm="1">
        <f t="array" ref="D545">INDEX(기계코드!$D$4:$D$1022,MATCH(1,(C545=기계코드!$F$4:$F$1022)*1,0))</f>
        <v>M_MED01</v>
      </c>
      <c r="E545" s="92" t="s">
        <v>1128</v>
      </c>
      <c r="F545" s="92" t="str" cm="1">
        <f t="array" ref="F545">INDEX(공급업체코드!$B$3:$B$1000,MATCH(1,(E545=공급업체코드!$D$3:$D$1000)*1,0))</f>
        <v>VM_BKT</v>
      </c>
      <c r="H545" s="312">
        <v>543</v>
      </c>
      <c r="I545" s="233" t="s">
        <v>1313</v>
      </c>
      <c r="K545" s="233" t="s">
        <v>1314</v>
      </c>
      <c r="L545" s="236">
        <f t="shared" si="19"/>
        <v>542457</v>
      </c>
      <c r="N545" s="113" t="s">
        <v>1315</v>
      </c>
      <c r="O545" s="1" t="b">
        <v>1</v>
      </c>
      <c r="Q545" s="34"/>
    </row>
    <row r="546" spans="2:17">
      <c r="B546" s="1" t="str">
        <f t="shared" si="20"/>
        <v>M_MED01_VM_BKT_544</v>
      </c>
      <c r="C546" s="92" t="s">
        <v>727</v>
      </c>
      <c r="D546" s="92" t="str" cm="1">
        <f t="array" ref="D546">INDEX(기계코드!$D$4:$D$1022,MATCH(1,(C546=기계코드!$F$4:$F$1022)*1,0))</f>
        <v>M_MED01</v>
      </c>
      <c r="E546" s="92" t="s">
        <v>1128</v>
      </c>
      <c r="F546" s="92" t="str" cm="1">
        <f t="array" ref="F546">INDEX(공급업체코드!$B$3:$B$1000,MATCH(1,(E546=공급업체코드!$D$3:$D$1000)*1,0))</f>
        <v>VM_BKT</v>
      </c>
      <c r="H546" s="312">
        <v>544</v>
      </c>
      <c r="I546" s="233" t="s">
        <v>1313</v>
      </c>
      <c r="K546" s="233" t="s">
        <v>1314</v>
      </c>
      <c r="L546" s="236">
        <f t="shared" si="19"/>
        <v>543456</v>
      </c>
      <c r="N546" s="113" t="s">
        <v>1315</v>
      </c>
      <c r="O546" s="1" t="b">
        <v>1</v>
      </c>
      <c r="Q546" s="34"/>
    </row>
    <row r="547" spans="2:17">
      <c r="B547" s="1" t="str">
        <f t="shared" si="20"/>
        <v>M_MED01_VM_BKT_545</v>
      </c>
      <c r="C547" s="92" t="s">
        <v>727</v>
      </c>
      <c r="D547" s="92" t="str" cm="1">
        <f t="array" ref="D547">INDEX(기계코드!$D$4:$D$1022,MATCH(1,(C547=기계코드!$F$4:$F$1022)*1,0))</f>
        <v>M_MED01</v>
      </c>
      <c r="E547" s="92" t="s">
        <v>1128</v>
      </c>
      <c r="F547" s="92" t="str" cm="1">
        <f t="array" ref="F547">INDEX(공급업체코드!$B$3:$B$1000,MATCH(1,(E547=공급업체코드!$D$3:$D$1000)*1,0))</f>
        <v>VM_BKT</v>
      </c>
      <c r="H547" s="312">
        <v>545</v>
      </c>
      <c r="I547" s="233" t="s">
        <v>1313</v>
      </c>
      <c r="K547" s="233" t="s">
        <v>1314</v>
      </c>
      <c r="L547" s="236">
        <f t="shared" si="19"/>
        <v>544455</v>
      </c>
      <c r="N547" s="113" t="s">
        <v>1315</v>
      </c>
      <c r="O547" s="1" t="b">
        <v>1</v>
      </c>
      <c r="Q547" s="34"/>
    </row>
    <row r="548" spans="2:17">
      <c r="B548" s="1" t="str">
        <f t="shared" si="20"/>
        <v>M_MED01_VM_BKT_546</v>
      </c>
      <c r="C548" s="92" t="s">
        <v>727</v>
      </c>
      <c r="D548" s="92" t="str" cm="1">
        <f t="array" ref="D548">INDEX(기계코드!$D$4:$D$1022,MATCH(1,(C548=기계코드!$F$4:$F$1022)*1,0))</f>
        <v>M_MED01</v>
      </c>
      <c r="E548" s="92" t="s">
        <v>1128</v>
      </c>
      <c r="F548" s="92" t="str" cm="1">
        <f t="array" ref="F548">INDEX(공급업체코드!$B$3:$B$1000,MATCH(1,(E548=공급업체코드!$D$3:$D$1000)*1,0))</f>
        <v>VM_BKT</v>
      </c>
      <c r="H548" s="312">
        <v>546</v>
      </c>
      <c r="I548" s="233" t="s">
        <v>1313</v>
      </c>
      <c r="K548" s="233" t="s">
        <v>1314</v>
      </c>
      <c r="L548" s="236">
        <f t="shared" si="19"/>
        <v>545454</v>
      </c>
      <c r="N548" s="113" t="s">
        <v>1315</v>
      </c>
      <c r="O548" s="1" t="b">
        <v>1</v>
      </c>
      <c r="Q548" s="34"/>
    </row>
    <row r="549" spans="2:17">
      <c r="B549" s="1" t="str">
        <f t="shared" si="20"/>
        <v>M_MED01_VM_BKT_547</v>
      </c>
      <c r="C549" s="92" t="s">
        <v>727</v>
      </c>
      <c r="D549" s="92" t="str" cm="1">
        <f t="array" ref="D549">INDEX(기계코드!$D$4:$D$1022,MATCH(1,(C549=기계코드!$F$4:$F$1022)*1,0))</f>
        <v>M_MED01</v>
      </c>
      <c r="E549" s="92" t="s">
        <v>1128</v>
      </c>
      <c r="F549" s="92" t="str" cm="1">
        <f t="array" ref="F549">INDEX(공급업체코드!$B$3:$B$1000,MATCH(1,(E549=공급업체코드!$D$3:$D$1000)*1,0))</f>
        <v>VM_BKT</v>
      </c>
      <c r="H549" s="312">
        <v>547</v>
      </c>
      <c r="I549" s="233" t="s">
        <v>1313</v>
      </c>
      <c r="K549" s="233" t="s">
        <v>1314</v>
      </c>
      <c r="L549" s="236">
        <f t="shared" si="19"/>
        <v>546453</v>
      </c>
      <c r="N549" s="113" t="s">
        <v>1315</v>
      </c>
      <c r="O549" s="1" t="b">
        <v>1</v>
      </c>
      <c r="Q549" s="34"/>
    </row>
    <row r="550" spans="2:17">
      <c r="B550" s="1" t="str">
        <f t="shared" si="20"/>
        <v>M_MED01_VM_BKT_548</v>
      </c>
      <c r="C550" s="92" t="s">
        <v>727</v>
      </c>
      <c r="D550" s="92" t="str" cm="1">
        <f t="array" ref="D550">INDEX(기계코드!$D$4:$D$1022,MATCH(1,(C550=기계코드!$F$4:$F$1022)*1,0))</f>
        <v>M_MED01</v>
      </c>
      <c r="E550" s="92" t="s">
        <v>1128</v>
      </c>
      <c r="F550" s="92" t="str" cm="1">
        <f t="array" ref="F550">INDEX(공급업체코드!$B$3:$B$1000,MATCH(1,(E550=공급업체코드!$D$3:$D$1000)*1,0))</f>
        <v>VM_BKT</v>
      </c>
      <c r="H550" s="312">
        <v>548</v>
      </c>
      <c r="I550" s="233" t="s">
        <v>1313</v>
      </c>
      <c r="K550" s="233" t="s">
        <v>1314</v>
      </c>
      <c r="L550" s="236">
        <f t="shared" si="19"/>
        <v>547452</v>
      </c>
      <c r="N550" s="113" t="s">
        <v>1315</v>
      </c>
      <c r="O550" s="1" t="b">
        <v>1</v>
      </c>
      <c r="Q550" s="34"/>
    </row>
    <row r="551" spans="2:17">
      <c r="B551" s="1" t="str">
        <f t="shared" si="20"/>
        <v>M_MED01_VM_BKT_549</v>
      </c>
      <c r="C551" s="92" t="s">
        <v>727</v>
      </c>
      <c r="D551" s="92" t="str" cm="1">
        <f t="array" ref="D551">INDEX(기계코드!$D$4:$D$1022,MATCH(1,(C551=기계코드!$F$4:$F$1022)*1,0))</f>
        <v>M_MED01</v>
      </c>
      <c r="E551" s="92" t="s">
        <v>1128</v>
      </c>
      <c r="F551" s="92" t="str" cm="1">
        <f t="array" ref="F551">INDEX(공급업체코드!$B$3:$B$1000,MATCH(1,(E551=공급업체코드!$D$3:$D$1000)*1,0))</f>
        <v>VM_BKT</v>
      </c>
      <c r="H551" s="312">
        <v>549</v>
      </c>
      <c r="I551" s="233" t="s">
        <v>1313</v>
      </c>
      <c r="K551" s="233" t="s">
        <v>1314</v>
      </c>
      <c r="L551" s="236">
        <f t="shared" si="19"/>
        <v>548451</v>
      </c>
      <c r="N551" s="113" t="s">
        <v>1315</v>
      </c>
      <c r="O551" s="1" t="b">
        <v>1</v>
      </c>
      <c r="Q551" s="34"/>
    </row>
    <row r="552" spans="2:17">
      <c r="B552" s="1" t="str">
        <f t="shared" si="20"/>
        <v>M_MED01_VM_BKT_550</v>
      </c>
      <c r="C552" s="92" t="s">
        <v>727</v>
      </c>
      <c r="D552" s="92" t="str" cm="1">
        <f t="array" ref="D552">INDEX(기계코드!$D$4:$D$1022,MATCH(1,(C552=기계코드!$F$4:$F$1022)*1,0))</f>
        <v>M_MED01</v>
      </c>
      <c r="E552" s="92" t="s">
        <v>1128</v>
      </c>
      <c r="F552" s="92" t="str" cm="1">
        <f t="array" ref="F552">INDEX(공급업체코드!$B$3:$B$1000,MATCH(1,(E552=공급업체코드!$D$3:$D$1000)*1,0))</f>
        <v>VM_BKT</v>
      </c>
      <c r="H552" s="312">
        <v>550</v>
      </c>
      <c r="I552" s="233" t="s">
        <v>1313</v>
      </c>
      <c r="K552" s="233" t="s">
        <v>1314</v>
      </c>
      <c r="L552" s="236">
        <f t="shared" si="19"/>
        <v>549450</v>
      </c>
      <c r="N552" s="113" t="s">
        <v>1315</v>
      </c>
      <c r="O552" s="1" t="b">
        <v>1</v>
      </c>
      <c r="Q552" s="34"/>
    </row>
    <row r="553" spans="2:17">
      <c r="B553" s="1" t="str">
        <f t="shared" si="20"/>
        <v>M_MED01_VM_BKT_551</v>
      </c>
      <c r="C553" s="92" t="s">
        <v>727</v>
      </c>
      <c r="D553" s="92" t="str" cm="1">
        <f t="array" ref="D553">INDEX(기계코드!$D$4:$D$1022,MATCH(1,(C553=기계코드!$F$4:$F$1022)*1,0))</f>
        <v>M_MED01</v>
      </c>
      <c r="E553" s="92" t="s">
        <v>1128</v>
      </c>
      <c r="F553" s="92" t="str" cm="1">
        <f t="array" ref="F553">INDEX(공급업체코드!$B$3:$B$1000,MATCH(1,(E553=공급업체코드!$D$3:$D$1000)*1,0))</f>
        <v>VM_BKT</v>
      </c>
      <c r="H553" s="312">
        <v>551</v>
      </c>
      <c r="I553" s="233" t="s">
        <v>1313</v>
      </c>
      <c r="K553" s="233" t="s">
        <v>1314</v>
      </c>
      <c r="L553" s="236">
        <f t="shared" si="19"/>
        <v>550449</v>
      </c>
      <c r="N553" s="113" t="s">
        <v>1315</v>
      </c>
      <c r="O553" s="1" t="b">
        <v>1</v>
      </c>
      <c r="Q553" s="34"/>
    </row>
    <row r="554" spans="2:17">
      <c r="B554" s="1" t="str">
        <f t="shared" si="20"/>
        <v>M_MED01_VM_BKT_552</v>
      </c>
      <c r="C554" s="92" t="s">
        <v>727</v>
      </c>
      <c r="D554" s="92" t="str" cm="1">
        <f t="array" ref="D554">INDEX(기계코드!$D$4:$D$1022,MATCH(1,(C554=기계코드!$F$4:$F$1022)*1,0))</f>
        <v>M_MED01</v>
      </c>
      <c r="E554" s="92" t="s">
        <v>1128</v>
      </c>
      <c r="F554" s="92" t="str" cm="1">
        <f t="array" ref="F554">INDEX(공급업체코드!$B$3:$B$1000,MATCH(1,(E554=공급업체코드!$D$3:$D$1000)*1,0))</f>
        <v>VM_BKT</v>
      </c>
      <c r="H554" s="312">
        <v>552</v>
      </c>
      <c r="I554" s="233" t="s">
        <v>1313</v>
      </c>
      <c r="K554" s="233" t="s">
        <v>1314</v>
      </c>
      <c r="L554" s="236">
        <f t="shared" si="19"/>
        <v>551448</v>
      </c>
      <c r="N554" s="113" t="s">
        <v>1315</v>
      </c>
      <c r="O554" s="1" t="b">
        <v>1</v>
      </c>
      <c r="Q554" s="34"/>
    </row>
    <row r="555" spans="2:17">
      <c r="B555" s="1" t="str">
        <f t="shared" si="20"/>
        <v>M_MED01_VM_BKT_553</v>
      </c>
      <c r="C555" s="92" t="s">
        <v>727</v>
      </c>
      <c r="D555" s="92" t="str" cm="1">
        <f t="array" ref="D555">INDEX(기계코드!$D$4:$D$1022,MATCH(1,(C555=기계코드!$F$4:$F$1022)*1,0))</f>
        <v>M_MED01</v>
      </c>
      <c r="E555" s="92" t="s">
        <v>1128</v>
      </c>
      <c r="F555" s="92" t="str" cm="1">
        <f t="array" ref="F555">INDEX(공급업체코드!$B$3:$B$1000,MATCH(1,(E555=공급업체코드!$D$3:$D$1000)*1,0))</f>
        <v>VM_BKT</v>
      </c>
      <c r="H555" s="312">
        <v>553</v>
      </c>
      <c r="I555" s="233" t="s">
        <v>1313</v>
      </c>
      <c r="K555" s="233" t="s">
        <v>1314</v>
      </c>
      <c r="L555" s="236">
        <f t="shared" si="19"/>
        <v>552447</v>
      </c>
      <c r="N555" s="113" t="s">
        <v>1315</v>
      </c>
      <c r="O555" s="1" t="b">
        <v>1</v>
      </c>
      <c r="Q555" s="34"/>
    </row>
    <row r="556" spans="2:17">
      <c r="B556" s="1" t="str">
        <f t="shared" si="20"/>
        <v>M_MED01_VM_BKT_554</v>
      </c>
      <c r="C556" s="92" t="s">
        <v>727</v>
      </c>
      <c r="D556" s="92" t="str" cm="1">
        <f t="array" ref="D556">INDEX(기계코드!$D$4:$D$1022,MATCH(1,(C556=기계코드!$F$4:$F$1022)*1,0))</f>
        <v>M_MED01</v>
      </c>
      <c r="E556" s="92" t="s">
        <v>1128</v>
      </c>
      <c r="F556" s="92" t="str" cm="1">
        <f t="array" ref="F556">INDEX(공급업체코드!$B$3:$B$1000,MATCH(1,(E556=공급업체코드!$D$3:$D$1000)*1,0))</f>
        <v>VM_BKT</v>
      </c>
      <c r="H556" s="312">
        <v>554</v>
      </c>
      <c r="I556" s="233" t="s">
        <v>1313</v>
      </c>
      <c r="K556" s="233" t="s">
        <v>1314</v>
      </c>
      <c r="L556" s="236">
        <f t="shared" si="19"/>
        <v>553446</v>
      </c>
      <c r="N556" s="113" t="s">
        <v>1315</v>
      </c>
      <c r="O556" s="1" t="b">
        <v>1</v>
      </c>
      <c r="Q556" s="34"/>
    </row>
    <row r="557" spans="2:17">
      <c r="B557" s="1" t="str">
        <f t="shared" si="20"/>
        <v>M_MED01_VM_BKT_555</v>
      </c>
      <c r="C557" s="92" t="s">
        <v>727</v>
      </c>
      <c r="D557" s="92" t="str" cm="1">
        <f t="array" ref="D557">INDEX(기계코드!$D$4:$D$1022,MATCH(1,(C557=기계코드!$F$4:$F$1022)*1,0))</f>
        <v>M_MED01</v>
      </c>
      <c r="E557" s="92" t="s">
        <v>1128</v>
      </c>
      <c r="F557" s="92" t="str" cm="1">
        <f t="array" ref="F557">INDEX(공급업체코드!$B$3:$B$1000,MATCH(1,(E557=공급업체코드!$D$3:$D$1000)*1,0))</f>
        <v>VM_BKT</v>
      </c>
      <c r="H557" s="312">
        <v>555</v>
      </c>
      <c r="I557" s="233" t="s">
        <v>1313</v>
      </c>
      <c r="K557" s="233" t="s">
        <v>1314</v>
      </c>
      <c r="L557" s="236">
        <f t="shared" si="19"/>
        <v>554445</v>
      </c>
      <c r="N557" s="113" t="s">
        <v>1315</v>
      </c>
      <c r="O557" s="1" t="b">
        <v>1</v>
      </c>
      <c r="Q557" s="34"/>
    </row>
    <row r="558" spans="2:17">
      <c r="B558" s="1" t="str">
        <f t="shared" si="20"/>
        <v>M_MED01_VM_BKT_556</v>
      </c>
      <c r="C558" s="92" t="s">
        <v>727</v>
      </c>
      <c r="D558" s="92" t="str" cm="1">
        <f t="array" ref="D558">INDEX(기계코드!$D$4:$D$1022,MATCH(1,(C558=기계코드!$F$4:$F$1022)*1,0))</f>
        <v>M_MED01</v>
      </c>
      <c r="E558" s="92" t="s">
        <v>1128</v>
      </c>
      <c r="F558" s="92" t="str" cm="1">
        <f t="array" ref="F558">INDEX(공급업체코드!$B$3:$B$1000,MATCH(1,(E558=공급업체코드!$D$3:$D$1000)*1,0))</f>
        <v>VM_BKT</v>
      </c>
      <c r="H558" s="312">
        <v>556</v>
      </c>
      <c r="I558" s="233" t="s">
        <v>1313</v>
      </c>
      <c r="K558" s="233" t="s">
        <v>1314</v>
      </c>
      <c r="L558" s="236">
        <f t="shared" si="19"/>
        <v>555444</v>
      </c>
      <c r="N558" s="113" t="s">
        <v>1315</v>
      </c>
      <c r="O558" s="1" t="b">
        <v>1</v>
      </c>
      <c r="Q558" s="34"/>
    </row>
    <row r="559" spans="2:17">
      <c r="B559" s="1" t="str">
        <f t="shared" si="20"/>
        <v>M_MED01_VM_BKT_557</v>
      </c>
      <c r="C559" s="92" t="s">
        <v>727</v>
      </c>
      <c r="D559" s="92" t="str" cm="1">
        <f t="array" ref="D559">INDEX(기계코드!$D$4:$D$1022,MATCH(1,(C559=기계코드!$F$4:$F$1022)*1,0))</f>
        <v>M_MED01</v>
      </c>
      <c r="E559" s="92" t="s">
        <v>1128</v>
      </c>
      <c r="F559" s="92" t="str" cm="1">
        <f t="array" ref="F559">INDEX(공급업체코드!$B$3:$B$1000,MATCH(1,(E559=공급업체코드!$D$3:$D$1000)*1,0))</f>
        <v>VM_BKT</v>
      </c>
      <c r="H559" s="312">
        <v>557</v>
      </c>
      <c r="I559" s="233" t="s">
        <v>1313</v>
      </c>
      <c r="K559" s="233" t="s">
        <v>1314</v>
      </c>
      <c r="L559" s="236">
        <f t="shared" si="19"/>
        <v>556443</v>
      </c>
      <c r="N559" s="113" t="s">
        <v>1315</v>
      </c>
      <c r="O559" s="1" t="b">
        <v>1</v>
      </c>
      <c r="Q559" s="34"/>
    </row>
    <row r="560" spans="2:17">
      <c r="B560" s="1" t="str">
        <f t="shared" si="20"/>
        <v>M_MED01_VM_BKT_558</v>
      </c>
      <c r="C560" s="92" t="s">
        <v>727</v>
      </c>
      <c r="D560" s="92" t="str" cm="1">
        <f t="array" ref="D560">INDEX(기계코드!$D$4:$D$1022,MATCH(1,(C560=기계코드!$F$4:$F$1022)*1,0))</f>
        <v>M_MED01</v>
      </c>
      <c r="E560" s="92" t="s">
        <v>1128</v>
      </c>
      <c r="F560" s="92" t="str" cm="1">
        <f t="array" ref="F560">INDEX(공급업체코드!$B$3:$B$1000,MATCH(1,(E560=공급업체코드!$D$3:$D$1000)*1,0))</f>
        <v>VM_BKT</v>
      </c>
      <c r="H560" s="312">
        <v>558</v>
      </c>
      <c r="I560" s="233" t="s">
        <v>1313</v>
      </c>
      <c r="K560" s="233" t="s">
        <v>1314</v>
      </c>
      <c r="L560" s="236">
        <f t="shared" si="19"/>
        <v>557442</v>
      </c>
      <c r="N560" s="113" t="s">
        <v>1315</v>
      </c>
      <c r="O560" s="1" t="b">
        <v>1</v>
      </c>
      <c r="Q560" s="34"/>
    </row>
    <row r="561" spans="2:17">
      <c r="B561" s="1" t="str">
        <f t="shared" si="20"/>
        <v>M_MED01_VM_BKT_559</v>
      </c>
      <c r="C561" s="92" t="s">
        <v>727</v>
      </c>
      <c r="D561" s="92" t="str" cm="1">
        <f t="array" ref="D561">INDEX(기계코드!$D$4:$D$1022,MATCH(1,(C561=기계코드!$F$4:$F$1022)*1,0))</f>
        <v>M_MED01</v>
      </c>
      <c r="E561" s="92" t="s">
        <v>1128</v>
      </c>
      <c r="F561" s="92" t="str" cm="1">
        <f t="array" ref="F561">INDEX(공급업체코드!$B$3:$B$1000,MATCH(1,(E561=공급업체코드!$D$3:$D$1000)*1,0))</f>
        <v>VM_BKT</v>
      </c>
      <c r="H561" s="312">
        <v>559</v>
      </c>
      <c r="I561" s="233" t="s">
        <v>1313</v>
      </c>
      <c r="K561" s="233" t="s">
        <v>1314</v>
      </c>
      <c r="L561" s="236">
        <f t="shared" si="19"/>
        <v>558441</v>
      </c>
      <c r="N561" s="113" t="s">
        <v>1315</v>
      </c>
      <c r="O561" s="1" t="b">
        <v>1</v>
      </c>
      <c r="Q561" s="34"/>
    </row>
    <row r="562" spans="2:17">
      <c r="B562" s="1" t="str">
        <f t="shared" si="20"/>
        <v>M_MED01_VM_BKT_560</v>
      </c>
      <c r="C562" s="92" t="s">
        <v>727</v>
      </c>
      <c r="D562" s="92" t="str" cm="1">
        <f t="array" ref="D562">INDEX(기계코드!$D$4:$D$1022,MATCH(1,(C562=기계코드!$F$4:$F$1022)*1,0))</f>
        <v>M_MED01</v>
      </c>
      <c r="E562" s="92" t="s">
        <v>1128</v>
      </c>
      <c r="F562" s="92" t="str" cm="1">
        <f t="array" ref="F562">INDEX(공급업체코드!$B$3:$B$1000,MATCH(1,(E562=공급업체코드!$D$3:$D$1000)*1,0))</f>
        <v>VM_BKT</v>
      </c>
      <c r="H562" s="312">
        <v>560</v>
      </c>
      <c r="I562" s="233" t="s">
        <v>1313</v>
      </c>
      <c r="K562" s="233" t="s">
        <v>1314</v>
      </c>
      <c r="L562" s="236">
        <f t="shared" si="19"/>
        <v>559440</v>
      </c>
      <c r="N562" s="113" t="s">
        <v>1315</v>
      </c>
      <c r="O562" s="1" t="b">
        <v>1</v>
      </c>
      <c r="Q562" s="34"/>
    </row>
    <row r="563" spans="2:17">
      <c r="B563" s="1" t="str">
        <f t="shared" si="20"/>
        <v>M_MED01_VM_BKT_561</v>
      </c>
      <c r="C563" s="92" t="s">
        <v>727</v>
      </c>
      <c r="D563" s="92" t="str" cm="1">
        <f t="array" ref="D563">INDEX(기계코드!$D$4:$D$1022,MATCH(1,(C563=기계코드!$F$4:$F$1022)*1,0))</f>
        <v>M_MED01</v>
      </c>
      <c r="E563" s="92" t="s">
        <v>1128</v>
      </c>
      <c r="F563" s="92" t="str" cm="1">
        <f t="array" ref="F563">INDEX(공급업체코드!$B$3:$B$1000,MATCH(1,(E563=공급업체코드!$D$3:$D$1000)*1,0))</f>
        <v>VM_BKT</v>
      </c>
      <c r="H563" s="312">
        <v>561</v>
      </c>
      <c r="I563" s="233" t="s">
        <v>1313</v>
      </c>
      <c r="K563" s="233" t="s">
        <v>1314</v>
      </c>
      <c r="L563" s="236">
        <f t="shared" si="19"/>
        <v>560439</v>
      </c>
      <c r="N563" s="113" t="s">
        <v>1315</v>
      </c>
      <c r="O563" s="1" t="b">
        <v>1</v>
      </c>
      <c r="Q563" s="34"/>
    </row>
    <row r="564" spans="2:17">
      <c r="B564" s="1" t="str">
        <f t="shared" si="20"/>
        <v>M_MED01_VM_BKT_562</v>
      </c>
      <c r="C564" s="92" t="s">
        <v>727</v>
      </c>
      <c r="D564" s="92" t="str" cm="1">
        <f t="array" ref="D564">INDEX(기계코드!$D$4:$D$1022,MATCH(1,(C564=기계코드!$F$4:$F$1022)*1,0))</f>
        <v>M_MED01</v>
      </c>
      <c r="E564" s="92" t="s">
        <v>1128</v>
      </c>
      <c r="F564" s="92" t="str" cm="1">
        <f t="array" ref="F564">INDEX(공급업체코드!$B$3:$B$1000,MATCH(1,(E564=공급업체코드!$D$3:$D$1000)*1,0))</f>
        <v>VM_BKT</v>
      </c>
      <c r="H564" s="312">
        <v>562</v>
      </c>
      <c r="I564" s="233" t="s">
        <v>1313</v>
      </c>
      <c r="K564" s="233" t="s">
        <v>1314</v>
      </c>
      <c r="L564" s="236">
        <f t="shared" si="19"/>
        <v>561438</v>
      </c>
      <c r="N564" s="113" t="s">
        <v>1315</v>
      </c>
      <c r="O564" s="1" t="b">
        <v>1</v>
      </c>
      <c r="Q564" s="34"/>
    </row>
    <row r="565" spans="2:17">
      <c r="B565" s="1" t="str">
        <f t="shared" si="20"/>
        <v>M_MED01_VM_BKT_563</v>
      </c>
      <c r="C565" s="92" t="s">
        <v>727</v>
      </c>
      <c r="D565" s="92" t="str" cm="1">
        <f t="array" ref="D565">INDEX(기계코드!$D$4:$D$1022,MATCH(1,(C565=기계코드!$F$4:$F$1022)*1,0))</f>
        <v>M_MED01</v>
      </c>
      <c r="E565" s="92" t="s">
        <v>1128</v>
      </c>
      <c r="F565" s="92" t="str" cm="1">
        <f t="array" ref="F565">INDEX(공급업체코드!$B$3:$B$1000,MATCH(1,(E565=공급업체코드!$D$3:$D$1000)*1,0))</f>
        <v>VM_BKT</v>
      </c>
      <c r="H565" s="312">
        <v>563</v>
      </c>
      <c r="I565" s="233" t="s">
        <v>1313</v>
      </c>
      <c r="K565" s="233" t="s">
        <v>1314</v>
      </c>
      <c r="L565" s="236">
        <f t="shared" si="19"/>
        <v>562437</v>
      </c>
      <c r="N565" s="113" t="s">
        <v>1315</v>
      </c>
      <c r="O565" s="1" t="b">
        <v>1</v>
      </c>
      <c r="Q565" s="34"/>
    </row>
    <row r="566" spans="2:17">
      <c r="B566" s="1" t="str">
        <f t="shared" si="20"/>
        <v>M_MED01_VM_BKT_564</v>
      </c>
      <c r="C566" s="92" t="s">
        <v>727</v>
      </c>
      <c r="D566" s="92" t="str" cm="1">
        <f t="array" ref="D566">INDEX(기계코드!$D$4:$D$1022,MATCH(1,(C566=기계코드!$F$4:$F$1022)*1,0))</f>
        <v>M_MED01</v>
      </c>
      <c r="E566" s="92" t="s">
        <v>1128</v>
      </c>
      <c r="F566" s="92" t="str" cm="1">
        <f t="array" ref="F566">INDEX(공급업체코드!$B$3:$B$1000,MATCH(1,(E566=공급업체코드!$D$3:$D$1000)*1,0))</f>
        <v>VM_BKT</v>
      </c>
      <c r="H566" s="312">
        <v>564</v>
      </c>
      <c r="I566" s="233" t="s">
        <v>1313</v>
      </c>
      <c r="K566" s="233" t="s">
        <v>1314</v>
      </c>
      <c r="L566" s="236">
        <f t="shared" si="19"/>
        <v>563436</v>
      </c>
      <c r="N566" s="113" t="s">
        <v>1315</v>
      </c>
      <c r="O566" s="1" t="b">
        <v>1</v>
      </c>
      <c r="Q566" s="34"/>
    </row>
    <row r="567" spans="2:17">
      <c r="B567" s="1" t="str">
        <f t="shared" si="20"/>
        <v>M_MED01_VM_BKT_565</v>
      </c>
      <c r="C567" s="92" t="s">
        <v>727</v>
      </c>
      <c r="D567" s="92" t="str" cm="1">
        <f t="array" ref="D567">INDEX(기계코드!$D$4:$D$1022,MATCH(1,(C567=기계코드!$F$4:$F$1022)*1,0))</f>
        <v>M_MED01</v>
      </c>
      <c r="E567" s="92" t="s">
        <v>1128</v>
      </c>
      <c r="F567" s="92" t="str" cm="1">
        <f t="array" ref="F567">INDEX(공급업체코드!$B$3:$B$1000,MATCH(1,(E567=공급업체코드!$D$3:$D$1000)*1,0))</f>
        <v>VM_BKT</v>
      </c>
      <c r="H567" s="312">
        <v>565</v>
      </c>
      <c r="I567" s="233" t="s">
        <v>1313</v>
      </c>
      <c r="K567" s="233" t="s">
        <v>1314</v>
      </c>
      <c r="L567" s="236">
        <f t="shared" si="19"/>
        <v>564435</v>
      </c>
      <c r="N567" s="113" t="s">
        <v>1315</v>
      </c>
      <c r="O567" s="1" t="b">
        <v>1</v>
      </c>
      <c r="Q567" s="34"/>
    </row>
    <row r="568" spans="2:17">
      <c r="B568" s="1" t="str">
        <f t="shared" si="20"/>
        <v>M_MED01_VM_BKT_566</v>
      </c>
      <c r="C568" s="92" t="s">
        <v>727</v>
      </c>
      <c r="D568" s="92" t="str" cm="1">
        <f t="array" ref="D568">INDEX(기계코드!$D$4:$D$1022,MATCH(1,(C568=기계코드!$F$4:$F$1022)*1,0))</f>
        <v>M_MED01</v>
      </c>
      <c r="E568" s="92" t="s">
        <v>1128</v>
      </c>
      <c r="F568" s="92" t="str" cm="1">
        <f t="array" ref="F568">INDEX(공급업체코드!$B$3:$B$1000,MATCH(1,(E568=공급업체코드!$D$3:$D$1000)*1,0))</f>
        <v>VM_BKT</v>
      </c>
      <c r="H568" s="312">
        <v>566</v>
      </c>
      <c r="I568" s="233" t="s">
        <v>1313</v>
      </c>
      <c r="K568" s="233" t="s">
        <v>1314</v>
      </c>
      <c r="L568" s="236">
        <f t="shared" si="19"/>
        <v>565434</v>
      </c>
      <c r="N568" s="113" t="s">
        <v>1315</v>
      </c>
      <c r="O568" s="1" t="b">
        <v>1</v>
      </c>
      <c r="Q568" s="34"/>
    </row>
    <row r="569" spans="2:17">
      <c r="B569" s="1" t="str">
        <f t="shared" si="20"/>
        <v>M_MED01_VM_BKT_567</v>
      </c>
      <c r="C569" s="92" t="s">
        <v>727</v>
      </c>
      <c r="D569" s="92" t="str" cm="1">
        <f t="array" ref="D569">INDEX(기계코드!$D$4:$D$1022,MATCH(1,(C569=기계코드!$F$4:$F$1022)*1,0))</f>
        <v>M_MED01</v>
      </c>
      <c r="E569" s="92" t="s">
        <v>1128</v>
      </c>
      <c r="F569" s="92" t="str" cm="1">
        <f t="array" ref="F569">INDEX(공급업체코드!$B$3:$B$1000,MATCH(1,(E569=공급업체코드!$D$3:$D$1000)*1,0))</f>
        <v>VM_BKT</v>
      </c>
      <c r="H569" s="312">
        <v>567</v>
      </c>
      <c r="I569" s="233" t="s">
        <v>1313</v>
      </c>
      <c r="K569" s="233" t="s">
        <v>1314</v>
      </c>
      <c r="L569" s="236">
        <f t="shared" si="19"/>
        <v>566433</v>
      </c>
      <c r="N569" s="113" t="s">
        <v>1315</v>
      </c>
      <c r="O569" s="1" t="b">
        <v>1</v>
      </c>
      <c r="Q569" s="34"/>
    </row>
    <row r="570" spans="2:17">
      <c r="B570" s="1" t="str">
        <f t="shared" si="20"/>
        <v>M_MED01_VM_BKT_568</v>
      </c>
      <c r="C570" s="92" t="s">
        <v>727</v>
      </c>
      <c r="D570" s="92" t="str" cm="1">
        <f t="array" ref="D570">INDEX(기계코드!$D$4:$D$1022,MATCH(1,(C570=기계코드!$F$4:$F$1022)*1,0))</f>
        <v>M_MED01</v>
      </c>
      <c r="E570" s="92" t="s">
        <v>1128</v>
      </c>
      <c r="F570" s="92" t="str" cm="1">
        <f t="array" ref="F570">INDEX(공급업체코드!$B$3:$B$1000,MATCH(1,(E570=공급업체코드!$D$3:$D$1000)*1,0))</f>
        <v>VM_BKT</v>
      </c>
      <c r="H570" s="312">
        <v>568</v>
      </c>
      <c r="I570" s="233" t="s">
        <v>1313</v>
      </c>
      <c r="K570" s="233" t="s">
        <v>1314</v>
      </c>
      <c r="L570" s="236">
        <f t="shared" si="19"/>
        <v>567432</v>
      </c>
      <c r="N570" s="113" t="s">
        <v>1315</v>
      </c>
      <c r="O570" s="1" t="b">
        <v>1</v>
      </c>
      <c r="Q570" s="34"/>
    </row>
    <row r="571" spans="2:17">
      <c r="B571" s="1" t="str">
        <f t="shared" si="20"/>
        <v>M_MED01_VM_BKT_569</v>
      </c>
      <c r="C571" s="92" t="s">
        <v>727</v>
      </c>
      <c r="D571" s="92" t="str" cm="1">
        <f t="array" ref="D571">INDEX(기계코드!$D$4:$D$1022,MATCH(1,(C571=기계코드!$F$4:$F$1022)*1,0))</f>
        <v>M_MED01</v>
      </c>
      <c r="E571" s="92" t="s">
        <v>1128</v>
      </c>
      <c r="F571" s="92" t="str" cm="1">
        <f t="array" ref="F571">INDEX(공급업체코드!$B$3:$B$1000,MATCH(1,(E571=공급업체코드!$D$3:$D$1000)*1,0))</f>
        <v>VM_BKT</v>
      </c>
      <c r="H571" s="312">
        <v>569</v>
      </c>
      <c r="I571" s="233" t="s">
        <v>1313</v>
      </c>
      <c r="K571" s="233" t="s">
        <v>1314</v>
      </c>
      <c r="L571" s="236">
        <f t="shared" si="19"/>
        <v>568431</v>
      </c>
      <c r="N571" s="113" t="s">
        <v>1315</v>
      </c>
      <c r="O571" s="1" t="b">
        <v>1</v>
      </c>
      <c r="Q571" s="34"/>
    </row>
    <row r="572" spans="2:17">
      <c r="B572" s="1" t="str">
        <f t="shared" si="20"/>
        <v>M_MED01_VM_BKT_570</v>
      </c>
      <c r="C572" s="92" t="s">
        <v>727</v>
      </c>
      <c r="D572" s="92" t="str" cm="1">
        <f t="array" ref="D572">INDEX(기계코드!$D$4:$D$1022,MATCH(1,(C572=기계코드!$F$4:$F$1022)*1,0))</f>
        <v>M_MED01</v>
      </c>
      <c r="E572" s="92" t="s">
        <v>1128</v>
      </c>
      <c r="F572" s="92" t="str" cm="1">
        <f t="array" ref="F572">INDEX(공급업체코드!$B$3:$B$1000,MATCH(1,(E572=공급업체코드!$D$3:$D$1000)*1,0))</f>
        <v>VM_BKT</v>
      </c>
      <c r="H572" s="312">
        <v>570</v>
      </c>
      <c r="I572" s="233" t="s">
        <v>1313</v>
      </c>
      <c r="K572" s="233" t="s">
        <v>1314</v>
      </c>
      <c r="L572" s="236">
        <f t="shared" si="19"/>
        <v>569430</v>
      </c>
      <c r="N572" s="113" t="s">
        <v>1315</v>
      </c>
      <c r="O572" s="1" t="b">
        <v>1</v>
      </c>
      <c r="Q572" s="34"/>
    </row>
    <row r="573" spans="2:17">
      <c r="B573" s="1" t="str">
        <f t="shared" si="20"/>
        <v>M_MED01_VM_BKT_571</v>
      </c>
      <c r="C573" s="92" t="s">
        <v>727</v>
      </c>
      <c r="D573" s="92" t="str" cm="1">
        <f t="array" ref="D573">INDEX(기계코드!$D$4:$D$1022,MATCH(1,(C573=기계코드!$F$4:$F$1022)*1,0))</f>
        <v>M_MED01</v>
      </c>
      <c r="E573" s="92" t="s">
        <v>1128</v>
      </c>
      <c r="F573" s="92" t="str" cm="1">
        <f t="array" ref="F573">INDEX(공급업체코드!$B$3:$B$1000,MATCH(1,(E573=공급업체코드!$D$3:$D$1000)*1,0))</f>
        <v>VM_BKT</v>
      </c>
      <c r="H573" s="312">
        <v>571</v>
      </c>
      <c r="I573" s="233" t="s">
        <v>1313</v>
      </c>
      <c r="K573" s="233" t="s">
        <v>1314</v>
      </c>
      <c r="L573" s="236">
        <f t="shared" si="19"/>
        <v>570429</v>
      </c>
      <c r="N573" s="113" t="s">
        <v>1315</v>
      </c>
      <c r="O573" s="1" t="b">
        <v>1</v>
      </c>
      <c r="Q573" s="34"/>
    </row>
    <row r="574" spans="2:17">
      <c r="B574" s="1" t="str">
        <f t="shared" si="20"/>
        <v>M_MED01_VM_BKT_572</v>
      </c>
      <c r="C574" s="92" t="s">
        <v>727</v>
      </c>
      <c r="D574" s="92" t="str" cm="1">
        <f t="array" ref="D574">INDEX(기계코드!$D$4:$D$1022,MATCH(1,(C574=기계코드!$F$4:$F$1022)*1,0))</f>
        <v>M_MED01</v>
      </c>
      <c r="E574" s="92" t="s">
        <v>1128</v>
      </c>
      <c r="F574" s="92" t="str" cm="1">
        <f t="array" ref="F574">INDEX(공급업체코드!$B$3:$B$1000,MATCH(1,(E574=공급업체코드!$D$3:$D$1000)*1,0))</f>
        <v>VM_BKT</v>
      </c>
      <c r="H574" s="312">
        <v>572</v>
      </c>
      <c r="I574" s="233" t="s">
        <v>1313</v>
      </c>
      <c r="K574" s="233" t="s">
        <v>1314</v>
      </c>
      <c r="L574" s="236">
        <f t="shared" si="19"/>
        <v>571428</v>
      </c>
      <c r="N574" s="113" t="s">
        <v>1315</v>
      </c>
      <c r="O574" s="1" t="b">
        <v>1</v>
      </c>
      <c r="Q574" s="34"/>
    </row>
    <row r="575" spans="2:17">
      <c r="B575" s="1" t="str">
        <f t="shared" si="20"/>
        <v>M_MED01_VM_BKT_573</v>
      </c>
      <c r="C575" s="92" t="s">
        <v>727</v>
      </c>
      <c r="D575" s="92" t="str" cm="1">
        <f t="array" ref="D575">INDEX(기계코드!$D$4:$D$1022,MATCH(1,(C575=기계코드!$F$4:$F$1022)*1,0))</f>
        <v>M_MED01</v>
      </c>
      <c r="E575" s="92" t="s">
        <v>1128</v>
      </c>
      <c r="F575" s="92" t="str" cm="1">
        <f t="array" ref="F575">INDEX(공급업체코드!$B$3:$B$1000,MATCH(1,(E575=공급업체코드!$D$3:$D$1000)*1,0))</f>
        <v>VM_BKT</v>
      </c>
      <c r="H575" s="312">
        <v>573</v>
      </c>
      <c r="I575" s="233" t="s">
        <v>1313</v>
      </c>
      <c r="K575" s="233" t="s">
        <v>1314</v>
      </c>
      <c r="L575" s="236">
        <f t="shared" si="19"/>
        <v>572427</v>
      </c>
      <c r="N575" s="113" t="s">
        <v>1315</v>
      </c>
      <c r="O575" s="1" t="b">
        <v>1</v>
      </c>
      <c r="Q575" s="34"/>
    </row>
    <row r="576" spans="2:17">
      <c r="B576" s="1" t="str">
        <f t="shared" si="20"/>
        <v>M_MED01_VM_BKT_574</v>
      </c>
      <c r="C576" s="92" t="s">
        <v>727</v>
      </c>
      <c r="D576" s="92" t="str" cm="1">
        <f t="array" ref="D576">INDEX(기계코드!$D$4:$D$1022,MATCH(1,(C576=기계코드!$F$4:$F$1022)*1,0))</f>
        <v>M_MED01</v>
      </c>
      <c r="E576" s="92" t="s">
        <v>1128</v>
      </c>
      <c r="F576" s="92" t="str" cm="1">
        <f t="array" ref="F576">INDEX(공급업체코드!$B$3:$B$1000,MATCH(1,(E576=공급업체코드!$D$3:$D$1000)*1,0))</f>
        <v>VM_BKT</v>
      </c>
      <c r="H576" s="312">
        <v>574</v>
      </c>
      <c r="I576" s="233" t="s">
        <v>1313</v>
      </c>
      <c r="K576" s="233" t="s">
        <v>1314</v>
      </c>
      <c r="L576" s="236">
        <f t="shared" si="19"/>
        <v>573426</v>
      </c>
      <c r="N576" s="113" t="s">
        <v>1315</v>
      </c>
      <c r="O576" s="1" t="b">
        <v>1</v>
      </c>
      <c r="Q576" s="34"/>
    </row>
    <row r="577" spans="2:17">
      <c r="B577" s="1" t="str">
        <f t="shared" si="20"/>
        <v>M_MED01_VM_BKT_575</v>
      </c>
      <c r="C577" s="92" t="s">
        <v>727</v>
      </c>
      <c r="D577" s="92" t="str" cm="1">
        <f t="array" ref="D577">INDEX(기계코드!$D$4:$D$1022,MATCH(1,(C577=기계코드!$F$4:$F$1022)*1,0))</f>
        <v>M_MED01</v>
      </c>
      <c r="E577" s="92" t="s">
        <v>1128</v>
      </c>
      <c r="F577" s="92" t="str" cm="1">
        <f t="array" ref="F577">INDEX(공급업체코드!$B$3:$B$1000,MATCH(1,(E577=공급업체코드!$D$3:$D$1000)*1,0))</f>
        <v>VM_BKT</v>
      </c>
      <c r="H577" s="312">
        <v>575</v>
      </c>
      <c r="I577" s="233" t="s">
        <v>1313</v>
      </c>
      <c r="K577" s="233" t="s">
        <v>1314</v>
      </c>
      <c r="L577" s="236">
        <f t="shared" si="19"/>
        <v>574425</v>
      </c>
      <c r="N577" s="113" t="s">
        <v>1315</v>
      </c>
      <c r="O577" s="1" t="b">
        <v>1</v>
      </c>
      <c r="Q577" s="34"/>
    </row>
    <row r="578" spans="2:17">
      <c r="B578" s="1" t="str">
        <f t="shared" si="20"/>
        <v>M_MED01_VM_BKT_576</v>
      </c>
      <c r="C578" s="92" t="s">
        <v>727</v>
      </c>
      <c r="D578" s="92" t="str" cm="1">
        <f t="array" ref="D578">INDEX(기계코드!$D$4:$D$1022,MATCH(1,(C578=기계코드!$F$4:$F$1022)*1,0))</f>
        <v>M_MED01</v>
      </c>
      <c r="E578" s="92" t="s">
        <v>1128</v>
      </c>
      <c r="F578" s="92" t="str" cm="1">
        <f t="array" ref="F578">INDEX(공급업체코드!$B$3:$B$1000,MATCH(1,(E578=공급업체코드!$D$3:$D$1000)*1,0))</f>
        <v>VM_BKT</v>
      </c>
      <c r="H578" s="312">
        <v>576</v>
      </c>
      <c r="I578" s="233" t="s">
        <v>1313</v>
      </c>
      <c r="K578" s="233" t="s">
        <v>1314</v>
      </c>
      <c r="L578" s="236">
        <f t="shared" si="19"/>
        <v>575424</v>
      </c>
      <c r="N578" s="113" t="s">
        <v>1315</v>
      </c>
      <c r="O578" s="1" t="b">
        <v>1</v>
      </c>
      <c r="Q578" s="34"/>
    </row>
    <row r="579" spans="2:17">
      <c r="B579" s="1" t="str">
        <f t="shared" si="20"/>
        <v>M_MED01_VM_BKT_577</v>
      </c>
      <c r="C579" s="92" t="s">
        <v>727</v>
      </c>
      <c r="D579" s="92" t="str" cm="1">
        <f t="array" ref="D579">INDEX(기계코드!$D$4:$D$1022,MATCH(1,(C579=기계코드!$F$4:$F$1022)*1,0))</f>
        <v>M_MED01</v>
      </c>
      <c r="E579" s="92" t="s">
        <v>1128</v>
      </c>
      <c r="F579" s="92" t="str" cm="1">
        <f t="array" ref="F579">INDEX(공급업체코드!$B$3:$B$1000,MATCH(1,(E579=공급업체코드!$D$3:$D$1000)*1,0))</f>
        <v>VM_BKT</v>
      </c>
      <c r="H579" s="312">
        <v>577</v>
      </c>
      <c r="I579" s="233" t="s">
        <v>1313</v>
      </c>
      <c r="K579" s="233" t="s">
        <v>1314</v>
      </c>
      <c r="L579" s="236">
        <f t="shared" si="19"/>
        <v>576423</v>
      </c>
      <c r="N579" s="113" t="s">
        <v>1315</v>
      </c>
      <c r="O579" s="1" t="b">
        <v>1</v>
      </c>
      <c r="Q579" s="34"/>
    </row>
    <row r="580" spans="2:17">
      <c r="B580" s="1" t="str">
        <f t="shared" si="20"/>
        <v>M_MED01_VM_BKT_578</v>
      </c>
      <c r="C580" s="92" t="s">
        <v>727</v>
      </c>
      <c r="D580" s="92" t="str" cm="1">
        <f t="array" ref="D580">INDEX(기계코드!$D$4:$D$1022,MATCH(1,(C580=기계코드!$F$4:$F$1022)*1,0))</f>
        <v>M_MED01</v>
      </c>
      <c r="E580" s="92" t="s">
        <v>1128</v>
      </c>
      <c r="F580" s="92" t="str" cm="1">
        <f t="array" ref="F580">INDEX(공급업체코드!$B$3:$B$1000,MATCH(1,(E580=공급업체코드!$D$3:$D$1000)*1,0))</f>
        <v>VM_BKT</v>
      </c>
      <c r="H580" s="312">
        <v>578</v>
      </c>
      <c r="I580" s="233" t="s">
        <v>1313</v>
      </c>
      <c r="K580" s="233" t="s">
        <v>1314</v>
      </c>
      <c r="L580" s="236">
        <f t="shared" si="19"/>
        <v>577422</v>
      </c>
      <c r="N580" s="113" t="s">
        <v>1315</v>
      </c>
      <c r="O580" s="1" t="b">
        <v>1</v>
      </c>
      <c r="Q580" s="34"/>
    </row>
    <row r="581" spans="2:17">
      <c r="B581" s="1" t="str">
        <f t="shared" si="20"/>
        <v>M_MED01_VM_BKT_579</v>
      </c>
      <c r="C581" s="92" t="s">
        <v>727</v>
      </c>
      <c r="D581" s="92" t="str" cm="1">
        <f t="array" ref="D581">INDEX(기계코드!$D$4:$D$1022,MATCH(1,(C581=기계코드!$F$4:$F$1022)*1,0))</f>
        <v>M_MED01</v>
      </c>
      <c r="E581" s="92" t="s">
        <v>1128</v>
      </c>
      <c r="F581" s="92" t="str" cm="1">
        <f t="array" ref="F581">INDEX(공급업체코드!$B$3:$B$1000,MATCH(1,(E581=공급업체코드!$D$3:$D$1000)*1,0))</f>
        <v>VM_BKT</v>
      </c>
      <c r="H581" s="312">
        <v>579</v>
      </c>
      <c r="I581" s="233" t="s">
        <v>1313</v>
      </c>
      <c r="K581" s="233" t="s">
        <v>1314</v>
      </c>
      <c r="L581" s="236">
        <f t="shared" ref="L581:L644" si="21">$L$3*H581</f>
        <v>578421</v>
      </c>
      <c r="N581" s="113" t="s">
        <v>1315</v>
      </c>
      <c r="O581" s="1" t="b">
        <v>1</v>
      </c>
      <c r="Q581" s="34"/>
    </row>
    <row r="582" spans="2:17">
      <c r="B582" s="1" t="str">
        <f t="shared" si="20"/>
        <v>M_MED01_VM_BKT_580</v>
      </c>
      <c r="C582" s="92" t="s">
        <v>727</v>
      </c>
      <c r="D582" s="92" t="str" cm="1">
        <f t="array" ref="D582">INDEX(기계코드!$D$4:$D$1022,MATCH(1,(C582=기계코드!$F$4:$F$1022)*1,0))</f>
        <v>M_MED01</v>
      </c>
      <c r="E582" s="92" t="s">
        <v>1128</v>
      </c>
      <c r="F582" s="92" t="str" cm="1">
        <f t="array" ref="F582">INDEX(공급업체코드!$B$3:$B$1000,MATCH(1,(E582=공급업체코드!$D$3:$D$1000)*1,0))</f>
        <v>VM_BKT</v>
      </c>
      <c r="H582" s="312">
        <v>580</v>
      </c>
      <c r="I582" s="233" t="s">
        <v>1313</v>
      </c>
      <c r="K582" s="233" t="s">
        <v>1314</v>
      </c>
      <c r="L582" s="236">
        <f t="shared" si="21"/>
        <v>579420</v>
      </c>
      <c r="N582" s="113" t="s">
        <v>1315</v>
      </c>
      <c r="O582" s="1" t="b">
        <v>1</v>
      </c>
      <c r="Q582" s="34"/>
    </row>
    <row r="583" spans="2:17">
      <c r="B583" s="1" t="str">
        <f t="shared" ref="B583:B646" si="22">D583&amp;"_"&amp;F583&amp;"_"&amp;H583</f>
        <v>M_MED01_VM_BKT_581</v>
      </c>
      <c r="C583" s="92" t="s">
        <v>727</v>
      </c>
      <c r="D583" s="92" t="str" cm="1">
        <f t="array" ref="D583">INDEX(기계코드!$D$4:$D$1022,MATCH(1,(C583=기계코드!$F$4:$F$1022)*1,0))</f>
        <v>M_MED01</v>
      </c>
      <c r="E583" s="92" t="s">
        <v>1128</v>
      </c>
      <c r="F583" s="92" t="str" cm="1">
        <f t="array" ref="F583">INDEX(공급업체코드!$B$3:$B$1000,MATCH(1,(E583=공급업체코드!$D$3:$D$1000)*1,0))</f>
        <v>VM_BKT</v>
      </c>
      <c r="H583" s="312">
        <v>581</v>
      </c>
      <c r="I583" s="233" t="s">
        <v>1313</v>
      </c>
      <c r="K583" s="233" t="s">
        <v>1314</v>
      </c>
      <c r="L583" s="236">
        <f t="shared" si="21"/>
        <v>580419</v>
      </c>
      <c r="N583" s="113" t="s">
        <v>1315</v>
      </c>
      <c r="O583" s="1" t="b">
        <v>1</v>
      </c>
      <c r="Q583" s="34"/>
    </row>
    <row r="584" spans="2:17">
      <c r="B584" s="1" t="str">
        <f t="shared" si="22"/>
        <v>M_MED01_VM_BKT_582</v>
      </c>
      <c r="C584" s="92" t="s">
        <v>727</v>
      </c>
      <c r="D584" s="92" t="str" cm="1">
        <f t="array" ref="D584">INDEX(기계코드!$D$4:$D$1022,MATCH(1,(C584=기계코드!$F$4:$F$1022)*1,0))</f>
        <v>M_MED01</v>
      </c>
      <c r="E584" s="92" t="s">
        <v>1128</v>
      </c>
      <c r="F584" s="92" t="str" cm="1">
        <f t="array" ref="F584">INDEX(공급업체코드!$B$3:$B$1000,MATCH(1,(E584=공급업체코드!$D$3:$D$1000)*1,0))</f>
        <v>VM_BKT</v>
      </c>
      <c r="H584" s="312">
        <v>582</v>
      </c>
      <c r="I584" s="233" t="s">
        <v>1313</v>
      </c>
      <c r="K584" s="233" t="s">
        <v>1314</v>
      </c>
      <c r="L584" s="236">
        <f t="shared" si="21"/>
        <v>581418</v>
      </c>
      <c r="N584" s="113" t="s">
        <v>1315</v>
      </c>
      <c r="O584" s="1" t="b">
        <v>1</v>
      </c>
      <c r="Q584" s="34"/>
    </row>
    <row r="585" spans="2:17">
      <c r="B585" s="1" t="str">
        <f t="shared" si="22"/>
        <v>M_MED01_VM_BKT_583</v>
      </c>
      <c r="C585" s="92" t="s">
        <v>727</v>
      </c>
      <c r="D585" s="92" t="str" cm="1">
        <f t="array" ref="D585">INDEX(기계코드!$D$4:$D$1022,MATCH(1,(C585=기계코드!$F$4:$F$1022)*1,0))</f>
        <v>M_MED01</v>
      </c>
      <c r="E585" s="92" t="s">
        <v>1128</v>
      </c>
      <c r="F585" s="92" t="str" cm="1">
        <f t="array" ref="F585">INDEX(공급업체코드!$B$3:$B$1000,MATCH(1,(E585=공급업체코드!$D$3:$D$1000)*1,0))</f>
        <v>VM_BKT</v>
      </c>
      <c r="H585" s="312">
        <v>583</v>
      </c>
      <c r="I585" s="233" t="s">
        <v>1313</v>
      </c>
      <c r="K585" s="233" t="s">
        <v>1314</v>
      </c>
      <c r="L585" s="236">
        <f t="shared" si="21"/>
        <v>582417</v>
      </c>
      <c r="N585" s="113" t="s">
        <v>1315</v>
      </c>
      <c r="O585" s="1" t="b">
        <v>1</v>
      </c>
      <c r="Q585" s="34"/>
    </row>
    <row r="586" spans="2:17">
      <c r="B586" s="1" t="str">
        <f t="shared" si="22"/>
        <v>M_MED01_VM_BKT_584</v>
      </c>
      <c r="C586" s="92" t="s">
        <v>727</v>
      </c>
      <c r="D586" s="92" t="str" cm="1">
        <f t="array" ref="D586">INDEX(기계코드!$D$4:$D$1022,MATCH(1,(C586=기계코드!$F$4:$F$1022)*1,0))</f>
        <v>M_MED01</v>
      </c>
      <c r="E586" s="92" t="s">
        <v>1128</v>
      </c>
      <c r="F586" s="92" t="str" cm="1">
        <f t="array" ref="F586">INDEX(공급업체코드!$B$3:$B$1000,MATCH(1,(E586=공급업체코드!$D$3:$D$1000)*1,0))</f>
        <v>VM_BKT</v>
      </c>
      <c r="H586" s="312">
        <v>584</v>
      </c>
      <c r="I586" s="233" t="s">
        <v>1313</v>
      </c>
      <c r="K586" s="233" t="s">
        <v>1314</v>
      </c>
      <c r="L586" s="236">
        <f t="shared" si="21"/>
        <v>583416</v>
      </c>
      <c r="N586" s="113" t="s">
        <v>1315</v>
      </c>
      <c r="O586" s="1" t="b">
        <v>1</v>
      </c>
      <c r="Q586" s="34"/>
    </row>
    <row r="587" spans="2:17">
      <c r="B587" s="1" t="str">
        <f t="shared" si="22"/>
        <v>M_MED01_VM_BKT_585</v>
      </c>
      <c r="C587" s="92" t="s">
        <v>727</v>
      </c>
      <c r="D587" s="92" t="str" cm="1">
        <f t="array" ref="D587">INDEX(기계코드!$D$4:$D$1022,MATCH(1,(C587=기계코드!$F$4:$F$1022)*1,0))</f>
        <v>M_MED01</v>
      </c>
      <c r="E587" s="92" t="s">
        <v>1128</v>
      </c>
      <c r="F587" s="92" t="str" cm="1">
        <f t="array" ref="F587">INDEX(공급업체코드!$B$3:$B$1000,MATCH(1,(E587=공급업체코드!$D$3:$D$1000)*1,0))</f>
        <v>VM_BKT</v>
      </c>
      <c r="H587" s="312">
        <v>585</v>
      </c>
      <c r="I587" s="233" t="s">
        <v>1313</v>
      </c>
      <c r="K587" s="233" t="s">
        <v>1314</v>
      </c>
      <c r="L587" s="236">
        <f t="shared" si="21"/>
        <v>584415</v>
      </c>
      <c r="N587" s="113" t="s">
        <v>1315</v>
      </c>
      <c r="O587" s="1" t="b">
        <v>1</v>
      </c>
      <c r="Q587" s="34"/>
    </row>
    <row r="588" spans="2:17">
      <c r="B588" s="1" t="str">
        <f t="shared" si="22"/>
        <v>M_MED01_VM_BKT_586</v>
      </c>
      <c r="C588" s="92" t="s">
        <v>727</v>
      </c>
      <c r="D588" s="92" t="str" cm="1">
        <f t="array" ref="D588">INDEX(기계코드!$D$4:$D$1022,MATCH(1,(C588=기계코드!$F$4:$F$1022)*1,0))</f>
        <v>M_MED01</v>
      </c>
      <c r="E588" s="92" t="s">
        <v>1128</v>
      </c>
      <c r="F588" s="92" t="str" cm="1">
        <f t="array" ref="F588">INDEX(공급업체코드!$B$3:$B$1000,MATCH(1,(E588=공급업체코드!$D$3:$D$1000)*1,0))</f>
        <v>VM_BKT</v>
      </c>
      <c r="H588" s="312">
        <v>586</v>
      </c>
      <c r="I588" s="233" t="s">
        <v>1313</v>
      </c>
      <c r="K588" s="233" t="s">
        <v>1314</v>
      </c>
      <c r="L588" s="236">
        <f t="shared" si="21"/>
        <v>585414</v>
      </c>
      <c r="N588" s="113" t="s">
        <v>1315</v>
      </c>
      <c r="O588" s="1" t="b">
        <v>1</v>
      </c>
      <c r="Q588" s="34"/>
    </row>
    <row r="589" spans="2:17">
      <c r="B589" s="1" t="str">
        <f t="shared" si="22"/>
        <v>M_MED01_VM_BKT_587</v>
      </c>
      <c r="C589" s="92" t="s">
        <v>727</v>
      </c>
      <c r="D589" s="92" t="str" cm="1">
        <f t="array" ref="D589">INDEX(기계코드!$D$4:$D$1022,MATCH(1,(C589=기계코드!$F$4:$F$1022)*1,0))</f>
        <v>M_MED01</v>
      </c>
      <c r="E589" s="92" t="s">
        <v>1128</v>
      </c>
      <c r="F589" s="92" t="str" cm="1">
        <f t="array" ref="F589">INDEX(공급업체코드!$B$3:$B$1000,MATCH(1,(E589=공급업체코드!$D$3:$D$1000)*1,0))</f>
        <v>VM_BKT</v>
      </c>
      <c r="H589" s="312">
        <v>587</v>
      </c>
      <c r="I589" s="233" t="s">
        <v>1313</v>
      </c>
      <c r="K589" s="233" t="s">
        <v>1314</v>
      </c>
      <c r="L589" s="236">
        <f t="shared" si="21"/>
        <v>586413</v>
      </c>
      <c r="N589" s="113" t="s">
        <v>1315</v>
      </c>
      <c r="O589" s="1" t="b">
        <v>1</v>
      </c>
      <c r="Q589" s="34"/>
    </row>
    <row r="590" spans="2:17">
      <c r="B590" s="1" t="str">
        <f t="shared" si="22"/>
        <v>M_MED01_VM_BKT_588</v>
      </c>
      <c r="C590" s="92" t="s">
        <v>727</v>
      </c>
      <c r="D590" s="92" t="str" cm="1">
        <f t="array" ref="D590">INDEX(기계코드!$D$4:$D$1022,MATCH(1,(C590=기계코드!$F$4:$F$1022)*1,0))</f>
        <v>M_MED01</v>
      </c>
      <c r="E590" s="92" t="s">
        <v>1128</v>
      </c>
      <c r="F590" s="92" t="str" cm="1">
        <f t="array" ref="F590">INDEX(공급업체코드!$B$3:$B$1000,MATCH(1,(E590=공급업체코드!$D$3:$D$1000)*1,0))</f>
        <v>VM_BKT</v>
      </c>
      <c r="H590" s="312">
        <v>588</v>
      </c>
      <c r="I590" s="233" t="s">
        <v>1313</v>
      </c>
      <c r="K590" s="233" t="s">
        <v>1314</v>
      </c>
      <c r="L590" s="236">
        <f t="shared" si="21"/>
        <v>587412</v>
      </c>
      <c r="N590" s="113" t="s">
        <v>1315</v>
      </c>
      <c r="O590" s="1" t="b">
        <v>1</v>
      </c>
      <c r="Q590" s="34"/>
    </row>
    <row r="591" spans="2:17">
      <c r="B591" s="1" t="str">
        <f t="shared" si="22"/>
        <v>M_MED01_VM_BKT_589</v>
      </c>
      <c r="C591" s="92" t="s">
        <v>727</v>
      </c>
      <c r="D591" s="92" t="str" cm="1">
        <f t="array" ref="D591">INDEX(기계코드!$D$4:$D$1022,MATCH(1,(C591=기계코드!$F$4:$F$1022)*1,0))</f>
        <v>M_MED01</v>
      </c>
      <c r="E591" s="92" t="s">
        <v>1128</v>
      </c>
      <c r="F591" s="92" t="str" cm="1">
        <f t="array" ref="F591">INDEX(공급업체코드!$B$3:$B$1000,MATCH(1,(E591=공급업체코드!$D$3:$D$1000)*1,0))</f>
        <v>VM_BKT</v>
      </c>
      <c r="H591" s="312">
        <v>589</v>
      </c>
      <c r="I591" s="233" t="s">
        <v>1313</v>
      </c>
      <c r="K591" s="233" t="s">
        <v>1314</v>
      </c>
      <c r="L591" s="236">
        <f t="shared" si="21"/>
        <v>588411</v>
      </c>
      <c r="N591" s="113" t="s">
        <v>1315</v>
      </c>
      <c r="O591" s="1" t="b">
        <v>1</v>
      </c>
      <c r="Q591" s="34"/>
    </row>
    <row r="592" spans="2:17">
      <c r="B592" s="1" t="str">
        <f t="shared" si="22"/>
        <v>M_MED01_VM_BKT_590</v>
      </c>
      <c r="C592" s="92" t="s">
        <v>727</v>
      </c>
      <c r="D592" s="92" t="str" cm="1">
        <f t="array" ref="D592">INDEX(기계코드!$D$4:$D$1022,MATCH(1,(C592=기계코드!$F$4:$F$1022)*1,0))</f>
        <v>M_MED01</v>
      </c>
      <c r="E592" s="92" t="s">
        <v>1128</v>
      </c>
      <c r="F592" s="92" t="str" cm="1">
        <f t="array" ref="F592">INDEX(공급업체코드!$B$3:$B$1000,MATCH(1,(E592=공급업체코드!$D$3:$D$1000)*1,0))</f>
        <v>VM_BKT</v>
      </c>
      <c r="H592" s="312">
        <v>590</v>
      </c>
      <c r="I592" s="233" t="s">
        <v>1313</v>
      </c>
      <c r="K592" s="233" t="s">
        <v>1314</v>
      </c>
      <c r="L592" s="236">
        <f t="shared" si="21"/>
        <v>589410</v>
      </c>
      <c r="N592" s="113" t="s">
        <v>1315</v>
      </c>
      <c r="O592" s="1" t="b">
        <v>1</v>
      </c>
      <c r="Q592" s="34"/>
    </row>
    <row r="593" spans="2:17">
      <c r="B593" s="1" t="str">
        <f t="shared" si="22"/>
        <v>M_MED01_VM_BKT_591</v>
      </c>
      <c r="C593" s="92" t="s">
        <v>727</v>
      </c>
      <c r="D593" s="92" t="str" cm="1">
        <f t="array" ref="D593">INDEX(기계코드!$D$4:$D$1022,MATCH(1,(C593=기계코드!$F$4:$F$1022)*1,0))</f>
        <v>M_MED01</v>
      </c>
      <c r="E593" s="92" t="s">
        <v>1128</v>
      </c>
      <c r="F593" s="92" t="str" cm="1">
        <f t="array" ref="F593">INDEX(공급업체코드!$B$3:$B$1000,MATCH(1,(E593=공급업체코드!$D$3:$D$1000)*1,0))</f>
        <v>VM_BKT</v>
      </c>
      <c r="H593" s="312">
        <v>591</v>
      </c>
      <c r="I593" s="233" t="s">
        <v>1313</v>
      </c>
      <c r="K593" s="233" t="s">
        <v>1314</v>
      </c>
      <c r="L593" s="236">
        <f t="shared" si="21"/>
        <v>590409</v>
      </c>
      <c r="N593" s="113" t="s">
        <v>1315</v>
      </c>
      <c r="O593" s="1" t="b">
        <v>1</v>
      </c>
      <c r="Q593" s="34"/>
    </row>
    <row r="594" spans="2:17">
      <c r="B594" s="1" t="str">
        <f t="shared" si="22"/>
        <v>M_MED01_VM_BKT_592</v>
      </c>
      <c r="C594" s="92" t="s">
        <v>727</v>
      </c>
      <c r="D594" s="92" t="str" cm="1">
        <f t="array" ref="D594">INDEX(기계코드!$D$4:$D$1022,MATCH(1,(C594=기계코드!$F$4:$F$1022)*1,0))</f>
        <v>M_MED01</v>
      </c>
      <c r="E594" s="92" t="s">
        <v>1128</v>
      </c>
      <c r="F594" s="92" t="str" cm="1">
        <f t="array" ref="F594">INDEX(공급업체코드!$B$3:$B$1000,MATCH(1,(E594=공급업체코드!$D$3:$D$1000)*1,0))</f>
        <v>VM_BKT</v>
      </c>
      <c r="H594" s="312">
        <v>592</v>
      </c>
      <c r="I594" s="233" t="s">
        <v>1313</v>
      </c>
      <c r="K594" s="233" t="s">
        <v>1314</v>
      </c>
      <c r="L594" s="236">
        <f t="shared" si="21"/>
        <v>591408</v>
      </c>
      <c r="N594" s="113" t="s">
        <v>1315</v>
      </c>
      <c r="O594" s="1" t="b">
        <v>1</v>
      </c>
      <c r="Q594" s="34"/>
    </row>
    <row r="595" spans="2:17">
      <c r="B595" s="1" t="str">
        <f t="shared" si="22"/>
        <v>M_MED01_VM_BKT_593</v>
      </c>
      <c r="C595" s="92" t="s">
        <v>727</v>
      </c>
      <c r="D595" s="92" t="str" cm="1">
        <f t="array" ref="D595">INDEX(기계코드!$D$4:$D$1022,MATCH(1,(C595=기계코드!$F$4:$F$1022)*1,0))</f>
        <v>M_MED01</v>
      </c>
      <c r="E595" s="92" t="s">
        <v>1128</v>
      </c>
      <c r="F595" s="92" t="str" cm="1">
        <f t="array" ref="F595">INDEX(공급업체코드!$B$3:$B$1000,MATCH(1,(E595=공급업체코드!$D$3:$D$1000)*1,0))</f>
        <v>VM_BKT</v>
      </c>
      <c r="H595" s="312">
        <v>593</v>
      </c>
      <c r="I595" s="233" t="s">
        <v>1313</v>
      </c>
      <c r="K595" s="233" t="s">
        <v>1314</v>
      </c>
      <c r="L595" s="236">
        <f t="shared" si="21"/>
        <v>592407</v>
      </c>
      <c r="N595" s="113" t="s">
        <v>1315</v>
      </c>
      <c r="O595" s="1" t="b">
        <v>1</v>
      </c>
      <c r="Q595" s="34"/>
    </row>
    <row r="596" spans="2:17">
      <c r="B596" s="1" t="str">
        <f t="shared" si="22"/>
        <v>M_MED01_VM_BKT_594</v>
      </c>
      <c r="C596" s="92" t="s">
        <v>727</v>
      </c>
      <c r="D596" s="92" t="str" cm="1">
        <f t="array" ref="D596">INDEX(기계코드!$D$4:$D$1022,MATCH(1,(C596=기계코드!$F$4:$F$1022)*1,0))</f>
        <v>M_MED01</v>
      </c>
      <c r="E596" s="92" t="s">
        <v>1128</v>
      </c>
      <c r="F596" s="92" t="str" cm="1">
        <f t="array" ref="F596">INDEX(공급업체코드!$B$3:$B$1000,MATCH(1,(E596=공급업체코드!$D$3:$D$1000)*1,0))</f>
        <v>VM_BKT</v>
      </c>
      <c r="H596" s="312">
        <v>594</v>
      </c>
      <c r="I596" s="233" t="s">
        <v>1313</v>
      </c>
      <c r="K596" s="233" t="s">
        <v>1314</v>
      </c>
      <c r="L596" s="236">
        <f t="shared" si="21"/>
        <v>593406</v>
      </c>
      <c r="N596" s="113" t="s">
        <v>1315</v>
      </c>
      <c r="O596" s="1" t="b">
        <v>1</v>
      </c>
      <c r="Q596" s="34"/>
    </row>
    <row r="597" spans="2:17">
      <c r="B597" s="1" t="str">
        <f t="shared" si="22"/>
        <v>M_MED01_VM_BKT_595</v>
      </c>
      <c r="C597" s="92" t="s">
        <v>727</v>
      </c>
      <c r="D597" s="92" t="str" cm="1">
        <f t="array" ref="D597">INDEX(기계코드!$D$4:$D$1022,MATCH(1,(C597=기계코드!$F$4:$F$1022)*1,0))</f>
        <v>M_MED01</v>
      </c>
      <c r="E597" s="92" t="s">
        <v>1128</v>
      </c>
      <c r="F597" s="92" t="str" cm="1">
        <f t="array" ref="F597">INDEX(공급업체코드!$B$3:$B$1000,MATCH(1,(E597=공급업체코드!$D$3:$D$1000)*1,0))</f>
        <v>VM_BKT</v>
      </c>
      <c r="H597" s="312">
        <v>595</v>
      </c>
      <c r="I597" s="233" t="s">
        <v>1313</v>
      </c>
      <c r="K597" s="233" t="s">
        <v>1314</v>
      </c>
      <c r="L597" s="236">
        <f t="shared" si="21"/>
        <v>594405</v>
      </c>
      <c r="N597" s="113" t="s">
        <v>1315</v>
      </c>
      <c r="O597" s="1" t="b">
        <v>1</v>
      </c>
      <c r="Q597" s="34"/>
    </row>
    <row r="598" spans="2:17">
      <c r="B598" s="1" t="str">
        <f t="shared" si="22"/>
        <v>M_MED01_VM_BKT_596</v>
      </c>
      <c r="C598" s="92" t="s">
        <v>727</v>
      </c>
      <c r="D598" s="92" t="str" cm="1">
        <f t="array" ref="D598">INDEX(기계코드!$D$4:$D$1022,MATCH(1,(C598=기계코드!$F$4:$F$1022)*1,0))</f>
        <v>M_MED01</v>
      </c>
      <c r="E598" s="92" t="s">
        <v>1128</v>
      </c>
      <c r="F598" s="92" t="str" cm="1">
        <f t="array" ref="F598">INDEX(공급업체코드!$B$3:$B$1000,MATCH(1,(E598=공급업체코드!$D$3:$D$1000)*1,0))</f>
        <v>VM_BKT</v>
      </c>
      <c r="H598" s="312">
        <v>596</v>
      </c>
      <c r="I598" s="233" t="s">
        <v>1313</v>
      </c>
      <c r="K598" s="233" t="s">
        <v>1314</v>
      </c>
      <c r="L598" s="236">
        <f t="shared" si="21"/>
        <v>595404</v>
      </c>
      <c r="N598" s="113" t="s">
        <v>1315</v>
      </c>
      <c r="O598" s="1" t="b">
        <v>1</v>
      </c>
      <c r="Q598" s="34"/>
    </row>
    <row r="599" spans="2:17">
      <c r="B599" s="1" t="str">
        <f t="shared" si="22"/>
        <v>M_MED01_VM_BKT_597</v>
      </c>
      <c r="C599" s="92" t="s">
        <v>727</v>
      </c>
      <c r="D599" s="92" t="str" cm="1">
        <f t="array" ref="D599">INDEX(기계코드!$D$4:$D$1022,MATCH(1,(C599=기계코드!$F$4:$F$1022)*1,0))</f>
        <v>M_MED01</v>
      </c>
      <c r="E599" s="92" t="s">
        <v>1128</v>
      </c>
      <c r="F599" s="92" t="str" cm="1">
        <f t="array" ref="F599">INDEX(공급업체코드!$B$3:$B$1000,MATCH(1,(E599=공급업체코드!$D$3:$D$1000)*1,0))</f>
        <v>VM_BKT</v>
      </c>
      <c r="H599" s="312">
        <v>597</v>
      </c>
      <c r="I599" s="233" t="s">
        <v>1313</v>
      </c>
      <c r="K599" s="233" t="s">
        <v>1314</v>
      </c>
      <c r="L599" s="236">
        <f t="shared" si="21"/>
        <v>596403</v>
      </c>
      <c r="N599" s="113" t="s">
        <v>1315</v>
      </c>
      <c r="O599" s="1" t="b">
        <v>1</v>
      </c>
      <c r="Q599" s="34"/>
    </row>
    <row r="600" spans="2:17">
      <c r="B600" s="1" t="str">
        <f t="shared" si="22"/>
        <v>M_MED01_VM_BKT_598</v>
      </c>
      <c r="C600" s="92" t="s">
        <v>727</v>
      </c>
      <c r="D600" s="92" t="str" cm="1">
        <f t="array" ref="D600">INDEX(기계코드!$D$4:$D$1022,MATCH(1,(C600=기계코드!$F$4:$F$1022)*1,0))</f>
        <v>M_MED01</v>
      </c>
      <c r="E600" s="92" t="s">
        <v>1128</v>
      </c>
      <c r="F600" s="92" t="str" cm="1">
        <f t="array" ref="F600">INDEX(공급업체코드!$B$3:$B$1000,MATCH(1,(E600=공급업체코드!$D$3:$D$1000)*1,0))</f>
        <v>VM_BKT</v>
      </c>
      <c r="H600" s="312">
        <v>598</v>
      </c>
      <c r="I600" s="233" t="s">
        <v>1313</v>
      </c>
      <c r="K600" s="233" t="s">
        <v>1314</v>
      </c>
      <c r="L600" s="236">
        <f t="shared" si="21"/>
        <v>597402</v>
      </c>
      <c r="N600" s="113" t="s">
        <v>1315</v>
      </c>
      <c r="O600" s="1" t="b">
        <v>1</v>
      </c>
      <c r="Q600" s="34"/>
    </row>
    <row r="601" spans="2:17">
      <c r="B601" s="1" t="str">
        <f t="shared" si="22"/>
        <v>M_MED01_VM_BKT_599</v>
      </c>
      <c r="C601" s="92" t="s">
        <v>727</v>
      </c>
      <c r="D601" s="92" t="str" cm="1">
        <f t="array" ref="D601">INDEX(기계코드!$D$4:$D$1022,MATCH(1,(C601=기계코드!$F$4:$F$1022)*1,0))</f>
        <v>M_MED01</v>
      </c>
      <c r="E601" s="92" t="s">
        <v>1128</v>
      </c>
      <c r="F601" s="92" t="str" cm="1">
        <f t="array" ref="F601">INDEX(공급업체코드!$B$3:$B$1000,MATCH(1,(E601=공급업체코드!$D$3:$D$1000)*1,0))</f>
        <v>VM_BKT</v>
      </c>
      <c r="H601" s="312">
        <v>599</v>
      </c>
      <c r="I601" s="233" t="s">
        <v>1313</v>
      </c>
      <c r="K601" s="233" t="s">
        <v>1314</v>
      </c>
      <c r="L601" s="236">
        <f t="shared" si="21"/>
        <v>598401</v>
      </c>
      <c r="N601" s="113" t="s">
        <v>1315</v>
      </c>
      <c r="O601" s="1" t="b">
        <v>1</v>
      </c>
      <c r="Q601" s="34"/>
    </row>
    <row r="602" spans="2:17">
      <c r="B602" s="1" t="str">
        <f t="shared" si="22"/>
        <v>M_MED01_VM_BKT_600</v>
      </c>
      <c r="C602" s="92" t="s">
        <v>727</v>
      </c>
      <c r="D602" s="92" t="str" cm="1">
        <f t="array" ref="D602">INDEX(기계코드!$D$4:$D$1022,MATCH(1,(C602=기계코드!$F$4:$F$1022)*1,0))</f>
        <v>M_MED01</v>
      </c>
      <c r="E602" s="92" t="s">
        <v>1128</v>
      </c>
      <c r="F602" s="92" t="str" cm="1">
        <f t="array" ref="F602">INDEX(공급업체코드!$B$3:$B$1000,MATCH(1,(E602=공급업체코드!$D$3:$D$1000)*1,0))</f>
        <v>VM_BKT</v>
      </c>
      <c r="H602" s="312">
        <v>600</v>
      </c>
      <c r="I602" s="233" t="s">
        <v>1313</v>
      </c>
      <c r="K602" s="233" t="s">
        <v>1314</v>
      </c>
      <c r="L602" s="236">
        <f t="shared" si="21"/>
        <v>599400</v>
      </c>
      <c r="N602" s="113" t="s">
        <v>1315</v>
      </c>
      <c r="O602" s="1" t="b">
        <v>1</v>
      </c>
      <c r="Q602" s="34"/>
    </row>
    <row r="603" spans="2:17">
      <c r="B603" s="1" t="str">
        <f t="shared" si="22"/>
        <v>M_MED01_VM_BKT_601</v>
      </c>
      <c r="C603" s="92" t="s">
        <v>727</v>
      </c>
      <c r="D603" s="92" t="str" cm="1">
        <f t="array" ref="D603">INDEX(기계코드!$D$4:$D$1022,MATCH(1,(C603=기계코드!$F$4:$F$1022)*1,0))</f>
        <v>M_MED01</v>
      </c>
      <c r="E603" s="92" t="s">
        <v>1128</v>
      </c>
      <c r="F603" s="92" t="str" cm="1">
        <f t="array" ref="F603">INDEX(공급업체코드!$B$3:$B$1000,MATCH(1,(E603=공급업체코드!$D$3:$D$1000)*1,0))</f>
        <v>VM_BKT</v>
      </c>
      <c r="H603" s="312">
        <v>601</v>
      </c>
      <c r="I603" s="233" t="s">
        <v>1313</v>
      </c>
      <c r="K603" s="233" t="s">
        <v>1314</v>
      </c>
      <c r="L603" s="236">
        <f t="shared" si="21"/>
        <v>600399</v>
      </c>
      <c r="N603" s="113" t="s">
        <v>1315</v>
      </c>
      <c r="O603" s="1" t="b">
        <v>1</v>
      </c>
      <c r="Q603" s="34"/>
    </row>
    <row r="604" spans="2:17">
      <c r="B604" s="1" t="str">
        <f t="shared" si="22"/>
        <v>M_MED01_VM_BKT_602</v>
      </c>
      <c r="C604" s="92" t="s">
        <v>727</v>
      </c>
      <c r="D604" s="92" t="str" cm="1">
        <f t="array" ref="D604">INDEX(기계코드!$D$4:$D$1022,MATCH(1,(C604=기계코드!$F$4:$F$1022)*1,0))</f>
        <v>M_MED01</v>
      </c>
      <c r="E604" s="92" t="s">
        <v>1128</v>
      </c>
      <c r="F604" s="92" t="str" cm="1">
        <f t="array" ref="F604">INDEX(공급업체코드!$B$3:$B$1000,MATCH(1,(E604=공급업체코드!$D$3:$D$1000)*1,0))</f>
        <v>VM_BKT</v>
      </c>
      <c r="H604" s="312">
        <v>602</v>
      </c>
      <c r="I604" s="233" t="s">
        <v>1313</v>
      </c>
      <c r="K604" s="233" t="s">
        <v>1314</v>
      </c>
      <c r="L604" s="236">
        <f t="shared" si="21"/>
        <v>601398</v>
      </c>
      <c r="N604" s="113" t="s">
        <v>1315</v>
      </c>
      <c r="O604" s="1" t="b">
        <v>1</v>
      </c>
      <c r="Q604" s="34"/>
    </row>
    <row r="605" spans="2:17">
      <c r="B605" s="1" t="str">
        <f t="shared" si="22"/>
        <v>M_MED01_VM_BKT_603</v>
      </c>
      <c r="C605" s="92" t="s">
        <v>727</v>
      </c>
      <c r="D605" s="92" t="str" cm="1">
        <f t="array" ref="D605">INDEX(기계코드!$D$4:$D$1022,MATCH(1,(C605=기계코드!$F$4:$F$1022)*1,0))</f>
        <v>M_MED01</v>
      </c>
      <c r="E605" s="92" t="s">
        <v>1128</v>
      </c>
      <c r="F605" s="92" t="str" cm="1">
        <f t="array" ref="F605">INDEX(공급업체코드!$B$3:$B$1000,MATCH(1,(E605=공급업체코드!$D$3:$D$1000)*1,0))</f>
        <v>VM_BKT</v>
      </c>
      <c r="H605" s="312">
        <v>603</v>
      </c>
      <c r="I605" s="233" t="s">
        <v>1313</v>
      </c>
      <c r="K605" s="233" t="s">
        <v>1314</v>
      </c>
      <c r="L605" s="236">
        <f t="shared" si="21"/>
        <v>602397</v>
      </c>
      <c r="N605" s="113" t="s">
        <v>1315</v>
      </c>
      <c r="O605" s="1" t="b">
        <v>1</v>
      </c>
      <c r="Q605" s="34"/>
    </row>
    <row r="606" spans="2:17">
      <c r="B606" s="1" t="str">
        <f t="shared" si="22"/>
        <v>M_MED01_VM_BKT_604</v>
      </c>
      <c r="C606" s="92" t="s">
        <v>727</v>
      </c>
      <c r="D606" s="92" t="str" cm="1">
        <f t="array" ref="D606">INDEX(기계코드!$D$4:$D$1022,MATCH(1,(C606=기계코드!$F$4:$F$1022)*1,0))</f>
        <v>M_MED01</v>
      </c>
      <c r="E606" s="92" t="s">
        <v>1128</v>
      </c>
      <c r="F606" s="92" t="str" cm="1">
        <f t="array" ref="F606">INDEX(공급업체코드!$B$3:$B$1000,MATCH(1,(E606=공급업체코드!$D$3:$D$1000)*1,0))</f>
        <v>VM_BKT</v>
      </c>
      <c r="H606" s="312">
        <v>604</v>
      </c>
      <c r="I606" s="233" t="s">
        <v>1313</v>
      </c>
      <c r="K606" s="233" t="s">
        <v>1314</v>
      </c>
      <c r="L606" s="236">
        <f t="shared" si="21"/>
        <v>603396</v>
      </c>
      <c r="N606" s="113" t="s">
        <v>1315</v>
      </c>
      <c r="O606" s="1" t="b">
        <v>1</v>
      </c>
      <c r="Q606" s="34"/>
    </row>
    <row r="607" spans="2:17">
      <c r="B607" s="1" t="str">
        <f t="shared" si="22"/>
        <v>M_MED01_VM_BKT_605</v>
      </c>
      <c r="C607" s="92" t="s">
        <v>727</v>
      </c>
      <c r="D607" s="92" t="str" cm="1">
        <f t="array" ref="D607">INDEX(기계코드!$D$4:$D$1022,MATCH(1,(C607=기계코드!$F$4:$F$1022)*1,0))</f>
        <v>M_MED01</v>
      </c>
      <c r="E607" s="92" t="s">
        <v>1128</v>
      </c>
      <c r="F607" s="92" t="str" cm="1">
        <f t="array" ref="F607">INDEX(공급업체코드!$B$3:$B$1000,MATCH(1,(E607=공급업체코드!$D$3:$D$1000)*1,0))</f>
        <v>VM_BKT</v>
      </c>
      <c r="H607" s="312">
        <v>605</v>
      </c>
      <c r="I607" s="233" t="s">
        <v>1313</v>
      </c>
      <c r="K607" s="233" t="s">
        <v>1314</v>
      </c>
      <c r="L607" s="236">
        <f t="shared" si="21"/>
        <v>604395</v>
      </c>
      <c r="N607" s="113" t="s">
        <v>1315</v>
      </c>
      <c r="O607" s="1" t="b">
        <v>1</v>
      </c>
      <c r="Q607" s="34"/>
    </row>
    <row r="608" spans="2:17">
      <c r="B608" s="1" t="str">
        <f t="shared" si="22"/>
        <v>M_MED01_VM_BKT_606</v>
      </c>
      <c r="C608" s="92" t="s">
        <v>727</v>
      </c>
      <c r="D608" s="92" t="str" cm="1">
        <f t="array" ref="D608">INDEX(기계코드!$D$4:$D$1022,MATCH(1,(C608=기계코드!$F$4:$F$1022)*1,0))</f>
        <v>M_MED01</v>
      </c>
      <c r="E608" s="92" t="s">
        <v>1128</v>
      </c>
      <c r="F608" s="92" t="str" cm="1">
        <f t="array" ref="F608">INDEX(공급업체코드!$B$3:$B$1000,MATCH(1,(E608=공급업체코드!$D$3:$D$1000)*1,0))</f>
        <v>VM_BKT</v>
      </c>
      <c r="H608" s="312">
        <v>606</v>
      </c>
      <c r="I608" s="233" t="s">
        <v>1313</v>
      </c>
      <c r="K608" s="233" t="s">
        <v>1314</v>
      </c>
      <c r="L608" s="236">
        <f t="shared" si="21"/>
        <v>605394</v>
      </c>
      <c r="N608" s="113" t="s">
        <v>1315</v>
      </c>
      <c r="O608" s="1" t="b">
        <v>1</v>
      </c>
      <c r="Q608" s="34"/>
    </row>
    <row r="609" spans="2:17">
      <c r="B609" s="1" t="str">
        <f t="shared" si="22"/>
        <v>M_MED01_VM_BKT_607</v>
      </c>
      <c r="C609" s="92" t="s">
        <v>727</v>
      </c>
      <c r="D609" s="92" t="str" cm="1">
        <f t="array" ref="D609">INDEX(기계코드!$D$4:$D$1022,MATCH(1,(C609=기계코드!$F$4:$F$1022)*1,0))</f>
        <v>M_MED01</v>
      </c>
      <c r="E609" s="92" t="s">
        <v>1128</v>
      </c>
      <c r="F609" s="92" t="str" cm="1">
        <f t="array" ref="F609">INDEX(공급업체코드!$B$3:$B$1000,MATCH(1,(E609=공급업체코드!$D$3:$D$1000)*1,0))</f>
        <v>VM_BKT</v>
      </c>
      <c r="H609" s="312">
        <v>607</v>
      </c>
      <c r="I609" s="233" t="s">
        <v>1313</v>
      </c>
      <c r="K609" s="233" t="s">
        <v>1314</v>
      </c>
      <c r="L609" s="236">
        <f t="shared" si="21"/>
        <v>606393</v>
      </c>
      <c r="N609" s="113" t="s">
        <v>1315</v>
      </c>
      <c r="O609" s="1" t="b">
        <v>1</v>
      </c>
      <c r="Q609" s="34"/>
    </row>
    <row r="610" spans="2:17">
      <c r="B610" s="1" t="str">
        <f t="shared" si="22"/>
        <v>M_MED01_VM_BKT_608</v>
      </c>
      <c r="C610" s="92" t="s">
        <v>727</v>
      </c>
      <c r="D610" s="92" t="str" cm="1">
        <f t="array" ref="D610">INDEX(기계코드!$D$4:$D$1022,MATCH(1,(C610=기계코드!$F$4:$F$1022)*1,0))</f>
        <v>M_MED01</v>
      </c>
      <c r="E610" s="92" t="s">
        <v>1128</v>
      </c>
      <c r="F610" s="92" t="str" cm="1">
        <f t="array" ref="F610">INDEX(공급업체코드!$B$3:$B$1000,MATCH(1,(E610=공급업체코드!$D$3:$D$1000)*1,0))</f>
        <v>VM_BKT</v>
      </c>
      <c r="H610" s="312">
        <v>608</v>
      </c>
      <c r="I610" s="233" t="s">
        <v>1313</v>
      </c>
      <c r="K610" s="233" t="s">
        <v>1314</v>
      </c>
      <c r="L610" s="236">
        <f t="shared" si="21"/>
        <v>607392</v>
      </c>
      <c r="N610" s="113" t="s">
        <v>1315</v>
      </c>
      <c r="O610" s="1" t="b">
        <v>1</v>
      </c>
      <c r="Q610" s="34"/>
    </row>
    <row r="611" spans="2:17">
      <c r="B611" s="1" t="str">
        <f t="shared" si="22"/>
        <v>M_MED01_VM_BKT_609</v>
      </c>
      <c r="C611" s="92" t="s">
        <v>727</v>
      </c>
      <c r="D611" s="92" t="str" cm="1">
        <f t="array" ref="D611">INDEX(기계코드!$D$4:$D$1022,MATCH(1,(C611=기계코드!$F$4:$F$1022)*1,0))</f>
        <v>M_MED01</v>
      </c>
      <c r="E611" s="92" t="s">
        <v>1128</v>
      </c>
      <c r="F611" s="92" t="str" cm="1">
        <f t="array" ref="F611">INDEX(공급업체코드!$B$3:$B$1000,MATCH(1,(E611=공급업체코드!$D$3:$D$1000)*1,0))</f>
        <v>VM_BKT</v>
      </c>
      <c r="H611" s="312">
        <v>609</v>
      </c>
      <c r="I611" s="233" t="s">
        <v>1313</v>
      </c>
      <c r="K611" s="233" t="s">
        <v>1314</v>
      </c>
      <c r="L611" s="236">
        <f t="shared" si="21"/>
        <v>608391</v>
      </c>
      <c r="N611" s="113" t="s">
        <v>1315</v>
      </c>
      <c r="O611" s="1" t="b">
        <v>1</v>
      </c>
      <c r="Q611" s="34"/>
    </row>
    <row r="612" spans="2:17">
      <c r="B612" s="1" t="str">
        <f t="shared" si="22"/>
        <v>M_MED01_VM_BKT_610</v>
      </c>
      <c r="C612" s="92" t="s">
        <v>727</v>
      </c>
      <c r="D612" s="92" t="str" cm="1">
        <f t="array" ref="D612">INDEX(기계코드!$D$4:$D$1022,MATCH(1,(C612=기계코드!$F$4:$F$1022)*1,0))</f>
        <v>M_MED01</v>
      </c>
      <c r="E612" s="92" t="s">
        <v>1128</v>
      </c>
      <c r="F612" s="92" t="str" cm="1">
        <f t="array" ref="F612">INDEX(공급업체코드!$B$3:$B$1000,MATCH(1,(E612=공급업체코드!$D$3:$D$1000)*1,0))</f>
        <v>VM_BKT</v>
      </c>
      <c r="H612" s="312">
        <v>610</v>
      </c>
      <c r="I612" s="233" t="s">
        <v>1313</v>
      </c>
      <c r="K612" s="233" t="s">
        <v>1314</v>
      </c>
      <c r="L612" s="236">
        <f t="shared" si="21"/>
        <v>609390</v>
      </c>
      <c r="N612" s="113" t="s">
        <v>1315</v>
      </c>
      <c r="O612" s="1" t="b">
        <v>1</v>
      </c>
      <c r="Q612" s="34"/>
    </row>
    <row r="613" spans="2:17">
      <c r="B613" s="1" t="str">
        <f t="shared" si="22"/>
        <v>M_MED01_VM_BKT_611</v>
      </c>
      <c r="C613" s="92" t="s">
        <v>727</v>
      </c>
      <c r="D613" s="92" t="str" cm="1">
        <f t="array" ref="D613">INDEX(기계코드!$D$4:$D$1022,MATCH(1,(C613=기계코드!$F$4:$F$1022)*1,0))</f>
        <v>M_MED01</v>
      </c>
      <c r="E613" s="92" t="s">
        <v>1128</v>
      </c>
      <c r="F613" s="92" t="str" cm="1">
        <f t="array" ref="F613">INDEX(공급업체코드!$B$3:$B$1000,MATCH(1,(E613=공급업체코드!$D$3:$D$1000)*1,0))</f>
        <v>VM_BKT</v>
      </c>
      <c r="H613" s="312">
        <v>611</v>
      </c>
      <c r="I613" s="233" t="s">
        <v>1313</v>
      </c>
      <c r="K613" s="233" t="s">
        <v>1314</v>
      </c>
      <c r="L613" s="236">
        <f t="shared" si="21"/>
        <v>610389</v>
      </c>
      <c r="N613" s="113" t="s">
        <v>1315</v>
      </c>
      <c r="O613" s="1" t="b">
        <v>1</v>
      </c>
      <c r="Q613" s="34"/>
    </row>
    <row r="614" spans="2:17">
      <c r="B614" s="1" t="str">
        <f t="shared" si="22"/>
        <v>M_MED01_VM_BKT_612</v>
      </c>
      <c r="C614" s="92" t="s">
        <v>727</v>
      </c>
      <c r="D614" s="92" t="str" cm="1">
        <f t="array" ref="D614">INDEX(기계코드!$D$4:$D$1022,MATCH(1,(C614=기계코드!$F$4:$F$1022)*1,0))</f>
        <v>M_MED01</v>
      </c>
      <c r="E614" s="92" t="s">
        <v>1128</v>
      </c>
      <c r="F614" s="92" t="str" cm="1">
        <f t="array" ref="F614">INDEX(공급업체코드!$B$3:$B$1000,MATCH(1,(E614=공급업체코드!$D$3:$D$1000)*1,0))</f>
        <v>VM_BKT</v>
      </c>
      <c r="H614" s="312">
        <v>612</v>
      </c>
      <c r="I614" s="233" t="s">
        <v>1313</v>
      </c>
      <c r="K614" s="233" t="s">
        <v>1314</v>
      </c>
      <c r="L614" s="236">
        <f t="shared" si="21"/>
        <v>611388</v>
      </c>
      <c r="N614" s="113" t="s">
        <v>1315</v>
      </c>
      <c r="O614" s="1" t="b">
        <v>1</v>
      </c>
      <c r="Q614" s="34"/>
    </row>
    <row r="615" spans="2:17">
      <c r="B615" s="1" t="str">
        <f t="shared" si="22"/>
        <v>M_MED01_VM_BKT_613</v>
      </c>
      <c r="C615" s="92" t="s">
        <v>727</v>
      </c>
      <c r="D615" s="92" t="str" cm="1">
        <f t="array" ref="D615">INDEX(기계코드!$D$4:$D$1022,MATCH(1,(C615=기계코드!$F$4:$F$1022)*1,0))</f>
        <v>M_MED01</v>
      </c>
      <c r="E615" s="92" t="s">
        <v>1128</v>
      </c>
      <c r="F615" s="92" t="str" cm="1">
        <f t="array" ref="F615">INDEX(공급업체코드!$B$3:$B$1000,MATCH(1,(E615=공급업체코드!$D$3:$D$1000)*1,0))</f>
        <v>VM_BKT</v>
      </c>
      <c r="H615" s="312">
        <v>613</v>
      </c>
      <c r="I615" s="233" t="s">
        <v>1313</v>
      </c>
      <c r="K615" s="233" t="s">
        <v>1314</v>
      </c>
      <c r="L615" s="236">
        <f t="shared" si="21"/>
        <v>612387</v>
      </c>
      <c r="N615" s="113" t="s">
        <v>1315</v>
      </c>
      <c r="O615" s="1" t="b">
        <v>1</v>
      </c>
      <c r="Q615" s="34"/>
    </row>
    <row r="616" spans="2:17">
      <c r="B616" s="1" t="str">
        <f t="shared" si="22"/>
        <v>M_MED01_VM_BKT_614</v>
      </c>
      <c r="C616" s="92" t="s">
        <v>727</v>
      </c>
      <c r="D616" s="92" t="str" cm="1">
        <f t="array" ref="D616">INDEX(기계코드!$D$4:$D$1022,MATCH(1,(C616=기계코드!$F$4:$F$1022)*1,0))</f>
        <v>M_MED01</v>
      </c>
      <c r="E616" s="92" t="s">
        <v>1128</v>
      </c>
      <c r="F616" s="92" t="str" cm="1">
        <f t="array" ref="F616">INDEX(공급업체코드!$B$3:$B$1000,MATCH(1,(E616=공급업체코드!$D$3:$D$1000)*1,0))</f>
        <v>VM_BKT</v>
      </c>
      <c r="H616" s="312">
        <v>614</v>
      </c>
      <c r="I616" s="233" t="s">
        <v>1313</v>
      </c>
      <c r="K616" s="233" t="s">
        <v>1314</v>
      </c>
      <c r="L616" s="236">
        <f t="shared" si="21"/>
        <v>613386</v>
      </c>
      <c r="N616" s="113" t="s">
        <v>1315</v>
      </c>
      <c r="O616" s="1" t="b">
        <v>1</v>
      </c>
      <c r="Q616" s="34"/>
    </row>
    <row r="617" spans="2:17">
      <c r="B617" s="1" t="str">
        <f t="shared" si="22"/>
        <v>M_MED01_VM_BKT_615</v>
      </c>
      <c r="C617" s="92" t="s">
        <v>727</v>
      </c>
      <c r="D617" s="92" t="str" cm="1">
        <f t="array" ref="D617">INDEX(기계코드!$D$4:$D$1022,MATCH(1,(C617=기계코드!$F$4:$F$1022)*1,0))</f>
        <v>M_MED01</v>
      </c>
      <c r="E617" s="92" t="s">
        <v>1128</v>
      </c>
      <c r="F617" s="92" t="str" cm="1">
        <f t="array" ref="F617">INDEX(공급업체코드!$B$3:$B$1000,MATCH(1,(E617=공급업체코드!$D$3:$D$1000)*1,0))</f>
        <v>VM_BKT</v>
      </c>
      <c r="H617" s="312">
        <v>615</v>
      </c>
      <c r="I617" s="233" t="s">
        <v>1313</v>
      </c>
      <c r="K617" s="233" t="s">
        <v>1314</v>
      </c>
      <c r="L617" s="236">
        <f t="shared" si="21"/>
        <v>614385</v>
      </c>
      <c r="N617" s="113" t="s">
        <v>1315</v>
      </c>
      <c r="O617" s="1" t="b">
        <v>1</v>
      </c>
      <c r="Q617" s="34"/>
    </row>
    <row r="618" spans="2:17">
      <c r="B618" s="1" t="str">
        <f t="shared" si="22"/>
        <v>M_MED01_VM_BKT_616</v>
      </c>
      <c r="C618" s="92" t="s">
        <v>727</v>
      </c>
      <c r="D618" s="92" t="str" cm="1">
        <f t="array" ref="D618">INDEX(기계코드!$D$4:$D$1022,MATCH(1,(C618=기계코드!$F$4:$F$1022)*1,0))</f>
        <v>M_MED01</v>
      </c>
      <c r="E618" s="92" t="s">
        <v>1128</v>
      </c>
      <c r="F618" s="92" t="str" cm="1">
        <f t="array" ref="F618">INDEX(공급업체코드!$B$3:$B$1000,MATCH(1,(E618=공급업체코드!$D$3:$D$1000)*1,0))</f>
        <v>VM_BKT</v>
      </c>
      <c r="H618" s="312">
        <v>616</v>
      </c>
      <c r="I618" s="233" t="s">
        <v>1313</v>
      </c>
      <c r="K618" s="233" t="s">
        <v>1314</v>
      </c>
      <c r="L618" s="236">
        <f t="shared" si="21"/>
        <v>615384</v>
      </c>
      <c r="N618" s="113" t="s">
        <v>1315</v>
      </c>
      <c r="O618" s="1" t="b">
        <v>1</v>
      </c>
      <c r="Q618" s="34"/>
    </row>
    <row r="619" spans="2:17">
      <c r="B619" s="1" t="str">
        <f t="shared" si="22"/>
        <v>M_MED01_VM_BKT_617</v>
      </c>
      <c r="C619" s="92" t="s">
        <v>727</v>
      </c>
      <c r="D619" s="92" t="str" cm="1">
        <f t="array" ref="D619">INDEX(기계코드!$D$4:$D$1022,MATCH(1,(C619=기계코드!$F$4:$F$1022)*1,0))</f>
        <v>M_MED01</v>
      </c>
      <c r="E619" s="92" t="s">
        <v>1128</v>
      </c>
      <c r="F619" s="92" t="str" cm="1">
        <f t="array" ref="F619">INDEX(공급업체코드!$B$3:$B$1000,MATCH(1,(E619=공급업체코드!$D$3:$D$1000)*1,0))</f>
        <v>VM_BKT</v>
      </c>
      <c r="H619" s="312">
        <v>617</v>
      </c>
      <c r="I619" s="233" t="s">
        <v>1313</v>
      </c>
      <c r="K619" s="233" t="s">
        <v>1314</v>
      </c>
      <c r="L619" s="236">
        <f t="shared" si="21"/>
        <v>616383</v>
      </c>
      <c r="N619" s="113" t="s">
        <v>1315</v>
      </c>
      <c r="O619" s="1" t="b">
        <v>1</v>
      </c>
      <c r="Q619" s="34"/>
    </row>
    <row r="620" spans="2:17">
      <c r="B620" s="1" t="str">
        <f t="shared" si="22"/>
        <v>M_MED01_VM_BKT_618</v>
      </c>
      <c r="C620" s="92" t="s">
        <v>727</v>
      </c>
      <c r="D620" s="92" t="str" cm="1">
        <f t="array" ref="D620">INDEX(기계코드!$D$4:$D$1022,MATCH(1,(C620=기계코드!$F$4:$F$1022)*1,0))</f>
        <v>M_MED01</v>
      </c>
      <c r="E620" s="92" t="s">
        <v>1128</v>
      </c>
      <c r="F620" s="92" t="str" cm="1">
        <f t="array" ref="F620">INDEX(공급업체코드!$B$3:$B$1000,MATCH(1,(E620=공급업체코드!$D$3:$D$1000)*1,0))</f>
        <v>VM_BKT</v>
      </c>
      <c r="H620" s="312">
        <v>618</v>
      </c>
      <c r="I620" s="233" t="s">
        <v>1313</v>
      </c>
      <c r="K620" s="233" t="s">
        <v>1314</v>
      </c>
      <c r="L620" s="236">
        <f t="shared" si="21"/>
        <v>617382</v>
      </c>
      <c r="N620" s="113" t="s">
        <v>1315</v>
      </c>
      <c r="O620" s="1" t="b">
        <v>1</v>
      </c>
      <c r="Q620" s="34"/>
    </row>
    <row r="621" spans="2:17">
      <c r="B621" s="1" t="str">
        <f t="shared" si="22"/>
        <v>M_MED01_VM_BKT_619</v>
      </c>
      <c r="C621" s="92" t="s">
        <v>727</v>
      </c>
      <c r="D621" s="92" t="str" cm="1">
        <f t="array" ref="D621">INDEX(기계코드!$D$4:$D$1022,MATCH(1,(C621=기계코드!$F$4:$F$1022)*1,0))</f>
        <v>M_MED01</v>
      </c>
      <c r="E621" s="92" t="s">
        <v>1128</v>
      </c>
      <c r="F621" s="92" t="str" cm="1">
        <f t="array" ref="F621">INDEX(공급업체코드!$B$3:$B$1000,MATCH(1,(E621=공급업체코드!$D$3:$D$1000)*1,0))</f>
        <v>VM_BKT</v>
      </c>
      <c r="H621" s="312">
        <v>619</v>
      </c>
      <c r="I621" s="233" t="s">
        <v>1313</v>
      </c>
      <c r="K621" s="233" t="s">
        <v>1314</v>
      </c>
      <c r="L621" s="236">
        <f t="shared" si="21"/>
        <v>618381</v>
      </c>
      <c r="N621" s="113" t="s">
        <v>1315</v>
      </c>
      <c r="O621" s="1" t="b">
        <v>1</v>
      </c>
      <c r="Q621" s="34"/>
    </row>
    <row r="622" spans="2:17">
      <c r="B622" s="1" t="str">
        <f t="shared" si="22"/>
        <v>M_MED01_VM_BKT_620</v>
      </c>
      <c r="C622" s="92" t="s">
        <v>727</v>
      </c>
      <c r="D622" s="92" t="str" cm="1">
        <f t="array" ref="D622">INDEX(기계코드!$D$4:$D$1022,MATCH(1,(C622=기계코드!$F$4:$F$1022)*1,0))</f>
        <v>M_MED01</v>
      </c>
      <c r="E622" s="92" t="s">
        <v>1128</v>
      </c>
      <c r="F622" s="92" t="str" cm="1">
        <f t="array" ref="F622">INDEX(공급업체코드!$B$3:$B$1000,MATCH(1,(E622=공급업체코드!$D$3:$D$1000)*1,0))</f>
        <v>VM_BKT</v>
      </c>
      <c r="H622" s="312">
        <v>620</v>
      </c>
      <c r="I622" s="233" t="s">
        <v>1313</v>
      </c>
      <c r="K622" s="233" t="s">
        <v>1314</v>
      </c>
      <c r="L622" s="236">
        <f t="shared" si="21"/>
        <v>619380</v>
      </c>
      <c r="N622" s="113" t="s">
        <v>1315</v>
      </c>
      <c r="O622" s="1" t="b">
        <v>1</v>
      </c>
      <c r="Q622" s="34"/>
    </row>
    <row r="623" spans="2:17">
      <c r="B623" s="1" t="str">
        <f t="shared" si="22"/>
        <v>M_MED01_VM_BKT_621</v>
      </c>
      <c r="C623" s="92" t="s">
        <v>727</v>
      </c>
      <c r="D623" s="92" t="str" cm="1">
        <f t="array" ref="D623">INDEX(기계코드!$D$4:$D$1022,MATCH(1,(C623=기계코드!$F$4:$F$1022)*1,0))</f>
        <v>M_MED01</v>
      </c>
      <c r="E623" s="92" t="s">
        <v>1128</v>
      </c>
      <c r="F623" s="92" t="str" cm="1">
        <f t="array" ref="F623">INDEX(공급업체코드!$B$3:$B$1000,MATCH(1,(E623=공급업체코드!$D$3:$D$1000)*1,0))</f>
        <v>VM_BKT</v>
      </c>
      <c r="H623" s="312">
        <v>621</v>
      </c>
      <c r="I623" s="233" t="s">
        <v>1313</v>
      </c>
      <c r="K623" s="233" t="s">
        <v>1314</v>
      </c>
      <c r="L623" s="236">
        <f t="shared" si="21"/>
        <v>620379</v>
      </c>
      <c r="N623" s="113" t="s">
        <v>1315</v>
      </c>
      <c r="O623" s="1" t="b">
        <v>1</v>
      </c>
      <c r="Q623" s="34"/>
    </row>
    <row r="624" spans="2:17">
      <c r="B624" s="1" t="str">
        <f t="shared" si="22"/>
        <v>M_MED01_VM_BKT_622</v>
      </c>
      <c r="C624" s="92" t="s">
        <v>727</v>
      </c>
      <c r="D624" s="92" t="str" cm="1">
        <f t="array" ref="D624">INDEX(기계코드!$D$4:$D$1022,MATCH(1,(C624=기계코드!$F$4:$F$1022)*1,0))</f>
        <v>M_MED01</v>
      </c>
      <c r="E624" s="92" t="s">
        <v>1128</v>
      </c>
      <c r="F624" s="92" t="str" cm="1">
        <f t="array" ref="F624">INDEX(공급업체코드!$B$3:$B$1000,MATCH(1,(E624=공급업체코드!$D$3:$D$1000)*1,0))</f>
        <v>VM_BKT</v>
      </c>
      <c r="H624" s="312">
        <v>622</v>
      </c>
      <c r="I624" s="233" t="s">
        <v>1313</v>
      </c>
      <c r="K624" s="233" t="s">
        <v>1314</v>
      </c>
      <c r="L624" s="236">
        <f t="shared" si="21"/>
        <v>621378</v>
      </c>
      <c r="N624" s="113" t="s">
        <v>1315</v>
      </c>
      <c r="O624" s="1" t="b">
        <v>1</v>
      </c>
      <c r="Q624" s="34"/>
    </row>
    <row r="625" spans="2:17">
      <c r="B625" s="1" t="str">
        <f t="shared" si="22"/>
        <v>M_MED01_VM_BKT_623</v>
      </c>
      <c r="C625" s="92" t="s">
        <v>727</v>
      </c>
      <c r="D625" s="92" t="str" cm="1">
        <f t="array" ref="D625">INDEX(기계코드!$D$4:$D$1022,MATCH(1,(C625=기계코드!$F$4:$F$1022)*1,0))</f>
        <v>M_MED01</v>
      </c>
      <c r="E625" s="92" t="s">
        <v>1128</v>
      </c>
      <c r="F625" s="92" t="str" cm="1">
        <f t="array" ref="F625">INDEX(공급업체코드!$B$3:$B$1000,MATCH(1,(E625=공급업체코드!$D$3:$D$1000)*1,0))</f>
        <v>VM_BKT</v>
      </c>
      <c r="H625" s="312">
        <v>623</v>
      </c>
      <c r="I625" s="233" t="s">
        <v>1313</v>
      </c>
      <c r="K625" s="233" t="s">
        <v>1314</v>
      </c>
      <c r="L625" s="236">
        <f t="shared" si="21"/>
        <v>622377</v>
      </c>
      <c r="N625" s="113" t="s">
        <v>1315</v>
      </c>
      <c r="O625" s="1" t="b">
        <v>1</v>
      </c>
      <c r="Q625" s="34"/>
    </row>
    <row r="626" spans="2:17">
      <c r="B626" s="1" t="str">
        <f t="shared" si="22"/>
        <v>M_MED01_VM_BKT_624</v>
      </c>
      <c r="C626" s="92" t="s">
        <v>727</v>
      </c>
      <c r="D626" s="92" t="str" cm="1">
        <f t="array" ref="D626">INDEX(기계코드!$D$4:$D$1022,MATCH(1,(C626=기계코드!$F$4:$F$1022)*1,0))</f>
        <v>M_MED01</v>
      </c>
      <c r="E626" s="92" t="s">
        <v>1128</v>
      </c>
      <c r="F626" s="92" t="str" cm="1">
        <f t="array" ref="F626">INDEX(공급업체코드!$B$3:$B$1000,MATCH(1,(E626=공급업체코드!$D$3:$D$1000)*1,0))</f>
        <v>VM_BKT</v>
      </c>
      <c r="H626" s="312">
        <v>624</v>
      </c>
      <c r="I626" s="233" t="s">
        <v>1313</v>
      </c>
      <c r="K626" s="233" t="s">
        <v>1314</v>
      </c>
      <c r="L626" s="236">
        <f t="shared" si="21"/>
        <v>623376</v>
      </c>
      <c r="N626" s="113" t="s">
        <v>1315</v>
      </c>
      <c r="O626" s="1" t="b">
        <v>1</v>
      </c>
      <c r="Q626" s="34"/>
    </row>
    <row r="627" spans="2:17">
      <c r="B627" s="1" t="str">
        <f t="shared" si="22"/>
        <v>M_MED01_VM_BKT_625</v>
      </c>
      <c r="C627" s="92" t="s">
        <v>727</v>
      </c>
      <c r="D627" s="92" t="str" cm="1">
        <f t="array" ref="D627">INDEX(기계코드!$D$4:$D$1022,MATCH(1,(C627=기계코드!$F$4:$F$1022)*1,0))</f>
        <v>M_MED01</v>
      </c>
      <c r="E627" s="92" t="s">
        <v>1128</v>
      </c>
      <c r="F627" s="92" t="str" cm="1">
        <f t="array" ref="F627">INDEX(공급업체코드!$B$3:$B$1000,MATCH(1,(E627=공급업체코드!$D$3:$D$1000)*1,0))</f>
        <v>VM_BKT</v>
      </c>
      <c r="H627" s="312">
        <v>625</v>
      </c>
      <c r="I627" s="233" t="s">
        <v>1313</v>
      </c>
      <c r="K627" s="233" t="s">
        <v>1314</v>
      </c>
      <c r="L627" s="236">
        <f t="shared" si="21"/>
        <v>624375</v>
      </c>
      <c r="N627" s="113" t="s">
        <v>1315</v>
      </c>
      <c r="O627" s="1" t="b">
        <v>1</v>
      </c>
      <c r="Q627" s="34"/>
    </row>
    <row r="628" spans="2:17">
      <c r="B628" s="1" t="str">
        <f t="shared" si="22"/>
        <v>M_MED01_VM_BKT_626</v>
      </c>
      <c r="C628" s="92" t="s">
        <v>727</v>
      </c>
      <c r="D628" s="92" t="str" cm="1">
        <f t="array" ref="D628">INDEX(기계코드!$D$4:$D$1022,MATCH(1,(C628=기계코드!$F$4:$F$1022)*1,0))</f>
        <v>M_MED01</v>
      </c>
      <c r="E628" s="92" t="s">
        <v>1128</v>
      </c>
      <c r="F628" s="92" t="str" cm="1">
        <f t="array" ref="F628">INDEX(공급업체코드!$B$3:$B$1000,MATCH(1,(E628=공급업체코드!$D$3:$D$1000)*1,0))</f>
        <v>VM_BKT</v>
      </c>
      <c r="H628" s="312">
        <v>626</v>
      </c>
      <c r="I628" s="233" t="s">
        <v>1313</v>
      </c>
      <c r="K628" s="233" t="s">
        <v>1314</v>
      </c>
      <c r="L628" s="236">
        <f t="shared" si="21"/>
        <v>625374</v>
      </c>
      <c r="N628" s="113" t="s">
        <v>1315</v>
      </c>
      <c r="O628" s="1" t="b">
        <v>1</v>
      </c>
      <c r="Q628" s="34"/>
    </row>
    <row r="629" spans="2:17">
      <c r="B629" s="1" t="str">
        <f t="shared" si="22"/>
        <v>M_MED01_VM_BKT_627</v>
      </c>
      <c r="C629" s="92" t="s">
        <v>727</v>
      </c>
      <c r="D629" s="92" t="str" cm="1">
        <f t="array" ref="D629">INDEX(기계코드!$D$4:$D$1022,MATCH(1,(C629=기계코드!$F$4:$F$1022)*1,0))</f>
        <v>M_MED01</v>
      </c>
      <c r="E629" s="92" t="s">
        <v>1128</v>
      </c>
      <c r="F629" s="92" t="str" cm="1">
        <f t="array" ref="F629">INDEX(공급업체코드!$B$3:$B$1000,MATCH(1,(E629=공급업체코드!$D$3:$D$1000)*1,0))</f>
        <v>VM_BKT</v>
      </c>
      <c r="H629" s="312">
        <v>627</v>
      </c>
      <c r="I629" s="233" t="s">
        <v>1313</v>
      </c>
      <c r="K629" s="233" t="s">
        <v>1314</v>
      </c>
      <c r="L629" s="236">
        <f t="shared" si="21"/>
        <v>626373</v>
      </c>
      <c r="N629" s="113" t="s">
        <v>1315</v>
      </c>
      <c r="O629" s="1" t="b">
        <v>1</v>
      </c>
      <c r="Q629" s="34"/>
    </row>
    <row r="630" spans="2:17">
      <c r="B630" s="1" t="str">
        <f t="shared" si="22"/>
        <v>M_MED01_VM_BKT_628</v>
      </c>
      <c r="C630" s="92" t="s">
        <v>727</v>
      </c>
      <c r="D630" s="92" t="str" cm="1">
        <f t="array" ref="D630">INDEX(기계코드!$D$4:$D$1022,MATCH(1,(C630=기계코드!$F$4:$F$1022)*1,0))</f>
        <v>M_MED01</v>
      </c>
      <c r="E630" s="92" t="s">
        <v>1128</v>
      </c>
      <c r="F630" s="92" t="str" cm="1">
        <f t="array" ref="F630">INDEX(공급업체코드!$B$3:$B$1000,MATCH(1,(E630=공급업체코드!$D$3:$D$1000)*1,0))</f>
        <v>VM_BKT</v>
      </c>
      <c r="H630" s="312">
        <v>628</v>
      </c>
      <c r="I630" s="233" t="s">
        <v>1313</v>
      </c>
      <c r="K630" s="233" t="s">
        <v>1314</v>
      </c>
      <c r="L630" s="236">
        <f t="shared" si="21"/>
        <v>627372</v>
      </c>
      <c r="N630" s="113" t="s">
        <v>1315</v>
      </c>
      <c r="O630" s="1" t="b">
        <v>1</v>
      </c>
      <c r="Q630" s="34"/>
    </row>
    <row r="631" spans="2:17">
      <c r="B631" s="1" t="str">
        <f t="shared" si="22"/>
        <v>M_MED01_VM_BKT_629</v>
      </c>
      <c r="C631" s="92" t="s">
        <v>727</v>
      </c>
      <c r="D631" s="92" t="str" cm="1">
        <f t="array" ref="D631">INDEX(기계코드!$D$4:$D$1022,MATCH(1,(C631=기계코드!$F$4:$F$1022)*1,0))</f>
        <v>M_MED01</v>
      </c>
      <c r="E631" s="92" t="s">
        <v>1128</v>
      </c>
      <c r="F631" s="92" t="str" cm="1">
        <f t="array" ref="F631">INDEX(공급업체코드!$B$3:$B$1000,MATCH(1,(E631=공급업체코드!$D$3:$D$1000)*1,0))</f>
        <v>VM_BKT</v>
      </c>
      <c r="H631" s="312">
        <v>629</v>
      </c>
      <c r="I631" s="233" t="s">
        <v>1313</v>
      </c>
      <c r="K631" s="233" t="s">
        <v>1314</v>
      </c>
      <c r="L631" s="236">
        <f t="shared" si="21"/>
        <v>628371</v>
      </c>
      <c r="N631" s="113" t="s">
        <v>1315</v>
      </c>
      <c r="O631" s="1" t="b">
        <v>1</v>
      </c>
      <c r="Q631" s="34"/>
    </row>
    <row r="632" spans="2:17">
      <c r="B632" s="1" t="str">
        <f t="shared" si="22"/>
        <v>M_MED01_VM_BKT_630</v>
      </c>
      <c r="C632" s="92" t="s">
        <v>727</v>
      </c>
      <c r="D632" s="92" t="str" cm="1">
        <f t="array" ref="D632">INDEX(기계코드!$D$4:$D$1022,MATCH(1,(C632=기계코드!$F$4:$F$1022)*1,0))</f>
        <v>M_MED01</v>
      </c>
      <c r="E632" s="92" t="s">
        <v>1128</v>
      </c>
      <c r="F632" s="92" t="str" cm="1">
        <f t="array" ref="F632">INDEX(공급업체코드!$B$3:$B$1000,MATCH(1,(E632=공급업체코드!$D$3:$D$1000)*1,0))</f>
        <v>VM_BKT</v>
      </c>
      <c r="H632" s="312">
        <v>630</v>
      </c>
      <c r="I632" s="233" t="s">
        <v>1313</v>
      </c>
      <c r="K632" s="233" t="s">
        <v>1314</v>
      </c>
      <c r="L632" s="236">
        <f t="shared" si="21"/>
        <v>629370</v>
      </c>
      <c r="N632" s="113" t="s">
        <v>1315</v>
      </c>
      <c r="O632" s="1" t="b">
        <v>1</v>
      </c>
      <c r="Q632" s="34"/>
    </row>
    <row r="633" spans="2:17">
      <c r="B633" s="1" t="str">
        <f t="shared" si="22"/>
        <v>M_MED01_VM_BKT_631</v>
      </c>
      <c r="C633" s="92" t="s">
        <v>727</v>
      </c>
      <c r="D633" s="92" t="str" cm="1">
        <f t="array" ref="D633">INDEX(기계코드!$D$4:$D$1022,MATCH(1,(C633=기계코드!$F$4:$F$1022)*1,0))</f>
        <v>M_MED01</v>
      </c>
      <c r="E633" s="92" t="s">
        <v>1128</v>
      </c>
      <c r="F633" s="92" t="str" cm="1">
        <f t="array" ref="F633">INDEX(공급업체코드!$B$3:$B$1000,MATCH(1,(E633=공급업체코드!$D$3:$D$1000)*1,0))</f>
        <v>VM_BKT</v>
      </c>
      <c r="H633" s="312">
        <v>631</v>
      </c>
      <c r="I633" s="233" t="s">
        <v>1313</v>
      </c>
      <c r="K633" s="233" t="s">
        <v>1314</v>
      </c>
      <c r="L633" s="236">
        <f t="shared" si="21"/>
        <v>630369</v>
      </c>
      <c r="N633" s="113" t="s">
        <v>1315</v>
      </c>
      <c r="O633" s="1" t="b">
        <v>1</v>
      </c>
      <c r="Q633" s="34"/>
    </row>
    <row r="634" spans="2:17">
      <c r="B634" s="1" t="str">
        <f t="shared" si="22"/>
        <v>M_MED01_VM_BKT_632</v>
      </c>
      <c r="C634" s="92" t="s">
        <v>727</v>
      </c>
      <c r="D634" s="92" t="str" cm="1">
        <f t="array" ref="D634">INDEX(기계코드!$D$4:$D$1022,MATCH(1,(C634=기계코드!$F$4:$F$1022)*1,0))</f>
        <v>M_MED01</v>
      </c>
      <c r="E634" s="92" t="s">
        <v>1128</v>
      </c>
      <c r="F634" s="92" t="str" cm="1">
        <f t="array" ref="F634">INDEX(공급업체코드!$B$3:$B$1000,MATCH(1,(E634=공급업체코드!$D$3:$D$1000)*1,0))</f>
        <v>VM_BKT</v>
      </c>
      <c r="H634" s="312">
        <v>632</v>
      </c>
      <c r="I634" s="233" t="s">
        <v>1313</v>
      </c>
      <c r="K634" s="233" t="s">
        <v>1314</v>
      </c>
      <c r="L634" s="236">
        <f t="shared" si="21"/>
        <v>631368</v>
      </c>
      <c r="N634" s="113" t="s">
        <v>1315</v>
      </c>
      <c r="O634" s="1" t="b">
        <v>1</v>
      </c>
      <c r="Q634" s="34"/>
    </row>
    <row r="635" spans="2:17">
      <c r="B635" s="1" t="str">
        <f t="shared" si="22"/>
        <v>M_MED01_VM_BKT_633</v>
      </c>
      <c r="C635" s="92" t="s">
        <v>727</v>
      </c>
      <c r="D635" s="92" t="str" cm="1">
        <f t="array" ref="D635">INDEX(기계코드!$D$4:$D$1022,MATCH(1,(C635=기계코드!$F$4:$F$1022)*1,0))</f>
        <v>M_MED01</v>
      </c>
      <c r="E635" s="92" t="s">
        <v>1128</v>
      </c>
      <c r="F635" s="92" t="str" cm="1">
        <f t="array" ref="F635">INDEX(공급업체코드!$B$3:$B$1000,MATCH(1,(E635=공급업체코드!$D$3:$D$1000)*1,0))</f>
        <v>VM_BKT</v>
      </c>
      <c r="H635" s="312">
        <v>633</v>
      </c>
      <c r="I635" s="233" t="s">
        <v>1313</v>
      </c>
      <c r="K635" s="233" t="s">
        <v>1314</v>
      </c>
      <c r="L635" s="236">
        <f t="shared" si="21"/>
        <v>632367</v>
      </c>
      <c r="N635" s="113" t="s">
        <v>1315</v>
      </c>
      <c r="O635" s="1" t="b">
        <v>1</v>
      </c>
      <c r="Q635" s="34"/>
    </row>
    <row r="636" spans="2:17">
      <c r="B636" s="1" t="str">
        <f t="shared" si="22"/>
        <v>M_MED01_VM_BKT_634</v>
      </c>
      <c r="C636" s="92" t="s">
        <v>727</v>
      </c>
      <c r="D636" s="92" t="str" cm="1">
        <f t="array" ref="D636">INDEX(기계코드!$D$4:$D$1022,MATCH(1,(C636=기계코드!$F$4:$F$1022)*1,0))</f>
        <v>M_MED01</v>
      </c>
      <c r="E636" s="92" t="s">
        <v>1128</v>
      </c>
      <c r="F636" s="92" t="str" cm="1">
        <f t="array" ref="F636">INDEX(공급업체코드!$B$3:$B$1000,MATCH(1,(E636=공급업체코드!$D$3:$D$1000)*1,0))</f>
        <v>VM_BKT</v>
      </c>
      <c r="H636" s="312">
        <v>634</v>
      </c>
      <c r="I636" s="233" t="s">
        <v>1313</v>
      </c>
      <c r="K636" s="233" t="s">
        <v>1314</v>
      </c>
      <c r="L636" s="236">
        <f t="shared" si="21"/>
        <v>633366</v>
      </c>
      <c r="N636" s="113" t="s">
        <v>1315</v>
      </c>
      <c r="O636" s="1" t="b">
        <v>1</v>
      </c>
      <c r="Q636" s="34"/>
    </row>
    <row r="637" spans="2:17">
      <c r="B637" s="1" t="str">
        <f t="shared" si="22"/>
        <v>M_MED01_VM_BKT_635</v>
      </c>
      <c r="C637" s="92" t="s">
        <v>727</v>
      </c>
      <c r="D637" s="92" t="str" cm="1">
        <f t="array" ref="D637">INDEX(기계코드!$D$4:$D$1022,MATCH(1,(C637=기계코드!$F$4:$F$1022)*1,0))</f>
        <v>M_MED01</v>
      </c>
      <c r="E637" s="92" t="s">
        <v>1128</v>
      </c>
      <c r="F637" s="92" t="str" cm="1">
        <f t="array" ref="F637">INDEX(공급업체코드!$B$3:$B$1000,MATCH(1,(E637=공급업체코드!$D$3:$D$1000)*1,0))</f>
        <v>VM_BKT</v>
      </c>
      <c r="H637" s="312">
        <v>635</v>
      </c>
      <c r="I637" s="233" t="s">
        <v>1313</v>
      </c>
      <c r="K637" s="233" t="s">
        <v>1314</v>
      </c>
      <c r="L637" s="236">
        <f t="shared" si="21"/>
        <v>634365</v>
      </c>
      <c r="N637" s="113" t="s">
        <v>1315</v>
      </c>
      <c r="O637" s="1" t="b">
        <v>1</v>
      </c>
      <c r="Q637" s="34"/>
    </row>
    <row r="638" spans="2:17">
      <c r="B638" s="1" t="str">
        <f t="shared" si="22"/>
        <v>M_MED01_VM_BKT_636</v>
      </c>
      <c r="C638" s="92" t="s">
        <v>727</v>
      </c>
      <c r="D638" s="92" t="str" cm="1">
        <f t="array" ref="D638">INDEX(기계코드!$D$4:$D$1022,MATCH(1,(C638=기계코드!$F$4:$F$1022)*1,0))</f>
        <v>M_MED01</v>
      </c>
      <c r="E638" s="92" t="s">
        <v>1128</v>
      </c>
      <c r="F638" s="92" t="str" cm="1">
        <f t="array" ref="F638">INDEX(공급업체코드!$B$3:$B$1000,MATCH(1,(E638=공급업체코드!$D$3:$D$1000)*1,0))</f>
        <v>VM_BKT</v>
      </c>
      <c r="H638" s="312">
        <v>636</v>
      </c>
      <c r="I638" s="233" t="s">
        <v>1313</v>
      </c>
      <c r="K638" s="233" t="s">
        <v>1314</v>
      </c>
      <c r="L638" s="236">
        <f t="shared" si="21"/>
        <v>635364</v>
      </c>
      <c r="N638" s="113" t="s">
        <v>1315</v>
      </c>
      <c r="O638" s="1" t="b">
        <v>1</v>
      </c>
      <c r="Q638" s="34"/>
    </row>
    <row r="639" spans="2:17">
      <c r="B639" s="1" t="str">
        <f t="shared" si="22"/>
        <v>M_MED01_VM_BKT_637</v>
      </c>
      <c r="C639" s="92" t="s">
        <v>727</v>
      </c>
      <c r="D639" s="92" t="str" cm="1">
        <f t="array" ref="D639">INDEX(기계코드!$D$4:$D$1022,MATCH(1,(C639=기계코드!$F$4:$F$1022)*1,0))</f>
        <v>M_MED01</v>
      </c>
      <c r="E639" s="92" t="s">
        <v>1128</v>
      </c>
      <c r="F639" s="92" t="str" cm="1">
        <f t="array" ref="F639">INDEX(공급업체코드!$B$3:$B$1000,MATCH(1,(E639=공급업체코드!$D$3:$D$1000)*1,0))</f>
        <v>VM_BKT</v>
      </c>
      <c r="H639" s="312">
        <v>637</v>
      </c>
      <c r="I639" s="233" t="s">
        <v>1313</v>
      </c>
      <c r="K639" s="233" t="s">
        <v>1314</v>
      </c>
      <c r="L639" s="236">
        <f t="shared" si="21"/>
        <v>636363</v>
      </c>
      <c r="N639" s="113" t="s">
        <v>1315</v>
      </c>
      <c r="O639" s="1" t="b">
        <v>1</v>
      </c>
      <c r="Q639" s="34"/>
    </row>
    <row r="640" spans="2:17">
      <c r="B640" s="1" t="str">
        <f t="shared" si="22"/>
        <v>M_MED01_VM_BKT_638</v>
      </c>
      <c r="C640" s="92" t="s">
        <v>727</v>
      </c>
      <c r="D640" s="92" t="str" cm="1">
        <f t="array" ref="D640">INDEX(기계코드!$D$4:$D$1022,MATCH(1,(C640=기계코드!$F$4:$F$1022)*1,0))</f>
        <v>M_MED01</v>
      </c>
      <c r="E640" s="92" t="s">
        <v>1128</v>
      </c>
      <c r="F640" s="92" t="str" cm="1">
        <f t="array" ref="F640">INDEX(공급업체코드!$B$3:$B$1000,MATCH(1,(E640=공급업체코드!$D$3:$D$1000)*1,0))</f>
        <v>VM_BKT</v>
      </c>
      <c r="H640" s="312">
        <v>638</v>
      </c>
      <c r="I640" s="233" t="s">
        <v>1313</v>
      </c>
      <c r="K640" s="233" t="s">
        <v>1314</v>
      </c>
      <c r="L640" s="236">
        <f t="shared" si="21"/>
        <v>637362</v>
      </c>
      <c r="N640" s="113" t="s">
        <v>1315</v>
      </c>
      <c r="O640" s="1" t="b">
        <v>1</v>
      </c>
      <c r="Q640" s="34"/>
    </row>
    <row r="641" spans="2:17">
      <c r="B641" s="1" t="str">
        <f t="shared" si="22"/>
        <v>M_MED01_VM_BKT_639</v>
      </c>
      <c r="C641" s="92" t="s">
        <v>727</v>
      </c>
      <c r="D641" s="92" t="str" cm="1">
        <f t="array" ref="D641">INDEX(기계코드!$D$4:$D$1022,MATCH(1,(C641=기계코드!$F$4:$F$1022)*1,0))</f>
        <v>M_MED01</v>
      </c>
      <c r="E641" s="92" t="s">
        <v>1128</v>
      </c>
      <c r="F641" s="92" t="str" cm="1">
        <f t="array" ref="F641">INDEX(공급업체코드!$B$3:$B$1000,MATCH(1,(E641=공급업체코드!$D$3:$D$1000)*1,0))</f>
        <v>VM_BKT</v>
      </c>
      <c r="H641" s="312">
        <v>639</v>
      </c>
      <c r="I641" s="233" t="s">
        <v>1313</v>
      </c>
      <c r="K641" s="233" t="s">
        <v>1314</v>
      </c>
      <c r="L641" s="236">
        <f t="shared" si="21"/>
        <v>638361</v>
      </c>
      <c r="N641" s="113" t="s">
        <v>1315</v>
      </c>
      <c r="O641" s="1" t="b">
        <v>1</v>
      </c>
      <c r="Q641" s="34"/>
    </row>
    <row r="642" spans="2:17">
      <c r="B642" s="1" t="str">
        <f t="shared" si="22"/>
        <v>M_MED01_VM_BKT_640</v>
      </c>
      <c r="C642" s="92" t="s">
        <v>727</v>
      </c>
      <c r="D642" s="92" t="str" cm="1">
        <f t="array" ref="D642">INDEX(기계코드!$D$4:$D$1022,MATCH(1,(C642=기계코드!$F$4:$F$1022)*1,0))</f>
        <v>M_MED01</v>
      </c>
      <c r="E642" s="92" t="s">
        <v>1128</v>
      </c>
      <c r="F642" s="92" t="str" cm="1">
        <f t="array" ref="F642">INDEX(공급업체코드!$B$3:$B$1000,MATCH(1,(E642=공급업체코드!$D$3:$D$1000)*1,0))</f>
        <v>VM_BKT</v>
      </c>
      <c r="H642" s="312">
        <v>640</v>
      </c>
      <c r="I642" s="233" t="s">
        <v>1313</v>
      </c>
      <c r="K642" s="233" t="s">
        <v>1314</v>
      </c>
      <c r="L642" s="236">
        <f t="shared" si="21"/>
        <v>639360</v>
      </c>
      <c r="N642" s="113" t="s">
        <v>1315</v>
      </c>
      <c r="O642" s="1" t="b">
        <v>1</v>
      </c>
      <c r="Q642" s="34"/>
    </row>
    <row r="643" spans="2:17">
      <c r="B643" s="1" t="str">
        <f t="shared" si="22"/>
        <v>M_MED01_VM_BKT_641</v>
      </c>
      <c r="C643" s="92" t="s">
        <v>727</v>
      </c>
      <c r="D643" s="92" t="str" cm="1">
        <f t="array" ref="D643">INDEX(기계코드!$D$4:$D$1022,MATCH(1,(C643=기계코드!$F$4:$F$1022)*1,0))</f>
        <v>M_MED01</v>
      </c>
      <c r="E643" s="92" t="s">
        <v>1128</v>
      </c>
      <c r="F643" s="92" t="str" cm="1">
        <f t="array" ref="F643">INDEX(공급업체코드!$B$3:$B$1000,MATCH(1,(E643=공급업체코드!$D$3:$D$1000)*1,0))</f>
        <v>VM_BKT</v>
      </c>
      <c r="H643" s="312">
        <v>641</v>
      </c>
      <c r="I643" s="233" t="s">
        <v>1313</v>
      </c>
      <c r="K643" s="233" t="s">
        <v>1314</v>
      </c>
      <c r="L643" s="236">
        <f t="shared" si="21"/>
        <v>640359</v>
      </c>
      <c r="N643" s="113" t="s">
        <v>1315</v>
      </c>
      <c r="O643" s="1" t="b">
        <v>1</v>
      </c>
      <c r="Q643" s="34"/>
    </row>
    <row r="644" spans="2:17">
      <c r="B644" s="1" t="str">
        <f t="shared" si="22"/>
        <v>M_MED01_VM_BKT_642</v>
      </c>
      <c r="C644" s="92" t="s">
        <v>727</v>
      </c>
      <c r="D644" s="92" t="str" cm="1">
        <f t="array" ref="D644">INDEX(기계코드!$D$4:$D$1022,MATCH(1,(C644=기계코드!$F$4:$F$1022)*1,0))</f>
        <v>M_MED01</v>
      </c>
      <c r="E644" s="92" t="s">
        <v>1128</v>
      </c>
      <c r="F644" s="92" t="str" cm="1">
        <f t="array" ref="F644">INDEX(공급업체코드!$B$3:$B$1000,MATCH(1,(E644=공급업체코드!$D$3:$D$1000)*1,0))</f>
        <v>VM_BKT</v>
      </c>
      <c r="H644" s="312">
        <v>642</v>
      </c>
      <c r="I644" s="233" t="s">
        <v>1313</v>
      </c>
      <c r="K644" s="233" t="s">
        <v>1314</v>
      </c>
      <c r="L644" s="236">
        <f t="shared" si="21"/>
        <v>641358</v>
      </c>
      <c r="N644" s="113" t="s">
        <v>1315</v>
      </c>
      <c r="O644" s="1" t="b">
        <v>1</v>
      </c>
      <c r="Q644" s="34"/>
    </row>
    <row r="645" spans="2:17">
      <c r="B645" s="1" t="str">
        <f t="shared" si="22"/>
        <v>M_MED01_VM_BKT_643</v>
      </c>
      <c r="C645" s="92" t="s">
        <v>727</v>
      </c>
      <c r="D645" s="92" t="str" cm="1">
        <f t="array" ref="D645">INDEX(기계코드!$D$4:$D$1022,MATCH(1,(C645=기계코드!$F$4:$F$1022)*1,0))</f>
        <v>M_MED01</v>
      </c>
      <c r="E645" s="92" t="s">
        <v>1128</v>
      </c>
      <c r="F645" s="92" t="str" cm="1">
        <f t="array" ref="F645">INDEX(공급업체코드!$B$3:$B$1000,MATCH(1,(E645=공급업체코드!$D$3:$D$1000)*1,0))</f>
        <v>VM_BKT</v>
      </c>
      <c r="H645" s="312">
        <v>643</v>
      </c>
      <c r="I645" s="233" t="s">
        <v>1313</v>
      </c>
      <c r="K645" s="233" t="s">
        <v>1314</v>
      </c>
      <c r="L645" s="236">
        <f t="shared" ref="L645:L708" si="23">$L$3*H645</f>
        <v>642357</v>
      </c>
      <c r="N645" s="113" t="s">
        <v>1315</v>
      </c>
      <c r="O645" s="1" t="b">
        <v>1</v>
      </c>
      <c r="Q645" s="34"/>
    </row>
    <row r="646" spans="2:17">
      <c r="B646" s="1" t="str">
        <f t="shared" si="22"/>
        <v>M_MED01_VM_BKT_644</v>
      </c>
      <c r="C646" s="92" t="s">
        <v>727</v>
      </c>
      <c r="D646" s="92" t="str" cm="1">
        <f t="array" ref="D646">INDEX(기계코드!$D$4:$D$1022,MATCH(1,(C646=기계코드!$F$4:$F$1022)*1,0))</f>
        <v>M_MED01</v>
      </c>
      <c r="E646" s="92" t="s">
        <v>1128</v>
      </c>
      <c r="F646" s="92" t="str" cm="1">
        <f t="array" ref="F646">INDEX(공급업체코드!$B$3:$B$1000,MATCH(1,(E646=공급업체코드!$D$3:$D$1000)*1,0))</f>
        <v>VM_BKT</v>
      </c>
      <c r="H646" s="312">
        <v>644</v>
      </c>
      <c r="I646" s="233" t="s">
        <v>1313</v>
      </c>
      <c r="K646" s="233" t="s">
        <v>1314</v>
      </c>
      <c r="L646" s="236">
        <f t="shared" si="23"/>
        <v>643356</v>
      </c>
      <c r="N646" s="113" t="s">
        <v>1315</v>
      </c>
      <c r="O646" s="1" t="b">
        <v>1</v>
      </c>
      <c r="Q646" s="34"/>
    </row>
    <row r="647" spans="2:17">
      <c r="B647" s="1" t="str">
        <f t="shared" ref="B647:B710" si="24">D647&amp;"_"&amp;F647&amp;"_"&amp;H647</f>
        <v>M_MED01_VM_BKT_645</v>
      </c>
      <c r="C647" s="92" t="s">
        <v>727</v>
      </c>
      <c r="D647" s="92" t="str" cm="1">
        <f t="array" ref="D647">INDEX(기계코드!$D$4:$D$1022,MATCH(1,(C647=기계코드!$F$4:$F$1022)*1,0))</f>
        <v>M_MED01</v>
      </c>
      <c r="E647" s="92" t="s">
        <v>1128</v>
      </c>
      <c r="F647" s="92" t="str" cm="1">
        <f t="array" ref="F647">INDEX(공급업체코드!$B$3:$B$1000,MATCH(1,(E647=공급업체코드!$D$3:$D$1000)*1,0))</f>
        <v>VM_BKT</v>
      </c>
      <c r="H647" s="312">
        <v>645</v>
      </c>
      <c r="I647" s="233" t="s">
        <v>1313</v>
      </c>
      <c r="K647" s="233" t="s">
        <v>1314</v>
      </c>
      <c r="L647" s="236">
        <f t="shared" si="23"/>
        <v>644355</v>
      </c>
      <c r="N647" s="113" t="s">
        <v>1315</v>
      </c>
      <c r="O647" s="1" t="b">
        <v>1</v>
      </c>
      <c r="Q647" s="34"/>
    </row>
    <row r="648" spans="2:17">
      <c r="B648" s="1" t="str">
        <f t="shared" si="24"/>
        <v>M_MED01_VM_BKT_646</v>
      </c>
      <c r="C648" s="92" t="s">
        <v>727</v>
      </c>
      <c r="D648" s="92" t="str" cm="1">
        <f t="array" ref="D648">INDEX(기계코드!$D$4:$D$1022,MATCH(1,(C648=기계코드!$F$4:$F$1022)*1,0))</f>
        <v>M_MED01</v>
      </c>
      <c r="E648" s="92" t="s">
        <v>1128</v>
      </c>
      <c r="F648" s="92" t="str" cm="1">
        <f t="array" ref="F648">INDEX(공급업체코드!$B$3:$B$1000,MATCH(1,(E648=공급업체코드!$D$3:$D$1000)*1,0))</f>
        <v>VM_BKT</v>
      </c>
      <c r="H648" s="312">
        <v>646</v>
      </c>
      <c r="I648" s="233" t="s">
        <v>1313</v>
      </c>
      <c r="K648" s="233" t="s">
        <v>1314</v>
      </c>
      <c r="L648" s="236">
        <f t="shared" si="23"/>
        <v>645354</v>
      </c>
      <c r="N648" s="113" t="s">
        <v>1315</v>
      </c>
      <c r="O648" s="1" t="b">
        <v>1</v>
      </c>
      <c r="Q648" s="34"/>
    </row>
    <row r="649" spans="2:17">
      <c r="B649" s="1" t="str">
        <f t="shared" si="24"/>
        <v>M_MED01_VM_BKT_647</v>
      </c>
      <c r="C649" s="92" t="s">
        <v>727</v>
      </c>
      <c r="D649" s="92" t="str" cm="1">
        <f t="array" ref="D649">INDEX(기계코드!$D$4:$D$1022,MATCH(1,(C649=기계코드!$F$4:$F$1022)*1,0))</f>
        <v>M_MED01</v>
      </c>
      <c r="E649" s="92" t="s">
        <v>1128</v>
      </c>
      <c r="F649" s="92" t="str" cm="1">
        <f t="array" ref="F649">INDEX(공급업체코드!$B$3:$B$1000,MATCH(1,(E649=공급업체코드!$D$3:$D$1000)*1,0))</f>
        <v>VM_BKT</v>
      </c>
      <c r="H649" s="312">
        <v>647</v>
      </c>
      <c r="I649" s="233" t="s">
        <v>1313</v>
      </c>
      <c r="K649" s="233" t="s">
        <v>1314</v>
      </c>
      <c r="L649" s="236">
        <f t="shared" si="23"/>
        <v>646353</v>
      </c>
      <c r="N649" s="113" t="s">
        <v>1315</v>
      </c>
      <c r="O649" s="1" t="b">
        <v>1</v>
      </c>
      <c r="Q649" s="34"/>
    </row>
    <row r="650" spans="2:17">
      <c r="B650" s="1" t="str">
        <f t="shared" si="24"/>
        <v>M_MED01_VM_BKT_648</v>
      </c>
      <c r="C650" s="92" t="s">
        <v>727</v>
      </c>
      <c r="D650" s="92" t="str" cm="1">
        <f t="array" ref="D650">INDEX(기계코드!$D$4:$D$1022,MATCH(1,(C650=기계코드!$F$4:$F$1022)*1,0))</f>
        <v>M_MED01</v>
      </c>
      <c r="E650" s="92" t="s">
        <v>1128</v>
      </c>
      <c r="F650" s="92" t="str" cm="1">
        <f t="array" ref="F650">INDEX(공급업체코드!$B$3:$B$1000,MATCH(1,(E650=공급업체코드!$D$3:$D$1000)*1,0))</f>
        <v>VM_BKT</v>
      </c>
      <c r="H650" s="312">
        <v>648</v>
      </c>
      <c r="I650" s="233" t="s">
        <v>1313</v>
      </c>
      <c r="K650" s="233" t="s">
        <v>1314</v>
      </c>
      <c r="L650" s="236">
        <f t="shared" si="23"/>
        <v>647352</v>
      </c>
      <c r="N650" s="113" t="s">
        <v>1315</v>
      </c>
      <c r="O650" s="1" t="b">
        <v>1</v>
      </c>
      <c r="Q650" s="34"/>
    </row>
    <row r="651" spans="2:17">
      <c r="B651" s="1" t="str">
        <f t="shared" si="24"/>
        <v>M_MED01_VM_BKT_649</v>
      </c>
      <c r="C651" s="92" t="s">
        <v>727</v>
      </c>
      <c r="D651" s="92" t="str" cm="1">
        <f t="array" ref="D651">INDEX(기계코드!$D$4:$D$1022,MATCH(1,(C651=기계코드!$F$4:$F$1022)*1,0))</f>
        <v>M_MED01</v>
      </c>
      <c r="E651" s="92" t="s">
        <v>1128</v>
      </c>
      <c r="F651" s="92" t="str" cm="1">
        <f t="array" ref="F651">INDEX(공급업체코드!$B$3:$B$1000,MATCH(1,(E651=공급업체코드!$D$3:$D$1000)*1,0))</f>
        <v>VM_BKT</v>
      </c>
      <c r="H651" s="312">
        <v>649</v>
      </c>
      <c r="I651" s="233" t="s">
        <v>1313</v>
      </c>
      <c r="K651" s="233" t="s">
        <v>1314</v>
      </c>
      <c r="L651" s="236">
        <f t="shared" si="23"/>
        <v>648351</v>
      </c>
      <c r="N651" s="113" t="s">
        <v>1315</v>
      </c>
      <c r="O651" s="1" t="b">
        <v>1</v>
      </c>
      <c r="Q651" s="34"/>
    </row>
    <row r="652" spans="2:17">
      <c r="B652" s="1" t="str">
        <f t="shared" si="24"/>
        <v>M_MED01_VM_BKT_650</v>
      </c>
      <c r="C652" s="92" t="s">
        <v>727</v>
      </c>
      <c r="D652" s="92" t="str" cm="1">
        <f t="array" ref="D652">INDEX(기계코드!$D$4:$D$1022,MATCH(1,(C652=기계코드!$F$4:$F$1022)*1,0))</f>
        <v>M_MED01</v>
      </c>
      <c r="E652" s="92" t="s">
        <v>1128</v>
      </c>
      <c r="F652" s="92" t="str" cm="1">
        <f t="array" ref="F652">INDEX(공급업체코드!$B$3:$B$1000,MATCH(1,(E652=공급업체코드!$D$3:$D$1000)*1,0))</f>
        <v>VM_BKT</v>
      </c>
      <c r="H652" s="312">
        <v>650</v>
      </c>
      <c r="I652" s="233" t="s">
        <v>1313</v>
      </c>
      <c r="K652" s="233" t="s">
        <v>1314</v>
      </c>
      <c r="L652" s="236">
        <f t="shared" si="23"/>
        <v>649350</v>
      </c>
      <c r="N652" s="113" t="s">
        <v>1315</v>
      </c>
      <c r="O652" s="1" t="b">
        <v>1</v>
      </c>
      <c r="Q652" s="34"/>
    </row>
    <row r="653" spans="2:17">
      <c r="B653" s="1" t="str">
        <f t="shared" si="24"/>
        <v>M_MED01_VM_BKT_651</v>
      </c>
      <c r="C653" s="92" t="s">
        <v>727</v>
      </c>
      <c r="D653" s="92" t="str" cm="1">
        <f t="array" ref="D653">INDEX(기계코드!$D$4:$D$1022,MATCH(1,(C653=기계코드!$F$4:$F$1022)*1,0))</f>
        <v>M_MED01</v>
      </c>
      <c r="E653" s="92" t="s">
        <v>1128</v>
      </c>
      <c r="F653" s="92" t="str" cm="1">
        <f t="array" ref="F653">INDEX(공급업체코드!$B$3:$B$1000,MATCH(1,(E653=공급업체코드!$D$3:$D$1000)*1,0))</f>
        <v>VM_BKT</v>
      </c>
      <c r="H653" s="312">
        <v>651</v>
      </c>
      <c r="I653" s="233" t="s">
        <v>1313</v>
      </c>
      <c r="K653" s="233" t="s">
        <v>1314</v>
      </c>
      <c r="L653" s="236">
        <f t="shared" si="23"/>
        <v>650349</v>
      </c>
      <c r="N653" s="113" t="s">
        <v>1315</v>
      </c>
      <c r="O653" s="1" t="b">
        <v>1</v>
      </c>
      <c r="Q653" s="34"/>
    </row>
    <row r="654" spans="2:17">
      <c r="B654" s="1" t="str">
        <f t="shared" si="24"/>
        <v>M_MED01_VM_BKT_652</v>
      </c>
      <c r="C654" s="92" t="s">
        <v>727</v>
      </c>
      <c r="D654" s="92" t="str" cm="1">
        <f t="array" ref="D654">INDEX(기계코드!$D$4:$D$1022,MATCH(1,(C654=기계코드!$F$4:$F$1022)*1,0))</f>
        <v>M_MED01</v>
      </c>
      <c r="E654" s="92" t="s">
        <v>1128</v>
      </c>
      <c r="F654" s="92" t="str" cm="1">
        <f t="array" ref="F654">INDEX(공급업체코드!$B$3:$B$1000,MATCH(1,(E654=공급업체코드!$D$3:$D$1000)*1,0))</f>
        <v>VM_BKT</v>
      </c>
      <c r="H654" s="312">
        <v>652</v>
      </c>
      <c r="I654" s="233" t="s">
        <v>1313</v>
      </c>
      <c r="K654" s="233" t="s">
        <v>1314</v>
      </c>
      <c r="L654" s="236">
        <f t="shared" si="23"/>
        <v>651348</v>
      </c>
      <c r="N654" s="113" t="s">
        <v>1315</v>
      </c>
      <c r="O654" s="1" t="b">
        <v>1</v>
      </c>
      <c r="Q654" s="34"/>
    </row>
    <row r="655" spans="2:17">
      <c r="B655" s="1" t="str">
        <f t="shared" si="24"/>
        <v>M_MED01_VM_BKT_653</v>
      </c>
      <c r="C655" s="92" t="s">
        <v>727</v>
      </c>
      <c r="D655" s="92" t="str" cm="1">
        <f t="array" ref="D655">INDEX(기계코드!$D$4:$D$1022,MATCH(1,(C655=기계코드!$F$4:$F$1022)*1,0))</f>
        <v>M_MED01</v>
      </c>
      <c r="E655" s="92" t="s">
        <v>1128</v>
      </c>
      <c r="F655" s="92" t="str" cm="1">
        <f t="array" ref="F655">INDEX(공급업체코드!$B$3:$B$1000,MATCH(1,(E655=공급업체코드!$D$3:$D$1000)*1,0))</f>
        <v>VM_BKT</v>
      </c>
      <c r="H655" s="312">
        <v>653</v>
      </c>
      <c r="I655" s="233" t="s">
        <v>1313</v>
      </c>
      <c r="K655" s="233" t="s">
        <v>1314</v>
      </c>
      <c r="L655" s="236">
        <f t="shared" si="23"/>
        <v>652347</v>
      </c>
      <c r="N655" s="113" t="s">
        <v>1315</v>
      </c>
      <c r="O655" s="1" t="b">
        <v>1</v>
      </c>
      <c r="Q655" s="34"/>
    </row>
    <row r="656" spans="2:17">
      <c r="B656" s="1" t="str">
        <f t="shared" si="24"/>
        <v>M_MED01_VM_BKT_654</v>
      </c>
      <c r="C656" s="92" t="s">
        <v>727</v>
      </c>
      <c r="D656" s="92" t="str" cm="1">
        <f t="array" ref="D656">INDEX(기계코드!$D$4:$D$1022,MATCH(1,(C656=기계코드!$F$4:$F$1022)*1,0))</f>
        <v>M_MED01</v>
      </c>
      <c r="E656" s="92" t="s">
        <v>1128</v>
      </c>
      <c r="F656" s="92" t="str" cm="1">
        <f t="array" ref="F656">INDEX(공급업체코드!$B$3:$B$1000,MATCH(1,(E656=공급업체코드!$D$3:$D$1000)*1,0))</f>
        <v>VM_BKT</v>
      </c>
      <c r="H656" s="312">
        <v>654</v>
      </c>
      <c r="I656" s="233" t="s">
        <v>1313</v>
      </c>
      <c r="K656" s="233" t="s">
        <v>1314</v>
      </c>
      <c r="L656" s="236">
        <f t="shared" si="23"/>
        <v>653346</v>
      </c>
      <c r="N656" s="113" t="s">
        <v>1315</v>
      </c>
      <c r="O656" s="1" t="b">
        <v>1</v>
      </c>
      <c r="Q656" s="34"/>
    </row>
    <row r="657" spans="2:17">
      <c r="B657" s="1" t="str">
        <f t="shared" si="24"/>
        <v>M_MED01_VM_BKT_655</v>
      </c>
      <c r="C657" s="92" t="s">
        <v>727</v>
      </c>
      <c r="D657" s="92" t="str" cm="1">
        <f t="array" ref="D657">INDEX(기계코드!$D$4:$D$1022,MATCH(1,(C657=기계코드!$F$4:$F$1022)*1,0))</f>
        <v>M_MED01</v>
      </c>
      <c r="E657" s="92" t="s">
        <v>1128</v>
      </c>
      <c r="F657" s="92" t="str" cm="1">
        <f t="array" ref="F657">INDEX(공급업체코드!$B$3:$B$1000,MATCH(1,(E657=공급업체코드!$D$3:$D$1000)*1,0))</f>
        <v>VM_BKT</v>
      </c>
      <c r="H657" s="312">
        <v>655</v>
      </c>
      <c r="I657" s="233" t="s">
        <v>1313</v>
      </c>
      <c r="K657" s="233" t="s">
        <v>1314</v>
      </c>
      <c r="L657" s="236">
        <f t="shared" si="23"/>
        <v>654345</v>
      </c>
      <c r="N657" s="113" t="s">
        <v>1315</v>
      </c>
      <c r="O657" s="1" t="b">
        <v>1</v>
      </c>
      <c r="Q657" s="34"/>
    </row>
    <row r="658" spans="2:17">
      <c r="B658" s="1" t="str">
        <f t="shared" si="24"/>
        <v>M_MED01_VM_BKT_656</v>
      </c>
      <c r="C658" s="92" t="s">
        <v>727</v>
      </c>
      <c r="D658" s="92" t="str" cm="1">
        <f t="array" ref="D658">INDEX(기계코드!$D$4:$D$1022,MATCH(1,(C658=기계코드!$F$4:$F$1022)*1,0))</f>
        <v>M_MED01</v>
      </c>
      <c r="E658" s="92" t="s">
        <v>1128</v>
      </c>
      <c r="F658" s="92" t="str" cm="1">
        <f t="array" ref="F658">INDEX(공급업체코드!$B$3:$B$1000,MATCH(1,(E658=공급업체코드!$D$3:$D$1000)*1,0))</f>
        <v>VM_BKT</v>
      </c>
      <c r="H658" s="312">
        <v>656</v>
      </c>
      <c r="I658" s="233" t="s">
        <v>1313</v>
      </c>
      <c r="K658" s="233" t="s">
        <v>1314</v>
      </c>
      <c r="L658" s="236">
        <f t="shared" si="23"/>
        <v>655344</v>
      </c>
      <c r="N658" s="113" t="s">
        <v>1315</v>
      </c>
      <c r="O658" s="1" t="b">
        <v>1</v>
      </c>
      <c r="Q658" s="34"/>
    </row>
    <row r="659" spans="2:17">
      <c r="B659" s="1" t="str">
        <f t="shared" si="24"/>
        <v>M_MED01_VM_BKT_657</v>
      </c>
      <c r="C659" s="92" t="s">
        <v>727</v>
      </c>
      <c r="D659" s="92" t="str" cm="1">
        <f t="array" ref="D659">INDEX(기계코드!$D$4:$D$1022,MATCH(1,(C659=기계코드!$F$4:$F$1022)*1,0))</f>
        <v>M_MED01</v>
      </c>
      <c r="E659" s="92" t="s">
        <v>1128</v>
      </c>
      <c r="F659" s="92" t="str" cm="1">
        <f t="array" ref="F659">INDEX(공급업체코드!$B$3:$B$1000,MATCH(1,(E659=공급업체코드!$D$3:$D$1000)*1,0))</f>
        <v>VM_BKT</v>
      </c>
      <c r="H659" s="312">
        <v>657</v>
      </c>
      <c r="I659" s="233" t="s">
        <v>1313</v>
      </c>
      <c r="K659" s="233" t="s">
        <v>1314</v>
      </c>
      <c r="L659" s="236">
        <f t="shared" si="23"/>
        <v>656343</v>
      </c>
      <c r="N659" s="113" t="s">
        <v>1315</v>
      </c>
      <c r="O659" s="1" t="b">
        <v>1</v>
      </c>
      <c r="Q659" s="34"/>
    </row>
    <row r="660" spans="2:17">
      <c r="B660" s="1" t="str">
        <f t="shared" si="24"/>
        <v>M_MED01_VM_BKT_658</v>
      </c>
      <c r="C660" s="92" t="s">
        <v>727</v>
      </c>
      <c r="D660" s="92" t="str" cm="1">
        <f t="array" ref="D660">INDEX(기계코드!$D$4:$D$1022,MATCH(1,(C660=기계코드!$F$4:$F$1022)*1,0))</f>
        <v>M_MED01</v>
      </c>
      <c r="E660" s="92" t="s">
        <v>1128</v>
      </c>
      <c r="F660" s="92" t="str" cm="1">
        <f t="array" ref="F660">INDEX(공급업체코드!$B$3:$B$1000,MATCH(1,(E660=공급업체코드!$D$3:$D$1000)*1,0))</f>
        <v>VM_BKT</v>
      </c>
      <c r="H660" s="312">
        <v>658</v>
      </c>
      <c r="I660" s="233" t="s">
        <v>1313</v>
      </c>
      <c r="K660" s="233" t="s">
        <v>1314</v>
      </c>
      <c r="L660" s="236">
        <f t="shared" si="23"/>
        <v>657342</v>
      </c>
      <c r="N660" s="113" t="s">
        <v>1315</v>
      </c>
      <c r="O660" s="1" t="b">
        <v>1</v>
      </c>
      <c r="Q660" s="34"/>
    </row>
    <row r="661" spans="2:17">
      <c r="B661" s="1" t="str">
        <f t="shared" si="24"/>
        <v>M_MED01_VM_BKT_659</v>
      </c>
      <c r="C661" s="92" t="s">
        <v>727</v>
      </c>
      <c r="D661" s="92" t="str" cm="1">
        <f t="array" ref="D661">INDEX(기계코드!$D$4:$D$1022,MATCH(1,(C661=기계코드!$F$4:$F$1022)*1,0))</f>
        <v>M_MED01</v>
      </c>
      <c r="E661" s="92" t="s">
        <v>1128</v>
      </c>
      <c r="F661" s="92" t="str" cm="1">
        <f t="array" ref="F661">INDEX(공급업체코드!$B$3:$B$1000,MATCH(1,(E661=공급업체코드!$D$3:$D$1000)*1,0))</f>
        <v>VM_BKT</v>
      </c>
      <c r="H661" s="312">
        <v>659</v>
      </c>
      <c r="I661" s="233" t="s">
        <v>1313</v>
      </c>
      <c r="K661" s="233" t="s">
        <v>1314</v>
      </c>
      <c r="L661" s="236">
        <f t="shared" si="23"/>
        <v>658341</v>
      </c>
      <c r="N661" s="113" t="s">
        <v>1315</v>
      </c>
      <c r="O661" s="1" t="b">
        <v>1</v>
      </c>
      <c r="Q661" s="34"/>
    </row>
    <row r="662" spans="2:17">
      <c r="B662" s="1" t="str">
        <f t="shared" si="24"/>
        <v>M_MED01_VM_BKT_660</v>
      </c>
      <c r="C662" s="92" t="s">
        <v>727</v>
      </c>
      <c r="D662" s="92" t="str" cm="1">
        <f t="array" ref="D662">INDEX(기계코드!$D$4:$D$1022,MATCH(1,(C662=기계코드!$F$4:$F$1022)*1,0))</f>
        <v>M_MED01</v>
      </c>
      <c r="E662" s="92" t="s">
        <v>1128</v>
      </c>
      <c r="F662" s="92" t="str" cm="1">
        <f t="array" ref="F662">INDEX(공급업체코드!$B$3:$B$1000,MATCH(1,(E662=공급업체코드!$D$3:$D$1000)*1,0))</f>
        <v>VM_BKT</v>
      </c>
      <c r="H662" s="312">
        <v>660</v>
      </c>
      <c r="I662" s="233" t="s">
        <v>1313</v>
      </c>
      <c r="K662" s="233" t="s">
        <v>1314</v>
      </c>
      <c r="L662" s="236">
        <f t="shared" si="23"/>
        <v>659340</v>
      </c>
      <c r="N662" s="113" t="s">
        <v>1315</v>
      </c>
      <c r="O662" s="1" t="b">
        <v>1</v>
      </c>
      <c r="Q662" s="34"/>
    </row>
    <row r="663" spans="2:17">
      <c r="B663" s="1" t="str">
        <f t="shared" si="24"/>
        <v>M_MED01_VM_BKT_661</v>
      </c>
      <c r="C663" s="92" t="s">
        <v>727</v>
      </c>
      <c r="D663" s="92" t="str" cm="1">
        <f t="array" ref="D663">INDEX(기계코드!$D$4:$D$1022,MATCH(1,(C663=기계코드!$F$4:$F$1022)*1,0))</f>
        <v>M_MED01</v>
      </c>
      <c r="E663" s="92" t="s">
        <v>1128</v>
      </c>
      <c r="F663" s="92" t="str" cm="1">
        <f t="array" ref="F663">INDEX(공급업체코드!$B$3:$B$1000,MATCH(1,(E663=공급업체코드!$D$3:$D$1000)*1,0))</f>
        <v>VM_BKT</v>
      </c>
      <c r="H663" s="312">
        <v>661</v>
      </c>
      <c r="I663" s="233" t="s">
        <v>1313</v>
      </c>
      <c r="K663" s="233" t="s">
        <v>1314</v>
      </c>
      <c r="L663" s="236">
        <f t="shared" si="23"/>
        <v>660339</v>
      </c>
      <c r="N663" s="113" t="s">
        <v>1315</v>
      </c>
      <c r="O663" s="1" t="b">
        <v>1</v>
      </c>
      <c r="Q663" s="34"/>
    </row>
    <row r="664" spans="2:17">
      <c r="B664" s="1" t="str">
        <f t="shared" si="24"/>
        <v>M_MED01_VM_BKT_662</v>
      </c>
      <c r="C664" s="92" t="s">
        <v>727</v>
      </c>
      <c r="D664" s="92" t="str" cm="1">
        <f t="array" ref="D664">INDEX(기계코드!$D$4:$D$1022,MATCH(1,(C664=기계코드!$F$4:$F$1022)*1,0))</f>
        <v>M_MED01</v>
      </c>
      <c r="E664" s="92" t="s">
        <v>1128</v>
      </c>
      <c r="F664" s="92" t="str" cm="1">
        <f t="array" ref="F664">INDEX(공급업체코드!$B$3:$B$1000,MATCH(1,(E664=공급업체코드!$D$3:$D$1000)*1,0))</f>
        <v>VM_BKT</v>
      </c>
      <c r="H664" s="312">
        <v>662</v>
      </c>
      <c r="I664" s="233" t="s">
        <v>1313</v>
      </c>
      <c r="K664" s="233" t="s">
        <v>1314</v>
      </c>
      <c r="L664" s="236">
        <f t="shared" si="23"/>
        <v>661338</v>
      </c>
      <c r="N664" s="113" t="s">
        <v>1315</v>
      </c>
      <c r="O664" s="1" t="b">
        <v>1</v>
      </c>
      <c r="Q664" s="34"/>
    </row>
    <row r="665" spans="2:17">
      <c r="B665" s="1" t="str">
        <f t="shared" si="24"/>
        <v>M_MED01_VM_BKT_663</v>
      </c>
      <c r="C665" s="92" t="s">
        <v>727</v>
      </c>
      <c r="D665" s="92" t="str" cm="1">
        <f t="array" ref="D665">INDEX(기계코드!$D$4:$D$1022,MATCH(1,(C665=기계코드!$F$4:$F$1022)*1,0))</f>
        <v>M_MED01</v>
      </c>
      <c r="E665" s="92" t="s">
        <v>1128</v>
      </c>
      <c r="F665" s="92" t="str" cm="1">
        <f t="array" ref="F665">INDEX(공급업체코드!$B$3:$B$1000,MATCH(1,(E665=공급업체코드!$D$3:$D$1000)*1,0))</f>
        <v>VM_BKT</v>
      </c>
      <c r="H665" s="312">
        <v>663</v>
      </c>
      <c r="I665" s="233" t="s">
        <v>1313</v>
      </c>
      <c r="K665" s="233" t="s">
        <v>1314</v>
      </c>
      <c r="L665" s="236">
        <f t="shared" si="23"/>
        <v>662337</v>
      </c>
      <c r="N665" s="113" t="s">
        <v>1315</v>
      </c>
      <c r="O665" s="1" t="b">
        <v>1</v>
      </c>
      <c r="Q665" s="34"/>
    </row>
    <row r="666" spans="2:17">
      <c r="B666" s="1" t="str">
        <f t="shared" si="24"/>
        <v>M_MED01_VM_BKT_664</v>
      </c>
      <c r="C666" s="92" t="s">
        <v>727</v>
      </c>
      <c r="D666" s="92" t="str" cm="1">
        <f t="array" ref="D666">INDEX(기계코드!$D$4:$D$1022,MATCH(1,(C666=기계코드!$F$4:$F$1022)*1,0))</f>
        <v>M_MED01</v>
      </c>
      <c r="E666" s="92" t="s">
        <v>1128</v>
      </c>
      <c r="F666" s="92" t="str" cm="1">
        <f t="array" ref="F666">INDEX(공급업체코드!$B$3:$B$1000,MATCH(1,(E666=공급업체코드!$D$3:$D$1000)*1,0))</f>
        <v>VM_BKT</v>
      </c>
      <c r="H666" s="312">
        <v>664</v>
      </c>
      <c r="I666" s="233" t="s">
        <v>1313</v>
      </c>
      <c r="K666" s="233" t="s">
        <v>1314</v>
      </c>
      <c r="L666" s="236">
        <f t="shared" si="23"/>
        <v>663336</v>
      </c>
      <c r="N666" s="113" t="s">
        <v>1315</v>
      </c>
      <c r="O666" s="1" t="b">
        <v>1</v>
      </c>
      <c r="Q666" s="34"/>
    </row>
    <row r="667" spans="2:17">
      <c r="B667" s="1" t="str">
        <f t="shared" si="24"/>
        <v>M_MED01_VM_BKT_665</v>
      </c>
      <c r="C667" s="92" t="s">
        <v>727</v>
      </c>
      <c r="D667" s="92" t="str" cm="1">
        <f t="array" ref="D667">INDEX(기계코드!$D$4:$D$1022,MATCH(1,(C667=기계코드!$F$4:$F$1022)*1,0))</f>
        <v>M_MED01</v>
      </c>
      <c r="E667" s="92" t="s">
        <v>1128</v>
      </c>
      <c r="F667" s="92" t="str" cm="1">
        <f t="array" ref="F667">INDEX(공급업체코드!$B$3:$B$1000,MATCH(1,(E667=공급업체코드!$D$3:$D$1000)*1,0))</f>
        <v>VM_BKT</v>
      </c>
      <c r="H667" s="312">
        <v>665</v>
      </c>
      <c r="I667" s="233" t="s">
        <v>1313</v>
      </c>
      <c r="K667" s="233" t="s">
        <v>1314</v>
      </c>
      <c r="L667" s="236">
        <f t="shared" si="23"/>
        <v>664335</v>
      </c>
      <c r="N667" s="113" t="s">
        <v>1315</v>
      </c>
      <c r="O667" s="1" t="b">
        <v>1</v>
      </c>
      <c r="Q667" s="34"/>
    </row>
    <row r="668" spans="2:17">
      <c r="B668" s="1" t="str">
        <f t="shared" si="24"/>
        <v>M_MED01_VM_BKT_666</v>
      </c>
      <c r="C668" s="92" t="s">
        <v>727</v>
      </c>
      <c r="D668" s="92" t="str" cm="1">
        <f t="array" ref="D668">INDEX(기계코드!$D$4:$D$1022,MATCH(1,(C668=기계코드!$F$4:$F$1022)*1,0))</f>
        <v>M_MED01</v>
      </c>
      <c r="E668" s="92" t="s">
        <v>1128</v>
      </c>
      <c r="F668" s="92" t="str" cm="1">
        <f t="array" ref="F668">INDEX(공급업체코드!$B$3:$B$1000,MATCH(1,(E668=공급업체코드!$D$3:$D$1000)*1,0))</f>
        <v>VM_BKT</v>
      </c>
      <c r="H668" s="312">
        <v>666</v>
      </c>
      <c r="I668" s="233" t="s">
        <v>1313</v>
      </c>
      <c r="K668" s="233" t="s">
        <v>1314</v>
      </c>
      <c r="L668" s="236">
        <f t="shared" si="23"/>
        <v>665334</v>
      </c>
      <c r="N668" s="113" t="s">
        <v>1315</v>
      </c>
      <c r="O668" s="1" t="b">
        <v>1</v>
      </c>
      <c r="Q668" s="34"/>
    </row>
    <row r="669" spans="2:17">
      <c r="B669" s="1" t="str">
        <f t="shared" si="24"/>
        <v>M_MED01_VM_BKT_667</v>
      </c>
      <c r="C669" s="92" t="s">
        <v>727</v>
      </c>
      <c r="D669" s="92" t="str" cm="1">
        <f t="array" ref="D669">INDEX(기계코드!$D$4:$D$1022,MATCH(1,(C669=기계코드!$F$4:$F$1022)*1,0))</f>
        <v>M_MED01</v>
      </c>
      <c r="E669" s="92" t="s">
        <v>1128</v>
      </c>
      <c r="F669" s="92" t="str" cm="1">
        <f t="array" ref="F669">INDEX(공급업체코드!$B$3:$B$1000,MATCH(1,(E669=공급업체코드!$D$3:$D$1000)*1,0))</f>
        <v>VM_BKT</v>
      </c>
      <c r="H669" s="312">
        <v>667</v>
      </c>
      <c r="I669" s="233" t="s">
        <v>1313</v>
      </c>
      <c r="K669" s="233" t="s">
        <v>1314</v>
      </c>
      <c r="L669" s="236">
        <f t="shared" si="23"/>
        <v>666333</v>
      </c>
      <c r="N669" s="113" t="s">
        <v>1315</v>
      </c>
      <c r="O669" s="1" t="b">
        <v>1</v>
      </c>
      <c r="Q669" s="34"/>
    </row>
    <row r="670" spans="2:17">
      <c r="B670" s="1" t="str">
        <f t="shared" si="24"/>
        <v>M_MED01_VM_BKT_668</v>
      </c>
      <c r="C670" s="92" t="s">
        <v>727</v>
      </c>
      <c r="D670" s="92" t="str" cm="1">
        <f t="array" ref="D670">INDEX(기계코드!$D$4:$D$1022,MATCH(1,(C670=기계코드!$F$4:$F$1022)*1,0))</f>
        <v>M_MED01</v>
      </c>
      <c r="E670" s="92" t="s">
        <v>1128</v>
      </c>
      <c r="F670" s="92" t="str" cm="1">
        <f t="array" ref="F670">INDEX(공급업체코드!$B$3:$B$1000,MATCH(1,(E670=공급업체코드!$D$3:$D$1000)*1,0))</f>
        <v>VM_BKT</v>
      </c>
      <c r="H670" s="312">
        <v>668</v>
      </c>
      <c r="I670" s="233" t="s">
        <v>1313</v>
      </c>
      <c r="K670" s="233" t="s">
        <v>1314</v>
      </c>
      <c r="L670" s="236">
        <f t="shared" si="23"/>
        <v>667332</v>
      </c>
      <c r="N670" s="113" t="s">
        <v>1315</v>
      </c>
      <c r="O670" s="1" t="b">
        <v>1</v>
      </c>
      <c r="Q670" s="34"/>
    </row>
    <row r="671" spans="2:17">
      <c r="B671" s="1" t="str">
        <f t="shared" si="24"/>
        <v>M_MED01_VM_BKT_669</v>
      </c>
      <c r="C671" s="92" t="s">
        <v>727</v>
      </c>
      <c r="D671" s="92" t="str" cm="1">
        <f t="array" ref="D671">INDEX(기계코드!$D$4:$D$1022,MATCH(1,(C671=기계코드!$F$4:$F$1022)*1,0))</f>
        <v>M_MED01</v>
      </c>
      <c r="E671" s="92" t="s">
        <v>1128</v>
      </c>
      <c r="F671" s="92" t="str" cm="1">
        <f t="array" ref="F671">INDEX(공급업체코드!$B$3:$B$1000,MATCH(1,(E671=공급업체코드!$D$3:$D$1000)*1,0))</f>
        <v>VM_BKT</v>
      </c>
      <c r="H671" s="312">
        <v>669</v>
      </c>
      <c r="I671" s="233" t="s">
        <v>1313</v>
      </c>
      <c r="K671" s="233" t="s">
        <v>1314</v>
      </c>
      <c r="L671" s="236">
        <f t="shared" si="23"/>
        <v>668331</v>
      </c>
      <c r="N671" s="113" t="s">
        <v>1315</v>
      </c>
      <c r="O671" s="1" t="b">
        <v>1</v>
      </c>
      <c r="Q671" s="34"/>
    </row>
    <row r="672" spans="2:17">
      <c r="B672" s="1" t="str">
        <f t="shared" si="24"/>
        <v>M_MED01_VM_BKT_670</v>
      </c>
      <c r="C672" s="92" t="s">
        <v>727</v>
      </c>
      <c r="D672" s="92" t="str" cm="1">
        <f t="array" ref="D672">INDEX(기계코드!$D$4:$D$1022,MATCH(1,(C672=기계코드!$F$4:$F$1022)*1,0))</f>
        <v>M_MED01</v>
      </c>
      <c r="E672" s="92" t="s">
        <v>1128</v>
      </c>
      <c r="F672" s="92" t="str" cm="1">
        <f t="array" ref="F672">INDEX(공급업체코드!$B$3:$B$1000,MATCH(1,(E672=공급업체코드!$D$3:$D$1000)*1,0))</f>
        <v>VM_BKT</v>
      </c>
      <c r="H672" s="312">
        <v>670</v>
      </c>
      <c r="I672" s="233" t="s">
        <v>1313</v>
      </c>
      <c r="K672" s="233" t="s">
        <v>1314</v>
      </c>
      <c r="L672" s="236">
        <f t="shared" si="23"/>
        <v>669330</v>
      </c>
      <c r="N672" s="113" t="s">
        <v>1315</v>
      </c>
      <c r="O672" s="1" t="b">
        <v>1</v>
      </c>
      <c r="Q672" s="34"/>
    </row>
    <row r="673" spans="2:17">
      <c r="B673" s="1" t="str">
        <f t="shared" si="24"/>
        <v>M_MED01_VM_BKT_671</v>
      </c>
      <c r="C673" s="92" t="s">
        <v>727</v>
      </c>
      <c r="D673" s="92" t="str" cm="1">
        <f t="array" ref="D673">INDEX(기계코드!$D$4:$D$1022,MATCH(1,(C673=기계코드!$F$4:$F$1022)*1,0))</f>
        <v>M_MED01</v>
      </c>
      <c r="E673" s="92" t="s">
        <v>1128</v>
      </c>
      <c r="F673" s="92" t="str" cm="1">
        <f t="array" ref="F673">INDEX(공급업체코드!$B$3:$B$1000,MATCH(1,(E673=공급업체코드!$D$3:$D$1000)*1,0))</f>
        <v>VM_BKT</v>
      </c>
      <c r="H673" s="312">
        <v>671</v>
      </c>
      <c r="I673" s="233" t="s">
        <v>1313</v>
      </c>
      <c r="K673" s="233" t="s">
        <v>1314</v>
      </c>
      <c r="L673" s="236">
        <f t="shared" si="23"/>
        <v>670329</v>
      </c>
      <c r="N673" s="113" t="s">
        <v>1315</v>
      </c>
      <c r="O673" s="1" t="b">
        <v>1</v>
      </c>
      <c r="Q673" s="34"/>
    </row>
    <row r="674" spans="2:17">
      <c r="B674" s="1" t="str">
        <f t="shared" si="24"/>
        <v>M_MED01_VM_BKT_672</v>
      </c>
      <c r="C674" s="92" t="s">
        <v>727</v>
      </c>
      <c r="D674" s="92" t="str" cm="1">
        <f t="array" ref="D674">INDEX(기계코드!$D$4:$D$1022,MATCH(1,(C674=기계코드!$F$4:$F$1022)*1,0))</f>
        <v>M_MED01</v>
      </c>
      <c r="E674" s="92" t="s">
        <v>1128</v>
      </c>
      <c r="F674" s="92" t="str" cm="1">
        <f t="array" ref="F674">INDEX(공급업체코드!$B$3:$B$1000,MATCH(1,(E674=공급업체코드!$D$3:$D$1000)*1,0))</f>
        <v>VM_BKT</v>
      </c>
      <c r="H674" s="312">
        <v>672</v>
      </c>
      <c r="I674" s="233" t="s">
        <v>1313</v>
      </c>
      <c r="K674" s="233" t="s">
        <v>1314</v>
      </c>
      <c r="L674" s="236">
        <f t="shared" si="23"/>
        <v>671328</v>
      </c>
      <c r="N674" s="113" t="s">
        <v>1315</v>
      </c>
      <c r="O674" s="1" t="b">
        <v>1</v>
      </c>
      <c r="Q674" s="34"/>
    </row>
    <row r="675" spans="2:17">
      <c r="B675" s="1" t="str">
        <f t="shared" si="24"/>
        <v>M_MED01_VM_BKT_673</v>
      </c>
      <c r="C675" s="92" t="s">
        <v>727</v>
      </c>
      <c r="D675" s="92" t="str" cm="1">
        <f t="array" ref="D675">INDEX(기계코드!$D$4:$D$1022,MATCH(1,(C675=기계코드!$F$4:$F$1022)*1,0))</f>
        <v>M_MED01</v>
      </c>
      <c r="E675" s="92" t="s">
        <v>1128</v>
      </c>
      <c r="F675" s="92" t="str" cm="1">
        <f t="array" ref="F675">INDEX(공급업체코드!$B$3:$B$1000,MATCH(1,(E675=공급업체코드!$D$3:$D$1000)*1,0))</f>
        <v>VM_BKT</v>
      </c>
      <c r="H675" s="312">
        <v>673</v>
      </c>
      <c r="I675" s="233" t="s">
        <v>1313</v>
      </c>
      <c r="K675" s="233" t="s">
        <v>1314</v>
      </c>
      <c r="L675" s="236">
        <f t="shared" si="23"/>
        <v>672327</v>
      </c>
      <c r="N675" s="113" t="s">
        <v>1315</v>
      </c>
      <c r="O675" s="1" t="b">
        <v>1</v>
      </c>
      <c r="Q675" s="34"/>
    </row>
    <row r="676" spans="2:17">
      <c r="B676" s="1" t="str">
        <f t="shared" si="24"/>
        <v>M_MED01_VM_BKT_674</v>
      </c>
      <c r="C676" s="92" t="s">
        <v>727</v>
      </c>
      <c r="D676" s="92" t="str" cm="1">
        <f t="array" ref="D676">INDEX(기계코드!$D$4:$D$1022,MATCH(1,(C676=기계코드!$F$4:$F$1022)*1,0))</f>
        <v>M_MED01</v>
      </c>
      <c r="E676" s="92" t="s">
        <v>1128</v>
      </c>
      <c r="F676" s="92" t="str" cm="1">
        <f t="array" ref="F676">INDEX(공급업체코드!$B$3:$B$1000,MATCH(1,(E676=공급업체코드!$D$3:$D$1000)*1,0))</f>
        <v>VM_BKT</v>
      </c>
      <c r="H676" s="312">
        <v>674</v>
      </c>
      <c r="I676" s="233" t="s">
        <v>1313</v>
      </c>
      <c r="K676" s="233" t="s">
        <v>1314</v>
      </c>
      <c r="L676" s="236">
        <f t="shared" si="23"/>
        <v>673326</v>
      </c>
      <c r="N676" s="113" t="s">
        <v>1315</v>
      </c>
      <c r="O676" s="1" t="b">
        <v>1</v>
      </c>
      <c r="Q676" s="34"/>
    </row>
    <row r="677" spans="2:17">
      <c r="B677" s="1" t="str">
        <f t="shared" si="24"/>
        <v>M_MED01_VM_BKT_675</v>
      </c>
      <c r="C677" s="92" t="s">
        <v>727</v>
      </c>
      <c r="D677" s="92" t="str" cm="1">
        <f t="array" ref="D677">INDEX(기계코드!$D$4:$D$1022,MATCH(1,(C677=기계코드!$F$4:$F$1022)*1,0))</f>
        <v>M_MED01</v>
      </c>
      <c r="E677" s="92" t="s">
        <v>1128</v>
      </c>
      <c r="F677" s="92" t="str" cm="1">
        <f t="array" ref="F677">INDEX(공급업체코드!$B$3:$B$1000,MATCH(1,(E677=공급업체코드!$D$3:$D$1000)*1,0))</f>
        <v>VM_BKT</v>
      </c>
      <c r="H677" s="312">
        <v>675</v>
      </c>
      <c r="I677" s="233" t="s">
        <v>1313</v>
      </c>
      <c r="K677" s="233" t="s">
        <v>1314</v>
      </c>
      <c r="L677" s="236">
        <f t="shared" si="23"/>
        <v>674325</v>
      </c>
      <c r="N677" s="113" t="s">
        <v>1315</v>
      </c>
      <c r="O677" s="1" t="b">
        <v>1</v>
      </c>
      <c r="Q677" s="34"/>
    </row>
    <row r="678" spans="2:17">
      <c r="B678" s="1" t="str">
        <f t="shared" si="24"/>
        <v>M_MED01_VM_BKT_676</v>
      </c>
      <c r="C678" s="92" t="s">
        <v>727</v>
      </c>
      <c r="D678" s="92" t="str" cm="1">
        <f t="array" ref="D678">INDEX(기계코드!$D$4:$D$1022,MATCH(1,(C678=기계코드!$F$4:$F$1022)*1,0))</f>
        <v>M_MED01</v>
      </c>
      <c r="E678" s="92" t="s">
        <v>1128</v>
      </c>
      <c r="F678" s="92" t="str" cm="1">
        <f t="array" ref="F678">INDEX(공급업체코드!$B$3:$B$1000,MATCH(1,(E678=공급업체코드!$D$3:$D$1000)*1,0))</f>
        <v>VM_BKT</v>
      </c>
      <c r="H678" s="312">
        <v>676</v>
      </c>
      <c r="I678" s="233" t="s">
        <v>1313</v>
      </c>
      <c r="K678" s="233" t="s">
        <v>1314</v>
      </c>
      <c r="L678" s="236">
        <f t="shared" si="23"/>
        <v>675324</v>
      </c>
      <c r="N678" s="113" t="s">
        <v>1315</v>
      </c>
      <c r="O678" s="1" t="b">
        <v>1</v>
      </c>
      <c r="Q678" s="34"/>
    </row>
    <row r="679" spans="2:17">
      <c r="B679" s="1" t="str">
        <f t="shared" si="24"/>
        <v>M_MED01_VM_BKT_677</v>
      </c>
      <c r="C679" s="92" t="s">
        <v>727</v>
      </c>
      <c r="D679" s="92" t="str" cm="1">
        <f t="array" ref="D679">INDEX(기계코드!$D$4:$D$1022,MATCH(1,(C679=기계코드!$F$4:$F$1022)*1,0))</f>
        <v>M_MED01</v>
      </c>
      <c r="E679" s="92" t="s">
        <v>1128</v>
      </c>
      <c r="F679" s="92" t="str" cm="1">
        <f t="array" ref="F679">INDEX(공급업체코드!$B$3:$B$1000,MATCH(1,(E679=공급업체코드!$D$3:$D$1000)*1,0))</f>
        <v>VM_BKT</v>
      </c>
      <c r="H679" s="312">
        <v>677</v>
      </c>
      <c r="I679" s="233" t="s">
        <v>1313</v>
      </c>
      <c r="K679" s="233" t="s">
        <v>1314</v>
      </c>
      <c r="L679" s="236">
        <f t="shared" si="23"/>
        <v>676323</v>
      </c>
      <c r="N679" s="113" t="s">
        <v>1315</v>
      </c>
      <c r="O679" s="1" t="b">
        <v>1</v>
      </c>
      <c r="Q679" s="34"/>
    </row>
    <row r="680" spans="2:17">
      <c r="B680" s="1" t="str">
        <f t="shared" si="24"/>
        <v>M_MED01_VM_BKT_678</v>
      </c>
      <c r="C680" s="92" t="s">
        <v>727</v>
      </c>
      <c r="D680" s="92" t="str" cm="1">
        <f t="array" ref="D680">INDEX(기계코드!$D$4:$D$1022,MATCH(1,(C680=기계코드!$F$4:$F$1022)*1,0))</f>
        <v>M_MED01</v>
      </c>
      <c r="E680" s="92" t="s">
        <v>1128</v>
      </c>
      <c r="F680" s="92" t="str" cm="1">
        <f t="array" ref="F680">INDEX(공급업체코드!$B$3:$B$1000,MATCH(1,(E680=공급업체코드!$D$3:$D$1000)*1,0))</f>
        <v>VM_BKT</v>
      </c>
      <c r="H680" s="312">
        <v>678</v>
      </c>
      <c r="I680" s="233" t="s">
        <v>1313</v>
      </c>
      <c r="K680" s="233" t="s">
        <v>1314</v>
      </c>
      <c r="L680" s="236">
        <f t="shared" si="23"/>
        <v>677322</v>
      </c>
      <c r="N680" s="113" t="s">
        <v>1315</v>
      </c>
      <c r="O680" s="1" t="b">
        <v>1</v>
      </c>
      <c r="Q680" s="34"/>
    </row>
    <row r="681" spans="2:17">
      <c r="B681" s="1" t="str">
        <f t="shared" si="24"/>
        <v>M_MED01_VM_BKT_679</v>
      </c>
      <c r="C681" s="92" t="s">
        <v>727</v>
      </c>
      <c r="D681" s="92" t="str" cm="1">
        <f t="array" ref="D681">INDEX(기계코드!$D$4:$D$1022,MATCH(1,(C681=기계코드!$F$4:$F$1022)*1,0))</f>
        <v>M_MED01</v>
      </c>
      <c r="E681" s="92" t="s">
        <v>1128</v>
      </c>
      <c r="F681" s="92" t="str" cm="1">
        <f t="array" ref="F681">INDEX(공급업체코드!$B$3:$B$1000,MATCH(1,(E681=공급업체코드!$D$3:$D$1000)*1,0))</f>
        <v>VM_BKT</v>
      </c>
      <c r="H681" s="312">
        <v>679</v>
      </c>
      <c r="I681" s="233" t="s">
        <v>1313</v>
      </c>
      <c r="K681" s="233" t="s">
        <v>1314</v>
      </c>
      <c r="L681" s="236">
        <f t="shared" si="23"/>
        <v>678321</v>
      </c>
      <c r="N681" s="113" t="s">
        <v>1315</v>
      </c>
      <c r="O681" s="1" t="b">
        <v>1</v>
      </c>
      <c r="Q681" s="34"/>
    </row>
    <row r="682" spans="2:17">
      <c r="B682" s="1" t="str">
        <f t="shared" si="24"/>
        <v>M_MED01_VM_BKT_680</v>
      </c>
      <c r="C682" s="92" t="s">
        <v>727</v>
      </c>
      <c r="D682" s="92" t="str" cm="1">
        <f t="array" ref="D682">INDEX(기계코드!$D$4:$D$1022,MATCH(1,(C682=기계코드!$F$4:$F$1022)*1,0))</f>
        <v>M_MED01</v>
      </c>
      <c r="E682" s="92" t="s">
        <v>1128</v>
      </c>
      <c r="F682" s="92" t="str" cm="1">
        <f t="array" ref="F682">INDEX(공급업체코드!$B$3:$B$1000,MATCH(1,(E682=공급업체코드!$D$3:$D$1000)*1,0))</f>
        <v>VM_BKT</v>
      </c>
      <c r="H682" s="312">
        <v>680</v>
      </c>
      <c r="I682" s="233" t="s">
        <v>1313</v>
      </c>
      <c r="K682" s="233" t="s">
        <v>1314</v>
      </c>
      <c r="L682" s="236">
        <f t="shared" si="23"/>
        <v>679320</v>
      </c>
      <c r="N682" s="113" t="s">
        <v>1315</v>
      </c>
      <c r="O682" s="1" t="b">
        <v>1</v>
      </c>
      <c r="Q682" s="34"/>
    </row>
    <row r="683" spans="2:17">
      <c r="B683" s="1" t="str">
        <f t="shared" si="24"/>
        <v>M_MED01_VM_BKT_681</v>
      </c>
      <c r="C683" s="92" t="s">
        <v>727</v>
      </c>
      <c r="D683" s="92" t="str" cm="1">
        <f t="array" ref="D683">INDEX(기계코드!$D$4:$D$1022,MATCH(1,(C683=기계코드!$F$4:$F$1022)*1,0))</f>
        <v>M_MED01</v>
      </c>
      <c r="E683" s="92" t="s">
        <v>1128</v>
      </c>
      <c r="F683" s="92" t="str" cm="1">
        <f t="array" ref="F683">INDEX(공급업체코드!$B$3:$B$1000,MATCH(1,(E683=공급업체코드!$D$3:$D$1000)*1,0))</f>
        <v>VM_BKT</v>
      </c>
      <c r="H683" s="312">
        <v>681</v>
      </c>
      <c r="I683" s="233" t="s">
        <v>1313</v>
      </c>
      <c r="K683" s="233" t="s">
        <v>1314</v>
      </c>
      <c r="L683" s="236">
        <f t="shared" si="23"/>
        <v>680319</v>
      </c>
      <c r="N683" s="113" t="s">
        <v>1315</v>
      </c>
      <c r="O683" s="1" t="b">
        <v>1</v>
      </c>
      <c r="Q683" s="34"/>
    </row>
    <row r="684" spans="2:17">
      <c r="B684" s="1" t="str">
        <f t="shared" si="24"/>
        <v>M_MED01_VM_BKT_682</v>
      </c>
      <c r="C684" s="92" t="s">
        <v>727</v>
      </c>
      <c r="D684" s="92" t="str" cm="1">
        <f t="array" ref="D684">INDEX(기계코드!$D$4:$D$1022,MATCH(1,(C684=기계코드!$F$4:$F$1022)*1,0))</f>
        <v>M_MED01</v>
      </c>
      <c r="E684" s="92" t="s">
        <v>1128</v>
      </c>
      <c r="F684" s="92" t="str" cm="1">
        <f t="array" ref="F684">INDEX(공급업체코드!$B$3:$B$1000,MATCH(1,(E684=공급업체코드!$D$3:$D$1000)*1,0))</f>
        <v>VM_BKT</v>
      </c>
      <c r="H684" s="312">
        <v>682</v>
      </c>
      <c r="I684" s="233" t="s">
        <v>1313</v>
      </c>
      <c r="K684" s="233" t="s">
        <v>1314</v>
      </c>
      <c r="L684" s="236">
        <f t="shared" si="23"/>
        <v>681318</v>
      </c>
      <c r="N684" s="113" t="s">
        <v>1315</v>
      </c>
      <c r="O684" s="1" t="b">
        <v>1</v>
      </c>
      <c r="Q684" s="34"/>
    </row>
    <row r="685" spans="2:17">
      <c r="B685" s="1" t="str">
        <f t="shared" si="24"/>
        <v>M_MED01_VM_BKT_683</v>
      </c>
      <c r="C685" s="92" t="s">
        <v>727</v>
      </c>
      <c r="D685" s="92" t="str" cm="1">
        <f t="array" ref="D685">INDEX(기계코드!$D$4:$D$1022,MATCH(1,(C685=기계코드!$F$4:$F$1022)*1,0))</f>
        <v>M_MED01</v>
      </c>
      <c r="E685" s="92" t="s">
        <v>1128</v>
      </c>
      <c r="F685" s="92" t="str" cm="1">
        <f t="array" ref="F685">INDEX(공급업체코드!$B$3:$B$1000,MATCH(1,(E685=공급업체코드!$D$3:$D$1000)*1,0))</f>
        <v>VM_BKT</v>
      </c>
      <c r="H685" s="312">
        <v>683</v>
      </c>
      <c r="I685" s="233" t="s">
        <v>1313</v>
      </c>
      <c r="K685" s="233" t="s">
        <v>1314</v>
      </c>
      <c r="L685" s="236">
        <f t="shared" si="23"/>
        <v>682317</v>
      </c>
      <c r="N685" s="113" t="s">
        <v>1315</v>
      </c>
      <c r="O685" s="1" t="b">
        <v>1</v>
      </c>
      <c r="Q685" s="34"/>
    </row>
    <row r="686" spans="2:17">
      <c r="B686" s="1" t="str">
        <f t="shared" si="24"/>
        <v>M_MED01_VM_BKT_684</v>
      </c>
      <c r="C686" s="92" t="s">
        <v>727</v>
      </c>
      <c r="D686" s="92" t="str" cm="1">
        <f t="array" ref="D686">INDEX(기계코드!$D$4:$D$1022,MATCH(1,(C686=기계코드!$F$4:$F$1022)*1,0))</f>
        <v>M_MED01</v>
      </c>
      <c r="E686" s="92" t="s">
        <v>1128</v>
      </c>
      <c r="F686" s="92" t="str" cm="1">
        <f t="array" ref="F686">INDEX(공급업체코드!$B$3:$B$1000,MATCH(1,(E686=공급업체코드!$D$3:$D$1000)*1,0))</f>
        <v>VM_BKT</v>
      </c>
      <c r="H686" s="312">
        <v>684</v>
      </c>
      <c r="I686" s="233" t="s">
        <v>1313</v>
      </c>
      <c r="K686" s="233" t="s">
        <v>1314</v>
      </c>
      <c r="L686" s="236">
        <f t="shared" si="23"/>
        <v>683316</v>
      </c>
      <c r="N686" s="113" t="s">
        <v>1315</v>
      </c>
      <c r="O686" s="1" t="b">
        <v>1</v>
      </c>
      <c r="Q686" s="34"/>
    </row>
    <row r="687" spans="2:17">
      <c r="B687" s="1" t="str">
        <f t="shared" si="24"/>
        <v>M_MED01_VM_BKT_685</v>
      </c>
      <c r="C687" s="92" t="s">
        <v>727</v>
      </c>
      <c r="D687" s="92" t="str" cm="1">
        <f t="array" ref="D687">INDEX(기계코드!$D$4:$D$1022,MATCH(1,(C687=기계코드!$F$4:$F$1022)*1,0))</f>
        <v>M_MED01</v>
      </c>
      <c r="E687" s="92" t="s">
        <v>1128</v>
      </c>
      <c r="F687" s="92" t="str" cm="1">
        <f t="array" ref="F687">INDEX(공급업체코드!$B$3:$B$1000,MATCH(1,(E687=공급업체코드!$D$3:$D$1000)*1,0))</f>
        <v>VM_BKT</v>
      </c>
      <c r="H687" s="312">
        <v>685</v>
      </c>
      <c r="I687" s="233" t="s">
        <v>1313</v>
      </c>
      <c r="K687" s="233" t="s">
        <v>1314</v>
      </c>
      <c r="L687" s="236">
        <f t="shared" si="23"/>
        <v>684315</v>
      </c>
      <c r="N687" s="113" t="s">
        <v>1315</v>
      </c>
      <c r="O687" s="1" t="b">
        <v>1</v>
      </c>
      <c r="Q687" s="34"/>
    </row>
    <row r="688" spans="2:17">
      <c r="B688" s="1" t="str">
        <f t="shared" si="24"/>
        <v>M_MED01_VM_BKT_686</v>
      </c>
      <c r="C688" s="92" t="s">
        <v>727</v>
      </c>
      <c r="D688" s="92" t="str" cm="1">
        <f t="array" ref="D688">INDEX(기계코드!$D$4:$D$1022,MATCH(1,(C688=기계코드!$F$4:$F$1022)*1,0))</f>
        <v>M_MED01</v>
      </c>
      <c r="E688" s="92" t="s">
        <v>1128</v>
      </c>
      <c r="F688" s="92" t="str" cm="1">
        <f t="array" ref="F688">INDEX(공급업체코드!$B$3:$B$1000,MATCH(1,(E688=공급업체코드!$D$3:$D$1000)*1,0))</f>
        <v>VM_BKT</v>
      </c>
      <c r="H688" s="312">
        <v>686</v>
      </c>
      <c r="I688" s="233" t="s">
        <v>1313</v>
      </c>
      <c r="K688" s="233" t="s">
        <v>1314</v>
      </c>
      <c r="L688" s="236">
        <f t="shared" si="23"/>
        <v>685314</v>
      </c>
      <c r="N688" s="113" t="s">
        <v>1315</v>
      </c>
      <c r="O688" s="1" t="b">
        <v>1</v>
      </c>
      <c r="Q688" s="34"/>
    </row>
    <row r="689" spans="2:17">
      <c r="B689" s="1" t="str">
        <f t="shared" si="24"/>
        <v>M_MED01_VM_BKT_687</v>
      </c>
      <c r="C689" s="92" t="s">
        <v>727</v>
      </c>
      <c r="D689" s="92" t="str" cm="1">
        <f t="array" ref="D689">INDEX(기계코드!$D$4:$D$1022,MATCH(1,(C689=기계코드!$F$4:$F$1022)*1,0))</f>
        <v>M_MED01</v>
      </c>
      <c r="E689" s="92" t="s">
        <v>1128</v>
      </c>
      <c r="F689" s="92" t="str" cm="1">
        <f t="array" ref="F689">INDEX(공급업체코드!$B$3:$B$1000,MATCH(1,(E689=공급업체코드!$D$3:$D$1000)*1,0))</f>
        <v>VM_BKT</v>
      </c>
      <c r="H689" s="312">
        <v>687</v>
      </c>
      <c r="I689" s="233" t="s">
        <v>1313</v>
      </c>
      <c r="K689" s="233" t="s">
        <v>1314</v>
      </c>
      <c r="L689" s="236">
        <f t="shared" si="23"/>
        <v>686313</v>
      </c>
      <c r="N689" s="113" t="s">
        <v>1315</v>
      </c>
      <c r="O689" s="1" t="b">
        <v>1</v>
      </c>
      <c r="Q689" s="34"/>
    </row>
    <row r="690" spans="2:17">
      <c r="B690" s="1" t="str">
        <f t="shared" si="24"/>
        <v>M_MED01_VM_BKT_688</v>
      </c>
      <c r="C690" s="92" t="s">
        <v>727</v>
      </c>
      <c r="D690" s="92" t="str" cm="1">
        <f t="array" ref="D690">INDEX(기계코드!$D$4:$D$1022,MATCH(1,(C690=기계코드!$F$4:$F$1022)*1,0))</f>
        <v>M_MED01</v>
      </c>
      <c r="E690" s="92" t="s">
        <v>1128</v>
      </c>
      <c r="F690" s="92" t="str" cm="1">
        <f t="array" ref="F690">INDEX(공급업체코드!$B$3:$B$1000,MATCH(1,(E690=공급업체코드!$D$3:$D$1000)*1,0))</f>
        <v>VM_BKT</v>
      </c>
      <c r="H690" s="312">
        <v>688</v>
      </c>
      <c r="I690" s="233" t="s">
        <v>1313</v>
      </c>
      <c r="K690" s="233" t="s">
        <v>1314</v>
      </c>
      <c r="L690" s="236">
        <f t="shared" si="23"/>
        <v>687312</v>
      </c>
      <c r="N690" s="113" t="s">
        <v>1315</v>
      </c>
      <c r="O690" s="1" t="b">
        <v>1</v>
      </c>
      <c r="Q690" s="34"/>
    </row>
    <row r="691" spans="2:17">
      <c r="B691" s="1" t="str">
        <f t="shared" si="24"/>
        <v>M_MED01_VM_BKT_689</v>
      </c>
      <c r="C691" s="92" t="s">
        <v>727</v>
      </c>
      <c r="D691" s="92" t="str" cm="1">
        <f t="array" ref="D691">INDEX(기계코드!$D$4:$D$1022,MATCH(1,(C691=기계코드!$F$4:$F$1022)*1,0))</f>
        <v>M_MED01</v>
      </c>
      <c r="E691" s="92" t="s">
        <v>1128</v>
      </c>
      <c r="F691" s="92" t="str" cm="1">
        <f t="array" ref="F691">INDEX(공급업체코드!$B$3:$B$1000,MATCH(1,(E691=공급업체코드!$D$3:$D$1000)*1,0))</f>
        <v>VM_BKT</v>
      </c>
      <c r="H691" s="312">
        <v>689</v>
      </c>
      <c r="I691" s="233" t="s">
        <v>1313</v>
      </c>
      <c r="K691" s="233" t="s">
        <v>1314</v>
      </c>
      <c r="L691" s="236">
        <f t="shared" si="23"/>
        <v>688311</v>
      </c>
      <c r="N691" s="113" t="s">
        <v>1315</v>
      </c>
      <c r="O691" s="1" t="b">
        <v>1</v>
      </c>
      <c r="Q691" s="34"/>
    </row>
    <row r="692" spans="2:17">
      <c r="B692" s="1" t="str">
        <f t="shared" si="24"/>
        <v>M_MED01_VM_BKT_690</v>
      </c>
      <c r="C692" s="92" t="s">
        <v>727</v>
      </c>
      <c r="D692" s="92" t="str" cm="1">
        <f t="array" ref="D692">INDEX(기계코드!$D$4:$D$1022,MATCH(1,(C692=기계코드!$F$4:$F$1022)*1,0))</f>
        <v>M_MED01</v>
      </c>
      <c r="E692" s="92" t="s">
        <v>1128</v>
      </c>
      <c r="F692" s="92" t="str" cm="1">
        <f t="array" ref="F692">INDEX(공급업체코드!$B$3:$B$1000,MATCH(1,(E692=공급업체코드!$D$3:$D$1000)*1,0))</f>
        <v>VM_BKT</v>
      </c>
      <c r="H692" s="312">
        <v>690</v>
      </c>
      <c r="I692" s="233" t="s">
        <v>1313</v>
      </c>
      <c r="K692" s="233" t="s">
        <v>1314</v>
      </c>
      <c r="L692" s="236">
        <f t="shared" si="23"/>
        <v>689310</v>
      </c>
      <c r="N692" s="113" t="s">
        <v>1315</v>
      </c>
      <c r="O692" s="1" t="b">
        <v>1</v>
      </c>
      <c r="Q692" s="34"/>
    </row>
    <row r="693" spans="2:17">
      <c r="B693" s="1" t="str">
        <f t="shared" si="24"/>
        <v>M_MED01_VM_BKT_691</v>
      </c>
      <c r="C693" s="92" t="s">
        <v>727</v>
      </c>
      <c r="D693" s="92" t="str" cm="1">
        <f t="array" ref="D693">INDEX(기계코드!$D$4:$D$1022,MATCH(1,(C693=기계코드!$F$4:$F$1022)*1,0))</f>
        <v>M_MED01</v>
      </c>
      <c r="E693" s="92" t="s">
        <v>1128</v>
      </c>
      <c r="F693" s="92" t="str" cm="1">
        <f t="array" ref="F693">INDEX(공급업체코드!$B$3:$B$1000,MATCH(1,(E693=공급업체코드!$D$3:$D$1000)*1,0))</f>
        <v>VM_BKT</v>
      </c>
      <c r="H693" s="312">
        <v>691</v>
      </c>
      <c r="I693" s="233" t="s">
        <v>1313</v>
      </c>
      <c r="K693" s="233" t="s">
        <v>1314</v>
      </c>
      <c r="L693" s="236">
        <f t="shared" si="23"/>
        <v>690309</v>
      </c>
      <c r="N693" s="113" t="s">
        <v>1315</v>
      </c>
      <c r="O693" s="1" t="b">
        <v>1</v>
      </c>
      <c r="Q693" s="34"/>
    </row>
    <row r="694" spans="2:17">
      <c r="B694" s="1" t="str">
        <f t="shared" si="24"/>
        <v>M_MED01_VM_BKT_692</v>
      </c>
      <c r="C694" s="92" t="s">
        <v>727</v>
      </c>
      <c r="D694" s="92" t="str" cm="1">
        <f t="array" ref="D694">INDEX(기계코드!$D$4:$D$1022,MATCH(1,(C694=기계코드!$F$4:$F$1022)*1,0))</f>
        <v>M_MED01</v>
      </c>
      <c r="E694" s="92" t="s">
        <v>1128</v>
      </c>
      <c r="F694" s="92" t="str" cm="1">
        <f t="array" ref="F694">INDEX(공급업체코드!$B$3:$B$1000,MATCH(1,(E694=공급업체코드!$D$3:$D$1000)*1,0))</f>
        <v>VM_BKT</v>
      </c>
      <c r="H694" s="312">
        <v>692</v>
      </c>
      <c r="I694" s="233" t="s">
        <v>1313</v>
      </c>
      <c r="K694" s="233" t="s">
        <v>1314</v>
      </c>
      <c r="L694" s="236">
        <f t="shared" si="23"/>
        <v>691308</v>
      </c>
      <c r="N694" s="113" t="s">
        <v>1315</v>
      </c>
      <c r="O694" s="1" t="b">
        <v>1</v>
      </c>
      <c r="Q694" s="34"/>
    </row>
    <row r="695" spans="2:17">
      <c r="B695" s="1" t="str">
        <f t="shared" si="24"/>
        <v>M_MED01_VM_BKT_693</v>
      </c>
      <c r="C695" s="92" t="s">
        <v>727</v>
      </c>
      <c r="D695" s="92" t="str" cm="1">
        <f t="array" ref="D695">INDEX(기계코드!$D$4:$D$1022,MATCH(1,(C695=기계코드!$F$4:$F$1022)*1,0))</f>
        <v>M_MED01</v>
      </c>
      <c r="E695" s="92" t="s">
        <v>1128</v>
      </c>
      <c r="F695" s="92" t="str" cm="1">
        <f t="array" ref="F695">INDEX(공급업체코드!$B$3:$B$1000,MATCH(1,(E695=공급업체코드!$D$3:$D$1000)*1,0))</f>
        <v>VM_BKT</v>
      </c>
      <c r="H695" s="312">
        <v>693</v>
      </c>
      <c r="I695" s="233" t="s">
        <v>1313</v>
      </c>
      <c r="K695" s="233" t="s">
        <v>1314</v>
      </c>
      <c r="L695" s="236">
        <f t="shared" si="23"/>
        <v>692307</v>
      </c>
      <c r="N695" s="113" t="s">
        <v>1315</v>
      </c>
      <c r="O695" s="1" t="b">
        <v>1</v>
      </c>
      <c r="Q695" s="34"/>
    </row>
    <row r="696" spans="2:17">
      <c r="B696" s="1" t="str">
        <f t="shared" si="24"/>
        <v>M_MED01_VM_BKT_694</v>
      </c>
      <c r="C696" s="92" t="s">
        <v>727</v>
      </c>
      <c r="D696" s="92" t="str" cm="1">
        <f t="array" ref="D696">INDEX(기계코드!$D$4:$D$1022,MATCH(1,(C696=기계코드!$F$4:$F$1022)*1,0))</f>
        <v>M_MED01</v>
      </c>
      <c r="E696" s="92" t="s">
        <v>1128</v>
      </c>
      <c r="F696" s="92" t="str" cm="1">
        <f t="array" ref="F696">INDEX(공급업체코드!$B$3:$B$1000,MATCH(1,(E696=공급업체코드!$D$3:$D$1000)*1,0))</f>
        <v>VM_BKT</v>
      </c>
      <c r="H696" s="312">
        <v>694</v>
      </c>
      <c r="I696" s="233" t="s">
        <v>1313</v>
      </c>
      <c r="K696" s="233" t="s">
        <v>1314</v>
      </c>
      <c r="L696" s="236">
        <f t="shared" si="23"/>
        <v>693306</v>
      </c>
      <c r="N696" s="113" t="s">
        <v>1315</v>
      </c>
      <c r="O696" s="1" t="b">
        <v>1</v>
      </c>
      <c r="Q696" s="34"/>
    </row>
    <row r="697" spans="2:17">
      <c r="B697" s="1" t="str">
        <f t="shared" si="24"/>
        <v>M_MED01_VM_BKT_695</v>
      </c>
      <c r="C697" s="92" t="s">
        <v>727</v>
      </c>
      <c r="D697" s="92" t="str" cm="1">
        <f t="array" ref="D697">INDEX(기계코드!$D$4:$D$1022,MATCH(1,(C697=기계코드!$F$4:$F$1022)*1,0))</f>
        <v>M_MED01</v>
      </c>
      <c r="E697" s="92" t="s">
        <v>1128</v>
      </c>
      <c r="F697" s="92" t="str" cm="1">
        <f t="array" ref="F697">INDEX(공급업체코드!$B$3:$B$1000,MATCH(1,(E697=공급업체코드!$D$3:$D$1000)*1,0))</f>
        <v>VM_BKT</v>
      </c>
      <c r="H697" s="312">
        <v>695</v>
      </c>
      <c r="I697" s="233" t="s">
        <v>1313</v>
      </c>
      <c r="K697" s="233" t="s">
        <v>1314</v>
      </c>
      <c r="L697" s="236">
        <f t="shared" si="23"/>
        <v>694305</v>
      </c>
      <c r="N697" s="113" t="s">
        <v>1315</v>
      </c>
      <c r="O697" s="1" t="b">
        <v>1</v>
      </c>
      <c r="Q697" s="34"/>
    </row>
    <row r="698" spans="2:17">
      <c r="B698" s="1" t="str">
        <f t="shared" si="24"/>
        <v>M_MED01_VM_BKT_696</v>
      </c>
      <c r="C698" s="92" t="s">
        <v>727</v>
      </c>
      <c r="D698" s="92" t="str" cm="1">
        <f t="array" ref="D698">INDEX(기계코드!$D$4:$D$1022,MATCH(1,(C698=기계코드!$F$4:$F$1022)*1,0))</f>
        <v>M_MED01</v>
      </c>
      <c r="E698" s="92" t="s">
        <v>1128</v>
      </c>
      <c r="F698" s="92" t="str" cm="1">
        <f t="array" ref="F698">INDEX(공급업체코드!$B$3:$B$1000,MATCH(1,(E698=공급업체코드!$D$3:$D$1000)*1,0))</f>
        <v>VM_BKT</v>
      </c>
      <c r="H698" s="312">
        <v>696</v>
      </c>
      <c r="I698" s="233" t="s">
        <v>1313</v>
      </c>
      <c r="K698" s="233" t="s">
        <v>1314</v>
      </c>
      <c r="L698" s="236">
        <f t="shared" si="23"/>
        <v>695304</v>
      </c>
      <c r="N698" s="113" t="s">
        <v>1315</v>
      </c>
      <c r="O698" s="1" t="b">
        <v>1</v>
      </c>
      <c r="Q698" s="34"/>
    </row>
    <row r="699" spans="2:17">
      <c r="B699" s="1" t="str">
        <f t="shared" si="24"/>
        <v>M_MED01_VM_BKT_697</v>
      </c>
      <c r="C699" s="92" t="s">
        <v>727</v>
      </c>
      <c r="D699" s="92" t="str" cm="1">
        <f t="array" ref="D699">INDEX(기계코드!$D$4:$D$1022,MATCH(1,(C699=기계코드!$F$4:$F$1022)*1,0))</f>
        <v>M_MED01</v>
      </c>
      <c r="E699" s="92" t="s">
        <v>1128</v>
      </c>
      <c r="F699" s="92" t="str" cm="1">
        <f t="array" ref="F699">INDEX(공급업체코드!$B$3:$B$1000,MATCH(1,(E699=공급업체코드!$D$3:$D$1000)*1,0))</f>
        <v>VM_BKT</v>
      </c>
      <c r="H699" s="312">
        <v>697</v>
      </c>
      <c r="I699" s="233" t="s">
        <v>1313</v>
      </c>
      <c r="K699" s="233" t="s">
        <v>1314</v>
      </c>
      <c r="L699" s="236">
        <f t="shared" si="23"/>
        <v>696303</v>
      </c>
      <c r="N699" s="113" t="s">
        <v>1315</v>
      </c>
      <c r="O699" s="1" t="b">
        <v>1</v>
      </c>
      <c r="Q699" s="34"/>
    </row>
    <row r="700" spans="2:17">
      <c r="B700" s="1" t="str">
        <f t="shared" si="24"/>
        <v>M_MED01_VM_BKT_698</v>
      </c>
      <c r="C700" s="92" t="s">
        <v>727</v>
      </c>
      <c r="D700" s="92" t="str" cm="1">
        <f t="array" ref="D700">INDEX(기계코드!$D$4:$D$1022,MATCH(1,(C700=기계코드!$F$4:$F$1022)*1,0))</f>
        <v>M_MED01</v>
      </c>
      <c r="E700" s="92" t="s">
        <v>1128</v>
      </c>
      <c r="F700" s="92" t="str" cm="1">
        <f t="array" ref="F700">INDEX(공급업체코드!$B$3:$B$1000,MATCH(1,(E700=공급업체코드!$D$3:$D$1000)*1,0))</f>
        <v>VM_BKT</v>
      </c>
      <c r="H700" s="312">
        <v>698</v>
      </c>
      <c r="I700" s="233" t="s">
        <v>1313</v>
      </c>
      <c r="K700" s="233" t="s">
        <v>1314</v>
      </c>
      <c r="L700" s="236">
        <f t="shared" si="23"/>
        <v>697302</v>
      </c>
      <c r="N700" s="113" t="s">
        <v>1315</v>
      </c>
      <c r="O700" s="1" t="b">
        <v>1</v>
      </c>
      <c r="Q700" s="34"/>
    </row>
    <row r="701" spans="2:17">
      <c r="B701" s="1" t="str">
        <f t="shared" si="24"/>
        <v>M_MED01_VM_BKT_699</v>
      </c>
      <c r="C701" s="92" t="s">
        <v>727</v>
      </c>
      <c r="D701" s="92" t="str" cm="1">
        <f t="array" ref="D701">INDEX(기계코드!$D$4:$D$1022,MATCH(1,(C701=기계코드!$F$4:$F$1022)*1,0))</f>
        <v>M_MED01</v>
      </c>
      <c r="E701" s="92" t="s">
        <v>1128</v>
      </c>
      <c r="F701" s="92" t="str" cm="1">
        <f t="array" ref="F701">INDEX(공급업체코드!$B$3:$B$1000,MATCH(1,(E701=공급업체코드!$D$3:$D$1000)*1,0))</f>
        <v>VM_BKT</v>
      </c>
      <c r="H701" s="312">
        <v>699</v>
      </c>
      <c r="I701" s="233" t="s">
        <v>1313</v>
      </c>
      <c r="K701" s="233" t="s">
        <v>1314</v>
      </c>
      <c r="L701" s="236">
        <f t="shared" si="23"/>
        <v>698301</v>
      </c>
      <c r="N701" s="113" t="s">
        <v>1315</v>
      </c>
      <c r="O701" s="1" t="b">
        <v>1</v>
      </c>
      <c r="Q701" s="34"/>
    </row>
    <row r="702" spans="2:17">
      <c r="B702" s="1" t="str">
        <f t="shared" si="24"/>
        <v>M_MED01_VM_BKT_700</v>
      </c>
      <c r="C702" s="92" t="s">
        <v>727</v>
      </c>
      <c r="D702" s="92" t="str" cm="1">
        <f t="array" ref="D702">INDEX(기계코드!$D$4:$D$1022,MATCH(1,(C702=기계코드!$F$4:$F$1022)*1,0))</f>
        <v>M_MED01</v>
      </c>
      <c r="E702" s="92" t="s">
        <v>1128</v>
      </c>
      <c r="F702" s="92" t="str" cm="1">
        <f t="array" ref="F702">INDEX(공급업체코드!$B$3:$B$1000,MATCH(1,(E702=공급업체코드!$D$3:$D$1000)*1,0))</f>
        <v>VM_BKT</v>
      </c>
      <c r="H702" s="312">
        <v>700</v>
      </c>
      <c r="I702" s="233" t="s">
        <v>1313</v>
      </c>
      <c r="K702" s="233" t="s">
        <v>1314</v>
      </c>
      <c r="L702" s="236">
        <f t="shared" si="23"/>
        <v>699300</v>
      </c>
      <c r="N702" s="113" t="s">
        <v>1315</v>
      </c>
      <c r="O702" s="1" t="b">
        <v>1</v>
      </c>
      <c r="Q702" s="34"/>
    </row>
    <row r="703" spans="2:17">
      <c r="B703" s="1" t="str">
        <f t="shared" si="24"/>
        <v>M_MED01_VM_BKT_701</v>
      </c>
      <c r="C703" s="92" t="s">
        <v>727</v>
      </c>
      <c r="D703" s="92" t="str" cm="1">
        <f t="array" ref="D703">INDEX(기계코드!$D$4:$D$1022,MATCH(1,(C703=기계코드!$F$4:$F$1022)*1,0))</f>
        <v>M_MED01</v>
      </c>
      <c r="E703" s="92" t="s">
        <v>1128</v>
      </c>
      <c r="F703" s="92" t="str" cm="1">
        <f t="array" ref="F703">INDEX(공급업체코드!$B$3:$B$1000,MATCH(1,(E703=공급업체코드!$D$3:$D$1000)*1,0))</f>
        <v>VM_BKT</v>
      </c>
      <c r="H703" s="312">
        <v>701</v>
      </c>
      <c r="I703" s="233" t="s">
        <v>1313</v>
      </c>
      <c r="K703" s="233" t="s">
        <v>1314</v>
      </c>
      <c r="L703" s="236">
        <f t="shared" si="23"/>
        <v>700299</v>
      </c>
      <c r="N703" s="113" t="s">
        <v>1315</v>
      </c>
      <c r="O703" s="1" t="b">
        <v>1</v>
      </c>
      <c r="Q703" s="34"/>
    </row>
    <row r="704" spans="2:17">
      <c r="B704" s="1" t="str">
        <f t="shared" si="24"/>
        <v>M_MED01_VM_BKT_702</v>
      </c>
      <c r="C704" s="92" t="s">
        <v>727</v>
      </c>
      <c r="D704" s="92" t="str" cm="1">
        <f t="array" ref="D704">INDEX(기계코드!$D$4:$D$1022,MATCH(1,(C704=기계코드!$F$4:$F$1022)*1,0))</f>
        <v>M_MED01</v>
      </c>
      <c r="E704" s="92" t="s">
        <v>1128</v>
      </c>
      <c r="F704" s="92" t="str" cm="1">
        <f t="array" ref="F704">INDEX(공급업체코드!$B$3:$B$1000,MATCH(1,(E704=공급업체코드!$D$3:$D$1000)*1,0))</f>
        <v>VM_BKT</v>
      </c>
      <c r="H704" s="312">
        <v>702</v>
      </c>
      <c r="I704" s="233" t="s">
        <v>1313</v>
      </c>
      <c r="K704" s="233" t="s">
        <v>1314</v>
      </c>
      <c r="L704" s="236">
        <f t="shared" si="23"/>
        <v>701298</v>
      </c>
      <c r="N704" s="113" t="s">
        <v>1315</v>
      </c>
      <c r="O704" s="1" t="b">
        <v>1</v>
      </c>
      <c r="Q704" s="34"/>
    </row>
    <row r="705" spans="2:17">
      <c r="B705" s="1" t="str">
        <f t="shared" si="24"/>
        <v>M_MED01_VM_BKT_703</v>
      </c>
      <c r="C705" s="92" t="s">
        <v>727</v>
      </c>
      <c r="D705" s="92" t="str" cm="1">
        <f t="array" ref="D705">INDEX(기계코드!$D$4:$D$1022,MATCH(1,(C705=기계코드!$F$4:$F$1022)*1,0))</f>
        <v>M_MED01</v>
      </c>
      <c r="E705" s="92" t="s">
        <v>1128</v>
      </c>
      <c r="F705" s="92" t="str" cm="1">
        <f t="array" ref="F705">INDEX(공급업체코드!$B$3:$B$1000,MATCH(1,(E705=공급업체코드!$D$3:$D$1000)*1,0))</f>
        <v>VM_BKT</v>
      </c>
      <c r="H705" s="312">
        <v>703</v>
      </c>
      <c r="I705" s="233" t="s">
        <v>1313</v>
      </c>
      <c r="K705" s="233" t="s">
        <v>1314</v>
      </c>
      <c r="L705" s="236">
        <f t="shared" si="23"/>
        <v>702297</v>
      </c>
      <c r="N705" s="113" t="s">
        <v>1315</v>
      </c>
      <c r="O705" s="1" t="b">
        <v>1</v>
      </c>
      <c r="Q705" s="34"/>
    </row>
    <row r="706" spans="2:17">
      <c r="B706" s="1" t="str">
        <f t="shared" si="24"/>
        <v>M_MED01_VM_BKT_704</v>
      </c>
      <c r="C706" s="92" t="s">
        <v>727</v>
      </c>
      <c r="D706" s="92" t="str" cm="1">
        <f t="array" ref="D706">INDEX(기계코드!$D$4:$D$1022,MATCH(1,(C706=기계코드!$F$4:$F$1022)*1,0))</f>
        <v>M_MED01</v>
      </c>
      <c r="E706" s="92" t="s">
        <v>1128</v>
      </c>
      <c r="F706" s="92" t="str" cm="1">
        <f t="array" ref="F706">INDEX(공급업체코드!$B$3:$B$1000,MATCH(1,(E706=공급업체코드!$D$3:$D$1000)*1,0))</f>
        <v>VM_BKT</v>
      </c>
      <c r="H706" s="312">
        <v>704</v>
      </c>
      <c r="I706" s="233" t="s">
        <v>1313</v>
      </c>
      <c r="K706" s="233" t="s">
        <v>1314</v>
      </c>
      <c r="L706" s="236">
        <f t="shared" si="23"/>
        <v>703296</v>
      </c>
      <c r="N706" s="113" t="s">
        <v>1315</v>
      </c>
      <c r="O706" s="1" t="b">
        <v>1</v>
      </c>
      <c r="Q706" s="34"/>
    </row>
    <row r="707" spans="2:17">
      <c r="B707" s="1" t="str">
        <f t="shared" si="24"/>
        <v>M_MED01_VM_BKT_705</v>
      </c>
      <c r="C707" s="92" t="s">
        <v>727</v>
      </c>
      <c r="D707" s="92" t="str" cm="1">
        <f t="array" ref="D707">INDEX(기계코드!$D$4:$D$1022,MATCH(1,(C707=기계코드!$F$4:$F$1022)*1,0))</f>
        <v>M_MED01</v>
      </c>
      <c r="E707" s="92" t="s">
        <v>1128</v>
      </c>
      <c r="F707" s="92" t="str" cm="1">
        <f t="array" ref="F707">INDEX(공급업체코드!$B$3:$B$1000,MATCH(1,(E707=공급업체코드!$D$3:$D$1000)*1,0))</f>
        <v>VM_BKT</v>
      </c>
      <c r="H707" s="312">
        <v>705</v>
      </c>
      <c r="I707" s="233" t="s">
        <v>1313</v>
      </c>
      <c r="K707" s="233" t="s">
        <v>1314</v>
      </c>
      <c r="L707" s="236">
        <f t="shared" si="23"/>
        <v>704295</v>
      </c>
      <c r="N707" s="113" t="s">
        <v>1315</v>
      </c>
      <c r="O707" s="1" t="b">
        <v>1</v>
      </c>
      <c r="Q707" s="34"/>
    </row>
    <row r="708" spans="2:17">
      <c r="B708" s="1" t="str">
        <f t="shared" si="24"/>
        <v>M_MED01_VM_BKT_706</v>
      </c>
      <c r="C708" s="92" t="s">
        <v>727</v>
      </c>
      <c r="D708" s="92" t="str" cm="1">
        <f t="array" ref="D708">INDEX(기계코드!$D$4:$D$1022,MATCH(1,(C708=기계코드!$F$4:$F$1022)*1,0))</f>
        <v>M_MED01</v>
      </c>
      <c r="E708" s="92" t="s">
        <v>1128</v>
      </c>
      <c r="F708" s="92" t="str" cm="1">
        <f t="array" ref="F708">INDEX(공급업체코드!$B$3:$B$1000,MATCH(1,(E708=공급업체코드!$D$3:$D$1000)*1,0))</f>
        <v>VM_BKT</v>
      </c>
      <c r="H708" s="312">
        <v>706</v>
      </c>
      <c r="I708" s="233" t="s">
        <v>1313</v>
      </c>
      <c r="K708" s="233" t="s">
        <v>1314</v>
      </c>
      <c r="L708" s="236">
        <f t="shared" si="23"/>
        <v>705294</v>
      </c>
      <c r="N708" s="113" t="s">
        <v>1315</v>
      </c>
      <c r="O708" s="1" t="b">
        <v>1</v>
      </c>
      <c r="Q708" s="34"/>
    </row>
    <row r="709" spans="2:17">
      <c r="B709" s="1" t="str">
        <f t="shared" si="24"/>
        <v>M_MED01_VM_BKT_707</v>
      </c>
      <c r="C709" s="92" t="s">
        <v>727</v>
      </c>
      <c r="D709" s="92" t="str" cm="1">
        <f t="array" ref="D709">INDEX(기계코드!$D$4:$D$1022,MATCH(1,(C709=기계코드!$F$4:$F$1022)*1,0))</f>
        <v>M_MED01</v>
      </c>
      <c r="E709" s="92" t="s">
        <v>1128</v>
      </c>
      <c r="F709" s="92" t="str" cm="1">
        <f t="array" ref="F709">INDEX(공급업체코드!$B$3:$B$1000,MATCH(1,(E709=공급업체코드!$D$3:$D$1000)*1,0))</f>
        <v>VM_BKT</v>
      </c>
      <c r="H709" s="312">
        <v>707</v>
      </c>
      <c r="I709" s="233" t="s">
        <v>1313</v>
      </c>
      <c r="K709" s="233" t="s">
        <v>1314</v>
      </c>
      <c r="L709" s="236">
        <f t="shared" ref="L709:L772" si="25">$L$3*H709</f>
        <v>706293</v>
      </c>
      <c r="N709" s="113" t="s">
        <v>1315</v>
      </c>
      <c r="O709" s="1" t="b">
        <v>1</v>
      </c>
      <c r="Q709" s="34"/>
    </row>
    <row r="710" spans="2:17">
      <c r="B710" s="1" t="str">
        <f t="shared" si="24"/>
        <v>M_MED01_VM_BKT_708</v>
      </c>
      <c r="C710" s="92" t="s">
        <v>727</v>
      </c>
      <c r="D710" s="92" t="str" cm="1">
        <f t="array" ref="D710">INDEX(기계코드!$D$4:$D$1022,MATCH(1,(C710=기계코드!$F$4:$F$1022)*1,0))</f>
        <v>M_MED01</v>
      </c>
      <c r="E710" s="92" t="s">
        <v>1128</v>
      </c>
      <c r="F710" s="92" t="str" cm="1">
        <f t="array" ref="F710">INDEX(공급업체코드!$B$3:$B$1000,MATCH(1,(E710=공급업체코드!$D$3:$D$1000)*1,0))</f>
        <v>VM_BKT</v>
      </c>
      <c r="H710" s="312">
        <v>708</v>
      </c>
      <c r="I710" s="233" t="s">
        <v>1313</v>
      </c>
      <c r="K710" s="233" t="s">
        <v>1314</v>
      </c>
      <c r="L710" s="236">
        <f t="shared" si="25"/>
        <v>707292</v>
      </c>
      <c r="N710" s="113" t="s">
        <v>1315</v>
      </c>
      <c r="O710" s="1" t="b">
        <v>1</v>
      </c>
      <c r="Q710" s="34"/>
    </row>
    <row r="711" spans="2:17">
      <c r="B711" s="1" t="str">
        <f t="shared" ref="B711:B774" si="26">D711&amp;"_"&amp;F711&amp;"_"&amp;H711</f>
        <v>M_MED01_VM_BKT_709</v>
      </c>
      <c r="C711" s="92" t="s">
        <v>727</v>
      </c>
      <c r="D711" s="92" t="str" cm="1">
        <f t="array" ref="D711">INDEX(기계코드!$D$4:$D$1022,MATCH(1,(C711=기계코드!$F$4:$F$1022)*1,0))</f>
        <v>M_MED01</v>
      </c>
      <c r="E711" s="92" t="s">
        <v>1128</v>
      </c>
      <c r="F711" s="92" t="str" cm="1">
        <f t="array" ref="F711">INDEX(공급업체코드!$B$3:$B$1000,MATCH(1,(E711=공급업체코드!$D$3:$D$1000)*1,0))</f>
        <v>VM_BKT</v>
      </c>
      <c r="H711" s="312">
        <v>709</v>
      </c>
      <c r="I711" s="233" t="s">
        <v>1313</v>
      </c>
      <c r="K711" s="233" t="s">
        <v>1314</v>
      </c>
      <c r="L711" s="236">
        <f t="shared" si="25"/>
        <v>708291</v>
      </c>
      <c r="N711" s="113" t="s">
        <v>1315</v>
      </c>
      <c r="O711" s="1" t="b">
        <v>1</v>
      </c>
      <c r="Q711" s="34"/>
    </row>
    <row r="712" spans="2:17">
      <c r="B712" s="1" t="str">
        <f t="shared" si="26"/>
        <v>M_MED01_VM_BKT_710</v>
      </c>
      <c r="C712" s="92" t="s">
        <v>727</v>
      </c>
      <c r="D712" s="92" t="str" cm="1">
        <f t="array" ref="D712">INDEX(기계코드!$D$4:$D$1022,MATCH(1,(C712=기계코드!$F$4:$F$1022)*1,0))</f>
        <v>M_MED01</v>
      </c>
      <c r="E712" s="92" t="s">
        <v>1128</v>
      </c>
      <c r="F712" s="92" t="str" cm="1">
        <f t="array" ref="F712">INDEX(공급업체코드!$B$3:$B$1000,MATCH(1,(E712=공급업체코드!$D$3:$D$1000)*1,0))</f>
        <v>VM_BKT</v>
      </c>
      <c r="H712" s="312">
        <v>710</v>
      </c>
      <c r="I712" s="233" t="s">
        <v>1313</v>
      </c>
      <c r="K712" s="233" t="s">
        <v>1314</v>
      </c>
      <c r="L712" s="236">
        <f t="shared" si="25"/>
        <v>709290</v>
      </c>
      <c r="N712" s="113" t="s">
        <v>1315</v>
      </c>
      <c r="O712" s="1" t="b">
        <v>1</v>
      </c>
      <c r="Q712" s="34"/>
    </row>
    <row r="713" spans="2:17">
      <c r="B713" s="1" t="str">
        <f t="shared" si="26"/>
        <v>M_MED01_VM_BKT_711</v>
      </c>
      <c r="C713" s="92" t="s">
        <v>727</v>
      </c>
      <c r="D713" s="92" t="str" cm="1">
        <f t="array" ref="D713">INDEX(기계코드!$D$4:$D$1022,MATCH(1,(C713=기계코드!$F$4:$F$1022)*1,0))</f>
        <v>M_MED01</v>
      </c>
      <c r="E713" s="92" t="s">
        <v>1128</v>
      </c>
      <c r="F713" s="92" t="str" cm="1">
        <f t="array" ref="F713">INDEX(공급업체코드!$B$3:$B$1000,MATCH(1,(E713=공급업체코드!$D$3:$D$1000)*1,0))</f>
        <v>VM_BKT</v>
      </c>
      <c r="H713" s="312">
        <v>711</v>
      </c>
      <c r="I713" s="233" t="s">
        <v>1313</v>
      </c>
      <c r="K713" s="233" t="s">
        <v>1314</v>
      </c>
      <c r="L713" s="236">
        <f t="shared" si="25"/>
        <v>710289</v>
      </c>
      <c r="N713" s="113" t="s">
        <v>1315</v>
      </c>
      <c r="O713" s="1" t="b">
        <v>1</v>
      </c>
      <c r="Q713" s="34"/>
    </row>
    <row r="714" spans="2:17">
      <c r="B714" s="1" t="str">
        <f t="shared" si="26"/>
        <v>M_MED01_VM_BKT_712</v>
      </c>
      <c r="C714" s="92" t="s">
        <v>727</v>
      </c>
      <c r="D714" s="92" t="str" cm="1">
        <f t="array" ref="D714">INDEX(기계코드!$D$4:$D$1022,MATCH(1,(C714=기계코드!$F$4:$F$1022)*1,0))</f>
        <v>M_MED01</v>
      </c>
      <c r="E714" s="92" t="s">
        <v>1128</v>
      </c>
      <c r="F714" s="92" t="str" cm="1">
        <f t="array" ref="F714">INDEX(공급업체코드!$B$3:$B$1000,MATCH(1,(E714=공급업체코드!$D$3:$D$1000)*1,0))</f>
        <v>VM_BKT</v>
      </c>
      <c r="H714" s="312">
        <v>712</v>
      </c>
      <c r="I714" s="233" t="s">
        <v>1313</v>
      </c>
      <c r="K714" s="233" t="s">
        <v>1314</v>
      </c>
      <c r="L714" s="236">
        <f t="shared" si="25"/>
        <v>711288</v>
      </c>
      <c r="N714" s="113" t="s">
        <v>1315</v>
      </c>
      <c r="O714" s="1" t="b">
        <v>1</v>
      </c>
      <c r="Q714" s="34"/>
    </row>
    <row r="715" spans="2:17">
      <c r="B715" s="1" t="str">
        <f t="shared" si="26"/>
        <v>M_MED01_VM_BKT_713</v>
      </c>
      <c r="C715" s="92" t="s">
        <v>727</v>
      </c>
      <c r="D715" s="92" t="str" cm="1">
        <f t="array" ref="D715">INDEX(기계코드!$D$4:$D$1022,MATCH(1,(C715=기계코드!$F$4:$F$1022)*1,0))</f>
        <v>M_MED01</v>
      </c>
      <c r="E715" s="92" t="s">
        <v>1128</v>
      </c>
      <c r="F715" s="92" t="str" cm="1">
        <f t="array" ref="F715">INDEX(공급업체코드!$B$3:$B$1000,MATCH(1,(E715=공급업체코드!$D$3:$D$1000)*1,0))</f>
        <v>VM_BKT</v>
      </c>
      <c r="H715" s="312">
        <v>713</v>
      </c>
      <c r="I715" s="233" t="s">
        <v>1313</v>
      </c>
      <c r="K715" s="233" t="s">
        <v>1314</v>
      </c>
      <c r="L715" s="236">
        <f t="shared" si="25"/>
        <v>712287</v>
      </c>
      <c r="N715" s="113" t="s">
        <v>1315</v>
      </c>
      <c r="O715" s="1" t="b">
        <v>1</v>
      </c>
      <c r="Q715" s="34"/>
    </row>
    <row r="716" spans="2:17">
      <c r="B716" s="1" t="str">
        <f t="shared" si="26"/>
        <v>M_MED01_VM_BKT_714</v>
      </c>
      <c r="C716" s="92" t="s">
        <v>727</v>
      </c>
      <c r="D716" s="92" t="str" cm="1">
        <f t="array" ref="D716">INDEX(기계코드!$D$4:$D$1022,MATCH(1,(C716=기계코드!$F$4:$F$1022)*1,0))</f>
        <v>M_MED01</v>
      </c>
      <c r="E716" s="92" t="s">
        <v>1128</v>
      </c>
      <c r="F716" s="92" t="str" cm="1">
        <f t="array" ref="F716">INDEX(공급업체코드!$B$3:$B$1000,MATCH(1,(E716=공급업체코드!$D$3:$D$1000)*1,0))</f>
        <v>VM_BKT</v>
      </c>
      <c r="H716" s="312">
        <v>714</v>
      </c>
      <c r="I716" s="233" t="s">
        <v>1313</v>
      </c>
      <c r="K716" s="233" t="s">
        <v>1314</v>
      </c>
      <c r="L716" s="236">
        <f t="shared" si="25"/>
        <v>713286</v>
      </c>
      <c r="N716" s="113" t="s">
        <v>1315</v>
      </c>
      <c r="O716" s="1" t="b">
        <v>1</v>
      </c>
      <c r="Q716" s="34"/>
    </row>
    <row r="717" spans="2:17">
      <c r="B717" s="1" t="str">
        <f t="shared" si="26"/>
        <v>M_MED01_VM_BKT_715</v>
      </c>
      <c r="C717" s="92" t="s">
        <v>727</v>
      </c>
      <c r="D717" s="92" t="str" cm="1">
        <f t="array" ref="D717">INDEX(기계코드!$D$4:$D$1022,MATCH(1,(C717=기계코드!$F$4:$F$1022)*1,0))</f>
        <v>M_MED01</v>
      </c>
      <c r="E717" s="92" t="s">
        <v>1128</v>
      </c>
      <c r="F717" s="92" t="str" cm="1">
        <f t="array" ref="F717">INDEX(공급업체코드!$B$3:$B$1000,MATCH(1,(E717=공급업체코드!$D$3:$D$1000)*1,0))</f>
        <v>VM_BKT</v>
      </c>
      <c r="H717" s="312">
        <v>715</v>
      </c>
      <c r="I717" s="233" t="s">
        <v>1313</v>
      </c>
      <c r="K717" s="233" t="s">
        <v>1314</v>
      </c>
      <c r="L717" s="236">
        <f t="shared" si="25"/>
        <v>714285</v>
      </c>
      <c r="N717" s="113" t="s">
        <v>1315</v>
      </c>
      <c r="O717" s="1" t="b">
        <v>1</v>
      </c>
      <c r="Q717" s="34"/>
    </row>
    <row r="718" spans="2:17">
      <c r="B718" s="1" t="str">
        <f t="shared" si="26"/>
        <v>M_MED01_VM_BKT_716</v>
      </c>
      <c r="C718" s="92" t="s">
        <v>727</v>
      </c>
      <c r="D718" s="92" t="str" cm="1">
        <f t="array" ref="D718">INDEX(기계코드!$D$4:$D$1022,MATCH(1,(C718=기계코드!$F$4:$F$1022)*1,0))</f>
        <v>M_MED01</v>
      </c>
      <c r="E718" s="92" t="s">
        <v>1128</v>
      </c>
      <c r="F718" s="92" t="str" cm="1">
        <f t="array" ref="F718">INDEX(공급업체코드!$B$3:$B$1000,MATCH(1,(E718=공급업체코드!$D$3:$D$1000)*1,0))</f>
        <v>VM_BKT</v>
      </c>
      <c r="H718" s="312">
        <v>716</v>
      </c>
      <c r="I718" s="233" t="s">
        <v>1313</v>
      </c>
      <c r="K718" s="233" t="s">
        <v>1314</v>
      </c>
      <c r="L718" s="236">
        <f t="shared" si="25"/>
        <v>715284</v>
      </c>
      <c r="N718" s="113" t="s">
        <v>1315</v>
      </c>
      <c r="O718" s="1" t="b">
        <v>1</v>
      </c>
      <c r="Q718" s="34"/>
    </row>
    <row r="719" spans="2:17">
      <c r="B719" s="1" t="str">
        <f t="shared" si="26"/>
        <v>M_MED01_VM_BKT_717</v>
      </c>
      <c r="C719" s="92" t="s">
        <v>727</v>
      </c>
      <c r="D719" s="92" t="str" cm="1">
        <f t="array" ref="D719">INDEX(기계코드!$D$4:$D$1022,MATCH(1,(C719=기계코드!$F$4:$F$1022)*1,0))</f>
        <v>M_MED01</v>
      </c>
      <c r="E719" s="92" t="s">
        <v>1128</v>
      </c>
      <c r="F719" s="92" t="str" cm="1">
        <f t="array" ref="F719">INDEX(공급업체코드!$B$3:$B$1000,MATCH(1,(E719=공급업체코드!$D$3:$D$1000)*1,0))</f>
        <v>VM_BKT</v>
      </c>
      <c r="H719" s="312">
        <v>717</v>
      </c>
      <c r="I719" s="233" t="s">
        <v>1313</v>
      </c>
      <c r="K719" s="233" t="s">
        <v>1314</v>
      </c>
      <c r="L719" s="236">
        <f t="shared" si="25"/>
        <v>716283</v>
      </c>
      <c r="N719" s="113" t="s">
        <v>1315</v>
      </c>
      <c r="O719" s="1" t="b">
        <v>1</v>
      </c>
      <c r="Q719" s="34"/>
    </row>
    <row r="720" spans="2:17">
      <c r="B720" s="1" t="str">
        <f t="shared" si="26"/>
        <v>M_MED01_VM_BKT_718</v>
      </c>
      <c r="C720" s="92" t="s">
        <v>727</v>
      </c>
      <c r="D720" s="92" t="str" cm="1">
        <f t="array" ref="D720">INDEX(기계코드!$D$4:$D$1022,MATCH(1,(C720=기계코드!$F$4:$F$1022)*1,0))</f>
        <v>M_MED01</v>
      </c>
      <c r="E720" s="92" t="s">
        <v>1128</v>
      </c>
      <c r="F720" s="92" t="str" cm="1">
        <f t="array" ref="F720">INDEX(공급업체코드!$B$3:$B$1000,MATCH(1,(E720=공급업체코드!$D$3:$D$1000)*1,0))</f>
        <v>VM_BKT</v>
      </c>
      <c r="H720" s="312">
        <v>718</v>
      </c>
      <c r="I720" s="233" t="s">
        <v>1313</v>
      </c>
      <c r="K720" s="233" t="s">
        <v>1314</v>
      </c>
      <c r="L720" s="236">
        <f t="shared" si="25"/>
        <v>717282</v>
      </c>
      <c r="N720" s="113" t="s">
        <v>1315</v>
      </c>
      <c r="O720" s="1" t="b">
        <v>1</v>
      </c>
      <c r="Q720" s="34"/>
    </row>
    <row r="721" spans="2:17">
      <c r="B721" s="1" t="str">
        <f t="shared" si="26"/>
        <v>M_MED01_VM_BKT_719</v>
      </c>
      <c r="C721" s="92" t="s">
        <v>727</v>
      </c>
      <c r="D721" s="92" t="str" cm="1">
        <f t="array" ref="D721">INDEX(기계코드!$D$4:$D$1022,MATCH(1,(C721=기계코드!$F$4:$F$1022)*1,0))</f>
        <v>M_MED01</v>
      </c>
      <c r="E721" s="92" t="s">
        <v>1128</v>
      </c>
      <c r="F721" s="92" t="str" cm="1">
        <f t="array" ref="F721">INDEX(공급업체코드!$B$3:$B$1000,MATCH(1,(E721=공급업체코드!$D$3:$D$1000)*1,0))</f>
        <v>VM_BKT</v>
      </c>
      <c r="H721" s="312">
        <v>719</v>
      </c>
      <c r="I721" s="233" t="s">
        <v>1313</v>
      </c>
      <c r="K721" s="233" t="s">
        <v>1314</v>
      </c>
      <c r="L721" s="236">
        <f t="shared" si="25"/>
        <v>718281</v>
      </c>
      <c r="N721" s="113" t="s">
        <v>1315</v>
      </c>
      <c r="O721" s="1" t="b">
        <v>1</v>
      </c>
      <c r="Q721" s="34"/>
    </row>
    <row r="722" spans="2:17">
      <c r="B722" s="1" t="str">
        <f t="shared" si="26"/>
        <v>M_MED01_VM_BKT_720</v>
      </c>
      <c r="C722" s="92" t="s">
        <v>727</v>
      </c>
      <c r="D722" s="92" t="str" cm="1">
        <f t="array" ref="D722">INDEX(기계코드!$D$4:$D$1022,MATCH(1,(C722=기계코드!$F$4:$F$1022)*1,0))</f>
        <v>M_MED01</v>
      </c>
      <c r="E722" s="92" t="s">
        <v>1128</v>
      </c>
      <c r="F722" s="92" t="str" cm="1">
        <f t="array" ref="F722">INDEX(공급업체코드!$B$3:$B$1000,MATCH(1,(E722=공급업체코드!$D$3:$D$1000)*1,0))</f>
        <v>VM_BKT</v>
      </c>
      <c r="H722" s="312">
        <v>720</v>
      </c>
      <c r="I722" s="233" t="s">
        <v>1313</v>
      </c>
      <c r="K722" s="233" t="s">
        <v>1314</v>
      </c>
      <c r="L722" s="236">
        <f t="shared" si="25"/>
        <v>719280</v>
      </c>
      <c r="N722" s="113" t="s">
        <v>1315</v>
      </c>
      <c r="O722" s="1" t="b">
        <v>1</v>
      </c>
      <c r="Q722" s="34"/>
    </row>
    <row r="723" spans="2:17">
      <c r="B723" s="1" t="str">
        <f t="shared" si="26"/>
        <v>M_MED01_VM_BKT_721</v>
      </c>
      <c r="C723" s="92" t="s">
        <v>727</v>
      </c>
      <c r="D723" s="92" t="str" cm="1">
        <f t="array" ref="D723">INDEX(기계코드!$D$4:$D$1022,MATCH(1,(C723=기계코드!$F$4:$F$1022)*1,0))</f>
        <v>M_MED01</v>
      </c>
      <c r="E723" s="92" t="s">
        <v>1128</v>
      </c>
      <c r="F723" s="92" t="str" cm="1">
        <f t="array" ref="F723">INDEX(공급업체코드!$B$3:$B$1000,MATCH(1,(E723=공급업체코드!$D$3:$D$1000)*1,0))</f>
        <v>VM_BKT</v>
      </c>
      <c r="H723" s="312">
        <v>721</v>
      </c>
      <c r="I723" s="233" t="s">
        <v>1313</v>
      </c>
      <c r="K723" s="233" t="s">
        <v>1314</v>
      </c>
      <c r="L723" s="236">
        <f t="shared" si="25"/>
        <v>720279</v>
      </c>
      <c r="N723" s="113" t="s">
        <v>1315</v>
      </c>
      <c r="O723" s="1" t="b">
        <v>1</v>
      </c>
      <c r="Q723" s="34"/>
    </row>
    <row r="724" spans="2:17">
      <c r="B724" s="1" t="str">
        <f t="shared" si="26"/>
        <v>M_MED01_VM_BKT_722</v>
      </c>
      <c r="C724" s="92" t="s">
        <v>727</v>
      </c>
      <c r="D724" s="92" t="str" cm="1">
        <f t="array" ref="D724">INDEX(기계코드!$D$4:$D$1022,MATCH(1,(C724=기계코드!$F$4:$F$1022)*1,0))</f>
        <v>M_MED01</v>
      </c>
      <c r="E724" s="92" t="s">
        <v>1128</v>
      </c>
      <c r="F724" s="92" t="str" cm="1">
        <f t="array" ref="F724">INDEX(공급업체코드!$B$3:$B$1000,MATCH(1,(E724=공급업체코드!$D$3:$D$1000)*1,0))</f>
        <v>VM_BKT</v>
      </c>
      <c r="H724" s="312">
        <v>722</v>
      </c>
      <c r="I724" s="233" t="s">
        <v>1313</v>
      </c>
      <c r="K724" s="233" t="s">
        <v>1314</v>
      </c>
      <c r="L724" s="236">
        <f t="shared" si="25"/>
        <v>721278</v>
      </c>
      <c r="N724" s="113" t="s">
        <v>1315</v>
      </c>
      <c r="O724" s="1" t="b">
        <v>1</v>
      </c>
      <c r="Q724" s="34"/>
    </row>
    <row r="725" spans="2:17">
      <c r="B725" s="1" t="str">
        <f t="shared" si="26"/>
        <v>M_MED01_VM_BKT_723</v>
      </c>
      <c r="C725" s="92" t="s">
        <v>727</v>
      </c>
      <c r="D725" s="92" t="str" cm="1">
        <f t="array" ref="D725">INDEX(기계코드!$D$4:$D$1022,MATCH(1,(C725=기계코드!$F$4:$F$1022)*1,0))</f>
        <v>M_MED01</v>
      </c>
      <c r="E725" s="92" t="s">
        <v>1128</v>
      </c>
      <c r="F725" s="92" t="str" cm="1">
        <f t="array" ref="F725">INDEX(공급업체코드!$B$3:$B$1000,MATCH(1,(E725=공급업체코드!$D$3:$D$1000)*1,0))</f>
        <v>VM_BKT</v>
      </c>
      <c r="H725" s="312">
        <v>723</v>
      </c>
      <c r="I725" s="233" t="s">
        <v>1313</v>
      </c>
      <c r="K725" s="233" t="s">
        <v>1314</v>
      </c>
      <c r="L725" s="236">
        <f t="shared" si="25"/>
        <v>722277</v>
      </c>
      <c r="N725" s="113" t="s">
        <v>1315</v>
      </c>
      <c r="O725" s="1" t="b">
        <v>1</v>
      </c>
      <c r="Q725" s="34"/>
    </row>
    <row r="726" spans="2:17">
      <c r="B726" s="1" t="str">
        <f t="shared" si="26"/>
        <v>M_MED01_VM_BKT_724</v>
      </c>
      <c r="C726" s="92" t="s">
        <v>727</v>
      </c>
      <c r="D726" s="92" t="str" cm="1">
        <f t="array" ref="D726">INDEX(기계코드!$D$4:$D$1022,MATCH(1,(C726=기계코드!$F$4:$F$1022)*1,0))</f>
        <v>M_MED01</v>
      </c>
      <c r="E726" s="92" t="s">
        <v>1128</v>
      </c>
      <c r="F726" s="92" t="str" cm="1">
        <f t="array" ref="F726">INDEX(공급업체코드!$B$3:$B$1000,MATCH(1,(E726=공급업체코드!$D$3:$D$1000)*1,0))</f>
        <v>VM_BKT</v>
      </c>
      <c r="H726" s="312">
        <v>724</v>
      </c>
      <c r="I726" s="233" t="s">
        <v>1313</v>
      </c>
      <c r="K726" s="233" t="s">
        <v>1314</v>
      </c>
      <c r="L726" s="236">
        <f t="shared" si="25"/>
        <v>723276</v>
      </c>
      <c r="N726" s="113" t="s">
        <v>1315</v>
      </c>
      <c r="O726" s="1" t="b">
        <v>1</v>
      </c>
      <c r="Q726" s="34"/>
    </row>
    <row r="727" spans="2:17">
      <c r="B727" s="1" t="str">
        <f t="shared" si="26"/>
        <v>M_MED01_VM_BKT_725</v>
      </c>
      <c r="C727" s="92" t="s">
        <v>727</v>
      </c>
      <c r="D727" s="92" t="str" cm="1">
        <f t="array" ref="D727">INDEX(기계코드!$D$4:$D$1022,MATCH(1,(C727=기계코드!$F$4:$F$1022)*1,0))</f>
        <v>M_MED01</v>
      </c>
      <c r="E727" s="92" t="s">
        <v>1128</v>
      </c>
      <c r="F727" s="92" t="str" cm="1">
        <f t="array" ref="F727">INDEX(공급업체코드!$B$3:$B$1000,MATCH(1,(E727=공급업체코드!$D$3:$D$1000)*1,0))</f>
        <v>VM_BKT</v>
      </c>
      <c r="H727" s="312">
        <v>725</v>
      </c>
      <c r="I727" s="233" t="s">
        <v>1313</v>
      </c>
      <c r="K727" s="233" t="s">
        <v>1314</v>
      </c>
      <c r="L727" s="236">
        <f t="shared" si="25"/>
        <v>724275</v>
      </c>
      <c r="N727" s="113" t="s">
        <v>1315</v>
      </c>
      <c r="O727" s="1" t="b">
        <v>1</v>
      </c>
      <c r="Q727" s="34"/>
    </row>
    <row r="728" spans="2:17">
      <c r="B728" s="1" t="str">
        <f t="shared" si="26"/>
        <v>M_MED01_VM_BKT_726</v>
      </c>
      <c r="C728" s="92" t="s">
        <v>727</v>
      </c>
      <c r="D728" s="92" t="str" cm="1">
        <f t="array" ref="D728">INDEX(기계코드!$D$4:$D$1022,MATCH(1,(C728=기계코드!$F$4:$F$1022)*1,0))</f>
        <v>M_MED01</v>
      </c>
      <c r="E728" s="92" t="s">
        <v>1128</v>
      </c>
      <c r="F728" s="92" t="str" cm="1">
        <f t="array" ref="F728">INDEX(공급업체코드!$B$3:$B$1000,MATCH(1,(E728=공급업체코드!$D$3:$D$1000)*1,0))</f>
        <v>VM_BKT</v>
      </c>
      <c r="H728" s="312">
        <v>726</v>
      </c>
      <c r="I728" s="233" t="s">
        <v>1313</v>
      </c>
      <c r="K728" s="233" t="s">
        <v>1314</v>
      </c>
      <c r="L728" s="236">
        <f t="shared" si="25"/>
        <v>725274</v>
      </c>
      <c r="N728" s="113" t="s">
        <v>1315</v>
      </c>
      <c r="O728" s="1" t="b">
        <v>1</v>
      </c>
      <c r="Q728" s="34"/>
    </row>
    <row r="729" spans="2:17">
      <c r="B729" s="1" t="str">
        <f t="shared" si="26"/>
        <v>M_MED01_VM_BKT_727</v>
      </c>
      <c r="C729" s="92" t="s">
        <v>727</v>
      </c>
      <c r="D729" s="92" t="str" cm="1">
        <f t="array" ref="D729">INDEX(기계코드!$D$4:$D$1022,MATCH(1,(C729=기계코드!$F$4:$F$1022)*1,0))</f>
        <v>M_MED01</v>
      </c>
      <c r="E729" s="92" t="s">
        <v>1128</v>
      </c>
      <c r="F729" s="92" t="str" cm="1">
        <f t="array" ref="F729">INDEX(공급업체코드!$B$3:$B$1000,MATCH(1,(E729=공급업체코드!$D$3:$D$1000)*1,0))</f>
        <v>VM_BKT</v>
      </c>
      <c r="H729" s="312">
        <v>727</v>
      </c>
      <c r="I729" s="233" t="s">
        <v>1313</v>
      </c>
      <c r="K729" s="233" t="s">
        <v>1314</v>
      </c>
      <c r="L729" s="236">
        <f t="shared" si="25"/>
        <v>726273</v>
      </c>
      <c r="N729" s="113" t="s">
        <v>1315</v>
      </c>
      <c r="O729" s="1" t="b">
        <v>1</v>
      </c>
      <c r="Q729" s="34"/>
    </row>
    <row r="730" spans="2:17">
      <c r="B730" s="1" t="str">
        <f t="shared" si="26"/>
        <v>M_MED01_VM_BKT_728</v>
      </c>
      <c r="C730" s="92" t="s">
        <v>727</v>
      </c>
      <c r="D730" s="92" t="str" cm="1">
        <f t="array" ref="D730">INDEX(기계코드!$D$4:$D$1022,MATCH(1,(C730=기계코드!$F$4:$F$1022)*1,0))</f>
        <v>M_MED01</v>
      </c>
      <c r="E730" s="92" t="s">
        <v>1128</v>
      </c>
      <c r="F730" s="92" t="str" cm="1">
        <f t="array" ref="F730">INDEX(공급업체코드!$B$3:$B$1000,MATCH(1,(E730=공급업체코드!$D$3:$D$1000)*1,0))</f>
        <v>VM_BKT</v>
      </c>
      <c r="H730" s="312">
        <v>728</v>
      </c>
      <c r="I730" s="233" t="s">
        <v>1313</v>
      </c>
      <c r="K730" s="233" t="s">
        <v>1314</v>
      </c>
      <c r="L730" s="236">
        <f t="shared" si="25"/>
        <v>727272</v>
      </c>
      <c r="N730" s="113" t="s">
        <v>1315</v>
      </c>
      <c r="O730" s="1" t="b">
        <v>1</v>
      </c>
      <c r="Q730" s="34"/>
    </row>
    <row r="731" spans="2:17">
      <c r="B731" s="1" t="str">
        <f t="shared" si="26"/>
        <v>M_MED01_VM_BKT_729</v>
      </c>
      <c r="C731" s="92" t="s">
        <v>727</v>
      </c>
      <c r="D731" s="92" t="str" cm="1">
        <f t="array" ref="D731">INDEX(기계코드!$D$4:$D$1022,MATCH(1,(C731=기계코드!$F$4:$F$1022)*1,0))</f>
        <v>M_MED01</v>
      </c>
      <c r="E731" s="92" t="s">
        <v>1128</v>
      </c>
      <c r="F731" s="92" t="str" cm="1">
        <f t="array" ref="F731">INDEX(공급업체코드!$B$3:$B$1000,MATCH(1,(E731=공급업체코드!$D$3:$D$1000)*1,0))</f>
        <v>VM_BKT</v>
      </c>
      <c r="H731" s="312">
        <v>729</v>
      </c>
      <c r="I731" s="233" t="s">
        <v>1313</v>
      </c>
      <c r="K731" s="233" t="s">
        <v>1314</v>
      </c>
      <c r="L731" s="236">
        <f t="shared" si="25"/>
        <v>728271</v>
      </c>
      <c r="N731" s="113" t="s">
        <v>1315</v>
      </c>
      <c r="O731" s="1" t="b">
        <v>1</v>
      </c>
      <c r="Q731" s="34"/>
    </row>
    <row r="732" spans="2:17">
      <c r="B732" s="1" t="str">
        <f t="shared" si="26"/>
        <v>M_MED01_VM_BKT_730</v>
      </c>
      <c r="C732" s="92" t="s">
        <v>727</v>
      </c>
      <c r="D732" s="92" t="str" cm="1">
        <f t="array" ref="D732">INDEX(기계코드!$D$4:$D$1022,MATCH(1,(C732=기계코드!$F$4:$F$1022)*1,0))</f>
        <v>M_MED01</v>
      </c>
      <c r="E732" s="92" t="s">
        <v>1128</v>
      </c>
      <c r="F732" s="92" t="str" cm="1">
        <f t="array" ref="F732">INDEX(공급업체코드!$B$3:$B$1000,MATCH(1,(E732=공급업체코드!$D$3:$D$1000)*1,0))</f>
        <v>VM_BKT</v>
      </c>
      <c r="H732" s="312">
        <v>730</v>
      </c>
      <c r="I732" s="233" t="s">
        <v>1313</v>
      </c>
      <c r="K732" s="233" t="s">
        <v>1314</v>
      </c>
      <c r="L732" s="236">
        <f t="shared" si="25"/>
        <v>729270</v>
      </c>
      <c r="N732" s="113" t="s">
        <v>1315</v>
      </c>
      <c r="O732" s="1" t="b">
        <v>1</v>
      </c>
      <c r="Q732" s="34"/>
    </row>
    <row r="733" spans="2:17">
      <c r="B733" s="1" t="str">
        <f t="shared" si="26"/>
        <v>M_MED01_VM_BKT_731</v>
      </c>
      <c r="C733" s="92" t="s">
        <v>727</v>
      </c>
      <c r="D733" s="92" t="str" cm="1">
        <f t="array" ref="D733">INDEX(기계코드!$D$4:$D$1022,MATCH(1,(C733=기계코드!$F$4:$F$1022)*1,0))</f>
        <v>M_MED01</v>
      </c>
      <c r="E733" s="92" t="s">
        <v>1128</v>
      </c>
      <c r="F733" s="92" t="str" cm="1">
        <f t="array" ref="F733">INDEX(공급업체코드!$B$3:$B$1000,MATCH(1,(E733=공급업체코드!$D$3:$D$1000)*1,0))</f>
        <v>VM_BKT</v>
      </c>
      <c r="H733" s="312">
        <v>731</v>
      </c>
      <c r="I733" s="233" t="s">
        <v>1313</v>
      </c>
      <c r="K733" s="233" t="s">
        <v>1314</v>
      </c>
      <c r="L733" s="236">
        <f t="shared" si="25"/>
        <v>730269</v>
      </c>
      <c r="N733" s="113" t="s">
        <v>1315</v>
      </c>
      <c r="O733" s="1" t="b">
        <v>1</v>
      </c>
      <c r="Q733" s="34"/>
    </row>
    <row r="734" spans="2:17">
      <c r="B734" s="1" t="str">
        <f t="shared" si="26"/>
        <v>M_MED01_VM_BKT_732</v>
      </c>
      <c r="C734" s="92" t="s">
        <v>727</v>
      </c>
      <c r="D734" s="92" t="str" cm="1">
        <f t="array" ref="D734">INDEX(기계코드!$D$4:$D$1022,MATCH(1,(C734=기계코드!$F$4:$F$1022)*1,0))</f>
        <v>M_MED01</v>
      </c>
      <c r="E734" s="92" t="s">
        <v>1128</v>
      </c>
      <c r="F734" s="92" t="str" cm="1">
        <f t="array" ref="F734">INDEX(공급업체코드!$B$3:$B$1000,MATCH(1,(E734=공급업체코드!$D$3:$D$1000)*1,0))</f>
        <v>VM_BKT</v>
      </c>
      <c r="H734" s="312">
        <v>732</v>
      </c>
      <c r="I734" s="233" t="s">
        <v>1313</v>
      </c>
      <c r="K734" s="233" t="s">
        <v>1314</v>
      </c>
      <c r="L734" s="236">
        <f t="shared" si="25"/>
        <v>731268</v>
      </c>
      <c r="N734" s="113" t="s">
        <v>1315</v>
      </c>
      <c r="O734" s="1" t="b">
        <v>1</v>
      </c>
      <c r="Q734" s="34"/>
    </row>
    <row r="735" spans="2:17">
      <c r="B735" s="1" t="str">
        <f t="shared" si="26"/>
        <v>M_MED01_VM_BKT_733</v>
      </c>
      <c r="C735" s="92" t="s">
        <v>727</v>
      </c>
      <c r="D735" s="92" t="str" cm="1">
        <f t="array" ref="D735">INDEX(기계코드!$D$4:$D$1022,MATCH(1,(C735=기계코드!$F$4:$F$1022)*1,0))</f>
        <v>M_MED01</v>
      </c>
      <c r="E735" s="92" t="s">
        <v>1128</v>
      </c>
      <c r="F735" s="92" t="str" cm="1">
        <f t="array" ref="F735">INDEX(공급업체코드!$B$3:$B$1000,MATCH(1,(E735=공급업체코드!$D$3:$D$1000)*1,0))</f>
        <v>VM_BKT</v>
      </c>
      <c r="H735" s="312">
        <v>733</v>
      </c>
      <c r="I735" s="233" t="s">
        <v>1313</v>
      </c>
      <c r="K735" s="233" t="s">
        <v>1314</v>
      </c>
      <c r="L735" s="236">
        <f t="shared" si="25"/>
        <v>732267</v>
      </c>
      <c r="N735" s="113" t="s">
        <v>1315</v>
      </c>
      <c r="O735" s="1" t="b">
        <v>1</v>
      </c>
      <c r="Q735" s="34"/>
    </row>
    <row r="736" spans="2:17">
      <c r="B736" s="1" t="str">
        <f t="shared" si="26"/>
        <v>M_MED01_VM_BKT_734</v>
      </c>
      <c r="C736" s="92" t="s">
        <v>727</v>
      </c>
      <c r="D736" s="92" t="str" cm="1">
        <f t="array" ref="D736">INDEX(기계코드!$D$4:$D$1022,MATCH(1,(C736=기계코드!$F$4:$F$1022)*1,0))</f>
        <v>M_MED01</v>
      </c>
      <c r="E736" s="92" t="s">
        <v>1128</v>
      </c>
      <c r="F736" s="92" t="str" cm="1">
        <f t="array" ref="F736">INDEX(공급업체코드!$B$3:$B$1000,MATCH(1,(E736=공급업체코드!$D$3:$D$1000)*1,0))</f>
        <v>VM_BKT</v>
      </c>
      <c r="H736" s="312">
        <v>734</v>
      </c>
      <c r="I736" s="233" t="s">
        <v>1313</v>
      </c>
      <c r="K736" s="233" t="s">
        <v>1314</v>
      </c>
      <c r="L736" s="236">
        <f t="shared" si="25"/>
        <v>733266</v>
      </c>
      <c r="N736" s="113" t="s">
        <v>1315</v>
      </c>
      <c r="O736" s="1" t="b">
        <v>1</v>
      </c>
      <c r="Q736" s="34"/>
    </row>
    <row r="737" spans="2:17">
      <c r="B737" s="1" t="str">
        <f t="shared" si="26"/>
        <v>M_MED01_VM_BKT_735</v>
      </c>
      <c r="C737" s="92" t="s">
        <v>727</v>
      </c>
      <c r="D737" s="92" t="str" cm="1">
        <f t="array" ref="D737">INDEX(기계코드!$D$4:$D$1022,MATCH(1,(C737=기계코드!$F$4:$F$1022)*1,0))</f>
        <v>M_MED01</v>
      </c>
      <c r="E737" s="92" t="s">
        <v>1128</v>
      </c>
      <c r="F737" s="92" t="str" cm="1">
        <f t="array" ref="F737">INDEX(공급업체코드!$B$3:$B$1000,MATCH(1,(E737=공급업체코드!$D$3:$D$1000)*1,0))</f>
        <v>VM_BKT</v>
      </c>
      <c r="H737" s="312">
        <v>735</v>
      </c>
      <c r="I737" s="233" t="s">
        <v>1313</v>
      </c>
      <c r="K737" s="233" t="s">
        <v>1314</v>
      </c>
      <c r="L737" s="236">
        <f t="shared" si="25"/>
        <v>734265</v>
      </c>
      <c r="N737" s="113" t="s">
        <v>1315</v>
      </c>
      <c r="O737" s="1" t="b">
        <v>1</v>
      </c>
      <c r="Q737" s="34"/>
    </row>
    <row r="738" spans="2:17">
      <c r="B738" s="1" t="str">
        <f t="shared" si="26"/>
        <v>M_MED01_VM_BKT_736</v>
      </c>
      <c r="C738" s="92" t="s">
        <v>727</v>
      </c>
      <c r="D738" s="92" t="str" cm="1">
        <f t="array" ref="D738">INDEX(기계코드!$D$4:$D$1022,MATCH(1,(C738=기계코드!$F$4:$F$1022)*1,0))</f>
        <v>M_MED01</v>
      </c>
      <c r="E738" s="92" t="s">
        <v>1128</v>
      </c>
      <c r="F738" s="92" t="str" cm="1">
        <f t="array" ref="F738">INDEX(공급업체코드!$B$3:$B$1000,MATCH(1,(E738=공급업체코드!$D$3:$D$1000)*1,0))</f>
        <v>VM_BKT</v>
      </c>
      <c r="H738" s="312">
        <v>736</v>
      </c>
      <c r="I738" s="233" t="s">
        <v>1313</v>
      </c>
      <c r="K738" s="233" t="s">
        <v>1314</v>
      </c>
      <c r="L738" s="236">
        <f t="shared" si="25"/>
        <v>735264</v>
      </c>
      <c r="N738" s="113" t="s">
        <v>1315</v>
      </c>
      <c r="O738" s="1" t="b">
        <v>1</v>
      </c>
      <c r="Q738" s="34"/>
    </row>
    <row r="739" spans="2:17">
      <c r="B739" s="1" t="str">
        <f t="shared" si="26"/>
        <v>M_MED01_VM_BKT_737</v>
      </c>
      <c r="C739" s="92" t="s">
        <v>727</v>
      </c>
      <c r="D739" s="92" t="str" cm="1">
        <f t="array" ref="D739">INDEX(기계코드!$D$4:$D$1022,MATCH(1,(C739=기계코드!$F$4:$F$1022)*1,0))</f>
        <v>M_MED01</v>
      </c>
      <c r="E739" s="92" t="s">
        <v>1128</v>
      </c>
      <c r="F739" s="92" t="str" cm="1">
        <f t="array" ref="F739">INDEX(공급업체코드!$B$3:$B$1000,MATCH(1,(E739=공급업체코드!$D$3:$D$1000)*1,0))</f>
        <v>VM_BKT</v>
      </c>
      <c r="H739" s="312">
        <v>737</v>
      </c>
      <c r="I739" s="233" t="s">
        <v>1313</v>
      </c>
      <c r="K739" s="233" t="s">
        <v>1314</v>
      </c>
      <c r="L739" s="236">
        <f t="shared" si="25"/>
        <v>736263</v>
      </c>
      <c r="N739" s="113" t="s">
        <v>1315</v>
      </c>
      <c r="O739" s="1" t="b">
        <v>1</v>
      </c>
      <c r="Q739" s="34"/>
    </row>
    <row r="740" spans="2:17">
      <c r="B740" s="1" t="str">
        <f t="shared" si="26"/>
        <v>M_MED01_VM_BKT_738</v>
      </c>
      <c r="C740" s="92" t="s">
        <v>727</v>
      </c>
      <c r="D740" s="92" t="str" cm="1">
        <f t="array" ref="D740">INDEX(기계코드!$D$4:$D$1022,MATCH(1,(C740=기계코드!$F$4:$F$1022)*1,0))</f>
        <v>M_MED01</v>
      </c>
      <c r="E740" s="92" t="s">
        <v>1128</v>
      </c>
      <c r="F740" s="92" t="str" cm="1">
        <f t="array" ref="F740">INDEX(공급업체코드!$B$3:$B$1000,MATCH(1,(E740=공급업체코드!$D$3:$D$1000)*1,0))</f>
        <v>VM_BKT</v>
      </c>
      <c r="H740" s="312">
        <v>738</v>
      </c>
      <c r="I740" s="233" t="s">
        <v>1313</v>
      </c>
      <c r="K740" s="233" t="s">
        <v>1314</v>
      </c>
      <c r="L740" s="236">
        <f t="shared" si="25"/>
        <v>737262</v>
      </c>
      <c r="N740" s="113" t="s">
        <v>1315</v>
      </c>
      <c r="O740" s="1" t="b">
        <v>1</v>
      </c>
      <c r="Q740" s="34"/>
    </row>
    <row r="741" spans="2:17">
      <c r="B741" s="1" t="str">
        <f t="shared" si="26"/>
        <v>M_MED01_VM_BKT_739</v>
      </c>
      <c r="C741" s="92" t="s">
        <v>727</v>
      </c>
      <c r="D741" s="92" t="str" cm="1">
        <f t="array" ref="D741">INDEX(기계코드!$D$4:$D$1022,MATCH(1,(C741=기계코드!$F$4:$F$1022)*1,0))</f>
        <v>M_MED01</v>
      </c>
      <c r="E741" s="92" t="s">
        <v>1128</v>
      </c>
      <c r="F741" s="92" t="str" cm="1">
        <f t="array" ref="F741">INDEX(공급업체코드!$B$3:$B$1000,MATCH(1,(E741=공급업체코드!$D$3:$D$1000)*1,0))</f>
        <v>VM_BKT</v>
      </c>
      <c r="H741" s="312">
        <v>739</v>
      </c>
      <c r="I741" s="233" t="s">
        <v>1313</v>
      </c>
      <c r="K741" s="233" t="s">
        <v>1314</v>
      </c>
      <c r="L741" s="236">
        <f t="shared" si="25"/>
        <v>738261</v>
      </c>
      <c r="N741" s="113" t="s">
        <v>1315</v>
      </c>
      <c r="O741" s="1" t="b">
        <v>1</v>
      </c>
      <c r="Q741" s="34"/>
    </row>
    <row r="742" spans="2:17">
      <c r="B742" s="1" t="str">
        <f t="shared" si="26"/>
        <v>M_MED01_VM_BKT_740</v>
      </c>
      <c r="C742" s="92" t="s">
        <v>727</v>
      </c>
      <c r="D742" s="92" t="str" cm="1">
        <f t="array" ref="D742">INDEX(기계코드!$D$4:$D$1022,MATCH(1,(C742=기계코드!$F$4:$F$1022)*1,0))</f>
        <v>M_MED01</v>
      </c>
      <c r="E742" s="92" t="s">
        <v>1128</v>
      </c>
      <c r="F742" s="92" t="str" cm="1">
        <f t="array" ref="F742">INDEX(공급업체코드!$B$3:$B$1000,MATCH(1,(E742=공급업체코드!$D$3:$D$1000)*1,0))</f>
        <v>VM_BKT</v>
      </c>
      <c r="H742" s="312">
        <v>740</v>
      </c>
      <c r="I742" s="233" t="s">
        <v>1313</v>
      </c>
      <c r="K742" s="233" t="s">
        <v>1314</v>
      </c>
      <c r="L742" s="236">
        <f t="shared" si="25"/>
        <v>739260</v>
      </c>
      <c r="N742" s="113" t="s">
        <v>1315</v>
      </c>
      <c r="O742" s="1" t="b">
        <v>1</v>
      </c>
      <c r="Q742" s="34"/>
    </row>
    <row r="743" spans="2:17">
      <c r="B743" s="1" t="str">
        <f t="shared" si="26"/>
        <v>M_MED01_VM_BKT_741</v>
      </c>
      <c r="C743" s="92" t="s">
        <v>727</v>
      </c>
      <c r="D743" s="92" t="str" cm="1">
        <f t="array" ref="D743">INDEX(기계코드!$D$4:$D$1022,MATCH(1,(C743=기계코드!$F$4:$F$1022)*1,0))</f>
        <v>M_MED01</v>
      </c>
      <c r="E743" s="92" t="s">
        <v>1128</v>
      </c>
      <c r="F743" s="92" t="str" cm="1">
        <f t="array" ref="F743">INDEX(공급업체코드!$B$3:$B$1000,MATCH(1,(E743=공급업체코드!$D$3:$D$1000)*1,0))</f>
        <v>VM_BKT</v>
      </c>
      <c r="H743" s="312">
        <v>741</v>
      </c>
      <c r="I743" s="233" t="s">
        <v>1313</v>
      </c>
      <c r="K743" s="233" t="s">
        <v>1314</v>
      </c>
      <c r="L743" s="236">
        <f t="shared" si="25"/>
        <v>740259</v>
      </c>
      <c r="N743" s="113" t="s">
        <v>1315</v>
      </c>
      <c r="O743" s="1" t="b">
        <v>1</v>
      </c>
      <c r="Q743" s="34"/>
    </row>
    <row r="744" spans="2:17">
      <c r="B744" s="1" t="str">
        <f t="shared" si="26"/>
        <v>M_MED01_VM_BKT_742</v>
      </c>
      <c r="C744" s="92" t="s">
        <v>727</v>
      </c>
      <c r="D744" s="92" t="str" cm="1">
        <f t="array" ref="D744">INDEX(기계코드!$D$4:$D$1022,MATCH(1,(C744=기계코드!$F$4:$F$1022)*1,0))</f>
        <v>M_MED01</v>
      </c>
      <c r="E744" s="92" t="s">
        <v>1128</v>
      </c>
      <c r="F744" s="92" t="str" cm="1">
        <f t="array" ref="F744">INDEX(공급업체코드!$B$3:$B$1000,MATCH(1,(E744=공급업체코드!$D$3:$D$1000)*1,0))</f>
        <v>VM_BKT</v>
      </c>
      <c r="H744" s="312">
        <v>742</v>
      </c>
      <c r="I744" s="233" t="s">
        <v>1313</v>
      </c>
      <c r="K744" s="233" t="s">
        <v>1314</v>
      </c>
      <c r="L744" s="236">
        <f t="shared" si="25"/>
        <v>741258</v>
      </c>
      <c r="N744" s="113" t="s">
        <v>1315</v>
      </c>
      <c r="O744" s="1" t="b">
        <v>1</v>
      </c>
      <c r="Q744" s="34"/>
    </row>
    <row r="745" spans="2:17">
      <c r="B745" s="1" t="str">
        <f t="shared" si="26"/>
        <v>M_MED01_VM_BKT_743</v>
      </c>
      <c r="C745" s="92" t="s">
        <v>727</v>
      </c>
      <c r="D745" s="92" t="str" cm="1">
        <f t="array" ref="D745">INDEX(기계코드!$D$4:$D$1022,MATCH(1,(C745=기계코드!$F$4:$F$1022)*1,0))</f>
        <v>M_MED01</v>
      </c>
      <c r="E745" s="92" t="s">
        <v>1128</v>
      </c>
      <c r="F745" s="92" t="str" cm="1">
        <f t="array" ref="F745">INDEX(공급업체코드!$B$3:$B$1000,MATCH(1,(E745=공급업체코드!$D$3:$D$1000)*1,0))</f>
        <v>VM_BKT</v>
      </c>
      <c r="H745" s="312">
        <v>743</v>
      </c>
      <c r="I745" s="233" t="s">
        <v>1313</v>
      </c>
      <c r="K745" s="233" t="s">
        <v>1314</v>
      </c>
      <c r="L745" s="236">
        <f t="shared" si="25"/>
        <v>742257</v>
      </c>
      <c r="N745" s="113" t="s">
        <v>1315</v>
      </c>
      <c r="O745" s="1" t="b">
        <v>1</v>
      </c>
      <c r="Q745" s="34"/>
    </row>
    <row r="746" spans="2:17">
      <c r="B746" s="1" t="str">
        <f t="shared" si="26"/>
        <v>M_MED01_VM_BKT_744</v>
      </c>
      <c r="C746" s="92" t="s">
        <v>727</v>
      </c>
      <c r="D746" s="92" t="str" cm="1">
        <f t="array" ref="D746">INDEX(기계코드!$D$4:$D$1022,MATCH(1,(C746=기계코드!$F$4:$F$1022)*1,0))</f>
        <v>M_MED01</v>
      </c>
      <c r="E746" s="92" t="s">
        <v>1128</v>
      </c>
      <c r="F746" s="92" t="str" cm="1">
        <f t="array" ref="F746">INDEX(공급업체코드!$B$3:$B$1000,MATCH(1,(E746=공급업체코드!$D$3:$D$1000)*1,0))</f>
        <v>VM_BKT</v>
      </c>
      <c r="H746" s="312">
        <v>744</v>
      </c>
      <c r="I746" s="233" t="s">
        <v>1313</v>
      </c>
      <c r="K746" s="233" t="s">
        <v>1314</v>
      </c>
      <c r="L746" s="236">
        <f t="shared" si="25"/>
        <v>743256</v>
      </c>
      <c r="N746" s="113" t="s">
        <v>1315</v>
      </c>
      <c r="O746" s="1" t="b">
        <v>1</v>
      </c>
      <c r="Q746" s="34"/>
    </row>
    <row r="747" spans="2:17">
      <c r="B747" s="1" t="str">
        <f t="shared" si="26"/>
        <v>M_MED01_VM_BKT_745</v>
      </c>
      <c r="C747" s="92" t="s">
        <v>727</v>
      </c>
      <c r="D747" s="92" t="str" cm="1">
        <f t="array" ref="D747">INDEX(기계코드!$D$4:$D$1022,MATCH(1,(C747=기계코드!$F$4:$F$1022)*1,0))</f>
        <v>M_MED01</v>
      </c>
      <c r="E747" s="92" t="s">
        <v>1128</v>
      </c>
      <c r="F747" s="92" t="str" cm="1">
        <f t="array" ref="F747">INDEX(공급업체코드!$B$3:$B$1000,MATCH(1,(E747=공급업체코드!$D$3:$D$1000)*1,0))</f>
        <v>VM_BKT</v>
      </c>
      <c r="H747" s="312">
        <v>745</v>
      </c>
      <c r="I747" s="233" t="s">
        <v>1313</v>
      </c>
      <c r="K747" s="233" t="s">
        <v>1314</v>
      </c>
      <c r="L747" s="236">
        <f t="shared" si="25"/>
        <v>744255</v>
      </c>
      <c r="N747" s="113" t="s">
        <v>1315</v>
      </c>
      <c r="O747" s="1" t="b">
        <v>1</v>
      </c>
      <c r="Q747" s="34"/>
    </row>
    <row r="748" spans="2:17">
      <c r="B748" s="1" t="str">
        <f t="shared" si="26"/>
        <v>M_MED01_VM_BKT_746</v>
      </c>
      <c r="C748" s="92" t="s">
        <v>727</v>
      </c>
      <c r="D748" s="92" t="str" cm="1">
        <f t="array" ref="D748">INDEX(기계코드!$D$4:$D$1022,MATCH(1,(C748=기계코드!$F$4:$F$1022)*1,0))</f>
        <v>M_MED01</v>
      </c>
      <c r="E748" s="92" t="s">
        <v>1128</v>
      </c>
      <c r="F748" s="92" t="str" cm="1">
        <f t="array" ref="F748">INDEX(공급업체코드!$B$3:$B$1000,MATCH(1,(E748=공급업체코드!$D$3:$D$1000)*1,0))</f>
        <v>VM_BKT</v>
      </c>
      <c r="H748" s="312">
        <v>746</v>
      </c>
      <c r="I748" s="233" t="s">
        <v>1313</v>
      </c>
      <c r="K748" s="233" t="s">
        <v>1314</v>
      </c>
      <c r="L748" s="236">
        <f t="shared" si="25"/>
        <v>745254</v>
      </c>
      <c r="N748" s="113" t="s">
        <v>1315</v>
      </c>
      <c r="O748" s="1" t="b">
        <v>1</v>
      </c>
      <c r="Q748" s="34"/>
    </row>
    <row r="749" spans="2:17">
      <c r="B749" s="1" t="str">
        <f t="shared" si="26"/>
        <v>M_MED01_VM_BKT_747</v>
      </c>
      <c r="C749" s="92" t="s">
        <v>727</v>
      </c>
      <c r="D749" s="92" t="str" cm="1">
        <f t="array" ref="D749">INDEX(기계코드!$D$4:$D$1022,MATCH(1,(C749=기계코드!$F$4:$F$1022)*1,0))</f>
        <v>M_MED01</v>
      </c>
      <c r="E749" s="92" t="s">
        <v>1128</v>
      </c>
      <c r="F749" s="92" t="str" cm="1">
        <f t="array" ref="F749">INDEX(공급업체코드!$B$3:$B$1000,MATCH(1,(E749=공급업체코드!$D$3:$D$1000)*1,0))</f>
        <v>VM_BKT</v>
      </c>
      <c r="H749" s="312">
        <v>747</v>
      </c>
      <c r="I749" s="233" t="s">
        <v>1313</v>
      </c>
      <c r="K749" s="233" t="s">
        <v>1314</v>
      </c>
      <c r="L749" s="236">
        <f t="shared" si="25"/>
        <v>746253</v>
      </c>
      <c r="N749" s="113" t="s">
        <v>1315</v>
      </c>
      <c r="O749" s="1" t="b">
        <v>1</v>
      </c>
      <c r="Q749" s="34"/>
    </row>
    <row r="750" spans="2:17">
      <c r="B750" s="1" t="str">
        <f t="shared" si="26"/>
        <v>M_MED01_VM_BKT_748</v>
      </c>
      <c r="C750" s="92" t="s">
        <v>727</v>
      </c>
      <c r="D750" s="92" t="str" cm="1">
        <f t="array" ref="D750">INDEX(기계코드!$D$4:$D$1022,MATCH(1,(C750=기계코드!$F$4:$F$1022)*1,0))</f>
        <v>M_MED01</v>
      </c>
      <c r="E750" s="92" t="s">
        <v>1128</v>
      </c>
      <c r="F750" s="92" t="str" cm="1">
        <f t="array" ref="F750">INDEX(공급업체코드!$B$3:$B$1000,MATCH(1,(E750=공급업체코드!$D$3:$D$1000)*1,0))</f>
        <v>VM_BKT</v>
      </c>
      <c r="H750" s="312">
        <v>748</v>
      </c>
      <c r="I750" s="233" t="s">
        <v>1313</v>
      </c>
      <c r="K750" s="233" t="s">
        <v>1314</v>
      </c>
      <c r="L750" s="236">
        <f t="shared" si="25"/>
        <v>747252</v>
      </c>
      <c r="N750" s="113" t="s">
        <v>1315</v>
      </c>
      <c r="O750" s="1" t="b">
        <v>1</v>
      </c>
      <c r="Q750" s="34"/>
    </row>
    <row r="751" spans="2:17">
      <c r="B751" s="1" t="str">
        <f t="shared" si="26"/>
        <v>M_MED01_VM_BKT_749</v>
      </c>
      <c r="C751" s="92" t="s">
        <v>727</v>
      </c>
      <c r="D751" s="92" t="str" cm="1">
        <f t="array" ref="D751">INDEX(기계코드!$D$4:$D$1022,MATCH(1,(C751=기계코드!$F$4:$F$1022)*1,0))</f>
        <v>M_MED01</v>
      </c>
      <c r="E751" s="92" t="s">
        <v>1128</v>
      </c>
      <c r="F751" s="92" t="str" cm="1">
        <f t="array" ref="F751">INDEX(공급업체코드!$B$3:$B$1000,MATCH(1,(E751=공급업체코드!$D$3:$D$1000)*1,0))</f>
        <v>VM_BKT</v>
      </c>
      <c r="H751" s="312">
        <v>749</v>
      </c>
      <c r="I751" s="233" t="s">
        <v>1313</v>
      </c>
      <c r="K751" s="233" t="s">
        <v>1314</v>
      </c>
      <c r="L751" s="236">
        <f t="shared" si="25"/>
        <v>748251</v>
      </c>
      <c r="N751" s="113" t="s">
        <v>1315</v>
      </c>
      <c r="O751" s="1" t="b">
        <v>1</v>
      </c>
      <c r="Q751" s="34"/>
    </row>
    <row r="752" spans="2:17">
      <c r="B752" s="1" t="str">
        <f t="shared" si="26"/>
        <v>M_MED01_VM_BKT_750</v>
      </c>
      <c r="C752" s="92" t="s">
        <v>727</v>
      </c>
      <c r="D752" s="92" t="str" cm="1">
        <f t="array" ref="D752">INDEX(기계코드!$D$4:$D$1022,MATCH(1,(C752=기계코드!$F$4:$F$1022)*1,0))</f>
        <v>M_MED01</v>
      </c>
      <c r="E752" s="92" t="s">
        <v>1128</v>
      </c>
      <c r="F752" s="92" t="str" cm="1">
        <f t="array" ref="F752">INDEX(공급업체코드!$B$3:$B$1000,MATCH(1,(E752=공급업체코드!$D$3:$D$1000)*1,0))</f>
        <v>VM_BKT</v>
      </c>
      <c r="H752" s="312">
        <v>750</v>
      </c>
      <c r="I752" s="233" t="s">
        <v>1313</v>
      </c>
      <c r="K752" s="233" t="s">
        <v>1314</v>
      </c>
      <c r="L752" s="236">
        <f t="shared" si="25"/>
        <v>749250</v>
      </c>
      <c r="N752" s="113" t="s">
        <v>1315</v>
      </c>
      <c r="O752" s="1" t="b">
        <v>1</v>
      </c>
      <c r="Q752" s="34"/>
    </row>
    <row r="753" spans="2:17">
      <c r="B753" s="1" t="str">
        <f t="shared" si="26"/>
        <v>M_MED01_VM_BKT_751</v>
      </c>
      <c r="C753" s="92" t="s">
        <v>727</v>
      </c>
      <c r="D753" s="92" t="str" cm="1">
        <f t="array" ref="D753">INDEX(기계코드!$D$4:$D$1022,MATCH(1,(C753=기계코드!$F$4:$F$1022)*1,0))</f>
        <v>M_MED01</v>
      </c>
      <c r="E753" s="92" t="s">
        <v>1128</v>
      </c>
      <c r="F753" s="92" t="str" cm="1">
        <f t="array" ref="F753">INDEX(공급업체코드!$B$3:$B$1000,MATCH(1,(E753=공급업체코드!$D$3:$D$1000)*1,0))</f>
        <v>VM_BKT</v>
      </c>
      <c r="H753" s="312">
        <v>751</v>
      </c>
      <c r="I753" s="233" t="s">
        <v>1313</v>
      </c>
      <c r="K753" s="233" t="s">
        <v>1314</v>
      </c>
      <c r="L753" s="236">
        <f t="shared" si="25"/>
        <v>750249</v>
      </c>
      <c r="N753" s="113" t="s">
        <v>1315</v>
      </c>
      <c r="O753" s="1" t="b">
        <v>1</v>
      </c>
      <c r="Q753" s="34"/>
    </row>
    <row r="754" spans="2:17">
      <c r="B754" s="1" t="str">
        <f t="shared" si="26"/>
        <v>M_MED01_VM_BKT_752</v>
      </c>
      <c r="C754" s="92" t="s">
        <v>727</v>
      </c>
      <c r="D754" s="92" t="str" cm="1">
        <f t="array" ref="D754">INDEX(기계코드!$D$4:$D$1022,MATCH(1,(C754=기계코드!$F$4:$F$1022)*1,0))</f>
        <v>M_MED01</v>
      </c>
      <c r="E754" s="92" t="s">
        <v>1128</v>
      </c>
      <c r="F754" s="92" t="str" cm="1">
        <f t="array" ref="F754">INDEX(공급업체코드!$B$3:$B$1000,MATCH(1,(E754=공급업체코드!$D$3:$D$1000)*1,0))</f>
        <v>VM_BKT</v>
      </c>
      <c r="H754" s="312">
        <v>752</v>
      </c>
      <c r="I754" s="233" t="s">
        <v>1313</v>
      </c>
      <c r="K754" s="233" t="s">
        <v>1314</v>
      </c>
      <c r="L754" s="236">
        <f t="shared" si="25"/>
        <v>751248</v>
      </c>
      <c r="N754" s="113" t="s">
        <v>1315</v>
      </c>
      <c r="O754" s="1" t="b">
        <v>1</v>
      </c>
      <c r="Q754" s="34"/>
    </row>
    <row r="755" spans="2:17">
      <c r="B755" s="1" t="str">
        <f t="shared" si="26"/>
        <v>M_MED01_VM_BKT_753</v>
      </c>
      <c r="C755" s="92" t="s">
        <v>727</v>
      </c>
      <c r="D755" s="92" t="str" cm="1">
        <f t="array" ref="D755">INDEX(기계코드!$D$4:$D$1022,MATCH(1,(C755=기계코드!$F$4:$F$1022)*1,0))</f>
        <v>M_MED01</v>
      </c>
      <c r="E755" s="92" t="s">
        <v>1128</v>
      </c>
      <c r="F755" s="92" t="str" cm="1">
        <f t="array" ref="F755">INDEX(공급업체코드!$B$3:$B$1000,MATCH(1,(E755=공급업체코드!$D$3:$D$1000)*1,0))</f>
        <v>VM_BKT</v>
      </c>
      <c r="H755" s="312">
        <v>753</v>
      </c>
      <c r="I755" s="233" t="s">
        <v>1313</v>
      </c>
      <c r="K755" s="233" t="s">
        <v>1314</v>
      </c>
      <c r="L755" s="236">
        <f t="shared" si="25"/>
        <v>752247</v>
      </c>
      <c r="N755" s="113" t="s">
        <v>1315</v>
      </c>
      <c r="O755" s="1" t="b">
        <v>1</v>
      </c>
      <c r="Q755" s="34"/>
    </row>
    <row r="756" spans="2:17">
      <c r="B756" s="1" t="str">
        <f t="shared" si="26"/>
        <v>M_MED01_VM_BKT_754</v>
      </c>
      <c r="C756" s="92" t="s">
        <v>727</v>
      </c>
      <c r="D756" s="92" t="str" cm="1">
        <f t="array" ref="D756">INDEX(기계코드!$D$4:$D$1022,MATCH(1,(C756=기계코드!$F$4:$F$1022)*1,0))</f>
        <v>M_MED01</v>
      </c>
      <c r="E756" s="92" t="s">
        <v>1128</v>
      </c>
      <c r="F756" s="92" t="str" cm="1">
        <f t="array" ref="F756">INDEX(공급업체코드!$B$3:$B$1000,MATCH(1,(E756=공급업체코드!$D$3:$D$1000)*1,0))</f>
        <v>VM_BKT</v>
      </c>
      <c r="H756" s="312">
        <v>754</v>
      </c>
      <c r="I756" s="233" t="s">
        <v>1313</v>
      </c>
      <c r="K756" s="233" t="s">
        <v>1314</v>
      </c>
      <c r="L756" s="236">
        <f t="shared" si="25"/>
        <v>753246</v>
      </c>
      <c r="N756" s="113" t="s">
        <v>1315</v>
      </c>
      <c r="O756" s="1" t="b">
        <v>1</v>
      </c>
      <c r="Q756" s="34"/>
    </row>
    <row r="757" spans="2:17">
      <c r="B757" s="1" t="str">
        <f t="shared" si="26"/>
        <v>M_MED01_VM_BKT_755</v>
      </c>
      <c r="C757" s="92" t="s">
        <v>727</v>
      </c>
      <c r="D757" s="92" t="str" cm="1">
        <f t="array" ref="D757">INDEX(기계코드!$D$4:$D$1022,MATCH(1,(C757=기계코드!$F$4:$F$1022)*1,0))</f>
        <v>M_MED01</v>
      </c>
      <c r="E757" s="92" t="s">
        <v>1128</v>
      </c>
      <c r="F757" s="92" t="str" cm="1">
        <f t="array" ref="F757">INDEX(공급업체코드!$B$3:$B$1000,MATCH(1,(E757=공급업체코드!$D$3:$D$1000)*1,0))</f>
        <v>VM_BKT</v>
      </c>
      <c r="H757" s="312">
        <v>755</v>
      </c>
      <c r="I757" s="233" t="s">
        <v>1313</v>
      </c>
      <c r="K757" s="233" t="s">
        <v>1314</v>
      </c>
      <c r="L757" s="236">
        <f t="shared" si="25"/>
        <v>754245</v>
      </c>
      <c r="N757" s="113" t="s">
        <v>1315</v>
      </c>
      <c r="O757" s="1" t="b">
        <v>1</v>
      </c>
      <c r="Q757" s="34"/>
    </row>
    <row r="758" spans="2:17">
      <c r="B758" s="1" t="str">
        <f t="shared" si="26"/>
        <v>M_MED01_VM_BKT_756</v>
      </c>
      <c r="C758" s="92" t="s">
        <v>727</v>
      </c>
      <c r="D758" s="92" t="str" cm="1">
        <f t="array" ref="D758">INDEX(기계코드!$D$4:$D$1022,MATCH(1,(C758=기계코드!$F$4:$F$1022)*1,0))</f>
        <v>M_MED01</v>
      </c>
      <c r="E758" s="92" t="s">
        <v>1128</v>
      </c>
      <c r="F758" s="92" t="str" cm="1">
        <f t="array" ref="F758">INDEX(공급업체코드!$B$3:$B$1000,MATCH(1,(E758=공급업체코드!$D$3:$D$1000)*1,0))</f>
        <v>VM_BKT</v>
      </c>
      <c r="H758" s="312">
        <v>756</v>
      </c>
      <c r="I758" s="233" t="s">
        <v>1313</v>
      </c>
      <c r="K758" s="233" t="s">
        <v>1314</v>
      </c>
      <c r="L758" s="236">
        <f t="shared" si="25"/>
        <v>755244</v>
      </c>
      <c r="N758" s="113" t="s">
        <v>1315</v>
      </c>
      <c r="O758" s="1" t="b">
        <v>1</v>
      </c>
      <c r="Q758" s="34"/>
    </row>
    <row r="759" spans="2:17">
      <c r="B759" s="1" t="str">
        <f t="shared" si="26"/>
        <v>M_MED01_VM_BKT_757</v>
      </c>
      <c r="C759" s="92" t="s">
        <v>727</v>
      </c>
      <c r="D759" s="92" t="str" cm="1">
        <f t="array" ref="D759">INDEX(기계코드!$D$4:$D$1022,MATCH(1,(C759=기계코드!$F$4:$F$1022)*1,0))</f>
        <v>M_MED01</v>
      </c>
      <c r="E759" s="92" t="s">
        <v>1128</v>
      </c>
      <c r="F759" s="92" t="str" cm="1">
        <f t="array" ref="F759">INDEX(공급업체코드!$B$3:$B$1000,MATCH(1,(E759=공급업체코드!$D$3:$D$1000)*1,0))</f>
        <v>VM_BKT</v>
      </c>
      <c r="H759" s="312">
        <v>757</v>
      </c>
      <c r="I759" s="233" t="s">
        <v>1313</v>
      </c>
      <c r="K759" s="233" t="s">
        <v>1314</v>
      </c>
      <c r="L759" s="236">
        <f t="shared" si="25"/>
        <v>756243</v>
      </c>
      <c r="N759" s="113" t="s">
        <v>1315</v>
      </c>
      <c r="O759" s="1" t="b">
        <v>1</v>
      </c>
      <c r="Q759" s="34"/>
    </row>
    <row r="760" spans="2:17">
      <c r="B760" s="1" t="str">
        <f t="shared" si="26"/>
        <v>M_MED01_VM_BKT_758</v>
      </c>
      <c r="C760" s="92" t="s">
        <v>727</v>
      </c>
      <c r="D760" s="92" t="str" cm="1">
        <f t="array" ref="D760">INDEX(기계코드!$D$4:$D$1022,MATCH(1,(C760=기계코드!$F$4:$F$1022)*1,0))</f>
        <v>M_MED01</v>
      </c>
      <c r="E760" s="92" t="s">
        <v>1128</v>
      </c>
      <c r="F760" s="92" t="str" cm="1">
        <f t="array" ref="F760">INDEX(공급업체코드!$B$3:$B$1000,MATCH(1,(E760=공급업체코드!$D$3:$D$1000)*1,0))</f>
        <v>VM_BKT</v>
      </c>
      <c r="H760" s="312">
        <v>758</v>
      </c>
      <c r="I760" s="233" t="s">
        <v>1313</v>
      </c>
      <c r="K760" s="233" t="s">
        <v>1314</v>
      </c>
      <c r="L760" s="236">
        <f t="shared" si="25"/>
        <v>757242</v>
      </c>
      <c r="N760" s="113" t="s">
        <v>1315</v>
      </c>
      <c r="O760" s="1" t="b">
        <v>1</v>
      </c>
      <c r="Q760" s="34"/>
    </row>
    <row r="761" spans="2:17">
      <c r="B761" s="1" t="str">
        <f t="shared" si="26"/>
        <v>M_MED01_VM_BKT_759</v>
      </c>
      <c r="C761" s="92" t="s">
        <v>727</v>
      </c>
      <c r="D761" s="92" t="str" cm="1">
        <f t="array" ref="D761">INDEX(기계코드!$D$4:$D$1022,MATCH(1,(C761=기계코드!$F$4:$F$1022)*1,0))</f>
        <v>M_MED01</v>
      </c>
      <c r="E761" s="92" t="s">
        <v>1128</v>
      </c>
      <c r="F761" s="92" t="str" cm="1">
        <f t="array" ref="F761">INDEX(공급업체코드!$B$3:$B$1000,MATCH(1,(E761=공급업체코드!$D$3:$D$1000)*1,0))</f>
        <v>VM_BKT</v>
      </c>
      <c r="H761" s="312">
        <v>759</v>
      </c>
      <c r="I761" s="233" t="s">
        <v>1313</v>
      </c>
      <c r="K761" s="233" t="s">
        <v>1314</v>
      </c>
      <c r="L761" s="236">
        <f t="shared" si="25"/>
        <v>758241</v>
      </c>
      <c r="N761" s="113" t="s">
        <v>1315</v>
      </c>
      <c r="O761" s="1" t="b">
        <v>1</v>
      </c>
      <c r="Q761" s="34"/>
    </row>
    <row r="762" spans="2:17">
      <c r="B762" s="1" t="str">
        <f t="shared" si="26"/>
        <v>M_MED01_VM_BKT_760</v>
      </c>
      <c r="C762" s="92" t="s">
        <v>727</v>
      </c>
      <c r="D762" s="92" t="str" cm="1">
        <f t="array" ref="D762">INDEX(기계코드!$D$4:$D$1022,MATCH(1,(C762=기계코드!$F$4:$F$1022)*1,0))</f>
        <v>M_MED01</v>
      </c>
      <c r="E762" s="92" t="s">
        <v>1128</v>
      </c>
      <c r="F762" s="92" t="str" cm="1">
        <f t="array" ref="F762">INDEX(공급업체코드!$B$3:$B$1000,MATCH(1,(E762=공급업체코드!$D$3:$D$1000)*1,0))</f>
        <v>VM_BKT</v>
      </c>
      <c r="H762" s="312">
        <v>760</v>
      </c>
      <c r="I762" s="233" t="s">
        <v>1313</v>
      </c>
      <c r="K762" s="233" t="s">
        <v>1314</v>
      </c>
      <c r="L762" s="236">
        <f t="shared" si="25"/>
        <v>759240</v>
      </c>
      <c r="N762" s="113" t="s">
        <v>1315</v>
      </c>
      <c r="O762" s="1" t="b">
        <v>1</v>
      </c>
      <c r="Q762" s="34"/>
    </row>
    <row r="763" spans="2:17">
      <c r="B763" s="1" t="str">
        <f t="shared" si="26"/>
        <v>M_MED01_VM_BKT_761</v>
      </c>
      <c r="C763" s="92" t="s">
        <v>727</v>
      </c>
      <c r="D763" s="92" t="str" cm="1">
        <f t="array" ref="D763">INDEX(기계코드!$D$4:$D$1022,MATCH(1,(C763=기계코드!$F$4:$F$1022)*1,0))</f>
        <v>M_MED01</v>
      </c>
      <c r="E763" s="92" t="s">
        <v>1128</v>
      </c>
      <c r="F763" s="92" t="str" cm="1">
        <f t="array" ref="F763">INDEX(공급업체코드!$B$3:$B$1000,MATCH(1,(E763=공급업체코드!$D$3:$D$1000)*1,0))</f>
        <v>VM_BKT</v>
      </c>
      <c r="H763" s="312">
        <v>761</v>
      </c>
      <c r="I763" s="233" t="s">
        <v>1313</v>
      </c>
      <c r="K763" s="233" t="s">
        <v>1314</v>
      </c>
      <c r="L763" s="236">
        <f t="shared" si="25"/>
        <v>760239</v>
      </c>
      <c r="N763" s="113" t="s">
        <v>1315</v>
      </c>
      <c r="O763" s="1" t="b">
        <v>1</v>
      </c>
      <c r="Q763" s="34"/>
    </row>
    <row r="764" spans="2:17">
      <c r="B764" s="1" t="str">
        <f t="shared" si="26"/>
        <v>M_MED01_VM_BKT_762</v>
      </c>
      <c r="C764" s="92" t="s">
        <v>727</v>
      </c>
      <c r="D764" s="92" t="str" cm="1">
        <f t="array" ref="D764">INDEX(기계코드!$D$4:$D$1022,MATCH(1,(C764=기계코드!$F$4:$F$1022)*1,0))</f>
        <v>M_MED01</v>
      </c>
      <c r="E764" s="92" t="s">
        <v>1128</v>
      </c>
      <c r="F764" s="92" t="str" cm="1">
        <f t="array" ref="F764">INDEX(공급업체코드!$B$3:$B$1000,MATCH(1,(E764=공급업체코드!$D$3:$D$1000)*1,0))</f>
        <v>VM_BKT</v>
      </c>
      <c r="H764" s="312">
        <v>762</v>
      </c>
      <c r="I764" s="233" t="s">
        <v>1313</v>
      </c>
      <c r="K764" s="233" t="s">
        <v>1314</v>
      </c>
      <c r="L764" s="236">
        <f t="shared" si="25"/>
        <v>761238</v>
      </c>
      <c r="N764" s="113" t="s">
        <v>1315</v>
      </c>
      <c r="O764" s="1" t="b">
        <v>1</v>
      </c>
      <c r="Q764" s="34"/>
    </row>
    <row r="765" spans="2:17">
      <c r="B765" s="1" t="str">
        <f t="shared" si="26"/>
        <v>M_MED01_VM_BKT_763</v>
      </c>
      <c r="C765" s="92" t="s">
        <v>727</v>
      </c>
      <c r="D765" s="92" t="str" cm="1">
        <f t="array" ref="D765">INDEX(기계코드!$D$4:$D$1022,MATCH(1,(C765=기계코드!$F$4:$F$1022)*1,0))</f>
        <v>M_MED01</v>
      </c>
      <c r="E765" s="92" t="s">
        <v>1128</v>
      </c>
      <c r="F765" s="92" t="str" cm="1">
        <f t="array" ref="F765">INDEX(공급업체코드!$B$3:$B$1000,MATCH(1,(E765=공급업체코드!$D$3:$D$1000)*1,0))</f>
        <v>VM_BKT</v>
      </c>
      <c r="H765" s="312">
        <v>763</v>
      </c>
      <c r="I765" s="233" t="s">
        <v>1313</v>
      </c>
      <c r="K765" s="233" t="s">
        <v>1314</v>
      </c>
      <c r="L765" s="236">
        <f t="shared" si="25"/>
        <v>762237</v>
      </c>
      <c r="N765" s="113" t="s">
        <v>1315</v>
      </c>
      <c r="O765" s="1" t="b">
        <v>1</v>
      </c>
      <c r="Q765" s="34"/>
    </row>
    <row r="766" spans="2:17">
      <c r="B766" s="1" t="str">
        <f t="shared" si="26"/>
        <v>M_MED01_VM_BKT_764</v>
      </c>
      <c r="C766" s="92" t="s">
        <v>727</v>
      </c>
      <c r="D766" s="92" t="str" cm="1">
        <f t="array" ref="D766">INDEX(기계코드!$D$4:$D$1022,MATCH(1,(C766=기계코드!$F$4:$F$1022)*1,0))</f>
        <v>M_MED01</v>
      </c>
      <c r="E766" s="92" t="s">
        <v>1128</v>
      </c>
      <c r="F766" s="92" t="str" cm="1">
        <f t="array" ref="F766">INDEX(공급업체코드!$B$3:$B$1000,MATCH(1,(E766=공급업체코드!$D$3:$D$1000)*1,0))</f>
        <v>VM_BKT</v>
      </c>
      <c r="H766" s="312">
        <v>764</v>
      </c>
      <c r="I766" s="233" t="s">
        <v>1313</v>
      </c>
      <c r="K766" s="233" t="s">
        <v>1314</v>
      </c>
      <c r="L766" s="236">
        <f t="shared" si="25"/>
        <v>763236</v>
      </c>
      <c r="N766" s="113" t="s">
        <v>1315</v>
      </c>
      <c r="O766" s="1" t="b">
        <v>1</v>
      </c>
      <c r="Q766" s="34"/>
    </row>
    <row r="767" spans="2:17">
      <c r="B767" s="1" t="str">
        <f t="shared" si="26"/>
        <v>M_MED01_VM_BKT_765</v>
      </c>
      <c r="C767" s="92" t="s">
        <v>727</v>
      </c>
      <c r="D767" s="92" t="str" cm="1">
        <f t="array" ref="D767">INDEX(기계코드!$D$4:$D$1022,MATCH(1,(C767=기계코드!$F$4:$F$1022)*1,0))</f>
        <v>M_MED01</v>
      </c>
      <c r="E767" s="92" t="s">
        <v>1128</v>
      </c>
      <c r="F767" s="92" t="str" cm="1">
        <f t="array" ref="F767">INDEX(공급업체코드!$B$3:$B$1000,MATCH(1,(E767=공급업체코드!$D$3:$D$1000)*1,0))</f>
        <v>VM_BKT</v>
      </c>
      <c r="H767" s="312">
        <v>765</v>
      </c>
      <c r="I767" s="233" t="s">
        <v>1313</v>
      </c>
      <c r="K767" s="233" t="s">
        <v>1314</v>
      </c>
      <c r="L767" s="236">
        <f t="shared" si="25"/>
        <v>764235</v>
      </c>
      <c r="N767" s="113" t="s">
        <v>1315</v>
      </c>
      <c r="O767" s="1" t="b">
        <v>1</v>
      </c>
      <c r="Q767" s="34"/>
    </row>
    <row r="768" spans="2:17">
      <c r="B768" s="1" t="str">
        <f t="shared" si="26"/>
        <v>M_MED01_VM_BKT_766</v>
      </c>
      <c r="C768" s="92" t="s">
        <v>727</v>
      </c>
      <c r="D768" s="92" t="str" cm="1">
        <f t="array" ref="D768">INDEX(기계코드!$D$4:$D$1022,MATCH(1,(C768=기계코드!$F$4:$F$1022)*1,0))</f>
        <v>M_MED01</v>
      </c>
      <c r="E768" s="92" t="s">
        <v>1128</v>
      </c>
      <c r="F768" s="92" t="str" cm="1">
        <f t="array" ref="F768">INDEX(공급업체코드!$B$3:$B$1000,MATCH(1,(E768=공급업체코드!$D$3:$D$1000)*1,0))</f>
        <v>VM_BKT</v>
      </c>
      <c r="H768" s="312">
        <v>766</v>
      </c>
      <c r="I768" s="233" t="s">
        <v>1313</v>
      </c>
      <c r="K768" s="233" t="s">
        <v>1314</v>
      </c>
      <c r="L768" s="236">
        <f t="shared" si="25"/>
        <v>765234</v>
      </c>
      <c r="N768" s="113" t="s">
        <v>1315</v>
      </c>
      <c r="O768" s="1" t="b">
        <v>1</v>
      </c>
      <c r="Q768" s="34"/>
    </row>
    <row r="769" spans="2:17">
      <c r="B769" s="1" t="str">
        <f t="shared" si="26"/>
        <v>M_MED01_VM_BKT_767</v>
      </c>
      <c r="C769" s="92" t="s">
        <v>727</v>
      </c>
      <c r="D769" s="92" t="str" cm="1">
        <f t="array" ref="D769">INDEX(기계코드!$D$4:$D$1022,MATCH(1,(C769=기계코드!$F$4:$F$1022)*1,0))</f>
        <v>M_MED01</v>
      </c>
      <c r="E769" s="92" t="s">
        <v>1128</v>
      </c>
      <c r="F769" s="92" t="str" cm="1">
        <f t="array" ref="F769">INDEX(공급업체코드!$B$3:$B$1000,MATCH(1,(E769=공급업체코드!$D$3:$D$1000)*1,0))</f>
        <v>VM_BKT</v>
      </c>
      <c r="H769" s="312">
        <v>767</v>
      </c>
      <c r="I769" s="233" t="s">
        <v>1313</v>
      </c>
      <c r="K769" s="233" t="s">
        <v>1314</v>
      </c>
      <c r="L769" s="236">
        <f t="shared" si="25"/>
        <v>766233</v>
      </c>
      <c r="N769" s="113" t="s">
        <v>1315</v>
      </c>
      <c r="O769" s="1" t="b">
        <v>1</v>
      </c>
      <c r="Q769" s="34"/>
    </row>
    <row r="770" spans="2:17">
      <c r="B770" s="1" t="str">
        <f t="shared" si="26"/>
        <v>M_MED01_VM_BKT_768</v>
      </c>
      <c r="C770" s="92" t="s">
        <v>727</v>
      </c>
      <c r="D770" s="92" t="str" cm="1">
        <f t="array" ref="D770">INDEX(기계코드!$D$4:$D$1022,MATCH(1,(C770=기계코드!$F$4:$F$1022)*1,0))</f>
        <v>M_MED01</v>
      </c>
      <c r="E770" s="92" t="s">
        <v>1128</v>
      </c>
      <c r="F770" s="92" t="str" cm="1">
        <f t="array" ref="F770">INDEX(공급업체코드!$B$3:$B$1000,MATCH(1,(E770=공급업체코드!$D$3:$D$1000)*1,0))</f>
        <v>VM_BKT</v>
      </c>
      <c r="H770" s="312">
        <v>768</v>
      </c>
      <c r="I770" s="233" t="s">
        <v>1313</v>
      </c>
      <c r="K770" s="233" t="s">
        <v>1314</v>
      </c>
      <c r="L770" s="236">
        <f t="shared" si="25"/>
        <v>767232</v>
      </c>
      <c r="N770" s="113" t="s">
        <v>1315</v>
      </c>
      <c r="O770" s="1" t="b">
        <v>1</v>
      </c>
      <c r="Q770" s="34"/>
    </row>
    <row r="771" spans="2:17">
      <c r="B771" s="1" t="str">
        <f t="shared" si="26"/>
        <v>M_MED01_VM_BKT_769</v>
      </c>
      <c r="C771" s="92" t="s">
        <v>727</v>
      </c>
      <c r="D771" s="92" t="str" cm="1">
        <f t="array" ref="D771">INDEX(기계코드!$D$4:$D$1022,MATCH(1,(C771=기계코드!$F$4:$F$1022)*1,0))</f>
        <v>M_MED01</v>
      </c>
      <c r="E771" s="92" t="s">
        <v>1128</v>
      </c>
      <c r="F771" s="92" t="str" cm="1">
        <f t="array" ref="F771">INDEX(공급업체코드!$B$3:$B$1000,MATCH(1,(E771=공급업체코드!$D$3:$D$1000)*1,0))</f>
        <v>VM_BKT</v>
      </c>
      <c r="H771" s="312">
        <v>769</v>
      </c>
      <c r="I771" s="233" t="s">
        <v>1313</v>
      </c>
      <c r="K771" s="233" t="s">
        <v>1314</v>
      </c>
      <c r="L771" s="236">
        <f t="shared" si="25"/>
        <v>768231</v>
      </c>
      <c r="N771" s="113" t="s">
        <v>1315</v>
      </c>
      <c r="O771" s="1" t="b">
        <v>1</v>
      </c>
      <c r="Q771" s="34"/>
    </row>
    <row r="772" spans="2:17">
      <c r="B772" s="1" t="str">
        <f t="shared" si="26"/>
        <v>M_MED01_VM_BKT_770</v>
      </c>
      <c r="C772" s="92" t="s">
        <v>727</v>
      </c>
      <c r="D772" s="92" t="str" cm="1">
        <f t="array" ref="D772">INDEX(기계코드!$D$4:$D$1022,MATCH(1,(C772=기계코드!$F$4:$F$1022)*1,0))</f>
        <v>M_MED01</v>
      </c>
      <c r="E772" s="92" t="s">
        <v>1128</v>
      </c>
      <c r="F772" s="92" t="str" cm="1">
        <f t="array" ref="F772">INDEX(공급업체코드!$B$3:$B$1000,MATCH(1,(E772=공급업체코드!$D$3:$D$1000)*1,0))</f>
        <v>VM_BKT</v>
      </c>
      <c r="H772" s="312">
        <v>770</v>
      </c>
      <c r="I772" s="233" t="s">
        <v>1313</v>
      </c>
      <c r="K772" s="233" t="s">
        <v>1314</v>
      </c>
      <c r="L772" s="236">
        <f t="shared" si="25"/>
        <v>769230</v>
      </c>
      <c r="N772" s="113" t="s">
        <v>1315</v>
      </c>
      <c r="O772" s="1" t="b">
        <v>1</v>
      </c>
      <c r="Q772" s="34"/>
    </row>
    <row r="773" spans="2:17">
      <c r="B773" s="1" t="str">
        <f t="shared" si="26"/>
        <v>M_MED01_VM_BKT_771</v>
      </c>
      <c r="C773" s="92" t="s">
        <v>727</v>
      </c>
      <c r="D773" s="92" t="str" cm="1">
        <f t="array" ref="D773">INDEX(기계코드!$D$4:$D$1022,MATCH(1,(C773=기계코드!$F$4:$F$1022)*1,0))</f>
        <v>M_MED01</v>
      </c>
      <c r="E773" s="92" t="s">
        <v>1128</v>
      </c>
      <c r="F773" s="92" t="str" cm="1">
        <f t="array" ref="F773">INDEX(공급업체코드!$B$3:$B$1000,MATCH(1,(E773=공급업체코드!$D$3:$D$1000)*1,0))</f>
        <v>VM_BKT</v>
      </c>
      <c r="H773" s="312">
        <v>771</v>
      </c>
      <c r="I773" s="233" t="s">
        <v>1313</v>
      </c>
      <c r="K773" s="233" t="s">
        <v>1314</v>
      </c>
      <c r="L773" s="236">
        <f t="shared" ref="L773:L836" si="27">$L$3*H773</f>
        <v>770229</v>
      </c>
      <c r="N773" s="113" t="s">
        <v>1315</v>
      </c>
      <c r="O773" s="1" t="b">
        <v>1</v>
      </c>
      <c r="Q773" s="34"/>
    </row>
    <row r="774" spans="2:17">
      <c r="B774" s="1" t="str">
        <f t="shared" si="26"/>
        <v>M_MED01_VM_BKT_772</v>
      </c>
      <c r="C774" s="92" t="s">
        <v>727</v>
      </c>
      <c r="D774" s="92" t="str" cm="1">
        <f t="array" ref="D774">INDEX(기계코드!$D$4:$D$1022,MATCH(1,(C774=기계코드!$F$4:$F$1022)*1,0))</f>
        <v>M_MED01</v>
      </c>
      <c r="E774" s="92" t="s">
        <v>1128</v>
      </c>
      <c r="F774" s="92" t="str" cm="1">
        <f t="array" ref="F774">INDEX(공급업체코드!$B$3:$B$1000,MATCH(1,(E774=공급업체코드!$D$3:$D$1000)*1,0))</f>
        <v>VM_BKT</v>
      </c>
      <c r="H774" s="312">
        <v>772</v>
      </c>
      <c r="I774" s="233" t="s">
        <v>1313</v>
      </c>
      <c r="K774" s="233" t="s">
        <v>1314</v>
      </c>
      <c r="L774" s="236">
        <f t="shared" si="27"/>
        <v>771228</v>
      </c>
      <c r="N774" s="113" t="s">
        <v>1315</v>
      </c>
      <c r="O774" s="1" t="b">
        <v>1</v>
      </c>
      <c r="Q774" s="34"/>
    </row>
    <row r="775" spans="2:17">
      <c r="B775" s="1" t="str">
        <f t="shared" ref="B775:B838" si="28">D775&amp;"_"&amp;F775&amp;"_"&amp;H775</f>
        <v>M_MED01_VM_BKT_773</v>
      </c>
      <c r="C775" s="92" t="s">
        <v>727</v>
      </c>
      <c r="D775" s="92" t="str" cm="1">
        <f t="array" ref="D775">INDEX(기계코드!$D$4:$D$1022,MATCH(1,(C775=기계코드!$F$4:$F$1022)*1,0))</f>
        <v>M_MED01</v>
      </c>
      <c r="E775" s="92" t="s">
        <v>1128</v>
      </c>
      <c r="F775" s="92" t="str" cm="1">
        <f t="array" ref="F775">INDEX(공급업체코드!$B$3:$B$1000,MATCH(1,(E775=공급업체코드!$D$3:$D$1000)*1,0))</f>
        <v>VM_BKT</v>
      </c>
      <c r="H775" s="312">
        <v>773</v>
      </c>
      <c r="I775" s="233" t="s">
        <v>1313</v>
      </c>
      <c r="K775" s="233" t="s">
        <v>1314</v>
      </c>
      <c r="L775" s="236">
        <f t="shared" si="27"/>
        <v>772227</v>
      </c>
      <c r="N775" s="113" t="s">
        <v>1315</v>
      </c>
      <c r="O775" s="1" t="b">
        <v>1</v>
      </c>
      <c r="Q775" s="34"/>
    </row>
    <row r="776" spans="2:17">
      <c r="B776" s="1" t="str">
        <f t="shared" si="28"/>
        <v>M_MED01_VM_BKT_774</v>
      </c>
      <c r="C776" s="92" t="s">
        <v>727</v>
      </c>
      <c r="D776" s="92" t="str" cm="1">
        <f t="array" ref="D776">INDEX(기계코드!$D$4:$D$1022,MATCH(1,(C776=기계코드!$F$4:$F$1022)*1,0))</f>
        <v>M_MED01</v>
      </c>
      <c r="E776" s="92" t="s">
        <v>1128</v>
      </c>
      <c r="F776" s="92" t="str" cm="1">
        <f t="array" ref="F776">INDEX(공급업체코드!$B$3:$B$1000,MATCH(1,(E776=공급업체코드!$D$3:$D$1000)*1,0))</f>
        <v>VM_BKT</v>
      </c>
      <c r="H776" s="312">
        <v>774</v>
      </c>
      <c r="I776" s="233" t="s">
        <v>1313</v>
      </c>
      <c r="K776" s="233" t="s">
        <v>1314</v>
      </c>
      <c r="L776" s="236">
        <f t="shared" si="27"/>
        <v>773226</v>
      </c>
      <c r="N776" s="113" t="s">
        <v>1315</v>
      </c>
      <c r="O776" s="1" t="b">
        <v>1</v>
      </c>
      <c r="Q776" s="34"/>
    </row>
    <row r="777" spans="2:17">
      <c r="B777" s="1" t="str">
        <f t="shared" si="28"/>
        <v>M_MED01_VM_BKT_775</v>
      </c>
      <c r="C777" s="92" t="s">
        <v>727</v>
      </c>
      <c r="D777" s="92" t="str" cm="1">
        <f t="array" ref="D777">INDEX(기계코드!$D$4:$D$1022,MATCH(1,(C777=기계코드!$F$4:$F$1022)*1,0))</f>
        <v>M_MED01</v>
      </c>
      <c r="E777" s="92" t="s">
        <v>1128</v>
      </c>
      <c r="F777" s="92" t="str" cm="1">
        <f t="array" ref="F777">INDEX(공급업체코드!$B$3:$B$1000,MATCH(1,(E777=공급업체코드!$D$3:$D$1000)*1,0))</f>
        <v>VM_BKT</v>
      </c>
      <c r="H777" s="312">
        <v>775</v>
      </c>
      <c r="I777" s="233" t="s">
        <v>1313</v>
      </c>
      <c r="K777" s="233" t="s">
        <v>1314</v>
      </c>
      <c r="L777" s="236">
        <f t="shared" si="27"/>
        <v>774225</v>
      </c>
      <c r="N777" s="113" t="s">
        <v>1315</v>
      </c>
      <c r="O777" s="1" t="b">
        <v>1</v>
      </c>
      <c r="Q777" s="34"/>
    </row>
    <row r="778" spans="2:17">
      <c r="B778" s="1" t="str">
        <f t="shared" si="28"/>
        <v>M_MED01_VM_BKT_776</v>
      </c>
      <c r="C778" s="92" t="s">
        <v>727</v>
      </c>
      <c r="D778" s="92" t="str" cm="1">
        <f t="array" ref="D778">INDEX(기계코드!$D$4:$D$1022,MATCH(1,(C778=기계코드!$F$4:$F$1022)*1,0))</f>
        <v>M_MED01</v>
      </c>
      <c r="E778" s="92" t="s">
        <v>1128</v>
      </c>
      <c r="F778" s="92" t="str" cm="1">
        <f t="array" ref="F778">INDEX(공급업체코드!$B$3:$B$1000,MATCH(1,(E778=공급업체코드!$D$3:$D$1000)*1,0))</f>
        <v>VM_BKT</v>
      </c>
      <c r="H778" s="312">
        <v>776</v>
      </c>
      <c r="I778" s="233" t="s">
        <v>1313</v>
      </c>
      <c r="K778" s="233" t="s">
        <v>1314</v>
      </c>
      <c r="L778" s="236">
        <f t="shared" si="27"/>
        <v>775224</v>
      </c>
      <c r="N778" s="113" t="s">
        <v>1315</v>
      </c>
      <c r="O778" s="1" t="b">
        <v>1</v>
      </c>
      <c r="Q778" s="34"/>
    </row>
    <row r="779" spans="2:17">
      <c r="B779" s="1" t="str">
        <f t="shared" si="28"/>
        <v>M_MED01_VM_BKT_777</v>
      </c>
      <c r="C779" s="92" t="s">
        <v>727</v>
      </c>
      <c r="D779" s="92" t="str" cm="1">
        <f t="array" ref="D779">INDEX(기계코드!$D$4:$D$1022,MATCH(1,(C779=기계코드!$F$4:$F$1022)*1,0))</f>
        <v>M_MED01</v>
      </c>
      <c r="E779" s="92" t="s">
        <v>1128</v>
      </c>
      <c r="F779" s="92" t="str" cm="1">
        <f t="array" ref="F779">INDEX(공급업체코드!$B$3:$B$1000,MATCH(1,(E779=공급업체코드!$D$3:$D$1000)*1,0))</f>
        <v>VM_BKT</v>
      </c>
      <c r="H779" s="312">
        <v>777</v>
      </c>
      <c r="I779" s="233" t="s">
        <v>1313</v>
      </c>
      <c r="K779" s="233" t="s">
        <v>1314</v>
      </c>
      <c r="L779" s="236">
        <f t="shared" si="27"/>
        <v>776223</v>
      </c>
      <c r="N779" s="113" t="s">
        <v>1315</v>
      </c>
      <c r="O779" s="1" t="b">
        <v>1</v>
      </c>
      <c r="Q779" s="34"/>
    </row>
    <row r="780" spans="2:17">
      <c r="B780" s="1" t="str">
        <f t="shared" si="28"/>
        <v>M_MED01_VM_BKT_778</v>
      </c>
      <c r="C780" s="92" t="s">
        <v>727</v>
      </c>
      <c r="D780" s="92" t="str" cm="1">
        <f t="array" ref="D780">INDEX(기계코드!$D$4:$D$1022,MATCH(1,(C780=기계코드!$F$4:$F$1022)*1,0))</f>
        <v>M_MED01</v>
      </c>
      <c r="E780" s="92" t="s">
        <v>1128</v>
      </c>
      <c r="F780" s="92" t="str" cm="1">
        <f t="array" ref="F780">INDEX(공급업체코드!$B$3:$B$1000,MATCH(1,(E780=공급업체코드!$D$3:$D$1000)*1,0))</f>
        <v>VM_BKT</v>
      </c>
      <c r="H780" s="312">
        <v>778</v>
      </c>
      <c r="I780" s="233" t="s">
        <v>1313</v>
      </c>
      <c r="K780" s="233" t="s">
        <v>1314</v>
      </c>
      <c r="L780" s="236">
        <f t="shared" si="27"/>
        <v>777222</v>
      </c>
      <c r="N780" s="113" t="s">
        <v>1315</v>
      </c>
      <c r="O780" s="1" t="b">
        <v>1</v>
      </c>
      <c r="Q780" s="34"/>
    </row>
    <row r="781" spans="2:17">
      <c r="B781" s="1" t="str">
        <f t="shared" si="28"/>
        <v>M_MED01_VM_BKT_779</v>
      </c>
      <c r="C781" s="92" t="s">
        <v>727</v>
      </c>
      <c r="D781" s="92" t="str" cm="1">
        <f t="array" ref="D781">INDEX(기계코드!$D$4:$D$1022,MATCH(1,(C781=기계코드!$F$4:$F$1022)*1,0))</f>
        <v>M_MED01</v>
      </c>
      <c r="E781" s="92" t="s">
        <v>1128</v>
      </c>
      <c r="F781" s="92" t="str" cm="1">
        <f t="array" ref="F781">INDEX(공급업체코드!$B$3:$B$1000,MATCH(1,(E781=공급업체코드!$D$3:$D$1000)*1,0))</f>
        <v>VM_BKT</v>
      </c>
      <c r="H781" s="312">
        <v>779</v>
      </c>
      <c r="I781" s="233" t="s">
        <v>1313</v>
      </c>
      <c r="K781" s="233" t="s">
        <v>1314</v>
      </c>
      <c r="L781" s="236">
        <f t="shared" si="27"/>
        <v>778221</v>
      </c>
      <c r="N781" s="113" t="s">
        <v>1315</v>
      </c>
      <c r="O781" s="1" t="b">
        <v>1</v>
      </c>
      <c r="Q781" s="34"/>
    </row>
    <row r="782" spans="2:17">
      <c r="B782" s="1" t="str">
        <f t="shared" si="28"/>
        <v>M_MED01_VM_BKT_780</v>
      </c>
      <c r="C782" s="92" t="s">
        <v>727</v>
      </c>
      <c r="D782" s="92" t="str" cm="1">
        <f t="array" ref="D782">INDEX(기계코드!$D$4:$D$1022,MATCH(1,(C782=기계코드!$F$4:$F$1022)*1,0))</f>
        <v>M_MED01</v>
      </c>
      <c r="E782" s="92" t="s">
        <v>1128</v>
      </c>
      <c r="F782" s="92" t="str" cm="1">
        <f t="array" ref="F782">INDEX(공급업체코드!$B$3:$B$1000,MATCH(1,(E782=공급업체코드!$D$3:$D$1000)*1,0))</f>
        <v>VM_BKT</v>
      </c>
      <c r="H782" s="312">
        <v>780</v>
      </c>
      <c r="I782" s="233" t="s">
        <v>1313</v>
      </c>
      <c r="K782" s="233" t="s">
        <v>1314</v>
      </c>
      <c r="L782" s="236">
        <f t="shared" si="27"/>
        <v>779220</v>
      </c>
      <c r="N782" s="113" t="s">
        <v>1315</v>
      </c>
      <c r="O782" s="1" t="b">
        <v>1</v>
      </c>
      <c r="Q782" s="34"/>
    </row>
    <row r="783" spans="2:17">
      <c r="B783" s="1" t="str">
        <f t="shared" si="28"/>
        <v>M_MED01_VM_BKT_781</v>
      </c>
      <c r="C783" s="92" t="s">
        <v>727</v>
      </c>
      <c r="D783" s="92" t="str" cm="1">
        <f t="array" ref="D783">INDEX(기계코드!$D$4:$D$1022,MATCH(1,(C783=기계코드!$F$4:$F$1022)*1,0))</f>
        <v>M_MED01</v>
      </c>
      <c r="E783" s="92" t="s">
        <v>1128</v>
      </c>
      <c r="F783" s="92" t="str" cm="1">
        <f t="array" ref="F783">INDEX(공급업체코드!$B$3:$B$1000,MATCH(1,(E783=공급업체코드!$D$3:$D$1000)*1,0))</f>
        <v>VM_BKT</v>
      </c>
      <c r="H783" s="312">
        <v>781</v>
      </c>
      <c r="I783" s="233" t="s">
        <v>1313</v>
      </c>
      <c r="K783" s="233" t="s">
        <v>1314</v>
      </c>
      <c r="L783" s="236">
        <f t="shared" si="27"/>
        <v>780219</v>
      </c>
      <c r="N783" s="113" t="s">
        <v>1315</v>
      </c>
      <c r="O783" s="1" t="b">
        <v>1</v>
      </c>
      <c r="Q783" s="34"/>
    </row>
    <row r="784" spans="2:17">
      <c r="B784" s="1" t="str">
        <f t="shared" si="28"/>
        <v>M_MED01_VM_BKT_782</v>
      </c>
      <c r="C784" s="92" t="s">
        <v>727</v>
      </c>
      <c r="D784" s="92" t="str" cm="1">
        <f t="array" ref="D784">INDEX(기계코드!$D$4:$D$1022,MATCH(1,(C784=기계코드!$F$4:$F$1022)*1,0))</f>
        <v>M_MED01</v>
      </c>
      <c r="E784" s="92" t="s">
        <v>1128</v>
      </c>
      <c r="F784" s="92" t="str" cm="1">
        <f t="array" ref="F784">INDEX(공급업체코드!$B$3:$B$1000,MATCH(1,(E784=공급업체코드!$D$3:$D$1000)*1,0))</f>
        <v>VM_BKT</v>
      </c>
      <c r="H784" s="312">
        <v>782</v>
      </c>
      <c r="I784" s="233" t="s">
        <v>1313</v>
      </c>
      <c r="K784" s="233" t="s">
        <v>1314</v>
      </c>
      <c r="L784" s="236">
        <f t="shared" si="27"/>
        <v>781218</v>
      </c>
      <c r="N784" s="113" t="s">
        <v>1315</v>
      </c>
      <c r="O784" s="1" t="b">
        <v>1</v>
      </c>
      <c r="Q784" s="34"/>
    </row>
    <row r="785" spans="2:17">
      <c r="B785" s="1" t="str">
        <f t="shared" si="28"/>
        <v>M_MED01_VM_BKT_783</v>
      </c>
      <c r="C785" s="92" t="s">
        <v>727</v>
      </c>
      <c r="D785" s="92" t="str" cm="1">
        <f t="array" ref="D785">INDEX(기계코드!$D$4:$D$1022,MATCH(1,(C785=기계코드!$F$4:$F$1022)*1,0))</f>
        <v>M_MED01</v>
      </c>
      <c r="E785" s="92" t="s">
        <v>1128</v>
      </c>
      <c r="F785" s="92" t="str" cm="1">
        <f t="array" ref="F785">INDEX(공급업체코드!$B$3:$B$1000,MATCH(1,(E785=공급업체코드!$D$3:$D$1000)*1,0))</f>
        <v>VM_BKT</v>
      </c>
      <c r="H785" s="312">
        <v>783</v>
      </c>
      <c r="I785" s="233" t="s">
        <v>1313</v>
      </c>
      <c r="K785" s="233" t="s">
        <v>1314</v>
      </c>
      <c r="L785" s="236">
        <f t="shared" si="27"/>
        <v>782217</v>
      </c>
      <c r="N785" s="113" t="s">
        <v>1315</v>
      </c>
      <c r="O785" s="1" t="b">
        <v>1</v>
      </c>
      <c r="Q785" s="34"/>
    </row>
    <row r="786" spans="2:17">
      <c r="B786" s="1" t="str">
        <f t="shared" si="28"/>
        <v>M_MED01_VM_BKT_784</v>
      </c>
      <c r="C786" s="92" t="s">
        <v>727</v>
      </c>
      <c r="D786" s="92" t="str" cm="1">
        <f t="array" ref="D786">INDEX(기계코드!$D$4:$D$1022,MATCH(1,(C786=기계코드!$F$4:$F$1022)*1,0))</f>
        <v>M_MED01</v>
      </c>
      <c r="E786" s="92" t="s">
        <v>1128</v>
      </c>
      <c r="F786" s="92" t="str" cm="1">
        <f t="array" ref="F786">INDEX(공급업체코드!$B$3:$B$1000,MATCH(1,(E786=공급업체코드!$D$3:$D$1000)*1,0))</f>
        <v>VM_BKT</v>
      </c>
      <c r="H786" s="312">
        <v>784</v>
      </c>
      <c r="I786" s="233" t="s">
        <v>1313</v>
      </c>
      <c r="K786" s="233" t="s">
        <v>1314</v>
      </c>
      <c r="L786" s="236">
        <f t="shared" si="27"/>
        <v>783216</v>
      </c>
      <c r="N786" s="113" t="s">
        <v>1315</v>
      </c>
      <c r="O786" s="1" t="b">
        <v>1</v>
      </c>
      <c r="Q786" s="34"/>
    </row>
    <row r="787" spans="2:17">
      <c r="B787" s="1" t="str">
        <f t="shared" si="28"/>
        <v>M_MED01_VM_BKT_785</v>
      </c>
      <c r="C787" s="92" t="s">
        <v>727</v>
      </c>
      <c r="D787" s="92" t="str" cm="1">
        <f t="array" ref="D787">INDEX(기계코드!$D$4:$D$1022,MATCH(1,(C787=기계코드!$F$4:$F$1022)*1,0))</f>
        <v>M_MED01</v>
      </c>
      <c r="E787" s="92" t="s">
        <v>1128</v>
      </c>
      <c r="F787" s="92" t="str" cm="1">
        <f t="array" ref="F787">INDEX(공급업체코드!$B$3:$B$1000,MATCH(1,(E787=공급업체코드!$D$3:$D$1000)*1,0))</f>
        <v>VM_BKT</v>
      </c>
      <c r="H787" s="312">
        <v>785</v>
      </c>
      <c r="I787" s="233" t="s">
        <v>1313</v>
      </c>
      <c r="K787" s="233" t="s">
        <v>1314</v>
      </c>
      <c r="L787" s="236">
        <f t="shared" si="27"/>
        <v>784215</v>
      </c>
      <c r="N787" s="113" t="s">
        <v>1315</v>
      </c>
      <c r="O787" s="1" t="b">
        <v>1</v>
      </c>
      <c r="Q787" s="34"/>
    </row>
    <row r="788" spans="2:17">
      <c r="B788" s="1" t="str">
        <f t="shared" si="28"/>
        <v>M_MED01_VM_BKT_786</v>
      </c>
      <c r="C788" s="92" t="s">
        <v>727</v>
      </c>
      <c r="D788" s="92" t="str" cm="1">
        <f t="array" ref="D788">INDEX(기계코드!$D$4:$D$1022,MATCH(1,(C788=기계코드!$F$4:$F$1022)*1,0))</f>
        <v>M_MED01</v>
      </c>
      <c r="E788" s="92" t="s">
        <v>1128</v>
      </c>
      <c r="F788" s="92" t="str" cm="1">
        <f t="array" ref="F788">INDEX(공급업체코드!$B$3:$B$1000,MATCH(1,(E788=공급업체코드!$D$3:$D$1000)*1,0))</f>
        <v>VM_BKT</v>
      </c>
      <c r="H788" s="312">
        <v>786</v>
      </c>
      <c r="I788" s="233" t="s">
        <v>1313</v>
      </c>
      <c r="K788" s="233" t="s">
        <v>1314</v>
      </c>
      <c r="L788" s="236">
        <f t="shared" si="27"/>
        <v>785214</v>
      </c>
      <c r="N788" s="113" t="s">
        <v>1315</v>
      </c>
      <c r="O788" s="1" t="b">
        <v>1</v>
      </c>
      <c r="Q788" s="34"/>
    </row>
    <row r="789" spans="2:17">
      <c r="B789" s="1" t="str">
        <f t="shared" si="28"/>
        <v>M_MED01_VM_BKT_787</v>
      </c>
      <c r="C789" s="92" t="s">
        <v>727</v>
      </c>
      <c r="D789" s="92" t="str" cm="1">
        <f t="array" ref="D789">INDEX(기계코드!$D$4:$D$1022,MATCH(1,(C789=기계코드!$F$4:$F$1022)*1,0))</f>
        <v>M_MED01</v>
      </c>
      <c r="E789" s="92" t="s">
        <v>1128</v>
      </c>
      <c r="F789" s="92" t="str" cm="1">
        <f t="array" ref="F789">INDEX(공급업체코드!$B$3:$B$1000,MATCH(1,(E789=공급업체코드!$D$3:$D$1000)*1,0))</f>
        <v>VM_BKT</v>
      </c>
      <c r="H789" s="312">
        <v>787</v>
      </c>
      <c r="I789" s="233" t="s">
        <v>1313</v>
      </c>
      <c r="K789" s="233" t="s">
        <v>1314</v>
      </c>
      <c r="L789" s="236">
        <f t="shared" si="27"/>
        <v>786213</v>
      </c>
      <c r="N789" s="113" t="s">
        <v>1315</v>
      </c>
      <c r="O789" s="1" t="b">
        <v>1</v>
      </c>
      <c r="Q789" s="34"/>
    </row>
    <row r="790" spans="2:17">
      <c r="B790" s="1" t="str">
        <f t="shared" si="28"/>
        <v>M_MED01_VM_BKT_788</v>
      </c>
      <c r="C790" s="92" t="s">
        <v>727</v>
      </c>
      <c r="D790" s="92" t="str" cm="1">
        <f t="array" ref="D790">INDEX(기계코드!$D$4:$D$1022,MATCH(1,(C790=기계코드!$F$4:$F$1022)*1,0))</f>
        <v>M_MED01</v>
      </c>
      <c r="E790" s="92" t="s">
        <v>1128</v>
      </c>
      <c r="F790" s="92" t="str" cm="1">
        <f t="array" ref="F790">INDEX(공급업체코드!$B$3:$B$1000,MATCH(1,(E790=공급업체코드!$D$3:$D$1000)*1,0))</f>
        <v>VM_BKT</v>
      </c>
      <c r="H790" s="312">
        <v>788</v>
      </c>
      <c r="I790" s="233" t="s">
        <v>1313</v>
      </c>
      <c r="K790" s="233" t="s">
        <v>1314</v>
      </c>
      <c r="L790" s="236">
        <f t="shared" si="27"/>
        <v>787212</v>
      </c>
      <c r="N790" s="113" t="s">
        <v>1315</v>
      </c>
      <c r="O790" s="1" t="b">
        <v>1</v>
      </c>
      <c r="Q790" s="34"/>
    </row>
    <row r="791" spans="2:17">
      <c r="B791" s="1" t="str">
        <f t="shared" si="28"/>
        <v>M_MED01_VM_BKT_789</v>
      </c>
      <c r="C791" s="92" t="s">
        <v>727</v>
      </c>
      <c r="D791" s="92" t="str" cm="1">
        <f t="array" ref="D791">INDEX(기계코드!$D$4:$D$1022,MATCH(1,(C791=기계코드!$F$4:$F$1022)*1,0))</f>
        <v>M_MED01</v>
      </c>
      <c r="E791" s="92" t="s">
        <v>1128</v>
      </c>
      <c r="F791" s="92" t="str" cm="1">
        <f t="array" ref="F791">INDEX(공급업체코드!$B$3:$B$1000,MATCH(1,(E791=공급업체코드!$D$3:$D$1000)*1,0))</f>
        <v>VM_BKT</v>
      </c>
      <c r="H791" s="312">
        <v>789</v>
      </c>
      <c r="I791" s="233" t="s">
        <v>1313</v>
      </c>
      <c r="K791" s="233" t="s">
        <v>1314</v>
      </c>
      <c r="L791" s="236">
        <f t="shared" si="27"/>
        <v>788211</v>
      </c>
      <c r="N791" s="113" t="s">
        <v>1315</v>
      </c>
      <c r="O791" s="1" t="b">
        <v>1</v>
      </c>
      <c r="Q791" s="34"/>
    </row>
    <row r="792" spans="2:17">
      <c r="B792" s="1" t="str">
        <f t="shared" si="28"/>
        <v>M_MED01_VM_BKT_790</v>
      </c>
      <c r="C792" s="92" t="s">
        <v>727</v>
      </c>
      <c r="D792" s="92" t="str" cm="1">
        <f t="array" ref="D792">INDEX(기계코드!$D$4:$D$1022,MATCH(1,(C792=기계코드!$F$4:$F$1022)*1,0))</f>
        <v>M_MED01</v>
      </c>
      <c r="E792" s="92" t="s">
        <v>1128</v>
      </c>
      <c r="F792" s="92" t="str" cm="1">
        <f t="array" ref="F792">INDEX(공급업체코드!$B$3:$B$1000,MATCH(1,(E792=공급업체코드!$D$3:$D$1000)*1,0))</f>
        <v>VM_BKT</v>
      </c>
      <c r="H792" s="312">
        <v>790</v>
      </c>
      <c r="I792" s="233" t="s">
        <v>1313</v>
      </c>
      <c r="K792" s="233" t="s">
        <v>1314</v>
      </c>
      <c r="L792" s="236">
        <f t="shared" si="27"/>
        <v>789210</v>
      </c>
      <c r="N792" s="113" t="s">
        <v>1315</v>
      </c>
      <c r="O792" s="1" t="b">
        <v>1</v>
      </c>
      <c r="Q792" s="34"/>
    </row>
    <row r="793" spans="2:17">
      <c r="B793" s="1" t="str">
        <f t="shared" si="28"/>
        <v>M_MED01_VM_BKT_791</v>
      </c>
      <c r="C793" s="92" t="s">
        <v>727</v>
      </c>
      <c r="D793" s="92" t="str" cm="1">
        <f t="array" ref="D793">INDEX(기계코드!$D$4:$D$1022,MATCH(1,(C793=기계코드!$F$4:$F$1022)*1,0))</f>
        <v>M_MED01</v>
      </c>
      <c r="E793" s="92" t="s">
        <v>1128</v>
      </c>
      <c r="F793" s="92" t="str" cm="1">
        <f t="array" ref="F793">INDEX(공급업체코드!$B$3:$B$1000,MATCH(1,(E793=공급업체코드!$D$3:$D$1000)*1,0))</f>
        <v>VM_BKT</v>
      </c>
      <c r="H793" s="312">
        <v>791</v>
      </c>
      <c r="I793" s="233" t="s">
        <v>1313</v>
      </c>
      <c r="K793" s="233" t="s">
        <v>1314</v>
      </c>
      <c r="L793" s="236">
        <f t="shared" si="27"/>
        <v>790209</v>
      </c>
      <c r="N793" s="113" t="s">
        <v>1315</v>
      </c>
      <c r="O793" s="1" t="b">
        <v>1</v>
      </c>
      <c r="Q793" s="34"/>
    </row>
    <row r="794" spans="2:17">
      <c r="B794" s="1" t="str">
        <f t="shared" si="28"/>
        <v>M_MED01_VM_BKT_792</v>
      </c>
      <c r="C794" s="92" t="s">
        <v>727</v>
      </c>
      <c r="D794" s="92" t="str" cm="1">
        <f t="array" ref="D794">INDEX(기계코드!$D$4:$D$1022,MATCH(1,(C794=기계코드!$F$4:$F$1022)*1,0))</f>
        <v>M_MED01</v>
      </c>
      <c r="E794" s="92" t="s">
        <v>1128</v>
      </c>
      <c r="F794" s="92" t="str" cm="1">
        <f t="array" ref="F794">INDEX(공급업체코드!$B$3:$B$1000,MATCH(1,(E794=공급업체코드!$D$3:$D$1000)*1,0))</f>
        <v>VM_BKT</v>
      </c>
      <c r="H794" s="312">
        <v>792</v>
      </c>
      <c r="I794" s="233" t="s">
        <v>1313</v>
      </c>
      <c r="K794" s="233" t="s">
        <v>1314</v>
      </c>
      <c r="L794" s="236">
        <f t="shared" si="27"/>
        <v>791208</v>
      </c>
      <c r="N794" s="113" t="s">
        <v>1315</v>
      </c>
      <c r="O794" s="1" t="b">
        <v>1</v>
      </c>
      <c r="Q794" s="34"/>
    </row>
    <row r="795" spans="2:17">
      <c r="B795" s="1" t="str">
        <f t="shared" si="28"/>
        <v>M_MED01_VM_BKT_793</v>
      </c>
      <c r="C795" s="92" t="s">
        <v>727</v>
      </c>
      <c r="D795" s="92" t="str" cm="1">
        <f t="array" ref="D795">INDEX(기계코드!$D$4:$D$1022,MATCH(1,(C795=기계코드!$F$4:$F$1022)*1,0))</f>
        <v>M_MED01</v>
      </c>
      <c r="E795" s="92" t="s">
        <v>1128</v>
      </c>
      <c r="F795" s="92" t="str" cm="1">
        <f t="array" ref="F795">INDEX(공급업체코드!$B$3:$B$1000,MATCH(1,(E795=공급업체코드!$D$3:$D$1000)*1,0))</f>
        <v>VM_BKT</v>
      </c>
      <c r="H795" s="312">
        <v>793</v>
      </c>
      <c r="I795" s="233" t="s">
        <v>1313</v>
      </c>
      <c r="K795" s="233" t="s">
        <v>1314</v>
      </c>
      <c r="L795" s="236">
        <f t="shared" si="27"/>
        <v>792207</v>
      </c>
      <c r="N795" s="113" t="s">
        <v>1315</v>
      </c>
      <c r="O795" s="1" t="b">
        <v>1</v>
      </c>
      <c r="Q795" s="34"/>
    </row>
    <row r="796" spans="2:17">
      <c r="B796" s="1" t="str">
        <f t="shared" si="28"/>
        <v>M_MED01_VM_BKT_794</v>
      </c>
      <c r="C796" s="92" t="s">
        <v>727</v>
      </c>
      <c r="D796" s="92" t="str" cm="1">
        <f t="array" ref="D796">INDEX(기계코드!$D$4:$D$1022,MATCH(1,(C796=기계코드!$F$4:$F$1022)*1,0))</f>
        <v>M_MED01</v>
      </c>
      <c r="E796" s="92" t="s">
        <v>1128</v>
      </c>
      <c r="F796" s="92" t="str" cm="1">
        <f t="array" ref="F796">INDEX(공급업체코드!$B$3:$B$1000,MATCH(1,(E796=공급업체코드!$D$3:$D$1000)*1,0))</f>
        <v>VM_BKT</v>
      </c>
      <c r="H796" s="312">
        <v>794</v>
      </c>
      <c r="I796" s="233" t="s">
        <v>1313</v>
      </c>
      <c r="K796" s="233" t="s">
        <v>1314</v>
      </c>
      <c r="L796" s="236">
        <f t="shared" si="27"/>
        <v>793206</v>
      </c>
      <c r="N796" s="113" t="s">
        <v>1315</v>
      </c>
      <c r="O796" s="1" t="b">
        <v>1</v>
      </c>
      <c r="Q796" s="34"/>
    </row>
    <row r="797" spans="2:17">
      <c r="B797" s="1" t="str">
        <f t="shared" si="28"/>
        <v>M_MED01_VM_BKT_795</v>
      </c>
      <c r="C797" s="92" t="s">
        <v>727</v>
      </c>
      <c r="D797" s="92" t="str" cm="1">
        <f t="array" ref="D797">INDEX(기계코드!$D$4:$D$1022,MATCH(1,(C797=기계코드!$F$4:$F$1022)*1,0))</f>
        <v>M_MED01</v>
      </c>
      <c r="E797" s="92" t="s">
        <v>1128</v>
      </c>
      <c r="F797" s="92" t="str" cm="1">
        <f t="array" ref="F797">INDEX(공급업체코드!$B$3:$B$1000,MATCH(1,(E797=공급업체코드!$D$3:$D$1000)*1,0))</f>
        <v>VM_BKT</v>
      </c>
      <c r="H797" s="312">
        <v>795</v>
      </c>
      <c r="I797" s="233" t="s">
        <v>1313</v>
      </c>
      <c r="K797" s="233" t="s">
        <v>1314</v>
      </c>
      <c r="L797" s="236">
        <f t="shared" si="27"/>
        <v>794205</v>
      </c>
      <c r="N797" s="113" t="s">
        <v>1315</v>
      </c>
      <c r="O797" s="1" t="b">
        <v>1</v>
      </c>
      <c r="Q797" s="34"/>
    </row>
    <row r="798" spans="2:17">
      <c r="B798" s="1" t="str">
        <f t="shared" si="28"/>
        <v>M_MED01_VM_BKT_796</v>
      </c>
      <c r="C798" s="92" t="s">
        <v>727</v>
      </c>
      <c r="D798" s="92" t="str" cm="1">
        <f t="array" ref="D798">INDEX(기계코드!$D$4:$D$1022,MATCH(1,(C798=기계코드!$F$4:$F$1022)*1,0))</f>
        <v>M_MED01</v>
      </c>
      <c r="E798" s="92" t="s">
        <v>1128</v>
      </c>
      <c r="F798" s="92" t="str" cm="1">
        <f t="array" ref="F798">INDEX(공급업체코드!$B$3:$B$1000,MATCH(1,(E798=공급업체코드!$D$3:$D$1000)*1,0))</f>
        <v>VM_BKT</v>
      </c>
      <c r="H798" s="312">
        <v>796</v>
      </c>
      <c r="I798" s="233" t="s">
        <v>1313</v>
      </c>
      <c r="K798" s="233" t="s">
        <v>1314</v>
      </c>
      <c r="L798" s="236">
        <f t="shared" si="27"/>
        <v>795204</v>
      </c>
      <c r="N798" s="113" t="s">
        <v>1315</v>
      </c>
      <c r="O798" s="1" t="b">
        <v>1</v>
      </c>
      <c r="Q798" s="34"/>
    </row>
    <row r="799" spans="2:17">
      <c r="B799" s="1" t="str">
        <f t="shared" si="28"/>
        <v>M_MED01_VM_BKT_797</v>
      </c>
      <c r="C799" s="92" t="s">
        <v>727</v>
      </c>
      <c r="D799" s="92" t="str" cm="1">
        <f t="array" ref="D799">INDEX(기계코드!$D$4:$D$1022,MATCH(1,(C799=기계코드!$F$4:$F$1022)*1,0))</f>
        <v>M_MED01</v>
      </c>
      <c r="E799" s="92" t="s">
        <v>1128</v>
      </c>
      <c r="F799" s="92" t="str" cm="1">
        <f t="array" ref="F799">INDEX(공급업체코드!$B$3:$B$1000,MATCH(1,(E799=공급업체코드!$D$3:$D$1000)*1,0))</f>
        <v>VM_BKT</v>
      </c>
      <c r="H799" s="312">
        <v>797</v>
      </c>
      <c r="I799" s="233" t="s">
        <v>1313</v>
      </c>
      <c r="K799" s="233" t="s">
        <v>1314</v>
      </c>
      <c r="L799" s="236">
        <f t="shared" si="27"/>
        <v>796203</v>
      </c>
      <c r="N799" s="113" t="s">
        <v>1315</v>
      </c>
      <c r="O799" s="1" t="b">
        <v>1</v>
      </c>
      <c r="Q799" s="34"/>
    </row>
    <row r="800" spans="2:17">
      <c r="B800" s="1" t="str">
        <f t="shared" si="28"/>
        <v>M_MED01_VM_BKT_798</v>
      </c>
      <c r="C800" s="92" t="s">
        <v>727</v>
      </c>
      <c r="D800" s="92" t="str" cm="1">
        <f t="array" ref="D800">INDEX(기계코드!$D$4:$D$1022,MATCH(1,(C800=기계코드!$F$4:$F$1022)*1,0))</f>
        <v>M_MED01</v>
      </c>
      <c r="E800" s="92" t="s">
        <v>1128</v>
      </c>
      <c r="F800" s="92" t="str" cm="1">
        <f t="array" ref="F800">INDEX(공급업체코드!$B$3:$B$1000,MATCH(1,(E800=공급업체코드!$D$3:$D$1000)*1,0))</f>
        <v>VM_BKT</v>
      </c>
      <c r="H800" s="312">
        <v>798</v>
      </c>
      <c r="I800" s="233" t="s">
        <v>1313</v>
      </c>
      <c r="K800" s="233" t="s">
        <v>1314</v>
      </c>
      <c r="L800" s="236">
        <f t="shared" si="27"/>
        <v>797202</v>
      </c>
      <c r="N800" s="113" t="s">
        <v>1315</v>
      </c>
      <c r="O800" s="1" t="b">
        <v>1</v>
      </c>
      <c r="Q800" s="34"/>
    </row>
    <row r="801" spans="2:17">
      <c r="B801" s="1" t="str">
        <f t="shared" si="28"/>
        <v>M_MED01_VM_BKT_799</v>
      </c>
      <c r="C801" s="92" t="s">
        <v>727</v>
      </c>
      <c r="D801" s="92" t="str" cm="1">
        <f t="array" ref="D801">INDEX(기계코드!$D$4:$D$1022,MATCH(1,(C801=기계코드!$F$4:$F$1022)*1,0))</f>
        <v>M_MED01</v>
      </c>
      <c r="E801" s="92" t="s">
        <v>1128</v>
      </c>
      <c r="F801" s="92" t="str" cm="1">
        <f t="array" ref="F801">INDEX(공급업체코드!$B$3:$B$1000,MATCH(1,(E801=공급업체코드!$D$3:$D$1000)*1,0))</f>
        <v>VM_BKT</v>
      </c>
      <c r="H801" s="312">
        <v>799</v>
      </c>
      <c r="I801" s="233" t="s">
        <v>1313</v>
      </c>
      <c r="K801" s="233" t="s">
        <v>1314</v>
      </c>
      <c r="L801" s="236">
        <f t="shared" si="27"/>
        <v>798201</v>
      </c>
      <c r="N801" s="113" t="s">
        <v>1315</v>
      </c>
      <c r="O801" s="1" t="b">
        <v>1</v>
      </c>
      <c r="Q801" s="34"/>
    </row>
    <row r="802" spans="2:17">
      <c r="B802" s="1" t="str">
        <f t="shared" si="28"/>
        <v>M_MED01_VM_BKT_800</v>
      </c>
      <c r="C802" s="92" t="s">
        <v>727</v>
      </c>
      <c r="D802" s="92" t="str" cm="1">
        <f t="array" ref="D802">INDEX(기계코드!$D$4:$D$1022,MATCH(1,(C802=기계코드!$F$4:$F$1022)*1,0))</f>
        <v>M_MED01</v>
      </c>
      <c r="E802" s="92" t="s">
        <v>1128</v>
      </c>
      <c r="F802" s="92" t="str" cm="1">
        <f t="array" ref="F802">INDEX(공급업체코드!$B$3:$B$1000,MATCH(1,(E802=공급업체코드!$D$3:$D$1000)*1,0))</f>
        <v>VM_BKT</v>
      </c>
      <c r="H802" s="312">
        <v>800</v>
      </c>
      <c r="I802" s="233" t="s">
        <v>1313</v>
      </c>
      <c r="K802" s="233" t="s">
        <v>1314</v>
      </c>
      <c r="L802" s="236">
        <f t="shared" si="27"/>
        <v>799200</v>
      </c>
      <c r="N802" s="113" t="s">
        <v>1315</v>
      </c>
      <c r="O802" s="1" t="b">
        <v>1</v>
      </c>
      <c r="Q802" s="34"/>
    </row>
    <row r="803" spans="2:17">
      <c r="B803" s="1" t="str">
        <f t="shared" si="28"/>
        <v>M_MED01_VM_BKT_801</v>
      </c>
      <c r="C803" s="92" t="s">
        <v>727</v>
      </c>
      <c r="D803" s="92" t="str" cm="1">
        <f t="array" ref="D803">INDEX(기계코드!$D$4:$D$1022,MATCH(1,(C803=기계코드!$F$4:$F$1022)*1,0))</f>
        <v>M_MED01</v>
      </c>
      <c r="E803" s="92" t="s">
        <v>1128</v>
      </c>
      <c r="F803" s="92" t="str" cm="1">
        <f t="array" ref="F803">INDEX(공급업체코드!$B$3:$B$1000,MATCH(1,(E803=공급업체코드!$D$3:$D$1000)*1,0))</f>
        <v>VM_BKT</v>
      </c>
      <c r="H803" s="312">
        <v>801</v>
      </c>
      <c r="I803" s="233" t="s">
        <v>1313</v>
      </c>
      <c r="K803" s="233" t="s">
        <v>1314</v>
      </c>
      <c r="L803" s="236">
        <f t="shared" si="27"/>
        <v>800199</v>
      </c>
      <c r="N803" s="113" t="s">
        <v>1315</v>
      </c>
      <c r="O803" s="1" t="b">
        <v>1</v>
      </c>
      <c r="Q803" s="34"/>
    </row>
    <row r="804" spans="2:17">
      <c r="B804" s="1" t="str">
        <f t="shared" si="28"/>
        <v>M_MED01_VM_BKT_802</v>
      </c>
      <c r="C804" s="92" t="s">
        <v>727</v>
      </c>
      <c r="D804" s="92" t="str" cm="1">
        <f t="array" ref="D804">INDEX(기계코드!$D$4:$D$1022,MATCH(1,(C804=기계코드!$F$4:$F$1022)*1,0))</f>
        <v>M_MED01</v>
      </c>
      <c r="E804" s="92" t="s">
        <v>1128</v>
      </c>
      <c r="F804" s="92" t="str" cm="1">
        <f t="array" ref="F804">INDEX(공급업체코드!$B$3:$B$1000,MATCH(1,(E804=공급업체코드!$D$3:$D$1000)*1,0))</f>
        <v>VM_BKT</v>
      </c>
      <c r="H804" s="312">
        <v>802</v>
      </c>
      <c r="I804" s="233" t="s">
        <v>1313</v>
      </c>
      <c r="K804" s="233" t="s">
        <v>1314</v>
      </c>
      <c r="L804" s="236">
        <f t="shared" si="27"/>
        <v>801198</v>
      </c>
      <c r="N804" s="113" t="s">
        <v>1315</v>
      </c>
      <c r="O804" s="1" t="b">
        <v>1</v>
      </c>
      <c r="Q804" s="34"/>
    </row>
    <row r="805" spans="2:17">
      <c r="B805" s="1" t="str">
        <f t="shared" si="28"/>
        <v>M_MED01_VM_BKT_803</v>
      </c>
      <c r="C805" s="92" t="s">
        <v>727</v>
      </c>
      <c r="D805" s="92" t="str" cm="1">
        <f t="array" ref="D805">INDEX(기계코드!$D$4:$D$1022,MATCH(1,(C805=기계코드!$F$4:$F$1022)*1,0))</f>
        <v>M_MED01</v>
      </c>
      <c r="E805" s="92" t="s">
        <v>1128</v>
      </c>
      <c r="F805" s="92" t="str" cm="1">
        <f t="array" ref="F805">INDEX(공급업체코드!$B$3:$B$1000,MATCH(1,(E805=공급업체코드!$D$3:$D$1000)*1,0))</f>
        <v>VM_BKT</v>
      </c>
      <c r="H805" s="312">
        <v>803</v>
      </c>
      <c r="I805" s="233" t="s">
        <v>1313</v>
      </c>
      <c r="K805" s="233" t="s">
        <v>1314</v>
      </c>
      <c r="L805" s="236">
        <f t="shared" si="27"/>
        <v>802197</v>
      </c>
      <c r="N805" s="113" t="s">
        <v>1315</v>
      </c>
      <c r="O805" s="1" t="b">
        <v>1</v>
      </c>
      <c r="Q805" s="34"/>
    </row>
    <row r="806" spans="2:17">
      <c r="B806" s="1" t="str">
        <f t="shared" si="28"/>
        <v>M_MED01_VM_BKT_804</v>
      </c>
      <c r="C806" s="92" t="s">
        <v>727</v>
      </c>
      <c r="D806" s="92" t="str" cm="1">
        <f t="array" ref="D806">INDEX(기계코드!$D$4:$D$1022,MATCH(1,(C806=기계코드!$F$4:$F$1022)*1,0))</f>
        <v>M_MED01</v>
      </c>
      <c r="E806" s="92" t="s">
        <v>1128</v>
      </c>
      <c r="F806" s="92" t="str" cm="1">
        <f t="array" ref="F806">INDEX(공급업체코드!$B$3:$B$1000,MATCH(1,(E806=공급업체코드!$D$3:$D$1000)*1,0))</f>
        <v>VM_BKT</v>
      </c>
      <c r="H806" s="312">
        <v>804</v>
      </c>
      <c r="I806" s="233" t="s">
        <v>1313</v>
      </c>
      <c r="K806" s="233" t="s">
        <v>1314</v>
      </c>
      <c r="L806" s="236">
        <f t="shared" si="27"/>
        <v>803196</v>
      </c>
      <c r="N806" s="113" t="s">
        <v>1315</v>
      </c>
      <c r="O806" s="1" t="b">
        <v>1</v>
      </c>
      <c r="Q806" s="34"/>
    </row>
    <row r="807" spans="2:17">
      <c r="B807" s="1" t="str">
        <f t="shared" si="28"/>
        <v>M_MED01_VM_BKT_805</v>
      </c>
      <c r="C807" s="92" t="s">
        <v>727</v>
      </c>
      <c r="D807" s="92" t="str" cm="1">
        <f t="array" ref="D807">INDEX(기계코드!$D$4:$D$1022,MATCH(1,(C807=기계코드!$F$4:$F$1022)*1,0))</f>
        <v>M_MED01</v>
      </c>
      <c r="E807" s="92" t="s">
        <v>1128</v>
      </c>
      <c r="F807" s="92" t="str" cm="1">
        <f t="array" ref="F807">INDEX(공급업체코드!$B$3:$B$1000,MATCH(1,(E807=공급업체코드!$D$3:$D$1000)*1,0))</f>
        <v>VM_BKT</v>
      </c>
      <c r="H807" s="312">
        <v>805</v>
      </c>
      <c r="I807" s="233" t="s">
        <v>1313</v>
      </c>
      <c r="K807" s="233" t="s">
        <v>1314</v>
      </c>
      <c r="L807" s="236">
        <f t="shared" si="27"/>
        <v>804195</v>
      </c>
      <c r="N807" s="113" t="s">
        <v>1315</v>
      </c>
      <c r="O807" s="1" t="b">
        <v>1</v>
      </c>
      <c r="Q807" s="34"/>
    </row>
    <row r="808" spans="2:17">
      <c r="B808" s="1" t="str">
        <f t="shared" si="28"/>
        <v>M_MED01_VM_BKT_806</v>
      </c>
      <c r="C808" s="92" t="s">
        <v>727</v>
      </c>
      <c r="D808" s="92" t="str" cm="1">
        <f t="array" ref="D808">INDEX(기계코드!$D$4:$D$1022,MATCH(1,(C808=기계코드!$F$4:$F$1022)*1,0))</f>
        <v>M_MED01</v>
      </c>
      <c r="E808" s="92" t="s">
        <v>1128</v>
      </c>
      <c r="F808" s="92" t="str" cm="1">
        <f t="array" ref="F808">INDEX(공급업체코드!$B$3:$B$1000,MATCH(1,(E808=공급업체코드!$D$3:$D$1000)*1,0))</f>
        <v>VM_BKT</v>
      </c>
      <c r="H808" s="312">
        <v>806</v>
      </c>
      <c r="I808" s="233" t="s">
        <v>1313</v>
      </c>
      <c r="K808" s="233" t="s">
        <v>1314</v>
      </c>
      <c r="L808" s="236">
        <f t="shared" si="27"/>
        <v>805194</v>
      </c>
      <c r="N808" s="113" t="s">
        <v>1315</v>
      </c>
      <c r="O808" s="1" t="b">
        <v>1</v>
      </c>
      <c r="Q808" s="34"/>
    </row>
    <row r="809" spans="2:17">
      <c r="B809" s="1" t="str">
        <f t="shared" si="28"/>
        <v>M_MED01_VM_BKT_807</v>
      </c>
      <c r="C809" s="92" t="s">
        <v>727</v>
      </c>
      <c r="D809" s="92" t="str" cm="1">
        <f t="array" ref="D809">INDEX(기계코드!$D$4:$D$1022,MATCH(1,(C809=기계코드!$F$4:$F$1022)*1,0))</f>
        <v>M_MED01</v>
      </c>
      <c r="E809" s="92" t="s">
        <v>1128</v>
      </c>
      <c r="F809" s="92" t="str" cm="1">
        <f t="array" ref="F809">INDEX(공급업체코드!$B$3:$B$1000,MATCH(1,(E809=공급업체코드!$D$3:$D$1000)*1,0))</f>
        <v>VM_BKT</v>
      </c>
      <c r="H809" s="312">
        <v>807</v>
      </c>
      <c r="I809" s="233" t="s">
        <v>1313</v>
      </c>
      <c r="K809" s="233" t="s">
        <v>1314</v>
      </c>
      <c r="L809" s="236">
        <f t="shared" si="27"/>
        <v>806193</v>
      </c>
      <c r="N809" s="113" t="s">
        <v>1315</v>
      </c>
      <c r="O809" s="1" t="b">
        <v>1</v>
      </c>
      <c r="Q809" s="34"/>
    </row>
    <row r="810" spans="2:17">
      <c r="B810" s="1" t="str">
        <f t="shared" si="28"/>
        <v>M_MED01_VM_BKT_808</v>
      </c>
      <c r="C810" s="92" t="s">
        <v>727</v>
      </c>
      <c r="D810" s="92" t="str" cm="1">
        <f t="array" ref="D810">INDEX(기계코드!$D$4:$D$1022,MATCH(1,(C810=기계코드!$F$4:$F$1022)*1,0))</f>
        <v>M_MED01</v>
      </c>
      <c r="E810" s="92" t="s">
        <v>1128</v>
      </c>
      <c r="F810" s="92" t="str" cm="1">
        <f t="array" ref="F810">INDEX(공급업체코드!$B$3:$B$1000,MATCH(1,(E810=공급업체코드!$D$3:$D$1000)*1,0))</f>
        <v>VM_BKT</v>
      </c>
      <c r="H810" s="312">
        <v>808</v>
      </c>
      <c r="I810" s="233" t="s">
        <v>1313</v>
      </c>
      <c r="K810" s="233" t="s">
        <v>1314</v>
      </c>
      <c r="L810" s="236">
        <f t="shared" si="27"/>
        <v>807192</v>
      </c>
      <c r="N810" s="113" t="s">
        <v>1315</v>
      </c>
      <c r="O810" s="1" t="b">
        <v>1</v>
      </c>
      <c r="Q810" s="34"/>
    </row>
    <row r="811" spans="2:17">
      <c r="B811" s="1" t="str">
        <f t="shared" si="28"/>
        <v>M_MED01_VM_BKT_809</v>
      </c>
      <c r="C811" s="92" t="s">
        <v>727</v>
      </c>
      <c r="D811" s="92" t="str" cm="1">
        <f t="array" ref="D811">INDEX(기계코드!$D$4:$D$1022,MATCH(1,(C811=기계코드!$F$4:$F$1022)*1,0))</f>
        <v>M_MED01</v>
      </c>
      <c r="E811" s="92" t="s">
        <v>1128</v>
      </c>
      <c r="F811" s="92" t="str" cm="1">
        <f t="array" ref="F811">INDEX(공급업체코드!$B$3:$B$1000,MATCH(1,(E811=공급업체코드!$D$3:$D$1000)*1,0))</f>
        <v>VM_BKT</v>
      </c>
      <c r="H811" s="312">
        <v>809</v>
      </c>
      <c r="I811" s="233" t="s">
        <v>1313</v>
      </c>
      <c r="K811" s="233" t="s">
        <v>1314</v>
      </c>
      <c r="L811" s="236">
        <f t="shared" si="27"/>
        <v>808191</v>
      </c>
      <c r="N811" s="113" t="s">
        <v>1315</v>
      </c>
      <c r="O811" s="1" t="b">
        <v>1</v>
      </c>
      <c r="Q811" s="34"/>
    </row>
    <row r="812" spans="2:17">
      <c r="B812" s="1" t="str">
        <f t="shared" si="28"/>
        <v>M_MED01_VM_BKT_810</v>
      </c>
      <c r="C812" s="92" t="s">
        <v>727</v>
      </c>
      <c r="D812" s="92" t="str" cm="1">
        <f t="array" ref="D812">INDEX(기계코드!$D$4:$D$1022,MATCH(1,(C812=기계코드!$F$4:$F$1022)*1,0))</f>
        <v>M_MED01</v>
      </c>
      <c r="E812" s="92" t="s">
        <v>1128</v>
      </c>
      <c r="F812" s="92" t="str" cm="1">
        <f t="array" ref="F812">INDEX(공급업체코드!$B$3:$B$1000,MATCH(1,(E812=공급업체코드!$D$3:$D$1000)*1,0))</f>
        <v>VM_BKT</v>
      </c>
      <c r="H812" s="312">
        <v>810</v>
      </c>
      <c r="I812" s="233" t="s">
        <v>1313</v>
      </c>
      <c r="K812" s="233" t="s">
        <v>1314</v>
      </c>
      <c r="L812" s="236">
        <f t="shared" si="27"/>
        <v>809190</v>
      </c>
      <c r="N812" s="113" t="s">
        <v>1315</v>
      </c>
      <c r="O812" s="1" t="b">
        <v>1</v>
      </c>
      <c r="Q812" s="34"/>
    </row>
    <row r="813" spans="2:17">
      <c r="B813" s="1" t="str">
        <f t="shared" si="28"/>
        <v>M_MED01_VM_BKT_811</v>
      </c>
      <c r="C813" s="92" t="s">
        <v>727</v>
      </c>
      <c r="D813" s="92" t="str" cm="1">
        <f t="array" ref="D813">INDEX(기계코드!$D$4:$D$1022,MATCH(1,(C813=기계코드!$F$4:$F$1022)*1,0))</f>
        <v>M_MED01</v>
      </c>
      <c r="E813" s="92" t="s">
        <v>1128</v>
      </c>
      <c r="F813" s="92" t="str" cm="1">
        <f t="array" ref="F813">INDEX(공급업체코드!$B$3:$B$1000,MATCH(1,(E813=공급업체코드!$D$3:$D$1000)*1,0))</f>
        <v>VM_BKT</v>
      </c>
      <c r="H813" s="312">
        <v>811</v>
      </c>
      <c r="I813" s="233" t="s">
        <v>1313</v>
      </c>
      <c r="K813" s="233" t="s">
        <v>1314</v>
      </c>
      <c r="L813" s="236">
        <f t="shared" si="27"/>
        <v>810189</v>
      </c>
      <c r="N813" s="113" t="s">
        <v>1315</v>
      </c>
      <c r="O813" s="1" t="b">
        <v>1</v>
      </c>
      <c r="Q813" s="34"/>
    </row>
    <row r="814" spans="2:17">
      <c r="B814" s="1" t="str">
        <f t="shared" si="28"/>
        <v>M_MED01_VM_BKT_812</v>
      </c>
      <c r="C814" s="92" t="s">
        <v>727</v>
      </c>
      <c r="D814" s="92" t="str" cm="1">
        <f t="array" ref="D814">INDEX(기계코드!$D$4:$D$1022,MATCH(1,(C814=기계코드!$F$4:$F$1022)*1,0))</f>
        <v>M_MED01</v>
      </c>
      <c r="E814" s="92" t="s">
        <v>1128</v>
      </c>
      <c r="F814" s="92" t="str" cm="1">
        <f t="array" ref="F814">INDEX(공급업체코드!$B$3:$B$1000,MATCH(1,(E814=공급업체코드!$D$3:$D$1000)*1,0))</f>
        <v>VM_BKT</v>
      </c>
      <c r="H814" s="312">
        <v>812</v>
      </c>
      <c r="I814" s="233" t="s">
        <v>1313</v>
      </c>
      <c r="K814" s="233" t="s">
        <v>1314</v>
      </c>
      <c r="L814" s="236">
        <f t="shared" si="27"/>
        <v>811188</v>
      </c>
      <c r="N814" s="113" t="s">
        <v>1315</v>
      </c>
      <c r="O814" s="1" t="b">
        <v>1</v>
      </c>
      <c r="Q814" s="34"/>
    </row>
    <row r="815" spans="2:17">
      <c r="B815" s="1" t="str">
        <f t="shared" si="28"/>
        <v>M_MED01_VM_BKT_813</v>
      </c>
      <c r="C815" s="92" t="s">
        <v>727</v>
      </c>
      <c r="D815" s="92" t="str" cm="1">
        <f t="array" ref="D815">INDEX(기계코드!$D$4:$D$1022,MATCH(1,(C815=기계코드!$F$4:$F$1022)*1,0))</f>
        <v>M_MED01</v>
      </c>
      <c r="E815" s="92" t="s">
        <v>1128</v>
      </c>
      <c r="F815" s="92" t="str" cm="1">
        <f t="array" ref="F815">INDEX(공급업체코드!$B$3:$B$1000,MATCH(1,(E815=공급업체코드!$D$3:$D$1000)*1,0))</f>
        <v>VM_BKT</v>
      </c>
      <c r="H815" s="312">
        <v>813</v>
      </c>
      <c r="I815" s="233" t="s">
        <v>1313</v>
      </c>
      <c r="K815" s="233" t="s">
        <v>1314</v>
      </c>
      <c r="L815" s="236">
        <f t="shared" si="27"/>
        <v>812187</v>
      </c>
      <c r="N815" s="113" t="s">
        <v>1315</v>
      </c>
      <c r="O815" s="1" t="b">
        <v>1</v>
      </c>
      <c r="Q815" s="34"/>
    </row>
    <row r="816" spans="2:17">
      <c r="B816" s="1" t="str">
        <f t="shared" si="28"/>
        <v>M_MED01_VM_BKT_814</v>
      </c>
      <c r="C816" s="92" t="s">
        <v>727</v>
      </c>
      <c r="D816" s="92" t="str" cm="1">
        <f t="array" ref="D816">INDEX(기계코드!$D$4:$D$1022,MATCH(1,(C816=기계코드!$F$4:$F$1022)*1,0))</f>
        <v>M_MED01</v>
      </c>
      <c r="E816" s="92" t="s">
        <v>1128</v>
      </c>
      <c r="F816" s="92" t="str" cm="1">
        <f t="array" ref="F816">INDEX(공급업체코드!$B$3:$B$1000,MATCH(1,(E816=공급업체코드!$D$3:$D$1000)*1,0))</f>
        <v>VM_BKT</v>
      </c>
      <c r="H816" s="312">
        <v>814</v>
      </c>
      <c r="I816" s="233" t="s">
        <v>1313</v>
      </c>
      <c r="K816" s="233" t="s">
        <v>1314</v>
      </c>
      <c r="L816" s="236">
        <f t="shared" si="27"/>
        <v>813186</v>
      </c>
      <c r="N816" s="113" t="s">
        <v>1315</v>
      </c>
      <c r="O816" s="1" t="b">
        <v>1</v>
      </c>
      <c r="Q816" s="34"/>
    </row>
    <row r="817" spans="2:17">
      <c r="B817" s="1" t="str">
        <f t="shared" si="28"/>
        <v>M_MED01_VM_BKT_815</v>
      </c>
      <c r="C817" s="92" t="s">
        <v>727</v>
      </c>
      <c r="D817" s="92" t="str" cm="1">
        <f t="array" ref="D817">INDEX(기계코드!$D$4:$D$1022,MATCH(1,(C817=기계코드!$F$4:$F$1022)*1,0))</f>
        <v>M_MED01</v>
      </c>
      <c r="E817" s="92" t="s">
        <v>1128</v>
      </c>
      <c r="F817" s="92" t="str" cm="1">
        <f t="array" ref="F817">INDEX(공급업체코드!$B$3:$B$1000,MATCH(1,(E817=공급업체코드!$D$3:$D$1000)*1,0))</f>
        <v>VM_BKT</v>
      </c>
      <c r="H817" s="312">
        <v>815</v>
      </c>
      <c r="I817" s="233" t="s">
        <v>1313</v>
      </c>
      <c r="K817" s="233" t="s">
        <v>1314</v>
      </c>
      <c r="L817" s="236">
        <f t="shared" si="27"/>
        <v>814185</v>
      </c>
      <c r="N817" s="113" t="s">
        <v>1315</v>
      </c>
      <c r="O817" s="1" t="b">
        <v>1</v>
      </c>
      <c r="Q817" s="34"/>
    </row>
    <row r="818" spans="2:17">
      <c r="B818" s="1" t="str">
        <f t="shared" si="28"/>
        <v>M_MED01_VM_BKT_816</v>
      </c>
      <c r="C818" s="92" t="s">
        <v>727</v>
      </c>
      <c r="D818" s="92" t="str" cm="1">
        <f t="array" ref="D818">INDEX(기계코드!$D$4:$D$1022,MATCH(1,(C818=기계코드!$F$4:$F$1022)*1,0))</f>
        <v>M_MED01</v>
      </c>
      <c r="E818" s="92" t="s">
        <v>1128</v>
      </c>
      <c r="F818" s="92" t="str" cm="1">
        <f t="array" ref="F818">INDEX(공급업체코드!$B$3:$B$1000,MATCH(1,(E818=공급업체코드!$D$3:$D$1000)*1,0))</f>
        <v>VM_BKT</v>
      </c>
      <c r="H818" s="312">
        <v>816</v>
      </c>
      <c r="I818" s="233" t="s">
        <v>1313</v>
      </c>
      <c r="K818" s="233" t="s">
        <v>1314</v>
      </c>
      <c r="L818" s="236">
        <f t="shared" si="27"/>
        <v>815184</v>
      </c>
      <c r="N818" s="113" t="s">
        <v>1315</v>
      </c>
      <c r="O818" s="1" t="b">
        <v>1</v>
      </c>
      <c r="Q818" s="34"/>
    </row>
    <row r="819" spans="2:17">
      <c r="B819" s="1" t="str">
        <f t="shared" si="28"/>
        <v>M_MED01_VM_BKT_817</v>
      </c>
      <c r="C819" s="92" t="s">
        <v>727</v>
      </c>
      <c r="D819" s="92" t="str" cm="1">
        <f t="array" ref="D819">INDEX(기계코드!$D$4:$D$1022,MATCH(1,(C819=기계코드!$F$4:$F$1022)*1,0))</f>
        <v>M_MED01</v>
      </c>
      <c r="E819" s="92" t="s">
        <v>1128</v>
      </c>
      <c r="F819" s="92" t="str" cm="1">
        <f t="array" ref="F819">INDEX(공급업체코드!$B$3:$B$1000,MATCH(1,(E819=공급업체코드!$D$3:$D$1000)*1,0))</f>
        <v>VM_BKT</v>
      </c>
      <c r="H819" s="312">
        <v>817</v>
      </c>
      <c r="I819" s="233" t="s">
        <v>1313</v>
      </c>
      <c r="K819" s="233" t="s">
        <v>1314</v>
      </c>
      <c r="L819" s="236">
        <f t="shared" si="27"/>
        <v>816183</v>
      </c>
      <c r="N819" s="113" t="s">
        <v>1315</v>
      </c>
      <c r="O819" s="1" t="b">
        <v>1</v>
      </c>
      <c r="Q819" s="34"/>
    </row>
    <row r="820" spans="2:17">
      <c r="B820" s="1" t="str">
        <f t="shared" si="28"/>
        <v>M_MED01_VM_BKT_818</v>
      </c>
      <c r="C820" s="92" t="s">
        <v>727</v>
      </c>
      <c r="D820" s="92" t="str" cm="1">
        <f t="array" ref="D820">INDEX(기계코드!$D$4:$D$1022,MATCH(1,(C820=기계코드!$F$4:$F$1022)*1,0))</f>
        <v>M_MED01</v>
      </c>
      <c r="E820" s="92" t="s">
        <v>1128</v>
      </c>
      <c r="F820" s="92" t="str" cm="1">
        <f t="array" ref="F820">INDEX(공급업체코드!$B$3:$B$1000,MATCH(1,(E820=공급업체코드!$D$3:$D$1000)*1,0))</f>
        <v>VM_BKT</v>
      </c>
      <c r="H820" s="312">
        <v>818</v>
      </c>
      <c r="I820" s="233" t="s">
        <v>1313</v>
      </c>
      <c r="K820" s="233" t="s">
        <v>1314</v>
      </c>
      <c r="L820" s="236">
        <f t="shared" si="27"/>
        <v>817182</v>
      </c>
      <c r="N820" s="113" t="s">
        <v>1315</v>
      </c>
      <c r="O820" s="1" t="b">
        <v>1</v>
      </c>
      <c r="Q820" s="34"/>
    </row>
    <row r="821" spans="2:17">
      <c r="B821" s="1" t="str">
        <f t="shared" si="28"/>
        <v>M_MED01_VM_BKT_819</v>
      </c>
      <c r="C821" s="92" t="s">
        <v>727</v>
      </c>
      <c r="D821" s="92" t="str" cm="1">
        <f t="array" ref="D821">INDEX(기계코드!$D$4:$D$1022,MATCH(1,(C821=기계코드!$F$4:$F$1022)*1,0))</f>
        <v>M_MED01</v>
      </c>
      <c r="E821" s="92" t="s">
        <v>1128</v>
      </c>
      <c r="F821" s="92" t="str" cm="1">
        <f t="array" ref="F821">INDEX(공급업체코드!$B$3:$B$1000,MATCH(1,(E821=공급업체코드!$D$3:$D$1000)*1,0))</f>
        <v>VM_BKT</v>
      </c>
      <c r="H821" s="312">
        <v>819</v>
      </c>
      <c r="I821" s="233" t="s">
        <v>1313</v>
      </c>
      <c r="K821" s="233" t="s">
        <v>1314</v>
      </c>
      <c r="L821" s="236">
        <f t="shared" si="27"/>
        <v>818181</v>
      </c>
      <c r="N821" s="113" t="s">
        <v>1315</v>
      </c>
      <c r="O821" s="1" t="b">
        <v>1</v>
      </c>
      <c r="Q821" s="34"/>
    </row>
    <row r="822" spans="2:17">
      <c r="B822" s="1" t="str">
        <f t="shared" si="28"/>
        <v>M_MED01_VM_BKT_820</v>
      </c>
      <c r="C822" s="92" t="s">
        <v>727</v>
      </c>
      <c r="D822" s="92" t="str" cm="1">
        <f t="array" ref="D822">INDEX(기계코드!$D$4:$D$1022,MATCH(1,(C822=기계코드!$F$4:$F$1022)*1,0))</f>
        <v>M_MED01</v>
      </c>
      <c r="E822" s="92" t="s">
        <v>1128</v>
      </c>
      <c r="F822" s="92" t="str" cm="1">
        <f t="array" ref="F822">INDEX(공급업체코드!$B$3:$B$1000,MATCH(1,(E822=공급업체코드!$D$3:$D$1000)*1,0))</f>
        <v>VM_BKT</v>
      </c>
      <c r="H822" s="312">
        <v>820</v>
      </c>
      <c r="I822" s="233" t="s">
        <v>1313</v>
      </c>
      <c r="K822" s="233" t="s">
        <v>1314</v>
      </c>
      <c r="L822" s="236">
        <f t="shared" si="27"/>
        <v>819180</v>
      </c>
      <c r="N822" s="113" t="s">
        <v>1315</v>
      </c>
      <c r="O822" s="1" t="b">
        <v>1</v>
      </c>
      <c r="Q822" s="34"/>
    </row>
    <row r="823" spans="2:17">
      <c r="B823" s="1" t="str">
        <f t="shared" si="28"/>
        <v>M_MED01_VM_BKT_821</v>
      </c>
      <c r="C823" s="92" t="s">
        <v>727</v>
      </c>
      <c r="D823" s="92" t="str" cm="1">
        <f t="array" ref="D823">INDEX(기계코드!$D$4:$D$1022,MATCH(1,(C823=기계코드!$F$4:$F$1022)*1,0))</f>
        <v>M_MED01</v>
      </c>
      <c r="E823" s="92" t="s">
        <v>1128</v>
      </c>
      <c r="F823" s="92" t="str" cm="1">
        <f t="array" ref="F823">INDEX(공급업체코드!$B$3:$B$1000,MATCH(1,(E823=공급업체코드!$D$3:$D$1000)*1,0))</f>
        <v>VM_BKT</v>
      </c>
      <c r="H823" s="312">
        <v>821</v>
      </c>
      <c r="I823" s="233" t="s">
        <v>1313</v>
      </c>
      <c r="K823" s="233" t="s">
        <v>1314</v>
      </c>
      <c r="L823" s="236">
        <f t="shared" si="27"/>
        <v>820179</v>
      </c>
      <c r="N823" s="113" t="s">
        <v>1315</v>
      </c>
      <c r="O823" s="1" t="b">
        <v>1</v>
      </c>
      <c r="Q823" s="34"/>
    </row>
    <row r="824" spans="2:17">
      <c r="B824" s="1" t="str">
        <f t="shared" si="28"/>
        <v>M_MED01_VM_BKT_822</v>
      </c>
      <c r="C824" s="92" t="s">
        <v>727</v>
      </c>
      <c r="D824" s="92" t="str" cm="1">
        <f t="array" ref="D824">INDEX(기계코드!$D$4:$D$1022,MATCH(1,(C824=기계코드!$F$4:$F$1022)*1,0))</f>
        <v>M_MED01</v>
      </c>
      <c r="E824" s="92" t="s">
        <v>1128</v>
      </c>
      <c r="F824" s="92" t="str" cm="1">
        <f t="array" ref="F824">INDEX(공급업체코드!$B$3:$B$1000,MATCH(1,(E824=공급업체코드!$D$3:$D$1000)*1,0))</f>
        <v>VM_BKT</v>
      </c>
      <c r="H824" s="312">
        <v>822</v>
      </c>
      <c r="I824" s="233" t="s">
        <v>1313</v>
      </c>
      <c r="K824" s="233" t="s">
        <v>1314</v>
      </c>
      <c r="L824" s="236">
        <f t="shared" si="27"/>
        <v>821178</v>
      </c>
      <c r="N824" s="113" t="s">
        <v>1315</v>
      </c>
      <c r="O824" s="1" t="b">
        <v>1</v>
      </c>
      <c r="Q824" s="34"/>
    </row>
    <row r="825" spans="2:17">
      <c r="B825" s="1" t="str">
        <f t="shared" si="28"/>
        <v>M_MED01_VM_BKT_823</v>
      </c>
      <c r="C825" s="92" t="s">
        <v>727</v>
      </c>
      <c r="D825" s="92" t="str" cm="1">
        <f t="array" ref="D825">INDEX(기계코드!$D$4:$D$1022,MATCH(1,(C825=기계코드!$F$4:$F$1022)*1,0))</f>
        <v>M_MED01</v>
      </c>
      <c r="E825" s="92" t="s">
        <v>1128</v>
      </c>
      <c r="F825" s="92" t="str" cm="1">
        <f t="array" ref="F825">INDEX(공급업체코드!$B$3:$B$1000,MATCH(1,(E825=공급업체코드!$D$3:$D$1000)*1,0))</f>
        <v>VM_BKT</v>
      </c>
      <c r="H825" s="312">
        <v>823</v>
      </c>
      <c r="I825" s="233" t="s">
        <v>1313</v>
      </c>
      <c r="K825" s="233" t="s">
        <v>1314</v>
      </c>
      <c r="L825" s="236">
        <f t="shared" si="27"/>
        <v>822177</v>
      </c>
      <c r="N825" s="113" t="s">
        <v>1315</v>
      </c>
      <c r="O825" s="1" t="b">
        <v>1</v>
      </c>
      <c r="Q825" s="34"/>
    </row>
    <row r="826" spans="2:17">
      <c r="B826" s="1" t="str">
        <f t="shared" si="28"/>
        <v>M_MED01_VM_BKT_824</v>
      </c>
      <c r="C826" s="92" t="s">
        <v>727</v>
      </c>
      <c r="D826" s="92" t="str" cm="1">
        <f t="array" ref="D826">INDEX(기계코드!$D$4:$D$1022,MATCH(1,(C826=기계코드!$F$4:$F$1022)*1,0))</f>
        <v>M_MED01</v>
      </c>
      <c r="E826" s="92" t="s">
        <v>1128</v>
      </c>
      <c r="F826" s="92" t="str" cm="1">
        <f t="array" ref="F826">INDEX(공급업체코드!$B$3:$B$1000,MATCH(1,(E826=공급업체코드!$D$3:$D$1000)*1,0))</f>
        <v>VM_BKT</v>
      </c>
      <c r="H826" s="312">
        <v>824</v>
      </c>
      <c r="I826" s="233" t="s">
        <v>1313</v>
      </c>
      <c r="K826" s="233" t="s">
        <v>1314</v>
      </c>
      <c r="L826" s="236">
        <f t="shared" si="27"/>
        <v>823176</v>
      </c>
      <c r="N826" s="113" t="s">
        <v>1315</v>
      </c>
      <c r="O826" s="1" t="b">
        <v>1</v>
      </c>
      <c r="Q826" s="34"/>
    </row>
    <row r="827" spans="2:17">
      <c r="B827" s="1" t="str">
        <f t="shared" si="28"/>
        <v>M_MED01_VM_BKT_825</v>
      </c>
      <c r="C827" s="92" t="s">
        <v>727</v>
      </c>
      <c r="D827" s="92" t="str" cm="1">
        <f t="array" ref="D827">INDEX(기계코드!$D$4:$D$1022,MATCH(1,(C827=기계코드!$F$4:$F$1022)*1,0))</f>
        <v>M_MED01</v>
      </c>
      <c r="E827" s="92" t="s">
        <v>1128</v>
      </c>
      <c r="F827" s="92" t="str" cm="1">
        <f t="array" ref="F827">INDEX(공급업체코드!$B$3:$B$1000,MATCH(1,(E827=공급업체코드!$D$3:$D$1000)*1,0))</f>
        <v>VM_BKT</v>
      </c>
      <c r="H827" s="312">
        <v>825</v>
      </c>
      <c r="I827" s="233" t="s">
        <v>1313</v>
      </c>
      <c r="K827" s="233" t="s">
        <v>1314</v>
      </c>
      <c r="L827" s="236">
        <f t="shared" si="27"/>
        <v>824175</v>
      </c>
      <c r="N827" s="113" t="s">
        <v>1315</v>
      </c>
      <c r="O827" s="1" t="b">
        <v>1</v>
      </c>
      <c r="Q827" s="34"/>
    </row>
    <row r="828" spans="2:17">
      <c r="B828" s="1" t="str">
        <f t="shared" si="28"/>
        <v>M_MED01_VM_BKT_826</v>
      </c>
      <c r="C828" s="92" t="s">
        <v>727</v>
      </c>
      <c r="D828" s="92" t="str" cm="1">
        <f t="array" ref="D828">INDEX(기계코드!$D$4:$D$1022,MATCH(1,(C828=기계코드!$F$4:$F$1022)*1,0))</f>
        <v>M_MED01</v>
      </c>
      <c r="E828" s="92" t="s">
        <v>1128</v>
      </c>
      <c r="F828" s="92" t="str" cm="1">
        <f t="array" ref="F828">INDEX(공급업체코드!$B$3:$B$1000,MATCH(1,(E828=공급업체코드!$D$3:$D$1000)*1,0))</f>
        <v>VM_BKT</v>
      </c>
      <c r="H828" s="312">
        <v>826</v>
      </c>
      <c r="I828" s="233" t="s">
        <v>1313</v>
      </c>
      <c r="K828" s="233" t="s">
        <v>1314</v>
      </c>
      <c r="L828" s="236">
        <f t="shared" si="27"/>
        <v>825174</v>
      </c>
      <c r="N828" s="113" t="s">
        <v>1315</v>
      </c>
      <c r="O828" s="1" t="b">
        <v>1</v>
      </c>
      <c r="Q828" s="34"/>
    </row>
    <row r="829" spans="2:17">
      <c r="B829" s="1" t="str">
        <f t="shared" si="28"/>
        <v>M_MED01_VM_BKT_827</v>
      </c>
      <c r="C829" s="92" t="s">
        <v>727</v>
      </c>
      <c r="D829" s="92" t="str" cm="1">
        <f t="array" ref="D829">INDEX(기계코드!$D$4:$D$1022,MATCH(1,(C829=기계코드!$F$4:$F$1022)*1,0))</f>
        <v>M_MED01</v>
      </c>
      <c r="E829" s="92" t="s">
        <v>1128</v>
      </c>
      <c r="F829" s="92" t="str" cm="1">
        <f t="array" ref="F829">INDEX(공급업체코드!$B$3:$B$1000,MATCH(1,(E829=공급업체코드!$D$3:$D$1000)*1,0))</f>
        <v>VM_BKT</v>
      </c>
      <c r="H829" s="312">
        <v>827</v>
      </c>
      <c r="I829" s="233" t="s">
        <v>1313</v>
      </c>
      <c r="K829" s="233" t="s">
        <v>1314</v>
      </c>
      <c r="L829" s="236">
        <f t="shared" si="27"/>
        <v>826173</v>
      </c>
      <c r="N829" s="113" t="s">
        <v>1315</v>
      </c>
      <c r="O829" s="1" t="b">
        <v>1</v>
      </c>
      <c r="Q829" s="34"/>
    </row>
    <row r="830" spans="2:17">
      <c r="B830" s="1" t="str">
        <f t="shared" si="28"/>
        <v>M_MED01_VM_BKT_828</v>
      </c>
      <c r="C830" s="92" t="s">
        <v>727</v>
      </c>
      <c r="D830" s="92" t="str" cm="1">
        <f t="array" ref="D830">INDEX(기계코드!$D$4:$D$1022,MATCH(1,(C830=기계코드!$F$4:$F$1022)*1,0))</f>
        <v>M_MED01</v>
      </c>
      <c r="E830" s="92" t="s">
        <v>1128</v>
      </c>
      <c r="F830" s="92" t="str" cm="1">
        <f t="array" ref="F830">INDEX(공급업체코드!$B$3:$B$1000,MATCH(1,(E830=공급업체코드!$D$3:$D$1000)*1,0))</f>
        <v>VM_BKT</v>
      </c>
      <c r="H830" s="312">
        <v>828</v>
      </c>
      <c r="I830" s="233" t="s">
        <v>1313</v>
      </c>
      <c r="K830" s="233" t="s">
        <v>1314</v>
      </c>
      <c r="L830" s="236">
        <f t="shared" si="27"/>
        <v>827172</v>
      </c>
      <c r="N830" s="113" t="s">
        <v>1315</v>
      </c>
      <c r="O830" s="1" t="b">
        <v>1</v>
      </c>
      <c r="Q830" s="34"/>
    </row>
    <row r="831" spans="2:17">
      <c r="B831" s="1" t="str">
        <f t="shared" si="28"/>
        <v>M_MED01_VM_BKT_829</v>
      </c>
      <c r="C831" s="92" t="s">
        <v>727</v>
      </c>
      <c r="D831" s="92" t="str" cm="1">
        <f t="array" ref="D831">INDEX(기계코드!$D$4:$D$1022,MATCH(1,(C831=기계코드!$F$4:$F$1022)*1,0))</f>
        <v>M_MED01</v>
      </c>
      <c r="E831" s="92" t="s">
        <v>1128</v>
      </c>
      <c r="F831" s="92" t="str" cm="1">
        <f t="array" ref="F831">INDEX(공급업체코드!$B$3:$B$1000,MATCH(1,(E831=공급업체코드!$D$3:$D$1000)*1,0))</f>
        <v>VM_BKT</v>
      </c>
      <c r="H831" s="312">
        <v>829</v>
      </c>
      <c r="I831" s="233" t="s">
        <v>1313</v>
      </c>
      <c r="K831" s="233" t="s">
        <v>1314</v>
      </c>
      <c r="L831" s="236">
        <f t="shared" si="27"/>
        <v>828171</v>
      </c>
      <c r="N831" s="113" t="s">
        <v>1315</v>
      </c>
      <c r="O831" s="1" t="b">
        <v>1</v>
      </c>
      <c r="Q831" s="34"/>
    </row>
    <row r="832" spans="2:17">
      <c r="B832" s="1" t="str">
        <f t="shared" si="28"/>
        <v>M_MED01_VM_BKT_830</v>
      </c>
      <c r="C832" s="92" t="s">
        <v>727</v>
      </c>
      <c r="D832" s="92" t="str" cm="1">
        <f t="array" ref="D832">INDEX(기계코드!$D$4:$D$1022,MATCH(1,(C832=기계코드!$F$4:$F$1022)*1,0))</f>
        <v>M_MED01</v>
      </c>
      <c r="E832" s="92" t="s">
        <v>1128</v>
      </c>
      <c r="F832" s="92" t="str" cm="1">
        <f t="array" ref="F832">INDEX(공급업체코드!$B$3:$B$1000,MATCH(1,(E832=공급업체코드!$D$3:$D$1000)*1,0))</f>
        <v>VM_BKT</v>
      </c>
      <c r="H832" s="312">
        <v>830</v>
      </c>
      <c r="I832" s="233" t="s">
        <v>1313</v>
      </c>
      <c r="K832" s="233" t="s">
        <v>1314</v>
      </c>
      <c r="L832" s="236">
        <f t="shared" si="27"/>
        <v>829170</v>
      </c>
      <c r="N832" s="113" t="s">
        <v>1315</v>
      </c>
      <c r="O832" s="1" t="b">
        <v>1</v>
      </c>
      <c r="Q832" s="34"/>
    </row>
    <row r="833" spans="2:17">
      <c r="B833" s="1" t="str">
        <f t="shared" si="28"/>
        <v>M_MED01_VM_BKT_831</v>
      </c>
      <c r="C833" s="92" t="s">
        <v>727</v>
      </c>
      <c r="D833" s="92" t="str" cm="1">
        <f t="array" ref="D833">INDEX(기계코드!$D$4:$D$1022,MATCH(1,(C833=기계코드!$F$4:$F$1022)*1,0))</f>
        <v>M_MED01</v>
      </c>
      <c r="E833" s="92" t="s">
        <v>1128</v>
      </c>
      <c r="F833" s="92" t="str" cm="1">
        <f t="array" ref="F833">INDEX(공급업체코드!$B$3:$B$1000,MATCH(1,(E833=공급업체코드!$D$3:$D$1000)*1,0))</f>
        <v>VM_BKT</v>
      </c>
      <c r="H833" s="312">
        <v>831</v>
      </c>
      <c r="I833" s="233" t="s">
        <v>1313</v>
      </c>
      <c r="K833" s="233" t="s">
        <v>1314</v>
      </c>
      <c r="L833" s="236">
        <f t="shared" si="27"/>
        <v>830169</v>
      </c>
      <c r="N833" s="113" t="s">
        <v>1315</v>
      </c>
      <c r="O833" s="1" t="b">
        <v>1</v>
      </c>
      <c r="Q833" s="34"/>
    </row>
    <row r="834" spans="2:17">
      <c r="B834" s="1" t="str">
        <f t="shared" si="28"/>
        <v>M_MED01_VM_BKT_832</v>
      </c>
      <c r="C834" s="92" t="s">
        <v>727</v>
      </c>
      <c r="D834" s="92" t="str" cm="1">
        <f t="array" ref="D834">INDEX(기계코드!$D$4:$D$1022,MATCH(1,(C834=기계코드!$F$4:$F$1022)*1,0))</f>
        <v>M_MED01</v>
      </c>
      <c r="E834" s="92" t="s">
        <v>1128</v>
      </c>
      <c r="F834" s="92" t="str" cm="1">
        <f t="array" ref="F834">INDEX(공급업체코드!$B$3:$B$1000,MATCH(1,(E834=공급업체코드!$D$3:$D$1000)*1,0))</f>
        <v>VM_BKT</v>
      </c>
      <c r="H834" s="312">
        <v>832</v>
      </c>
      <c r="I834" s="233" t="s">
        <v>1313</v>
      </c>
      <c r="K834" s="233" t="s">
        <v>1314</v>
      </c>
      <c r="L834" s="236">
        <f t="shared" si="27"/>
        <v>831168</v>
      </c>
      <c r="N834" s="113" t="s">
        <v>1315</v>
      </c>
      <c r="O834" s="1" t="b">
        <v>1</v>
      </c>
      <c r="Q834" s="34"/>
    </row>
    <row r="835" spans="2:17">
      <c r="B835" s="1" t="str">
        <f t="shared" si="28"/>
        <v>M_MED01_VM_BKT_833</v>
      </c>
      <c r="C835" s="92" t="s">
        <v>727</v>
      </c>
      <c r="D835" s="92" t="str" cm="1">
        <f t="array" ref="D835">INDEX(기계코드!$D$4:$D$1022,MATCH(1,(C835=기계코드!$F$4:$F$1022)*1,0))</f>
        <v>M_MED01</v>
      </c>
      <c r="E835" s="92" t="s">
        <v>1128</v>
      </c>
      <c r="F835" s="92" t="str" cm="1">
        <f t="array" ref="F835">INDEX(공급업체코드!$B$3:$B$1000,MATCH(1,(E835=공급업체코드!$D$3:$D$1000)*1,0))</f>
        <v>VM_BKT</v>
      </c>
      <c r="H835" s="312">
        <v>833</v>
      </c>
      <c r="I835" s="233" t="s">
        <v>1313</v>
      </c>
      <c r="K835" s="233" t="s">
        <v>1314</v>
      </c>
      <c r="L835" s="236">
        <f t="shared" si="27"/>
        <v>832167</v>
      </c>
      <c r="N835" s="113" t="s">
        <v>1315</v>
      </c>
      <c r="O835" s="1" t="b">
        <v>1</v>
      </c>
      <c r="Q835" s="34"/>
    </row>
    <row r="836" spans="2:17">
      <c r="B836" s="1" t="str">
        <f t="shared" si="28"/>
        <v>M_MED01_VM_BKT_834</v>
      </c>
      <c r="C836" s="92" t="s">
        <v>727</v>
      </c>
      <c r="D836" s="92" t="str" cm="1">
        <f t="array" ref="D836">INDEX(기계코드!$D$4:$D$1022,MATCH(1,(C836=기계코드!$F$4:$F$1022)*1,0))</f>
        <v>M_MED01</v>
      </c>
      <c r="E836" s="92" t="s">
        <v>1128</v>
      </c>
      <c r="F836" s="92" t="str" cm="1">
        <f t="array" ref="F836">INDEX(공급업체코드!$B$3:$B$1000,MATCH(1,(E836=공급업체코드!$D$3:$D$1000)*1,0))</f>
        <v>VM_BKT</v>
      </c>
      <c r="H836" s="312">
        <v>834</v>
      </c>
      <c r="I836" s="233" t="s">
        <v>1313</v>
      </c>
      <c r="K836" s="233" t="s">
        <v>1314</v>
      </c>
      <c r="L836" s="236">
        <f t="shared" si="27"/>
        <v>833166</v>
      </c>
      <c r="N836" s="113" t="s">
        <v>1315</v>
      </c>
      <c r="O836" s="1" t="b">
        <v>1</v>
      </c>
      <c r="Q836" s="34"/>
    </row>
    <row r="837" spans="2:17">
      <c r="B837" s="1" t="str">
        <f t="shared" si="28"/>
        <v>M_MED01_VM_BKT_835</v>
      </c>
      <c r="C837" s="92" t="s">
        <v>727</v>
      </c>
      <c r="D837" s="92" t="str" cm="1">
        <f t="array" ref="D837">INDEX(기계코드!$D$4:$D$1022,MATCH(1,(C837=기계코드!$F$4:$F$1022)*1,0))</f>
        <v>M_MED01</v>
      </c>
      <c r="E837" s="92" t="s">
        <v>1128</v>
      </c>
      <c r="F837" s="92" t="str" cm="1">
        <f t="array" ref="F837">INDEX(공급업체코드!$B$3:$B$1000,MATCH(1,(E837=공급업체코드!$D$3:$D$1000)*1,0))</f>
        <v>VM_BKT</v>
      </c>
      <c r="H837" s="312">
        <v>835</v>
      </c>
      <c r="I837" s="233" t="s">
        <v>1313</v>
      </c>
      <c r="K837" s="233" t="s">
        <v>1314</v>
      </c>
      <c r="L837" s="236">
        <f t="shared" ref="L837:L900" si="29">$L$3*H837</f>
        <v>834165</v>
      </c>
      <c r="N837" s="113" t="s">
        <v>1315</v>
      </c>
      <c r="O837" s="1" t="b">
        <v>1</v>
      </c>
      <c r="Q837" s="34"/>
    </row>
    <row r="838" spans="2:17">
      <c r="B838" s="1" t="str">
        <f t="shared" si="28"/>
        <v>M_MED01_VM_BKT_836</v>
      </c>
      <c r="C838" s="92" t="s">
        <v>727</v>
      </c>
      <c r="D838" s="92" t="str" cm="1">
        <f t="array" ref="D838">INDEX(기계코드!$D$4:$D$1022,MATCH(1,(C838=기계코드!$F$4:$F$1022)*1,0))</f>
        <v>M_MED01</v>
      </c>
      <c r="E838" s="92" t="s">
        <v>1128</v>
      </c>
      <c r="F838" s="92" t="str" cm="1">
        <f t="array" ref="F838">INDEX(공급업체코드!$B$3:$B$1000,MATCH(1,(E838=공급업체코드!$D$3:$D$1000)*1,0))</f>
        <v>VM_BKT</v>
      </c>
      <c r="H838" s="312">
        <v>836</v>
      </c>
      <c r="I838" s="233" t="s">
        <v>1313</v>
      </c>
      <c r="K838" s="233" t="s">
        <v>1314</v>
      </c>
      <c r="L838" s="236">
        <f t="shared" si="29"/>
        <v>835164</v>
      </c>
      <c r="N838" s="113" t="s">
        <v>1315</v>
      </c>
      <c r="O838" s="1" t="b">
        <v>1</v>
      </c>
      <c r="Q838" s="34"/>
    </row>
    <row r="839" spans="2:17">
      <c r="B839" s="1" t="str">
        <f t="shared" ref="B839:B902" si="30">D839&amp;"_"&amp;F839&amp;"_"&amp;H839</f>
        <v>M_MED01_VM_BKT_837</v>
      </c>
      <c r="C839" s="92" t="s">
        <v>727</v>
      </c>
      <c r="D839" s="92" t="str" cm="1">
        <f t="array" ref="D839">INDEX(기계코드!$D$4:$D$1022,MATCH(1,(C839=기계코드!$F$4:$F$1022)*1,0))</f>
        <v>M_MED01</v>
      </c>
      <c r="E839" s="92" t="s">
        <v>1128</v>
      </c>
      <c r="F839" s="92" t="str" cm="1">
        <f t="array" ref="F839">INDEX(공급업체코드!$B$3:$B$1000,MATCH(1,(E839=공급업체코드!$D$3:$D$1000)*1,0))</f>
        <v>VM_BKT</v>
      </c>
      <c r="H839" s="312">
        <v>837</v>
      </c>
      <c r="I839" s="233" t="s">
        <v>1313</v>
      </c>
      <c r="K839" s="233" t="s">
        <v>1314</v>
      </c>
      <c r="L839" s="236">
        <f t="shared" si="29"/>
        <v>836163</v>
      </c>
      <c r="N839" s="113" t="s">
        <v>1315</v>
      </c>
      <c r="O839" s="1" t="b">
        <v>1</v>
      </c>
      <c r="Q839" s="34"/>
    </row>
    <row r="840" spans="2:17">
      <c r="B840" s="1" t="str">
        <f t="shared" si="30"/>
        <v>M_MED01_VM_BKT_838</v>
      </c>
      <c r="C840" s="92" t="s">
        <v>727</v>
      </c>
      <c r="D840" s="92" t="str" cm="1">
        <f t="array" ref="D840">INDEX(기계코드!$D$4:$D$1022,MATCH(1,(C840=기계코드!$F$4:$F$1022)*1,0))</f>
        <v>M_MED01</v>
      </c>
      <c r="E840" s="92" t="s">
        <v>1128</v>
      </c>
      <c r="F840" s="92" t="str" cm="1">
        <f t="array" ref="F840">INDEX(공급업체코드!$B$3:$B$1000,MATCH(1,(E840=공급업체코드!$D$3:$D$1000)*1,0))</f>
        <v>VM_BKT</v>
      </c>
      <c r="H840" s="312">
        <v>838</v>
      </c>
      <c r="I840" s="233" t="s">
        <v>1313</v>
      </c>
      <c r="K840" s="233" t="s">
        <v>1314</v>
      </c>
      <c r="L840" s="236">
        <f t="shared" si="29"/>
        <v>837162</v>
      </c>
      <c r="N840" s="113" t="s">
        <v>1315</v>
      </c>
      <c r="O840" s="1" t="b">
        <v>1</v>
      </c>
      <c r="Q840" s="34"/>
    </row>
    <row r="841" spans="2:17">
      <c r="B841" s="1" t="str">
        <f t="shared" si="30"/>
        <v>M_MED01_VM_BKT_839</v>
      </c>
      <c r="C841" s="92" t="s">
        <v>727</v>
      </c>
      <c r="D841" s="92" t="str" cm="1">
        <f t="array" ref="D841">INDEX(기계코드!$D$4:$D$1022,MATCH(1,(C841=기계코드!$F$4:$F$1022)*1,0))</f>
        <v>M_MED01</v>
      </c>
      <c r="E841" s="92" t="s">
        <v>1128</v>
      </c>
      <c r="F841" s="92" t="str" cm="1">
        <f t="array" ref="F841">INDEX(공급업체코드!$B$3:$B$1000,MATCH(1,(E841=공급업체코드!$D$3:$D$1000)*1,0))</f>
        <v>VM_BKT</v>
      </c>
      <c r="H841" s="312">
        <v>839</v>
      </c>
      <c r="I841" s="233" t="s">
        <v>1313</v>
      </c>
      <c r="K841" s="233" t="s">
        <v>1314</v>
      </c>
      <c r="L841" s="236">
        <f t="shared" si="29"/>
        <v>838161</v>
      </c>
      <c r="N841" s="113" t="s">
        <v>1315</v>
      </c>
      <c r="O841" s="1" t="b">
        <v>1</v>
      </c>
      <c r="Q841" s="34"/>
    </row>
    <row r="842" spans="2:17">
      <c r="B842" s="1" t="str">
        <f t="shared" si="30"/>
        <v>M_MED01_VM_BKT_840</v>
      </c>
      <c r="C842" s="92" t="s">
        <v>727</v>
      </c>
      <c r="D842" s="92" t="str" cm="1">
        <f t="array" ref="D842">INDEX(기계코드!$D$4:$D$1022,MATCH(1,(C842=기계코드!$F$4:$F$1022)*1,0))</f>
        <v>M_MED01</v>
      </c>
      <c r="E842" s="92" t="s">
        <v>1128</v>
      </c>
      <c r="F842" s="92" t="str" cm="1">
        <f t="array" ref="F842">INDEX(공급업체코드!$B$3:$B$1000,MATCH(1,(E842=공급업체코드!$D$3:$D$1000)*1,0))</f>
        <v>VM_BKT</v>
      </c>
      <c r="H842" s="312">
        <v>840</v>
      </c>
      <c r="I842" s="233" t="s">
        <v>1313</v>
      </c>
      <c r="K842" s="233" t="s">
        <v>1314</v>
      </c>
      <c r="L842" s="236">
        <f t="shared" si="29"/>
        <v>839160</v>
      </c>
      <c r="N842" s="113" t="s">
        <v>1315</v>
      </c>
      <c r="O842" s="1" t="b">
        <v>1</v>
      </c>
      <c r="Q842" s="34"/>
    </row>
    <row r="843" spans="2:17">
      <c r="B843" s="1" t="str">
        <f t="shared" si="30"/>
        <v>M_MED01_VM_BKT_841</v>
      </c>
      <c r="C843" s="92" t="s">
        <v>727</v>
      </c>
      <c r="D843" s="92" t="str" cm="1">
        <f t="array" ref="D843">INDEX(기계코드!$D$4:$D$1022,MATCH(1,(C843=기계코드!$F$4:$F$1022)*1,0))</f>
        <v>M_MED01</v>
      </c>
      <c r="E843" s="92" t="s">
        <v>1128</v>
      </c>
      <c r="F843" s="92" t="str" cm="1">
        <f t="array" ref="F843">INDEX(공급업체코드!$B$3:$B$1000,MATCH(1,(E843=공급업체코드!$D$3:$D$1000)*1,0))</f>
        <v>VM_BKT</v>
      </c>
      <c r="H843" s="312">
        <v>841</v>
      </c>
      <c r="I843" s="233" t="s">
        <v>1313</v>
      </c>
      <c r="K843" s="233" t="s">
        <v>1314</v>
      </c>
      <c r="L843" s="236">
        <f t="shared" si="29"/>
        <v>840159</v>
      </c>
      <c r="N843" s="113" t="s">
        <v>1315</v>
      </c>
      <c r="O843" s="1" t="b">
        <v>1</v>
      </c>
      <c r="Q843" s="34"/>
    </row>
    <row r="844" spans="2:17">
      <c r="B844" s="1" t="str">
        <f t="shared" si="30"/>
        <v>M_MED01_VM_BKT_842</v>
      </c>
      <c r="C844" s="92" t="s">
        <v>727</v>
      </c>
      <c r="D844" s="92" t="str" cm="1">
        <f t="array" ref="D844">INDEX(기계코드!$D$4:$D$1022,MATCH(1,(C844=기계코드!$F$4:$F$1022)*1,0))</f>
        <v>M_MED01</v>
      </c>
      <c r="E844" s="92" t="s">
        <v>1128</v>
      </c>
      <c r="F844" s="92" t="str" cm="1">
        <f t="array" ref="F844">INDEX(공급업체코드!$B$3:$B$1000,MATCH(1,(E844=공급업체코드!$D$3:$D$1000)*1,0))</f>
        <v>VM_BKT</v>
      </c>
      <c r="H844" s="312">
        <v>842</v>
      </c>
      <c r="I844" s="233" t="s">
        <v>1313</v>
      </c>
      <c r="K844" s="233" t="s">
        <v>1314</v>
      </c>
      <c r="L844" s="236">
        <f t="shared" si="29"/>
        <v>841158</v>
      </c>
      <c r="N844" s="113" t="s">
        <v>1315</v>
      </c>
      <c r="O844" s="1" t="b">
        <v>1</v>
      </c>
      <c r="Q844" s="34"/>
    </row>
    <row r="845" spans="2:17">
      <c r="B845" s="1" t="str">
        <f t="shared" si="30"/>
        <v>M_MED01_VM_BKT_843</v>
      </c>
      <c r="C845" s="92" t="s">
        <v>727</v>
      </c>
      <c r="D845" s="92" t="str" cm="1">
        <f t="array" ref="D845">INDEX(기계코드!$D$4:$D$1022,MATCH(1,(C845=기계코드!$F$4:$F$1022)*1,0))</f>
        <v>M_MED01</v>
      </c>
      <c r="E845" s="92" t="s">
        <v>1128</v>
      </c>
      <c r="F845" s="92" t="str" cm="1">
        <f t="array" ref="F845">INDEX(공급업체코드!$B$3:$B$1000,MATCH(1,(E845=공급업체코드!$D$3:$D$1000)*1,0))</f>
        <v>VM_BKT</v>
      </c>
      <c r="H845" s="312">
        <v>843</v>
      </c>
      <c r="I845" s="233" t="s">
        <v>1313</v>
      </c>
      <c r="K845" s="233" t="s">
        <v>1314</v>
      </c>
      <c r="L845" s="236">
        <f t="shared" si="29"/>
        <v>842157</v>
      </c>
      <c r="N845" s="113" t="s">
        <v>1315</v>
      </c>
      <c r="O845" s="1" t="b">
        <v>1</v>
      </c>
      <c r="Q845" s="34"/>
    </row>
    <row r="846" spans="2:17">
      <c r="B846" s="1" t="str">
        <f t="shared" si="30"/>
        <v>M_MED01_VM_BKT_844</v>
      </c>
      <c r="C846" s="92" t="s">
        <v>727</v>
      </c>
      <c r="D846" s="92" t="str" cm="1">
        <f t="array" ref="D846">INDEX(기계코드!$D$4:$D$1022,MATCH(1,(C846=기계코드!$F$4:$F$1022)*1,0))</f>
        <v>M_MED01</v>
      </c>
      <c r="E846" s="92" t="s">
        <v>1128</v>
      </c>
      <c r="F846" s="92" t="str" cm="1">
        <f t="array" ref="F846">INDEX(공급업체코드!$B$3:$B$1000,MATCH(1,(E846=공급업체코드!$D$3:$D$1000)*1,0))</f>
        <v>VM_BKT</v>
      </c>
      <c r="H846" s="312">
        <v>844</v>
      </c>
      <c r="I846" s="233" t="s">
        <v>1313</v>
      </c>
      <c r="K846" s="233" t="s">
        <v>1314</v>
      </c>
      <c r="L846" s="236">
        <f t="shared" si="29"/>
        <v>843156</v>
      </c>
      <c r="N846" s="113" t="s">
        <v>1315</v>
      </c>
      <c r="O846" s="1" t="b">
        <v>1</v>
      </c>
      <c r="Q846" s="34"/>
    </row>
    <row r="847" spans="2:17">
      <c r="B847" s="1" t="str">
        <f t="shared" si="30"/>
        <v>M_MED01_VM_BKT_845</v>
      </c>
      <c r="C847" s="92" t="s">
        <v>727</v>
      </c>
      <c r="D847" s="92" t="str" cm="1">
        <f t="array" ref="D847">INDEX(기계코드!$D$4:$D$1022,MATCH(1,(C847=기계코드!$F$4:$F$1022)*1,0))</f>
        <v>M_MED01</v>
      </c>
      <c r="E847" s="92" t="s">
        <v>1128</v>
      </c>
      <c r="F847" s="92" t="str" cm="1">
        <f t="array" ref="F847">INDEX(공급업체코드!$B$3:$B$1000,MATCH(1,(E847=공급업체코드!$D$3:$D$1000)*1,0))</f>
        <v>VM_BKT</v>
      </c>
      <c r="H847" s="312">
        <v>845</v>
      </c>
      <c r="I847" s="233" t="s">
        <v>1313</v>
      </c>
      <c r="K847" s="233" t="s">
        <v>1314</v>
      </c>
      <c r="L847" s="236">
        <f t="shared" si="29"/>
        <v>844155</v>
      </c>
      <c r="N847" s="113" t="s">
        <v>1315</v>
      </c>
      <c r="O847" s="1" t="b">
        <v>1</v>
      </c>
      <c r="Q847" s="34"/>
    </row>
    <row r="848" spans="2:17">
      <c r="B848" s="1" t="str">
        <f t="shared" si="30"/>
        <v>M_MED01_VM_BKT_846</v>
      </c>
      <c r="C848" s="92" t="s">
        <v>727</v>
      </c>
      <c r="D848" s="92" t="str" cm="1">
        <f t="array" ref="D848">INDEX(기계코드!$D$4:$D$1022,MATCH(1,(C848=기계코드!$F$4:$F$1022)*1,0))</f>
        <v>M_MED01</v>
      </c>
      <c r="E848" s="92" t="s">
        <v>1128</v>
      </c>
      <c r="F848" s="92" t="str" cm="1">
        <f t="array" ref="F848">INDEX(공급업체코드!$B$3:$B$1000,MATCH(1,(E848=공급업체코드!$D$3:$D$1000)*1,0))</f>
        <v>VM_BKT</v>
      </c>
      <c r="H848" s="312">
        <v>846</v>
      </c>
      <c r="I848" s="233" t="s">
        <v>1313</v>
      </c>
      <c r="K848" s="233" t="s">
        <v>1314</v>
      </c>
      <c r="L848" s="236">
        <f t="shared" si="29"/>
        <v>845154</v>
      </c>
      <c r="N848" s="113" t="s">
        <v>1315</v>
      </c>
      <c r="O848" s="1" t="b">
        <v>1</v>
      </c>
      <c r="Q848" s="34"/>
    </row>
    <row r="849" spans="2:17">
      <c r="B849" s="1" t="str">
        <f t="shared" si="30"/>
        <v>M_MED01_VM_BKT_847</v>
      </c>
      <c r="C849" s="92" t="s">
        <v>727</v>
      </c>
      <c r="D849" s="92" t="str" cm="1">
        <f t="array" ref="D849">INDEX(기계코드!$D$4:$D$1022,MATCH(1,(C849=기계코드!$F$4:$F$1022)*1,0))</f>
        <v>M_MED01</v>
      </c>
      <c r="E849" s="92" t="s">
        <v>1128</v>
      </c>
      <c r="F849" s="92" t="str" cm="1">
        <f t="array" ref="F849">INDEX(공급업체코드!$B$3:$B$1000,MATCH(1,(E849=공급업체코드!$D$3:$D$1000)*1,0))</f>
        <v>VM_BKT</v>
      </c>
      <c r="H849" s="312">
        <v>847</v>
      </c>
      <c r="I849" s="233" t="s">
        <v>1313</v>
      </c>
      <c r="K849" s="233" t="s">
        <v>1314</v>
      </c>
      <c r="L849" s="236">
        <f t="shared" si="29"/>
        <v>846153</v>
      </c>
      <c r="N849" s="113" t="s">
        <v>1315</v>
      </c>
      <c r="O849" s="1" t="b">
        <v>1</v>
      </c>
      <c r="Q849" s="34"/>
    </row>
    <row r="850" spans="2:17">
      <c r="B850" s="1" t="str">
        <f t="shared" si="30"/>
        <v>M_MED01_VM_BKT_848</v>
      </c>
      <c r="C850" s="92" t="s">
        <v>727</v>
      </c>
      <c r="D850" s="92" t="str" cm="1">
        <f t="array" ref="D850">INDEX(기계코드!$D$4:$D$1022,MATCH(1,(C850=기계코드!$F$4:$F$1022)*1,0))</f>
        <v>M_MED01</v>
      </c>
      <c r="E850" s="92" t="s">
        <v>1128</v>
      </c>
      <c r="F850" s="92" t="str" cm="1">
        <f t="array" ref="F850">INDEX(공급업체코드!$B$3:$B$1000,MATCH(1,(E850=공급업체코드!$D$3:$D$1000)*1,0))</f>
        <v>VM_BKT</v>
      </c>
      <c r="H850" s="312">
        <v>848</v>
      </c>
      <c r="I850" s="233" t="s">
        <v>1313</v>
      </c>
      <c r="K850" s="233" t="s">
        <v>1314</v>
      </c>
      <c r="L850" s="236">
        <f t="shared" si="29"/>
        <v>847152</v>
      </c>
      <c r="N850" s="113" t="s">
        <v>1315</v>
      </c>
      <c r="O850" s="1" t="b">
        <v>1</v>
      </c>
      <c r="Q850" s="34"/>
    </row>
    <row r="851" spans="2:17">
      <c r="B851" s="1" t="str">
        <f t="shared" si="30"/>
        <v>M_MED01_VM_BKT_849</v>
      </c>
      <c r="C851" s="92" t="s">
        <v>727</v>
      </c>
      <c r="D851" s="92" t="str" cm="1">
        <f t="array" ref="D851">INDEX(기계코드!$D$4:$D$1022,MATCH(1,(C851=기계코드!$F$4:$F$1022)*1,0))</f>
        <v>M_MED01</v>
      </c>
      <c r="E851" s="92" t="s">
        <v>1128</v>
      </c>
      <c r="F851" s="92" t="str" cm="1">
        <f t="array" ref="F851">INDEX(공급업체코드!$B$3:$B$1000,MATCH(1,(E851=공급업체코드!$D$3:$D$1000)*1,0))</f>
        <v>VM_BKT</v>
      </c>
      <c r="H851" s="312">
        <v>849</v>
      </c>
      <c r="I851" s="233" t="s">
        <v>1313</v>
      </c>
      <c r="K851" s="233" t="s">
        <v>1314</v>
      </c>
      <c r="L851" s="236">
        <f t="shared" si="29"/>
        <v>848151</v>
      </c>
      <c r="N851" s="113" t="s">
        <v>1315</v>
      </c>
      <c r="O851" s="1" t="b">
        <v>1</v>
      </c>
      <c r="Q851" s="34"/>
    </row>
    <row r="852" spans="2:17">
      <c r="B852" s="1" t="str">
        <f t="shared" si="30"/>
        <v>M_MED01_VM_BKT_850</v>
      </c>
      <c r="C852" s="92" t="s">
        <v>727</v>
      </c>
      <c r="D852" s="92" t="str" cm="1">
        <f t="array" ref="D852">INDEX(기계코드!$D$4:$D$1022,MATCH(1,(C852=기계코드!$F$4:$F$1022)*1,0))</f>
        <v>M_MED01</v>
      </c>
      <c r="E852" s="92" t="s">
        <v>1128</v>
      </c>
      <c r="F852" s="92" t="str" cm="1">
        <f t="array" ref="F852">INDEX(공급업체코드!$B$3:$B$1000,MATCH(1,(E852=공급업체코드!$D$3:$D$1000)*1,0))</f>
        <v>VM_BKT</v>
      </c>
      <c r="H852" s="312">
        <v>850</v>
      </c>
      <c r="I852" s="233" t="s">
        <v>1313</v>
      </c>
      <c r="K852" s="233" t="s">
        <v>1314</v>
      </c>
      <c r="L852" s="236">
        <f t="shared" si="29"/>
        <v>849150</v>
      </c>
      <c r="N852" s="113" t="s">
        <v>1315</v>
      </c>
      <c r="O852" s="1" t="b">
        <v>1</v>
      </c>
      <c r="Q852" s="34"/>
    </row>
    <row r="853" spans="2:17">
      <c r="B853" s="1" t="str">
        <f t="shared" si="30"/>
        <v>M_MED01_VM_BKT_851</v>
      </c>
      <c r="C853" s="92" t="s">
        <v>727</v>
      </c>
      <c r="D853" s="92" t="str" cm="1">
        <f t="array" ref="D853">INDEX(기계코드!$D$4:$D$1022,MATCH(1,(C853=기계코드!$F$4:$F$1022)*1,0))</f>
        <v>M_MED01</v>
      </c>
      <c r="E853" s="92" t="s">
        <v>1128</v>
      </c>
      <c r="F853" s="92" t="str" cm="1">
        <f t="array" ref="F853">INDEX(공급업체코드!$B$3:$B$1000,MATCH(1,(E853=공급업체코드!$D$3:$D$1000)*1,0))</f>
        <v>VM_BKT</v>
      </c>
      <c r="H853" s="312">
        <v>851</v>
      </c>
      <c r="I853" s="233" t="s">
        <v>1313</v>
      </c>
      <c r="K853" s="233" t="s">
        <v>1314</v>
      </c>
      <c r="L853" s="236">
        <f t="shared" si="29"/>
        <v>850149</v>
      </c>
      <c r="N853" s="113" t="s">
        <v>1315</v>
      </c>
      <c r="O853" s="1" t="b">
        <v>1</v>
      </c>
      <c r="Q853" s="34"/>
    </row>
    <row r="854" spans="2:17">
      <c r="B854" s="1" t="str">
        <f t="shared" si="30"/>
        <v>M_MED01_VM_BKT_852</v>
      </c>
      <c r="C854" s="92" t="s">
        <v>727</v>
      </c>
      <c r="D854" s="92" t="str" cm="1">
        <f t="array" ref="D854">INDEX(기계코드!$D$4:$D$1022,MATCH(1,(C854=기계코드!$F$4:$F$1022)*1,0))</f>
        <v>M_MED01</v>
      </c>
      <c r="E854" s="92" t="s">
        <v>1128</v>
      </c>
      <c r="F854" s="92" t="str" cm="1">
        <f t="array" ref="F854">INDEX(공급업체코드!$B$3:$B$1000,MATCH(1,(E854=공급업체코드!$D$3:$D$1000)*1,0))</f>
        <v>VM_BKT</v>
      </c>
      <c r="H854" s="312">
        <v>852</v>
      </c>
      <c r="I854" s="233" t="s">
        <v>1313</v>
      </c>
      <c r="K854" s="233" t="s">
        <v>1314</v>
      </c>
      <c r="L854" s="236">
        <f t="shared" si="29"/>
        <v>851148</v>
      </c>
      <c r="N854" s="113" t="s">
        <v>1315</v>
      </c>
      <c r="O854" s="1" t="b">
        <v>1</v>
      </c>
      <c r="Q854" s="34"/>
    </row>
    <row r="855" spans="2:17">
      <c r="B855" s="1" t="str">
        <f t="shared" si="30"/>
        <v>M_MED01_VM_BKT_853</v>
      </c>
      <c r="C855" s="92" t="s">
        <v>727</v>
      </c>
      <c r="D855" s="92" t="str" cm="1">
        <f t="array" ref="D855">INDEX(기계코드!$D$4:$D$1022,MATCH(1,(C855=기계코드!$F$4:$F$1022)*1,0))</f>
        <v>M_MED01</v>
      </c>
      <c r="E855" s="92" t="s">
        <v>1128</v>
      </c>
      <c r="F855" s="92" t="str" cm="1">
        <f t="array" ref="F855">INDEX(공급업체코드!$B$3:$B$1000,MATCH(1,(E855=공급업체코드!$D$3:$D$1000)*1,0))</f>
        <v>VM_BKT</v>
      </c>
      <c r="H855" s="312">
        <v>853</v>
      </c>
      <c r="I855" s="233" t="s">
        <v>1313</v>
      </c>
      <c r="K855" s="233" t="s">
        <v>1314</v>
      </c>
      <c r="L855" s="236">
        <f t="shared" si="29"/>
        <v>852147</v>
      </c>
      <c r="N855" s="113" t="s">
        <v>1315</v>
      </c>
      <c r="O855" s="1" t="b">
        <v>1</v>
      </c>
      <c r="Q855" s="34"/>
    </row>
    <row r="856" spans="2:17">
      <c r="B856" s="1" t="str">
        <f t="shared" si="30"/>
        <v>M_MED01_VM_BKT_854</v>
      </c>
      <c r="C856" s="92" t="s">
        <v>727</v>
      </c>
      <c r="D856" s="92" t="str" cm="1">
        <f t="array" ref="D856">INDEX(기계코드!$D$4:$D$1022,MATCH(1,(C856=기계코드!$F$4:$F$1022)*1,0))</f>
        <v>M_MED01</v>
      </c>
      <c r="E856" s="92" t="s">
        <v>1128</v>
      </c>
      <c r="F856" s="92" t="str" cm="1">
        <f t="array" ref="F856">INDEX(공급업체코드!$B$3:$B$1000,MATCH(1,(E856=공급업체코드!$D$3:$D$1000)*1,0))</f>
        <v>VM_BKT</v>
      </c>
      <c r="H856" s="312">
        <v>854</v>
      </c>
      <c r="I856" s="233" t="s">
        <v>1313</v>
      </c>
      <c r="K856" s="233" t="s">
        <v>1314</v>
      </c>
      <c r="L856" s="236">
        <f t="shared" si="29"/>
        <v>853146</v>
      </c>
      <c r="N856" s="113" t="s">
        <v>1315</v>
      </c>
      <c r="O856" s="1" t="b">
        <v>1</v>
      </c>
      <c r="Q856" s="34"/>
    </row>
    <row r="857" spans="2:17">
      <c r="B857" s="1" t="str">
        <f t="shared" si="30"/>
        <v>M_MED01_VM_BKT_855</v>
      </c>
      <c r="C857" s="92" t="s">
        <v>727</v>
      </c>
      <c r="D857" s="92" t="str" cm="1">
        <f t="array" ref="D857">INDEX(기계코드!$D$4:$D$1022,MATCH(1,(C857=기계코드!$F$4:$F$1022)*1,0))</f>
        <v>M_MED01</v>
      </c>
      <c r="E857" s="92" t="s">
        <v>1128</v>
      </c>
      <c r="F857" s="92" t="str" cm="1">
        <f t="array" ref="F857">INDEX(공급업체코드!$B$3:$B$1000,MATCH(1,(E857=공급업체코드!$D$3:$D$1000)*1,0))</f>
        <v>VM_BKT</v>
      </c>
      <c r="H857" s="312">
        <v>855</v>
      </c>
      <c r="I857" s="233" t="s">
        <v>1313</v>
      </c>
      <c r="K857" s="233" t="s">
        <v>1314</v>
      </c>
      <c r="L857" s="236">
        <f t="shared" si="29"/>
        <v>854145</v>
      </c>
      <c r="N857" s="113" t="s">
        <v>1315</v>
      </c>
      <c r="O857" s="1" t="b">
        <v>1</v>
      </c>
      <c r="Q857" s="34"/>
    </row>
    <row r="858" spans="2:17">
      <c r="B858" s="1" t="str">
        <f t="shared" si="30"/>
        <v>M_MED01_VM_BKT_856</v>
      </c>
      <c r="C858" s="92" t="s">
        <v>727</v>
      </c>
      <c r="D858" s="92" t="str" cm="1">
        <f t="array" ref="D858">INDEX(기계코드!$D$4:$D$1022,MATCH(1,(C858=기계코드!$F$4:$F$1022)*1,0))</f>
        <v>M_MED01</v>
      </c>
      <c r="E858" s="92" t="s">
        <v>1128</v>
      </c>
      <c r="F858" s="92" t="str" cm="1">
        <f t="array" ref="F858">INDEX(공급업체코드!$B$3:$B$1000,MATCH(1,(E858=공급업체코드!$D$3:$D$1000)*1,0))</f>
        <v>VM_BKT</v>
      </c>
      <c r="H858" s="312">
        <v>856</v>
      </c>
      <c r="I858" s="233" t="s">
        <v>1313</v>
      </c>
      <c r="K858" s="233" t="s">
        <v>1314</v>
      </c>
      <c r="L858" s="236">
        <f t="shared" si="29"/>
        <v>855144</v>
      </c>
      <c r="N858" s="113" t="s">
        <v>1315</v>
      </c>
      <c r="O858" s="1" t="b">
        <v>1</v>
      </c>
      <c r="Q858" s="34"/>
    </row>
    <row r="859" spans="2:17">
      <c r="B859" s="1" t="str">
        <f t="shared" si="30"/>
        <v>M_MED01_VM_BKT_857</v>
      </c>
      <c r="C859" s="92" t="s">
        <v>727</v>
      </c>
      <c r="D859" s="92" t="str" cm="1">
        <f t="array" ref="D859">INDEX(기계코드!$D$4:$D$1022,MATCH(1,(C859=기계코드!$F$4:$F$1022)*1,0))</f>
        <v>M_MED01</v>
      </c>
      <c r="E859" s="92" t="s">
        <v>1128</v>
      </c>
      <c r="F859" s="92" t="str" cm="1">
        <f t="array" ref="F859">INDEX(공급업체코드!$B$3:$B$1000,MATCH(1,(E859=공급업체코드!$D$3:$D$1000)*1,0))</f>
        <v>VM_BKT</v>
      </c>
      <c r="H859" s="312">
        <v>857</v>
      </c>
      <c r="I859" s="233" t="s">
        <v>1313</v>
      </c>
      <c r="K859" s="233" t="s">
        <v>1314</v>
      </c>
      <c r="L859" s="236">
        <f t="shared" si="29"/>
        <v>856143</v>
      </c>
      <c r="N859" s="113" t="s">
        <v>1315</v>
      </c>
      <c r="O859" s="1" t="b">
        <v>1</v>
      </c>
      <c r="Q859" s="34"/>
    </row>
    <row r="860" spans="2:17">
      <c r="B860" s="1" t="str">
        <f t="shared" si="30"/>
        <v>M_MED01_VM_BKT_858</v>
      </c>
      <c r="C860" s="92" t="s">
        <v>727</v>
      </c>
      <c r="D860" s="92" t="str" cm="1">
        <f t="array" ref="D860">INDEX(기계코드!$D$4:$D$1022,MATCH(1,(C860=기계코드!$F$4:$F$1022)*1,0))</f>
        <v>M_MED01</v>
      </c>
      <c r="E860" s="92" t="s">
        <v>1128</v>
      </c>
      <c r="F860" s="92" t="str" cm="1">
        <f t="array" ref="F860">INDEX(공급업체코드!$B$3:$B$1000,MATCH(1,(E860=공급업체코드!$D$3:$D$1000)*1,0))</f>
        <v>VM_BKT</v>
      </c>
      <c r="H860" s="312">
        <v>858</v>
      </c>
      <c r="I860" s="233" t="s">
        <v>1313</v>
      </c>
      <c r="K860" s="233" t="s">
        <v>1314</v>
      </c>
      <c r="L860" s="236">
        <f t="shared" si="29"/>
        <v>857142</v>
      </c>
      <c r="N860" s="113" t="s">
        <v>1315</v>
      </c>
      <c r="O860" s="1" t="b">
        <v>1</v>
      </c>
      <c r="Q860" s="34"/>
    </row>
    <row r="861" spans="2:17">
      <c r="B861" s="1" t="str">
        <f t="shared" si="30"/>
        <v>M_MED01_VM_BKT_859</v>
      </c>
      <c r="C861" s="92" t="s">
        <v>727</v>
      </c>
      <c r="D861" s="92" t="str" cm="1">
        <f t="array" ref="D861">INDEX(기계코드!$D$4:$D$1022,MATCH(1,(C861=기계코드!$F$4:$F$1022)*1,0))</f>
        <v>M_MED01</v>
      </c>
      <c r="E861" s="92" t="s">
        <v>1128</v>
      </c>
      <c r="F861" s="92" t="str" cm="1">
        <f t="array" ref="F861">INDEX(공급업체코드!$B$3:$B$1000,MATCH(1,(E861=공급업체코드!$D$3:$D$1000)*1,0))</f>
        <v>VM_BKT</v>
      </c>
      <c r="H861" s="312">
        <v>859</v>
      </c>
      <c r="I861" s="233" t="s">
        <v>1313</v>
      </c>
      <c r="K861" s="233" t="s">
        <v>1314</v>
      </c>
      <c r="L861" s="236">
        <f t="shared" si="29"/>
        <v>858141</v>
      </c>
      <c r="N861" s="113" t="s">
        <v>1315</v>
      </c>
      <c r="O861" s="1" t="b">
        <v>1</v>
      </c>
      <c r="Q861" s="34"/>
    </row>
    <row r="862" spans="2:17">
      <c r="B862" s="1" t="str">
        <f t="shared" si="30"/>
        <v>M_MED01_VM_BKT_860</v>
      </c>
      <c r="C862" s="92" t="s">
        <v>727</v>
      </c>
      <c r="D862" s="92" t="str" cm="1">
        <f t="array" ref="D862">INDEX(기계코드!$D$4:$D$1022,MATCH(1,(C862=기계코드!$F$4:$F$1022)*1,0))</f>
        <v>M_MED01</v>
      </c>
      <c r="E862" s="92" t="s">
        <v>1128</v>
      </c>
      <c r="F862" s="92" t="str" cm="1">
        <f t="array" ref="F862">INDEX(공급업체코드!$B$3:$B$1000,MATCH(1,(E862=공급업체코드!$D$3:$D$1000)*1,0))</f>
        <v>VM_BKT</v>
      </c>
      <c r="H862" s="312">
        <v>860</v>
      </c>
      <c r="I862" s="233" t="s">
        <v>1313</v>
      </c>
      <c r="K862" s="233" t="s">
        <v>1314</v>
      </c>
      <c r="L862" s="236">
        <f t="shared" si="29"/>
        <v>859140</v>
      </c>
      <c r="N862" s="113" t="s">
        <v>1315</v>
      </c>
      <c r="O862" s="1" t="b">
        <v>1</v>
      </c>
      <c r="Q862" s="34"/>
    </row>
    <row r="863" spans="2:17">
      <c r="B863" s="1" t="str">
        <f t="shared" si="30"/>
        <v>M_MED01_VM_BKT_861</v>
      </c>
      <c r="C863" s="92" t="s">
        <v>727</v>
      </c>
      <c r="D863" s="92" t="str" cm="1">
        <f t="array" ref="D863">INDEX(기계코드!$D$4:$D$1022,MATCH(1,(C863=기계코드!$F$4:$F$1022)*1,0))</f>
        <v>M_MED01</v>
      </c>
      <c r="E863" s="92" t="s">
        <v>1128</v>
      </c>
      <c r="F863" s="92" t="str" cm="1">
        <f t="array" ref="F863">INDEX(공급업체코드!$B$3:$B$1000,MATCH(1,(E863=공급업체코드!$D$3:$D$1000)*1,0))</f>
        <v>VM_BKT</v>
      </c>
      <c r="H863" s="312">
        <v>861</v>
      </c>
      <c r="I863" s="233" t="s">
        <v>1313</v>
      </c>
      <c r="K863" s="233" t="s">
        <v>1314</v>
      </c>
      <c r="L863" s="236">
        <f t="shared" si="29"/>
        <v>860139</v>
      </c>
      <c r="N863" s="113" t="s">
        <v>1315</v>
      </c>
      <c r="O863" s="1" t="b">
        <v>1</v>
      </c>
      <c r="Q863" s="34"/>
    </row>
    <row r="864" spans="2:17">
      <c r="B864" s="1" t="str">
        <f t="shared" si="30"/>
        <v>M_MED01_VM_BKT_862</v>
      </c>
      <c r="C864" s="92" t="s">
        <v>727</v>
      </c>
      <c r="D864" s="92" t="str" cm="1">
        <f t="array" ref="D864">INDEX(기계코드!$D$4:$D$1022,MATCH(1,(C864=기계코드!$F$4:$F$1022)*1,0))</f>
        <v>M_MED01</v>
      </c>
      <c r="E864" s="92" t="s">
        <v>1128</v>
      </c>
      <c r="F864" s="92" t="str" cm="1">
        <f t="array" ref="F864">INDEX(공급업체코드!$B$3:$B$1000,MATCH(1,(E864=공급업체코드!$D$3:$D$1000)*1,0))</f>
        <v>VM_BKT</v>
      </c>
      <c r="H864" s="312">
        <v>862</v>
      </c>
      <c r="I864" s="233" t="s">
        <v>1313</v>
      </c>
      <c r="K864" s="233" t="s">
        <v>1314</v>
      </c>
      <c r="L864" s="236">
        <f t="shared" si="29"/>
        <v>861138</v>
      </c>
      <c r="N864" s="113" t="s">
        <v>1315</v>
      </c>
      <c r="O864" s="1" t="b">
        <v>1</v>
      </c>
      <c r="Q864" s="34"/>
    </row>
    <row r="865" spans="2:17">
      <c r="B865" s="1" t="str">
        <f t="shared" si="30"/>
        <v>M_MED01_VM_BKT_863</v>
      </c>
      <c r="C865" s="92" t="s">
        <v>727</v>
      </c>
      <c r="D865" s="92" t="str" cm="1">
        <f t="array" ref="D865">INDEX(기계코드!$D$4:$D$1022,MATCH(1,(C865=기계코드!$F$4:$F$1022)*1,0))</f>
        <v>M_MED01</v>
      </c>
      <c r="E865" s="92" t="s">
        <v>1128</v>
      </c>
      <c r="F865" s="92" t="str" cm="1">
        <f t="array" ref="F865">INDEX(공급업체코드!$B$3:$B$1000,MATCH(1,(E865=공급업체코드!$D$3:$D$1000)*1,0))</f>
        <v>VM_BKT</v>
      </c>
      <c r="H865" s="312">
        <v>863</v>
      </c>
      <c r="I865" s="233" t="s">
        <v>1313</v>
      </c>
      <c r="K865" s="233" t="s">
        <v>1314</v>
      </c>
      <c r="L865" s="236">
        <f t="shared" si="29"/>
        <v>862137</v>
      </c>
      <c r="N865" s="113" t="s">
        <v>1315</v>
      </c>
      <c r="O865" s="1" t="b">
        <v>1</v>
      </c>
      <c r="Q865" s="34"/>
    </row>
    <row r="866" spans="2:17">
      <c r="B866" s="1" t="str">
        <f t="shared" si="30"/>
        <v>M_MED01_VM_BKT_864</v>
      </c>
      <c r="C866" s="92" t="s">
        <v>727</v>
      </c>
      <c r="D866" s="92" t="str" cm="1">
        <f t="array" ref="D866">INDEX(기계코드!$D$4:$D$1022,MATCH(1,(C866=기계코드!$F$4:$F$1022)*1,0))</f>
        <v>M_MED01</v>
      </c>
      <c r="E866" s="92" t="s">
        <v>1128</v>
      </c>
      <c r="F866" s="92" t="str" cm="1">
        <f t="array" ref="F866">INDEX(공급업체코드!$B$3:$B$1000,MATCH(1,(E866=공급업체코드!$D$3:$D$1000)*1,0))</f>
        <v>VM_BKT</v>
      </c>
      <c r="H866" s="312">
        <v>864</v>
      </c>
      <c r="I866" s="233" t="s">
        <v>1313</v>
      </c>
      <c r="K866" s="233" t="s">
        <v>1314</v>
      </c>
      <c r="L866" s="236">
        <f t="shared" si="29"/>
        <v>863136</v>
      </c>
      <c r="N866" s="113" t="s">
        <v>1315</v>
      </c>
      <c r="O866" s="1" t="b">
        <v>1</v>
      </c>
      <c r="Q866" s="34"/>
    </row>
    <row r="867" spans="2:17">
      <c r="B867" s="1" t="str">
        <f t="shared" si="30"/>
        <v>M_MED01_VM_BKT_865</v>
      </c>
      <c r="C867" s="92" t="s">
        <v>727</v>
      </c>
      <c r="D867" s="92" t="str" cm="1">
        <f t="array" ref="D867">INDEX(기계코드!$D$4:$D$1022,MATCH(1,(C867=기계코드!$F$4:$F$1022)*1,0))</f>
        <v>M_MED01</v>
      </c>
      <c r="E867" s="92" t="s">
        <v>1128</v>
      </c>
      <c r="F867" s="92" t="str" cm="1">
        <f t="array" ref="F867">INDEX(공급업체코드!$B$3:$B$1000,MATCH(1,(E867=공급업체코드!$D$3:$D$1000)*1,0))</f>
        <v>VM_BKT</v>
      </c>
      <c r="H867" s="312">
        <v>865</v>
      </c>
      <c r="I867" s="233" t="s">
        <v>1313</v>
      </c>
      <c r="K867" s="233" t="s">
        <v>1314</v>
      </c>
      <c r="L867" s="236">
        <f t="shared" si="29"/>
        <v>864135</v>
      </c>
      <c r="N867" s="113" t="s">
        <v>1315</v>
      </c>
      <c r="O867" s="1" t="b">
        <v>1</v>
      </c>
      <c r="Q867" s="34"/>
    </row>
    <row r="868" spans="2:17">
      <c r="B868" s="1" t="str">
        <f t="shared" si="30"/>
        <v>M_MED01_VM_BKT_866</v>
      </c>
      <c r="C868" s="92" t="s">
        <v>727</v>
      </c>
      <c r="D868" s="92" t="str" cm="1">
        <f t="array" ref="D868">INDEX(기계코드!$D$4:$D$1022,MATCH(1,(C868=기계코드!$F$4:$F$1022)*1,0))</f>
        <v>M_MED01</v>
      </c>
      <c r="E868" s="92" t="s">
        <v>1128</v>
      </c>
      <c r="F868" s="92" t="str" cm="1">
        <f t="array" ref="F868">INDEX(공급업체코드!$B$3:$B$1000,MATCH(1,(E868=공급업체코드!$D$3:$D$1000)*1,0))</f>
        <v>VM_BKT</v>
      </c>
      <c r="H868" s="312">
        <v>866</v>
      </c>
      <c r="I868" s="233" t="s">
        <v>1313</v>
      </c>
      <c r="K868" s="233" t="s">
        <v>1314</v>
      </c>
      <c r="L868" s="236">
        <f t="shared" si="29"/>
        <v>865134</v>
      </c>
      <c r="N868" s="113" t="s">
        <v>1315</v>
      </c>
      <c r="O868" s="1" t="b">
        <v>1</v>
      </c>
      <c r="Q868" s="34"/>
    </row>
    <row r="869" spans="2:17">
      <c r="B869" s="1" t="str">
        <f t="shared" si="30"/>
        <v>M_MED01_VM_BKT_867</v>
      </c>
      <c r="C869" s="92" t="s">
        <v>727</v>
      </c>
      <c r="D869" s="92" t="str" cm="1">
        <f t="array" ref="D869">INDEX(기계코드!$D$4:$D$1022,MATCH(1,(C869=기계코드!$F$4:$F$1022)*1,0))</f>
        <v>M_MED01</v>
      </c>
      <c r="E869" s="92" t="s">
        <v>1128</v>
      </c>
      <c r="F869" s="92" t="str" cm="1">
        <f t="array" ref="F869">INDEX(공급업체코드!$B$3:$B$1000,MATCH(1,(E869=공급업체코드!$D$3:$D$1000)*1,0))</f>
        <v>VM_BKT</v>
      </c>
      <c r="H869" s="312">
        <v>867</v>
      </c>
      <c r="I869" s="233" t="s">
        <v>1313</v>
      </c>
      <c r="K869" s="233" t="s">
        <v>1314</v>
      </c>
      <c r="L869" s="236">
        <f t="shared" si="29"/>
        <v>866133</v>
      </c>
      <c r="N869" s="113" t="s">
        <v>1315</v>
      </c>
      <c r="O869" s="1" t="b">
        <v>1</v>
      </c>
      <c r="Q869" s="34"/>
    </row>
    <row r="870" spans="2:17">
      <c r="B870" s="1" t="str">
        <f t="shared" si="30"/>
        <v>M_MED01_VM_BKT_868</v>
      </c>
      <c r="C870" s="92" t="s">
        <v>727</v>
      </c>
      <c r="D870" s="92" t="str" cm="1">
        <f t="array" ref="D870">INDEX(기계코드!$D$4:$D$1022,MATCH(1,(C870=기계코드!$F$4:$F$1022)*1,0))</f>
        <v>M_MED01</v>
      </c>
      <c r="E870" s="92" t="s">
        <v>1128</v>
      </c>
      <c r="F870" s="92" t="str" cm="1">
        <f t="array" ref="F870">INDEX(공급업체코드!$B$3:$B$1000,MATCH(1,(E870=공급업체코드!$D$3:$D$1000)*1,0))</f>
        <v>VM_BKT</v>
      </c>
      <c r="H870" s="312">
        <v>868</v>
      </c>
      <c r="I870" s="233" t="s">
        <v>1313</v>
      </c>
      <c r="K870" s="233" t="s">
        <v>1314</v>
      </c>
      <c r="L870" s="236">
        <f t="shared" si="29"/>
        <v>867132</v>
      </c>
      <c r="N870" s="113" t="s">
        <v>1315</v>
      </c>
      <c r="O870" s="1" t="b">
        <v>1</v>
      </c>
      <c r="Q870" s="34"/>
    </row>
    <row r="871" spans="2:17">
      <c r="B871" s="1" t="str">
        <f t="shared" si="30"/>
        <v>M_MED01_VM_BKT_869</v>
      </c>
      <c r="C871" s="92" t="s">
        <v>727</v>
      </c>
      <c r="D871" s="92" t="str" cm="1">
        <f t="array" ref="D871">INDEX(기계코드!$D$4:$D$1022,MATCH(1,(C871=기계코드!$F$4:$F$1022)*1,0))</f>
        <v>M_MED01</v>
      </c>
      <c r="E871" s="92" t="s">
        <v>1128</v>
      </c>
      <c r="F871" s="92" t="str" cm="1">
        <f t="array" ref="F871">INDEX(공급업체코드!$B$3:$B$1000,MATCH(1,(E871=공급업체코드!$D$3:$D$1000)*1,0))</f>
        <v>VM_BKT</v>
      </c>
      <c r="H871" s="312">
        <v>869</v>
      </c>
      <c r="I871" s="233" t="s">
        <v>1313</v>
      </c>
      <c r="K871" s="233" t="s">
        <v>1314</v>
      </c>
      <c r="L871" s="236">
        <f t="shared" si="29"/>
        <v>868131</v>
      </c>
      <c r="N871" s="113" t="s">
        <v>1315</v>
      </c>
      <c r="O871" s="1" t="b">
        <v>1</v>
      </c>
      <c r="Q871" s="34"/>
    </row>
    <row r="872" spans="2:17">
      <c r="B872" s="1" t="str">
        <f t="shared" si="30"/>
        <v>M_MED01_VM_BKT_870</v>
      </c>
      <c r="C872" s="92" t="s">
        <v>727</v>
      </c>
      <c r="D872" s="92" t="str" cm="1">
        <f t="array" ref="D872">INDEX(기계코드!$D$4:$D$1022,MATCH(1,(C872=기계코드!$F$4:$F$1022)*1,0))</f>
        <v>M_MED01</v>
      </c>
      <c r="E872" s="92" t="s">
        <v>1128</v>
      </c>
      <c r="F872" s="92" t="str" cm="1">
        <f t="array" ref="F872">INDEX(공급업체코드!$B$3:$B$1000,MATCH(1,(E872=공급업체코드!$D$3:$D$1000)*1,0))</f>
        <v>VM_BKT</v>
      </c>
      <c r="H872" s="312">
        <v>870</v>
      </c>
      <c r="I872" s="233" t="s">
        <v>1313</v>
      </c>
      <c r="K872" s="233" t="s">
        <v>1314</v>
      </c>
      <c r="L872" s="236">
        <f t="shared" si="29"/>
        <v>869130</v>
      </c>
      <c r="N872" s="113" t="s">
        <v>1315</v>
      </c>
      <c r="O872" s="1" t="b">
        <v>1</v>
      </c>
      <c r="Q872" s="34"/>
    </row>
    <row r="873" spans="2:17">
      <c r="B873" s="1" t="str">
        <f t="shared" si="30"/>
        <v>M_MED01_VM_BKT_871</v>
      </c>
      <c r="C873" s="92" t="s">
        <v>727</v>
      </c>
      <c r="D873" s="92" t="str" cm="1">
        <f t="array" ref="D873">INDEX(기계코드!$D$4:$D$1022,MATCH(1,(C873=기계코드!$F$4:$F$1022)*1,0))</f>
        <v>M_MED01</v>
      </c>
      <c r="E873" s="92" t="s">
        <v>1128</v>
      </c>
      <c r="F873" s="92" t="str" cm="1">
        <f t="array" ref="F873">INDEX(공급업체코드!$B$3:$B$1000,MATCH(1,(E873=공급업체코드!$D$3:$D$1000)*1,0))</f>
        <v>VM_BKT</v>
      </c>
      <c r="H873" s="312">
        <v>871</v>
      </c>
      <c r="I873" s="233" t="s">
        <v>1313</v>
      </c>
      <c r="K873" s="233" t="s">
        <v>1314</v>
      </c>
      <c r="L873" s="236">
        <f t="shared" si="29"/>
        <v>870129</v>
      </c>
      <c r="N873" s="113" t="s">
        <v>1315</v>
      </c>
      <c r="O873" s="1" t="b">
        <v>1</v>
      </c>
      <c r="Q873" s="34"/>
    </row>
    <row r="874" spans="2:17">
      <c r="B874" s="1" t="str">
        <f t="shared" si="30"/>
        <v>M_MED01_VM_BKT_872</v>
      </c>
      <c r="C874" s="92" t="s">
        <v>727</v>
      </c>
      <c r="D874" s="92" t="str" cm="1">
        <f t="array" ref="D874">INDEX(기계코드!$D$4:$D$1022,MATCH(1,(C874=기계코드!$F$4:$F$1022)*1,0))</f>
        <v>M_MED01</v>
      </c>
      <c r="E874" s="92" t="s">
        <v>1128</v>
      </c>
      <c r="F874" s="92" t="str" cm="1">
        <f t="array" ref="F874">INDEX(공급업체코드!$B$3:$B$1000,MATCH(1,(E874=공급업체코드!$D$3:$D$1000)*1,0))</f>
        <v>VM_BKT</v>
      </c>
      <c r="H874" s="312">
        <v>872</v>
      </c>
      <c r="I874" s="233" t="s">
        <v>1313</v>
      </c>
      <c r="K874" s="233" t="s">
        <v>1314</v>
      </c>
      <c r="L874" s="236">
        <f t="shared" si="29"/>
        <v>871128</v>
      </c>
      <c r="N874" s="113" t="s">
        <v>1315</v>
      </c>
      <c r="O874" s="1" t="b">
        <v>1</v>
      </c>
      <c r="Q874" s="34"/>
    </row>
    <row r="875" spans="2:17">
      <c r="B875" s="1" t="str">
        <f t="shared" si="30"/>
        <v>M_MED01_VM_BKT_873</v>
      </c>
      <c r="C875" s="92" t="s">
        <v>727</v>
      </c>
      <c r="D875" s="92" t="str" cm="1">
        <f t="array" ref="D875">INDEX(기계코드!$D$4:$D$1022,MATCH(1,(C875=기계코드!$F$4:$F$1022)*1,0))</f>
        <v>M_MED01</v>
      </c>
      <c r="E875" s="92" t="s">
        <v>1128</v>
      </c>
      <c r="F875" s="92" t="str" cm="1">
        <f t="array" ref="F875">INDEX(공급업체코드!$B$3:$B$1000,MATCH(1,(E875=공급업체코드!$D$3:$D$1000)*1,0))</f>
        <v>VM_BKT</v>
      </c>
      <c r="H875" s="312">
        <v>873</v>
      </c>
      <c r="I875" s="233" t="s">
        <v>1313</v>
      </c>
      <c r="K875" s="233" t="s">
        <v>1314</v>
      </c>
      <c r="L875" s="236">
        <f t="shared" si="29"/>
        <v>872127</v>
      </c>
      <c r="N875" s="113" t="s">
        <v>1315</v>
      </c>
      <c r="O875" s="1" t="b">
        <v>1</v>
      </c>
      <c r="Q875" s="34"/>
    </row>
    <row r="876" spans="2:17">
      <c r="B876" s="1" t="str">
        <f t="shared" si="30"/>
        <v>M_MED01_VM_BKT_874</v>
      </c>
      <c r="C876" s="92" t="s">
        <v>727</v>
      </c>
      <c r="D876" s="92" t="str" cm="1">
        <f t="array" ref="D876">INDEX(기계코드!$D$4:$D$1022,MATCH(1,(C876=기계코드!$F$4:$F$1022)*1,0))</f>
        <v>M_MED01</v>
      </c>
      <c r="E876" s="92" t="s">
        <v>1128</v>
      </c>
      <c r="F876" s="92" t="str" cm="1">
        <f t="array" ref="F876">INDEX(공급업체코드!$B$3:$B$1000,MATCH(1,(E876=공급업체코드!$D$3:$D$1000)*1,0))</f>
        <v>VM_BKT</v>
      </c>
      <c r="H876" s="312">
        <v>874</v>
      </c>
      <c r="I876" s="233" t="s">
        <v>1313</v>
      </c>
      <c r="K876" s="233" t="s">
        <v>1314</v>
      </c>
      <c r="L876" s="236">
        <f t="shared" si="29"/>
        <v>873126</v>
      </c>
      <c r="N876" s="113" t="s">
        <v>1315</v>
      </c>
      <c r="O876" s="1" t="b">
        <v>1</v>
      </c>
      <c r="Q876" s="34"/>
    </row>
    <row r="877" spans="2:17">
      <c r="B877" s="1" t="str">
        <f t="shared" si="30"/>
        <v>M_MED01_VM_BKT_875</v>
      </c>
      <c r="C877" s="92" t="s">
        <v>727</v>
      </c>
      <c r="D877" s="92" t="str" cm="1">
        <f t="array" ref="D877">INDEX(기계코드!$D$4:$D$1022,MATCH(1,(C877=기계코드!$F$4:$F$1022)*1,0))</f>
        <v>M_MED01</v>
      </c>
      <c r="E877" s="92" t="s">
        <v>1128</v>
      </c>
      <c r="F877" s="92" t="str" cm="1">
        <f t="array" ref="F877">INDEX(공급업체코드!$B$3:$B$1000,MATCH(1,(E877=공급업체코드!$D$3:$D$1000)*1,0))</f>
        <v>VM_BKT</v>
      </c>
      <c r="H877" s="312">
        <v>875</v>
      </c>
      <c r="I877" s="233" t="s">
        <v>1313</v>
      </c>
      <c r="K877" s="233" t="s">
        <v>1314</v>
      </c>
      <c r="L877" s="236">
        <f t="shared" si="29"/>
        <v>874125</v>
      </c>
      <c r="N877" s="113" t="s">
        <v>1315</v>
      </c>
      <c r="O877" s="1" t="b">
        <v>1</v>
      </c>
      <c r="Q877" s="34"/>
    </row>
    <row r="878" spans="2:17">
      <c r="B878" s="1" t="str">
        <f t="shared" si="30"/>
        <v>M_MED01_VM_BKT_876</v>
      </c>
      <c r="C878" s="92" t="s">
        <v>727</v>
      </c>
      <c r="D878" s="92" t="str" cm="1">
        <f t="array" ref="D878">INDEX(기계코드!$D$4:$D$1022,MATCH(1,(C878=기계코드!$F$4:$F$1022)*1,0))</f>
        <v>M_MED01</v>
      </c>
      <c r="E878" s="92" t="s">
        <v>1128</v>
      </c>
      <c r="F878" s="92" t="str" cm="1">
        <f t="array" ref="F878">INDEX(공급업체코드!$B$3:$B$1000,MATCH(1,(E878=공급업체코드!$D$3:$D$1000)*1,0))</f>
        <v>VM_BKT</v>
      </c>
      <c r="H878" s="312">
        <v>876</v>
      </c>
      <c r="I878" s="233" t="s">
        <v>1313</v>
      </c>
      <c r="K878" s="233" t="s">
        <v>1314</v>
      </c>
      <c r="L878" s="236">
        <f t="shared" si="29"/>
        <v>875124</v>
      </c>
      <c r="N878" s="113" t="s">
        <v>1315</v>
      </c>
      <c r="O878" s="1" t="b">
        <v>1</v>
      </c>
      <c r="Q878" s="34"/>
    </row>
    <row r="879" spans="2:17">
      <c r="B879" s="1" t="str">
        <f t="shared" si="30"/>
        <v>M_MED01_VM_BKT_877</v>
      </c>
      <c r="C879" s="92" t="s">
        <v>727</v>
      </c>
      <c r="D879" s="92" t="str" cm="1">
        <f t="array" ref="D879">INDEX(기계코드!$D$4:$D$1022,MATCH(1,(C879=기계코드!$F$4:$F$1022)*1,0))</f>
        <v>M_MED01</v>
      </c>
      <c r="E879" s="92" t="s">
        <v>1128</v>
      </c>
      <c r="F879" s="92" t="str" cm="1">
        <f t="array" ref="F879">INDEX(공급업체코드!$B$3:$B$1000,MATCH(1,(E879=공급업체코드!$D$3:$D$1000)*1,0))</f>
        <v>VM_BKT</v>
      </c>
      <c r="H879" s="312">
        <v>877</v>
      </c>
      <c r="I879" s="233" t="s">
        <v>1313</v>
      </c>
      <c r="K879" s="233" t="s">
        <v>1314</v>
      </c>
      <c r="L879" s="236">
        <f t="shared" si="29"/>
        <v>876123</v>
      </c>
      <c r="N879" s="113" t="s">
        <v>1315</v>
      </c>
      <c r="O879" s="1" t="b">
        <v>1</v>
      </c>
      <c r="Q879" s="34"/>
    </row>
    <row r="880" spans="2:17">
      <c r="B880" s="1" t="str">
        <f t="shared" si="30"/>
        <v>M_MED01_VM_BKT_878</v>
      </c>
      <c r="C880" s="92" t="s">
        <v>727</v>
      </c>
      <c r="D880" s="92" t="str" cm="1">
        <f t="array" ref="D880">INDEX(기계코드!$D$4:$D$1022,MATCH(1,(C880=기계코드!$F$4:$F$1022)*1,0))</f>
        <v>M_MED01</v>
      </c>
      <c r="E880" s="92" t="s">
        <v>1128</v>
      </c>
      <c r="F880" s="92" t="str" cm="1">
        <f t="array" ref="F880">INDEX(공급업체코드!$B$3:$B$1000,MATCH(1,(E880=공급업체코드!$D$3:$D$1000)*1,0))</f>
        <v>VM_BKT</v>
      </c>
      <c r="H880" s="312">
        <v>878</v>
      </c>
      <c r="I880" s="233" t="s">
        <v>1313</v>
      </c>
      <c r="K880" s="233" t="s">
        <v>1314</v>
      </c>
      <c r="L880" s="236">
        <f t="shared" si="29"/>
        <v>877122</v>
      </c>
      <c r="N880" s="113" t="s">
        <v>1315</v>
      </c>
      <c r="O880" s="1" t="b">
        <v>1</v>
      </c>
      <c r="Q880" s="34"/>
    </row>
    <row r="881" spans="2:17">
      <c r="B881" s="1" t="str">
        <f t="shared" si="30"/>
        <v>M_MED01_VM_BKT_879</v>
      </c>
      <c r="C881" s="92" t="s">
        <v>727</v>
      </c>
      <c r="D881" s="92" t="str" cm="1">
        <f t="array" ref="D881">INDEX(기계코드!$D$4:$D$1022,MATCH(1,(C881=기계코드!$F$4:$F$1022)*1,0))</f>
        <v>M_MED01</v>
      </c>
      <c r="E881" s="92" t="s">
        <v>1128</v>
      </c>
      <c r="F881" s="92" t="str" cm="1">
        <f t="array" ref="F881">INDEX(공급업체코드!$B$3:$B$1000,MATCH(1,(E881=공급업체코드!$D$3:$D$1000)*1,0))</f>
        <v>VM_BKT</v>
      </c>
      <c r="H881" s="312">
        <v>879</v>
      </c>
      <c r="I881" s="233" t="s">
        <v>1313</v>
      </c>
      <c r="K881" s="233" t="s">
        <v>1314</v>
      </c>
      <c r="L881" s="236">
        <f t="shared" si="29"/>
        <v>878121</v>
      </c>
      <c r="N881" s="113" t="s">
        <v>1315</v>
      </c>
      <c r="O881" s="1" t="b">
        <v>1</v>
      </c>
      <c r="Q881" s="34"/>
    </row>
    <row r="882" spans="2:17">
      <c r="B882" s="1" t="str">
        <f t="shared" si="30"/>
        <v>M_MED01_VM_BKT_880</v>
      </c>
      <c r="C882" s="92" t="s">
        <v>727</v>
      </c>
      <c r="D882" s="92" t="str" cm="1">
        <f t="array" ref="D882">INDEX(기계코드!$D$4:$D$1022,MATCH(1,(C882=기계코드!$F$4:$F$1022)*1,0))</f>
        <v>M_MED01</v>
      </c>
      <c r="E882" s="92" t="s">
        <v>1128</v>
      </c>
      <c r="F882" s="92" t="str" cm="1">
        <f t="array" ref="F882">INDEX(공급업체코드!$B$3:$B$1000,MATCH(1,(E882=공급업체코드!$D$3:$D$1000)*1,0))</f>
        <v>VM_BKT</v>
      </c>
      <c r="H882" s="312">
        <v>880</v>
      </c>
      <c r="I882" s="233" t="s">
        <v>1313</v>
      </c>
      <c r="K882" s="233" t="s">
        <v>1314</v>
      </c>
      <c r="L882" s="236">
        <f t="shared" si="29"/>
        <v>879120</v>
      </c>
      <c r="N882" s="113" t="s">
        <v>1315</v>
      </c>
      <c r="O882" s="1" t="b">
        <v>1</v>
      </c>
      <c r="Q882" s="34"/>
    </row>
    <row r="883" spans="2:17">
      <c r="B883" s="1" t="str">
        <f t="shared" si="30"/>
        <v>M_MED01_VM_BKT_881</v>
      </c>
      <c r="C883" s="92" t="s">
        <v>727</v>
      </c>
      <c r="D883" s="92" t="str" cm="1">
        <f t="array" ref="D883">INDEX(기계코드!$D$4:$D$1022,MATCH(1,(C883=기계코드!$F$4:$F$1022)*1,0))</f>
        <v>M_MED01</v>
      </c>
      <c r="E883" s="92" t="s">
        <v>1128</v>
      </c>
      <c r="F883" s="92" t="str" cm="1">
        <f t="array" ref="F883">INDEX(공급업체코드!$B$3:$B$1000,MATCH(1,(E883=공급업체코드!$D$3:$D$1000)*1,0))</f>
        <v>VM_BKT</v>
      </c>
      <c r="H883" s="312">
        <v>881</v>
      </c>
      <c r="I883" s="233" t="s">
        <v>1313</v>
      </c>
      <c r="K883" s="233" t="s">
        <v>1314</v>
      </c>
      <c r="L883" s="236">
        <f t="shared" si="29"/>
        <v>880119</v>
      </c>
      <c r="N883" s="113" t="s">
        <v>1315</v>
      </c>
      <c r="O883" s="1" t="b">
        <v>1</v>
      </c>
      <c r="Q883" s="34"/>
    </row>
    <row r="884" spans="2:17">
      <c r="B884" s="1" t="str">
        <f t="shared" si="30"/>
        <v>M_MED01_VM_BKT_882</v>
      </c>
      <c r="C884" s="92" t="s">
        <v>727</v>
      </c>
      <c r="D884" s="92" t="str" cm="1">
        <f t="array" ref="D884">INDEX(기계코드!$D$4:$D$1022,MATCH(1,(C884=기계코드!$F$4:$F$1022)*1,0))</f>
        <v>M_MED01</v>
      </c>
      <c r="E884" s="92" t="s">
        <v>1128</v>
      </c>
      <c r="F884" s="92" t="str" cm="1">
        <f t="array" ref="F884">INDEX(공급업체코드!$B$3:$B$1000,MATCH(1,(E884=공급업체코드!$D$3:$D$1000)*1,0))</f>
        <v>VM_BKT</v>
      </c>
      <c r="H884" s="312">
        <v>882</v>
      </c>
      <c r="I884" s="233" t="s">
        <v>1313</v>
      </c>
      <c r="K884" s="233" t="s">
        <v>1314</v>
      </c>
      <c r="L884" s="236">
        <f t="shared" si="29"/>
        <v>881118</v>
      </c>
      <c r="N884" s="113" t="s">
        <v>1315</v>
      </c>
      <c r="O884" s="1" t="b">
        <v>1</v>
      </c>
      <c r="Q884" s="34"/>
    </row>
    <row r="885" spans="2:17">
      <c r="B885" s="1" t="str">
        <f t="shared" si="30"/>
        <v>M_MED01_VM_BKT_883</v>
      </c>
      <c r="C885" s="92" t="s">
        <v>727</v>
      </c>
      <c r="D885" s="92" t="str" cm="1">
        <f t="array" ref="D885">INDEX(기계코드!$D$4:$D$1022,MATCH(1,(C885=기계코드!$F$4:$F$1022)*1,0))</f>
        <v>M_MED01</v>
      </c>
      <c r="E885" s="92" t="s">
        <v>1128</v>
      </c>
      <c r="F885" s="92" t="str" cm="1">
        <f t="array" ref="F885">INDEX(공급업체코드!$B$3:$B$1000,MATCH(1,(E885=공급업체코드!$D$3:$D$1000)*1,0))</f>
        <v>VM_BKT</v>
      </c>
      <c r="H885" s="312">
        <v>883</v>
      </c>
      <c r="I885" s="233" t="s">
        <v>1313</v>
      </c>
      <c r="K885" s="233" t="s">
        <v>1314</v>
      </c>
      <c r="L885" s="236">
        <f t="shared" si="29"/>
        <v>882117</v>
      </c>
      <c r="N885" s="113" t="s">
        <v>1315</v>
      </c>
      <c r="O885" s="1" t="b">
        <v>1</v>
      </c>
      <c r="Q885" s="34"/>
    </row>
    <row r="886" spans="2:17">
      <c r="B886" s="1" t="str">
        <f t="shared" si="30"/>
        <v>M_MED01_VM_BKT_884</v>
      </c>
      <c r="C886" s="92" t="s">
        <v>727</v>
      </c>
      <c r="D886" s="92" t="str" cm="1">
        <f t="array" ref="D886">INDEX(기계코드!$D$4:$D$1022,MATCH(1,(C886=기계코드!$F$4:$F$1022)*1,0))</f>
        <v>M_MED01</v>
      </c>
      <c r="E886" s="92" t="s">
        <v>1128</v>
      </c>
      <c r="F886" s="92" t="str" cm="1">
        <f t="array" ref="F886">INDEX(공급업체코드!$B$3:$B$1000,MATCH(1,(E886=공급업체코드!$D$3:$D$1000)*1,0))</f>
        <v>VM_BKT</v>
      </c>
      <c r="H886" s="312">
        <v>884</v>
      </c>
      <c r="I886" s="233" t="s">
        <v>1313</v>
      </c>
      <c r="K886" s="233" t="s">
        <v>1314</v>
      </c>
      <c r="L886" s="236">
        <f t="shared" si="29"/>
        <v>883116</v>
      </c>
      <c r="N886" s="113" t="s">
        <v>1315</v>
      </c>
      <c r="O886" s="1" t="b">
        <v>1</v>
      </c>
      <c r="Q886" s="34"/>
    </row>
    <row r="887" spans="2:17">
      <c r="B887" s="1" t="str">
        <f t="shared" si="30"/>
        <v>M_MED01_VM_BKT_885</v>
      </c>
      <c r="C887" s="92" t="s">
        <v>727</v>
      </c>
      <c r="D887" s="92" t="str" cm="1">
        <f t="array" ref="D887">INDEX(기계코드!$D$4:$D$1022,MATCH(1,(C887=기계코드!$F$4:$F$1022)*1,0))</f>
        <v>M_MED01</v>
      </c>
      <c r="E887" s="92" t="s">
        <v>1128</v>
      </c>
      <c r="F887" s="92" t="str" cm="1">
        <f t="array" ref="F887">INDEX(공급업체코드!$B$3:$B$1000,MATCH(1,(E887=공급업체코드!$D$3:$D$1000)*1,0))</f>
        <v>VM_BKT</v>
      </c>
      <c r="H887" s="312">
        <v>885</v>
      </c>
      <c r="I887" s="233" t="s">
        <v>1313</v>
      </c>
      <c r="K887" s="233" t="s">
        <v>1314</v>
      </c>
      <c r="L887" s="236">
        <f t="shared" si="29"/>
        <v>884115</v>
      </c>
      <c r="N887" s="113" t="s">
        <v>1315</v>
      </c>
      <c r="O887" s="1" t="b">
        <v>1</v>
      </c>
      <c r="Q887" s="34"/>
    </row>
    <row r="888" spans="2:17">
      <c r="B888" s="1" t="str">
        <f t="shared" si="30"/>
        <v>M_MED01_VM_BKT_886</v>
      </c>
      <c r="C888" s="92" t="s">
        <v>727</v>
      </c>
      <c r="D888" s="92" t="str" cm="1">
        <f t="array" ref="D888">INDEX(기계코드!$D$4:$D$1022,MATCH(1,(C888=기계코드!$F$4:$F$1022)*1,0))</f>
        <v>M_MED01</v>
      </c>
      <c r="E888" s="92" t="s">
        <v>1128</v>
      </c>
      <c r="F888" s="92" t="str" cm="1">
        <f t="array" ref="F888">INDEX(공급업체코드!$B$3:$B$1000,MATCH(1,(E888=공급업체코드!$D$3:$D$1000)*1,0))</f>
        <v>VM_BKT</v>
      </c>
      <c r="H888" s="312">
        <v>886</v>
      </c>
      <c r="I888" s="233" t="s">
        <v>1313</v>
      </c>
      <c r="K888" s="233" t="s">
        <v>1314</v>
      </c>
      <c r="L888" s="236">
        <f t="shared" si="29"/>
        <v>885114</v>
      </c>
      <c r="N888" s="113" t="s">
        <v>1315</v>
      </c>
      <c r="O888" s="1" t="b">
        <v>1</v>
      </c>
      <c r="Q888" s="34"/>
    </row>
    <row r="889" spans="2:17">
      <c r="B889" s="1" t="str">
        <f t="shared" si="30"/>
        <v>M_MED01_VM_BKT_887</v>
      </c>
      <c r="C889" s="92" t="s">
        <v>727</v>
      </c>
      <c r="D889" s="92" t="str" cm="1">
        <f t="array" ref="D889">INDEX(기계코드!$D$4:$D$1022,MATCH(1,(C889=기계코드!$F$4:$F$1022)*1,0))</f>
        <v>M_MED01</v>
      </c>
      <c r="E889" s="92" t="s">
        <v>1128</v>
      </c>
      <c r="F889" s="92" t="str" cm="1">
        <f t="array" ref="F889">INDEX(공급업체코드!$B$3:$B$1000,MATCH(1,(E889=공급업체코드!$D$3:$D$1000)*1,0))</f>
        <v>VM_BKT</v>
      </c>
      <c r="H889" s="312">
        <v>887</v>
      </c>
      <c r="I889" s="233" t="s">
        <v>1313</v>
      </c>
      <c r="K889" s="233" t="s">
        <v>1314</v>
      </c>
      <c r="L889" s="236">
        <f t="shared" si="29"/>
        <v>886113</v>
      </c>
      <c r="N889" s="113" t="s">
        <v>1315</v>
      </c>
      <c r="O889" s="1" t="b">
        <v>1</v>
      </c>
      <c r="Q889" s="34"/>
    </row>
    <row r="890" spans="2:17">
      <c r="B890" s="1" t="str">
        <f t="shared" si="30"/>
        <v>M_MED01_VM_BKT_888</v>
      </c>
      <c r="C890" s="92" t="s">
        <v>727</v>
      </c>
      <c r="D890" s="92" t="str" cm="1">
        <f t="array" ref="D890">INDEX(기계코드!$D$4:$D$1022,MATCH(1,(C890=기계코드!$F$4:$F$1022)*1,0))</f>
        <v>M_MED01</v>
      </c>
      <c r="E890" s="92" t="s">
        <v>1128</v>
      </c>
      <c r="F890" s="92" t="str" cm="1">
        <f t="array" ref="F890">INDEX(공급업체코드!$B$3:$B$1000,MATCH(1,(E890=공급업체코드!$D$3:$D$1000)*1,0))</f>
        <v>VM_BKT</v>
      </c>
      <c r="H890" s="312">
        <v>888</v>
      </c>
      <c r="I890" s="233" t="s">
        <v>1313</v>
      </c>
      <c r="K890" s="233" t="s">
        <v>1314</v>
      </c>
      <c r="L890" s="236">
        <f t="shared" si="29"/>
        <v>887112</v>
      </c>
      <c r="N890" s="113" t="s">
        <v>1315</v>
      </c>
      <c r="O890" s="1" t="b">
        <v>1</v>
      </c>
      <c r="Q890" s="34"/>
    </row>
    <row r="891" spans="2:17">
      <c r="B891" s="1" t="str">
        <f t="shared" si="30"/>
        <v>M_MED01_VM_BKT_889</v>
      </c>
      <c r="C891" s="92" t="s">
        <v>727</v>
      </c>
      <c r="D891" s="92" t="str" cm="1">
        <f t="array" ref="D891">INDEX(기계코드!$D$4:$D$1022,MATCH(1,(C891=기계코드!$F$4:$F$1022)*1,0))</f>
        <v>M_MED01</v>
      </c>
      <c r="E891" s="92" t="s">
        <v>1128</v>
      </c>
      <c r="F891" s="92" t="str" cm="1">
        <f t="array" ref="F891">INDEX(공급업체코드!$B$3:$B$1000,MATCH(1,(E891=공급업체코드!$D$3:$D$1000)*1,0))</f>
        <v>VM_BKT</v>
      </c>
      <c r="H891" s="312">
        <v>889</v>
      </c>
      <c r="I891" s="233" t="s">
        <v>1313</v>
      </c>
      <c r="K891" s="233" t="s">
        <v>1314</v>
      </c>
      <c r="L891" s="236">
        <f t="shared" si="29"/>
        <v>888111</v>
      </c>
      <c r="N891" s="113" t="s">
        <v>1315</v>
      </c>
      <c r="O891" s="1" t="b">
        <v>1</v>
      </c>
      <c r="Q891" s="34"/>
    </row>
    <row r="892" spans="2:17">
      <c r="B892" s="1" t="str">
        <f t="shared" si="30"/>
        <v>M_MED01_VM_BKT_890</v>
      </c>
      <c r="C892" s="92" t="s">
        <v>727</v>
      </c>
      <c r="D892" s="92" t="str" cm="1">
        <f t="array" ref="D892">INDEX(기계코드!$D$4:$D$1022,MATCH(1,(C892=기계코드!$F$4:$F$1022)*1,0))</f>
        <v>M_MED01</v>
      </c>
      <c r="E892" s="92" t="s">
        <v>1128</v>
      </c>
      <c r="F892" s="92" t="str" cm="1">
        <f t="array" ref="F892">INDEX(공급업체코드!$B$3:$B$1000,MATCH(1,(E892=공급업체코드!$D$3:$D$1000)*1,0))</f>
        <v>VM_BKT</v>
      </c>
      <c r="H892" s="312">
        <v>890</v>
      </c>
      <c r="I892" s="233" t="s">
        <v>1313</v>
      </c>
      <c r="K892" s="233" t="s">
        <v>1314</v>
      </c>
      <c r="L892" s="236">
        <f t="shared" si="29"/>
        <v>889110</v>
      </c>
      <c r="N892" s="113" t="s">
        <v>1315</v>
      </c>
      <c r="O892" s="1" t="b">
        <v>1</v>
      </c>
      <c r="Q892" s="34"/>
    </row>
    <row r="893" spans="2:17">
      <c r="B893" s="1" t="str">
        <f t="shared" si="30"/>
        <v>M_MED01_VM_BKT_891</v>
      </c>
      <c r="C893" s="92" t="s">
        <v>727</v>
      </c>
      <c r="D893" s="92" t="str" cm="1">
        <f t="array" ref="D893">INDEX(기계코드!$D$4:$D$1022,MATCH(1,(C893=기계코드!$F$4:$F$1022)*1,0))</f>
        <v>M_MED01</v>
      </c>
      <c r="E893" s="92" t="s">
        <v>1128</v>
      </c>
      <c r="F893" s="92" t="str" cm="1">
        <f t="array" ref="F893">INDEX(공급업체코드!$B$3:$B$1000,MATCH(1,(E893=공급업체코드!$D$3:$D$1000)*1,0))</f>
        <v>VM_BKT</v>
      </c>
      <c r="H893" s="312">
        <v>891</v>
      </c>
      <c r="I893" s="233" t="s">
        <v>1313</v>
      </c>
      <c r="K893" s="233" t="s">
        <v>1314</v>
      </c>
      <c r="L893" s="236">
        <f t="shared" si="29"/>
        <v>890109</v>
      </c>
      <c r="N893" s="113" t="s">
        <v>1315</v>
      </c>
      <c r="O893" s="1" t="b">
        <v>1</v>
      </c>
      <c r="Q893" s="34"/>
    </row>
    <row r="894" spans="2:17">
      <c r="B894" s="1" t="str">
        <f t="shared" si="30"/>
        <v>M_MED01_VM_BKT_892</v>
      </c>
      <c r="C894" s="92" t="s">
        <v>727</v>
      </c>
      <c r="D894" s="92" t="str" cm="1">
        <f t="array" ref="D894">INDEX(기계코드!$D$4:$D$1022,MATCH(1,(C894=기계코드!$F$4:$F$1022)*1,0))</f>
        <v>M_MED01</v>
      </c>
      <c r="E894" s="92" t="s">
        <v>1128</v>
      </c>
      <c r="F894" s="92" t="str" cm="1">
        <f t="array" ref="F894">INDEX(공급업체코드!$B$3:$B$1000,MATCH(1,(E894=공급업체코드!$D$3:$D$1000)*1,0))</f>
        <v>VM_BKT</v>
      </c>
      <c r="H894" s="312">
        <v>892</v>
      </c>
      <c r="I894" s="233" t="s">
        <v>1313</v>
      </c>
      <c r="K894" s="233" t="s">
        <v>1314</v>
      </c>
      <c r="L894" s="236">
        <f t="shared" si="29"/>
        <v>891108</v>
      </c>
      <c r="N894" s="113" t="s">
        <v>1315</v>
      </c>
      <c r="O894" s="1" t="b">
        <v>1</v>
      </c>
      <c r="Q894" s="34"/>
    </row>
    <row r="895" spans="2:17">
      <c r="B895" s="1" t="str">
        <f t="shared" si="30"/>
        <v>M_MED01_VM_BKT_893</v>
      </c>
      <c r="C895" s="92" t="s">
        <v>727</v>
      </c>
      <c r="D895" s="92" t="str" cm="1">
        <f t="array" ref="D895">INDEX(기계코드!$D$4:$D$1022,MATCH(1,(C895=기계코드!$F$4:$F$1022)*1,0))</f>
        <v>M_MED01</v>
      </c>
      <c r="E895" s="92" t="s">
        <v>1128</v>
      </c>
      <c r="F895" s="92" t="str" cm="1">
        <f t="array" ref="F895">INDEX(공급업체코드!$B$3:$B$1000,MATCH(1,(E895=공급업체코드!$D$3:$D$1000)*1,0))</f>
        <v>VM_BKT</v>
      </c>
      <c r="H895" s="312">
        <v>893</v>
      </c>
      <c r="I895" s="233" t="s">
        <v>1313</v>
      </c>
      <c r="K895" s="233" t="s">
        <v>1314</v>
      </c>
      <c r="L895" s="236">
        <f t="shared" si="29"/>
        <v>892107</v>
      </c>
      <c r="N895" s="113" t="s">
        <v>1315</v>
      </c>
      <c r="O895" s="1" t="b">
        <v>1</v>
      </c>
      <c r="Q895" s="34"/>
    </row>
    <row r="896" spans="2:17">
      <c r="B896" s="1" t="str">
        <f t="shared" si="30"/>
        <v>M_MED01_VM_BKT_894</v>
      </c>
      <c r="C896" s="92" t="s">
        <v>727</v>
      </c>
      <c r="D896" s="92" t="str" cm="1">
        <f t="array" ref="D896">INDEX(기계코드!$D$4:$D$1022,MATCH(1,(C896=기계코드!$F$4:$F$1022)*1,0))</f>
        <v>M_MED01</v>
      </c>
      <c r="E896" s="92" t="s">
        <v>1128</v>
      </c>
      <c r="F896" s="92" t="str" cm="1">
        <f t="array" ref="F896">INDEX(공급업체코드!$B$3:$B$1000,MATCH(1,(E896=공급업체코드!$D$3:$D$1000)*1,0))</f>
        <v>VM_BKT</v>
      </c>
      <c r="H896" s="312">
        <v>894</v>
      </c>
      <c r="I896" s="233" t="s">
        <v>1313</v>
      </c>
      <c r="K896" s="233" t="s">
        <v>1314</v>
      </c>
      <c r="L896" s="236">
        <f t="shared" si="29"/>
        <v>893106</v>
      </c>
      <c r="N896" s="113" t="s">
        <v>1315</v>
      </c>
      <c r="O896" s="1" t="b">
        <v>1</v>
      </c>
      <c r="Q896" s="34"/>
    </row>
    <row r="897" spans="2:17">
      <c r="B897" s="1" t="str">
        <f t="shared" si="30"/>
        <v>M_MED01_VM_BKT_895</v>
      </c>
      <c r="C897" s="92" t="s">
        <v>727</v>
      </c>
      <c r="D897" s="92" t="str" cm="1">
        <f t="array" ref="D897">INDEX(기계코드!$D$4:$D$1022,MATCH(1,(C897=기계코드!$F$4:$F$1022)*1,0))</f>
        <v>M_MED01</v>
      </c>
      <c r="E897" s="92" t="s">
        <v>1128</v>
      </c>
      <c r="F897" s="92" t="str" cm="1">
        <f t="array" ref="F897">INDEX(공급업체코드!$B$3:$B$1000,MATCH(1,(E897=공급업체코드!$D$3:$D$1000)*1,0))</f>
        <v>VM_BKT</v>
      </c>
      <c r="H897" s="312">
        <v>895</v>
      </c>
      <c r="I897" s="233" t="s">
        <v>1313</v>
      </c>
      <c r="K897" s="233" t="s">
        <v>1314</v>
      </c>
      <c r="L897" s="236">
        <f t="shared" si="29"/>
        <v>894105</v>
      </c>
      <c r="N897" s="113" t="s">
        <v>1315</v>
      </c>
      <c r="O897" s="1" t="b">
        <v>1</v>
      </c>
      <c r="Q897" s="34"/>
    </row>
    <row r="898" spans="2:17">
      <c r="B898" s="1" t="str">
        <f t="shared" si="30"/>
        <v>M_MED01_VM_BKT_896</v>
      </c>
      <c r="C898" s="92" t="s">
        <v>727</v>
      </c>
      <c r="D898" s="92" t="str" cm="1">
        <f t="array" ref="D898">INDEX(기계코드!$D$4:$D$1022,MATCH(1,(C898=기계코드!$F$4:$F$1022)*1,0))</f>
        <v>M_MED01</v>
      </c>
      <c r="E898" s="92" t="s">
        <v>1128</v>
      </c>
      <c r="F898" s="92" t="str" cm="1">
        <f t="array" ref="F898">INDEX(공급업체코드!$B$3:$B$1000,MATCH(1,(E898=공급업체코드!$D$3:$D$1000)*1,0))</f>
        <v>VM_BKT</v>
      </c>
      <c r="H898" s="312">
        <v>896</v>
      </c>
      <c r="I898" s="233" t="s">
        <v>1313</v>
      </c>
      <c r="K898" s="233" t="s">
        <v>1314</v>
      </c>
      <c r="L898" s="236">
        <f t="shared" si="29"/>
        <v>895104</v>
      </c>
      <c r="N898" s="113" t="s">
        <v>1315</v>
      </c>
      <c r="O898" s="1" t="b">
        <v>1</v>
      </c>
      <c r="Q898" s="34"/>
    </row>
    <row r="899" spans="2:17">
      <c r="B899" s="1" t="str">
        <f t="shared" si="30"/>
        <v>M_MED01_VM_BKT_897</v>
      </c>
      <c r="C899" s="92" t="s">
        <v>727</v>
      </c>
      <c r="D899" s="92" t="str" cm="1">
        <f t="array" ref="D899">INDEX(기계코드!$D$4:$D$1022,MATCH(1,(C899=기계코드!$F$4:$F$1022)*1,0))</f>
        <v>M_MED01</v>
      </c>
      <c r="E899" s="92" t="s">
        <v>1128</v>
      </c>
      <c r="F899" s="92" t="str" cm="1">
        <f t="array" ref="F899">INDEX(공급업체코드!$B$3:$B$1000,MATCH(1,(E899=공급업체코드!$D$3:$D$1000)*1,0))</f>
        <v>VM_BKT</v>
      </c>
      <c r="H899" s="312">
        <v>897</v>
      </c>
      <c r="I899" s="233" t="s">
        <v>1313</v>
      </c>
      <c r="K899" s="233" t="s">
        <v>1314</v>
      </c>
      <c r="L899" s="236">
        <f t="shared" si="29"/>
        <v>896103</v>
      </c>
      <c r="N899" s="113" t="s">
        <v>1315</v>
      </c>
      <c r="O899" s="1" t="b">
        <v>1</v>
      </c>
      <c r="Q899" s="34"/>
    </row>
    <row r="900" spans="2:17">
      <c r="B900" s="1" t="str">
        <f t="shared" si="30"/>
        <v>M_MED01_VM_BKT_898</v>
      </c>
      <c r="C900" s="92" t="s">
        <v>727</v>
      </c>
      <c r="D900" s="92" t="str" cm="1">
        <f t="array" ref="D900">INDEX(기계코드!$D$4:$D$1022,MATCH(1,(C900=기계코드!$F$4:$F$1022)*1,0))</f>
        <v>M_MED01</v>
      </c>
      <c r="E900" s="92" t="s">
        <v>1128</v>
      </c>
      <c r="F900" s="92" t="str" cm="1">
        <f t="array" ref="F900">INDEX(공급업체코드!$B$3:$B$1000,MATCH(1,(E900=공급업체코드!$D$3:$D$1000)*1,0))</f>
        <v>VM_BKT</v>
      </c>
      <c r="H900" s="312">
        <v>898</v>
      </c>
      <c r="I900" s="233" t="s">
        <v>1313</v>
      </c>
      <c r="K900" s="233" t="s">
        <v>1314</v>
      </c>
      <c r="L900" s="236">
        <f t="shared" si="29"/>
        <v>897102</v>
      </c>
      <c r="N900" s="113" t="s">
        <v>1315</v>
      </c>
      <c r="O900" s="1" t="b">
        <v>1</v>
      </c>
      <c r="Q900" s="34"/>
    </row>
    <row r="901" spans="2:17">
      <c r="B901" s="1" t="str">
        <f t="shared" si="30"/>
        <v>M_MED01_VM_BKT_899</v>
      </c>
      <c r="C901" s="92" t="s">
        <v>727</v>
      </c>
      <c r="D901" s="92" t="str" cm="1">
        <f t="array" ref="D901">INDEX(기계코드!$D$4:$D$1022,MATCH(1,(C901=기계코드!$F$4:$F$1022)*1,0))</f>
        <v>M_MED01</v>
      </c>
      <c r="E901" s="92" t="s">
        <v>1128</v>
      </c>
      <c r="F901" s="92" t="str" cm="1">
        <f t="array" ref="F901">INDEX(공급업체코드!$B$3:$B$1000,MATCH(1,(E901=공급업체코드!$D$3:$D$1000)*1,0))</f>
        <v>VM_BKT</v>
      </c>
      <c r="H901" s="312">
        <v>899</v>
      </c>
      <c r="I901" s="233" t="s">
        <v>1313</v>
      </c>
      <c r="K901" s="233" t="s">
        <v>1314</v>
      </c>
      <c r="L901" s="236">
        <f t="shared" ref="L901:L964" si="31">$L$3*H901</f>
        <v>898101</v>
      </c>
      <c r="N901" s="113" t="s">
        <v>1315</v>
      </c>
      <c r="O901" s="1" t="b">
        <v>1</v>
      </c>
      <c r="Q901" s="34"/>
    </row>
    <row r="902" spans="2:17">
      <c r="B902" s="1" t="str">
        <f t="shared" si="30"/>
        <v>M_MED01_VM_BKT_900</v>
      </c>
      <c r="C902" s="92" t="s">
        <v>727</v>
      </c>
      <c r="D902" s="92" t="str" cm="1">
        <f t="array" ref="D902">INDEX(기계코드!$D$4:$D$1022,MATCH(1,(C902=기계코드!$F$4:$F$1022)*1,0))</f>
        <v>M_MED01</v>
      </c>
      <c r="E902" s="92" t="s">
        <v>1128</v>
      </c>
      <c r="F902" s="92" t="str" cm="1">
        <f t="array" ref="F902">INDEX(공급업체코드!$B$3:$B$1000,MATCH(1,(E902=공급업체코드!$D$3:$D$1000)*1,0))</f>
        <v>VM_BKT</v>
      </c>
      <c r="H902" s="312">
        <v>900</v>
      </c>
      <c r="I902" s="233" t="s">
        <v>1313</v>
      </c>
      <c r="K902" s="233" t="s">
        <v>1314</v>
      </c>
      <c r="L902" s="236">
        <f t="shared" si="31"/>
        <v>899100</v>
      </c>
      <c r="N902" s="113" t="s">
        <v>1315</v>
      </c>
      <c r="O902" s="1" t="b">
        <v>1</v>
      </c>
      <c r="Q902" s="34"/>
    </row>
    <row r="903" spans="2:17">
      <c r="B903" s="1" t="str">
        <f t="shared" ref="B903:B966" si="32">D903&amp;"_"&amp;F903&amp;"_"&amp;H903</f>
        <v>M_MED01_VM_BKT_901</v>
      </c>
      <c r="C903" s="92" t="s">
        <v>727</v>
      </c>
      <c r="D903" s="92" t="str" cm="1">
        <f t="array" ref="D903">INDEX(기계코드!$D$4:$D$1022,MATCH(1,(C903=기계코드!$F$4:$F$1022)*1,0))</f>
        <v>M_MED01</v>
      </c>
      <c r="E903" s="92" t="s">
        <v>1128</v>
      </c>
      <c r="F903" s="92" t="str" cm="1">
        <f t="array" ref="F903">INDEX(공급업체코드!$B$3:$B$1000,MATCH(1,(E903=공급업체코드!$D$3:$D$1000)*1,0))</f>
        <v>VM_BKT</v>
      </c>
      <c r="H903" s="312">
        <v>901</v>
      </c>
      <c r="I903" s="233" t="s">
        <v>1313</v>
      </c>
      <c r="K903" s="233" t="s">
        <v>1314</v>
      </c>
      <c r="L903" s="236">
        <f t="shared" si="31"/>
        <v>900099</v>
      </c>
      <c r="N903" s="113" t="s">
        <v>1315</v>
      </c>
      <c r="O903" s="1" t="b">
        <v>1</v>
      </c>
      <c r="Q903" s="34"/>
    </row>
    <row r="904" spans="2:17">
      <c r="B904" s="1" t="str">
        <f t="shared" si="32"/>
        <v>M_MED01_VM_BKT_902</v>
      </c>
      <c r="C904" s="92" t="s">
        <v>727</v>
      </c>
      <c r="D904" s="92" t="str" cm="1">
        <f t="array" ref="D904">INDEX(기계코드!$D$4:$D$1022,MATCH(1,(C904=기계코드!$F$4:$F$1022)*1,0))</f>
        <v>M_MED01</v>
      </c>
      <c r="E904" s="92" t="s">
        <v>1128</v>
      </c>
      <c r="F904" s="92" t="str" cm="1">
        <f t="array" ref="F904">INDEX(공급업체코드!$B$3:$B$1000,MATCH(1,(E904=공급업체코드!$D$3:$D$1000)*1,0))</f>
        <v>VM_BKT</v>
      </c>
      <c r="H904" s="312">
        <v>902</v>
      </c>
      <c r="I904" s="233" t="s">
        <v>1313</v>
      </c>
      <c r="K904" s="233" t="s">
        <v>1314</v>
      </c>
      <c r="L904" s="236">
        <f t="shared" si="31"/>
        <v>901098</v>
      </c>
      <c r="N904" s="113" t="s">
        <v>1315</v>
      </c>
      <c r="O904" s="1" t="b">
        <v>1</v>
      </c>
      <c r="Q904" s="34"/>
    </row>
    <row r="905" spans="2:17">
      <c r="B905" s="1" t="str">
        <f t="shared" si="32"/>
        <v>M_MED01_VM_BKT_903</v>
      </c>
      <c r="C905" s="92" t="s">
        <v>727</v>
      </c>
      <c r="D905" s="92" t="str" cm="1">
        <f t="array" ref="D905">INDEX(기계코드!$D$4:$D$1022,MATCH(1,(C905=기계코드!$F$4:$F$1022)*1,0))</f>
        <v>M_MED01</v>
      </c>
      <c r="E905" s="92" t="s">
        <v>1128</v>
      </c>
      <c r="F905" s="92" t="str" cm="1">
        <f t="array" ref="F905">INDEX(공급업체코드!$B$3:$B$1000,MATCH(1,(E905=공급업체코드!$D$3:$D$1000)*1,0))</f>
        <v>VM_BKT</v>
      </c>
      <c r="H905" s="312">
        <v>903</v>
      </c>
      <c r="I905" s="233" t="s">
        <v>1313</v>
      </c>
      <c r="K905" s="233" t="s">
        <v>1314</v>
      </c>
      <c r="L905" s="236">
        <f t="shared" si="31"/>
        <v>902097</v>
      </c>
      <c r="N905" s="113" t="s">
        <v>1315</v>
      </c>
      <c r="O905" s="1" t="b">
        <v>1</v>
      </c>
      <c r="Q905" s="34"/>
    </row>
    <row r="906" spans="2:17">
      <c r="B906" s="1" t="str">
        <f t="shared" si="32"/>
        <v>M_MED01_VM_BKT_904</v>
      </c>
      <c r="C906" s="92" t="s">
        <v>727</v>
      </c>
      <c r="D906" s="92" t="str" cm="1">
        <f t="array" ref="D906">INDEX(기계코드!$D$4:$D$1022,MATCH(1,(C906=기계코드!$F$4:$F$1022)*1,0))</f>
        <v>M_MED01</v>
      </c>
      <c r="E906" s="92" t="s">
        <v>1128</v>
      </c>
      <c r="F906" s="92" t="str" cm="1">
        <f t="array" ref="F906">INDEX(공급업체코드!$B$3:$B$1000,MATCH(1,(E906=공급업체코드!$D$3:$D$1000)*1,0))</f>
        <v>VM_BKT</v>
      </c>
      <c r="H906" s="312">
        <v>904</v>
      </c>
      <c r="I906" s="233" t="s">
        <v>1313</v>
      </c>
      <c r="K906" s="233" t="s">
        <v>1314</v>
      </c>
      <c r="L906" s="236">
        <f t="shared" si="31"/>
        <v>903096</v>
      </c>
      <c r="N906" s="113" t="s">
        <v>1315</v>
      </c>
      <c r="O906" s="1" t="b">
        <v>1</v>
      </c>
      <c r="Q906" s="34"/>
    </row>
    <row r="907" spans="2:17">
      <c r="B907" s="1" t="str">
        <f t="shared" si="32"/>
        <v>M_MED01_VM_BKT_905</v>
      </c>
      <c r="C907" s="92" t="s">
        <v>727</v>
      </c>
      <c r="D907" s="92" t="str" cm="1">
        <f t="array" ref="D907">INDEX(기계코드!$D$4:$D$1022,MATCH(1,(C907=기계코드!$F$4:$F$1022)*1,0))</f>
        <v>M_MED01</v>
      </c>
      <c r="E907" s="92" t="s">
        <v>1128</v>
      </c>
      <c r="F907" s="92" t="str" cm="1">
        <f t="array" ref="F907">INDEX(공급업체코드!$B$3:$B$1000,MATCH(1,(E907=공급업체코드!$D$3:$D$1000)*1,0))</f>
        <v>VM_BKT</v>
      </c>
      <c r="H907" s="312">
        <v>905</v>
      </c>
      <c r="I907" s="233" t="s">
        <v>1313</v>
      </c>
      <c r="K907" s="233" t="s">
        <v>1314</v>
      </c>
      <c r="L907" s="236">
        <f t="shared" si="31"/>
        <v>904095</v>
      </c>
      <c r="N907" s="113" t="s">
        <v>1315</v>
      </c>
      <c r="O907" s="1" t="b">
        <v>1</v>
      </c>
      <c r="Q907" s="34"/>
    </row>
    <row r="908" spans="2:17">
      <c r="B908" s="1" t="str">
        <f t="shared" si="32"/>
        <v>M_MED01_VM_BKT_906</v>
      </c>
      <c r="C908" s="92" t="s">
        <v>727</v>
      </c>
      <c r="D908" s="92" t="str" cm="1">
        <f t="array" ref="D908">INDEX(기계코드!$D$4:$D$1022,MATCH(1,(C908=기계코드!$F$4:$F$1022)*1,0))</f>
        <v>M_MED01</v>
      </c>
      <c r="E908" s="92" t="s">
        <v>1128</v>
      </c>
      <c r="F908" s="92" t="str" cm="1">
        <f t="array" ref="F908">INDEX(공급업체코드!$B$3:$B$1000,MATCH(1,(E908=공급업체코드!$D$3:$D$1000)*1,0))</f>
        <v>VM_BKT</v>
      </c>
      <c r="H908" s="312">
        <v>906</v>
      </c>
      <c r="I908" s="233" t="s">
        <v>1313</v>
      </c>
      <c r="K908" s="233" t="s">
        <v>1314</v>
      </c>
      <c r="L908" s="236">
        <f t="shared" si="31"/>
        <v>905094</v>
      </c>
      <c r="N908" s="113" t="s">
        <v>1315</v>
      </c>
      <c r="O908" s="1" t="b">
        <v>1</v>
      </c>
      <c r="Q908" s="34"/>
    </row>
    <row r="909" spans="2:17">
      <c r="B909" s="1" t="str">
        <f t="shared" si="32"/>
        <v>M_MED01_VM_BKT_907</v>
      </c>
      <c r="C909" s="92" t="s">
        <v>727</v>
      </c>
      <c r="D909" s="92" t="str" cm="1">
        <f t="array" ref="D909">INDEX(기계코드!$D$4:$D$1022,MATCH(1,(C909=기계코드!$F$4:$F$1022)*1,0))</f>
        <v>M_MED01</v>
      </c>
      <c r="E909" s="92" t="s">
        <v>1128</v>
      </c>
      <c r="F909" s="92" t="str" cm="1">
        <f t="array" ref="F909">INDEX(공급업체코드!$B$3:$B$1000,MATCH(1,(E909=공급업체코드!$D$3:$D$1000)*1,0))</f>
        <v>VM_BKT</v>
      </c>
      <c r="H909" s="312">
        <v>907</v>
      </c>
      <c r="I909" s="233" t="s">
        <v>1313</v>
      </c>
      <c r="K909" s="233" t="s">
        <v>1314</v>
      </c>
      <c r="L909" s="236">
        <f t="shared" si="31"/>
        <v>906093</v>
      </c>
      <c r="N909" s="113" t="s">
        <v>1315</v>
      </c>
      <c r="O909" s="1" t="b">
        <v>1</v>
      </c>
      <c r="Q909" s="34"/>
    </row>
    <row r="910" spans="2:17">
      <c r="B910" s="1" t="str">
        <f t="shared" si="32"/>
        <v>M_MED01_VM_BKT_908</v>
      </c>
      <c r="C910" s="92" t="s">
        <v>727</v>
      </c>
      <c r="D910" s="92" t="str" cm="1">
        <f t="array" ref="D910">INDEX(기계코드!$D$4:$D$1022,MATCH(1,(C910=기계코드!$F$4:$F$1022)*1,0))</f>
        <v>M_MED01</v>
      </c>
      <c r="E910" s="92" t="s">
        <v>1128</v>
      </c>
      <c r="F910" s="92" t="str" cm="1">
        <f t="array" ref="F910">INDEX(공급업체코드!$B$3:$B$1000,MATCH(1,(E910=공급업체코드!$D$3:$D$1000)*1,0))</f>
        <v>VM_BKT</v>
      </c>
      <c r="H910" s="312">
        <v>908</v>
      </c>
      <c r="I910" s="233" t="s">
        <v>1313</v>
      </c>
      <c r="K910" s="233" t="s">
        <v>1314</v>
      </c>
      <c r="L910" s="236">
        <f t="shared" si="31"/>
        <v>907092</v>
      </c>
      <c r="N910" s="113" t="s">
        <v>1315</v>
      </c>
      <c r="O910" s="1" t="b">
        <v>1</v>
      </c>
      <c r="Q910" s="34"/>
    </row>
    <row r="911" spans="2:17">
      <c r="B911" s="1" t="str">
        <f t="shared" si="32"/>
        <v>M_MED01_VM_BKT_909</v>
      </c>
      <c r="C911" s="92" t="s">
        <v>727</v>
      </c>
      <c r="D911" s="92" t="str" cm="1">
        <f t="array" ref="D911">INDEX(기계코드!$D$4:$D$1022,MATCH(1,(C911=기계코드!$F$4:$F$1022)*1,0))</f>
        <v>M_MED01</v>
      </c>
      <c r="E911" s="92" t="s">
        <v>1128</v>
      </c>
      <c r="F911" s="92" t="str" cm="1">
        <f t="array" ref="F911">INDEX(공급업체코드!$B$3:$B$1000,MATCH(1,(E911=공급업체코드!$D$3:$D$1000)*1,0))</f>
        <v>VM_BKT</v>
      </c>
      <c r="H911" s="312">
        <v>909</v>
      </c>
      <c r="I911" s="233" t="s">
        <v>1313</v>
      </c>
      <c r="K911" s="233" t="s">
        <v>1314</v>
      </c>
      <c r="L911" s="236">
        <f t="shared" si="31"/>
        <v>908091</v>
      </c>
      <c r="N911" s="113" t="s">
        <v>1315</v>
      </c>
      <c r="O911" s="1" t="b">
        <v>1</v>
      </c>
      <c r="Q911" s="34"/>
    </row>
    <row r="912" spans="2:17">
      <c r="B912" s="1" t="str">
        <f t="shared" si="32"/>
        <v>M_MED01_VM_BKT_910</v>
      </c>
      <c r="C912" s="92" t="s">
        <v>727</v>
      </c>
      <c r="D912" s="92" t="str" cm="1">
        <f t="array" ref="D912">INDEX(기계코드!$D$4:$D$1022,MATCH(1,(C912=기계코드!$F$4:$F$1022)*1,0))</f>
        <v>M_MED01</v>
      </c>
      <c r="E912" s="92" t="s">
        <v>1128</v>
      </c>
      <c r="F912" s="92" t="str" cm="1">
        <f t="array" ref="F912">INDEX(공급업체코드!$B$3:$B$1000,MATCH(1,(E912=공급업체코드!$D$3:$D$1000)*1,0))</f>
        <v>VM_BKT</v>
      </c>
      <c r="H912" s="312">
        <v>910</v>
      </c>
      <c r="I912" s="233" t="s">
        <v>1313</v>
      </c>
      <c r="K912" s="233" t="s">
        <v>1314</v>
      </c>
      <c r="L912" s="236">
        <f t="shared" si="31"/>
        <v>909090</v>
      </c>
      <c r="N912" s="113" t="s">
        <v>1315</v>
      </c>
      <c r="O912" s="1" t="b">
        <v>1</v>
      </c>
      <c r="Q912" s="34"/>
    </row>
    <row r="913" spans="2:17">
      <c r="B913" s="1" t="str">
        <f t="shared" si="32"/>
        <v>M_MED01_VM_BKT_911</v>
      </c>
      <c r="C913" s="92" t="s">
        <v>727</v>
      </c>
      <c r="D913" s="92" t="str" cm="1">
        <f t="array" ref="D913">INDEX(기계코드!$D$4:$D$1022,MATCH(1,(C913=기계코드!$F$4:$F$1022)*1,0))</f>
        <v>M_MED01</v>
      </c>
      <c r="E913" s="92" t="s">
        <v>1128</v>
      </c>
      <c r="F913" s="92" t="str" cm="1">
        <f t="array" ref="F913">INDEX(공급업체코드!$B$3:$B$1000,MATCH(1,(E913=공급업체코드!$D$3:$D$1000)*1,0))</f>
        <v>VM_BKT</v>
      </c>
      <c r="H913" s="312">
        <v>911</v>
      </c>
      <c r="I913" s="233" t="s">
        <v>1313</v>
      </c>
      <c r="K913" s="233" t="s">
        <v>1314</v>
      </c>
      <c r="L913" s="236">
        <f t="shared" si="31"/>
        <v>910089</v>
      </c>
      <c r="N913" s="113" t="s">
        <v>1315</v>
      </c>
      <c r="O913" s="1" t="b">
        <v>1</v>
      </c>
      <c r="Q913" s="34"/>
    </row>
    <row r="914" spans="2:17">
      <c r="B914" s="1" t="str">
        <f t="shared" si="32"/>
        <v>M_MED01_VM_BKT_912</v>
      </c>
      <c r="C914" s="92" t="s">
        <v>727</v>
      </c>
      <c r="D914" s="92" t="str" cm="1">
        <f t="array" ref="D914">INDEX(기계코드!$D$4:$D$1022,MATCH(1,(C914=기계코드!$F$4:$F$1022)*1,0))</f>
        <v>M_MED01</v>
      </c>
      <c r="E914" s="92" t="s">
        <v>1128</v>
      </c>
      <c r="F914" s="92" t="str" cm="1">
        <f t="array" ref="F914">INDEX(공급업체코드!$B$3:$B$1000,MATCH(1,(E914=공급업체코드!$D$3:$D$1000)*1,0))</f>
        <v>VM_BKT</v>
      </c>
      <c r="H914" s="312">
        <v>912</v>
      </c>
      <c r="I914" s="233" t="s">
        <v>1313</v>
      </c>
      <c r="K914" s="233" t="s">
        <v>1314</v>
      </c>
      <c r="L914" s="236">
        <f t="shared" si="31"/>
        <v>911088</v>
      </c>
      <c r="N914" s="113" t="s">
        <v>1315</v>
      </c>
      <c r="O914" s="1" t="b">
        <v>1</v>
      </c>
      <c r="Q914" s="34"/>
    </row>
    <row r="915" spans="2:17">
      <c r="B915" s="1" t="str">
        <f t="shared" si="32"/>
        <v>M_MED01_VM_BKT_913</v>
      </c>
      <c r="C915" s="92" t="s">
        <v>727</v>
      </c>
      <c r="D915" s="92" t="str" cm="1">
        <f t="array" ref="D915">INDEX(기계코드!$D$4:$D$1022,MATCH(1,(C915=기계코드!$F$4:$F$1022)*1,0))</f>
        <v>M_MED01</v>
      </c>
      <c r="E915" s="92" t="s">
        <v>1128</v>
      </c>
      <c r="F915" s="92" t="str" cm="1">
        <f t="array" ref="F915">INDEX(공급업체코드!$B$3:$B$1000,MATCH(1,(E915=공급업체코드!$D$3:$D$1000)*1,0))</f>
        <v>VM_BKT</v>
      </c>
      <c r="H915" s="312">
        <v>913</v>
      </c>
      <c r="I915" s="233" t="s">
        <v>1313</v>
      </c>
      <c r="K915" s="233" t="s">
        <v>1314</v>
      </c>
      <c r="L915" s="236">
        <f t="shared" si="31"/>
        <v>912087</v>
      </c>
      <c r="N915" s="113" t="s">
        <v>1315</v>
      </c>
      <c r="O915" s="1" t="b">
        <v>1</v>
      </c>
      <c r="Q915" s="34"/>
    </row>
    <row r="916" spans="2:17">
      <c r="B916" s="1" t="str">
        <f t="shared" si="32"/>
        <v>M_MED01_VM_BKT_914</v>
      </c>
      <c r="C916" s="92" t="s">
        <v>727</v>
      </c>
      <c r="D916" s="92" t="str" cm="1">
        <f t="array" ref="D916">INDEX(기계코드!$D$4:$D$1022,MATCH(1,(C916=기계코드!$F$4:$F$1022)*1,0))</f>
        <v>M_MED01</v>
      </c>
      <c r="E916" s="92" t="s">
        <v>1128</v>
      </c>
      <c r="F916" s="92" t="str" cm="1">
        <f t="array" ref="F916">INDEX(공급업체코드!$B$3:$B$1000,MATCH(1,(E916=공급업체코드!$D$3:$D$1000)*1,0))</f>
        <v>VM_BKT</v>
      </c>
      <c r="H916" s="312">
        <v>914</v>
      </c>
      <c r="I916" s="233" t="s">
        <v>1313</v>
      </c>
      <c r="K916" s="233" t="s">
        <v>1314</v>
      </c>
      <c r="L916" s="236">
        <f t="shared" si="31"/>
        <v>913086</v>
      </c>
      <c r="N916" s="113" t="s">
        <v>1315</v>
      </c>
      <c r="O916" s="1" t="b">
        <v>1</v>
      </c>
      <c r="Q916" s="34"/>
    </row>
    <row r="917" spans="2:17">
      <c r="B917" s="1" t="str">
        <f t="shared" si="32"/>
        <v>M_MED01_VM_BKT_915</v>
      </c>
      <c r="C917" s="92" t="s">
        <v>727</v>
      </c>
      <c r="D917" s="92" t="str" cm="1">
        <f t="array" ref="D917">INDEX(기계코드!$D$4:$D$1022,MATCH(1,(C917=기계코드!$F$4:$F$1022)*1,0))</f>
        <v>M_MED01</v>
      </c>
      <c r="E917" s="92" t="s">
        <v>1128</v>
      </c>
      <c r="F917" s="92" t="str" cm="1">
        <f t="array" ref="F917">INDEX(공급업체코드!$B$3:$B$1000,MATCH(1,(E917=공급업체코드!$D$3:$D$1000)*1,0))</f>
        <v>VM_BKT</v>
      </c>
      <c r="H917" s="312">
        <v>915</v>
      </c>
      <c r="I917" s="233" t="s">
        <v>1313</v>
      </c>
      <c r="K917" s="233" t="s">
        <v>1314</v>
      </c>
      <c r="L917" s="236">
        <f t="shared" si="31"/>
        <v>914085</v>
      </c>
      <c r="N917" s="113" t="s">
        <v>1315</v>
      </c>
      <c r="O917" s="1" t="b">
        <v>1</v>
      </c>
      <c r="Q917" s="34"/>
    </row>
    <row r="918" spans="2:17">
      <c r="B918" s="1" t="str">
        <f t="shared" si="32"/>
        <v>M_MED01_VM_BKT_916</v>
      </c>
      <c r="C918" s="92" t="s">
        <v>727</v>
      </c>
      <c r="D918" s="92" t="str" cm="1">
        <f t="array" ref="D918">INDEX(기계코드!$D$4:$D$1022,MATCH(1,(C918=기계코드!$F$4:$F$1022)*1,0))</f>
        <v>M_MED01</v>
      </c>
      <c r="E918" s="92" t="s">
        <v>1128</v>
      </c>
      <c r="F918" s="92" t="str" cm="1">
        <f t="array" ref="F918">INDEX(공급업체코드!$B$3:$B$1000,MATCH(1,(E918=공급업체코드!$D$3:$D$1000)*1,0))</f>
        <v>VM_BKT</v>
      </c>
      <c r="H918" s="312">
        <v>916</v>
      </c>
      <c r="I918" s="233" t="s">
        <v>1313</v>
      </c>
      <c r="K918" s="233" t="s">
        <v>1314</v>
      </c>
      <c r="L918" s="236">
        <f t="shared" si="31"/>
        <v>915084</v>
      </c>
      <c r="N918" s="113" t="s">
        <v>1315</v>
      </c>
      <c r="O918" s="1" t="b">
        <v>1</v>
      </c>
      <c r="Q918" s="34"/>
    </row>
    <row r="919" spans="2:17">
      <c r="B919" s="1" t="str">
        <f t="shared" si="32"/>
        <v>M_MED01_VM_BKT_917</v>
      </c>
      <c r="C919" s="92" t="s">
        <v>727</v>
      </c>
      <c r="D919" s="92" t="str" cm="1">
        <f t="array" ref="D919">INDEX(기계코드!$D$4:$D$1022,MATCH(1,(C919=기계코드!$F$4:$F$1022)*1,0))</f>
        <v>M_MED01</v>
      </c>
      <c r="E919" s="92" t="s">
        <v>1128</v>
      </c>
      <c r="F919" s="92" t="str" cm="1">
        <f t="array" ref="F919">INDEX(공급업체코드!$B$3:$B$1000,MATCH(1,(E919=공급업체코드!$D$3:$D$1000)*1,0))</f>
        <v>VM_BKT</v>
      </c>
      <c r="H919" s="312">
        <v>917</v>
      </c>
      <c r="I919" s="233" t="s">
        <v>1313</v>
      </c>
      <c r="K919" s="233" t="s">
        <v>1314</v>
      </c>
      <c r="L919" s="236">
        <f t="shared" si="31"/>
        <v>916083</v>
      </c>
      <c r="N919" s="113" t="s">
        <v>1315</v>
      </c>
      <c r="O919" s="1" t="b">
        <v>1</v>
      </c>
      <c r="Q919" s="34"/>
    </row>
    <row r="920" spans="2:17">
      <c r="B920" s="1" t="str">
        <f t="shared" si="32"/>
        <v>M_MED01_VM_BKT_918</v>
      </c>
      <c r="C920" s="92" t="s">
        <v>727</v>
      </c>
      <c r="D920" s="92" t="str" cm="1">
        <f t="array" ref="D920">INDEX(기계코드!$D$4:$D$1022,MATCH(1,(C920=기계코드!$F$4:$F$1022)*1,0))</f>
        <v>M_MED01</v>
      </c>
      <c r="E920" s="92" t="s">
        <v>1128</v>
      </c>
      <c r="F920" s="92" t="str" cm="1">
        <f t="array" ref="F920">INDEX(공급업체코드!$B$3:$B$1000,MATCH(1,(E920=공급업체코드!$D$3:$D$1000)*1,0))</f>
        <v>VM_BKT</v>
      </c>
      <c r="H920" s="312">
        <v>918</v>
      </c>
      <c r="I920" s="233" t="s">
        <v>1313</v>
      </c>
      <c r="K920" s="233" t="s">
        <v>1314</v>
      </c>
      <c r="L920" s="236">
        <f t="shared" si="31"/>
        <v>917082</v>
      </c>
      <c r="N920" s="113" t="s">
        <v>1315</v>
      </c>
      <c r="O920" s="1" t="b">
        <v>1</v>
      </c>
      <c r="Q920" s="34"/>
    </row>
    <row r="921" spans="2:17">
      <c r="B921" s="1" t="str">
        <f t="shared" si="32"/>
        <v>M_MED01_VM_BKT_919</v>
      </c>
      <c r="C921" s="92" t="s">
        <v>727</v>
      </c>
      <c r="D921" s="92" t="str" cm="1">
        <f t="array" ref="D921">INDEX(기계코드!$D$4:$D$1022,MATCH(1,(C921=기계코드!$F$4:$F$1022)*1,0))</f>
        <v>M_MED01</v>
      </c>
      <c r="E921" s="92" t="s">
        <v>1128</v>
      </c>
      <c r="F921" s="92" t="str" cm="1">
        <f t="array" ref="F921">INDEX(공급업체코드!$B$3:$B$1000,MATCH(1,(E921=공급업체코드!$D$3:$D$1000)*1,0))</f>
        <v>VM_BKT</v>
      </c>
      <c r="H921" s="312">
        <v>919</v>
      </c>
      <c r="I921" s="233" t="s">
        <v>1313</v>
      </c>
      <c r="K921" s="233" t="s">
        <v>1314</v>
      </c>
      <c r="L921" s="236">
        <f t="shared" si="31"/>
        <v>918081</v>
      </c>
      <c r="N921" s="113" t="s">
        <v>1315</v>
      </c>
      <c r="O921" s="1" t="b">
        <v>1</v>
      </c>
      <c r="Q921" s="34"/>
    </row>
    <row r="922" spans="2:17">
      <c r="B922" s="1" t="str">
        <f t="shared" si="32"/>
        <v>M_MED01_VM_BKT_920</v>
      </c>
      <c r="C922" s="92" t="s">
        <v>727</v>
      </c>
      <c r="D922" s="92" t="str" cm="1">
        <f t="array" ref="D922">INDEX(기계코드!$D$4:$D$1022,MATCH(1,(C922=기계코드!$F$4:$F$1022)*1,0))</f>
        <v>M_MED01</v>
      </c>
      <c r="E922" s="92" t="s">
        <v>1128</v>
      </c>
      <c r="F922" s="92" t="str" cm="1">
        <f t="array" ref="F922">INDEX(공급업체코드!$B$3:$B$1000,MATCH(1,(E922=공급업체코드!$D$3:$D$1000)*1,0))</f>
        <v>VM_BKT</v>
      </c>
      <c r="H922" s="312">
        <v>920</v>
      </c>
      <c r="I922" s="233" t="s">
        <v>1313</v>
      </c>
      <c r="K922" s="233" t="s">
        <v>1314</v>
      </c>
      <c r="L922" s="236">
        <f t="shared" si="31"/>
        <v>919080</v>
      </c>
      <c r="N922" s="113" t="s">
        <v>1315</v>
      </c>
      <c r="O922" s="1" t="b">
        <v>1</v>
      </c>
      <c r="Q922" s="34"/>
    </row>
    <row r="923" spans="2:17">
      <c r="B923" s="1" t="str">
        <f t="shared" si="32"/>
        <v>M_MED01_VM_BKT_921</v>
      </c>
      <c r="C923" s="92" t="s">
        <v>727</v>
      </c>
      <c r="D923" s="92" t="str" cm="1">
        <f t="array" ref="D923">INDEX(기계코드!$D$4:$D$1022,MATCH(1,(C923=기계코드!$F$4:$F$1022)*1,0))</f>
        <v>M_MED01</v>
      </c>
      <c r="E923" s="92" t="s">
        <v>1128</v>
      </c>
      <c r="F923" s="92" t="str" cm="1">
        <f t="array" ref="F923">INDEX(공급업체코드!$B$3:$B$1000,MATCH(1,(E923=공급업체코드!$D$3:$D$1000)*1,0))</f>
        <v>VM_BKT</v>
      </c>
      <c r="H923" s="312">
        <v>921</v>
      </c>
      <c r="I923" s="233" t="s">
        <v>1313</v>
      </c>
      <c r="K923" s="233" t="s">
        <v>1314</v>
      </c>
      <c r="L923" s="236">
        <f t="shared" si="31"/>
        <v>920079</v>
      </c>
      <c r="N923" s="113" t="s">
        <v>1315</v>
      </c>
      <c r="O923" s="1" t="b">
        <v>1</v>
      </c>
      <c r="Q923" s="34"/>
    </row>
    <row r="924" spans="2:17">
      <c r="B924" s="1" t="str">
        <f t="shared" si="32"/>
        <v>M_MED01_VM_BKT_922</v>
      </c>
      <c r="C924" s="92" t="s">
        <v>727</v>
      </c>
      <c r="D924" s="92" t="str" cm="1">
        <f t="array" ref="D924">INDEX(기계코드!$D$4:$D$1022,MATCH(1,(C924=기계코드!$F$4:$F$1022)*1,0))</f>
        <v>M_MED01</v>
      </c>
      <c r="E924" s="92" t="s">
        <v>1128</v>
      </c>
      <c r="F924" s="92" t="str" cm="1">
        <f t="array" ref="F924">INDEX(공급업체코드!$B$3:$B$1000,MATCH(1,(E924=공급업체코드!$D$3:$D$1000)*1,0))</f>
        <v>VM_BKT</v>
      </c>
      <c r="H924" s="312">
        <v>922</v>
      </c>
      <c r="I924" s="233" t="s">
        <v>1313</v>
      </c>
      <c r="K924" s="233" t="s">
        <v>1314</v>
      </c>
      <c r="L924" s="236">
        <f t="shared" si="31"/>
        <v>921078</v>
      </c>
      <c r="N924" s="113" t="s">
        <v>1315</v>
      </c>
      <c r="O924" s="1" t="b">
        <v>1</v>
      </c>
      <c r="Q924" s="34"/>
    </row>
    <row r="925" spans="2:17">
      <c r="B925" s="1" t="str">
        <f t="shared" si="32"/>
        <v>M_MED01_VM_BKT_923</v>
      </c>
      <c r="C925" s="92" t="s">
        <v>727</v>
      </c>
      <c r="D925" s="92" t="str" cm="1">
        <f t="array" ref="D925">INDEX(기계코드!$D$4:$D$1022,MATCH(1,(C925=기계코드!$F$4:$F$1022)*1,0))</f>
        <v>M_MED01</v>
      </c>
      <c r="E925" s="92" t="s">
        <v>1128</v>
      </c>
      <c r="F925" s="92" t="str" cm="1">
        <f t="array" ref="F925">INDEX(공급업체코드!$B$3:$B$1000,MATCH(1,(E925=공급업체코드!$D$3:$D$1000)*1,0))</f>
        <v>VM_BKT</v>
      </c>
      <c r="H925" s="312">
        <v>923</v>
      </c>
      <c r="I925" s="233" t="s">
        <v>1313</v>
      </c>
      <c r="K925" s="233" t="s">
        <v>1314</v>
      </c>
      <c r="L925" s="236">
        <f t="shared" si="31"/>
        <v>922077</v>
      </c>
      <c r="N925" s="113" t="s">
        <v>1315</v>
      </c>
      <c r="O925" s="1" t="b">
        <v>1</v>
      </c>
      <c r="Q925" s="34"/>
    </row>
    <row r="926" spans="2:17">
      <c r="B926" s="1" t="str">
        <f t="shared" si="32"/>
        <v>M_MED01_VM_BKT_924</v>
      </c>
      <c r="C926" s="92" t="s">
        <v>727</v>
      </c>
      <c r="D926" s="92" t="str" cm="1">
        <f t="array" ref="D926">INDEX(기계코드!$D$4:$D$1022,MATCH(1,(C926=기계코드!$F$4:$F$1022)*1,0))</f>
        <v>M_MED01</v>
      </c>
      <c r="E926" s="92" t="s">
        <v>1128</v>
      </c>
      <c r="F926" s="92" t="str" cm="1">
        <f t="array" ref="F926">INDEX(공급업체코드!$B$3:$B$1000,MATCH(1,(E926=공급업체코드!$D$3:$D$1000)*1,0))</f>
        <v>VM_BKT</v>
      </c>
      <c r="H926" s="312">
        <v>924</v>
      </c>
      <c r="I926" s="233" t="s">
        <v>1313</v>
      </c>
      <c r="K926" s="233" t="s">
        <v>1314</v>
      </c>
      <c r="L926" s="236">
        <f t="shared" si="31"/>
        <v>923076</v>
      </c>
      <c r="N926" s="113" t="s">
        <v>1315</v>
      </c>
      <c r="O926" s="1" t="b">
        <v>1</v>
      </c>
      <c r="Q926" s="34"/>
    </row>
    <row r="927" spans="2:17">
      <c r="B927" s="1" t="str">
        <f t="shared" si="32"/>
        <v>M_MED01_VM_BKT_925</v>
      </c>
      <c r="C927" s="92" t="s">
        <v>727</v>
      </c>
      <c r="D927" s="92" t="str" cm="1">
        <f t="array" ref="D927">INDEX(기계코드!$D$4:$D$1022,MATCH(1,(C927=기계코드!$F$4:$F$1022)*1,0))</f>
        <v>M_MED01</v>
      </c>
      <c r="E927" s="92" t="s">
        <v>1128</v>
      </c>
      <c r="F927" s="92" t="str" cm="1">
        <f t="array" ref="F927">INDEX(공급업체코드!$B$3:$B$1000,MATCH(1,(E927=공급업체코드!$D$3:$D$1000)*1,0))</f>
        <v>VM_BKT</v>
      </c>
      <c r="H927" s="312">
        <v>925</v>
      </c>
      <c r="I927" s="233" t="s">
        <v>1313</v>
      </c>
      <c r="K927" s="233" t="s">
        <v>1314</v>
      </c>
      <c r="L927" s="236">
        <f t="shared" si="31"/>
        <v>924075</v>
      </c>
      <c r="N927" s="113" t="s">
        <v>1315</v>
      </c>
      <c r="O927" s="1" t="b">
        <v>1</v>
      </c>
      <c r="Q927" s="34"/>
    </row>
    <row r="928" spans="2:17">
      <c r="B928" s="1" t="str">
        <f t="shared" si="32"/>
        <v>M_MED01_VM_BKT_926</v>
      </c>
      <c r="C928" s="92" t="s">
        <v>727</v>
      </c>
      <c r="D928" s="92" t="str" cm="1">
        <f t="array" ref="D928">INDEX(기계코드!$D$4:$D$1022,MATCH(1,(C928=기계코드!$F$4:$F$1022)*1,0))</f>
        <v>M_MED01</v>
      </c>
      <c r="E928" s="92" t="s">
        <v>1128</v>
      </c>
      <c r="F928" s="92" t="str" cm="1">
        <f t="array" ref="F928">INDEX(공급업체코드!$B$3:$B$1000,MATCH(1,(E928=공급업체코드!$D$3:$D$1000)*1,0))</f>
        <v>VM_BKT</v>
      </c>
      <c r="H928" s="312">
        <v>926</v>
      </c>
      <c r="I928" s="233" t="s">
        <v>1313</v>
      </c>
      <c r="K928" s="233" t="s">
        <v>1314</v>
      </c>
      <c r="L928" s="236">
        <f t="shared" si="31"/>
        <v>925074</v>
      </c>
      <c r="N928" s="113" t="s">
        <v>1315</v>
      </c>
      <c r="O928" s="1" t="b">
        <v>1</v>
      </c>
      <c r="Q928" s="34"/>
    </row>
    <row r="929" spans="2:17">
      <c r="B929" s="1" t="str">
        <f t="shared" si="32"/>
        <v>M_MED01_VM_BKT_927</v>
      </c>
      <c r="C929" s="92" t="s">
        <v>727</v>
      </c>
      <c r="D929" s="92" t="str" cm="1">
        <f t="array" ref="D929">INDEX(기계코드!$D$4:$D$1022,MATCH(1,(C929=기계코드!$F$4:$F$1022)*1,0))</f>
        <v>M_MED01</v>
      </c>
      <c r="E929" s="92" t="s">
        <v>1128</v>
      </c>
      <c r="F929" s="92" t="str" cm="1">
        <f t="array" ref="F929">INDEX(공급업체코드!$B$3:$B$1000,MATCH(1,(E929=공급업체코드!$D$3:$D$1000)*1,0))</f>
        <v>VM_BKT</v>
      </c>
      <c r="H929" s="312">
        <v>927</v>
      </c>
      <c r="I929" s="233" t="s">
        <v>1313</v>
      </c>
      <c r="K929" s="233" t="s">
        <v>1314</v>
      </c>
      <c r="L929" s="236">
        <f t="shared" si="31"/>
        <v>926073</v>
      </c>
      <c r="N929" s="113" t="s">
        <v>1315</v>
      </c>
      <c r="O929" s="1" t="b">
        <v>1</v>
      </c>
      <c r="Q929" s="34"/>
    </row>
    <row r="930" spans="2:17">
      <c r="B930" s="1" t="str">
        <f t="shared" si="32"/>
        <v>M_MED01_VM_BKT_928</v>
      </c>
      <c r="C930" s="92" t="s">
        <v>727</v>
      </c>
      <c r="D930" s="92" t="str" cm="1">
        <f t="array" ref="D930">INDEX(기계코드!$D$4:$D$1022,MATCH(1,(C930=기계코드!$F$4:$F$1022)*1,0))</f>
        <v>M_MED01</v>
      </c>
      <c r="E930" s="92" t="s">
        <v>1128</v>
      </c>
      <c r="F930" s="92" t="str" cm="1">
        <f t="array" ref="F930">INDEX(공급업체코드!$B$3:$B$1000,MATCH(1,(E930=공급업체코드!$D$3:$D$1000)*1,0))</f>
        <v>VM_BKT</v>
      </c>
      <c r="H930" s="312">
        <v>928</v>
      </c>
      <c r="I930" s="233" t="s">
        <v>1313</v>
      </c>
      <c r="K930" s="233" t="s">
        <v>1314</v>
      </c>
      <c r="L930" s="236">
        <f t="shared" si="31"/>
        <v>927072</v>
      </c>
      <c r="N930" s="113" t="s">
        <v>1315</v>
      </c>
      <c r="O930" s="1" t="b">
        <v>1</v>
      </c>
      <c r="Q930" s="34"/>
    </row>
    <row r="931" spans="2:17">
      <c r="B931" s="1" t="str">
        <f t="shared" si="32"/>
        <v>M_MED01_VM_BKT_929</v>
      </c>
      <c r="C931" s="92" t="s">
        <v>727</v>
      </c>
      <c r="D931" s="92" t="str" cm="1">
        <f t="array" ref="D931">INDEX(기계코드!$D$4:$D$1022,MATCH(1,(C931=기계코드!$F$4:$F$1022)*1,0))</f>
        <v>M_MED01</v>
      </c>
      <c r="E931" s="92" t="s">
        <v>1128</v>
      </c>
      <c r="F931" s="92" t="str" cm="1">
        <f t="array" ref="F931">INDEX(공급업체코드!$B$3:$B$1000,MATCH(1,(E931=공급업체코드!$D$3:$D$1000)*1,0))</f>
        <v>VM_BKT</v>
      </c>
      <c r="H931" s="312">
        <v>929</v>
      </c>
      <c r="I931" s="233" t="s">
        <v>1313</v>
      </c>
      <c r="K931" s="233" t="s">
        <v>1314</v>
      </c>
      <c r="L931" s="236">
        <f t="shared" si="31"/>
        <v>928071</v>
      </c>
      <c r="N931" s="113" t="s">
        <v>1315</v>
      </c>
      <c r="O931" s="1" t="b">
        <v>1</v>
      </c>
      <c r="Q931" s="34"/>
    </row>
    <row r="932" spans="2:17">
      <c r="B932" s="1" t="str">
        <f t="shared" si="32"/>
        <v>M_MED01_VM_BKT_930</v>
      </c>
      <c r="C932" s="92" t="s">
        <v>727</v>
      </c>
      <c r="D932" s="92" t="str" cm="1">
        <f t="array" ref="D932">INDEX(기계코드!$D$4:$D$1022,MATCH(1,(C932=기계코드!$F$4:$F$1022)*1,0))</f>
        <v>M_MED01</v>
      </c>
      <c r="E932" s="92" t="s">
        <v>1128</v>
      </c>
      <c r="F932" s="92" t="str" cm="1">
        <f t="array" ref="F932">INDEX(공급업체코드!$B$3:$B$1000,MATCH(1,(E932=공급업체코드!$D$3:$D$1000)*1,0))</f>
        <v>VM_BKT</v>
      </c>
      <c r="H932" s="312">
        <v>930</v>
      </c>
      <c r="I932" s="233" t="s">
        <v>1313</v>
      </c>
      <c r="K932" s="233" t="s">
        <v>1314</v>
      </c>
      <c r="L932" s="236">
        <f t="shared" si="31"/>
        <v>929070</v>
      </c>
      <c r="N932" s="113" t="s">
        <v>1315</v>
      </c>
      <c r="O932" s="1" t="b">
        <v>1</v>
      </c>
      <c r="Q932" s="34"/>
    </row>
    <row r="933" spans="2:17">
      <c r="B933" s="1" t="str">
        <f t="shared" si="32"/>
        <v>M_MED01_VM_BKT_931</v>
      </c>
      <c r="C933" s="92" t="s">
        <v>727</v>
      </c>
      <c r="D933" s="92" t="str" cm="1">
        <f t="array" ref="D933">INDEX(기계코드!$D$4:$D$1022,MATCH(1,(C933=기계코드!$F$4:$F$1022)*1,0))</f>
        <v>M_MED01</v>
      </c>
      <c r="E933" s="92" t="s">
        <v>1128</v>
      </c>
      <c r="F933" s="92" t="str" cm="1">
        <f t="array" ref="F933">INDEX(공급업체코드!$B$3:$B$1000,MATCH(1,(E933=공급업체코드!$D$3:$D$1000)*1,0))</f>
        <v>VM_BKT</v>
      </c>
      <c r="H933" s="312">
        <v>931</v>
      </c>
      <c r="I933" s="233" t="s">
        <v>1313</v>
      </c>
      <c r="K933" s="233" t="s">
        <v>1314</v>
      </c>
      <c r="L933" s="236">
        <f t="shared" si="31"/>
        <v>930069</v>
      </c>
      <c r="N933" s="113" t="s">
        <v>1315</v>
      </c>
      <c r="O933" s="1" t="b">
        <v>1</v>
      </c>
      <c r="Q933" s="34"/>
    </row>
    <row r="934" spans="2:17">
      <c r="B934" s="1" t="str">
        <f t="shared" si="32"/>
        <v>M_MED01_VM_BKT_932</v>
      </c>
      <c r="C934" s="92" t="s">
        <v>727</v>
      </c>
      <c r="D934" s="92" t="str" cm="1">
        <f t="array" ref="D934">INDEX(기계코드!$D$4:$D$1022,MATCH(1,(C934=기계코드!$F$4:$F$1022)*1,0))</f>
        <v>M_MED01</v>
      </c>
      <c r="E934" s="92" t="s">
        <v>1128</v>
      </c>
      <c r="F934" s="92" t="str" cm="1">
        <f t="array" ref="F934">INDEX(공급업체코드!$B$3:$B$1000,MATCH(1,(E934=공급업체코드!$D$3:$D$1000)*1,0))</f>
        <v>VM_BKT</v>
      </c>
      <c r="H934" s="312">
        <v>932</v>
      </c>
      <c r="I934" s="233" t="s">
        <v>1313</v>
      </c>
      <c r="K934" s="233" t="s">
        <v>1314</v>
      </c>
      <c r="L934" s="236">
        <f t="shared" si="31"/>
        <v>931068</v>
      </c>
      <c r="N934" s="113" t="s">
        <v>1315</v>
      </c>
      <c r="O934" s="1" t="b">
        <v>1</v>
      </c>
      <c r="Q934" s="34"/>
    </row>
    <row r="935" spans="2:17">
      <c r="B935" s="1" t="str">
        <f t="shared" si="32"/>
        <v>M_MED01_VM_BKT_933</v>
      </c>
      <c r="C935" s="92" t="s">
        <v>727</v>
      </c>
      <c r="D935" s="92" t="str" cm="1">
        <f t="array" ref="D935">INDEX(기계코드!$D$4:$D$1022,MATCH(1,(C935=기계코드!$F$4:$F$1022)*1,0))</f>
        <v>M_MED01</v>
      </c>
      <c r="E935" s="92" t="s">
        <v>1128</v>
      </c>
      <c r="F935" s="92" t="str" cm="1">
        <f t="array" ref="F935">INDEX(공급업체코드!$B$3:$B$1000,MATCH(1,(E935=공급업체코드!$D$3:$D$1000)*1,0))</f>
        <v>VM_BKT</v>
      </c>
      <c r="H935" s="312">
        <v>933</v>
      </c>
      <c r="I935" s="233" t="s">
        <v>1313</v>
      </c>
      <c r="K935" s="233" t="s">
        <v>1314</v>
      </c>
      <c r="L935" s="236">
        <f t="shared" si="31"/>
        <v>932067</v>
      </c>
      <c r="N935" s="113" t="s">
        <v>1315</v>
      </c>
      <c r="O935" s="1" t="b">
        <v>1</v>
      </c>
      <c r="Q935" s="34"/>
    </row>
    <row r="936" spans="2:17">
      <c r="B936" s="1" t="str">
        <f t="shared" si="32"/>
        <v>M_MED01_VM_BKT_934</v>
      </c>
      <c r="C936" s="92" t="s">
        <v>727</v>
      </c>
      <c r="D936" s="92" t="str" cm="1">
        <f t="array" ref="D936">INDEX(기계코드!$D$4:$D$1022,MATCH(1,(C936=기계코드!$F$4:$F$1022)*1,0))</f>
        <v>M_MED01</v>
      </c>
      <c r="E936" s="92" t="s">
        <v>1128</v>
      </c>
      <c r="F936" s="92" t="str" cm="1">
        <f t="array" ref="F936">INDEX(공급업체코드!$B$3:$B$1000,MATCH(1,(E936=공급업체코드!$D$3:$D$1000)*1,0))</f>
        <v>VM_BKT</v>
      </c>
      <c r="H936" s="312">
        <v>934</v>
      </c>
      <c r="I936" s="233" t="s">
        <v>1313</v>
      </c>
      <c r="K936" s="233" t="s">
        <v>1314</v>
      </c>
      <c r="L936" s="236">
        <f t="shared" si="31"/>
        <v>933066</v>
      </c>
      <c r="N936" s="113" t="s">
        <v>1315</v>
      </c>
      <c r="O936" s="1" t="b">
        <v>1</v>
      </c>
      <c r="Q936" s="34"/>
    </row>
    <row r="937" spans="2:17">
      <c r="B937" s="1" t="str">
        <f t="shared" si="32"/>
        <v>M_MED01_VM_BKT_935</v>
      </c>
      <c r="C937" s="92" t="s">
        <v>727</v>
      </c>
      <c r="D937" s="92" t="str" cm="1">
        <f t="array" ref="D937">INDEX(기계코드!$D$4:$D$1022,MATCH(1,(C937=기계코드!$F$4:$F$1022)*1,0))</f>
        <v>M_MED01</v>
      </c>
      <c r="E937" s="92" t="s">
        <v>1128</v>
      </c>
      <c r="F937" s="92" t="str" cm="1">
        <f t="array" ref="F937">INDEX(공급업체코드!$B$3:$B$1000,MATCH(1,(E937=공급업체코드!$D$3:$D$1000)*1,0))</f>
        <v>VM_BKT</v>
      </c>
      <c r="H937" s="312">
        <v>935</v>
      </c>
      <c r="I937" s="233" t="s">
        <v>1313</v>
      </c>
      <c r="K937" s="233" t="s">
        <v>1314</v>
      </c>
      <c r="L937" s="236">
        <f t="shared" si="31"/>
        <v>934065</v>
      </c>
      <c r="N937" s="113" t="s">
        <v>1315</v>
      </c>
      <c r="O937" s="1" t="b">
        <v>1</v>
      </c>
      <c r="Q937" s="34"/>
    </row>
    <row r="938" spans="2:17">
      <c r="B938" s="1" t="str">
        <f t="shared" si="32"/>
        <v>M_MED01_VM_BKT_936</v>
      </c>
      <c r="C938" s="92" t="s">
        <v>727</v>
      </c>
      <c r="D938" s="92" t="str" cm="1">
        <f t="array" ref="D938">INDEX(기계코드!$D$4:$D$1022,MATCH(1,(C938=기계코드!$F$4:$F$1022)*1,0))</f>
        <v>M_MED01</v>
      </c>
      <c r="E938" s="92" t="s">
        <v>1128</v>
      </c>
      <c r="F938" s="92" t="str" cm="1">
        <f t="array" ref="F938">INDEX(공급업체코드!$B$3:$B$1000,MATCH(1,(E938=공급업체코드!$D$3:$D$1000)*1,0))</f>
        <v>VM_BKT</v>
      </c>
      <c r="H938" s="312">
        <v>936</v>
      </c>
      <c r="I938" s="233" t="s">
        <v>1313</v>
      </c>
      <c r="K938" s="233" t="s">
        <v>1314</v>
      </c>
      <c r="L938" s="236">
        <f t="shared" si="31"/>
        <v>935064</v>
      </c>
      <c r="N938" s="113" t="s">
        <v>1315</v>
      </c>
      <c r="O938" s="1" t="b">
        <v>1</v>
      </c>
      <c r="Q938" s="34"/>
    </row>
    <row r="939" spans="2:17">
      <c r="B939" s="1" t="str">
        <f t="shared" si="32"/>
        <v>M_MED01_VM_BKT_937</v>
      </c>
      <c r="C939" s="92" t="s">
        <v>727</v>
      </c>
      <c r="D939" s="92" t="str" cm="1">
        <f t="array" ref="D939">INDEX(기계코드!$D$4:$D$1022,MATCH(1,(C939=기계코드!$F$4:$F$1022)*1,0))</f>
        <v>M_MED01</v>
      </c>
      <c r="E939" s="92" t="s">
        <v>1128</v>
      </c>
      <c r="F939" s="92" t="str" cm="1">
        <f t="array" ref="F939">INDEX(공급업체코드!$B$3:$B$1000,MATCH(1,(E939=공급업체코드!$D$3:$D$1000)*1,0))</f>
        <v>VM_BKT</v>
      </c>
      <c r="H939" s="312">
        <v>937</v>
      </c>
      <c r="I939" s="233" t="s">
        <v>1313</v>
      </c>
      <c r="K939" s="233" t="s">
        <v>1314</v>
      </c>
      <c r="L939" s="236">
        <f t="shared" si="31"/>
        <v>936063</v>
      </c>
      <c r="N939" s="113" t="s">
        <v>1315</v>
      </c>
      <c r="O939" s="1" t="b">
        <v>1</v>
      </c>
      <c r="Q939" s="34"/>
    </row>
    <row r="940" spans="2:17">
      <c r="B940" s="1" t="str">
        <f t="shared" si="32"/>
        <v>M_MED01_VM_BKT_938</v>
      </c>
      <c r="C940" s="92" t="s">
        <v>727</v>
      </c>
      <c r="D940" s="92" t="str" cm="1">
        <f t="array" ref="D940">INDEX(기계코드!$D$4:$D$1022,MATCH(1,(C940=기계코드!$F$4:$F$1022)*1,0))</f>
        <v>M_MED01</v>
      </c>
      <c r="E940" s="92" t="s">
        <v>1128</v>
      </c>
      <c r="F940" s="92" t="str" cm="1">
        <f t="array" ref="F940">INDEX(공급업체코드!$B$3:$B$1000,MATCH(1,(E940=공급업체코드!$D$3:$D$1000)*1,0))</f>
        <v>VM_BKT</v>
      </c>
      <c r="H940" s="312">
        <v>938</v>
      </c>
      <c r="I940" s="233" t="s">
        <v>1313</v>
      </c>
      <c r="K940" s="233" t="s">
        <v>1314</v>
      </c>
      <c r="L940" s="236">
        <f t="shared" si="31"/>
        <v>937062</v>
      </c>
      <c r="N940" s="113" t="s">
        <v>1315</v>
      </c>
      <c r="O940" s="1" t="b">
        <v>1</v>
      </c>
      <c r="Q940" s="34"/>
    </row>
    <row r="941" spans="2:17">
      <c r="B941" s="1" t="str">
        <f t="shared" si="32"/>
        <v>M_MED01_VM_BKT_939</v>
      </c>
      <c r="C941" s="92" t="s">
        <v>727</v>
      </c>
      <c r="D941" s="92" t="str" cm="1">
        <f t="array" ref="D941">INDEX(기계코드!$D$4:$D$1022,MATCH(1,(C941=기계코드!$F$4:$F$1022)*1,0))</f>
        <v>M_MED01</v>
      </c>
      <c r="E941" s="92" t="s">
        <v>1128</v>
      </c>
      <c r="F941" s="92" t="str" cm="1">
        <f t="array" ref="F941">INDEX(공급업체코드!$B$3:$B$1000,MATCH(1,(E941=공급업체코드!$D$3:$D$1000)*1,0))</f>
        <v>VM_BKT</v>
      </c>
      <c r="H941" s="312">
        <v>939</v>
      </c>
      <c r="I941" s="233" t="s">
        <v>1313</v>
      </c>
      <c r="K941" s="233" t="s">
        <v>1314</v>
      </c>
      <c r="L941" s="236">
        <f t="shared" si="31"/>
        <v>938061</v>
      </c>
      <c r="N941" s="113" t="s">
        <v>1315</v>
      </c>
      <c r="O941" s="1" t="b">
        <v>1</v>
      </c>
      <c r="Q941" s="34"/>
    </row>
    <row r="942" spans="2:17">
      <c r="B942" s="1" t="str">
        <f t="shared" si="32"/>
        <v>M_MED01_VM_BKT_940</v>
      </c>
      <c r="C942" s="92" t="s">
        <v>727</v>
      </c>
      <c r="D942" s="92" t="str" cm="1">
        <f t="array" ref="D942">INDEX(기계코드!$D$4:$D$1022,MATCH(1,(C942=기계코드!$F$4:$F$1022)*1,0))</f>
        <v>M_MED01</v>
      </c>
      <c r="E942" s="92" t="s">
        <v>1128</v>
      </c>
      <c r="F942" s="92" t="str" cm="1">
        <f t="array" ref="F942">INDEX(공급업체코드!$B$3:$B$1000,MATCH(1,(E942=공급업체코드!$D$3:$D$1000)*1,0))</f>
        <v>VM_BKT</v>
      </c>
      <c r="H942" s="312">
        <v>940</v>
      </c>
      <c r="I942" s="233" t="s">
        <v>1313</v>
      </c>
      <c r="K942" s="233" t="s">
        <v>1314</v>
      </c>
      <c r="L942" s="236">
        <f t="shared" si="31"/>
        <v>939060</v>
      </c>
      <c r="N942" s="113" t="s">
        <v>1315</v>
      </c>
      <c r="O942" s="1" t="b">
        <v>1</v>
      </c>
      <c r="Q942" s="34"/>
    </row>
    <row r="943" spans="2:17">
      <c r="B943" s="1" t="str">
        <f t="shared" si="32"/>
        <v>M_MED01_VM_BKT_941</v>
      </c>
      <c r="C943" s="92" t="s">
        <v>727</v>
      </c>
      <c r="D943" s="92" t="str" cm="1">
        <f t="array" ref="D943">INDEX(기계코드!$D$4:$D$1022,MATCH(1,(C943=기계코드!$F$4:$F$1022)*1,0))</f>
        <v>M_MED01</v>
      </c>
      <c r="E943" s="92" t="s">
        <v>1128</v>
      </c>
      <c r="F943" s="92" t="str" cm="1">
        <f t="array" ref="F943">INDEX(공급업체코드!$B$3:$B$1000,MATCH(1,(E943=공급업체코드!$D$3:$D$1000)*1,0))</f>
        <v>VM_BKT</v>
      </c>
      <c r="H943" s="312">
        <v>941</v>
      </c>
      <c r="I943" s="233" t="s">
        <v>1313</v>
      </c>
      <c r="K943" s="233" t="s">
        <v>1314</v>
      </c>
      <c r="L943" s="236">
        <f t="shared" si="31"/>
        <v>940059</v>
      </c>
      <c r="N943" s="113" t="s">
        <v>1315</v>
      </c>
      <c r="O943" s="1" t="b">
        <v>1</v>
      </c>
      <c r="Q943" s="34"/>
    </row>
    <row r="944" spans="2:17">
      <c r="B944" s="1" t="str">
        <f t="shared" si="32"/>
        <v>M_MED01_VM_BKT_942</v>
      </c>
      <c r="C944" s="92" t="s">
        <v>727</v>
      </c>
      <c r="D944" s="92" t="str" cm="1">
        <f t="array" ref="D944">INDEX(기계코드!$D$4:$D$1022,MATCH(1,(C944=기계코드!$F$4:$F$1022)*1,0))</f>
        <v>M_MED01</v>
      </c>
      <c r="E944" s="92" t="s">
        <v>1128</v>
      </c>
      <c r="F944" s="92" t="str" cm="1">
        <f t="array" ref="F944">INDEX(공급업체코드!$B$3:$B$1000,MATCH(1,(E944=공급업체코드!$D$3:$D$1000)*1,0))</f>
        <v>VM_BKT</v>
      </c>
      <c r="H944" s="312">
        <v>942</v>
      </c>
      <c r="I944" s="233" t="s">
        <v>1313</v>
      </c>
      <c r="K944" s="233" t="s">
        <v>1314</v>
      </c>
      <c r="L944" s="236">
        <f t="shared" si="31"/>
        <v>941058</v>
      </c>
      <c r="N944" s="113" t="s">
        <v>1315</v>
      </c>
      <c r="O944" s="1" t="b">
        <v>1</v>
      </c>
      <c r="Q944" s="34"/>
    </row>
    <row r="945" spans="2:17">
      <c r="B945" s="1" t="str">
        <f t="shared" si="32"/>
        <v>M_MED01_VM_BKT_943</v>
      </c>
      <c r="C945" s="92" t="s">
        <v>727</v>
      </c>
      <c r="D945" s="92" t="str" cm="1">
        <f t="array" ref="D945">INDEX(기계코드!$D$4:$D$1022,MATCH(1,(C945=기계코드!$F$4:$F$1022)*1,0))</f>
        <v>M_MED01</v>
      </c>
      <c r="E945" s="92" t="s">
        <v>1128</v>
      </c>
      <c r="F945" s="92" t="str" cm="1">
        <f t="array" ref="F945">INDEX(공급업체코드!$B$3:$B$1000,MATCH(1,(E945=공급업체코드!$D$3:$D$1000)*1,0))</f>
        <v>VM_BKT</v>
      </c>
      <c r="H945" s="312">
        <v>943</v>
      </c>
      <c r="I945" s="233" t="s">
        <v>1313</v>
      </c>
      <c r="K945" s="233" t="s">
        <v>1314</v>
      </c>
      <c r="L945" s="236">
        <f t="shared" si="31"/>
        <v>942057</v>
      </c>
      <c r="N945" s="113" t="s">
        <v>1315</v>
      </c>
      <c r="O945" s="1" t="b">
        <v>1</v>
      </c>
      <c r="Q945" s="34"/>
    </row>
    <row r="946" spans="2:17">
      <c r="B946" s="1" t="str">
        <f t="shared" si="32"/>
        <v>M_MED01_VM_BKT_944</v>
      </c>
      <c r="C946" s="92" t="s">
        <v>727</v>
      </c>
      <c r="D946" s="92" t="str" cm="1">
        <f t="array" ref="D946">INDEX(기계코드!$D$4:$D$1022,MATCH(1,(C946=기계코드!$F$4:$F$1022)*1,0))</f>
        <v>M_MED01</v>
      </c>
      <c r="E946" s="92" t="s">
        <v>1128</v>
      </c>
      <c r="F946" s="92" t="str" cm="1">
        <f t="array" ref="F946">INDEX(공급업체코드!$B$3:$B$1000,MATCH(1,(E946=공급업체코드!$D$3:$D$1000)*1,0))</f>
        <v>VM_BKT</v>
      </c>
      <c r="H946" s="312">
        <v>944</v>
      </c>
      <c r="I946" s="233" t="s">
        <v>1313</v>
      </c>
      <c r="K946" s="233" t="s">
        <v>1314</v>
      </c>
      <c r="L946" s="236">
        <f t="shared" si="31"/>
        <v>943056</v>
      </c>
      <c r="N946" s="113" t="s">
        <v>1315</v>
      </c>
      <c r="O946" s="1" t="b">
        <v>1</v>
      </c>
      <c r="Q946" s="34"/>
    </row>
    <row r="947" spans="2:17">
      <c r="B947" s="1" t="str">
        <f t="shared" si="32"/>
        <v>M_MED01_VM_BKT_945</v>
      </c>
      <c r="C947" s="92" t="s">
        <v>727</v>
      </c>
      <c r="D947" s="92" t="str" cm="1">
        <f t="array" ref="D947">INDEX(기계코드!$D$4:$D$1022,MATCH(1,(C947=기계코드!$F$4:$F$1022)*1,0))</f>
        <v>M_MED01</v>
      </c>
      <c r="E947" s="92" t="s">
        <v>1128</v>
      </c>
      <c r="F947" s="92" t="str" cm="1">
        <f t="array" ref="F947">INDEX(공급업체코드!$B$3:$B$1000,MATCH(1,(E947=공급업체코드!$D$3:$D$1000)*1,0))</f>
        <v>VM_BKT</v>
      </c>
      <c r="H947" s="312">
        <v>945</v>
      </c>
      <c r="I947" s="233" t="s">
        <v>1313</v>
      </c>
      <c r="K947" s="233" t="s">
        <v>1314</v>
      </c>
      <c r="L947" s="236">
        <f t="shared" si="31"/>
        <v>944055</v>
      </c>
      <c r="N947" s="113" t="s">
        <v>1315</v>
      </c>
      <c r="O947" s="1" t="b">
        <v>1</v>
      </c>
      <c r="Q947" s="34"/>
    </row>
    <row r="948" spans="2:17">
      <c r="B948" s="1" t="str">
        <f t="shared" si="32"/>
        <v>M_MED01_VM_BKT_946</v>
      </c>
      <c r="C948" s="92" t="s">
        <v>727</v>
      </c>
      <c r="D948" s="92" t="str" cm="1">
        <f t="array" ref="D948">INDEX(기계코드!$D$4:$D$1022,MATCH(1,(C948=기계코드!$F$4:$F$1022)*1,0))</f>
        <v>M_MED01</v>
      </c>
      <c r="E948" s="92" t="s">
        <v>1128</v>
      </c>
      <c r="F948" s="92" t="str" cm="1">
        <f t="array" ref="F948">INDEX(공급업체코드!$B$3:$B$1000,MATCH(1,(E948=공급업체코드!$D$3:$D$1000)*1,0))</f>
        <v>VM_BKT</v>
      </c>
      <c r="H948" s="312">
        <v>946</v>
      </c>
      <c r="I948" s="233" t="s">
        <v>1313</v>
      </c>
      <c r="K948" s="233" t="s">
        <v>1314</v>
      </c>
      <c r="L948" s="236">
        <f t="shared" si="31"/>
        <v>945054</v>
      </c>
      <c r="N948" s="113" t="s">
        <v>1315</v>
      </c>
      <c r="O948" s="1" t="b">
        <v>1</v>
      </c>
      <c r="Q948" s="34"/>
    </row>
    <row r="949" spans="2:17">
      <c r="B949" s="1" t="str">
        <f t="shared" si="32"/>
        <v>M_MED01_VM_BKT_947</v>
      </c>
      <c r="C949" s="92" t="s">
        <v>727</v>
      </c>
      <c r="D949" s="92" t="str" cm="1">
        <f t="array" ref="D949">INDEX(기계코드!$D$4:$D$1022,MATCH(1,(C949=기계코드!$F$4:$F$1022)*1,0))</f>
        <v>M_MED01</v>
      </c>
      <c r="E949" s="92" t="s">
        <v>1128</v>
      </c>
      <c r="F949" s="92" t="str" cm="1">
        <f t="array" ref="F949">INDEX(공급업체코드!$B$3:$B$1000,MATCH(1,(E949=공급업체코드!$D$3:$D$1000)*1,0))</f>
        <v>VM_BKT</v>
      </c>
      <c r="H949" s="312">
        <v>947</v>
      </c>
      <c r="I949" s="233" t="s">
        <v>1313</v>
      </c>
      <c r="K949" s="233" t="s">
        <v>1314</v>
      </c>
      <c r="L949" s="236">
        <f t="shared" si="31"/>
        <v>946053</v>
      </c>
      <c r="N949" s="113" t="s">
        <v>1315</v>
      </c>
      <c r="O949" s="1" t="b">
        <v>1</v>
      </c>
      <c r="Q949" s="34"/>
    </row>
    <row r="950" spans="2:17">
      <c r="B950" s="1" t="str">
        <f t="shared" si="32"/>
        <v>M_MED01_VM_BKT_948</v>
      </c>
      <c r="C950" s="92" t="s">
        <v>727</v>
      </c>
      <c r="D950" s="92" t="str" cm="1">
        <f t="array" ref="D950">INDEX(기계코드!$D$4:$D$1022,MATCH(1,(C950=기계코드!$F$4:$F$1022)*1,0))</f>
        <v>M_MED01</v>
      </c>
      <c r="E950" s="92" t="s">
        <v>1128</v>
      </c>
      <c r="F950" s="92" t="str" cm="1">
        <f t="array" ref="F950">INDEX(공급업체코드!$B$3:$B$1000,MATCH(1,(E950=공급업체코드!$D$3:$D$1000)*1,0))</f>
        <v>VM_BKT</v>
      </c>
      <c r="H950" s="312">
        <v>948</v>
      </c>
      <c r="I950" s="233" t="s">
        <v>1313</v>
      </c>
      <c r="K950" s="233" t="s">
        <v>1314</v>
      </c>
      <c r="L950" s="236">
        <f t="shared" si="31"/>
        <v>947052</v>
      </c>
      <c r="N950" s="113" t="s">
        <v>1315</v>
      </c>
      <c r="O950" s="1" t="b">
        <v>1</v>
      </c>
      <c r="Q950" s="34"/>
    </row>
    <row r="951" spans="2:17">
      <c r="B951" s="1" t="str">
        <f t="shared" si="32"/>
        <v>M_MED01_VM_BKT_949</v>
      </c>
      <c r="C951" s="92" t="s">
        <v>727</v>
      </c>
      <c r="D951" s="92" t="str" cm="1">
        <f t="array" ref="D951">INDEX(기계코드!$D$4:$D$1022,MATCH(1,(C951=기계코드!$F$4:$F$1022)*1,0))</f>
        <v>M_MED01</v>
      </c>
      <c r="E951" s="92" t="s">
        <v>1128</v>
      </c>
      <c r="F951" s="92" t="str" cm="1">
        <f t="array" ref="F951">INDEX(공급업체코드!$B$3:$B$1000,MATCH(1,(E951=공급업체코드!$D$3:$D$1000)*1,0))</f>
        <v>VM_BKT</v>
      </c>
      <c r="H951" s="312">
        <v>949</v>
      </c>
      <c r="I951" s="233" t="s">
        <v>1313</v>
      </c>
      <c r="K951" s="233" t="s">
        <v>1314</v>
      </c>
      <c r="L951" s="236">
        <f t="shared" si="31"/>
        <v>948051</v>
      </c>
      <c r="N951" s="113" t="s">
        <v>1315</v>
      </c>
      <c r="O951" s="1" t="b">
        <v>1</v>
      </c>
      <c r="Q951" s="34"/>
    </row>
    <row r="952" spans="2:17">
      <c r="B952" s="1" t="str">
        <f t="shared" si="32"/>
        <v>M_MED01_VM_BKT_950</v>
      </c>
      <c r="C952" s="92" t="s">
        <v>727</v>
      </c>
      <c r="D952" s="92" t="str" cm="1">
        <f t="array" ref="D952">INDEX(기계코드!$D$4:$D$1022,MATCH(1,(C952=기계코드!$F$4:$F$1022)*1,0))</f>
        <v>M_MED01</v>
      </c>
      <c r="E952" s="92" t="s">
        <v>1128</v>
      </c>
      <c r="F952" s="92" t="str" cm="1">
        <f t="array" ref="F952">INDEX(공급업체코드!$B$3:$B$1000,MATCH(1,(E952=공급업체코드!$D$3:$D$1000)*1,0))</f>
        <v>VM_BKT</v>
      </c>
      <c r="H952" s="312">
        <v>950</v>
      </c>
      <c r="I952" s="233" t="s">
        <v>1313</v>
      </c>
      <c r="K952" s="233" t="s">
        <v>1314</v>
      </c>
      <c r="L952" s="236">
        <f t="shared" si="31"/>
        <v>949050</v>
      </c>
      <c r="N952" s="113" t="s">
        <v>1315</v>
      </c>
      <c r="O952" s="1" t="b">
        <v>1</v>
      </c>
      <c r="Q952" s="34"/>
    </row>
    <row r="953" spans="2:17">
      <c r="B953" s="1" t="str">
        <f t="shared" si="32"/>
        <v>M_MED01_VM_BKT_951</v>
      </c>
      <c r="C953" s="92" t="s">
        <v>727</v>
      </c>
      <c r="D953" s="92" t="str" cm="1">
        <f t="array" ref="D953">INDEX(기계코드!$D$4:$D$1022,MATCH(1,(C953=기계코드!$F$4:$F$1022)*1,0))</f>
        <v>M_MED01</v>
      </c>
      <c r="E953" s="92" t="s">
        <v>1128</v>
      </c>
      <c r="F953" s="92" t="str" cm="1">
        <f t="array" ref="F953">INDEX(공급업체코드!$B$3:$B$1000,MATCH(1,(E953=공급업체코드!$D$3:$D$1000)*1,0))</f>
        <v>VM_BKT</v>
      </c>
      <c r="H953" s="312">
        <v>951</v>
      </c>
      <c r="I953" s="233" t="s">
        <v>1313</v>
      </c>
      <c r="K953" s="233" t="s">
        <v>1314</v>
      </c>
      <c r="L953" s="236">
        <f t="shared" si="31"/>
        <v>950049</v>
      </c>
      <c r="N953" s="113" t="s">
        <v>1315</v>
      </c>
      <c r="O953" s="1" t="b">
        <v>1</v>
      </c>
      <c r="Q953" s="34"/>
    </row>
    <row r="954" spans="2:17">
      <c r="B954" s="1" t="str">
        <f t="shared" si="32"/>
        <v>M_MED01_VM_BKT_952</v>
      </c>
      <c r="C954" s="92" t="s">
        <v>727</v>
      </c>
      <c r="D954" s="92" t="str" cm="1">
        <f t="array" ref="D954">INDEX(기계코드!$D$4:$D$1022,MATCH(1,(C954=기계코드!$F$4:$F$1022)*1,0))</f>
        <v>M_MED01</v>
      </c>
      <c r="E954" s="92" t="s">
        <v>1128</v>
      </c>
      <c r="F954" s="92" t="str" cm="1">
        <f t="array" ref="F954">INDEX(공급업체코드!$B$3:$B$1000,MATCH(1,(E954=공급업체코드!$D$3:$D$1000)*1,0))</f>
        <v>VM_BKT</v>
      </c>
      <c r="H954" s="312">
        <v>952</v>
      </c>
      <c r="I954" s="233" t="s">
        <v>1313</v>
      </c>
      <c r="K954" s="233" t="s">
        <v>1314</v>
      </c>
      <c r="L954" s="236">
        <f t="shared" si="31"/>
        <v>951048</v>
      </c>
      <c r="N954" s="113" t="s">
        <v>1315</v>
      </c>
      <c r="O954" s="1" t="b">
        <v>1</v>
      </c>
      <c r="Q954" s="34"/>
    </row>
    <row r="955" spans="2:17">
      <c r="B955" s="1" t="str">
        <f t="shared" si="32"/>
        <v>M_MED01_VM_BKT_953</v>
      </c>
      <c r="C955" s="92" t="s">
        <v>727</v>
      </c>
      <c r="D955" s="92" t="str" cm="1">
        <f t="array" ref="D955">INDEX(기계코드!$D$4:$D$1022,MATCH(1,(C955=기계코드!$F$4:$F$1022)*1,0))</f>
        <v>M_MED01</v>
      </c>
      <c r="E955" s="92" t="s">
        <v>1128</v>
      </c>
      <c r="F955" s="92" t="str" cm="1">
        <f t="array" ref="F955">INDEX(공급업체코드!$B$3:$B$1000,MATCH(1,(E955=공급업체코드!$D$3:$D$1000)*1,0))</f>
        <v>VM_BKT</v>
      </c>
      <c r="H955" s="312">
        <v>953</v>
      </c>
      <c r="I955" s="233" t="s">
        <v>1313</v>
      </c>
      <c r="K955" s="233" t="s">
        <v>1314</v>
      </c>
      <c r="L955" s="236">
        <f t="shared" si="31"/>
        <v>952047</v>
      </c>
      <c r="N955" s="113" t="s">
        <v>1315</v>
      </c>
      <c r="O955" s="1" t="b">
        <v>1</v>
      </c>
      <c r="Q955" s="34"/>
    </row>
    <row r="956" spans="2:17">
      <c r="B956" s="1" t="str">
        <f t="shared" si="32"/>
        <v>M_MED01_VM_BKT_954</v>
      </c>
      <c r="C956" s="92" t="s">
        <v>727</v>
      </c>
      <c r="D956" s="92" t="str" cm="1">
        <f t="array" ref="D956">INDEX(기계코드!$D$4:$D$1022,MATCH(1,(C956=기계코드!$F$4:$F$1022)*1,0))</f>
        <v>M_MED01</v>
      </c>
      <c r="E956" s="92" t="s">
        <v>1128</v>
      </c>
      <c r="F956" s="92" t="str" cm="1">
        <f t="array" ref="F956">INDEX(공급업체코드!$B$3:$B$1000,MATCH(1,(E956=공급업체코드!$D$3:$D$1000)*1,0))</f>
        <v>VM_BKT</v>
      </c>
      <c r="H956" s="312">
        <v>954</v>
      </c>
      <c r="I956" s="233" t="s">
        <v>1313</v>
      </c>
      <c r="K956" s="233" t="s">
        <v>1314</v>
      </c>
      <c r="L956" s="236">
        <f t="shared" si="31"/>
        <v>953046</v>
      </c>
      <c r="N956" s="113" t="s">
        <v>1315</v>
      </c>
      <c r="O956" s="1" t="b">
        <v>1</v>
      </c>
      <c r="Q956" s="34"/>
    </row>
    <row r="957" spans="2:17">
      <c r="B957" s="1" t="str">
        <f t="shared" si="32"/>
        <v>M_MED01_VM_BKT_955</v>
      </c>
      <c r="C957" s="92" t="s">
        <v>727</v>
      </c>
      <c r="D957" s="92" t="str" cm="1">
        <f t="array" ref="D957">INDEX(기계코드!$D$4:$D$1022,MATCH(1,(C957=기계코드!$F$4:$F$1022)*1,0))</f>
        <v>M_MED01</v>
      </c>
      <c r="E957" s="92" t="s">
        <v>1128</v>
      </c>
      <c r="F957" s="92" t="str" cm="1">
        <f t="array" ref="F957">INDEX(공급업체코드!$B$3:$B$1000,MATCH(1,(E957=공급업체코드!$D$3:$D$1000)*1,0))</f>
        <v>VM_BKT</v>
      </c>
      <c r="H957" s="312">
        <v>955</v>
      </c>
      <c r="I957" s="233" t="s">
        <v>1313</v>
      </c>
      <c r="K957" s="233" t="s">
        <v>1314</v>
      </c>
      <c r="L957" s="236">
        <f t="shared" si="31"/>
        <v>954045</v>
      </c>
      <c r="N957" s="113" t="s">
        <v>1315</v>
      </c>
      <c r="O957" s="1" t="b">
        <v>1</v>
      </c>
      <c r="Q957" s="34"/>
    </row>
    <row r="958" spans="2:17">
      <c r="B958" s="1" t="str">
        <f t="shared" si="32"/>
        <v>M_MED01_VM_BKT_956</v>
      </c>
      <c r="C958" s="92" t="s">
        <v>727</v>
      </c>
      <c r="D958" s="92" t="str" cm="1">
        <f t="array" ref="D958">INDEX(기계코드!$D$4:$D$1022,MATCH(1,(C958=기계코드!$F$4:$F$1022)*1,0))</f>
        <v>M_MED01</v>
      </c>
      <c r="E958" s="92" t="s">
        <v>1128</v>
      </c>
      <c r="F958" s="92" t="str" cm="1">
        <f t="array" ref="F958">INDEX(공급업체코드!$B$3:$B$1000,MATCH(1,(E958=공급업체코드!$D$3:$D$1000)*1,0))</f>
        <v>VM_BKT</v>
      </c>
      <c r="H958" s="312">
        <v>956</v>
      </c>
      <c r="I958" s="233" t="s">
        <v>1313</v>
      </c>
      <c r="K958" s="233" t="s">
        <v>1314</v>
      </c>
      <c r="L958" s="236">
        <f t="shared" si="31"/>
        <v>955044</v>
      </c>
      <c r="N958" s="113" t="s">
        <v>1315</v>
      </c>
      <c r="O958" s="1" t="b">
        <v>1</v>
      </c>
      <c r="Q958" s="34"/>
    </row>
    <row r="959" spans="2:17">
      <c r="B959" s="1" t="str">
        <f t="shared" si="32"/>
        <v>M_MED01_VM_BKT_957</v>
      </c>
      <c r="C959" s="92" t="s">
        <v>727</v>
      </c>
      <c r="D959" s="92" t="str" cm="1">
        <f t="array" ref="D959">INDEX(기계코드!$D$4:$D$1022,MATCH(1,(C959=기계코드!$F$4:$F$1022)*1,0))</f>
        <v>M_MED01</v>
      </c>
      <c r="E959" s="92" t="s">
        <v>1128</v>
      </c>
      <c r="F959" s="92" t="str" cm="1">
        <f t="array" ref="F959">INDEX(공급업체코드!$B$3:$B$1000,MATCH(1,(E959=공급업체코드!$D$3:$D$1000)*1,0))</f>
        <v>VM_BKT</v>
      </c>
      <c r="H959" s="312">
        <v>957</v>
      </c>
      <c r="I959" s="233" t="s">
        <v>1313</v>
      </c>
      <c r="K959" s="233" t="s">
        <v>1314</v>
      </c>
      <c r="L959" s="236">
        <f t="shared" si="31"/>
        <v>956043</v>
      </c>
      <c r="N959" s="113" t="s">
        <v>1315</v>
      </c>
      <c r="O959" s="1" t="b">
        <v>1</v>
      </c>
      <c r="Q959" s="34"/>
    </row>
    <row r="960" spans="2:17">
      <c r="B960" s="1" t="str">
        <f t="shared" si="32"/>
        <v>M_MED01_VM_BKT_958</v>
      </c>
      <c r="C960" s="92" t="s">
        <v>727</v>
      </c>
      <c r="D960" s="92" t="str" cm="1">
        <f t="array" ref="D960">INDEX(기계코드!$D$4:$D$1022,MATCH(1,(C960=기계코드!$F$4:$F$1022)*1,0))</f>
        <v>M_MED01</v>
      </c>
      <c r="E960" s="92" t="s">
        <v>1128</v>
      </c>
      <c r="F960" s="92" t="str" cm="1">
        <f t="array" ref="F960">INDEX(공급업체코드!$B$3:$B$1000,MATCH(1,(E960=공급업체코드!$D$3:$D$1000)*1,0))</f>
        <v>VM_BKT</v>
      </c>
      <c r="H960" s="312">
        <v>958</v>
      </c>
      <c r="I960" s="233" t="s">
        <v>1313</v>
      </c>
      <c r="K960" s="233" t="s">
        <v>1314</v>
      </c>
      <c r="L960" s="236">
        <f t="shared" si="31"/>
        <v>957042</v>
      </c>
      <c r="N960" s="113" t="s">
        <v>1315</v>
      </c>
      <c r="O960" s="1" t="b">
        <v>1</v>
      </c>
      <c r="Q960" s="34"/>
    </row>
    <row r="961" spans="2:17">
      <c r="B961" s="1" t="str">
        <f t="shared" si="32"/>
        <v>M_MED01_VM_BKT_959</v>
      </c>
      <c r="C961" s="92" t="s">
        <v>727</v>
      </c>
      <c r="D961" s="92" t="str" cm="1">
        <f t="array" ref="D961">INDEX(기계코드!$D$4:$D$1022,MATCH(1,(C961=기계코드!$F$4:$F$1022)*1,0))</f>
        <v>M_MED01</v>
      </c>
      <c r="E961" s="92" t="s">
        <v>1128</v>
      </c>
      <c r="F961" s="92" t="str" cm="1">
        <f t="array" ref="F961">INDEX(공급업체코드!$B$3:$B$1000,MATCH(1,(E961=공급업체코드!$D$3:$D$1000)*1,0))</f>
        <v>VM_BKT</v>
      </c>
      <c r="H961" s="312">
        <v>959</v>
      </c>
      <c r="I961" s="233" t="s">
        <v>1313</v>
      </c>
      <c r="K961" s="233" t="s">
        <v>1314</v>
      </c>
      <c r="L961" s="236">
        <f t="shared" si="31"/>
        <v>958041</v>
      </c>
      <c r="N961" s="113" t="s">
        <v>1315</v>
      </c>
      <c r="O961" s="1" t="b">
        <v>1</v>
      </c>
      <c r="Q961" s="34"/>
    </row>
    <row r="962" spans="2:17">
      <c r="B962" s="1" t="str">
        <f t="shared" si="32"/>
        <v>M_MED01_VM_BKT_960</v>
      </c>
      <c r="C962" s="92" t="s">
        <v>727</v>
      </c>
      <c r="D962" s="92" t="str" cm="1">
        <f t="array" ref="D962">INDEX(기계코드!$D$4:$D$1022,MATCH(1,(C962=기계코드!$F$4:$F$1022)*1,0))</f>
        <v>M_MED01</v>
      </c>
      <c r="E962" s="92" t="s">
        <v>1128</v>
      </c>
      <c r="F962" s="92" t="str" cm="1">
        <f t="array" ref="F962">INDEX(공급업체코드!$B$3:$B$1000,MATCH(1,(E962=공급업체코드!$D$3:$D$1000)*1,0))</f>
        <v>VM_BKT</v>
      </c>
      <c r="H962" s="312">
        <v>960</v>
      </c>
      <c r="I962" s="233" t="s">
        <v>1313</v>
      </c>
      <c r="K962" s="233" t="s">
        <v>1314</v>
      </c>
      <c r="L962" s="236">
        <f t="shared" si="31"/>
        <v>959040</v>
      </c>
      <c r="N962" s="113" t="s">
        <v>1315</v>
      </c>
      <c r="O962" s="1" t="b">
        <v>1</v>
      </c>
      <c r="Q962" s="34"/>
    </row>
    <row r="963" spans="2:17">
      <c r="B963" s="1" t="str">
        <f t="shared" si="32"/>
        <v>M_MED01_VM_BKT_961</v>
      </c>
      <c r="C963" s="92" t="s">
        <v>727</v>
      </c>
      <c r="D963" s="92" t="str" cm="1">
        <f t="array" ref="D963">INDEX(기계코드!$D$4:$D$1022,MATCH(1,(C963=기계코드!$F$4:$F$1022)*1,0))</f>
        <v>M_MED01</v>
      </c>
      <c r="E963" s="92" t="s">
        <v>1128</v>
      </c>
      <c r="F963" s="92" t="str" cm="1">
        <f t="array" ref="F963">INDEX(공급업체코드!$B$3:$B$1000,MATCH(1,(E963=공급업체코드!$D$3:$D$1000)*1,0))</f>
        <v>VM_BKT</v>
      </c>
      <c r="H963" s="312">
        <v>961</v>
      </c>
      <c r="I963" s="233" t="s">
        <v>1313</v>
      </c>
      <c r="K963" s="233" t="s">
        <v>1314</v>
      </c>
      <c r="L963" s="236">
        <f t="shared" si="31"/>
        <v>960039</v>
      </c>
      <c r="N963" s="113" t="s">
        <v>1315</v>
      </c>
      <c r="O963" s="1" t="b">
        <v>1</v>
      </c>
      <c r="Q963" s="34"/>
    </row>
    <row r="964" spans="2:17">
      <c r="B964" s="1" t="str">
        <f t="shared" si="32"/>
        <v>M_MED01_VM_BKT_962</v>
      </c>
      <c r="C964" s="92" t="s">
        <v>727</v>
      </c>
      <c r="D964" s="92" t="str" cm="1">
        <f t="array" ref="D964">INDEX(기계코드!$D$4:$D$1022,MATCH(1,(C964=기계코드!$F$4:$F$1022)*1,0))</f>
        <v>M_MED01</v>
      </c>
      <c r="E964" s="92" t="s">
        <v>1128</v>
      </c>
      <c r="F964" s="92" t="str" cm="1">
        <f t="array" ref="F964">INDEX(공급업체코드!$B$3:$B$1000,MATCH(1,(E964=공급업체코드!$D$3:$D$1000)*1,0))</f>
        <v>VM_BKT</v>
      </c>
      <c r="H964" s="312">
        <v>962</v>
      </c>
      <c r="I964" s="233" t="s">
        <v>1313</v>
      </c>
      <c r="K964" s="233" t="s">
        <v>1314</v>
      </c>
      <c r="L964" s="236">
        <f t="shared" si="31"/>
        <v>961038</v>
      </c>
      <c r="N964" s="113" t="s">
        <v>1315</v>
      </c>
      <c r="O964" s="1" t="b">
        <v>1</v>
      </c>
      <c r="Q964" s="34"/>
    </row>
    <row r="965" spans="2:17">
      <c r="B965" s="1" t="str">
        <f t="shared" si="32"/>
        <v>M_MED01_VM_BKT_963</v>
      </c>
      <c r="C965" s="92" t="s">
        <v>727</v>
      </c>
      <c r="D965" s="92" t="str" cm="1">
        <f t="array" ref="D965">INDEX(기계코드!$D$4:$D$1022,MATCH(1,(C965=기계코드!$F$4:$F$1022)*1,0))</f>
        <v>M_MED01</v>
      </c>
      <c r="E965" s="92" t="s">
        <v>1128</v>
      </c>
      <c r="F965" s="92" t="str" cm="1">
        <f t="array" ref="F965">INDEX(공급업체코드!$B$3:$B$1000,MATCH(1,(E965=공급업체코드!$D$3:$D$1000)*1,0))</f>
        <v>VM_BKT</v>
      </c>
      <c r="H965" s="312">
        <v>963</v>
      </c>
      <c r="I965" s="233" t="s">
        <v>1313</v>
      </c>
      <c r="K965" s="233" t="s">
        <v>1314</v>
      </c>
      <c r="L965" s="236">
        <f t="shared" ref="L965:L1002" si="33">$L$3*H965</f>
        <v>962037</v>
      </c>
      <c r="N965" s="113" t="s">
        <v>1315</v>
      </c>
      <c r="O965" s="1" t="b">
        <v>1</v>
      </c>
      <c r="Q965" s="34"/>
    </row>
    <row r="966" spans="2:17">
      <c r="B966" s="1" t="str">
        <f t="shared" si="32"/>
        <v>M_MED01_VM_BKT_964</v>
      </c>
      <c r="C966" s="92" t="s">
        <v>727</v>
      </c>
      <c r="D966" s="92" t="str" cm="1">
        <f t="array" ref="D966">INDEX(기계코드!$D$4:$D$1022,MATCH(1,(C966=기계코드!$F$4:$F$1022)*1,0))</f>
        <v>M_MED01</v>
      </c>
      <c r="E966" s="92" t="s">
        <v>1128</v>
      </c>
      <c r="F966" s="92" t="str" cm="1">
        <f t="array" ref="F966">INDEX(공급업체코드!$B$3:$B$1000,MATCH(1,(E966=공급업체코드!$D$3:$D$1000)*1,0))</f>
        <v>VM_BKT</v>
      </c>
      <c r="H966" s="312">
        <v>964</v>
      </c>
      <c r="I966" s="233" t="s">
        <v>1313</v>
      </c>
      <c r="K966" s="233" t="s">
        <v>1314</v>
      </c>
      <c r="L966" s="236">
        <f t="shared" si="33"/>
        <v>963036</v>
      </c>
      <c r="N966" s="113" t="s">
        <v>1315</v>
      </c>
      <c r="O966" s="1" t="b">
        <v>1</v>
      </c>
      <c r="Q966" s="34"/>
    </row>
    <row r="967" spans="2:17">
      <c r="B967" s="1" t="str">
        <f t="shared" ref="B967:B1000" si="34">D967&amp;"_"&amp;F967&amp;"_"&amp;H967</f>
        <v>M_MED01_VM_BKT_965</v>
      </c>
      <c r="C967" s="92" t="s">
        <v>727</v>
      </c>
      <c r="D967" s="92" t="str" cm="1">
        <f t="array" ref="D967">INDEX(기계코드!$D$4:$D$1022,MATCH(1,(C967=기계코드!$F$4:$F$1022)*1,0))</f>
        <v>M_MED01</v>
      </c>
      <c r="E967" s="92" t="s">
        <v>1128</v>
      </c>
      <c r="F967" s="92" t="str" cm="1">
        <f t="array" ref="F967">INDEX(공급업체코드!$B$3:$B$1000,MATCH(1,(E967=공급업체코드!$D$3:$D$1000)*1,0))</f>
        <v>VM_BKT</v>
      </c>
      <c r="H967" s="312">
        <v>965</v>
      </c>
      <c r="I967" s="233" t="s">
        <v>1313</v>
      </c>
      <c r="K967" s="233" t="s">
        <v>1314</v>
      </c>
      <c r="L967" s="236">
        <f t="shared" si="33"/>
        <v>964035</v>
      </c>
      <c r="N967" s="113" t="s">
        <v>1315</v>
      </c>
      <c r="O967" s="1" t="b">
        <v>1</v>
      </c>
      <c r="Q967" s="34"/>
    </row>
    <row r="968" spans="2:17">
      <c r="B968" s="1" t="str">
        <f t="shared" si="34"/>
        <v>M_MED01_VM_BKT_966</v>
      </c>
      <c r="C968" s="92" t="s">
        <v>727</v>
      </c>
      <c r="D968" s="92" t="str" cm="1">
        <f t="array" ref="D968">INDEX(기계코드!$D$4:$D$1022,MATCH(1,(C968=기계코드!$F$4:$F$1022)*1,0))</f>
        <v>M_MED01</v>
      </c>
      <c r="E968" s="92" t="s">
        <v>1128</v>
      </c>
      <c r="F968" s="92" t="str" cm="1">
        <f t="array" ref="F968">INDEX(공급업체코드!$B$3:$B$1000,MATCH(1,(E968=공급업체코드!$D$3:$D$1000)*1,0))</f>
        <v>VM_BKT</v>
      </c>
      <c r="H968" s="312">
        <v>966</v>
      </c>
      <c r="I968" s="233" t="s">
        <v>1313</v>
      </c>
      <c r="K968" s="233" t="s">
        <v>1314</v>
      </c>
      <c r="L968" s="236">
        <f t="shared" si="33"/>
        <v>965034</v>
      </c>
      <c r="N968" s="113" t="s">
        <v>1315</v>
      </c>
      <c r="O968" s="1" t="b">
        <v>1</v>
      </c>
      <c r="Q968" s="34"/>
    </row>
    <row r="969" spans="2:17">
      <c r="B969" s="1" t="str">
        <f t="shared" si="34"/>
        <v>M_MED01_VM_BKT_967</v>
      </c>
      <c r="C969" s="92" t="s">
        <v>727</v>
      </c>
      <c r="D969" s="92" t="str" cm="1">
        <f t="array" ref="D969">INDEX(기계코드!$D$4:$D$1022,MATCH(1,(C969=기계코드!$F$4:$F$1022)*1,0))</f>
        <v>M_MED01</v>
      </c>
      <c r="E969" s="92" t="s">
        <v>1128</v>
      </c>
      <c r="F969" s="92" t="str" cm="1">
        <f t="array" ref="F969">INDEX(공급업체코드!$B$3:$B$1000,MATCH(1,(E969=공급업체코드!$D$3:$D$1000)*1,0))</f>
        <v>VM_BKT</v>
      </c>
      <c r="H969" s="312">
        <v>967</v>
      </c>
      <c r="I969" s="233" t="s">
        <v>1313</v>
      </c>
      <c r="K969" s="233" t="s">
        <v>1314</v>
      </c>
      <c r="L969" s="236">
        <f t="shared" si="33"/>
        <v>966033</v>
      </c>
      <c r="N969" s="113" t="s">
        <v>1315</v>
      </c>
      <c r="O969" s="1" t="b">
        <v>1</v>
      </c>
      <c r="Q969" s="34"/>
    </row>
    <row r="970" spans="2:17">
      <c r="B970" s="1" t="str">
        <f t="shared" si="34"/>
        <v>M_MED01_VM_BKT_968</v>
      </c>
      <c r="C970" s="92" t="s">
        <v>727</v>
      </c>
      <c r="D970" s="92" t="str" cm="1">
        <f t="array" ref="D970">INDEX(기계코드!$D$4:$D$1022,MATCH(1,(C970=기계코드!$F$4:$F$1022)*1,0))</f>
        <v>M_MED01</v>
      </c>
      <c r="E970" s="92" t="s">
        <v>1128</v>
      </c>
      <c r="F970" s="92" t="str" cm="1">
        <f t="array" ref="F970">INDEX(공급업체코드!$B$3:$B$1000,MATCH(1,(E970=공급업체코드!$D$3:$D$1000)*1,0))</f>
        <v>VM_BKT</v>
      </c>
      <c r="H970" s="312">
        <v>968</v>
      </c>
      <c r="I970" s="233" t="s">
        <v>1313</v>
      </c>
      <c r="K970" s="233" t="s">
        <v>1314</v>
      </c>
      <c r="L970" s="236">
        <f t="shared" si="33"/>
        <v>967032</v>
      </c>
      <c r="N970" s="113" t="s">
        <v>1315</v>
      </c>
      <c r="O970" s="1" t="b">
        <v>1</v>
      </c>
      <c r="Q970" s="34"/>
    </row>
    <row r="971" spans="2:17">
      <c r="B971" s="1" t="str">
        <f t="shared" si="34"/>
        <v>M_MED01_VM_BKT_969</v>
      </c>
      <c r="C971" s="92" t="s">
        <v>727</v>
      </c>
      <c r="D971" s="92" t="str" cm="1">
        <f t="array" ref="D971">INDEX(기계코드!$D$4:$D$1022,MATCH(1,(C971=기계코드!$F$4:$F$1022)*1,0))</f>
        <v>M_MED01</v>
      </c>
      <c r="E971" s="92" t="s">
        <v>1128</v>
      </c>
      <c r="F971" s="92" t="str" cm="1">
        <f t="array" ref="F971">INDEX(공급업체코드!$B$3:$B$1000,MATCH(1,(E971=공급업체코드!$D$3:$D$1000)*1,0))</f>
        <v>VM_BKT</v>
      </c>
      <c r="H971" s="312">
        <v>969</v>
      </c>
      <c r="I971" s="233" t="s">
        <v>1313</v>
      </c>
      <c r="K971" s="233" t="s">
        <v>1314</v>
      </c>
      <c r="L971" s="236">
        <f t="shared" si="33"/>
        <v>968031</v>
      </c>
      <c r="N971" s="113" t="s">
        <v>1315</v>
      </c>
      <c r="O971" s="1" t="b">
        <v>1</v>
      </c>
      <c r="Q971" s="34"/>
    </row>
    <row r="972" spans="2:17">
      <c r="B972" s="1" t="str">
        <f t="shared" si="34"/>
        <v>M_MED01_VM_BKT_970</v>
      </c>
      <c r="C972" s="92" t="s">
        <v>727</v>
      </c>
      <c r="D972" s="92" t="str" cm="1">
        <f t="array" ref="D972">INDEX(기계코드!$D$4:$D$1022,MATCH(1,(C972=기계코드!$F$4:$F$1022)*1,0))</f>
        <v>M_MED01</v>
      </c>
      <c r="E972" s="92" t="s">
        <v>1128</v>
      </c>
      <c r="F972" s="92" t="str" cm="1">
        <f t="array" ref="F972">INDEX(공급업체코드!$B$3:$B$1000,MATCH(1,(E972=공급업체코드!$D$3:$D$1000)*1,0))</f>
        <v>VM_BKT</v>
      </c>
      <c r="H972" s="312">
        <v>970</v>
      </c>
      <c r="I972" s="233" t="s">
        <v>1313</v>
      </c>
      <c r="K972" s="233" t="s">
        <v>1314</v>
      </c>
      <c r="L972" s="236">
        <f t="shared" si="33"/>
        <v>969030</v>
      </c>
      <c r="N972" s="113" t="s">
        <v>1315</v>
      </c>
      <c r="O972" s="1" t="b">
        <v>1</v>
      </c>
      <c r="Q972" s="34"/>
    </row>
    <row r="973" spans="2:17">
      <c r="B973" s="1" t="str">
        <f t="shared" si="34"/>
        <v>M_MED01_VM_BKT_971</v>
      </c>
      <c r="C973" s="92" t="s">
        <v>727</v>
      </c>
      <c r="D973" s="92" t="str" cm="1">
        <f t="array" ref="D973">INDEX(기계코드!$D$4:$D$1022,MATCH(1,(C973=기계코드!$F$4:$F$1022)*1,0))</f>
        <v>M_MED01</v>
      </c>
      <c r="E973" s="92" t="s">
        <v>1128</v>
      </c>
      <c r="F973" s="92" t="str" cm="1">
        <f t="array" ref="F973">INDEX(공급업체코드!$B$3:$B$1000,MATCH(1,(E973=공급업체코드!$D$3:$D$1000)*1,0))</f>
        <v>VM_BKT</v>
      </c>
      <c r="H973" s="312">
        <v>971</v>
      </c>
      <c r="I973" s="233" t="s">
        <v>1313</v>
      </c>
      <c r="K973" s="233" t="s">
        <v>1314</v>
      </c>
      <c r="L973" s="236">
        <f t="shared" si="33"/>
        <v>970029</v>
      </c>
      <c r="N973" s="113" t="s">
        <v>1315</v>
      </c>
      <c r="O973" s="1" t="b">
        <v>1</v>
      </c>
      <c r="Q973" s="34"/>
    </row>
    <row r="974" spans="2:17">
      <c r="B974" s="1" t="str">
        <f t="shared" si="34"/>
        <v>M_MED01_VM_BKT_972</v>
      </c>
      <c r="C974" s="92" t="s">
        <v>727</v>
      </c>
      <c r="D974" s="92" t="str" cm="1">
        <f t="array" ref="D974">INDEX(기계코드!$D$4:$D$1022,MATCH(1,(C974=기계코드!$F$4:$F$1022)*1,0))</f>
        <v>M_MED01</v>
      </c>
      <c r="E974" s="92" t="s">
        <v>1128</v>
      </c>
      <c r="F974" s="92" t="str" cm="1">
        <f t="array" ref="F974">INDEX(공급업체코드!$B$3:$B$1000,MATCH(1,(E974=공급업체코드!$D$3:$D$1000)*1,0))</f>
        <v>VM_BKT</v>
      </c>
      <c r="H974" s="312">
        <v>972</v>
      </c>
      <c r="I974" s="233" t="s">
        <v>1313</v>
      </c>
      <c r="K974" s="233" t="s">
        <v>1314</v>
      </c>
      <c r="L974" s="236">
        <f t="shared" si="33"/>
        <v>971028</v>
      </c>
      <c r="N974" s="113" t="s">
        <v>1315</v>
      </c>
      <c r="O974" s="1" t="b">
        <v>1</v>
      </c>
      <c r="Q974" s="34"/>
    </row>
    <row r="975" spans="2:17">
      <c r="B975" s="1" t="str">
        <f t="shared" si="34"/>
        <v>M_MED01_VM_BKT_973</v>
      </c>
      <c r="C975" s="92" t="s">
        <v>727</v>
      </c>
      <c r="D975" s="92" t="str" cm="1">
        <f t="array" ref="D975">INDEX(기계코드!$D$4:$D$1022,MATCH(1,(C975=기계코드!$F$4:$F$1022)*1,0))</f>
        <v>M_MED01</v>
      </c>
      <c r="E975" s="92" t="s">
        <v>1128</v>
      </c>
      <c r="F975" s="92" t="str" cm="1">
        <f t="array" ref="F975">INDEX(공급업체코드!$B$3:$B$1000,MATCH(1,(E975=공급업체코드!$D$3:$D$1000)*1,0))</f>
        <v>VM_BKT</v>
      </c>
      <c r="H975" s="312">
        <v>973</v>
      </c>
      <c r="I975" s="233" t="s">
        <v>1313</v>
      </c>
      <c r="K975" s="233" t="s">
        <v>1314</v>
      </c>
      <c r="L975" s="236">
        <f t="shared" si="33"/>
        <v>972027</v>
      </c>
      <c r="N975" s="113" t="s">
        <v>1315</v>
      </c>
      <c r="O975" s="1" t="b">
        <v>1</v>
      </c>
      <c r="Q975" s="34"/>
    </row>
    <row r="976" spans="2:17">
      <c r="B976" s="1" t="str">
        <f t="shared" si="34"/>
        <v>M_MED01_VM_BKT_974</v>
      </c>
      <c r="C976" s="92" t="s">
        <v>727</v>
      </c>
      <c r="D976" s="92" t="str" cm="1">
        <f t="array" ref="D976">INDEX(기계코드!$D$4:$D$1022,MATCH(1,(C976=기계코드!$F$4:$F$1022)*1,0))</f>
        <v>M_MED01</v>
      </c>
      <c r="E976" s="92" t="s">
        <v>1128</v>
      </c>
      <c r="F976" s="92" t="str" cm="1">
        <f t="array" ref="F976">INDEX(공급업체코드!$B$3:$B$1000,MATCH(1,(E976=공급업체코드!$D$3:$D$1000)*1,0))</f>
        <v>VM_BKT</v>
      </c>
      <c r="H976" s="312">
        <v>974</v>
      </c>
      <c r="I976" s="233" t="s">
        <v>1313</v>
      </c>
      <c r="K976" s="233" t="s">
        <v>1314</v>
      </c>
      <c r="L976" s="236">
        <f t="shared" si="33"/>
        <v>973026</v>
      </c>
      <c r="N976" s="113" t="s">
        <v>1315</v>
      </c>
      <c r="O976" s="1" t="b">
        <v>1</v>
      </c>
      <c r="Q976" s="34"/>
    </row>
    <row r="977" spans="2:17">
      <c r="B977" s="1" t="str">
        <f t="shared" si="34"/>
        <v>M_MED01_VM_BKT_975</v>
      </c>
      <c r="C977" s="92" t="s">
        <v>727</v>
      </c>
      <c r="D977" s="92" t="str" cm="1">
        <f t="array" ref="D977">INDEX(기계코드!$D$4:$D$1022,MATCH(1,(C977=기계코드!$F$4:$F$1022)*1,0))</f>
        <v>M_MED01</v>
      </c>
      <c r="E977" s="92" t="s">
        <v>1128</v>
      </c>
      <c r="F977" s="92" t="str" cm="1">
        <f t="array" ref="F977">INDEX(공급업체코드!$B$3:$B$1000,MATCH(1,(E977=공급업체코드!$D$3:$D$1000)*1,0))</f>
        <v>VM_BKT</v>
      </c>
      <c r="H977" s="312">
        <v>975</v>
      </c>
      <c r="I977" s="233" t="s">
        <v>1313</v>
      </c>
      <c r="K977" s="233" t="s">
        <v>1314</v>
      </c>
      <c r="L977" s="236">
        <f t="shared" si="33"/>
        <v>974025</v>
      </c>
      <c r="N977" s="113" t="s">
        <v>1315</v>
      </c>
      <c r="O977" s="1" t="b">
        <v>1</v>
      </c>
      <c r="Q977" s="34"/>
    </row>
    <row r="978" spans="2:17">
      <c r="B978" s="1" t="str">
        <f t="shared" si="34"/>
        <v>M_MED01_VM_BKT_976</v>
      </c>
      <c r="C978" s="92" t="s">
        <v>727</v>
      </c>
      <c r="D978" s="92" t="str" cm="1">
        <f t="array" ref="D978">INDEX(기계코드!$D$4:$D$1022,MATCH(1,(C978=기계코드!$F$4:$F$1022)*1,0))</f>
        <v>M_MED01</v>
      </c>
      <c r="E978" s="92" t="s">
        <v>1128</v>
      </c>
      <c r="F978" s="92" t="str" cm="1">
        <f t="array" ref="F978">INDEX(공급업체코드!$B$3:$B$1000,MATCH(1,(E978=공급업체코드!$D$3:$D$1000)*1,0))</f>
        <v>VM_BKT</v>
      </c>
      <c r="H978" s="312">
        <v>976</v>
      </c>
      <c r="I978" s="233" t="s">
        <v>1313</v>
      </c>
      <c r="K978" s="233" t="s">
        <v>1314</v>
      </c>
      <c r="L978" s="236">
        <f t="shared" si="33"/>
        <v>975024</v>
      </c>
      <c r="N978" s="113" t="s">
        <v>1315</v>
      </c>
      <c r="O978" s="1" t="b">
        <v>1</v>
      </c>
      <c r="Q978" s="34"/>
    </row>
    <row r="979" spans="2:17">
      <c r="B979" s="1" t="str">
        <f t="shared" si="34"/>
        <v>M_MED01_VM_BKT_977</v>
      </c>
      <c r="C979" s="92" t="s">
        <v>727</v>
      </c>
      <c r="D979" s="92" t="str" cm="1">
        <f t="array" ref="D979">INDEX(기계코드!$D$4:$D$1022,MATCH(1,(C979=기계코드!$F$4:$F$1022)*1,0))</f>
        <v>M_MED01</v>
      </c>
      <c r="E979" s="92" t="s">
        <v>1128</v>
      </c>
      <c r="F979" s="92" t="str" cm="1">
        <f t="array" ref="F979">INDEX(공급업체코드!$B$3:$B$1000,MATCH(1,(E979=공급업체코드!$D$3:$D$1000)*1,0))</f>
        <v>VM_BKT</v>
      </c>
      <c r="H979" s="312">
        <v>977</v>
      </c>
      <c r="I979" s="233" t="s">
        <v>1313</v>
      </c>
      <c r="K979" s="233" t="s">
        <v>1314</v>
      </c>
      <c r="L979" s="236">
        <f t="shared" si="33"/>
        <v>976023</v>
      </c>
      <c r="N979" s="113" t="s">
        <v>1315</v>
      </c>
      <c r="O979" s="1" t="b">
        <v>1</v>
      </c>
      <c r="Q979" s="34"/>
    </row>
    <row r="980" spans="2:17">
      <c r="B980" s="1" t="str">
        <f t="shared" si="34"/>
        <v>M_MED01_VM_BKT_978</v>
      </c>
      <c r="C980" s="92" t="s">
        <v>727</v>
      </c>
      <c r="D980" s="92" t="str" cm="1">
        <f t="array" ref="D980">INDEX(기계코드!$D$4:$D$1022,MATCH(1,(C980=기계코드!$F$4:$F$1022)*1,0))</f>
        <v>M_MED01</v>
      </c>
      <c r="E980" s="92" t="s">
        <v>1128</v>
      </c>
      <c r="F980" s="92" t="str" cm="1">
        <f t="array" ref="F980">INDEX(공급업체코드!$B$3:$B$1000,MATCH(1,(E980=공급업체코드!$D$3:$D$1000)*1,0))</f>
        <v>VM_BKT</v>
      </c>
      <c r="H980" s="312">
        <v>978</v>
      </c>
      <c r="I980" s="233" t="s">
        <v>1313</v>
      </c>
      <c r="K980" s="233" t="s">
        <v>1314</v>
      </c>
      <c r="L980" s="236">
        <f t="shared" si="33"/>
        <v>977022</v>
      </c>
      <c r="N980" s="113" t="s">
        <v>1315</v>
      </c>
      <c r="O980" s="1" t="b">
        <v>1</v>
      </c>
      <c r="Q980" s="34"/>
    </row>
    <row r="981" spans="2:17">
      <c r="B981" s="1" t="str">
        <f t="shared" si="34"/>
        <v>M_MED01_VM_BKT_979</v>
      </c>
      <c r="C981" s="92" t="s">
        <v>727</v>
      </c>
      <c r="D981" s="92" t="str" cm="1">
        <f t="array" ref="D981">INDEX(기계코드!$D$4:$D$1022,MATCH(1,(C981=기계코드!$F$4:$F$1022)*1,0))</f>
        <v>M_MED01</v>
      </c>
      <c r="E981" s="92" t="s">
        <v>1128</v>
      </c>
      <c r="F981" s="92" t="str" cm="1">
        <f t="array" ref="F981">INDEX(공급업체코드!$B$3:$B$1000,MATCH(1,(E981=공급업체코드!$D$3:$D$1000)*1,0))</f>
        <v>VM_BKT</v>
      </c>
      <c r="H981" s="312">
        <v>979</v>
      </c>
      <c r="I981" s="233" t="s">
        <v>1313</v>
      </c>
      <c r="K981" s="233" t="s">
        <v>1314</v>
      </c>
      <c r="L981" s="236">
        <f t="shared" si="33"/>
        <v>978021</v>
      </c>
      <c r="N981" s="113" t="s">
        <v>1315</v>
      </c>
      <c r="O981" s="1" t="b">
        <v>1</v>
      </c>
      <c r="Q981" s="34"/>
    </row>
    <row r="982" spans="2:17">
      <c r="B982" s="1" t="str">
        <f t="shared" si="34"/>
        <v>M_MED01_VM_BKT_980</v>
      </c>
      <c r="C982" s="92" t="s">
        <v>727</v>
      </c>
      <c r="D982" s="92" t="str" cm="1">
        <f t="array" ref="D982">INDEX(기계코드!$D$4:$D$1022,MATCH(1,(C982=기계코드!$F$4:$F$1022)*1,0))</f>
        <v>M_MED01</v>
      </c>
      <c r="E982" s="92" t="s">
        <v>1128</v>
      </c>
      <c r="F982" s="92" t="str" cm="1">
        <f t="array" ref="F982">INDEX(공급업체코드!$B$3:$B$1000,MATCH(1,(E982=공급업체코드!$D$3:$D$1000)*1,0))</f>
        <v>VM_BKT</v>
      </c>
      <c r="H982" s="312">
        <v>980</v>
      </c>
      <c r="I982" s="233" t="s">
        <v>1313</v>
      </c>
      <c r="K982" s="233" t="s">
        <v>1314</v>
      </c>
      <c r="L982" s="236">
        <f t="shared" si="33"/>
        <v>979020</v>
      </c>
      <c r="N982" s="113" t="s">
        <v>1315</v>
      </c>
      <c r="O982" s="1" t="b">
        <v>1</v>
      </c>
      <c r="Q982" s="34"/>
    </row>
    <row r="983" spans="2:17">
      <c r="B983" s="1" t="str">
        <f t="shared" si="34"/>
        <v>M_MED01_VM_BKT_981</v>
      </c>
      <c r="C983" s="92" t="s">
        <v>727</v>
      </c>
      <c r="D983" s="92" t="str" cm="1">
        <f t="array" ref="D983">INDEX(기계코드!$D$4:$D$1022,MATCH(1,(C983=기계코드!$F$4:$F$1022)*1,0))</f>
        <v>M_MED01</v>
      </c>
      <c r="E983" s="92" t="s">
        <v>1128</v>
      </c>
      <c r="F983" s="92" t="str" cm="1">
        <f t="array" ref="F983">INDEX(공급업체코드!$B$3:$B$1000,MATCH(1,(E983=공급업체코드!$D$3:$D$1000)*1,0))</f>
        <v>VM_BKT</v>
      </c>
      <c r="H983" s="312">
        <v>981</v>
      </c>
      <c r="I983" s="233" t="s">
        <v>1313</v>
      </c>
      <c r="K983" s="233" t="s">
        <v>1314</v>
      </c>
      <c r="L983" s="236">
        <f t="shared" si="33"/>
        <v>980019</v>
      </c>
      <c r="N983" s="113" t="s">
        <v>1315</v>
      </c>
      <c r="O983" s="1" t="b">
        <v>1</v>
      </c>
      <c r="Q983" s="34"/>
    </row>
    <row r="984" spans="2:17">
      <c r="B984" s="1" t="str">
        <f t="shared" si="34"/>
        <v>M_MED01_VM_BKT_982</v>
      </c>
      <c r="C984" s="92" t="s">
        <v>727</v>
      </c>
      <c r="D984" s="92" t="str" cm="1">
        <f t="array" ref="D984">INDEX(기계코드!$D$4:$D$1022,MATCH(1,(C984=기계코드!$F$4:$F$1022)*1,0))</f>
        <v>M_MED01</v>
      </c>
      <c r="E984" s="92" t="s">
        <v>1128</v>
      </c>
      <c r="F984" s="92" t="str" cm="1">
        <f t="array" ref="F984">INDEX(공급업체코드!$B$3:$B$1000,MATCH(1,(E984=공급업체코드!$D$3:$D$1000)*1,0))</f>
        <v>VM_BKT</v>
      </c>
      <c r="H984" s="312">
        <v>982</v>
      </c>
      <c r="I984" s="233" t="s">
        <v>1313</v>
      </c>
      <c r="K984" s="233" t="s">
        <v>1314</v>
      </c>
      <c r="L984" s="236">
        <f t="shared" si="33"/>
        <v>981018</v>
      </c>
      <c r="N984" s="113" t="s">
        <v>1315</v>
      </c>
      <c r="O984" s="1" t="b">
        <v>1</v>
      </c>
      <c r="Q984" s="34"/>
    </row>
    <row r="985" spans="2:17">
      <c r="B985" s="1" t="str">
        <f t="shared" si="34"/>
        <v>M_MED01_VM_BKT_983</v>
      </c>
      <c r="C985" s="92" t="s">
        <v>727</v>
      </c>
      <c r="D985" s="92" t="str" cm="1">
        <f t="array" ref="D985">INDEX(기계코드!$D$4:$D$1022,MATCH(1,(C985=기계코드!$F$4:$F$1022)*1,0))</f>
        <v>M_MED01</v>
      </c>
      <c r="E985" s="92" t="s">
        <v>1128</v>
      </c>
      <c r="F985" s="92" t="str" cm="1">
        <f t="array" ref="F985">INDEX(공급업체코드!$B$3:$B$1000,MATCH(1,(E985=공급업체코드!$D$3:$D$1000)*1,0))</f>
        <v>VM_BKT</v>
      </c>
      <c r="H985" s="312">
        <v>983</v>
      </c>
      <c r="I985" s="233" t="s">
        <v>1313</v>
      </c>
      <c r="K985" s="233" t="s">
        <v>1314</v>
      </c>
      <c r="L985" s="236">
        <f t="shared" si="33"/>
        <v>982017</v>
      </c>
      <c r="N985" s="113" t="s">
        <v>1315</v>
      </c>
      <c r="O985" s="1" t="b">
        <v>1</v>
      </c>
      <c r="Q985" s="34"/>
    </row>
    <row r="986" spans="2:17">
      <c r="B986" s="1" t="str">
        <f t="shared" si="34"/>
        <v>M_MED01_VM_BKT_984</v>
      </c>
      <c r="C986" s="92" t="s">
        <v>727</v>
      </c>
      <c r="D986" s="92" t="str" cm="1">
        <f t="array" ref="D986">INDEX(기계코드!$D$4:$D$1022,MATCH(1,(C986=기계코드!$F$4:$F$1022)*1,0))</f>
        <v>M_MED01</v>
      </c>
      <c r="E986" s="92" t="s">
        <v>1128</v>
      </c>
      <c r="F986" s="92" t="str" cm="1">
        <f t="array" ref="F986">INDEX(공급업체코드!$B$3:$B$1000,MATCH(1,(E986=공급업체코드!$D$3:$D$1000)*1,0))</f>
        <v>VM_BKT</v>
      </c>
      <c r="H986" s="312">
        <v>984</v>
      </c>
      <c r="I986" s="233" t="s">
        <v>1313</v>
      </c>
      <c r="K986" s="233" t="s">
        <v>1314</v>
      </c>
      <c r="L986" s="236">
        <f t="shared" si="33"/>
        <v>983016</v>
      </c>
      <c r="N986" s="113" t="s">
        <v>1315</v>
      </c>
      <c r="O986" s="1" t="b">
        <v>1</v>
      </c>
      <c r="Q986" s="34"/>
    </row>
    <row r="987" spans="2:17">
      <c r="B987" s="1" t="str">
        <f t="shared" si="34"/>
        <v>M_MED01_VM_BKT_985</v>
      </c>
      <c r="C987" s="92" t="s">
        <v>727</v>
      </c>
      <c r="D987" s="92" t="str" cm="1">
        <f t="array" ref="D987">INDEX(기계코드!$D$4:$D$1022,MATCH(1,(C987=기계코드!$F$4:$F$1022)*1,0))</f>
        <v>M_MED01</v>
      </c>
      <c r="E987" s="92" t="s">
        <v>1128</v>
      </c>
      <c r="F987" s="92" t="str" cm="1">
        <f t="array" ref="F987">INDEX(공급업체코드!$B$3:$B$1000,MATCH(1,(E987=공급업체코드!$D$3:$D$1000)*1,0))</f>
        <v>VM_BKT</v>
      </c>
      <c r="H987" s="312">
        <v>985</v>
      </c>
      <c r="I987" s="233" t="s">
        <v>1313</v>
      </c>
      <c r="K987" s="233" t="s">
        <v>1314</v>
      </c>
      <c r="L987" s="236">
        <f t="shared" si="33"/>
        <v>984015</v>
      </c>
      <c r="N987" s="113" t="s">
        <v>1315</v>
      </c>
      <c r="O987" s="1" t="b">
        <v>1</v>
      </c>
      <c r="Q987" s="34"/>
    </row>
    <row r="988" spans="2:17">
      <c r="B988" s="1" t="str">
        <f t="shared" si="34"/>
        <v>M_MED01_VM_BKT_986</v>
      </c>
      <c r="C988" s="92" t="s">
        <v>727</v>
      </c>
      <c r="D988" s="92" t="str" cm="1">
        <f t="array" ref="D988">INDEX(기계코드!$D$4:$D$1022,MATCH(1,(C988=기계코드!$F$4:$F$1022)*1,0))</f>
        <v>M_MED01</v>
      </c>
      <c r="E988" s="92" t="s">
        <v>1128</v>
      </c>
      <c r="F988" s="92" t="str" cm="1">
        <f t="array" ref="F988">INDEX(공급업체코드!$B$3:$B$1000,MATCH(1,(E988=공급업체코드!$D$3:$D$1000)*1,0))</f>
        <v>VM_BKT</v>
      </c>
      <c r="H988" s="312">
        <v>986</v>
      </c>
      <c r="I988" s="233" t="s">
        <v>1313</v>
      </c>
      <c r="K988" s="233" t="s">
        <v>1314</v>
      </c>
      <c r="L988" s="236">
        <f t="shared" si="33"/>
        <v>985014</v>
      </c>
      <c r="N988" s="113" t="s">
        <v>1315</v>
      </c>
      <c r="O988" s="1" t="b">
        <v>1</v>
      </c>
      <c r="Q988" s="34"/>
    </row>
    <row r="989" spans="2:17">
      <c r="B989" s="1" t="str">
        <f t="shared" si="34"/>
        <v>M_MED01_VM_BKT_987</v>
      </c>
      <c r="C989" s="92" t="s">
        <v>727</v>
      </c>
      <c r="D989" s="92" t="str" cm="1">
        <f t="array" ref="D989">INDEX(기계코드!$D$4:$D$1022,MATCH(1,(C989=기계코드!$F$4:$F$1022)*1,0))</f>
        <v>M_MED01</v>
      </c>
      <c r="E989" s="92" t="s">
        <v>1128</v>
      </c>
      <c r="F989" s="92" t="str" cm="1">
        <f t="array" ref="F989">INDEX(공급업체코드!$B$3:$B$1000,MATCH(1,(E989=공급업체코드!$D$3:$D$1000)*1,0))</f>
        <v>VM_BKT</v>
      </c>
      <c r="H989" s="312">
        <v>987</v>
      </c>
      <c r="I989" s="233" t="s">
        <v>1313</v>
      </c>
      <c r="K989" s="233" t="s">
        <v>1314</v>
      </c>
      <c r="L989" s="236">
        <f t="shared" si="33"/>
        <v>986013</v>
      </c>
      <c r="N989" s="113" t="s">
        <v>1315</v>
      </c>
      <c r="O989" s="1" t="b">
        <v>1</v>
      </c>
      <c r="Q989" s="34"/>
    </row>
    <row r="990" spans="2:17">
      <c r="B990" s="1" t="str">
        <f t="shared" si="34"/>
        <v>M_MED01_VM_BKT_988</v>
      </c>
      <c r="C990" s="92" t="s">
        <v>727</v>
      </c>
      <c r="D990" s="92" t="str" cm="1">
        <f t="array" ref="D990">INDEX(기계코드!$D$4:$D$1022,MATCH(1,(C990=기계코드!$F$4:$F$1022)*1,0))</f>
        <v>M_MED01</v>
      </c>
      <c r="E990" s="92" t="s">
        <v>1128</v>
      </c>
      <c r="F990" s="92" t="str" cm="1">
        <f t="array" ref="F990">INDEX(공급업체코드!$B$3:$B$1000,MATCH(1,(E990=공급업체코드!$D$3:$D$1000)*1,0))</f>
        <v>VM_BKT</v>
      </c>
      <c r="H990" s="312">
        <v>988</v>
      </c>
      <c r="I990" s="233" t="s">
        <v>1313</v>
      </c>
      <c r="K990" s="233" t="s">
        <v>1314</v>
      </c>
      <c r="L990" s="236">
        <f t="shared" si="33"/>
        <v>987012</v>
      </c>
      <c r="N990" s="113" t="s">
        <v>1315</v>
      </c>
      <c r="O990" s="1" t="b">
        <v>1</v>
      </c>
      <c r="Q990" s="34"/>
    </row>
    <row r="991" spans="2:17">
      <c r="B991" s="1" t="str">
        <f t="shared" si="34"/>
        <v>M_MED01_VM_BKT_989</v>
      </c>
      <c r="C991" s="92" t="s">
        <v>727</v>
      </c>
      <c r="D991" s="92" t="str" cm="1">
        <f t="array" ref="D991">INDEX(기계코드!$D$4:$D$1022,MATCH(1,(C991=기계코드!$F$4:$F$1022)*1,0))</f>
        <v>M_MED01</v>
      </c>
      <c r="E991" s="92" t="s">
        <v>1128</v>
      </c>
      <c r="F991" s="92" t="str" cm="1">
        <f t="array" ref="F991">INDEX(공급업체코드!$B$3:$B$1000,MATCH(1,(E991=공급업체코드!$D$3:$D$1000)*1,0))</f>
        <v>VM_BKT</v>
      </c>
      <c r="H991" s="312">
        <v>989</v>
      </c>
      <c r="I991" s="233" t="s">
        <v>1313</v>
      </c>
      <c r="K991" s="233" t="s">
        <v>1314</v>
      </c>
      <c r="L991" s="236">
        <f t="shared" si="33"/>
        <v>988011</v>
      </c>
      <c r="N991" s="113" t="s">
        <v>1315</v>
      </c>
      <c r="O991" s="1" t="b">
        <v>1</v>
      </c>
      <c r="Q991" s="34"/>
    </row>
    <row r="992" spans="2:17">
      <c r="B992" s="1" t="str">
        <f t="shared" si="34"/>
        <v>M_MED01_VM_BKT_990</v>
      </c>
      <c r="C992" s="92" t="s">
        <v>727</v>
      </c>
      <c r="D992" s="92" t="str" cm="1">
        <f t="array" ref="D992">INDEX(기계코드!$D$4:$D$1022,MATCH(1,(C992=기계코드!$F$4:$F$1022)*1,0))</f>
        <v>M_MED01</v>
      </c>
      <c r="E992" s="92" t="s">
        <v>1128</v>
      </c>
      <c r="F992" s="92" t="str" cm="1">
        <f t="array" ref="F992">INDEX(공급업체코드!$B$3:$B$1000,MATCH(1,(E992=공급업체코드!$D$3:$D$1000)*1,0))</f>
        <v>VM_BKT</v>
      </c>
      <c r="H992" s="312">
        <v>990</v>
      </c>
      <c r="I992" s="233" t="s">
        <v>1313</v>
      </c>
      <c r="K992" s="233" t="s">
        <v>1314</v>
      </c>
      <c r="L992" s="236">
        <f t="shared" si="33"/>
        <v>989010</v>
      </c>
      <c r="N992" s="113" t="s">
        <v>1315</v>
      </c>
      <c r="O992" s="1" t="b">
        <v>1</v>
      </c>
      <c r="Q992" s="34"/>
    </row>
    <row r="993" spans="2:17">
      <c r="B993" s="1" t="str">
        <f t="shared" si="34"/>
        <v>M_MED01_VM_BKT_991</v>
      </c>
      <c r="C993" s="92" t="s">
        <v>727</v>
      </c>
      <c r="D993" s="92" t="str" cm="1">
        <f t="array" ref="D993">INDEX(기계코드!$D$4:$D$1022,MATCH(1,(C993=기계코드!$F$4:$F$1022)*1,0))</f>
        <v>M_MED01</v>
      </c>
      <c r="E993" s="92" t="s">
        <v>1128</v>
      </c>
      <c r="F993" s="92" t="str" cm="1">
        <f t="array" ref="F993">INDEX(공급업체코드!$B$3:$B$1000,MATCH(1,(E993=공급업체코드!$D$3:$D$1000)*1,0))</f>
        <v>VM_BKT</v>
      </c>
      <c r="H993" s="312">
        <v>991</v>
      </c>
      <c r="I993" s="233" t="s">
        <v>1313</v>
      </c>
      <c r="K993" s="233" t="s">
        <v>1314</v>
      </c>
      <c r="L993" s="236">
        <f t="shared" si="33"/>
        <v>990009</v>
      </c>
      <c r="N993" s="113" t="s">
        <v>1315</v>
      </c>
      <c r="O993" s="1" t="b">
        <v>1</v>
      </c>
      <c r="Q993" s="34"/>
    </row>
    <row r="994" spans="2:17">
      <c r="B994" s="1" t="str">
        <f t="shared" si="34"/>
        <v>M_MED01_VM_BKT_992</v>
      </c>
      <c r="C994" s="92" t="s">
        <v>727</v>
      </c>
      <c r="D994" s="92" t="str" cm="1">
        <f t="array" ref="D994">INDEX(기계코드!$D$4:$D$1022,MATCH(1,(C994=기계코드!$F$4:$F$1022)*1,0))</f>
        <v>M_MED01</v>
      </c>
      <c r="E994" s="92" t="s">
        <v>1128</v>
      </c>
      <c r="F994" s="92" t="str" cm="1">
        <f t="array" ref="F994">INDEX(공급업체코드!$B$3:$B$1000,MATCH(1,(E994=공급업체코드!$D$3:$D$1000)*1,0))</f>
        <v>VM_BKT</v>
      </c>
      <c r="H994" s="312">
        <v>992</v>
      </c>
      <c r="I994" s="233" t="s">
        <v>1313</v>
      </c>
      <c r="K994" s="233" t="s">
        <v>1314</v>
      </c>
      <c r="L994" s="236">
        <f t="shared" si="33"/>
        <v>991008</v>
      </c>
      <c r="N994" s="113" t="s">
        <v>1315</v>
      </c>
      <c r="O994" s="1" t="b">
        <v>1</v>
      </c>
      <c r="Q994" s="34"/>
    </row>
    <row r="995" spans="2:17">
      <c r="B995" s="1" t="str">
        <f t="shared" si="34"/>
        <v>M_MED01_VM_BKT_993</v>
      </c>
      <c r="C995" s="92" t="s">
        <v>727</v>
      </c>
      <c r="D995" s="92" t="str" cm="1">
        <f t="array" ref="D995">INDEX(기계코드!$D$4:$D$1022,MATCH(1,(C995=기계코드!$F$4:$F$1022)*1,0))</f>
        <v>M_MED01</v>
      </c>
      <c r="E995" s="92" t="s">
        <v>1128</v>
      </c>
      <c r="F995" s="92" t="str" cm="1">
        <f t="array" ref="F995">INDEX(공급업체코드!$B$3:$B$1000,MATCH(1,(E995=공급업체코드!$D$3:$D$1000)*1,0))</f>
        <v>VM_BKT</v>
      </c>
      <c r="H995" s="312">
        <v>993</v>
      </c>
      <c r="I995" s="233" t="s">
        <v>1313</v>
      </c>
      <c r="K995" s="233" t="s">
        <v>1314</v>
      </c>
      <c r="L995" s="236">
        <f t="shared" si="33"/>
        <v>992007</v>
      </c>
      <c r="N995" s="113" t="s">
        <v>1315</v>
      </c>
      <c r="O995" s="1" t="b">
        <v>1</v>
      </c>
      <c r="Q995" s="34"/>
    </row>
    <row r="996" spans="2:17">
      <c r="B996" s="1" t="str">
        <f t="shared" si="34"/>
        <v>M_MED01_VM_BKT_994</v>
      </c>
      <c r="C996" s="92" t="s">
        <v>727</v>
      </c>
      <c r="D996" s="92" t="str" cm="1">
        <f t="array" ref="D996">INDEX(기계코드!$D$4:$D$1022,MATCH(1,(C996=기계코드!$F$4:$F$1022)*1,0))</f>
        <v>M_MED01</v>
      </c>
      <c r="E996" s="92" t="s">
        <v>1128</v>
      </c>
      <c r="F996" s="92" t="str" cm="1">
        <f t="array" ref="F996">INDEX(공급업체코드!$B$3:$B$1000,MATCH(1,(E996=공급업체코드!$D$3:$D$1000)*1,0))</f>
        <v>VM_BKT</v>
      </c>
      <c r="H996" s="312">
        <v>994</v>
      </c>
      <c r="I996" s="233" t="s">
        <v>1313</v>
      </c>
      <c r="K996" s="233" t="s">
        <v>1314</v>
      </c>
      <c r="L996" s="236">
        <f t="shared" si="33"/>
        <v>993006</v>
      </c>
      <c r="N996" s="113" t="s">
        <v>1315</v>
      </c>
      <c r="O996" s="1" t="b">
        <v>1</v>
      </c>
      <c r="Q996" s="34"/>
    </row>
    <row r="997" spans="2:17">
      <c r="B997" s="1" t="str">
        <f t="shared" si="34"/>
        <v>M_MED01_VM_BKT_995</v>
      </c>
      <c r="C997" s="92" t="s">
        <v>727</v>
      </c>
      <c r="D997" s="92" t="str" cm="1">
        <f t="array" ref="D997">INDEX(기계코드!$D$4:$D$1022,MATCH(1,(C997=기계코드!$F$4:$F$1022)*1,0))</f>
        <v>M_MED01</v>
      </c>
      <c r="E997" s="92" t="s">
        <v>1128</v>
      </c>
      <c r="F997" s="92" t="str" cm="1">
        <f t="array" ref="F997">INDEX(공급업체코드!$B$3:$B$1000,MATCH(1,(E997=공급업체코드!$D$3:$D$1000)*1,0))</f>
        <v>VM_BKT</v>
      </c>
      <c r="H997" s="312">
        <v>995</v>
      </c>
      <c r="I997" s="233" t="s">
        <v>1313</v>
      </c>
      <c r="K997" s="233" t="s">
        <v>1314</v>
      </c>
      <c r="L997" s="236">
        <f t="shared" si="33"/>
        <v>994005</v>
      </c>
      <c r="N997" s="113" t="s">
        <v>1315</v>
      </c>
      <c r="O997" s="1" t="b">
        <v>1</v>
      </c>
      <c r="Q997" s="34"/>
    </row>
    <row r="998" spans="2:17">
      <c r="B998" s="1" t="str">
        <f t="shared" si="34"/>
        <v>M_MED01_VM_BKT_996</v>
      </c>
      <c r="C998" s="92" t="s">
        <v>727</v>
      </c>
      <c r="D998" s="92" t="str" cm="1">
        <f t="array" ref="D998">INDEX(기계코드!$D$4:$D$1022,MATCH(1,(C998=기계코드!$F$4:$F$1022)*1,0))</f>
        <v>M_MED01</v>
      </c>
      <c r="E998" s="92" t="s">
        <v>1128</v>
      </c>
      <c r="F998" s="92" t="str" cm="1">
        <f t="array" ref="F998">INDEX(공급업체코드!$B$3:$B$1000,MATCH(1,(E998=공급업체코드!$D$3:$D$1000)*1,0))</f>
        <v>VM_BKT</v>
      </c>
      <c r="H998" s="312">
        <v>996</v>
      </c>
      <c r="I998" s="233" t="s">
        <v>1313</v>
      </c>
      <c r="K998" s="233" t="s">
        <v>1314</v>
      </c>
      <c r="L998" s="236">
        <f t="shared" si="33"/>
        <v>995004</v>
      </c>
      <c r="N998" s="113" t="s">
        <v>1315</v>
      </c>
      <c r="O998" s="1" t="b">
        <v>1</v>
      </c>
      <c r="Q998" s="34"/>
    </row>
    <row r="999" spans="2:17">
      <c r="B999" s="1" t="str">
        <f t="shared" si="34"/>
        <v>M_MED01_VM_BKT_997</v>
      </c>
      <c r="C999" s="92" t="s">
        <v>727</v>
      </c>
      <c r="D999" s="92" t="str" cm="1">
        <f t="array" ref="D999">INDEX(기계코드!$D$4:$D$1022,MATCH(1,(C999=기계코드!$F$4:$F$1022)*1,0))</f>
        <v>M_MED01</v>
      </c>
      <c r="E999" s="92" t="s">
        <v>1128</v>
      </c>
      <c r="F999" s="92" t="str" cm="1">
        <f t="array" ref="F999">INDEX(공급업체코드!$B$3:$B$1000,MATCH(1,(E999=공급업체코드!$D$3:$D$1000)*1,0))</f>
        <v>VM_BKT</v>
      </c>
      <c r="H999" s="312">
        <v>997</v>
      </c>
      <c r="I999" s="233" t="s">
        <v>1313</v>
      </c>
      <c r="K999" s="233" t="s">
        <v>1314</v>
      </c>
      <c r="L999" s="236">
        <f t="shared" si="33"/>
        <v>996003</v>
      </c>
      <c r="N999" s="113" t="s">
        <v>1315</v>
      </c>
      <c r="O999" s="1" t="b">
        <v>1</v>
      </c>
      <c r="Q999" s="34"/>
    </row>
    <row r="1000" spans="2:17">
      <c r="B1000" s="1" t="str">
        <f t="shared" si="34"/>
        <v>M_MED01_VM_BKT_998</v>
      </c>
      <c r="C1000" s="92" t="s">
        <v>727</v>
      </c>
      <c r="D1000" s="92" t="str" cm="1">
        <f t="array" ref="D1000">INDEX(기계코드!$D$4:$D$1022,MATCH(1,(C1000=기계코드!$F$4:$F$1022)*1,0))</f>
        <v>M_MED01</v>
      </c>
      <c r="E1000" s="92" t="s">
        <v>1128</v>
      </c>
      <c r="F1000" s="92" t="str" cm="1">
        <f t="array" ref="F1000">INDEX(공급업체코드!$B$3:$B$1000,MATCH(1,(E1000=공급업체코드!$D$3:$D$1000)*1,0))</f>
        <v>VM_BKT</v>
      </c>
      <c r="H1000" s="312">
        <v>998</v>
      </c>
      <c r="I1000" s="233" t="s">
        <v>1313</v>
      </c>
      <c r="K1000" s="233" t="s">
        <v>1314</v>
      </c>
      <c r="L1000" s="236">
        <f t="shared" si="33"/>
        <v>997002</v>
      </c>
      <c r="N1000" s="113" t="s">
        <v>1315</v>
      </c>
      <c r="O1000" s="1" t="b">
        <v>1</v>
      </c>
      <c r="Q1000" s="34"/>
    </row>
    <row r="1001" spans="2:17">
      <c r="B1001" s="1" t="str">
        <f t="shared" ref="B1001:B1002" si="35">D1001&amp;"_"&amp;F1001&amp;"_"&amp;H1001</f>
        <v>M_MED01_VM_BKT_999</v>
      </c>
      <c r="C1001" s="92" t="s">
        <v>727</v>
      </c>
      <c r="D1001" s="92" t="str" cm="1">
        <f t="array" ref="D1001">INDEX(기계코드!$D$4:$D$1022,MATCH(1,(C1001=기계코드!$F$4:$F$1022)*1,0))</f>
        <v>M_MED01</v>
      </c>
      <c r="E1001" s="92" t="s">
        <v>1128</v>
      </c>
      <c r="F1001" s="92" t="str" cm="1">
        <f t="array" ref="F1001">INDEX(공급업체코드!$B$3:$B$1000,MATCH(1,(E1001=공급업체코드!$D$3:$D$1000)*1,0))</f>
        <v>VM_BKT</v>
      </c>
      <c r="H1001" s="312">
        <v>999</v>
      </c>
      <c r="I1001" s="233" t="s">
        <v>1313</v>
      </c>
      <c r="K1001" s="233" t="s">
        <v>1314</v>
      </c>
      <c r="L1001" s="236">
        <f t="shared" si="33"/>
        <v>998001</v>
      </c>
      <c r="N1001" s="113" t="s">
        <v>1315</v>
      </c>
      <c r="O1001" s="1" t="b">
        <v>1</v>
      </c>
    </row>
    <row r="1002" spans="2:17">
      <c r="B1002" s="1" t="str">
        <f t="shared" si="35"/>
        <v>M_MED01_VM_BKT_1000</v>
      </c>
      <c r="C1002" s="92" t="s">
        <v>727</v>
      </c>
      <c r="D1002" s="92" t="str" cm="1">
        <f t="array" ref="D1002">INDEX(기계코드!$D$4:$D$1022,MATCH(1,(C1002=기계코드!$F$4:$F$1022)*1,0))</f>
        <v>M_MED01</v>
      </c>
      <c r="E1002" s="92" t="s">
        <v>1128</v>
      </c>
      <c r="F1002" s="92" t="str" cm="1">
        <f t="array" ref="F1002">INDEX(공급업체코드!$B$3:$B$1000,MATCH(1,(E1002=공급업체코드!$D$3:$D$1000)*1,0))</f>
        <v>VM_BKT</v>
      </c>
      <c r="H1002" s="312">
        <v>1000</v>
      </c>
      <c r="I1002" s="233" t="s">
        <v>1313</v>
      </c>
      <c r="K1002" s="233" t="s">
        <v>1314</v>
      </c>
      <c r="L1002" s="236">
        <f t="shared" si="33"/>
        <v>999000</v>
      </c>
      <c r="N1002" s="113" t="s">
        <v>1315</v>
      </c>
      <c r="O1002" s="1" t="b">
        <v>1</v>
      </c>
    </row>
  </sheetData>
  <phoneticPr fontId="2" type="noConversion"/>
  <dataValidations count="1">
    <dataValidation allowBlank="1" showInputMessage="1" showErrorMessage="1" sqref="E3:E1002 C3:C1002" xr:uid="{E75D1D69-9F76-4C52-A840-76EB2873E534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44CD-E0A6-4D4E-A9A3-B5AA6B9E6AC8}">
  <dimension ref="A1:AP1046"/>
  <sheetViews>
    <sheetView zoomScale="70" zoomScaleNormal="70" workbookViewId="0">
      <pane ySplit="2" topLeftCell="A3" activePane="bottomLeft" state="frozen"/>
      <selection pane="bottomLeft" activeCell="M1" sqref="M1:M2"/>
    </sheetView>
  </sheetViews>
  <sheetFormatPr defaultRowHeight="16.5" customHeight="1"/>
  <cols>
    <col min="1" max="1" width="13.625" customWidth="1"/>
    <col min="2" max="2" width="37.75" customWidth="1"/>
    <col min="3" max="3" width="27.25" customWidth="1"/>
    <col min="4" max="5" width="16.125" customWidth="1"/>
    <col min="6" max="6" width="13.875" bestFit="1" customWidth="1"/>
    <col min="7" max="7" width="14.75" style="18" bestFit="1" customWidth="1"/>
    <col min="8" max="8" width="15.5" customWidth="1"/>
    <col min="9" max="9" width="20.125" customWidth="1"/>
    <col min="10" max="10" width="23.25" bestFit="1" customWidth="1"/>
    <col min="11" max="13" width="23.25" customWidth="1"/>
    <col min="14" max="14" width="12.875" bestFit="1" customWidth="1"/>
    <col min="15" max="16" width="16.625" bestFit="1" customWidth="1"/>
    <col min="17" max="17" width="17.75" customWidth="1"/>
    <col min="18" max="18" width="13.125" customWidth="1"/>
    <col min="19" max="19" width="15.25" customWidth="1"/>
    <col min="20" max="20" width="17.125" bestFit="1" customWidth="1"/>
    <col min="21" max="21" width="19.75" bestFit="1" customWidth="1"/>
    <col min="22" max="22" width="20.875" bestFit="1" customWidth="1"/>
    <col min="23" max="23" width="24.75" bestFit="1" customWidth="1"/>
    <col min="24" max="24" width="16.125" customWidth="1"/>
    <col min="25" max="25" width="16.125" style="261" customWidth="1"/>
    <col min="26" max="26" width="25.75" style="10" bestFit="1" customWidth="1"/>
    <col min="27" max="27" width="16.125" style="260" customWidth="1"/>
    <col min="28" max="28" width="23" style="18" bestFit="1" customWidth="1"/>
    <col min="29" max="29" width="16.125" customWidth="1"/>
    <col min="30" max="30" width="21.25" bestFit="1" customWidth="1"/>
    <col min="31" max="31" width="21.25" style="18" bestFit="1" customWidth="1"/>
    <col min="32" max="32" width="10.5" customWidth="1"/>
    <col min="33" max="33" width="27.625" bestFit="1" customWidth="1"/>
    <col min="34" max="34" width="20.625" style="113" customWidth="1"/>
    <col min="35" max="35" width="9" bestFit="1" customWidth="1"/>
    <col min="36" max="36" width="12.375" customWidth="1"/>
    <col min="37" max="37" width="11.375" bestFit="1" customWidth="1"/>
    <col min="38" max="39" width="9" bestFit="1" customWidth="1"/>
    <col min="40" max="40" width="22.125" bestFit="1" customWidth="1"/>
    <col min="41" max="41" width="36.375" bestFit="1" customWidth="1"/>
    <col min="42" max="42" width="15.375" bestFit="1" customWidth="1"/>
  </cols>
  <sheetData>
    <row r="1" spans="2:42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1867</v>
      </c>
      <c r="I1" s="17" t="s">
        <v>1868</v>
      </c>
      <c r="J1" s="10" t="s">
        <v>1427</v>
      </c>
      <c r="K1" s="17" t="s">
        <v>1422</v>
      </c>
      <c r="L1" s="17" t="s">
        <v>1423</v>
      </c>
      <c r="M1" s="10" t="s">
        <v>1289</v>
      </c>
      <c r="N1" s="10" t="s">
        <v>1869</v>
      </c>
      <c r="O1" s="10" t="s">
        <v>1870</v>
      </c>
      <c r="P1" s="10" t="s">
        <v>1871</v>
      </c>
      <c r="Q1" s="10" t="s">
        <v>1872</v>
      </c>
      <c r="R1" s="10" t="s">
        <v>1807</v>
      </c>
      <c r="S1" s="10" t="s">
        <v>1319</v>
      </c>
      <c r="T1" s="10" t="s">
        <v>1320</v>
      </c>
      <c r="U1" s="10" t="s">
        <v>1321</v>
      </c>
      <c r="V1" s="10" t="s">
        <v>1322</v>
      </c>
      <c r="W1" s="10" t="s">
        <v>1323</v>
      </c>
      <c r="X1" s="10" t="s">
        <v>1324</v>
      </c>
      <c r="Y1" s="131" t="s">
        <v>1290</v>
      </c>
      <c r="Z1" s="131" t="s">
        <v>1291</v>
      </c>
      <c r="AA1" s="131" t="s">
        <v>1292</v>
      </c>
      <c r="AB1" s="17" t="s">
        <v>1728</v>
      </c>
      <c r="AC1" s="10" t="s">
        <v>1293</v>
      </c>
      <c r="AD1" s="17" t="s">
        <v>1294</v>
      </c>
      <c r="AE1" s="61" t="s">
        <v>1295</v>
      </c>
      <c r="AF1" s="10" t="s">
        <v>1296</v>
      </c>
      <c r="AG1" s="10" t="s">
        <v>1297</v>
      </c>
      <c r="AH1" s="210" t="s">
        <v>1298</v>
      </c>
    </row>
    <row r="2" spans="2:42" s="1" customFormat="1"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01" t="s">
        <v>1302</v>
      </c>
      <c r="H2" s="102" t="s">
        <v>1873</v>
      </c>
      <c r="I2" s="117" t="s">
        <v>1874</v>
      </c>
      <c r="J2" s="116" t="s">
        <v>1445</v>
      </c>
      <c r="K2" s="59" t="s">
        <v>1440</v>
      </c>
      <c r="L2" s="13" t="s">
        <v>1441</v>
      </c>
      <c r="M2" s="102" t="s">
        <v>1875</v>
      </c>
      <c r="N2" s="114" t="s">
        <v>1876</v>
      </c>
      <c r="O2" s="114" t="s">
        <v>1877</v>
      </c>
      <c r="P2" s="114" t="s">
        <v>1878</v>
      </c>
      <c r="Q2" s="114" t="s">
        <v>1879</v>
      </c>
      <c r="R2" s="103" t="s">
        <v>1371</v>
      </c>
      <c r="S2" s="103" t="s">
        <v>1328</v>
      </c>
      <c r="T2" s="104" t="s">
        <v>1329</v>
      </c>
      <c r="U2" s="103" t="s">
        <v>1330</v>
      </c>
      <c r="V2" s="103" t="s">
        <v>1331</v>
      </c>
      <c r="W2" s="103" t="s">
        <v>1332</v>
      </c>
      <c r="X2" s="103" t="s">
        <v>1349</v>
      </c>
      <c r="Y2" s="5" t="s">
        <v>1305</v>
      </c>
      <c r="Z2" s="5" t="s">
        <v>1306</v>
      </c>
      <c r="AA2" s="5" t="s">
        <v>1307</v>
      </c>
      <c r="AB2" s="115" t="s">
        <v>1734</v>
      </c>
      <c r="AC2" s="107" t="s">
        <v>1308</v>
      </c>
      <c r="AD2" s="108" t="s">
        <v>1309</v>
      </c>
      <c r="AE2" s="241" t="s">
        <v>1310</v>
      </c>
      <c r="AF2" s="109" t="s">
        <v>1311</v>
      </c>
      <c r="AG2" s="100" t="s">
        <v>10</v>
      </c>
      <c r="AH2" s="242" t="s">
        <v>1312</v>
      </c>
      <c r="AN2" s="41"/>
      <c r="AO2" s="41"/>
      <c r="AP2" s="41"/>
    </row>
    <row r="3" spans="2:42">
      <c r="B3" s="1" t="str">
        <f>D3&amp;"_"&amp;F3&amp;"_"&amp;H3&amp;"_"&amp;N3&amp;"_"&amp;O3&amp;"_"&amp;P3</f>
        <v>M_TDIF02_VM_0000_10_1_100_32</v>
      </c>
      <c r="C3" s="92" t="s">
        <v>694</v>
      </c>
      <c r="D3" s="92" t="str" cm="1">
        <f t="array" ref="D3">INDEX(기계코드!$D$4:$D$214,MATCH(1,(C3=기계코드!$F$4:$F$214)*1,0))</f>
        <v>M_TDIF02</v>
      </c>
      <c r="E3" s="92" t="s">
        <v>1125</v>
      </c>
      <c r="F3" s="7" t="str" cm="1">
        <f t="array" ref="F3">INDEX(공급업체코드!$B$3:$B$1000,MATCH(1,(E3=공급업체코드!$D$3:$D$1000)*1,0))</f>
        <v>VM_0000</v>
      </c>
      <c r="H3" s="64">
        <v>10</v>
      </c>
      <c r="I3" s="64"/>
      <c r="J3" s="64"/>
      <c r="K3" s="64"/>
      <c r="L3" s="64"/>
      <c r="M3" s="64"/>
      <c r="N3" s="136">
        <v>1</v>
      </c>
      <c r="O3" s="175">
        <v>100</v>
      </c>
      <c r="P3" s="136">
        <v>32</v>
      </c>
      <c r="Q3" s="64"/>
      <c r="R3" s="70"/>
      <c r="T3" s="64"/>
      <c r="X3">
        <v>0.123</v>
      </c>
      <c r="Y3" s="256" t="s">
        <v>1374</v>
      </c>
      <c r="Z3" s="10">
        <v>39</v>
      </c>
      <c r="AA3" s="257" t="s">
        <v>1391</v>
      </c>
      <c r="AB3" s="20" t="s">
        <v>1061</v>
      </c>
      <c r="AC3" s="64">
        <v>5000000</v>
      </c>
      <c r="AE3" s="18" t="s">
        <v>1315</v>
      </c>
      <c r="AF3" s="1" t="b">
        <v>1</v>
      </c>
      <c r="AH3" s="133"/>
      <c r="AN3" s="41"/>
      <c r="AO3" s="41"/>
      <c r="AP3" s="41"/>
    </row>
    <row r="4" spans="2:42">
      <c r="B4" s="1" t="str">
        <f>D4&amp;"_"&amp;F4&amp;"_"&amp;H4&amp;"_"&amp;N4&amp;"_"&amp;O4&amp;"_"&amp;P4</f>
        <v>M_TDIF02_VM_0000_10_1_200_50</v>
      </c>
      <c r="C4" s="92" t="s">
        <v>694</v>
      </c>
      <c r="D4" s="92" t="str" cm="1">
        <f t="array" ref="D4">INDEX(기계코드!$D$4:$D$214,MATCH(1,(C4=기계코드!$F$4:$F$214)*1,0))</f>
        <v>M_TDIF02</v>
      </c>
      <c r="E4" s="92" t="s">
        <v>1125</v>
      </c>
      <c r="F4" s="7" t="str" cm="1">
        <f t="array" ref="F4">INDEX(공급업체코드!$B$3:$B$1000,MATCH(1,(E4=공급업체코드!$D$3:$D$1000)*1,0))</f>
        <v>VM_0000</v>
      </c>
      <c r="H4" s="64">
        <v>10</v>
      </c>
      <c r="I4" s="64"/>
      <c r="J4" s="64"/>
      <c r="K4" s="64"/>
      <c r="L4" s="64"/>
      <c r="M4" s="64"/>
      <c r="N4" s="64">
        <v>1</v>
      </c>
      <c r="O4" s="175">
        <v>200</v>
      </c>
      <c r="P4" s="136">
        <v>50</v>
      </c>
      <c r="Q4" s="64"/>
      <c r="R4" s="70"/>
      <c r="T4" s="64"/>
      <c r="X4">
        <v>0.123</v>
      </c>
      <c r="Y4" s="258" t="s">
        <v>1374</v>
      </c>
      <c r="Z4" s="10">
        <v>39</v>
      </c>
      <c r="AA4" s="259" t="s">
        <v>1391</v>
      </c>
      <c r="AB4" s="20" t="s">
        <v>1061</v>
      </c>
      <c r="AC4" s="64">
        <v>5000000</v>
      </c>
      <c r="AE4" s="18" t="s">
        <v>1315</v>
      </c>
      <c r="AF4" s="1" t="b">
        <v>1</v>
      </c>
      <c r="AH4" s="133"/>
      <c r="AN4" s="41"/>
      <c r="AO4" s="41"/>
      <c r="AP4" s="41"/>
    </row>
    <row r="5" spans="2:42" s="203" customFormat="1">
      <c r="B5" s="226" t="str">
        <f>D5&amp;"_"&amp;F5&amp;"_"&amp;H5&amp;"_"&amp;N5&amp;"_"&amp;O5&amp;"_"&amp;P5</f>
        <v>M_TDIF02_VM_0000_10_2_100_32</v>
      </c>
      <c r="C5" s="281" t="s">
        <v>694</v>
      </c>
      <c r="D5" s="281" t="str" cm="1">
        <f t="array" ref="D5">INDEX(기계코드!$D$4:$D$214,MATCH(1,(C5=기계코드!$F$4:$F$214)*1,0))</f>
        <v>M_TDIF02</v>
      </c>
      <c r="E5" s="281" t="s">
        <v>1125</v>
      </c>
      <c r="F5" s="225" t="str" cm="1">
        <f t="array" ref="F5">INDEX(공급업체코드!$B$3:$B$1000,MATCH(1,(E5=공급업체코드!$D$3:$D$1000)*1,0))</f>
        <v>VM_0000</v>
      </c>
      <c r="G5" s="227"/>
      <c r="H5" s="282">
        <v>10</v>
      </c>
      <c r="I5" s="282"/>
      <c r="J5" s="282"/>
      <c r="K5" s="282"/>
      <c r="L5" s="282"/>
      <c r="M5" s="282"/>
      <c r="N5" s="286">
        <v>2</v>
      </c>
      <c r="O5" s="287">
        <v>100</v>
      </c>
      <c r="P5" s="286">
        <v>32</v>
      </c>
      <c r="Q5" s="282"/>
      <c r="R5" s="283"/>
      <c r="T5" s="282"/>
      <c r="X5">
        <v>0.123</v>
      </c>
      <c r="Y5" s="305" t="s">
        <v>1374</v>
      </c>
      <c r="Z5" s="131">
        <v>39</v>
      </c>
      <c r="AA5" s="306" t="s">
        <v>1391</v>
      </c>
      <c r="AB5" s="307" t="s">
        <v>1061</v>
      </c>
      <c r="AC5" s="282">
        <v>5000000</v>
      </c>
      <c r="AE5" s="227" t="s">
        <v>1315</v>
      </c>
      <c r="AF5" s="226" t="b">
        <v>1</v>
      </c>
      <c r="AH5" s="308"/>
      <c r="AN5" s="309"/>
      <c r="AO5" s="309"/>
      <c r="AP5" s="309"/>
    </row>
    <row r="6" spans="2:42">
      <c r="B6" s="1" t="str">
        <f>D6&amp;"_"&amp;F6&amp;"_"&amp;H6&amp;"_"&amp;N6&amp;"_"&amp;O6&amp;"_"&amp;P6</f>
        <v>M_TDIF02_VM_0000_10_2_200_50</v>
      </c>
      <c r="C6" s="92" t="s">
        <v>694</v>
      </c>
      <c r="D6" s="92" t="str" cm="1">
        <f t="array" ref="D6">INDEX(기계코드!$D$4:$D$214,MATCH(1,(C6=기계코드!$F$4:$F$214)*1,0))</f>
        <v>M_TDIF02</v>
      </c>
      <c r="E6" s="92" t="s">
        <v>1125</v>
      </c>
      <c r="F6" s="7" t="str" cm="1">
        <f t="array" ref="F6">INDEX(공급업체코드!$B$3:$B$1000,MATCH(1,(E6=공급업체코드!$D$3:$D$1000)*1,0))</f>
        <v>VM_0000</v>
      </c>
      <c r="H6" s="64">
        <v>10</v>
      </c>
      <c r="I6" s="64"/>
      <c r="J6" s="64"/>
      <c r="K6" s="64"/>
      <c r="L6" s="64"/>
      <c r="M6" s="64"/>
      <c r="N6" s="136">
        <v>2</v>
      </c>
      <c r="O6" s="175">
        <v>200</v>
      </c>
      <c r="P6" s="136">
        <v>50</v>
      </c>
      <c r="Q6" s="64"/>
      <c r="R6" s="70"/>
      <c r="T6" s="64"/>
      <c r="X6">
        <v>0.123</v>
      </c>
      <c r="Y6" s="258" t="s">
        <v>1374</v>
      </c>
      <c r="Z6" s="10">
        <v>39</v>
      </c>
      <c r="AA6" s="259" t="s">
        <v>1391</v>
      </c>
      <c r="AB6" s="20" t="s">
        <v>1061</v>
      </c>
      <c r="AC6" s="64">
        <v>5000000</v>
      </c>
      <c r="AE6" s="18" t="s">
        <v>1315</v>
      </c>
      <c r="AF6" s="1" t="b">
        <v>1</v>
      </c>
      <c r="AH6" s="133"/>
      <c r="AN6" s="41"/>
      <c r="AO6" s="41"/>
      <c r="AP6" s="41"/>
    </row>
    <row r="7" spans="2:42" ht="15.75" customHeight="1">
      <c r="B7" s="1" t="str">
        <f>D7&amp;"_"&amp;F7&amp;"_"&amp;H7&amp;"_"&amp;N7&amp;"_"&amp;O7&amp;"_"&amp;P7</f>
        <v>M_TDIF02_VM_0000_20_1_100_32</v>
      </c>
      <c r="C7" s="92" t="s">
        <v>694</v>
      </c>
      <c r="D7" s="92" t="str" cm="1">
        <f t="array" ref="D7">INDEX(기계코드!$D$4:$D$214,MATCH(1,(C7=기계코드!$F$4:$F$214)*1,0))</f>
        <v>M_TDIF02</v>
      </c>
      <c r="E7" s="92" t="s">
        <v>1125</v>
      </c>
      <c r="F7" s="7" t="str" cm="1">
        <f t="array" ref="F7">INDEX(공급업체코드!$B$3:$B$1000,MATCH(1,(E7=공급업체코드!$D$3:$D$1000)*1,0))</f>
        <v>VM_0000</v>
      </c>
      <c r="H7" s="64">
        <v>20</v>
      </c>
      <c r="I7" s="64"/>
      <c r="J7" s="64"/>
      <c r="K7" s="64"/>
      <c r="L7" s="64"/>
      <c r="M7" s="64"/>
      <c r="N7" s="136">
        <v>1</v>
      </c>
      <c r="O7" s="175">
        <v>100</v>
      </c>
      <c r="P7" s="136">
        <v>32</v>
      </c>
      <c r="Q7" s="64"/>
      <c r="R7" s="70"/>
      <c r="T7" s="64"/>
      <c r="X7">
        <v>0.123</v>
      </c>
      <c r="Y7" s="258" t="s">
        <v>1374</v>
      </c>
      <c r="Z7" s="10">
        <v>39</v>
      </c>
      <c r="AA7" s="259" t="s">
        <v>1391</v>
      </c>
      <c r="AB7" s="20" t="s">
        <v>1061</v>
      </c>
      <c r="AC7" s="64">
        <v>10000000</v>
      </c>
      <c r="AE7" s="18" t="s">
        <v>1315</v>
      </c>
      <c r="AF7" s="1" t="b">
        <v>1</v>
      </c>
      <c r="AH7" s="133"/>
      <c r="AN7" s="41"/>
      <c r="AO7" s="41"/>
      <c r="AP7" s="41"/>
    </row>
    <row r="8" spans="2:42" ht="15.75" customHeight="1">
      <c r="B8" s="1" t="str">
        <f>D8&amp;"_"&amp;F8&amp;"_"&amp;H8&amp;"_"&amp;N8&amp;"_"&amp;O8&amp;"_"&amp;P8</f>
        <v>M_TDIF02_VM_0000_20_1_200_50</v>
      </c>
      <c r="C8" s="92" t="s">
        <v>694</v>
      </c>
      <c r="D8" s="92" t="str" cm="1">
        <f t="array" ref="D8">INDEX(기계코드!$D$4:$D$214,MATCH(1,(C8=기계코드!$F$4:$F$214)*1,0))</f>
        <v>M_TDIF02</v>
      </c>
      <c r="E8" s="92" t="s">
        <v>1125</v>
      </c>
      <c r="F8" s="7" t="str" cm="1">
        <f t="array" ref="F8">INDEX(공급업체코드!$B$3:$B$1000,MATCH(1,(E8=공급업체코드!$D$3:$D$1000)*1,0))</f>
        <v>VM_0000</v>
      </c>
      <c r="H8" s="64">
        <v>20</v>
      </c>
      <c r="I8" s="64"/>
      <c r="J8" s="64"/>
      <c r="K8" s="64"/>
      <c r="L8" s="64"/>
      <c r="M8" s="64"/>
      <c r="N8" s="136">
        <v>1</v>
      </c>
      <c r="O8" s="175">
        <v>200</v>
      </c>
      <c r="P8" s="136">
        <v>50</v>
      </c>
      <c r="Q8" s="64"/>
      <c r="R8" s="70"/>
      <c r="T8" s="64"/>
      <c r="X8">
        <v>0.123</v>
      </c>
      <c r="Y8" s="258" t="s">
        <v>1374</v>
      </c>
      <c r="Z8" s="10">
        <v>39</v>
      </c>
      <c r="AA8" s="259" t="s">
        <v>1391</v>
      </c>
      <c r="AB8" s="20" t="s">
        <v>1061</v>
      </c>
      <c r="AC8" s="64">
        <v>10000000</v>
      </c>
      <c r="AE8" s="18" t="s">
        <v>1315</v>
      </c>
      <c r="AF8" s="1" t="b">
        <v>1</v>
      </c>
      <c r="AH8" s="133"/>
      <c r="AN8" s="41"/>
      <c r="AO8" s="41"/>
      <c r="AP8" s="41"/>
    </row>
    <row r="9" spans="2:42" s="203" customFormat="1" ht="15.75" customHeight="1">
      <c r="B9" s="226" t="str">
        <f>D9&amp;"_"&amp;F9&amp;"_"&amp;H9&amp;"_"&amp;N9&amp;"_"&amp;O9&amp;"_"&amp;P9</f>
        <v>M_TDIF02_VM_0000_20_2_100_32</v>
      </c>
      <c r="C9" s="281" t="s">
        <v>694</v>
      </c>
      <c r="D9" s="281" t="str" cm="1">
        <f t="array" ref="D9">INDEX(기계코드!$D$4:$D$214,MATCH(1,(C9=기계코드!$F$4:$F$214)*1,0))</f>
        <v>M_TDIF02</v>
      </c>
      <c r="E9" s="281" t="s">
        <v>1125</v>
      </c>
      <c r="F9" s="225" t="str" cm="1">
        <f t="array" ref="F9">INDEX(공급업체코드!$B$3:$B$1000,MATCH(1,(E9=공급업체코드!$D$3:$D$1000)*1,0))</f>
        <v>VM_0000</v>
      </c>
      <c r="G9" s="227"/>
      <c r="H9" s="282">
        <v>20</v>
      </c>
      <c r="I9" s="282"/>
      <c r="J9" s="282"/>
      <c r="K9" s="282"/>
      <c r="L9" s="282"/>
      <c r="M9" s="282"/>
      <c r="N9" s="286">
        <v>2</v>
      </c>
      <c r="O9" s="287">
        <v>100</v>
      </c>
      <c r="P9" s="286">
        <v>32</v>
      </c>
      <c r="Q9" s="282"/>
      <c r="R9" s="283"/>
      <c r="T9" s="282"/>
      <c r="X9">
        <v>0.123</v>
      </c>
      <c r="Y9" s="305" t="s">
        <v>1374</v>
      </c>
      <c r="Z9" s="131">
        <v>39</v>
      </c>
      <c r="AA9" s="306" t="s">
        <v>1391</v>
      </c>
      <c r="AB9" s="307" t="s">
        <v>1061</v>
      </c>
      <c r="AC9" s="282">
        <v>10000000</v>
      </c>
      <c r="AE9" s="227" t="s">
        <v>1315</v>
      </c>
      <c r="AF9" s="226" t="b">
        <v>1</v>
      </c>
      <c r="AH9" s="308"/>
      <c r="AN9" s="309"/>
      <c r="AO9" s="309"/>
      <c r="AP9" s="309"/>
    </row>
    <row r="10" spans="2:42" ht="15.75" customHeight="1">
      <c r="B10" s="1" t="str">
        <f>D10&amp;"_"&amp;F10&amp;"_"&amp;H10&amp;"_"&amp;N10&amp;"_"&amp;O10&amp;"_"&amp;P10</f>
        <v>M_TDIF02_VM_0000_20_2_200_50</v>
      </c>
      <c r="C10" s="92" t="s">
        <v>694</v>
      </c>
      <c r="D10" s="92" t="str" cm="1">
        <f t="array" ref="D10">INDEX(기계코드!$D$4:$D$214,MATCH(1,(C10=기계코드!$F$4:$F$214)*1,0))</f>
        <v>M_TDIF02</v>
      </c>
      <c r="E10" s="92" t="s">
        <v>1125</v>
      </c>
      <c r="F10" s="7" t="str" cm="1">
        <f t="array" ref="F10">INDEX(공급업체코드!$B$3:$B$1000,MATCH(1,(E10=공급업체코드!$D$3:$D$1000)*1,0))</f>
        <v>VM_0000</v>
      </c>
      <c r="H10" s="64">
        <v>20</v>
      </c>
      <c r="I10" s="64"/>
      <c r="J10" s="64"/>
      <c r="K10" s="64"/>
      <c r="L10" s="64"/>
      <c r="M10" s="64"/>
      <c r="N10" s="136">
        <v>2</v>
      </c>
      <c r="O10" s="175">
        <v>200</v>
      </c>
      <c r="P10" s="136">
        <v>50</v>
      </c>
      <c r="Q10" s="64"/>
      <c r="R10" s="70"/>
      <c r="T10" s="64"/>
      <c r="X10">
        <v>0.123</v>
      </c>
      <c r="Y10" s="258" t="s">
        <v>1374</v>
      </c>
      <c r="Z10" s="10">
        <v>39</v>
      </c>
      <c r="AA10" s="259" t="s">
        <v>1391</v>
      </c>
      <c r="AB10" s="20" t="s">
        <v>1061</v>
      </c>
      <c r="AC10" s="64">
        <v>10000000</v>
      </c>
      <c r="AE10" s="18" t="s">
        <v>1315</v>
      </c>
      <c r="AF10" s="1" t="b">
        <v>1</v>
      </c>
      <c r="AH10" s="133"/>
      <c r="AN10" s="41"/>
      <c r="AO10" s="41"/>
      <c r="AP10" s="41"/>
    </row>
    <row r="11" spans="2:42">
      <c r="B11" s="1" t="str">
        <f>D11&amp;"_"&amp;F11&amp;"_"&amp;H11&amp;"_"&amp;N11&amp;"_"&amp;O11&amp;"_"&amp;P11</f>
        <v>M_TDIF02_VM_0000_30_1_100_32</v>
      </c>
      <c r="C11" s="92" t="s">
        <v>694</v>
      </c>
      <c r="D11" s="92" t="str" cm="1">
        <f t="array" ref="D11">INDEX(기계코드!$D$4:$D$214,MATCH(1,(C11=기계코드!$F$4:$F$214)*1,0))</f>
        <v>M_TDIF02</v>
      </c>
      <c r="E11" s="92" t="s">
        <v>1125</v>
      </c>
      <c r="F11" s="7" t="str" cm="1">
        <f t="array" ref="F11">INDEX(공급업체코드!$B$3:$B$1000,MATCH(1,(E11=공급업체코드!$D$3:$D$1000)*1,0))</f>
        <v>VM_0000</v>
      </c>
      <c r="H11" s="64">
        <v>30</v>
      </c>
      <c r="I11" s="64"/>
      <c r="J11" s="64"/>
      <c r="K11" s="64"/>
      <c r="L11" s="64"/>
      <c r="M11" s="64"/>
      <c r="N11" s="136">
        <v>1</v>
      </c>
      <c r="O11" s="175">
        <v>100</v>
      </c>
      <c r="P11" s="136">
        <v>32</v>
      </c>
      <c r="Q11" s="64"/>
      <c r="R11" s="70"/>
      <c r="T11" s="64"/>
      <c r="X11">
        <v>0.123</v>
      </c>
      <c r="Y11" s="258" t="s">
        <v>1374</v>
      </c>
      <c r="Z11" s="10">
        <v>39</v>
      </c>
      <c r="AA11" s="259" t="s">
        <v>1391</v>
      </c>
      <c r="AB11" s="20" t="s">
        <v>1061</v>
      </c>
      <c r="AC11" s="64">
        <v>15000000</v>
      </c>
      <c r="AE11" s="18" t="s">
        <v>1315</v>
      </c>
      <c r="AF11" s="1" t="b">
        <v>1</v>
      </c>
      <c r="AH11" s="133"/>
      <c r="AN11" s="41"/>
      <c r="AO11" s="41"/>
      <c r="AP11" s="41"/>
    </row>
    <row r="12" spans="2:42">
      <c r="B12" s="1" t="str">
        <f>D12&amp;"_"&amp;F12&amp;"_"&amp;H12&amp;"_"&amp;N12&amp;"_"&amp;O12&amp;"_"&amp;P12</f>
        <v>M_TDIF02_VM_0000_30_1_200_50</v>
      </c>
      <c r="C12" s="92" t="s">
        <v>694</v>
      </c>
      <c r="D12" s="92" t="str" cm="1">
        <f t="array" ref="D12">INDEX(기계코드!$D$4:$D$214,MATCH(1,(C12=기계코드!$F$4:$F$214)*1,0))</f>
        <v>M_TDIF02</v>
      </c>
      <c r="E12" s="92" t="s">
        <v>1125</v>
      </c>
      <c r="F12" s="7" t="str" cm="1">
        <f t="array" ref="F12">INDEX(공급업체코드!$B$3:$B$1000,MATCH(1,(E12=공급업체코드!$D$3:$D$1000)*1,0))</f>
        <v>VM_0000</v>
      </c>
      <c r="H12" s="64">
        <v>30</v>
      </c>
      <c r="I12" s="64"/>
      <c r="J12" s="64"/>
      <c r="K12" s="64"/>
      <c r="L12" s="64"/>
      <c r="M12" s="64"/>
      <c r="N12" s="136">
        <v>1</v>
      </c>
      <c r="O12" s="175">
        <v>200</v>
      </c>
      <c r="P12" s="136">
        <v>50</v>
      </c>
      <c r="Q12" s="64"/>
      <c r="R12" s="70"/>
      <c r="T12" s="64"/>
      <c r="X12">
        <v>0.123</v>
      </c>
      <c r="Y12" s="258" t="s">
        <v>1374</v>
      </c>
      <c r="Z12" s="10">
        <v>39</v>
      </c>
      <c r="AA12" s="259" t="s">
        <v>1391</v>
      </c>
      <c r="AB12" s="20" t="s">
        <v>1061</v>
      </c>
      <c r="AC12" s="64">
        <v>15000000</v>
      </c>
      <c r="AE12" s="18" t="s">
        <v>1315</v>
      </c>
      <c r="AF12" s="1" t="b">
        <v>1</v>
      </c>
      <c r="AH12" s="133"/>
      <c r="AN12" s="41"/>
      <c r="AO12" s="41"/>
      <c r="AP12" s="41"/>
    </row>
    <row r="13" spans="2:42" s="203" customFormat="1">
      <c r="B13" s="226" t="str">
        <f>D13&amp;"_"&amp;F13&amp;"_"&amp;H13&amp;"_"&amp;N13&amp;"_"&amp;O13&amp;"_"&amp;P13</f>
        <v>M_TDIF02_VM_0000_30_2_100_32</v>
      </c>
      <c r="C13" s="281" t="s">
        <v>694</v>
      </c>
      <c r="D13" s="281" t="str" cm="1">
        <f t="array" ref="D13">INDEX(기계코드!$D$4:$D$214,MATCH(1,(C13=기계코드!$F$4:$F$214)*1,0))</f>
        <v>M_TDIF02</v>
      </c>
      <c r="E13" s="281" t="s">
        <v>1125</v>
      </c>
      <c r="F13" s="225" t="str" cm="1">
        <f t="array" ref="F13">INDEX(공급업체코드!$B$3:$B$1000,MATCH(1,(E13=공급업체코드!$D$3:$D$1000)*1,0))</f>
        <v>VM_0000</v>
      </c>
      <c r="G13" s="227"/>
      <c r="H13" s="282">
        <v>30</v>
      </c>
      <c r="I13" s="282"/>
      <c r="J13" s="282"/>
      <c r="K13" s="282"/>
      <c r="L13" s="282"/>
      <c r="M13" s="282"/>
      <c r="N13" s="286">
        <v>2</v>
      </c>
      <c r="O13" s="287">
        <v>100</v>
      </c>
      <c r="P13" s="286">
        <v>32</v>
      </c>
      <c r="Q13" s="282"/>
      <c r="R13" s="283"/>
      <c r="T13" s="282"/>
      <c r="X13">
        <v>0.123</v>
      </c>
      <c r="Y13" s="305" t="s">
        <v>1374</v>
      </c>
      <c r="Z13" s="131">
        <v>39</v>
      </c>
      <c r="AA13" s="306" t="s">
        <v>1391</v>
      </c>
      <c r="AB13" s="307" t="s">
        <v>1061</v>
      </c>
      <c r="AC13" s="282">
        <v>15000000</v>
      </c>
      <c r="AE13" s="227" t="s">
        <v>1315</v>
      </c>
      <c r="AF13" s="226" t="b">
        <v>1</v>
      </c>
      <c r="AH13" s="308"/>
      <c r="AN13" s="309"/>
      <c r="AO13" s="309"/>
      <c r="AP13" s="309"/>
    </row>
    <row r="14" spans="2:42">
      <c r="B14" s="1" t="str">
        <f>D14&amp;"_"&amp;F14&amp;"_"&amp;H14&amp;"_"&amp;N14&amp;"_"&amp;O14&amp;"_"&amp;P14</f>
        <v>M_TDIF02_VM_0000_30_2_200_50</v>
      </c>
      <c r="C14" s="92" t="s">
        <v>694</v>
      </c>
      <c r="D14" s="92" t="str" cm="1">
        <f t="array" ref="D14">INDEX(기계코드!$D$4:$D$214,MATCH(1,(C14=기계코드!$F$4:$F$214)*1,0))</f>
        <v>M_TDIF02</v>
      </c>
      <c r="E14" s="92" t="s">
        <v>1125</v>
      </c>
      <c r="F14" s="7" t="str" cm="1">
        <f t="array" ref="F14">INDEX(공급업체코드!$B$3:$B$1000,MATCH(1,(E14=공급업체코드!$D$3:$D$1000)*1,0))</f>
        <v>VM_0000</v>
      </c>
      <c r="H14" s="64">
        <v>30</v>
      </c>
      <c r="I14" s="64"/>
      <c r="J14" s="64"/>
      <c r="K14" s="64"/>
      <c r="L14" s="64"/>
      <c r="M14" s="64"/>
      <c r="N14" s="136">
        <v>2</v>
      </c>
      <c r="O14" s="175">
        <v>200</v>
      </c>
      <c r="P14" s="136">
        <v>50</v>
      </c>
      <c r="Q14" s="64"/>
      <c r="R14" s="70"/>
      <c r="T14" s="64"/>
      <c r="X14">
        <v>0.123</v>
      </c>
      <c r="Y14" s="258" t="s">
        <v>1374</v>
      </c>
      <c r="Z14" s="10">
        <v>39</v>
      </c>
      <c r="AA14" s="259" t="s">
        <v>1391</v>
      </c>
      <c r="AB14" s="20" t="s">
        <v>1061</v>
      </c>
      <c r="AC14" s="64">
        <v>15000000</v>
      </c>
      <c r="AE14" s="18" t="s">
        <v>1315</v>
      </c>
      <c r="AF14" s="1" t="b">
        <v>1</v>
      </c>
      <c r="AH14" s="133"/>
      <c r="AN14" s="41"/>
      <c r="AO14" s="41"/>
      <c r="AP14" s="41"/>
    </row>
    <row r="15" spans="2:42">
      <c r="B15" s="1" t="str">
        <f>D15&amp;"_"&amp;F15&amp;"_"&amp;H15&amp;"_"&amp;N15&amp;"_"&amp;O15&amp;"_"&amp;P15</f>
        <v>M_TDIF02_VM_0000_40_1_100_32</v>
      </c>
      <c r="C15" s="92" t="s">
        <v>694</v>
      </c>
      <c r="D15" s="92" t="str" cm="1">
        <f t="array" ref="D15">INDEX(기계코드!$D$4:$D$214,MATCH(1,(C15=기계코드!$F$4:$F$214)*1,0))</f>
        <v>M_TDIF02</v>
      </c>
      <c r="E15" s="92" t="s">
        <v>1125</v>
      </c>
      <c r="F15" s="7" t="str" cm="1">
        <f t="array" ref="F15">INDEX(공급업체코드!$B$3:$B$1000,MATCH(1,(E15=공급업체코드!$D$3:$D$1000)*1,0))</f>
        <v>VM_0000</v>
      </c>
      <c r="H15" s="64">
        <v>40</v>
      </c>
      <c r="I15" s="64"/>
      <c r="J15" s="64"/>
      <c r="K15" s="64"/>
      <c r="L15" s="64"/>
      <c r="M15" s="64"/>
      <c r="N15" s="136">
        <v>1</v>
      </c>
      <c r="O15" s="175">
        <v>100</v>
      </c>
      <c r="P15" s="136">
        <v>32</v>
      </c>
      <c r="Q15" s="64"/>
      <c r="R15" s="70"/>
      <c r="T15" s="64"/>
      <c r="X15">
        <v>0.123</v>
      </c>
      <c r="Y15" s="258" t="s">
        <v>1374</v>
      </c>
      <c r="Z15" s="10">
        <v>39</v>
      </c>
      <c r="AA15" s="259" t="s">
        <v>1391</v>
      </c>
      <c r="AB15" s="20" t="s">
        <v>1061</v>
      </c>
      <c r="AC15" s="64">
        <v>20000000</v>
      </c>
      <c r="AE15" s="18" t="s">
        <v>1315</v>
      </c>
      <c r="AF15" s="1" t="b">
        <v>1</v>
      </c>
      <c r="AH15" s="133"/>
      <c r="AN15" s="41"/>
      <c r="AO15" s="41"/>
      <c r="AP15" s="41"/>
    </row>
    <row r="16" spans="2:42">
      <c r="B16" s="1" t="str">
        <f>D16&amp;"_"&amp;F16&amp;"_"&amp;H16&amp;"_"&amp;N16&amp;"_"&amp;O16&amp;"_"&amp;P16</f>
        <v>M_TDIF02_VM_0000_40_1_200_50</v>
      </c>
      <c r="C16" s="92" t="s">
        <v>694</v>
      </c>
      <c r="D16" s="92" t="str" cm="1">
        <f t="array" ref="D16">INDEX(기계코드!$D$4:$D$214,MATCH(1,(C16=기계코드!$F$4:$F$214)*1,0))</f>
        <v>M_TDIF02</v>
      </c>
      <c r="E16" s="92" t="s">
        <v>1125</v>
      </c>
      <c r="F16" s="7" t="str" cm="1">
        <f t="array" ref="F16">INDEX(공급업체코드!$B$3:$B$1000,MATCH(1,(E16=공급업체코드!$D$3:$D$1000)*1,0))</f>
        <v>VM_0000</v>
      </c>
      <c r="H16" s="64">
        <v>40</v>
      </c>
      <c r="I16" s="64"/>
      <c r="J16" s="64"/>
      <c r="K16" s="64"/>
      <c r="L16" s="64"/>
      <c r="M16" s="64"/>
      <c r="N16" s="136">
        <v>1</v>
      </c>
      <c r="O16" s="175">
        <v>200</v>
      </c>
      <c r="P16" s="136">
        <v>50</v>
      </c>
      <c r="Q16" s="64"/>
      <c r="R16" s="70"/>
      <c r="T16" s="64"/>
      <c r="X16">
        <v>0.123</v>
      </c>
      <c r="Y16" s="258" t="s">
        <v>1374</v>
      </c>
      <c r="Z16" s="10">
        <v>39</v>
      </c>
      <c r="AA16" s="259" t="s">
        <v>1391</v>
      </c>
      <c r="AB16" s="20" t="s">
        <v>1061</v>
      </c>
      <c r="AC16" s="64">
        <v>20000000</v>
      </c>
      <c r="AE16" s="18" t="s">
        <v>1315</v>
      </c>
      <c r="AF16" s="1" t="b">
        <v>1</v>
      </c>
      <c r="AH16" s="133"/>
      <c r="AN16" s="41"/>
      <c r="AO16" s="41"/>
      <c r="AP16" s="41"/>
    </row>
    <row r="17" spans="1:42" s="203" customFormat="1">
      <c r="B17" s="226" t="str">
        <f>D17&amp;"_"&amp;F17&amp;"_"&amp;H17&amp;"_"&amp;N17&amp;"_"&amp;O17&amp;"_"&amp;P17</f>
        <v>M_TDIF02_VM_0000_40_2_100_32</v>
      </c>
      <c r="C17" s="281" t="s">
        <v>694</v>
      </c>
      <c r="D17" s="281" t="str" cm="1">
        <f t="array" ref="D17">INDEX(기계코드!$D$4:$D$214,MATCH(1,(C17=기계코드!$F$4:$F$214)*1,0))</f>
        <v>M_TDIF02</v>
      </c>
      <c r="E17" s="281" t="s">
        <v>1125</v>
      </c>
      <c r="F17" s="225" t="str" cm="1">
        <f t="array" ref="F17">INDEX(공급업체코드!$B$3:$B$1000,MATCH(1,(E17=공급업체코드!$D$3:$D$1000)*1,0))</f>
        <v>VM_0000</v>
      </c>
      <c r="G17" s="227"/>
      <c r="H17" s="282">
        <v>40</v>
      </c>
      <c r="I17" s="282"/>
      <c r="J17" s="282"/>
      <c r="K17" s="282"/>
      <c r="L17" s="282"/>
      <c r="M17" s="282"/>
      <c r="N17" s="286">
        <v>2</v>
      </c>
      <c r="O17" s="287">
        <v>100</v>
      </c>
      <c r="P17" s="286">
        <v>32</v>
      </c>
      <c r="Q17" s="282"/>
      <c r="R17" s="283"/>
      <c r="T17" s="282"/>
      <c r="X17">
        <v>0.123</v>
      </c>
      <c r="Y17" s="305" t="s">
        <v>1374</v>
      </c>
      <c r="Z17" s="131">
        <v>39</v>
      </c>
      <c r="AA17" s="306" t="s">
        <v>1391</v>
      </c>
      <c r="AB17" s="307" t="s">
        <v>1061</v>
      </c>
      <c r="AC17" s="282">
        <v>20000000</v>
      </c>
      <c r="AE17" s="227" t="s">
        <v>1315</v>
      </c>
      <c r="AF17" s="226" t="b">
        <v>1</v>
      </c>
      <c r="AH17" s="308"/>
      <c r="AN17" s="309"/>
      <c r="AO17" s="309"/>
      <c r="AP17" s="309"/>
    </row>
    <row r="18" spans="1:42">
      <c r="B18" s="1" t="str">
        <f>D18&amp;"_"&amp;F18&amp;"_"&amp;H18&amp;"_"&amp;N18&amp;"_"&amp;O18&amp;"_"&amp;P18</f>
        <v>M_TDIF02_VM_0000_40_2_200_50</v>
      </c>
      <c r="C18" s="92" t="s">
        <v>694</v>
      </c>
      <c r="D18" s="92" t="str" cm="1">
        <f t="array" ref="D18">INDEX(기계코드!$D$4:$D$214,MATCH(1,(C18=기계코드!$F$4:$F$214)*1,0))</f>
        <v>M_TDIF02</v>
      </c>
      <c r="E18" s="92" t="s">
        <v>1125</v>
      </c>
      <c r="F18" s="7" t="str" cm="1">
        <f t="array" ref="F18">INDEX(공급업체코드!$B$3:$B$1000,MATCH(1,(E18=공급업체코드!$D$3:$D$1000)*1,0))</f>
        <v>VM_0000</v>
      </c>
      <c r="H18" s="64">
        <v>40</v>
      </c>
      <c r="I18" s="64"/>
      <c r="J18" s="64"/>
      <c r="K18" s="64"/>
      <c r="L18" s="64"/>
      <c r="M18" s="64"/>
      <c r="N18" s="136">
        <v>2</v>
      </c>
      <c r="O18" s="175">
        <v>200</v>
      </c>
      <c r="P18" s="136">
        <v>50</v>
      </c>
      <c r="Q18" s="64"/>
      <c r="R18" s="70"/>
      <c r="T18" s="64"/>
      <c r="X18">
        <v>0.123</v>
      </c>
      <c r="Y18" s="258" t="s">
        <v>1374</v>
      </c>
      <c r="Z18" s="10">
        <v>39</v>
      </c>
      <c r="AA18" s="259" t="s">
        <v>1391</v>
      </c>
      <c r="AB18" s="20" t="s">
        <v>1061</v>
      </c>
      <c r="AC18" s="64">
        <v>20000000</v>
      </c>
      <c r="AE18" s="18" t="s">
        <v>1315</v>
      </c>
      <c r="AF18" s="1" t="b">
        <v>1</v>
      </c>
      <c r="AH18" s="133"/>
      <c r="AN18" s="41"/>
      <c r="AO18" s="41"/>
      <c r="AP18" s="41"/>
    </row>
    <row r="19" spans="1:42">
      <c r="B19" s="1" t="str">
        <f>D19&amp;"_"&amp;F19&amp;"_"&amp;H19&amp;"_"&amp;N19&amp;"_"&amp;O19&amp;"_"&amp;P19</f>
        <v>M_TDIF02_VM_0000_50_1_100_32</v>
      </c>
      <c r="C19" s="92" t="s">
        <v>694</v>
      </c>
      <c r="D19" s="92" t="str" cm="1">
        <f t="array" ref="D19">INDEX(기계코드!$D$4:$D$214,MATCH(1,(C19=기계코드!$F$4:$F$214)*1,0))</f>
        <v>M_TDIF02</v>
      </c>
      <c r="E19" s="92" t="s">
        <v>1125</v>
      </c>
      <c r="F19" s="7" t="str" cm="1">
        <f t="array" ref="F19">INDEX(공급업체코드!$B$3:$B$1000,MATCH(1,(E19=공급업체코드!$D$3:$D$1000)*1,0))</f>
        <v>VM_0000</v>
      </c>
      <c r="H19" s="64">
        <v>50</v>
      </c>
      <c r="I19" s="64"/>
      <c r="J19" s="64"/>
      <c r="K19" s="64"/>
      <c r="L19" s="64"/>
      <c r="M19" s="64"/>
      <c r="N19" s="136">
        <v>1</v>
      </c>
      <c r="O19" s="175">
        <v>100</v>
      </c>
      <c r="P19" s="136">
        <v>32</v>
      </c>
      <c r="Q19" s="64"/>
      <c r="R19" s="70"/>
      <c r="T19" s="64"/>
      <c r="X19">
        <v>0.123</v>
      </c>
      <c r="Y19" s="258" t="s">
        <v>1374</v>
      </c>
      <c r="Z19" s="10">
        <v>39</v>
      </c>
      <c r="AA19" s="259" t="s">
        <v>1391</v>
      </c>
      <c r="AB19" s="20" t="s">
        <v>1061</v>
      </c>
      <c r="AC19" s="64">
        <v>25000000</v>
      </c>
      <c r="AE19" s="18" t="s">
        <v>1315</v>
      </c>
      <c r="AF19" s="1" t="b">
        <v>1</v>
      </c>
      <c r="AN19" s="41"/>
      <c r="AO19" s="41"/>
      <c r="AP19" s="41"/>
    </row>
    <row r="20" spans="1:42">
      <c r="B20" s="1" t="str">
        <f>D20&amp;"_"&amp;F20&amp;"_"&amp;H20&amp;"_"&amp;N20&amp;"_"&amp;O20&amp;"_"&amp;P20</f>
        <v>M_TDIF02_VM_0000_50_1_200_50</v>
      </c>
      <c r="C20" s="92" t="s">
        <v>694</v>
      </c>
      <c r="D20" s="92" t="str" cm="1">
        <f t="array" ref="D20">INDEX(기계코드!$D$4:$D$214,MATCH(1,(C20=기계코드!$F$4:$F$214)*1,0))</f>
        <v>M_TDIF02</v>
      </c>
      <c r="E20" s="92" t="s">
        <v>1125</v>
      </c>
      <c r="F20" s="7" t="str" cm="1">
        <f t="array" ref="F20">INDEX(공급업체코드!$B$3:$B$1000,MATCH(1,(E20=공급업체코드!$D$3:$D$1000)*1,0))</f>
        <v>VM_0000</v>
      </c>
      <c r="H20" s="64">
        <v>50</v>
      </c>
      <c r="I20" s="64"/>
      <c r="J20" s="64"/>
      <c r="K20" s="64"/>
      <c r="L20" s="64"/>
      <c r="M20" s="64"/>
      <c r="N20" s="136">
        <v>1</v>
      </c>
      <c r="O20" s="175">
        <v>200</v>
      </c>
      <c r="P20" s="136">
        <v>50</v>
      </c>
      <c r="Q20" s="64"/>
      <c r="R20" s="70"/>
      <c r="T20" s="64"/>
      <c r="X20">
        <v>0.123</v>
      </c>
      <c r="Y20" s="258" t="s">
        <v>1374</v>
      </c>
      <c r="Z20" s="10">
        <v>39</v>
      </c>
      <c r="AA20" s="259" t="s">
        <v>1391</v>
      </c>
      <c r="AB20" s="20" t="s">
        <v>1061</v>
      </c>
      <c r="AC20" s="64">
        <v>25000000</v>
      </c>
      <c r="AE20" s="18" t="s">
        <v>1315</v>
      </c>
      <c r="AF20" s="1" t="b">
        <v>1</v>
      </c>
      <c r="AN20" s="41"/>
      <c r="AO20" s="41"/>
      <c r="AP20" s="41"/>
    </row>
    <row r="21" spans="1:42">
      <c r="A21" s="203"/>
      <c r="B21" s="226" t="str">
        <f>D21&amp;"_"&amp;F21&amp;"_"&amp;H21&amp;"_"&amp;N21&amp;"_"&amp;O21&amp;"_"&amp;P21</f>
        <v>M_TDIF02_VM_0000_50_2_100_32</v>
      </c>
      <c r="C21" s="281" t="s">
        <v>694</v>
      </c>
      <c r="D21" s="281" t="str" cm="1">
        <f t="array" ref="D21">INDEX(기계코드!$D$4:$D$214,MATCH(1,(C21=기계코드!$F$4:$F$214)*1,0))</f>
        <v>M_TDIF02</v>
      </c>
      <c r="E21" s="281" t="s">
        <v>1125</v>
      </c>
      <c r="F21" s="225" t="str" cm="1">
        <f t="array" ref="F21">INDEX(공급업체코드!$B$3:$B$1000,MATCH(1,(E21=공급업체코드!$D$3:$D$1000)*1,0))</f>
        <v>VM_0000</v>
      </c>
      <c r="G21" s="227"/>
      <c r="H21" s="282">
        <v>50</v>
      </c>
      <c r="I21" s="282"/>
      <c r="J21" s="282"/>
      <c r="K21" s="282"/>
      <c r="L21" s="282"/>
      <c r="M21" s="282"/>
      <c r="N21" s="286">
        <v>2</v>
      </c>
      <c r="O21" s="287">
        <v>100</v>
      </c>
      <c r="P21" s="286">
        <v>32</v>
      </c>
      <c r="Q21" s="64"/>
      <c r="R21" s="70"/>
      <c r="T21" s="64"/>
      <c r="X21">
        <v>0.123</v>
      </c>
      <c r="Y21" s="258" t="s">
        <v>1374</v>
      </c>
      <c r="Z21" s="10">
        <v>39</v>
      </c>
      <c r="AA21" s="259" t="s">
        <v>1391</v>
      </c>
      <c r="AB21" s="20" t="s">
        <v>1061</v>
      </c>
      <c r="AC21" s="64">
        <v>25000000</v>
      </c>
      <c r="AE21" s="18" t="s">
        <v>1315</v>
      </c>
      <c r="AF21" s="1" t="b">
        <v>1</v>
      </c>
      <c r="AN21" s="41"/>
      <c r="AO21" s="41"/>
      <c r="AP21" s="41"/>
    </row>
    <row r="22" spans="1:42">
      <c r="B22" s="1" t="str">
        <f>D22&amp;"_"&amp;F22&amp;"_"&amp;H22&amp;"_"&amp;N22&amp;"_"&amp;O22&amp;"_"&amp;P22</f>
        <v>M_TDIF02_VM_0000_50_2_200_50</v>
      </c>
      <c r="C22" s="92" t="s">
        <v>694</v>
      </c>
      <c r="D22" s="92" t="str" cm="1">
        <f t="array" ref="D22">INDEX(기계코드!$D$4:$D$214,MATCH(1,(C22=기계코드!$F$4:$F$214)*1,0))</f>
        <v>M_TDIF02</v>
      </c>
      <c r="E22" s="92" t="s">
        <v>1125</v>
      </c>
      <c r="F22" s="7" t="str" cm="1">
        <f t="array" ref="F22">INDEX(공급업체코드!$B$3:$B$1000,MATCH(1,(E22=공급업체코드!$D$3:$D$1000)*1,0))</f>
        <v>VM_0000</v>
      </c>
      <c r="H22" s="64">
        <v>50</v>
      </c>
      <c r="I22" s="64"/>
      <c r="J22" s="64"/>
      <c r="K22" s="64"/>
      <c r="L22" s="64"/>
      <c r="M22" s="64"/>
      <c r="N22" s="136">
        <v>2</v>
      </c>
      <c r="O22" s="175">
        <v>200</v>
      </c>
      <c r="P22" s="136">
        <v>50</v>
      </c>
      <c r="Q22" s="64"/>
      <c r="R22" s="70"/>
      <c r="T22" s="64"/>
      <c r="X22">
        <v>0.123</v>
      </c>
      <c r="Y22" s="258" t="s">
        <v>1374</v>
      </c>
      <c r="Z22" s="10">
        <v>39</v>
      </c>
      <c r="AA22" s="259" t="s">
        <v>1391</v>
      </c>
      <c r="AB22" s="20" t="s">
        <v>1061</v>
      </c>
      <c r="AC22" s="64">
        <v>25000000</v>
      </c>
      <c r="AE22" s="18" t="s">
        <v>1315</v>
      </c>
      <c r="AF22" s="1" t="b">
        <v>1</v>
      </c>
      <c r="AN22" s="41"/>
      <c r="AO22" s="41"/>
      <c r="AP22" s="41"/>
    </row>
    <row r="23" spans="1:42">
      <c r="B23" s="1" t="str">
        <f>D23&amp;"_"&amp;F23&amp;"_"&amp;H23&amp;"_"&amp;N23&amp;"_"&amp;O23&amp;"_"&amp;P23</f>
        <v>M_TDIF02_VM_0000_60_1_100_32</v>
      </c>
      <c r="C23" s="92" t="s">
        <v>694</v>
      </c>
      <c r="D23" s="92" t="str" cm="1">
        <f t="array" ref="D23">INDEX(기계코드!$D$4:$D$214,MATCH(1,(C23=기계코드!$F$4:$F$214)*1,0))</f>
        <v>M_TDIF02</v>
      </c>
      <c r="E23" s="92" t="s">
        <v>1125</v>
      </c>
      <c r="F23" s="7" t="str" cm="1">
        <f t="array" ref="F23">INDEX(공급업체코드!$B$3:$B$1000,MATCH(1,(E23=공급업체코드!$D$3:$D$1000)*1,0))</f>
        <v>VM_0000</v>
      </c>
      <c r="H23" s="64">
        <v>60</v>
      </c>
      <c r="I23" s="64"/>
      <c r="J23" s="64"/>
      <c r="K23" s="64"/>
      <c r="L23" s="64"/>
      <c r="M23" s="64"/>
      <c r="N23" s="136">
        <v>1</v>
      </c>
      <c r="O23" s="175">
        <v>100</v>
      </c>
      <c r="P23" s="136">
        <v>32</v>
      </c>
      <c r="Q23" s="64"/>
      <c r="R23" s="70"/>
      <c r="T23" s="64"/>
      <c r="X23">
        <v>0.123</v>
      </c>
      <c r="Y23" s="258" t="s">
        <v>1374</v>
      </c>
      <c r="Z23" s="10">
        <v>39</v>
      </c>
      <c r="AA23" s="259" t="s">
        <v>1391</v>
      </c>
      <c r="AB23" s="20" t="s">
        <v>1061</v>
      </c>
      <c r="AC23" s="64">
        <v>30000000</v>
      </c>
      <c r="AE23" s="18" t="s">
        <v>1315</v>
      </c>
      <c r="AF23" s="1" t="b">
        <v>1</v>
      </c>
      <c r="AN23" s="41"/>
      <c r="AO23" s="41"/>
      <c r="AP23" s="41"/>
    </row>
    <row r="24" spans="1:42">
      <c r="B24" s="1" t="str">
        <f>D24&amp;"_"&amp;F24&amp;"_"&amp;H24&amp;"_"&amp;N24&amp;"_"&amp;O24&amp;"_"&amp;P24</f>
        <v>M_TDIF02_VM_0000_60_1_200_50</v>
      </c>
      <c r="C24" s="92" t="s">
        <v>694</v>
      </c>
      <c r="D24" s="92" t="str" cm="1">
        <f t="array" ref="D24">INDEX(기계코드!$D$4:$D$214,MATCH(1,(C24=기계코드!$F$4:$F$214)*1,0))</f>
        <v>M_TDIF02</v>
      </c>
      <c r="E24" s="92" t="s">
        <v>1125</v>
      </c>
      <c r="F24" s="7" t="str" cm="1">
        <f t="array" ref="F24">INDEX(공급업체코드!$B$3:$B$1000,MATCH(1,(E24=공급업체코드!$D$3:$D$1000)*1,0))</f>
        <v>VM_0000</v>
      </c>
      <c r="H24" s="64">
        <v>60</v>
      </c>
      <c r="I24" s="64"/>
      <c r="J24" s="64"/>
      <c r="K24" s="64"/>
      <c r="L24" s="64"/>
      <c r="M24" s="64"/>
      <c r="N24" s="136">
        <v>1</v>
      </c>
      <c r="O24" s="175">
        <v>200</v>
      </c>
      <c r="P24" s="136">
        <v>50</v>
      </c>
      <c r="Q24" s="64"/>
      <c r="R24" s="70"/>
      <c r="T24" s="64"/>
      <c r="X24">
        <v>0.123</v>
      </c>
      <c r="Y24" s="258" t="s">
        <v>1374</v>
      </c>
      <c r="Z24" s="10">
        <v>39</v>
      </c>
      <c r="AA24" s="259" t="s">
        <v>1391</v>
      </c>
      <c r="AB24" s="20" t="s">
        <v>1061</v>
      </c>
      <c r="AC24" s="64">
        <v>30000000</v>
      </c>
      <c r="AE24" s="18" t="s">
        <v>1315</v>
      </c>
      <c r="AF24" s="1" t="b">
        <v>1</v>
      </c>
      <c r="AN24" s="41"/>
      <c r="AO24" s="41"/>
      <c r="AP24" s="41"/>
    </row>
    <row r="25" spans="1:42" s="203" customFormat="1">
      <c r="B25" s="226" t="str">
        <f>D25&amp;"_"&amp;F25&amp;"_"&amp;H25&amp;"_"&amp;N25&amp;"_"&amp;O25&amp;"_"&amp;P25</f>
        <v>M_TDIF02_VM_0000_60_2_100_32</v>
      </c>
      <c r="C25" s="281" t="s">
        <v>694</v>
      </c>
      <c r="D25" s="281" t="str" cm="1">
        <f t="array" ref="D25">INDEX(기계코드!$D$4:$D$214,MATCH(1,(C25=기계코드!$F$4:$F$214)*1,0))</f>
        <v>M_TDIF02</v>
      </c>
      <c r="E25" s="281" t="s">
        <v>1125</v>
      </c>
      <c r="F25" s="225" t="str" cm="1">
        <f t="array" ref="F25">INDEX(공급업체코드!$B$3:$B$1000,MATCH(1,(E25=공급업체코드!$D$3:$D$1000)*1,0))</f>
        <v>VM_0000</v>
      </c>
      <c r="G25" s="227"/>
      <c r="H25" s="282">
        <v>60</v>
      </c>
      <c r="I25" s="282"/>
      <c r="J25" s="282"/>
      <c r="K25" s="282"/>
      <c r="L25" s="282"/>
      <c r="M25" s="282"/>
      <c r="N25" s="286">
        <v>2</v>
      </c>
      <c r="O25" s="287">
        <v>100</v>
      </c>
      <c r="P25" s="286">
        <v>32</v>
      </c>
      <c r="Q25" s="282"/>
      <c r="R25" s="283"/>
      <c r="T25" s="282"/>
      <c r="X25">
        <v>0.123</v>
      </c>
      <c r="Y25" s="305" t="s">
        <v>1374</v>
      </c>
      <c r="Z25" s="131">
        <v>39</v>
      </c>
      <c r="AA25" s="306" t="s">
        <v>1391</v>
      </c>
      <c r="AB25" s="307" t="s">
        <v>1061</v>
      </c>
      <c r="AC25" s="282">
        <v>30000000</v>
      </c>
      <c r="AE25" s="227" t="s">
        <v>1315</v>
      </c>
      <c r="AF25" s="226" t="b">
        <v>1</v>
      </c>
      <c r="AH25" s="284"/>
      <c r="AN25" s="309"/>
      <c r="AO25" s="309"/>
      <c r="AP25" s="309"/>
    </row>
    <row r="26" spans="1:42" ht="17.25" customHeight="1">
      <c r="B26" s="1" t="str">
        <f>D26&amp;"_"&amp;F26&amp;"_"&amp;H26&amp;"_"&amp;N26&amp;"_"&amp;O26&amp;"_"&amp;P26</f>
        <v>M_TDIF02_VM_0000_60_2_200_50</v>
      </c>
      <c r="C26" s="92" t="s">
        <v>694</v>
      </c>
      <c r="D26" s="92" t="str" cm="1">
        <f t="array" ref="D26">INDEX(기계코드!$D$4:$D$214,MATCH(1,(C26=기계코드!$F$4:$F$214)*1,0))</f>
        <v>M_TDIF02</v>
      </c>
      <c r="E26" s="92" t="s">
        <v>1125</v>
      </c>
      <c r="F26" s="7" t="str" cm="1">
        <f t="array" ref="F26">INDEX(공급업체코드!$B$3:$B$1000,MATCH(1,(E26=공급업체코드!$D$3:$D$1000)*1,0))</f>
        <v>VM_0000</v>
      </c>
      <c r="H26" s="64">
        <v>60</v>
      </c>
      <c r="I26" s="64"/>
      <c r="J26" s="64"/>
      <c r="K26" s="64"/>
      <c r="L26" s="64"/>
      <c r="M26" s="64"/>
      <c r="N26" s="136">
        <v>2</v>
      </c>
      <c r="O26" s="175">
        <v>200</v>
      </c>
      <c r="P26" s="136">
        <v>50</v>
      </c>
      <c r="Q26" s="64"/>
      <c r="R26" s="70"/>
      <c r="T26" s="64"/>
      <c r="X26">
        <v>0.123</v>
      </c>
      <c r="Y26" s="258" t="s">
        <v>1374</v>
      </c>
      <c r="Z26" s="10">
        <v>39</v>
      </c>
      <c r="AA26" s="259" t="s">
        <v>1391</v>
      </c>
      <c r="AB26" s="20" t="s">
        <v>1061</v>
      </c>
      <c r="AC26" s="64">
        <v>30000000</v>
      </c>
      <c r="AE26" s="18" t="s">
        <v>1315</v>
      </c>
      <c r="AF26" s="1" t="b">
        <v>1</v>
      </c>
      <c r="AN26" s="41"/>
      <c r="AO26" s="41"/>
      <c r="AP26" s="41"/>
    </row>
    <row r="27" spans="1:42">
      <c r="B27" s="1" t="str">
        <f>D27&amp;"_"&amp;F27&amp;"_"&amp;H27&amp;"_"&amp;N27&amp;"_"&amp;O27&amp;"_"&amp;P27</f>
        <v>M_TDIF02_VM_0000_70_1_100_32</v>
      </c>
      <c r="C27" s="92" t="s">
        <v>694</v>
      </c>
      <c r="D27" s="92" t="str" cm="1">
        <f t="array" ref="D27">INDEX(기계코드!$D$4:$D$214,MATCH(1,(C27=기계코드!$F$4:$F$214)*1,0))</f>
        <v>M_TDIF02</v>
      </c>
      <c r="E27" s="92" t="s">
        <v>1125</v>
      </c>
      <c r="F27" s="7" t="str" cm="1">
        <f t="array" ref="F27">INDEX(공급업체코드!$B$3:$B$1000,MATCH(1,(E27=공급업체코드!$D$3:$D$1000)*1,0))</f>
        <v>VM_0000</v>
      </c>
      <c r="H27" s="64">
        <v>70</v>
      </c>
      <c r="I27" s="64"/>
      <c r="J27" s="64"/>
      <c r="K27" s="64"/>
      <c r="L27" s="64"/>
      <c r="M27" s="64"/>
      <c r="N27" s="136">
        <v>1</v>
      </c>
      <c r="O27" s="175">
        <v>100</v>
      </c>
      <c r="P27" s="136">
        <v>32</v>
      </c>
      <c r="Q27" s="64"/>
      <c r="R27" s="70"/>
      <c r="T27" s="64"/>
      <c r="X27">
        <v>0.123</v>
      </c>
      <c r="Y27" s="258" t="s">
        <v>1374</v>
      </c>
      <c r="Z27" s="10">
        <v>39</v>
      </c>
      <c r="AA27" s="259" t="s">
        <v>1391</v>
      </c>
      <c r="AB27" s="20" t="s">
        <v>1061</v>
      </c>
      <c r="AC27" s="64">
        <v>35000000</v>
      </c>
      <c r="AE27" s="18" t="s">
        <v>1315</v>
      </c>
      <c r="AF27" s="1" t="b">
        <v>1</v>
      </c>
      <c r="AN27" s="111"/>
      <c r="AO27" s="111"/>
      <c r="AP27" s="41"/>
    </row>
    <row r="28" spans="1:42">
      <c r="B28" s="1" t="str">
        <f>D28&amp;"_"&amp;F28&amp;"_"&amp;H28&amp;"_"&amp;N28&amp;"_"&amp;O28&amp;"_"&amp;P28</f>
        <v>M_TDIF02_VM_0000_70_1_200_50</v>
      </c>
      <c r="C28" s="92" t="s">
        <v>694</v>
      </c>
      <c r="D28" s="92" t="str" cm="1">
        <f t="array" ref="D28">INDEX(기계코드!$D$4:$D$214,MATCH(1,(C28=기계코드!$F$4:$F$214)*1,0))</f>
        <v>M_TDIF02</v>
      </c>
      <c r="E28" s="92" t="s">
        <v>1125</v>
      </c>
      <c r="F28" s="7" t="str" cm="1">
        <f t="array" ref="F28">INDEX(공급업체코드!$B$3:$B$1000,MATCH(1,(E28=공급업체코드!$D$3:$D$1000)*1,0))</f>
        <v>VM_0000</v>
      </c>
      <c r="H28" s="64">
        <v>70</v>
      </c>
      <c r="I28" s="64"/>
      <c r="J28" s="64"/>
      <c r="K28" s="64"/>
      <c r="L28" s="64"/>
      <c r="M28" s="64"/>
      <c r="N28" s="136">
        <v>1</v>
      </c>
      <c r="O28" s="175">
        <v>200</v>
      </c>
      <c r="P28" s="136">
        <v>50</v>
      </c>
      <c r="Q28" s="64"/>
      <c r="R28" s="70"/>
      <c r="T28" s="64"/>
      <c r="X28">
        <v>0.123</v>
      </c>
      <c r="Y28" s="258" t="s">
        <v>1374</v>
      </c>
      <c r="Z28" s="10">
        <v>39</v>
      </c>
      <c r="AA28" s="259" t="s">
        <v>1391</v>
      </c>
      <c r="AB28" s="20" t="s">
        <v>1061</v>
      </c>
      <c r="AC28" s="64">
        <v>35000000</v>
      </c>
      <c r="AE28" s="18" t="s">
        <v>1315</v>
      </c>
      <c r="AF28" s="1" t="b">
        <v>1</v>
      </c>
      <c r="AN28" s="111"/>
      <c r="AO28" s="111"/>
      <c r="AP28" s="41"/>
    </row>
    <row r="29" spans="1:42" s="203" customFormat="1">
      <c r="B29" s="226" t="str">
        <f>D29&amp;"_"&amp;F29&amp;"_"&amp;H29&amp;"_"&amp;N29&amp;"_"&amp;O29&amp;"_"&amp;P29</f>
        <v>M_TDIF02_VM_0000_70_2_100_32</v>
      </c>
      <c r="C29" s="281" t="s">
        <v>694</v>
      </c>
      <c r="D29" s="281" t="str" cm="1">
        <f t="array" ref="D29">INDEX(기계코드!$D$4:$D$214,MATCH(1,(C29=기계코드!$F$4:$F$214)*1,0))</f>
        <v>M_TDIF02</v>
      </c>
      <c r="E29" s="281" t="s">
        <v>1125</v>
      </c>
      <c r="F29" s="225" t="str" cm="1">
        <f t="array" ref="F29">INDEX(공급업체코드!$B$3:$B$1000,MATCH(1,(E29=공급업체코드!$D$3:$D$1000)*1,0))</f>
        <v>VM_0000</v>
      </c>
      <c r="G29" s="227"/>
      <c r="H29" s="282">
        <v>70</v>
      </c>
      <c r="I29" s="282"/>
      <c r="J29" s="282"/>
      <c r="K29" s="282"/>
      <c r="L29" s="282"/>
      <c r="M29" s="282"/>
      <c r="N29" s="286">
        <v>2</v>
      </c>
      <c r="O29" s="287">
        <v>100</v>
      </c>
      <c r="P29" s="286">
        <v>32</v>
      </c>
      <c r="Q29" s="282"/>
      <c r="R29" s="283"/>
      <c r="T29" s="282"/>
      <c r="X29">
        <v>0.123</v>
      </c>
      <c r="Y29" s="305" t="s">
        <v>1374</v>
      </c>
      <c r="Z29" s="131">
        <v>39</v>
      </c>
      <c r="AA29" s="306" t="s">
        <v>1391</v>
      </c>
      <c r="AB29" s="307" t="s">
        <v>1061</v>
      </c>
      <c r="AC29" s="282">
        <v>35000000</v>
      </c>
      <c r="AE29" s="227" t="s">
        <v>1315</v>
      </c>
      <c r="AF29" s="226" t="b">
        <v>1</v>
      </c>
      <c r="AH29" s="284"/>
      <c r="AN29" s="310"/>
      <c r="AO29" s="310"/>
      <c r="AP29" s="309"/>
    </row>
    <row r="30" spans="1:42">
      <c r="B30" s="1" t="str">
        <f>D30&amp;"_"&amp;F30&amp;"_"&amp;H30&amp;"_"&amp;N30&amp;"_"&amp;O30&amp;"_"&amp;P30</f>
        <v>M_TDIF02_VM_0000_70_2_200_50</v>
      </c>
      <c r="C30" s="92" t="s">
        <v>694</v>
      </c>
      <c r="D30" s="92" t="str" cm="1">
        <f t="array" ref="D30">INDEX(기계코드!$D$4:$D$214,MATCH(1,(C30=기계코드!$F$4:$F$214)*1,0))</f>
        <v>M_TDIF02</v>
      </c>
      <c r="E30" s="92" t="s">
        <v>1125</v>
      </c>
      <c r="F30" s="7" t="str" cm="1">
        <f t="array" ref="F30">INDEX(공급업체코드!$B$3:$B$1000,MATCH(1,(E30=공급업체코드!$D$3:$D$1000)*1,0))</f>
        <v>VM_0000</v>
      </c>
      <c r="H30" s="64">
        <v>70</v>
      </c>
      <c r="I30" s="64"/>
      <c r="J30" s="64"/>
      <c r="K30" s="64"/>
      <c r="L30" s="64"/>
      <c r="M30" s="64"/>
      <c r="N30" s="136">
        <v>2</v>
      </c>
      <c r="O30" s="175">
        <v>200</v>
      </c>
      <c r="P30" s="136">
        <v>50</v>
      </c>
      <c r="Q30" s="64"/>
      <c r="R30" s="70"/>
      <c r="T30" s="64"/>
      <c r="X30">
        <v>0.123</v>
      </c>
      <c r="Y30" s="258" t="s">
        <v>1374</v>
      </c>
      <c r="Z30" s="10">
        <v>39</v>
      </c>
      <c r="AA30" s="259" t="s">
        <v>1391</v>
      </c>
      <c r="AB30" s="20" t="s">
        <v>1061</v>
      </c>
      <c r="AC30" s="64">
        <v>35000000</v>
      </c>
      <c r="AE30" s="18" t="s">
        <v>1315</v>
      </c>
      <c r="AF30" s="1" t="b">
        <v>1</v>
      </c>
      <c r="AN30" s="111"/>
      <c r="AO30" s="111"/>
      <c r="AP30" s="41"/>
    </row>
    <row r="31" spans="1:42">
      <c r="B31" s="1" t="str">
        <f>D31&amp;"_"&amp;F31&amp;"_"&amp;H31&amp;"_"&amp;N31&amp;"_"&amp;O31&amp;"_"&amp;P31</f>
        <v>M_TDIF02_VM_0000_80_1_100_32</v>
      </c>
      <c r="C31" s="92" t="s">
        <v>694</v>
      </c>
      <c r="D31" s="92" t="str" cm="1">
        <f t="array" ref="D31">INDEX(기계코드!$D$4:$D$214,MATCH(1,(C31=기계코드!$F$4:$F$214)*1,0))</f>
        <v>M_TDIF02</v>
      </c>
      <c r="E31" s="92" t="s">
        <v>1125</v>
      </c>
      <c r="F31" s="7" t="str" cm="1">
        <f t="array" ref="F31">INDEX(공급업체코드!$B$3:$B$1000,MATCH(1,(E31=공급업체코드!$D$3:$D$1000)*1,0))</f>
        <v>VM_0000</v>
      </c>
      <c r="H31" s="64">
        <v>80</v>
      </c>
      <c r="I31" s="64"/>
      <c r="J31" s="64"/>
      <c r="K31" s="64"/>
      <c r="L31" s="64"/>
      <c r="M31" s="64"/>
      <c r="N31" s="136">
        <v>1</v>
      </c>
      <c r="O31" s="175">
        <v>100</v>
      </c>
      <c r="P31" s="136">
        <v>32</v>
      </c>
      <c r="Q31" s="64"/>
      <c r="R31" s="70"/>
      <c r="T31" s="64"/>
      <c r="X31">
        <v>0.123</v>
      </c>
      <c r="Y31" s="258" t="s">
        <v>1374</v>
      </c>
      <c r="Z31" s="10">
        <v>39</v>
      </c>
      <c r="AA31" s="259" t="s">
        <v>1391</v>
      </c>
      <c r="AB31" s="20" t="s">
        <v>1061</v>
      </c>
      <c r="AC31" s="64">
        <v>40000000</v>
      </c>
      <c r="AE31" s="18" t="s">
        <v>1315</v>
      </c>
      <c r="AF31" s="1" t="b">
        <v>1</v>
      </c>
      <c r="AN31" s="111"/>
      <c r="AO31" s="111"/>
      <c r="AP31" s="111"/>
    </row>
    <row r="32" spans="1:42">
      <c r="B32" s="1" t="str">
        <f>D32&amp;"_"&amp;F32&amp;"_"&amp;H32&amp;"_"&amp;N32&amp;"_"&amp;O32&amp;"_"&amp;P32</f>
        <v>M_TDIF02_VM_0000_80_1_200_50</v>
      </c>
      <c r="C32" s="92" t="s">
        <v>694</v>
      </c>
      <c r="D32" s="92" t="str" cm="1">
        <f t="array" ref="D32">INDEX(기계코드!$D$4:$D$214,MATCH(1,(C32=기계코드!$F$4:$F$214)*1,0))</f>
        <v>M_TDIF02</v>
      </c>
      <c r="E32" s="92" t="s">
        <v>1125</v>
      </c>
      <c r="F32" s="7" t="str" cm="1">
        <f t="array" ref="F32">INDEX(공급업체코드!$B$3:$B$1000,MATCH(1,(E32=공급업체코드!$D$3:$D$1000)*1,0))</f>
        <v>VM_0000</v>
      </c>
      <c r="H32" s="64">
        <v>80</v>
      </c>
      <c r="I32" s="64"/>
      <c r="J32" s="64"/>
      <c r="K32" s="64"/>
      <c r="L32" s="64"/>
      <c r="M32" s="64"/>
      <c r="N32" s="136">
        <v>1</v>
      </c>
      <c r="O32" s="175">
        <v>200</v>
      </c>
      <c r="P32" s="136">
        <v>50</v>
      </c>
      <c r="Q32" s="64"/>
      <c r="R32" s="70"/>
      <c r="T32" s="64"/>
      <c r="X32">
        <v>0.123</v>
      </c>
      <c r="Y32" s="258" t="s">
        <v>1374</v>
      </c>
      <c r="Z32" s="10">
        <v>39</v>
      </c>
      <c r="AA32" s="259" t="s">
        <v>1391</v>
      </c>
      <c r="AB32" s="20" t="s">
        <v>1061</v>
      </c>
      <c r="AC32" s="64">
        <v>40000000</v>
      </c>
      <c r="AE32" s="18" t="s">
        <v>1315</v>
      </c>
      <c r="AF32" s="1" t="b">
        <v>1</v>
      </c>
      <c r="AN32" s="111"/>
      <c r="AO32" s="111"/>
      <c r="AP32" s="111"/>
    </row>
    <row r="33" spans="2:42" s="203" customFormat="1">
      <c r="B33" s="226" t="str">
        <f>D33&amp;"_"&amp;F33&amp;"_"&amp;H33&amp;"_"&amp;N33&amp;"_"&amp;O33&amp;"_"&amp;P33</f>
        <v>M_TDIF02_VM_0000_80_2_100_32</v>
      </c>
      <c r="C33" s="281" t="s">
        <v>694</v>
      </c>
      <c r="D33" s="281" t="str" cm="1">
        <f t="array" ref="D33">INDEX(기계코드!$D$4:$D$214,MATCH(1,(C33=기계코드!$F$4:$F$214)*1,0))</f>
        <v>M_TDIF02</v>
      </c>
      <c r="E33" s="281" t="s">
        <v>1125</v>
      </c>
      <c r="F33" s="225" t="str" cm="1">
        <f t="array" ref="F33">INDEX(공급업체코드!$B$3:$B$1000,MATCH(1,(E33=공급업체코드!$D$3:$D$1000)*1,0))</f>
        <v>VM_0000</v>
      </c>
      <c r="G33" s="227"/>
      <c r="H33" s="282">
        <v>80</v>
      </c>
      <c r="I33" s="282"/>
      <c r="J33" s="282"/>
      <c r="K33" s="282"/>
      <c r="L33" s="282"/>
      <c r="M33" s="282"/>
      <c r="N33" s="286">
        <v>2</v>
      </c>
      <c r="O33" s="287">
        <v>100</v>
      </c>
      <c r="P33" s="286">
        <v>32</v>
      </c>
      <c r="Q33" s="282"/>
      <c r="R33" s="283"/>
      <c r="T33" s="282"/>
      <c r="X33">
        <v>0.123</v>
      </c>
      <c r="Y33" s="305" t="s">
        <v>1374</v>
      </c>
      <c r="Z33" s="131">
        <v>39</v>
      </c>
      <c r="AA33" s="306" t="s">
        <v>1391</v>
      </c>
      <c r="AB33" s="307" t="s">
        <v>1061</v>
      </c>
      <c r="AC33" s="282">
        <v>40000000</v>
      </c>
      <c r="AE33" s="227" t="s">
        <v>1315</v>
      </c>
      <c r="AF33" s="226" t="b">
        <v>1</v>
      </c>
      <c r="AH33" s="284"/>
      <c r="AN33" s="310"/>
      <c r="AO33" s="310"/>
      <c r="AP33" s="310"/>
    </row>
    <row r="34" spans="2:42">
      <c r="B34" s="1" t="str">
        <f>D34&amp;"_"&amp;F34&amp;"_"&amp;H34&amp;"_"&amp;N34&amp;"_"&amp;O34&amp;"_"&amp;P34</f>
        <v>M_TDIF02_VM_0000_80_2_200_50</v>
      </c>
      <c r="C34" s="92" t="s">
        <v>694</v>
      </c>
      <c r="D34" s="92" t="str" cm="1">
        <f t="array" ref="D34">INDEX(기계코드!$D$4:$D$214,MATCH(1,(C34=기계코드!$F$4:$F$214)*1,0))</f>
        <v>M_TDIF02</v>
      </c>
      <c r="E34" s="92" t="s">
        <v>1125</v>
      </c>
      <c r="F34" s="7" t="str" cm="1">
        <f t="array" ref="F34">INDEX(공급업체코드!$B$3:$B$1000,MATCH(1,(E34=공급업체코드!$D$3:$D$1000)*1,0))</f>
        <v>VM_0000</v>
      </c>
      <c r="H34" s="64">
        <v>80</v>
      </c>
      <c r="I34" s="64"/>
      <c r="J34" s="64"/>
      <c r="K34" s="64"/>
      <c r="L34" s="64"/>
      <c r="M34" s="64"/>
      <c r="N34" s="136">
        <v>2</v>
      </c>
      <c r="O34" s="175">
        <v>200</v>
      </c>
      <c r="P34" s="136">
        <v>50</v>
      </c>
      <c r="Q34" s="64"/>
      <c r="R34" s="70"/>
      <c r="T34" s="64"/>
      <c r="X34">
        <v>0.123</v>
      </c>
      <c r="Y34" s="258" t="s">
        <v>1374</v>
      </c>
      <c r="Z34" s="10">
        <v>39</v>
      </c>
      <c r="AA34" s="259" t="s">
        <v>1391</v>
      </c>
      <c r="AB34" s="20" t="s">
        <v>1061</v>
      </c>
      <c r="AC34" s="64">
        <v>40000000</v>
      </c>
      <c r="AE34" s="18" t="s">
        <v>1315</v>
      </c>
      <c r="AF34" s="1" t="b">
        <v>1</v>
      </c>
      <c r="AN34" s="111"/>
      <c r="AO34" s="111"/>
      <c r="AP34" s="111"/>
    </row>
    <row r="35" spans="2:42">
      <c r="B35" s="1" t="str">
        <f>D35&amp;"_"&amp;F35&amp;"_"&amp;H35&amp;"_"&amp;N35&amp;"_"&amp;O35&amp;"_"&amp;P35</f>
        <v>M_TDIF02_VM_0000_90_1_100_32</v>
      </c>
      <c r="C35" s="92" t="s">
        <v>694</v>
      </c>
      <c r="D35" s="92" t="str" cm="1">
        <f t="array" ref="D35">INDEX(기계코드!$D$4:$D$214,MATCH(1,(C35=기계코드!$F$4:$F$214)*1,0))</f>
        <v>M_TDIF02</v>
      </c>
      <c r="E35" s="92" t="s">
        <v>1125</v>
      </c>
      <c r="F35" s="7" t="str" cm="1">
        <f t="array" ref="F35">INDEX(공급업체코드!$B$3:$B$1000,MATCH(1,(E35=공급업체코드!$D$3:$D$1000)*1,0))</f>
        <v>VM_0000</v>
      </c>
      <c r="H35" s="64">
        <v>90</v>
      </c>
      <c r="I35" s="64"/>
      <c r="J35" s="64"/>
      <c r="K35" s="64"/>
      <c r="L35" s="64"/>
      <c r="M35" s="64"/>
      <c r="N35" s="136">
        <v>1</v>
      </c>
      <c r="O35" s="175">
        <v>100</v>
      </c>
      <c r="P35" s="136">
        <v>32</v>
      </c>
      <c r="Q35" s="64"/>
      <c r="R35" s="70"/>
      <c r="T35" s="64"/>
      <c r="X35">
        <v>0.123</v>
      </c>
      <c r="Y35" s="258" t="s">
        <v>1374</v>
      </c>
      <c r="Z35" s="10">
        <v>39</v>
      </c>
      <c r="AA35" s="259" t="s">
        <v>1391</v>
      </c>
      <c r="AB35" s="20" t="s">
        <v>1061</v>
      </c>
      <c r="AC35" s="64">
        <v>45000000</v>
      </c>
      <c r="AE35" s="18" t="s">
        <v>1315</v>
      </c>
      <c r="AF35" s="1" t="b">
        <v>1</v>
      </c>
      <c r="AN35" s="111"/>
      <c r="AO35" s="111"/>
      <c r="AP35" s="41"/>
    </row>
    <row r="36" spans="2:42">
      <c r="B36" s="1" t="str">
        <f>D36&amp;"_"&amp;F36&amp;"_"&amp;H36&amp;"_"&amp;N36&amp;"_"&amp;O36&amp;"_"&amp;P36</f>
        <v>M_TDIF02_VM_0000_90_1_200_50</v>
      </c>
      <c r="C36" s="92" t="s">
        <v>694</v>
      </c>
      <c r="D36" s="92" t="str" cm="1">
        <f t="array" ref="D36">INDEX(기계코드!$D$4:$D$214,MATCH(1,(C36=기계코드!$F$4:$F$214)*1,0))</f>
        <v>M_TDIF02</v>
      </c>
      <c r="E36" s="92" t="s">
        <v>1125</v>
      </c>
      <c r="F36" s="7" t="str" cm="1">
        <f t="array" ref="F36">INDEX(공급업체코드!$B$3:$B$1000,MATCH(1,(E36=공급업체코드!$D$3:$D$1000)*1,0))</f>
        <v>VM_0000</v>
      </c>
      <c r="H36" s="64">
        <v>90</v>
      </c>
      <c r="I36" s="64"/>
      <c r="J36" s="64"/>
      <c r="K36" s="64"/>
      <c r="L36" s="64"/>
      <c r="M36" s="64"/>
      <c r="N36" s="136">
        <v>1</v>
      </c>
      <c r="O36" s="175">
        <v>200</v>
      </c>
      <c r="P36" s="136">
        <v>50</v>
      </c>
      <c r="Q36" s="64"/>
      <c r="R36" s="70"/>
      <c r="T36" s="64"/>
      <c r="X36">
        <v>0.123</v>
      </c>
      <c r="Y36" s="258" t="s">
        <v>1374</v>
      </c>
      <c r="Z36" s="10">
        <v>39</v>
      </c>
      <c r="AA36" s="259" t="s">
        <v>1391</v>
      </c>
      <c r="AB36" s="20" t="s">
        <v>1061</v>
      </c>
      <c r="AC36" s="64">
        <v>45000000</v>
      </c>
      <c r="AE36" s="18" t="s">
        <v>1315</v>
      </c>
      <c r="AF36" s="1" t="b">
        <v>1</v>
      </c>
      <c r="AN36" s="111"/>
      <c r="AO36" s="111"/>
      <c r="AP36" s="41"/>
    </row>
    <row r="37" spans="2:42" s="203" customFormat="1">
      <c r="B37" s="226" t="str">
        <f>D37&amp;"_"&amp;F37&amp;"_"&amp;H37&amp;"_"&amp;N37&amp;"_"&amp;O37&amp;"_"&amp;P37</f>
        <v>M_TDIF02_VM_0000_90_2_100_32</v>
      </c>
      <c r="C37" s="281" t="s">
        <v>694</v>
      </c>
      <c r="D37" s="281" t="str" cm="1">
        <f t="array" ref="D37">INDEX(기계코드!$D$4:$D$214,MATCH(1,(C37=기계코드!$F$4:$F$214)*1,0))</f>
        <v>M_TDIF02</v>
      </c>
      <c r="E37" s="281" t="s">
        <v>1125</v>
      </c>
      <c r="F37" s="225" t="str" cm="1">
        <f t="array" ref="F37">INDEX(공급업체코드!$B$3:$B$1000,MATCH(1,(E37=공급업체코드!$D$3:$D$1000)*1,0))</f>
        <v>VM_0000</v>
      </c>
      <c r="G37" s="227"/>
      <c r="H37" s="282">
        <v>90</v>
      </c>
      <c r="I37" s="282"/>
      <c r="J37" s="282"/>
      <c r="K37" s="282"/>
      <c r="L37" s="282"/>
      <c r="M37" s="282"/>
      <c r="N37" s="286">
        <v>2</v>
      </c>
      <c r="O37" s="287">
        <v>100</v>
      </c>
      <c r="P37" s="286">
        <v>32</v>
      </c>
      <c r="Q37" s="282"/>
      <c r="R37" s="283"/>
      <c r="T37" s="282"/>
      <c r="X37">
        <v>0.123</v>
      </c>
      <c r="Y37" s="305" t="s">
        <v>1374</v>
      </c>
      <c r="Z37" s="131">
        <v>39</v>
      </c>
      <c r="AA37" s="306" t="s">
        <v>1391</v>
      </c>
      <c r="AB37" s="307" t="s">
        <v>1061</v>
      </c>
      <c r="AC37" s="282">
        <v>45000000</v>
      </c>
      <c r="AE37" s="227" t="s">
        <v>1315</v>
      </c>
      <c r="AF37" s="226" t="b">
        <v>1</v>
      </c>
      <c r="AH37" s="284"/>
      <c r="AN37" s="310"/>
      <c r="AO37" s="310"/>
      <c r="AP37" s="309"/>
    </row>
    <row r="38" spans="2:42">
      <c r="B38" s="1" t="str">
        <f>D38&amp;"_"&amp;F38&amp;"_"&amp;H38&amp;"_"&amp;N38&amp;"_"&amp;O38&amp;"_"&amp;P38</f>
        <v>M_TDIF02_VM_0000_90_2_200_50</v>
      </c>
      <c r="C38" s="92" t="s">
        <v>694</v>
      </c>
      <c r="D38" s="92" t="str" cm="1">
        <f t="array" ref="D38">INDEX(기계코드!$D$4:$D$214,MATCH(1,(C38=기계코드!$F$4:$F$214)*1,0))</f>
        <v>M_TDIF02</v>
      </c>
      <c r="E38" s="92" t="s">
        <v>1125</v>
      </c>
      <c r="F38" s="7" t="str" cm="1">
        <f t="array" ref="F38">INDEX(공급업체코드!$B$3:$B$1000,MATCH(1,(E38=공급업체코드!$D$3:$D$1000)*1,0))</f>
        <v>VM_0000</v>
      </c>
      <c r="H38" s="64">
        <v>90</v>
      </c>
      <c r="I38" s="64"/>
      <c r="J38" s="64"/>
      <c r="K38" s="64"/>
      <c r="L38" s="64"/>
      <c r="M38" s="64"/>
      <c r="N38" s="136">
        <v>2</v>
      </c>
      <c r="O38" s="175">
        <v>200</v>
      </c>
      <c r="P38" s="136">
        <v>50</v>
      </c>
      <c r="Q38" s="64"/>
      <c r="R38" s="70"/>
      <c r="T38" s="64"/>
      <c r="X38">
        <v>0.123</v>
      </c>
      <c r="Y38" s="258" t="s">
        <v>1374</v>
      </c>
      <c r="Z38" s="10">
        <v>39</v>
      </c>
      <c r="AA38" s="259" t="s">
        <v>1391</v>
      </c>
      <c r="AB38" s="20" t="s">
        <v>1061</v>
      </c>
      <c r="AC38" s="64">
        <v>45000000</v>
      </c>
      <c r="AE38" s="18" t="s">
        <v>1315</v>
      </c>
      <c r="AF38" s="1" t="b">
        <v>1</v>
      </c>
      <c r="AN38" s="111"/>
      <c r="AO38" s="111"/>
      <c r="AP38" s="41"/>
    </row>
    <row r="39" spans="2:42">
      <c r="B39" s="1" t="str">
        <f>D39&amp;"_"&amp;F39&amp;"_"&amp;H39&amp;"_"&amp;N39&amp;"_"&amp;O39&amp;"_"&amp;P39</f>
        <v>M_TDIF02_VM_0000_100_1_100_32</v>
      </c>
      <c r="C39" s="92" t="s">
        <v>694</v>
      </c>
      <c r="D39" s="92" t="str" cm="1">
        <f t="array" ref="D39">INDEX(기계코드!$D$4:$D$214,MATCH(1,(C39=기계코드!$F$4:$F$214)*1,0))</f>
        <v>M_TDIF02</v>
      </c>
      <c r="E39" s="92" t="s">
        <v>1125</v>
      </c>
      <c r="F39" s="7" t="str" cm="1">
        <f t="array" ref="F39">INDEX(공급업체코드!$B$3:$B$1000,MATCH(1,(E39=공급업체코드!$D$3:$D$1000)*1,0))</f>
        <v>VM_0000</v>
      </c>
      <c r="H39" s="64">
        <v>100</v>
      </c>
      <c r="I39" s="64"/>
      <c r="J39" s="64"/>
      <c r="K39" s="64"/>
      <c r="L39" s="64"/>
      <c r="M39" s="64"/>
      <c r="N39" s="136">
        <v>1</v>
      </c>
      <c r="O39" s="175">
        <v>100</v>
      </c>
      <c r="P39" s="136">
        <v>32</v>
      </c>
      <c r="Q39" s="64"/>
      <c r="R39" s="70"/>
      <c r="T39" s="64"/>
      <c r="X39">
        <v>0.123</v>
      </c>
      <c r="Y39" s="258" t="s">
        <v>1374</v>
      </c>
      <c r="Z39" s="10">
        <v>39</v>
      </c>
      <c r="AA39" s="259" t="s">
        <v>1391</v>
      </c>
      <c r="AB39" s="20" t="s">
        <v>1061</v>
      </c>
      <c r="AC39" s="64">
        <v>50000000</v>
      </c>
      <c r="AE39" s="18" t="s">
        <v>1315</v>
      </c>
      <c r="AF39" s="1" t="b">
        <v>1</v>
      </c>
      <c r="AN39" s="41"/>
      <c r="AO39" s="41"/>
      <c r="AP39" s="41"/>
    </row>
    <row r="40" spans="2:42">
      <c r="B40" s="1" t="str">
        <f>D40&amp;"_"&amp;F40&amp;"_"&amp;H40&amp;"_"&amp;N40&amp;"_"&amp;O40&amp;"_"&amp;P40</f>
        <v>M_TDIF02_VM_0000_100_1_200_50</v>
      </c>
      <c r="C40" s="92" t="s">
        <v>694</v>
      </c>
      <c r="D40" s="92" t="str" cm="1">
        <f t="array" ref="D40">INDEX(기계코드!$D$4:$D$214,MATCH(1,(C40=기계코드!$F$4:$F$214)*1,0))</f>
        <v>M_TDIF02</v>
      </c>
      <c r="E40" s="92" t="s">
        <v>1125</v>
      </c>
      <c r="F40" s="7" t="str" cm="1">
        <f t="array" ref="F40">INDEX(공급업체코드!$B$3:$B$1000,MATCH(1,(E40=공급업체코드!$D$3:$D$1000)*1,0))</f>
        <v>VM_0000</v>
      </c>
      <c r="H40" s="64">
        <v>100</v>
      </c>
      <c r="I40" s="64"/>
      <c r="J40" s="64"/>
      <c r="K40" s="64"/>
      <c r="L40" s="64"/>
      <c r="M40" s="64"/>
      <c r="N40" s="136">
        <v>1</v>
      </c>
      <c r="O40" s="175">
        <v>200</v>
      </c>
      <c r="P40" s="136">
        <v>50</v>
      </c>
      <c r="Q40" s="64"/>
      <c r="R40" s="70"/>
      <c r="T40" s="64"/>
      <c r="X40">
        <v>0.123</v>
      </c>
      <c r="Y40" s="258" t="s">
        <v>1374</v>
      </c>
      <c r="Z40" s="10">
        <v>39</v>
      </c>
      <c r="AA40" s="259" t="s">
        <v>1391</v>
      </c>
      <c r="AB40" s="20" t="s">
        <v>1061</v>
      </c>
      <c r="AC40" s="64">
        <v>50000000</v>
      </c>
      <c r="AE40" s="18" t="s">
        <v>1315</v>
      </c>
      <c r="AF40" s="1" t="b">
        <v>1</v>
      </c>
      <c r="AN40" s="41"/>
      <c r="AO40" s="41"/>
      <c r="AP40" s="41"/>
    </row>
    <row r="41" spans="2:42" s="203" customFormat="1">
      <c r="B41" s="226" t="str">
        <f>D41&amp;"_"&amp;F41&amp;"_"&amp;H41&amp;"_"&amp;N41&amp;"_"&amp;O41&amp;"_"&amp;P41</f>
        <v>M_TDIF02_VM_0000_100_2_100_32</v>
      </c>
      <c r="C41" s="281" t="s">
        <v>694</v>
      </c>
      <c r="D41" s="281" t="str" cm="1">
        <f t="array" ref="D41">INDEX(기계코드!$D$4:$D$214,MATCH(1,(C41=기계코드!$F$4:$F$214)*1,0))</f>
        <v>M_TDIF02</v>
      </c>
      <c r="E41" s="281" t="s">
        <v>1125</v>
      </c>
      <c r="F41" s="225" t="str" cm="1">
        <f t="array" ref="F41">INDEX(공급업체코드!$B$3:$B$1000,MATCH(1,(E41=공급업체코드!$D$3:$D$1000)*1,0))</f>
        <v>VM_0000</v>
      </c>
      <c r="G41" s="227"/>
      <c r="H41" s="282">
        <v>100</v>
      </c>
      <c r="I41" s="282"/>
      <c r="J41" s="282"/>
      <c r="K41" s="282"/>
      <c r="L41" s="282"/>
      <c r="M41" s="282"/>
      <c r="N41" s="286">
        <v>2</v>
      </c>
      <c r="O41" s="287">
        <v>100</v>
      </c>
      <c r="P41" s="286">
        <v>32</v>
      </c>
      <c r="Q41" s="282"/>
      <c r="R41" s="283"/>
      <c r="T41" s="282"/>
      <c r="X41">
        <v>0.123</v>
      </c>
      <c r="Y41" s="305" t="s">
        <v>1374</v>
      </c>
      <c r="Z41" s="131">
        <v>39</v>
      </c>
      <c r="AA41" s="306" t="s">
        <v>1391</v>
      </c>
      <c r="AB41" s="307" t="s">
        <v>1061</v>
      </c>
      <c r="AC41" s="282">
        <v>50000000</v>
      </c>
      <c r="AE41" s="227" t="s">
        <v>1315</v>
      </c>
      <c r="AF41" s="226" t="b">
        <v>1</v>
      </c>
      <c r="AH41" s="284"/>
      <c r="AN41" s="309"/>
      <c r="AO41" s="309"/>
      <c r="AP41" s="309"/>
    </row>
    <row r="42" spans="2:42">
      <c r="B42" s="1" t="str">
        <f>D42&amp;"_"&amp;F42&amp;"_"&amp;H42&amp;"_"&amp;N42&amp;"_"&amp;O42&amp;"_"&amp;P42</f>
        <v>M_TDIF02_VM_0000_100_2_200_50</v>
      </c>
      <c r="C42" s="92" t="s">
        <v>694</v>
      </c>
      <c r="D42" s="92" t="str" cm="1">
        <f t="array" ref="D42">INDEX(기계코드!$D$4:$D$214,MATCH(1,(C42=기계코드!$F$4:$F$214)*1,0))</f>
        <v>M_TDIF02</v>
      </c>
      <c r="E42" s="92" t="s">
        <v>1125</v>
      </c>
      <c r="F42" s="7" t="str" cm="1">
        <f t="array" ref="F42">INDEX(공급업체코드!$B$3:$B$1000,MATCH(1,(E42=공급업체코드!$D$3:$D$1000)*1,0))</f>
        <v>VM_0000</v>
      </c>
      <c r="H42" s="64">
        <v>100</v>
      </c>
      <c r="I42" s="64"/>
      <c r="J42" s="64"/>
      <c r="K42" s="64"/>
      <c r="L42" s="64"/>
      <c r="M42" s="64"/>
      <c r="N42" s="136">
        <v>2</v>
      </c>
      <c r="O42" s="175">
        <v>200</v>
      </c>
      <c r="P42" s="136">
        <v>50</v>
      </c>
      <c r="Q42" s="64"/>
      <c r="R42" s="70"/>
      <c r="T42" s="64"/>
      <c r="X42">
        <v>0.123</v>
      </c>
      <c r="Y42" s="258" t="s">
        <v>1374</v>
      </c>
      <c r="Z42" s="10">
        <v>39</v>
      </c>
      <c r="AA42" s="259" t="s">
        <v>1391</v>
      </c>
      <c r="AB42" s="20" t="s">
        <v>1061</v>
      </c>
      <c r="AC42" s="64">
        <v>50000000</v>
      </c>
      <c r="AE42" s="18" t="s">
        <v>1315</v>
      </c>
      <c r="AF42" s="1" t="b">
        <v>1</v>
      </c>
      <c r="AN42" s="41"/>
      <c r="AO42" s="41"/>
      <c r="AP42" s="41"/>
    </row>
    <row r="43" spans="2:42">
      <c r="B43" s="1" t="str">
        <f>D43&amp;"_"&amp;F43&amp;"_"&amp;I43&amp;"_"&amp;J43</f>
        <v>M_TDIF03_VM_SEIN_ENC_100_350</v>
      </c>
      <c r="C43" s="92" t="s">
        <v>697</v>
      </c>
      <c r="D43" s="92" t="str" cm="1">
        <f t="array" ref="D43">INDEX(기계코드!$D$4:$D$214,MATCH(1,(C43=기계코드!$F$4:$F$214)*1,0))</f>
        <v>M_TDIF03</v>
      </c>
      <c r="E43" s="92" t="s">
        <v>1880</v>
      </c>
      <c r="F43" s="7" t="str" cm="1">
        <f t="array" ref="F43">INDEX(공급업체코드!$B$3:$B$1000,MATCH(1,(E43=공급업체코드!$D$3:$D$1000)*1,0))</f>
        <v>VM_SEIN_ENC</v>
      </c>
      <c r="H43" s="64"/>
      <c r="I43" s="64">
        <v>100</v>
      </c>
      <c r="J43" s="64">
        <v>350</v>
      </c>
      <c r="K43" s="64"/>
      <c r="L43" s="64"/>
      <c r="M43" s="64"/>
      <c r="N43" s="64"/>
      <c r="O43" s="64"/>
      <c r="P43" s="64"/>
      <c r="Q43" s="64">
        <v>520</v>
      </c>
      <c r="R43" s="70"/>
      <c r="T43" s="64"/>
      <c r="X43">
        <v>0.123</v>
      </c>
      <c r="Y43" s="258" t="s">
        <v>1421</v>
      </c>
      <c r="Z43" s="10">
        <v>39</v>
      </c>
      <c r="AA43" s="259" t="s">
        <v>1391</v>
      </c>
      <c r="AB43" s="20" t="s">
        <v>1081</v>
      </c>
      <c r="AC43">
        <v>110000</v>
      </c>
      <c r="AF43" s="1" t="b">
        <v>1</v>
      </c>
      <c r="AN43" s="111"/>
      <c r="AO43" s="111"/>
      <c r="AP43" s="41"/>
    </row>
    <row r="44" spans="2:42">
      <c r="B44" s="1" t="str">
        <f>D44&amp;"_"&amp;F44&amp;"_"&amp;L44&amp;"_"&amp;M44</f>
        <v>M_TDIF04_VM_BKT_1.3_1</v>
      </c>
      <c r="C44" s="92" t="s">
        <v>700</v>
      </c>
      <c r="D44" s="92" t="str" cm="1">
        <f t="array" ref="D44">INDEX(기계코드!$D$4:$D$214,MATCH(1,(C44=기계코드!$F$4:$F$214)*1,0))</f>
        <v>M_TDIF04</v>
      </c>
      <c r="E44" s="92" t="s">
        <v>1128</v>
      </c>
      <c r="F44" s="7" t="str" cm="1">
        <f t="array" ref="F44">INDEX(공급업체코드!$B$3:$B$1000,MATCH(1,(E44=공급업체코드!$D$3:$D$1000)*1,0))</f>
        <v>VM_BKT</v>
      </c>
      <c r="G44" s="18" t="s">
        <v>1881</v>
      </c>
      <c r="H44" s="64"/>
      <c r="I44" s="64"/>
      <c r="J44" s="64"/>
      <c r="K44" s="300">
        <v>1.1000000000000001</v>
      </c>
      <c r="L44" s="300">
        <v>1.3</v>
      </c>
      <c r="M44" s="64">
        <v>1</v>
      </c>
      <c r="N44" s="64"/>
      <c r="O44" s="64"/>
      <c r="P44" s="64"/>
      <c r="Q44" s="64"/>
      <c r="R44" s="70"/>
      <c r="T44" s="64"/>
      <c r="X44">
        <v>0.123</v>
      </c>
      <c r="Y44" s="258" t="s">
        <v>1313</v>
      </c>
      <c r="AA44" s="259" t="s">
        <v>1314</v>
      </c>
      <c r="AB44" s="20" t="s">
        <v>1061</v>
      </c>
      <c r="AC44">
        <v>5000000</v>
      </c>
      <c r="AE44" s="18" t="s">
        <v>1315</v>
      </c>
      <c r="AF44" s="1" t="b">
        <v>1</v>
      </c>
      <c r="AN44" s="41"/>
      <c r="AO44" s="41"/>
      <c r="AP44" s="41"/>
    </row>
    <row r="45" spans="2:42">
      <c r="B45" s="1" t="str">
        <f t="shared" ref="B45:B108" si="0">D45&amp;"_"&amp;F45&amp;"_"&amp;L45&amp;"_"&amp;M45</f>
        <v>M_TDIF04_VM_BKT_1.3_2</v>
      </c>
      <c r="C45" s="92" t="s">
        <v>700</v>
      </c>
      <c r="D45" s="92" t="str" cm="1">
        <f t="array" ref="D45">INDEX(기계코드!$D$4:$D$214,MATCH(1,(C45=기계코드!$F$4:$F$214)*1,0))</f>
        <v>M_TDIF04</v>
      </c>
      <c r="E45" s="92" t="s">
        <v>1128</v>
      </c>
      <c r="F45" s="7" t="str" cm="1">
        <f t="array" ref="F45">INDEX(공급업체코드!$B$3:$B$1000,MATCH(1,(E45=공급업체코드!$D$3:$D$1000)*1,0))</f>
        <v>VM_BKT</v>
      </c>
      <c r="G45" s="18" t="s">
        <v>1881</v>
      </c>
      <c r="H45" s="64"/>
      <c r="I45" s="64"/>
      <c r="J45" s="64"/>
      <c r="K45" s="300">
        <v>1.1000000000000001</v>
      </c>
      <c r="L45" s="300">
        <v>1.3</v>
      </c>
      <c r="M45" s="64">
        <v>2</v>
      </c>
      <c r="N45" s="64"/>
      <c r="O45" s="64"/>
      <c r="P45" s="64"/>
      <c r="Q45" s="64"/>
      <c r="R45" s="70"/>
      <c r="T45" s="64"/>
      <c r="X45">
        <v>0.123</v>
      </c>
      <c r="Y45" s="258" t="s">
        <v>1313</v>
      </c>
      <c r="AA45" s="259" t="s">
        <v>1314</v>
      </c>
      <c r="AB45" s="20" t="s">
        <v>1061</v>
      </c>
      <c r="AC45">
        <f>M45*$AC$44</f>
        <v>10000000</v>
      </c>
      <c r="AE45" s="18" t="s">
        <v>1315</v>
      </c>
      <c r="AF45" s="1" t="b">
        <v>1</v>
      </c>
      <c r="AN45" s="41"/>
      <c r="AO45" s="41"/>
      <c r="AP45" s="41"/>
    </row>
    <row r="46" spans="2:42">
      <c r="B46" s="1" t="str">
        <f t="shared" si="0"/>
        <v>M_TDIF04_VM_BKT_1.3_3</v>
      </c>
      <c r="C46" s="92" t="s">
        <v>700</v>
      </c>
      <c r="D46" s="92" t="str" cm="1">
        <f t="array" ref="D46">INDEX(기계코드!$D$4:$D$214,MATCH(1,(C46=기계코드!$F$4:$F$214)*1,0))</f>
        <v>M_TDIF04</v>
      </c>
      <c r="E46" s="92" t="s">
        <v>1128</v>
      </c>
      <c r="F46" s="7" t="str" cm="1">
        <f t="array" ref="F46">INDEX(공급업체코드!$B$3:$B$1000,MATCH(1,(E46=공급업체코드!$D$3:$D$1000)*1,0))</f>
        <v>VM_BKT</v>
      </c>
      <c r="G46" s="18" t="s">
        <v>1881</v>
      </c>
      <c r="H46" s="64"/>
      <c r="I46" s="64"/>
      <c r="J46" s="64"/>
      <c r="K46" s="300">
        <v>1.1000000000000001</v>
      </c>
      <c r="L46" s="300">
        <v>1.3</v>
      </c>
      <c r="M46" s="64">
        <v>3</v>
      </c>
      <c r="N46" s="64"/>
      <c r="O46" s="64"/>
      <c r="P46" s="64"/>
      <c r="Q46" s="64"/>
      <c r="R46" s="70"/>
      <c r="T46" s="64"/>
      <c r="X46">
        <v>0.123</v>
      </c>
      <c r="Y46" s="258" t="s">
        <v>1313</v>
      </c>
      <c r="AA46" s="259" t="s">
        <v>1314</v>
      </c>
      <c r="AB46" s="20" t="s">
        <v>1061</v>
      </c>
      <c r="AC46">
        <f t="shared" ref="AC46:AC109" si="1">M46*$AC$44</f>
        <v>15000000</v>
      </c>
      <c r="AE46" s="18" t="s">
        <v>1315</v>
      </c>
      <c r="AF46" s="1" t="b">
        <v>1</v>
      </c>
      <c r="AN46" s="111"/>
      <c r="AO46" s="111"/>
      <c r="AP46" s="41"/>
    </row>
    <row r="47" spans="2:42">
      <c r="B47" s="1" t="str">
        <f t="shared" si="0"/>
        <v>M_TDIF04_VM_BKT_1.3_4</v>
      </c>
      <c r="C47" s="92" t="s">
        <v>700</v>
      </c>
      <c r="D47" s="92" t="str" cm="1">
        <f t="array" ref="D47">INDEX(기계코드!$D$4:$D$214,MATCH(1,(C47=기계코드!$F$4:$F$214)*1,0))</f>
        <v>M_TDIF04</v>
      </c>
      <c r="E47" s="92" t="s">
        <v>1128</v>
      </c>
      <c r="F47" s="7" t="str" cm="1">
        <f t="array" ref="F47">INDEX(공급업체코드!$B$3:$B$1000,MATCH(1,(E47=공급업체코드!$D$3:$D$1000)*1,0))</f>
        <v>VM_BKT</v>
      </c>
      <c r="G47" s="18" t="s">
        <v>1881</v>
      </c>
      <c r="H47" s="64"/>
      <c r="I47" s="64"/>
      <c r="J47" s="64"/>
      <c r="K47" s="300">
        <v>1.1000000000000001</v>
      </c>
      <c r="L47" s="300">
        <v>1.3</v>
      </c>
      <c r="M47" s="64">
        <v>4</v>
      </c>
      <c r="N47" s="64"/>
      <c r="O47" s="64"/>
      <c r="P47" s="64"/>
      <c r="Q47" s="64"/>
      <c r="R47" s="70"/>
      <c r="T47" s="64"/>
      <c r="X47">
        <v>0.123</v>
      </c>
      <c r="Y47" s="258" t="s">
        <v>1313</v>
      </c>
      <c r="AA47" s="259" t="s">
        <v>1314</v>
      </c>
      <c r="AB47" s="20" t="s">
        <v>1061</v>
      </c>
      <c r="AC47">
        <f t="shared" si="1"/>
        <v>20000000</v>
      </c>
      <c r="AE47" s="18" t="s">
        <v>1315</v>
      </c>
      <c r="AF47" s="1" t="b">
        <v>1</v>
      </c>
      <c r="AN47" s="41"/>
      <c r="AO47" s="41"/>
      <c r="AP47" s="41"/>
    </row>
    <row r="48" spans="2:42">
      <c r="B48" s="1" t="str">
        <f t="shared" si="0"/>
        <v>M_TDIF04_VM_BKT_1.3_5</v>
      </c>
      <c r="C48" s="92" t="s">
        <v>700</v>
      </c>
      <c r="D48" s="92" t="str" cm="1">
        <f t="array" ref="D48">INDEX(기계코드!$D$4:$D$214,MATCH(1,(C48=기계코드!$F$4:$F$214)*1,0))</f>
        <v>M_TDIF04</v>
      </c>
      <c r="E48" s="92" t="s">
        <v>1128</v>
      </c>
      <c r="F48" s="7" t="str" cm="1">
        <f t="array" ref="F48">INDEX(공급업체코드!$B$3:$B$1000,MATCH(1,(E48=공급업체코드!$D$3:$D$1000)*1,0))</f>
        <v>VM_BKT</v>
      </c>
      <c r="G48" s="18" t="s">
        <v>1881</v>
      </c>
      <c r="H48" s="64"/>
      <c r="I48" s="64"/>
      <c r="J48" s="64"/>
      <c r="K48" s="300">
        <v>1.1000000000000001</v>
      </c>
      <c r="L48" s="300">
        <v>1.3</v>
      </c>
      <c r="M48" s="64">
        <v>5</v>
      </c>
      <c r="N48" s="64"/>
      <c r="O48" s="64"/>
      <c r="P48" s="64"/>
      <c r="Q48" s="64"/>
      <c r="R48" s="70"/>
      <c r="T48" s="64"/>
      <c r="X48">
        <v>0.123</v>
      </c>
      <c r="Y48" s="258" t="s">
        <v>1313</v>
      </c>
      <c r="AA48" s="259" t="s">
        <v>1314</v>
      </c>
      <c r="AB48" s="20" t="s">
        <v>1061</v>
      </c>
      <c r="AC48">
        <f t="shared" si="1"/>
        <v>25000000</v>
      </c>
      <c r="AE48" s="18" t="s">
        <v>1315</v>
      </c>
      <c r="AF48" s="1" t="b">
        <v>1</v>
      </c>
      <c r="AN48" s="111"/>
      <c r="AO48" s="111"/>
      <c r="AP48" s="41"/>
    </row>
    <row r="49" spans="2:42">
      <c r="B49" s="1" t="str">
        <f t="shared" si="0"/>
        <v>M_TDIF04_VM_BKT_1.3_6</v>
      </c>
      <c r="C49" s="92" t="s">
        <v>700</v>
      </c>
      <c r="D49" s="92" t="str" cm="1">
        <f t="array" ref="D49">INDEX(기계코드!$D$4:$D$214,MATCH(1,(C49=기계코드!$F$4:$F$214)*1,0))</f>
        <v>M_TDIF04</v>
      </c>
      <c r="E49" s="92" t="s">
        <v>1128</v>
      </c>
      <c r="F49" s="7" t="str" cm="1">
        <f t="array" ref="F49">INDEX(공급업체코드!$B$3:$B$1000,MATCH(1,(E49=공급업체코드!$D$3:$D$1000)*1,0))</f>
        <v>VM_BKT</v>
      </c>
      <c r="G49" s="18" t="s">
        <v>1881</v>
      </c>
      <c r="H49" s="64"/>
      <c r="I49" s="64"/>
      <c r="J49" s="64"/>
      <c r="K49" s="300">
        <v>1.1000000000000001</v>
      </c>
      <c r="L49" s="300">
        <v>1.3</v>
      </c>
      <c r="M49" s="64">
        <v>6</v>
      </c>
      <c r="N49" s="64"/>
      <c r="O49" s="64"/>
      <c r="P49" s="64"/>
      <c r="Q49" s="64"/>
      <c r="R49" s="70"/>
      <c r="T49" s="64"/>
      <c r="X49">
        <v>0.123</v>
      </c>
      <c r="Y49" s="258" t="s">
        <v>1313</v>
      </c>
      <c r="AA49" s="259" t="s">
        <v>1314</v>
      </c>
      <c r="AB49" s="20" t="s">
        <v>1061</v>
      </c>
      <c r="AC49">
        <f t="shared" si="1"/>
        <v>30000000</v>
      </c>
      <c r="AE49" s="18" t="s">
        <v>1315</v>
      </c>
      <c r="AF49" s="1" t="b">
        <v>1</v>
      </c>
      <c r="AN49" s="111"/>
      <c r="AO49" s="111"/>
      <c r="AP49" s="111"/>
    </row>
    <row r="50" spans="2:42">
      <c r="B50" s="1" t="str">
        <f t="shared" si="0"/>
        <v>M_TDIF04_VM_BKT_1.3_7</v>
      </c>
      <c r="C50" s="92" t="s">
        <v>700</v>
      </c>
      <c r="D50" s="92" t="str" cm="1">
        <f t="array" ref="D50">INDEX(기계코드!$D$4:$D$214,MATCH(1,(C50=기계코드!$F$4:$F$214)*1,0))</f>
        <v>M_TDIF04</v>
      </c>
      <c r="E50" s="92" t="s">
        <v>1128</v>
      </c>
      <c r="F50" s="7" t="str" cm="1">
        <f t="array" ref="F50">INDEX(공급업체코드!$B$3:$B$1000,MATCH(1,(E50=공급업체코드!$D$3:$D$1000)*1,0))</f>
        <v>VM_BKT</v>
      </c>
      <c r="G50" s="18" t="s">
        <v>1881</v>
      </c>
      <c r="H50" s="64"/>
      <c r="I50" s="64"/>
      <c r="J50" s="64"/>
      <c r="K50" s="300">
        <v>1.1000000000000001</v>
      </c>
      <c r="L50" s="300">
        <v>1.3</v>
      </c>
      <c r="M50" s="64">
        <v>7</v>
      </c>
      <c r="N50" s="64"/>
      <c r="O50" s="64"/>
      <c r="P50" s="64"/>
      <c r="Q50" s="64"/>
      <c r="R50" s="70"/>
      <c r="T50" s="64"/>
      <c r="X50">
        <v>0.123</v>
      </c>
      <c r="Y50" s="258" t="s">
        <v>1313</v>
      </c>
      <c r="AA50" s="259" t="s">
        <v>1314</v>
      </c>
      <c r="AB50" s="20" t="s">
        <v>1061</v>
      </c>
      <c r="AC50">
        <f t="shared" si="1"/>
        <v>35000000</v>
      </c>
      <c r="AE50" s="18" t="s">
        <v>1315</v>
      </c>
      <c r="AF50" s="1" t="b">
        <v>1</v>
      </c>
      <c r="AN50" s="111"/>
      <c r="AO50" s="111"/>
      <c r="AP50" s="41"/>
    </row>
    <row r="51" spans="2:42">
      <c r="B51" s="1" t="str">
        <f t="shared" si="0"/>
        <v>M_TDIF04_VM_BKT_1.3_8</v>
      </c>
      <c r="C51" s="92" t="s">
        <v>700</v>
      </c>
      <c r="D51" s="92" t="str" cm="1">
        <f t="array" ref="D51">INDEX(기계코드!$D$4:$D$214,MATCH(1,(C51=기계코드!$F$4:$F$214)*1,0))</f>
        <v>M_TDIF04</v>
      </c>
      <c r="E51" s="92" t="s">
        <v>1128</v>
      </c>
      <c r="F51" s="7" t="str" cm="1">
        <f t="array" ref="F51">INDEX(공급업체코드!$B$3:$B$1000,MATCH(1,(E51=공급업체코드!$D$3:$D$1000)*1,0))</f>
        <v>VM_BKT</v>
      </c>
      <c r="G51" s="18" t="s">
        <v>1881</v>
      </c>
      <c r="H51" s="64"/>
      <c r="I51" s="64"/>
      <c r="J51" s="64"/>
      <c r="K51" s="300">
        <v>1.1000000000000001</v>
      </c>
      <c r="L51" s="300">
        <v>1.3</v>
      </c>
      <c r="M51" s="64">
        <v>8</v>
      </c>
      <c r="N51" s="64"/>
      <c r="O51" s="64"/>
      <c r="P51" s="64"/>
      <c r="Q51" s="64"/>
      <c r="R51" s="70"/>
      <c r="T51" s="64"/>
      <c r="X51">
        <v>0.123</v>
      </c>
      <c r="Y51" s="258" t="s">
        <v>1313</v>
      </c>
      <c r="AA51" s="259" t="s">
        <v>1314</v>
      </c>
      <c r="AB51" s="20" t="s">
        <v>1061</v>
      </c>
      <c r="AC51">
        <f t="shared" si="1"/>
        <v>40000000</v>
      </c>
      <c r="AE51" s="18" t="s">
        <v>1315</v>
      </c>
      <c r="AF51" s="1" t="b">
        <v>1</v>
      </c>
      <c r="AN51" s="41"/>
      <c r="AO51" s="41"/>
      <c r="AP51" s="41"/>
    </row>
    <row r="52" spans="2:42">
      <c r="B52" s="1" t="str">
        <f t="shared" si="0"/>
        <v>M_TDIF04_VM_BKT_1.3_9</v>
      </c>
      <c r="C52" s="92" t="s">
        <v>700</v>
      </c>
      <c r="D52" s="92" t="str" cm="1">
        <f t="array" ref="D52">INDEX(기계코드!$D$4:$D$214,MATCH(1,(C52=기계코드!$F$4:$F$214)*1,0))</f>
        <v>M_TDIF04</v>
      </c>
      <c r="E52" s="92" t="s">
        <v>1128</v>
      </c>
      <c r="F52" s="7" t="str" cm="1">
        <f t="array" ref="F52">INDEX(공급업체코드!$B$3:$B$1000,MATCH(1,(E52=공급업체코드!$D$3:$D$1000)*1,0))</f>
        <v>VM_BKT</v>
      </c>
      <c r="G52" s="18" t="s">
        <v>1881</v>
      </c>
      <c r="H52" s="64"/>
      <c r="I52" s="64"/>
      <c r="J52" s="64"/>
      <c r="K52" s="300">
        <v>1.1000000000000001</v>
      </c>
      <c r="L52" s="300">
        <v>1.3</v>
      </c>
      <c r="M52" s="64">
        <v>9</v>
      </c>
      <c r="N52" s="64"/>
      <c r="O52" s="64"/>
      <c r="P52" s="64"/>
      <c r="Q52" s="64"/>
      <c r="R52" s="70"/>
      <c r="T52" s="64"/>
      <c r="X52">
        <v>0.123</v>
      </c>
      <c r="Y52" s="258" t="s">
        <v>1313</v>
      </c>
      <c r="AA52" s="259" t="s">
        <v>1314</v>
      </c>
      <c r="AB52" s="20" t="s">
        <v>1061</v>
      </c>
      <c r="AC52">
        <f t="shared" si="1"/>
        <v>45000000</v>
      </c>
      <c r="AE52" s="18" t="s">
        <v>1315</v>
      </c>
      <c r="AF52" s="1" t="b">
        <v>1</v>
      </c>
      <c r="AN52" s="41"/>
      <c r="AO52" s="41"/>
      <c r="AP52" s="41"/>
    </row>
    <row r="53" spans="2:42">
      <c r="B53" s="1" t="str">
        <f t="shared" si="0"/>
        <v>M_TDIF04_VM_BKT_1.3_10</v>
      </c>
      <c r="C53" s="92" t="s">
        <v>700</v>
      </c>
      <c r="D53" s="92" t="str" cm="1">
        <f t="array" ref="D53">INDEX(기계코드!$D$4:$D$214,MATCH(1,(C53=기계코드!$F$4:$F$214)*1,0))</f>
        <v>M_TDIF04</v>
      </c>
      <c r="E53" s="92" t="s">
        <v>1128</v>
      </c>
      <c r="F53" s="7" t="str" cm="1">
        <f t="array" ref="F53">INDEX(공급업체코드!$B$3:$B$1000,MATCH(1,(E53=공급업체코드!$D$3:$D$1000)*1,0))</f>
        <v>VM_BKT</v>
      </c>
      <c r="G53" s="18" t="s">
        <v>1881</v>
      </c>
      <c r="H53" s="64"/>
      <c r="I53" s="64"/>
      <c r="J53" s="64"/>
      <c r="K53" s="300">
        <v>1.1000000000000001</v>
      </c>
      <c r="L53" s="300">
        <v>1.3</v>
      </c>
      <c r="M53" s="64">
        <v>10</v>
      </c>
      <c r="N53" s="64"/>
      <c r="O53" s="64"/>
      <c r="P53" s="64"/>
      <c r="Q53" s="64"/>
      <c r="R53" s="70"/>
      <c r="T53" s="64"/>
      <c r="X53">
        <v>0.123</v>
      </c>
      <c r="Y53" s="258" t="s">
        <v>1313</v>
      </c>
      <c r="AA53" s="259" t="s">
        <v>1314</v>
      </c>
      <c r="AB53" s="20" t="s">
        <v>1061</v>
      </c>
      <c r="AC53">
        <f t="shared" si="1"/>
        <v>50000000</v>
      </c>
      <c r="AE53" s="18" t="s">
        <v>1315</v>
      </c>
      <c r="AF53" s="1" t="b">
        <v>1</v>
      </c>
      <c r="AN53" s="41"/>
      <c r="AO53" s="41"/>
      <c r="AP53" s="41"/>
    </row>
    <row r="54" spans="2:42">
      <c r="B54" s="1" t="str">
        <f t="shared" si="0"/>
        <v>M_TDIF04_VM_BKT_1.3_11</v>
      </c>
      <c r="C54" s="92" t="s">
        <v>700</v>
      </c>
      <c r="D54" s="92" t="str" cm="1">
        <f t="array" ref="D54">INDEX(기계코드!$D$4:$D$214,MATCH(1,(C54=기계코드!$F$4:$F$214)*1,0))</f>
        <v>M_TDIF04</v>
      </c>
      <c r="E54" s="92" t="s">
        <v>1128</v>
      </c>
      <c r="F54" s="7" t="str" cm="1">
        <f t="array" ref="F54">INDEX(공급업체코드!$B$3:$B$1000,MATCH(1,(E54=공급업체코드!$D$3:$D$1000)*1,0))</f>
        <v>VM_BKT</v>
      </c>
      <c r="G54" s="18" t="s">
        <v>1881</v>
      </c>
      <c r="H54" s="64"/>
      <c r="I54" s="64"/>
      <c r="J54" s="64"/>
      <c r="K54" s="300">
        <v>1.1000000000000001</v>
      </c>
      <c r="L54" s="300">
        <v>1.3</v>
      </c>
      <c r="M54" s="64">
        <v>11</v>
      </c>
      <c r="N54" s="64"/>
      <c r="O54" s="64"/>
      <c r="P54" s="64"/>
      <c r="Q54" s="64"/>
      <c r="R54" s="70"/>
      <c r="T54" s="64"/>
      <c r="X54">
        <v>0.123</v>
      </c>
      <c r="Y54" s="258" t="s">
        <v>1313</v>
      </c>
      <c r="AA54" s="259" t="s">
        <v>1314</v>
      </c>
      <c r="AB54" s="20" t="s">
        <v>1061</v>
      </c>
      <c r="AC54">
        <f t="shared" si="1"/>
        <v>55000000</v>
      </c>
      <c r="AE54" s="18" t="s">
        <v>1315</v>
      </c>
      <c r="AF54" s="1" t="b">
        <v>1</v>
      </c>
      <c r="AN54" s="111"/>
      <c r="AO54" s="111"/>
      <c r="AP54" s="41"/>
    </row>
    <row r="55" spans="2:42">
      <c r="B55" s="1" t="str">
        <f t="shared" si="0"/>
        <v>M_TDIF04_VM_BKT_1.3_12</v>
      </c>
      <c r="C55" s="92" t="s">
        <v>700</v>
      </c>
      <c r="D55" s="92" t="str" cm="1">
        <f t="array" ref="D55">INDEX(기계코드!$D$4:$D$214,MATCH(1,(C55=기계코드!$F$4:$F$214)*1,0))</f>
        <v>M_TDIF04</v>
      </c>
      <c r="E55" s="92" t="s">
        <v>1128</v>
      </c>
      <c r="F55" s="7" t="str" cm="1">
        <f t="array" ref="F55">INDEX(공급업체코드!$B$3:$B$1000,MATCH(1,(E55=공급업체코드!$D$3:$D$1000)*1,0))</f>
        <v>VM_BKT</v>
      </c>
      <c r="G55" s="18" t="s">
        <v>1881</v>
      </c>
      <c r="H55" s="64"/>
      <c r="I55" s="64"/>
      <c r="J55" s="64"/>
      <c r="K55" s="300">
        <v>1.1000000000000001</v>
      </c>
      <c r="L55" s="300">
        <v>1.3</v>
      </c>
      <c r="M55" s="64">
        <v>12</v>
      </c>
      <c r="N55" s="64"/>
      <c r="O55" s="64"/>
      <c r="P55" s="64"/>
      <c r="Q55" s="64"/>
      <c r="R55" s="70"/>
      <c r="T55" s="64"/>
      <c r="X55">
        <v>0.123</v>
      </c>
      <c r="Y55" s="258" t="s">
        <v>1313</v>
      </c>
      <c r="AA55" s="259" t="s">
        <v>1314</v>
      </c>
      <c r="AB55" s="20" t="s">
        <v>1061</v>
      </c>
      <c r="AC55">
        <f t="shared" si="1"/>
        <v>60000000</v>
      </c>
      <c r="AE55" s="18" t="s">
        <v>1315</v>
      </c>
      <c r="AF55" s="1" t="b">
        <v>1</v>
      </c>
      <c r="AN55" s="41"/>
      <c r="AO55" s="41"/>
      <c r="AP55" s="41"/>
    </row>
    <row r="56" spans="2:42">
      <c r="B56" s="1" t="str">
        <f t="shared" si="0"/>
        <v>M_TDIF04_VM_BKT_1.3_13</v>
      </c>
      <c r="C56" s="92" t="s">
        <v>700</v>
      </c>
      <c r="D56" s="92" t="str" cm="1">
        <f t="array" ref="D56">INDEX(기계코드!$D$4:$D$214,MATCH(1,(C56=기계코드!$F$4:$F$214)*1,0))</f>
        <v>M_TDIF04</v>
      </c>
      <c r="E56" s="92" t="s">
        <v>1128</v>
      </c>
      <c r="F56" s="7" t="str" cm="1">
        <f t="array" ref="F56">INDEX(공급업체코드!$B$3:$B$1000,MATCH(1,(E56=공급업체코드!$D$3:$D$1000)*1,0))</f>
        <v>VM_BKT</v>
      </c>
      <c r="G56" s="18" t="s">
        <v>1881</v>
      </c>
      <c r="H56" s="64"/>
      <c r="I56" s="64"/>
      <c r="J56" s="64"/>
      <c r="K56" s="300">
        <v>1.1000000000000001</v>
      </c>
      <c r="L56" s="300">
        <v>1.3</v>
      </c>
      <c r="M56" s="64">
        <v>13</v>
      </c>
      <c r="N56" s="64"/>
      <c r="O56" s="64"/>
      <c r="P56" s="64"/>
      <c r="Q56" s="64"/>
      <c r="R56" s="70"/>
      <c r="T56" s="64"/>
      <c r="X56">
        <v>0.123</v>
      </c>
      <c r="Y56" s="258" t="s">
        <v>1313</v>
      </c>
      <c r="AA56" s="259" t="s">
        <v>1314</v>
      </c>
      <c r="AB56" s="20" t="s">
        <v>1061</v>
      </c>
      <c r="AC56">
        <f t="shared" si="1"/>
        <v>65000000</v>
      </c>
      <c r="AE56" s="18" t="s">
        <v>1315</v>
      </c>
      <c r="AF56" s="1" t="b">
        <v>1</v>
      </c>
      <c r="AN56" s="41"/>
      <c r="AO56" s="41"/>
      <c r="AP56" s="41"/>
    </row>
    <row r="57" spans="2:42">
      <c r="B57" s="1" t="str">
        <f t="shared" si="0"/>
        <v>M_TDIF04_VM_BKT_1.3_14</v>
      </c>
      <c r="C57" s="92" t="s">
        <v>700</v>
      </c>
      <c r="D57" s="92" t="str" cm="1">
        <f t="array" ref="D57">INDEX(기계코드!$D$4:$D$214,MATCH(1,(C57=기계코드!$F$4:$F$214)*1,0))</f>
        <v>M_TDIF04</v>
      </c>
      <c r="E57" s="92" t="s">
        <v>1128</v>
      </c>
      <c r="F57" s="7" t="str" cm="1">
        <f t="array" ref="F57">INDEX(공급업체코드!$B$3:$B$1000,MATCH(1,(E57=공급업체코드!$D$3:$D$1000)*1,0))</f>
        <v>VM_BKT</v>
      </c>
      <c r="G57" s="18" t="s">
        <v>1881</v>
      </c>
      <c r="H57" s="64"/>
      <c r="I57" s="64"/>
      <c r="J57" s="64"/>
      <c r="K57" s="300">
        <v>1.1000000000000001</v>
      </c>
      <c r="L57" s="300">
        <v>1.3</v>
      </c>
      <c r="M57" s="64">
        <v>14</v>
      </c>
      <c r="N57" s="64"/>
      <c r="O57" s="64"/>
      <c r="P57" s="64"/>
      <c r="Q57" s="64"/>
      <c r="R57" s="70"/>
      <c r="T57" s="64"/>
      <c r="X57">
        <v>0.123</v>
      </c>
      <c r="Y57" s="258" t="s">
        <v>1313</v>
      </c>
      <c r="AA57" s="259" t="s">
        <v>1314</v>
      </c>
      <c r="AB57" s="20" t="s">
        <v>1061</v>
      </c>
      <c r="AC57">
        <f t="shared" si="1"/>
        <v>70000000</v>
      </c>
      <c r="AE57" s="18" t="s">
        <v>1315</v>
      </c>
      <c r="AF57" s="1" t="b">
        <v>1</v>
      </c>
      <c r="AN57" s="41"/>
      <c r="AO57" s="41"/>
      <c r="AP57" s="41"/>
    </row>
    <row r="58" spans="2:42">
      <c r="B58" s="1" t="str">
        <f t="shared" si="0"/>
        <v>M_TDIF04_VM_BKT_1.3_15</v>
      </c>
      <c r="C58" s="92" t="s">
        <v>700</v>
      </c>
      <c r="D58" s="92" t="str" cm="1">
        <f t="array" ref="D58">INDEX(기계코드!$D$4:$D$214,MATCH(1,(C58=기계코드!$F$4:$F$214)*1,0))</f>
        <v>M_TDIF04</v>
      </c>
      <c r="E58" s="92" t="s">
        <v>1128</v>
      </c>
      <c r="F58" s="7" t="str" cm="1">
        <f t="array" ref="F58">INDEX(공급업체코드!$B$3:$B$1000,MATCH(1,(E58=공급업체코드!$D$3:$D$1000)*1,0))</f>
        <v>VM_BKT</v>
      </c>
      <c r="G58" s="18" t="s">
        <v>1881</v>
      </c>
      <c r="H58" s="64"/>
      <c r="I58" s="64"/>
      <c r="J58" s="64"/>
      <c r="K58" s="300">
        <v>1.1000000000000001</v>
      </c>
      <c r="L58" s="300">
        <v>1.3</v>
      </c>
      <c r="M58" s="64">
        <v>15</v>
      </c>
      <c r="N58" s="64"/>
      <c r="O58" s="64"/>
      <c r="P58" s="64"/>
      <c r="Q58" s="64"/>
      <c r="R58" s="70"/>
      <c r="T58" s="64"/>
      <c r="X58">
        <v>0.123</v>
      </c>
      <c r="Y58" s="258" t="s">
        <v>1313</v>
      </c>
      <c r="AA58" s="259" t="s">
        <v>1314</v>
      </c>
      <c r="AB58" s="20" t="s">
        <v>1061</v>
      </c>
      <c r="AC58">
        <f t="shared" si="1"/>
        <v>75000000</v>
      </c>
      <c r="AE58" s="18" t="s">
        <v>1315</v>
      </c>
      <c r="AF58" s="1" t="b">
        <v>1</v>
      </c>
      <c r="AN58" s="111"/>
      <c r="AO58" s="111"/>
      <c r="AP58" s="41"/>
    </row>
    <row r="59" spans="2:42">
      <c r="B59" s="1" t="str">
        <f t="shared" si="0"/>
        <v>M_TDIF04_VM_BKT_1.3_16</v>
      </c>
      <c r="C59" s="92" t="s">
        <v>700</v>
      </c>
      <c r="D59" s="92" t="str" cm="1">
        <f t="array" ref="D59">INDEX(기계코드!$D$4:$D$214,MATCH(1,(C59=기계코드!$F$4:$F$214)*1,0))</f>
        <v>M_TDIF04</v>
      </c>
      <c r="E59" s="92" t="s">
        <v>1128</v>
      </c>
      <c r="F59" s="7" t="str" cm="1">
        <f t="array" ref="F59">INDEX(공급업체코드!$B$3:$B$1000,MATCH(1,(E59=공급업체코드!$D$3:$D$1000)*1,0))</f>
        <v>VM_BKT</v>
      </c>
      <c r="G59" s="18" t="s">
        <v>1881</v>
      </c>
      <c r="H59" s="64"/>
      <c r="I59" s="64"/>
      <c r="J59" s="64"/>
      <c r="K59" s="300">
        <v>1.1000000000000001</v>
      </c>
      <c r="L59" s="300">
        <v>1.3</v>
      </c>
      <c r="M59" s="64">
        <v>16</v>
      </c>
      <c r="N59" s="64"/>
      <c r="O59" s="64"/>
      <c r="P59" s="64"/>
      <c r="Q59" s="64"/>
      <c r="R59" s="70"/>
      <c r="T59" s="64"/>
      <c r="X59">
        <v>0.123</v>
      </c>
      <c r="Y59" s="258" t="s">
        <v>1313</v>
      </c>
      <c r="AA59" s="259" t="s">
        <v>1314</v>
      </c>
      <c r="AB59" s="20" t="s">
        <v>1061</v>
      </c>
      <c r="AC59">
        <f t="shared" si="1"/>
        <v>80000000</v>
      </c>
      <c r="AE59" s="18" t="s">
        <v>1315</v>
      </c>
      <c r="AF59" s="1" t="b">
        <v>1</v>
      </c>
      <c r="AN59" s="41"/>
      <c r="AO59" s="41"/>
      <c r="AP59" s="41"/>
    </row>
    <row r="60" spans="2:42">
      <c r="B60" s="1" t="str">
        <f t="shared" si="0"/>
        <v>M_TDIF04_VM_BKT_1.3_17</v>
      </c>
      <c r="C60" s="92" t="s">
        <v>700</v>
      </c>
      <c r="D60" s="92" t="str" cm="1">
        <f t="array" ref="D60">INDEX(기계코드!$D$4:$D$214,MATCH(1,(C60=기계코드!$F$4:$F$214)*1,0))</f>
        <v>M_TDIF04</v>
      </c>
      <c r="E60" s="92" t="s">
        <v>1128</v>
      </c>
      <c r="F60" s="7" t="str" cm="1">
        <f t="array" ref="F60">INDEX(공급업체코드!$B$3:$B$1000,MATCH(1,(E60=공급업체코드!$D$3:$D$1000)*1,0))</f>
        <v>VM_BKT</v>
      </c>
      <c r="G60" s="18" t="s">
        <v>1881</v>
      </c>
      <c r="H60" s="64"/>
      <c r="I60" s="64"/>
      <c r="J60" s="64"/>
      <c r="K60" s="300">
        <v>1.1000000000000001</v>
      </c>
      <c r="L60" s="300">
        <v>1.3</v>
      </c>
      <c r="M60" s="64">
        <v>17</v>
      </c>
      <c r="N60" s="64"/>
      <c r="O60" s="64"/>
      <c r="P60" s="64"/>
      <c r="Q60" s="64"/>
      <c r="R60" s="70"/>
      <c r="T60" s="64"/>
      <c r="X60">
        <v>0.123</v>
      </c>
      <c r="Y60" s="258" t="s">
        <v>1313</v>
      </c>
      <c r="AA60" s="259" t="s">
        <v>1314</v>
      </c>
      <c r="AB60" s="20" t="s">
        <v>1061</v>
      </c>
      <c r="AC60">
        <f t="shared" si="1"/>
        <v>85000000</v>
      </c>
      <c r="AE60" s="18" t="s">
        <v>1315</v>
      </c>
      <c r="AF60" s="1" t="b">
        <v>1</v>
      </c>
      <c r="AN60" s="41"/>
      <c r="AO60" s="41"/>
      <c r="AP60" s="41"/>
    </row>
    <row r="61" spans="2:42">
      <c r="B61" s="1" t="str">
        <f t="shared" si="0"/>
        <v>M_TDIF04_VM_BKT_1.3_18</v>
      </c>
      <c r="C61" s="92" t="s">
        <v>700</v>
      </c>
      <c r="D61" s="92" t="str" cm="1">
        <f t="array" ref="D61">INDEX(기계코드!$D$4:$D$214,MATCH(1,(C61=기계코드!$F$4:$F$214)*1,0))</f>
        <v>M_TDIF04</v>
      </c>
      <c r="E61" s="92" t="s">
        <v>1128</v>
      </c>
      <c r="F61" s="7" t="str" cm="1">
        <f t="array" ref="F61">INDEX(공급업체코드!$B$3:$B$1000,MATCH(1,(E61=공급업체코드!$D$3:$D$1000)*1,0))</f>
        <v>VM_BKT</v>
      </c>
      <c r="G61" s="18" t="s">
        <v>1881</v>
      </c>
      <c r="H61" s="64"/>
      <c r="I61" s="64"/>
      <c r="J61" s="64"/>
      <c r="K61" s="300">
        <v>1.1000000000000001</v>
      </c>
      <c r="L61" s="300">
        <v>1.3</v>
      </c>
      <c r="M61" s="64">
        <v>18</v>
      </c>
      <c r="N61" s="64"/>
      <c r="O61" s="64"/>
      <c r="P61" s="64"/>
      <c r="Q61" s="64"/>
      <c r="R61" s="70"/>
      <c r="T61" s="64"/>
      <c r="X61">
        <v>0.123</v>
      </c>
      <c r="Y61" s="258" t="s">
        <v>1313</v>
      </c>
      <c r="AA61" s="259" t="s">
        <v>1314</v>
      </c>
      <c r="AB61" s="20" t="s">
        <v>1061</v>
      </c>
      <c r="AC61">
        <f t="shared" si="1"/>
        <v>90000000</v>
      </c>
      <c r="AE61" s="18" t="s">
        <v>1315</v>
      </c>
      <c r="AF61" s="1" t="b">
        <v>1</v>
      </c>
      <c r="AN61" s="41"/>
      <c r="AO61" s="41"/>
      <c r="AP61" s="41"/>
    </row>
    <row r="62" spans="2:42">
      <c r="B62" s="1" t="str">
        <f t="shared" si="0"/>
        <v>M_TDIF04_VM_BKT_1.3_19</v>
      </c>
      <c r="C62" s="92" t="s">
        <v>700</v>
      </c>
      <c r="D62" s="92" t="str" cm="1">
        <f t="array" ref="D62">INDEX(기계코드!$D$4:$D$214,MATCH(1,(C62=기계코드!$F$4:$F$214)*1,0))</f>
        <v>M_TDIF04</v>
      </c>
      <c r="E62" s="92" t="s">
        <v>1128</v>
      </c>
      <c r="F62" s="7" t="str" cm="1">
        <f t="array" ref="F62">INDEX(공급업체코드!$B$3:$B$1000,MATCH(1,(E62=공급업체코드!$D$3:$D$1000)*1,0))</f>
        <v>VM_BKT</v>
      </c>
      <c r="G62" s="18" t="s">
        <v>1881</v>
      </c>
      <c r="H62" s="64"/>
      <c r="I62" s="64"/>
      <c r="J62" s="64"/>
      <c r="K62" s="300">
        <v>1.1000000000000001</v>
      </c>
      <c r="L62" s="300">
        <v>1.3</v>
      </c>
      <c r="M62" s="64">
        <v>19</v>
      </c>
      <c r="N62" s="64"/>
      <c r="O62" s="64"/>
      <c r="P62" s="64"/>
      <c r="Q62" s="64"/>
      <c r="R62" s="70"/>
      <c r="T62" s="64"/>
      <c r="X62">
        <v>0.123</v>
      </c>
      <c r="Y62" s="258" t="s">
        <v>1313</v>
      </c>
      <c r="AA62" s="259" t="s">
        <v>1314</v>
      </c>
      <c r="AB62" s="20" t="s">
        <v>1061</v>
      </c>
      <c r="AC62">
        <f t="shared" si="1"/>
        <v>95000000</v>
      </c>
      <c r="AE62" s="18" t="s">
        <v>1315</v>
      </c>
      <c r="AF62" s="1" t="b">
        <v>1</v>
      </c>
      <c r="AN62" s="111"/>
      <c r="AO62" s="111"/>
      <c r="AP62" s="41"/>
    </row>
    <row r="63" spans="2:42">
      <c r="B63" s="1" t="str">
        <f t="shared" si="0"/>
        <v>M_TDIF04_VM_BKT_1.3_20</v>
      </c>
      <c r="C63" s="92" t="s">
        <v>700</v>
      </c>
      <c r="D63" s="92" t="str" cm="1">
        <f t="array" ref="D63">INDEX(기계코드!$D$4:$D$214,MATCH(1,(C63=기계코드!$F$4:$F$214)*1,0))</f>
        <v>M_TDIF04</v>
      </c>
      <c r="E63" s="92" t="s">
        <v>1128</v>
      </c>
      <c r="F63" s="7" t="str" cm="1">
        <f t="array" ref="F63">INDEX(공급업체코드!$B$3:$B$1000,MATCH(1,(E63=공급업체코드!$D$3:$D$1000)*1,0))</f>
        <v>VM_BKT</v>
      </c>
      <c r="G63" s="18" t="s">
        <v>1881</v>
      </c>
      <c r="H63" s="64"/>
      <c r="I63" s="64"/>
      <c r="J63" s="64"/>
      <c r="K63" s="300">
        <v>1.1000000000000001</v>
      </c>
      <c r="L63" s="300">
        <v>1.3</v>
      </c>
      <c r="M63" s="64">
        <v>20</v>
      </c>
      <c r="N63" s="64"/>
      <c r="O63" s="64"/>
      <c r="P63" s="64"/>
      <c r="Q63" s="64"/>
      <c r="R63" s="70"/>
      <c r="T63" s="64"/>
      <c r="X63">
        <v>0.123</v>
      </c>
      <c r="Y63" s="258" t="s">
        <v>1313</v>
      </c>
      <c r="AA63" s="259" t="s">
        <v>1314</v>
      </c>
      <c r="AB63" s="20" t="s">
        <v>1061</v>
      </c>
      <c r="AC63">
        <f t="shared" si="1"/>
        <v>100000000</v>
      </c>
      <c r="AE63" s="18" t="s">
        <v>1315</v>
      </c>
      <c r="AF63" s="1" t="b">
        <v>1</v>
      </c>
      <c r="AN63" s="41"/>
      <c r="AO63" s="41"/>
      <c r="AP63" s="41"/>
    </row>
    <row r="64" spans="2:42">
      <c r="B64" s="1" t="str">
        <f t="shared" si="0"/>
        <v>M_TDIF04_VM_BKT_1.3_21</v>
      </c>
      <c r="C64" s="92" t="s">
        <v>700</v>
      </c>
      <c r="D64" s="92" t="str" cm="1">
        <f t="array" ref="D64">INDEX(기계코드!$D$4:$D$214,MATCH(1,(C64=기계코드!$F$4:$F$214)*1,0))</f>
        <v>M_TDIF04</v>
      </c>
      <c r="E64" s="92" t="s">
        <v>1128</v>
      </c>
      <c r="F64" s="7" t="str" cm="1">
        <f t="array" ref="F64">INDEX(공급업체코드!$B$3:$B$1000,MATCH(1,(E64=공급업체코드!$D$3:$D$1000)*1,0))</f>
        <v>VM_BKT</v>
      </c>
      <c r="G64" s="18" t="s">
        <v>1881</v>
      </c>
      <c r="H64" s="64"/>
      <c r="I64" s="64"/>
      <c r="J64" s="64"/>
      <c r="K64" s="300">
        <v>1.1000000000000001</v>
      </c>
      <c r="L64" s="300">
        <v>1.3</v>
      </c>
      <c r="M64" s="64">
        <v>21</v>
      </c>
      <c r="N64" s="64"/>
      <c r="O64" s="64"/>
      <c r="P64" s="64"/>
      <c r="Q64" s="64"/>
      <c r="R64" s="70"/>
      <c r="T64" s="64"/>
      <c r="X64">
        <v>0.123</v>
      </c>
      <c r="Y64" s="258" t="s">
        <v>1313</v>
      </c>
      <c r="AA64" s="259" t="s">
        <v>1314</v>
      </c>
      <c r="AB64" s="20" t="s">
        <v>1061</v>
      </c>
      <c r="AC64">
        <f t="shared" si="1"/>
        <v>105000000</v>
      </c>
      <c r="AE64" s="18" t="s">
        <v>1315</v>
      </c>
      <c r="AF64" s="1" t="b">
        <v>1</v>
      </c>
      <c r="AN64" s="41"/>
      <c r="AO64" s="41"/>
      <c r="AP64" s="41"/>
    </row>
    <row r="65" spans="2:42">
      <c r="B65" s="1" t="str">
        <f t="shared" si="0"/>
        <v>M_TDIF04_VM_BKT_1.3_22</v>
      </c>
      <c r="C65" s="92" t="s">
        <v>700</v>
      </c>
      <c r="D65" s="92" t="str" cm="1">
        <f t="array" ref="D65">INDEX(기계코드!$D$4:$D$214,MATCH(1,(C65=기계코드!$F$4:$F$214)*1,0))</f>
        <v>M_TDIF04</v>
      </c>
      <c r="E65" s="92" t="s">
        <v>1128</v>
      </c>
      <c r="F65" s="7" t="str" cm="1">
        <f t="array" ref="F65">INDEX(공급업체코드!$B$3:$B$1000,MATCH(1,(E65=공급업체코드!$D$3:$D$1000)*1,0))</f>
        <v>VM_BKT</v>
      </c>
      <c r="G65" s="18" t="s">
        <v>1881</v>
      </c>
      <c r="H65" s="64"/>
      <c r="I65" s="64"/>
      <c r="J65" s="64"/>
      <c r="K65" s="300">
        <v>1.1000000000000001</v>
      </c>
      <c r="L65" s="300">
        <v>1.3</v>
      </c>
      <c r="M65" s="64">
        <v>22</v>
      </c>
      <c r="N65" s="64"/>
      <c r="O65" s="64"/>
      <c r="P65" s="64"/>
      <c r="Q65" s="64"/>
      <c r="R65" s="70"/>
      <c r="T65" s="64"/>
      <c r="X65">
        <v>0.123</v>
      </c>
      <c r="Y65" s="258" t="s">
        <v>1313</v>
      </c>
      <c r="AA65" s="259" t="s">
        <v>1314</v>
      </c>
      <c r="AB65" s="20" t="s">
        <v>1061</v>
      </c>
      <c r="AC65">
        <f t="shared" si="1"/>
        <v>110000000</v>
      </c>
      <c r="AE65" s="18" t="s">
        <v>1315</v>
      </c>
      <c r="AF65" s="1" t="b">
        <v>1</v>
      </c>
      <c r="AN65" s="111"/>
      <c r="AO65" s="111"/>
      <c r="AP65" s="41"/>
    </row>
    <row r="66" spans="2:42">
      <c r="B66" s="1" t="str">
        <f t="shared" si="0"/>
        <v>M_TDIF04_VM_BKT_1.3_23</v>
      </c>
      <c r="C66" s="92" t="s">
        <v>700</v>
      </c>
      <c r="D66" s="92" t="str" cm="1">
        <f t="array" ref="D66">INDEX(기계코드!$D$4:$D$214,MATCH(1,(C66=기계코드!$F$4:$F$214)*1,0))</f>
        <v>M_TDIF04</v>
      </c>
      <c r="E66" s="92" t="s">
        <v>1128</v>
      </c>
      <c r="F66" s="7" t="str" cm="1">
        <f t="array" ref="F66">INDEX(공급업체코드!$B$3:$B$1000,MATCH(1,(E66=공급업체코드!$D$3:$D$1000)*1,0))</f>
        <v>VM_BKT</v>
      </c>
      <c r="G66" s="18" t="s">
        <v>1881</v>
      </c>
      <c r="H66" s="64"/>
      <c r="I66" s="64"/>
      <c r="J66" s="64"/>
      <c r="K66" s="300">
        <v>1.1000000000000001</v>
      </c>
      <c r="L66" s="300">
        <v>1.3</v>
      </c>
      <c r="M66" s="64">
        <v>23</v>
      </c>
      <c r="N66" s="64"/>
      <c r="O66" s="64"/>
      <c r="P66" s="64"/>
      <c r="Q66" s="64"/>
      <c r="R66" s="70"/>
      <c r="T66" s="64"/>
      <c r="X66">
        <v>0.123</v>
      </c>
      <c r="Y66" s="258" t="s">
        <v>1313</v>
      </c>
      <c r="AA66" s="259" t="s">
        <v>1314</v>
      </c>
      <c r="AB66" s="20" t="s">
        <v>1061</v>
      </c>
      <c r="AC66">
        <f t="shared" si="1"/>
        <v>115000000</v>
      </c>
      <c r="AE66" s="18" t="s">
        <v>1315</v>
      </c>
      <c r="AF66" s="1" t="b">
        <v>1</v>
      </c>
      <c r="AN66" s="41"/>
      <c r="AO66" s="41"/>
      <c r="AP66" s="41"/>
    </row>
    <row r="67" spans="2:42">
      <c r="B67" s="1" t="str">
        <f t="shared" si="0"/>
        <v>M_TDIF04_VM_BKT_1.3_24</v>
      </c>
      <c r="C67" s="92" t="s">
        <v>700</v>
      </c>
      <c r="D67" s="92" t="str" cm="1">
        <f t="array" ref="D67">INDEX(기계코드!$D$4:$D$214,MATCH(1,(C67=기계코드!$F$4:$F$214)*1,0))</f>
        <v>M_TDIF04</v>
      </c>
      <c r="E67" s="92" t="s">
        <v>1128</v>
      </c>
      <c r="F67" s="7" t="str" cm="1">
        <f t="array" ref="F67">INDEX(공급업체코드!$B$3:$B$1000,MATCH(1,(E67=공급업체코드!$D$3:$D$1000)*1,0))</f>
        <v>VM_BKT</v>
      </c>
      <c r="G67" s="18" t="s">
        <v>1881</v>
      </c>
      <c r="H67" s="64"/>
      <c r="I67" s="64"/>
      <c r="J67" s="64"/>
      <c r="K67" s="300">
        <v>1.1000000000000001</v>
      </c>
      <c r="L67" s="300">
        <v>1.3</v>
      </c>
      <c r="M67" s="64">
        <v>24</v>
      </c>
      <c r="N67" s="64"/>
      <c r="O67" s="64"/>
      <c r="P67" s="64"/>
      <c r="Q67" s="64"/>
      <c r="R67" s="70"/>
      <c r="T67" s="64"/>
      <c r="X67">
        <v>0.123</v>
      </c>
      <c r="Y67" s="258" t="s">
        <v>1313</v>
      </c>
      <c r="AA67" s="259" t="s">
        <v>1314</v>
      </c>
      <c r="AB67" s="20" t="s">
        <v>1061</v>
      </c>
      <c r="AC67">
        <f t="shared" si="1"/>
        <v>120000000</v>
      </c>
      <c r="AE67" s="18" t="s">
        <v>1315</v>
      </c>
      <c r="AF67" s="1" t="b">
        <v>1</v>
      </c>
      <c r="AN67" s="111"/>
      <c r="AO67" s="111"/>
      <c r="AP67" s="111"/>
    </row>
    <row r="68" spans="2:42">
      <c r="B68" s="1" t="str">
        <f t="shared" si="0"/>
        <v>M_TDIF04_VM_BKT_1.3_25</v>
      </c>
      <c r="C68" s="92" t="s">
        <v>700</v>
      </c>
      <c r="D68" s="92" t="str" cm="1">
        <f t="array" ref="D68">INDEX(기계코드!$D$4:$D$214,MATCH(1,(C68=기계코드!$F$4:$F$214)*1,0))</f>
        <v>M_TDIF04</v>
      </c>
      <c r="E68" s="92" t="s">
        <v>1128</v>
      </c>
      <c r="F68" s="7" t="str" cm="1">
        <f t="array" ref="F68">INDEX(공급업체코드!$B$3:$B$1000,MATCH(1,(E68=공급업체코드!$D$3:$D$1000)*1,0))</f>
        <v>VM_BKT</v>
      </c>
      <c r="G68" s="18" t="s">
        <v>1881</v>
      </c>
      <c r="H68" s="64"/>
      <c r="I68" s="64"/>
      <c r="J68" s="64"/>
      <c r="K68" s="300">
        <v>1.1000000000000001</v>
      </c>
      <c r="L68" s="300">
        <v>1.3</v>
      </c>
      <c r="M68" s="64">
        <v>25</v>
      </c>
      <c r="N68" s="64"/>
      <c r="O68" s="64"/>
      <c r="P68" s="64"/>
      <c r="Q68" s="64"/>
      <c r="R68" s="70"/>
      <c r="T68" s="64"/>
      <c r="X68">
        <v>0.123</v>
      </c>
      <c r="Y68" s="258" t="s">
        <v>1313</v>
      </c>
      <c r="AA68" s="259" t="s">
        <v>1314</v>
      </c>
      <c r="AB68" s="20" t="s">
        <v>1061</v>
      </c>
      <c r="AC68">
        <f t="shared" si="1"/>
        <v>125000000</v>
      </c>
      <c r="AE68" s="18" t="s">
        <v>1315</v>
      </c>
      <c r="AF68" s="1" t="b">
        <v>1</v>
      </c>
      <c r="AN68" s="41"/>
      <c r="AO68" s="41"/>
      <c r="AP68" s="41"/>
    </row>
    <row r="69" spans="2:42">
      <c r="B69" s="1" t="str">
        <f t="shared" si="0"/>
        <v>M_TDIF04_VM_BKT_1.3_26</v>
      </c>
      <c r="C69" s="92" t="s">
        <v>700</v>
      </c>
      <c r="D69" s="92" t="str" cm="1">
        <f t="array" ref="D69">INDEX(기계코드!$D$4:$D$214,MATCH(1,(C69=기계코드!$F$4:$F$214)*1,0))</f>
        <v>M_TDIF04</v>
      </c>
      <c r="E69" s="92" t="s">
        <v>1128</v>
      </c>
      <c r="F69" s="7" t="str" cm="1">
        <f t="array" ref="F69">INDEX(공급업체코드!$B$3:$B$1000,MATCH(1,(E69=공급업체코드!$D$3:$D$1000)*1,0))</f>
        <v>VM_BKT</v>
      </c>
      <c r="G69" s="18" t="s">
        <v>1881</v>
      </c>
      <c r="H69" s="64"/>
      <c r="I69" s="64"/>
      <c r="J69" s="64"/>
      <c r="K69" s="300">
        <v>1.1000000000000001</v>
      </c>
      <c r="L69" s="300">
        <v>1.3</v>
      </c>
      <c r="M69" s="64">
        <v>26</v>
      </c>
      <c r="N69" s="64"/>
      <c r="O69" s="64"/>
      <c r="P69" s="64"/>
      <c r="Q69" s="64"/>
      <c r="R69" s="70"/>
      <c r="T69" s="64"/>
      <c r="X69">
        <v>0.123</v>
      </c>
      <c r="Y69" s="258" t="s">
        <v>1313</v>
      </c>
      <c r="AA69" s="259" t="s">
        <v>1314</v>
      </c>
      <c r="AB69" s="20" t="s">
        <v>1061</v>
      </c>
      <c r="AC69">
        <f t="shared" si="1"/>
        <v>130000000</v>
      </c>
      <c r="AE69" s="18" t="s">
        <v>1315</v>
      </c>
      <c r="AF69" s="1" t="b">
        <v>1</v>
      </c>
      <c r="AN69" s="41"/>
      <c r="AO69" s="41"/>
      <c r="AP69" s="41"/>
    </row>
    <row r="70" spans="2:42">
      <c r="B70" s="1" t="str">
        <f t="shared" si="0"/>
        <v>M_TDIF04_VM_BKT_1.3_27</v>
      </c>
      <c r="C70" s="92" t="s">
        <v>700</v>
      </c>
      <c r="D70" s="92" t="str" cm="1">
        <f t="array" ref="D70">INDEX(기계코드!$D$4:$D$214,MATCH(1,(C70=기계코드!$F$4:$F$214)*1,0))</f>
        <v>M_TDIF04</v>
      </c>
      <c r="E70" s="92" t="s">
        <v>1128</v>
      </c>
      <c r="F70" s="7" t="str" cm="1">
        <f t="array" ref="F70">INDEX(공급업체코드!$B$3:$B$1000,MATCH(1,(E70=공급업체코드!$D$3:$D$1000)*1,0))</f>
        <v>VM_BKT</v>
      </c>
      <c r="G70" s="18" t="s">
        <v>1881</v>
      </c>
      <c r="H70" s="64"/>
      <c r="I70" s="64"/>
      <c r="J70" s="64"/>
      <c r="K70" s="300">
        <v>1.1000000000000001</v>
      </c>
      <c r="L70" s="300">
        <v>1.3</v>
      </c>
      <c r="M70" s="64">
        <v>27</v>
      </c>
      <c r="N70" s="64"/>
      <c r="O70" s="64"/>
      <c r="P70" s="64"/>
      <c r="Q70" s="64"/>
      <c r="R70" s="70"/>
      <c r="T70" s="64"/>
      <c r="X70">
        <v>0.123</v>
      </c>
      <c r="Y70" s="258" t="s">
        <v>1313</v>
      </c>
      <c r="AA70" s="259" t="s">
        <v>1314</v>
      </c>
      <c r="AB70" s="20" t="s">
        <v>1061</v>
      </c>
      <c r="AC70">
        <f t="shared" si="1"/>
        <v>135000000</v>
      </c>
      <c r="AE70" s="18" t="s">
        <v>1315</v>
      </c>
      <c r="AF70" s="1" t="b">
        <v>1</v>
      </c>
      <c r="AN70" s="41"/>
      <c r="AO70" s="41"/>
      <c r="AP70" s="41"/>
    </row>
    <row r="71" spans="2:42">
      <c r="B71" s="1" t="str">
        <f t="shared" si="0"/>
        <v>M_TDIF04_VM_BKT_1.3_28</v>
      </c>
      <c r="C71" s="92" t="s">
        <v>700</v>
      </c>
      <c r="D71" s="92" t="str" cm="1">
        <f t="array" ref="D71">INDEX(기계코드!$D$4:$D$214,MATCH(1,(C71=기계코드!$F$4:$F$214)*1,0))</f>
        <v>M_TDIF04</v>
      </c>
      <c r="E71" s="92" t="s">
        <v>1128</v>
      </c>
      <c r="F71" s="7" t="str" cm="1">
        <f t="array" ref="F71">INDEX(공급업체코드!$B$3:$B$1000,MATCH(1,(E71=공급업체코드!$D$3:$D$1000)*1,0))</f>
        <v>VM_BKT</v>
      </c>
      <c r="G71" s="18" t="s">
        <v>1881</v>
      </c>
      <c r="H71" s="64"/>
      <c r="I71" s="64"/>
      <c r="J71" s="64"/>
      <c r="K71" s="300">
        <v>1.1000000000000001</v>
      </c>
      <c r="L71" s="300">
        <v>1.3</v>
      </c>
      <c r="M71" s="64">
        <v>28</v>
      </c>
      <c r="N71" s="64"/>
      <c r="O71" s="64"/>
      <c r="P71" s="64"/>
      <c r="Q71" s="64"/>
      <c r="R71" s="70"/>
      <c r="T71" s="64"/>
      <c r="X71">
        <v>0.123</v>
      </c>
      <c r="Y71" s="258" t="s">
        <v>1313</v>
      </c>
      <c r="AA71" s="259" t="s">
        <v>1314</v>
      </c>
      <c r="AB71" s="20" t="s">
        <v>1061</v>
      </c>
      <c r="AC71">
        <f t="shared" si="1"/>
        <v>140000000</v>
      </c>
      <c r="AE71" s="18" t="s">
        <v>1315</v>
      </c>
      <c r="AF71" s="1" t="b">
        <v>1</v>
      </c>
      <c r="AN71" s="41"/>
      <c r="AO71" s="41"/>
      <c r="AP71" s="41"/>
    </row>
    <row r="72" spans="2:42">
      <c r="B72" s="1" t="str">
        <f t="shared" si="0"/>
        <v>M_TDIF04_VM_BKT_1.3_29</v>
      </c>
      <c r="C72" s="92" t="s">
        <v>700</v>
      </c>
      <c r="D72" s="92" t="str" cm="1">
        <f t="array" ref="D72">INDEX(기계코드!$D$4:$D$214,MATCH(1,(C72=기계코드!$F$4:$F$214)*1,0))</f>
        <v>M_TDIF04</v>
      </c>
      <c r="E72" s="92" t="s">
        <v>1128</v>
      </c>
      <c r="F72" s="7" t="str" cm="1">
        <f t="array" ref="F72">INDEX(공급업체코드!$B$3:$B$1000,MATCH(1,(E72=공급업체코드!$D$3:$D$1000)*1,0))</f>
        <v>VM_BKT</v>
      </c>
      <c r="G72" s="18" t="s">
        <v>1881</v>
      </c>
      <c r="H72" s="64"/>
      <c r="I72" s="64"/>
      <c r="J72" s="64"/>
      <c r="K72" s="300">
        <v>1.1000000000000001</v>
      </c>
      <c r="L72" s="300">
        <v>1.3</v>
      </c>
      <c r="M72" s="64">
        <v>29</v>
      </c>
      <c r="N72" s="64"/>
      <c r="O72" s="64"/>
      <c r="P72" s="64"/>
      <c r="Q72" s="64"/>
      <c r="R72" s="70"/>
      <c r="T72" s="64"/>
      <c r="X72">
        <v>0.123</v>
      </c>
      <c r="Y72" s="258" t="s">
        <v>1313</v>
      </c>
      <c r="AA72" s="259" t="s">
        <v>1314</v>
      </c>
      <c r="AB72" s="20" t="s">
        <v>1061</v>
      </c>
      <c r="AC72">
        <f t="shared" si="1"/>
        <v>145000000</v>
      </c>
      <c r="AE72" s="18" t="s">
        <v>1315</v>
      </c>
      <c r="AF72" s="1" t="b">
        <v>1</v>
      </c>
    </row>
    <row r="73" spans="2:42">
      <c r="B73" s="1" t="str">
        <f t="shared" si="0"/>
        <v>M_TDIF04_VM_BKT_1.3_30</v>
      </c>
      <c r="C73" s="92" t="s">
        <v>700</v>
      </c>
      <c r="D73" s="92" t="str" cm="1">
        <f t="array" ref="D73">INDEX(기계코드!$D$4:$D$214,MATCH(1,(C73=기계코드!$F$4:$F$214)*1,0))</f>
        <v>M_TDIF04</v>
      </c>
      <c r="E73" s="92" t="s">
        <v>1128</v>
      </c>
      <c r="F73" s="7" t="str" cm="1">
        <f t="array" ref="F73">INDEX(공급업체코드!$B$3:$B$1000,MATCH(1,(E73=공급업체코드!$D$3:$D$1000)*1,0))</f>
        <v>VM_BKT</v>
      </c>
      <c r="G73" s="18" t="s">
        <v>1881</v>
      </c>
      <c r="H73" s="64"/>
      <c r="I73" s="64"/>
      <c r="J73" s="64"/>
      <c r="K73" s="300">
        <v>1.1000000000000001</v>
      </c>
      <c r="L73" s="300">
        <v>1.3</v>
      </c>
      <c r="M73" s="64">
        <v>30</v>
      </c>
      <c r="N73" s="64"/>
      <c r="O73" s="64"/>
      <c r="P73" s="64"/>
      <c r="Q73" s="64"/>
      <c r="R73" s="70"/>
      <c r="T73" s="64"/>
      <c r="X73">
        <v>0.123</v>
      </c>
      <c r="Y73" s="258" t="s">
        <v>1313</v>
      </c>
      <c r="AA73" s="259" t="s">
        <v>1314</v>
      </c>
      <c r="AB73" s="20" t="s">
        <v>1061</v>
      </c>
      <c r="AC73">
        <f t="shared" si="1"/>
        <v>150000000</v>
      </c>
      <c r="AE73" s="18" t="s">
        <v>1315</v>
      </c>
      <c r="AF73" s="1" t="b">
        <v>1</v>
      </c>
    </row>
    <row r="74" spans="2:42">
      <c r="B74" s="1" t="str">
        <f t="shared" si="0"/>
        <v>M_TDIF04_VM_BKT_1.3_31</v>
      </c>
      <c r="C74" s="92" t="s">
        <v>700</v>
      </c>
      <c r="D74" s="92" t="str" cm="1">
        <f t="array" ref="D74">INDEX(기계코드!$D$4:$D$214,MATCH(1,(C74=기계코드!$F$4:$F$214)*1,0))</f>
        <v>M_TDIF04</v>
      </c>
      <c r="E74" s="92" t="s">
        <v>1128</v>
      </c>
      <c r="F74" s="7" t="str" cm="1">
        <f t="array" ref="F74">INDEX(공급업체코드!$B$3:$B$1000,MATCH(1,(E74=공급업체코드!$D$3:$D$1000)*1,0))</f>
        <v>VM_BKT</v>
      </c>
      <c r="G74" s="18" t="s">
        <v>1881</v>
      </c>
      <c r="H74" s="64"/>
      <c r="I74" s="64"/>
      <c r="J74" s="64"/>
      <c r="K74" s="300">
        <v>1.1000000000000001</v>
      </c>
      <c r="L74" s="300">
        <v>1.3</v>
      </c>
      <c r="M74" s="64">
        <v>31</v>
      </c>
      <c r="N74" s="64"/>
      <c r="O74" s="64"/>
      <c r="P74" s="64"/>
      <c r="Q74" s="64"/>
      <c r="R74" s="70"/>
      <c r="T74" s="64"/>
      <c r="X74">
        <v>0.123</v>
      </c>
      <c r="Y74" s="258" t="s">
        <v>1313</v>
      </c>
      <c r="AA74" s="259" t="s">
        <v>1314</v>
      </c>
      <c r="AB74" s="20" t="s">
        <v>1061</v>
      </c>
      <c r="AC74">
        <f t="shared" si="1"/>
        <v>155000000</v>
      </c>
      <c r="AE74" s="18" t="s">
        <v>1315</v>
      </c>
      <c r="AF74" s="1" t="b">
        <v>1</v>
      </c>
    </row>
    <row r="75" spans="2:42">
      <c r="B75" s="1" t="str">
        <f t="shared" si="0"/>
        <v>M_TDIF04_VM_BKT_1.3_32</v>
      </c>
      <c r="C75" s="92" t="s">
        <v>700</v>
      </c>
      <c r="D75" s="92" t="str" cm="1">
        <f t="array" ref="D75">INDEX(기계코드!$D$4:$D$214,MATCH(1,(C75=기계코드!$F$4:$F$214)*1,0))</f>
        <v>M_TDIF04</v>
      </c>
      <c r="E75" s="92" t="s">
        <v>1128</v>
      </c>
      <c r="F75" s="7" t="str" cm="1">
        <f t="array" ref="F75">INDEX(공급업체코드!$B$3:$B$1000,MATCH(1,(E75=공급업체코드!$D$3:$D$1000)*1,0))</f>
        <v>VM_BKT</v>
      </c>
      <c r="G75" s="18" t="s">
        <v>1881</v>
      </c>
      <c r="H75" s="64"/>
      <c r="I75" s="64"/>
      <c r="J75" s="64"/>
      <c r="K75" s="300">
        <v>1.1000000000000001</v>
      </c>
      <c r="L75" s="300">
        <v>1.3</v>
      </c>
      <c r="M75" s="64">
        <v>32</v>
      </c>
      <c r="N75" s="64"/>
      <c r="O75" s="64"/>
      <c r="P75" s="64"/>
      <c r="Q75" s="64"/>
      <c r="R75" s="70"/>
      <c r="T75" s="64"/>
      <c r="X75">
        <v>0.123</v>
      </c>
      <c r="Y75" s="258" t="s">
        <v>1313</v>
      </c>
      <c r="AA75" s="259" t="s">
        <v>1314</v>
      </c>
      <c r="AB75" s="20" t="s">
        <v>1061</v>
      </c>
      <c r="AC75">
        <f t="shared" si="1"/>
        <v>160000000</v>
      </c>
      <c r="AE75" s="18" t="s">
        <v>1315</v>
      </c>
      <c r="AF75" s="1" t="b">
        <v>1</v>
      </c>
    </row>
    <row r="76" spans="2:42">
      <c r="B76" s="1" t="str">
        <f t="shared" si="0"/>
        <v>M_TDIF04_VM_BKT_1.3_33</v>
      </c>
      <c r="C76" s="92" t="s">
        <v>700</v>
      </c>
      <c r="D76" s="92" t="str" cm="1">
        <f t="array" ref="D76">INDEX(기계코드!$D$4:$D$214,MATCH(1,(C76=기계코드!$F$4:$F$214)*1,0))</f>
        <v>M_TDIF04</v>
      </c>
      <c r="E76" s="92" t="s">
        <v>1128</v>
      </c>
      <c r="F76" s="7" t="str" cm="1">
        <f t="array" ref="F76">INDEX(공급업체코드!$B$3:$B$1000,MATCH(1,(E76=공급업체코드!$D$3:$D$1000)*1,0))</f>
        <v>VM_BKT</v>
      </c>
      <c r="G76" s="18" t="s">
        <v>1881</v>
      </c>
      <c r="H76" s="64"/>
      <c r="I76" s="64"/>
      <c r="J76" s="64"/>
      <c r="K76" s="300">
        <v>1.1000000000000001</v>
      </c>
      <c r="L76" s="300">
        <v>1.3</v>
      </c>
      <c r="M76" s="64">
        <v>33</v>
      </c>
      <c r="N76" s="64"/>
      <c r="O76" s="64"/>
      <c r="P76" s="64"/>
      <c r="Q76" s="64"/>
      <c r="R76" s="70"/>
      <c r="T76" s="64"/>
      <c r="X76">
        <v>0.123</v>
      </c>
      <c r="Y76" s="258" t="s">
        <v>1313</v>
      </c>
      <c r="AA76" s="259" t="s">
        <v>1314</v>
      </c>
      <c r="AB76" s="20" t="s">
        <v>1061</v>
      </c>
      <c r="AC76">
        <f t="shared" si="1"/>
        <v>165000000</v>
      </c>
      <c r="AE76" s="18" t="s">
        <v>1315</v>
      </c>
      <c r="AF76" s="1" t="b">
        <v>1</v>
      </c>
    </row>
    <row r="77" spans="2:42">
      <c r="B77" s="1" t="str">
        <f t="shared" si="0"/>
        <v>M_TDIF04_VM_BKT_1.3_34</v>
      </c>
      <c r="C77" s="92" t="s">
        <v>700</v>
      </c>
      <c r="D77" s="92" t="str" cm="1">
        <f t="array" ref="D77">INDEX(기계코드!$D$4:$D$214,MATCH(1,(C77=기계코드!$F$4:$F$214)*1,0))</f>
        <v>M_TDIF04</v>
      </c>
      <c r="E77" s="92" t="s">
        <v>1128</v>
      </c>
      <c r="F77" s="7" t="str" cm="1">
        <f t="array" ref="F77">INDEX(공급업체코드!$B$3:$B$1000,MATCH(1,(E77=공급업체코드!$D$3:$D$1000)*1,0))</f>
        <v>VM_BKT</v>
      </c>
      <c r="G77" s="18" t="s">
        <v>1881</v>
      </c>
      <c r="H77" s="64"/>
      <c r="I77" s="64"/>
      <c r="J77" s="64"/>
      <c r="K77" s="300">
        <v>1.1000000000000001</v>
      </c>
      <c r="L77" s="300">
        <v>1.3</v>
      </c>
      <c r="M77" s="64">
        <v>34</v>
      </c>
      <c r="N77" s="64"/>
      <c r="O77" s="64"/>
      <c r="P77" s="64"/>
      <c r="Q77" s="64"/>
      <c r="R77" s="70"/>
      <c r="T77" s="64"/>
      <c r="X77">
        <v>0.123</v>
      </c>
      <c r="Y77" s="258" t="s">
        <v>1313</v>
      </c>
      <c r="AA77" s="259" t="s">
        <v>1314</v>
      </c>
      <c r="AB77" s="20" t="s">
        <v>1061</v>
      </c>
      <c r="AC77">
        <f t="shared" si="1"/>
        <v>170000000</v>
      </c>
      <c r="AE77" s="18" t="s">
        <v>1315</v>
      </c>
      <c r="AF77" s="1" t="b">
        <v>1</v>
      </c>
    </row>
    <row r="78" spans="2:42">
      <c r="B78" s="1" t="str">
        <f t="shared" si="0"/>
        <v>M_TDIF04_VM_BKT_1.3_35</v>
      </c>
      <c r="C78" s="92" t="s">
        <v>700</v>
      </c>
      <c r="D78" s="92" t="str" cm="1">
        <f t="array" ref="D78">INDEX(기계코드!$D$4:$D$214,MATCH(1,(C78=기계코드!$F$4:$F$214)*1,0))</f>
        <v>M_TDIF04</v>
      </c>
      <c r="E78" s="92" t="s">
        <v>1128</v>
      </c>
      <c r="F78" s="7" t="str" cm="1">
        <f t="array" ref="F78">INDEX(공급업체코드!$B$3:$B$1000,MATCH(1,(E78=공급업체코드!$D$3:$D$1000)*1,0))</f>
        <v>VM_BKT</v>
      </c>
      <c r="G78" s="18" t="s">
        <v>1881</v>
      </c>
      <c r="H78" s="64"/>
      <c r="I78" s="64"/>
      <c r="J78" s="64"/>
      <c r="K78" s="300">
        <v>1.1000000000000001</v>
      </c>
      <c r="L78" s="300">
        <v>1.3</v>
      </c>
      <c r="M78" s="64">
        <v>35</v>
      </c>
      <c r="N78" s="64"/>
      <c r="O78" s="64"/>
      <c r="P78" s="64"/>
      <c r="Q78" s="64"/>
      <c r="R78" s="70"/>
      <c r="T78" s="64"/>
      <c r="X78">
        <v>0.123</v>
      </c>
      <c r="Y78" s="258" t="s">
        <v>1313</v>
      </c>
      <c r="AA78" s="259" t="s">
        <v>1314</v>
      </c>
      <c r="AB78" s="20" t="s">
        <v>1061</v>
      </c>
      <c r="AC78">
        <f t="shared" si="1"/>
        <v>175000000</v>
      </c>
      <c r="AE78" s="18" t="s">
        <v>1315</v>
      </c>
      <c r="AF78" s="1" t="b">
        <v>1</v>
      </c>
    </row>
    <row r="79" spans="2:42">
      <c r="B79" s="1" t="str">
        <f t="shared" si="0"/>
        <v>M_TDIF04_VM_BKT_1.3_36</v>
      </c>
      <c r="C79" s="92" t="s">
        <v>700</v>
      </c>
      <c r="D79" s="92" t="str" cm="1">
        <f t="array" ref="D79">INDEX(기계코드!$D$4:$D$214,MATCH(1,(C79=기계코드!$F$4:$F$214)*1,0))</f>
        <v>M_TDIF04</v>
      </c>
      <c r="E79" s="92" t="s">
        <v>1128</v>
      </c>
      <c r="F79" s="7" t="str" cm="1">
        <f t="array" ref="F79">INDEX(공급업체코드!$B$3:$B$1000,MATCH(1,(E79=공급업체코드!$D$3:$D$1000)*1,0))</f>
        <v>VM_BKT</v>
      </c>
      <c r="G79" s="18" t="s">
        <v>1881</v>
      </c>
      <c r="H79" s="64"/>
      <c r="I79" s="64"/>
      <c r="J79" s="64"/>
      <c r="K79" s="300">
        <v>1.1000000000000001</v>
      </c>
      <c r="L79" s="300">
        <v>1.3</v>
      </c>
      <c r="M79" s="64">
        <v>36</v>
      </c>
      <c r="N79" s="64"/>
      <c r="O79" s="64"/>
      <c r="P79" s="64"/>
      <c r="Q79" s="64"/>
      <c r="R79" s="70"/>
      <c r="T79" s="64"/>
      <c r="X79">
        <v>0.123</v>
      </c>
      <c r="Y79" s="258" t="s">
        <v>1313</v>
      </c>
      <c r="AA79" s="259" t="s">
        <v>1314</v>
      </c>
      <c r="AB79" s="20" t="s">
        <v>1061</v>
      </c>
      <c r="AC79">
        <f t="shared" si="1"/>
        <v>180000000</v>
      </c>
      <c r="AE79" s="18" t="s">
        <v>1315</v>
      </c>
      <c r="AF79" s="1" t="b">
        <v>1</v>
      </c>
    </row>
    <row r="80" spans="2:42">
      <c r="B80" s="1" t="str">
        <f t="shared" si="0"/>
        <v>M_TDIF04_VM_BKT_1.3_37</v>
      </c>
      <c r="C80" s="92" t="s">
        <v>700</v>
      </c>
      <c r="D80" s="92" t="str" cm="1">
        <f t="array" ref="D80">INDEX(기계코드!$D$4:$D$214,MATCH(1,(C80=기계코드!$F$4:$F$214)*1,0))</f>
        <v>M_TDIF04</v>
      </c>
      <c r="E80" s="92" t="s">
        <v>1128</v>
      </c>
      <c r="F80" s="7" t="str" cm="1">
        <f t="array" ref="F80">INDEX(공급업체코드!$B$3:$B$1000,MATCH(1,(E80=공급업체코드!$D$3:$D$1000)*1,0))</f>
        <v>VM_BKT</v>
      </c>
      <c r="G80" s="18" t="s">
        <v>1881</v>
      </c>
      <c r="H80" s="64"/>
      <c r="I80" s="64"/>
      <c r="J80" s="64"/>
      <c r="K80" s="300">
        <v>1.1000000000000001</v>
      </c>
      <c r="L80" s="300">
        <v>1.3</v>
      </c>
      <c r="M80" s="64">
        <v>37</v>
      </c>
      <c r="N80" s="64"/>
      <c r="O80" s="64"/>
      <c r="P80" s="64"/>
      <c r="Q80" s="64"/>
      <c r="R80" s="70"/>
      <c r="T80" s="64"/>
      <c r="X80">
        <v>0.123</v>
      </c>
      <c r="Y80" s="258" t="s">
        <v>1313</v>
      </c>
      <c r="AA80" s="259" t="s">
        <v>1314</v>
      </c>
      <c r="AB80" s="20" t="s">
        <v>1061</v>
      </c>
      <c r="AC80">
        <f t="shared" si="1"/>
        <v>185000000</v>
      </c>
      <c r="AE80" s="18" t="s">
        <v>1315</v>
      </c>
      <c r="AF80" s="1" t="b">
        <v>1</v>
      </c>
    </row>
    <row r="81" spans="2:32">
      <c r="B81" s="1" t="str">
        <f t="shared" si="0"/>
        <v>M_TDIF04_VM_BKT_1.3_38</v>
      </c>
      <c r="C81" s="92" t="s">
        <v>700</v>
      </c>
      <c r="D81" s="92" t="str" cm="1">
        <f t="array" ref="D81">INDEX(기계코드!$D$4:$D$214,MATCH(1,(C81=기계코드!$F$4:$F$214)*1,0))</f>
        <v>M_TDIF04</v>
      </c>
      <c r="E81" s="92" t="s">
        <v>1128</v>
      </c>
      <c r="F81" s="7" t="str" cm="1">
        <f t="array" ref="F81">INDEX(공급업체코드!$B$3:$B$1000,MATCH(1,(E81=공급업체코드!$D$3:$D$1000)*1,0))</f>
        <v>VM_BKT</v>
      </c>
      <c r="G81" s="18" t="s">
        <v>1881</v>
      </c>
      <c r="H81" s="64"/>
      <c r="I81" s="64"/>
      <c r="J81" s="64"/>
      <c r="K81" s="300">
        <v>1.1000000000000001</v>
      </c>
      <c r="L81" s="300">
        <v>1.3</v>
      </c>
      <c r="M81" s="64">
        <v>38</v>
      </c>
      <c r="N81" s="64"/>
      <c r="O81" s="64"/>
      <c r="P81" s="64"/>
      <c r="Q81" s="64"/>
      <c r="R81" s="70"/>
      <c r="T81" s="64"/>
      <c r="X81">
        <v>0.123</v>
      </c>
      <c r="Y81" s="258" t="s">
        <v>1313</v>
      </c>
      <c r="AA81" s="259" t="s">
        <v>1314</v>
      </c>
      <c r="AB81" s="20" t="s">
        <v>1061</v>
      </c>
      <c r="AC81">
        <f t="shared" si="1"/>
        <v>190000000</v>
      </c>
      <c r="AE81" s="18" t="s">
        <v>1315</v>
      </c>
      <c r="AF81" s="1" t="b">
        <v>1</v>
      </c>
    </row>
    <row r="82" spans="2:32">
      <c r="B82" s="1" t="str">
        <f t="shared" si="0"/>
        <v>M_TDIF04_VM_BKT_1.3_39</v>
      </c>
      <c r="C82" s="92" t="s">
        <v>700</v>
      </c>
      <c r="D82" s="92" t="str" cm="1">
        <f t="array" ref="D82">INDEX(기계코드!$D$4:$D$214,MATCH(1,(C82=기계코드!$F$4:$F$214)*1,0))</f>
        <v>M_TDIF04</v>
      </c>
      <c r="E82" s="92" t="s">
        <v>1128</v>
      </c>
      <c r="F82" s="7" t="str" cm="1">
        <f t="array" ref="F82">INDEX(공급업체코드!$B$3:$B$1000,MATCH(1,(E82=공급업체코드!$D$3:$D$1000)*1,0))</f>
        <v>VM_BKT</v>
      </c>
      <c r="G82" s="18" t="s">
        <v>1881</v>
      </c>
      <c r="H82" s="64"/>
      <c r="I82" s="64"/>
      <c r="J82" s="64"/>
      <c r="K82" s="300">
        <v>1.1000000000000001</v>
      </c>
      <c r="L82" s="300">
        <v>1.3</v>
      </c>
      <c r="M82" s="64">
        <v>39</v>
      </c>
      <c r="N82" s="64"/>
      <c r="O82" s="64"/>
      <c r="P82" s="64"/>
      <c r="Q82" s="64"/>
      <c r="R82" s="70"/>
      <c r="T82" s="64"/>
      <c r="X82">
        <v>0.123</v>
      </c>
      <c r="Y82" s="258" t="s">
        <v>1313</v>
      </c>
      <c r="AA82" s="259" t="s">
        <v>1314</v>
      </c>
      <c r="AB82" s="20" t="s">
        <v>1061</v>
      </c>
      <c r="AC82">
        <f t="shared" si="1"/>
        <v>195000000</v>
      </c>
      <c r="AE82" s="18" t="s">
        <v>1315</v>
      </c>
      <c r="AF82" s="1" t="b">
        <v>1</v>
      </c>
    </row>
    <row r="83" spans="2:32">
      <c r="B83" s="1" t="str">
        <f t="shared" si="0"/>
        <v>M_TDIF04_VM_BKT_1.3_40</v>
      </c>
      <c r="C83" s="92" t="s">
        <v>700</v>
      </c>
      <c r="D83" s="92" t="str" cm="1">
        <f t="array" ref="D83">INDEX(기계코드!$D$4:$D$214,MATCH(1,(C83=기계코드!$F$4:$F$214)*1,0))</f>
        <v>M_TDIF04</v>
      </c>
      <c r="E83" s="92" t="s">
        <v>1128</v>
      </c>
      <c r="F83" s="7" t="str" cm="1">
        <f t="array" ref="F83">INDEX(공급업체코드!$B$3:$B$1000,MATCH(1,(E83=공급업체코드!$D$3:$D$1000)*1,0))</f>
        <v>VM_BKT</v>
      </c>
      <c r="G83" s="18" t="s">
        <v>1881</v>
      </c>
      <c r="H83" s="64"/>
      <c r="I83" s="64"/>
      <c r="J83" s="64"/>
      <c r="K83" s="300">
        <v>1.1000000000000001</v>
      </c>
      <c r="L83" s="300">
        <v>1.3</v>
      </c>
      <c r="M83" s="64">
        <v>40</v>
      </c>
      <c r="N83" s="64"/>
      <c r="O83" s="64"/>
      <c r="P83" s="64"/>
      <c r="Q83" s="64"/>
      <c r="R83" s="70"/>
      <c r="T83" s="64"/>
      <c r="X83">
        <v>0.123</v>
      </c>
      <c r="Y83" s="258" t="s">
        <v>1313</v>
      </c>
      <c r="AA83" s="259" t="s">
        <v>1314</v>
      </c>
      <c r="AB83" s="20" t="s">
        <v>1061</v>
      </c>
      <c r="AC83">
        <f t="shared" si="1"/>
        <v>200000000</v>
      </c>
      <c r="AE83" s="18" t="s">
        <v>1315</v>
      </c>
      <c r="AF83" s="1" t="b">
        <v>1</v>
      </c>
    </row>
    <row r="84" spans="2:32">
      <c r="B84" s="1" t="str">
        <f t="shared" si="0"/>
        <v>M_TDIF04_VM_BKT_1.3_41</v>
      </c>
      <c r="C84" s="92" t="s">
        <v>700</v>
      </c>
      <c r="D84" s="92" t="str" cm="1">
        <f t="array" ref="D84">INDEX(기계코드!$D$4:$D$214,MATCH(1,(C84=기계코드!$F$4:$F$214)*1,0))</f>
        <v>M_TDIF04</v>
      </c>
      <c r="E84" s="92" t="s">
        <v>1128</v>
      </c>
      <c r="F84" s="7" t="str" cm="1">
        <f t="array" ref="F84">INDEX(공급업체코드!$B$3:$B$1000,MATCH(1,(E84=공급업체코드!$D$3:$D$1000)*1,0))</f>
        <v>VM_BKT</v>
      </c>
      <c r="G84" s="18" t="s">
        <v>1881</v>
      </c>
      <c r="H84" s="64"/>
      <c r="I84" s="64"/>
      <c r="J84" s="64"/>
      <c r="K84" s="300">
        <v>1.1000000000000001</v>
      </c>
      <c r="L84" s="300">
        <v>1.3</v>
      </c>
      <c r="M84" s="64">
        <v>41</v>
      </c>
      <c r="N84" s="64"/>
      <c r="O84" s="64"/>
      <c r="P84" s="64"/>
      <c r="Q84" s="64"/>
      <c r="R84" s="70"/>
      <c r="T84" s="64"/>
      <c r="X84">
        <v>0.123</v>
      </c>
      <c r="Y84" s="258" t="s">
        <v>1313</v>
      </c>
      <c r="AA84" s="259" t="s">
        <v>1314</v>
      </c>
      <c r="AB84" s="20" t="s">
        <v>1061</v>
      </c>
      <c r="AC84">
        <f t="shared" si="1"/>
        <v>205000000</v>
      </c>
      <c r="AE84" s="18" t="s">
        <v>1315</v>
      </c>
      <c r="AF84" s="1" t="b">
        <v>1</v>
      </c>
    </row>
    <row r="85" spans="2:32">
      <c r="B85" s="1" t="str">
        <f t="shared" si="0"/>
        <v>M_TDIF04_VM_BKT_1.3_42</v>
      </c>
      <c r="C85" s="92" t="s">
        <v>700</v>
      </c>
      <c r="D85" s="92" t="str" cm="1">
        <f t="array" ref="D85">INDEX(기계코드!$D$4:$D$214,MATCH(1,(C85=기계코드!$F$4:$F$214)*1,0))</f>
        <v>M_TDIF04</v>
      </c>
      <c r="E85" s="92" t="s">
        <v>1128</v>
      </c>
      <c r="F85" s="7" t="str" cm="1">
        <f t="array" ref="F85">INDEX(공급업체코드!$B$3:$B$1000,MATCH(1,(E85=공급업체코드!$D$3:$D$1000)*1,0))</f>
        <v>VM_BKT</v>
      </c>
      <c r="G85" s="18" t="s">
        <v>1881</v>
      </c>
      <c r="H85" s="64"/>
      <c r="I85" s="64"/>
      <c r="J85" s="64"/>
      <c r="K85" s="300">
        <v>1.1000000000000001</v>
      </c>
      <c r="L85" s="300">
        <v>1.3</v>
      </c>
      <c r="M85" s="64">
        <v>42</v>
      </c>
      <c r="N85" s="64"/>
      <c r="O85" s="64"/>
      <c r="P85" s="64"/>
      <c r="Q85" s="64"/>
      <c r="R85" s="70"/>
      <c r="T85" s="64"/>
      <c r="X85">
        <v>0.123</v>
      </c>
      <c r="Y85" s="258" t="s">
        <v>1313</v>
      </c>
      <c r="AA85" s="259" t="s">
        <v>1314</v>
      </c>
      <c r="AB85" s="20" t="s">
        <v>1061</v>
      </c>
      <c r="AC85">
        <f t="shared" si="1"/>
        <v>210000000</v>
      </c>
      <c r="AE85" s="18" t="s">
        <v>1315</v>
      </c>
      <c r="AF85" s="1" t="b">
        <v>1</v>
      </c>
    </row>
    <row r="86" spans="2:32">
      <c r="B86" s="1" t="str">
        <f t="shared" si="0"/>
        <v>M_TDIF04_VM_BKT_1.3_43</v>
      </c>
      <c r="C86" s="92" t="s">
        <v>700</v>
      </c>
      <c r="D86" s="92" t="str" cm="1">
        <f t="array" ref="D86">INDEX(기계코드!$D$4:$D$214,MATCH(1,(C86=기계코드!$F$4:$F$214)*1,0))</f>
        <v>M_TDIF04</v>
      </c>
      <c r="E86" s="92" t="s">
        <v>1128</v>
      </c>
      <c r="F86" s="7" t="str" cm="1">
        <f t="array" ref="F86">INDEX(공급업체코드!$B$3:$B$1000,MATCH(1,(E86=공급업체코드!$D$3:$D$1000)*1,0))</f>
        <v>VM_BKT</v>
      </c>
      <c r="G86" s="18" t="s">
        <v>1881</v>
      </c>
      <c r="H86" s="64"/>
      <c r="I86" s="64"/>
      <c r="J86" s="64"/>
      <c r="K86" s="300">
        <v>1.1000000000000001</v>
      </c>
      <c r="L86" s="300">
        <v>1.3</v>
      </c>
      <c r="M86" s="64">
        <v>43</v>
      </c>
      <c r="N86" s="64"/>
      <c r="O86" s="64"/>
      <c r="P86" s="64"/>
      <c r="Q86" s="64"/>
      <c r="R86" s="70"/>
      <c r="T86" s="64"/>
      <c r="X86">
        <v>0.123</v>
      </c>
      <c r="Y86" s="258" t="s">
        <v>1313</v>
      </c>
      <c r="AA86" s="259" t="s">
        <v>1314</v>
      </c>
      <c r="AB86" s="20" t="s">
        <v>1061</v>
      </c>
      <c r="AC86">
        <f t="shared" si="1"/>
        <v>215000000</v>
      </c>
      <c r="AE86" s="18" t="s">
        <v>1315</v>
      </c>
      <c r="AF86" s="1" t="b">
        <v>1</v>
      </c>
    </row>
    <row r="87" spans="2:32">
      <c r="B87" s="1" t="str">
        <f t="shared" si="0"/>
        <v>M_TDIF04_VM_BKT_1.3_44</v>
      </c>
      <c r="C87" s="92" t="s">
        <v>700</v>
      </c>
      <c r="D87" s="92" t="str" cm="1">
        <f t="array" ref="D87">INDEX(기계코드!$D$4:$D$214,MATCH(1,(C87=기계코드!$F$4:$F$214)*1,0))</f>
        <v>M_TDIF04</v>
      </c>
      <c r="E87" s="92" t="s">
        <v>1128</v>
      </c>
      <c r="F87" s="7" t="str" cm="1">
        <f t="array" ref="F87">INDEX(공급업체코드!$B$3:$B$1000,MATCH(1,(E87=공급업체코드!$D$3:$D$1000)*1,0))</f>
        <v>VM_BKT</v>
      </c>
      <c r="G87" s="18" t="s">
        <v>1881</v>
      </c>
      <c r="H87" s="64"/>
      <c r="I87" s="64"/>
      <c r="J87" s="64"/>
      <c r="K87" s="300">
        <v>1.1000000000000001</v>
      </c>
      <c r="L87" s="300">
        <v>1.3</v>
      </c>
      <c r="M87" s="64">
        <v>44</v>
      </c>
      <c r="N87" s="64"/>
      <c r="O87" s="64"/>
      <c r="P87" s="64"/>
      <c r="Q87" s="64"/>
      <c r="R87" s="70"/>
      <c r="T87" s="64"/>
      <c r="X87">
        <v>0.123</v>
      </c>
      <c r="Y87" s="258" t="s">
        <v>1313</v>
      </c>
      <c r="AA87" s="259" t="s">
        <v>1314</v>
      </c>
      <c r="AB87" s="20" t="s">
        <v>1061</v>
      </c>
      <c r="AC87">
        <f t="shared" si="1"/>
        <v>220000000</v>
      </c>
      <c r="AE87" s="18" t="s">
        <v>1315</v>
      </c>
      <c r="AF87" s="1" t="b">
        <v>1</v>
      </c>
    </row>
    <row r="88" spans="2:32">
      <c r="B88" s="1" t="str">
        <f t="shared" si="0"/>
        <v>M_TDIF04_VM_BKT_1.3_45</v>
      </c>
      <c r="C88" s="92" t="s">
        <v>700</v>
      </c>
      <c r="D88" s="92" t="str" cm="1">
        <f t="array" ref="D88">INDEX(기계코드!$D$4:$D$214,MATCH(1,(C88=기계코드!$F$4:$F$214)*1,0))</f>
        <v>M_TDIF04</v>
      </c>
      <c r="E88" s="92" t="s">
        <v>1128</v>
      </c>
      <c r="F88" s="7" t="str" cm="1">
        <f t="array" ref="F88">INDEX(공급업체코드!$B$3:$B$1000,MATCH(1,(E88=공급업체코드!$D$3:$D$1000)*1,0))</f>
        <v>VM_BKT</v>
      </c>
      <c r="G88" s="18" t="s">
        <v>1881</v>
      </c>
      <c r="H88" s="64"/>
      <c r="I88" s="64"/>
      <c r="J88" s="64"/>
      <c r="K88" s="300">
        <v>1.1000000000000001</v>
      </c>
      <c r="L88" s="300">
        <v>1.3</v>
      </c>
      <c r="M88" s="64">
        <v>45</v>
      </c>
      <c r="N88" s="64"/>
      <c r="O88" s="64"/>
      <c r="P88" s="64"/>
      <c r="Q88" s="64"/>
      <c r="R88" s="70"/>
      <c r="T88" s="64"/>
      <c r="X88">
        <v>0.123</v>
      </c>
      <c r="Y88" s="258" t="s">
        <v>1313</v>
      </c>
      <c r="AA88" s="259" t="s">
        <v>1314</v>
      </c>
      <c r="AB88" s="20" t="s">
        <v>1061</v>
      </c>
      <c r="AC88">
        <f t="shared" si="1"/>
        <v>225000000</v>
      </c>
      <c r="AE88" s="18" t="s">
        <v>1315</v>
      </c>
      <c r="AF88" s="1" t="b">
        <v>1</v>
      </c>
    </row>
    <row r="89" spans="2:32">
      <c r="B89" s="1" t="str">
        <f t="shared" si="0"/>
        <v>M_TDIF04_VM_BKT_1.3_46</v>
      </c>
      <c r="C89" s="92" t="s">
        <v>700</v>
      </c>
      <c r="D89" s="92" t="str" cm="1">
        <f t="array" ref="D89">INDEX(기계코드!$D$4:$D$214,MATCH(1,(C89=기계코드!$F$4:$F$214)*1,0))</f>
        <v>M_TDIF04</v>
      </c>
      <c r="E89" s="92" t="s">
        <v>1128</v>
      </c>
      <c r="F89" s="7" t="str" cm="1">
        <f t="array" ref="F89">INDEX(공급업체코드!$B$3:$B$1000,MATCH(1,(E89=공급업체코드!$D$3:$D$1000)*1,0))</f>
        <v>VM_BKT</v>
      </c>
      <c r="G89" s="18" t="s">
        <v>1881</v>
      </c>
      <c r="H89" s="64"/>
      <c r="I89" s="64"/>
      <c r="J89" s="64"/>
      <c r="K89" s="300">
        <v>1.1000000000000001</v>
      </c>
      <c r="L89" s="300">
        <v>1.3</v>
      </c>
      <c r="M89" s="64">
        <v>46</v>
      </c>
      <c r="N89" s="64"/>
      <c r="O89" s="64"/>
      <c r="P89" s="64"/>
      <c r="Q89" s="64"/>
      <c r="R89" s="70"/>
      <c r="T89" s="64"/>
      <c r="X89">
        <v>0.123</v>
      </c>
      <c r="Y89" s="258" t="s">
        <v>1313</v>
      </c>
      <c r="AA89" s="259" t="s">
        <v>1314</v>
      </c>
      <c r="AB89" s="20" t="s">
        <v>1061</v>
      </c>
      <c r="AC89">
        <f t="shared" si="1"/>
        <v>230000000</v>
      </c>
      <c r="AE89" s="18" t="s">
        <v>1315</v>
      </c>
      <c r="AF89" s="1" t="b">
        <v>1</v>
      </c>
    </row>
    <row r="90" spans="2:32">
      <c r="B90" s="1" t="str">
        <f t="shared" si="0"/>
        <v>M_TDIF04_VM_BKT_1.3_47</v>
      </c>
      <c r="C90" s="92" t="s">
        <v>700</v>
      </c>
      <c r="D90" s="92" t="str" cm="1">
        <f t="array" ref="D90">INDEX(기계코드!$D$4:$D$214,MATCH(1,(C90=기계코드!$F$4:$F$214)*1,0))</f>
        <v>M_TDIF04</v>
      </c>
      <c r="E90" s="92" t="s">
        <v>1128</v>
      </c>
      <c r="F90" s="7" t="str" cm="1">
        <f t="array" ref="F90">INDEX(공급업체코드!$B$3:$B$1000,MATCH(1,(E90=공급업체코드!$D$3:$D$1000)*1,0))</f>
        <v>VM_BKT</v>
      </c>
      <c r="G90" s="18" t="s">
        <v>1881</v>
      </c>
      <c r="H90" s="64"/>
      <c r="I90" s="64"/>
      <c r="J90" s="64"/>
      <c r="K90" s="300">
        <v>1.1000000000000001</v>
      </c>
      <c r="L90" s="300">
        <v>1.3</v>
      </c>
      <c r="M90" s="64">
        <v>47</v>
      </c>
      <c r="N90" s="64"/>
      <c r="O90" s="64"/>
      <c r="P90" s="64"/>
      <c r="Q90" s="64"/>
      <c r="R90" s="70"/>
      <c r="T90" s="64"/>
      <c r="X90">
        <v>0.123</v>
      </c>
      <c r="Y90" s="258" t="s">
        <v>1313</v>
      </c>
      <c r="AA90" s="259" t="s">
        <v>1314</v>
      </c>
      <c r="AB90" s="20" t="s">
        <v>1061</v>
      </c>
      <c r="AC90">
        <f t="shared" si="1"/>
        <v>235000000</v>
      </c>
      <c r="AE90" s="18" t="s">
        <v>1315</v>
      </c>
      <c r="AF90" s="1" t="b">
        <v>1</v>
      </c>
    </row>
    <row r="91" spans="2:32">
      <c r="B91" s="1" t="str">
        <f t="shared" si="0"/>
        <v>M_TDIF04_VM_BKT_1.3_48</v>
      </c>
      <c r="C91" s="92" t="s">
        <v>700</v>
      </c>
      <c r="D91" s="92" t="str" cm="1">
        <f t="array" ref="D91">INDEX(기계코드!$D$4:$D$214,MATCH(1,(C91=기계코드!$F$4:$F$214)*1,0))</f>
        <v>M_TDIF04</v>
      </c>
      <c r="E91" s="92" t="s">
        <v>1128</v>
      </c>
      <c r="F91" s="7" t="str" cm="1">
        <f t="array" ref="F91">INDEX(공급업체코드!$B$3:$B$1000,MATCH(1,(E91=공급업체코드!$D$3:$D$1000)*1,0))</f>
        <v>VM_BKT</v>
      </c>
      <c r="G91" s="18" t="s">
        <v>1881</v>
      </c>
      <c r="H91" s="64"/>
      <c r="I91" s="64"/>
      <c r="J91" s="64"/>
      <c r="K91" s="300">
        <v>1.1000000000000001</v>
      </c>
      <c r="L91" s="300">
        <v>1.3</v>
      </c>
      <c r="M91" s="64">
        <v>48</v>
      </c>
      <c r="N91" s="64"/>
      <c r="O91" s="64"/>
      <c r="P91" s="64"/>
      <c r="Q91" s="64"/>
      <c r="R91" s="70"/>
      <c r="T91" s="64"/>
      <c r="X91">
        <v>0.123</v>
      </c>
      <c r="Y91" s="258" t="s">
        <v>1313</v>
      </c>
      <c r="AA91" s="259" t="s">
        <v>1314</v>
      </c>
      <c r="AB91" s="20" t="s">
        <v>1061</v>
      </c>
      <c r="AC91">
        <f t="shared" si="1"/>
        <v>240000000</v>
      </c>
      <c r="AE91" s="18" t="s">
        <v>1315</v>
      </c>
      <c r="AF91" s="1" t="b">
        <v>1</v>
      </c>
    </row>
    <row r="92" spans="2:32">
      <c r="B92" s="1" t="str">
        <f t="shared" si="0"/>
        <v>M_TDIF04_VM_BKT_1.3_49</v>
      </c>
      <c r="C92" s="92" t="s">
        <v>700</v>
      </c>
      <c r="D92" s="92" t="str" cm="1">
        <f t="array" ref="D92">INDEX(기계코드!$D$4:$D$214,MATCH(1,(C92=기계코드!$F$4:$F$214)*1,0))</f>
        <v>M_TDIF04</v>
      </c>
      <c r="E92" s="92" t="s">
        <v>1128</v>
      </c>
      <c r="F92" s="7" t="str" cm="1">
        <f t="array" ref="F92">INDEX(공급업체코드!$B$3:$B$1000,MATCH(1,(E92=공급업체코드!$D$3:$D$1000)*1,0))</f>
        <v>VM_BKT</v>
      </c>
      <c r="G92" s="18" t="s">
        <v>1881</v>
      </c>
      <c r="H92" s="64"/>
      <c r="I92" s="64"/>
      <c r="J92" s="64"/>
      <c r="K92" s="300">
        <v>1.1000000000000001</v>
      </c>
      <c r="L92" s="300">
        <v>1.3</v>
      </c>
      <c r="M92" s="64">
        <v>49</v>
      </c>
      <c r="N92" s="64"/>
      <c r="O92" s="64"/>
      <c r="P92" s="64"/>
      <c r="Q92" s="64"/>
      <c r="R92" s="70"/>
      <c r="T92" s="64"/>
      <c r="X92">
        <v>0.123</v>
      </c>
      <c r="Y92" s="258" t="s">
        <v>1313</v>
      </c>
      <c r="AA92" s="259" t="s">
        <v>1314</v>
      </c>
      <c r="AB92" s="20" t="s">
        <v>1061</v>
      </c>
      <c r="AC92">
        <f t="shared" si="1"/>
        <v>245000000</v>
      </c>
      <c r="AE92" s="18" t="s">
        <v>1315</v>
      </c>
      <c r="AF92" s="1" t="b">
        <v>1</v>
      </c>
    </row>
    <row r="93" spans="2:32">
      <c r="B93" s="1" t="str">
        <f t="shared" si="0"/>
        <v>M_TDIF04_VM_BKT_1.3_50</v>
      </c>
      <c r="C93" s="92" t="s">
        <v>700</v>
      </c>
      <c r="D93" s="92" t="str" cm="1">
        <f t="array" ref="D93">INDEX(기계코드!$D$4:$D$214,MATCH(1,(C93=기계코드!$F$4:$F$214)*1,0))</f>
        <v>M_TDIF04</v>
      </c>
      <c r="E93" s="92" t="s">
        <v>1128</v>
      </c>
      <c r="F93" s="7" t="str" cm="1">
        <f t="array" ref="F93">INDEX(공급업체코드!$B$3:$B$1000,MATCH(1,(E93=공급업체코드!$D$3:$D$1000)*1,0))</f>
        <v>VM_BKT</v>
      </c>
      <c r="G93" s="18" t="s">
        <v>1881</v>
      </c>
      <c r="H93" s="64"/>
      <c r="I93" s="64"/>
      <c r="J93" s="64"/>
      <c r="K93" s="300">
        <v>1.1000000000000001</v>
      </c>
      <c r="L93" s="300">
        <v>1.3</v>
      </c>
      <c r="M93" s="64">
        <v>50</v>
      </c>
      <c r="N93" s="64"/>
      <c r="O93" s="64"/>
      <c r="P93" s="64"/>
      <c r="Q93" s="64"/>
      <c r="R93" s="70"/>
      <c r="T93" s="64"/>
      <c r="X93">
        <v>0.123</v>
      </c>
      <c r="Y93" s="258" t="s">
        <v>1313</v>
      </c>
      <c r="AA93" s="259" t="s">
        <v>1314</v>
      </c>
      <c r="AB93" s="20" t="s">
        <v>1061</v>
      </c>
      <c r="AC93">
        <f t="shared" si="1"/>
        <v>250000000</v>
      </c>
      <c r="AE93" s="18" t="s">
        <v>1315</v>
      </c>
      <c r="AF93" s="1" t="b">
        <v>1</v>
      </c>
    </row>
    <row r="94" spans="2:32">
      <c r="B94" s="1" t="str">
        <f t="shared" si="0"/>
        <v>M_TDIF04_VM_BKT_1.3_51</v>
      </c>
      <c r="C94" s="92" t="s">
        <v>700</v>
      </c>
      <c r="D94" s="92" t="str" cm="1">
        <f t="array" ref="D94">INDEX(기계코드!$D$4:$D$214,MATCH(1,(C94=기계코드!$F$4:$F$214)*1,0))</f>
        <v>M_TDIF04</v>
      </c>
      <c r="E94" s="92" t="s">
        <v>1128</v>
      </c>
      <c r="F94" s="7" t="str" cm="1">
        <f t="array" ref="F94">INDEX(공급업체코드!$B$3:$B$1000,MATCH(1,(E94=공급업체코드!$D$3:$D$1000)*1,0))</f>
        <v>VM_BKT</v>
      </c>
      <c r="G94" s="18" t="s">
        <v>1881</v>
      </c>
      <c r="H94" s="64"/>
      <c r="I94" s="64"/>
      <c r="J94" s="64"/>
      <c r="K94" s="300">
        <v>1.1000000000000001</v>
      </c>
      <c r="L94" s="300">
        <v>1.3</v>
      </c>
      <c r="M94" s="64">
        <v>51</v>
      </c>
      <c r="N94" s="64"/>
      <c r="O94" s="64"/>
      <c r="P94" s="64"/>
      <c r="Q94" s="64"/>
      <c r="R94" s="70"/>
      <c r="T94" s="64"/>
      <c r="X94">
        <v>0.123</v>
      </c>
      <c r="Y94" s="258" t="s">
        <v>1313</v>
      </c>
      <c r="AA94" s="259" t="s">
        <v>1314</v>
      </c>
      <c r="AB94" s="20" t="s">
        <v>1061</v>
      </c>
      <c r="AC94">
        <f t="shared" si="1"/>
        <v>255000000</v>
      </c>
      <c r="AE94" s="18" t="s">
        <v>1315</v>
      </c>
      <c r="AF94" s="1" t="b">
        <v>1</v>
      </c>
    </row>
    <row r="95" spans="2:32">
      <c r="B95" s="1" t="str">
        <f t="shared" si="0"/>
        <v>M_TDIF04_VM_BKT_1.3_52</v>
      </c>
      <c r="C95" s="92" t="s">
        <v>700</v>
      </c>
      <c r="D95" s="92" t="str" cm="1">
        <f t="array" ref="D95">INDEX(기계코드!$D$4:$D$214,MATCH(1,(C95=기계코드!$F$4:$F$214)*1,0))</f>
        <v>M_TDIF04</v>
      </c>
      <c r="E95" s="92" t="s">
        <v>1128</v>
      </c>
      <c r="F95" s="7" t="str" cm="1">
        <f t="array" ref="F95">INDEX(공급업체코드!$B$3:$B$1000,MATCH(1,(E95=공급업체코드!$D$3:$D$1000)*1,0))</f>
        <v>VM_BKT</v>
      </c>
      <c r="G95" s="18" t="s">
        <v>1881</v>
      </c>
      <c r="H95" s="64"/>
      <c r="I95" s="64"/>
      <c r="J95" s="64"/>
      <c r="K95" s="300">
        <v>1.1000000000000001</v>
      </c>
      <c r="L95" s="300">
        <v>1.3</v>
      </c>
      <c r="M95" s="64">
        <v>52</v>
      </c>
      <c r="N95" s="64"/>
      <c r="O95" s="64"/>
      <c r="P95" s="64"/>
      <c r="Q95" s="64"/>
      <c r="R95" s="70"/>
      <c r="T95" s="64"/>
      <c r="X95">
        <v>0.123</v>
      </c>
      <c r="Y95" s="258" t="s">
        <v>1313</v>
      </c>
      <c r="AA95" s="259" t="s">
        <v>1314</v>
      </c>
      <c r="AB95" s="20" t="s">
        <v>1061</v>
      </c>
      <c r="AC95">
        <f t="shared" si="1"/>
        <v>260000000</v>
      </c>
      <c r="AE95" s="18" t="s">
        <v>1315</v>
      </c>
      <c r="AF95" s="1" t="b">
        <v>1</v>
      </c>
    </row>
    <row r="96" spans="2:32">
      <c r="B96" s="1" t="str">
        <f t="shared" si="0"/>
        <v>M_TDIF04_VM_BKT_1.3_53</v>
      </c>
      <c r="C96" s="92" t="s">
        <v>700</v>
      </c>
      <c r="D96" s="92" t="str" cm="1">
        <f t="array" ref="D96">INDEX(기계코드!$D$4:$D$214,MATCH(1,(C96=기계코드!$F$4:$F$214)*1,0))</f>
        <v>M_TDIF04</v>
      </c>
      <c r="E96" s="92" t="s">
        <v>1128</v>
      </c>
      <c r="F96" s="7" t="str" cm="1">
        <f t="array" ref="F96">INDEX(공급업체코드!$B$3:$B$1000,MATCH(1,(E96=공급업체코드!$D$3:$D$1000)*1,0))</f>
        <v>VM_BKT</v>
      </c>
      <c r="G96" s="18" t="s">
        <v>1881</v>
      </c>
      <c r="H96" s="64"/>
      <c r="I96" s="64"/>
      <c r="J96" s="64"/>
      <c r="K96" s="300">
        <v>1.1000000000000001</v>
      </c>
      <c r="L96" s="300">
        <v>1.3</v>
      </c>
      <c r="M96" s="64">
        <v>53</v>
      </c>
      <c r="N96" s="64"/>
      <c r="O96" s="64"/>
      <c r="P96" s="64"/>
      <c r="Q96" s="64"/>
      <c r="R96" s="70"/>
      <c r="T96" s="64"/>
      <c r="X96">
        <v>0.123</v>
      </c>
      <c r="Y96" s="258" t="s">
        <v>1313</v>
      </c>
      <c r="AA96" s="259" t="s">
        <v>1314</v>
      </c>
      <c r="AB96" s="20" t="s">
        <v>1061</v>
      </c>
      <c r="AC96">
        <f t="shared" si="1"/>
        <v>265000000</v>
      </c>
      <c r="AE96" s="18" t="s">
        <v>1315</v>
      </c>
      <c r="AF96" s="1" t="b">
        <v>1</v>
      </c>
    </row>
    <row r="97" spans="2:32">
      <c r="B97" s="1" t="str">
        <f t="shared" si="0"/>
        <v>M_TDIF04_VM_BKT_1.3_54</v>
      </c>
      <c r="C97" s="92" t="s">
        <v>700</v>
      </c>
      <c r="D97" s="92" t="str" cm="1">
        <f t="array" ref="D97">INDEX(기계코드!$D$4:$D$214,MATCH(1,(C97=기계코드!$F$4:$F$214)*1,0))</f>
        <v>M_TDIF04</v>
      </c>
      <c r="E97" s="92" t="s">
        <v>1128</v>
      </c>
      <c r="F97" s="7" t="str" cm="1">
        <f t="array" ref="F97">INDEX(공급업체코드!$B$3:$B$1000,MATCH(1,(E97=공급업체코드!$D$3:$D$1000)*1,0))</f>
        <v>VM_BKT</v>
      </c>
      <c r="G97" s="18" t="s">
        <v>1881</v>
      </c>
      <c r="H97" s="64"/>
      <c r="I97" s="64"/>
      <c r="J97" s="64"/>
      <c r="K97" s="300">
        <v>1.1000000000000001</v>
      </c>
      <c r="L97" s="300">
        <v>1.3</v>
      </c>
      <c r="M97" s="64">
        <v>54</v>
      </c>
      <c r="N97" s="64"/>
      <c r="O97" s="64"/>
      <c r="P97" s="64"/>
      <c r="Q97" s="64"/>
      <c r="R97" s="70"/>
      <c r="T97" s="64"/>
      <c r="X97">
        <v>0.123</v>
      </c>
      <c r="Y97" s="258" t="s">
        <v>1313</v>
      </c>
      <c r="AA97" s="259" t="s">
        <v>1314</v>
      </c>
      <c r="AB97" s="20" t="s">
        <v>1061</v>
      </c>
      <c r="AC97">
        <f t="shared" si="1"/>
        <v>270000000</v>
      </c>
      <c r="AE97" s="18" t="s">
        <v>1315</v>
      </c>
      <c r="AF97" s="1" t="b">
        <v>1</v>
      </c>
    </row>
    <row r="98" spans="2:32">
      <c r="B98" s="1" t="str">
        <f t="shared" si="0"/>
        <v>M_TDIF04_VM_BKT_1.3_55</v>
      </c>
      <c r="C98" s="92" t="s">
        <v>700</v>
      </c>
      <c r="D98" s="92" t="str" cm="1">
        <f t="array" ref="D98">INDEX(기계코드!$D$4:$D$214,MATCH(1,(C98=기계코드!$F$4:$F$214)*1,0))</f>
        <v>M_TDIF04</v>
      </c>
      <c r="E98" s="92" t="s">
        <v>1128</v>
      </c>
      <c r="F98" s="7" t="str" cm="1">
        <f t="array" ref="F98">INDEX(공급업체코드!$B$3:$B$1000,MATCH(1,(E98=공급업체코드!$D$3:$D$1000)*1,0))</f>
        <v>VM_BKT</v>
      </c>
      <c r="G98" s="18" t="s">
        <v>1881</v>
      </c>
      <c r="H98" s="64"/>
      <c r="I98" s="64"/>
      <c r="J98" s="64"/>
      <c r="K98" s="300">
        <v>1.1000000000000001</v>
      </c>
      <c r="L98" s="300">
        <v>1.3</v>
      </c>
      <c r="M98" s="64">
        <v>55</v>
      </c>
      <c r="N98" s="64"/>
      <c r="O98" s="64"/>
      <c r="P98" s="64"/>
      <c r="Q98" s="64"/>
      <c r="R98" s="70"/>
      <c r="T98" s="64"/>
      <c r="X98">
        <v>0.123</v>
      </c>
      <c r="Y98" s="258" t="s">
        <v>1313</v>
      </c>
      <c r="AA98" s="259" t="s">
        <v>1314</v>
      </c>
      <c r="AB98" s="20" t="s">
        <v>1061</v>
      </c>
      <c r="AC98">
        <f t="shared" si="1"/>
        <v>275000000</v>
      </c>
      <c r="AE98" s="18" t="s">
        <v>1315</v>
      </c>
      <c r="AF98" s="1" t="b">
        <v>1</v>
      </c>
    </row>
    <row r="99" spans="2:32">
      <c r="B99" s="1" t="str">
        <f t="shared" si="0"/>
        <v>M_TDIF04_VM_BKT_1.3_56</v>
      </c>
      <c r="C99" s="92" t="s">
        <v>700</v>
      </c>
      <c r="D99" s="92" t="str" cm="1">
        <f t="array" ref="D99">INDEX(기계코드!$D$4:$D$214,MATCH(1,(C99=기계코드!$F$4:$F$214)*1,0))</f>
        <v>M_TDIF04</v>
      </c>
      <c r="E99" s="92" t="s">
        <v>1128</v>
      </c>
      <c r="F99" s="7" t="str" cm="1">
        <f t="array" ref="F99">INDEX(공급업체코드!$B$3:$B$1000,MATCH(1,(E99=공급업체코드!$D$3:$D$1000)*1,0))</f>
        <v>VM_BKT</v>
      </c>
      <c r="G99" s="18" t="s">
        <v>1881</v>
      </c>
      <c r="H99" s="64"/>
      <c r="I99" s="64"/>
      <c r="J99" s="64"/>
      <c r="K99" s="300">
        <v>1.1000000000000001</v>
      </c>
      <c r="L99" s="300">
        <v>1.3</v>
      </c>
      <c r="M99" s="64">
        <v>56</v>
      </c>
      <c r="N99" s="64"/>
      <c r="O99" s="64"/>
      <c r="P99" s="64"/>
      <c r="Q99" s="64"/>
      <c r="R99" s="70"/>
      <c r="T99" s="64"/>
      <c r="X99">
        <v>0.123</v>
      </c>
      <c r="Y99" s="258" t="s">
        <v>1313</v>
      </c>
      <c r="AA99" s="259" t="s">
        <v>1314</v>
      </c>
      <c r="AB99" s="20" t="s">
        <v>1061</v>
      </c>
      <c r="AC99">
        <f t="shared" si="1"/>
        <v>280000000</v>
      </c>
      <c r="AE99" s="18" t="s">
        <v>1315</v>
      </c>
      <c r="AF99" s="1" t="b">
        <v>1</v>
      </c>
    </row>
    <row r="100" spans="2:32">
      <c r="B100" s="1" t="str">
        <f t="shared" si="0"/>
        <v>M_TDIF04_VM_BKT_1.3_57</v>
      </c>
      <c r="C100" s="92" t="s">
        <v>700</v>
      </c>
      <c r="D100" s="92" t="str" cm="1">
        <f t="array" ref="D100">INDEX(기계코드!$D$4:$D$214,MATCH(1,(C100=기계코드!$F$4:$F$214)*1,0))</f>
        <v>M_TDIF04</v>
      </c>
      <c r="E100" s="92" t="s">
        <v>1128</v>
      </c>
      <c r="F100" s="7" t="str" cm="1">
        <f t="array" ref="F100">INDEX(공급업체코드!$B$3:$B$1000,MATCH(1,(E100=공급업체코드!$D$3:$D$1000)*1,0))</f>
        <v>VM_BKT</v>
      </c>
      <c r="G100" s="18" t="s">
        <v>1881</v>
      </c>
      <c r="H100" s="64"/>
      <c r="I100" s="64"/>
      <c r="J100" s="64"/>
      <c r="K100" s="300">
        <v>1.1000000000000001</v>
      </c>
      <c r="L100" s="300">
        <v>1.3</v>
      </c>
      <c r="M100" s="64">
        <v>57</v>
      </c>
      <c r="N100" s="64"/>
      <c r="O100" s="64"/>
      <c r="P100" s="64"/>
      <c r="Q100" s="64"/>
      <c r="R100" s="70"/>
      <c r="T100" s="64"/>
      <c r="X100">
        <v>0.123</v>
      </c>
      <c r="Y100" s="258" t="s">
        <v>1313</v>
      </c>
      <c r="AA100" s="259" t="s">
        <v>1314</v>
      </c>
      <c r="AB100" s="20" t="s">
        <v>1061</v>
      </c>
      <c r="AC100">
        <f t="shared" si="1"/>
        <v>285000000</v>
      </c>
      <c r="AE100" s="18" t="s">
        <v>1315</v>
      </c>
      <c r="AF100" s="1" t="b">
        <v>1</v>
      </c>
    </row>
    <row r="101" spans="2:32">
      <c r="B101" s="1" t="str">
        <f t="shared" si="0"/>
        <v>M_TDIF04_VM_BKT_1.3_58</v>
      </c>
      <c r="C101" s="92" t="s">
        <v>700</v>
      </c>
      <c r="D101" s="92" t="str" cm="1">
        <f t="array" ref="D101">INDEX(기계코드!$D$4:$D$214,MATCH(1,(C101=기계코드!$F$4:$F$214)*1,0))</f>
        <v>M_TDIF04</v>
      </c>
      <c r="E101" s="92" t="s">
        <v>1128</v>
      </c>
      <c r="F101" s="7" t="str" cm="1">
        <f t="array" ref="F101">INDEX(공급업체코드!$B$3:$B$1000,MATCH(1,(E101=공급업체코드!$D$3:$D$1000)*1,0))</f>
        <v>VM_BKT</v>
      </c>
      <c r="G101" s="18" t="s">
        <v>1881</v>
      </c>
      <c r="H101" s="64"/>
      <c r="I101" s="64"/>
      <c r="J101" s="64"/>
      <c r="K101" s="300">
        <v>1.1000000000000001</v>
      </c>
      <c r="L101" s="300">
        <v>1.3</v>
      </c>
      <c r="M101" s="64">
        <v>58</v>
      </c>
      <c r="N101" s="64"/>
      <c r="O101" s="64"/>
      <c r="P101" s="64"/>
      <c r="Q101" s="64"/>
      <c r="R101" s="70"/>
      <c r="T101" s="64"/>
      <c r="X101">
        <v>0.123</v>
      </c>
      <c r="Y101" s="258" t="s">
        <v>1313</v>
      </c>
      <c r="AA101" s="259" t="s">
        <v>1314</v>
      </c>
      <c r="AB101" s="20" t="s">
        <v>1061</v>
      </c>
      <c r="AC101">
        <f t="shared" si="1"/>
        <v>290000000</v>
      </c>
      <c r="AE101" s="18" t="s">
        <v>1315</v>
      </c>
      <c r="AF101" s="1" t="b">
        <v>1</v>
      </c>
    </row>
    <row r="102" spans="2:32">
      <c r="B102" s="1" t="str">
        <f t="shared" si="0"/>
        <v>M_TDIF04_VM_BKT_1.3_59</v>
      </c>
      <c r="C102" s="92" t="s">
        <v>700</v>
      </c>
      <c r="D102" s="92" t="str" cm="1">
        <f t="array" ref="D102">INDEX(기계코드!$D$4:$D$214,MATCH(1,(C102=기계코드!$F$4:$F$214)*1,0))</f>
        <v>M_TDIF04</v>
      </c>
      <c r="E102" s="92" t="s">
        <v>1128</v>
      </c>
      <c r="F102" s="7" t="str" cm="1">
        <f t="array" ref="F102">INDEX(공급업체코드!$B$3:$B$1000,MATCH(1,(E102=공급업체코드!$D$3:$D$1000)*1,0))</f>
        <v>VM_BKT</v>
      </c>
      <c r="G102" s="18" t="s">
        <v>1881</v>
      </c>
      <c r="H102" s="64"/>
      <c r="I102" s="64"/>
      <c r="J102" s="64"/>
      <c r="K102" s="300">
        <v>1.1000000000000001</v>
      </c>
      <c r="L102" s="300">
        <v>1.3</v>
      </c>
      <c r="M102" s="64">
        <v>59</v>
      </c>
      <c r="N102" s="64"/>
      <c r="O102" s="64"/>
      <c r="P102" s="64"/>
      <c r="Q102" s="64"/>
      <c r="R102" s="70"/>
      <c r="T102" s="64"/>
      <c r="X102">
        <v>0.123</v>
      </c>
      <c r="Y102" s="258" t="s">
        <v>1313</v>
      </c>
      <c r="AA102" s="259" t="s">
        <v>1314</v>
      </c>
      <c r="AB102" s="20" t="s">
        <v>1061</v>
      </c>
      <c r="AC102">
        <f t="shared" si="1"/>
        <v>295000000</v>
      </c>
      <c r="AE102" s="18" t="s">
        <v>1315</v>
      </c>
      <c r="AF102" s="1" t="b">
        <v>1</v>
      </c>
    </row>
    <row r="103" spans="2:32">
      <c r="B103" s="1" t="str">
        <f t="shared" si="0"/>
        <v>M_TDIF04_VM_BKT_1.3_60</v>
      </c>
      <c r="C103" s="92" t="s">
        <v>700</v>
      </c>
      <c r="D103" s="92" t="str" cm="1">
        <f t="array" ref="D103">INDEX(기계코드!$D$4:$D$214,MATCH(1,(C103=기계코드!$F$4:$F$214)*1,0))</f>
        <v>M_TDIF04</v>
      </c>
      <c r="E103" s="92" t="s">
        <v>1128</v>
      </c>
      <c r="F103" s="7" t="str" cm="1">
        <f t="array" ref="F103">INDEX(공급업체코드!$B$3:$B$1000,MATCH(1,(E103=공급업체코드!$D$3:$D$1000)*1,0))</f>
        <v>VM_BKT</v>
      </c>
      <c r="G103" s="18" t="s">
        <v>1881</v>
      </c>
      <c r="H103" s="64"/>
      <c r="I103" s="64"/>
      <c r="J103" s="64"/>
      <c r="K103" s="300">
        <v>1.1000000000000001</v>
      </c>
      <c r="L103" s="300">
        <v>1.3</v>
      </c>
      <c r="M103" s="64">
        <v>60</v>
      </c>
      <c r="N103" s="64"/>
      <c r="O103" s="64"/>
      <c r="P103" s="64"/>
      <c r="Q103" s="64"/>
      <c r="R103" s="70"/>
      <c r="T103" s="64"/>
      <c r="X103">
        <v>0.123</v>
      </c>
      <c r="Y103" s="258" t="s">
        <v>1313</v>
      </c>
      <c r="AA103" s="259" t="s">
        <v>1314</v>
      </c>
      <c r="AB103" s="20" t="s">
        <v>1061</v>
      </c>
      <c r="AC103">
        <f t="shared" si="1"/>
        <v>300000000</v>
      </c>
      <c r="AE103" s="18" t="s">
        <v>1315</v>
      </c>
      <c r="AF103" s="1" t="b">
        <v>1</v>
      </c>
    </row>
    <row r="104" spans="2:32">
      <c r="B104" s="1" t="str">
        <f t="shared" si="0"/>
        <v>M_TDIF04_VM_BKT_1.3_61</v>
      </c>
      <c r="C104" s="92" t="s">
        <v>700</v>
      </c>
      <c r="D104" s="92" t="str" cm="1">
        <f t="array" ref="D104">INDEX(기계코드!$D$4:$D$214,MATCH(1,(C104=기계코드!$F$4:$F$214)*1,0))</f>
        <v>M_TDIF04</v>
      </c>
      <c r="E104" s="92" t="s">
        <v>1128</v>
      </c>
      <c r="F104" s="7" t="str" cm="1">
        <f t="array" ref="F104">INDEX(공급업체코드!$B$3:$B$1000,MATCH(1,(E104=공급업체코드!$D$3:$D$1000)*1,0))</f>
        <v>VM_BKT</v>
      </c>
      <c r="G104" s="18" t="s">
        <v>1881</v>
      </c>
      <c r="H104" s="64"/>
      <c r="I104" s="64"/>
      <c r="J104" s="64"/>
      <c r="K104" s="300">
        <v>1.1000000000000001</v>
      </c>
      <c r="L104" s="300">
        <v>1.3</v>
      </c>
      <c r="M104" s="64">
        <v>61</v>
      </c>
      <c r="N104" s="64"/>
      <c r="O104" s="64"/>
      <c r="P104" s="64"/>
      <c r="Q104" s="64"/>
      <c r="R104" s="70"/>
      <c r="T104" s="64"/>
      <c r="X104">
        <v>0.123</v>
      </c>
      <c r="Y104" s="258" t="s">
        <v>1313</v>
      </c>
      <c r="AA104" s="259" t="s">
        <v>1314</v>
      </c>
      <c r="AB104" s="20" t="s">
        <v>1061</v>
      </c>
      <c r="AC104">
        <f t="shared" si="1"/>
        <v>305000000</v>
      </c>
      <c r="AE104" s="18" t="s">
        <v>1315</v>
      </c>
      <c r="AF104" s="1" t="b">
        <v>1</v>
      </c>
    </row>
    <row r="105" spans="2:32">
      <c r="B105" s="1" t="str">
        <f t="shared" si="0"/>
        <v>M_TDIF04_VM_BKT_1.3_62</v>
      </c>
      <c r="C105" s="92" t="s">
        <v>700</v>
      </c>
      <c r="D105" s="92" t="str" cm="1">
        <f t="array" ref="D105">INDEX(기계코드!$D$4:$D$214,MATCH(1,(C105=기계코드!$F$4:$F$214)*1,0))</f>
        <v>M_TDIF04</v>
      </c>
      <c r="E105" s="92" t="s">
        <v>1128</v>
      </c>
      <c r="F105" s="7" t="str" cm="1">
        <f t="array" ref="F105">INDEX(공급업체코드!$B$3:$B$1000,MATCH(1,(E105=공급업체코드!$D$3:$D$1000)*1,0))</f>
        <v>VM_BKT</v>
      </c>
      <c r="G105" s="18" t="s">
        <v>1881</v>
      </c>
      <c r="H105" s="64"/>
      <c r="I105" s="64"/>
      <c r="J105" s="64"/>
      <c r="K105" s="300">
        <v>1.1000000000000001</v>
      </c>
      <c r="L105" s="300">
        <v>1.3</v>
      </c>
      <c r="M105" s="64">
        <v>62</v>
      </c>
      <c r="N105" s="64"/>
      <c r="O105" s="64"/>
      <c r="P105" s="64"/>
      <c r="Q105" s="64"/>
      <c r="R105" s="70"/>
      <c r="T105" s="64"/>
      <c r="X105">
        <v>0.123</v>
      </c>
      <c r="Y105" s="258" t="s">
        <v>1313</v>
      </c>
      <c r="AA105" s="259" t="s">
        <v>1314</v>
      </c>
      <c r="AB105" s="20" t="s">
        <v>1061</v>
      </c>
      <c r="AC105">
        <f t="shared" si="1"/>
        <v>310000000</v>
      </c>
      <c r="AE105" s="18" t="s">
        <v>1315</v>
      </c>
      <c r="AF105" s="1" t="b">
        <v>1</v>
      </c>
    </row>
    <row r="106" spans="2:32">
      <c r="B106" s="1" t="str">
        <f t="shared" si="0"/>
        <v>M_TDIF04_VM_BKT_1.3_63</v>
      </c>
      <c r="C106" s="92" t="s">
        <v>700</v>
      </c>
      <c r="D106" s="92" t="str" cm="1">
        <f t="array" ref="D106">INDEX(기계코드!$D$4:$D$214,MATCH(1,(C106=기계코드!$F$4:$F$214)*1,0))</f>
        <v>M_TDIF04</v>
      </c>
      <c r="E106" s="92" t="s">
        <v>1128</v>
      </c>
      <c r="F106" s="7" t="str" cm="1">
        <f t="array" ref="F106">INDEX(공급업체코드!$B$3:$B$1000,MATCH(1,(E106=공급업체코드!$D$3:$D$1000)*1,0))</f>
        <v>VM_BKT</v>
      </c>
      <c r="G106" s="18" t="s">
        <v>1881</v>
      </c>
      <c r="H106" s="64"/>
      <c r="I106" s="64"/>
      <c r="J106" s="64"/>
      <c r="K106" s="300">
        <v>1.1000000000000001</v>
      </c>
      <c r="L106" s="300">
        <v>1.3</v>
      </c>
      <c r="M106" s="64">
        <v>63</v>
      </c>
      <c r="N106" s="64"/>
      <c r="O106" s="64"/>
      <c r="P106" s="64"/>
      <c r="Q106" s="64"/>
      <c r="R106" s="70"/>
      <c r="T106" s="64"/>
      <c r="X106">
        <v>0.123</v>
      </c>
      <c r="Y106" s="258" t="s">
        <v>1313</v>
      </c>
      <c r="AA106" s="259" t="s">
        <v>1314</v>
      </c>
      <c r="AB106" s="20" t="s">
        <v>1061</v>
      </c>
      <c r="AC106">
        <f t="shared" si="1"/>
        <v>315000000</v>
      </c>
      <c r="AE106" s="18" t="s">
        <v>1315</v>
      </c>
      <c r="AF106" s="1" t="b">
        <v>1</v>
      </c>
    </row>
    <row r="107" spans="2:32">
      <c r="B107" s="1" t="str">
        <f t="shared" si="0"/>
        <v>M_TDIF04_VM_BKT_1.3_64</v>
      </c>
      <c r="C107" s="92" t="s">
        <v>700</v>
      </c>
      <c r="D107" s="92" t="str" cm="1">
        <f t="array" ref="D107">INDEX(기계코드!$D$4:$D$214,MATCH(1,(C107=기계코드!$F$4:$F$214)*1,0))</f>
        <v>M_TDIF04</v>
      </c>
      <c r="E107" s="92" t="s">
        <v>1128</v>
      </c>
      <c r="F107" s="7" t="str" cm="1">
        <f t="array" ref="F107">INDEX(공급업체코드!$B$3:$B$1000,MATCH(1,(E107=공급업체코드!$D$3:$D$1000)*1,0))</f>
        <v>VM_BKT</v>
      </c>
      <c r="G107" s="18" t="s">
        <v>1881</v>
      </c>
      <c r="H107" s="64"/>
      <c r="I107" s="64"/>
      <c r="J107" s="64"/>
      <c r="K107" s="300">
        <v>1.1000000000000001</v>
      </c>
      <c r="L107" s="300">
        <v>1.3</v>
      </c>
      <c r="M107" s="64">
        <v>64</v>
      </c>
      <c r="N107" s="64"/>
      <c r="O107" s="64"/>
      <c r="P107" s="64"/>
      <c r="Q107" s="64"/>
      <c r="R107" s="70"/>
      <c r="T107" s="64"/>
      <c r="X107">
        <v>0.123</v>
      </c>
      <c r="Y107" s="258" t="s">
        <v>1313</v>
      </c>
      <c r="AA107" s="259" t="s">
        <v>1314</v>
      </c>
      <c r="AB107" s="20" t="s">
        <v>1061</v>
      </c>
      <c r="AC107">
        <f t="shared" si="1"/>
        <v>320000000</v>
      </c>
      <c r="AE107" s="18" t="s">
        <v>1315</v>
      </c>
      <c r="AF107" s="1" t="b">
        <v>1</v>
      </c>
    </row>
    <row r="108" spans="2:32">
      <c r="B108" s="1" t="str">
        <f t="shared" si="0"/>
        <v>M_TDIF04_VM_BKT_1.3_65</v>
      </c>
      <c r="C108" s="92" t="s">
        <v>700</v>
      </c>
      <c r="D108" s="92" t="str" cm="1">
        <f t="array" ref="D108">INDEX(기계코드!$D$4:$D$214,MATCH(1,(C108=기계코드!$F$4:$F$214)*1,0))</f>
        <v>M_TDIF04</v>
      </c>
      <c r="E108" s="92" t="s">
        <v>1128</v>
      </c>
      <c r="F108" s="7" t="str" cm="1">
        <f t="array" ref="F108">INDEX(공급업체코드!$B$3:$B$1000,MATCH(1,(E108=공급업체코드!$D$3:$D$1000)*1,0))</f>
        <v>VM_BKT</v>
      </c>
      <c r="G108" s="18" t="s">
        <v>1881</v>
      </c>
      <c r="H108" s="64"/>
      <c r="I108" s="64"/>
      <c r="J108" s="64"/>
      <c r="K108" s="300">
        <v>1.1000000000000001</v>
      </c>
      <c r="L108" s="300">
        <v>1.3</v>
      </c>
      <c r="M108" s="64">
        <v>65</v>
      </c>
      <c r="N108" s="64"/>
      <c r="O108" s="64"/>
      <c r="P108" s="64"/>
      <c r="Q108" s="64"/>
      <c r="R108" s="70"/>
      <c r="T108" s="64"/>
      <c r="X108">
        <v>0.123</v>
      </c>
      <c r="Y108" s="258" t="s">
        <v>1313</v>
      </c>
      <c r="AA108" s="259" t="s">
        <v>1314</v>
      </c>
      <c r="AB108" s="20" t="s">
        <v>1061</v>
      </c>
      <c r="AC108">
        <f t="shared" si="1"/>
        <v>325000000</v>
      </c>
      <c r="AE108" s="18" t="s">
        <v>1315</v>
      </c>
      <c r="AF108" s="1" t="b">
        <v>1</v>
      </c>
    </row>
    <row r="109" spans="2:32">
      <c r="B109" s="1" t="str">
        <f t="shared" ref="B109:B172" si="2">D109&amp;"_"&amp;F109&amp;"_"&amp;L109&amp;"_"&amp;M109</f>
        <v>M_TDIF04_VM_BKT_1.3_66</v>
      </c>
      <c r="C109" s="92" t="s">
        <v>700</v>
      </c>
      <c r="D109" s="92" t="str" cm="1">
        <f t="array" ref="D109">INDEX(기계코드!$D$4:$D$214,MATCH(1,(C109=기계코드!$F$4:$F$214)*1,0))</f>
        <v>M_TDIF04</v>
      </c>
      <c r="E109" s="92" t="s">
        <v>1128</v>
      </c>
      <c r="F109" s="7" t="str" cm="1">
        <f t="array" ref="F109">INDEX(공급업체코드!$B$3:$B$1000,MATCH(1,(E109=공급업체코드!$D$3:$D$1000)*1,0))</f>
        <v>VM_BKT</v>
      </c>
      <c r="G109" s="18" t="s">
        <v>1881</v>
      </c>
      <c r="H109" s="64"/>
      <c r="I109" s="64"/>
      <c r="J109" s="64"/>
      <c r="K109" s="300">
        <v>1.1000000000000001</v>
      </c>
      <c r="L109" s="300">
        <v>1.3</v>
      </c>
      <c r="M109" s="64">
        <v>66</v>
      </c>
      <c r="N109" s="64"/>
      <c r="O109" s="64"/>
      <c r="P109" s="64"/>
      <c r="Q109" s="64"/>
      <c r="R109" s="70"/>
      <c r="T109" s="64"/>
      <c r="X109">
        <v>0.123</v>
      </c>
      <c r="Y109" s="258" t="s">
        <v>1313</v>
      </c>
      <c r="AA109" s="259" t="s">
        <v>1314</v>
      </c>
      <c r="AB109" s="20" t="s">
        <v>1061</v>
      </c>
      <c r="AC109">
        <f t="shared" si="1"/>
        <v>330000000</v>
      </c>
      <c r="AE109" s="18" t="s">
        <v>1315</v>
      </c>
      <c r="AF109" s="1" t="b">
        <v>1</v>
      </c>
    </row>
    <row r="110" spans="2:32">
      <c r="B110" s="1" t="str">
        <f t="shared" si="2"/>
        <v>M_TDIF04_VM_BKT_1.3_67</v>
      </c>
      <c r="C110" s="92" t="s">
        <v>700</v>
      </c>
      <c r="D110" s="92" t="str" cm="1">
        <f t="array" ref="D110">INDEX(기계코드!$D$4:$D$214,MATCH(1,(C110=기계코드!$F$4:$F$214)*1,0))</f>
        <v>M_TDIF04</v>
      </c>
      <c r="E110" s="92" t="s">
        <v>1128</v>
      </c>
      <c r="F110" s="7" t="str" cm="1">
        <f t="array" ref="F110">INDEX(공급업체코드!$B$3:$B$1000,MATCH(1,(E110=공급업체코드!$D$3:$D$1000)*1,0))</f>
        <v>VM_BKT</v>
      </c>
      <c r="G110" s="18" t="s">
        <v>1881</v>
      </c>
      <c r="H110" s="64"/>
      <c r="I110" s="64"/>
      <c r="J110" s="64"/>
      <c r="K110" s="300">
        <v>1.1000000000000001</v>
      </c>
      <c r="L110" s="300">
        <v>1.3</v>
      </c>
      <c r="M110" s="64">
        <v>67</v>
      </c>
      <c r="N110" s="64"/>
      <c r="O110" s="64"/>
      <c r="P110" s="64"/>
      <c r="Q110" s="64"/>
      <c r="R110" s="70"/>
      <c r="T110" s="64"/>
      <c r="X110">
        <v>0.123</v>
      </c>
      <c r="Y110" s="258" t="s">
        <v>1313</v>
      </c>
      <c r="AA110" s="259" t="s">
        <v>1314</v>
      </c>
      <c r="AB110" s="20" t="s">
        <v>1061</v>
      </c>
      <c r="AC110">
        <f t="shared" ref="AC110:AC173" si="3">M110*$AC$44</f>
        <v>335000000</v>
      </c>
      <c r="AE110" s="18" t="s">
        <v>1315</v>
      </c>
      <c r="AF110" s="1" t="b">
        <v>1</v>
      </c>
    </row>
    <row r="111" spans="2:32">
      <c r="B111" s="1" t="str">
        <f t="shared" si="2"/>
        <v>M_TDIF04_VM_BKT_1.3_68</v>
      </c>
      <c r="C111" s="92" t="s">
        <v>700</v>
      </c>
      <c r="D111" s="92" t="str" cm="1">
        <f t="array" ref="D111">INDEX(기계코드!$D$4:$D$214,MATCH(1,(C111=기계코드!$F$4:$F$214)*1,0))</f>
        <v>M_TDIF04</v>
      </c>
      <c r="E111" s="92" t="s">
        <v>1128</v>
      </c>
      <c r="F111" s="7" t="str" cm="1">
        <f t="array" ref="F111">INDEX(공급업체코드!$B$3:$B$1000,MATCH(1,(E111=공급업체코드!$D$3:$D$1000)*1,0))</f>
        <v>VM_BKT</v>
      </c>
      <c r="G111" s="18" t="s">
        <v>1881</v>
      </c>
      <c r="H111" s="64"/>
      <c r="I111" s="64"/>
      <c r="J111" s="64"/>
      <c r="K111" s="300">
        <v>1.1000000000000001</v>
      </c>
      <c r="L111" s="300">
        <v>1.3</v>
      </c>
      <c r="M111" s="64">
        <v>68</v>
      </c>
      <c r="N111" s="64"/>
      <c r="O111" s="64"/>
      <c r="P111" s="64"/>
      <c r="Q111" s="64"/>
      <c r="R111" s="70"/>
      <c r="T111" s="64"/>
      <c r="X111">
        <v>0.123</v>
      </c>
      <c r="Y111" s="258" t="s">
        <v>1313</v>
      </c>
      <c r="AA111" s="259" t="s">
        <v>1314</v>
      </c>
      <c r="AB111" s="20" t="s">
        <v>1061</v>
      </c>
      <c r="AC111">
        <f t="shared" si="3"/>
        <v>340000000</v>
      </c>
      <c r="AE111" s="18" t="s">
        <v>1315</v>
      </c>
      <c r="AF111" s="1" t="b">
        <v>1</v>
      </c>
    </row>
    <row r="112" spans="2:32">
      <c r="B112" s="1" t="str">
        <f t="shared" si="2"/>
        <v>M_TDIF04_VM_BKT_1.3_69</v>
      </c>
      <c r="C112" s="92" t="s">
        <v>700</v>
      </c>
      <c r="D112" s="92" t="str" cm="1">
        <f t="array" ref="D112">INDEX(기계코드!$D$4:$D$214,MATCH(1,(C112=기계코드!$F$4:$F$214)*1,0))</f>
        <v>M_TDIF04</v>
      </c>
      <c r="E112" s="92" t="s">
        <v>1128</v>
      </c>
      <c r="F112" s="7" t="str" cm="1">
        <f t="array" ref="F112">INDEX(공급업체코드!$B$3:$B$1000,MATCH(1,(E112=공급업체코드!$D$3:$D$1000)*1,0))</f>
        <v>VM_BKT</v>
      </c>
      <c r="G112" s="18" t="s">
        <v>1881</v>
      </c>
      <c r="H112" s="64"/>
      <c r="I112" s="64"/>
      <c r="J112" s="64"/>
      <c r="K112" s="300">
        <v>1.1000000000000001</v>
      </c>
      <c r="L112" s="300">
        <v>1.3</v>
      </c>
      <c r="M112" s="64">
        <v>69</v>
      </c>
      <c r="N112" s="64"/>
      <c r="O112" s="64"/>
      <c r="P112" s="64"/>
      <c r="Q112" s="64"/>
      <c r="R112" s="70"/>
      <c r="T112" s="64"/>
      <c r="X112">
        <v>0.123</v>
      </c>
      <c r="Y112" s="258" t="s">
        <v>1313</v>
      </c>
      <c r="AA112" s="259" t="s">
        <v>1314</v>
      </c>
      <c r="AB112" s="20" t="s">
        <v>1061</v>
      </c>
      <c r="AC112">
        <f t="shared" si="3"/>
        <v>345000000</v>
      </c>
      <c r="AE112" s="18" t="s">
        <v>1315</v>
      </c>
      <c r="AF112" s="1" t="b">
        <v>1</v>
      </c>
    </row>
    <row r="113" spans="2:32">
      <c r="B113" s="1" t="str">
        <f t="shared" si="2"/>
        <v>M_TDIF04_VM_BKT_1.3_70</v>
      </c>
      <c r="C113" s="92" t="s">
        <v>700</v>
      </c>
      <c r="D113" s="92" t="str" cm="1">
        <f t="array" ref="D113">INDEX(기계코드!$D$4:$D$214,MATCH(1,(C113=기계코드!$F$4:$F$214)*1,0))</f>
        <v>M_TDIF04</v>
      </c>
      <c r="E113" s="92" t="s">
        <v>1128</v>
      </c>
      <c r="F113" s="7" t="str" cm="1">
        <f t="array" ref="F113">INDEX(공급업체코드!$B$3:$B$1000,MATCH(1,(E113=공급업체코드!$D$3:$D$1000)*1,0))</f>
        <v>VM_BKT</v>
      </c>
      <c r="G113" s="18" t="s">
        <v>1881</v>
      </c>
      <c r="H113" s="64"/>
      <c r="I113" s="64"/>
      <c r="J113" s="64"/>
      <c r="K113" s="300">
        <v>1.1000000000000001</v>
      </c>
      <c r="L113" s="300">
        <v>1.3</v>
      </c>
      <c r="M113" s="64">
        <v>70</v>
      </c>
      <c r="N113" s="64"/>
      <c r="O113" s="64"/>
      <c r="P113" s="64"/>
      <c r="Q113" s="64"/>
      <c r="R113" s="70"/>
      <c r="T113" s="64"/>
      <c r="X113">
        <v>0.123</v>
      </c>
      <c r="Y113" s="258" t="s">
        <v>1313</v>
      </c>
      <c r="AA113" s="259" t="s">
        <v>1314</v>
      </c>
      <c r="AB113" s="20" t="s">
        <v>1061</v>
      </c>
      <c r="AC113">
        <f t="shared" si="3"/>
        <v>350000000</v>
      </c>
      <c r="AE113" s="18" t="s">
        <v>1315</v>
      </c>
      <c r="AF113" s="1" t="b">
        <v>1</v>
      </c>
    </row>
    <row r="114" spans="2:32">
      <c r="B114" s="1" t="str">
        <f t="shared" si="2"/>
        <v>M_TDIF04_VM_BKT_1.3_71</v>
      </c>
      <c r="C114" s="92" t="s">
        <v>700</v>
      </c>
      <c r="D114" s="92" t="str" cm="1">
        <f t="array" ref="D114">INDEX(기계코드!$D$4:$D$214,MATCH(1,(C114=기계코드!$F$4:$F$214)*1,0))</f>
        <v>M_TDIF04</v>
      </c>
      <c r="E114" s="92" t="s">
        <v>1128</v>
      </c>
      <c r="F114" s="7" t="str" cm="1">
        <f t="array" ref="F114">INDEX(공급업체코드!$B$3:$B$1000,MATCH(1,(E114=공급업체코드!$D$3:$D$1000)*1,0))</f>
        <v>VM_BKT</v>
      </c>
      <c r="G114" s="18" t="s">
        <v>1881</v>
      </c>
      <c r="H114" s="64"/>
      <c r="I114" s="64"/>
      <c r="J114" s="64"/>
      <c r="K114" s="300">
        <v>1.1000000000000001</v>
      </c>
      <c r="L114" s="300">
        <v>1.3</v>
      </c>
      <c r="M114" s="64">
        <v>71</v>
      </c>
      <c r="N114" s="64"/>
      <c r="O114" s="64"/>
      <c r="P114" s="64"/>
      <c r="Q114" s="64"/>
      <c r="R114" s="70"/>
      <c r="T114" s="64"/>
      <c r="X114">
        <v>0.123</v>
      </c>
      <c r="Y114" s="258" t="s">
        <v>1313</v>
      </c>
      <c r="AA114" s="259" t="s">
        <v>1314</v>
      </c>
      <c r="AB114" s="20" t="s">
        <v>1061</v>
      </c>
      <c r="AC114">
        <f t="shared" si="3"/>
        <v>355000000</v>
      </c>
      <c r="AE114" s="18" t="s">
        <v>1315</v>
      </c>
      <c r="AF114" s="1" t="b">
        <v>1</v>
      </c>
    </row>
    <row r="115" spans="2:32">
      <c r="B115" s="1" t="str">
        <f t="shared" si="2"/>
        <v>M_TDIF04_VM_BKT_1.3_72</v>
      </c>
      <c r="C115" s="92" t="s">
        <v>700</v>
      </c>
      <c r="D115" s="92" t="str" cm="1">
        <f t="array" ref="D115">INDEX(기계코드!$D$4:$D$214,MATCH(1,(C115=기계코드!$F$4:$F$214)*1,0))</f>
        <v>M_TDIF04</v>
      </c>
      <c r="E115" s="92" t="s">
        <v>1128</v>
      </c>
      <c r="F115" s="7" t="str" cm="1">
        <f t="array" ref="F115">INDEX(공급업체코드!$B$3:$B$1000,MATCH(1,(E115=공급업체코드!$D$3:$D$1000)*1,0))</f>
        <v>VM_BKT</v>
      </c>
      <c r="G115" s="18" t="s">
        <v>1881</v>
      </c>
      <c r="H115" s="64"/>
      <c r="I115" s="64"/>
      <c r="J115" s="64"/>
      <c r="K115" s="300">
        <v>1.1000000000000001</v>
      </c>
      <c r="L115" s="300">
        <v>1.3</v>
      </c>
      <c r="M115" s="64">
        <v>72</v>
      </c>
      <c r="N115" s="64"/>
      <c r="O115" s="64"/>
      <c r="P115" s="64"/>
      <c r="Q115" s="64"/>
      <c r="R115" s="70"/>
      <c r="T115" s="64"/>
      <c r="X115">
        <v>0.123</v>
      </c>
      <c r="Y115" s="258" t="s">
        <v>1313</v>
      </c>
      <c r="AA115" s="259" t="s">
        <v>1314</v>
      </c>
      <c r="AB115" s="20" t="s">
        <v>1061</v>
      </c>
      <c r="AC115">
        <f t="shared" si="3"/>
        <v>360000000</v>
      </c>
      <c r="AE115" s="18" t="s">
        <v>1315</v>
      </c>
      <c r="AF115" s="1" t="b">
        <v>1</v>
      </c>
    </row>
    <row r="116" spans="2:32">
      <c r="B116" s="1" t="str">
        <f t="shared" si="2"/>
        <v>M_TDIF04_VM_BKT_1.3_73</v>
      </c>
      <c r="C116" s="92" t="s">
        <v>700</v>
      </c>
      <c r="D116" s="92" t="str" cm="1">
        <f t="array" ref="D116">INDEX(기계코드!$D$4:$D$214,MATCH(1,(C116=기계코드!$F$4:$F$214)*1,0))</f>
        <v>M_TDIF04</v>
      </c>
      <c r="E116" s="92" t="s">
        <v>1128</v>
      </c>
      <c r="F116" s="7" t="str" cm="1">
        <f t="array" ref="F116">INDEX(공급업체코드!$B$3:$B$1000,MATCH(1,(E116=공급업체코드!$D$3:$D$1000)*1,0))</f>
        <v>VM_BKT</v>
      </c>
      <c r="G116" s="18" t="s">
        <v>1881</v>
      </c>
      <c r="H116" s="64"/>
      <c r="I116" s="64"/>
      <c r="J116" s="64"/>
      <c r="K116" s="300">
        <v>1.1000000000000001</v>
      </c>
      <c r="L116" s="300">
        <v>1.3</v>
      </c>
      <c r="M116" s="64">
        <v>73</v>
      </c>
      <c r="N116" s="64"/>
      <c r="O116" s="64"/>
      <c r="P116" s="64"/>
      <c r="Q116" s="64"/>
      <c r="R116" s="70"/>
      <c r="T116" s="64"/>
      <c r="X116">
        <v>0.123</v>
      </c>
      <c r="Y116" s="258" t="s">
        <v>1313</v>
      </c>
      <c r="AA116" s="259" t="s">
        <v>1314</v>
      </c>
      <c r="AB116" s="20" t="s">
        <v>1061</v>
      </c>
      <c r="AC116">
        <f t="shared" si="3"/>
        <v>365000000</v>
      </c>
      <c r="AE116" s="18" t="s">
        <v>1315</v>
      </c>
      <c r="AF116" s="1" t="b">
        <v>1</v>
      </c>
    </row>
    <row r="117" spans="2:32">
      <c r="B117" s="1" t="str">
        <f t="shared" si="2"/>
        <v>M_TDIF04_VM_BKT_1.3_74</v>
      </c>
      <c r="C117" s="92" t="s">
        <v>700</v>
      </c>
      <c r="D117" s="92" t="str" cm="1">
        <f t="array" ref="D117">INDEX(기계코드!$D$4:$D$214,MATCH(1,(C117=기계코드!$F$4:$F$214)*1,0))</f>
        <v>M_TDIF04</v>
      </c>
      <c r="E117" s="92" t="s">
        <v>1128</v>
      </c>
      <c r="F117" s="7" t="str" cm="1">
        <f t="array" ref="F117">INDEX(공급업체코드!$B$3:$B$1000,MATCH(1,(E117=공급업체코드!$D$3:$D$1000)*1,0))</f>
        <v>VM_BKT</v>
      </c>
      <c r="G117" s="18" t="s">
        <v>1881</v>
      </c>
      <c r="H117" s="64"/>
      <c r="I117" s="64"/>
      <c r="J117" s="64"/>
      <c r="K117" s="300">
        <v>1.1000000000000001</v>
      </c>
      <c r="L117" s="300">
        <v>1.3</v>
      </c>
      <c r="M117" s="64">
        <v>74</v>
      </c>
      <c r="N117" s="64"/>
      <c r="O117" s="64"/>
      <c r="P117" s="64"/>
      <c r="Q117" s="64"/>
      <c r="R117" s="70"/>
      <c r="T117" s="64"/>
      <c r="X117">
        <v>0.123</v>
      </c>
      <c r="Y117" s="258" t="s">
        <v>1313</v>
      </c>
      <c r="AA117" s="259" t="s">
        <v>1314</v>
      </c>
      <c r="AB117" s="20" t="s">
        <v>1061</v>
      </c>
      <c r="AC117">
        <f t="shared" si="3"/>
        <v>370000000</v>
      </c>
      <c r="AE117" s="18" t="s">
        <v>1315</v>
      </c>
      <c r="AF117" s="1" t="b">
        <v>1</v>
      </c>
    </row>
    <row r="118" spans="2:32">
      <c r="B118" s="1" t="str">
        <f t="shared" si="2"/>
        <v>M_TDIF04_VM_BKT_1.3_75</v>
      </c>
      <c r="C118" s="92" t="s">
        <v>700</v>
      </c>
      <c r="D118" s="92" t="str" cm="1">
        <f t="array" ref="D118">INDEX(기계코드!$D$4:$D$214,MATCH(1,(C118=기계코드!$F$4:$F$214)*1,0))</f>
        <v>M_TDIF04</v>
      </c>
      <c r="E118" s="92" t="s">
        <v>1128</v>
      </c>
      <c r="F118" s="7" t="str" cm="1">
        <f t="array" ref="F118">INDEX(공급업체코드!$B$3:$B$1000,MATCH(1,(E118=공급업체코드!$D$3:$D$1000)*1,0))</f>
        <v>VM_BKT</v>
      </c>
      <c r="G118" s="18" t="s">
        <v>1881</v>
      </c>
      <c r="H118" s="64"/>
      <c r="I118" s="64"/>
      <c r="J118" s="64"/>
      <c r="K118" s="300">
        <v>1.1000000000000001</v>
      </c>
      <c r="L118" s="300">
        <v>1.3</v>
      </c>
      <c r="M118" s="64">
        <v>75</v>
      </c>
      <c r="N118" s="64"/>
      <c r="O118" s="64"/>
      <c r="P118" s="64"/>
      <c r="Q118" s="64"/>
      <c r="R118" s="70"/>
      <c r="T118" s="64"/>
      <c r="X118">
        <v>0.123</v>
      </c>
      <c r="Y118" s="258" t="s">
        <v>1313</v>
      </c>
      <c r="AA118" s="259" t="s">
        <v>1314</v>
      </c>
      <c r="AB118" s="20" t="s">
        <v>1061</v>
      </c>
      <c r="AC118">
        <f t="shared" si="3"/>
        <v>375000000</v>
      </c>
      <c r="AE118" s="18" t="s">
        <v>1315</v>
      </c>
      <c r="AF118" s="1" t="b">
        <v>1</v>
      </c>
    </row>
    <row r="119" spans="2:32" ht="16.5" customHeight="1">
      <c r="B119" s="1" t="str">
        <f t="shared" si="2"/>
        <v>M_TDIF04_VM_BKT_1.3_76</v>
      </c>
      <c r="C119" s="92" t="s">
        <v>700</v>
      </c>
      <c r="D119" s="92" t="str" cm="1">
        <f t="array" ref="D119">INDEX(기계코드!$D$4:$D$214,MATCH(1,(C119=기계코드!$F$4:$F$214)*1,0))</f>
        <v>M_TDIF04</v>
      </c>
      <c r="E119" s="92" t="s">
        <v>1128</v>
      </c>
      <c r="F119" s="7" t="str" cm="1">
        <f t="array" ref="F119">INDEX(공급업체코드!$B$3:$B$1000,MATCH(1,(E119=공급업체코드!$D$3:$D$1000)*1,0))</f>
        <v>VM_BKT</v>
      </c>
      <c r="G119" s="18" t="s">
        <v>1881</v>
      </c>
      <c r="H119" s="64"/>
      <c r="I119" s="64"/>
      <c r="J119" s="64"/>
      <c r="K119" s="300">
        <v>1.1000000000000001</v>
      </c>
      <c r="L119" s="300">
        <v>1.3</v>
      </c>
      <c r="M119" s="64">
        <v>76</v>
      </c>
      <c r="N119" s="64"/>
      <c r="O119" s="64"/>
      <c r="P119" s="64"/>
      <c r="Q119" s="64"/>
      <c r="R119" s="70"/>
      <c r="T119" s="64"/>
      <c r="X119">
        <v>0.123</v>
      </c>
      <c r="Y119" s="258" t="s">
        <v>1313</v>
      </c>
      <c r="AA119" s="259" t="s">
        <v>1314</v>
      </c>
      <c r="AB119" s="20" t="s">
        <v>1061</v>
      </c>
      <c r="AC119">
        <f t="shared" si="3"/>
        <v>380000000</v>
      </c>
      <c r="AE119" s="18" t="s">
        <v>1315</v>
      </c>
      <c r="AF119" s="1" t="b">
        <v>1</v>
      </c>
    </row>
    <row r="120" spans="2:32" ht="16.5" customHeight="1">
      <c r="B120" s="1" t="str">
        <f t="shared" si="2"/>
        <v>M_TDIF04_VM_BKT_1.3_77</v>
      </c>
      <c r="C120" s="92" t="s">
        <v>700</v>
      </c>
      <c r="D120" s="92" t="str" cm="1">
        <f t="array" ref="D120">INDEX(기계코드!$D$4:$D$214,MATCH(1,(C120=기계코드!$F$4:$F$214)*1,0))</f>
        <v>M_TDIF04</v>
      </c>
      <c r="E120" s="92" t="s">
        <v>1128</v>
      </c>
      <c r="F120" s="7" t="str" cm="1">
        <f t="array" ref="F120">INDEX(공급업체코드!$B$3:$B$1000,MATCH(1,(E120=공급업체코드!$D$3:$D$1000)*1,0))</f>
        <v>VM_BKT</v>
      </c>
      <c r="G120" s="18" t="s">
        <v>1881</v>
      </c>
      <c r="H120" s="64"/>
      <c r="I120" s="64"/>
      <c r="J120" s="64"/>
      <c r="K120" s="300">
        <v>1.1000000000000001</v>
      </c>
      <c r="L120" s="300">
        <v>1.3</v>
      </c>
      <c r="M120" s="64">
        <v>77</v>
      </c>
      <c r="N120" s="64"/>
      <c r="O120" s="64"/>
      <c r="P120" s="64"/>
      <c r="Q120" s="64"/>
      <c r="R120" s="70"/>
      <c r="T120" s="64"/>
      <c r="X120">
        <v>0.123</v>
      </c>
      <c r="Y120" s="258" t="s">
        <v>1313</v>
      </c>
      <c r="AA120" s="259" t="s">
        <v>1314</v>
      </c>
      <c r="AB120" s="20" t="s">
        <v>1061</v>
      </c>
      <c r="AC120">
        <f t="shared" si="3"/>
        <v>385000000</v>
      </c>
      <c r="AE120" s="18" t="s">
        <v>1315</v>
      </c>
      <c r="AF120" s="1" t="b">
        <v>1</v>
      </c>
    </row>
    <row r="121" spans="2:32" ht="16.5" customHeight="1">
      <c r="B121" s="1" t="str">
        <f t="shared" si="2"/>
        <v>M_TDIF04_VM_BKT_1.3_78</v>
      </c>
      <c r="C121" s="92" t="s">
        <v>700</v>
      </c>
      <c r="D121" s="92" t="str" cm="1">
        <f t="array" ref="D121">INDEX(기계코드!$D$4:$D$214,MATCH(1,(C121=기계코드!$F$4:$F$214)*1,0))</f>
        <v>M_TDIF04</v>
      </c>
      <c r="E121" s="92" t="s">
        <v>1128</v>
      </c>
      <c r="F121" s="7" t="str" cm="1">
        <f t="array" ref="F121">INDEX(공급업체코드!$B$3:$B$1000,MATCH(1,(E121=공급업체코드!$D$3:$D$1000)*1,0))</f>
        <v>VM_BKT</v>
      </c>
      <c r="G121" s="18" t="s">
        <v>1881</v>
      </c>
      <c r="H121" s="64"/>
      <c r="I121" s="64"/>
      <c r="J121" s="64"/>
      <c r="K121" s="300">
        <v>1.1000000000000001</v>
      </c>
      <c r="L121" s="300">
        <v>1.3</v>
      </c>
      <c r="M121" s="64">
        <v>78</v>
      </c>
      <c r="N121" s="64"/>
      <c r="O121" s="64"/>
      <c r="P121" s="64"/>
      <c r="Q121" s="64"/>
      <c r="R121" s="70"/>
      <c r="T121" s="64"/>
      <c r="X121">
        <v>0.123</v>
      </c>
      <c r="Y121" s="258" t="s">
        <v>1313</v>
      </c>
      <c r="AA121" s="259" t="s">
        <v>1314</v>
      </c>
      <c r="AB121" s="20" t="s">
        <v>1061</v>
      </c>
      <c r="AC121">
        <f t="shared" si="3"/>
        <v>390000000</v>
      </c>
      <c r="AE121" s="18" t="s">
        <v>1315</v>
      </c>
      <c r="AF121" s="1" t="b">
        <v>1</v>
      </c>
    </row>
    <row r="122" spans="2:32" ht="16.5" customHeight="1">
      <c r="B122" s="1" t="str">
        <f t="shared" si="2"/>
        <v>M_TDIF04_VM_BKT_1.3_79</v>
      </c>
      <c r="C122" s="92" t="s">
        <v>700</v>
      </c>
      <c r="D122" s="92" t="str" cm="1">
        <f t="array" ref="D122">INDEX(기계코드!$D$4:$D$214,MATCH(1,(C122=기계코드!$F$4:$F$214)*1,0))</f>
        <v>M_TDIF04</v>
      </c>
      <c r="E122" s="92" t="s">
        <v>1128</v>
      </c>
      <c r="F122" s="7" t="str" cm="1">
        <f t="array" ref="F122">INDEX(공급업체코드!$B$3:$B$1000,MATCH(1,(E122=공급업체코드!$D$3:$D$1000)*1,0))</f>
        <v>VM_BKT</v>
      </c>
      <c r="G122" s="18" t="s">
        <v>1881</v>
      </c>
      <c r="H122" s="64"/>
      <c r="I122" s="64"/>
      <c r="J122" s="64"/>
      <c r="K122" s="300">
        <v>1.1000000000000001</v>
      </c>
      <c r="L122" s="300">
        <v>1.3</v>
      </c>
      <c r="M122" s="64">
        <v>79</v>
      </c>
      <c r="N122" s="64"/>
      <c r="O122" s="64"/>
      <c r="P122" s="64"/>
      <c r="Q122" s="64"/>
      <c r="R122" s="70"/>
      <c r="T122" s="64"/>
      <c r="X122">
        <v>0.123</v>
      </c>
      <c r="Y122" s="258" t="s">
        <v>1313</v>
      </c>
      <c r="AA122" s="259" t="s">
        <v>1314</v>
      </c>
      <c r="AB122" s="20" t="s">
        <v>1061</v>
      </c>
      <c r="AC122">
        <f t="shared" si="3"/>
        <v>395000000</v>
      </c>
      <c r="AE122" s="18" t="s">
        <v>1315</v>
      </c>
      <c r="AF122" s="1" t="b">
        <v>1</v>
      </c>
    </row>
    <row r="123" spans="2:32" ht="16.5" customHeight="1">
      <c r="B123" s="1" t="str">
        <f t="shared" si="2"/>
        <v>M_TDIF04_VM_BKT_1.3_80</v>
      </c>
      <c r="C123" s="92" t="s">
        <v>700</v>
      </c>
      <c r="D123" s="92" t="str" cm="1">
        <f t="array" ref="D123">INDEX(기계코드!$D$4:$D$214,MATCH(1,(C123=기계코드!$F$4:$F$214)*1,0))</f>
        <v>M_TDIF04</v>
      </c>
      <c r="E123" s="92" t="s">
        <v>1128</v>
      </c>
      <c r="F123" s="7" t="str" cm="1">
        <f t="array" ref="F123">INDEX(공급업체코드!$B$3:$B$1000,MATCH(1,(E123=공급업체코드!$D$3:$D$1000)*1,0))</f>
        <v>VM_BKT</v>
      </c>
      <c r="G123" s="18" t="s">
        <v>1881</v>
      </c>
      <c r="H123" s="64"/>
      <c r="I123" s="64"/>
      <c r="J123" s="64"/>
      <c r="K123" s="300">
        <v>1.1000000000000001</v>
      </c>
      <c r="L123" s="300">
        <v>1.3</v>
      </c>
      <c r="M123" s="64">
        <v>80</v>
      </c>
      <c r="N123" s="64"/>
      <c r="O123" s="64"/>
      <c r="P123" s="64"/>
      <c r="Q123" s="64"/>
      <c r="R123" s="70"/>
      <c r="T123" s="64"/>
      <c r="X123">
        <v>0.123</v>
      </c>
      <c r="Y123" s="258" t="s">
        <v>1313</v>
      </c>
      <c r="AA123" s="259" t="s">
        <v>1314</v>
      </c>
      <c r="AB123" s="20" t="s">
        <v>1061</v>
      </c>
      <c r="AC123">
        <f t="shared" si="3"/>
        <v>400000000</v>
      </c>
      <c r="AE123" s="18" t="s">
        <v>1315</v>
      </c>
      <c r="AF123" s="1" t="b">
        <v>1</v>
      </c>
    </row>
    <row r="124" spans="2:32" ht="16.5" customHeight="1">
      <c r="B124" s="1" t="str">
        <f t="shared" si="2"/>
        <v>M_TDIF04_VM_BKT_1.3_81</v>
      </c>
      <c r="C124" s="92" t="s">
        <v>700</v>
      </c>
      <c r="D124" s="92" t="str" cm="1">
        <f t="array" ref="D124">INDEX(기계코드!$D$4:$D$214,MATCH(1,(C124=기계코드!$F$4:$F$214)*1,0))</f>
        <v>M_TDIF04</v>
      </c>
      <c r="E124" s="92" t="s">
        <v>1128</v>
      </c>
      <c r="F124" s="7" t="str" cm="1">
        <f t="array" ref="F124">INDEX(공급업체코드!$B$3:$B$1000,MATCH(1,(E124=공급업체코드!$D$3:$D$1000)*1,0))</f>
        <v>VM_BKT</v>
      </c>
      <c r="G124" s="18" t="s">
        <v>1881</v>
      </c>
      <c r="H124" s="64"/>
      <c r="I124" s="64"/>
      <c r="J124" s="64"/>
      <c r="K124" s="300">
        <v>1.1000000000000001</v>
      </c>
      <c r="L124" s="300">
        <v>1.3</v>
      </c>
      <c r="M124" s="64">
        <v>81</v>
      </c>
      <c r="N124" s="64"/>
      <c r="O124" s="64"/>
      <c r="P124" s="64"/>
      <c r="Q124" s="64"/>
      <c r="R124" s="70"/>
      <c r="T124" s="64"/>
      <c r="X124">
        <v>0.123</v>
      </c>
      <c r="Y124" s="258" t="s">
        <v>1313</v>
      </c>
      <c r="AA124" s="259" t="s">
        <v>1314</v>
      </c>
      <c r="AB124" s="20" t="s">
        <v>1061</v>
      </c>
      <c r="AC124">
        <f t="shared" si="3"/>
        <v>405000000</v>
      </c>
      <c r="AE124" s="18" t="s">
        <v>1315</v>
      </c>
      <c r="AF124" s="1" t="b">
        <v>1</v>
      </c>
    </row>
    <row r="125" spans="2:32" ht="16.5" customHeight="1">
      <c r="B125" s="1" t="str">
        <f t="shared" si="2"/>
        <v>M_TDIF04_VM_BKT_1.3_82</v>
      </c>
      <c r="C125" s="92" t="s">
        <v>700</v>
      </c>
      <c r="D125" s="92" t="str" cm="1">
        <f t="array" ref="D125">INDEX(기계코드!$D$4:$D$214,MATCH(1,(C125=기계코드!$F$4:$F$214)*1,0))</f>
        <v>M_TDIF04</v>
      </c>
      <c r="E125" s="92" t="s">
        <v>1128</v>
      </c>
      <c r="F125" s="7" t="str" cm="1">
        <f t="array" ref="F125">INDEX(공급업체코드!$B$3:$B$1000,MATCH(1,(E125=공급업체코드!$D$3:$D$1000)*1,0))</f>
        <v>VM_BKT</v>
      </c>
      <c r="G125" s="18" t="s">
        <v>1881</v>
      </c>
      <c r="H125" s="64"/>
      <c r="I125" s="64"/>
      <c r="J125" s="64"/>
      <c r="K125" s="300">
        <v>1.1000000000000001</v>
      </c>
      <c r="L125" s="300">
        <v>1.3</v>
      </c>
      <c r="M125" s="64">
        <v>82</v>
      </c>
      <c r="N125" s="64"/>
      <c r="O125" s="64"/>
      <c r="P125" s="64"/>
      <c r="Q125" s="64"/>
      <c r="R125" s="70"/>
      <c r="T125" s="64"/>
      <c r="X125">
        <v>0.123</v>
      </c>
      <c r="Y125" s="258" t="s">
        <v>1313</v>
      </c>
      <c r="AA125" s="259" t="s">
        <v>1314</v>
      </c>
      <c r="AB125" s="20" t="s">
        <v>1061</v>
      </c>
      <c r="AC125">
        <f t="shared" si="3"/>
        <v>410000000</v>
      </c>
      <c r="AE125" s="18" t="s">
        <v>1315</v>
      </c>
      <c r="AF125" s="1" t="b">
        <v>1</v>
      </c>
    </row>
    <row r="126" spans="2:32" ht="16.5" customHeight="1">
      <c r="B126" s="1" t="str">
        <f t="shared" si="2"/>
        <v>M_TDIF04_VM_BKT_1.3_83</v>
      </c>
      <c r="C126" s="92" t="s">
        <v>700</v>
      </c>
      <c r="D126" s="92" t="str" cm="1">
        <f t="array" ref="D126">INDEX(기계코드!$D$4:$D$214,MATCH(1,(C126=기계코드!$F$4:$F$214)*1,0))</f>
        <v>M_TDIF04</v>
      </c>
      <c r="E126" s="92" t="s">
        <v>1128</v>
      </c>
      <c r="F126" s="7" t="str" cm="1">
        <f t="array" ref="F126">INDEX(공급업체코드!$B$3:$B$1000,MATCH(1,(E126=공급업체코드!$D$3:$D$1000)*1,0))</f>
        <v>VM_BKT</v>
      </c>
      <c r="G126" s="18" t="s">
        <v>1881</v>
      </c>
      <c r="H126" s="64"/>
      <c r="I126" s="64"/>
      <c r="J126" s="64"/>
      <c r="K126" s="300">
        <v>1.1000000000000001</v>
      </c>
      <c r="L126" s="300">
        <v>1.3</v>
      </c>
      <c r="M126" s="64">
        <v>83</v>
      </c>
      <c r="N126" s="64"/>
      <c r="O126" s="64"/>
      <c r="P126" s="64"/>
      <c r="Q126" s="64"/>
      <c r="R126" s="70"/>
      <c r="T126" s="64"/>
      <c r="X126">
        <v>0.123</v>
      </c>
      <c r="Y126" s="258" t="s">
        <v>1313</v>
      </c>
      <c r="AA126" s="259" t="s">
        <v>1314</v>
      </c>
      <c r="AB126" s="20" t="s">
        <v>1061</v>
      </c>
      <c r="AC126">
        <f t="shared" si="3"/>
        <v>415000000</v>
      </c>
      <c r="AE126" s="18" t="s">
        <v>1315</v>
      </c>
      <c r="AF126" s="1" t="b">
        <v>1</v>
      </c>
    </row>
    <row r="127" spans="2:32" ht="16.5" customHeight="1">
      <c r="B127" s="1" t="str">
        <f t="shared" si="2"/>
        <v>M_TDIF04_VM_BKT_1.3_84</v>
      </c>
      <c r="C127" s="92" t="s">
        <v>700</v>
      </c>
      <c r="D127" s="92" t="str" cm="1">
        <f t="array" ref="D127">INDEX(기계코드!$D$4:$D$214,MATCH(1,(C127=기계코드!$F$4:$F$214)*1,0))</f>
        <v>M_TDIF04</v>
      </c>
      <c r="E127" s="92" t="s">
        <v>1128</v>
      </c>
      <c r="F127" s="7" t="str" cm="1">
        <f t="array" ref="F127">INDEX(공급업체코드!$B$3:$B$1000,MATCH(1,(E127=공급업체코드!$D$3:$D$1000)*1,0))</f>
        <v>VM_BKT</v>
      </c>
      <c r="G127" s="18" t="s">
        <v>1881</v>
      </c>
      <c r="H127" s="64"/>
      <c r="I127" s="64"/>
      <c r="J127" s="64"/>
      <c r="K127" s="300">
        <v>1.1000000000000001</v>
      </c>
      <c r="L127" s="300">
        <v>1.3</v>
      </c>
      <c r="M127" s="64">
        <v>84</v>
      </c>
      <c r="N127" s="64"/>
      <c r="O127" s="64"/>
      <c r="P127" s="64"/>
      <c r="Q127" s="64"/>
      <c r="R127" s="70"/>
      <c r="T127" s="64"/>
      <c r="X127">
        <v>0.123</v>
      </c>
      <c r="Y127" s="258" t="s">
        <v>1313</v>
      </c>
      <c r="AA127" s="259" t="s">
        <v>1314</v>
      </c>
      <c r="AB127" s="20" t="s">
        <v>1061</v>
      </c>
      <c r="AC127">
        <f t="shared" si="3"/>
        <v>420000000</v>
      </c>
      <c r="AE127" s="18" t="s">
        <v>1315</v>
      </c>
      <c r="AF127" s="1" t="b">
        <v>1</v>
      </c>
    </row>
    <row r="128" spans="2:32" ht="16.5" customHeight="1">
      <c r="B128" s="1" t="str">
        <f t="shared" si="2"/>
        <v>M_TDIF04_VM_BKT_1.3_85</v>
      </c>
      <c r="C128" s="92" t="s">
        <v>700</v>
      </c>
      <c r="D128" s="92" t="str" cm="1">
        <f t="array" ref="D128">INDEX(기계코드!$D$4:$D$214,MATCH(1,(C128=기계코드!$F$4:$F$214)*1,0))</f>
        <v>M_TDIF04</v>
      </c>
      <c r="E128" s="92" t="s">
        <v>1128</v>
      </c>
      <c r="F128" s="7" t="str" cm="1">
        <f t="array" ref="F128">INDEX(공급업체코드!$B$3:$B$1000,MATCH(1,(E128=공급업체코드!$D$3:$D$1000)*1,0))</f>
        <v>VM_BKT</v>
      </c>
      <c r="G128" s="18" t="s">
        <v>1881</v>
      </c>
      <c r="H128" s="64"/>
      <c r="I128" s="64"/>
      <c r="J128" s="64"/>
      <c r="K128" s="300">
        <v>1.1000000000000001</v>
      </c>
      <c r="L128" s="300">
        <v>1.3</v>
      </c>
      <c r="M128" s="64">
        <v>85</v>
      </c>
      <c r="N128" s="64"/>
      <c r="O128" s="64"/>
      <c r="P128" s="64"/>
      <c r="Q128" s="64"/>
      <c r="R128" s="70"/>
      <c r="T128" s="64"/>
      <c r="X128">
        <v>0.123</v>
      </c>
      <c r="Y128" s="258" t="s">
        <v>1313</v>
      </c>
      <c r="AA128" s="259" t="s">
        <v>1314</v>
      </c>
      <c r="AB128" s="20" t="s">
        <v>1061</v>
      </c>
      <c r="AC128">
        <f t="shared" si="3"/>
        <v>425000000</v>
      </c>
      <c r="AE128" s="18" t="s">
        <v>1315</v>
      </c>
      <c r="AF128" s="1" t="b">
        <v>1</v>
      </c>
    </row>
    <row r="129" spans="2:32" ht="16.5" customHeight="1">
      <c r="B129" s="1" t="str">
        <f t="shared" si="2"/>
        <v>M_TDIF04_VM_BKT_1.3_86</v>
      </c>
      <c r="C129" s="92" t="s">
        <v>700</v>
      </c>
      <c r="D129" s="92" t="str" cm="1">
        <f t="array" ref="D129">INDEX(기계코드!$D$4:$D$214,MATCH(1,(C129=기계코드!$F$4:$F$214)*1,0))</f>
        <v>M_TDIF04</v>
      </c>
      <c r="E129" s="92" t="s">
        <v>1128</v>
      </c>
      <c r="F129" s="7" t="str" cm="1">
        <f t="array" ref="F129">INDEX(공급업체코드!$B$3:$B$1000,MATCH(1,(E129=공급업체코드!$D$3:$D$1000)*1,0))</f>
        <v>VM_BKT</v>
      </c>
      <c r="G129" s="18" t="s">
        <v>1881</v>
      </c>
      <c r="H129" s="64"/>
      <c r="I129" s="64"/>
      <c r="J129" s="64"/>
      <c r="K129" s="300">
        <v>1.1000000000000001</v>
      </c>
      <c r="L129" s="300">
        <v>1.3</v>
      </c>
      <c r="M129" s="64">
        <v>86</v>
      </c>
      <c r="N129" s="64"/>
      <c r="O129" s="64"/>
      <c r="P129" s="64"/>
      <c r="Q129" s="64"/>
      <c r="R129" s="70"/>
      <c r="T129" s="64"/>
      <c r="X129">
        <v>0.123</v>
      </c>
      <c r="Y129" s="258" t="s">
        <v>1313</v>
      </c>
      <c r="AA129" s="259" t="s">
        <v>1314</v>
      </c>
      <c r="AB129" s="20" t="s">
        <v>1061</v>
      </c>
      <c r="AC129">
        <f t="shared" si="3"/>
        <v>430000000</v>
      </c>
      <c r="AE129" s="18" t="s">
        <v>1315</v>
      </c>
      <c r="AF129" s="1" t="b">
        <v>1</v>
      </c>
    </row>
    <row r="130" spans="2:32" ht="16.5" customHeight="1">
      <c r="B130" s="1" t="str">
        <f t="shared" si="2"/>
        <v>M_TDIF04_VM_BKT_1.3_87</v>
      </c>
      <c r="C130" s="92" t="s">
        <v>700</v>
      </c>
      <c r="D130" s="92" t="str" cm="1">
        <f t="array" ref="D130">INDEX(기계코드!$D$4:$D$214,MATCH(1,(C130=기계코드!$F$4:$F$214)*1,0))</f>
        <v>M_TDIF04</v>
      </c>
      <c r="E130" s="92" t="s">
        <v>1128</v>
      </c>
      <c r="F130" s="7" t="str" cm="1">
        <f t="array" ref="F130">INDEX(공급업체코드!$B$3:$B$1000,MATCH(1,(E130=공급업체코드!$D$3:$D$1000)*1,0))</f>
        <v>VM_BKT</v>
      </c>
      <c r="G130" s="18" t="s">
        <v>1881</v>
      </c>
      <c r="H130" s="64"/>
      <c r="I130" s="64"/>
      <c r="J130" s="64"/>
      <c r="K130" s="300">
        <v>1.1000000000000001</v>
      </c>
      <c r="L130" s="300">
        <v>1.3</v>
      </c>
      <c r="M130" s="64">
        <v>87</v>
      </c>
      <c r="N130" s="64"/>
      <c r="O130" s="64"/>
      <c r="P130" s="64"/>
      <c r="Q130" s="64"/>
      <c r="R130" s="70"/>
      <c r="T130" s="64"/>
      <c r="X130">
        <v>0.123</v>
      </c>
      <c r="Y130" s="258" t="s">
        <v>1313</v>
      </c>
      <c r="AA130" s="259" t="s">
        <v>1314</v>
      </c>
      <c r="AB130" s="20" t="s">
        <v>1061</v>
      </c>
      <c r="AC130">
        <f t="shared" si="3"/>
        <v>435000000</v>
      </c>
      <c r="AE130" s="18" t="s">
        <v>1315</v>
      </c>
      <c r="AF130" s="1" t="b">
        <v>1</v>
      </c>
    </row>
    <row r="131" spans="2:32" ht="16.5" customHeight="1">
      <c r="B131" s="1" t="str">
        <f t="shared" si="2"/>
        <v>M_TDIF04_VM_BKT_1.3_88</v>
      </c>
      <c r="C131" s="92" t="s">
        <v>700</v>
      </c>
      <c r="D131" s="92" t="str" cm="1">
        <f t="array" ref="D131">INDEX(기계코드!$D$4:$D$214,MATCH(1,(C131=기계코드!$F$4:$F$214)*1,0))</f>
        <v>M_TDIF04</v>
      </c>
      <c r="E131" s="92" t="s">
        <v>1128</v>
      </c>
      <c r="F131" s="7" t="str" cm="1">
        <f t="array" ref="F131">INDEX(공급업체코드!$B$3:$B$1000,MATCH(1,(E131=공급업체코드!$D$3:$D$1000)*1,0))</f>
        <v>VM_BKT</v>
      </c>
      <c r="G131" s="18" t="s">
        <v>1881</v>
      </c>
      <c r="H131" s="64"/>
      <c r="I131" s="64"/>
      <c r="J131" s="64"/>
      <c r="K131" s="300">
        <v>1.1000000000000001</v>
      </c>
      <c r="L131" s="300">
        <v>1.3</v>
      </c>
      <c r="M131" s="64">
        <v>88</v>
      </c>
      <c r="N131" s="64"/>
      <c r="O131" s="64"/>
      <c r="P131" s="64"/>
      <c r="Q131" s="64"/>
      <c r="R131" s="70"/>
      <c r="T131" s="64"/>
      <c r="X131">
        <v>0.123</v>
      </c>
      <c r="Y131" s="258" t="s">
        <v>1313</v>
      </c>
      <c r="AA131" s="259" t="s">
        <v>1314</v>
      </c>
      <c r="AB131" s="20" t="s">
        <v>1061</v>
      </c>
      <c r="AC131">
        <f t="shared" si="3"/>
        <v>440000000</v>
      </c>
      <c r="AE131" s="18" t="s">
        <v>1315</v>
      </c>
      <c r="AF131" s="1" t="b">
        <v>1</v>
      </c>
    </row>
    <row r="132" spans="2:32" ht="16.5" customHeight="1">
      <c r="B132" s="1" t="str">
        <f t="shared" si="2"/>
        <v>M_TDIF04_VM_BKT_1.3_89</v>
      </c>
      <c r="C132" s="92" t="s">
        <v>700</v>
      </c>
      <c r="D132" s="92" t="str" cm="1">
        <f t="array" ref="D132">INDEX(기계코드!$D$4:$D$214,MATCH(1,(C132=기계코드!$F$4:$F$214)*1,0))</f>
        <v>M_TDIF04</v>
      </c>
      <c r="E132" s="92" t="s">
        <v>1128</v>
      </c>
      <c r="F132" s="7" t="str" cm="1">
        <f t="array" ref="F132">INDEX(공급업체코드!$B$3:$B$1000,MATCH(1,(E132=공급업체코드!$D$3:$D$1000)*1,0))</f>
        <v>VM_BKT</v>
      </c>
      <c r="G132" s="18" t="s">
        <v>1881</v>
      </c>
      <c r="H132" s="64"/>
      <c r="I132" s="64"/>
      <c r="J132" s="64"/>
      <c r="K132" s="300">
        <v>1.1000000000000001</v>
      </c>
      <c r="L132" s="300">
        <v>1.3</v>
      </c>
      <c r="M132" s="64">
        <v>89</v>
      </c>
      <c r="N132" s="64"/>
      <c r="O132" s="64"/>
      <c r="P132" s="64"/>
      <c r="Q132" s="64"/>
      <c r="R132" s="70"/>
      <c r="T132" s="64"/>
      <c r="X132">
        <v>0.123</v>
      </c>
      <c r="Y132" s="258" t="s">
        <v>1313</v>
      </c>
      <c r="AA132" s="259" t="s">
        <v>1314</v>
      </c>
      <c r="AB132" s="20" t="s">
        <v>1061</v>
      </c>
      <c r="AC132">
        <f t="shared" si="3"/>
        <v>445000000</v>
      </c>
      <c r="AE132" s="18" t="s">
        <v>1315</v>
      </c>
      <c r="AF132" s="1" t="b">
        <v>1</v>
      </c>
    </row>
    <row r="133" spans="2:32" ht="16.5" customHeight="1">
      <c r="B133" s="1" t="str">
        <f t="shared" si="2"/>
        <v>M_TDIF04_VM_BKT_1.3_90</v>
      </c>
      <c r="C133" s="92" t="s">
        <v>700</v>
      </c>
      <c r="D133" s="92" t="str" cm="1">
        <f t="array" ref="D133">INDEX(기계코드!$D$4:$D$214,MATCH(1,(C133=기계코드!$F$4:$F$214)*1,0))</f>
        <v>M_TDIF04</v>
      </c>
      <c r="E133" s="92" t="s">
        <v>1128</v>
      </c>
      <c r="F133" s="7" t="str" cm="1">
        <f t="array" ref="F133">INDEX(공급업체코드!$B$3:$B$1000,MATCH(1,(E133=공급업체코드!$D$3:$D$1000)*1,0))</f>
        <v>VM_BKT</v>
      </c>
      <c r="G133" s="18" t="s">
        <v>1881</v>
      </c>
      <c r="H133" s="64"/>
      <c r="I133" s="64"/>
      <c r="J133" s="64"/>
      <c r="K133" s="300">
        <v>1.1000000000000001</v>
      </c>
      <c r="L133" s="300">
        <v>1.3</v>
      </c>
      <c r="M133" s="64">
        <v>90</v>
      </c>
      <c r="N133" s="64"/>
      <c r="O133" s="64"/>
      <c r="P133" s="64"/>
      <c r="Q133" s="64"/>
      <c r="R133" s="70"/>
      <c r="T133" s="64"/>
      <c r="X133">
        <v>0.123</v>
      </c>
      <c r="Y133" s="258" t="s">
        <v>1313</v>
      </c>
      <c r="AA133" s="259" t="s">
        <v>1314</v>
      </c>
      <c r="AB133" s="20" t="s">
        <v>1061</v>
      </c>
      <c r="AC133">
        <f t="shared" si="3"/>
        <v>450000000</v>
      </c>
      <c r="AE133" s="18" t="s">
        <v>1315</v>
      </c>
      <c r="AF133" s="1" t="b">
        <v>1</v>
      </c>
    </row>
    <row r="134" spans="2:32" ht="16.5" customHeight="1">
      <c r="B134" s="1" t="str">
        <f t="shared" si="2"/>
        <v>M_TDIF04_VM_BKT_1.3_91</v>
      </c>
      <c r="C134" s="92" t="s">
        <v>700</v>
      </c>
      <c r="D134" s="92" t="str" cm="1">
        <f t="array" ref="D134">INDEX(기계코드!$D$4:$D$214,MATCH(1,(C134=기계코드!$F$4:$F$214)*1,0))</f>
        <v>M_TDIF04</v>
      </c>
      <c r="E134" s="92" t="s">
        <v>1128</v>
      </c>
      <c r="F134" s="7" t="str" cm="1">
        <f t="array" ref="F134">INDEX(공급업체코드!$B$3:$B$1000,MATCH(1,(E134=공급업체코드!$D$3:$D$1000)*1,0))</f>
        <v>VM_BKT</v>
      </c>
      <c r="G134" s="18" t="s">
        <v>1881</v>
      </c>
      <c r="H134" s="64"/>
      <c r="I134" s="64"/>
      <c r="J134" s="64"/>
      <c r="K134" s="300">
        <v>1.1000000000000001</v>
      </c>
      <c r="L134" s="300">
        <v>1.3</v>
      </c>
      <c r="M134" s="64">
        <v>91</v>
      </c>
      <c r="N134" s="64"/>
      <c r="O134" s="64"/>
      <c r="P134" s="64"/>
      <c r="Q134" s="64"/>
      <c r="R134" s="70"/>
      <c r="T134" s="64"/>
      <c r="X134">
        <v>0.123</v>
      </c>
      <c r="Y134" s="258" t="s">
        <v>1313</v>
      </c>
      <c r="AA134" s="259" t="s">
        <v>1314</v>
      </c>
      <c r="AB134" s="20" t="s">
        <v>1061</v>
      </c>
      <c r="AC134">
        <f t="shared" si="3"/>
        <v>455000000</v>
      </c>
      <c r="AE134" s="18" t="s">
        <v>1315</v>
      </c>
      <c r="AF134" s="1" t="b">
        <v>1</v>
      </c>
    </row>
    <row r="135" spans="2:32" ht="16.5" customHeight="1">
      <c r="B135" s="1" t="str">
        <f t="shared" si="2"/>
        <v>M_TDIF04_VM_BKT_1.3_92</v>
      </c>
      <c r="C135" s="92" t="s">
        <v>700</v>
      </c>
      <c r="D135" s="92" t="str" cm="1">
        <f t="array" ref="D135">INDEX(기계코드!$D$4:$D$214,MATCH(1,(C135=기계코드!$F$4:$F$214)*1,0))</f>
        <v>M_TDIF04</v>
      </c>
      <c r="E135" s="92" t="s">
        <v>1128</v>
      </c>
      <c r="F135" s="7" t="str" cm="1">
        <f t="array" ref="F135">INDEX(공급업체코드!$B$3:$B$1000,MATCH(1,(E135=공급업체코드!$D$3:$D$1000)*1,0))</f>
        <v>VM_BKT</v>
      </c>
      <c r="G135" s="18" t="s">
        <v>1881</v>
      </c>
      <c r="H135" s="64"/>
      <c r="I135" s="64"/>
      <c r="J135" s="64"/>
      <c r="K135" s="300">
        <v>1.1000000000000001</v>
      </c>
      <c r="L135" s="300">
        <v>1.3</v>
      </c>
      <c r="M135" s="64">
        <v>92</v>
      </c>
      <c r="N135" s="64"/>
      <c r="O135" s="64"/>
      <c r="P135" s="64"/>
      <c r="Q135" s="64"/>
      <c r="R135" s="70"/>
      <c r="T135" s="64"/>
      <c r="X135">
        <v>0.123</v>
      </c>
      <c r="Y135" s="258" t="s">
        <v>1313</v>
      </c>
      <c r="AA135" s="259" t="s">
        <v>1314</v>
      </c>
      <c r="AB135" s="20" t="s">
        <v>1061</v>
      </c>
      <c r="AC135">
        <f t="shared" si="3"/>
        <v>460000000</v>
      </c>
      <c r="AE135" s="18" t="s">
        <v>1315</v>
      </c>
      <c r="AF135" s="1" t="b">
        <v>1</v>
      </c>
    </row>
    <row r="136" spans="2:32" ht="16.5" customHeight="1">
      <c r="B136" s="1" t="str">
        <f t="shared" si="2"/>
        <v>M_TDIF04_VM_BKT_1.3_93</v>
      </c>
      <c r="C136" s="92" t="s">
        <v>700</v>
      </c>
      <c r="D136" s="92" t="str" cm="1">
        <f t="array" ref="D136">INDEX(기계코드!$D$4:$D$214,MATCH(1,(C136=기계코드!$F$4:$F$214)*1,0))</f>
        <v>M_TDIF04</v>
      </c>
      <c r="E136" s="92" t="s">
        <v>1128</v>
      </c>
      <c r="F136" s="7" t="str" cm="1">
        <f t="array" ref="F136">INDEX(공급업체코드!$B$3:$B$1000,MATCH(1,(E136=공급업체코드!$D$3:$D$1000)*1,0))</f>
        <v>VM_BKT</v>
      </c>
      <c r="G136" s="18" t="s">
        <v>1881</v>
      </c>
      <c r="H136" s="64"/>
      <c r="I136" s="64"/>
      <c r="J136" s="64"/>
      <c r="K136" s="300">
        <v>1.1000000000000001</v>
      </c>
      <c r="L136" s="300">
        <v>1.3</v>
      </c>
      <c r="M136" s="64">
        <v>93</v>
      </c>
      <c r="N136" s="64"/>
      <c r="O136" s="64"/>
      <c r="P136" s="64"/>
      <c r="Q136" s="64"/>
      <c r="R136" s="70"/>
      <c r="T136" s="64"/>
      <c r="X136">
        <v>0.123</v>
      </c>
      <c r="Y136" s="258" t="s">
        <v>1313</v>
      </c>
      <c r="AA136" s="259" t="s">
        <v>1314</v>
      </c>
      <c r="AB136" s="20" t="s">
        <v>1061</v>
      </c>
      <c r="AC136">
        <f t="shared" si="3"/>
        <v>465000000</v>
      </c>
      <c r="AE136" s="18" t="s">
        <v>1315</v>
      </c>
      <c r="AF136" s="1" t="b">
        <v>1</v>
      </c>
    </row>
    <row r="137" spans="2:32" ht="16.5" customHeight="1">
      <c r="B137" s="1" t="str">
        <f t="shared" si="2"/>
        <v>M_TDIF04_VM_BKT_1.3_94</v>
      </c>
      <c r="C137" s="92" t="s">
        <v>700</v>
      </c>
      <c r="D137" s="92" t="str" cm="1">
        <f t="array" ref="D137">INDEX(기계코드!$D$4:$D$214,MATCH(1,(C137=기계코드!$F$4:$F$214)*1,0))</f>
        <v>M_TDIF04</v>
      </c>
      <c r="E137" s="92" t="s">
        <v>1128</v>
      </c>
      <c r="F137" s="7" t="str" cm="1">
        <f t="array" ref="F137">INDEX(공급업체코드!$B$3:$B$1000,MATCH(1,(E137=공급업체코드!$D$3:$D$1000)*1,0))</f>
        <v>VM_BKT</v>
      </c>
      <c r="G137" s="18" t="s">
        <v>1881</v>
      </c>
      <c r="H137" s="64"/>
      <c r="I137" s="64"/>
      <c r="J137" s="64"/>
      <c r="K137" s="300">
        <v>1.1000000000000001</v>
      </c>
      <c r="L137" s="300">
        <v>1.3</v>
      </c>
      <c r="M137" s="64">
        <v>94</v>
      </c>
      <c r="N137" s="64"/>
      <c r="O137" s="64"/>
      <c r="P137" s="64"/>
      <c r="Q137" s="64"/>
      <c r="R137" s="70"/>
      <c r="T137" s="64"/>
      <c r="X137">
        <v>0.123</v>
      </c>
      <c r="Y137" s="258" t="s">
        <v>1313</v>
      </c>
      <c r="AA137" s="259" t="s">
        <v>1314</v>
      </c>
      <c r="AB137" s="20" t="s">
        <v>1061</v>
      </c>
      <c r="AC137">
        <f t="shared" si="3"/>
        <v>470000000</v>
      </c>
      <c r="AE137" s="18" t="s">
        <v>1315</v>
      </c>
      <c r="AF137" s="1" t="b">
        <v>1</v>
      </c>
    </row>
    <row r="138" spans="2:32" ht="16.5" customHeight="1">
      <c r="B138" s="1" t="str">
        <f t="shared" si="2"/>
        <v>M_TDIF04_VM_BKT_1.3_95</v>
      </c>
      <c r="C138" s="92" t="s">
        <v>700</v>
      </c>
      <c r="D138" s="92" t="str" cm="1">
        <f t="array" ref="D138">INDEX(기계코드!$D$4:$D$214,MATCH(1,(C138=기계코드!$F$4:$F$214)*1,0))</f>
        <v>M_TDIF04</v>
      </c>
      <c r="E138" s="92" t="s">
        <v>1128</v>
      </c>
      <c r="F138" s="7" t="str" cm="1">
        <f t="array" ref="F138">INDEX(공급업체코드!$B$3:$B$1000,MATCH(1,(E138=공급업체코드!$D$3:$D$1000)*1,0))</f>
        <v>VM_BKT</v>
      </c>
      <c r="G138" s="18" t="s">
        <v>1881</v>
      </c>
      <c r="H138" s="64"/>
      <c r="I138" s="64"/>
      <c r="J138" s="64"/>
      <c r="K138" s="300">
        <v>1.1000000000000001</v>
      </c>
      <c r="L138" s="300">
        <v>1.3</v>
      </c>
      <c r="M138" s="64">
        <v>95</v>
      </c>
      <c r="N138" s="64"/>
      <c r="O138" s="64"/>
      <c r="P138" s="64"/>
      <c r="Q138" s="64"/>
      <c r="R138" s="70"/>
      <c r="T138" s="64"/>
      <c r="X138">
        <v>0.123</v>
      </c>
      <c r="Y138" s="258" t="s">
        <v>1313</v>
      </c>
      <c r="AA138" s="259" t="s">
        <v>1314</v>
      </c>
      <c r="AB138" s="20" t="s">
        <v>1061</v>
      </c>
      <c r="AC138">
        <f t="shared" si="3"/>
        <v>475000000</v>
      </c>
      <c r="AE138" s="18" t="s">
        <v>1315</v>
      </c>
      <c r="AF138" s="1" t="b">
        <v>1</v>
      </c>
    </row>
    <row r="139" spans="2:32" ht="16.5" customHeight="1">
      <c r="B139" s="1" t="str">
        <f t="shared" si="2"/>
        <v>M_TDIF04_VM_BKT_1.3_96</v>
      </c>
      <c r="C139" s="92" t="s">
        <v>700</v>
      </c>
      <c r="D139" s="92" t="str" cm="1">
        <f t="array" ref="D139">INDEX(기계코드!$D$4:$D$214,MATCH(1,(C139=기계코드!$F$4:$F$214)*1,0))</f>
        <v>M_TDIF04</v>
      </c>
      <c r="E139" s="92" t="s">
        <v>1128</v>
      </c>
      <c r="F139" s="7" t="str" cm="1">
        <f t="array" ref="F139">INDEX(공급업체코드!$B$3:$B$1000,MATCH(1,(E139=공급업체코드!$D$3:$D$1000)*1,0))</f>
        <v>VM_BKT</v>
      </c>
      <c r="G139" s="18" t="s">
        <v>1881</v>
      </c>
      <c r="H139" s="64"/>
      <c r="I139" s="64"/>
      <c r="J139" s="64"/>
      <c r="K139" s="300">
        <v>1.1000000000000001</v>
      </c>
      <c r="L139" s="300">
        <v>1.3</v>
      </c>
      <c r="M139" s="64">
        <v>96</v>
      </c>
      <c r="N139" s="64"/>
      <c r="O139" s="64"/>
      <c r="P139" s="64"/>
      <c r="Q139" s="64"/>
      <c r="R139" s="70"/>
      <c r="T139" s="64"/>
      <c r="X139">
        <v>0.123</v>
      </c>
      <c r="Y139" s="258" t="s">
        <v>1313</v>
      </c>
      <c r="AA139" s="259" t="s">
        <v>1314</v>
      </c>
      <c r="AB139" s="20" t="s">
        <v>1061</v>
      </c>
      <c r="AC139">
        <f t="shared" si="3"/>
        <v>480000000</v>
      </c>
      <c r="AE139" s="18" t="s">
        <v>1315</v>
      </c>
      <c r="AF139" s="1" t="b">
        <v>1</v>
      </c>
    </row>
    <row r="140" spans="2:32" ht="16.5" customHeight="1">
      <c r="B140" s="1" t="str">
        <f t="shared" si="2"/>
        <v>M_TDIF04_VM_BKT_1.3_97</v>
      </c>
      <c r="C140" s="92" t="s">
        <v>700</v>
      </c>
      <c r="D140" s="92" t="str" cm="1">
        <f t="array" ref="D140">INDEX(기계코드!$D$4:$D$214,MATCH(1,(C140=기계코드!$F$4:$F$214)*1,0))</f>
        <v>M_TDIF04</v>
      </c>
      <c r="E140" s="92" t="s">
        <v>1128</v>
      </c>
      <c r="F140" s="7" t="str" cm="1">
        <f t="array" ref="F140">INDEX(공급업체코드!$B$3:$B$1000,MATCH(1,(E140=공급업체코드!$D$3:$D$1000)*1,0))</f>
        <v>VM_BKT</v>
      </c>
      <c r="G140" s="18" t="s">
        <v>1881</v>
      </c>
      <c r="H140" s="64"/>
      <c r="I140" s="64"/>
      <c r="J140" s="64"/>
      <c r="K140" s="300">
        <v>1.1000000000000001</v>
      </c>
      <c r="L140" s="300">
        <v>1.3</v>
      </c>
      <c r="M140" s="64">
        <v>97</v>
      </c>
      <c r="N140" s="64"/>
      <c r="O140" s="64"/>
      <c r="P140" s="64"/>
      <c r="Q140" s="64"/>
      <c r="R140" s="70"/>
      <c r="T140" s="64"/>
      <c r="X140">
        <v>0.123</v>
      </c>
      <c r="Y140" s="258" t="s">
        <v>1313</v>
      </c>
      <c r="AA140" s="259" t="s">
        <v>1314</v>
      </c>
      <c r="AB140" s="20" t="s">
        <v>1061</v>
      </c>
      <c r="AC140">
        <f t="shared" si="3"/>
        <v>485000000</v>
      </c>
      <c r="AE140" s="18" t="s">
        <v>1315</v>
      </c>
      <c r="AF140" s="1" t="b">
        <v>1</v>
      </c>
    </row>
    <row r="141" spans="2:32" ht="16.5" customHeight="1">
      <c r="B141" s="1" t="str">
        <f t="shared" si="2"/>
        <v>M_TDIF04_VM_BKT_1.3_98</v>
      </c>
      <c r="C141" s="92" t="s">
        <v>700</v>
      </c>
      <c r="D141" s="92" t="str" cm="1">
        <f t="array" ref="D141">INDEX(기계코드!$D$4:$D$214,MATCH(1,(C141=기계코드!$F$4:$F$214)*1,0))</f>
        <v>M_TDIF04</v>
      </c>
      <c r="E141" s="92" t="s">
        <v>1128</v>
      </c>
      <c r="F141" s="7" t="str" cm="1">
        <f t="array" ref="F141">INDEX(공급업체코드!$B$3:$B$1000,MATCH(1,(E141=공급업체코드!$D$3:$D$1000)*1,0))</f>
        <v>VM_BKT</v>
      </c>
      <c r="G141" s="18" t="s">
        <v>1881</v>
      </c>
      <c r="H141" s="64"/>
      <c r="I141" s="64"/>
      <c r="J141" s="64"/>
      <c r="K141" s="300">
        <v>1.1000000000000001</v>
      </c>
      <c r="L141" s="300">
        <v>1.3</v>
      </c>
      <c r="M141" s="64">
        <v>98</v>
      </c>
      <c r="N141" s="64"/>
      <c r="O141" s="64"/>
      <c r="P141" s="64"/>
      <c r="Q141" s="64"/>
      <c r="R141" s="70"/>
      <c r="T141" s="64"/>
      <c r="X141">
        <v>0.123</v>
      </c>
      <c r="Y141" s="258" t="s">
        <v>1313</v>
      </c>
      <c r="AA141" s="259" t="s">
        <v>1314</v>
      </c>
      <c r="AB141" s="20" t="s">
        <v>1061</v>
      </c>
      <c r="AC141">
        <f t="shared" si="3"/>
        <v>490000000</v>
      </c>
      <c r="AE141" s="18" t="s">
        <v>1315</v>
      </c>
      <c r="AF141" s="1" t="b">
        <v>1</v>
      </c>
    </row>
    <row r="142" spans="2:32" ht="16.5" customHeight="1">
      <c r="B142" s="1" t="str">
        <f t="shared" si="2"/>
        <v>M_TDIF04_VM_BKT_1.3_99</v>
      </c>
      <c r="C142" s="92" t="s">
        <v>700</v>
      </c>
      <c r="D142" s="92" t="str" cm="1">
        <f t="array" ref="D142">INDEX(기계코드!$D$4:$D$214,MATCH(1,(C142=기계코드!$F$4:$F$214)*1,0))</f>
        <v>M_TDIF04</v>
      </c>
      <c r="E142" s="92" t="s">
        <v>1128</v>
      </c>
      <c r="F142" s="7" t="str" cm="1">
        <f t="array" ref="F142">INDEX(공급업체코드!$B$3:$B$1000,MATCH(1,(E142=공급업체코드!$D$3:$D$1000)*1,0))</f>
        <v>VM_BKT</v>
      </c>
      <c r="G142" s="18" t="s">
        <v>1881</v>
      </c>
      <c r="H142" s="64"/>
      <c r="I142" s="64"/>
      <c r="J142" s="64"/>
      <c r="K142" s="300">
        <v>1.1000000000000001</v>
      </c>
      <c r="L142" s="300">
        <v>1.3</v>
      </c>
      <c r="M142" s="64">
        <v>99</v>
      </c>
      <c r="N142" s="64"/>
      <c r="O142" s="64"/>
      <c r="P142" s="64"/>
      <c r="Q142" s="64"/>
      <c r="R142" s="70"/>
      <c r="T142" s="64"/>
      <c r="X142">
        <v>0.123</v>
      </c>
      <c r="Y142" s="258" t="s">
        <v>1313</v>
      </c>
      <c r="AA142" s="259" t="s">
        <v>1314</v>
      </c>
      <c r="AB142" s="20" t="s">
        <v>1061</v>
      </c>
      <c r="AC142">
        <f t="shared" si="3"/>
        <v>495000000</v>
      </c>
      <c r="AE142" s="18" t="s">
        <v>1315</v>
      </c>
      <c r="AF142" s="1" t="b">
        <v>1</v>
      </c>
    </row>
    <row r="143" spans="2:32" ht="16.5" customHeight="1">
      <c r="B143" s="1" t="str">
        <f t="shared" si="2"/>
        <v>M_TDIF04_VM_BKT_1.3_100</v>
      </c>
      <c r="C143" s="92" t="s">
        <v>700</v>
      </c>
      <c r="D143" s="92" t="str" cm="1">
        <f t="array" ref="D143">INDEX(기계코드!$D$4:$D$214,MATCH(1,(C143=기계코드!$F$4:$F$214)*1,0))</f>
        <v>M_TDIF04</v>
      </c>
      <c r="E143" s="92" t="s">
        <v>1128</v>
      </c>
      <c r="F143" s="7" t="str" cm="1">
        <f t="array" ref="F143">INDEX(공급업체코드!$B$3:$B$1000,MATCH(1,(E143=공급업체코드!$D$3:$D$1000)*1,0))</f>
        <v>VM_BKT</v>
      </c>
      <c r="G143" s="18" t="s">
        <v>1881</v>
      </c>
      <c r="H143" s="64"/>
      <c r="I143" s="64"/>
      <c r="J143" s="64"/>
      <c r="K143" s="300">
        <v>1.1000000000000001</v>
      </c>
      <c r="L143" s="300">
        <v>1.3</v>
      </c>
      <c r="M143" s="64">
        <v>100</v>
      </c>
      <c r="N143" s="64"/>
      <c r="O143" s="64"/>
      <c r="P143" s="64"/>
      <c r="Q143" s="64"/>
      <c r="R143" s="70"/>
      <c r="T143" s="64"/>
      <c r="X143">
        <v>0.123</v>
      </c>
      <c r="Y143" s="258" t="s">
        <v>1313</v>
      </c>
      <c r="AA143" s="259" t="s">
        <v>1314</v>
      </c>
      <c r="AB143" s="20" t="s">
        <v>1061</v>
      </c>
      <c r="AC143">
        <f t="shared" si="3"/>
        <v>500000000</v>
      </c>
      <c r="AE143" s="18" t="s">
        <v>1315</v>
      </c>
      <c r="AF143" s="1" t="b">
        <v>1</v>
      </c>
    </row>
    <row r="144" spans="2:32" ht="16.5" customHeight="1">
      <c r="B144" s="1" t="str">
        <f t="shared" si="2"/>
        <v>M_TDIF04_VM_BKT_1.3_101</v>
      </c>
      <c r="C144" s="92" t="s">
        <v>700</v>
      </c>
      <c r="D144" s="92" t="str" cm="1">
        <f t="array" ref="D144">INDEX(기계코드!$D$4:$D$214,MATCH(1,(C144=기계코드!$F$4:$F$214)*1,0))</f>
        <v>M_TDIF04</v>
      </c>
      <c r="E144" s="92" t="s">
        <v>1128</v>
      </c>
      <c r="F144" s="7" t="str" cm="1">
        <f t="array" ref="F144">INDEX(공급업체코드!$B$3:$B$1000,MATCH(1,(E144=공급업체코드!$D$3:$D$1000)*1,0))</f>
        <v>VM_BKT</v>
      </c>
      <c r="G144" s="18" t="s">
        <v>1881</v>
      </c>
      <c r="H144" s="64"/>
      <c r="I144" s="64"/>
      <c r="J144" s="64"/>
      <c r="K144" s="300">
        <v>1.1000000000000001</v>
      </c>
      <c r="L144" s="300">
        <v>1.3</v>
      </c>
      <c r="M144" s="64">
        <v>101</v>
      </c>
      <c r="N144" s="64"/>
      <c r="O144" s="64"/>
      <c r="P144" s="64"/>
      <c r="Q144" s="64"/>
      <c r="R144" s="70"/>
      <c r="T144" s="64"/>
      <c r="X144">
        <v>0.123</v>
      </c>
      <c r="Y144" s="258" t="s">
        <v>1313</v>
      </c>
      <c r="AA144" s="259" t="s">
        <v>1314</v>
      </c>
      <c r="AB144" s="20" t="s">
        <v>1061</v>
      </c>
      <c r="AC144">
        <f t="shared" si="3"/>
        <v>505000000</v>
      </c>
      <c r="AE144" s="18" t="s">
        <v>1315</v>
      </c>
      <c r="AF144" s="1" t="b">
        <v>1</v>
      </c>
    </row>
    <row r="145" spans="2:32" ht="16.5" customHeight="1">
      <c r="B145" s="1" t="str">
        <f t="shared" si="2"/>
        <v>M_TDIF04_VM_BKT_1.3_102</v>
      </c>
      <c r="C145" s="92" t="s">
        <v>700</v>
      </c>
      <c r="D145" s="92" t="str" cm="1">
        <f t="array" ref="D145">INDEX(기계코드!$D$4:$D$214,MATCH(1,(C145=기계코드!$F$4:$F$214)*1,0))</f>
        <v>M_TDIF04</v>
      </c>
      <c r="E145" s="92" t="s">
        <v>1128</v>
      </c>
      <c r="F145" s="7" t="str" cm="1">
        <f t="array" ref="F145">INDEX(공급업체코드!$B$3:$B$1000,MATCH(1,(E145=공급업체코드!$D$3:$D$1000)*1,0))</f>
        <v>VM_BKT</v>
      </c>
      <c r="G145" s="18" t="s">
        <v>1881</v>
      </c>
      <c r="H145" s="64"/>
      <c r="I145" s="64"/>
      <c r="J145" s="64"/>
      <c r="K145" s="300">
        <v>1.1000000000000001</v>
      </c>
      <c r="L145" s="300">
        <v>1.3</v>
      </c>
      <c r="M145" s="64">
        <v>102</v>
      </c>
      <c r="N145" s="64"/>
      <c r="O145" s="64"/>
      <c r="P145" s="64"/>
      <c r="Q145" s="64"/>
      <c r="R145" s="70"/>
      <c r="T145" s="64"/>
      <c r="X145">
        <v>0.123</v>
      </c>
      <c r="Y145" s="258" t="s">
        <v>1313</v>
      </c>
      <c r="AA145" s="259" t="s">
        <v>1314</v>
      </c>
      <c r="AB145" s="20" t="s">
        <v>1061</v>
      </c>
      <c r="AC145">
        <f t="shared" si="3"/>
        <v>510000000</v>
      </c>
      <c r="AE145" s="18" t="s">
        <v>1315</v>
      </c>
      <c r="AF145" s="1" t="b">
        <v>1</v>
      </c>
    </row>
    <row r="146" spans="2:32" ht="16.5" customHeight="1">
      <c r="B146" s="1" t="str">
        <f t="shared" si="2"/>
        <v>M_TDIF04_VM_BKT_1.3_103</v>
      </c>
      <c r="C146" s="92" t="s">
        <v>700</v>
      </c>
      <c r="D146" s="92" t="str" cm="1">
        <f t="array" ref="D146">INDEX(기계코드!$D$4:$D$214,MATCH(1,(C146=기계코드!$F$4:$F$214)*1,0))</f>
        <v>M_TDIF04</v>
      </c>
      <c r="E146" s="92" t="s">
        <v>1128</v>
      </c>
      <c r="F146" s="7" t="str" cm="1">
        <f t="array" ref="F146">INDEX(공급업체코드!$B$3:$B$1000,MATCH(1,(E146=공급업체코드!$D$3:$D$1000)*1,0))</f>
        <v>VM_BKT</v>
      </c>
      <c r="G146" s="18" t="s">
        <v>1881</v>
      </c>
      <c r="H146" s="64"/>
      <c r="I146" s="64"/>
      <c r="J146" s="64"/>
      <c r="K146" s="300">
        <v>1.1000000000000001</v>
      </c>
      <c r="L146" s="300">
        <v>1.3</v>
      </c>
      <c r="M146" s="64">
        <v>103</v>
      </c>
      <c r="N146" s="64"/>
      <c r="O146" s="64"/>
      <c r="P146" s="64"/>
      <c r="Q146" s="64"/>
      <c r="R146" s="70"/>
      <c r="T146" s="64"/>
      <c r="X146">
        <v>0.123</v>
      </c>
      <c r="Y146" s="258" t="s">
        <v>1313</v>
      </c>
      <c r="AA146" s="259" t="s">
        <v>1314</v>
      </c>
      <c r="AB146" s="20" t="s">
        <v>1061</v>
      </c>
      <c r="AC146">
        <f t="shared" si="3"/>
        <v>515000000</v>
      </c>
      <c r="AE146" s="18" t="s">
        <v>1315</v>
      </c>
      <c r="AF146" s="1" t="b">
        <v>1</v>
      </c>
    </row>
    <row r="147" spans="2:32" ht="16.5" customHeight="1">
      <c r="B147" s="1" t="str">
        <f t="shared" si="2"/>
        <v>M_TDIF04_VM_BKT_1.3_104</v>
      </c>
      <c r="C147" s="92" t="s">
        <v>700</v>
      </c>
      <c r="D147" s="92" t="str" cm="1">
        <f t="array" ref="D147">INDEX(기계코드!$D$4:$D$214,MATCH(1,(C147=기계코드!$F$4:$F$214)*1,0))</f>
        <v>M_TDIF04</v>
      </c>
      <c r="E147" s="92" t="s">
        <v>1128</v>
      </c>
      <c r="F147" s="7" t="str" cm="1">
        <f t="array" ref="F147">INDEX(공급업체코드!$B$3:$B$1000,MATCH(1,(E147=공급업체코드!$D$3:$D$1000)*1,0))</f>
        <v>VM_BKT</v>
      </c>
      <c r="G147" s="18" t="s">
        <v>1881</v>
      </c>
      <c r="H147" s="64"/>
      <c r="I147" s="64"/>
      <c r="J147" s="64"/>
      <c r="K147" s="300">
        <v>1.1000000000000001</v>
      </c>
      <c r="L147" s="300">
        <v>1.3</v>
      </c>
      <c r="M147" s="64">
        <v>104</v>
      </c>
      <c r="N147" s="64"/>
      <c r="O147" s="64"/>
      <c r="P147" s="64"/>
      <c r="Q147" s="64"/>
      <c r="R147" s="70"/>
      <c r="T147" s="64"/>
      <c r="X147">
        <v>0.123</v>
      </c>
      <c r="Y147" s="258" t="s">
        <v>1313</v>
      </c>
      <c r="AA147" s="259" t="s">
        <v>1314</v>
      </c>
      <c r="AB147" s="20" t="s">
        <v>1061</v>
      </c>
      <c r="AC147">
        <f t="shared" si="3"/>
        <v>520000000</v>
      </c>
      <c r="AE147" s="18" t="s">
        <v>1315</v>
      </c>
      <c r="AF147" s="1" t="b">
        <v>1</v>
      </c>
    </row>
    <row r="148" spans="2:32" ht="16.5" customHeight="1">
      <c r="B148" s="1" t="str">
        <f t="shared" si="2"/>
        <v>M_TDIF04_VM_BKT_1.3_105</v>
      </c>
      <c r="C148" s="92" t="s">
        <v>700</v>
      </c>
      <c r="D148" s="92" t="str" cm="1">
        <f t="array" ref="D148">INDEX(기계코드!$D$4:$D$214,MATCH(1,(C148=기계코드!$F$4:$F$214)*1,0))</f>
        <v>M_TDIF04</v>
      </c>
      <c r="E148" s="92" t="s">
        <v>1128</v>
      </c>
      <c r="F148" s="7" t="str" cm="1">
        <f t="array" ref="F148">INDEX(공급업체코드!$B$3:$B$1000,MATCH(1,(E148=공급업체코드!$D$3:$D$1000)*1,0))</f>
        <v>VM_BKT</v>
      </c>
      <c r="G148" s="18" t="s">
        <v>1881</v>
      </c>
      <c r="H148" s="64"/>
      <c r="I148" s="64"/>
      <c r="J148" s="64"/>
      <c r="K148" s="300">
        <v>1.1000000000000001</v>
      </c>
      <c r="L148" s="300">
        <v>1.3</v>
      </c>
      <c r="M148" s="64">
        <v>105</v>
      </c>
      <c r="N148" s="64"/>
      <c r="O148" s="64"/>
      <c r="P148" s="64"/>
      <c r="Q148" s="64"/>
      <c r="R148" s="70"/>
      <c r="T148" s="64"/>
      <c r="X148">
        <v>0.123</v>
      </c>
      <c r="Y148" s="258" t="s">
        <v>1313</v>
      </c>
      <c r="AA148" s="259" t="s">
        <v>1314</v>
      </c>
      <c r="AB148" s="20" t="s">
        <v>1061</v>
      </c>
      <c r="AC148">
        <f t="shared" si="3"/>
        <v>525000000</v>
      </c>
      <c r="AE148" s="18" t="s">
        <v>1315</v>
      </c>
      <c r="AF148" s="1" t="b">
        <v>1</v>
      </c>
    </row>
    <row r="149" spans="2:32" ht="16.5" customHeight="1">
      <c r="B149" s="1" t="str">
        <f t="shared" si="2"/>
        <v>M_TDIF04_VM_BKT_1.3_106</v>
      </c>
      <c r="C149" s="92" t="s">
        <v>700</v>
      </c>
      <c r="D149" s="92" t="str" cm="1">
        <f t="array" ref="D149">INDEX(기계코드!$D$4:$D$214,MATCH(1,(C149=기계코드!$F$4:$F$214)*1,0))</f>
        <v>M_TDIF04</v>
      </c>
      <c r="E149" s="92" t="s">
        <v>1128</v>
      </c>
      <c r="F149" s="7" t="str" cm="1">
        <f t="array" ref="F149">INDEX(공급업체코드!$B$3:$B$1000,MATCH(1,(E149=공급업체코드!$D$3:$D$1000)*1,0))</f>
        <v>VM_BKT</v>
      </c>
      <c r="G149" s="18" t="s">
        <v>1881</v>
      </c>
      <c r="H149" s="64"/>
      <c r="I149" s="64"/>
      <c r="J149" s="64"/>
      <c r="K149" s="300">
        <v>1.1000000000000001</v>
      </c>
      <c r="L149" s="300">
        <v>1.3</v>
      </c>
      <c r="M149" s="64">
        <v>106</v>
      </c>
      <c r="N149" s="64"/>
      <c r="O149" s="64"/>
      <c r="P149" s="64"/>
      <c r="Q149" s="64"/>
      <c r="R149" s="70"/>
      <c r="T149" s="64"/>
      <c r="X149">
        <v>0.123</v>
      </c>
      <c r="Y149" s="258" t="s">
        <v>1313</v>
      </c>
      <c r="AA149" s="259" t="s">
        <v>1314</v>
      </c>
      <c r="AB149" s="20" t="s">
        <v>1061</v>
      </c>
      <c r="AC149">
        <f t="shared" si="3"/>
        <v>530000000</v>
      </c>
      <c r="AE149" s="18" t="s">
        <v>1315</v>
      </c>
      <c r="AF149" s="1" t="b">
        <v>1</v>
      </c>
    </row>
    <row r="150" spans="2:32" ht="16.5" customHeight="1">
      <c r="B150" s="1" t="str">
        <f t="shared" si="2"/>
        <v>M_TDIF04_VM_BKT_1.3_107</v>
      </c>
      <c r="C150" s="92" t="s">
        <v>700</v>
      </c>
      <c r="D150" s="92" t="str" cm="1">
        <f t="array" ref="D150">INDEX(기계코드!$D$4:$D$214,MATCH(1,(C150=기계코드!$F$4:$F$214)*1,0))</f>
        <v>M_TDIF04</v>
      </c>
      <c r="E150" s="92" t="s">
        <v>1128</v>
      </c>
      <c r="F150" s="7" t="str" cm="1">
        <f t="array" ref="F150">INDEX(공급업체코드!$B$3:$B$1000,MATCH(1,(E150=공급업체코드!$D$3:$D$1000)*1,0))</f>
        <v>VM_BKT</v>
      </c>
      <c r="G150" s="18" t="s">
        <v>1881</v>
      </c>
      <c r="H150" s="64"/>
      <c r="I150" s="64"/>
      <c r="J150" s="64"/>
      <c r="K150" s="300">
        <v>1.1000000000000001</v>
      </c>
      <c r="L150" s="300">
        <v>1.3</v>
      </c>
      <c r="M150" s="64">
        <v>107</v>
      </c>
      <c r="N150" s="64"/>
      <c r="O150" s="64"/>
      <c r="P150" s="64"/>
      <c r="Q150" s="64"/>
      <c r="R150" s="70"/>
      <c r="T150" s="64"/>
      <c r="X150">
        <v>0.123</v>
      </c>
      <c r="Y150" s="258" t="s">
        <v>1313</v>
      </c>
      <c r="AA150" s="259" t="s">
        <v>1314</v>
      </c>
      <c r="AB150" s="20" t="s">
        <v>1061</v>
      </c>
      <c r="AC150">
        <f t="shared" si="3"/>
        <v>535000000</v>
      </c>
      <c r="AE150" s="18" t="s">
        <v>1315</v>
      </c>
      <c r="AF150" s="1" t="b">
        <v>1</v>
      </c>
    </row>
    <row r="151" spans="2:32" ht="16.5" customHeight="1">
      <c r="B151" s="1" t="str">
        <f t="shared" si="2"/>
        <v>M_TDIF04_VM_BKT_1.3_108</v>
      </c>
      <c r="C151" s="92" t="s">
        <v>700</v>
      </c>
      <c r="D151" s="92" t="str" cm="1">
        <f t="array" ref="D151">INDEX(기계코드!$D$4:$D$214,MATCH(1,(C151=기계코드!$F$4:$F$214)*1,0))</f>
        <v>M_TDIF04</v>
      </c>
      <c r="E151" s="92" t="s">
        <v>1128</v>
      </c>
      <c r="F151" s="7" t="str" cm="1">
        <f t="array" ref="F151">INDEX(공급업체코드!$B$3:$B$1000,MATCH(1,(E151=공급업체코드!$D$3:$D$1000)*1,0))</f>
        <v>VM_BKT</v>
      </c>
      <c r="G151" s="18" t="s">
        <v>1881</v>
      </c>
      <c r="H151" s="64"/>
      <c r="I151" s="64"/>
      <c r="J151" s="64"/>
      <c r="K151" s="300">
        <v>1.1000000000000001</v>
      </c>
      <c r="L151" s="300">
        <v>1.3</v>
      </c>
      <c r="M151" s="64">
        <v>108</v>
      </c>
      <c r="N151" s="64"/>
      <c r="O151" s="64"/>
      <c r="P151" s="64"/>
      <c r="Q151" s="64"/>
      <c r="R151" s="70"/>
      <c r="T151" s="64"/>
      <c r="X151">
        <v>0.123</v>
      </c>
      <c r="Y151" s="258" t="s">
        <v>1313</v>
      </c>
      <c r="AA151" s="259" t="s">
        <v>1314</v>
      </c>
      <c r="AB151" s="20" t="s">
        <v>1061</v>
      </c>
      <c r="AC151">
        <f t="shared" si="3"/>
        <v>540000000</v>
      </c>
      <c r="AE151" s="18" t="s">
        <v>1315</v>
      </c>
      <c r="AF151" s="1" t="b">
        <v>1</v>
      </c>
    </row>
    <row r="152" spans="2:32" ht="16.5" customHeight="1">
      <c r="B152" s="1" t="str">
        <f t="shared" si="2"/>
        <v>M_TDIF04_VM_BKT_1.3_109</v>
      </c>
      <c r="C152" s="92" t="s">
        <v>700</v>
      </c>
      <c r="D152" s="92" t="str" cm="1">
        <f t="array" ref="D152">INDEX(기계코드!$D$4:$D$214,MATCH(1,(C152=기계코드!$F$4:$F$214)*1,0))</f>
        <v>M_TDIF04</v>
      </c>
      <c r="E152" s="92" t="s">
        <v>1128</v>
      </c>
      <c r="F152" s="7" t="str" cm="1">
        <f t="array" ref="F152">INDEX(공급업체코드!$B$3:$B$1000,MATCH(1,(E152=공급업체코드!$D$3:$D$1000)*1,0))</f>
        <v>VM_BKT</v>
      </c>
      <c r="G152" s="18" t="s">
        <v>1881</v>
      </c>
      <c r="H152" s="64"/>
      <c r="I152" s="64"/>
      <c r="J152" s="64"/>
      <c r="K152" s="300">
        <v>1.1000000000000001</v>
      </c>
      <c r="L152" s="300">
        <v>1.3</v>
      </c>
      <c r="M152" s="64">
        <v>109</v>
      </c>
      <c r="N152" s="64"/>
      <c r="O152" s="64"/>
      <c r="P152" s="64"/>
      <c r="Q152" s="64"/>
      <c r="R152" s="70"/>
      <c r="T152" s="64"/>
      <c r="X152">
        <v>0.123</v>
      </c>
      <c r="Y152" s="258" t="s">
        <v>1313</v>
      </c>
      <c r="AA152" s="259" t="s">
        <v>1314</v>
      </c>
      <c r="AB152" s="20" t="s">
        <v>1061</v>
      </c>
      <c r="AC152">
        <f t="shared" si="3"/>
        <v>545000000</v>
      </c>
      <c r="AE152" s="18" t="s">
        <v>1315</v>
      </c>
      <c r="AF152" s="1" t="b">
        <v>1</v>
      </c>
    </row>
    <row r="153" spans="2:32" ht="16.5" customHeight="1">
      <c r="B153" s="1" t="str">
        <f t="shared" si="2"/>
        <v>M_TDIF04_VM_BKT_1.3_110</v>
      </c>
      <c r="C153" s="92" t="s">
        <v>700</v>
      </c>
      <c r="D153" s="92" t="str" cm="1">
        <f t="array" ref="D153">INDEX(기계코드!$D$4:$D$214,MATCH(1,(C153=기계코드!$F$4:$F$214)*1,0))</f>
        <v>M_TDIF04</v>
      </c>
      <c r="E153" s="92" t="s">
        <v>1128</v>
      </c>
      <c r="F153" s="7" t="str" cm="1">
        <f t="array" ref="F153">INDEX(공급업체코드!$B$3:$B$1000,MATCH(1,(E153=공급업체코드!$D$3:$D$1000)*1,0))</f>
        <v>VM_BKT</v>
      </c>
      <c r="G153" s="18" t="s">
        <v>1881</v>
      </c>
      <c r="H153" s="64"/>
      <c r="I153" s="64"/>
      <c r="J153" s="64"/>
      <c r="K153" s="300">
        <v>1.1000000000000001</v>
      </c>
      <c r="L153" s="300">
        <v>1.3</v>
      </c>
      <c r="M153" s="64">
        <v>110</v>
      </c>
      <c r="N153" s="64"/>
      <c r="O153" s="64"/>
      <c r="P153" s="64"/>
      <c r="Q153" s="64"/>
      <c r="R153" s="70"/>
      <c r="T153" s="64"/>
      <c r="X153">
        <v>0.123</v>
      </c>
      <c r="Y153" s="258" t="s">
        <v>1313</v>
      </c>
      <c r="AA153" s="259" t="s">
        <v>1314</v>
      </c>
      <c r="AB153" s="20" t="s">
        <v>1061</v>
      </c>
      <c r="AC153">
        <f t="shared" si="3"/>
        <v>550000000</v>
      </c>
      <c r="AE153" s="18" t="s">
        <v>1315</v>
      </c>
      <c r="AF153" s="1" t="b">
        <v>1</v>
      </c>
    </row>
    <row r="154" spans="2:32" ht="16.5" customHeight="1">
      <c r="B154" s="1" t="str">
        <f t="shared" si="2"/>
        <v>M_TDIF04_VM_BKT_1.3_111</v>
      </c>
      <c r="C154" s="92" t="s">
        <v>700</v>
      </c>
      <c r="D154" s="92" t="str" cm="1">
        <f t="array" ref="D154">INDEX(기계코드!$D$4:$D$214,MATCH(1,(C154=기계코드!$F$4:$F$214)*1,0))</f>
        <v>M_TDIF04</v>
      </c>
      <c r="E154" s="92" t="s">
        <v>1128</v>
      </c>
      <c r="F154" s="7" t="str" cm="1">
        <f t="array" ref="F154">INDEX(공급업체코드!$B$3:$B$1000,MATCH(1,(E154=공급업체코드!$D$3:$D$1000)*1,0))</f>
        <v>VM_BKT</v>
      </c>
      <c r="G154" s="18" t="s">
        <v>1881</v>
      </c>
      <c r="H154" s="64"/>
      <c r="I154" s="64"/>
      <c r="J154" s="64"/>
      <c r="K154" s="300">
        <v>1.1000000000000001</v>
      </c>
      <c r="L154" s="300">
        <v>1.3</v>
      </c>
      <c r="M154" s="64">
        <v>111</v>
      </c>
      <c r="N154" s="64"/>
      <c r="O154" s="64"/>
      <c r="P154" s="64"/>
      <c r="Q154" s="64"/>
      <c r="R154" s="70"/>
      <c r="T154" s="64"/>
      <c r="X154">
        <v>0.123</v>
      </c>
      <c r="Y154" s="258" t="s">
        <v>1313</v>
      </c>
      <c r="AA154" s="259" t="s">
        <v>1314</v>
      </c>
      <c r="AB154" s="20" t="s">
        <v>1061</v>
      </c>
      <c r="AC154">
        <f t="shared" si="3"/>
        <v>555000000</v>
      </c>
      <c r="AE154" s="18" t="s">
        <v>1315</v>
      </c>
      <c r="AF154" s="1" t="b">
        <v>1</v>
      </c>
    </row>
    <row r="155" spans="2:32" ht="16.5" customHeight="1">
      <c r="B155" s="1" t="str">
        <f t="shared" si="2"/>
        <v>M_TDIF04_VM_BKT_1.3_112</v>
      </c>
      <c r="C155" s="92" t="s">
        <v>700</v>
      </c>
      <c r="D155" s="92" t="str" cm="1">
        <f t="array" ref="D155">INDEX(기계코드!$D$4:$D$214,MATCH(1,(C155=기계코드!$F$4:$F$214)*1,0))</f>
        <v>M_TDIF04</v>
      </c>
      <c r="E155" s="92" t="s">
        <v>1128</v>
      </c>
      <c r="F155" s="7" t="str" cm="1">
        <f t="array" ref="F155">INDEX(공급업체코드!$B$3:$B$1000,MATCH(1,(E155=공급업체코드!$D$3:$D$1000)*1,0))</f>
        <v>VM_BKT</v>
      </c>
      <c r="G155" s="18" t="s">
        <v>1881</v>
      </c>
      <c r="H155" s="64"/>
      <c r="I155" s="64"/>
      <c r="J155" s="64"/>
      <c r="K155" s="300">
        <v>1.1000000000000001</v>
      </c>
      <c r="L155" s="300">
        <v>1.3</v>
      </c>
      <c r="M155" s="64">
        <v>112</v>
      </c>
      <c r="N155" s="64"/>
      <c r="O155" s="64"/>
      <c r="P155" s="64"/>
      <c r="Q155" s="64"/>
      <c r="R155" s="70"/>
      <c r="T155" s="64"/>
      <c r="X155">
        <v>0.123</v>
      </c>
      <c r="Y155" s="258" t="s">
        <v>1313</v>
      </c>
      <c r="AA155" s="259" t="s">
        <v>1314</v>
      </c>
      <c r="AB155" s="20" t="s">
        <v>1061</v>
      </c>
      <c r="AC155">
        <f t="shared" si="3"/>
        <v>560000000</v>
      </c>
      <c r="AE155" s="18" t="s">
        <v>1315</v>
      </c>
      <c r="AF155" s="1" t="b">
        <v>1</v>
      </c>
    </row>
    <row r="156" spans="2:32" ht="16.5" customHeight="1">
      <c r="B156" s="1" t="str">
        <f t="shared" si="2"/>
        <v>M_TDIF04_VM_BKT_1.3_113</v>
      </c>
      <c r="C156" s="92" t="s">
        <v>700</v>
      </c>
      <c r="D156" s="92" t="str" cm="1">
        <f t="array" ref="D156">INDEX(기계코드!$D$4:$D$214,MATCH(1,(C156=기계코드!$F$4:$F$214)*1,0))</f>
        <v>M_TDIF04</v>
      </c>
      <c r="E156" s="92" t="s">
        <v>1128</v>
      </c>
      <c r="F156" s="7" t="str" cm="1">
        <f t="array" ref="F156">INDEX(공급업체코드!$B$3:$B$1000,MATCH(1,(E156=공급업체코드!$D$3:$D$1000)*1,0))</f>
        <v>VM_BKT</v>
      </c>
      <c r="G156" s="18" t="s">
        <v>1881</v>
      </c>
      <c r="H156" s="64"/>
      <c r="I156" s="64"/>
      <c r="J156" s="64"/>
      <c r="K156" s="300">
        <v>1.1000000000000001</v>
      </c>
      <c r="L156" s="300">
        <v>1.3</v>
      </c>
      <c r="M156" s="64">
        <v>113</v>
      </c>
      <c r="N156" s="64"/>
      <c r="O156" s="64"/>
      <c r="P156" s="64"/>
      <c r="Q156" s="64"/>
      <c r="R156" s="70"/>
      <c r="T156" s="64"/>
      <c r="X156">
        <v>0.123</v>
      </c>
      <c r="Y156" s="258" t="s">
        <v>1313</v>
      </c>
      <c r="AA156" s="259" t="s">
        <v>1314</v>
      </c>
      <c r="AB156" s="20" t="s">
        <v>1061</v>
      </c>
      <c r="AC156">
        <f t="shared" si="3"/>
        <v>565000000</v>
      </c>
      <c r="AE156" s="18" t="s">
        <v>1315</v>
      </c>
      <c r="AF156" s="1" t="b">
        <v>1</v>
      </c>
    </row>
    <row r="157" spans="2:32" ht="16.5" customHeight="1">
      <c r="B157" s="1" t="str">
        <f t="shared" si="2"/>
        <v>M_TDIF04_VM_BKT_1.3_114</v>
      </c>
      <c r="C157" s="92" t="s">
        <v>700</v>
      </c>
      <c r="D157" s="92" t="str" cm="1">
        <f t="array" ref="D157">INDEX(기계코드!$D$4:$D$214,MATCH(1,(C157=기계코드!$F$4:$F$214)*1,0))</f>
        <v>M_TDIF04</v>
      </c>
      <c r="E157" s="92" t="s">
        <v>1128</v>
      </c>
      <c r="F157" s="7" t="str" cm="1">
        <f t="array" ref="F157">INDEX(공급업체코드!$B$3:$B$1000,MATCH(1,(E157=공급업체코드!$D$3:$D$1000)*1,0))</f>
        <v>VM_BKT</v>
      </c>
      <c r="G157" s="18" t="s">
        <v>1881</v>
      </c>
      <c r="H157" s="64"/>
      <c r="I157" s="64"/>
      <c r="J157" s="64"/>
      <c r="K157" s="300">
        <v>1.1000000000000001</v>
      </c>
      <c r="L157" s="300">
        <v>1.3</v>
      </c>
      <c r="M157" s="64">
        <v>114</v>
      </c>
      <c r="N157" s="64"/>
      <c r="O157" s="64"/>
      <c r="P157" s="64"/>
      <c r="Q157" s="64"/>
      <c r="R157" s="70"/>
      <c r="T157" s="64"/>
      <c r="X157">
        <v>0.123</v>
      </c>
      <c r="Y157" s="258" t="s">
        <v>1313</v>
      </c>
      <c r="AA157" s="259" t="s">
        <v>1314</v>
      </c>
      <c r="AB157" s="20" t="s">
        <v>1061</v>
      </c>
      <c r="AC157">
        <f t="shared" si="3"/>
        <v>570000000</v>
      </c>
      <c r="AE157" s="18" t="s">
        <v>1315</v>
      </c>
      <c r="AF157" s="1" t="b">
        <v>1</v>
      </c>
    </row>
    <row r="158" spans="2:32" ht="16.5" customHeight="1">
      <c r="B158" s="1" t="str">
        <f t="shared" si="2"/>
        <v>M_TDIF04_VM_BKT_1.3_115</v>
      </c>
      <c r="C158" s="92" t="s">
        <v>700</v>
      </c>
      <c r="D158" s="92" t="str" cm="1">
        <f t="array" ref="D158">INDEX(기계코드!$D$4:$D$214,MATCH(1,(C158=기계코드!$F$4:$F$214)*1,0))</f>
        <v>M_TDIF04</v>
      </c>
      <c r="E158" s="92" t="s">
        <v>1128</v>
      </c>
      <c r="F158" s="7" t="str" cm="1">
        <f t="array" ref="F158">INDEX(공급업체코드!$B$3:$B$1000,MATCH(1,(E158=공급업체코드!$D$3:$D$1000)*1,0))</f>
        <v>VM_BKT</v>
      </c>
      <c r="G158" s="18" t="s">
        <v>1881</v>
      </c>
      <c r="H158" s="64"/>
      <c r="I158" s="64"/>
      <c r="J158" s="64"/>
      <c r="K158" s="300">
        <v>1.1000000000000001</v>
      </c>
      <c r="L158" s="300">
        <v>1.3</v>
      </c>
      <c r="M158" s="64">
        <v>115</v>
      </c>
      <c r="N158" s="64"/>
      <c r="O158" s="64"/>
      <c r="P158" s="64"/>
      <c r="Q158" s="64"/>
      <c r="R158" s="70"/>
      <c r="T158" s="64"/>
      <c r="X158">
        <v>0.123</v>
      </c>
      <c r="Y158" s="258" t="s">
        <v>1313</v>
      </c>
      <c r="AA158" s="259" t="s">
        <v>1314</v>
      </c>
      <c r="AB158" s="20" t="s">
        <v>1061</v>
      </c>
      <c r="AC158">
        <f t="shared" si="3"/>
        <v>575000000</v>
      </c>
      <c r="AE158" s="18" t="s">
        <v>1315</v>
      </c>
      <c r="AF158" s="1" t="b">
        <v>1</v>
      </c>
    </row>
    <row r="159" spans="2:32" ht="16.5" customHeight="1">
      <c r="B159" s="1" t="str">
        <f t="shared" si="2"/>
        <v>M_TDIF04_VM_BKT_1.3_116</v>
      </c>
      <c r="C159" s="92" t="s">
        <v>700</v>
      </c>
      <c r="D159" s="92" t="str" cm="1">
        <f t="array" ref="D159">INDEX(기계코드!$D$4:$D$214,MATCH(1,(C159=기계코드!$F$4:$F$214)*1,0))</f>
        <v>M_TDIF04</v>
      </c>
      <c r="E159" s="92" t="s">
        <v>1128</v>
      </c>
      <c r="F159" s="7" t="str" cm="1">
        <f t="array" ref="F159">INDEX(공급업체코드!$B$3:$B$1000,MATCH(1,(E159=공급업체코드!$D$3:$D$1000)*1,0))</f>
        <v>VM_BKT</v>
      </c>
      <c r="G159" s="18" t="s">
        <v>1881</v>
      </c>
      <c r="H159" s="64"/>
      <c r="I159" s="64"/>
      <c r="J159" s="64"/>
      <c r="K159" s="300">
        <v>1.1000000000000001</v>
      </c>
      <c r="L159" s="300">
        <v>1.3</v>
      </c>
      <c r="M159" s="64">
        <v>116</v>
      </c>
      <c r="N159" s="64"/>
      <c r="O159" s="64"/>
      <c r="P159" s="64"/>
      <c r="Q159" s="64"/>
      <c r="R159" s="70"/>
      <c r="T159" s="64"/>
      <c r="X159">
        <v>0.123</v>
      </c>
      <c r="Y159" s="258" t="s">
        <v>1313</v>
      </c>
      <c r="AA159" s="259" t="s">
        <v>1314</v>
      </c>
      <c r="AB159" s="20" t="s">
        <v>1061</v>
      </c>
      <c r="AC159">
        <f t="shared" si="3"/>
        <v>580000000</v>
      </c>
      <c r="AE159" s="18" t="s">
        <v>1315</v>
      </c>
      <c r="AF159" s="1" t="b">
        <v>1</v>
      </c>
    </row>
    <row r="160" spans="2:32" ht="16.5" customHeight="1">
      <c r="B160" s="1" t="str">
        <f t="shared" si="2"/>
        <v>M_TDIF04_VM_BKT_1.3_117</v>
      </c>
      <c r="C160" s="92" t="s">
        <v>700</v>
      </c>
      <c r="D160" s="92" t="str" cm="1">
        <f t="array" ref="D160">INDEX(기계코드!$D$4:$D$214,MATCH(1,(C160=기계코드!$F$4:$F$214)*1,0))</f>
        <v>M_TDIF04</v>
      </c>
      <c r="E160" s="92" t="s">
        <v>1128</v>
      </c>
      <c r="F160" s="7" t="str" cm="1">
        <f t="array" ref="F160">INDEX(공급업체코드!$B$3:$B$1000,MATCH(1,(E160=공급업체코드!$D$3:$D$1000)*1,0))</f>
        <v>VM_BKT</v>
      </c>
      <c r="G160" s="18" t="s">
        <v>1881</v>
      </c>
      <c r="H160" s="64"/>
      <c r="I160" s="64"/>
      <c r="J160" s="64"/>
      <c r="K160" s="300">
        <v>1.1000000000000001</v>
      </c>
      <c r="L160" s="300">
        <v>1.3</v>
      </c>
      <c r="M160" s="64">
        <v>117</v>
      </c>
      <c r="N160" s="64"/>
      <c r="O160" s="64"/>
      <c r="P160" s="64"/>
      <c r="Q160" s="64"/>
      <c r="R160" s="70"/>
      <c r="T160" s="64"/>
      <c r="X160">
        <v>0.123</v>
      </c>
      <c r="Y160" s="258" t="s">
        <v>1313</v>
      </c>
      <c r="AA160" s="259" t="s">
        <v>1314</v>
      </c>
      <c r="AB160" s="20" t="s">
        <v>1061</v>
      </c>
      <c r="AC160">
        <f t="shared" si="3"/>
        <v>585000000</v>
      </c>
      <c r="AE160" s="18" t="s">
        <v>1315</v>
      </c>
      <c r="AF160" s="1" t="b">
        <v>1</v>
      </c>
    </row>
    <row r="161" spans="2:32" ht="16.5" customHeight="1">
      <c r="B161" s="1" t="str">
        <f t="shared" si="2"/>
        <v>M_TDIF04_VM_BKT_1.3_118</v>
      </c>
      <c r="C161" s="92" t="s">
        <v>700</v>
      </c>
      <c r="D161" s="92" t="str" cm="1">
        <f t="array" ref="D161">INDEX(기계코드!$D$4:$D$214,MATCH(1,(C161=기계코드!$F$4:$F$214)*1,0))</f>
        <v>M_TDIF04</v>
      </c>
      <c r="E161" s="92" t="s">
        <v>1128</v>
      </c>
      <c r="F161" s="7" t="str" cm="1">
        <f t="array" ref="F161">INDEX(공급업체코드!$B$3:$B$1000,MATCH(1,(E161=공급업체코드!$D$3:$D$1000)*1,0))</f>
        <v>VM_BKT</v>
      </c>
      <c r="G161" s="18" t="s">
        <v>1881</v>
      </c>
      <c r="H161" s="64"/>
      <c r="I161" s="64"/>
      <c r="J161" s="64"/>
      <c r="K161" s="300">
        <v>1.1000000000000001</v>
      </c>
      <c r="L161" s="300">
        <v>1.3</v>
      </c>
      <c r="M161" s="64">
        <v>118</v>
      </c>
      <c r="N161" s="64"/>
      <c r="O161" s="64"/>
      <c r="P161" s="64"/>
      <c r="Q161" s="64"/>
      <c r="R161" s="70"/>
      <c r="T161" s="64"/>
      <c r="X161">
        <v>0.123</v>
      </c>
      <c r="Y161" s="258" t="s">
        <v>1313</v>
      </c>
      <c r="AA161" s="259" t="s">
        <v>1314</v>
      </c>
      <c r="AB161" s="20" t="s">
        <v>1061</v>
      </c>
      <c r="AC161">
        <f t="shared" si="3"/>
        <v>590000000</v>
      </c>
      <c r="AE161" s="18" t="s">
        <v>1315</v>
      </c>
      <c r="AF161" s="1" t="b">
        <v>1</v>
      </c>
    </row>
    <row r="162" spans="2:32" ht="16.5" customHeight="1">
      <c r="B162" s="1" t="str">
        <f t="shared" si="2"/>
        <v>M_TDIF04_VM_BKT_1.3_119</v>
      </c>
      <c r="C162" s="92" t="s">
        <v>700</v>
      </c>
      <c r="D162" s="92" t="str" cm="1">
        <f t="array" ref="D162">INDEX(기계코드!$D$4:$D$214,MATCH(1,(C162=기계코드!$F$4:$F$214)*1,0))</f>
        <v>M_TDIF04</v>
      </c>
      <c r="E162" s="92" t="s">
        <v>1128</v>
      </c>
      <c r="F162" s="7" t="str" cm="1">
        <f t="array" ref="F162">INDEX(공급업체코드!$B$3:$B$1000,MATCH(1,(E162=공급업체코드!$D$3:$D$1000)*1,0))</f>
        <v>VM_BKT</v>
      </c>
      <c r="G162" s="18" t="s">
        <v>1881</v>
      </c>
      <c r="H162" s="64"/>
      <c r="I162" s="64"/>
      <c r="J162" s="64"/>
      <c r="K162" s="300">
        <v>1.1000000000000001</v>
      </c>
      <c r="L162" s="300">
        <v>1.3</v>
      </c>
      <c r="M162" s="64">
        <v>119</v>
      </c>
      <c r="N162" s="64"/>
      <c r="O162" s="64"/>
      <c r="P162" s="64"/>
      <c r="Q162" s="64"/>
      <c r="R162" s="70"/>
      <c r="T162" s="64"/>
      <c r="X162">
        <v>0.123</v>
      </c>
      <c r="Y162" s="258" t="s">
        <v>1313</v>
      </c>
      <c r="AA162" s="259" t="s">
        <v>1314</v>
      </c>
      <c r="AB162" s="20" t="s">
        <v>1061</v>
      </c>
      <c r="AC162">
        <f t="shared" si="3"/>
        <v>595000000</v>
      </c>
      <c r="AE162" s="18" t="s">
        <v>1315</v>
      </c>
      <c r="AF162" s="1" t="b">
        <v>1</v>
      </c>
    </row>
    <row r="163" spans="2:32" ht="16.5" customHeight="1">
      <c r="B163" s="1" t="str">
        <f t="shared" si="2"/>
        <v>M_TDIF04_VM_BKT_1.3_120</v>
      </c>
      <c r="C163" s="92" t="s">
        <v>700</v>
      </c>
      <c r="D163" s="92" t="str" cm="1">
        <f t="array" ref="D163">INDEX(기계코드!$D$4:$D$214,MATCH(1,(C163=기계코드!$F$4:$F$214)*1,0))</f>
        <v>M_TDIF04</v>
      </c>
      <c r="E163" s="92" t="s">
        <v>1128</v>
      </c>
      <c r="F163" s="7" t="str" cm="1">
        <f t="array" ref="F163">INDEX(공급업체코드!$B$3:$B$1000,MATCH(1,(E163=공급업체코드!$D$3:$D$1000)*1,0))</f>
        <v>VM_BKT</v>
      </c>
      <c r="G163" s="18" t="s">
        <v>1881</v>
      </c>
      <c r="H163" s="64"/>
      <c r="I163" s="64"/>
      <c r="J163" s="64"/>
      <c r="K163" s="300">
        <v>1.1000000000000001</v>
      </c>
      <c r="L163" s="300">
        <v>1.3</v>
      </c>
      <c r="M163" s="64">
        <v>120</v>
      </c>
      <c r="N163" s="64"/>
      <c r="O163" s="64"/>
      <c r="P163" s="64"/>
      <c r="Q163" s="64"/>
      <c r="R163" s="70"/>
      <c r="T163" s="64"/>
      <c r="X163">
        <v>0.123</v>
      </c>
      <c r="Y163" s="258" t="s">
        <v>1313</v>
      </c>
      <c r="AA163" s="259" t="s">
        <v>1314</v>
      </c>
      <c r="AB163" s="20" t="s">
        <v>1061</v>
      </c>
      <c r="AC163">
        <f t="shared" si="3"/>
        <v>600000000</v>
      </c>
      <c r="AE163" s="18" t="s">
        <v>1315</v>
      </c>
      <c r="AF163" s="1" t="b">
        <v>1</v>
      </c>
    </row>
    <row r="164" spans="2:32" ht="16.5" customHeight="1">
      <c r="B164" s="1" t="str">
        <f t="shared" si="2"/>
        <v>M_TDIF04_VM_BKT_1.3_121</v>
      </c>
      <c r="C164" s="92" t="s">
        <v>700</v>
      </c>
      <c r="D164" s="92" t="str" cm="1">
        <f t="array" ref="D164">INDEX(기계코드!$D$4:$D$214,MATCH(1,(C164=기계코드!$F$4:$F$214)*1,0))</f>
        <v>M_TDIF04</v>
      </c>
      <c r="E164" s="92" t="s">
        <v>1128</v>
      </c>
      <c r="F164" s="7" t="str" cm="1">
        <f t="array" ref="F164">INDEX(공급업체코드!$B$3:$B$1000,MATCH(1,(E164=공급업체코드!$D$3:$D$1000)*1,0))</f>
        <v>VM_BKT</v>
      </c>
      <c r="G164" s="18" t="s">
        <v>1881</v>
      </c>
      <c r="H164" s="64"/>
      <c r="I164" s="64"/>
      <c r="J164" s="64"/>
      <c r="K164" s="300">
        <v>1.1000000000000001</v>
      </c>
      <c r="L164" s="300">
        <v>1.3</v>
      </c>
      <c r="M164" s="64">
        <v>121</v>
      </c>
      <c r="N164" s="64"/>
      <c r="O164" s="64"/>
      <c r="P164" s="64"/>
      <c r="Q164" s="64"/>
      <c r="R164" s="70"/>
      <c r="T164" s="64"/>
      <c r="X164">
        <v>0.123</v>
      </c>
      <c r="Y164" s="258" t="s">
        <v>1313</v>
      </c>
      <c r="AA164" s="259" t="s">
        <v>1314</v>
      </c>
      <c r="AB164" s="20" t="s">
        <v>1061</v>
      </c>
      <c r="AC164">
        <f t="shared" si="3"/>
        <v>605000000</v>
      </c>
      <c r="AE164" s="18" t="s">
        <v>1315</v>
      </c>
      <c r="AF164" s="1" t="b">
        <v>1</v>
      </c>
    </row>
    <row r="165" spans="2:32" ht="16.5" customHeight="1">
      <c r="B165" s="1" t="str">
        <f t="shared" si="2"/>
        <v>M_TDIF04_VM_BKT_1.3_122</v>
      </c>
      <c r="C165" s="92" t="s">
        <v>700</v>
      </c>
      <c r="D165" s="92" t="str" cm="1">
        <f t="array" ref="D165">INDEX(기계코드!$D$4:$D$214,MATCH(1,(C165=기계코드!$F$4:$F$214)*1,0))</f>
        <v>M_TDIF04</v>
      </c>
      <c r="E165" s="92" t="s">
        <v>1128</v>
      </c>
      <c r="F165" s="7" t="str" cm="1">
        <f t="array" ref="F165">INDEX(공급업체코드!$B$3:$B$1000,MATCH(1,(E165=공급업체코드!$D$3:$D$1000)*1,0))</f>
        <v>VM_BKT</v>
      </c>
      <c r="G165" s="18" t="s">
        <v>1881</v>
      </c>
      <c r="H165" s="64"/>
      <c r="I165" s="64"/>
      <c r="J165" s="64"/>
      <c r="K165" s="300">
        <v>1.1000000000000001</v>
      </c>
      <c r="L165" s="300">
        <v>1.3</v>
      </c>
      <c r="M165" s="64">
        <v>122</v>
      </c>
      <c r="N165" s="64"/>
      <c r="O165" s="64"/>
      <c r="P165" s="64"/>
      <c r="Q165" s="64"/>
      <c r="R165" s="70"/>
      <c r="T165" s="64"/>
      <c r="X165">
        <v>0.123</v>
      </c>
      <c r="Y165" s="258" t="s">
        <v>1313</v>
      </c>
      <c r="AA165" s="259" t="s">
        <v>1314</v>
      </c>
      <c r="AB165" s="20" t="s">
        <v>1061</v>
      </c>
      <c r="AC165">
        <f t="shared" si="3"/>
        <v>610000000</v>
      </c>
      <c r="AE165" s="18" t="s">
        <v>1315</v>
      </c>
      <c r="AF165" s="1" t="b">
        <v>1</v>
      </c>
    </row>
    <row r="166" spans="2:32" ht="16.5" customHeight="1">
      <c r="B166" s="1" t="str">
        <f t="shared" si="2"/>
        <v>M_TDIF04_VM_BKT_1.3_123</v>
      </c>
      <c r="C166" s="92" t="s">
        <v>700</v>
      </c>
      <c r="D166" s="92" t="str" cm="1">
        <f t="array" ref="D166">INDEX(기계코드!$D$4:$D$214,MATCH(1,(C166=기계코드!$F$4:$F$214)*1,0))</f>
        <v>M_TDIF04</v>
      </c>
      <c r="E166" s="92" t="s">
        <v>1128</v>
      </c>
      <c r="F166" s="7" t="str" cm="1">
        <f t="array" ref="F166">INDEX(공급업체코드!$B$3:$B$1000,MATCH(1,(E166=공급업체코드!$D$3:$D$1000)*1,0))</f>
        <v>VM_BKT</v>
      </c>
      <c r="G166" s="18" t="s">
        <v>1881</v>
      </c>
      <c r="H166" s="64"/>
      <c r="I166" s="64"/>
      <c r="J166" s="64"/>
      <c r="K166" s="300">
        <v>1.1000000000000001</v>
      </c>
      <c r="L166" s="300">
        <v>1.3</v>
      </c>
      <c r="M166" s="64">
        <v>123</v>
      </c>
      <c r="N166" s="64"/>
      <c r="O166" s="64"/>
      <c r="P166" s="64"/>
      <c r="Q166" s="64"/>
      <c r="R166" s="70"/>
      <c r="T166" s="64"/>
      <c r="X166">
        <v>0.123</v>
      </c>
      <c r="Y166" s="258" t="s">
        <v>1313</v>
      </c>
      <c r="AA166" s="259" t="s">
        <v>1314</v>
      </c>
      <c r="AB166" s="20" t="s">
        <v>1061</v>
      </c>
      <c r="AC166">
        <f t="shared" si="3"/>
        <v>615000000</v>
      </c>
      <c r="AE166" s="18" t="s">
        <v>1315</v>
      </c>
      <c r="AF166" s="1" t="b">
        <v>1</v>
      </c>
    </row>
    <row r="167" spans="2:32" ht="16.5" customHeight="1">
      <c r="B167" s="1" t="str">
        <f t="shared" si="2"/>
        <v>M_TDIF04_VM_BKT_1.3_124</v>
      </c>
      <c r="C167" s="92" t="s">
        <v>700</v>
      </c>
      <c r="D167" s="92" t="str" cm="1">
        <f t="array" ref="D167">INDEX(기계코드!$D$4:$D$214,MATCH(1,(C167=기계코드!$F$4:$F$214)*1,0))</f>
        <v>M_TDIF04</v>
      </c>
      <c r="E167" s="92" t="s">
        <v>1128</v>
      </c>
      <c r="F167" s="7" t="str" cm="1">
        <f t="array" ref="F167">INDEX(공급업체코드!$B$3:$B$1000,MATCH(1,(E167=공급업체코드!$D$3:$D$1000)*1,0))</f>
        <v>VM_BKT</v>
      </c>
      <c r="G167" s="18" t="s">
        <v>1881</v>
      </c>
      <c r="H167" s="64"/>
      <c r="I167" s="64"/>
      <c r="J167" s="64"/>
      <c r="K167" s="300">
        <v>1.1000000000000001</v>
      </c>
      <c r="L167" s="300">
        <v>1.3</v>
      </c>
      <c r="M167" s="64">
        <v>124</v>
      </c>
      <c r="N167" s="64"/>
      <c r="O167" s="64"/>
      <c r="P167" s="64"/>
      <c r="Q167" s="64"/>
      <c r="R167" s="70"/>
      <c r="T167" s="64"/>
      <c r="X167">
        <v>0.123</v>
      </c>
      <c r="Y167" s="258" t="s">
        <v>1313</v>
      </c>
      <c r="AA167" s="259" t="s">
        <v>1314</v>
      </c>
      <c r="AB167" s="20" t="s">
        <v>1061</v>
      </c>
      <c r="AC167">
        <f t="shared" si="3"/>
        <v>620000000</v>
      </c>
      <c r="AE167" s="18" t="s">
        <v>1315</v>
      </c>
      <c r="AF167" s="1" t="b">
        <v>1</v>
      </c>
    </row>
    <row r="168" spans="2:32" ht="16.5" customHeight="1">
      <c r="B168" s="1" t="str">
        <f t="shared" si="2"/>
        <v>M_TDIF04_VM_BKT_1.3_125</v>
      </c>
      <c r="C168" s="92" t="s">
        <v>700</v>
      </c>
      <c r="D168" s="92" t="str" cm="1">
        <f t="array" ref="D168">INDEX(기계코드!$D$4:$D$214,MATCH(1,(C168=기계코드!$F$4:$F$214)*1,0))</f>
        <v>M_TDIF04</v>
      </c>
      <c r="E168" s="92" t="s">
        <v>1128</v>
      </c>
      <c r="F168" s="7" t="str" cm="1">
        <f t="array" ref="F168">INDEX(공급업체코드!$B$3:$B$1000,MATCH(1,(E168=공급업체코드!$D$3:$D$1000)*1,0))</f>
        <v>VM_BKT</v>
      </c>
      <c r="G168" s="18" t="s">
        <v>1881</v>
      </c>
      <c r="H168" s="64"/>
      <c r="I168" s="64"/>
      <c r="J168" s="64"/>
      <c r="K168" s="300">
        <v>1.1000000000000001</v>
      </c>
      <c r="L168" s="300">
        <v>1.3</v>
      </c>
      <c r="M168" s="64">
        <v>125</v>
      </c>
      <c r="N168" s="64"/>
      <c r="O168" s="64"/>
      <c r="P168" s="64"/>
      <c r="Q168" s="64"/>
      <c r="R168" s="70"/>
      <c r="T168" s="64"/>
      <c r="X168">
        <v>0.123</v>
      </c>
      <c r="Y168" s="258" t="s">
        <v>1313</v>
      </c>
      <c r="AA168" s="259" t="s">
        <v>1314</v>
      </c>
      <c r="AB168" s="20" t="s">
        <v>1061</v>
      </c>
      <c r="AC168">
        <f t="shared" si="3"/>
        <v>625000000</v>
      </c>
      <c r="AE168" s="18" t="s">
        <v>1315</v>
      </c>
      <c r="AF168" s="1" t="b">
        <v>1</v>
      </c>
    </row>
    <row r="169" spans="2:32" ht="16.5" customHeight="1">
      <c r="B169" s="1" t="str">
        <f t="shared" si="2"/>
        <v>M_TDIF04_VM_BKT_1.3_126</v>
      </c>
      <c r="C169" s="92" t="s">
        <v>700</v>
      </c>
      <c r="D169" s="92" t="str" cm="1">
        <f t="array" ref="D169">INDEX(기계코드!$D$4:$D$214,MATCH(1,(C169=기계코드!$F$4:$F$214)*1,0))</f>
        <v>M_TDIF04</v>
      </c>
      <c r="E169" s="92" t="s">
        <v>1128</v>
      </c>
      <c r="F169" s="7" t="str" cm="1">
        <f t="array" ref="F169">INDEX(공급업체코드!$B$3:$B$1000,MATCH(1,(E169=공급업체코드!$D$3:$D$1000)*1,0))</f>
        <v>VM_BKT</v>
      </c>
      <c r="G169" s="18" t="s">
        <v>1881</v>
      </c>
      <c r="H169" s="64"/>
      <c r="I169" s="64"/>
      <c r="J169" s="64"/>
      <c r="K169" s="300">
        <v>1.1000000000000001</v>
      </c>
      <c r="L169" s="300">
        <v>1.3</v>
      </c>
      <c r="M169" s="64">
        <v>126</v>
      </c>
      <c r="N169" s="64"/>
      <c r="O169" s="64"/>
      <c r="P169" s="64"/>
      <c r="Q169" s="64"/>
      <c r="R169" s="70"/>
      <c r="T169" s="64"/>
      <c r="X169">
        <v>0.123</v>
      </c>
      <c r="Y169" s="258" t="s">
        <v>1313</v>
      </c>
      <c r="AA169" s="259" t="s">
        <v>1314</v>
      </c>
      <c r="AB169" s="20" t="s">
        <v>1061</v>
      </c>
      <c r="AC169">
        <f t="shared" si="3"/>
        <v>630000000</v>
      </c>
      <c r="AE169" s="18" t="s">
        <v>1315</v>
      </c>
      <c r="AF169" s="1" t="b">
        <v>1</v>
      </c>
    </row>
    <row r="170" spans="2:32" ht="16.5" customHeight="1">
      <c r="B170" s="1" t="str">
        <f t="shared" si="2"/>
        <v>M_TDIF04_VM_BKT_1.3_127</v>
      </c>
      <c r="C170" s="92" t="s">
        <v>700</v>
      </c>
      <c r="D170" s="92" t="str" cm="1">
        <f t="array" ref="D170">INDEX(기계코드!$D$4:$D$214,MATCH(1,(C170=기계코드!$F$4:$F$214)*1,0))</f>
        <v>M_TDIF04</v>
      </c>
      <c r="E170" s="92" t="s">
        <v>1128</v>
      </c>
      <c r="F170" s="7" t="str" cm="1">
        <f t="array" ref="F170">INDEX(공급업체코드!$B$3:$B$1000,MATCH(1,(E170=공급업체코드!$D$3:$D$1000)*1,0))</f>
        <v>VM_BKT</v>
      </c>
      <c r="G170" s="18" t="s">
        <v>1881</v>
      </c>
      <c r="H170" s="64"/>
      <c r="I170" s="64"/>
      <c r="J170" s="64"/>
      <c r="K170" s="300">
        <v>1.1000000000000001</v>
      </c>
      <c r="L170" s="300">
        <v>1.3</v>
      </c>
      <c r="M170" s="64">
        <v>127</v>
      </c>
      <c r="N170" s="64"/>
      <c r="O170" s="64"/>
      <c r="P170" s="64"/>
      <c r="Q170" s="64"/>
      <c r="R170" s="70"/>
      <c r="T170" s="64"/>
      <c r="X170">
        <v>0.123</v>
      </c>
      <c r="Y170" s="258" t="s">
        <v>1313</v>
      </c>
      <c r="AA170" s="259" t="s">
        <v>1314</v>
      </c>
      <c r="AB170" s="20" t="s">
        <v>1061</v>
      </c>
      <c r="AC170">
        <f t="shared" si="3"/>
        <v>635000000</v>
      </c>
      <c r="AE170" s="18" t="s">
        <v>1315</v>
      </c>
      <c r="AF170" s="1" t="b">
        <v>1</v>
      </c>
    </row>
    <row r="171" spans="2:32" ht="16.5" customHeight="1">
      <c r="B171" s="1" t="str">
        <f t="shared" si="2"/>
        <v>M_TDIF04_VM_BKT_1.3_128</v>
      </c>
      <c r="C171" s="92" t="s">
        <v>700</v>
      </c>
      <c r="D171" s="92" t="str" cm="1">
        <f t="array" ref="D171">INDEX(기계코드!$D$4:$D$214,MATCH(1,(C171=기계코드!$F$4:$F$214)*1,0))</f>
        <v>M_TDIF04</v>
      </c>
      <c r="E171" s="92" t="s">
        <v>1128</v>
      </c>
      <c r="F171" s="7" t="str" cm="1">
        <f t="array" ref="F171">INDEX(공급업체코드!$B$3:$B$1000,MATCH(1,(E171=공급업체코드!$D$3:$D$1000)*1,0))</f>
        <v>VM_BKT</v>
      </c>
      <c r="G171" s="18" t="s">
        <v>1881</v>
      </c>
      <c r="H171" s="64"/>
      <c r="I171" s="64"/>
      <c r="J171" s="64"/>
      <c r="K171" s="300">
        <v>1.1000000000000001</v>
      </c>
      <c r="L171" s="300">
        <v>1.3</v>
      </c>
      <c r="M171" s="64">
        <v>128</v>
      </c>
      <c r="N171" s="64"/>
      <c r="O171" s="64"/>
      <c r="P171" s="64"/>
      <c r="Q171" s="64"/>
      <c r="R171" s="70"/>
      <c r="T171" s="64"/>
      <c r="X171">
        <v>0.123</v>
      </c>
      <c r="Y171" s="258" t="s">
        <v>1313</v>
      </c>
      <c r="AA171" s="259" t="s">
        <v>1314</v>
      </c>
      <c r="AB171" s="20" t="s">
        <v>1061</v>
      </c>
      <c r="AC171">
        <f t="shared" si="3"/>
        <v>640000000</v>
      </c>
      <c r="AE171" s="18" t="s">
        <v>1315</v>
      </c>
      <c r="AF171" s="1" t="b">
        <v>1</v>
      </c>
    </row>
    <row r="172" spans="2:32" ht="16.5" customHeight="1">
      <c r="B172" s="1" t="str">
        <f t="shared" si="2"/>
        <v>M_TDIF04_VM_BKT_1.3_129</v>
      </c>
      <c r="C172" s="92" t="s">
        <v>700</v>
      </c>
      <c r="D172" s="92" t="str" cm="1">
        <f t="array" ref="D172">INDEX(기계코드!$D$4:$D$214,MATCH(1,(C172=기계코드!$F$4:$F$214)*1,0))</f>
        <v>M_TDIF04</v>
      </c>
      <c r="E172" s="92" t="s">
        <v>1128</v>
      </c>
      <c r="F172" s="7" t="str" cm="1">
        <f t="array" ref="F172">INDEX(공급업체코드!$B$3:$B$1000,MATCH(1,(E172=공급업체코드!$D$3:$D$1000)*1,0))</f>
        <v>VM_BKT</v>
      </c>
      <c r="G172" s="18" t="s">
        <v>1881</v>
      </c>
      <c r="H172" s="64"/>
      <c r="I172" s="64"/>
      <c r="J172" s="64"/>
      <c r="K172" s="300">
        <v>1.1000000000000001</v>
      </c>
      <c r="L172" s="300">
        <v>1.3</v>
      </c>
      <c r="M172" s="64">
        <v>129</v>
      </c>
      <c r="N172" s="64"/>
      <c r="O172" s="64"/>
      <c r="P172" s="64"/>
      <c r="Q172" s="64"/>
      <c r="R172" s="70"/>
      <c r="T172" s="64"/>
      <c r="X172">
        <v>0.123</v>
      </c>
      <c r="Y172" s="258" t="s">
        <v>1313</v>
      </c>
      <c r="AA172" s="259" t="s">
        <v>1314</v>
      </c>
      <c r="AB172" s="20" t="s">
        <v>1061</v>
      </c>
      <c r="AC172">
        <f t="shared" si="3"/>
        <v>645000000</v>
      </c>
      <c r="AE172" s="18" t="s">
        <v>1315</v>
      </c>
      <c r="AF172" s="1" t="b">
        <v>1</v>
      </c>
    </row>
    <row r="173" spans="2:32" ht="16.5" customHeight="1">
      <c r="B173" s="1" t="str">
        <f t="shared" ref="B173:B236" si="4">D173&amp;"_"&amp;F173&amp;"_"&amp;L173&amp;"_"&amp;M173</f>
        <v>M_TDIF04_VM_BKT_1.3_130</v>
      </c>
      <c r="C173" s="92" t="s">
        <v>700</v>
      </c>
      <c r="D173" s="92" t="str" cm="1">
        <f t="array" ref="D173">INDEX(기계코드!$D$4:$D$214,MATCH(1,(C173=기계코드!$F$4:$F$214)*1,0))</f>
        <v>M_TDIF04</v>
      </c>
      <c r="E173" s="92" t="s">
        <v>1128</v>
      </c>
      <c r="F173" s="7" t="str" cm="1">
        <f t="array" ref="F173">INDEX(공급업체코드!$B$3:$B$1000,MATCH(1,(E173=공급업체코드!$D$3:$D$1000)*1,0))</f>
        <v>VM_BKT</v>
      </c>
      <c r="G173" s="18" t="s">
        <v>1881</v>
      </c>
      <c r="H173" s="64"/>
      <c r="I173" s="64"/>
      <c r="J173" s="64"/>
      <c r="K173" s="300">
        <v>1.1000000000000001</v>
      </c>
      <c r="L173" s="300">
        <v>1.3</v>
      </c>
      <c r="M173" s="64">
        <v>130</v>
      </c>
      <c r="N173" s="64"/>
      <c r="O173" s="64"/>
      <c r="P173" s="64"/>
      <c r="Q173" s="64"/>
      <c r="R173" s="70"/>
      <c r="T173" s="64"/>
      <c r="X173">
        <v>0.123</v>
      </c>
      <c r="Y173" s="258" t="s">
        <v>1313</v>
      </c>
      <c r="AA173" s="259" t="s">
        <v>1314</v>
      </c>
      <c r="AB173" s="20" t="s">
        <v>1061</v>
      </c>
      <c r="AC173">
        <f t="shared" si="3"/>
        <v>650000000</v>
      </c>
      <c r="AE173" s="18" t="s">
        <v>1315</v>
      </c>
      <c r="AF173" s="1" t="b">
        <v>1</v>
      </c>
    </row>
    <row r="174" spans="2:32" ht="16.5" customHeight="1">
      <c r="B174" s="1" t="str">
        <f t="shared" si="4"/>
        <v>M_TDIF04_VM_BKT_1.3_131</v>
      </c>
      <c r="C174" s="92" t="s">
        <v>700</v>
      </c>
      <c r="D174" s="92" t="str" cm="1">
        <f t="array" ref="D174">INDEX(기계코드!$D$4:$D$214,MATCH(1,(C174=기계코드!$F$4:$F$214)*1,0))</f>
        <v>M_TDIF04</v>
      </c>
      <c r="E174" s="92" t="s">
        <v>1128</v>
      </c>
      <c r="F174" s="7" t="str" cm="1">
        <f t="array" ref="F174">INDEX(공급업체코드!$B$3:$B$1000,MATCH(1,(E174=공급업체코드!$D$3:$D$1000)*1,0))</f>
        <v>VM_BKT</v>
      </c>
      <c r="G174" s="18" t="s">
        <v>1881</v>
      </c>
      <c r="H174" s="64"/>
      <c r="I174" s="64"/>
      <c r="J174" s="64"/>
      <c r="K174" s="300">
        <v>1.1000000000000001</v>
      </c>
      <c r="L174" s="300">
        <v>1.3</v>
      </c>
      <c r="M174" s="64">
        <v>131</v>
      </c>
      <c r="N174" s="64"/>
      <c r="O174" s="64"/>
      <c r="P174" s="64"/>
      <c r="Q174" s="64"/>
      <c r="R174" s="70"/>
      <c r="T174" s="64"/>
      <c r="X174">
        <v>0.123</v>
      </c>
      <c r="Y174" s="258" t="s">
        <v>1313</v>
      </c>
      <c r="AA174" s="259" t="s">
        <v>1314</v>
      </c>
      <c r="AB174" s="20" t="s">
        <v>1061</v>
      </c>
      <c r="AC174">
        <f t="shared" ref="AC174:AC237" si="5">M174*$AC$44</f>
        <v>655000000</v>
      </c>
      <c r="AE174" s="18" t="s">
        <v>1315</v>
      </c>
      <c r="AF174" s="1" t="b">
        <v>1</v>
      </c>
    </row>
    <row r="175" spans="2:32" ht="16.5" customHeight="1">
      <c r="B175" s="1" t="str">
        <f t="shared" si="4"/>
        <v>M_TDIF04_VM_BKT_1.3_132</v>
      </c>
      <c r="C175" s="92" t="s">
        <v>700</v>
      </c>
      <c r="D175" s="92" t="str" cm="1">
        <f t="array" ref="D175">INDEX(기계코드!$D$4:$D$214,MATCH(1,(C175=기계코드!$F$4:$F$214)*1,0))</f>
        <v>M_TDIF04</v>
      </c>
      <c r="E175" s="92" t="s">
        <v>1128</v>
      </c>
      <c r="F175" s="7" t="str" cm="1">
        <f t="array" ref="F175">INDEX(공급업체코드!$B$3:$B$1000,MATCH(1,(E175=공급업체코드!$D$3:$D$1000)*1,0))</f>
        <v>VM_BKT</v>
      </c>
      <c r="G175" s="18" t="s">
        <v>1881</v>
      </c>
      <c r="H175" s="64"/>
      <c r="I175" s="64"/>
      <c r="J175" s="64"/>
      <c r="K175" s="300">
        <v>1.1000000000000001</v>
      </c>
      <c r="L175" s="300">
        <v>1.3</v>
      </c>
      <c r="M175" s="64">
        <v>132</v>
      </c>
      <c r="N175" s="64"/>
      <c r="O175" s="64"/>
      <c r="P175" s="64"/>
      <c r="Q175" s="64"/>
      <c r="R175" s="70"/>
      <c r="T175" s="64"/>
      <c r="X175">
        <v>0.123</v>
      </c>
      <c r="Y175" s="258" t="s">
        <v>1313</v>
      </c>
      <c r="AA175" s="259" t="s">
        <v>1314</v>
      </c>
      <c r="AB175" s="20" t="s">
        <v>1061</v>
      </c>
      <c r="AC175">
        <f t="shared" si="5"/>
        <v>660000000</v>
      </c>
      <c r="AE175" s="18" t="s">
        <v>1315</v>
      </c>
      <c r="AF175" s="1" t="b">
        <v>1</v>
      </c>
    </row>
    <row r="176" spans="2:32" ht="16.5" customHeight="1">
      <c r="B176" s="1" t="str">
        <f t="shared" si="4"/>
        <v>M_TDIF04_VM_BKT_1.3_133</v>
      </c>
      <c r="C176" s="92" t="s">
        <v>700</v>
      </c>
      <c r="D176" s="92" t="str" cm="1">
        <f t="array" ref="D176">INDEX(기계코드!$D$4:$D$214,MATCH(1,(C176=기계코드!$F$4:$F$214)*1,0))</f>
        <v>M_TDIF04</v>
      </c>
      <c r="E176" s="92" t="s">
        <v>1128</v>
      </c>
      <c r="F176" s="7" t="str" cm="1">
        <f t="array" ref="F176">INDEX(공급업체코드!$B$3:$B$1000,MATCH(1,(E176=공급업체코드!$D$3:$D$1000)*1,0))</f>
        <v>VM_BKT</v>
      </c>
      <c r="G176" s="18" t="s">
        <v>1881</v>
      </c>
      <c r="H176" s="64"/>
      <c r="I176" s="64"/>
      <c r="J176" s="64"/>
      <c r="K176" s="300">
        <v>1.1000000000000001</v>
      </c>
      <c r="L176" s="300">
        <v>1.3</v>
      </c>
      <c r="M176" s="64">
        <v>133</v>
      </c>
      <c r="N176" s="64"/>
      <c r="O176" s="64"/>
      <c r="P176" s="64"/>
      <c r="Q176" s="64"/>
      <c r="R176" s="70"/>
      <c r="T176" s="64"/>
      <c r="X176">
        <v>0.123</v>
      </c>
      <c r="Y176" s="258" t="s">
        <v>1313</v>
      </c>
      <c r="AA176" s="259" t="s">
        <v>1314</v>
      </c>
      <c r="AB176" s="20" t="s">
        <v>1061</v>
      </c>
      <c r="AC176">
        <f t="shared" si="5"/>
        <v>665000000</v>
      </c>
      <c r="AE176" s="18" t="s">
        <v>1315</v>
      </c>
      <c r="AF176" s="1" t="b">
        <v>1</v>
      </c>
    </row>
    <row r="177" spans="2:32" ht="16.5" customHeight="1">
      <c r="B177" s="1" t="str">
        <f t="shared" si="4"/>
        <v>M_TDIF04_VM_BKT_1.3_134</v>
      </c>
      <c r="C177" s="92" t="s">
        <v>700</v>
      </c>
      <c r="D177" s="92" t="str" cm="1">
        <f t="array" ref="D177">INDEX(기계코드!$D$4:$D$214,MATCH(1,(C177=기계코드!$F$4:$F$214)*1,0))</f>
        <v>M_TDIF04</v>
      </c>
      <c r="E177" s="92" t="s">
        <v>1128</v>
      </c>
      <c r="F177" s="7" t="str" cm="1">
        <f t="array" ref="F177">INDEX(공급업체코드!$B$3:$B$1000,MATCH(1,(E177=공급업체코드!$D$3:$D$1000)*1,0))</f>
        <v>VM_BKT</v>
      </c>
      <c r="G177" s="18" t="s">
        <v>1881</v>
      </c>
      <c r="H177" s="64"/>
      <c r="I177" s="64"/>
      <c r="J177" s="64"/>
      <c r="K177" s="300">
        <v>1.1000000000000001</v>
      </c>
      <c r="L177" s="300">
        <v>1.3</v>
      </c>
      <c r="M177" s="64">
        <v>134</v>
      </c>
      <c r="N177" s="64"/>
      <c r="O177" s="64"/>
      <c r="P177" s="64"/>
      <c r="Q177" s="64"/>
      <c r="R177" s="70"/>
      <c r="T177" s="64"/>
      <c r="X177">
        <v>0.123</v>
      </c>
      <c r="Y177" s="258" t="s">
        <v>1313</v>
      </c>
      <c r="AA177" s="259" t="s">
        <v>1314</v>
      </c>
      <c r="AB177" s="20" t="s">
        <v>1061</v>
      </c>
      <c r="AC177">
        <f t="shared" si="5"/>
        <v>670000000</v>
      </c>
      <c r="AE177" s="18" t="s">
        <v>1315</v>
      </c>
      <c r="AF177" s="1" t="b">
        <v>1</v>
      </c>
    </row>
    <row r="178" spans="2:32" ht="16.5" customHeight="1">
      <c r="B178" s="1" t="str">
        <f t="shared" si="4"/>
        <v>M_TDIF04_VM_BKT_1.3_135</v>
      </c>
      <c r="C178" s="92" t="s">
        <v>700</v>
      </c>
      <c r="D178" s="92" t="str" cm="1">
        <f t="array" ref="D178">INDEX(기계코드!$D$4:$D$214,MATCH(1,(C178=기계코드!$F$4:$F$214)*1,0))</f>
        <v>M_TDIF04</v>
      </c>
      <c r="E178" s="92" t="s">
        <v>1128</v>
      </c>
      <c r="F178" s="7" t="str" cm="1">
        <f t="array" ref="F178">INDEX(공급업체코드!$B$3:$B$1000,MATCH(1,(E178=공급업체코드!$D$3:$D$1000)*1,0))</f>
        <v>VM_BKT</v>
      </c>
      <c r="G178" s="18" t="s">
        <v>1881</v>
      </c>
      <c r="H178" s="64"/>
      <c r="I178" s="64"/>
      <c r="J178" s="64"/>
      <c r="K178" s="300">
        <v>1.1000000000000001</v>
      </c>
      <c r="L178" s="300">
        <v>1.3</v>
      </c>
      <c r="M178" s="64">
        <v>135</v>
      </c>
      <c r="N178" s="64"/>
      <c r="O178" s="64"/>
      <c r="P178" s="64"/>
      <c r="Q178" s="64"/>
      <c r="R178" s="70"/>
      <c r="T178" s="64"/>
      <c r="X178">
        <v>0.123</v>
      </c>
      <c r="Y178" s="258" t="s">
        <v>1313</v>
      </c>
      <c r="AA178" s="259" t="s">
        <v>1314</v>
      </c>
      <c r="AB178" s="20" t="s">
        <v>1061</v>
      </c>
      <c r="AC178">
        <f t="shared" si="5"/>
        <v>675000000</v>
      </c>
      <c r="AE178" s="18" t="s">
        <v>1315</v>
      </c>
      <c r="AF178" s="1" t="b">
        <v>1</v>
      </c>
    </row>
    <row r="179" spans="2:32" ht="16.5" customHeight="1">
      <c r="B179" s="1" t="str">
        <f t="shared" si="4"/>
        <v>M_TDIF04_VM_BKT_1.3_136</v>
      </c>
      <c r="C179" s="92" t="s">
        <v>700</v>
      </c>
      <c r="D179" s="92" t="str" cm="1">
        <f t="array" ref="D179">INDEX(기계코드!$D$4:$D$214,MATCH(1,(C179=기계코드!$F$4:$F$214)*1,0))</f>
        <v>M_TDIF04</v>
      </c>
      <c r="E179" s="92" t="s">
        <v>1128</v>
      </c>
      <c r="F179" s="7" t="str" cm="1">
        <f t="array" ref="F179">INDEX(공급업체코드!$B$3:$B$1000,MATCH(1,(E179=공급업체코드!$D$3:$D$1000)*1,0))</f>
        <v>VM_BKT</v>
      </c>
      <c r="G179" s="18" t="s">
        <v>1881</v>
      </c>
      <c r="H179" s="64"/>
      <c r="I179" s="64"/>
      <c r="J179" s="64"/>
      <c r="K179" s="300">
        <v>1.1000000000000001</v>
      </c>
      <c r="L179" s="300">
        <v>1.3</v>
      </c>
      <c r="M179" s="64">
        <v>136</v>
      </c>
      <c r="N179" s="64"/>
      <c r="O179" s="64"/>
      <c r="P179" s="64"/>
      <c r="Q179" s="64"/>
      <c r="R179" s="70"/>
      <c r="T179" s="64"/>
      <c r="X179">
        <v>0.123</v>
      </c>
      <c r="Y179" s="258" t="s">
        <v>1313</v>
      </c>
      <c r="AA179" s="259" t="s">
        <v>1314</v>
      </c>
      <c r="AB179" s="20" t="s">
        <v>1061</v>
      </c>
      <c r="AC179">
        <f t="shared" si="5"/>
        <v>680000000</v>
      </c>
      <c r="AE179" s="18" t="s">
        <v>1315</v>
      </c>
      <c r="AF179" s="1" t="b">
        <v>1</v>
      </c>
    </row>
    <row r="180" spans="2:32" ht="16.5" customHeight="1">
      <c r="B180" s="1" t="str">
        <f t="shared" si="4"/>
        <v>M_TDIF04_VM_BKT_1.3_137</v>
      </c>
      <c r="C180" s="92" t="s">
        <v>700</v>
      </c>
      <c r="D180" s="92" t="str" cm="1">
        <f t="array" ref="D180">INDEX(기계코드!$D$4:$D$214,MATCH(1,(C180=기계코드!$F$4:$F$214)*1,0))</f>
        <v>M_TDIF04</v>
      </c>
      <c r="E180" s="92" t="s">
        <v>1128</v>
      </c>
      <c r="F180" s="7" t="str" cm="1">
        <f t="array" ref="F180">INDEX(공급업체코드!$B$3:$B$1000,MATCH(1,(E180=공급업체코드!$D$3:$D$1000)*1,0))</f>
        <v>VM_BKT</v>
      </c>
      <c r="G180" s="18" t="s">
        <v>1881</v>
      </c>
      <c r="H180" s="64"/>
      <c r="I180" s="64"/>
      <c r="J180" s="64"/>
      <c r="K180" s="300">
        <v>1.1000000000000001</v>
      </c>
      <c r="L180" s="300">
        <v>1.3</v>
      </c>
      <c r="M180" s="64">
        <v>137</v>
      </c>
      <c r="N180" s="64"/>
      <c r="O180" s="64"/>
      <c r="P180" s="64"/>
      <c r="Q180" s="64"/>
      <c r="R180" s="70"/>
      <c r="T180" s="64"/>
      <c r="X180">
        <v>0.123</v>
      </c>
      <c r="Y180" s="258" t="s">
        <v>1313</v>
      </c>
      <c r="AA180" s="259" t="s">
        <v>1314</v>
      </c>
      <c r="AB180" s="20" t="s">
        <v>1061</v>
      </c>
      <c r="AC180">
        <f t="shared" si="5"/>
        <v>685000000</v>
      </c>
      <c r="AE180" s="18" t="s">
        <v>1315</v>
      </c>
      <c r="AF180" s="1" t="b">
        <v>1</v>
      </c>
    </row>
    <row r="181" spans="2:32" ht="16.5" customHeight="1">
      <c r="B181" s="1" t="str">
        <f t="shared" si="4"/>
        <v>M_TDIF04_VM_BKT_1.3_138</v>
      </c>
      <c r="C181" s="92" t="s">
        <v>700</v>
      </c>
      <c r="D181" s="92" t="str" cm="1">
        <f t="array" ref="D181">INDEX(기계코드!$D$4:$D$214,MATCH(1,(C181=기계코드!$F$4:$F$214)*1,0))</f>
        <v>M_TDIF04</v>
      </c>
      <c r="E181" s="92" t="s">
        <v>1128</v>
      </c>
      <c r="F181" s="7" t="str" cm="1">
        <f t="array" ref="F181">INDEX(공급업체코드!$B$3:$B$1000,MATCH(1,(E181=공급업체코드!$D$3:$D$1000)*1,0))</f>
        <v>VM_BKT</v>
      </c>
      <c r="G181" s="18" t="s">
        <v>1881</v>
      </c>
      <c r="H181" s="64"/>
      <c r="I181" s="64"/>
      <c r="J181" s="64"/>
      <c r="K181" s="300">
        <v>1.1000000000000001</v>
      </c>
      <c r="L181" s="300">
        <v>1.3</v>
      </c>
      <c r="M181" s="64">
        <v>138</v>
      </c>
      <c r="N181" s="64"/>
      <c r="O181" s="64"/>
      <c r="P181" s="64"/>
      <c r="Q181" s="64"/>
      <c r="R181" s="70"/>
      <c r="T181" s="64"/>
      <c r="X181">
        <v>0.123</v>
      </c>
      <c r="Y181" s="258" t="s">
        <v>1313</v>
      </c>
      <c r="AA181" s="259" t="s">
        <v>1314</v>
      </c>
      <c r="AB181" s="20" t="s">
        <v>1061</v>
      </c>
      <c r="AC181">
        <f t="shared" si="5"/>
        <v>690000000</v>
      </c>
      <c r="AE181" s="18" t="s">
        <v>1315</v>
      </c>
      <c r="AF181" s="1" t="b">
        <v>1</v>
      </c>
    </row>
    <row r="182" spans="2:32" ht="16.5" customHeight="1">
      <c r="B182" s="1" t="str">
        <f t="shared" si="4"/>
        <v>M_TDIF04_VM_BKT_1.3_139</v>
      </c>
      <c r="C182" s="92" t="s">
        <v>700</v>
      </c>
      <c r="D182" s="92" t="str" cm="1">
        <f t="array" ref="D182">INDEX(기계코드!$D$4:$D$214,MATCH(1,(C182=기계코드!$F$4:$F$214)*1,0))</f>
        <v>M_TDIF04</v>
      </c>
      <c r="E182" s="92" t="s">
        <v>1128</v>
      </c>
      <c r="F182" s="7" t="str" cm="1">
        <f t="array" ref="F182">INDEX(공급업체코드!$B$3:$B$1000,MATCH(1,(E182=공급업체코드!$D$3:$D$1000)*1,0))</f>
        <v>VM_BKT</v>
      </c>
      <c r="G182" s="18" t="s">
        <v>1881</v>
      </c>
      <c r="H182" s="64"/>
      <c r="I182" s="64"/>
      <c r="J182" s="64"/>
      <c r="K182" s="300">
        <v>1.1000000000000001</v>
      </c>
      <c r="L182" s="300">
        <v>1.3</v>
      </c>
      <c r="M182" s="64">
        <v>139</v>
      </c>
      <c r="N182" s="64"/>
      <c r="O182" s="64"/>
      <c r="P182" s="64"/>
      <c r="Q182" s="64"/>
      <c r="R182" s="70"/>
      <c r="T182" s="64"/>
      <c r="X182">
        <v>0.123</v>
      </c>
      <c r="Y182" s="258" t="s">
        <v>1313</v>
      </c>
      <c r="AA182" s="259" t="s">
        <v>1314</v>
      </c>
      <c r="AB182" s="20" t="s">
        <v>1061</v>
      </c>
      <c r="AC182">
        <f t="shared" si="5"/>
        <v>695000000</v>
      </c>
      <c r="AE182" s="18" t="s">
        <v>1315</v>
      </c>
      <c r="AF182" s="1" t="b">
        <v>1</v>
      </c>
    </row>
    <row r="183" spans="2:32" ht="16.5" customHeight="1">
      <c r="B183" s="1" t="str">
        <f t="shared" si="4"/>
        <v>M_TDIF04_VM_BKT_1.3_140</v>
      </c>
      <c r="C183" s="92" t="s">
        <v>700</v>
      </c>
      <c r="D183" s="92" t="str" cm="1">
        <f t="array" ref="D183">INDEX(기계코드!$D$4:$D$214,MATCH(1,(C183=기계코드!$F$4:$F$214)*1,0))</f>
        <v>M_TDIF04</v>
      </c>
      <c r="E183" s="92" t="s">
        <v>1128</v>
      </c>
      <c r="F183" s="7" t="str" cm="1">
        <f t="array" ref="F183">INDEX(공급업체코드!$B$3:$B$1000,MATCH(1,(E183=공급업체코드!$D$3:$D$1000)*1,0))</f>
        <v>VM_BKT</v>
      </c>
      <c r="G183" s="18" t="s">
        <v>1881</v>
      </c>
      <c r="H183" s="64"/>
      <c r="I183" s="64"/>
      <c r="J183" s="64"/>
      <c r="K183" s="300">
        <v>1.1000000000000001</v>
      </c>
      <c r="L183" s="300">
        <v>1.3</v>
      </c>
      <c r="M183" s="64">
        <v>140</v>
      </c>
      <c r="N183" s="64"/>
      <c r="O183" s="64"/>
      <c r="P183" s="64"/>
      <c r="Q183" s="64"/>
      <c r="R183" s="70"/>
      <c r="T183" s="64"/>
      <c r="X183">
        <v>0.123</v>
      </c>
      <c r="Y183" s="258" t="s">
        <v>1313</v>
      </c>
      <c r="AA183" s="259" t="s">
        <v>1314</v>
      </c>
      <c r="AB183" s="20" t="s">
        <v>1061</v>
      </c>
      <c r="AC183">
        <f t="shared" si="5"/>
        <v>700000000</v>
      </c>
      <c r="AE183" s="18" t="s">
        <v>1315</v>
      </c>
      <c r="AF183" s="1" t="b">
        <v>1</v>
      </c>
    </row>
    <row r="184" spans="2:32" ht="16.5" customHeight="1">
      <c r="B184" s="1" t="str">
        <f t="shared" si="4"/>
        <v>M_TDIF04_VM_BKT_1.3_141</v>
      </c>
      <c r="C184" s="92" t="s">
        <v>700</v>
      </c>
      <c r="D184" s="92" t="str" cm="1">
        <f t="array" ref="D184">INDEX(기계코드!$D$4:$D$214,MATCH(1,(C184=기계코드!$F$4:$F$214)*1,0))</f>
        <v>M_TDIF04</v>
      </c>
      <c r="E184" s="92" t="s">
        <v>1128</v>
      </c>
      <c r="F184" s="7" t="str" cm="1">
        <f t="array" ref="F184">INDEX(공급업체코드!$B$3:$B$1000,MATCH(1,(E184=공급업체코드!$D$3:$D$1000)*1,0))</f>
        <v>VM_BKT</v>
      </c>
      <c r="G184" s="18" t="s">
        <v>1881</v>
      </c>
      <c r="H184" s="64"/>
      <c r="I184" s="64"/>
      <c r="J184" s="64"/>
      <c r="K184" s="300">
        <v>1.1000000000000001</v>
      </c>
      <c r="L184" s="300">
        <v>1.3</v>
      </c>
      <c r="M184" s="64">
        <v>141</v>
      </c>
      <c r="N184" s="64"/>
      <c r="O184" s="64"/>
      <c r="P184" s="64"/>
      <c r="Q184" s="64"/>
      <c r="R184" s="70"/>
      <c r="T184" s="64"/>
      <c r="X184">
        <v>0.123</v>
      </c>
      <c r="Y184" s="258" t="s">
        <v>1313</v>
      </c>
      <c r="AA184" s="259" t="s">
        <v>1314</v>
      </c>
      <c r="AB184" s="20" t="s">
        <v>1061</v>
      </c>
      <c r="AC184">
        <f t="shared" si="5"/>
        <v>705000000</v>
      </c>
      <c r="AE184" s="18" t="s">
        <v>1315</v>
      </c>
      <c r="AF184" s="1" t="b">
        <v>1</v>
      </c>
    </row>
    <row r="185" spans="2:32" ht="16.5" customHeight="1">
      <c r="B185" s="1" t="str">
        <f t="shared" si="4"/>
        <v>M_TDIF04_VM_BKT_1.3_142</v>
      </c>
      <c r="C185" s="92" t="s">
        <v>700</v>
      </c>
      <c r="D185" s="92" t="str" cm="1">
        <f t="array" ref="D185">INDEX(기계코드!$D$4:$D$214,MATCH(1,(C185=기계코드!$F$4:$F$214)*1,0))</f>
        <v>M_TDIF04</v>
      </c>
      <c r="E185" s="92" t="s">
        <v>1128</v>
      </c>
      <c r="F185" s="7" t="str" cm="1">
        <f t="array" ref="F185">INDEX(공급업체코드!$B$3:$B$1000,MATCH(1,(E185=공급업체코드!$D$3:$D$1000)*1,0))</f>
        <v>VM_BKT</v>
      </c>
      <c r="G185" s="18" t="s">
        <v>1881</v>
      </c>
      <c r="H185" s="64"/>
      <c r="I185" s="64"/>
      <c r="J185" s="64"/>
      <c r="K185" s="300">
        <v>1.1000000000000001</v>
      </c>
      <c r="L185" s="300">
        <v>1.3</v>
      </c>
      <c r="M185" s="64">
        <v>142</v>
      </c>
      <c r="N185" s="64"/>
      <c r="O185" s="64"/>
      <c r="P185" s="64"/>
      <c r="Q185" s="64"/>
      <c r="R185" s="70"/>
      <c r="T185" s="64"/>
      <c r="X185">
        <v>0.123</v>
      </c>
      <c r="Y185" s="258" t="s">
        <v>1313</v>
      </c>
      <c r="AA185" s="259" t="s">
        <v>1314</v>
      </c>
      <c r="AB185" s="20" t="s">
        <v>1061</v>
      </c>
      <c r="AC185">
        <f t="shared" si="5"/>
        <v>710000000</v>
      </c>
      <c r="AE185" s="18" t="s">
        <v>1315</v>
      </c>
      <c r="AF185" s="1" t="b">
        <v>1</v>
      </c>
    </row>
    <row r="186" spans="2:32" ht="16.5" customHeight="1">
      <c r="B186" s="1" t="str">
        <f t="shared" si="4"/>
        <v>M_TDIF04_VM_BKT_1.3_143</v>
      </c>
      <c r="C186" s="92" t="s">
        <v>700</v>
      </c>
      <c r="D186" s="92" t="str" cm="1">
        <f t="array" ref="D186">INDEX(기계코드!$D$4:$D$214,MATCH(1,(C186=기계코드!$F$4:$F$214)*1,0))</f>
        <v>M_TDIF04</v>
      </c>
      <c r="E186" s="92" t="s">
        <v>1128</v>
      </c>
      <c r="F186" s="7" t="str" cm="1">
        <f t="array" ref="F186">INDEX(공급업체코드!$B$3:$B$1000,MATCH(1,(E186=공급업체코드!$D$3:$D$1000)*1,0))</f>
        <v>VM_BKT</v>
      </c>
      <c r="G186" s="18" t="s">
        <v>1881</v>
      </c>
      <c r="H186" s="64"/>
      <c r="I186" s="64"/>
      <c r="J186" s="64"/>
      <c r="K186" s="300">
        <v>1.1000000000000001</v>
      </c>
      <c r="L186" s="300">
        <v>1.3</v>
      </c>
      <c r="M186" s="64">
        <v>143</v>
      </c>
      <c r="N186" s="64"/>
      <c r="O186" s="64"/>
      <c r="P186" s="64"/>
      <c r="Q186" s="64"/>
      <c r="R186" s="70"/>
      <c r="T186" s="64"/>
      <c r="X186">
        <v>0.123</v>
      </c>
      <c r="Y186" s="258" t="s">
        <v>1313</v>
      </c>
      <c r="AA186" s="259" t="s">
        <v>1314</v>
      </c>
      <c r="AB186" s="20" t="s">
        <v>1061</v>
      </c>
      <c r="AC186">
        <f t="shared" si="5"/>
        <v>715000000</v>
      </c>
      <c r="AE186" s="18" t="s">
        <v>1315</v>
      </c>
      <c r="AF186" s="1" t="b">
        <v>1</v>
      </c>
    </row>
    <row r="187" spans="2:32" ht="16.5" customHeight="1">
      <c r="B187" s="1" t="str">
        <f t="shared" si="4"/>
        <v>M_TDIF04_VM_BKT_1.3_144</v>
      </c>
      <c r="C187" s="92" t="s">
        <v>700</v>
      </c>
      <c r="D187" s="92" t="str" cm="1">
        <f t="array" ref="D187">INDEX(기계코드!$D$4:$D$214,MATCH(1,(C187=기계코드!$F$4:$F$214)*1,0))</f>
        <v>M_TDIF04</v>
      </c>
      <c r="E187" s="92" t="s">
        <v>1128</v>
      </c>
      <c r="F187" s="7" t="str" cm="1">
        <f t="array" ref="F187">INDEX(공급업체코드!$B$3:$B$1000,MATCH(1,(E187=공급업체코드!$D$3:$D$1000)*1,0))</f>
        <v>VM_BKT</v>
      </c>
      <c r="G187" s="18" t="s">
        <v>1881</v>
      </c>
      <c r="H187" s="64"/>
      <c r="I187" s="64"/>
      <c r="J187" s="64"/>
      <c r="K187" s="300">
        <v>1.1000000000000001</v>
      </c>
      <c r="L187" s="300">
        <v>1.3</v>
      </c>
      <c r="M187" s="64">
        <v>144</v>
      </c>
      <c r="N187" s="64"/>
      <c r="O187" s="64"/>
      <c r="P187" s="64"/>
      <c r="Q187" s="64"/>
      <c r="R187" s="70"/>
      <c r="T187" s="64"/>
      <c r="X187">
        <v>0.123</v>
      </c>
      <c r="Y187" s="258" t="s">
        <v>1313</v>
      </c>
      <c r="AA187" s="259" t="s">
        <v>1314</v>
      </c>
      <c r="AB187" s="20" t="s">
        <v>1061</v>
      </c>
      <c r="AC187">
        <f t="shared" si="5"/>
        <v>720000000</v>
      </c>
      <c r="AE187" s="18" t="s">
        <v>1315</v>
      </c>
      <c r="AF187" s="1" t="b">
        <v>1</v>
      </c>
    </row>
    <row r="188" spans="2:32" ht="16.5" customHeight="1">
      <c r="B188" s="1" t="str">
        <f t="shared" si="4"/>
        <v>M_TDIF04_VM_BKT_1.3_145</v>
      </c>
      <c r="C188" s="92" t="s">
        <v>700</v>
      </c>
      <c r="D188" s="92" t="str" cm="1">
        <f t="array" ref="D188">INDEX(기계코드!$D$4:$D$214,MATCH(1,(C188=기계코드!$F$4:$F$214)*1,0))</f>
        <v>M_TDIF04</v>
      </c>
      <c r="E188" s="92" t="s">
        <v>1128</v>
      </c>
      <c r="F188" s="7" t="str" cm="1">
        <f t="array" ref="F188">INDEX(공급업체코드!$B$3:$B$1000,MATCH(1,(E188=공급업체코드!$D$3:$D$1000)*1,0))</f>
        <v>VM_BKT</v>
      </c>
      <c r="G188" s="18" t="s">
        <v>1881</v>
      </c>
      <c r="H188" s="64"/>
      <c r="I188" s="64"/>
      <c r="J188" s="64"/>
      <c r="K188" s="300">
        <v>1.1000000000000001</v>
      </c>
      <c r="L188" s="300">
        <v>1.3</v>
      </c>
      <c r="M188" s="64">
        <v>145</v>
      </c>
      <c r="N188" s="64"/>
      <c r="O188" s="64"/>
      <c r="P188" s="64"/>
      <c r="Q188" s="64"/>
      <c r="R188" s="70"/>
      <c r="T188" s="64"/>
      <c r="X188">
        <v>0.123</v>
      </c>
      <c r="Y188" s="258" t="s">
        <v>1313</v>
      </c>
      <c r="AA188" s="259" t="s">
        <v>1314</v>
      </c>
      <c r="AB188" s="20" t="s">
        <v>1061</v>
      </c>
      <c r="AC188">
        <f t="shared" si="5"/>
        <v>725000000</v>
      </c>
      <c r="AE188" s="18" t="s">
        <v>1315</v>
      </c>
      <c r="AF188" s="1" t="b">
        <v>1</v>
      </c>
    </row>
    <row r="189" spans="2:32" ht="16.5" customHeight="1">
      <c r="B189" s="1" t="str">
        <f t="shared" si="4"/>
        <v>M_TDIF04_VM_BKT_1.3_146</v>
      </c>
      <c r="C189" s="92" t="s">
        <v>700</v>
      </c>
      <c r="D189" s="92" t="str" cm="1">
        <f t="array" ref="D189">INDEX(기계코드!$D$4:$D$214,MATCH(1,(C189=기계코드!$F$4:$F$214)*1,0))</f>
        <v>M_TDIF04</v>
      </c>
      <c r="E189" s="92" t="s">
        <v>1128</v>
      </c>
      <c r="F189" s="7" t="str" cm="1">
        <f t="array" ref="F189">INDEX(공급업체코드!$B$3:$B$1000,MATCH(1,(E189=공급업체코드!$D$3:$D$1000)*1,0))</f>
        <v>VM_BKT</v>
      </c>
      <c r="G189" s="18" t="s">
        <v>1881</v>
      </c>
      <c r="H189" s="64"/>
      <c r="I189" s="64"/>
      <c r="J189" s="64"/>
      <c r="K189" s="300">
        <v>1.1000000000000001</v>
      </c>
      <c r="L189" s="300">
        <v>1.3</v>
      </c>
      <c r="M189" s="64">
        <v>146</v>
      </c>
      <c r="N189" s="64"/>
      <c r="O189" s="64"/>
      <c r="P189" s="64"/>
      <c r="Q189" s="64"/>
      <c r="R189" s="70"/>
      <c r="T189" s="64"/>
      <c r="X189">
        <v>0.123</v>
      </c>
      <c r="Y189" s="258" t="s">
        <v>1313</v>
      </c>
      <c r="AA189" s="259" t="s">
        <v>1314</v>
      </c>
      <c r="AB189" s="20" t="s">
        <v>1061</v>
      </c>
      <c r="AC189">
        <f t="shared" si="5"/>
        <v>730000000</v>
      </c>
      <c r="AE189" s="18" t="s">
        <v>1315</v>
      </c>
      <c r="AF189" s="1" t="b">
        <v>1</v>
      </c>
    </row>
    <row r="190" spans="2:32" ht="16.5" customHeight="1">
      <c r="B190" s="1" t="str">
        <f t="shared" si="4"/>
        <v>M_TDIF04_VM_BKT_1.3_147</v>
      </c>
      <c r="C190" s="92" t="s">
        <v>700</v>
      </c>
      <c r="D190" s="92" t="str" cm="1">
        <f t="array" ref="D190">INDEX(기계코드!$D$4:$D$214,MATCH(1,(C190=기계코드!$F$4:$F$214)*1,0))</f>
        <v>M_TDIF04</v>
      </c>
      <c r="E190" s="92" t="s">
        <v>1128</v>
      </c>
      <c r="F190" s="7" t="str" cm="1">
        <f t="array" ref="F190">INDEX(공급업체코드!$B$3:$B$1000,MATCH(1,(E190=공급업체코드!$D$3:$D$1000)*1,0))</f>
        <v>VM_BKT</v>
      </c>
      <c r="G190" s="18" t="s">
        <v>1881</v>
      </c>
      <c r="H190" s="64"/>
      <c r="I190" s="64"/>
      <c r="J190" s="64"/>
      <c r="K190" s="300">
        <v>1.1000000000000001</v>
      </c>
      <c r="L190" s="300">
        <v>1.3</v>
      </c>
      <c r="M190" s="64">
        <v>147</v>
      </c>
      <c r="N190" s="64"/>
      <c r="O190" s="64"/>
      <c r="P190" s="64"/>
      <c r="Q190" s="64"/>
      <c r="R190" s="70"/>
      <c r="T190" s="64"/>
      <c r="X190">
        <v>0.123</v>
      </c>
      <c r="Y190" s="258" t="s">
        <v>1313</v>
      </c>
      <c r="AA190" s="259" t="s">
        <v>1314</v>
      </c>
      <c r="AB190" s="20" t="s">
        <v>1061</v>
      </c>
      <c r="AC190">
        <f t="shared" si="5"/>
        <v>735000000</v>
      </c>
      <c r="AE190" s="18" t="s">
        <v>1315</v>
      </c>
      <c r="AF190" s="1" t="b">
        <v>1</v>
      </c>
    </row>
    <row r="191" spans="2:32" ht="16.5" customHeight="1">
      <c r="B191" s="1" t="str">
        <f t="shared" si="4"/>
        <v>M_TDIF04_VM_BKT_1.3_148</v>
      </c>
      <c r="C191" s="92" t="s">
        <v>700</v>
      </c>
      <c r="D191" s="92" t="str" cm="1">
        <f t="array" ref="D191">INDEX(기계코드!$D$4:$D$214,MATCH(1,(C191=기계코드!$F$4:$F$214)*1,0))</f>
        <v>M_TDIF04</v>
      </c>
      <c r="E191" s="92" t="s">
        <v>1128</v>
      </c>
      <c r="F191" s="7" t="str" cm="1">
        <f t="array" ref="F191">INDEX(공급업체코드!$B$3:$B$1000,MATCH(1,(E191=공급업체코드!$D$3:$D$1000)*1,0))</f>
        <v>VM_BKT</v>
      </c>
      <c r="G191" s="18" t="s">
        <v>1881</v>
      </c>
      <c r="H191" s="64"/>
      <c r="I191" s="64"/>
      <c r="J191" s="64"/>
      <c r="K191" s="300">
        <v>1.1000000000000001</v>
      </c>
      <c r="L191" s="300">
        <v>1.3</v>
      </c>
      <c r="M191" s="64">
        <v>148</v>
      </c>
      <c r="N191" s="64"/>
      <c r="O191" s="64"/>
      <c r="P191" s="64"/>
      <c r="Q191" s="64"/>
      <c r="R191" s="70"/>
      <c r="T191" s="64"/>
      <c r="X191">
        <v>0.123</v>
      </c>
      <c r="Y191" s="258" t="s">
        <v>1313</v>
      </c>
      <c r="AA191" s="259" t="s">
        <v>1314</v>
      </c>
      <c r="AB191" s="20" t="s">
        <v>1061</v>
      </c>
      <c r="AC191">
        <f t="shared" si="5"/>
        <v>740000000</v>
      </c>
      <c r="AE191" s="18" t="s">
        <v>1315</v>
      </c>
      <c r="AF191" s="1" t="b">
        <v>1</v>
      </c>
    </row>
    <row r="192" spans="2:32" ht="16.5" customHeight="1">
      <c r="B192" s="1" t="str">
        <f t="shared" si="4"/>
        <v>M_TDIF04_VM_BKT_1.3_149</v>
      </c>
      <c r="C192" s="92" t="s">
        <v>700</v>
      </c>
      <c r="D192" s="92" t="str" cm="1">
        <f t="array" ref="D192">INDEX(기계코드!$D$4:$D$214,MATCH(1,(C192=기계코드!$F$4:$F$214)*1,0))</f>
        <v>M_TDIF04</v>
      </c>
      <c r="E192" s="92" t="s">
        <v>1128</v>
      </c>
      <c r="F192" s="7" t="str" cm="1">
        <f t="array" ref="F192">INDEX(공급업체코드!$B$3:$B$1000,MATCH(1,(E192=공급업체코드!$D$3:$D$1000)*1,0))</f>
        <v>VM_BKT</v>
      </c>
      <c r="G192" s="18" t="s">
        <v>1881</v>
      </c>
      <c r="H192" s="64"/>
      <c r="I192" s="64"/>
      <c r="J192" s="64"/>
      <c r="K192" s="300">
        <v>1.1000000000000001</v>
      </c>
      <c r="L192" s="300">
        <v>1.3</v>
      </c>
      <c r="M192" s="64">
        <v>149</v>
      </c>
      <c r="N192" s="64"/>
      <c r="O192" s="64"/>
      <c r="P192" s="64"/>
      <c r="Q192" s="64"/>
      <c r="R192" s="70"/>
      <c r="T192" s="64"/>
      <c r="X192">
        <v>0.123</v>
      </c>
      <c r="Y192" s="258" t="s">
        <v>1313</v>
      </c>
      <c r="AA192" s="259" t="s">
        <v>1314</v>
      </c>
      <c r="AB192" s="20" t="s">
        <v>1061</v>
      </c>
      <c r="AC192">
        <f t="shared" si="5"/>
        <v>745000000</v>
      </c>
      <c r="AE192" s="18" t="s">
        <v>1315</v>
      </c>
      <c r="AF192" s="1" t="b">
        <v>1</v>
      </c>
    </row>
    <row r="193" spans="2:32" ht="16.5" customHeight="1">
      <c r="B193" s="1" t="str">
        <f t="shared" si="4"/>
        <v>M_TDIF04_VM_BKT_1.3_150</v>
      </c>
      <c r="C193" s="92" t="s">
        <v>700</v>
      </c>
      <c r="D193" s="92" t="str" cm="1">
        <f t="array" ref="D193">INDEX(기계코드!$D$4:$D$214,MATCH(1,(C193=기계코드!$F$4:$F$214)*1,0))</f>
        <v>M_TDIF04</v>
      </c>
      <c r="E193" s="92" t="s">
        <v>1128</v>
      </c>
      <c r="F193" s="7" t="str" cm="1">
        <f t="array" ref="F193">INDEX(공급업체코드!$B$3:$B$1000,MATCH(1,(E193=공급업체코드!$D$3:$D$1000)*1,0))</f>
        <v>VM_BKT</v>
      </c>
      <c r="G193" s="18" t="s">
        <v>1881</v>
      </c>
      <c r="H193" s="64"/>
      <c r="I193" s="64"/>
      <c r="J193" s="64"/>
      <c r="K193" s="300">
        <v>1.1000000000000001</v>
      </c>
      <c r="L193" s="300">
        <v>1.3</v>
      </c>
      <c r="M193" s="64">
        <v>150</v>
      </c>
      <c r="N193" s="64"/>
      <c r="O193" s="64"/>
      <c r="P193" s="64"/>
      <c r="Q193" s="64"/>
      <c r="R193" s="70"/>
      <c r="T193" s="64"/>
      <c r="X193">
        <v>0.123</v>
      </c>
      <c r="Y193" s="258" t="s">
        <v>1313</v>
      </c>
      <c r="AA193" s="259" t="s">
        <v>1314</v>
      </c>
      <c r="AB193" s="20" t="s">
        <v>1061</v>
      </c>
      <c r="AC193">
        <f t="shared" si="5"/>
        <v>750000000</v>
      </c>
      <c r="AE193" s="18" t="s">
        <v>1315</v>
      </c>
      <c r="AF193" s="1" t="b">
        <v>1</v>
      </c>
    </row>
    <row r="194" spans="2:32" ht="16.5" customHeight="1">
      <c r="B194" s="1" t="str">
        <f t="shared" si="4"/>
        <v>M_TDIF04_VM_BKT_1.3_151</v>
      </c>
      <c r="C194" s="92" t="s">
        <v>700</v>
      </c>
      <c r="D194" s="92" t="str" cm="1">
        <f t="array" ref="D194">INDEX(기계코드!$D$4:$D$214,MATCH(1,(C194=기계코드!$F$4:$F$214)*1,0))</f>
        <v>M_TDIF04</v>
      </c>
      <c r="E194" s="92" t="s">
        <v>1128</v>
      </c>
      <c r="F194" s="7" t="str" cm="1">
        <f t="array" ref="F194">INDEX(공급업체코드!$B$3:$B$1000,MATCH(1,(E194=공급업체코드!$D$3:$D$1000)*1,0))</f>
        <v>VM_BKT</v>
      </c>
      <c r="G194" s="18" t="s">
        <v>1881</v>
      </c>
      <c r="H194" s="64"/>
      <c r="I194" s="64"/>
      <c r="J194" s="64"/>
      <c r="K194" s="300">
        <v>1.1000000000000001</v>
      </c>
      <c r="L194" s="300">
        <v>1.3</v>
      </c>
      <c r="M194" s="64">
        <v>151</v>
      </c>
      <c r="N194" s="64"/>
      <c r="O194" s="64"/>
      <c r="P194" s="64"/>
      <c r="Q194" s="64"/>
      <c r="R194" s="70"/>
      <c r="T194" s="64"/>
      <c r="X194">
        <v>0.123</v>
      </c>
      <c r="Y194" s="258" t="s">
        <v>1313</v>
      </c>
      <c r="AA194" s="259" t="s">
        <v>1314</v>
      </c>
      <c r="AB194" s="20" t="s">
        <v>1061</v>
      </c>
      <c r="AC194">
        <f t="shared" si="5"/>
        <v>755000000</v>
      </c>
      <c r="AE194" s="18" t="s">
        <v>1315</v>
      </c>
      <c r="AF194" s="1" t="b">
        <v>1</v>
      </c>
    </row>
    <row r="195" spans="2:32" ht="16.5" customHeight="1">
      <c r="B195" s="1" t="str">
        <f t="shared" si="4"/>
        <v>M_TDIF04_VM_BKT_1.3_152</v>
      </c>
      <c r="C195" s="92" t="s">
        <v>700</v>
      </c>
      <c r="D195" s="92" t="str" cm="1">
        <f t="array" ref="D195">INDEX(기계코드!$D$4:$D$214,MATCH(1,(C195=기계코드!$F$4:$F$214)*1,0))</f>
        <v>M_TDIF04</v>
      </c>
      <c r="E195" s="92" t="s">
        <v>1128</v>
      </c>
      <c r="F195" s="7" t="str" cm="1">
        <f t="array" ref="F195">INDEX(공급업체코드!$B$3:$B$1000,MATCH(1,(E195=공급업체코드!$D$3:$D$1000)*1,0))</f>
        <v>VM_BKT</v>
      </c>
      <c r="G195" s="18" t="s">
        <v>1881</v>
      </c>
      <c r="H195" s="64"/>
      <c r="I195" s="64"/>
      <c r="J195" s="64"/>
      <c r="K195" s="300">
        <v>1.1000000000000001</v>
      </c>
      <c r="L195" s="300">
        <v>1.3</v>
      </c>
      <c r="M195" s="64">
        <v>152</v>
      </c>
      <c r="N195" s="64"/>
      <c r="O195" s="64"/>
      <c r="P195" s="64"/>
      <c r="Q195" s="64"/>
      <c r="R195" s="70"/>
      <c r="T195" s="64"/>
      <c r="X195">
        <v>0.123</v>
      </c>
      <c r="Y195" s="258" t="s">
        <v>1313</v>
      </c>
      <c r="AA195" s="259" t="s">
        <v>1314</v>
      </c>
      <c r="AB195" s="20" t="s">
        <v>1061</v>
      </c>
      <c r="AC195">
        <f t="shared" si="5"/>
        <v>760000000</v>
      </c>
      <c r="AE195" s="18" t="s">
        <v>1315</v>
      </c>
      <c r="AF195" s="1" t="b">
        <v>1</v>
      </c>
    </row>
    <row r="196" spans="2:32" ht="16.5" customHeight="1">
      <c r="B196" s="1" t="str">
        <f t="shared" si="4"/>
        <v>M_TDIF04_VM_BKT_1.3_153</v>
      </c>
      <c r="C196" s="92" t="s">
        <v>700</v>
      </c>
      <c r="D196" s="92" t="str" cm="1">
        <f t="array" ref="D196">INDEX(기계코드!$D$4:$D$214,MATCH(1,(C196=기계코드!$F$4:$F$214)*1,0))</f>
        <v>M_TDIF04</v>
      </c>
      <c r="E196" s="92" t="s">
        <v>1128</v>
      </c>
      <c r="F196" s="7" t="str" cm="1">
        <f t="array" ref="F196">INDEX(공급업체코드!$B$3:$B$1000,MATCH(1,(E196=공급업체코드!$D$3:$D$1000)*1,0))</f>
        <v>VM_BKT</v>
      </c>
      <c r="G196" s="18" t="s">
        <v>1881</v>
      </c>
      <c r="H196" s="64"/>
      <c r="I196" s="64"/>
      <c r="J196" s="64"/>
      <c r="K196" s="300">
        <v>1.1000000000000001</v>
      </c>
      <c r="L196" s="300">
        <v>1.3</v>
      </c>
      <c r="M196" s="64">
        <v>153</v>
      </c>
      <c r="N196" s="64"/>
      <c r="O196" s="64"/>
      <c r="P196" s="64"/>
      <c r="Q196" s="64"/>
      <c r="R196" s="70"/>
      <c r="T196" s="64"/>
      <c r="X196">
        <v>0.123</v>
      </c>
      <c r="Y196" s="258" t="s">
        <v>1313</v>
      </c>
      <c r="AA196" s="259" t="s">
        <v>1314</v>
      </c>
      <c r="AB196" s="20" t="s">
        <v>1061</v>
      </c>
      <c r="AC196">
        <f t="shared" si="5"/>
        <v>765000000</v>
      </c>
      <c r="AE196" s="18" t="s">
        <v>1315</v>
      </c>
      <c r="AF196" s="1" t="b">
        <v>1</v>
      </c>
    </row>
    <row r="197" spans="2:32" ht="16.5" customHeight="1">
      <c r="B197" s="1" t="str">
        <f t="shared" si="4"/>
        <v>M_TDIF04_VM_BKT_1.3_154</v>
      </c>
      <c r="C197" s="92" t="s">
        <v>700</v>
      </c>
      <c r="D197" s="92" t="str" cm="1">
        <f t="array" ref="D197">INDEX(기계코드!$D$4:$D$214,MATCH(1,(C197=기계코드!$F$4:$F$214)*1,0))</f>
        <v>M_TDIF04</v>
      </c>
      <c r="E197" s="92" t="s">
        <v>1128</v>
      </c>
      <c r="F197" s="7" t="str" cm="1">
        <f t="array" ref="F197">INDEX(공급업체코드!$B$3:$B$1000,MATCH(1,(E197=공급업체코드!$D$3:$D$1000)*1,0))</f>
        <v>VM_BKT</v>
      </c>
      <c r="G197" s="18" t="s">
        <v>1881</v>
      </c>
      <c r="H197" s="64"/>
      <c r="I197" s="64"/>
      <c r="J197" s="64"/>
      <c r="K197" s="300">
        <v>1.1000000000000001</v>
      </c>
      <c r="L197" s="300">
        <v>1.3</v>
      </c>
      <c r="M197" s="64">
        <v>154</v>
      </c>
      <c r="N197" s="64"/>
      <c r="O197" s="64"/>
      <c r="P197" s="64"/>
      <c r="Q197" s="64"/>
      <c r="R197" s="70"/>
      <c r="T197" s="64"/>
      <c r="X197">
        <v>0.123</v>
      </c>
      <c r="Y197" s="258" t="s">
        <v>1313</v>
      </c>
      <c r="AA197" s="259" t="s">
        <v>1314</v>
      </c>
      <c r="AB197" s="20" t="s">
        <v>1061</v>
      </c>
      <c r="AC197">
        <f t="shared" si="5"/>
        <v>770000000</v>
      </c>
      <c r="AE197" s="18" t="s">
        <v>1315</v>
      </c>
      <c r="AF197" s="1" t="b">
        <v>1</v>
      </c>
    </row>
    <row r="198" spans="2:32" ht="16.5" customHeight="1">
      <c r="B198" s="1" t="str">
        <f t="shared" si="4"/>
        <v>M_TDIF04_VM_BKT_1.3_155</v>
      </c>
      <c r="C198" s="92" t="s">
        <v>700</v>
      </c>
      <c r="D198" s="92" t="str" cm="1">
        <f t="array" ref="D198">INDEX(기계코드!$D$4:$D$214,MATCH(1,(C198=기계코드!$F$4:$F$214)*1,0))</f>
        <v>M_TDIF04</v>
      </c>
      <c r="E198" s="92" t="s">
        <v>1128</v>
      </c>
      <c r="F198" s="7" t="str" cm="1">
        <f t="array" ref="F198">INDEX(공급업체코드!$B$3:$B$1000,MATCH(1,(E198=공급업체코드!$D$3:$D$1000)*1,0))</f>
        <v>VM_BKT</v>
      </c>
      <c r="G198" s="18" t="s">
        <v>1881</v>
      </c>
      <c r="H198" s="64"/>
      <c r="I198" s="64"/>
      <c r="J198" s="64"/>
      <c r="K198" s="300">
        <v>1.1000000000000001</v>
      </c>
      <c r="L198" s="300">
        <v>1.3</v>
      </c>
      <c r="M198" s="64">
        <v>155</v>
      </c>
      <c r="N198" s="64"/>
      <c r="O198" s="64"/>
      <c r="P198" s="64"/>
      <c r="Q198" s="64"/>
      <c r="R198" s="70"/>
      <c r="T198" s="64"/>
      <c r="X198">
        <v>0.123</v>
      </c>
      <c r="Y198" s="258" t="s">
        <v>1313</v>
      </c>
      <c r="AA198" s="259" t="s">
        <v>1314</v>
      </c>
      <c r="AB198" s="20" t="s">
        <v>1061</v>
      </c>
      <c r="AC198">
        <f t="shared" si="5"/>
        <v>775000000</v>
      </c>
      <c r="AE198" s="18" t="s">
        <v>1315</v>
      </c>
      <c r="AF198" s="1" t="b">
        <v>1</v>
      </c>
    </row>
    <row r="199" spans="2:32" ht="16.5" customHeight="1">
      <c r="B199" s="1" t="str">
        <f t="shared" si="4"/>
        <v>M_TDIF04_VM_BKT_1.3_156</v>
      </c>
      <c r="C199" s="92" t="s">
        <v>700</v>
      </c>
      <c r="D199" s="92" t="str" cm="1">
        <f t="array" ref="D199">INDEX(기계코드!$D$4:$D$214,MATCH(1,(C199=기계코드!$F$4:$F$214)*1,0))</f>
        <v>M_TDIF04</v>
      </c>
      <c r="E199" s="92" t="s">
        <v>1128</v>
      </c>
      <c r="F199" s="7" t="str" cm="1">
        <f t="array" ref="F199">INDEX(공급업체코드!$B$3:$B$1000,MATCH(1,(E199=공급업체코드!$D$3:$D$1000)*1,0))</f>
        <v>VM_BKT</v>
      </c>
      <c r="G199" s="18" t="s">
        <v>1881</v>
      </c>
      <c r="H199" s="64"/>
      <c r="I199" s="64"/>
      <c r="J199" s="64"/>
      <c r="K199" s="300">
        <v>1.1000000000000001</v>
      </c>
      <c r="L199" s="300">
        <v>1.3</v>
      </c>
      <c r="M199" s="64">
        <v>156</v>
      </c>
      <c r="N199" s="64"/>
      <c r="O199" s="64"/>
      <c r="P199" s="64"/>
      <c r="Q199" s="64"/>
      <c r="R199" s="70"/>
      <c r="T199" s="64"/>
      <c r="X199">
        <v>0.123</v>
      </c>
      <c r="Y199" s="258" t="s">
        <v>1313</v>
      </c>
      <c r="AA199" s="259" t="s">
        <v>1314</v>
      </c>
      <c r="AB199" s="20" t="s">
        <v>1061</v>
      </c>
      <c r="AC199">
        <f t="shared" si="5"/>
        <v>780000000</v>
      </c>
      <c r="AE199" s="18" t="s">
        <v>1315</v>
      </c>
      <c r="AF199" s="1" t="b">
        <v>1</v>
      </c>
    </row>
    <row r="200" spans="2:32" ht="16.5" customHeight="1">
      <c r="B200" s="1" t="str">
        <f t="shared" si="4"/>
        <v>M_TDIF04_VM_BKT_1.3_157</v>
      </c>
      <c r="C200" s="92" t="s">
        <v>700</v>
      </c>
      <c r="D200" s="92" t="str" cm="1">
        <f t="array" ref="D200">INDEX(기계코드!$D$4:$D$214,MATCH(1,(C200=기계코드!$F$4:$F$214)*1,0))</f>
        <v>M_TDIF04</v>
      </c>
      <c r="E200" s="92" t="s">
        <v>1128</v>
      </c>
      <c r="F200" s="7" t="str" cm="1">
        <f t="array" ref="F200">INDEX(공급업체코드!$B$3:$B$1000,MATCH(1,(E200=공급업체코드!$D$3:$D$1000)*1,0))</f>
        <v>VM_BKT</v>
      </c>
      <c r="G200" s="18" t="s">
        <v>1881</v>
      </c>
      <c r="H200" s="64"/>
      <c r="I200" s="64"/>
      <c r="J200" s="64"/>
      <c r="K200" s="300">
        <v>1.1000000000000001</v>
      </c>
      <c r="L200" s="300">
        <v>1.3</v>
      </c>
      <c r="M200" s="64">
        <v>157</v>
      </c>
      <c r="N200" s="64"/>
      <c r="O200" s="64"/>
      <c r="P200" s="64"/>
      <c r="Q200" s="64"/>
      <c r="R200" s="70"/>
      <c r="T200" s="64"/>
      <c r="X200">
        <v>0.123</v>
      </c>
      <c r="Y200" s="258" t="s">
        <v>1313</v>
      </c>
      <c r="AA200" s="259" t="s">
        <v>1314</v>
      </c>
      <c r="AB200" s="20" t="s">
        <v>1061</v>
      </c>
      <c r="AC200">
        <f t="shared" si="5"/>
        <v>785000000</v>
      </c>
      <c r="AE200" s="18" t="s">
        <v>1315</v>
      </c>
      <c r="AF200" s="1" t="b">
        <v>1</v>
      </c>
    </row>
    <row r="201" spans="2:32" ht="16.5" customHeight="1">
      <c r="B201" s="1" t="str">
        <f t="shared" si="4"/>
        <v>M_TDIF04_VM_BKT_1.3_158</v>
      </c>
      <c r="C201" s="92" t="s">
        <v>700</v>
      </c>
      <c r="D201" s="92" t="str" cm="1">
        <f t="array" ref="D201">INDEX(기계코드!$D$4:$D$214,MATCH(1,(C201=기계코드!$F$4:$F$214)*1,0))</f>
        <v>M_TDIF04</v>
      </c>
      <c r="E201" s="92" t="s">
        <v>1128</v>
      </c>
      <c r="F201" s="7" t="str" cm="1">
        <f t="array" ref="F201">INDEX(공급업체코드!$B$3:$B$1000,MATCH(1,(E201=공급업체코드!$D$3:$D$1000)*1,0))</f>
        <v>VM_BKT</v>
      </c>
      <c r="G201" s="18" t="s">
        <v>1881</v>
      </c>
      <c r="H201" s="64"/>
      <c r="I201" s="64"/>
      <c r="J201" s="64"/>
      <c r="K201" s="300">
        <v>1.1000000000000001</v>
      </c>
      <c r="L201" s="300">
        <v>1.3</v>
      </c>
      <c r="M201" s="64">
        <v>158</v>
      </c>
      <c r="N201" s="64"/>
      <c r="O201" s="64"/>
      <c r="P201" s="64"/>
      <c r="Q201" s="64"/>
      <c r="R201" s="70"/>
      <c r="T201" s="64"/>
      <c r="X201">
        <v>0.123</v>
      </c>
      <c r="Y201" s="258" t="s">
        <v>1313</v>
      </c>
      <c r="AA201" s="259" t="s">
        <v>1314</v>
      </c>
      <c r="AB201" s="20" t="s">
        <v>1061</v>
      </c>
      <c r="AC201">
        <f t="shared" si="5"/>
        <v>790000000</v>
      </c>
      <c r="AE201" s="18" t="s">
        <v>1315</v>
      </c>
      <c r="AF201" s="1" t="b">
        <v>1</v>
      </c>
    </row>
    <row r="202" spans="2:32" ht="16.5" customHeight="1">
      <c r="B202" s="1" t="str">
        <f t="shared" si="4"/>
        <v>M_TDIF04_VM_BKT_1.3_159</v>
      </c>
      <c r="C202" s="92" t="s">
        <v>700</v>
      </c>
      <c r="D202" s="92" t="str" cm="1">
        <f t="array" ref="D202">INDEX(기계코드!$D$4:$D$214,MATCH(1,(C202=기계코드!$F$4:$F$214)*1,0))</f>
        <v>M_TDIF04</v>
      </c>
      <c r="E202" s="92" t="s">
        <v>1128</v>
      </c>
      <c r="F202" s="7" t="str" cm="1">
        <f t="array" ref="F202">INDEX(공급업체코드!$B$3:$B$1000,MATCH(1,(E202=공급업체코드!$D$3:$D$1000)*1,0))</f>
        <v>VM_BKT</v>
      </c>
      <c r="G202" s="18" t="s">
        <v>1881</v>
      </c>
      <c r="H202" s="64"/>
      <c r="I202" s="64"/>
      <c r="J202" s="64"/>
      <c r="K202" s="300">
        <v>1.1000000000000001</v>
      </c>
      <c r="L202" s="300">
        <v>1.3</v>
      </c>
      <c r="M202" s="64">
        <v>159</v>
      </c>
      <c r="N202" s="64"/>
      <c r="O202" s="64"/>
      <c r="P202" s="64"/>
      <c r="Q202" s="64"/>
      <c r="R202" s="70"/>
      <c r="T202" s="64"/>
      <c r="X202">
        <v>0.123</v>
      </c>
      <c r="Y202" s="258" t="s">
        <v>1313</v>
      </c>
      <c r="AA202" s="259" t="s">
        <v>1314</v>
      </c>
      <c r="AB202" s="20" t="s">
        <v>1061</v>
      </c>
      <c r="AC202">
        <f t="shared" si="5"/>
        <v>795000000</v>
      </c>
      <c r="AE202" s="18" t="s">
        <v>1315</v>
      </c>
      <c r="AF202" s="1" t="b">
        <v>1</v>
      </c>
    </row>
    <row r="203" spans="2:32" ht="16.5" customHeight="1">
      <c r="B203" s="1" t="str">
        <f t="shared" si="4"/>
        <v>M_TDIF04_VM_BKT_1.3_160</v>
      </c>
      <c r="C203" s="92" t="s">
        <v>700</v>
      </c>
      <c r="D203" s="92" t="str" cm="1">
        <f t="array" ref="D203">INDEX(기계코드!$D$4:$D$214,MATCH(1,(C203=기계코드!$F$4:$F$214)*1,0))</f>
        <v>M_TDIF04</v>
      </c>
      <c r="E203" s="92" t="s">
        <v>1128</v>
      </c>
      <c r="F203" s="7" t="str" cm="1">
        <f t="array" ref="F203">INDEX(공급업체코드!$B$3:$B$1000,MATCH(1,(E203=공급업체코드!$D$3:$D$1000)*1,0))</f>
        <v>VM_BKT</v>
      </c>
      <c r="G203" s="18" t="s">
        <v>1881</v>
      </c>
      <c r="H203" s="64"/>
      <c r="I203" s="64"/>
      <c r="J203" s="64"/>
      <c r="K203" s="300">
        <v>1.1000000000000001</v>
      </c>
      <c r="L203" s="300">
        <v>1.3</v>
      </c>
      <c r="M203" s="64">
        <v>160</v>
      </c>
      <c r="N203" s="64"/>
      <c r="O203" s="64"/>
      <c r="P203" s="64"/>
      <c r="Q203" s="64"/>
      <c r="R203" s="70"/>
      <c r="T203" s="64"/>
      <c r="X203">
        <v>0.123</v>
      </c>
      <c r="Y203" s="258" t="s">
        <v>1313</v>
      </c>
      <c r="AA203" s="259" t="s">
        <v>1314</v>
      </c>
      <c r="AB203" s="20" t="s">
        <v>1061</v>
      </c>
      <c r="AC203">
        <f t="shared" si="5"/>
        <v>800000000</v>
      </c>
      <c r="AE203" s="18" t="s">
        <v>1315</v>
      </c>
      <c r="AF203" s="1" t="b">
        <v>1</v>
      </c>
    </row>
    <row r="204" spans="2:32" ht="16.5" customHeight="1">
      <c r="B204" s="1" t="str">
        <f t="shared" si="4"/>
        <v>M_TDIF04_VM_BKT_1.3_161</v>
      </c>
      <c r="C204" s="92" t="s">
        <v>700</v>
      </c>
      <c r="D204" s="92" t="str" cm="1">
        <f t="array" ref="D204">INDEX(기계코드!$D$4:$D$214,MATCH(1,(C204=기계코드!$F$4:$F$214)*1,0))</f>
        <v>M_TDIF04</v>
      </c>
      <c r="E204" s="92" t="s">
        <v>1128</v>
      </c>
      <c r="F204" s="7" t="str" cm="1">
        <f t="array" ref="F204">INDEX(공급업체코드!$B$3:$B$1000,MATCH(1,(E204=공급업체코드!$D$3:$D$1000)*1,0))</f>
        <v>VM_BKT</v>
      </c>
      <c r="G204" s="18" t="s">
        <v>1881</v>
      </c>
      <c r="H204" s="64"/>
      <c r="I204" s="64"/>
      <c r="J204" s="64"/>
      <c r="K204" s="300">
        <v>1.1000000000000001</v>
      </c>
      <c r="L204" s="300">
        <v>1.3</v>
      </c>
      <c r="M204" s="64">
        <v>161</v>
      </c>
      <c r="N204" s="64"/>
      <c r="O204" s="64"/>
      <c r="P204" s="64"/>
      <c r="Q204" s="64"/>
      <c r="R204" s="70"/>
      <c r="T204" s="64"/>
      <c r="X204">
        <v>0.123</v>
      </c>
      <c r="Y204" s="258" t="s">
        <v>1313</v>
      </c>
      <c r="AA204" s="259" t="s">
        <v>1314</v>
      </c>
      <c r="AB204" s="20" t="s">
        <v>1061</v>
      </c>
      <c r="AC204">
        <f t="shared" si="5"/>
        <v>805000000</v>
      </c>
      <c r="AE204" s="18" t="s">
        <v>1315</v>
      </c>
      <c r="AF204" s="1" t="b">
        <v>1</v>
      </c>
    </row>
    <row r="205" spans="2:32" ht="16.5" customHeight="1">
      <c r="B205" s="1" t="str">
        <f t="shared" si="4"/>
        <v>M_TDIF04_VM_BKT_1.3_162</v>
      </c>
      <c r="C205" s="92" t="s">
        <v>700</v>
      </c>
      <c r="D205" s="92" t="str" cm="1">
        <f t="array" ref="D205">INDEX(기계코드!$D$4:$D$214,MATCH(1,(C205=기계코드!$F$4:$F$214)*1,0))</f>
        <v>M_TDIF04</v>
      </c>
      <c r="E205" s="92" t="s">
        <v>1128</v>
      </c>
      <c r="F205" s="7" t="str" cm="1">
        <f t="array" ref="F205">INDEX(공급업체코드!$B$3:$B$1000,MATCH(1,(E205=공급업체코드!$D$3:$D$1000)*1,0))</f>
        <v>VM_BKT</v>
      </c>
      <c r="G205" s="18" t="s">
        <v>1881</v>
      </c>
      <c r="H205" s="64"/>
      <c r="I205" s="64"/>
      <c r="J205" s="64"/>
      <c r="K205" s="300">
        <v>1.1000000000000001</v>
      </c>
      <c r="L205" s="300">
        <v>1.3</v>
      </c>
      <c r="M205" s="64">
        <v>162</v>
      </c>
      <c r="N205" s="64"/>
      <c r="O205" s="64"/>
      <c r="P205" s="64"/>
      <c r="Q205" s="64"/>
      <c r="R205" s="70"/>
      <c r="T205" s="64"/>
      <c r="X205">
        <v>0.123</v>
      </c>
      <c r="Y205" s="258" t="s">
        <v>1313</v>
      </c>
      <c r="AA205" s="259" t="s">
        <v>1314</v>
      </c>
      <c r="AB205" s="20" t="s">
        <v>1061</v>
      </c>
      <c r="AC205">
        <f t="shared" si="5"/>
        <v>810000000</v>
      </c>
      <c r="AE205" s="18" t="s">
        <v>1315</v>
      </c>
      <c r="AF205" s="1" t="b">
        <v>1</v>
      </c>
    </row>
    <row r="206" spans="2:32" ht="16.5" customHeight="1">
      <c r="B206" s="1" t="str">
        <f t="shared" si="4"/>
        <v>M_TDIF04_VM_BKT_1.3_163</v>
      </c>
      <c r="C206" s="92" t="s">
        <v>700</v>
      </c>
      <c r="D206" s="92" t="str" cm="1">
        <f t="array" ref="D206">INDEX(기계코드!$D$4:$D$214,MATCH(1,(C206=기계코드!$F$4:$F$214)*1,0))</f>
        <v>M_TDIF04</v>
      </c>
      <c r="E206" s="92" t="s">
        <v>1128</v>
      </c>
      <c r="F206" s="7" t="str" cm="1">
        <f t="array" ref="F206">INDEX(공급업체코드!$B$3:$B$1000,MATCH(1,(E206=공급업체코드!$D$3:$D$1000)*1,0))</f>
        <v>VM_BKT</v>
      </c>
      <c r="G206" s="18" t="s">
        <v>1881</v>
      </c>
      <c r="H206" s="64"/>
      <c r="I206" s="64"/>
      <c r="J206" s="64"/>
      <c r="K206" s="300">
        <v>1.1000000000000001</v>
      </c>
      <c r="L206" s="300">
        <v>1.3</v>
      </c>
      <c r="M206" s="64">
        <v>163</v>
      </c>
      <c r="N206" s="64"/>
      <c r="O206" s="64"/>
      <c r="P206" s="64"/>
      <c r="Q206" s="64"/>
      <c r="R206" s="70"/>
      <c r="T206" s="64"/>
      <c r="X206">
        <v>0.123</v>
      </c>
      <c r="Y206" s="258" t="s">
        <v>1313</v>
      </c>
      <c r="AA206" s="259" t="s">
        <v>1314</v>
      </c>
      <c r="AB206" s="20" t="s">
        <v>1061</v>
      </c>
      <c r="AC206">
        <f t="shared" si="5"/>
        <v>815000000</v>
      </c>
      <c r="AE206" s="18" t="s">
        <v>1315</v>
      </c>
      <c r="AF206" s="1" t="b">
        <v>1</v>
      </c>
    </row>
    <row r="207" spans="2:32" ht="16.5" customHeight="1">
      <c r="B207" s="1" t="str">
        <f t="shared" si="4"/>
        <v>M_TDIF04_VM_BKT_1.3_164</v>
      </c>
      <c r="C207" s="92" t="s">
        <v>700</v>
      </c>
      <c r="D207" s="92" t="str" cm="1">
        <f t="array" ref="D207">INDEX(기계코드!$D$4:$D$214,MATCH(1,(C207=기계코드!$F$4:$F$214)*1,0))</f>
        <v>M_TDIF04</v>
      </c>
      <c r="E207" s="92" t="s">
        <v>1128</v>
      </c>
      <c r="F207" s="7" t="str" cm="1">
        <f t="array" ref="F207">INDEX(공급업체코드!$B$3:$B$1000,MATCH(1,(E207=공급업체코드!$D$3:$D$1000)*1,0))</f>
        <v>VM_BKT</v>
      </c>
      <c r="G207" s="18" t="s">
        <v>1881</v>
      </c>
      <c r="H207" s="64"/>
      <c r="I207" s="64"/>
      <c r="J207" s="64"/>
      <c r="K207" s="300">
        <v>1.1000000000000001</v>
      </c>
      <c r="L207" s="300">
        <v>1.3</v>
      </c>
      <c r="M207" s="64">
        <v>164</v>
      </c>
      <c r="N207" s="64"/>
      <c r="O207" s="64"/>
      <c r="P207" s="64"/>
      <c r="Q207" s="64"/>
      <c r="R207" s="70"/>
      <c r="T207" s="64"/>
      <c r="X207">
        <v>0.123</v>
      </c>
      <c r="Y207" s="258" t="s">
        <v>1313</v>
      </c>
      <c r="AA207" s="259" t="s">
        <v>1314</v>
      </c>
      <c r="AB207" s="20" t="s">
        <v>1061</v>
      </c>
      <c r="AC207">
        <f t="shared" si="5"/>
        <v>820000000</v>
      </c>
      <c r="AE207" s="18" t="s">
        <v>1315</v>
      </c>
      <c r="AF207" s="1" t="b">
        <v>1</v>
      </c>
    </row>
    <row r="208" spans="2:32" ht="16.5" customHeight="1">
      <c r="B208" s="1" t="str">
        <f t="shared" si="4"/>
        <v>M_TDIF04_VM_BKT_1.3_165</v>
      </c>
      <c r="C208" s="92" t="s">
        <v>700</v>
      </c>
      <c r="D208" s="92" t="str" cm="1">
        <f t="array" ref="D208">INDEX(기계코드!$D$4:$D$214,MATCH(1,(C208=기계코드!$F$4:$F$214)*1,0))</f>
        <v>M_TDIF04</v>
      </c>
      <c r="E208" s="92" t="s">
        <v>1128</v>
      </c>
      <c r="F208" s="7" t="str" cm="1">
        <f t="array" ref="F208">INDEX(공급업체코드!$B$3:$B$1000,MATCH(1,(E208=공급업체코드!$D$3:$D$1000)*1,0))</f>
        <v>VM_BKT</v>
      </c>
      <c r="G208" s="18" t="s">
        <v>1881</v>
      </c>
      <c r="H208" s="64"/>
      <c r="I208" s="64"/>
      <c r="J208" s="64"/>
      <c r="K208" s="300">
        <v>1.1000000000000001</v>
      </c>
      <c r="L208" s="300">
        <v>1.3</v>
      </c>
      <c r="M208" s="64">
        <v>165</v>
      </c>
      <c r="N208" s="64"/>
      <c r="O208" s="64"/>
      <c r="P208" s="64"/>
      <c r="Q208" s="64"/>
      <c r="R208" s="70"/>
      <c r="T208" s="64"/>
      <c r="X208">
        <v>0.123</v>
      </c>
      <c r="Y208" s="258" t="s">
        <v>1313</v>
      </c>
      <c r="AA208" s="259" t="s">
        <v>1314</v>
      </c>
      <c r="AB208" s="20" t="s">
        <v>1061</v>
      </c>
      <c r="AC208">
        <f t="shared" si="5"/>
        <v>825000000</v>
      </c>
      <c r="AE208" s="18" t="s">
        <v>1315</v>
      </c>
      <c r="AF208" s="1" t="b">
        <v>1</v>
      </c>
    </row>
    <row r="209" spans="2:32" ht="16.5" customHeight="1">
      <c r="B209" s="1" t="str">
        <f t="shared" si="4"/>
        <v>M_TDIF04_VM_BKT_1.3_166</v>
      </c>
      <c r="C209" s="92" t="s">
        <v>700</v>
      </c>
      <c r="D209" s="92" t="str" cm="1">
        <f t="array" ref="D209">INDEX(기계코드!$D$4:$D$214,MATCH(1,(C209=기계코드!$F$4:$F$214)*1,0))</f>
        <v>M_TDIF04</v>
      </c>
      <c r="E209" s="92" t="s">
        <v>1128</v>
      </c>
      <c r="F209" s="7" t="str" cm="1">
        <f t="array" ref="F209">INDEX(공급업체코드!$B$3:$B$1000,MATCH(1,(E209=공급업체코드!$D$3:$D$1000)*1,0))</f>
        <v>VM_BKT</v>
      </c>
      <c r="G209" s="18" t="s">
        <v>1881</v>
      </c>
      <c r="H209" s="64"/>
      <c r="I209" s="64"/>
      <c r="J209" s="64"/>
      <c r="K209" s="300">
        <v>1.1000000000000001</v>
      </c>
      <c r="L209" s="300">
        <v>1.3</v>
      </c>
      <c r="M209" s="64">
        <v>166</v>
      </c>
      <c r="N209" s="64"/>
      <c r="O209" s="64"/>
      <c r="P209" s="64"/>
      <c r="Q209" s="64"/>
      <c r="R209" s="70"/>
      <c r="T209" s="64"/>
      <c r="X209">
        <v>0.123</v>
      </c>
      <c r="Y209" s="258" t="s">
        <v>1313</v>
      </c>
      <c r="AA209" s="259" t="s">
        <v>1314</v>
      </c>
      <c r="AB209" s="20" t="s">
        <v>1061</v>
      </c>
      <c r="AC209">
        <f t="shared" si="5"/>
        <v>830000000</v>
      </c>
      <c r="AE209" s="18" t="s">
        <v>1315</v>
      </c>
      <c r="AF209" s="1" t="b">
        <v>1</v>
      </c>
    </row>
    <row r="210" spans="2:32" ht="16.5" customHeight="1">
      <c r="B210" s="1" t="str">
        <f t="shared" si="4"/>
        <v>M_TDIF04_VM_BKT_1.3_167</v>
      </c>
      <c r="C210" s="92" t="s">
        <v>700</v>
      </c>
      <c r="D210" s="92" t="str" cm="1">
        <f t="array" ref="D210">INDEX(기계코드!$D$4:$D$214,MATCH(1,(C210=기계코드!$F$4:$F$214)*1,0))</f>
        <v>M_TDIF04</v>
      </c>
      <c r="E210" s="92" t="s">
        <v>1128</v>
      </c>
      <c r="F210" s="7" t="str" cm="1">
        <f t="array" ref="F210">INDEX(공급업체코드!$B$3:$B$1000,MATCH(1,(E210=공급업체코드!$D$3:$D$1000)*1,0))</f>
        <v>VM_BKT</v>
      </c>
      <c r="G210" s="18" t="s">
        <v>1881</v>
      </c>
      <c r="H210" s="64"/>
      <c r="I210" s="64"/>
      <c r="J210" s="64"/>
      <c r="K210" s="300">
        <v>1.1000000000000001</v>
      </c>
      <c r="L210" s="300">
        <v>1.3</v>
      </c>
      <c r="M210" s="64">
        <v>167</v>
      </c>
      <c r="N210" s="64"/>
      <c r="O210" s="64"/>
      <c r="P210" s="64"/>
      <c r="Q210" s="64"/>
      <c r="R210" s="70"/>
      <c r="T210" s="64"/>
      <c r="X210">
        <v>0.123</v>
      </c>
      <c r="Y210" s="258" t="s">
        <v>1313</v>
      </c>
      <c r="AA210" s="259" t="s">
        <v>1314</v>
      </c>
      <c r="AB210" s="20" t="s">
        <v>1061</v>
      </c>
      <c r="AC210">
        <f t="shared" si="5"/>
        <v>835000000</v>
      </c>
      <c r="AE210" s="18" t="s">
        <v>1315</v>
      </c>
      <c r="AF210" s="1" t="b">
        <v>1</v>
      </c>
    </row>
    <row r="211" spans="2:32" ht="16.5" customHeight="1">
      <c r="B211" s="1" t="str">
        <f t="shared" si="4"/>
        <v>M_TDIF04_VM_BKT_1.3_168</v>
      </c>
      <c r="C211" s="92" t="s">
        <v>700</v>
      </c>
      <c r="D211" s="92" t="str" cm="1">
        <f t="array" ref="D211">INDEX(기계코드!$D$4:$D$214,MATCH(1,(C211=기계코드!$F$4:$F$214)*1,0))</f>
        <v>M_TDIF04</v>
      </c>
      <c r="E211" s="92" t="s">
        <v>1128</v>
      </c>
      <c r="F211" s="7" t="str" cm="1">
        <f t="array" ref="F211">INDEX(공급업체코드!$B$3:$B$1000,MATCH(1,(E211=공급업체코드!$D$3:$D$1000)*1,0))</f>
        <v>VM_BKT</v>
      </c>
      <c r="G211" s="18" t="s">
        <v>1881</v>
      </c>
      <c r="H211" s="64"/>
      <c r="I211" s="64"/>
      <c r="J211" s="64"/>
      <c r="K211" s="300">
        <v>1.1000000000000001</v>
      </c>
      <c r="L211" s="300">
        <v>1.3</v>
      </c>
      <c r="M211" s="64">
        <v>168</v>
      </c>
      <c r="N211" s="64"/>
      <c r="O211" s="64"/>
      <c r="P211" s="64"/>
      <c r="Q211" s="64"/>
      <c r="R211" s="70"/>
      <c r="T211" s="64"/>
      <c r="X211">
        <v>0.123</v>
      </c>
      <c r="Y211" s="258" t="s">
        <v>1313</v>
      </c>
      <c r="AA211" s="259" t="s">
        <v>1314</v>
      </c>
      <c r="AB211" s="20" t="s">
        <v>1061</v>
      </c>
      <c r="AC211">
        <f t="shared" si="5"/>
        <v>840000000</v>
      </c>
      <c r="AE211" s="18" t="s">
        <v>1315</v>
      </c>
      <c r="AF211" s="1" t="b">
        <v>1</v>
      </c>
    </row>
    <row r="212" spans="2:32" ht="16.5" customHeight="1">
      <c r="B212" s="1" t="str">
        <f t="shared" si="4"/>
        <v>M_TDIF04_VM_BKT_1.3_169</v>
      </c>
      <c r="C212" s="92" t="s">
        <v>700</v>
      </c>
      <c r="D212" s="92" t="str" cm="1">
        <f t="array" ref="D212">INDEX(기계코드!$D$4:$D$214,MATCH(1,(C212=기계코드!$F$4:$F$214)*1,0))</f>
        <v>M_TDIF04</v>
      </c>
      <c r="E212" s="92" t="s">
        <v>1128</v>
      </c>
      <c r="F212" s="7" t="str" cm="1">
        <f t="array" ref="F212">INDEX(공급업체코드!$B$3:$B$1000,MATCH(1,(E212=공급업체코드!$D$3:$D$1000)*1,0))</f>
        <v>VM_BKT</v>
      </c>
      <c r="G212" s="18" t="s">
        <v>1881</v>
      </c>
      <c r="H212" s="64"/>
      <c r="I212" s="64"/>
      <c r="J212" s="64"/>
      <c r="K212" s="300">
        <v>1.1000000000000001</v>
      </c>
      <c r="L212" s="300">
        <v>1.3</v>
      </c>
      <c r="M212" s="64">
        <v>169</v>
      </c>
      <c r="N212" s="64"/>
      <c r="O212" s="64"/>
      <c r="P212" s="64"/>
      <c r="Q212" s="64"/>
      <c r="R212" s="70"/>
      <c r="T212" s="64"/>
      <c r="X212">
        <v>0.123</v>
      </c>
      <c r="Y212" s="258" t="s">
        <v>1313</v>
      </c>
      <c r="AA212" s="259" t="s">
        <v>1314</v>
      </c>
      <c r="AB212" s="20" t="s">
        <v>1061</v>
      </c>
      <c r="AC212">
        <f t="shared" si="5"/>
        <v>845000000</v>
      </c>
      <c r="AE212" s="18" t="s">
        <v>1315</v>
      </c>
      <c r="AF212" s="1" t="b">
        <v>1</v>
      </c>
    </row>
    <row r="213" spans="2:32" ht="16.5" customHeight="1">
      <c r="B213" s="1" t="str">
        <f t="shared" si="4"/>
        <v>M_TDIF04_VM_BKT_1.3_170</v>
      </c>
      <c r="C213" s="92" t="s">
        <v>700</v>
      </c>
      <c r="D213" s="92" t="str" cm="1">
        <f t="array" ref="D213">INDEX(기계코드!$D$4:$D$214,MATCH(1,(C213=기계코드!$F$4:$F$214)*1,0))</f>
        <v>M_TDIF04</v>
      </c>
      <c r="E213" s="92" t="s">
        <v>1128</v>
      </c>
      <c r="F213" s="7" t="str" cm="1">
        <f t="array" ref="F213">INDEX(공급업체코드!$B$3:$B$1000,MATCH(1,(E213=공급업체코드!$D$3:$D$1000)*1,0))</f>
        <v>VM_BKT</v>
      </c>
      <c r="G213" s="18" t="s">
        <v>1881</v>
      </c>
      <c r="H213" s="64"/>
      <c r="I213" s="64"/>
      <c r="J213" s="64"/>
      <c r="K213" s="300">
        <v>1.1000000000000001</v>
      </c>
      <c r="L213" s="300">
        <v>1.3</v>
      </c>
      <c r="M213" s="64">
        <v>170</v>
      </c>
      <c r="N213" s="64"/>
      <c r="O213" s="64"/>
      <c r="P213" s="64"/>
      <c r="Q213" s="64"/>
      <c r="R213" s="70"/>
      <c r="T213" s="64"/>
      <c r="X213">
        <v>0.123</v>
      </c>
      <c r="Y213" s="258" t="s">
        <v>1313</v>
      </c>
      <c r="AA213" s="259" t="s">
        <v>1314</v>
      </c>
      <c r="AB213" s="20" t="s">
        <v>1061</v>
      </c>
      <c r="AC213">
        <f t="shared" si="5"/>
        <v>850000000</v>
      </c>
      <c r="AE213" s="18" t="s">
        <v>1315</v>
      </c>
      <c r="AF213" s="1" t="b">
        <v>1</v>
      </c>
    </row>
    <row r="214" spans="2:32" ht="16.5" customHeight="1">
      <c r="B214" s="1" t="str">
        <f t="shared" si="4"/>
        <v>M_TDIF04_VM_BKT_1.3_171</v>
      </c>
      <c r="C214" s="92" t="s">
        <v>700</v>
      </c>
      <c r="D214" s="92" t="str" cm="1">
        <f t="array" ref="D214">INDEX(기계코드!$D$4:$D$214,MATCH(1,(C214=기계코드!$F$4:$F$214)*1,0))</f>
        <v>M_TDIF04</v>
      </c>
      <c r="E214" s="92" t="s">
        <v>1128</v>
      </c>
      <c r="F214" s="7" t="str" cm="1">
        <f t="array" ref="F214">INDEX(공급업체코드!$B$3:$B$1000,MATCH(1,(E214=공급업체코드!$D$3:$D$1000)*1,0))</f>
        <v>VM_BKT</v>
      </c>
      <c r="G214" s="18" t="s">
        <v>1881</v>
      </c>
      <c r="H214" s="64"/>
      <c r="I214" s="64"/>
      <c r="J214" s="64"/>
      <c r="K214" s="300">
        <v>1.1000000000000001</v>
      </c>
      <c r="L214" s="300">
        <v>1.3</v>
      </c>
      <c r="M214" s="64">
        <v>171</v>
      </c>
      <c r="N214" s="64"/>
      <c r="O214" s="64"/>
      <c r="P214" s="64"/>
      <c r="Q214" s="64"/>
      <c r="R214" s="70"/>
      <c r="T214" s="64"/>
      <c r="X214">
        <v>0.123</v>
      </c>
      <c r="Y214" s="258" t="s">
        <v>1313</v>
      </c>
      <c r="AA214" s="259" t="s">
        <v>1314</v>
      </c>
      <c r="AB214" s="20" t="s">
        <v>1061</v>
      </c>
      <c r="AC214">
        <f t="shared" si="5"/>
        <v>855000000</v>
      </c>
      <c r="AE214" s="18" t="s">
        <v>1315</v>
      </c>
      <c r="AF214" s="1" t="b">
        <v>1</v>
      </c>
    </row>
    <row r="215" spans="2:32" ht="16.5" customHeight="1">
      <c r="B215" s="1" t="str">
        <f t="shared" si="4"/>
        <v>M_TDIF04_VM_BKT_1.3_172</v>
      </c>
      <c r="C215" s="92" t="s">
        <v>700</v>
      </c>
      <c r="D215" s="92" t="str" cm="1">
        <f t="array" ref="D215">INDEX(기계코드!$D$4:$D$214,MATCH(1,(C215=기계코드!$F$4:$F$214)*1,0))</f>
        <v>M_TDIF04</v>
      </c>
      <c r="E215" s="92" t="s">
        <v>1128</v>
      </c>
      <c r="F215" s="7" t="str" cm="1">
        <f t="array" ref="F215">INDEX(공급업체코드!$B$3:$B$1000,MATCH(1,(E215=공급업체코드!$D$3:$D$1000)*1,0))</f>
        <v>VM_BKT</v>
      </c>
      <c r="G215" s="18" t="s">
        <v>1881</v>
      </c>
      <c r="H215" s="64"/>
      <c r="I215" s="64"/>
      <c r="J215" s="64"/>
      <c r="K215" s="300">
        <v>1.1000000000000001</v>
      </c>
      <c r="L215" s="300">
        <v>1.3</v>
      </c>
      <c r="M215" s="64">
        <v>172</v>
      </c>
      <c r="N215" s="64"/>
      <c r="O215" s="64"/>
      <c r="P215" s="64"/>
      <c r="Q215" s="64"/>
      <c r="R215" s="70"/>
      <c r="T215" s="64"/>
      <c r="X215">
        <v>0.123</v>
      </c>
      <c r="Y215" s="258" t="s">
        <v>1313</v>
      </c>
      <c r="AA215" s="259" t="s">
        <v>1314</v>
      </c>
      <c r="AB215" s="20" t="s">
        <v>1061</v>
      </c>
      <c r="AC215">
        <f t="shared" si="5"/>
        <v>860000000</v>
      </c>
      <c r="AE215" s="18" t="s">
        <v>1315</v>
      </c>
      <c r="AF215" s="1" t="b">
        <v>1</v>
      </c>
    </row>
    <row r="216" spans="2:32" ht="16.5" customHeight="1">
      <c r="B216" s="1" t="str">
        <f t="shared" si="4"/>
        <v>M_TDIF04_VM_BKT_1.3_173</v>
      </c>
      <c r="C216" s="92" t="s">
        <v>700</v>
      </c>
      <c r="D216" s="92" t="str" cm="1">
        <f t="array" ref="D216">INDEX(기계코드!$D$4:$D$214,MATCH(1,(C216=기계코드!$F$4:$F$214)*1,0))</f>
        <v>M_TDIF04</v>
      </c>
      <c r="E216" s="92" t="s">
        <v>1128</v>
      </c>
      <c r="F216" s="7" t="str" cm="1">
        <f t="array" ref="F216">INDEX(공급업체코드!$B$3:$B$1000,MATCH(1,(E216=공급업체코드!$D$3:$D$1000)*1,0))</f>
        <v>VM_BKT</v>
      </c>
      <c r="G216" s="18" t="s">
        <v>1881</v>
      </c>
      <c r="H216" s="64"/>
      <c r="I216" s="64"/>
      <c r="J216" s="64"/>
      <c r="K216" s="300">
        <v>1.1000000000000001</v>
      </c>
      <c r="L216" s="300">
        <v>1.3</v>
      </c>
      <c r="M216" s="64">
        <v>173</v>
      </c>
      <c r="N216" s="64"/>
      <c r="O216" s="64"/>
      <c r="P216" s="64"/>
      <c r="Q216" s="64"/>
      <c r="R216" s="70"/>
      <c r="T216" s="64"/>
      <c r="X216">
        <v>0.123</v>
      </c>
      <c r="Y216" s="258" t="s">
        <v>1313</v>
      </c>
      <c r="AA216" s="259" t="s">
        <v>1314</v>
      </c>
      <c r="AB216" s="20" t="s">
        <v>1061</v>
      </c>
      <c r="AC216">
        <f t="shared" si="5"/>
        <v>865000000</v>
      </c>
      <c r="AE216" s="18" t="s">
        <v>1315</v>
      </c>
      <c r="AF216" s="1" t="b">
        <v>1</v>
      </c>
    </row>
    <row r="217" spans="2:32" ht="16.5" customHeight="1">
      <c r="B217" s="1" t="str">
        <f t="shared" si="4"/>
        <v>M_TDIF04_VM_BKT_1.3_174</v>
      </c>
      <c r="C217" s="92" t="s">
        <v>700</v>
      </c>
      <c r="D217" s="92" t="str" cm="1">
        <f t="array" ref="D217">INDEX(기계코드!$D$4:$D$214,MATCH(1,(C217=기계코드!$F$4:$F$214)*1,0))</f>
        <v>M_TDIF04</v>
      </c>
      <c r="E217" s="92" t="s">
        <v>1128</v>
      </c>
      <c r="F217" s="7" t="str" cm="1">
        <f t="array" ref="F217">INDEX(공급업체코드!$B$3:$B$1000,MATCH(1,(E217=공급업체코드!$D$3:$D$1000)*1,0))</f>
        <v>VM_BKT</v>
      </c>
      <c r="G217" s="18" t="s">
        <v>1881</v>
      </c>
      <c r="H217" s="64"/>
      <c r="I217" s="64"/>
      <c r="J217" s="64"/>
      <c r="K217" s="300">
        <v>1.1000000000000001</v>
      </c>
      <c r="L217" s="300">
        <v>1.3</v>
      </c>
      <c r="M217" s="64">
        <v>174</v>
      </c>
      <c r="N217" s="64"/>
      <c r="O217" s="64"/>
      <c r="P217" s="64"/>
      <c r="Q217" s="64"/>
      <c r="R217" s="70"/>
      <c r="T217" s="64"/>
      <c r="X217">
        <v>0.123</v>
      </c>
      <c r="Y217" s="258" t="s">
        <v>1313</v>
      </c>
      <c r="AA217" s="259" t="s">
        <v>1314</v>
      </c>
      <c r="AB217" s="20" t="s">
        <v>1061</v>
      </c>
      <c r="AC217">
        <f t="shared" si="5"/>
        <v>870000000</v>
      </c>
      <c r="AE217" s="18" t="s">
        <v>1315</v>
      </c>
      <c r="AF217" s="1" t="b">
        <v>1</v>
      </c>
    </row>
    <row r="218" spans="2:32" ht="16.5" customHeight="1">
      <c r="B218" s="1" t="str">
        <f t="shared" si="4"/>
        <v>M_TDIF04_VM_BKT_1.3_175</v>
      </c>
      <c r="C218" s="92" t="s">
        <v>700</v>
      </c>
      <c r="D218" s="92" t="str" cm="1">
        <f t="array" ref="D218">INDEX(기계코드!$D$4:$D$214,MATCH(1,(C218=기계코드!$F$4:$F$214)*1,0))</f>
        <v>M_TDIF04</v>
      </c>
      <c r="E218" s="92" t="s">
        <v>1128</v>
      </c>
      <c r="F218" s="7" t="str" cm="1">
        <f t="array" ref="F218">INDEX(공급업체코드!$B$3:$B$1000,MATCH(1,(E218=공급업체코드!$D$3:$D$1000)*1,0))</f>
        <v>VM_BKT</v>
      </c>
      <c r="G218" s="18" t="s">
        <v>1881</v>
      </c>
      <c r="H218" s="64"/>
      <c r="I218" s="64"/>
      <c r="J218" s="64"/>
      <c r="K218" s="300">
        <v>1.1000000000000001</v>
      </c>
      <c r="L218" s="300">
        <v>1.3</v>
      </c>
      <c r="M218" s="64">
        <v>175</v>
      </c>
      <c r="N218" s="64"/>
      <c r="O218" s="64"/>
      <c r="P218" s="64"/>
      <c r="Q218" s="64"/>
      <c r="R218" s="70"/>
      <c r="T218" s="64"/>
      <c r="X218">
        <v>0.123</v>
      </c>
      <c r="Y218" s="258" t="s">
        <v>1313</v>
      </c>
      <c r="AA218" s="259" t="s">
        <v>1314</v>
      </c>
      <c r="AB218" s="20" t="s">
        <v>1061</v>
      </c>
      <c r="AC218">
        <f t="shared" si="5"/>
        <v>875000000</v>
      </c>
      <c r="AE218" s="18" t="s">
        <v>1315</v>
      </c>
      <c r="AF218" s="1" t="b">
        <v>1</v>
      </c>
    </row>
    <row r="219" spans="2:32" ht="16.5" customHeight="1">
      <c r="B219" s="1" t="str">
        <f t="shared" si="4"/>
        <v>M_TDIF04_VM_BKT_1.3_176</v>
      </c>
      <c r="C219" s="92" t="s">
        <v>700</v>
      </c>
      <c r="D219" s="92" t="str" cm="1">
        <f t="array" ref="D219">INDEX(기계코드!$D$4:$D$214,MATCH(1,(C219=기계코드!$F$4:$F$214)*1,0))</f>
        <v>M_TDIF04</v>
      </c>
      <c r="E219" s="92" t="s">
        <v>1128</v>
      </c>
      <c r="F219" s="7" t="str" cm="1">
        <f t="array" ref="F219">INDEX(공급업체코드!$B$3:$B$1000,MATCH(1,(E219=공급업체코드!$D$3:$D$1000)*1,0))</f>
        <v>VM_BKT</v>
      </c>
      <c r="G219" s="18" t="s">
        <v>1881</v>
      </c>
      <c r="H219" s="64"/>
      <c r="I219" s="64"/>
      <c r="J219" s="64"/>
      <c r="K219" s="300">
        <v>1.1000000000000001</v>
      </c>
      <c r="L219" s="300">
        <v>1.3</v>
      </c>
      <c r="M219" s="64">
        <v>176</v>
      </c>
      <c r="N219" s="64"/>
      <c r="O219" s="64"/>
      <c r="P219" s="64"/>
      <c r="Q219" s="64"/>
      <c r="R219" s="70"/>
      <c r="T219" s="64"/>
      <c r="X219">
        <v>0.123</v>
      </c>
      <c r="Y219" s="258" t="s">
        <v>1313</v>
      </c>
      <c r="AA219" s="259" t="s">
        <v>1314</v>
      </c>
      <c r="AB219" s="20" t="s">
        <v>1061</v>
      </c>
      <c r="AC219">
        <f t="shared" si="5"/>
        <v>880000000</v>
      </c>
      <c r="AE219" s="18" t="s">
        <v>1315</v>
      </c>
      <c r="AF219" s="1" t="b">
        <v>1</v>
      </c>
    </row>
    <row r="220" spans="2:32" ht="16.5" customHeight="1">
      <c r="B220" s="1" t="str">
        <f t="shared" si="4"/>
        <v>M_TDIF04_VM_BKT_1.3_177</v>
      </c>
      <c r="C220" s="92" t="s">
        <v>700</v>
      </c>
      <c r="D220" s="92" t="str" cm="1">
        <f t="array" ref="D220">INDEX(기계코드!$D$4:$D$214,MATCH(1,(C220=기계코드!$F$4:$F$214)*1,0))</f>
        <v>M_TDIF04</v>
      </c>
      <c r="E220" s="92" t="s">
        <v>1128</v>
      </c>
      <c r="F220" s="7" t="str" cm="1">
        <f t="array" ref="F220">INDEX(공급업체코드!$B$3:$B$1000,MATCH(1,(E220=공급업체코드!$D$3:$D$1000)*1,0))</f>
        <v>VM_BKT</v>
      </c>
      <c r="G220" s="18" t="s">
        <v>1881</v>
      </c>
      <c r="H220" s="64"/>
      <c r="I220" s="64"/>
      <c r="J220" s="64"/>
      <c r="K220" s="300">
        <v>1.1000000000000001</v>
      </c>
      <c r="L220" s="300">
        <v>1.3</v>
      </c>
      <c r="M220" s="64">
        <v>177</v>
      </c>
      <c r="N220" s="64"/>
      <c r="O220" s="64"/>
      <c r="P220" s="64"/>
      <c r="Q220" s="64"/>
      <c r="R220" s="70"/>
      <c r="T220" s="64"/>
      <c r="X220">
        <v>0.123</v>
      </c>
      <c r="Y220" s="258" t="s">
        <v>1313</v>
      </c>
      <c r="AA220" s="259" t="s">
        <v>1314</v>
      </c>
      <c r="AB220" s="20" t="s">
        <v>1061</v>
      </c>
      <c r="AC220">
        <f t="shared" si="5"/>
        <v>885000000</v>
      </c>
      <c r="AE220" s="18" t="s">
        <v>1315</v>
      </c>
      <c r="AF220" s="1" t="b">
        <v>1</v>
      </c>
    </row>
    <row r="221" spans="2:32" ht="16.5" customHeight="1">
      <c r="B221" s="1" t="str">
        <f t="shared" si="4"/>
        <v>M_TDIF04_VM_BKT_1.3_178</v>
      </c>
      <c r="C221" s="92" t="s">
        <v>700</v>
      </c>
      <c r="D221" s="92" t="str" cm="1">
        <f t="array" ref="D221">INDEX(기계코드!$D$4:$D$214,MATCH(1,(C221=기계코드!$F$4:$F$214)*1,0))</f>
        <v>M_TDIF04</v>
      </c>
      <c r="E221" s="92" t="s">
        <v>1128</v>
      </c>
      <c r="F221" s="7" t="str" cm="1">
        <f t="array" ref="F221">INDEX(공급업체코드!$B$3:$B$1000,MATCH(1,(E221=공급업체코드!$D$3:$D$1000)*1,0))</f>
        <v>VM_BKT</v>
      </c>
      <c r="G221" s="18" t="s">
        <v>1881</v>
      </c>
      <c r="H221" s="64"/>
      <c r="I221" s="64"/>
      <c r="J221" s="64"/>
      <c r="K221" s="300">
        <v>1.1000000000000001</v>
      </c>
      <c r="L221" s="300">
        <v>1.3</v>
      </c>
      <c r="M221" s="64">
        <v>178</v>
      </c>
      <c r="N221" s="64"/>
      <c r="O221" s="64"/>
      <c r="P221" s="64"/>
      <c r="Q221" s="64"/>
      <c r="R221" s="70"/>
      <c r="T221" s="64"/>
      <c r="X221">
        <v>0.123</v>
      </c>
      <c r="Y221" s="258" t="s">
        <v>1313</v>
      </c>
      <c r="AA221" s="259" t="s">
        <v>1314</v>
      </c>
      <c r="AB221" s="20" t="s">
        <v>1061</v>
      </c>
      <c r="AC221">
        <f t="shared" si="5"/>
        <v>890000000</v>
      </c>
      <c r="AE221" s="18" t="s">
        <v>1315</v>
      </c>
      <c r="AF221" s="1" t="b">
        <v>1</v>
      </c>
    </row>
    <row r="222" spans="2:32" ht="16.5" customHeight="1">
      <c r="B222" s="1" t="str">
        <f t="shared" si="4"/>
        <v>M_TDIF04_VM_BKT_1.3_179</v>
      </c>
      <c r="C222" s="92" t="s">
        <v>700</v>
      </c>
      <c r="D222" s="92" t="str" cm="1">
        <f t="array" ref="D222">INDEX(기계코드!$D$4:$D$214,MATCH(1,(C222=기계코드!$F$4:$F$214)*1,0))</f>
        <v>M_TDIF04</v>
      </c>
      <c r="E222" s="92" t="s">
        <v>1128</v>
      </c>
      <c r="F222" s="7" t="str" cm="1">
        <f t="array" ref="F222">INDEX(공급업체코드!$B$3:$B$1000,MATCH(1,(E222=공급업체코드!$D$3:$D$1000)*1,0))</f>
        <v>VM_BKT</v>
      </c>
      <c r="G222" s="18" t="s">
        <v>1881</v>
      </c>
      <c r="H222" s="64"/>
      <c r="I222" s="64"/>
      <c r="J222" s="64"/>
      <c r="K222" s="300">
        <v>1.1000000000000001</v>
      </c>
      <c r="L222" s="300">
        <v>1.3</v>
      </c>
      <c r="M222" s="64">
        <v>179</v>
      </c>
      <c r="N222" s="64"/>
      <c r="O222" s="64"/>
      <c r="P222" s="64"/>
      <c r="Q222" s="64"/>
      <c r="R222" s="70"/>
      <c r="T222" s="64"/>
      <c r="X222">
        <v>0.123</v>
      </c>
      <c r="Y222" s="258" t="s">
        <v>1313</v>
      </c>
      <c r="AA222" s="259" t="s">
        <v>1314</v>
      </c>
      <c r="AB222" s="20" t="s">
        <v>1061</v>
      </c>
      <c r="AC222">
        <f t="shared" si="5"/>
        <v>895000000</v>
      </c>
      <c r="AE222" s="18" t="s">
        <v>1315</v>
      </c>
      <c r="AF222" s="1" t="b">
        <v>1</v>
      </c>
    </row>
    <row r="223" spans="2:32" ht="16.5" customHeight="1">
      <c r="B223" s="1" t="str">
        <f t="shared" si="4"/>
        <v>M_TDIF04_VM_BKT_1.3_180</v>
      </c>
      <c r="C223" s="92" t="s">
        <v>700</v>
      </c>
      <c r="D223" s="92" t="str" cm="1">
        <f t="array" ref="D223">INDEX(기계코드!$D$4:$D$214,MATCH(1,(C223=기계코드!$F$4:$F$214)*1,0))</f>
        <v>M_TDIF04</v>
      </c>
      <c r="E223" s="92" t="s">
        <v>1128</v>
      </c>
      <c r="F223" s="7" t="str" cm="1">
        <f t="array" ref="F223">INDEX(공급업체코드!$B$3:$B$1000,MATCH(1,(E223=공급업체코드!$D$3:$D$1000)*1,0))</f>
        <v>VM_BKT</v>
      </c>
      <c r="G223" s="18" t="s">
        <v>1881</v>
      </c>
      <c r="H223" s="64"/>
      <c r="I223" s="64"/>
      <c r="J223" s="64"/>
      <c r="K223" s="300">
        <v>1.1000000000000001</v>
      </c>
      <c r="L223" s="300">
        <v>1.3</v>
      </c>
      <c r="M223" s="64">
        <v>180</v>
      </c>
      <c r="N223" s="64"/>
      <c r="O223" s="64"/>
      <c r="P223" s="64"/>
      <c r="Q223" s="64"/>
      <c r="R223" s="70"/>
      <c r="T223" s="64"/>
      <c r="X223">
        <v>0.123</v>
      </c>
      <c r="Y223" s="258" t="s">
        <v>1313</v>
      </c>
      <c r="AA223" s="259" t="s">
        <v>1314</v>
      </c>
      <c r="AB223" s="20" t="s">
        <v>1061</v>
      </c>
      <c r="AC223">
        <f t="shared" si="5"/>
        <v>900000000</v>
      </c>
      <c r="AE223" s="18" t="s">
        <v>1315</v>
      </c>
      <c r="AF223" s="1" t="b">
        <v>1</v>
      </c>
    </row>
    <row r="224" spans="2:32" ht="16.5" customHeight="1">
      <c r="B224" s="1" t="str">
        <f t="shared" si="4"/>
        <v>M_TDIF04_VM_BKT_1.3_181</v>
      </c>
      <c r="C224" s="92" t="s">
        <v>700</v>
      </c>
      <c r="D224" s="92" t="str" cm="1">
        <f t="array" ref="D224">INDEX(기계코드!$D$4:$D$214,MATCH(1,(C224=기계코드!$F$4:$F$214)*1,0))</f>
        <v>M_TDIF04</v>
      </c>
      <c r="E224" s="92" t="s">
        <v>1128</v>
      </c>
      <c r="F224" s="7" t="str" cm="1">
        <f t="array" ref="F224">INDEX(공급업체코드!$B$3:$B$1000,MATCH(1,(E224=공급업체코드!$D$3:$D$1000)*1,0))</f>
        <v>VM_BKT</v>
      </c>
      <c r="G224" s="18" t="s">
        <v>1881</v>
      </c>
      <c r="H224" s="64"/>
      <c r="I224" s="64"/>
      <c r="J224" s="64"/>
      <c r="K224" s="300">
        <v>1.1000000000000001</v>
      </c>
      <c r="L224" s="300">
        <v>1.3</v>
      </c>
      <c r="M224" s="64">
        <v>181</v>
      </c>
      <c r="N224" s="64"/>
      <c r="O224" s="64"/>
      <c r="P224" s="64"/>
      <c r="Q224" s="64"/>
      <c r="R224" s="70"/>
      <c r="T224" s="64"/>
      <c r="X224">
        <v>0.123</v>
      </c>
      <c r="Y224" s="258" t="s">
        <v>1313</v>
      </c>
      <c r="AA224" s="259" t="s">
        <v>1314</v>
      </c>
      <c r="AB224" s="20" t="s">
        <v>1061</v>
      </c>
      <c r="AC224">
        <f t="shared" si="5"/>
        <v>905000000</v>
      </c>
      <c r="AE224" s="18" t="s">
        <v>1315</v>
      </c>
      <c r="AF224" s="1" t="b">
        <v>1</v>
      </c>
    </row>
    <row r="225" spans="2:32" ht="16.5" customHeight="1">
      <c r="B225" s="1" t="str">
        <f t="shared" si="4"/>
        <v>M_TDIF04_VM_BKT_1.3_182</v>
      </c>
      <c r="C225" s="92" t="s">
        <v>700</v>
      </c>
      <c r="D225" s="92" t="str" cm="1">
        <f t="array" ref="D225">INDEX(기계코드!$D$4:$D$214,MATCH(1,(C225=기계코드!$F$4:$F$214)*1,0))</f>
        <v>M_TDIF04</v>
      </c>
      <c r="E225" s="92" t="s">
        <v>1128</v>
      </c>
      <c r="F225" s="7" t="str" cm="1">
        <f t="array" ref="F225">INDEX(공급업체코드!$B$3:$B$1000,MATCH(1,(E225=공급업체코드!$D$3:$D$1000)*1,0))</f>
        <v>VM_BKT</v>
      </c>
      <c r="G225" s="18" t="s">
        <v>1881</v>
      </c>
      <c r="H225" s="64"/>
      <c r="I225" s="64"/>
      <c r="J225" s="64"/>
      <c r="K225" s="300">
        <v>1.1000000000000001</v>
      </c>
      <c r="L225" s="300">
        <v>1.3</v>
      </c>
      <c r="M225" s="64">
        <v>182</v>
      </c>
      <c r="N225" s="64"/>
      <c r="O225" s="64"/>
      <c r="P225" s="64"/>
      <c r="Q225" s="64"/>
      <c r="R225" s="70"/>
      <c r="T225" s="64"/>
      <c r="X225">
        <v>0.123</v>
      </c>
      <c r="Y225" s="258" t="s">
        <v>1313</v>
      </c>
      <c r="AA225" s="259" t="s">
        <v>1314</v>
      </c>
      <c r="AB225" s="20" t="s">
        <v>1061</v>
      </c>
      <c r="AC225">
        <f t="shared" si="5"/>
        <v>910000000</v>
      </c>
      <c r="AE225" s="18" t="s">
        <v>1315</v>
      </c>
      <c r="AF225" s="1" t="b">
        <v>1</v>
      </c>
    </row>
    <row r="226" spans="2:32" ht="16.5" customHeight="1">
      <c r="B226" s="1" t="str">
        <f t="shared" si="4"/>
        <v>M_TDIF04_VM_BKT_1.3_183</v>
      </c>
      <c r="C226" s="92" t="s">
        <v>700</v>
      </c>
      <c r="D226" s="92" t="str" cm="1">
        <f t="array" ref="D226">INDEX(기계코드!$D$4:$D$214,MATCH(1,(C226=기계코드!$F$4:$F$214)*1,0))</f>
        <v>M_TDIF04</v>
      </c>
      <c r="E226" s="92" t="s">
        <v>1128</v>
      </c>
      <c r="F226" s="7" t="str" cm="1">
        <f t="array" ref="F226">INDEX(공급업체코드!$B$3:$B$1000,MATCH(1,(E226=공급업체코드!$D$3:$D$1000)*1,0))</f>
        <v>VM_BKT</v>
      </c>
      <c r="G226" s="18" t="s">
        <v>1881</v>
      </c>
      <c r="H226" s="64"/>
      <c r="I226" s="64"/>
      <c r="J226" s="64"/>
      <c r="K226" s="300">
        <v>1.1000000000000001</v>
      </c>
      <c r="L226" s="300">
        <v>1.3</v>
      </c>
      <c r="M226" s="64">
        <v>183</v>
      </c>
      <c r="N226" s="64"/>
      <c r="O226" s="64"/>
      <c r="P226" s="64"/>
      <c r="Q226" s="64"/>
      <c r="R226" s="70"/>
      <c r="T226" s="64"/>
      <c r="X226">
        <v>0.123</v>
      </c>
      <c r="Y226" s="258" t="s">
        <v>1313</v>
      </c>
      <c r="AA226" s="259" t="s">
        <v>1314</v>
      </c>
      <c r="AB226" s="20" t="s">
        <v>1061</v>
      </c>
      <c r="AC226">
        <f t="shared" si="5"/>
        <v>915000000</v>
      </c>
      <c r="AE226" s="18" t="s">
        <v>1315</v>
      </c>
      <c r="AF226" s="1" t="b">
        <v>1</v>
      </c>
    </row>
    <row r="227" spans="2:32" ht="16.5" customHeight="1">
      <c r="B227" s="1" t="str">
        <f t="shared" si="4"/>
        <v>M_TDIF04_VM_BKT_1.3_184</v>
      </c>
      <c r="C227" s="92" t="s">
        <v>700</v>
      </c>
      <c r="D227" s="92" t="str" cm="1">
        <f t="array" ref="D227">INDEX(기계코드!$D$4:$D$214,MATCH(1,(C227=기계코드!$F$4:$F$214)*1,0))</f>
        <v>M_TDIF04</v>
      </c>
      <c r="E227" s="92" t="s">
        <v>1128</v>
      </c>
      <c r="F227" s="7" t="str" cm="1">
        <f t="array" ref="F227">INDEX(공급업체코드!$B$3:$B$1000,MATCH(1,(E227=공급업체코드!$D$3:$D$1000)*1,0))</f>
        <v>VM_BKT</v>
      </c>
      <c r="G227" s="18" t="s">
        <v>1881</v>
      </c>
      <c r="H227" s="64"/>
      <c r="I227" s="64"/>
      <c r="J227" s="64"/>
      <c r="K227" s="300">
        <v>1.1000000000000001</v>
      </c>
      <c r="L227" s="300">
        <v>1.3</v>
      </c>
      <c r="M227" s="64">
        <v>184</v>
      </c>
      <c r="N227" s="64"/>
      <c r="O227" s="64"/>
      <c r="P227" s="64"/>
      <c r="Q227" s="64"/>
      <c r="R227" s="70"/>
      <c r="T227" s="64"/>
      <c r="X227">
        <v>0.123</v>
      </c>
      <c r="Y227" s="258" t="s">
        <v>1313</v>
      </c>
      <c r="AA227" s="259" t="s">
        <v>1314</v>
      </c>
      <c r="AB227" s="20" t="s">
        <v>1061</v>
      </c>
      <c r="AC227">
        <f t="shared" si="5"/>
        <v>920000000</v>
      </c>
      <c r="AE227" s="18" t="s">
        <v>1315</v>
      </c>
      <c r="AF227" s="1" t="b">
        <v>1</v>
      </c>
    </row>
    <row r="228" spans="2:32" ht="16.5" customHeight="1">
      <c r="B228" s="1" t="str">
        <f t="shared" si="4"/>
        <v>M_TDIF04_VM_BKT_1.3_185</v>
      </c>
      <c r="C228" s="92" t="s">
        <v>700</v>
      </c>
      <c r="D228" s="92" t="str" cm="1">
        <f t="array" ref="D228">INDEX(기계코드!$D$4:$D$214,MATCH(1,(C228=기계코드!$F$4:$F$214)*1,0))</f>
        <v>M_TDIF04</v>
      </c>
      <c r="E228" s="92" t="s">
        <v>1128</v>
      </c>
      <c r="F228" s="7" t="str" cm="1">
        <f t="array" ref="F228">INDEX(공급업체코드!$B$3:$B$1000,MATCH(1,(E228=공급업체코드!$D$3:$D$1000)*1,0))</f>
        <v>VM_BKT</v>
      </c>
      <c r="G228" s="18" t="s">
        <v>1881</v>
      </c>
      <c r="H228" s="64"/>
      <c r="I228" s="64"/>
      <c r="J228" s="64"/>
      <c r="K228" s="300">
        <v>1.1000000000000001</v>
      </c>
      <c r="L228" s="300">
        <v>1.3</v>
      </c>
      <c r="M228" s="64">
        <v>185</v>
      </c>
      <c r="N228" s="64"/>
      <c r="O228" s="64"/>
      <c r="P228" s="64"/>
      <c r="Q228" s="64"/>
      <c r="R228" s="70"/>
      <c r="T228" s="64"/>
      <c r="X228">
        <v>0.123</v>
      </c>
      <c r="Y228" s="258" t="s">
        <v>1313</v>
      </c>
      <c r="AA228" s="259" t="s">
        <v>1314</v>
      </c>
      <c r="AB228" s="20" t="s">
        <v>1061</v>
      </c>
      <c r="AC228">
        <f t="shared" si="5"/>
        <v>925000000</v>
      </c>
      <c r="AE228" s="18" t="s">
        <v>1315</v>
      </c>
      <c r="AF228" s="1" t="b">
        <v>1</v>
      </c>
    </row>
    <row r="229" spans="2:32" ht="16.5" customHeight="1">
      <c r="B229" s="1" t="str">
        <f t="shared" si="4"/>
        <v>M_TDIF04_VM_BKT_1.3_186</v>
      </c>
      <c r="C229" s="92" t="s">
        <v>700</v>
      </c>
      <c r="D229" s="92" t="str" cm="1">
        <f t="array" ref="D229">INDEX(기계코드!$D$4:$D$214,MATCH(1,(C229=기계코드!$F$4:$F$214)*1,0))</f>
        <v>M_TDIF04</v>
      </c>
      <c r="E229" s="92" t="s">
        <v>1128</v>
      </c>
      <c r="F229" s="7" t="str" cm="1">
        <f t="array" ref="F229">INDEX(공급업체코드!$B$3:$B$1000,MATCH(1,(E229=공급업체코드!$D$3:$D$1000)*1,0))</f>
        <v>VM_BKT</v>
      </c>
      <c r="G229" s="18" t="s">
        <v>1881</v>
      </c>
      <c r="H229" s="64"/>
      <c r="I229" s="64"/>
      <c r="J229" s="64"/>
      <c r="K229" s="300">
        <v>1.1000000000000001</v>
      </c>
      <c r="L229" s="300">
        <v>1.3</v>
      </c>
      <c r="M229" s="64">
        <v>186</v>
      </c>
      <c r="N229" s="64"/>
      <c r="O229" s="64"/>
      <c r="P229" s="64"/>
      <c r="Q229" s="64"/>
      <c r="R229" s="70"/>
      <c r="T229" s="64"/>
      <c r="X229">
        <v>0.123</v>
      </c>
      <c r="Y229" s="258" t="s">
        <v>1313</v>
      </c>
      <c r="AA229" s="259" t="s">
        <v>1314</v>
      </c>
      <c r="AB229" s="20" t="s">
        <v>1061</v>
      </c>
      <c r="AC229">
        <f t="shared" si="5"/>
        <v>930000000</v>
      </c>
      <c r="AE229" s="18" t="s">
        <v>1315</v>
      </c>
      <c r="AF229" s="1" t="b">
        <v>1</v>
      </c>
    </row>
    <row r="230" spans="2:32" ht="16.5" customHeight="1">
      <c r="B230" s="1" t="str">
        <f t="shared" si="4"/>
        <v>M_TDIF04_VM_BKT_1.3_187</v>
      </c>
      <c r="C230" s="92" t="s">
        <v>700</v>
      </c>
      <c r="D230" s="92" t="str" cm="1">
        <f t="array" ref="D230">INDEX(기계코드!$D$4:$D$214,MATCH(1,(C230=기계코드!$F$4:$F$214)*1,0))</f>
        <v>M_TDIF04</v>
      </c>
      <c r="E230" s="92" t="s">
        <v>1128</v>
      </c>
      <c r="F230" s="7" t="str" cm="1">
        <f t="array" ref="F230">INDEX(공급업체코드!$B$3:$B$1000,MATCH(1,(E230=공급업체코드!$D$3:$D$1000)*1,0))</f>
        <v>VM_BKT</v>
      </c>
      <c r="G230" s="18" t="s">
        <v>1881</v>
      </c>
      <c r="H230" s="64"/>
      <c r="I230" s="64"/>
      <c r="J230" s="64"/>
      <c r="K230" s="300">
        <v>1.1000000000000001</v>
      </c>
      <c r="L230" s="300">
        <v>1.3</v>
      </c>
      <c r="M230" s="64">
        <v>187</v>
      </c>
      <c r="N230" s="64"/>
      <c r="O230" s="64"/>
      <c r="P230" s="64"/>
      <c r="Q230" s="64"/>
      <c r="R230" s="70"/>
      <c r="T230" s="64"/>
      <c r="X230">
        <v>0.123</v>
      </c>
      <c r="Y230" s="258" t="s">
        <v>1313</v>
      </c>
      <c r="AA230" s="259" t="s">
        <v>1314</v>
      </c>
      <c r="AB230" s="20" t="s">
        <v>1061</v>
      </c>
      <c r="AC230">
        <f t="shared" si="5"/>
        <v>935000000</v>
      </c>
      <c r="AE230" s="18" t="s">
        <v>1315</v>
      </c>
      <c r="AF230" s="1" t="b">
        <v>1</v>
      </c>
    </row>
    <row r="231" spans="2:32" ht="16.5" customHeight="1">
      <c r="B231" s="1" t="str">
        <f t="shared" si="4"/>
        <v>M_TDIF04_VM_BKT_1.3_188</v>
      </c>
      <c r="C231" s="92" t="s">
        <v>700</v>
      </c>
      <c r="D231" s="92" t="str" cm="1">
        <f t="array" ref="D231">INDEX(기계코드!$D$4:$D$214,MATCH(1,(C231=기계코드!$F$4:$F$214)*1,0))</f>
        <v>M_TDIF04</v>
      </c>
      <c r="E231" s="92" t="s">
        <v>1128</v>
      </c>
      <c r="F231" s="7" t="str" cm="1">
        <f t="array" ref="F231">INDEX(공급업체코드!$B$3:$B$1000,MATCH(1,(E231=공급업체코드!$D$3:$D$1000)*1,0))</f>
        <v>VM_BKT</v>
      </c>
      <c r="G231" s="18" t="s">
        <v>1881</v>
      </c>
      <c r="H231" s="64"/>
      <c r="I231" s="64"/>
      <c r="J231" s="64"/>
      <c r="K231" s="300">
        <v>1.1000000000000001</v>
      </c>
      <c r="L231" s="300">
        <v>1.3</v>
      </c>
      <c r="M231" s="64">
        <v>188</v>
      </c>
      <c r="N231" s="64"/>
      <c r="O231" s="64"/>
      <c r="P231" s="64"/>
      <c r="Q231" s="64"/>
      <c r="R231" s="70"/>
      <c r="T231" s="64"/>
      <c r="X231">
        <v>0.123</v>
      </c>
      <c r="Y231" s="258" t="s">
        <v>1313</v>
      </c>
      <c r="AA231" s="259" t="s">
        <v>1314</v>
      </c>
      <c r="AB231" s="20" t="s">
        <v>1061</v>
      </c>
      <c r="AC231">
        <f t="shared" si="5"/>
        <v>940000000</v>
      </c>
      <c r="AE231" s="18" t="s">
        <v>1315</v>
      </c>
      <c r="AF231" s="1" t="b">
        <v>1</v>
      </c>
    </row>
    <row r="232" spans="2:32" ht="16.5" customHeight="1">
      <c r="B232" s="1" t="str">
        <f t="shared" si="4"/>
        <v>M_TDIF04_VM_BKT_1.3_189</v>
      </c>
      <c r="C232" s="92" t="s">
        <v>700</v>
      </c>
      <c r="D232" s="92" t="str" cm="1">
        <f t="array" ref="D232">INDEX(기계코드!$D$4:$D$214,MATCH(1,(C232=기계코드!$F$4:$F$214)*1,0))</f>
        <v>M_TDIF04</v>
      </c>
      <c r="E232" s="92" t="s">
        <v>1128</v>
      </c>
      <c r="F232" s="7" t="str" cm="1">
        <f t="array" ref="F232">INDEX(공급업체코드!$B$3:$B$1000,MATCH(1,(E232=공급업체코드!$D$3:$D$1000)*1,0))</f>
        <v>VM_BKT</v>
      </c>
      <c r="G232" s="18" t="s">
        <v>1881</v>
      </c>
      <c r="H232" s="64"/>
      <c r="I232" s="64"/>
      <c r="J232" s="64"/>
      <c r="K232" s="300">
        <v>1.1000000000000001</v>
      </c>
      <c r="L232" s="300">
        <v>1.3</v>
      </c>
      <c r="M232" s="64">
        <v>189</v>
      </c>
      <c r="N232" s="64"/>
      <c r="O232" s="64"/>
      <c r="P232" s="64"/>
      <c r="Q232" s="64"/>
      <c r="R232" s="70"/>
      <c r="T232" s="64"/>
      <c r="X232">
        <v>0.123</v>
      </c>
      <c r="Y232" s="258" t="s">
        <v>1313</v>
      </c>
      <c r="AA232" s="259" t="s">
        <v>1314</v>
      </c>
      <c r="AB232" s="20" t="s">
        <v>1061</v>
      </c>
      <c r="AC232">
        <f t="shared" si="5"/>
        <v>945000000</v>
      </c>
      <c r="AE232" s="18" t="s">
        <v>1315</v>
      </c>
      <c r="AF232" s="1" t="b">
        <v>1</v>
      </c>
    </row>
    <row r="233" spans="2:32" ht="16.5" customHeight="1">
      <c r="B233" s="1" t="str">
        <f t="shared" si="4"/>
        <v>M_TDIF04_VM_BKT_1.3_190</v>
      </c>
      <c r="C233" s="92" t="s">
        <v>700</v>
      </c>
      <c r="D233" s="92" t="str" cm="1">
        <f t="array" ref="D233">INDEX(기계코드!$D$4:$D$214,MATCH(1,(C233=기계코드!$F$4:$F$214)*1,0))</f>
        <v>M_TDIF04</v>
      </c>
      <c r="E233" s="92" t="s">
        <v>1128</v>
      </c>
      <c r="F233" s="7" t="str" cm="1">
        <f t="array" ref="F233">INDEX(공급업체코드!$B$3:$B$1000,MATCH(1,(E233=공급업체코드!$D$3:$D$1000)*1,0))</f>
        <v>VM_BKT</v>
      </c>
      <c r="G233" s="18" t="s">
        <v>1881</v>
      </c>
      <c r="H233" s="64"/>
      <c r="I233" s="64"/>
      <c r="J233" s="64"/>
      <c r="K233" s="300">
        <v>1.1000000000000001</v>
      </c>
      <c r="L233" s="300">
        <v>1.3</v>
      </c>
      <c r="M233" s="64">
        <v>190</v>
      </c>
      <c r="N233" s="64"/>
      <c r="O233" s="64"/>
      <c r="P233" s="64"/>
      <c r="Q233" s="64"/>
      <c r="R233" s="70"/>
      <c r="T233" s="64"/>
      <c r="X233">
        <v>0.123</v>
      </c>
      <c r="Y233" s="258" t="s">
        <v>1313</v>
      </c>
      <c r="AA233" s="259" t="s">
        <v>1314</v>
      </c>
      <c r="AB233" s="20" t="s">
        <v>1061</v>
      </c>
      <c r="AC233">
        <f t="shared" si="5"/>
        <v>950000000</v>
      </c>
      <c r="AE233" s="18" t="s">
        <v>1315</v>
      </c>
      <c r="AF233" s="1" t="b">
        <v>1</v>
      </c>
    </row>
    <row r="234" spans="2:32" ht="16.5" customHeight="1">
      <c r="B234" s="1" t="str">
        <f t="shared" si="4"/>
        <v>M_TDIF04_VM_BKT_1.3_191</v>
      </c>
      <c r="C234" s="92" t="s">
        <v>700</v>
      </c>
      <c r="D234" s="92" t="str" cm="1">
        <f t="array" ref="D234">INDEX(기계코드!$D$4:$D$214,MATCH(1,(C234=기계코드!$F$4:$F$214)*1,0))</f>
        <v>M_TDIF04</v>
      </c>
      <c r="E234" s="92" t="s">
        <v>1128</v>
      </c>
      <c r="F234" s="7" t="str" cm="1">
        <f t="array" ref="F234">INDEX(공급업체코드!$B$3:$B$1000,MATCH(1,(E234=공급업체코드!$D$3:$D$1000)*1,0))</f>
        <v>VM_BKT</v>
      </c>
      <c r="G234" s="18" t="s">
        <v>1881</v>
      </c>
      <c r="H234" s="64"/>
      <c r="I234" s="64"/>
      <c r="J234" s="64"/>
      <c r="K234" s="300">
        <v>1.1000000000000001</v>
      </c>
      <c r="L234" s="300">
        <v>1.3</v>
      </c>
      <c r="M234" s="64">
        <v>191</v>
      </c>
      <c r="N234" s="64"/>
      <c r="O234" s="64"/>
      <c r="P234" s="64"/>
      <c r="Q234" s="64"/>
      <c r="R234" s="70"/>
      <c r="T234" s="64"/>
      <c r="X234">
        <v>0.123</v>
      </c>
      <c r="Y234" s="258" t="s">
        <v>1313</v>
      </c>
      <c r="AA234" s="259" t="s">
        <v>1314</v>
      </c>
      <c r="AB234" s="20" t="s">
        <v>1061</v>
      </c>
      <c r="AC234">
        <f t="shared" si="5"/>
        <v>955000000</v>
      </c>
      <c r="AE234" s="18" t="s">
        <v>1315</v>
      </c>
      <c r="AF234" s="1" t="b">
        <v>1</v>
      </c>
    </row>
    <row r="235" spans="2:32" ht="16.5" customHeight="1">
      <c r="B235" s="1" t="str">
        <f t="shared" si="4"/>
        <v>M_TDIF04_VM_BKT_1.3_192</v>
      </c>
      <c r="C235" s="92" t="s">
        <v>700</v>
      </c>
      <c r="D235" s="92" t="str" cm="1">
        <f t="array" ref="D235">INDEX(기계코드!$D$4:$D$214,MATCH(1,(C235=기계코드!$F$4:$F$214)*1,0))</f>
        <v>M_TDIF04</v>
      </c>
      <c r="E235" s="92" t="s">
        <v>1128</v>
      </c>
      <c r="F235" s="7" t="str" cm="1">
        <f t="array" ref="F235">INDEX(공급업체코드!$B$3:$B$1000,MATCH(1,(E235=공급업체코드!$D$3:$D$1000)*1,0))</f>
        <v>VM_BKT</v>
      </c>
      <c r="G235" s="18" t="s">
        <v>1881</v>
      </c>
      <c r="H235" s="64"/>
      <c r="I235" s="64"/>
      <c r="J235" s="64"/>
      <c r="K235" s="300">
        <v>1.1000000000000001</v>
      </c>
      <c r="L235" s="300">
        <v>1.3</v>
      </c>
      <c r="M235" s="64">
        <v>192</v>
      </c>
      <c r="N235" s="64"/>
      <c r="O235" s="64"/>
      <c r="P235" s="64"/>
      <c r="Q235" s="64"/>
      <c r="R235" s="70"/>
      <c r="T235" s="64"/>
      <c r="X235">
        <v>0.123</v>
      </c>
      <c r="Y235" s="258" t="s">
        <v>1313</v>
      </c>
      <c r="AA235" s="259" t="s">
        <v>1314</v>
      </c>
      <c r="AB235" s="20" t="s">
        <v>1061</v>
      </c>
      <c r="AC235">
        <f t="shared" si="5"/>
        <v>960000000</v>
      </c>
      <c r="AE235" s="18" t="s">
        <v>1315</v>
      </c>
      <c r="AF235" s="1" t="b">
        <v>1</v>
      </c>
    </row>
    <row r="236" spans="2:32" ht="16.5" customHeight="1">
      <c r="B236" s="1" t="str">
        <f t="shared" si="4"/>
        <v>M_TDIF04_VM_BKT_1.3_193</v>
      </c>
      <c r="C236" s="92" t="s">
        <v>700</v>
      </c>
      <c r="D236" s="92" t="str" cm="1">
        <f t="array" ref="D236">INDEX(기계코드!$D$4:$D$214,MATCH(1,(C236=기계코드!$F$4:$F$214)*1,0))</f>
        <v>M_TDIF04</v>
      </c>
      <c r="E236" s="92" t="s">
        <v>1128</v>
      </c>
      <c r="F236" s="7" t="str" cm="1">
        <f t="array" ref="F236">INDEX(공급업체코드!$B$3:$B$1000,MATCH(1,(E236=공급업체코드!$D$3:$D$1000)*1,0))</f>
        <v>VM_BKT</v>
      </c>
      <c r="G236" s="18" t="s">
        <v>1881</v>
      </c>
      <c r="H236" s="64"/>
      <c r="I236" s="64"/>
      <c r="J236" s="64"/>
      <c r="K236" s="300">
        <v>1.1000000000000001</v>
      </c>
      <c r="L236" s="300">
        <v>1.3</v>
      </c>
      <c r="M236" s="64">
        <v>193</v>
      </c>
      <c r="N236" s="64"/>
      <c r="O236" s="64"/>
      <c r="P236" s="64"/>
      <c r="Q236" s="64"/>
      <c r="R236" s="70"/>
      <c r="T236" s="64"/>
      <c r="X236">
        <v>0.123</v>
      </c>
      <c r="Y236" s="258" t="s">
        <v>1313</v>
      </c>
      <c r="AA236" s="259" t="s">
        <v>1314</v>
      </c>
      <c r="AB236" s="20" t="s">
        <v>1061</v>
      </c>
      <c r="AC236">
        <f t="shared" si="5"/>
        <v>965000000</v>
      </c>
      <c r="AE236" s="18" t="s">
        <v>1315</v>
      </c>
      <c r="AF236" s="1" t="b">
        <v>1</v>
      </c>
    </row>
    <row r="237" spans="2:32" ht="16.5" customHeight="1">
      <c r="B237" s="1" t="str">
        <f t="shared" ref="B237:B300" si="6">D237&amp;"_"&amp;F237&amp;"_"&amp;L237&amp;"_"&amp;M237</f>
        <v>M_TDIF04_VM_BKT_1.3_194</v>
      </c>
      <c r="C237" s="92" t="s">
        <v>700</v>
      </c>
      <c r="D237" s="92" t="str" cm="1">
        <f t="array" ref="D237">INDEX(기계코드!$D$4:$D$214,MATCH(1,(C237=기계코드!$F$4:$F$214)*1,0))</f>
        <v>M_TDIF04</v>
      </c>
      <c r="E237" s="92" t="s">
        <v>1128</v>
      </c>
      <c r="F237" s="7" t="str" cm="1">
        <f t="array" ref="F237">INDEX(공급업체코드!$B$3:$B$1000,MATCH(1,(E237=공급업체코드!$D$3:$D$1000)*1,0))</f>
        <v>VM_BKT</v>
      </c>
      <c r="G237" s="18" t="s">
        <v>1881</v>
      </c>
      <c r="H237" s="64"/>
      <c r="I237" s="64"/>
      <c r="J237" s="64"/>
      <c r="K237" s="300">
        <v>1.1000000000000001</v>
      </c>
      <c r="L237" s="300">
        <v>1.3</v>
      </c>
      <c r="M237" s="64">
        <v>194</v>
      </c>
      <c r="N237" s="64"/>
      <c r="O237" s="64"/>
      <c r="P237" s="64"/>
      <c r="Q237" s="64"/>
      <c r="R237" s="70"/>
      <c r="T237" s="64"/>
      <c r="X237">
        <v>0.123</v>
      </c>
      <c r="Y237" s="258" t="s">
        <v>1313</v>
      </c>
      <c r="AA237" s="259" t="s">
        <v>1314</v>
      </c>
      <c r="AB237" s="20" t="s">
        <v>1061</v>
      </c>
      <c r="AC237">
        <f t="shared" si="5"/>
        <v>970000000</v>
      </c>
      <c r="AE237" s="18" t="s">
        <v>1315</v>
      </c>
      <c r="AF237" s="1" t="b">
        <v>1</v>
      </c>
    </row>
    <row r="238" spans="2:32" ht="16.5" customHeight="1">
      <c r="B238" s="1" t="str">
        <f t="shared" si="6"/>
        <v>M_TDIF04_VM_BKT_1.3_195</v>
      </c>
      <c r="C238" s="92" t="s">
        <v>700</v>
      </c>
      <c r="D238" s="92" t="str" cm="1">
        <f t="array" ref="D238">INDEX(기계코드!$D$4:$D$214,MATCH(1,(C238=기계코드!$F$4:$F$214)*1,0))</f>
        <v>M_TDIF04</v>
      </c>
      <c r="E238" s="92" t="s">
        <v>1128</v>
      </c>
      <c r="F238" s="7" t="str" cm="1">
        <f t="array" ref="F238">INDEX(공급업체코드!$B$3:$B$1000,MATCH(1,(E238=공급업체코드!$D$3:$D$1000)*1,0))</f>
        <v>VM_BKT</v>
      </c>
      <c r="G238" s="18" t="s">
        <v>1881</v>
      </c>
      <c r="H238" s="64"/>
      <c r="I238" s="64"/>
      <c r="J238" s="64"/>
      <c r="K238" s="300">
        <v>1.1000000000000001</v>
      </c>
      <c r="L238" s="300">
        <v>1.3</v>
      </c>
      <c r="M238" s="64">
        <v>195</v>
      </c>
      <c r="N238" s="64"/>
      <c r="O238" s="64"/>
      <c r="P238" s="64"/>
      <c r="Q238" s="64"/>
      <c r="R238" s="70"/>
      <c r="T238" s="64"/>
      <c r="X238">
        <v>0.123</v>
      </c>
      <c r="Y238" s="258" t="s">
        <v>1313</v>
      </c>
      <c r="AA238" s="259" t="s">
        <v>1314</v>
      </c>
      <c r="AB238" s="20" t="s">
        <v>1061</v>
      </c>
      <c r="AC238">
        <f t="shared" ref="AC238:AC301" si="7">M238*$AC$44</f>
        <v>975000000</v>
      </c>
      <c r="AE238" s="18" t="s">
        <v>1315</v>
      </c>
      <c r="AF238" s="1" t="b">
        <v>1</v>
      </c>
    </row>
    <row r="239" spans="2:32" ht="16.5" customHeight="1">
      <c r="B239" s="1" t="str">
        <f t="shared" si="6"/>
        <v>M_TDIF04_VM_BKT_1.3_196</v>
      </c>
      <c r="C239" s="92" t="s">
        <v>700</v>
      </c>
      <c r="D239" s="92" t="str" cm="1">
        <f t="array" ref="D239">INDEX(기계코드!$D$4:$D$214,MATCH(1,(C239=기계코드!$F$4:$F$214)*1,0))</f>
        <v>M_TDIF04</v>
      </c>
      <c r="E239" s="92" t="s">
        <v>1128</v>
      </c>
      <c r="F239" s="7" t="str" cm="1">
        <f t="array" ref="F239">INDEX(공급업체코드!$B$3:$B$1000,MATCH(1,(E239=공급업체코드!$D$3:$D$1000)*1,0))</f>
        <v>VM_BKT</v>
      </c>
      <c r="G239" s="18" t="s">
        <v>1881</v>
      </c>
      <c r="H239" s="64"/>
      <c r="I239" s="64"/>
      <c r="J239" s="64"/>
      <c r="K239" s="300">
        <v>1.1000000000000001</v>
      </c>
      <c r="L239" s="300">
        <v>1.3</v>
      </c>
      <c r="M239" s="64">
        <v>196</v>
      </c>
      <c r="N239" s="64"/>
      <c r="O239" s="64"/>
      <c r="P239" s="64"/>
      <c r="Q239" s="64"/>
      <c r="R239" s="70"/>
      <c r="T239" s="64"/>
      <c r="X239">
        <v>0.123</v>
      </c>
      <c r="Y239" s="258" t="s">
        <v>1313</v>
      </c>
      <c r="AA239" s="259" t="s">
        <v>1314</v>
      </c>
      <c r="AB239" s="20" t="s">
        <v>1061</v>
      </c>
      <c r="AC239">
        <f t="shared" si="7"/>
        <v>980000000</v>
      </c>
      <c r="AE239" s="18" t="s">
        <v>1315</v>
      </c>
      <c r="AF239" s="1" t="b">
        <v>1</v>
      </c>
    </row>
    <row r="240" spans="2:32" ht="16.5" customHeight="1">
      <c r="B240" s="1" t="str">
        <f t="shared" si="6"/>
        <v>M_TDIF04_VM_BKT_1.3_197</v>
      </c>
      <c r="C240" s="92" t="s">
        <v>700</v>
      </c>
      <c r="D240" s="92" t="str" cm="1">
        <f t="array" ref="D240">INDEX(기계코드!$D$4:$D$214,MATCH(1,(C240=기계코드!$F$4:$F$214)*1,0))</f>
        <v>M_TDIF04</v>
      </c>
      <c r="E240" s="92" t="s">
        <v>1128</v>
      </c>
      <c r="F240" s="7" t="str" cm="1">
        <f t="array" ref="F240">INDEX(공급업체코드!$B$3:$B$1000,MATCH(1,(E240=공급업체코드!$D$3:$D$1000)*1,0))</f>
        <v>VM_BKT</v>
      </c>
      <c r="G240" s="18" t="s">
        <v>1881</v>
      </c>
      <c r="H240" s="64"/>
      <c r="I240" s="64"/>
      <c r="J240" s="64"/>
      <c r="K240" s="300">
        <v>1.1000000000000001</v>
      </c>
      <c r="L240" s="300">
        <v>1.3</v>
      </c>
      <c r="M240" s="64">
        <v>197</v>
      </c>
      <c r="N240" s="64"/>
      <c r="O240" s="64"/>
      <c r="P240" s="64"/>
      <c r="Q240" s="64"/>
      <c r="R240" s="70"/>
      <c r="T240" s="64"/>
      <c r="X240">
        <v>0.123</v>
      </c>
      <c r="Y240" s="258" t="s">
        <v>1313</v>
      </c>
      <c r="AA240" s="259" t="s">
        <v>1314</v>
      </c>
      <c r="AB240" s="20" t="s">
        <v>1061</v>
      </c>
      <c r="AC240">
        <f t="shared" si="7"/>
        <v>985000000</v>
      </c>
      <c r="AE240" s="18" t="s">
        <v>1315</v>
      </c>
      <c r="AF240" s="1" t="b">
        <v>1</v>
      </c>
    </row>
    <row r="241" spans="2:32" ht="16.5" customHeight="1">
      <c r="B241" s="1" t="str">
        <f t="shared" si="6"/>
        <v>M_TDIF04_VM_BKT_1.3_198</v>
      </c>
      <c r="C241" s="92" t="s">
        <v>700</v>
      </c>
      <c r="D241" s="92" t="str" cm="1">
        <f t="array" ref="D241">INDEX(기계코드!$D$4:$D$214,MATCH(1,(C241=기계코드!$F$4:$F$214)*1,0))</f>
        <v>M_TDIF04</v>
      </c>
      <c r="E241" s="92" t="s">
        <v>1128</v>
      </c>
      <c r="F241" s="7" t="str" cm="1">
        <f t="array" ref="F241">INDEX(공급업체코드!$B$3:$B$1000,MATCH(1,(E241=공급업체코드!$D$3:$D$1000)*1,0))</f>
        <v>VM_BKT</v>
      </c>
      <c r="G241" s="18" t="s">
        <v>1881</v>
      </c>
      <c r="H241" s="64"/>
      <c r="I241" s="64"/>
      <c r="J241" s="64"/>
      <c r="K241" s="300">
        <v>1.1000000000000001</v>
      </c>
      <c r="L241" s="300">
        <v>1.3</v>
      </c>
      <c r="M241" s="64">
        <v>198</v>
      </c>
      <c r="N241" s="64"/>
      <c r="O241" s="64"/>
      <c r="P241" s="64"/>
      <c r="Q241" s="64"/>
      <c r="R241" s="70"/>
      <c r="T241" s="64"/>
      <c r="X241">
        <v>0.123</v>
      </c>
      <c r="Y241" s="258" t="s">
        <v>1313</v>
      </c>
      <c r="AA241" s="259" t="s">
        <v>1314</v>
      </c>
      <c r="AB241" s="20" t="s">
        <v>1061</v>
      </c>
      <c r="AC241">
        <f t="shared" si="7"/>
        <v>990000000</v>
      </c>
      <c r="AE241" s="18" t="s">
        <v>1315</v>
      </c>
      <c r="AF241" s="1" t="b">
        <v>1</v>
      </c>
    </row>
    <row r="242" spans="2:32" ht="16.5" customHeight="1">
      <c r="B242" s="1" t="str">
        <f t="shared" si="6"/>
        <v>M_TDIF04_VM_BKT_1.3_199</v>
      </c>
      <c r="C242" s="92" t="s">
        <v>700</v>
      </c>
      <c r="D242" s="92" t="str" cm="1">
        <f t="array" ref="D242">INDEX(기계코드!$D$4:$D$214,MATCH(1,(C242=기계코드!$F$4:$F$214)*1,0))</f>
        <v>M_TDIF04</v>
      </c>
      <c r="E242" s="92" t="s">
        <v>1128</v>
      </c>
      <c r="F242" s="7" t="str" cm="1">
        <f t="array" ref="F242">INDEX(공급업체코드!$B$3:$B$1000,MATCH(1,(E242=공급업체코드!$D$3:$D$1000)*1,0))</f>
        <v>VM_BKT</v>
      </c>
      <c r="G242" s="18" t="s">
        <v>1881</v>
      </c>
      <c r="H242" s="64"/>
      <c r="I242" s="64"/>
      <c r="J242" s="64"/>
      <c r="K242" s="300">
        <v>1.1000000000000001</v>
      </c>
      <c r="L242" s="300">
        <v>1.3</v>
      </c>
      <c r="M242" s="64">
        <v>199</v>
      </c>
      <c r="N242" s="64"/>
      <c r="O242" s="64"/>
      <c r="P242" s="64"/>
      <c r="Q242" s="64"/>
      <c r="R242" s="70"/>
      <c r="T242" s="64"/>
      <c r="X242">
        <v>0.123</v>
      </c>
      <c r="Y242" s="258" t="s">
        <v>1313</v>
      </c>
      <c r="AA242" s="259" t="s">
        <v>1314</v>
      </c>
      <c r="AB242" s="20" t="s">
        <v>1061</v>
      </c>
      <c r="AC242">
        <f t="shared" si="7"/>
        <v>995000000</v>
      </c>
      <c r="AE242" s="18" t="s">
        <v>1315</v>
      </c>
      <c r="AF242" s="1" t="b">
        <v>1</v>
      </c>
    </row>
    <row r="243" spans="2:32" ht="16.5" customHeight="1">
      <c r="B243" s="1" t="str">
        <f t="shared" si="6"/>
        <v>M_TDIF04_VM_BKT_1.3_200</v>
      </c>
      <c r="C243" s="92" t="s">
        <v>700</v>
      </c>
      <c r="D243" s="92" t="str" cm="1">
        <f t="array" ref="D243">INDEX(기계코드!$D$4:$D$214,MATCH(1,(C243=기계코드!$F$4:$F$214)*1,0))</f>
        <v>M_TDIF04</v>
      </c>
      <c r="E243" s="92" t="s">
        <v>1128</v>
      </c>
      <c r="F243" s="7" t="str" cm="1">
        <f t="array" ref="F243">INDEX(공급업체코드!$B$3:$B$1000,MATCH(1,(E243=공급업체코드!$D$3:$D$1000)*1,0))</f>
        <v>VM_BKT</v>
      </c>
      <c r="G243" s="18" t="s">
        <v>1881</v>
      </c>
      <c r="H243" s="64"/>
      <c r="I243" s="64"/>
      <c r="J243" s="64"/>
      <c r="K243" s="300">
        <v>1.1000000000000001</v>
      </c>
      <c r="L243" s="300">
        <v>1.3</v>
      </c>
      <c r="M243" s="64">
        <v>200</v>
      </c>
      <c r="N243" s="64"/>
      <c r="O243" s="64"/>
      <c r="P243" s="64"/>
      <c r="Q243" s="64"/>
      <c r="R243" s="70"/>
      <c r="T243" s="64"/>
      <c r="X243">
        <v>0.123</v>
      </c>
      <c r="Y243" s="258" t="s">
        <v>1313</v>
      </c>
      <c r="AA243" s="259" t="s">
        <v>1314</v>
      </c>
      <c r="AB243" s="20" t="s">
        <v>1061</v>
      </c>
      <c r="AC243">
        <f t="shared" si="7"/>
        <v>1000000000</v>
      </c>
      <c r="AE243" s="18" t="s">
        <v>1315</v>
      </c>
      <c r="AF243" s="1" t="b">
        <v>1</v>
      </c>
    </row>
    <row r="244" spans="2:32" ht="16.5" customHeight="1">
      <c r="B244" s="1" t="str">
        <f t="shared" si="6"/>
        <v>M_TDIF04_VM_BKT_1.3_201</v>
      </c>
      <c r="C244" s="92" t="s">
        <v>700</v>
      </c>
      <c r="D244" s="92" t="str" cm="1">
        <f t="array" ref="D244">INDEX(기계코드!$D$4:$D$214,MATCH(1,(C244=기계코드!$F$4:$F$214)*1,0))</f>
        <v>M_TDIF04</v>
      </c>
      <c r="E244" s="92" t="s">
        <v>1128</v>
      </c>
      <c r="F244" s="7" t="str" cm="1">
        <f t="array" ref="F244">INDEX(공급업체코드!$B$3:$B$1000,MATCH(1,(E244=공급업체코드!$D$3:$D$1000)*1,0))</f>
        <v>VM_BKT</v>
      </c>
      <c r="G244" s="18" t="s">
        <v>1881</v>
      </c>
      <c r="H244" s="64"/>
      <c r="I244" s="64"/>
      <c r="J244" s="64"/>
      <c r="K244" s="300">
        <v>1.1000000000000001</v>
      </c>
      <c r="L244" s="300">
        <v>1.3</v>
      </c>
      <c r="M244" s="64">
        <v>201</v>
      </c>
      <c r="N244" s="64"/>
      <c r="O244" s="64"/>
      <c r="P244" s="64"/>
      <c r="Q244" s="64"/>
      <c r="R244" s="70"/>
      <c r="T244" s="64"/>
      <c r="X244">
        <v>0.123</v>
      </c>
      <c r="Y244" s="258" t="s">
        <v>1313</v>
      </c>
      <c r="AA244" s="259" t="s">
        <v>1314</v>
      </c>
      <c r="AB244" s="20" t="s">
        <v>1061</v>
      </c>
      <c r="AC244">
        <f t="shared" si="7"/>
        <v>1005000000</v>
      </c>
      <c r="AE244" s="18" t="s">
        <v>1315</v>
      </c>
      <c r="AF244" s="1" t="b">
        <v>1</v>
      </c>
    </row>
    <row r="245" spans="2:32" ht="16.5" customHeight="1">
      <c r="B245" s="1" t="str">
        <f t="shared" si="6"/>
        <v>M_TDIF04_VM_BKT_1.3_202</v>
      </c>
      <c r="C245" s="92" t="s">
        <v>700</v>
      </c>
      <c r="D245" s="92" t="str" cm="1">
        <f t="array" ref="D245">INDEX(기계코드!$D$4:$D$214,MATCH(1,(C245=기계코드!$F$4:$F$214)*1,0))</f>
        <v>M_TDIF04</v>
      </c>
      <c r="E245" s="92" t="s">
        <v>1128</v>
      </c>
      <c r="F245" s="7" t="str" cm="1">
        <f t="array" ref="F245">INDEX(공급업체코드!$B$3:$B$1000,MATCH(1,(E245=공급업체코드!$D$3:$D$1000)*1,0))</f>
        <v>VM_BKT</v>
      </c>
      <c r="G245" s="18" t="s">
        <v>1881</v>
      </c>
      <c r="H245" s="64"/>
      <c r="I245" s="64"/>
      <c r="J245" s="64"/>
      <c r="K245" s="300">
        <v>1.1000000000000001</v>
      </c>
      <c r="L245" s="300">
        <v>1.3</v>
      </c>
      <c r="M245" s="64">
        <v>202</v>
      </c>
      <c r="N245" s="64"/>
      <c r="O245" s="64"/>
      <c r="P245" s="64"/>
      <c r="Q245" s="64"/>
      <c r="R245" s="70"/>
      <c r="T245" s="64"/>
      <c r="X245">
        <v>0.123</v>
      </c>
      <c r="Y245" s="258" t="s">
        <v>1313</v>
      </c>
      <c r="AA245" s="259" t="s">
        <v>1314</v>
      </c>
      <c r="AB245" s="20" t="s">
        <v>1061</v>
      </c>
      <c r="AC245">
        <f t="shared" si="7"/>
        <v>1010000000</v>
      </c>
      <c r="AE245" s="18" t="s">
        <v>1315</v>
      </c>
      <c r="AF245" s="1" t="b">
        <v>1</v>
      </c>
    </row>
    <row r="246" spans="2:32" ht="16.5" customHeight="1">
      <c r="B246" s="1" t="str">
        <f t="shared" si="6"/>
        <v>M_TDIF04_VM_BKT_1.3_203</v>
      </c>
      <c r="C246" s="92" t="s">
        <v>700</v>
      </c>
      <c r="D246" s="92" t="str" cm="1">
        <f t="array" ref="D246">INDEX(기계코드!$D$4:$D$214,MATCH(1,(C246=기계코드!$F$4:$F$214)*1,0))</f>
        <v>M_TDIF04</v>
      </c>
      <c r="E246" s="92" t="s">
        <v>1128</v>
      </c>
      <c r="F246" s="7" t="str" cm="1">
        <f t="array" ref="F246">INDEX(공급업체코드!$B$3:$B$1000,MATCH(1,(E246=공급업체코드!$D$3:$D$1000)*1,0))</f>
        <v>VM_BKT</v>
      </c>
      <c r="G246" s="18" t="s">
        <v>1881</v>
      </c>
      <c r="H246" s="64"/>
      <c r="I246" s="64"/>
      <c r="J246" s="64"/>
      <c r="K246" s="300">
        <v>1.1000000000000001</v>
      </c>
      <c r="L246" s="300">
        <v>1.3</v>
      </c>
      <c r="M246" s="64">
        <v>203</v>
      </c>
      <c r="N246" s="64"/>
      <c r="O246" s="64"/>
      <c r="P246" s="64"/>
      <c r="Q246" s="64"/>
      <c r="R246" s="70"/>
      <c r="T246" s="64"/>
      <c r="X246">
        <v>0.123</v>
      </c>
      <c r="Y246" s="258" t="s">
        <v>1313</v>
      </c>
      <c r="AA246" s="259" t="s">
        <v>1314</v>
      </c>
      <c r="AB246" s="20" t="s">
        <v>1061</v>
      </c>
      <c r="AC246">
        <f t="shared" si="7"/>
        <v>1015000000</v>
      </c>
      <c r="AE246" s="18" t="s">
        <v>1315</v>
      </c>
      <c r="AF246" s="1" t="b">
        <v>1</v>
      </c>
    </row>
    <row r="247" spans="2:32" ht="16.5" customHeight="1">
      <c r="B247" s="1" t="str">
        <f t="shared" si="6"/>
        <v>M_TDIF04_VM_BKT_1.3_204</v>
      </c>
      <c r="C247" s="92" t="s">
        <v>700</v>
      </c>
      <c r="D247" s="92" t="str" cm="1">
        <f t="array" ref="D247">INDEX(기계코드!$D$4:$D$214,MATCH(1,(C247=기계코드!$F$4:$F$214)*1,0))</f>
        <v>M_TDIF04</v>
      </c>
      <c r="E247" s="92" t="s">
        <v>1128</v>
      </c>
      <c r="F247" s="7" t="str" cm="1">
        <f t="array" ref="F247">INDEX(공급업체코드!$B$3:$B$1000,MATCH(1,(E247=공급업체코드!$D$3:$D$1000)*1,0))</f>
        <v>VM_BKT</v>
      </c>
      <c r="G247" s="18" t="s">
        <v>1881</v>
      </c>
      <c r="H247" s="64"/>
      <c r="I247" s="64"/>
      <c r="J247" s="64"/>
      <c r="K247" s="300">
        <v>1.1000000000000001</v>
      </c>
      <c r="L247" s="300">
        <v>1.3</v>
      </c>
      <c r="M247" s="64">
        <v>204</v>
      </c>
      <c r="N247" s="64"/>
      <c r="O247" s="64"/>
      <c r="P247" s="64"/>
      <c r="Q247" s="64"/>
      <c r="R247" s="70"/>
      <c r="T247" s="64"/>
      <c r="X247">
        <v>0.123</v>
      </c>
      <c r="Y247" s="258" t="s">
        <v>1313</v>
      </c>
      <c r="AA247" s="259" t="s">
        <v>1314</v>
      </c>
      <c r="AB247" s="20" t="s">
        <v>1061</v>
      </c>
      <c r="AC247">
        <f t="shared" si="7"/>
        <v>1020000000</v>
      </c>
      <c r="AE247" s="18" t="s">
        <v>1315</v>
      </c>
      <c r="AF247" s="1" t="b">
        <v>1</v>
      </c>
    </row>
    <row r="248" spans="2:32" ht="16.5" customHeight="1">
      <c r="B248" s="1" t="str">
        <f t="shared" si="6"/>
        <v>M_TDIF04_VM_BKT_1.3_205</v>
      </c>
      <c r="C248" s="92" t="s">
        <v>700</v>
      </c>
      <c r="D248" s="92" t="str" cm="1">
        <f t="array" ref="D248">INDEX(기계코드!$D$4:$D$214,MATCH(1,(C248=기계코드!$F$4:$F$214)*1,0))</f>
        <v>M_TDIF04</v>
      </c>
      <c r="E248" s="92" t="s">
        <v>1128</v>
      </c>
      <c r="F248" s="7" t="str" cm="1">
        <f t="array" ref="F248">INDEX(공급업체코드!$B$3:$B$1000,MATCH(1,(E248=공급업체코드!$D$3:$D$1000)*1,0))</f>
        <v>VM_BKT</v>
      </c>
      <c r="G248" s="18" t="s">
        <v>1881</v>
      </c>
      <c r="H248" s="64"/>
      <c r="I248" s="64"/>
      <c r="J248" s="64"/>
      <c r="K248" s="300">
        <v>1.1000000000000001</v>
      </c>
      <c r="L248" s="300">
        <v>1.3</v>
      </c>
      <c r="M248" s="64">
        <v>205</v>
      </c>
      <c r="N248" s="64"/>
      <c r="O248" s="64"/>
      <c r="P248" s="64"/>
      <c r="Q248" s="64"/>
      <c r="R248" s="70"/>
      <c r="T248" s="64"/>
      <c r="X248">
        <v>0.123</v>
      </c>
      <c r="Y248" s="258" t="s">
        <v>1313</v>
      </c>
      <c r="AA248" s="259" t="s">
        <v>1314</v>
      </c>
      <c r="AB248" s="20" t="s">
        <v>1061</v>
      </c>
      <c r="AC248">
        <f t="shared" si="7"/>
        <v>1025000000</v>
      </c>
      <c r="AE248" s="18" t="s">
        <v>1315</v>
      </c>
      <c r="AF248" s="1" t="b">
        <v>1</v>
      </c>
    </row>
    <row r="249" spans="2:32" ht="16.5" customHeight="1">
      <c r="B249" s="1" t="str">
        <f t="shared" si="6"/>
        <v>M_TDIF04_VM_BKT_1.3_206</v>
      </c>
      <c r="C249" s="92" t="s">
        <v>700</v>
      </c>
      <c r="D249" s="92" t="str" cm="1">
        <f t="array" ref="D249">INDEX(기계코드!$D$4:$D$214,MATCH(1,(C249=기계코드!$F$4:$F$214)*1,0))</f>
        <v>M_TDIF04</v>
      </c>
      <c r="E249" s="92" t="s">
        <v>1128</v>
      </c>
      <c r="F249" s="7" t="str" cm="1">
        <f t="array" ref="F249">INDEX(공급업체코드!$B$3:$B$1000,MATCH(1,(E249=공급업체코드!$D$3:$D$1000)*1,0))</f>
        <v>VM_BKT</v>
      </c>
      <c r="G249" s="18" t="s">
        <v>1881</v>
      </c>
      <c r="H249" s="64"/>
      <c r="I249" s="64"/>
      <c r="J249" s="64"/>
      <c r="K249" s="300">
        <v>1.1000000000000001</v>
      </c>
      <c r="L249" s="300">
        <v>1.3</v>
      </c>
      <c r="M249" s="64">
        <v>206</v>
      </c>
      <c r="N249" s="64"/>
      <c r="O249" s="64"/>
      <c r="P249" s="64"/>
      <c r="Q249" s="64"/>
      <c r="R249" s="70"/>
      <c r="T249" s="64"/>
      <c r="X249">
        <v>0.123</v>
      </c>
      <c r="Y249" s="258" t="s">
        <v>1313</v>
      </c>
      <c r="AA249" s="259" t="s">
        <v>1314</v>
      </c>
      <c r="AB249" s="20" t="s">
        <v>1061</v>
      </c>
      <c r="AC249">
        <f t="shared" si="7"/>
        <v>1030000000</v>
      </c>
      <c r="AE249" s="18" t="s">
        <v>1315</v>
      </c>
      <c r="AF249" s="1" t="b">
        <v>1</v>
      </c>
    </row>
    <row r="250" spans="2:32" ht="16.5" customHeight="1">
      <c r="B250" s="1" t="str">
        <f t="shared" si="6"/>
        <v>M_TDIF04_VM_BKT_1.3_207</v>
      </c>
      <c r="C250" s="92" t="s">
        <v>700</v>
      </c>
      <c r="D250" s="92" t="str" cm="1">
        <f t="array" ref="D250">INDEX(기계코드!$D$4:$D$214,MATCH(1,(C250=기계코드!$F$4:$F$214)*1,0))</f>
        <v>M_TDIF04</v>
      </c>
      <c r="E250" s="92" t="s">
        <v>1128</v>
      </c>
      <c r="F250" s="7" t="str" cm="1">
        <f t="array" ref="F250">INDEX(공급업체코드!$B$3:$B$1000,MATCH(1,(E250=공급업체코드!$D$3:$D$1000)*1,0))</f>
        <v>VM_BKT</v>
      </c>
      <c r="G250" s="18" t="s">
        <v>1881</v>
      </c>
      <c r="H250" s="64"/>
      <c r="I250" s="64"/>
      <c r="J250" s="64"/>
      <c r="K250" s="300">
        <v>1.1000000000000001</v>
      </c>
      <c r="L250" s="300">
        <v>1.3</v>
      </c>
      <c r="M250" s="64">
        <v>207</v>
      </c>
      <c r="N250" s="64"/>
      <c r="O250" s="64"/>
      <c r="P250" s="64"/>
      <c r="Q250" s="64"/>
      <c r="R250" s="70"/>
      <c r="T250" s="64"/>
      <c r="X250">
        <v>0.123</v>
      </c>
      <c r="Y250" s="258" t="s">
        <v>1313</v>
      </c>
      <c r="AA250" s="259" t="s">
        <v>1314</v>
      </c>
      <c r="AB250" s="20" t="s">
        <v>1061</v>
      </c>
      <c r="AC250">
        <f t="shared" si="7"/>
        <v>1035000000</v>
      </c>
      <c r="AE250" s="18" t="s">
        <v>1315</v>
      </c>
      <c r="AF250" s="1" t="b">
        <v>1</v>
      </c>
    </row>
    <row r="251" spans="2:32" ht="16.5" customHeight="1">
      <c r="B251" s="1" t="str">
        <f t="shared" si="6"/>
        <v>M_TDIF04_VM_BKT_1.3_208</v>
      </c>
      <c r="C251" s="92" t="s">
        <v>700</v>
      </c>
      <c r="D251" s="92" t="str" cm="1">
        <f t="array" ref="D251">INDEX(기계코드!$D$4:$D$214,MATCH(1,(C251=기계코드!$F$4:$F$214)*1,0))</f>
        <v>M_TDIF04</v>
      </c>
      <c r="E251" s="92" t="s">
        <v>1128</v>
      </c>
      <c r="F251" s="7" t="str" cm="1">
        <f t="array" ref="F251">INDEX(공급업체코드!$B$3:$B$1000,MATCH(1,(E251=공급업체코드!$D$3:$D$1000)*1,0))</f>
        <v>VM_BKT</v>
      </c>
      <c r="G251" s="18" t="s">
        <v>1881</v>
      </c>
      <c r="H251" s="64"/>
      <c r="I251" s="64"/>
      <c r="J251" s="64"/>
      <c r="K251" s="300">
        <v>1.1000000000000001</v>
      </c>
      <c r="L251" s="300">
        <v>1.3</v>
      </c>
      <c r="M251" s="64">
        <v>208</v>
      </c>
      <c r="N251" s="64"/>
      <c r="O251" s="64"/>
      <c r="P251" s="64"/>
      <c r="Q251" s="64"/>
      <c r="R251" s="70"/>
      <c r="T251" s="64"/>
      <c r="X251">
        <v>0.123</v>
      </c>
      <c r="Y251" s="258" t="s">
        <v>1313</v>
      </c>
      <c r="AA251" s="259" t="s">
        <v>1314</v>
      </c>
      <c r="AB251" s="20" t="s">
        <v>1061</v>
      </c>
      <c r="AC251">
        <f t="shared" si="7"/>
        <v>1040000000</v>
      </c>
      <c r="AE251" s="18" t="s">
        <v>1315</v>
      </c>
      <c r="AF251" s="1" t="b">
        <v>1</v>
      </c>
    </row>
    <row r="252" spans="2:32" ht="16.5" customHeight="1">
      <c r="B252" s="1" t="str">
        <f t="shared" si="6"/>
        <v>M_TDIF04_VM_BKT_1.3_209</v>
      </c>
      <c r="C252" s="92" t="s">
        <v>700</v>
      </c>
      <c r="D252" s="92" t="str" cm="1">
        <f t="array" ref="D252">INDEX(기계코드!$D$4:$D$214,MATCH(1,(C252=기계코드!$F$4:$F$214)*1,0))</f>
        <v>M_TDIF04</v>
      </c>
      <c r="E252" s="92" t="s">
        <v>1128</v>
      </c>
      <c r="F252" s="7" t="str" cm="1">
        <f t="array" ref="F252">INDEX(공급업체코드!$B$3:$B$1000,MATCH(1,(E252=공급업체코드!$D$3:$D$1000)*1,0))</f>
        <v>VM_BKT</v>
      </c>
      <c r="G252" s="18" t="s">
        <v>1881</v>
      </c>
      <c r="H252" s="64"/>
      <c r="I252" s="64"/>
      <c r="J252" s="64"/>
      <c r="K252" s="300">
        <v>1.1000000000000001</v>
      </c>
      <c r="L252" s="300">
        <v>1.3</v>
      </c>
      <c r="M252" s="64">
        <v>209</v>
      </c>
      <c r="N252" s="64"/>
      <c r="O252" s="64"/>
      <c r="P252" s="64"/>
      <c r="Q252" s="64"/>
      <c r="R252" s="70"/>
      <c r="T252" s="64"/>
      <c r="X252">
        <v>0.123</v>
      </c>
      <c r="Y252" s="258" t="s">
        <v>1313</v>
      </c>
      <c r="AA252" s="259" t="s">
        <v>1314</v>
      </c>
      <c r="AB252" s="20" t="s">
        <v>1061</v>
      </c>
      <c r="AC252">
        <f t="shared" si="7"/>
        <v>1045000000</v>
      </c>
      <c r="AE252" s="18" t="s">
        <v>1315</v>
      </c>
      <c r="AF252" s="1" t="b">
        <v>1</v>
      </c>
    </row>
    <row r="253" spans="2:32" ht="16.5" customHeight="1">
      <c r="B253" s="1" t="str">
        <f t="shared" si="6"/>
        <v>M_TDIF04_VM_BKT_1.3_210</v>
      </c>
      <c r="C253" s="92" t="s">
        <v>700</v>
      </c>
      <c r="D253" s="92" t="str" cm="1">
        <f t="array" ref="D253">INDEX(기계코드!$D$4:$D$214,MATCH(1,(C253=기계코드!$F$4:$F$214)*1,0))</f>
        <v>M_TDIF04</v>
      </c>
      <c r="E253" s="92" t="s">
        <v>1128</v>
      </c>
      <c r="F253" s="7" t="str" cm="1">
        <f t="array" ref="F253">INDEX(공급업체코드!$B$3:$B$1000,MATCH(1,(E253=공급업체코드!$D$3:$D$1000)*1,0))</f>
        <v>VM_BKT</v>
      </c>
      <c r="G253" s="18" t="s">
        <v>1881</v>
      </c>
      <c r="H253" s="64"/>
      <c r="I253" s="64"/>
      <c r="J253" s="64"/>
      <c r="K253" s="300">
        <v>1.1000000000000001</v>
      </c>
      <c r="L253" s="300">
        <v>1.3</v>
      </c>
      <c r="M253" s="64">
        <v>210</v>
      </c>
      <c r="N253" s="64"/>
      <c r="O253" s="64"/>
      <c r="P253" s="64"/>
      <c r="Q253" s="64"/>
      <c r="R253" s="70"/>
      <c r="T253" s="64"/>
      <c r="X253">
        <v>0.123</v>
      </c>
      <c r="Y253" s="258" t="s">
        <v>1313</v>
      </c>
      <c r="AA253" s="259" t="s">
        <v>1314</v>
      </c>
      <c r="AB253" s="20" t="s">
        <v>1061</v>
      </c>
      <c r="AC253">
        <f t="shared" si="7"/>
        <v>1050000000</v>
      </c>
      <c r="AE253" s="18" t="s">
        <v>1315</v>
      </c>
      <c r="AF253" s="1" t="b">
        <v>1</v>
      </c>
    </row>
    <row r="254" spans="2:32" ht="16.5" customHeight="1">
      <c r="B254" s="1" t="str">
        <f t="shared" si="6"/>
        <v>M_TDIF04_VM_BKT_1.3_211</v>
      </c>
      <c r="C254" s="92" t="s">
        <v>700</v>
      </c>
      <c r="D254" s="92" t="str" cm="1">
        <f t="array" ref="D254">INDEX(기계코드!$D$4:$D$214,MATCH(1,(C254=기계코드!$F$4:$F$214)*1,0))</f>
        <v>M_TDIF04</v>
      </c>
      <c r="E254" s="92" t="s">
        <v>1128</v>
      </c>
      <c r="F254" s="7" t="str" cm="1">
        <f t="array" ref="F254">INDEX(공급업체코드!$B$3:$B$1000,MATCH(1,(E254=공급업체코드!$D$3:$D$1000)*1,0))</f>
        <v>VM_BKT</v>
      </c>
      <c r="G254" s="18" t="s">
        <v>1881</v>
      </c>
      <c r="H254" s="64"/>
      <c r="I254" s="64"/>
      <c r="J254" s="64"/>
      <c r="K254" s="300">
        <v>1.1000000000000001</v>
      </c>
      <c r="L254" s="300">
        <v>1.3</v>
      </c>
      <c r="M254" s="64">
        <v>211</v>
      </c>
      <c r="N254" s="64"/>
      <c r="O254" s="64"/>
      <c r="P254" s="64"/>
      <c r="Q254" s="64"/>
      <c r="R254" s="70"/>
      <c r="T254" s="64"/>
      <c r="X254">
        <v>0.123</v>
      </c>
      <c r="Y254" s="258" t="s">
        <v>1313</v>
      </c>
      <c r="AA254" s="259" t="s">
        <v>1314</v>
      </c>
      <c r="AB254" s="20" t="s">
        <v>1061</v>
      </c>
      <c r="AC254">
        <f t="shared" si="7"/>
        <v>1055000000</v>
      </c>
      <c r="AE254" s="18" t="s">
        <v>1315</v>
      </c>
      <c r="AF254" s="1" t="b">
        <v>1</v>
      </c>
    </row>
    <row r="255" spans="2:32" ht="16.5" customHeight="1">
      <c r="B255" s="1" t="str">
        <f t="shared" si="6"/>
        <v>M_TDIF04_VM_BKT_1.3_212</v>
      </c>
      <c r="C255" s="92" t="s">
        <v>700</v>
      </c>
      <c r="D255" s="92" t="str" cm="1">
        <f t="array" ref="D255">INDEX(기계코드!$D$4:$D$214,MATCH(1,(C255=기계코드!$F$4:$F$214)*1,0))</f>
        <v>M_TDIF04</v>
      </c>
      <c r="E255" s="92" t="s">
        <v>1128</v>
      </c>
      <c r="F255" s="7" t="str" cm="1">
        <f t="array" ref="F255">INDEX(공급업체코드!$B$3:$B$1000,MATCH(1,(E255=공급업체코드!$D$3:$D$1000)*1,0))</f>
        <v>VM_BKT</v>
      </c>
      <c r="G255" s="18" t="s">
        <v>1881</v>
      </c>
      <c r="H255" s="64"/>
      <c r="I255" s="64"/>
      <c r="J255" s="64"/>
      <c r="K255" s="300">
        <v>1.1000000000000001</v>
      </c>
      <c r="L255" s="300">
        <v>1.3</v>
      </c>
      <c r="M255" s="64">
        <v>212</v>
      </c>
      <c r="N255" s="64"/>
      <c r="O255" s="64"/>
      <c r="P255" s="64"/>
      <c r="Q255" s="64"/>
      <c r="R255" s="70"/>
      <c r="T255" s="64"/>
      <c r="X255">
        <v>0.123</v>
      </c>
      <c r="Y255" s="258" t="s">
        <v>1313</v>
      </c>
      <c r="AA255" s="259" t="s">
        <v>1314</v>
      </c>
      <c r="AB255" s="20" t="s">
        <v>1061</v>
      </c>
      <c r="AC255">
        <f t="shared" si="7"/>
        <v>1060000000</v>
      </c>
      <c r="AE255" s="18" t="s">
        <v>1315</v>
      </c>
      <c r="AF255" s="1" t="b">
        <v>1</v>
      </c>
    </row>
    <row r="256" spans="2:32" ht="16.5" customHeight="1">
      <c r="B256" s="1" t="str">
        <f t="shared" si="6"/>
        <v>M_TDIF04_VM_BKT_1.3_213</v>
      </c>
      <c r="C256" s="92" t="s">
        <v>700</v>
      </c>
      <c r="D256" s="92" t="str" cm="1">
        <f t="array" ref="D256">INDEX(기계코드!$D$4:$D$214,MATCH(1,(C256=기계코드!$F$4:$F$214)*1,0))</f>
        <v>M_TDIF04</v>
      </c>
      <c r="E256" s="92" t="s">
        <v>1128</v>
      </c>
      <c r="F256" s="7" t="str" cm="1">
        <f t="array" ref="F256">INDEX(공급업체코드!$B$3:$B$1000,MATCH(1,(E256=공급업체코드!$D$3:$D$1000)*1,0))</f>
        <v>VM_BKT</v>
      </c>
      <c r="G256" s="18" t="s">
        <v>1881</v>
      </c>
      <c r="H256" s="64"/>
      <c r="I256" s="64"/>
      <c r="J256" s="64"/>
      <c r="K256" s="300">
        <v>1.1000000000000001</v>
      </c>
      <c r="L256" s="300">
        <v>1.3</v>
      </c>
      <c r="M256" s="64">
        <v>213</v>
      </c>
      <c r="N256" s="64"/>
      <c r="O256" s="64"/>
      <c r="P256" s="64"/>
      <c r="Q256" s="64"/>
      <c r="R256" s="70"/>
      <c r="T256" s="64"/>
      <c r="X256">
        <v>0.123</v>
      </c>
      <c r="Y256" s="258" t="s">
        <v>1313</v>
      </c>
      <c r="AA256" s="259" t="s">
        <v>1314</v>
      </c>
      <c r="AB256" s="20" t="s">
        <v>1061</v>
      </c>
      <c r="AC256">
        <f t="shared" si="7"/>
        <v>1065000000</v>
      </c>
      <c r="AE256" s="18" t="s">
        <v>1315</v>
      </c>
      <c r="AF256" s="1" t="b">
        <v>1</v>
      </c>
    </row>
    <row r="257" spans="2:32" ht="16.5" customHeight="1">
      <c r="B257" s="1" t="str">
        <f t="shared" si="6"/>
        <v>M_TDIF04_VM_BKT_1.3_214</v>
      </c>
      <c r="C257" s="92" t="s">
        <v>700</v>
      </c>
      <c r="D257" s="92" t="str" cm="1">
        <f t="array" ref="D257">INDEX(기계코드!$D$4:$D$214,MATCH(1,(C257=기계코드!$F$4:$F$214)*1,0))</f>
        <v>M_TDIF04</v>
      </c>
      <c r="E257" s="92" t="s">
        <v>1128</v>
      </c>
      <c r="F257" s="7" t="str" cm="1">
        <f t="array" ref="F257">INDEX(공급업체코드!$B$3:$B$1000,MATCH(1,(E257=공급업체코드!$D$3:$D$1000)*1,0))</f>
        <v>VM_BKT</v>
      </c>
      <c r="G257" s="18" t="s">
        <v>1881</v>
      </c>
      <c r="H257" s="64"/>
      <c r="I257" s="64"/>
      <c r="J257" s="64"/>
      <c r="K257" s="300">
        <v>1.1000000000000001</v>
      </c>
      <c r="L257" s="300">
        <v>1.3</v>
      </c>
      <c r="M257" s="64">
        <v>214</v>
      </c>
      <c r="N257" s="64"/>
      <c r="O257" s="64"/>
      <c r="P257" s="64"/>
      <c r="Q257" s="64"/>
      <c r="R257" s="70"/>
      <c r="T257" s="64"/>
      <c r="X257">
        <v>0.123</v>
      </c>
      <c r="Y257" s="258" t="s">
        <v>1313</v>
      </c>
      <c r="AA257" s="259" t="s">
        <v>1314</v>
      </c>
      <c r="AB257" s="20" t="s">
        <v>1061</v>
      </c>
      <c r="AC257">
        <f t="shared" si="7"/>
        <v>1070000000</v>
      </c>
      <c r="AE257" s="18" t="s">
        <v>1315</v>
      </c>
      <c r="AF257" s="1" t="b">
        <v>1</v>
      </c>
    </row>
    <row r="258" spans="2:32" ht="16.5" customHeight="1">
      <c r="B258" s="1" t="str">
        <f t="shared" si="6"/>
        <v>M_TDIF04_VM_BKT_1.3_215</v>
      </c>
      <c r="C258" s="92" t="s">
        <v>700</v>
      </c>
      <c r="D258" s="92" t="str" cm="1">
        <f t="array" ref="D258">INDEX(기계코드!$D$4:$D$214,MATCH(1,(C258=기계코드!$F$4:$F$214)*1,0))</f>
        <v>M_TDIF04</v>
      </c>
      <c r="E258" s="92" t="s">
        <v>1128</v>
      </c>
      <c r="F258" s="7" t="str" cm="1">
        <f t="array" ref="F258">INDEX(공급업체코드!$B$3:$B$1000,MATCH(1,(E258=공급업체코드!$D$3:$D$1000)*1,0))</f>
        <v>VM_BKT</v>
      </c>
      <c r="G258" s="18" t="s">
        <v>1881</v>
      </c>
      <c r="H258" s="64"/>
      <c r="I258" s="64"/>
      <c r="J258" s="64"/>
      <c r="K258" s="300">
        <v>1.1000000000000001</v>
      </c>
      <c r="L258" s="300">
        <v>1.3</v>
      </c>
      <c r="M258" s="64">
        <v>215</v>
      </c>
      <c r="N258" s="64"/>
      <c r="O258" s="64"/>
      <c r="P258" s="64"/>
      <c r="Q258" s="64"/>
      <c r="R258" s="70"/>
      <c r="T258" s="64"/>
      <c r="X258">
        <v>0.123</v>
      </c>
      <c r="Y258" s="258" t="s">
        <v>1313</v>
      </c>
      <c r="AA258" s="259" t="s">
        <v>1314</v>
      </c>
      <c r="AB258" s="20" t="s">
        <v>1061</v>
      </c>
      <c r="AC258">
        <f t="shared" si="7"/>
        <v>1075000000</v>
      </c>
      <c r="AE258" s="18" t="s">
        <v>1315</v>
      </c>
      <c r="AF258" s="1" t="b">
        <v>1</v>
      </c>
    </row>
    <row r="259" spans="2:32" ht="16.5" customHeight="1">
      <c r="B259" s="1" t="str">
        <f t="shared" si="6"/>
        <v>M_TDIF04_VM_BKT_1.3_216</v>
      </c>
      <c r="C259" s="92" t="s">
        <v>700</v>
      </c>
      <c r="D259" s="92" t="str" cm="1">
        <f t="array" ref="D259">INDEX(기계코드!$D$4:$D$214,MATCH(1,(C259=기계코드!$F$4:$F$214)*1,0))</f>
        <v>M_TDIF04</v>
      </c>
      <c r="E259" s="92" t="s">
        <v>1128</v>
      </c>
      <c r="F259" s="7" t="str" cm="1">
        <f t="array" ref="F259">INDEX(공급업체코드!$B$3:$B$1000,MATCH(1,(E259=공급업체코드!$D$3:$D$1000)*1,0))</f>
        <v>VM_BKT</v>
      </c>
      <c r="G259" s="18" t="s">
        <v>1881</v>
      </c>
      <c r="H259" s="64"/>
      <c r="I259" s="64"/>
      <c r="J259" s="64"/>
      <c r="K259" s="300">
        <v>1.1000000000000001</v>
      </c>
      <c r="L259" s="300">
        <v>1.3</v>
      </c>
      <c r="M259" s="64">
        <v>216</v>
      </c>
      <c r="N259" s="64"/>
      <c r="O259" s="64"/>
      <c r="P259" s="64"/>
      <c r="Q259" s="64"/>
      <c r="R259" s="70"/>
      <c r="T259" s="64"/>
      <c r="X259">
        <v>0.123</v>
      </c>
      <c r="Y259" s="258" t="s">
        <v>1313</v>
      </c>
      <c r="AA259" s="259" t="s">
        <v>1314</v>
      </c>
      <c r="AB259" s="20" t="s">
        <v>1061</v>
      </c>
      <c r="AC259">
        <f t="shared" si="7"/>
        <v>1080000000</v>
      </c>
      <c r="AE259" s="18" t="s">
        <v>1315</v>
      </c>
      <c r="AF259" s="1" t="b">
        <v>1</v>
      </c>
    </row>
    <row r="260" spans="2:32" ht="16.5" customHeight="1">
      <c r="B260" s="1" t="str">
        <f t="shared" si="6"/>
        <v>M_TDIF04_VM_BKT_1.3_217</v>
      </c>
      <c r="C260" s="92" t="s">
        <v>700</v>
      </c>
      <c r="D260" s="92" t="str" cm="1">
        <f t="array" ref="D260">INDEX(기계코드!$D$4:$D$214,MATCH(1,(C260=기계코드!$F$4:$F$214)*1,0))</f>
        <v>M_TDIF04</v>
      </c>
      <c r="E260" s="92" t="s">
        <v>1128</v>
      </c>
      <c r="F260" s="7" t="str" cm="1">
        <f t="array" ref="F260">INDEX(공급업체코드!$B$3:$B$1000,MATCH(1,(E260=공급업체코드!$D$3:$D$1000)*1,0))</f>
        <v>VM_BKT</v>
      </c>
      <c r="G260" s="18" t="s">
        <v>1881</v>
      </c>
      <c r="H260" s="64"/>
      <c r="I260" s="64"/>
      <c r="J260" s="64"/>
      <c r="K260" s="300">
        <v>1.1000000000000001</v>
      </c>
      <c r="L260" s="300">
        <v>1.3</v>
      </c>
      <c r="M260" s="64">
        <v>217</v>
      </c>
      <c r="N260" s="64"/>
      <c r="O260" s="64"/>
      <c r="P260" s="64"/>
      <c r="Q260" s="64"/>
      <c r="R260" s="70"/>
      <c r="T260" s="64"/>
      <c r="X260">
        <v>0.123</v>
      </c>
      <c r="Y260" s="258" t="s">
        <v>1313</v>
      </c>
      <c r="AA260" s="259" t="s">
        <v>1314</v>
      </c>
      <c r="AB260" s="20" t="s">
        <v>1061</v>
      </c>
      <c r="AC260">
        <f t="shared" si="7"/>
        <v>1085000000</v>
      </c>
      <c r="AE260" s="18" t="s">
        <v>1315</v>
      </c>
      <c r="AF260" s="1" t="b">
        <v>1</v>
      </c>
    </row>
    <row r="261" spans="2:32" ht="16.5" customHeight="1">
      <c r="B261" s="1" t="str">
        <f t="shared" si="6"/>
        <v>M_TDIF04_VM_BKT_1.3_218</v>
      </c>
      <c r="C261" s="92" t="s">
        <v>700</v>
      </c>
      <c r="D261" s="92" t="str" cm="1">
        <f t="array" ref="D261">INDEX(기계코드!$D$4:$D$214,MATCH(1,(C261=기계코드!$F$4:$F$214)*1,0))</f>
        <v>M_TDIF04</v>
      </c>
      <c r="E261" s="92" t="s">
        <v>1128</v>
      </c>
      <c r="F261" s="7" t="str" cm="1">
        <f t="array" ref="F261">INDEX(공급업체코드!$B$3:$B$1000,MATCH(1,(E261=공급업체코드!$D$3:$D$1000)*1,0))</f>
        <v>VM_BKT</v>
      </c>
      <c r="G261" s="18" t="s">
        <v>1881</v>
      </c>
      <c r="H261" s="64"/>
      <c r="I261" s="64"/>
      <c r="J261" s="64"/>
      <c r="K261" s="300">
        <v>1.1000000000000001</v>
      </c>
      <c r="L261" s="300">
        <v>1.3</v>
      </c>
      <c r="M261" s="64">
        <v>218</v>
      </c>
      <c r="N261" s="64"/>
      <c r="O261" s="64"/>
      <c r="P261" s="64"/>
      <c r="Q261" s="64"/>
      <c r="R261" s="70"/>
      <c r="T261" s="64"/>
      <c r="X261">
        <v>0.123</v>
      </c>
      <c r="Y261" s="258" t="s">
        <v>1313</v>
      </c>
      <c r="AA261" s="259" t="s">
        <v>1314</v>
      </c>
      <c r="AB261" s="20" t="s">
        <v>1061</v>
      </c>
      <c r="AC261">
        <f t="shared" si="7"/>
        <v>1090000000</v>
      </c>
      <c r="AE261" s="18" t="s">
        <v>1315</v>
      </c>
      <c r="AF261" s="1" t="b">
        <v>1</v>
      </c>
    </row>
    <row r="262" spans="2:32" ht="16.5" customHeight="1">
      <c r="B262" s="1" t="str">
        <f t="shared" si="6"/>
        <v>M_TDIF04_VM_BKT_1.3_219</v>
      </c>
      <c r="C262" s="92" t="s">
        <v>700</v>
      </c>
      <c r="D262" s="92" t="str" cm="1">
        <f t="array" ref="D262">INDEX(기계코드!$D$4:$D$214,MATCH(1,(C262=기계코드!$F$4:$F$214)*1,0))</f>
        <v>M_TDIF04</v>
      </c>
      <c r="E262" s="92" t="s">
        <v>1128</v>
      </c>
      <c r="F262" s="7" t="str" cm="1">
        <f t="array" ref="F262">INDEX(공급업체코드!$B$3:$B$1000,MATCH(1,(E262=공급업체코드!$D$3:$D$1000)*1,0))</f>
        <v>VM_BKT</v>
      </c>
      <c r="G262" s="18" t="s">
        <v>1881</v>
      </c>
      <c r="H262" s="64"/>
      <c r="I262" s="64"/>
      <c r="J262" s="64"/>
      <c r="K262" s="300">
        <v>1.1000000000000001</v>
      </c>
      <c r="L262" s="300">
        <v>1.3</v>
      </c>
      <c r="M262" s="64">
        <v>219</v>
      </c>
      <c r="N262" s="64"/>
      <c r="O262" s="64"/>
      <c r="P262" s="64"/>
      <c r="Q262" s="64"/>
      <c r="R262" s="70"/>
      <c r="T262" s="64"/>
      <c r="X262">
        <v>0.123</v>
      </c>
      <c r="Y262" s="258" t="s">
        <v>1313</v>
      </c>
      <c r="AA262" s="259" t="s">
        <v>1314</v>
      </c>
      <c r="AB262" s="20" t="s">
        <v>1061</v>
      </c>
      <c r="AC262">
        <f t="shared" si="7"/>
        <v>1095000000</v>
      </c>
      <c r="AE262" s="18" t="s">
        <v>1315</v>
      </c>
      <c r="AF262" s="1" t="b">
        <v>1</v>
      </c>
    </row>
    <row r="263" spans="2:32" ht="16.5" customHeight="1">
      <c r="B263" s="1" t="str">
        <f t="shared" si="6"/>
        <v>M_TDIF04_VM_BKT_1.3_220</v>
      </c>
      <c r="C263" s="92" t="s">
        <v>700</v>
      </c>
      <c r="D263" s="92" t="str" cm="1">
        <f t="array" ref="D263">INDEX(기계코드!$D$4:$D$214,MATCH(1,(C263=기계코드!$F$4:$F$214)*1,0))</f>
        <v>M_TDIF04</v>
      </c>
      <c r="E263" s="92" t="s">
        <v>1128</v>
      </c>
      <c r="F263" s="7" t="str" cm="1">
        <f t="array" ref="F263">INDEX(공급업체코드!$B$3:$B$1000,MATCH(1,(E263=공급업체코드!$D$3:$D$1000)*1,0))</f>
        <v>VM_BKT</v>
      </c>
      <c r="G263" s="18" t="s">
        <v>1881</v>
      </c>
      <c r="H263" s="64"/>
      <c r="I263" s="64"/>
      <c r="J263" s="64"/>
      <c r="K263" s="300">
        <v>1.1000000000000001</v>
      </c>
      <c r="L263" s="300">
        <v>1.3</v>
      </c>
      <c r="M263" s="64">
        <v>220</v>
      </c>
      <c r="N263" s="64"/>
      <c r="O263" s="64"/>
      <c r="P263" s="64"/>
      <c r="Q263" s="64"/>
      <c r="R263" s="70"/>
      <c r="T263" s="64"/>
      <c r="X263">
        <v>0.123</v>
      </c>
      <c r="Y263" s="258" t="s">
        <v>1313</v>
      </c>
      <c r="AA263" s="259" t="s">
        <v>1314</v>
      </c>
      <c r="AB263" s="20" t="s">
        <v>1061</v>
      </c>
      <c r="AC263">
        <f t="shared" si="7"/>
        <v>1100000000</v>
      </c>
      <c r="AE263" s="18" t="s">
        <v>1315</v>
      </c>
      <c r="AF263" s="1" t="b">
        <v>1</v>
      </c>
    </row>
    <row r="264" spans="2:32" ht="16.5" customHeight="1">
      <c r="B264" s="1" t="str">
        <f t="shared" si="6"/>
        <v>M_TDIF04_VM_BKT_1.3_221</v>
      </c>
      <c r="C264" s="92" t="s">
        <v>700</v>
      </c>
      <c r="D264" s="92" t="str" cm="1">
        <f t="array" ref="D264">INDEX(기계코드!$D$4:$D$214,MATCH(1,(C264=기계코드!$F$4:$F$214)*1,0))</f>
        <v>M_TDIF04</v>
      </c>
      <c r="E264" s="92" t="s">
        <v>1128</v>
      </c>
      <c r="F264" s="7" t="str" cm="1">
        <f t="array" ref="F264">INDEX(공급업체코드!$B$3:$B$1000,MATCH(1,(E264=공급업체코드!$D$3:$D$1000)*1,0))</f>
        <v>VM_BKT</v>
      </c>
      <c r="G264" s="18" t="s">
        <v>1881</v>
      </c>
      <c r="H264" s="64"/>
      <c r="I264" s="64"/>
      <c r="J264" s="64"/>
      <c r="K264" s="300">
        <v>1.1000000000000001</v>
      </c>
      <c r="L264" s="300">
        <v>1.3</v>
      </c>
      <c r="M264" s="64">
        <v>221</v>
      </c>
      <c r="N264" s="64"/>
      <c r="O264" s="64"/>
      <c r="P264" s="64"/>
      <c r="Q264" s="64"/>
      <c r="R264" s="70"/>
      <c r="T264" s="64"/>
      <c r="X264">
        <v>0.123</v>
      </c>
      <c r="Y264" s="258" t="s">
        <v>1313</v>
      </c>
      <c r="AA264" s="259" t="s">
        <v>1314</v>
      </c>
      <c r="AB264" s="20" t="s">
        <v>1061</v>
      </c>
      <c r="AC264">
        <f t="shared" si="7"/>
        <v>1105000000</v>
      </c>
      <c r="AE264" s="18" t="s">
        <v>1315</v>
      </c>
      <c r="AF264" s="1" t="b">
        <v>1</v>
      </c>
    </row>
    <row r="265" spans="2:32" ht="16.5" customHeight="1">
      <c r="B265" s="1" t="str">
        <f t="shared" si="6"/>
        <v>M_TDIF04_VM_BKT_1.3_222</v>
      </c>
      <c r="C265" s="92" t="s">
        <v>700</v>
      </c>
      <c r="D265" s="92" t="str" cm="1">
        <f t="array" ref="D265">INDEX(기계코드!$D$4:$D$214,MATCH(1,(C265=기계코드!$F$4:$F$214)*1,0))</f>
        <v>M_TDIF04</v>
      </c>
      <c r="E265" s="92" t="s">
        <v>1128</v>
      </c>
      <c r="F265" s="7" t="str" cm="1">
        <f t="array" ref="F265">INDEX(공급업체코드!$B$3:$B$1000,MATCH(1,(E265=공급업체코드!$D$3:$D$1000)*1,0))</f>
        <v>VM_BKT</v>
      </c>
      <c r="G265" s="18" t="s">
        <v>1881</v>
      </c>
      <c r="H265" s="64"/>
      <c r="I265" s="64"/>
      <c r="J265" s="64"/>
      <c r="K265" s="300">
        <v>1.1000000000000001</v>
      </c>
      <c r="L265" s="300">
        <v>1.3</v>
      </c>
      <c r="M265" s="64">
        <v>222</v>
      </c>
      <c r="N265" s="64"/>
      <c r="O265" s="64"/>
      <c r="P265" s="64"/>
      <c r="Q265" s="64"/>
      <c r="R265" s="70"/>
      <c r="T265" s="64"/>
      <c r="X265">
        <v>0.123</v>
      </c>
      <c r="Y265" s="258" t="s">
        <v>1313</v>
      </c>
      <c r="AA265" s="259" t="s">
        <v>1314</v>
      </c>
      <c r="AB265" s="20" t="s">
        <v>1061</v>
      </c>
      <c r="AC265">
        <f t="shared" si="7"/>
        <v>1110000000</v>
      </c>
      <c r="AE265" s="18" t="s">
        <v>1315</v>
      </c>
      <c r="AF265" s="1" t="b">
        <v>1</v>
      </c>
    </row>
    <row r="266" spans="2:32" ht="16.5" customHeight="1">
      <c r="B266" s="1" t="str">
        <f t="shared" si="6"/>
        <v>M_TDIF04_VM_BKT_1.3_223</v>
      </c>
      <c r="C266" s="92" t="s">
        <v>700</v>
      </c>
      <c r="D266" s="92" t="str" cm="1">
        <f t="array" ref="D266">INDEX(기계코드!$D$4:$D$214,MATCH(1,(C266=기계코드!$F$4:$F$214)*1,0))</f>
        <v>M_TDIF04</v>
      </c>
      <c r="E266" s="92" t="s">
        <v>1128</v>
      </c>
      <c r="F266" s="7" t="str" cm="1">
        <f t="array" ref="F266">INDEX(공급업체코드!$B$3:$B$1000,MATCH(1,(E266=공급업체코드!$D$3:$D$1000)*1,0))</f>
        <v>VM_BKT</v>
      </c>
      <c r="G266" s="18" t="s">
        <v>1881</v>
      </c>
      <c r="H266" s="64"/>
      <c r="I266" s="64"/>
      <c r="J266" s="64"/>
      <c r="K266" s="300">
        <v>1.1000000000000001</v>
      </c>
      <c r="L266" s="300">
        <v>1.3</v>
      </c>
      <c r="M266" s="64">
        <v>223</v>
      </c>
      <c r="N266" s="64"/>
      <c r="O266" s="64"/>
      <c r="P266" s="64"/>
      <c r="Q266" s="64"/>
      <c r="R266" s="70"/>
      <c r="T266" s="64"/>
      <c r="X266">
        <v>0.123</v>
      </c>
      <c r="Y266" s="258" t="s">
        <v>1313</v>
      </c>
      <c r="AA266" s="259" t="s">
        <v>1314</v>
      </c>
      <c r="AB266" s="20" t="s">
        <v>1061</v>
      </c>
      <c r="AC266">
        <f t="shared" si="7"/>
        <v>1115000000</v>
      </c>
      <c r="AE266" s="18" t="s">
        <v>1315</v>
      </c>
      <c r="AF266" s="1" t="b">
        <v>1</v>
      </c>
    </row>
    <row r="267" spans="2:32" ht="16.5" customHeight="1">
      <c r="B267" s="1" t="str">
        <f t="shared" si="6"/>
        <v>M_TDIF04_VM_BKT_1.3_224</v>
      </c>
      <c r="C267" s="92" t="s">
        <v>700</v>
      </c>
      <c r="D267" s="92" t="str" cm="1">
        <f t="array" ref="D267">INDEX(기계코드!$D$4:$D$214,MATCH(1,(C267=기계코드!$F$4:$F$214)*1,0))</f>
        <v>M_TDIF04</v>
      </c>
      <c r="E267" s="92" t="s">
        <v>1128</v>
      </c>
      <c r="F267" s="7" t="str" cm="1">
        <f t="array" ref="F267">INDEX(공급업체코드!$B$3:$B$1000,MATCH(1,(E267=공급업체코드!$D$3:$D$1000)*1,0))</f>
        <v>VM_BKT</v>
      </c>
      <c r="G267" s="18" t="s">
        <v>1881</v>
      </c>
      <c r="H267" s="64"/>
      <c r="I267" s="64"/>
      <c r="J267" s="64"/>
      <c r="K267" s="300">
        <v>1.1000000000000001</v>
      </c>
      <c r="L267" s="300">
        <v>1.3</v>
      </c>
      <c r="M267" s="64">
        <v>224</v>
      </c>
      <c r="N267" s="64"/>
      <c r="O267" s="64"/>
      <c r="P267" s="64"/>
      <c r="Q267" s="64"/>
      <c r="R267" s="70"/>
      <c r="T267" s="64"/>
      <c r="X267">
        <v>0.123</v>
      </c>
      <c r="Y267" s="258" t="s">
        <v>1313</v>
      </c>
      <c r="AA267" s="259" t="s">
        <v>1314</v>
      </c>
      <c r="AB267" s="20" t="s">
        <v>1061</v>
      </c>
      <c r="AC267">
        <f t="shared" si="7"/>
        <v>1120000000</v>
      </c>
      <c r="AE267" s="18" t="s">
        <v>1315</v>
      </c>
      <c r="AF267" s="1" t="b">
        <v>1</v>
      </c>
    </row>
    <row r="268" spans="2:32" ht="16.5" customHeight="1">
      <c r="B268" s="1" t="str">
        <f t="shared" si="6"/>
        <v>M_TDIF04_VM_BKT_1.3_225</v>
      </c>
      <c r="C268" s="92" t="s">
        <v>700</v>
      </c>
      <c r="D268" s="92" t="str" cm="1">
        <f t="array" ref="D268">INDEX(기계코드!$D$4:$D$214,MATCH(1,(C268=기계코드!$F$4:$F$214)*1,0))</f>
        <v>M_TDIF04</v>
      </c>
      <c r="E268" s="92" t="s">
        <v>1128</v>
      </c>
      <c r="F268" s="7" t="str" cm="1">
        <f t="array" ref="F268">INDEX(공급업체코드!$B$3:$B$1000,MATCH(1,(E268=공급업체코드!$D$3:$D$1000)*1,0))</f>
        <v>VM_BKT</v>
      </c>
      <c r="G268" s="18" t="s">
        <v>1881</v>
      </c>
      <c r="H268" s="64"/>
      <c r="I268" s="64"/>
      <c r="J268" s="64"/>
      <c r="K268" s="300">
        <v>1.1000000000000001</v>
      </c>
      <c r="L268" s="300">
        <v>1.3</v>
      </c>
      <c r="M268" s="64">
        <v>225</v>
      </c>
      <c r="N268" s="64"/>
      <c r="O268" s="64"/>
      <c r="P268" s="64"/>
      <c r="Q268" s="64"/>
      <c r="R268" s="70"/>
      <c r="T268" s="64"/>
      <c r="X268">
        <v>0.123</v>
      </c>
      <c r="Y268" s="258" t="s">
        <v>1313</v>
      </c>
      <c r="AA268" s="259" t="s">
        <v>1314</v>
      </c>
      <c r="AB268" s="20" t="s">
        <v>1061</v>
      </c>
      <c r="AC268">
        <f t="shared" si="7"/>
        <v>1125000000</v>
      </c>
      <c r="AE268" s="18" t="s">
        <v>1315</v>
      </c>
      <c r="AF268" s="1" t="b">
        <v>1</v>
      </c>
    </row>
    <row r="269" spans="2:32" ht="16.5" customHeight="1">
      <c r="B269" s="1" t="str">
        <f t="shared" si="6"/>
        <v>M_TDIF04_VM_BKT_1.3_226</v>
      </c>
      <c r="C269" s="92" t="s">
        <v>700</v>
      </c>
      <c r="D269" s="92" t="str" cm="1">
        <f t="array" ref="D269">INDEX(기계코드!$D$4:$D$214,MATCH(1,(C269=기계코드!$F$4:$F$214)*1,0))</f>
        <v>M_TDIF04</v>
      </c>
      <c r="E269" s="92" t="s">
        <v>1128</v>
      </c>
      <c r="F269" s="7" t="str" cm="1">
        <f t="array" ref="F269">INDEX(공급업체코드!$B$3:$B$1000,MATCH(1,(E269=공급업체코드!$D$3:$D$1000)*1,0))</f>
        <v>VM_BKT</v>
      </c>
      <c r="G269" s="18" t="s">
        <v>1881</v>
      </c>
      <c r="H269" s="64"/>
      <c r="I269" s="64"/>
      <c r="J269" s="64"/>
      <c r="K269" s="300">
        <v>1.1000000000000001</v>
      </c>
      <c r="L269" s="300">
        <v>1.3</v>
      </c>
      <c r="M269" s="64">
        <v>226</v>
      </c>
      <c r="N269" s="64"/>
      <c r="O269" s="64"/>
      <c r="P269" s="64"/>
      <c r="Q269" s="64"/>
      <c r="R269" s="70"/>
      <c r="T269" s="64"/>
      <c r="X269">
        <v>0.123</v>
      </c>
      <c r="Y269" s="258" t="s">
        <v>1313</v>
      </c>
      <c r="AA269" s="259" t="s">
        <v>1314</v>
      </c>
      <c r="AB269" s="20" t="s">
        <v>1061</v>
      </c>
      <c r="AC269">
        <f t="shared" si="7"/>
        <v>1130000000</v>
      </c>
      <c r="AE269" s="18" t="s">
        <v>1315</v>
      </c>
      <c r="AF269" s="1" t="b">
        <v>1</v>
      </c>
    </row>
    <row r="270" spans="2:32" ht="16.5" customHeight="1">
      <c r="B270" s="1" t="str">
        <f t="shared" si="6"/>
        <v>M_TDIF04_VM_BKT_1.3_227</v>
      </c>
      <c r="C270" s="92" t="s">
        <v>700</v>
      </c>
      <c r="D270" s="92" t="str" cm="1">
        <f t="array" ref="D270">INDEX(기계코드!$D$4:$D$214,MATCH(1,(C270=기계코드!$F$4:$F$214)*1,0))</f>
        <v>M_TDIF04</v>
      </c>
      <c r="E270" s="92" t="s">
        <v>1128</v>
      </c>
      <c r="F270" s="7" t="str" cm="1">
        <f t="array" ref="F270">INDEX(공급업체코드!$B$3:$B$1000,MATCH(1,(E270=공급업체코드!$D$3:$D$1000)*1,0))</f>
        <v>VM_BKT</v>
      </c>
      <c r="G270" s="18" t="s">
        <v>1881</v>
      </c>
      <c r="H270" s="64"/>
      <c r="I270" s="64"/>
      <c r="J270" s="64"/>
      <c r="K270" s="300">
        <v>1.1000000000000001</v>
      </c>
      <c r="L270" s="300">
        <v>1.3</v>
      </c>
      <c r="M270" s="64">
        <v>227</v>
      </c>
      <c r="N270" s="64"/>
      <c r="O270" s="64"/>
      <c r="P270" s="64"/>
      <c r="Q270" s="64"/>
      <c r="R270" s="70"/>
      <c r="T270" s="64"/>
      <c r="X270">
        <v>0.123</v>
      </c>
      <c r="Y270" s="258" t="s">
        <v>1313</v>
      </c>
      <c r="AA270" s="259" t="s">
        <v>1314</v>
      </c>
      <c r="AB270" s="20" t="s">
        <v>1061</v>
      </c>
      <c r="AC270">
        <f t="shared" si="7"/>
        <v>1135000000</v>
      </c>
      <c r="AE270" s="18" t="s">
        <v>1315</v>
      </c>
      <c r="AF270" s="1" t="b">
        <v>1</v>
      </c>
    </row>
    <row r="271" spans="2:32" ht="16.5" customHeight="1">
      <c r="B271" s="1" t="str">
        <f t="shared" si="6"/>
        <v>M_TDIF04_VM_BKT_1.3_228</v>
      </c>
      <c r="C271" s="92" t="s">
        <v>700</v>
      </c>
      <c r="D271" s="92" t="str" cm="1">
        <f t="array" ref="D271">INDEX(기계코드!$D$4:$D$214,MATCH(1,(C271=기계코드!$F$4:$F$214)*1,0))</f>
        <v>M_TDIF04</v>
      </c>
      <c r="E271" s="92" t="s">
        <v>1128</v>
      </c>
      <c r="F271" s="7" t="str" cm="1">
        <f t="array" ref="F271">INDEX(공급업체코드!$B$3:$B$1000,MATCH(1,(E271=공급업체코드!$D$3:$D$1000)*1,0))</f>
        <v>VM_BKT</v>
      </c>
      <c r="G271" s="18" t="s">
        <v>1881</v>
      </c>
      <c r="H271" s="64"/>
      <c r="I271" s="64"/>
      <c r="J271" s="64"/>
      <c r="K271" s="300">
        <v>1.1000000000000001</v>
      </c>
      <c r="L271" s="300">
        <v>1.3</v>
      </c>
      <c r="M271" s="64">
        <v>228</v>
      </c>
      <c r="N271" s="64"/>
      <c r="O271" s="64"/>
      <c r="P271" s="64"/>
      <c r="Q271" s="64"/>
      <c r="R271" s="70"/>
      <c r="T271" s="64"/>
      <c r="X271">
        <v>0.123</v>
      </c>
      <c r="Y271" s="258" t="s">
        <v>1313</v>
      </c>
      <c r="AA271" s="259" t="s">
        <v>1314</v>
      </c>
      <c r="AB271" s="20" t="s">
        <v>1061</v>
      </c>
      <c r="AC271">
        <f t="shared" si="7"/>
        <v>1140000000</v>
      </c>
      <c r="AE271" s="18" t="s">
        <v>1315</v>
      </c>
      <c r="AF271" s="1" t="b">
        <v>1</v>
      </c>
    </row>
    <row r="272" spans="2:32" ht="16.5" customHeight="1">
      <c r="B272" s="1" t="str">
        <f t="shared" si="6"/>
        <v>M_TDIF04_VM_BKT_1.3_229</v>
      </c>
      <c r="C272" s="92" t="s">
        <v>700</v>
      </c>
      <c r="D272" s="92" t="str" cm="1">
        <f t="array" ref="D272">INDEX(기계코드!$D$4:$D$214,MATCH(1,(C272=기계코드!$F$4:$F$214)*1,0))</f>
        <v>M_TDIF04</v>
      </c>
      <c r="E272" s="92" t="s">
        <v>1128</v>
      </c>
      <c r="F272" s="7" t="str" cm="1">
        <f t="array" ref="F272">INDEX(공급업체코드!$B$3:$B$1000,MATCH(1,(E272=공급업체코드!$D$3:$D$1000)*1,0))</f>
        <v>VM_BKT</v>
      </c>
      <c r="G272" s="18" t="s">
        <v>1881</v>
      </c>
      <c r="H272" s="64"/>
      <c r="I272" s="64"/>
      <c r="J272" s="64"/>
      <c r="K272" s="300">
        <v>1.1000000000000001</v>
      </c>
      <c r="L272" s="300">
        <v>1.3</v>
      </c>
      <c r="M272" s="64">
        <v>229</v>
      </c>
      <c r="N272" s="64"/>
      <c r="O272" s="64"/>
      <c r="P272" s="64"/>
      <c r="Q272" s="64"/>
      <c r="R272" s="70"/>
      <c r="T272" s="64"/>
      <c r="X272">
        <v>0.123</v>
      </c>
      <c r="Y272" s="258" t="s">
        <v>1313</v>
      </c>
      <c r="AA272" s="259" t="s">
        <v>1314</v>
      </c>
      <c r="AB272" s="20" t="s">
        <v>1061</v>
      </c>
      <c r="AC272">
        <f t="shared" si="7"/>
        <v>1145000000</v>
      </c>
      <c r="AE272" s="18" t="s">
        <v>1315</v>
      </c>
      <c r="AF272" s="1" t="b">
        <v>1</v>
      </c>
    </row>
    <row r="273" spans="2:32" ht="16.5" customHeight="1">
      <c r="B273" s="1" t="str">
        <f t="shared" si="6"/>
        <v>M_TDIF04_VM_BKT_1.3_230</v>
      </c>
      <c r="C273" s="92" t="s">
        <v>700</v>
      </c>
      <c r="D273" s="92" t="str" cm="1">
        <f t="array" ref="D273">INDEX(기계코드!$D$4:$D$214,MATCH(1,(C273=기계코드!$F$4:$F$214)*1,0))</f>
        <v>M_TDIF04</v>
      </c>
      <c r="E273" s="92" t="s">
        <v>1128</v>
      </c>
      <c r="F273" s="7" t="str" cm="1">
        <f t="array" ref="F273">INDEX(공급업체코드!$B$3:$B$1000,MATCH(1,(E273=공급업체코드!$D$3:$D$1000)*1,0))</f>
        <v>VM_BKT</v>
      </c>
      <c r="G273" s="18" t="s">
        <v>1881</v>
      </c>
      <c r="H273" s="64"/>
      <c r="I273" s="64"/>
      <c r="J273" s="64"/>
      <c r="K273" s="300">
        <v>1.1000000000000001</v>
      </c>
      <c r="L273" s="300">
        <v>1.3</v>
      </c>
      <c r="M273" s="64">
        <v>230</v>
      </c>
      <c r="N273" s="64"/>
      <c r="O273" s="64"/>
      <c r="P273" s="64"/>
      <c r="Q273" s="64"/>
      <c r="R273" s="70"/>
      <c r="T273" s="64"/>
      <c r="X273">
        <v>0.123</v>
      </c>
      <c r="Y273" s="258" t="s">
        <v>1313</v>
      </c>
      <c r="AA273" s="259" t="s">
        <v>1314</v>
      </c>
      <c r="AB273" s="20" t="s">
        <v>1061</v>
      </c>
      <c r="AC273">
        <f t="shared" si="7"/>
        <v>1150000000</v>
      </c>
      <c r="AE273" s="18" t="s">
        <v>1315</v>
      </c>
      <c r="AF273" s="1" t="b">
        <v>1</v>
      </c>
    </row>
    <row r="274" spans="2:32" ht="16.5" customHeight="1">
      <c r="B274" s="1" t="str">
        <f t="shared" si="6"/>
        <v>M_TDIF04_VM_BKT_1.3_231</v>
      </c>
      <c r="C274" s="92" t="s">
        <v>700</v>
      </c>
      <c r="D274" s="92" t="str" cm="1">
        <f t="array" ref="D274">INDEX(기계코드!$D$4:$D$214,MATCH(1,(C274=기계코드!$F$4:$F$214)*1,0))</f>
        <v>M_TDIF04</v>
      </c>
      <c r="E274" s="92" t="s">
        <v>1128</v>
      </c>
      <c r="F274" s="7" t="str" cm="1">
        <f t="array" ref="F274">INDEX(공급업체코드!$B$3:$B$1000,MATCH(1,(E274=공급업체코드!$D$3:$D$1000)*1,0))</f>
        <v>VM_BKT</v>
      </c>
      <c r="G274" s="18" t="s">
        <v>1881</v>
      </c>
      <c r="H274" s="64"/>
      <c r="I274" s="64"/>
      <c r="J274" s="64"/>
      <c r="K274" s="300">
        <v>1.1000000000000001</v>
      </c>
      <c r="L274" s="300">
        <v>1.3</v>
      </c>
      <c r="M274" s="64">
        <v>231</v>
      </c>
      <c r="N274" s="64"/>
      <c r="O274" s="64"/>
      <c r="P274" s="64"/>
      <c r="Q274" s="64"/>
      <c r="R274" s="70"/>
      <c r="T274" s="64"/>
      <c r="X274">
        <v>0.123</v>
      </c>
      <c r="Y274" s="258" t="s">
        <v>1313</v>
      </c>
      <c r="AA274" s="259" t="s">
        <v>1314</v>
      </c>
      <c r="AB274" s="20" t="s">
        <v>1061</v>
      </c>
      <c r="AC274">
        <f t="shared" si="7"/>
        <v>1155000000</v>
      </c>
      <c r="AE274" s="18" t="s">
        <v>1315</v>
      </c>
      <c r="AF274" s="1" t="b">
        <v>1</v>
      </c>
    </row>
    <row r="275" spans="2:32" ht="16.5" customHeight="1">
      <c r="B275" s="1" t="str">
        <f t="shared" si="6"/>
        <v>M_TDIF04_VM_BKT_1.3_232</v>
      </c>
      <c r="C275" s="92" t="s">
        <v>700</v>
      </c>
      <c r="D275" s="92" t="str" cm="1">
        <f t="array" ref="D275">INDEX(기계코드!$D$4:$D$214,MATCH(1,(C275=기계코드!$F$4:$F$214)*1,0))</f>
        <v>M_TDIF04</v>
      </c>
      <c r="E275" s="92" t="s">
        <v>1128</v>
      </c>
      <c r="F275" s="7" t="str" cm="1">
        <f t="array" ref="F275">INDEX(공급업체코드!$B$3:$B$1000,MATCH(1,(E275=공급업체코드!$D$3:$D$1000)*1,0))</f>
        <v>VM_BKT</v>
      </c>
      <c r="G275" s="18" t="s">
        <v>1881</v>
      </c>
      <c r="H275" s="64"/>
      <c r="I275" s="64"/>
      <c r="J275" s="64"/>
      <c r="K275" s="300">
        <v>1.1000000000000001</v>
      </c>
      <c r="L275" s="300">
        <v>1.3</v>
      </c>
      <c r="M275" s="64">
        <v>232</v>
      </c>
      <c r="N275" s="64"/>
      <c r="O275" s="64"/>
      <c r="P275" s="64"/>
      <c r="Q275" s="64"/>
      <c r="R275" s="70"/>
      <c r="T275" s="64"/>
      <c r="X275">
        <v>0.123</v>
      </c>
      <c r="Y275" s="258" t="s">
        <v>1313</v>
      </c>
      <c r="AA275" s="259" t="s">
        <v>1314</v>
      </c>
      <c r="AB275" s="20" t="s">
        <v>1061</v>
      </c>
      <c r="AC275">
        <f t="shared" si="7"/>
        <v>1160000000</v>
      </c>
      <c r="AE275" s="18" t="s">
        <v>1315</v>
      </c>
      <c r="AF275" s="1" t="b">
        <v>1</v>
      </c>
    </row>
    <row r="276" spans="2:32" ht="16.5" customHeight="1">
      <c r="B276" s="1" t="str">
        <f t="shared" si="6"/>
        <v>M_TDIF04_VM_BKT_1.3_233</v>
      </c>
      <c r="C276" s="92" t="s">
        <v>700</v>
      </c>
      <c r="D276" s="92" t="str" cm="1">
        <f t="array" ref="D276">INDEX(기계코드!$D$4:$D$214,MATCH(1,(C276=기계코드!$F$4:$F$214)*1,0))</f>
        <v>M_TDIF04</v>
      </c>
      <c r="E276" s="92" t="s">
        <v>1128</v>
      </c>
      <c r="F276" s="7" t="str" cm="1">
        <f t="array" ref="F276">INDEX(공급업체코드!$B$3:$B$1000,MATCH(1,(E276=공급업체코드!$D$3:$D$1000)*1,0))</f>
        <v>VM_BKT</v>
      </c>
      <c r="G276" s="18" t="s">
        <v>1881</v>
      </c>
      <c r="H276" s="64"/>
      <c r="I276" s="64"/>
      <c r="J276" s="64"/>
      <c r="K276" s="300">
        <v>1.1000000000000001</v>
      </c>
      <c r="L276" s="300">
        <v>1.3</v>
      </c>
      <c r="M276" s="64">
        <v>233</v>
      </c>
      <c r="N276" s="64"/>
      <c r="O276" s="64"/>
      <c r="P276" s="64"/>
      <c r="Q276" s="64"/>
      <c r="R276" s="70"/>
      <c r="T276" s="64"/>
      <c r="X276">
        <v>0.123</v>
      </c>
      <c r="Y276" s="258" t="s">
        <v>1313</v>
      </c>
      <c r="AA276" s="259" t="s">
        <v>1314</v>
      </c>
      <c r="AB276" s="20" t="s">
        <v>1061</v>
      </c>
      <c r="AC276">
        <f t="shared" si="7"/>
        <v>1165000000</v>
      </c>
      <c r="AE276" s="18" t="s">
        <v>1315</v>
      </c>
      <c r="AF276" s="1" t="b">
        <v>1</v>
      </c>
    </row>
    <row r="277" spans="2:32" ht="16.5" customHeight="1">
      <c r="B277" s="1" t="str">
        <f t="shared" si="6"/>
        <v>M_TDIF04_VM_BKT_1.3_234</v>
      </c>
      <c r="C277" s="92" t="s">
        <v>700</v>
      </c>
      <c r="D277" s="92" t="str" cm="1">
        <f t="array" ref="D277">INDEX(기계코드!$D$4:$D$214,MATCH(1,(C277=기계코드!$F$4:$F$214)*1,0))</f>
        <v>M_TDIF04</v>
      </c>
      <c r="E277" s="92" t="s">
        <v>1128</v>
      </c>
      <c r="F277" s="7" t="str" cm="1">
        <f t="array" ref="F277">INDEX(공급업체코드!$B$3:$B$1000,MATCH(1,(E277=공급업체코드!$D$3:$D$1000)*1,0))</f>
        <v>VM_BKT</v>
      </c>
      <c r="G277" s="18" t="s">
        <v>1881</v>
      </c>
      <c r="H277" s="64"/>
      <c r="I277" s="64"/>
      <c r="J277" s="64"/>
      <c r="K277" s="300">
        <v>1.1000000000000001</v>
      </c>
      <c r="L277" s="300">
        <v>1.3</v>
      </c>
      <c r="M277" s="64">
        <v>234</v>
      </c>
      <c r="N277" s="64"/>
      <c r="O277" s="64"/>
      <c r="P277" s="64"/>
      <c r="Q277" s="64"/>
      <c r="R277" s="70"/>
      <c r="T277" s="64"/>
      <c r="X277">
        <v>0.123</v>
      </c>
      <c r="Y277" s="258" t="s">
        <v>1313</v>
      </c>
      <c r="AA277" s="259" t="s">
        <v>1314</v>
      </c>
      <c r="AB277" s="20" t="s">
        <v>1061</v>
      </c>
      <c r="AC277">
        <f t="shared" si="7"/>
        <v>1170000000</v>
      </c>
      <c r="AE277" s="18" t="s">
        <v>1315</v>
      </c>
      <c r="AF277" s="1" t="b">
        <v>1</v>
      </c>
    </row>
    <row r="278" spans="2:32" ht="16.5" customHeight="1">
      <c r="B278" s="1" t="str">
        <f t="shared" si="6"/>
        <v>M_TDIF04_VM_BKT_1.3_235</v>
      </c>
      <c r="C278" s="92" t="s">
        <v>700</v>
      </c>
      <c r="D278" s="92" t="str" cm="1">
        <f t="array" ref="D278">INDEX(기계코드!$D$4:$D$214,MATCH(1,(C278=기계코드!$F$4:$F$214)*1,0))</f>
        <v>M_TDIF04</v>
      </c>
      <c r="E278" s="92" t="s">
        <v>1128</v>
      </c>
      <c r="F278" s="7" t="str" cm="1">
        <f t="array" ref="F278">INDEX(공급업체코드!$B$3:$B$1000,MATCH(1,(E278=공급업체코드!$D$3:$D$1000)*1,0))</f>
        <v>VM_BKT</v>
      </c>
      <c r="G278" s="18" t="s">
        <v>1881</v>
      </c>
      <c r="H278" s="64"/>
      <c r="I278" s="64"/>
      <c r="J278" s="64"/>
      <c r="K278" s="300">
        <v>1.1000000000000001</v>
      </c>
      <c r="L278" s="300">
        <v>1.3</v>
      </c>
      <c r="M278" s="64">
        <v>235</v>
      </c>
      <c r="N278" s="64"/>
      <c r="O278" s="64"/>
      <c r="P278" s="64"/>
      <c r="Q278" s="64"/>
      <c r="R278" s="70"/>
      <c r="T278" s="64"/>
      <c r="X278">
        <v>0.123</v>
      </c>
      <c r="Y278" s="258" t="s">
        <v>1313</v>
      </c>
      <c r="AA278" s="259" t="s">
        <v>1314</v>
      </c>
      <c r="AB278" s="20" t="s">
        <v>1061</v>
      </c>
      <c r="AC278">
        <f t="shared" si="7"/>
        <v>1175000000</v>
      </c>
      <c r="AE278" s="18" t="s">
        <v>1315</v>
      </c>
      <c r="AF278" s="1" t="b">
        <v>1</v>
      </c>
    </row>
    <row r="279" spans="2:32" ht="16.5" customHeight="1">
      <c r="B279" s="1" t="str">
        <f t="shared" si="6"/>
        <v>M_TDIF04_VM_BKT_1.3_236</v>
      </c>
      <c r="C279" s="92" t="s">
        <v>700</v>
      </c>
      <c r="D279" s="92" t="str" cm="1">
        <f t="array" ref="D279">INDEX(기계코드!$D$4:$D$214,MATCH(1,(C279=기계코드!$F$4:$F$214)*1,0))</f>
        <v>M_TDIF04</v>
      </c>
      <c r="E279" s="92" t="s">
        <v>1128</v>
      </c>
      <c r="F279" s="7" t="str" cm="1">
        <f t="array" ref="F279">INDEX(공급업체코드!$B$3:$B$1000,MATCH(1,(E279=공급업체코드!$D$3:$D$1000)*1,0))</f>
        <v>VM_BKT</v>
      </c>
      <c r="G279" s="18" t="s">
        <v>1881</v>
      </c>
      <c r="H279" s="64"/>
      <c r="I279" s="64"/>
      <c r="J279" s="64"/>
      <c r="K279" s="300">
        <v>1.1000000000000001</v>
      </c>
      <c r="L279" s="300">
        <v>1.3</v>
      </c>
      <c r="M279" s="64">
        <v>236</v>
      </c>
      <c r="N279" s="64"/>
      <c r="O279" s="64"/>
      <c r="P279" s="64"/>
      <c r="Q279" s="64"/>
      <c r="R279" s="70"/>
      <c r="T279" s="64"/>
      <c r="X279">
        <v>0.123</v>
      </c>
      <c r="Y279" s="258" t="s">
        <v>1313</v>
      </c>
      <c r="AA279" s="259" t="s">
        <v>1314</v>
      </c>
      <c r="AB279" s="20" t="s">
        <v>1061</v>
      </c>
      <c r="AC279">
        <f t="shared" si="7"/>
        <v>1180000000</v>
      </c>
      <c r="AE279" s="18" t="s">
        <v>1315</v>
      </c>
      <c r="AF279" s="1" t="b">
        <v>1</v>
      </c>
    </row>
    <row r="280" spans="2:32" ht="16.5" customHeight="1">
      <c r="B280" s="1" t="str">
        <f t="shared" si="6"/>
        <v>M_TDIF04_VM_BKT_1.3_237</v>
      </c>
      <c r="C280" s="92" t="s">
        <v>700</v>
      </c>
      <c r="D280" s="92" t="str" cm="1">
        <f t="array" ref="D280">INDEX(기계코드!$D$4:$D$214,MATCH(1,(C280=기계코드!$F$4:$F$214)*1,0))</f>
        <v>M_TDIF04</v>
      </c>
      <c r="E280" s="92" t="s">
        <v>1128</v>
      </c>
      <c r="F280" s="7" t="str" cm="1">
        <f t="array" ref="F280">INDEX(공급업체코드!$B$3:$B$1000,MATCH(1,(E280=공급업체코드!$D$3:$D$1000)*1,0))</f>
        <v>VM_BKT</v>
      </c>
      <c r="G280" s="18" t="s">
        <v>1881</v>
      </c>
      <c r="H280" s="64"/>
      <c r="I280" s="64"/>
      <c r="J280" s="64"/>
      <c r="K280" s="300">
        <v>1.1000000000000001</v>
      </c>
      <c r="L280" s="300">
        <v>1.3</v>
      </c>
      <c r="M280" s="64">
        <v>237</v>
      </c>
      <c r="N280" s="64"/>
      <c r="O280" s="64"/>
      <c r="P280" s="64"/>
      <c r="Q280" s="64"/>
      <c r="R280" s="70"/>
      <c r="T280" s="64"/>
      <c r="X280">
        <v>0.123</v>
      </c>
      <c r="Y280" s="258" t="s">
        <v>1313</v>
      </c>
      <c r="AA280" s="259" t="s">
        <v>1314</v>
      </c>
      <c r="AB280" s="20" t="s">
        <v>1061</v>
      </c>
      <c r="AC280">
        <f t="shared" si="7"/>
        <v>1185000000</v>
      </c>
      <c r="AE280" s="18" t="s">
        <v>1315</v>
      </c>
      <c r="AF280" s="1" t="b">
        <v>1</v>
      </c>
    </row>
    <row r="281" spans="2:32" ht="16.5" customHeight="1">
      <c r="B281" s="1" t="str">
        <f t="shared" si="6"/>
        <v>M_TDIF04_VM_BKT_1.3_238</v>
      </c>
      <c r="C281" s="92" t="s">
        <v>700</v>
      </c>
      <c r="D281" s="92" t="str" cm="1">
        <f t="array" ref="D281">INDEX(기계코드!$D$4:$D$214,MATCH(1,(C281=기계코드!$F$4:$F$214)*1,0))</f>
        <v>M_TDIF04</v>
      </c>
      <c r="E281" s="92" t="s">
        <v>1128</v>
      </c>
      <c r="F281" s="7" t="str" cm="1">
        <f t="array" ref="F281">INDEX(공급업체코드!$B$3:$B$1000,MATCH(1,(E281=공급업체코드!$D$3:$D$1000)*1,0))</f>
        <v>VM_BKT</v>
      </c>
      <c r="G281" s="18" t="s">
        <v>1881</v>
      </c>
      <c r="H281" s="64"/>
      <c r="I281" s="64"/>
      <c r="J281" s="64"/>
      <c r="K281" s="300">
        <v>1.1000000000000001</v>
      </c>
      <c r="L281" s="300">
        <v>1.3</v>
      </c>
      <c r="M281" s="64">
        <v>238</v>
      </c>
      <c r="N281" s="64"/>
      <c r="O281" s="64"/>
      <c r="P281" s="64"/>
      <c r="Q281" s="64"/>
      <c r="R281" s="70"/>
      <c r="T281" s="64"/>
      <c r="X281">
        <v>0.123</v>
      </c>
      <c r="Y281" s="258" t="s">
        <v>1313</v>
      </c>
      <c r="AA281" s="259" t="s">
        <v>1314</v>
      </c>
      <c r="AB281" s="20" t="s">
        <v>1061</v>
      </c>
      <c r="AC281">
        <f t="shared" si="7"/>
        <v>1190000000</v>
      </c>
      <c r="AE281" s="18" t="s">
        <v>1315</v>
      </c>
      <c r="AF281" s="1" t="b">
        <v>1</v>
      </c>
    </row>
    <row r="282" spans="2:32" ht="16.5" customHeight="1">
      <c r="B282" s="1" t="str">
        <f t="shared" si="6"/>
        <v>M_TDIF04_VM_BKT_1.3_239</v>
      </c>
      <c r="C282" s="92" t="s">
        <v>700</v>
      </c>
      <c r="D282" s="92" t="str" cm="1">
        <f t="array" ref="D282">INDEX(기계코드!$D$4:$D$214,MATCH(1,(C282=기계코드!$F$4:$F$214)*1,0))</f>
        <v>M_TDIF04</v>
      </c>
      <c r="E282" s="92" t="s">
        <v>1128</v>
      </c>
      <c r="F282" s="7" t="str" cm="1">
        <f t="array" ref="F282">INDEX(공급업체코드!$B$3:$B$1000,MATCH(1,(E282=공급업체코드!$D$3:$D$1000)*1,0))</f>
        <v>VM_BKT</v>
      </c>
      <c r="G282" s="18" t="s">
        <v>1881</v>
      </c>
      <c r="H282" s="64"/>
      <c r="I282" s="64"/>
      <c r="J282" s="64"/>
      <c r="K282" s="300">
        <v>1.1000000000000001</v>
      </c>
      <c r="L282" s="300">
        <v>1.3</v>
      </c>
      <c r="M282" s="64">
        <v>239</v>
      </c>
      <c r="N282" s="64"/>
      <c r="O282" s="64"/>
      <c r="P282" s="64"/>
      <c r="Q282" s="64"/>
      <c r="R282" s="70"/>
      <c r="T282" s="64"/>
      <c r="X282">
        <v>0.123</v>
      </c>
      <c r="Y282" s="258" t="s">
        <v>1313</v>
      </c>
      <c r="AA282" s="259" t="s">
        <v>1314</v>
      </c>
      <c r="AB282" s="20" t="s">
        <v>1061</v>
      </c>
      <c r="AC282">
        <f t="shared" si="7"/>
        <v>1195000000</v>
      </c>
      <c r="AE282" s="18" t="s">
        <v>1315</v>
      </c>
      <c r="AF282" s="1" t="b">
        <v>1</v>
      </c>
    </row>
    <row r="283" spans="2:32" ht="16.5" customHeight="1">
      <c r="B283" s="1" t="str">
        <f t="shared" si="6"/>
        <v>M_TDIF04_VM_BKT_1.3_240</v>
      </c>
      <c r="C283" s="92" t="s">
        <v>700</v>
      </c>
      <c r="D283" s="92" t="str" cm="1">
        <f t="array" ref="D283">INDEX(기계코드!$D$4:$D$214,MATCH(1,(C283=기계코드!$F$4:$F$214)*1,0))</f>
        <v>M_TDIF04</v>
      </c>
      <c r="E283" s="92" t="s">
        <v>1128</v>
      </c>
      <c r="F283" s="7" t="str" cm="1">
        <f t="array" ref="F283">INDEX(공급업체코드!$B$3:$B$1000,MATCH(1,(E283=공급업체코드!$D$3:$D$1000)*1,0))</f>
        <v>VM_BKT</v>
      </c>
      <c r="G283" s="18" t="s">
        <v>1881</v>
      </c>
      <c r="H283" s="64"/>
      <c r="I283" s="64"/>
      <c r="J283" s="64"/>
      <c r="K283" s="300">
        <v>1.1000000000000001</v>
      </c>
      <c r="L283" s="300">
        <v>1.3</v>
      </c>
      <c r="M283" s="64">
        <v>240</v>
      </c>
      <c r="N283" s="64"/>
      <c r="O283" s="64"/>
      <c r="P283" s="64"/>
      <c r="Q283" s="64"/>
      <c r="R283" s="70"/>
      <c r="T283" s="64"/>
      <c r="X283">
        <v>0.123</v>
      </c>
      <c r="Y283" s="258" t="s">
        <v>1313</v>
      </c>
      <c r="AA283" s="259" t="s">
        <v>1314</v>
      </c>
      <c r="AB283" s="20" t="s">
        <v>1061</v>
      </c>
      <c r="AC283">
        <f t="shared" si="7"/>
        <v>1200000000</v>
      </c>
      <c r="AE283" s="18" t="s">
        <v>1315</v>
      </c>
      <c r="AF283" s="1" t="b">
        <v>1</v>
      </c>
    </row>
    <row r="284" spans="2:32" ht="16.5" customHeight="1">
      <c r="B284" s="1" t="str">
        <f t="shared" si="6"/>
        <v>M_TDIF04_VM_BKT_1.3_241</v>
      </c>
      <c r="C284" s="92" t="s">
        <v>700</v>
      </c>
      <c r="D284" s="92" t="str" cm="1">
        <f t="array" ref="D284">INDEX(기계코드!$D$4:$D$214,MATCH(1,(C284=기계코드!$F$4:$F$214)*1,0))</f>
        <v>M_TDIF04</v>
      </c>
      <c r="E284" s="92" t="s">
        <v>1128</v>
      </c>
      <c r="F284" s="7" t="str" cm="1">
        <f t="array" ref="F284">INDEX(공급업체코드!$B$3:$B$1000,MATCH(1,(E284=공급업체코드!$D$3:$D$1000)*1,0))</f>
        <v>VM_BKT</v>
      </c>
      <c r="G284" s="18" t="s">
        <v>1881</v>
      </c>
      <c r="H284" s="64"/>
      <c r="I284" s="64"/>
      <c r="J284" s="64"/>
      <c r="K284" s="300">
        <v>1.1000000000000001</v>
      </c>
      <c r="L284" s="300">
        <v>1.3</v>
      </c>
      <c r="M284" s="64">
        <v>241</v>
      </c>
      <c r="N284" s="64"/>
      <c r="O284" s="64"/>
      <c r="P284" s="64"/>
      <c r="Q284" s="64"/>
      <c r="R284" s="70"/>
      <c r="T284" s="64"/>
      <c r="X284">
        <v>0.123</v>
      </c>
      <c r="Y284" s="258" t="s">
        <v>1313</v>
      </c>
      <c r="AA284" s="259" t="s">
        <v>1314</v>
      </c>
      <c r="AB284" s="20" t="s">
        <v>1061</v>
      </c>
      <c r="AC284">
        <f t="shared" si="7"/>
        <v>1205000000</v>
      </c>
      <c r="AE284" s="18" t="s">
        <v>1315</v>
      </c>
      <c r="AF284" s="1" t="b">
        <v>1</v>
      </c>
    </row>
    <row r="285" spans="2:32" ht="16.5" customHeight="1">
      <c r="B285" s="1" t="str">
        <f t="shared" si="6"/>
        <v>M_TDIF04_VM_BKT_1.3_242</v>
      </c>
      <c r="C285" s="92" t="s">
        <v>700</v>
      </c>
      <c r="D285" s="92" t="str" cm="1">
        <f t="array" ref="D285">INDEX(기계코드!$D$4:$D$214,MATCH(1,(C285=기계코드!$F$4:$F$214)*1,0))</f>
        <v>M_TDIF04</v>
      </c>
      <c r="E285" s="92" t="s">
        <v>1128</v>
      </c>
      <c r="F285" s="7" t="str" cm="1">
        <f t="array" ref="F285">INDEX(공급업체코드!$B$3:$B$1000,MATCH(1,(E285=공급업체코드!$D$3:$D$1000)*1,0))</f>
        <v>VM_BKT</v>
      </c>
      <c r="G285" s="18" t="s">
        <v>1881</v>
      </c>
      <c r="H285" s="64"/>
      <c r="I285" s="64"/>
      <c r="J285" s="64"/>
      <c r="K285" s="300">
        <v>1.1000000000000001</v>
      </c>
      <c r="L285" s="300">
        <v>1.3</v>
      </c>
      <c r="M285" s="64">
        <v>242</v>
      </c>
      <c r="N285" s="64"/>
      <c r="O285" s="64"/>
      <c r="P285" s="64"/>
      <c r="Q285" s="64"/>
      <c r="R285" s="70"/>
      <c r="T285" s="64"/>
      <c r="X285">
        <v>0.123</v>
      </c>
      <c r="Y285" s="258" t="s">
        <v>1313</v>
      </c>
      <c r="AA285" s="259" t="s">
        <v>1314</v>
      </c>
      <c r="AB285" s="20" t="s">
        <v>1061</v>
      </c>
      <c r="AC285">
        <f t="shared" si="7"/>
        <v>1210000000</v>
      </c>
      <c r="AE285" s="18" t="s">
        <v>1315</v>
      </c>
      <c r="AF285" s="1" t="b">
        <v>1</v>
      </c>
    </row>
    <row r="286" spans="2:32" ht="16.5" customHeight="1">
      <c r="B286" s="1" t="str">
        <f t="shared" si="6"/>
        <v>M_TDIF04_VM_BKT_1.3_243</v>
      </c>
      <c r="C286" s="92" t="s">
        <v>700</v>
      </c>
      <c r="D286" s="92" t="str" cm="1">
        <f t="array" ref="D286">INDEX(기계코드!$D$4:$D$214,MATCH(1,(C286=기계코드!$F$4:$F$214)*1,0))</f>
        <v>M_TDIF04</v>
      </c>
      <c r="E286" s="92" t="s">
        <v>1128</v>
      </c>
      <c r="F286" s="7" t="str" cm="1">
        <f t="array" ref="F286">INDEX(공급업체코드!$B$3:$B$1000,MATCH(1,(E286=공급업체코드!$D$3:$D$1000)*1,0))</f>
        <v>VM_BKT</v>
      </c>
      <c r="G286" s="18" t="s">
        <v>1881</v>
      </c>
      <c r="H286" s="64"/>
      <c r="I286" s="64"/>
      <c r="J286" s="64"/>
      <c r="K286" s="300">
        <v>1.1000000000000001</v>
      </c>
      <c r="L286" s="300">
        <v>1.3</v>
      </c>
      <c r="M286" s="64">
        <v>243</v>
      </c>
      <c r="N286" s="64"/>
      <c r="O286" s="64"/>
      <c r="P286" s="64"/>
      <c r="Q286" s="64"/>
      <c r="R286" s="70"/>
      <c r="T286" s="64"/>
      <c r="X286">
        <v>0.123</v>
      </c>
      <c r="Y286" s="258" t="s">
        <v>1313</v>
      </c>
      <c r="AA286" s="259" t="s">
        <v>1314</v>
      </c>
      <c r="AB286" s="20" t="s">
        <v>1061</v>
      </c>
      <c r="AC286">
        <f t="shared" si="7"/>
        <v>1215000000</v>
      </c>
      <c r="AE286" s="18" t="s">
        <v>1315</v>
      </c>
      <c r="AF286" s="1" t="b">
        <v>1</v>
      </c>
    </row>
    <row r="287" spans="2:32" ht="16.5" customHeight="1">
      <c r="B287" s="1" t="str">
        <f t="shared" si="6"/>
        <v>M_TDIF04_VM_BKT_1.3_244</v>
      </c>
      <c r="C287" s="92" t="s">
        <v>700</v>
      </c>
      <c r="D287" s="92" t="str" cm="1">
        <f t="array" ref="D287">INDEX(기계코드!$D$4:$D$214,MATCH(1,(C287=기계코드!$F$4:$F$214)*1,0))</f>
        <v>M_TDIF04</v>
      </c>
      <c r="E287" s="92" t="s">
        <v>1128</v>
      </c>
      <c r="F287" s="7" t="str" cm="1">
        <f t="array" ref="F287">INDEX(공급업체코드!$B$3:$B$1000,MATCH(1,(E287=공급업체코드!$D$3:$D$1000)*1,0))</f>
        <v>VM_BKT</v>
      </c>
      <c r="G287" s="18" t="s">
        <v>1881</v>
      </c>
      <c r="H287" s="64"/>
      <c r="I287" s="64"/>
      <c r="J287" s="64"/>
      <c r="K287" s="300">
        <v>1.1000000000000001</v>
      </c>
      <c r="L287" s="300">
        <v>1.3</v>
      </c>
      <c r="M287" s="64">
        <v>244</v>
      </c>
      <c r="N287" s="64"/>
      <c r="O287" s="64"/>
      <c r="P287" s="64"/>
      <c r="Q287" s="64"/>
      <c r="R287" s="70"/>
      <c r="T287" s="64"/>
      <c r="X287">
        <v>0.123</v>
      </c>
      <c r="Y287" s="258" t="s">
        <v>1313</v>
      </c>
      <c r="AA287" s="259" t="s">
        <v>1314</v>
      </c>
      <c r="AB287" s="20" t="s">
        <v>1061</v>
      </c>
      <c r="AC287">
        <f t="shared" si="7"/>
        <v>1220000000</v>
      </c>
      <c r="AE287" s="18" t="s">
        <v>1315</v>
      </c>
      <c r="AF287" s="1" t="b">
        <v>1</v>
      </c>
    </row>
    <row r="288" spans="2:32" ht="16.5" customHeight="1">
      <c r="B288" s="1" t="str">
        <f t="shared" si="6"/>
        <v>M_TDIF04_VM_BKT_1.3_245</v>
      </c>
      <c r="C288" s="92" t="s">
        <v>700</v>
      </c>
      <c r="D288" s="92" t="str" cm="1">
        <f t="array" ref="D288">INDEX(기계코드!$D$4:$D$214,MATCH(1,(C288=기계코드!$F$4:$F$214)*1,0))</f>
        <v>M_TDIF04</v>
      </c>
      <c r="E288" s="92" t="s">
        <v>1128</v>
      </c>
      <c r="F288" s="7" t="str" cm="1">
        <f t="array" ref="F288">INDEX(공급업체코드!$B$3:$B$1000,MATCH(1,(E288=공급업체코드!$D$3:$D$1000)*1,0))</f>
        <v>VM_BKT</v>
      </c>
      <c r="G288" s="18" t="s">
        <v>1881</v>
      </c>
      <c r="H288" s="64"/>
      <c r="I288" s="64"/>
      <c r="J288" s="64"/>
      <c r="K288" s="300">
        <v>1.1000000000000001</v>
      </c>
      <c r="L288" s="300">
        <v>1.3</v>
      </c>
      <c r="M288" s="64">
        <v>245</v>
      </c>
      <c r="N288" s="64"/>
      <c r="O288" s="64"/>
      <c r="P288" s="64"/>
      <c r="Q288" s="64"/>
      <c r="R288" s="70"/>
      <c r="T288" s="64"/>
      <c r="X288">
        <v>0.123</v>
      </c>
      <c r="Y288" s="258" t="s">
        <v>1313</v>
      </c>
      <c r="AA288" s="259" t="s">
        <v>1314</v>
      </c>
      <c r="AB288" s="20" t="s">
        <v>1061</v>
      </c>
      <c r="AC288">
        <f t="shared" si="7"/>
        <v>1225000000</v>
      </c>
      <c r="AE288" s="18" t="s">
        <v>1315</v>
      </c>
      <c r="AF288" s="1" t="b">
        <v>1</v>
      </c>
    </row>
    <row r="289" spans="2:32" ht="16.5" customHeight="1">
      <c r="B289" s="1" t="str">
        <f t="shared" si="6"/>
        <v>M_TDIF04_VM_BKT_1.3_246</v>
      </c>
      <c r="C289" s="92" t="s">
        <v>700</v>
      </c>
      <c r="D289" s="92" t="str" cm="1">
        <f t="array" ref="D289">INDEX(기계코드!$D$4:$D$214,MATCH(1,(C289=기계코드!$F$4:$F$214)*1,0))</f>
        <v>M_TDIF04</v>
      </c>
      <c r="E289" s="92" t="s">
        <v>1128</v>
      </c>
      <c r="F289" s="7" t="str" cm="1">
        <f t="array" ref="F289">INDEX(공급업체코드!$B$3:$B$1000,MATCH(1,(E289=공급업체코드!$D$3:$D$1000)*1,0))</f>
        <v>VM_BKT</v>
      </c>
      <c r="G289" s="18" t="s">
        <v>1881</v>
      </c>
      <c r="H289" s="64"/>
      <c r="I289" s="64"/>
      <c r="J289" s="64"/>
      <c r="K289" s="300">
        <v>1.1000000000000001</v>
      </c>
      <c r="L289" s="300">
        <v>1.3</v>
      </c>
      <c r="M289" s="64">
        <v>246</v>
      </c>
      <c r="N289" s="64"/>
      <c r="O289" s="64"/>
      <c r="P289" s="64"/>
      <c r="Q289" s="64"/>
      <c r="R289" s="70"/>
      <c r="T289" s="64"/>
      <c r="X289">
        <v>0.123</v>
      </c>
      <c r="Y289" s="258" t="s">
        <v>1313</v>
      </c>
      <c r="AA289" s="259" t="s">
        <v>1314</v>
      </c>
      <c r="AB289" s="20" t="s">
        <v>1061</v>
      </c>
      <c r="AC289">
        <f t="shared" si="7"/>
        <v>1230000000</v>
      </c>
      <c r="AE289" s="18" t="s">
        <v>1315</v>
      </c>
      <c r="AF289" s="1" t="b">
        <v>1</v>
      </c>
    </row>
    <row r="290" spans="2:32" ht="16.5" customHeight="1">
      <c r="B290" s="1" t="str">
        <f t="shared" si="6"/>
        <v>M_TDIF04_VM_BKT_1.3_247</v>
      </c>
      <c r="C290" s="92" t="s">
        <v>700</v>
      </c>
      <c r="D290" s="92" t="str" cm="1">
        <f t="array" ref="D290">INDEX(기계코드!$D$4:$D$214,MATCH(1,(C290=기계코드!$F$4:$F$214)*1,0))</f>
        <v>M_TDIF04</v>
      </c>
      <c r="E290" s="92" t="s">
        <v>1128</v>
      </c>
      <c r="F290" s="7" t="str" cm="1">
        <f t="array" ref="F290">INDEX(공급업체코드!$B$3:$B$1000,MATCH(1,(E290=공급업체코드!$D$3:$D$1000)*1,0))</f>
        <v>VM_BKT</v>
      </c>
      <c r="G290" s="18" t="s">
        <v>1881</v>
      </c>
      <c r="H290" s="64"/>
      <c r="I290" s="64"/>
      <c r="J290" s="64"/>
      <c r="K290" s="300">
        <v>1.1000000000000001</v>
      </c>
      <c r="L290" s="300">
        <v>1.3</v>
      </c>
      <c r="M290" s="64">
        <v>247</v>
      </c>
      <c r="N290" s="64"/>
      <c r="O290" s="64"/>
      <c r="P290" s="64"/>
      <c r="Q290" s="64"/>
      <c r="R290" s="70"/>
      <c r="T290" s="64"/>
      <c r="X290">
        <v>0.123</v>
      </c>
      <c r="Y290" s="258" t="s">
        <v>1313</v>
      </c>
      <c r="AA290" s="259" t="s">
        <v>1314</v>
      </c>
      <c r="AB290" s="20" t="s">
        <v>1061</v>
      </c>
      <c r="AC290">
        <f t="shared" si="7"/>
        <v>1235000000</v>
      </c>
      <c r="AE290" s="18" t="s">
        <v>1315</v>
      </c>
      <c r="AF290" s="1" t="b">
        <v>1</v>
      </c>
    </row>
    <row r="291" spans="2:32" ht="16.5" customHeight="1">
      <c r="B291" s="1" t="str">
        <f t="shared" si="6"/>
        <v>M_TDIF04_VM_BKT_1.3_248</v>
      </c>
      <c r="C291" s="92" t="s">
        <v>700</v>
      </c>
      <c r="D291" s="92" t="str" cm="1">
        <f t="array" ref="D291">INDEX(기계코드!$D$4:$D$214,MATCH(1,(C291=기계코드!$F$4:$F$214)*1,0))</f>
        <v>M_TDIF04</v>
      </c>
      <c r="E291" s="92" t="s">
        <v>1128</v>
      </c>
      <c r="F291" s="7" t="str" cm="1">
        <f t="array" ref="F291">INDEX(공급업체코드!$B$3:$B$1000,MATCH(1,(E291=공급업체코드!$D$3:$D$1000)*1,0))</f>
        <v>VM_BKT</v>
      </c>
      <c r="G291" s="18" t="s">
        <v>1881</v>
      </c>
      <c r="H291" s="64"/>
      <c r="I291" s="64"/>
      <c r="J291" s="64"/>
      <c r="K291" s="300">
        <v>1.1000000000000001</v>
      </c>
      <c r="L291" s="300">
        <v>1.3</v>
      </c>
      <c r="M291" s="64">
        <v>248</v>
      </c>
      <c r="N291" s="64"/>
      <c r="O291" s="64"/>
      <c r="P291" s="64"/>
      <c r="Q291" s="64"/>
      <c r="R291" s="70"/>
      <c r="T291" s="64"/>
      <c r="X291">
        <v>0.123</v>
      </c>
      <c r="Y291" s="258" t="s">
        <v>1313</v>
      </c>
      <c r="AA291" s="259" t="s">
        <v>1314</v>
      </c>
      <c r="AB291" s="20" t="s">
        <v>1061</v>
      </c>
      <c r="AC291">
        <f t="shared" si="7"/>
        <v>1240000000</v>
      </c>
      <c r="AE291" s="18" t="s">
        <v>1315</v>
      </c>
      <c r="AF291" s="1" t="b">
        <v>1</v>
      </c>
    </row>
    <row r="292" spans="2:32" ht="16.5" customHeight="1">
      <c r="B292" s="1" t="str">
        <f t="shared" si="6"/>
        <v>M_TDIF04_VM_BKT_1.3_249</v>
      </c>
      <c r="C292" s="92" t="s">
        <v>700</v>
      </c>
      <c r="D292" s="92" t="str" cm="1">
        <f t="array" ref="D292">INDEX(기계코드!$D$4:$D$214,MATCH(1,(C292=기계코드!$F$4:$F$214)*1,0))</f>
        <v>M_TDIF04</v>
      </c>
      <c r="E292" s="92" t="s">
        <v>1128</v>
      </c>
      <c r="F292" s="7" t="str" cm="1">
        <f t="array" ref="F292">INDEX(공급업체코드!$B$3:$B$1000,MATCH(1,(E292=공급업체코드!$D$3:$D$1000)*1,0))</f>
        <v>VM_BKT</v>
      </c>
      <c r="G292" s="18" t="s">
        <v>1881</v>
      </c>
      <c r="H292" s="64"/>
      <c r="I292" s="64"/>
      <c r="J292" s="64"/>
      <c r="K292" s="300">
        <v>1.1000000000000001</v>
      </c>
      <c r="L292" s="300">
        <v>1.3</v>
      </c>
      <c r="M292" s="64">
        <v>249</v>
      </c>
      <c r="N292" s="64"/>
      <c r="O292" s="64"/>
      <c r="P292" s="64"/>
      <c r="Q292" s="64"/>
      <c r="R292" s="70"/>
      <c r="T292" s="64"/>
      <c r="X292">
        <v>0.123</v>
      </c>
      <c r="Y292" s="258" t="s">
        <v>1313</v>
      </c>
      <c r="AA292" s="259" t="s">
        <v>1314</v>
      </c>
      <c r="AB292" s="20" t="s">
        <v>1061</v>
      </c>
      <c r="AC292">
        <f t="shared" si="7"/>
        <v>1245000000</v>
      </c>
      <c r="AE292" s="18" t="s">
        <v>1315</v>
      </c>
      <c r="AF292" s="1" t="b">
        <v>1</v>
      </c>
    </row>
    <row r="293" spans="2:32" ht="16.5" customHeight="1">
      <c r="B293" s="1" t="str">
        <f t="shared" si="6"/>
        <v>M_TDIF04_VM_BKT_1.3_250</v>
      </c>
      <c r="C293" s="92" t="s">
        <v>700</v>
      </c>
      <c r="D293" s="92" t="str" cm="1">
        <f t="array" ref="D293">INDEX(기계코드!$D$4:$D$214,MATCH(1,(C293=기계코드!$F$4:$F$214)*1,0))</f>
        <v>M_TDIF04</v>
      </c>
      <c r="E293" s="92" t="s">
        <v>1128</v>
      </c>
      <c r="F293" s="7" t="str" cm="1">
        <f t="array" ref="F293">INDEX(공급업체코드!$B$3:$B$1000,MATCH(1,(E293=공급업체코드!$D$3:$D$1000)*1,0))</f>
        <v>VM_BKT</v>
      </c>
      <c r="G293" s="18" t="s">
        <v>1881</v>
      </c>
      <c r="H293" s="64"/>
      <c r="I293" s="64"/>
      <c r="J293" s="64"/>
      <c r="K293" s="300">
        <v>1.1000000000000001</v>
      </c>
      <c r="L293" s="300">
        <v>1.3</v>
      </c>
      <c r="M293" s="64">
        <v>250</v>
      </c>
      <c r="N293" s="64"/>
      <c r="O293" s="64"/>
      <c r="P293" s="64"/>
      <c r="Q293" s="64"/>
      <c r="R293" s="70"/>
      <c r="T293" s="64"/>
      <c r="X293">
        <v>0.123</v>
      </c>
      <c r="Y293" s="258" t="s">
        <v>1313</v>
      </c>
      <c r="AA293" s="259" t="s">
        <v>1314</v>
      </c>
      <c r="AB293" s="20" t="s">
        <v>1061</v>
      </c>
      <c r="AC293">
        <f t="shared" si="7"/>
        <v>1250000000</v>
      </c>
      <c r="AE293" s="18" t="s">
        <v>1315</v>
      </c>
      <c r="AF293" s="1" t="b">
        <v>1</v>
      </c>
    </row>
    <row r="294" spans="2:32" ht="16.5" customHeight="1">
      <c r="B294" s="1" t="str">
        <f t="shared" si="6"/>
        <v>M_TDIF04_VM_BKT_1.3_251</v>
      </c>
      <c r="C294" s="92" t="s">
        <v>700</v>
      </c>
      <c r="D294" s="92" t="str" cm="1">
        <f t="array" ref="D294">INDEX(기계코드!$D$4:$D$214,MATCH(1,(C294=기계코드!$F$4:$F$214)*1,0))</f>
        <v>M_TDIF04</v>
      </c>
      <c r="E294" s="92" t="s">
        <v>1128</v>
      </c>
      <c r="F294" s="7" t="str" cm="1">
        <f t="array" ref="F294">INDEX(공급업체코드!$B$3:$B$1000,MATCH(1,(E294=공급업체코드!$D$3:$D$1000)*1,0))</f>
        <v>VM_BKT</v>
      </c>
      <c r="G294" s="18" t="s">
        <v>1881</v>
      </c>
      <c r="H294" s="64"/>
      <c r="I294" s="64"/>
      <c r="J294" s="64"/>
      <c r="K294" s="300">
        <v>1.1000000000000001</v>
      </c>
      <c r="L294" s="300">
        <v>1.3</v>
      </c>
      <c r="M294" s="64">
        <v>251</v>
      </c>
      <c r="N294" s="64"/>
      <c r="O294" s="64"/>
      <c r="P294" s="64"/>
      <c r="Q294" s="64"/>
      <c r="R294" s="70"/>
      <c r="T294" s="64"/>
      <c r="X294">
        <v>0.123</v>
      </c>
      <c r="Y294" s="258" t="s">
        <v>1313</v>
      </c>
      <c r="AA294" s="259" t="s">
        <v>1314</v>
      </c>
      <c r="AB294" s="20" t="s">
        <v>1061</v>
      </c>
      <c r="AC294">
        <f t="shared" si="7"/>
        <v>1255000000</v>
      </c>
      <c r="AE294" s="18" t="s">
        <v>1315</v>
      </c>
      <c r="AF294" s="1" t="b">
        <v>1</v>
      </c>
    </row>
    <row r="295" spans="2:32" ht="16.5" customHeight="1">
      <c r="B295" s="1" t="str">
        <f t="shared" si="6"/>
        <v>M_TDIF04_VM_BKT_1.3_252</v>
      </c>
      <c r="C295" s="92" t="s">
        <v>700</v>
      </c>
      <c r="D295" s="92" t="str" cm="1">
        <f t="array" ref="D295">INDEX(기계코드!$D$4:$D$214,MATCH(1,(C295=기계코드!$F$4:$F$214)*1,0))</f>
        <v>M_TDIF04</v>
      </c>
      <c r="E295" s="92" t="s">
        <v>1128</v>
      </c>
      <c r="F295" s="7" t="str" cm="1">
        <f t="array" ref="F295">INDEX(공급업체코드!$B$3:$B$1000,MATCH(1,(E295=공급업체코드!$D$3:$D$1000)*1,0))</f>
        <v>VM_BKT</v>
      </c>
      <c r="G295" s="18" t="s">
        <v>1881</v>
      </c>
      <c r="H295" s="64"/>
      <c r="I295" s="64"/>
      <c r="J295" s="64"/>
      <c r="K295" s="300">
        <v>1.1000000000000001</v>
      </c>
      <c r="L295" s="300">
        <v>1.3</v>
      </c>
      <c r="M295" s="64">
        <v>252</v>
      </c>
      <c r="N295" s="64"/>
      <c r="O295" s="64"/>
      <c r="P295" s="64"/>
      <c r="Q295" s="64"/>
      <c r="R295" s="70"/>
      <c r="T295" s="64"/>
      <c r="X295">
        <v>0.123</v>
      </c>
      <c r="Y295" s="258" t="s">
        <v>1313</v>
      </c>
      <c r="AA295" s="259" t="s">
        <v>1314</v>
      </c>
      <c r="AB295" s="20" t="s">
        <v>1061</v>
      </c>
      <c r="AC295">
        <f t="shared" si="7"/>
        <v>1260000000</v>
      </c>
      <c r="AE295" s="18" t="s">
        <v>1315</v>
      </c>
      <c r="AF295" s="1" t="b">
        <v>1</v>
      </c>
    </row>
    <row r="296" spans="2:32" ht="16.5" customHeight="1">
      <c r="B296" s="1" t="str">
        <f t="shared" si="6"/>
        <v>M_TDIF04_VM_BKT_1.3_253</v>
      </c>
      <c r="C296" s="92" t="s">
        <v>700</v>
      </c>
      <c r="D296" s="92" t="str" cm="1">
        <f t="array" ref="D296">INDEX(기계코드!$D$4:$D$214,MATCH(1,(C296=기계코드!$F$4:$F$214)*1,0))</f>
        <v>M_TDIF04</v>
      </c>
      <c r="E296" s="92" t="s">
        <v>1128</v>
      </c>
      <c r="F296" s="7" t="str" cm="1">
        <f t="array" ref="F296">INDEX(공급업체코드!$B$3:$B$1000,MATCH(1,(E296=공급업체코드!$D$3:$D$1000)*1,0))</f>
        <v>VM_BKT</v>
      </c>
      <c r="G296" s="18" t="s">
        <v>1881</v>
      </c>
      <c r="H296" s="64"/>
      <c r="I296" s="64"/>
      <c r="J296" s="64"/>
      <c r="K296" s="300">
        <v>1.1000000000000001</v>
      </c>
      <c r="L296" s="300">
        <v>1.3</v>
      </c>
      <c r="M296" s="64">
        <v>253</v>
      </c>
      <c r="N296" s="64"/>
      <c r="O296" s="64"/>
      <c r="P296" s="64"/>
      <c r="Q296" s="64"/>
      <c r="R296" s="70"/>
      <c r="T296" s="64"/>
      <c r="X296">
        <v>0.123</v>
      </c>
      <c r="Y296" s="258" t="s">
        <v>1313</v>
      </c>
      <c r="AA296" s="259" t="s">
        <v>1314</v>
      </c>
      <c r="AB296" s="20" t="s">
        <v>1061</v>
      </c>
      <c r="AC296">
        <f t="shared" si="7"/>
        <v>1265000000</v>
      </c>
      <c r="AE296" s="18" t="s">
        <v>1315</v>
      </c>
      <c r="AF296" s="1" t="b">
        <v>1</v>
      </c>
    </row>
    <row r="297" spans="2:32" ht="16.5" customHeight="1">
      <c r="B297" s="1" t="str">
        <f t="shared" si="6"/>
        <v>M_TDIF04_VM_BKT_1.3_254</v>
      </c>
      <c r="C297" s="92" t="s">
        <v>700</v>
      </c>
      <c r="D297" s="92" t="str" cm="1">
        <f t="array" ref="D297">INDEX(기계코드!$D$4:$D$214,MATCH(1,(C297=기계코드!$F$4:$F$214)*1,0))</f>
        <v>M_TDIF04</v>
      </c>
      <c r="E297" s="92" t="s">
        <v>1128</v>
      </c>
      <c r="F297" s="7" t="str" cm="1">
        <f t="array" ref="F297">INDEX(공급업체코드!$B$3:$B$1000,MATCH(1,(E297=공급업체코드!$D$3:$D$1000)*1,0))</f>
        <v>VM_BKT</v>
      </c>
      <c r="G297" s="18" t="s">
        <v>1881</v>
      </c>
      <c r="H297" s="64"/>
      <c r="I297" s="64"/>
      <c r="J297" s="64"/>
      <c r="K297" s="300">
        <v>1.1000000000000001</v>
      </c>
      <c r="L297" s="300">
        <v>1.3</v>
      </c>
      <c r="M297" s="64">
        <v>254</v>
      </c>
      <c r="N297" s="64"/>
      <c r="O297" s="64"/>
      <c r="P297" s="64"/>
      <c r="Q297" s="64"/>
      <c r="R297" s="70"/>
      <c r="T297" s="64"/>
      <c r="X297">
        <v>0.123</v>
      </c>
      <c r="Y297" s="258" t="s">
        <v>1313</v>
      </c>
      <c r="AA297" s="259" t="s">
        <v>1314</v>
      </c>
      <c r="AB297" s="20" t="s">
        <v>1061</v>
      </c>
      <c r="AC297">
        <f t="shared" si="7"/>
        <v>1270000000</v>
      </c>
      <c r="AE297" s="18" t="s">
        <v>1315</v>
      </c>
      <c r="AF297" s="1" t="b">
        <v>1</v>
      </c>
    </row>
    <row r="298" spans="2:32" ht="16.5" customHeight="1">
      <c r="B298" s="1" t="str">
        <f t="shared" si="6"/>
        <v>M_TDIF04_VM_BKT_1.3_255</v>
      </c>
      <c r="C298" s="92" t="s">
        <v>700</v>
      </c>
      <c r="D298" s="92" t="str" cm="1">
        <f t="array" ref="D298">INDEX(기계코드!$D$4:$D$214,MATCH(1,(C298=기계코드!$F$4:$F$214)*1,0))</f>
        <v>M_TDIF04</v>
      </c>
      <c r="E298" s="92" t="s">
        <v>1128</v>
      </c>
      <c r="F298" s="7" t="str" cm="1">
        <f t="array" ref="F298">INDEX(공급업체코드!$B$3:$B$1000,MATCH(1,(E298=공급업체코드!$D$3:$D$1000)*1,0))</f>
        <v>VM_BKT</v>
      </c>
      <c r="G298" s="18" t="s">
        <v>1881</v>
      </c>
      <c r="H298" s="64"/>
      <c r="I298" s="64"/>
      <c r="J298" s="64"/>
      <c r="K298" s="300">
        <v>1.1000000000000001</v>
      </c>
      <c r="L298" s="300">
        <v>1.3</v>
      </c>
      <c r="M298" s="64">
        <v>255</v>
      </c>
      <c r="N298" s="64"/>
      <c r="O298" s="64"/>
      <c r="P298" s="64"/>
      <c r="Q298" s="64"/>
      <c r="R298" s="70"/>
      <c r="T298" s="64"/>
      <c r="X298">
        <v>0.123</v>
      </c>
      <c r="Y298" s="258" t="s">
        <v>1313</v>
      </c>
      <c r="AA298" s="259" t="s">
        <v>1314</v>
      </c>
      <c r="AB298" s="20" t="s">
        <v>1061</v>
      </c>
      <c r="AC298">
        <f t="shared" si="7"/>
        <v>1275000000</v>
      </c>
      <c r="AE298" s="18" t="s">
        <v>1315</v>
      </c>
      <c r="AF298" s="1" t="b">
        <v>1</v>
      </c>
    </row>
    <row r="299" spans="2:32" ht="16.5" customHeight="1">
      <c r="B299" s="1" t="str">
        <f t="shared" si="6"/>
        <v>M_TDIF04_VM_BKT_1.3_256</v>
      </c>
      <c r="C299" s="92" t="s">
        <v>700</v>
      </c>
      <c r="D299" s="92" t="str" cm="1">
        <f t="array" ref="D299">INDEX(기계코드!$D$4:$D$214,MATCH(1,(C299=기계코드!$F$4:$F$214)*1,0))</f>
        <v>M_TDIF04</v>
      </c>
      <c r="E299" s="92" t="s">
        <v>1128</v>
      </c>
      <c r="F299" s="7" t="str" cm="1">
        <f t="array" ref="F299">INDEX(공급업체코드!$B$3:$B$1000,MATCH(1,(E299=공급업체코드!$D$3:$D$1000)*1,0))</f>
        <v>VM_BKT</v>
      </c>
      <c r="G299" s="18" t="s">
        <v>1881</v>
      </c>
      <c r="H299" s="64"/>
      <c r="I299" s="64"/>
      <c r="J299" s="64"/>
      <c r="K299" s="300">
        <v>1.1000000000000001</v>
      </c>
      <c r="L299" s="300">
        <v>1.3</v>
      </c>
      <c r="M299" s="64">
        <v>256</v>
      </c>
      <c r="N299" s="64"/>
      <c r="O299" s="64"/>
      <c r="P299" s="64"/>
      <c r="Q299" s="64"/>
      <c r="R299" s="70"/>
      <c r="T299" s="64"/>
      <c r="X299">
        <v>0.123</v>
      </c>
      <c r="Y299" s="258" t="s">
        <v>1313</v>
      </c>
      <c r="AA299" s="259" t="s">
        <v>1314</v>
      </c>
      <c r="AB299" s="20" t="s">
        <v>1061</v>
      </c>
      <c r="AC299">
        <f t="shared" si="7"/>
        <v>1280000000</v>
      </c>
      <c r="AE299" s="18" t="s">
        <v>1315</v>
      </c>
      <c r="AF299" s="1" t="b">
        <v>1</v>
      </c>
    </row>
    <row r="300" spans="2:32" ht="16.5" customHeight="1">
      <c r="B300" s="1" t="str">
        <f t="shared" si="6"/>
        <v>M_TDIF04_VM_BKT_1.3_257</v>
      </c>
      <c r="C300" s="92" t="s">
        <v>700</v>
      </c>
      <c r="D300" s="92" t="str" cm="1">
        <f t="array" ref="D300">INDEX(기계코드!$D$4:$D$214,MATCH(1,(C300=기계코드!$F$4:$F$214)*1,0))</f>
        <v>M_TDIF04</v>
      </c>
      <c r="E300" s="92" t="s">
        <v>1128</v>
      </c>
      <c r="F300" s="7" t="str" cm="1">
        <f t="array" ref="F300">INDEX(공급업체코드!$B$3:$B$1000,MATCH(1,(E300=공급업체코드!$D$3:$D$1000)*1,0))</f>
        <v>VM_BKT</v>
      </c>
      <c r="G300" s="18" t="s">
        <v>1881</v>
      </c>
      <c r="H300" s="64"/>
      <c r="I300" s="64"/>
      <c r="J300" s="64"/>
      <c r="K300" s="300">
        <v>1.1000000000000001</v>
      </c>
      <c r="L300" s="300">
        <v>1.3</v>
      </c>
      <c r="M300" s="64">
        <v>257</v>
      </c>
      <c r="N300" s="64"/>
      <c r="O300" s="64"/>
      <c r="P300" s="64"/>
      <c r="Q300" s="64"/>
      <c r="R300" s="70"/>
      <c r="T300" s="64"/>
      <c r="X300">
        <v>0.123</v>
      </c>
      <c r="Y300" s="258" t="s">
        <v>1313</v>
      </c>
      <c r="AA300" s="259" t="s">
        <v>1314</v>
      </c>
      <c r="AB300" s="20" t="s">
        <v>1061</v>
      </c>
      <c r="AC300">
        <f t="shared" si="7"/>
        <v>1285000000</v>
      </c>
      <c r="AE300" s="18" t="s">
        <v>1315</v>
      </c>
      <c r="AF300" s="1" t="b">
        <v>1</v>
      </c>
    </row>
    <row r="301" spans="2:32" ht="16.5" customHeight="1">
      <c r="B301" s="1" t="str">
        <f t="shared" ref="B301:B364" si="8">D301&amp;"_"&amp;F301&amp;"_"&amp;L301&amp;"_"&amp;M301</f>
        <v>M_TDIF04_VM_BKT_1.3_258</v>
      </c>
      <c r="C301" s="92" t="s">
        <v>700</v>
      </c>
      <c r="D301" s="92" t="str" cm="1">
        <f t="array" ref="D301">INDEX(기계코드!$D$4:$D$214,MATCH(1,(C301=기계코드!$F$4:$F$214)*1,0))</f>
        <v>M_TDIF04</v>
      </c>
      <c r="E301" s="92" t="s">
        <v>1128</v>
      </c>
      <c r="F301" s="7" t="str" cm="1">
        <f t="array" ref="F301">INDEX(공급업체코드!$B$3:$B$1000,MATCH(1,(E301=공급업체코드!$D$3:$D$1000)*1,0))</f>
        <v>VM_BKT</v>
      </c>
      <c r="G301" s="18" t="s">
        <v>1881</v>
      </c>
      <c r="H301" s="64"/>
      <c r="I301" s="64"/>
      <c r="J301" s="64"/>
      <c r="K301" s="300">
        <v>1.1000000000000001</v>
      </c>
      <c r="L301" s="300">
        <v>1.3</v>
      </c>
      <c r="M301" s="64">
        <v>258</v>
      </c>
      <c r="N301" s="64"/>
      <c r="O301" s="64"/>
      <c r="P301" s="64"/>
      <c r="Q301" s="64"/>
      <c r="R301" s="70"/>
      <c r="T301" s="64"/>
      <c r="X301">
        <v>0.123</v>
      </c>
      <c r="Y301" s="258" t="s">
        <v>1313</v>
      </c>
      <c r="AA301" s="259" t="s">
        <v>1314</v>
      </c>
      <c r="AB301" s="20" t="s">
        <v>1061</v>
      </c>
      <c r="AC301">
        <f t="shared" si="7"/>
        <v>1290000000</v>
      </c>
      <c r="AE301" s="18" t="s">
        <v>1315</v>
      </c>
      <c r="AF301" s="1" t="b">
        <v>1</v>
      </c>
    </row>
    <row r="302" spans="2:32" ht="16.5" customHeight="1">
      <c r="B302" s="1" t="str">
        <f t="shared" si="8"/>
        <v>M_TDIF04_VM_BKT_1.3_259</v>
      </c>
      <c r="C302" s="92" t="s">
        <v>700</v>
      </c>
      <c r="D302" s="92" t="str" cm="1">
        <f t="array" ref="D302">INDEX(기계코드!$D$4:$D$214,MATCH(1,(C302=기계코드!$F$4:$F$214)*1,0))</f>
        <v>M_TDIF04</v>
      </c>
      <c r="E302" s="92" t="s">
        <v>1128</v>
      </c>
      <c r="F302" s="7" t="str" cm="1">
        <f t="array" ref="F302">INDEX(공급업체코드!$B$3:$B$1000,MATCH(1,(E302=공급업체코드!$D$3:$D$1000)*1,0))</f>
        <v>VM_BKT</v>
      </c>
      <c r="G302" s="18" t="s">
        <v>1881</v>
      </c>
      <c r="H302" s="64"/>
      <c r="I302" s="64"/>
      <c r="J302" s="64"/>
      <c r="K302" s="300">
        <v>1.1000000000000001</v>
      </c>
      <c r="L302" s="300">
        <v>1.3</v>
      </c>
      <c r="M302" s="64">
        <v>259</v>
      </c>
      <c r="N302" s="64"/>
      <c r="O302" s="64"/>
      <c r="P302" s="64"/>
      <c r="Q302" s="64"/>
      <c r="R302" s="70"/>
      <c r="T302" s="64"/>
      <c r="X302">
        <v>0.123</v>
      </c>
      <c r="Y302" s="258" t="s">
        <v>1313</v>
      </c>
      <c r="AA302" s="259" t="s">
        <v>1314</v>
      </c>
      <c r="AB302" s="20" t="s">
        <v>1061</v>
      </c>
      <c r="AC302">
        <f t="shared" ref="AC302:AC365" si="9">M302*$AC$44</f>
        <v>1295000000</v>
      </c>
      <c r="AE302" s="18" t="s">
        <v>1315</v>
      </c>
      <c r="AF302" s="1" t="b">
        <v>1</v>
      </c>
    </row>
    <row r="303" spans="2:32" ht="16.5" customHeight="1">
      <c r="B303" s="1" t="str">
        <f t="shared" si="8"/>
        <v>M_TDIF04_VM_BKT_1.3_260</v>
      </c>
      <c r="C303" s="92" t="s">
        <v>700</v>
      </c>
      <c r="D303" s="92" t="str" cm="1">
        <f t="array" ref="D303">INDEX(기계코드!$D$4:$D$214,MATCH(1,(C303=기계코드!$F$4:$F$214)*1,0))</f>
        <v>M_TDIF04</v>
      </c>
      <c r="E303" s="92" t="s">
        <v>1128</v>
      </c>
      <c r="F303" s="7" t="str" cm="1">
        <f t="array" ref="F303">INDEX(공급업체코드!$B$3:$B$1000,MATCH(1,(E303=공급업체코드!$D$3:$D$1000)*1,0))</f>
        <v>VM_BKT</v>
      </c>
      <c r="G303" s="18" t="s">
        <v>1881</v>
      </c>
      <c r="H303" s="64"/>
      <c r="I303" s="64"/>
      <c r="J303" s="64"/>
      <c r="K303" s="300">
        <v>1.1000000000000001</v>
      </c>
      <c r="L303" s="300">
        <v>1.3</v>
      </c>
      <c r="M303" s="64">
        <v>260</v>
      </c>
      <c r="N303" s="64"/>
      <c r="O303" s="64"/>
      <c r="P303" s="64"/>
      <c r="Q303" s="64"/>
      <c r="R303" s="70"/>
      <c r="T303" s="64"/>
      <c r="X303">
        <v>0.123</v>
      </c>
      <c r="Y303" s="258" t="s">
        <v>1313</v>
      </c>
      <c r="AA303" s="259" t="s">
        <v>1314</v>
      </c>
      <c r="AB303" s="20" t="s">
        <v>1061</v>
      </c>
      <c r="AC303">
        <f t="shared" si="9"/>
        <v>1300000000</v>
      </c>
      <c r="AE303" s="18" t="s">
        <v>1315</v>
      </c>
      <c r="AF303" s="1" t="b">
        <v>1</v>
      </c>
    </row>
    <row r="304" spans="2:32" ht="16.5" customHeight="1">
      <c r="B304" s="1" t="str">
        <f t="shared" si="8"/>
        <v>M_TDIF04_VM_BKT_1.3_261</v>
      </c>
      <c r="C304" s="92" t="s">
        <v>700</v>
      </c>
      <c r="D304" s="92" t="str" cm="1">
        <f t="array" ref="D304">INDEX(기계코드!$D$4:$D$214,MATCH(1,(C304=기계코드!$F$4:$F$214)*1,0))</f>
        <v>M_TDIF04</v>
      </c>
      <c r="E304" s="92" t="s">
        <v>1128</v>
      </c>
      <c r="F304" s="7" t="str" cm="1">
        <f t="array" ref="F304">INDEX(공급업체코드!$B$3:$B$1000,MATCH(1,(E304=공급업체코드!$D$3:$D$1000)*1,0))</f>
        <v>VM_BKT</v>
      </c>
      <c r="G304" s="18" t="s">
        <v>1881</v>
      </c>
      <c r="H304" s="64"/>
      <c r="I304" s="64"/>
      <c r="J304" s="64"/>
      <c r="K304" s="300">
        <v>1.1000000000000001</v>
      </c>
      <c r="L304" s="300">
        <v>1.3</v>
      </c>
      <c r="M304" s="64">
        <v>261</v>
      </c>
      <c r="N304" s="64"/>
      <c r="O304" s="64"/>
      <c r="P304" s="64"/>
      <c r="Q304" s="64"/>
      <c r="R304" s="70"/>
      <c r="T304" s="64"/>
      <c r="X304">
        <v>0.123</v>
      </c>
      <c r="Y304" s="258" t="s">
        <v>1313</v>
      </c>
      <c r="AA304" s="259" t="s">
        <v>1314</v>
      </c>
      <c r="AB304" s="20" t="s">
        <v>1061</v>
      </c>
      <c r="AC304">
        <f t="shared" si="9"/>
        <v>1305000000</v>
      </c>
      <c r="AE304" s="18" t="s">
        <v>1315</v>
      </c>
      <c r="AF304" s="1" t="b">
        <v>1</v>
      </c>
    </row>
    <row r="305" spans="2:32" ht="16.5" customHeight="1">
      <c r="B305" s="1" t="str">
        <f t="shared" si="8"/>
        <v>M_TDIF04_VM_BKT_1.3_262</v>
      </c>
      <c r="C305" s="92" t="s">
        <v>700</v>
      </c>
      <c r="D305" s="92" t="str" cm="1">
        <f t="array" ref="D305">INDEX(기계코드!$D$4:$D$214,MATCH(1,(C305=기계코드!$F$4:$F$214)*1,0))</f>
        <v>M_TDIF04</v>
      </c>
      <c r="E305" s="92" t="s">
        <v>1128</v>
      </c>
      <c r="F305" s="7" t="str" cm="1">
        <f t="array" ref="F305">INDEX(공급업체코드!$B$3:$B$1000,MATCH(1,(E305=공급업체코드!$D$3:$D$1000)*1,0))</f>
        <v>VM_BKT</v>
      </c>
      <c r="G305" s="18" t="s">
        <v>1881</v>
      </c>
      <c r="H305" s="64"/>
      <c r="I305" s="64"/>
      <c r="J305" s="64"/>
      <c r="K305" s="300">
        <v>1.1000000000000001</v>
      </c>
      <c r="L305" s="300">
        <v>1.3</v>
      </c>
      <c r="M305" s="64">
        <v>262</v>
      </c>
      <c r="N305" s="64"/>
      <c r="O305" s="64"/>
      <c r="P305" s="64"/>
      <c r="Q305" s="64"/>
      <c r="R305" s="70"/>
      <c r="T305" s="64"/>
      <c r="X305">
        <v>0.123</v>
      </c>
      <c r="Y305" s="258" t="s">
        <v>1313</v>
      </c>
      <c r="AA305" s="259" t="s">
        <v>1314</v>
      </c>
      <c r="AB305" s="20" t="s">
        <v>1061</v>
      </c>
      <c r="AC305">
        <f t="shared" si="9"/>
        <v>1310000000</v>
      </c>
      <c r="AE305" s="18" t="s">
        <v>1315</v>
      </c>
      <c r="AF305" s="1" t="b">
        <v>1</v>
      </c>
    </row>
    <row r="306" spans="2:32" ht="16.5" customHeight="1">
      <c r="B306" s="1" t="str">
        <f t="shared" si="8"/>
        <v>M_TDIF04_VM_BKT_1.3_263</v>
      </c>
      <c r="C306" s="92" t="s">
        <v>700</v>
      </c>
      <c r="D306" s="92" t="str" cm="1">
        <f t="array" ref="D306">INDEX(기계코드!$D$4:$D$214,MATCH(1,(C306=기계코드!$F$4:$F$214)*1,0))</f>
        <v>M_TDIF04</v>
      </c>
      <c r="E306" s="92" t="s">
        <v>1128</v>
      </c>
      <c r="F306" s="7" t="str" cm="1">
        <f t="array" ref="F306">INDEX(공급업체코드!$B$3:$B$1000,MATCH(1,(E306=공급업체코드!$D$3:$D$1000)*1,0))</f>
        <v>VM_BKT</v>
      </c>
      <c r="G306" s="18" t="s">
        <v>1881</v>
      </c>
      <c r="H306" s="64"/>
      <c r="I306" s="64"/>
      <c r="J306" s="64"/>
      <c r="K306" s="300">
        <v>1.1000000000000001</v>
      </c>
      <c r="L306" s="300">
        <v>1.3</v>
      </c>
      <c r="M306" s="64">
        <v>263</v>
      </c>
      <c r="N306" s="64"/>
      <c r="O306" s="64"/>
      <c r="P306" s="64"/>
      <c r="Q306" s="64"/>
      <c r="R306" s="70"/>
      <c r="T306" s="64"/>
      <c r="X306">
        <v>0.123</v>
      </c>
      <c r="Y306" s="258" t="s">
        <v>1313</v>
      </c>
      <c r="AA306" s="259" t="s">
        <v>1314</v>
      </c>
      <c r="AB306" s="20" t="s">
        <v>1061</v>
      </c>
      <c r="AC306">
        <f t="shared" si="9"/>
        <v>1315000000</v>
      </c>
      <c r="AE306" s="18" t="s">
        <v>1315</v>
      </c>
      <c r="AF306" s="1" t="b">
        <v>1</v>
      </c>
    </row>
    <row r="307" spans="2:32" ht="16.5" customHeight="1">
      <c r="B307" s="1" t="str">
        <f t="shared" si="8"/>
        <v>M_TDIF04_VM_BKT_1.3_264</v>
      </c>
      <c r="C307" s="92" t="s">
        <v>700</v>
      </c>
      <c r="D307" s="92" t="str" cm="1">
        <f t="array" ref="D307">INDEX(기계코드!$D$4:$D$214,MATCH(1,(C307=기계코드!$F$4:$F$214)*1,0))</f>
        <v>M_TDIF04</v>
      </c>
      <c r="E307" s="92" t="s">
        <v>1128</v>
      </c>
      <c r="F307" s="7" t="str" cm="1">
        <f t="array" ref="F307">INDEX(공급업체코드!$B$3:$B$1000,MATCH(1,(E307=공급업체코드!$D$3:$D$1000)*1,0))</f>
        <v>VM_BKT</v>
      </c>
      <c r="G307" s="18" t="s">
        <v>1881</v>
      </c>
      <c r="H307" s="64"/>
      <c r="I307" s="64"/>
      <c r="J307" s="64"/>
      <c r="K307" s="300">
        <v>1.1000000000000001</v>
      </c>
      <c r="L307" s="300">
        <v>1.3</v>
      </c>
      <c r="M307" s="64">
        <v>264</v>
      </c>
      <c r="N307" s="64"/>
      <c r="O307" s="64"/>
      <c r="P307" s="64"/>
      <c r="Q307" s="64"/>
      <c r="R307" s="70"/>
      <c r="T307" s="64"/>
      <c r="X307">
        <v>0.123</v>
      </c>
      <c r="Y307" s="258" t="s">
        <v>1313</v>
      </c>
      <c r="AA307" s="259" t="s">
        <v>1314</v>
      </c>
      <c r="AB307" s="20" t="s">
        <v>1061</v>
      </c>
      <c r="AC307">
        <f t="shared" si="9"/>
        <v>1320000000</v>
      </c>
      <c r="AE307" s="18" t="s">
        <v>1315</v>
      </c>
      <c r="AF307" s="1" t="b">
        <v>1</v>
      </c>
    </row>
    <row r="308" spans="2:32" ht="16.5" customHeight="1">
      <c r="B308" s="1" t="str">
        <f t="shared" si="8"/>
        <v>M_TDIF04_VM_BKT_1.3_265</v>
      </c>
      <c r="C308" s="92" t="s">
        <v>700</v>
      </c>
      <c r="D308" s="92" t="str" cm="1">
        <f t="array" ref="D308">INDEX(기계코드!$D$4:$D$214,MATCH(1,(C308=기계코드!$F$4:$F$214)*1,0))</f>
        <v>M_TDIF04</v>
      </c>
      <c r="E308" s="92" t="s">
        <v>1128</v>
      </c>
      <c r="F308" s="7" t="str" cm="1">
        <f t="array" ref="F308">INDEX(공급업체코드!$B$3:$B$1000,MATCH(1,(E308=공급업체코드!$D$3:$D$1000)*1,0))</f>
        <v>VM_BKT</v>
      </c>
      <c r="G308" s="18" t="s">
        <v>1881</v>
      </c>
      <c r="H308" s="64"/>
      <c r="I308" s="64"/>
      <c r="J308" s="64"/>
      <c r="K308" s="300">
        <v>1.1000000000000001</v>
      </c>
      <c r="L308" s="300">
        <v>1.3</v>
      </c>
      <c r="M308" s="64">
        <v>265</v>
      </c>
      <c r="N308" s="64"/>
      <c r="O308" s="64"/>
      <c r="P308" s="64"/>
      <c r="Q308" s="64"/>
      <c r="R308" s="70"/>
      <c r="T308" s="64"/>
      <c r="X308">
        <v>0.123</v>
      </c>
      <c r="Y308" s="258" t="s">
        <v>1313</v>
      </c>
      <c r="AA308" s="259" t="s">
        <v>1314</v>
      </c>
      <c r="AB308" s="20" t="s">
        <v>1061</v>
      </c>
      <c r="AC308">
        <f t="shared" si="9"/>
        <v>1325000000</v>
      </c>
      <c r="AE308" s="18" t="s">
        <v>1315</v>
      </c>
      <c r="AF308" s="1" t="b">
        <v>1</v>
      </c>
    </row>
    <row r="309" spans="2:32" ht="16.5" customHeight="1">
      <c r="B309" s="1" t="str">
        <f t="shared" si="8"/>
        <v>M_TDIF04_VM_BKT_1.3_266</v>
      </c>
      <c r="C309" s="92" t="s">
        <v>700</v>
      </c>
      <c r="D309" s="92" t="str" cm="1">
        <f t="array" ref="D309">INDEX(기계코드!$D$4:$D$214,MATCH(1,(C309=기계코드!$F$4:$F$214)*1,0))</f>
        <v>M_TDIF04</v>
      </c>
      <c r="E309" s="92" t="s">
        <v>1128</v>
      </c>
      <c r="F309" s="7" t="str" cm="1">
        <f t="array" ref="F309">INDEX(공급업체코드!$B$3:$B$1000,MATCH(1,(E309=공급업체코드!$D$3:$D$1000)*1,0))</f>
        <v>VM_BKT</v>
      </c>
      <c r="G309" s="18" t="s">
        <v>1881</v>
      </c>
      <c r="H309" s="64"/>
      <c r="I309" s="64"/>
      <c r="J309" s="64"/>
      <c r="K309" s="300">
        <v>1.1000000000000001</v>
      </c>
      <c r="L309" s="300">
        <v>1.3</v>
      </c>
      <c r="M309" s="64">
        <v>266</v>
      </c>
      <c r="N309" s="64"/>
      <c r="O309" s="64"/>
      <c r="P309" s="64"/>
      <c r="Q309" s="64"/>
      <c r="R309" s="70"/>
      <c r="T309" s="64"/>
      <c r="X309">
        <v>0.123</v>
      </c>
      <c r="Y309" s="258" t="s">
        <v>1313</v>
      </c>
      <c r="AA309" s="259" t="s">
        <v>1314</v>
      </c>
      <c r="AB309" s="20" t="s">
        <v>1061</v>
      </c>
      <c r="AC309">
        <f t="shared" si="9"/>
        <v>1330000000</v>
      </c>
      <c r="AE309" s="18" t="s">
        <v>1315</v>
      </c>
      <c r="AF309" s="1" t="b">
        <v>1</v>
      </c>
    </row>
    <row r="310" spans="2:32" ht="16.5" customHeight="1">
      <c r="B310" s="1" t="str">
        <f t="shared" si="8"/>
        <v>M_TDIF04_VM_BKT_1.3_267</v>
      </c>
      <c r="C310" s="92" t="s">
        <v>700</v>
      </c>
      <c r="D310" s="92" t="str" cm="1">
        <f t="array" ref="D310">INDEX(기계코드!$D$4:$D$214,MATCH(1,(C310=기계코드!$F$4:$F$214)*1,0))</f>
        <v>M_TDIF04</v>
      </c>
      <c r="E310" s="92" t="s">
        <v>1128</v>
      </c>
      <c r="F310" s="7" t="str" cm="1">
        <f t="array" ref="F310">INDEX(공급업체코드!$B$3:$B$1000,MATCH(1,(E310=공급업체코드!$D$3:$D$1000)*1,0))</f>
        <v>VM_BKT</v>
      </c>
      <c r="G310" s="18" t="s">
        <v>1881</v>
      </c>
      <c r="H310" s="64"/>
      <c r="I310" s="64"/>
      <c r="J310" s="64"/>
      <c r="K310" s="300">
        <v>1.1000000000000001</v>
      </c>
      <c r="L310" s="300">
        <v>1.3</v>
      </c>
      <c r="M310" s="64">
        <v>267</v>
      </c>
      <c r="N310" s="64"/>
      <c r="O310" s="64"/>
      <c r="P310" s="64"/>
      <c r="Q310" s="64"/>
      <c r="R310" s="70"/>
      <c r="T310" s="64"/>
      <c r="X310">
        <v>0.123</v>
      </c>
      <c r="Y310" s="258" t="s">
        <v>1313</v>
      </c>
      <c r="AA310" s="259" t="s">
        <v>1314</v>
      </c>
      <c r="AB310" s="20" t="s">
        <v>1061</v>
      </c>
      <c r="AC310">
        <f t="shared" si="9"/>
        <v>1335000000</v>
      </c>
      <c r="AE310" s="18" t="s">
        <v>1315</v>
      </c>
      <c r="AF310" s="1" t="b">
        <v>1</v>
      </c>
    </row>
    <row r="311" spans="2:32" ht="16.5" customHeight="1">
      <c r="B311" s="1" t="str">
        <f t="shared" si="8"/>
        <v>M_TDIF04_VM_BKT_1.3_268</v>
      </c>
      <c r="C311" s="92" t="s">
        <v>700</v>
      </c>
      <c r="D311" s="92" t="str" cm="1">
        <f t="array" ref="D311">INDEX(기계코드!$D$4:$D$214,MATCH(1,(C311=기계코드!$F$4:$F$214)*1,0))</f>
        <v>M_TDIF04</v>
      </c>
      <c r="E311" s="92" t="s">
        <v>1128</v>
      </c>
      <c r="F311" s="7" t="str" cm="1">
        <f t="array" ref="F311">INDEX(공급업체코드!$B$3:$B$1000,MATCH(1,(E311=공급업체코드!$D$3:$D$1000)*1,0))</f>
        <v>VM_BKT</v>
      </c>
      <c r="G311" s="18" t="s">
        <v>1881</v>
      </c>
      <c r="H311" s="64"/>
      <c r="I311" s="64"/>
      <c r="J311" s="64"/>
      <c r="K311" s="300">
        <v>1.1000000000000001</v>
      </c>
      <c r="L311" s="300">
        <v>1.3</v>
      </c>
      <c r="M311" s="64">
        <v>268</v>
      </c>
      <c r="N311" s="64"/>
      <c r="O311" s="64"/>
      <c r="P311" s="64"/>
      <c r="Q311" s="64"/>
      <c r="R311" s="70"/>
      <c r="T311" s="64"/>
      <c r="X311">
        <v>0.123</v>
      </c>
      <c r="Y311" s="258" t="s">
        <v>1313</v>
      </c>
      <c r="AA311" s="259" t="s">
        <v>1314</v>
      </c>
      <c r="AB311" s="20" t="s">
        <v>1061</v>
      </c>
      <c r="AC311">
        <f t="shared" si="9"/>
        <v>1340000000</v>
      </c>
      <c r="AE311" s="18" t="s">
        <v>1315</v>
      </c>
      <c r="AF311" s="1" t="b">
        <v>1</v>
      </c>
    </row>
    <row r="312" spans="2:32" ht="16.5" customHeight="1">
      <c r="B312" s="1" t="str">
        <f t="shared" si="8"/>
        <v>M_TDIF04_VM_BKT_1.3_269</v>
      </c>
      <c r="C312" s="92" t="s">
        <v>700</v>
      </c>
      <c r="D312" s="92" t="str" cm="1">
        <f t="array" ref="D312">INDEX(기계코드!$D$4:$D$214,MATCH(1,(C312=기계코드!$F$4:$F$214)*1,0))</f>
        <v>M_TDIF04</v>
      </c>
      <c r="E312" s="92" t="s">
        <v>1128</v>
      </c>
      <c r="F312" s="7" t="str" cm="1">
        <f t="array" ref="F312">INDEX(공급업체코드!$B$3:$B$1000,MATCH(1,(E312=공급업체코드!$D$3:$D$1000)*1,0))</f>
        <v>VM_BKT</v>
      </c>
      <c r="G312" s="18" t="s">
        <v>1881</v>
      </c>
      <c r="H312" s="64"/>
      <c r="I312" s="64"/>
      <c r="J312" s="64"/>
      <c r="K312" s="300">
        <v>1.1000000000000001</v>
      </c>
      <c r="L312" s="300">
        <v>1.3</v>
      </c>
      <c r="M312" s="64">
        <v>269</v>
      </c>
      <c r="N312" s="64"/>
      <c r="O312" s="64"/>
      <c r="P312" s="64"/>
      <c r="Q312" s="64"/>
      <c r="R312" s="70"/>
      <c r="T312" s="64"/>
      <c r="X312">
        <v>0.123</v>
      </c>
      <c r="Y312" s="258" t="s">
        <v>1313</v>
      </c>
      <c r="AA312" s="259" t="s">
        <v>1314</v>
      </c>
      <c r="AB312" s="20" t="s">
        <v>1061</v>
      </c>
      <c r="AC312">
        <f t="shared" si="9"/>
        <v>1345000000</v>
      </c>
      <c r="AE312" s="18" t="s">
        <v>1315</v>
      </c>
      <c r="AF312" s="1" t="b">
        <v>1</v>
      </c>
    </row>
    <row r="313" spans="2:32" ht="16.5" customHeight="1">
      <c r="B313" s="1" t="str">
        <f t="shared" si="8"/>
        <v>M_TDIF04_VM_BKT_1.3_270</v>
      </c>
      <c r="C313" s="92" t="s">
        <v>700</v>
      </c>
      <c r="D313" s="92" t="str" cm="1">
        <f t="array" ref="D313">INDEX(기계코드!$D$4:$D$214,MATCH(1,(C313=기계코드!$F$4:$F$214)*1,0))</f>
        <v>M_TDIF04</v>
      </c>
      <c r="E313" s="92" t="s">
        <v>1128</v>
      </c>
      <c r="F313" s="7" t="str" cm="1">
        <f t="array" ref="F313">INDEX(공급업체코드!$B$3:$B$1000,MATCH(1,(E313=공급업체코드!$D$3:$D$1000)*1,0))</f>
        <v>VM_BKT</v>
      </c>
      <c r="G313" s="18" t="s">
        <v>1881</v>
      </c>
      <c r="H313" s="64"/>
      <c r="I313" s="64"/>
      <c r="J313" s="64"/>
      <c r="K313" s="300">
        <v>1.1000000000000001</v>
      </c>
      <c r="L313" s="300">
        <v>1.3</v>
      </c>
      <c r="M313" s="64">
        <v>270</v>
      </c>
      <c r="N313" s="64"/>
      <c r="O313" s="64"/>
      <c r="P313" s="64"/>
      <c r="Q313" s="64"/>
      <c r="R313" s="70"/>
      <c r="T313" s="64"/>
      <c r="X313">
        <v>0.123</v>
      </c>
      <c r="Y313" s="258" t="s">
        <v>1313</v>
      </c>
      <c r="AA313" s="259" t="s">
        <v>1314</v>
      </c>
      <c r="AB313" s="20" t="s">
        <v>1061</v>
      </c>
      <c r="AC313">
        <f t="shared" si="9"/>
        <v>1350000000</v>
      </c>
      <c r="AE313" s="18" t="s">
        <v>1315</v>
      </c>
      <c r="AF313" s="1" t="b">
        <v>1</v>
      </c>
    </row>
    <row r="314" spans="2:32" ht="16.5" customHeight="1">
      <c r="B314" s="1" t="str">
        <f t="shared" si="8"/>
        <v>M_TDIF04_VM_BKT_1.3_271</v>
      </c>
      <c r="C314" s="92" t="s">
        <v>700</v>
      </c>
      <c r="D314" s="92" t="str" cm="1">
        <f t="array" ref="D314">INDEX(기계코드!$D$4:$D$214,MATCH(1,(C314=기계코드!$F$4:$F$214)*1,0))</f>
        <v>M_TDIF04</v>
      </c>
      <c r="E314" s="92" t="s">
        <v>1128</v>
      </c>
      <c r="F314" s="7" t="str" cm="1">
        <f t="array" ref="F314">INDEX(공급업체코드!$B$3:$B$1000,MATCH(1,(E314=공급업체코드!$D$3:$D$1000)*1,0))</f>
        <v>VM_BKT</v>
      </c>
      <c r="G314" s="18" t="s">
        <v>1881</v>
      </c>
      <c r="H314" s="64"/>
      <c r="I314" s="64"/>
      <c r="J314" s="64"/>
      <c r="K314" s="300">
        <v>1.1000000000000001</v>
      </c>
      <c r="L314" s="300">
        <v>1.3</v>
      </c>
      <c r="M314" s="64">
        <v>271</v>
      </c>
      <c r="N314" s="64"/>
      <c r="O314" s="64"/>
      <c r="P314" s="64"/>
      <c r="Q314" s="64"/>
      <c r="R314" s="70"/>
      <c r="T314" s="64"/>
      <c r="X314">
        <v>0.123</v>
      </c>
      <c r="Y314" s="258" t="s">
        <v>1313</v>
      </c>
      <c r="AA314" s="259" t="s">
        <v>1314</v>
      </c>
      <c r="AB314" s="20" t="s">
        <v>1061</v>
      </c>
      <c r="AC314">
        <f t="shared" si="9"/>
        <v>1355000000</v>
      </c>
      <c r="AE314" s="18" t="s">
        <v>1315</v>
      </c>
      <c r="AF314" s="1" t="b">
        <v>1</v>
      </c>
    </row>
    <row r="315" spans="2:32" ht="16.5" customHeight="1">
      <c r="B315" s="1" t="str">
        <f t="shared" si="8"/>
        <v>M_TDIF04_VM_BKT_1.3_272</v>
      </c>
      <c r="C315" s="92" t="s">
        <v>700</v>
      </c>
      <c r="D315" s="92" t="str" cm="1">
        <f t="array" ref="D315">INDEX(기계코드!$D$4:$D$214,MATCH(1,(C315=기계코드!$F$4:$F$214)*1,0))</f>
        <v>M_TDIF04</v>
      </c>
      <c r="E315" s="92" t="s">
        <v>1128</v>
      </c>
      <c r="F315" s="7" t="str" cm="1">
        <f t="array" ref="F315">INDEX(공급업체코드!$B$3:$B$1000,MATCH(1,(E315=공급업체코드!$D$3:$D$1000)*1,0))</f>
        <v>VM_BKT</v>
      </c>
      <c r="G315" s="18" t="s">
        <v>1881</v>
      </c>
      <c r="H315" s="64"/>
      <c r="I315" s="64"/>
      <c r="J315" s="64"/>
      <c r="K315" s="300">
        <v>1.1000000000000001</v>
      </c>
      <c r="L315" s="300">
        <v>1.3</v>
      </c>
      <c r="M315" s="64">
        <v>272</v>
      </c>
      <c r="N315" s="64"/>
      <c r="O315" s="64"/>
      <c r="P315" s="64"/>
      <c r="Q315" s="64"/>
      <c r="R315" s="70"/>
      <c r="T315" s="64"/>
      <c r="X315">
        <v>0.123</v>
      </c>
      <c r="Y315" s="258" t="s">
        <v>1313</v>
      </c>
      <c r="AA315" s="259" t="s">
        <v>1314</v>
      </c>
      <c r="AB315" s="20" t="s">
        <v>1061</v>
      </c>
      <c r="AC315">
        <f t="shared" si="9"/>
        <v>1360000000</v>
      </c>
      <c r="AE315" s="18" t="s">
        <v>1315</v>
      </c>
      <c r="AF315" s="1" t="b">
        <v>1</v>
      </c>
    </row>
    <row r="316" spans="2:32" ht="16.5" customHeight="1">
      <c r="B316" s="1" t="str">
        <f t="shared" si="8"/>
        <v>M_TDIF04_VM_BKT_1.3_273</v>
      </c>
      <c r="C316" s="92" t="s">
        <v>700</v>
      </c>
      <c r="D316" s="92" t="str" cm="1">
        <f t="array" ref="D316">INDEX(기계코드!$D$4:$D$214,MATCH(1,(C316=기계코드!$F$4:$F$214)*1,0))</f>
        <v>M_TDIF04</v>
      </c>
      <c r="E316" s="92" t="s">
        <v>1128</v>
      </c>
      <c r="F316" s="7" t="str" cm="1">
        <f t="array" ref="F316">INDEX(공급업체코드!$B$3:$B$1000,MATCH(1,(E316=공급업체코드!$D$3:$D$1000)*1,0))</f>
        <v>VM_BKT</v>
      </c>
      <c r="G316" s="18" t="s">
        <v>1881</v>
      </c>
      <c r="H316" s="64"/>
      <c r="I316" s="64"/>
      <c r="J316" s="64"/>
      <c r="K316" s="300">
        <v>1.1000000000000001</v>
      </c>
      <c r="L316" s="300">
        <v>1.3</v>
      </c>
      <c r="M316" s="64">
        <v>273</v>
      </c>
      <c r="N316" s="64"/>
      <c r="O316" s="64"/>
      <c r="P316" s="64"/>
      <c r="Q316" s="64"/>
      <c r="R316" s="70"/>
      <c r="T316" s="64"/>
      <c r="X316">
        <v>0.123</v>
      </c>
      <c r="Y316" s="258" t="s">
        <v>1313</v>
      </c>
      <c r="AA316" s="259" t="s">
        <v>1314</v>
      </c>
      <c r="AB316" s="20" t="s">
        <v>1061</v>
      </c>
      <c r="AC316">
        <f t="shared" si="9"/>
        <v>1365000000</v>
      </c>
      <c r="AE316" s="18" t="s">
        <v>1315</v>
      </c>
      <c r="AF316" s="1" t="b">
        <v>1</v>
      </c>
    </row>
    <row r="317" spans="2:32" ht="16.5" customHeight="1">
      <c r="B317" s="1" t="str">
        <f t="shared" si="8"/>
        <v>M_TDIF04_VM_BKT_1.3_274</v>
      </c>
      <c r="C317" s="92" t="s">
        <v>700</v>
      </c>
      <c r="D317" s="92" t="str" cm="1">
        <f t="array" ref="D317">INDEX(기계코드!$D$4:$D$214,MATCH(1,(C317=기계코드!$F$4:$F$214)*1,0))</f>
        <v>M_TDIF04</v>
      </c>
      <c r="E317" s="92" t="s">
        <v>1128</v>
      </c>
      <c r="F317" s="7" t="str" cm="1">
        <f t="array" ref="F317">INDEX(공급업체코드!$B$3:$B$1000,MATCH(1,(E317=공급업체코드!$D$3:$D$1000)*1,0))</f>
        <v>VM_BKT</v>
      </c>
      <c r="G317" s="18" t="s">
        <v>1881</v>
      </c>
      <c r="H317" s="64"/>
      <c r="I317" s="64"/>
      <c r="J317" s="64"/>
      <c r="K317" s="300">
        <v>1.1000000000000001</v>
      </c>
      <c r="L317" s="300">
        <v>1.3</v>
      </c>
      <c r="M317" s="64">
        <v>274</v>
      </c>
      <c r="N317" s="64"/>
      <c r="O317" s="64"/>
      <c r="P317" s="64"/>
      <c r="Q317" s="64"/>
      <c r="R317" s="70"/>
      <c r="T317" s="64"/>
      <c r="X317">
        <v>0.123</v>
      </c>
      <c r="Y317" s="258" t="s">
        <v>1313</v>
      </c>
      <c r="AA317" s="259" t="s">
        <v>1314</v>
      </c>
      <c r="AB317" s="20" t="s">
        <v>1061</v>
      </c>
      <c r="AC317">
        <f t="shared" si="9"/>
        <v>1370000000</v>
      </c>
      <c r="AE317" s="18" t="s">
        <v>1315</v>
      </c>
      <c r="AF317" s="1" t="b">
        <v>1</v>
      </c>
    </row>
    <row r="318" spans="2:32" ht="16.5" customHeight="1">
      <c r="B318" s="1" t="str">
        <f t="shared" si="8"/>
        <v>M_TDIF04_VM_BKT_1.3_275</v>
      </c>
      <c r="C318" s="92" t="s">
        <v>700</v>
      </c>
      <c r="D318" s="92" t="str" cm="1">
        <f t="array" ref="D318">INDEX(기계코드!$D$4:$D$214,MATCH(1,(C318=기계코드!$F$4:$F$214)*1,0))</f>
        <v>M_TDIF04</v>
      </c>
      <c r="E318" s="92" t="s">
        <v>1128</v>
      </c>
      <c r="F318" s="7" t="str" cm="1">
        <f t="array" ref="F318">INDEX(공급업체코드!$B$3:$B$1000,MATCH(1,(E318=공급업체코드!$D$3:$D$1000)*1,0))</f>
        <v>VM_BKT</v>
      </c>
      <c r="G318" s="18" t="s">
        <v>1881</v>
      </c>
      <c r="H318" s="64"/>
      <c r="I318" s="64"/>
      <c r="J318" s="64"/>
      <c r="K318" s="300">
        <v>1.1000000000000001</v>
      </c>
      <c r="L318" s="300">
        <v>1.3</v>
      </c>
      <c r="M318" s="64">
        <v>275</v>
      </c>
      <c r="N318" s="64"/>
      <c r="O318" s="64"/>
      <c r="P318" s="64"/>
      <c r="Q318" s="64"/>
      <c r="R318" s="70"/>
      <c r="T318" s="64"/>
      <c r="X318">
        <v>0.123</v>
      </c>
      <c r="Y318" s="258" t="s">
        <v>1313</v>
      </c>
      <c r="AA318" s="259" t="s">
        <v>1314</v>
      </c>
      <c r="AB318" s="20" t="s">
        <v>1061</v>
      </c>
      <c r="AC318">
        <f t="shared" si="9"/>
        <v>1375000000</v>
      </c>
      <c r="AE318" s="18" t="s">
        <v>1315</v>
      </c>
      <c r="AF318" s="1" t="b">
        <v>1</v>
      </c>
    </row>
    <row r="319" spans="2:32" ht="16.5" customHeight="1">
      <c r="B319" s="1" t="str">
        <f t="shared" si="8"/>
        <v>M_TDIF04_VM_BKT_1.3_276</v>
      </c>
      <c r="C319" s="92" t="s">
        <v>700</v>
      </c>
      <c r="D319" s="92" t="str" cm="1">
        <f t="array" ref="D319">INDEX(기계코드!$D$4:$D$214,MATCH(1,(C319=기계코드!$F$4:$F$214)*1,0))</f>
        <v>M_TDIF04</v>
      </c>
      <c r="E319" s="92" t="s">
        <v>1128</v>
      </c>
      <c r="F319" s="7" t="str" cm="1">
        <f t="array" ref="F319">INDEX(공급업체코드!$B$3:$B$1000,MATCH(1,(E319=공급업체코드!$D$3:$D$1000)*1,0))</f>
        <v>VM_BKT</v>
      </c>
      <c r="G319" s="18" t="s">
        <v>1881</v>
      </c>
      <c r="H319" s="64"/>
      <c r="I319" s="64"/>
      <c r="J319" s="64"/>
      <c r="K319" s="300">
        <v>1.1000000000000001</v>
      </c>
      <c r="L319" s="300">
        <v>1.3</v>
      </c>
      <c r="M319" s="64">
        <v>276</v>
      </c>
      <c r="N319" s="64"/>
      <c r="O319" s="64"/>
      <c r="P319" s="64"/>
      <c r="Q319" s="64"/>
      <c r="R319" s="70"/>
      <c r="T319" s="64"/>
      <c r="X319">
        <v>0.123</v>
      </c>
      <c r="Y319" s="258" t="s">
        <v>1313</v>
      </c>
      <c r="AA319" s="259" t="s">
        <v>1314</v>
      </c>
      <c r="AB319" s="20" t="s">
        <v>1061</v>
      </c>
      <c r="AC319">
        <f t="shared" si="9"/>
        <v>1380000000</v>
      </c>
      <c r="AE319" s="18" t="s">
        <v>1315</v>
      </c>
      <c r="AF319" s="1" t="b">
        <v>1</v>
      </c>
    </row>
    <row r="320" spans="2:32" ht="16.5" customHeight="1">
      <c r="B320" s="1" t="str">
        <f t="shared" si="8"/>
        <v>M_TDIF04_VM_BKT_1.3_277</v>
      </c>
      <c r="C320" s="92" t="s">
        <v>700</v>
      </c>
      <c r="D320" s="92" t="str" cm="1">
        <f t="array" ref="D320">INDEX(기계코드!$D$4:$D$214,MATCH(1,(C320=기계코드!$F$4:$F$214)*1,0))</f>
        <v>M_TDIF04</v>
      </c>
      <c r="E320" s="92" t="s">
        <v>1128</v>
      </c>
      <c r="F320" s="7" t="str" cm="1">
        <f t="array" ref="F320">INDEX(공급업체코드!$B$3:$B$1000,MATCH(1,(E320=공급업체코드!$D$3:$D$1000)*1,0))</f>
        <v>VM_BKT</v>
      </c>
      <c r="G320" s="18" t="s">
        <v>1881</v>
      </c>
      <c r="H320" s="64"/>
      <c r="I320" s="64"/>
      <c r="J320" s="64"/>
      <c r="K320" s="300">
        <v>1.1000000000000001</v>
      </c>
      <c r="L320" s="300">
        <v>1.3</v>
      </c>
      <c r="M320" s="64">
        <v>277</v>
      </c>
      <c r="N320" s="64"/>
      <c r="O320" s="64"/>
      <c r="P320" s="64"/>
      <c r="Q320" s="64"/>
      <c r="R320" s="70"/>
      <c r="T320" s="64"/>
      <c r="X320">
        <v>0.123</v>
      </c>
      <c r="Y320" s="258" t="s">
        <v>1313</v>
      </c>
      <c r="AA320" s="259" t="s">
        <v>1314</v>
      </c>
      <c r="AB320" s="20" t="s">
        <v>1061</v>
      </c>
      <c r="AC320">
        <f t="shared" si="9"/>
        <v>1385000000</v>
      </c>
      <c r="AE320" s="18" t="s">
        <v>1315</v>
      </c>
      <c r="AF320" s="1" t="b">
        <v>1</v>
      </c>
    </row>
    <row r="321" spans="2:32" ht="16.5" customHeight="1">
      <c r="B321" s="1" t="str">
        <f t="shared" si="8"/>
        <v>M_TDIF04_VM_BKT_1.3_278</v>
      </c>
      <c r="C321" s="92" t="s">
        <v>700</v>
      </c>
      <c r="D321" s="92" t="str" cm="1">
        <f t="array" ref="D321">INDEX(기계코드!$D$4:$D$214,MATCH(1,(C321=기계코드!$F$4:$F$214)*1,0))</f>
        <v>M_TDIF04</v>
      </c>
      <c r="E321" s="92" t="s">
        <v>1128</v>
      </c>
      <c r="F321" s="7" t="str" cm="1">
        <f t="array" ref="F321">INDEX(공급업체코드!$B$3:$B$1000,MATCH(1,(E321=공급업체코드!$D$3:$D$1000)*1,0))</f>
        <v>VM_BKT</v>
      </c>
      <c r="G321" s="18" t="s">
        <v>1881</v>
      </c>
      <c r="H321" s="64"/>
      <c r="I321" s="64"/>
      <c r="J321" s="64"/>
      <c r="K321" s="300">
        <v>1.1000000000000001</v>
      </c>
      <c r="L321" s="300">
        <v>1.3</v>
      </c>
      <c r="M321" s="64">
        <v>278</v>
      </c>
      <c r="N321" s="64"/>
      <c r="O321" s="64"/>
      <c r="P321" s="64"/>
      <c r="Q321" s="64"/>
      <c r="R321" s="70"/>
      <c r="T321" s="64"/>
      <c r="X321">
        <v>0.123</v>
      </c>
      <c r="Y321" s="258" t="s">
        <v>1313</v>
      </c>
      <c r="AA321" s="259" t="s">
        <v>1314</v>
      </c>
      <c r="AB321" s="20" t="s">
        <v>1061</v>
      </c>
      <c r="AC321">
        <f t="shared" si="9"/>
        <v>1390000000</v>
      </c>
      <c r="AE321" s="18" t="s">
        <v>1315</v>
      </c>
      <c r="AF321" s="1" t="b">
        <v>1</v>
      </c>
    </row>
    <row r="322" spans="2:32" ht="16.5" customHeight="1">
      <c r="B322" s="1" t="str">
        <f t="shared" si="8"/>
        <v>M_TDIF04_VM_BKT_1.3_279</v>
      </c>
      <c r="C322" s="92" t="s">
        <v>700</v>
      </c>
      <c r="D322" s="92" t="str" cm="1">
        <f t="array" ref="D322">INDEX(기계코드!$D$4:$D$214,MATCH(1,(C322=기계코드!$F$4:$F$214)*1,0))</f>
        <v>M_TDIF04</v>
      </c>
      <c r="E322" s="92" t="s">
        <v>1128</v>
      </c>
      <c r="F322" s="7" t="str" cm="1">
        <f t="array" ref="F322">INDEX(공급업체코드!$B$3:$B$1000,MATCH(1,(E322=공급업체코드!$D$3:$D$1000)*1,0))</f>
        <v>VM_BKT</v>
      </c>
      <c r="G322" s="18" t="s">
        <v>1881</v>
      </c>
      <c r="H322" s="64"/>
      <c r="I322" s="64"/>
      <c r="J322" s="64"/>
      <c r="K322" s="300">
        <v>1.1000000000000001</v>
      </c>
      <c r="L322" s="300">
        <v>1.3</v>
      </c>
      <c r="M322" s="64">
        <v>279</v>
      </c>
      <c r="N322" s="64"/>
      <c r="O322" s="64"/>
      <c r="P322" s="64"/>
      <c r="Q322" s="64"/>
      <c r="R322" s="70"/>
      <c r="T322" s="64"/>
      <c r="X322">
        <v>0.123</v>
      </c>
      <c r="Y322" s="258" t="s">
        <v>1313</v>
      </c>
      <c r="AA322" s="259" t="s">
        <v>1314</v>
      </c>
      <c r="AB322" s="20" t="s">
        <v>1061</v>
      </c>
      <c r="AC322">
        <f t="shared" si="9"/>
        <v>1395000000</v>
      </c>
      <c r="AE322" s="18" t="s">
        <v>1315</v>
      </c>
      <c r="AF322" s="1" t="b">
        <v>1</v>
      </c>
    </row>
    <row r="323" spans="2:32" ht="16.5" customHeight="1">
      <c r="B323" s="1" t="str">
        <f t="shared" si="8"/>
        <v>M_TDIF04_VM_BKT_1.3_280</v>
      </c>
      <c r="C323" s="92" t="s">
        <v>700</v>
      </c>
      <c r="D323" s="92" t="str" cm="1">
        <f t="array" ref="D323">INDEX(기계코드!$D$4:$D$214,MATCH(1,(C323=기계코드!$F$4:$F$214)*1,0))</f>
        <v>M_TDIF04</v>
      </c>
      <c r="E323" s="92" t="s">
        <v>1128</v>
      </c>
      <c r="F323" s="7" t="str" cm="1">
        <f t="array" ref="F323">INDEX(공급업체코드!$B$3:$B$1000,MATCH(1,(E323=공급업체코드!$D$3:$D$1000)*1,0))</f>
        <v>VM_BKT</v>
      </c>
      <c r="G323" s="18" t="s">
        <v>1881</v>
      </c>
      <c r="H323" s="64"/>
      <c r="I323" s="64"/>
      <c r="J323" s="64"/>
      <c r="K323" s="300">
        <v>1.1000000000000001</v>
      </c>
      <c r="L323" s="300">
        <v>1.3</v>
      </c>
      <c r="M323" s="64">
        <v>280</v>
      </c>
      <c r="N323" s="64"/>
      <c r="O323" s="64"/>
      <c r="P323" s="64"/>
      <c r="Q323" s="64"/>
      <c r="R323" s="70"/>
      <c r="T323" s="64"/>
      <c r="X323">
        <v>0.123</v>
      </c>
      <c r="Y323" s="258" t="s">
        <v>1313</v>
      </c>
      <c r="AA323" s="259" t="s">
        <v>1314</v>
      </c>
      <c r="AB323" s="20" t="s">
        <v>1061</v>
      </c>
      <c r="AC323">
        <f t="shared" si="9"/>
        <v>1400000000</v>
      </c>
      <c r="AE323" s="18" t="s">
        <v>1315</v>
      </c>
      <c r="AF323" s="1" t="b">
        <v>1</v>
      </c>
    </row>
    <row r="324" spans="2:32" ht="16.5" customHeight="1">
      <c r="B324" s="1" t="str">
        <f t="shared" si="8"/>
        <v>M_TDIF04_VM_BKT_1.3_281</v>
      </c>
      <c r="C324" s="92" t="s">
        <v>700</v>
      </c>
      <c r="D324" s="92" t="str" cm="1">
        <f t="array" ref="D324">INDEX(기계코드!$D$4:$D$214,MATCH(1,(C324=기계코드!$F$4:$F$214)*1,0))</f>
        <v>M_TDIF04</v>
      </c>
      <c r="E324" s="92" t="s">
        <v>1128</v>
      </c>
      <c r="F324" s="7" t="str" cm="1">
        <f t="array" ref="F324">INDEX(공급업체코드!$B$3:$B$1000,MATCH(1,(E324=공급업체코드!$D$3:$D$1000)*1,0))</f>
        <v>VM_BKT</v>
      </c>
      <c r="G324" s="18" t="s">
        <v>1881</v>
      </c>
      <c r="H324" s="64"/>
      <c r="I324" s="64"/>
      <c r="J324" s="64"/>
      <c r="K324" s="300">
        <v>1.1000000000000001</v>
      </c>
      <c r="L324" s="300">
        <v>1.3</v>
      </c>
      <c r="M324" s="64">
        <v>281</v>
      </c>
      <c r="N324" s="64"/>
      <c r="O324" s="64"/>
      <c r="P324" s="64"/>
      <c r="Q324" s="64"/>
      <c r="R324" s="70"/>
      <c r="T324" s="64"/>
      <c r="X324">
        <v>0.123</v>
      </c>
      <c r="Y324" s="258" t="s">
        <v>1313</v>
      </c>
      <c r="AA324" s="259" t="s">
        <v>1314</v>
      </c>
      <c r="AB324" s="20" t="s">
        <v>1061</v>
      </c>
      <c r="AC324">
        <f t="shared" si="9"/>
        <v>1405000000</v>
      </c>
      <c r="AE324" s="18" t="s">
        <v>1315</v>
      </c>
      <c r="AF324" s="1" t="b">
        <v>1</v>
      </c>
    </row>
    <row r="325" spans="2:32" ht="16.5" customHeight="1">
      <c r="B325" s="1" t="str">
        <f t="shared" si="8"/>
        <v>M_TDIF04_VM_BKT_1.3_282</v>
      </c>
      <c r="C325" s="92" t="s">
        <v>700</v>
      </c>
      <c r="D325" s="92" t="str" cm="1">
        <f t="array" ref="D325">INDEX(기계코드!$D$4:$D$214,MATCH(1,(C325=기계코드!$F$4:$F$214)*1,0))</f>
        <v>M_TDIF04</v>
      </c>
      <c r="E325" s="92" t="s">
        <v>1128</v>
      </c>
      <c r="F325" s="7" t="str" cm="1">
        <f t="array" ref="F325">INDEX(공급업체코드!$B$3:$B$1000,MATCH(1,(E325=공급업체코드!$D$3:$D$1000)*1,0))</f>
        <v>VM_BKT</v>
      </c>
      <c r="G325" s="18" t="s">
        <v>1881</v>
      </c>
      <c r="H325" s="64"/>
      <c r="I325" s="64"/>
      <c r="J325" s="64"/>
      <c r="K325" s="300">
        <v>1.1000000000000001</v>
      </c>
      <c r="L325" s="300">
        <v>1.3</v>
      </c>
      <c r="M325" s="64">
        <v>282</v>
      </c>
      <c r="N325" s="64"/>
      <c r="O325" s="64"/>
      <c r="P325" s="64"/>
      <c r="Q325" s="64"/>
      <c r="R325" s="70"/>
      <c r="T325" s="64"/>
      <c r="X325">
        <v>0.123</v>
      </c>
      <c r="Y325" s="258" t="s">
        <v>1313</v>
      </c>
      <c r="AA325" s="259" t="s">
        <v>1314</v>
      </c>
      <c r="AB325" s="20" t="s">
        <v>1061</v>
      </c>
      <c r="AC325">
        <f t="shared" si="9"/>
        <v>1410000000</v>
      </c>
      <c r="AE325" s="18" t="s">
        <v>1315</v>
      </c>
      <c r="AF325" s="1" t="b">
        <v>1</v>
      </c>
    </row>
    <row r="326" spans="2:32" ht="16.5" customHeight="1">
      <c r="B326" s="1" t="str">
        <f t="shared" si="8"/>
        <v>M_TDIF04_VM_BKT_1.3_283</v>
      </c>
      <c r="C326" s="92" t="s">
        <v>700</v>
      </c>
      <c r="D326" s="92" t="str" cm="1">
        <f t="array" ref="D326">INDEX(기계코드!$D$4:$D$214,MATCH(1,(C326=기계코드!$F$4:$F$214)*1,0))</f>
        <v>M_TDIF04</v>
      </c>
      <c r="E326" s="92" t="s">
        <v>1128</v>
      </c>
      <c r="F326" s="7" t="str" cm="1">
        <f t="array" ref="F326">INDEX(공급업체코드!$B$3:$B$1000,MATCH(1,(E326=공급업체코드!$D$3:$D$1000)*1,0))</f>
        <v>VM_BKT</v>
      </c>
      <c r="G326" s="18" t="s">
        <v>1881</v>
      </c>
      <c r="H326" s="64"/>
      <c r="I326" s="64"/>
      <c r="J326" s="64"/>
      <c r="K326" s="300">
        <v>1.1000000000000001</v>
      </c>
      <c r="L326" s="300">
        <v>1.3</v>
      </c>
      <c r="M326" s="64">
        <v>283</v>
      </c>
      <c r="N326" s="64"/>
      <c r="O326" s="64"/>
      <c r="P326" s="64"/>
      <c r="Q326" s="64"/>
      <c r="R326" s="70"/>
      <c r="T326" s="64"/>
      <c r="X326">
        <v>0.123</v>
      </c>
      <c r="Y326" s="258" t="s">
        <v>1313</v>
      </c>
      <c r="AA326" s="259" t="s">
        <v>1314</v>
      </c>
      <c r="AB326" s="20" t="s">
        <v>1061</v>
      </c>
      <c r="AC326">
        <f t="shared" si="9"/>
        <v>1415000000</v>
      </c>
      <c r="AE326" s="18" t="s">
        <v>1315</v>
      </c>
      <c r="AF326" s="1" t="b">
        <v>1</v>
      </c>
    </row>
    <row r="327" spans="2:32" ht="16.5" customHeight="1">
      <c r="B327" s="1" t="str">
        <f t="shared" si="8"/>
        <v>M_TDIF04_VM_BKT_1.3_284</v>
      </c>
      <c r="C327" s="92" t="s">
        <v>700</v>
      </c>
      <c r="D327" s="92" t="str" cm="1">
        <f t="array" ref="D327">INDEX(기계코드!$D$4:$D$214,MATCH(1,(C327=기계코드!$F$4:$F$214)*1,0))</f>
        <v>M_TDIF04</v>
      </c>
      <c r="E327" s="92" t="s">
        <v>1128</v>
      </c>
      <c r="F327" s="7" t="str" cm="1">
        <f t="array" ref="F327">INDEX(공급업체코드!$B$3:$B$1000,MATCH(1,(E327=공급업체코드!$D$3:$D$1000)*1,0))</f>
        <v>VM_BKT</v>
      </c>
      <c r="G327" s="18" t="s">
        <v>1881</v>
      </c>
      <c r="H327" s="64"/>
      <c r="I327" s="64"/>
      <c r="J327" s="64"/>
      <c r="K327" s="300">
        <v>1.1000000000000001</v>
      </c>
      <c r="L327" s="300">
        <v>1.3</v>
      </c>
      <c r="M327" s="64">
        <v>284</v>
      </c>
      <c r="N327" s="64"/>
      <c r="O327" s="64"/>
      <c r="P327" s="64"/>
      <c r="Q327" s="64"/>
      <c r="R327" s="70"/>
      <c r="T327" s="64"/>
      <c r="X327">
        <v>0.123</v>
      </c>
      <c r="Y327" s="258" t="s">
        <v>1313</v>
      </c>
      <c r="AA327" s="259" t="s">
        <v>1314</v>
      </c>
      <c r="AB327" s="20" t="s">
        <v>1061</v>
      </c>
      <c r="AC327">
        <f t="shared" si="9"/>
        <v>1420000000</v>
      </c>
      <c r="AE327" s="18" t="s">
        <v>1315</v>
      </c>
      <c r="AF327" s="1" t="b">
        <v>1</v>
      </c>
    </row>
    <row r="328" spans="2:32" ht="16.5" customHeight="1">
      <c r="B328" s="1" t="str">
        <f t="shared" si="8"/>
        <v>M_TDIF04_VM_BKT_1.3_285</v>
      </c>
      <c r="C328" s="92" t="s">
        <v>700</v>
      </c>
      <c r="D328" s="92" t="str" cm="1">
        <f t="array" ref="D328">INDEX(기계코드!$D$4:$D$214,MATCH(1,(C328=기계코드!$F$4:$F$214)*1,0))</f>
        <v>M_TDIF04</v>
      </c>
      <c r="E328" s="92" t="s">
        <v>1128</v>
      </c>
      <c r="F328" s="7" t="str" cm="1">
        <f t="array" ref="F328">INDEX(공급업체코드!$B$3:$B$1000,MATCH(1,(E328=공급업체코드!$D$3:$D$1000)*1,0))</f>
        <v>VM_BKT</v>
      </c>
      <c r="G328" s="18" t="s">
        <v>1881</v>
      </c>
      <c r="H328" s="64"/>
      <c r="I328" s="64"/>
      <c r="J328" s="64"/>
      <c r="K328" s="300">
        <v>1.1000000000000001</v>
      </c>
      <c r="L328" s="300">
        <v>1.3</v>
      </c>
      <c r="M328" s="64">
        <v>285</v>
      </c>
      <c r="N328" s="64"/>
      <c r="O328" s="64"/>
      <c r="P328" s="64"/>
      <c r="Q328" s="64"/>
      <c r="R328" s="70"/>
      <c r="T328" s="64"/>
      <c r="X328">
        <v>0.123</v>
      </c>
      <c r="Y328" s="258" t="s">
        <v>1313</v>
      </c>
      <c r="AA328" s="259" t="s">
        <v>1314</v>
      </c>
      <c r="AB328" s="20" t="s">
        <v>1061</v>
      </c>
      <c r="AC328">
        <f t="shared" si="9"/>
        <v>1425000000</v>
      </c>
      <c r="AE328" s="18" t="s">
        <v>1315</v>
      </c>
      <c r="AF328" s="1" t="b">
        <v>1</v>
      </c>
    </row>
    <row r="329" spans="2:32" ht="16.5" customHeight="1">
      <c r="B329" s="1" t="str">
        <f t="shared" si="8"/>
        <v>M_TDIF04_VM_BKT_1.3_286</v>
      </c>
      <c r="C329" s="92" t="s">
        <v>700</v>
      </c>
      <c r="D329" s="92" t="str" cm="1">
        <f t="array" ref="D329">INDEX(기계코드!$D$4:$D$214,MATCH(1,(C329=기계코드!$F$4:$F$214)*1,0))</f>
        <v>M_TDIF04</v>
      </c>
      <c r="E329" s="92" t="s">
        <v>1128</v>
      </c>
      <c r="F329" s="7" t="str" cm="1">
        <f t="array" ref="F329">INDEX(공급업체코드!$B$3:$B$1000,MATCH(1,(E329=공급업체코드!$D$3:$D$1000)*1,0))</f>
        <v>VM_BKT</v>
      </c>
      <c r="G329" s="18" t="s">
        <v>1881</v>
      </c>
      <c r="H329" s="64"/>
      <c r="I329" s="64"/>
      <c r="J329" s="64"/>
      <c r="K329" s="300">
        <v>1.1000000000000001</v>
      </c>
      <c r="L329" s="300">
        <v>1.3</v>
      </c>
      <c r="M329" s="64">
        <v>286</v>
      </c>
      <c r="N329" s="64"/>
      <c r="O329" s="64"/>
      <c r="P329" s="64"/>
      <c r="Q329" s="64"/>
      <c r="R329" s="70"/>
      <c r="T329" s="64"/>
      <c r="X329">
        <v>0.123</v>
      </c>
      <c r="Y329" s="258" t="s">
        <v>1313</v>
      </c>
      <c r="AA329" s="259" t="s">
        <v>1314</v>
      </c>
      <c r="AB329" s="20" t="s">
        <v>1061</v>
      </c>
      <c r="AC329">
        <f t="shared" si="9"/>
        <v>1430000000</v>
      </c>
      <c r="AE329" s="18" t="s">
        <v>1315</v>
      </c>
      <c r="AF329" s="1" t="b">
        <v>1</v>
      </c>
    </row>
    <row r="330" spans="2:32" ht="16.5" customHeight="1">
      <c r="B330" s="1" t="str">
        <f t="shared" si="8"/>
        <v>M_TDIF04_VM_BKT_1.3_287</v>
      </c>
      <c r="C330" s="92" t="s">
        <v>700</v>
      </c>
      <c r="D330" s="92" t="str" cm="1">
        <f t="array" ref="D330">INDEX(기계코드!$D$4:$D$214,MATCH(1,(C330=기계코드!$F$4:$F$214)*1,0))</f>
        <v>M_TDIF04</v>
      </c>
      <c r="E330" s="92" t="s">
        <v>1128</v>
      </c>
      <c r="F330" s="7" t="str" cm="1">
        <f t="array" ref="F330">INDEX(공급업체코드!$B$3:$B$1000,MATCH(1,(E330=공급업체코드!$D$3:$D$1000)*1,0))</f>
        <v>VM_BKT</v>
      </c>
      <c r="G330" s="18" t="s">
        <v>1881</v>
      </c>
      <c r="H330" s="64"/>
      <c r="I330" s="64"/>
      <c r="J330" s="64"/>
      <c r="K330" s="300">
        <v>1.1000000000000001</v>
      </c>
      <c r="L330" s="300">
        <v>1.3</v>
      </c>
      <c r="M330" s="64">
        <v>287</v>
      </c>
      <c r="N330" s="64"/>
      <c r="O330" s="64"/>
      <c r="P330" s="64"/>
      <c r="Q330" s="64"/>
      <c r="R330" s="70"/>
      <c r="T330" s="64"/>
      <c r="X330">
        <v>0.123</v>
      </c>
      <c r="Y330" s="258" t="s">
        <v>1313</v>
      </c>
      <c r="AA330" s="259" t="s">
        <v>1314</v>
      </c>
      <c r="AB330" s="20" t="s">
        <v>1061</v>
      </c>
      <c r="AC330">
        <f t="shared" si="9"/>
        <v>1435000000</v>
      </c>
      <c r="AE330" s="18" t="s">
        <v>1315</v>
      </c>
      <c r="AF330" s="1" t="b">
        <v>1</v>
      </c>
    </row>
    <row r="331" spans="2:32" ht="16.5" customHeight="1">
      <c r="B331" s="1" t="str">
        <f t="shared" si="8"/>
        <v>M_TDIF04_VM_BKT_1.3_288</v>
      </c>
      <c r="C331" s="92" t="s">
        <v>700</v>
      </c>
      <c r="D331" s="92" t="str" cm="1">
        <f t="array" ref="D331">INDEX(기계코드!$D$4:$D$214,MATCH(1,(C331=기계코드!$F$4:$F$214)*1,0))</f>
        <v>M_TDIF04</v>
      </c>
      <c r="E331" s="92" t="s">
        <v>1128</v>
      </c>
      <c r="F331" s="7" t="str" cm="1">
        <f t="array" ref="F331">INDEX(공급업체코드!$B$3:$B$1000,MATCH(1,(E331=공급업체코드!$D$3:$D$1000)*1,0))</f>
        <v>VM_BKT</v>
      </c>
      <c r="G331" s="18" t="s">
        <v>1881</v>
      </c>
      <c r="H331" s="64"/>
      <c r="I331" s="64"/>
      <c r="J331" s="64"/>
      <c r="K331" s="300">
        <v>1.1000000000000001</v>
      </c>
      <c r="L331" s="300">
        <v>1.3</v>
      </c>
      <c r="M331" s="64">
        <v>288</v>
      </c>
      <c r="N331" s="64"/>
      <c r="O331" s="64"/>
      <c r="P331" s="64"/>
      <c r="Q331" s="64"/>
      <c r="R331" s="70"/>
      <c r="T331" s="64"/>
      <c r="X331">
        <v>0.123</v>
      </c>
      <c r="Y331" s="258" t="s">
        <v>1313</v>
      </c>
      <c r="AA331" s="259" t="s">
        <v>1314</v>
      </c>
      <c r="AB331" s="20" t="s">
        <v>1061</v>
      </c>
      <c r="AC331">
        <f t="shared" si="9"/>
        <v>1440000000</v>
      </c>
      <c r="AE331" s="18" t="s">
        <v>1315</v>
      </c>
      <c r="AF331" s="1" t="b">
        <v>1</v>
      </c>
    </row>
    <row r="332" spans="2:32" ht="16.5" customHeight="1">
      <c r="B332" s="1" t="str">
        <f t="shared" si="8"/>
        <v>M_TDIF04_VM_BKT_1.3_289</v>
      </c>
      <c r="C332" s="92" t="s">
        <v>700</v>
      </c>
      <c r="D332" s="92" t="str" cm="1">
        <f t="array" ref="D332">INDEX(기계코드!$D$4:$D$214,MATCH(1,(C332=기계코드!$F$4:$F$214)*1,0))</f>
        <v>M_TDIF04</v>
      </c>
      <c r="E332" s="92" t="s">
        <v>1128</v>
      </c>
      <c r="F332" s="7" t="str" cm="1">
        <f t="array" ref="F332">INDEX(공급업체코드!$B$3:$B$1000,MATCH(1,(E332=공급업체코드!$D$3:$D$1000)*1,0))</f>
        <v>VM_BKT</v>
      </c>
      <c r="G332" s="18" t="s">
        <v>1881</v>
      </c>
      <c r="H332" s="64"/>
      <c r="I332" s="64"/>
      <c r="J332" s="64"/>
      <c r="K332" s="300">
        <v>1.1000000000000001</v>
      </c>
      <c r="L332" s="300">
        <v>1.3</v>
      </c>
      <c r="M332" s="64">
        <v>289</v>
      </c>
      <c r="N332" s="64"/>
      <c r="O332" s="64"/>
      <c r="P332" s="64"/>
      <c r="Q332" s="64"/>
      <c r="R332" s="70"/>
      <c r="T332" s="64"/>
      <c r="X332">
        <v>0.123</v>
      </c>
      <c r="Y332" s="258" t="s">
        <v>1313</v>
      </c>
      <c r="AA332" s="259" t="s">
        <v>1314</v>
      </c>
      <c r="AB332" s="20" t="s">
        <v>1061</v>
      </c>
      <c r="AC332">
        <f t="shared" si="9"/>
        <v>1445000000</v>
      </c>
      <c r="AE332" s="18" t="s">
        <v>1315</v>
      </c>
      <c r="AF332" s="1" t="b">
        <v>1</v>
      </c>
    </row>
    <row r="333" spans="2:32" ht="16.5" customHeight="1">
      <c r="B333" s="1" t="str">
        <f t="shared" si="8"/>
        <v>M_TDIF04_VM_BKT_1.3_290</v>
      </c>
      <c r="C333" s="92" t="s">
        <v>700</v>
      </c>
      <c r="D333" s="92" t="str" cm="1">
        <f t="array" ref="D333">INDEX(기계코드!$D$4:$D$214,MATCH(1,(C333=기계코드!$F$4:$F$214)*1,0))</f>
        <v>M_TDIF04</v>
      </c>
      <c r="E333" s="92" t="s">
        <v>1128</v>
      </c>
      <c r="F333" s="7" t="str" cm="1">
        <f t="array" ref="F333">INDEX(공급업체코드!$B$3:$B$1000,MATCH(1,(E333=공급업체코드!$D$3:$D$1000)*1,0))</f>
        <v>VM_BKT</v>
      </c>
      <c r="G333" s="18" t="s">
        <v>1881</v>
      </c>
      <c r="H333" s="64"/>
      <c r="I333" s="64"/>
      <c r="J333" s="64"/>
      <c r="K333" s="300">
        <v>1.1000000000000001</v>
      </c>
      <c r="L333" s="300">
        <v>1.3</v>
      </c>
      <c r="M333" s="64">
        <v>290</v>
      </c>
      <c r="N333" s="64"/>
      <c r="O333" s="64"/>
      <c r="P333" s="64"/>
      <c r="Q333" s="64"/>
      <c r="R333" s="70"/>
      <c r="T333" s="64"/>
      <c r="X333">
        <v>0.123</v>
      </c>
      <c r="Y333" s="258" t="s">
        <v>1313</v>
      </c>
      <c r="AA333" s="259" t="s">
        <v>1314</v>
      </c>
      <c r="AB333" s="20" t="s">
        <v>1061</v>
      </c>
      <c r="AC333">
        <f t="shared" si="9"/>
        <v>1450000000</v>
      </c>
      <c r="AE333" s="18" t="s">
        <v>1315</v>
      </c>
      <c r="AF333" s="1" t="b">
        <v>1</v>
      </c>
    </row>
    <row r="334" spans="2:32" ht="16.5" customHeight="1">
      <c r="B334" s="1" t="str">
        <f t="shared" si="8"/>
        <v>M_TDIF04_VM_BKT_1.3_291</v>
      </c>
      <c r="C334" s="92" t="s">
        <v>700</v>
      </c>
      <c r="D334" s="92" t="str" cm="1">
        <f t="array" ref="D334">INDEX(기계코드!$D$4:$D$214,MATCH(1,(C334=기계코드!$F$4:$F$214)*1,0))</f>
        <v>M_TDIF04</v>
      </c>
      <c r="E334" s="92" t="s">
        <v>1128</v>
      </c>
      <c r="F334" s="7" t="str" cm="1">
        <f t="array" ref="F334">INDEX(공급업체코드!$B$3:$B$1000,MATCH(1,(E334=공급업체코드!$D$3:$D$1000)*1,0))</f>
        <v>VM_BKT</v>
      </c>
      <c r="G334" s="18" t="s">
        <v>1881</v>
      </c>
      <c r="H334" s="64"/>
      <c r="I334" s="64"/>
      <c r="J334" s="64"/>
      <c r="K334" s="300">
        <v>1.1000000000000001</v>
      </c>
      <c r="L334" s="300">
        <v>1.3</v>
      </c>
      <c r="M334" s="64">
        <v>291</v>
      </c>
      <c r="N334" s="64"/>
      <c r="O334" s="64"/>
      <c r="P334" s="64"/>
      <c r="Q334" s="64"/>
      <c r="R334" s="70"/>
      <c r="T334" s="64"/>
      <c r="X334">
        <v>0.123</v>
      </c>
      <c r="Y334" s="258" t="s">
        <v>1313</v>
      </c>
      <c r="AA334" s="259" t="s">
        <v>1314</v>
      </c>
      <c r="AB334" s="20" t="s">
        <v>1061</v>
      </c>
      <c r="AC334">
        <f t="shared" si="9"/>
        <v>1455000000</v>
      </c>
      <c r="AE334" s="18" t="s">
        <v>1315</v>
      </c>
      <c r="AF334" s="1" t="b">
        <v>1</v>
      </c>
    </row>
    <row r="335" spans="2:32" ht="16.5" customHeight="1">
      <c r="B335" s="1" t="str">
        <f t="shared" si="8"/>
        <v>M_TDIF04_VM_BKT_1.3_292</v>
      </c>
      <c r="C335" s="92" t="s">
        <v>700</v>
      </c>
      <c r="D335" s="92" t="str" cm="1">
        <f t="array" ref="D335">INDEX(기계코드!$D$4:$D$214,MATCH(1,(C335=기계코드!$F$4:$F$214)*1,0))</f>
        <v>M_TDIF04</v>
      </c>
      <c r="E335" s="92" t="s">
        <v>1128</v>
      </c>
      <c r="F335" s="7" t="str" cm="1">
        <f t="array" ref="F335">INDEX(공급업체코드!$B$3:$B$1000,MATCH(1,(E335=공급업체코드!$D$3:$D$1000)*1,0))</f>
        <v>VM_BKT</v>
      </c>
      <c r="G335" s="18" t="s">
        <v>1881</v>
      </c>
      <c r="H335" s="64"/>
      <c r="I335" s="64"/>
      <c r="J335" s="64"/>
      <c r="K335" s="300">
        <v>1.1000000000000001</v>
      </c>
      <c r="L335" s="300">
        <v>1.3</v>
      </c>
      <c r="M335" s="64">
        <v>292</v>
      </c>
      <c r="N335" s="64"/>
      <c r="O335" s="64"/>
      <c r="P335" s="64"/>
      <c r="Q335" s="64"/>
      <c r="R335" s="70"/>
      <c r="T335" s="64"/>
      <c r="X335">
        <v>0.123</v>
      </c>
      <c r="Y335" s="258" t="s">
        <v>1313</v>
      </c>
      <c r="AA335" s="259" t="s">
        <v>1314</v>
      </c>
      <c r="AB335" s="20" t="s">
        <v>1061</v>
      </c>
      <c r="AC335">
        <f t="shared" si="9"/>
        <v>1460000000</v>
      </c>
      <c r="AE335" s="18" t="s">
        <v>1315</v>
      </c>
      <c r="AF335" s="1" t="b">
        <v>1</v>
      </c>
    </row>
    <row r="336" spans="2:32" ht="16.5" customHeight="1">
      <c r="B336" s="1" t="str">
        <f t="shared" si="8"/>
        <v>M_TDIF04_VM_BKT_1.3_293</v>
      </c>
      <c r="C336" s="92" t="s">
        <v>700</v>
      </c>
      <c r="D336" s="92" t="str" cm="1">
        <f t="array" ref="D336">INDEX(기계코드!$D$4:$D$214,MATCH(1,(C336=기계코드!$F$4:$F$214)*1,0))</f>
        <v>M_TDIF04</v>
      </c>
      <c r="E336" s="92" t="s">
        <v>1128</v>
      </c>
      <c r="F336" s="7" t="str" cm="1">
        <f t="array" ref="F336">INDEX(공급업체코드!$B$3:$B$1000,MATCH(1,(E336=공급업체코드!$D$3:$D$1000)*1,0))</f>
        <v>VM_BKT</v>
      </c>
      <c r="G336" s="18" t="s">
        <v>1881</v>
      </c>
      <c r="H336" s="64"/>
      <c r="I336" s="64"/>
      <c r="J336" s="64"/>
      <c r="K336" s="300">
        <v>1.1000000000000001</v>
      </c>
      <c r="L336" s="300">
        <v>1.3</v>
      </c>
      <c r="M336" s="64">
        <v>293</v>
      </c>
      <c r="N336" s="64"/>
      <c r="O336" s="64"/>
      <c r="P336" s="64"/>
      <c r="Q336" s="64"/>
      <c r="R336" s="70"/>
      <c r="T336" s="64"/>
      <c r="X336">
        <v>0.123</v>
      </c>
      <c r="Y336" s="258" t="s">
        <v>1313</v>
      </c>
      <c r="AA336" s="259" t="s">
        <v>1314</v>
      </c>
      <c r="AB336" s="20" t="s">
        <v>1061</v>
      </c>
      <c r="AC336">
        <f t="shared" si="9"/>
        <v>1465000000</v>
      </c>
      <c r="AE336" s="18" t="s">
        <v>1315</v>
      </c>
      <c r="AF336" s="1" t="b">
        <v>1</v>
      </c>
    </row>
    <row r="337" spans="2:32" ht="16.5" customHeight="1">
      <c r="B337" s="1" t="str">
        <f t="shared" si="8"/>
        <v>M_TDIF04_VM_BKT_1.3_294</v>
      </c>
      <c r="C337" s="92" t="s">
        <v>700</v>
      </c>
      <c r="D337" s="92" t="str" cm="1">
        <f t="array" ref="D337">INDEX(기계코드!$D$4:$D$214,MATCH(1,(C337=기계코드!$F$4:$F$214)*1,0))</f>
        <v>M_TDIF04</v>
      </c>
      <c r="E337" s="92" t="s">
        <v>1128</v>
      </c>
      <c r="F337" s="7" t="str" cm="1">
        <f t="array" ref="F337">INDEX(공급업체코드!$B$3:$B$1000,MATCH(1,(E337=공급업체코드!$D$3:$D$1000)*1,0))</f>
        <v>VM_BKT</v>
      </c>
      <c r="G337" s="18" t="s">
        <v>1881</v>
      </c>
      <c r="H337" s="64"/>
      <c r="I337" s="64"/>
      <c r="J337" s="64"/>
      <c r="K337" s="300">
        <v>1.1000000000000001</v>
      </c>
      <c r="L337" s="300">
        <v>1.3</v>
      </c>
      <c r="M337" s="64">
        <v>294</v>
      </c>
      <c r="N337" s="64"/>
      <c r="O337" s="64"/>
      <c r="P337" s="64"/>
      <c r="Q337" s="64"/>
      <c r="R337" s="70"/>
      <c r="T337" s="64"/>
      <c r="X337">
        <v>0.123</v>
      </c>
      <c r="Y337" s="258" t="s">
        <v>1313</v>
      </c>
      <c r="AA337" s="259" t="s">
        <v>1314</v>
      </c>
      <c r="AB337" s="20" t="s">
        <v>1061</v>
      </c>
      <c r="AC337">
        <f t="shared" si="9"/>
        <v>1470000000</v>
      </c>
      <c r="AE337" s="18" t="s">
        <v>1315</v>
      </c>
      <c r="AF337" s="1" t="b">
        <v>1</v>
      </c>
    </row>
    <row r="338" spans="2:32" ht="16.5" customHeight="1">
      <c r="B338" s="1" t="str">
        <f t="shared" si="8"/>
        <v>M_TDIF04_VM_BKT_1.3_295</v>
      </c>
      <c r="C338" s="92" t="s">
        <v>700</v>
      </c>
      <c r="D338" s="92" t="str" cm="1">
        <f t="array" ref="D338">INDEX(기계코드!$D$4:$D$214,MATCH(1,(C338=기계코드!$F$4:$F$214)*1,0))</f>
        <v>M_TDIF04</v>
      </c>
      <c r="E338" s="92" t="s">
        <v>1128</v>
      </c>
      <c r="F338" s="7" t="str" cm="1">
        <f t="array" ref="F338">INDEX(공급업체코드!$B$3:$B$1000,MATCH(1,(E338=공급업체코드!$D$3:$D$1000)*1,0))</f>
        <v>VM_BKT</v>
      </c>
      <c r="G338" s="18" t="s">
        <v>1881</v>
      </c>
      <c r="H338" s="64"/>
      <c r="I338" s="64"/>
      <c r="J338" s="64"/>
      <c r="K338" s="300">
        <v>1.1000000000000001</v>
      </c>
      <c r="L338" s="300">
        <v>1.3</v>
      </c>
      <c r="M338" s="64">
        <v>295</v>
      </c>
      <c r="N338" s="64"/>
      <c r="O338" s="64"/>
      <c r="P338" s="64"/>
      <c r="Q338" s="64"/>
      <c r="R338" s="70"/>
      <c r="T338" s="64"/>
      <c r="X338">
        <v>0.123</v>
      </c>
      <c r="Y338" s="258" t="s">
        <v>1313</v>
      </c>
      <c r="AA338" s="259" t="s">
        <v>1314</v>
      </c>
      <c r="AB338" s="20" t="s">
        <v>1061</v>
      </c>
      <c r="AC338">
        <f t="shared" si="9"/>
        <v>1475000000</v>
      </c>
      <c r="AE338" s="18" t="s">
        <v>1315</v>
      </c>
      <c r="AF338" s="1" t="b">
        <v>1</v>
      </c>
    </row>
    <row r="339" spans="2:32" ht="16.5" customHeight="1">
      <c r="B339" s="1" t="str">
        <f t="shared" si="8"/>
        <v>M_TDIF04_VM_BKT_1.3_296</v>
      </c>
      <c r="C339" s="92" t="s">
        <v>700</v>
      </c>
      <c r="D339" s="92" t="str" cm="1">
        <f t="array" ref="D339">INDEX(기계코드!$D$4:$D$214,MATCH(1,(C339=기계코드!$F$4:$F$214)*1,0))</f>
        <v>M_TDIF04</v>
      </c>
      <c r="E339" s="92" t="s">
        <v>1128</v>
      </c>
      <c r="F339" s="7" t="str" cm="1">
        <f t="array" ref="F339">INDEX(공급업체코드!$B$3:$B$1000,MATCH(1,(E339=공급업체코드!$D$3:$D$1000)*1,0))</f>
        <v>VM_BKT</v>
      </c>
      <c r="G339" s="18" t="s">
        <v>1881</v>
      </c>
      <c r="H339" s="64"/>
      <c r="I339" s="64"/>
      <c r="J339" s="64"/>
      <c r="K339" s="300">
        <v>1.1000000000000001</v>
      </c>
      <c r="L339" s="300">
        <v>1.3</v>
      </c>
      <c r="M339" s="64">
        <v>296</v>
      </c>
      <c r="N339" s="64"/>
      <c r="O339" s="64"/>
      <c r="P339" s="64"/>
      <c r="Q339" s="64"/>
      <c r="R339" s="70"/>
      <c r="T339" s="64"/>
      <c r="X339">
        <v>0.123</v>
      </c>
      <c r="Y339" s="258" t="s">
        <v>1313</v>
      </c>
      <c r="AA339" s="259" t="s">
        <v>1314</v>
      </c>
      <c r="AB339" s="20" t="s">
        <v>1061</v>
      </c>
      <c r="AC339">
        <f t="shared" si="9"/>
        <v>1480000000</v>
      </c>
      <c r="AE339" s="18" t="s">
        <v>1315</v>
      </c>
      <c r="AF339" s="1" t="b">
        <v>1</v>
      </c>
    </row>
    <row r="340" spans="2:32" ht="16.5" customHeight="1">
      <c r="B340" s="1" t="str">
        <f t="shared" si="8"/>
        <v>M_TDIF04_VM_BKT_1.3_297</v>
      </c>
      <c r="C340" s="92" t="s">
        <v>700</v>
      </c>
      <c r="D340" s="92" t="str" cm="1">
        <f t="array" ref="D340">INDEX(기계코드!$D$4:$D$214,MATCH(1,(C340=기계코드!$F$4:$F$214)*1,0))</f>
        <v>M_TDIF04</v>
      </c>
      <c r="E340" s="92" t="s">
        <v>1128</v>
      </c>
      <c r="F340" s="7" t="str" cm="1">
        <f t="array" ref="F340">INDEX(공급업체코드!$B$3:$B$1000,MATCH(1,(E340=공급업체코드!$D$3:$D$1000)*1,0))</f>
        <v>VM_BKT</v>
      </c>
      <c r="G340" s="18" t="s">
        <v>1881</v>
      </c>
      <c r="H340" s="64"/>
      <c r="I340" s="64"/>
      <c r="J340" s="64"/>
      <c r="K340" s="300">
        <v>1.1000000000000001</v>
      </c>
      <c r="L340" s="300">
        <v>1.3</v>
      </c>
      <c r="M340" s="64">
        <v>297</v>
      </c>
      <c r="N340" s="64"/>
      <c r="O340" s="64"/>
      <c r="P340" s="64"/>
      <c r="Q340" s="64"/>
      <c r="R340" s="70"/>
      <c r="T340" s="64"/>
      <c r="X340">
        <v>0.123</v>
      </c>
      <c r="Y340" s="258" t="s">
        <v>1313</v>
      </c>
      <c r="AA340" s="259" t="s">
        <v>1314</v>
      </c>
      <c r="AB340" s="20" t="s">
        <v>1061</v>
      </c>
      <c r="AC340">
        <f t="shared" si="9"/>
        <v>1485000000</v>
      </c>
      <c r="AE340" s="18" t="s">
        <v>1315</v>
      </c>
      <c r="AF340" s="1" t="b">
        <v>1</v>
      </c>
    </row>
    <row r="341" spans="2:32" ht="16.5" customHeight="1">
      <c r="B341" s="1" t="str">
        <f t="shared" si="8"/>
        <v>M_TDIF04_VM_BKT_1.3_298</v>
      </c>
      <c r="C341" s="92" t="s">
        <v>700</v>
      </c>
      <c r="D341" s="92" t="str" cm="1">
        <f t="array" ref="D341">INDEX(기계코드!$D$4:$D$214,MATCH(1,(C341=기계코드!$F$4:$F$214)*1,0))</f>
        <v>M_TDIF04</v>
      </c>
      <c r="E341" s="92" t="s">
        <v>1128</v>
      </c>
      <c r="F341" s="7" t="str" cm="1">
        <f t="array" ref="F341">INDEX(공급업체코드!$B$3:$B$1000,MATCH(1,(E341=공급업체코드!$D$3:$D$1000)*1,0))</f>
        <v>VM_BKT</v>
      </c>
      <c r="G341" s="18" t="s">
        <v>1881</v>
      </c>
      <c r="H341" s="64"/>
      <c r="I341" s="64"/>
      <c r="J341" s="64"/>
      <c r="K341" s="300">
        <v>1.1000000000000001</v>
      </c>
      <c r="L341" s="300">
        <v>1.3</v>
      </c>
      <c r="M341" s="64">
        <v>298</v>
      </c>
      <c r="N341" s="64"/>
      <c r="O341" s="64"/>
      <c r="P341" s="64"/>
      <c r="Q341" s="64"/>
      <c r="R341" s="70"/>
      <c r="T341" s="64"/>
      <c r="X341">
        <v>0.123</v>
      </c>
      <c r="Y341" s="258" t="s">
        <v>1313</v>
      </c>
      <c r="AA341" s="259" t="s">
        <v>1314</v>
      </c>
      <c r="AB341" s="20" t="s">
        <v>1061</v>
      </c>
      <c r="AC341">
        <f t="shared" si="9"/>
        <v>1490000000</v>
      </c>
      <c r="AE341" s="18" t="s">
        <v>1315</v>
      </c>
      <c r="AF341" s="1" t="b">
        <v>1</v>
      </c>
    </row>
    <row r="342" spans="2:32" ht="16.5" customHeight="1">
      <c r="B342" s="1" t="str">
        <f t="shared" si="8"/>
        <v>M_TDIF04_VM_BKT_1.3_299</v>
      </c>
      <c r="C342" s="92" t="s">
        <v>700</v>
      </c>
      <c r="D342" s="92" t="str" cm="1">
        <f t="array" ref="D342">INDEX(기계코드!$D$4:$D$214,MATCH(1,(C342=기계코드!$F$4:$F$214)*1,0))</f>
        <v>M_TDIF04</v>
      </c>
      <c r="E342" s="92" t="s">
        <v>1128</v>
      </c>
      <c r="F342" s="7" t="str" cm="1">
        <f t="array" ref="F342">INDEX(공급업체코드!$B$3:$B$1000,MATCH(1,(E342=공급업체코드!$D$3:$D$1000)*1,0))</f>
        <v>VM_BKT</v>
      </c>
      <c r="G342" s="18" t="s">
        <v>1881</v>
      </c>
      <c r="H342" s="64"/>
      <c r="I342" s="64"/>
      <c r="J342" s="64"/>
      <c r="K342" s="300">
        <v>1.1000000000000001</v>
      </c>
      <c r="L342" s="300">
        <v>1.3</v>
      </c>
      <c r="M342" s="64">
        <v>299</v>
      </c>
      <c r="N342" s="64"/>
      <c r="O342" s="64"/>
      <c r="P342" s="64"/>
      <c r="Q342" s="64"/>
      <c r="R342" s="70"/>
      <c r="T342" s="64"/>
      <c r="X342">
        <v>0.123</v>
      </c>
      <c r="Y342" s="258" t="s">
        <v>1313</v>
      </c>
      <c r="AA342" s="259" t="s">
        <v>1314</v>
      </c>
      <c r="AB342" s="20" t="s">
        <v>1061</v>
      </c>
      <c r="AC342">
        <f t="shared" si="9"/>
        <v>1495000000</v>
      </c>
      <c r="AE342" s="18" t="s">
        <v>1315</v>
      </c>
      <c r="AF342" s="1" t="b">
        <v>1</v>
      </c>
    </row>
    <row r="343" spans="2:32" ht="16.5" customHeight="1">
      <c r="B343" s="1" t="str">
        <f t="shared" si="8"/>
        <v>M_TDIF04_VM_BKT_1.3_300</v>
      </c>
      <c r="C343" s="92" t="s">
        <v>700</v>
      </c>
      <c r="D343" s="92" t="str" cm="1">
        <f t="array" ref="D343">INDEX(기계코드!$D$4:$D$214,MATCH(1,(C343=기계코드!$F$4:$F$214)*1,0))</f>
        <v>M_TDIF04</v>
      </c>
      <c r="E343" s="92" t="s">
        <v>1128</v>
      </c>
      <c r="F343" s="7" t="str" cm="1">
        <f t="array" ref="F343">INDEX(공급업체코드!$B$3:$B$1000,MATCH(1,(E343=공급업체코드!$D$3:$D$1000)*1,0))</f>
        <v>VM_BKT</v>
      </c>
      <c r="G343" s="18" t="s">
        <v>1881</v>
      </c>
      <c r="H343" s="64"/>
      <c r="I343" s="64"/>
      <c r="J343" s="64"/>
      <c r="K343" s="300">
        <v>1.1000000000000001</v>
      </c>
      <c r="L343" s="300">
        <v>1.3</v>
      </c>
      <c r="M343" s="64">
        <v>300</v>
      </c>
      <c r="N343" s="64"/>
      <c r="O343" s="64"/>
      <c r="P343" s="64"/>
      <c r="Q343" s="64"/>
      <c r="R343" s="70"/>
      <c r="T343" s="64"/>
      <c r="X343">
        <v>0.123</v>
      </c>
      <c r="Y343" s="258" t="s">
        <v>1313</v>
      </c>
      <c r="AA343" s="259" t="s">
        <v>1314</v>
      </c>
      <c r="AB343" s="20" t="s">
        <v>1061</v>
      </c>
      <c r="AC343">
        <f t="shared" si="9"/>
        <v>1500000000</v>
      </c>
      <c r="AE343" s="18" t="s">
        <v>1315</v>
      </c>
      <c r="AF343" s="1" t="b">
        <v>1</v>
      </c>
    </row>
    <row r="344" spans="2:32" ht="16.5" customHeight="1">
      <c r="B344" s="1" t="str">
        <f t="shared" si="8"/>
        <v>M_TDIF04_VM_BKT_1.3_301</v>
      </c>
      <c r="C344" s="92" t="s">
        <v>700</v>
      </c>
      <c r="D344" s="92" t="str" cm="1">
        <f t="array" ref="D344">INDEX(기계코드!$D$4:$D$214,MATCH(1,(C344=기계코드!$F$4:$F$214)*1,0))</f>
        <v>M_TDIF04</v>
      </c>
      <c r="E344" s="92" t="s">
        <v>1128</v>
      </c>
      <c r="F344" s="7" t="str" cm="1">
        <f t="array" ref="F344">INDEX(공급업체코드!$B$3:$B$1000,MATCH(1,(E344=공급업체코드!$D$3:$D$1000)*1,0))</f>
        <v>VM_BKT</v>
      </c>
      <c r="G344" s="18" t="s">
        <v>1881</v>
      </c>
      <c r="H344" s="64"/>
      <c r="I344" s="64"/>
      <c r="J344" s="64"/>
      <c r="K344" s="300">
        <v>1.1000000000000001</v>
      </c>
      <c r="L344" s="300">
        <v>1.3</v>
      </c>
      <c r="M344" s="64">
        <v>301</v>
      </c>
      <c r="N344" s="64"/>
      <c r="O344" s="64"/>
      <c r="P344" s="64"/>
      <c r="Q344" s="64"/>
      <c r="R344" s="70"/>
      <c r="T344" s="64"/>
      <c r="X344">
        <v>0.123</v>
      </c>
      <c r="Y344" s="258" t="s">
        <v>1313</v>
      </c>
      <c r="AA344" s="259" t="s">
        <v>1314</v>
      </c>
      <c r="AB344" s="20" t="s">
        <v>1061</v>
      </c>
      <c r="AC344">
        <f t="shared" si="9"/>
        <v>1505000000</v>
      </c>
      <c r="AE344" s="18" t="s">
        <v>1315</v>
      </c>
      <c r="AF344" s="1" t="b">
        <v>1</v>
      </c>
    </row>
    <row r="345" spans="2:32" ht="16.5" customHeight="1">
      <c r="B345" s="1" t="str">
        <f t="shared" si="8"/>
        <v>M_TDIF04_VM_BKT_1.3_302</v>
      </c>
      <c r="C345" s="92" t="s">
        <v>700</v>
      </c>
      <c r="D345" s="92" t="str" cm="1">
        <f t="array" ref="D345">INDEX(기계코드!$D$4:$D$214,MATCH(1,(C345=기계코드!$F$4:$F$214)*1,0))</f>
        <v>M_TDIF04</v>
      </c>
      <c r="E345" s="92" t="s">
        <v>1128</v>
      </c>
      <c r="F345" s="7" t="str" cm="1">
        <f t="array" ref="F345">INDEX(공급업체코드!$B$3:$B$1000,MATCH(1,(E345=공급업체코드!$D$3:$D$1000)*1,0))</f>
        <v>VM_BKT</v>
      </c>
      <c r="G345" s="18" t="s">
        <v>1881</v>
      </c>
      <c r="H345" s="64"/>
      <c r="I345" s="64"/>
      <c r="J345" s="64"/>
      <c r="K345" s="300">
        <v>1.1000000000000001</v>
      </c>
      <c r="L345" s="300">
        <v>1.3</v>
      </c>
      <c r="M345" s="64">
        <v>302</v>
      </c>
      <c r="N345" s="64"/>
      <c r="O345" s="64"/>
      <c r="P345" s="64"/>
      <c r="Q345" s="64"/>
      <c r="R345" s="70"/>
      <c r="T345" s="64"/>
      <c r="X345">
        <v>0.123</v>
      </c>
      <c r="Y345" s="258" t="s">
        <v>1313</v>
      </c>
      <c r="AA345" s="259" t="s">
        <v>1314</v>
      </c>
      <c r="AB345" s="20" t="s">
        <v>1061</v>
      </c>
      <c r="AC345">
        <f t="shared" si="9"/>
        <v>1510000000</v>
      </c>
      <c r="AE345" s="18" t="s">
        <v>1315</v>
      </c>
      <c r="AF345" s="1" t="b">
        <v>1</v>
      </c>
    </row>
    <row r="346" spans="2:32" ht="16.5" customHeight="1">
      <c r="B346" s="1" t="str">
        <f t="shared" si="8"/>
        <v>M_TDIF04_VM_BKT_1.3_303</v>
      </c>
      <c r="C346" s="92" t="s">
        <v>700</v>
      </c>
      <c r="D346" s="92" t="str" cm="1">
        <f t="array" ref="D346">INDEX(기계코드!$D$4:$D$214,MATCH(1,(C346=기계코드!$F$4:$F$214)*1,0))</f>
        <v>M_TDIF04</v>
      </c>
      <c r="E346" s="92" t="s">
        <v>1128</v>
      </c>
      <c r="F346" s="7" t="str" cm="1">
        <f t="array" ref="F346">INDEX(공급업체코드!$B$3:$B$1000,MATCH(1,(E346=공급업체코드!$D$3:$D$1000)*1,0))</f>
        <v>VM_BKT</v>
      </c>
      <c r="G346" s="18" t="s">
        <v>1881</v>
      </c>
      <c r="H346" s="64"/>
      <c r="I346" s="64"/>
      <c r="J346" s="64"/>
      <c r="K346" s="300">
        <v>1.1000000000000001</v>
      </c>
      <c r="L346" s="300">
        <v>1.3</v>
      </c>
      <c r="M346" s="64">
        <v>303</v>
      </c>
      <c r="N346" s="64"/>
      <c r="O346" s="64"/>
      <c r="P346" s="64"/>
      <c r="Q346" s="64"/>
      <c r="R346" s="70"/>
      <c r="T346" s="64"/>
      <c r="X346">
        <v>0.123</v>
      </c>
      <c r="Y346" s="258" t="s">
        <v>1313</v>
      </c>
      <c r="AA346" s="259" t="s">
        <v>1314</v>
      </c>
      <c r="AB346" s="20" t="s">
        <v>1061</v>
      </c>
      <c r="AC346">
        <f t="shared" si="9"/>
        <v>1515000000</v>
      </c>
      <c r="AE346" s="18" t="s">
        <v>1315</v>
      </c>
      <c r="AF346" s="1" t="b">
        <v>1</v>
      </c>
    </row>
    <row r="347" spans="2:32" ht="16.5" customHeight="1">
      <c r="B347" s="1" t="str">
        <f t="shared" si="8"/>
        <v>M_TDIF04_VM_BKT_1.3_304</v>
      </c>
      <c r="C347" s="92" t="s">
        <v>700</v>
      </c>
      <c r="D347" s="92" t="str" cm="1">
        <f t="array" ref="D347">INDEX(기계코드!$D$4:$D$214,MATCH(1,(C347=기계코드!$F$4:$F$214)*1,0))</f>
        <v>M_TDIF04</v>
      </c>
      <c r="E347" s="92" t="s">
        <v>1128</v>
      </c>
      <c r="F347" s="7" t="str" cm="1">
        <f t="array" ref="F347">INDEX(공급업체코드!$B$3:$B$1000,MATCH(1,(E347=공급업체코드!$D$3:$D$1000)*1,0))</f>
        <v>VM_BKT</v>
      </c>
      <c r="G347" s="18" t="s">
        <v>1881</v>
      </c>
      <c r="H347" s="64"/>
      <c r="I347" s="64"/>
      <c r="J347" s="64"/>
      <c r="K347" s="300">
        <v>1.1000000000000001</v>
      </c>
      <c r="L347" s="300">
        <v>1.3</v>
      </c>
      <c r="M347" s="64">
        <v>304</v>
      </c>
      <c r="N347" s="64"/>
      <c r="O347" s="64"/>
      <c r="P347" s="64"/>
      <c r="Q347" s="64"/>
      <c r="R347" s="70"/>
      <c r="T347" s="64"/>
      <c r="X347">
        <v>0.123</v>
      </c>
      <c r="Y347" s="258" t="s">
        <v>1313</v>
      </c>
      <c r="AA347" s="259" t="s">
        <v>1314</v>
      </c>
      <c r="AB347" s="20" t="s">
        <v>1061</v>
      </c>
      <c r="AC347">
        <f t="shared" si="9"/>
        <v>1520000000</v>
      </c>
      <c r="AE347" s="18" t="s">
        <v>1315</v>
      </c>
      <c r="AF347" s="1" t="b">
        <v>1</v>
      </c>
    </row>
    <row r="348" spans="2:32" ht="16.5" customHeight="1">
      <c r="B348" s="1" t="str">
        <f t="shared" si="8"/>
        <v>M_TDIF04_VM_BKT_1.3_305</v>
      </c>
      <c r="C348" s="92" t="s">
        <v>700</v>
      </c>
      <c r="D348" s="92" t="str" cm="1">
        <f t="array" ref="D348">INDEX(기계코드!$D$4:$D$214,MATCH(1,(C348=기계코드!$F$4:$F$214)*1,0))</f>
        <v>M_TDIF04</v>
      </c>
      <c r="E348" s="92" t="s">
        <v>1128</v>
      </c>
      <c r="F348" s="7" t="str" cm="1">
        <f t="array" ref="F348">INDEX(공급업체코드!$B$3:$B$1000,MATCH(1,(E348=공급업체코드!$D$3:$D$1000)*1,0))</f>
        <v>VM_BKT</v>
      </c>
      <c r="G348" s="18" t="s">
        <v>1881</v>
      </c>
      <c r="H348" s="64"/>
      <c r="I348" s="64"/>
      <c r="J348" s="64"/>
      <c r="K348" s="300">
        <v>1.1000000000000001</v>
      </c>
      <c r="L348" s="300">
        <v>1.3</v>
      </c>
      <c r="M348" s="64">
        <v>305</v>
      </c>
      <c r="N348" s="64"/>
      <c r="O348" s="64"/>
      <c r="P348" s="64"/>
      <c r="Q348" s="64"/>
      <c r="R348" s="70"/>
      <c r="T348" s="64"/>
      <c r="X348">
        <v>0.123</v>
      </c>
      <c r="Y348" s="258" t="s">
        <v>1313</v>
      </c>
      <c r="AA348" s="259" t="s">
        <v>1314</v>
      </c>
      <c r="AB348" s="20" t="s">
        <v>1061</v>
      </c>
      <c r="AC348">
        <f t="shared" si="9"/>
        <v>1525000000</v>
      </c>
      <c r="AE348" s="18" t="s">
        <v>1315</v>
      </c>
      <c r="AF348" s="1" t="b">
        <v>1</v>
      </c>
    </row>
    <row r="349" spans="2:32" ht="16.5" customHeight="1">
      <c r="B349" s="1" t="str">
        <f t="shared" si="8"/>
        <v>M_TDIF04_VM_BKT_1.3_306</v>
      </c>
      <c r="C349" s="92" t="s">
        <v>700</v>
      </c>
      <c r="D349" s="92" t="str" cm="1">
        <f t="array" ref="D349">INDEX(기계코드!$D$4:$D$214,MATCH(1,(C349=기계코드!$F$4:$F$214)*1,0))</f>
        <v>M_TDIF04</v>
      </c>
      <c r="E349" s="92" t="s">
        <v>1128</v>
      </c>
      <c r="F349" s="7" t="str" cm="1">
        <f t="array" ref="F349">INDEX(공급업체코드!$B$3:$B$1000,MATCH(1,(E349=공급업체코드!$D$3:$D$1000)*1,0))</f>
        <v>VM_BKT</v>
      </c>
      <c r="G349" s="18" t="s">
        <v>1881</v>
      </c>
      <c r="H349" s="64"/>
      <c r="I349" s="64"/>
      <c r="J349" s="64"/>
      <c r="K349" s="300">
        <v>1.1000000000000001</v>
      </c>
      <c r="L349" s="300">
        <v>1.3</v>
      </c>
      <c r="M349" s="64">
        <v>306</v>
      </c>
      <c r="N349" s="64"/>
      <c r="O349" s="64"/>
      <c r="P349" s="64"/>
      <c r="Q349" s="64"/>
      <c r="R349" s="70"/>
      <c r="T349" s="64"/>
      <c r="X349">
        <v>0.123</v>
      </c>
      <c r="Y349" s="258" t="s">
        <v>1313</v>
      </c>
      <c r="AA349" s="259" t="s">
        <v>1314</v>
      </c>
      <c r="AB349" s="20" t="s">
        <v>1061</v>
      </c>
      <c r="AC349">
        <f t="shared" si="9"/>
        <v>1530000000</v>
      </c>
      <c r="AE349" s="18" t="s">
        <v>1315</v>
      </c>
      <c r="AF349" s="1" t="b">
        <v>1</v>
      </c>
    </row>
    <row r="350" spans="2:32" ht="16.5" customHeight="1">
      <c r="B350" s="1" t="str">
        <f t="shared" si="8"/>
        <v>M_TDIF04_VM_BKT_1.3_307</v>
      </c>
      <c r="C350" s="92" t="s">
        <v>700</v>
      </c>
      <c r="D350" s="92" t="str" cm="1">
        <f t="array" ref="D350">INDEX(기계코드!$D$4:$D$214,MATCH(1,(C350=기계코드!$F$4:$F$214)*1,0))</f>
        <v>M_TDIF04</v>
      </c>
      <c r="E350" s="92" t="s">
        <v>1128</v>
      </c>
      <c r="F350" s="7" t="str" cm="1">
        <f t="array" ref="F350">INDEX(공급업체코드!$B$3:$B$1000,MATCH(1,(E350=공급업체코드!$D$3:$D$1000)*1,0))</f>
        <v>VM_BKT</v>
      </c>
      <c r="G350" s="18" t="s">
        <v>1881</v>
      </c>
      <c r="H350" s="64"/>
      <c r="I350" s="64"/>
      <c r="J350" s="64"/>
      <c r="K350" s="300">
        <v>1.1000000000000001</v>
      </c>
      <c r="L350" s="300">
        <v>1.3</v>
      </c>
      <c r="M350" s="64">
        <v>307</v>
      </c>
      <c r="N350" s="64"/>
      <c r="O350" s="64"/>
      <c r="P350" s="64"/>
      <c r="Q350" s="64"/>
      <c r="R350" s="70"/>
      <c r="T350" s="64"/>
      <c r="X350">
        <v>0.123</v>
      </c>
      <c r="Y350" s="258" t="s">
        <v>1313</v>
      </c>
      <c r="AA350" s="259" t="s">
        <v>1314</v>
      </c>
      <c r="AB350" s="20" t="s">
        <v>1061</v>
      </c>
      <c r="AC350">
        <f t="shared" si="9"/>
        <v>1535000000</v>
      </c>
      <c r="AE350" s="18" t="s">
        <v>1315</v>
      </c>
      <c r="AF350" s="1" t="b">
        <v>1</v>
      </c>
    </row>
    <row r="351" spans="2:32" ht="16.5" customHeight="1">
      <c r="B351" s="1" t="str">
        <f t="shared" si="8"/>
        <v>M_TDIF04_VM_BKT_1.3_308</v>
      </c>
      <c r="C351" s="92" t="s">
        <v>700</v>
      </c>
      <c r="D351" s="92" t="str" cm="1">
        <f t="array" ref="D351">INDEX(기계코드!$D$4:$D$214,MATCH(1,(C351=기계코드!$F$4:$F$214)*1,0))</f>
        <v>M_TDIF04</v>
      </c>
      <c r="E351" s="92" t="s">
        <v>1128</v>
      </c>
      <c r="F351" s="7" t="str" cm="1">
        <f t="array" ref="F351">INDEX(공급업체코드!$B$3:$B$1000,MATCH(1,(E351=공급업체코드!$D$3:$D$1000)*1,0))</f>
        <v>VM_BKT</v>
      </c>
      <c r="G351" s="18" t="s">
        <v>1881</v>
      </c>
      <c r="H351" s="64"/>
      <c r="I351" s="64"/>
      <c r="J351" s="64"/>
      <c r="K351" s="300">
        <v>1.1000000000000001</v>
      </c>
      <c r="L351" s="300">
        <v>1.3</v>
      </c>
      <c r="M351" s="64">
        <v>308</v>
      </c>
      <c r="N351" s="64"/>
      <c r="O351" s="64"/>
      <c r="P351" s="64"/>
      <c r="Q351" s="64"/>
      <c r="R351" s="70"/>
      <c r="T351" s="64"/>
      <c r="X351">
        <v>0.123</v>
      </c>
      <c r="Y351" s="258" t="s">
        <v>1313</v>
      </c>
      <c r="AA351" s="259" t="s">
        <v>1314</v>
      </c>
      <c r="AB351" s="20" t="s">
        <v>1061</v>
      </c>
      <c r="AC351">
        <f t="shared" si="9"/>
        <v>1540000000</v>
      </c>
      <c r="AE351" s="18" t="s">
        <v>1315</v>
      </c>
      <c r="AF351" s="1" t="b">
        <v>1</v>
      </c>
    </row>
    <row r="352" spans="2:32" ht="16.5" customHeight="1">
      <c r="B352" s="1" t="str">
        <f t="shared" si="8"/>
        <v>M_TDIF04_VM_BKT_1.3_309</v>
      </c>
      <c r="C352" s="92" t="s">
        <v>700</v>
      </c>
      <c r="D352" s="92" t="str" cm="1">
        <f t="array" ref="D352">INDEX(기계코드!$D$4:$D$214,MATCH(1,(C352=기계코드!$F$4:$F$214)*1,0))</f>
        <v>M_TDIF04</v>
      </c>
      <c r="E352" s="92" t="s">
        <v>1128</v>
      </c>
      <c r="F352" s="7" t="str" cm="1">
        <f t="array" ref="F352">INDEX(공급업체코드!$B$3:$B$1000,MATCH(1,(E352=공급업체코드!$D$3:$D$1000)*1,0))</f>
        <v>VM_BKT</v>
      </c>
      <c r="G352" s="18" t="s">
        <v>1881</v>
      </c>
      <c r="H352" s="64"/>
      <c r="I352" s="64"/>
      <c r="J352" s="64"/>
      <c r="K352" s="300">
        <v>1.1000000000000001</v>
      </c>
      <c r="L352" s="300">
        <v>1.3</v>
      </c>
      <c r="M352" s="64">
        <v>309</v>
      </c>
      <c r="N352" s="64"/>
      <c r="O352" s="64"/>
      <c r="P352" s="64"/>
      <c r="Q352" s="64"/>
      <c r="R352" s="70"/>
      <c r="T352" s="64"/>
      <c r="X352">
        <v>0.123</v>
      </c>
      <c r="Y352" s="258" t="s">
        <v>1313</v>
      </c>
      <c r="AA352" s="259" t="s">
        <v>1314</v>
      </c>
      <c r="AB352" s="20" t="s">
        <v>1061</v>
      </c>
      <c r="AC352">
        <f t="shared" si="9"/>
        <v>1545000000</v>
      </c>
      <c r="AE352" s="18" t="s">
        <v>1315</v>
      </c>
      <c r="AF352" s="1" t="b">
        <v>1</v>
      </c>
    </row>
    <row r="353" spans="2:32" ht="16.5" customHeight="1">
      <c r="B353" s="1" t="str">
        <f t="shared" si="8"/>
        <v>M_TDIF04_VM_BKT_1.3_310</v>
      </c>
      <c r="C353" s="92" t="s">
        <v>700</v>
      </c>
      <c r="D353" s="92" t="str" cm="1">
        <f t="array" ref="D353">INDEX(기계코드!$D$4:$D$214,MATCH(1,(C353=기계코드!$F$4:$F$214)*1,0))</f>
        <v>M_TDIF04</v>
      </c>
      <c r="E353" s="92" t="s">
        <v>1128</v>
      </c>
      <c r="F353" s="7" t="str" cm="1">
        <f t="array" ref="F353">INDEX(공급업체코드!$B$3:$B$1000,MATCH(1,(E353=공급업체코드!$D$3:$D$1000)*1,0))</f>
        <v>VM_BKT</v>
      </c>
      <c r="G353" s="18" t="s">
        <v>1881</v>
      </c>
      <c r="H353" s="64"/>
      <c r="I353" s="64"/>
      <c r="J353" s="64"/>
      <c r="K353" s="300">
        <v>1.1000000000000001</v>
      </c>
      <c r="L353" s="300">
        <v>1.3</v>
      </c>
      <c r="M353" s="64">
        <v>310</v>
      </c>
      <c r="N353" s="64"/>
      <c r="O353" s="64"/>
      <c r="P353" s="64"/>
      <c r="Q353" s="64"/>
      <c r="R353" s="70"/>
      <c r="T353" s="64"/>
      <c r="X353">
        <v>0.123</v>
      </c>
      <c r="Y353" s="258" t="s">
        <v>1313</v>
      </c>
      <c r="AA353" s="259" t="s">
        <v>1314</v>
      </c>
      <c r="AB353" s="20" t="s">
        <v>1061</v>
      </c>
      <c r="AC353">
        <f t="shared" si="9"/>
        <v>1550000000</v>
      </c>
      <c r="AE353" s="18" t="s">
        <v>1315</v>
      </c>
      <c r="AF353" s="1" t="b">
        <v>1</v>
      </c>
    </row>
    <row r="354" spans="2:32" ht="16.5" customHeight="1">
      <c r="B354" s="1" t="str">
        <f t="shared" si="8"/>
        <v>M_TDIF04_VM_BKT_1.3_311</v>
      </c>
      <c r="C354" s="92" t="s">
        <v>700</v>
      </c>
      <c r="D354" s="92" t="str" cm="1">
        <f t="array" ref="D354">INDEX(기계코드!$D$4:$D$214,MATCH(1,(C354=기계코드!$F$4:$F$214)*1,0))</f>
        <v>M_TDIF04</v>
      </c>
      <c r="E354" s="92" t="s">
        <v>1128</v>
      </c>
      <c r="F354" s="7" t="str" cm="1">
        <f t="array" ref="F354">INDEX(공급업체코드!$B$3:$B$1000,MATCH(1,(E354=공급업체코드!$D$3:$D$1000)*1,0))</f>
        <v>VM_BKT</v>
      </c>
      <c r="G354" s="18" t="s">
        <v>1881</v>
      </c>
      <c r="H354" s="64"/>
      <c r="I354" s="64"/>
      <c r="J354" s="64"/>
      <c r="K354" s="300">
        <v>1.1000000000000001</v>
      </c>
      <c r="L354" s="300">
        <v>1.3</v>
      </c>
      <c r="M354" s="64">
        <v>311</v>
      </c>
      <c r="N354" s="64"/>
      <c r="O354" s="64"/>
      <c r="P354" s="64"/>
      <c r="Q354" s="64"/>
      <c r="R354" s="70"/>
      <c r="T354" s="64"/>
      <c r="X354">
        <v>0.123</v>
      </c>
      <c r="Y354" s="258" t="s">
        <v>1313</v>
      </c>
      <c r="AA354" s="259" t="s">
        <v>1314</v>
      </c>
      <c r="AB354" s="20" t="s">
        <v>1061</v>
      </c>
      <c r="AC354">
        <f t="shared" si="9"/>
        <v>1555000000</v>
      </c>
      <c r="AE354" s="18" t="s">
        <v>1315</v>
      </c>
      <c r="AF354" s="1" t="b">
        <v>1</v>
      </c>
    </row>
    <row r="355" spans="2:32" ht="16.5" customHeight="1">
      <c r="B355" s="1" t="str">
        <f t="shared" si="8"/>
        <v>M_TDIF04_VM_BKT_1.3_312</v>
      </c>
      <c r="C355" s="92" t="s">
        <v>700</v>
      </c>
      <c r="D355" s="92" t="str" cm="1">
        <f t="array" ref="D355">INDEX(기계코드!$D$4:$D$214,MATCH(1,(C355=기계코드!$F$4:$F$214)*1,0))</f>
        <v>M_TDIF04</v>
      </c>
      <c r="E355" s="92" t="s">
        <v>1128</v>
      </c>
      <c r="F355" s="7" t="str" cm="1">
        <f t="array" ref="F355">INDEX(공급업체코드!$B$3:$B$1000,MATCH(1,(E355=공급업체코드!$D$3:$D$1000)*1,0))</f>
        <v>VM_BKT</v>
      </c>
      <c r="G355" s="18" t="s">
        <v>1881</v>
      </c>
      <c r="H355" s="64"/>
      <c r="I355" s="64"/>
      <c r="J355" s="64"/>
      <c r="K355" s="300">
        <v>1.1000000000000001</v>
      </c>
      <c r="L355" s="300">
        <v>1.3</v>
      </c>
      <c r="M355" s="64">
        <v>312</v>
      </c>
      <c r="N355" s="64"/>
      <c r="O355" s="64"/>
      <c r="P355" s="64"/>
      <c r="Q355" s="64"/>
      <c r="R355" s="70"/>
      <c r="T355" s="64"/>
      <c r="X355">
        <v>0.123</v>
      </c>
      <c r="Y355" s="258" t="s">
        <v>1313</v>
      </c>
      <c r="AA355" s="259" t="s">
        <v>1314</v>
      </c>
      <c r="AB355" s="20" t="s">
        <v>1061</v>
      </c>
      <c r="AC355">
        <f t="shared" si="9"/>
        <v>1560000000</v>
      </c>
      <c r="AE355" s="18" t="s">
        <v>1315</v>
      </c>
      <c r="AF355" s="1" t="b">
        <v>1</v>
      </c>
    </row>
    <row r="356" spans="2:32" ht="16.5" customHeight="1">
      <c r="B356" s="1" t="str">
        <f t="shared" si="8"/>
        <v>M_TDIF04_VM_BKT_1.3_313</v>
      </c>
      <c r="C356" s="92" t="s">
        <v>700</v>
      </c>
      <c r="D356" s="92" t="str" cm="1">
        <f t="array" ref="D356">INDEX(기계코드!$D$4:$D$214,MATCH(1,(C356=기계코드!$F$4:$F$214)*1,0))</f>
        <v>M_TDIF04</v>
      </c>
      <c r="E356" s="92" t="s">
        <v>1128</v>
      </c>
      <c r="F356" s="7" t="str" cm="1">
        <f t="array" ref="F356">INDEX(공급업체코드!$B$3:$B$1000,MATCH(1,(E356=공급업체코드!$D$3:$D$1000)*1,0))</f>
        <v>VM_BKT</v>
      </c>
      <c r="G356" s="18" t="s">
        <v>1881</v>
      </c>
      <c r="H356" s="64"/>
      <c r="I356" s="64"/>
      <c r="J356" s="64"/>
      <c r="K356" s="300">
        <v>1.1000000000000001</v>
      </c>
      <c r="L356" s="300">
        <v>1.3</v>
      </c>
      <c r="M356" s="64">
        <v>313</v>
      </c>
      <c r="N356" s="64"/>
      <c r="O356" s="64"/>
      <c r="P356" s="64"/>
      <c r="Q356" s="64"/>
      <c r="R356" s="70"/>
      <c r="T356" s="64"/>
      <c r="X356">
        <v>0.123</v>
      </c>
      <c r="Y356" s="258" t="s">
        <v>1313</v>
      </c>
      <c r="AA356" s="259" t="s">
        <v>1314</v>
      </c>
      <c r="AB356" s="20" t="s">
        <v>1061</v>
      </c>
      <c r="AC356">
        <f t="shared" si="9"/>
        <v>1565000000</v>
      </c>
      <c r="AE356" s="18" t="s">
        <v>1315</v>
      </c>
      <c r="AF356" s="1" t="b">
        <v>1</v>
      </c>
    </row>
    <row r="357" spans="2:32" ht="16.5" customHeight="1">
      <c r="B357" s="1" t="str">
        <f t="shared" si="8"/>
        <v>M_TDIF04_VM_BKT_1.3_314</v>
      </c>
      <c r="C357" s="92" t="s">
        <v>700</v>
      </c>
      <c r="D357" s="92" t="str" cm="1">
        <f t="array" ref="D357">INDEX(기계코드!$D$4:$D$214,MATCH(1,(C357=기계코드!$F$4:$F$214)*1,0))</f>
        <v>M_TDIF04</v>
      </c>
      <c r="E357" s="92" t="s">
        <v>1128</v>
      </c>
      <c r="F357" s="7" t="str" cm="1">
        <f t="array" ref="F357">INDEX(공급업체코드!$B$3:$B$1000,MATCH(1,(E357=공급업체코드!$D$3:$D$1000)*1,0))</f>
        <v>VM_BKT</v>
      </c>
      <c r="G357" s="18" t="s">
        <v>1881</v>
      </c>
      <c r="H357" s="64"/>
      <c r="I357" s="64"/>
      <c r="J357" s="64"/>
      <c r="K357" s="300">
        <v>1.1000000000000001</v>
      </c>
      <c r="L357" s="300">
        <v>1.3</v>
      </c>
      <c r="M357" s="64">
        <v>314</v>
      </c>
      <c r="N357" s="64"/>
      <c r="O357" s="64"/>
      <c r="P357" s="64"/>
      <c r="Q357" s="64"/>
      <c r="R357" s="70"/>
      <c r="T357" s="64"/>
      <c r="X357">
        <v>0.123</v>
      </c>
      <c r="Y357" s="258" t="s">
        <v>1313</v>
      </c>
      <c r="AA357" s="259" t="s">
        <v>1314</v>
      </c>
      <c r="AB357" s="20" t="s">
        <v>1061</v>
      </c>
      <c r="AC357">
        <f t="shared" si="9"/>
        <v>1570000000</v>
      </c>
      <c r="AE357" s="18" t="s">
        <v>1315</v>
      </c>
      <c r="AF357" s="1" t="b">
        <v>1</v>
      </c>
    </row>
    <row r="358" spans="2:32" ht="16.5" customHeight="1">
      <c r="B358" s="1" t="str">
        <f t="shared" si="8"/>
        <v>M_TDIF04_VM_BKT_1.3_315</v>
      </c>
      <c r="C358" s="92" t="s">
        <v>700</v>
      </c>
      <c r="D358" s="92" t="str" cm="1">
        <f t="array" ref="D358">INDEX(기계코드!$D$4:$D$214,MATCH(1,(C358=기계코드!$F$4:$F$214)*1,0))</f>
        <v>M_TDIF04</v>
      </c>
      <c r="E358" s="92" t="s">
        <v>1128</v>
      </c>
      <c r="F358" s="7" t="str" cm="1">
        <f t="array" ref="F358">INDEX(공급업체코드!$B$3:$B$1000,MATCH(1,(E358=공급업체코드!$D$3:$D$1000)*1,0))</f>
        <v>VM_BKT</v>
      </c>
      <c r="G358" s="18" t="s">
        <v>1881</v>
      </c>
      <c r="H358" s="64"/>
      <c r="I358" s="64"/>
      <c r="J358" s="64"/>
      <c r="K358" s="300">
        <v>1.1000000000000001</v>
      </c>
      <c r="L358" s="300">
        <v>1.3</v>
      </c>
      <c r="M358" s="64">
        <v>315</v>
      </c>
      <c r="N358" s="64"/>
      <c r="O358" s="64"/>
      <c r="P358" s="64"/>
      <c r="Q358" s="64"/>
      <c r="R358" s="70"/>
      <c r="T358" s="64"/>
      <c r="X358">
        <v>0.123</v>
      </c>
      <c r="Y358" s="258" t="s">
        <v>1313</v>
      </c>
      <c r="AA358" s="259" t="s">
        <v>1314</v>
      </c>
      <c r="AB358" s="20" t="s">
        <v>1061</v>
      </c>
      <c r="AC358">
        <f t="shared" si="9"/>
        <v>1575000000</v>
      </c>
      <c r="AE358" s="18" t="s">
        <v>1315</v>
      </c>
      <c r="AF358" s="1" t="b">
        <v>1</v>
      </c>
    </row>
    <row r="359" spans="2:32" ht="16.5" customHeight="1">
      <c r="B359" s="1" t="str">
        <f t="shared" si="8"/>
        <v>M_TDIF04_VM_BKT_1.3_316</v>
      </c>
      <c r="C359" s="92" t="s">
        <v>700</v>
      </c>
      <c r="D359" s="92" t="str" cm="1">
        <f t="array" ref="D359">INDEX(기계코드!$D$4:$D$214,MATCH(1,(C359=기계코드!$F$4:$F$214)*1,0))</f>
        <v>M_TDIF04</v>
      </c>
      <c r="E359" s="92" t="s">
        <v>1128</v>
      </c>
      <c r="F359" s="7" t="str" cm="1">
        <f t="array" ref="F359">INDEX(공급업체코드!$B$3:$B$1000,MATCH(1,(E359=공급업체코드!$D$3:$D$1000)*1,0))</f>
        <v>VM_BKT</v>
      </c>
      <c r="G359" s="18" t="s">
        <v>1881</v>
      </c>
      <c r="H359" s="64"/>
      <c r="I359" s="64"/>
      <c r="J359" s="64"/>
      <c r="K359" s="300">
        <v>1.1000000000000001</v>
      </c>
      <c r="L359" s="300">
        <v>1.3</v>
      </c>
      <c r="M359" s="64">
        <v>316</v>
      </c>
      <c r="N359" s="64"/>
      <c r="O359" s="64"/>
      <c r="P359" s="64"/>
      <c r="Q359" s="64"/>
      <c r="R359" s="70"/>
      <c r="T359" s="64"/>
      <c r="X359">
        <v>0.123</v>
      </c>
      <c r="Y359" s="258" t="s">
        <v>1313</v>
      </c>
      <c r="AA359" s="259" t="s">
        <v>1314</v>
      </c>
      <c r="AB359" s="20" t="s">
        <v>1061</v>
      </c>
      <c r="AC359">
        <f t="shared" si="9"/>
        <v>1580000000</v>
      </c>
      <c r="AE359" s="18" t="s">
        <v>1315</v>
      </c>
      <c r="AF359" s="1" t="b">
        <v>1</v>
      </c>
    </row>
    <row r="360" spans="2:32" ht="16.5" customHeight="1">
      <c r="B360" s="1" t="str">
        <f t="shared" si="8"/>
        <v>M_TDIF04_VM_BKT_1.3_317</v>
      </c>
      <c r="C360" s="92" t="s">
        <v>700</v>
      </c>
      <c r="D360" s="92" t="str" cm="1">
        <f t="array" ref="D360">INDEX(기계코드!$D$4:$D$214,MATCH(1,(C360=기계코드!$F$4:$F$214)*1,0))</f>
        <v>M_TDIF04</v>
      </c>
      <c r="E360" s="92" t="s">
        <v>1128</v>
      </c>
      <c r="F360" s="7" t="str" cm="1">
        <f t="array" ref="F360">INDEX(공급업체코드!$B$3:$B$1000,MATCH(1,(E360=공급업체코드!$D$3:$D$1000)*1,0))</f>
        <v>VM_BKT</v>
      </c>
      <c r="G360" s="18" t="s">
        <v>1881</v>
      </c>
      <c r="H360" s="64"/>
      <c r="I360" s="64"/>
      <c r="J360" s="64"/>
      <c r="K360" s="300">
        <v>1.1000000000000001</v>
      </c>
      <c r="L360" s="300">
        <v>1.3</v>
      </c>
      <c r="M360" s="64">
        <v>317</v>
      </c>
      <c r="N360" s="64"/>
      <c r="O360" s="64"/>
      <c r="P360" s="64"/>
      <c r="Q360" s="64"/>
      <c r="R360" s="70"/>
      <c r="T360" s="64"/>
      <c r="X360">
        <v>0.123</v>
      </c>
      <c r="Y360" s="258" t="s">
        <v>1313</v>
      </c>
      <c r="AA360" s="259" t="s">
        <v>1314</v>
      </c>
      <c r="AB360" s="20" t="s">
        <v>1061</v>
      </c>
      <c r="AC360">
        <f t="shared" si="9"/>
        <v>1585000000</v>
      </c>
      <c r="AE360" s="18" t="s">
        <v>1315</v>
      </c>
      <c r="AF360" s="1" t="b">
        <v>1</v>
      </c>
    </row>
    <row r="361" spans="2:32" ht="16.5" customHeight="1">
      <c r="B361" s="1" t="str">
        <f t="shared" si="8"/>
        <v>M_TDIF04_VM_BKT_1.3_318</v>
      </c>
      <c r="C361" s="92" t="s">
        <v>700</v>
      </c>
      <c r="D361" s="92" t="str" cm="1">
        <f t="array" ref="D361">INDEX(기계코드!$D$4:$D$214,MATCH(1,(C361=기계코드!$F$4:$F$214)*1,0))</f>
        <v>M_TDIF04</v>
      </c>
      <c r="E361" s="92" t="s">
        <v>1128</v>
      </c>
      <c r="F361" s="7" t="str" cm="1">
        <f t="array" ref="F361">INDEX(공급업체코드!$B$3:$B$1000,MATCH(1,(E361=공급업체코드!$D$3:$D$1000)*1,0))</f>
        <v>VM_BKT</v>
      </c>
      <c r="G361" s="18" t="s">
        <v>1881</v>
      </c>
      <c r="H361" s="64"/>
      <c r="I361" s="64"/>
      <c r="J361" s="64"/>
      <c r="K361" s="300">
        <v>1.1000000000000001</v>
      </c>
      <c r="L361" s="300">
        <v>1.3</v>
      </c>
      <c r="M361" s="64">
        <v>318</v>
      </c>
      <c r="N361" s="64"/>
      <c r="O361" s="64"/>
      <c r="P361" s="64"/>
      <c r="Q361" s="64"/>
      <c r="R361" s="70"/>
      <c r="T361" s="64"/>
      <c r="X361">
        <v>0.123</v>
      </c>
      <c r="Y361" s="258" t="s">
        <v>1313</v>
      </c>
      <c r="AA361" s="259" t="s">
        <v>1314</v>
      </c>
      <c r="AB361" s="20" t="s">
        <v>1061</v>
      </c>
      <c r="AC361">
        <f t="shared" si="9"/>
        <v>1590000000</v>
      </c>
      <c r="AE361" s="18" t="s">
        <v>1315</v>
      </c>
      <c r="AF361" s="1" t="b">
        <v>1</v>
      </c>
    </row>
    <row r="362" spans="2:32" ht="16.5" customHeight="1">
      <c r="B362" s="1" t="str">
        <f t="shared" si="8"/>
        <v>M_TDIF04_VM_BKT_1.3_319</v>
      </c>
      <c r="C362" s="92" t="s">
        <v>700</v>
      </c>
      <c r="D362" s="92" t="str" cm="1">
        <f t="array" ref="D362">INDEX(기계코드!$D$4:$D$214,MATCH(1,(C362=기계코드!$F$4:$F$214)*1,0))</f>
        <v>M_TDIF04</v>
      </c>
      <c r="E362" s="92" t="s">
        <v>1128</v>
      </c>
      <c r="F362" s="7" t="str" cm="1">
        <f t="array" ref="F362">INDEX(공급업체코드!$B$3:$B$1000,MATCH(1,(E362=공급업체코드!$D$3:$D$1000)*1,0))</f>
        <v>VM_BKT</v>
      </c>
      <c r="G362" s="18" t="s">
        <v>1881</v>
      </c>
      <c r="H362" s="64"/>
      <c r="I362" s="64"/>
      <c r="J362" s="64"/>
      <c r="K362" s="300">
        <v>1.1000000000000001</v>
      </c>
      <c r="L362" s="300">
        <v>1.3</v>
      </c>
      <c r="M362" s="64">
        <v>319</v>
      </c>
      <c r="N362" s="64"/>
      <c r="O362" s="64"/>
      <c r="P362" s="64"/>
      <c r="Q362" s="64"/>
      <c r="R362" s="70"/>
      <c r="T362" s="64"/>
      <c r="X362">
        <v>0.123</v>
      </c>
      <c r="Y362" s="258" t="s">
        <v>1313</v>
      </c>
      <c r="AA362" s="259" t="s">
        <v>1314</v>
      </c>
      <c r="AB362" s="20" t="s">
        <v>1061</v>
      </c>
      <c r="AC362">
        <f t="shared" si="9"/>
        <v>1595000000</v>
      </c>
      <c r="AE362" s="18" t="s">
        <v>1315</v>
      </c>
      <c r="AF362" s="1" t="b">
        <v>1</v>
      </c>
    </row>
    <row r="363" spans="2:32" ht="16.5" customHeight="1">
      <c r="B363" s="1" t="str">
        <f t="shared" si="8"/>
        <v>M_TDIF04_VM_BKT_1.3_320</v>
      </c>
      <c r="C363" s="92" t="s">
        <v>700</v>
      </c>
      <c r="D363" s="92" t="str" cm="1">
        <f t="array" ref="D363">INDEX(기계코드!$D$4:$D$214,MATCH(1,(C363=기계코드!$F$4:$F$214)*1,0))</f>
        <v>M_TDIF04</v>
      </c>
      <c r="E363" s="92" t="s">
        <v>1128</v>
      </c>
      <c r="F363" s="7" t="str" cm="1">
        <f t="array" ref="F363">INDEX(공급업체코드!$B$3:$B$1000,MATCH(1,(E363=공급업체코드!$D$3:$D$1000)*1,0))</f>
        <v>VM_BKT</v>
      </c>
      <c r="G363" s="18" t="s">
        <v>1881</v>
      </c>
      <c r="H363" s="64"/>
      <c r="I363" s="64"/>
      <c r="J363" s="64"/>
      <c r="K363" s="300">
        <v>1.1000000000000001</v>
      </c>
      <c r="L363" s="300">
        <v>1.3</v>
      </c>
      <c r="M363" s="64">
        <v>320</v>
      </c>
      <c r="N363" s="64"/>
      <c r="O363" s="64"/>
      <c r="P363" s="64"/>
      <c r="Q363" s="64"/>
      <c r="R363" s="70"/>
      <c r="T363" s="64"/>
      <c r="X363">
        <v>0.123</v>
      </c>
      <c r="Y363" s="258" t="s">
        <v>1313</v>
      </c>
      <c r="AA363" s="259" t="s">
        <v>1314</v>
      </c>
      <c r="AB363" s="20" t="s">
        <v>1061</v>
      </c>
      <c r="AC363">
        <f t="shared" si="9"/>
        <v>1600000000</v>
      </c>
      <c r="AE363" s="18" t="s">
        <v>1315</v>
      </c>
      <c r="AF363" s="1" t="b">
        <v>1</v>
      </c>
    </row>
    <row r="364" spans="2:32" ht="16.5" customHeight="1">
      <c r="B364" s="1" t="str">
        <f t="shared" si="8"/>
        <v>M_TDIF04_VM_BKT_1.3_321</v>
      </c>
      <c r="C364" s="92" t="s">
        <v>700</v>
      </c>
      <c r="D364" s="92" t="str" cm="1">
        <f t="array" ref="D364">INDEX(기계코드!$D$4:$D$214,MATCH(1,(C364=기계코드!$F$4:$F$214)*1,0))</f>
        <v>M_TDIF04</v>
      </c>
      <c r="E364" s="92" t="s">
        <v>1128</v>
      </c>
      <c r="F364" s="7" t="str" cm="1">
        <f t="array" ref="F364">INDEX(공급업체코드!$B$3:$B$1000,MATCH(1,(E364=공급업체코드!$D$3:$D$1000)*1,0))</f>
        <v>VM_BKT</v>
      </c>
      <c r="G364" s="18" t="s">
        <v>1881</v>
      </c>
      <c r="H364" s="64"/>
      <c r="I364" s="64"/>
      <c r="J364" s="64"/>
      <c r="K364" s="300">
        <v>1.1000000000000001</v>
      </c>
      <c r="L364" s="300">
        <v>1.3</v>
      </c>
      <c r="M364" s="64">
        <v>321</v>
      </c>
      <c r="N364" s="64"/>
      <c r="O364" s="64"/>
      <c r="P364" s="64"/>
      <c r="Q364" s="64"/>
      <c r="R364" s="70"/>
      <c r="T364" s="64"/>
      <c r="X364">
        <v>0.123</v>
      </c>
      <c r="Y364" s="258" t="s">
        <v>1313</v>
      </c>
      <c r="AA364" s="259" t="s">
        <v>1314</v>
      </c>
      <c r="AB364" s="20" t="s">
        <v>1061</v>
      </c>
      <c r="AC364">
        <f t="shared" si="9"/>
        <v>1605000000</v>
      </c>
      <c r="AE364" s="18" t="s">
        <v>1315</v>
      </c>
      <c r="AF364" s="1" t="b">
        <v>1</v>
      </c>
    </row>
    <row r="365" spans="2:32" ht="16.5" customHeight="1">
      <c r="B365" s="1" t="str">
        <f t="shared" ref="B365:B428" si="10">D365&amp;"_"&amp;F365&amp;"_"&amp;L365&amp;"_"&amp;M365</f>
        <v>M_TDIF04_VM_BKT_1.3_322</v>
      </c>
      <c r="C365" s="92" t="s">
        <v>700</v>
      </c>
      <c r="D365" s="92" t="str" cm="1">
        <f t="array" ref="D365">INDEX(기계코드!$D$4:$D$214,MATCH(1,(C365=기계코드!$F$4:$F$214)*1,0))</f>
        <v>M_TDIF04</v>
      </c>
      <c r="E365" s="92" t="s">
        <v>1128</v>
      </c>
      <c r="F365" s="7" t="str" cm="1">
        <f t="array" ref="F365">INDEX(공급업체코드!$B$3:$B$1000,MATCH(1,(E365=공급업체코드!$D$3:$D$1000)*1,0))</f>
        <v>VM_BKT</v>
      </c>
      <c r="G365" s="18" t="s">
        <v>1881</v>
      </c>
      <c r="H365" s="64"/>
      <c r="I365" s="64"/>
      <c r="J365" s="64"/>
      <c r="K365" s="300">
        <v>1.1000000000000001</v>
      </c>
      <c r="L365" s="300">
        <v>1.3</v>
      </c>
      <c r="M365" s="64">
        <v>322</v>
      </c>
      <c r="N365" s="64"/>
      <c r="O365" s="64"/>
      <c r="P365" s="64"/>
      <c r="Q365" s="64"/>
      <c r="R365" s="70"/>
      <c r="T365" s="64"/>
      <c r="X365">
        <v>0.123</v>
      </c>
      <c r="Y365" s="258" t="s">
        <v>1313</v>
      </c>
      <c r="AA365" s="259" t="s">
        <v>1314</v>
      </c>
      <c r="AB365" s="20" t="s">
        <v>1061</v>
      </c>
      <c r="AC365">
        <f t="shared" si="9"/>
        <v>1610000000</v>
      </c>
      <c r="AE365" s="18" t="s">
        <v>1315</v>
      </c>
      <c r="AF365" s="1" t="b">
        <v>1</v>
      </c>
    </row>
    <row r="366" spans="2:32" ht="16.5" customHeight="1">
      <c r="B366" s="1" t="str">
        <f t="shared" si="10"/>
        <v>M_TDIF04_VM_BKT_1.3_323</v>
      </c>
      <c r="C366" s="92" t="s">
        <v>700</v>
      </c>
      <c r="D366" s="92" t="str" cm="1">
        <f t="array" ref="D366">INDEX(기계코드!$D$4:$D$214,MATCH(1,(C366=기계코드!$F$4:$F$214)*1,0))</f>
        <v>M_TDIF04</v>
      </c>
      <c r="E366" s="92" t="s">
        <v>1128</v>
      </c>
      <c r="F366" s="7" t="str" cm="1">
        <f t="array" ref="F366">INDEX(공급업체코드!$B$3:$B$1000,MATCH(1,(E366=공급업체코드!$D$3:$D$1000)*1,0))</f>
        <v>VM_BKT</v>
      </c>
      <c r="G366" s="18" t="s">
        <v>1881</v>
      </c>
      <c r="H366" s="64"/>
      <c r="I366" s="64"/>
      <c r="J366" s="64"/>
      <c r="K366" s="300">
        <v>1.1000000000000001</v>
      </c>
      <c r="L366" s="300">
        <v>1.3</v>
      </c>
      <c r="M366" s="64">
        <v>323</v>
      </c>
      <c r="N366" s="64"/>
      <c r="O366" s="64"/>
      <c r="P366" s="64"/>
      <c r="Q366" s="64"/>
      <c r="R366" s="70"/>
      <c r="T366" s="64"/>
      <c r="X366">
        <v>0.123</v>
      </c>
      <c r="Y366" s="258" t="s">
        <v>1313</v>
      </c>
      <c r="AA366" s="259" t="s">
        <v>1314</v>
      </c>
      <c r="AB366" s="20" t="s">
        <v>1061</v>
      </c>
      <c r="AC366">
        <f t="shared" ref="AC366:AC429" si="11">M366*$AC$44</f>
        <v>1615000000</v>
      </c>
      <c r="AE366" s="18" t="s">
        <v>1315</v>
      </c>
      <c r="AF366" s="1" t="b">
        <v>1</v>
      </c>
    </row>
    <row r="367" spans="2:32" ht="16.5" customHeight="1">
      <c r="B367" s="1" t="str">
        <f t="shared" si="10"/>
        <v>M_TDIF04_VM_BKT_1.3_324</v>
      </c>
      <c r="C367" s="92" t="s">
        <v>700</v>
      </c>
      <c r="D367" s="92" t="str" cm="1">
        <f t="array" ref="D367">INDEX(기계코드!$D$4:$D$214,MATCH(1,(C367=기계코드!$F$4:$F$214)*1,0))</f>
        <v>M_TDIF04</v>
      </c>
      <c r="E367" s="92" t="s">
        <v>1128</v>
      </c>
      <c r="F367" s="7" t="str" cm="1">
        <f t="array" ref="F367">INDEX(공급업체코드!$B$3:$B$1000,MATCH(1,(E367=공급업체코드!$D$3:$D$1000)*1,0))</f>
        <v>VM_BKT</v>
      </c>
      <c r="G367" s="18" t="s">
        <v>1881</v>
      </c>
      <c r="H367" s="64"/>
      <c r="I367" s="64"/>
      <c r="J367" s="64"/>
      <c r="K367" s="300">
        <v>1.1000000000000001</v>
      </c>
      <c r="L367" s="300">
        <v>1.3</v>
      </c>
      <c r="M367" s="64">
        <v>324</v>
      </c>
      <c r="N367" s="64"/>
      <c r="O367" s="64"/>
      <c r="P367" s="64"/>
      <c r="Q367" s="64"/>
      <c r="R367" s="70"/>
      <c r="T367" s="64"/>
      <c r="X367">
        <v>0.123</v>
      </c>
      <c r="Y367" s="258" t="s">
        <v>1313</v>
      </c>
      <c r="AA367" s="259" t="s">
        <v>1314</v>
      </c>
      <c r="AB367" s="20" t="s">
        <v>1061</v>
      </c>
      <c r="AC367">
        <f t="shared" si="11"/>
        <v>1620000000</v>
      </c>
      <c r="AE367" s="18" t="s">
        <v>1315</v>
      </c>
      <c r="AF367" s="1" t="b">
        <v>1</v>
      </c>
    </row>
    <row r="368" spans="2:32" ht="16.5" customHeight="1">
      <c r="B368" s="1" t="str">
        <f t="shared" si="10"/>
        <v>M_TDIF04_VM_BKT_1.3_325</v>
      </c>
      <c r="C368" s="92" t="s">
        <v>700</v>
      </c>
      <c r="D368" s="92" t="str" cm="1">
        <f t="array" ref="D368">INDEX(기계코드!$D$4:$D$214,MATCH(1,(C368=기계코드!$F$4:$F$214)*1,0))</f>
        <v>M_TDIF04</v>
      </c>
      <c r="E368" s="92" t="s">
        <v>1128</v>
      </c>
      <c r="F368" s="7" t="str" cm="1">
        <f t="array" ref="F368">INDEX(공급업체코드!$B$3:$B$1000,MATCH(1,(E368=공급업체코드!$D$3:$D$1000)*1,0))</f>
        <v>VM_BKT</v>
      </c>
      <c r="G368" s="18" t="s">
        <v>1881</v>
      </c>
      <c r="H368" s="64"/>
      <c r="I368" s="64"/>
      <c r="J368" s="64"/>
      <c r="K368" s="300">
        <v>1.1000000000000001</v>
      </c>
      <c r="L368" s="300">
        <v>1.3</v>
      </c>
      <c r="M368" s="64">
        <v>325</v>
      </c>
      <c r="N368" s="64"/>
      <c r="O368" s="64"/>
      <c r="P368" s="64"/>
      <c r="Q368" s="64"/>
      <c r="R368" s="70"/>
      <c r="T368" s="64"/>
      <c r="X368">
        <v>0.123</v>
      </c>
      <c r="Y368" s="258" t="s">
        <v>1313</v>
      </c>
      <c r="AA368" s="259" t="s">
        <v>1314</v>
      </c>
      <c r="AB368" s="20" t="s">
        <v>1061</v>
      </c>
      <c r="AC368">
        <f t="shared" si="11"/>
        <v>1625000000</v>
      </c>
      <c r="AE368" s="18" t="s">
        <v>1315</v>
      </c>
      <c r="AF368" s="1" t="b">
        <v>1</v>
      </c>
    </row>
    <row r="369" spans="2:32" ht="16.5" customHeight="1">
      <c r="B369" s="1" t="str">
        <f t="shared" si="10"/>
        <v>M_TDIF04_VM_BKT_1.3_326</v>
      </c>
      <c r="C369" s="92" t="s">
        <v>700</v>
      </c>
      <c r="D369" s="92" t="str" cm="1">
        <f t="array" ref="D369">INDEX(기계코드!$D$4:$D$214,MATCH(1,(C369=기계코드!$F$4:$F$214)*1,0))</f>
        <v>M_TDIF04</v>
      </c>
      <c r="E369" s="92" t="s">
        <v>1128</v>
      </c>
      <c r="F369" s="7" t="str" cm="1">
        <f t="array" ref="F369">INDEX(공급업체코드!$B$3:$B$1000,MATCH(1,(E369=공급업체코드!$D$3:$D$1000)*1,0))</f>
        <v>VM_BKT</v>
      </c>
      <c r="G369" s="18" t="s">
        <v>1881</v>
      </c>
      <c r="H369" s="64"/>
      <c r="I369" s="64"/>
      <c r="J369" s="64"/>
      <c r="K369" s="300">
        <v>1.1000000000000001</v>
      </c>
      <c r="L369" s="300">
        <v>1.3</v>
      </c>
      <c r="M369" s="64">
        <v>326</v>
      </c>
      <c r="N369" s="64"/>
      <c r="O369" s="64"/>
      <c r="P369" s="64"/>
      <c r="Q369" s="64"/>
      <c r="R369" s="70"/>
      <c r="T369" s="64"/>
      <c r="X369">
        <v>0.123</v>
      </c>
      <c r="Y369" s="258" t="s">
        <v>1313</v>
      </c>
      <c r="AA369" s="259" t="s">
        <v>1314</v>
      </c>
      <c r="AB369" s="20" t="s">
        <v>1061</v>
      </c>
      <c r="AC369">
        <f t="shared" si="11"/>
        <v>1630000000</v>
      </c>
      <c r="AE369" s="18" t="s">
        <v>1315</v>
      </c>
      <c r="AF369" s="1" t="b">
        <v>1</v>
      </c>
    </row>
    <row r="370" spans="2:32" ht="16.5" customHeight="1">
      <c r="B370" s="1" t="str">
        <f t="shared" si="10"/>
        <v>M_TDIF04_VM_BKT_1.3_327</v>
      </c>
      <c r="C370" s="92" t="s">
        <v>700</v>
      </c>
      <c r="D370" s="92" t="str" cm="1">
        <f t="array" ref="D370">INDEX(기계코드!$D$4:$D$214,MATCH(1,(C370=기계코드!$F$4:$F$214)*1,0))</f>
        <v>M_TDIF04</v>
      </c>
      <c r="E370" s="92" t="s">
        <v>1128</v>
      </c>
      <c r="F370" s="7" t="str" cm="1">
        <f t="array" ref="F370">INDEX(공급업체코드!$B$3:$B$1000,MATCH(1,(E370=공급업체코드!$D$3:$D$1000)*1,0))</f>
        <v>VM_BKT</v>
      </c>
      <c r="G370" s="18" t="s">
        <v>1881</v>
      </c>
      <c r="H370" s="64"/>
      <c r="I370" s="64"/>
      <c r="J370" s="64"/>
      <c r="K370" s="300">
        <v>1.1000000000000001</v>
      </c>
      <c r="L370" s="300">
        <v>1.3</v>
      </c>
      <c r="M370" s="64">
        <v>327</v>
      </c>
      <c r="N370" s="64"/>
      <c r="O370" s="64"/>
      <c r="P370" s="64"/>
      <c r="Q370" s="64"/>
      <c r="R370" s="70"/>
      <c r="T370" s="64"/>
      <c r="X370">
        <v>0.123</v>
      </c>
      <c r="Y370" s="258" t="s">
        <v>1313</v>
      </c>
      <c r="AA370" s="259" t="s">
        <v>1314</v>
      </c>
      <c r="AB370" s="20" t="s">
        <v>1061</v>
      </c>
      <c r="AC370">
        <f t="shared" si="11"/>
        <v>1635000000</v>
      </c>
      <c r="AE370" s="18" t="s">
        <v>1315</v>
      </c>
      <c r="AF370" s="1" t="b">
        <v>1</v>
      </c>
    </row>
    <row r="371" spans="2:32" ht="16.5" customHeight="1">
      <c r="B371" s="1" t="str">
        <f t="shared" si="10"/>
        <v>M_TDIF04_VM_BKT_1.3_328</v>
      </c>
      <c r="C371" s="92" t="s">
        <v>700</v>
      </c>
      <c r="D371" s="92" t="str" cm="1">
        <f t="array" ref="D371">INDEX(기계코드!$D$4:$D$214,MATCH(1,(C371=기계코드!$F$4:$F$214)*1,0))</f>
        <v>M_TDIF04</v>
      </c>
      <c r="E371" s="92" t="s">
        <v>1128</v>
      </c>
      <c r="F371" s="7" t="str" cm="1">
        <f t="array" ref="F371">INDEX(공급업체코드!$B$3:$B$1000,MATCH(1,(E371=공급업체코드!$D$3:$D$1000)*1,0))</f>
        <v>VM_BKT</v>
      </c>
      <c r="G371" s="18" t="s">
        <v>1881</v>
      </c>
      <c r="H371" s="64"/>
      <c r="I371" s="64"/>
      <c r="J371" s="64"/>
      <c r="K371" s="300">
        <v>1.1000000000000001</v>
      </c>
      <c r="L371" s="300">
        <v>1.3</v>
      </c>
      <c r="M371" s="64">
        <v>328</v>
      </c>
      <c r="N371" s="64"/>
      <c r="O371" s="64"/>
      <c r="P371" s="64"/>
      <c r="Q371" s="64"/>
      <c r="R371" s="70"/>
      <c r="T371" s="64"/>
      <c r="X371">
        <v>0.123</v>
      </c>
      <c r="Y371" s="258" t="s">
        <v>1313</v>
      </c>
      <c r="AA371" s="259" t="s">
        <v>1314</v>
      </c>
      <c r="AB371" s="20" t="s">
        <v>1061</v>
      </c>
      <c r="AC371">
        <f t="shared" si="11"/>
        <v>1640000000</v>
      </c>
      <c r="AE371" s="18" t="s">
        <v>1315</v>
      </c>
      <c r="AF371" s="1" t="b">
        <v>1</v>
      </c>
    </row>
    <row r="372" spans="2:32" ht="16.5" customHeight="1">
      <c r="B372" s="1" t="str">
        <f t="shared" si="10"/>
        <v>M_TDIF04_VM_BKT_1.3_329</v>
      </c>
      <c r="C372" s="92" t="s">
        <v>700</v>
      </c>
      <c r="D372" s="92" t="str" cm="1">
        <f t="array" ref="D372">INDEX(기계코드!$D$4:$D$214,MATCH(1,(C372=기계코드!$F$4:$F$214)*1,0))</f>
        <v>M_TDIF04</v>
      </c>
      <c r="E372" s="92" t="s">
        <v>1128</v>
      </c>
      <c r="F372" s="7" t="str" cm="1">
        <f t="array" ref="F372">INDEX(공급업체코드!$B$3:$B$1000,MATCH(1,(E372=공급업체코드!$D$3:$D$1000)*1,0))</f>
        <v>VM_BKT</v>
      </c>
      <c r="G372" s="18" t="s">
        <v>1881</v>
      </c>
      <c r="H372" s="64"/>
      <c r="I372" s="64"/>
      <c r="J372" s="64"/>
      <c r="K372" s="300">
        <v>1.1000000000000001</v>
      </c>
      <c r="L372" s="300">
        <v>1.3</v>
      </c>
      <c r="M372" s="64">
        <v>329</v>
      </c>
      <c r="N372" s="64"/>
      <c r="O372" s="64"/>
      <c r="P372" s="64"/>
      <c r="Q372" s="64"/>
      <c r="R372" s="70"/>
      <c r="T372" s="64"/>
      <c r="X372">
        <v>0.123</v>
      </c>
      <c r="Y372" s="258" t="s">
        <v>1313</v>
      </c>
      <c r="AA372" s="259" t="s">
        <v>1314</v>
      </c>
      <c r="AB372" s="20" t="s">
        <v>1061</v>
      </c>
      <c r="AC372">
        <f t="shared" si="11"/>
        <v>1645000000</v>
      </c>
      <c r="AE372" s="18" t="s">
        <v>1315</v>
      </c>
      <c r="AF372" s="1" t="b">
        <v>1</v>
      </c>
    </row>
    <row r="373" spans="2:32" ht="16.5" customHeight="1">
      <c r="B373" s="1" t="str">
        <f t="shared" si="10"/>
        <v>M_TDIF04_VM_BKT_1.3_330</v>
      </c>
      <c r="C373" s="92" t="s">
        <v>700</v>
      </c>
      <c r="D373" s="92" t="str" cm="1">
        <f t="array" ref="D373">INDEX(기계코드!$D$4:$D$214,MATCH(1,(C373=기계코드!$F$4:$F$214)*1,0))</f>
        <v>M_TDIF04</v>
      </c>
      <c r="E373" s="92" t="s">
        <v>1128</v>
      </c>
      <c r="F373" s="7" t="str" cm="1">
        <f t="array" ref="F373">INDEX(공급업체코드!$B$3:$B$1000,MATCH(1,(E373=공급업체코드!$D$3:$D$1000)*1,0))</f>
        <v>VM_BKT</v>
      </c>
      <c r="G373" s="18" t="s">
        <v>1881</v>
      </c>
      <c r="H373" s="64"/>
      <c r="I373" s="64"/>
      <c r="J373" s="64"/>
      <c r="K373" s="300">
        <v>1.1000000000000001</v>
      </c>
      <c r="L373" s="300">
        <v>1.3</v>
      </c>
      <c r="M373" s="64">
        <v>330</v>
      </c>
      <c r="N373" s="64"/>
      <c r="O373" s="64"/>
      <c r="P373" s="64"/>
      <c r="Q373" s="64"/>
      <c r="R373" s="70"/>
      <c r="T373" s="64"/>
      <c r="X373">
        <v>0.123</v>
      </c>
      <c r="Y373" s="258" t="s">
        <v>1313</v>
      </c>
      <c r="AA373" s="259" t="s">
        <v>1314</v>
      </c>
      <c r="AB373" s="20" t="s">
        <v>1061</v>
      </c>
      <c r="AC373">
        <f t="shared" si="11"/>
        <v>1650000000</v>
      </c>
      <c r="AE373" s="18" t="s">
        <v>1315</v>
      </c>
      <c r="AF373" s="1" t="b">
        <v>1</v>
      </c>
    </row>
    <row r="374" spans="2:32" ht="16.5" customHeight="1">
      <c r="B374" s="1" t="str">
        <f t="shared" si="10"/>
        <v>M_TDIF04_VM_BKT_1.3_331</v>
      </c>
      <c r="C374" s="92" t="s">
        <v>700</v>
      </c>
      <c r="D374" s="92" t="str" cm="1">
        <f t="array" ref="D374">INDEX(기계코드!$D$4:$D$214,MATCH(1,(C374=기계코드!$F$4:$F$214)*1,0))</f>
        <v>M_TDIF04</v>
      </c>
      <c r="E374" s="92" t="s">
        <v>1128</v>
      </c>
      <c r="F374" s="7" t="str" cm="1">
        <f t="array" ref="F374">INDEX(공급업체코드!$B$3:$B$1000,MATCH(1,(E374=공급업체코드!$D$3:$D$1000)*1,0))</f>
        <v>VM_BKT</v>
      </c>
      <c r="G374" s="18" t="s">
        <v>1881</v>
      </c>
      <c r="H374" s="64"/>
      <c r="I374" s="64"/>
      <c r="J374" s="64"/>
      <c r="K374" s="300">
        <v>1.1000000000000001</v>
      </c>
      <c r="L374" s="300">
        <v>1.3</v>
      </c>
      <c r="M374" s="64">
        <v>331</v>
      </c>
      <c r="N374" s="64"/>
      <c r="O374" s="64"/>
      <c r="P374" s="64"/>
      <c r="Q374" s="64"/>
      <c r="R374" s="70"/>
      <c r="T374" s="64"/>
      <c r="X374">
        <v>0.123</v>
      </c>
      <c r="Y374" s="258" t="s">
        <v>1313</v>
      </c>
      <c r="AA374" s="259" t="s">
        <v>1314</v>
      </c>
      <c r="AB374" s="20" t="s">
        <v>1061</v>
      </c>
      <c r="AC374">
        <f t="shared" si="11"/>
        <v>1655000000</v>
      </c>
      <c r="AE374" s="18" t="s">
        <v>1315</v>
      </c>
      <c r="AF374" s="1" t="b">
        <v>1</v>
      </c>
    </row>
    <row r="375" spans="2:32" ht="16.5" customHeight="1">
      <c r="B375" s="1" t="str">
        <f t="shared" si="10"/>
        <v>M_TDIF04_VM_BKT_1.3_332</v>
      </c>
      <c r="C375" s="92" t="s">
        <v>700</v>
      </c>
      <c r="D375" s="92" t="str" cm="1">
        <f t="array" ref="D375">INDEX(기계코드!$D$4:$D$214,MATCH(1,(C375=기계코드!$F$4:$F$214)*1,0))</f>
        <v>M_TDIF04</v>
      </c>
      <c r="E375" s="92" t="s">
        <v>1128</v>
      </c>
      <c r="F375" s="7" t="str" cm="1">
        <f t="array" ref="F375">INDEX(공급업체코드!$B$3:$B$1000,MATCH(1,(E375=공급업체코드!$D$3:$D$1000)*1,0))</f>
        <v>VM_BKT</v>
      </c>
      <c r="G375" s="18" t="s">
        <v>1881</v>
      </c>
      <c r="H375" s="64"/>
      <c r="I375" s="64"/>
      <c r="J375" s="64"/>
      <c r="K375" s="300">
        <v>1.1000000000000001</v>
      </c>
      <c r="L375" s="300">
        <v>1.3</v>
      </c>
      <c r="M375" s="64">
        <v>332</v>
      </c>
      <c r="N375" s="64"/>
      <c r="O375" s="64"/>
      <c r="P375" s="64"/>
      <c r="Q375" s="64"/>
      <c r="R375" s="70"/>
      <c r="T375" s="64"/>
      <c r="X375">
        <v>0.123</v>
      </c>
      <c r="Y375" s="258" t="s">
        <v>1313</v>
      </c>
      <c r="AA375" s="259" t="s">
        <v>1314</v>
      </c>
      <c r="AB375" s="20" t="s">
        <v>1061</v>
      </c>
      <c r="AC375">
        <f t="shared" si="11"/>
        <v>1660000000</v>
      </c>
      <c r="AE375" s="18" t="s">
        <v>1315</v>
      </c>
      <c r="AF375" s="1" t="b">
        <v>1</v>
      </c>
    </row>
    <row r="376" spans="2:32" ht="16.5" customHeight="1">
      <c r="B376" s="1" t="str">
        <f t="shared" si="10"/>
        <v>M_TDIF04_VM_BKT_1.3_333</v>
      </c>
      <c r="C376" s="92" t="s">
        <v>700</v>
      </c>
      <c r="D376" s="92" t="str" cm="1">
        <f t="array" ref="D376">INDEX(기계코드!$D$4:$D$214,MATCH(1,(C376=기계코드!$F$4:$F$214)*1,0))</f>
        <v>M_TDIF04</v>
      </c>
      <c r="E376" s="92" t="s">
        <v>1128</v>
      </c>
      <c r="F376" s="7" t="str" cm="1">
        <f t="array" ref="F376">INDEX(공급업체코드!$B$3:$B$1000,MATCH(1,(E376=공급업체코드!$D$3:$D$1000)*1,0))</f>
        <v>VM_BKT</v>
      </c>
      <c r="G376" s="18" t="s">
        <v>1881</v>
      </c>
      <c r="H376" s="64"/>
      <c r="I376" s="64"/>
      <c r="J376" s="64"/>
      <c r="K376" s="300">
        <v>1.1000000000000001</v>
      </c>
      <c r="L376" s="300">
        <v>1.3</v>
      </c>
      <c r="M376" s="64">
        <v>333</v>
      </c>
      <c r="N376" s="64"/>
      <c r="O376" s="64"/>
      <c r="P376" s="64"/>
      <c r="Q376" s="64"/>
      <c r="R376" s="70"/>
      <c r="T376" s="64"/>
      <c r="X376">
        <v>0.123</v>
      </c>
      <c r="Y376" s="258" t="s">
        <v>1313</v>
      </c>
      <c r="AA376" s="259" t="s">
        <v>1314</v>
      </c>
      <c r="AB376" s="20" t="s">
        <v>1061</v>
      </c>
      <c r="AC376">
        <f t="shared" si="11"/>
        <v>1665000000</v>
      </c>
      <c r="AE376" s="18" t="s">
        <v>1315</v>
      </c>
      <c r="AF376" s="1" t="b">
        <v>1</v>
      </c>
    </row>
    <row r="377" spans="2:32" ht="16.5" customHeight="1">
      <c r="B377" s="1" t="str">
        <f t="shared" si="10"/>
        <v>M_TDIF04_VM_BKT_1.3_334</v>
      </c>
      <c r="C377" s="92" t="s">
        <v>700</v>
      </c>
      <c r="D377" s="92" t="str" cm="1">
        <f t="array" ref="D377">INDEX(기계코드!$D$4:$D$214,MATCH(1,(C377=기계코드!$F$4:$F$214)*1,0))</f>
        <v>M_TDIF04</v>
      </c>
      <c r="E377" s="92" t="s">
        <v>1128</v>
      </c>
      <c r="F377" s="7" t="str" cm="1">
        <f t="array" ref="F377">INDEX(공급업체코드!$B$3:$B$1000,MATCH(1,(E377=공급업체코드!$D$3:$D$1000)*1,0))</f>
        <v>VM_BKT</v>
      </c>
      <c r="G377" s="18" t="s">
        <v>1881</v>
      </c>
      <c r="H377" s="64"/>
      <c r="I377" s="64"/>
      <c r="J377" s="64"/>
      <c r="K377" s="300">
        <v>1.1000000000000001</v>
      </c>
      <c r="L377" s="300">
        <v>1.3</v>
      </c>
      <c r="M377" s="64">
        <v>334</v>
      </c>
      <c r="N377" s="64"/>
      <c r="O377" s="64"/>
      <c r="P377" s="64"/>
      <c r="Q377" s="64"/>
      <c r="R377" s="70"/>
      <c r="T377" s="64"/>
      <c r="X377">
        <v>0.123</v>
      </c>
      <c r="Y377" s="258" t="s">
        <v>1313</v>
      </c>
      <c r="AA377" s="259" t="s">
        <v>1314</v>
      </c>
      <c r="AB377" s="20" t="s">
        <v>1061</v>
      </c>
      <c r="AC377">
        <f t="shared" si="11"/>
        <v>1670000000</v>
      </c>
      <c r="AE377" s="18" t="s">
        <v>1315</v>
      </c>
      <c r="AF377" s="1" t="b">
        <v>1</v>
      </c>
    </row>
    <row r="378" spans="2:32" ht="16.5" customHeight="1">
      <c r="B378" s="1" t="str">
        <f t="shared" si="10"/>
        <v>M_TDIF04_VM_BKT_1.3_335</v>
      </c>
      <c r="C378" s="92" t="s">
        <v>700</v>
      </c>
      <c r="D378" s="92" t="str" cm="1">
        <f t="array" ref="D378">INDEX(기계코드!$D$4:$D$214,MATCH(1,(C378=기계코드!$F$4:$F$214)*1,0))</f>
        <v>M_TDIF04</v>
      </c>
      <c r="E378" s="92" t="s">
        <v>1128</v>
      </c>
      <c r="F378" s="7" t="str" cm="1">
        <f t="array" ref="F378">INDEX(공급업체코드!$B$3:$B$1000,MATCH(1,(E378=공급업체코드!$D$3:$D$1000)*1,0))</f>
        <v>VM_BKT</v>
      </c>
      <c r="G378" s="18" t="s">
        <v>1881</v>
      </c>
      <c r="H378" s="64"/>
      <c r="I378" s="64"/>
      <c r="J378" s="64"/>
      <c r="K378" s="300">
        <v>1.1000000000000001</v>
      </c>
      <c r="L378" s="300">
        <v>1.3</v>
      </c>
      <c r="M378" s="64">
        <v>335</v>
      </c>
      <c r="N378" s="64"/>
      <c r="O378" s="64"/>
      <c r="P378" s="64"/>
      <c r="Q378" s="64"/>
      <c r="R378" s="70"/>
      <c r="T378" s="64"/>
      <c r="X378">
        <v>0.123</v>
      </c>
      <c r="Y378" s="258" t="s">
        <v>1313</v>
      </c>
      <c r="AA378" s="259" t="s">
        <v>1314</v>
      </c>
      <c r="AB378" s="20" t="s">
        <v>1061</v>
      </c>
      <c r="AC378">
        <f t="shared" si="11"/>
        <v>1675000000</v>
      </c>
      <c r="AE378" s="18" t="s">
        <v>1315</v>
      </c>
      <c r="AF378" s="1" t="b">
        <v>1</v>
      </c>
    </row>
    <row r="379" spans="2:32" ht="16.5" customHeight="1">
      <c r="B379" s="1" t="str">
        <f t="shared" si="10"/>
        <v>M_TDIF04_VM_BKT_1.3_336</v>
      </c>
      <c r="C379" s="92" t="s">
        <v>700</v>
      </c>
      <c r="D379" s="92" t="str" cm="1">
        <f t="array" ref="D379">INDEX(기계코드!$D$4:$D$214,MATCH(1,(C379=기계코드!$F$4:$F$214)*1,0))</f>
        <v>M_TDIF04</v>
      </c>
      <c r="E379" s="92" t="s">
        <v>1128</v>
      </c>
      <c r="F379" s="7" t="str" cm="1">
        <f t="array" ref="F379">INDEX(공급업체코드!$B$3:$B$1000,MATCH(1,(E379=공급업체코드!$D$3:$D$1000)*1,0))</f>
        <v>VM_BKT</v>
      </c>
      <c r="G379" s="18" t="s">
        <v>1881</v>
      </c>
      <c r="H379" s="64"/>
      <c r="I379" s="64"/>
      <c r="J379" s="64"/>
      <c r="K379" s="300">
        <v>1.1000000000000001</v>
      </c>
      <c r="L379" s="300">
        <v>1.3</v>
      </c>
      <c r="M379" s="64">
        <v>336</v>
      </c>
      <c r="N379" s="64"/>
      <c r="O379" s="64"/>
      <c r="P379" s="64"/>
      <c r="Q379" s="64"/>
      <c r="R379" s="70"/>
      <c r="T379" s="64"/>
      <c r="X379">
        <v>0.123</v>
      </c>
      <c r="Y379" s="258" t="s">
        <v>1313</v>
      </c>
      <c r="AA379" s="259" t="s">
        <v>1314</v>
      </c>
      <c r="AB379" s="20" t="s">
        <v>1061</v>
      </c>
      <c r="AC379">
        <f t="shared" si="11"/>
        <v>1680000000</v>
      </c>
      <c r="AE379" s="18" t="s">
        <v>1315</v>
      </c>
      <c r="AF379" s="1" t="b">
        <v>1</v>
      </c>
    </row>
    <row r="380" spans="2:32" ht="16.5" customHeight="1">
      <c r="B380" s="1" t="str">
        <f t="shared" si="10"/>
        <v>M_TDIF04_VM_BKT_1.3_337</v>
      </c>
      <c r="C380" s="92" t="s">
        <v>700</v>
      </c>
      <c r="D380" s="92" t="str" cm="1">
        <f t="array" ref="D380">INDEX(기계코드!$D$4:$D$214,MATCH(1,(C380=기계코드!$F$4:$F$214)*1,0))</f>
        <v>M_TDIF04</v>
      </c>
      <c r="E380" s="92" t="s">
        <v>1128</v>
      </c>
      <c r="F380" s="7" t="str" cm="1">
        <f t="array" ref="F380">INDEX(공급업체코드!$B$3:$B$1000,MATCH(1,(E380=공급업체코드!$D$3:$D$1000)*1,0))</f>
        <v>VM_BKT</v>
      </c>
      <c r="G380" s="18" t="s">
        <v>1881</v>
      </c>
      <c r="H380" s="64"/>
      <c r="I380" s="64"/>
      <c r="J380" s="64"/>
      <c r="K380" s="300">
        <v>1.1000000000000001</v>
      </c>
      <c r="L380" s="300">
        <v>1.3</v>
      </c>
      <c r="M380" s="64">
        <v>337</v>
      </c>
      <c r="N380" s="64"/>
      <c r="O380" s="64"/>
      <c r="P380" s="64"/>
      <c r="Q380" s="64"/>
      <c r="R380" s="70"/>
      <c r="T380" s="64"/>
      <c r="X380">
        <v>0.123</v>
      </c>
      <c r="Y380" s="258" t="s">
        <v>1313</v>
      </c>
      <c r="AA380" s="259" t="s">
        <v>1314</v>
      </c>
      <c r="AB380" s="20" t="s">
        <v>1061</v>
      </c>
      <c r="AC380">
        <f t="shared" si="11"/>
        <v>1685000000</v>
      </c>
      <c r="AE380" s="18" t="s">
        <v>1315</v>
      </c>
      <c r="AF380" s="1" t="b">
        <v>1</v>
      </c>
    </row>
    <row r="381" spans="2:32" ht="16.5" customHeight="1">
      <c r="B381" s="1" t="str">
        <f t="shared" si="10"/>
        <v>M_TDIF04_VM_BKT_1.3_338</v>
      </c>
      <c r="C381" s="92" t="s">
        <v>700</v>
      </c>
      <c r="D381" s="92" t="str" cm="1">
        <f t="array" ref="D381">INDEX(기계코드!$D$4:$D$214,MATCH(1,(C381=기계코드!$F$4:$F$214)*1,0))</f>
        <v>M_TDIF04</v>
      </c>
      <c r="E381" s="92" t="s">
        <v>1128</v>
      </c>
      <c r="F381" s="7" t="str" cm="1">
        <f t="array" ref="F381">INDEX(공급업체코드!$B$3:$B$1000,MATCH(1,(E381=공급업체코드!$D$3:$D$1000)*1,0))</f>
        <v>VM_BKT</v>
      </c>
      <c r="G381" s="18" t="s">
        <v>1881</v>
      </c>
      <c r="H381" s="64"/>
      <c r="I381" s="64"/>
      <c r="J381" s="64"/>
      <c r="K381" s="300">
        <v>1.1000000000000001</v>
      </c>
      <c r="L381" s="300">
        <v>1.3</v>
      </c>
      <c r="M381" s="64">
        <v>338</v>
      </c>
      <c r="N381" s="64"/>
      <c r="O381" s="64"/>
      <c r="P381" s="64"/>
      <c r="Q381" s="64"/>
      <c r="R381" s="70"/>
      <c r="T381" s="64"/>
      <c r="X381">
        <v>0.123</v>
      </c>
      <c r="Y381" s="258" t="s">
        <v>1313</v>
      </c>
      <c r="AA381" s="259" t="s">
        <v>1314</v>
      </c>
      <c r="AB381" s="20" t="s">
        <v>1061</v>
      </c>
      <c r="AC381">
        <f t="shared" si="11"/>
        <v>1690000000</v>
      </c>
      <c r="AE381" s="18" t="s">
        <v>1315</v>
      </c>
      <c r="AF381" s="1" t="b">
        <v>1</v>
      </c>
    </row>
    <row r="382" spans="2:32" ht="16.5" customHeight="1">
      <c r="B382" s="1" t="str">
        <f t="shared" si="10"/>
        <v>M_TDIF04_VM_BKT_1.3_339</v>
      </c>
      <c r="C382" s="92" t="s">
        <v>700</v>
      </c>
      <c r="D382" s="92" t="str" cm="1">
        <f t="array" ref="D382">INDEX(기계코드!$D$4:$D$214,MATCH(1,(C382=기계코드!$F$4:$F$214)*1,0))</f>
        <v>M_TDIF04</v>
      </c>
      <c r="E382" s="92" t="s">
        <v>1128</v>
      </c>
      <c r="F382" s="7" t="str" cm="1">
        <f t="array" ref="F382">INDEX(공급업체코드!$B$3:$B$1000,MATCH(1,(E382=공급업체코드!$D$3:$D$1000)*1,0))</f>
        <v>VM_BKT</v>
      </c>
      <c r="G382" s="18" t="s">
        <v>1881</v>
      </c>
      <c r="H382" s="64"/>
      <c r="I382" s="64"/>
      <c r="J382" s="64"/>
      <c r="K382" s="300">
        <v>1.1000000000000001</v>
      </c>
      <c r="L382" s="300">
        <v>1.3</v>
      </c>
      <c r="M382" s="64">
        <v>339</v>
      </c>
      <c r="N382" s="64"/>
      <c r="O382" s="64"/>
      <c r="P382" s="64"/>
      <c r="Q382" s="64"/>
      <c r="R382" s="70"/>
      <c r="T382" s="64"/>
      <c r="X382">
        <v>0.123</v>
      </c>
      <c r="Y382" s="258" t="s">
        <v>1313</v>
      </c>
      <c r="AA382" s="259" t="s">
        <v>1314</v>
      </c>
      <c r="AB382" s="20" t="s">
        <v>1061</v>
      </c>
      <c r="AC382">
        <f t="shared" si="11"/>
        <v>1695000000</v>
      </c>
      <c r="AE382" s="18" t="s">
        <v>1315</v>
      </c>
      <c r="AF382" s="1" t="b">
        <v>1</v>
      </c>
    </row>
    <row r="383" spans="2:32" ht="16.5" customHeight="1">
      <c r="B383" s="1" t="str">
        <f t="shared" si="10"/>
        <v>M_TDIF04_VM_BKT_1.3_340</v>
      </c>
      <c r="C383" s="92" t="s">
        <v>700</v>
      </c>
      <c r="D383" s="92" t="str" cm="1">
        <f t="array" ref="D383">INDEX(기계코드!$D$4:$D$214,MATCH(1,(C383=기계코드!$F$4:$F$214)*1,0))</f>
        <v>M_TDIF04</v>
      </c>
      <c r="E383" s="92" t="s">
        <v>1128</v>
      </c>
      <c r="F383" s="7" t="str" cm="1">
        <f t="array" ref="F383">INDEX(공급업체코드!$B$3:$B$1000,MATCH(1,(E383=공급업체코드!$D$3:$D$1000)*1,0))</f>
        <v>VM_BKT</v>
      </c>
      <c r="G383" s="18" t="s">
        <v>1881</v>
      </c>
      <c r="H383" s="64"/>
      <c r="I383" s="64"/>
      <c r="J383" s="64"/>
      <c r="K383" s="300">
        <v>1.1000000000000001</v>
      </c>
      <c r="L383" s="300">
        <v>1.3</v>
      </c>
      <c r="M383" s="64">
        <v>340</v>
      </c>
      <c r="N383" s="64"/>
      <c r="O383" s="64"/>
      <c r="P383" s="64"/>
      <c r="Q383" s="64"/>
      <c r="R383" s="70"/>
      <c r="T383" s="64"/>
      <c r="X383">
        <v>0.123</v>
      </c>
      <c r="Y383" s="258" t="s">
        <v>1313</v>
      </c>
      <c r="AA383" s="259" t="s">
        <v>1314</v>
      </c>
      <c r="AB383" s="20" t="s">
        <v>1061</v>
      </c>
      <c r="AC383">
        <f t="shared" si="11"/>
        <v>1700000000</v>
      </c>
      <c r="AE383" s="18" t="s">
        <v>1315</v>
      </c>
      <c r="AF383" s="1" t="b">
        <v>1</v>
      </c>
    </row>
    <row r="384" spans="2:32" ht="16.5" customHeight="1">
      <c r="B384" s="1" t="str">
        <f t="shared" si="10"/>
        <v>M_TDIF04_VM_BKT_1.3_341</v>
      </c>
      <c r="C384" s="92" t="s">
        <v>700</v>
      </c>
      <c r="D384" s="92" t="str" cm="1">
        <f t="array" ref="D384">INDEX(기계코드!$D$4:$D$214,MATCH(1,(C384=기계코드!$F$4:$F$214)*1,0))</f>
        <v>M_TDIF04</v>
      </c>
      <c r="E384" s="92" t="s">
        <v>1128</v>
      </c>
      <c r="F384" s="7" t="str" cm="1">
        <f t="array" ref="F384">INDEX(공급업체코드!$B$3:$B$1000,MATCH(1,(E384=공급업체코드!$D$3:$D$1000)*1,0))</f>
        <v>VM_BKT</v>
      </c>
      <c r="G384" s="18" t="s">
        <v>1881</v>
      </c>
      <c r="H384" s="64"/>
      <c r="I384" s="64"/>
      <c r="J384" s="64"/>
      <c r="K384" s="300">
        <v>1.1000000000000001</v>
      </c>
      <c r="L384" s="300">
        <v>1.3</v>
      </c>
      <c r="M384" s="64">
        <v>341</v>
      </c>
      <c r="N384" s="64"/>
      <c r="O384" s="64"/>
      <c r="P384" s="64"/>
      <c r="Q384" s="64"/>
      <c r="R384" s="70"/>
      <c r="T384" s="64"/>
      <c r="X384">
        <v>0.123</v>
      </c>
      <c r="Y384" s="258" t="s">
        <v>1313</v>
      </c>
      <c r="AA384" s="259" t="s">
        <v>1314</v>
      </c>
      <c r="AB384" s="20" t="s">
        <v>1061</v>
      </c>
      <c r="AC384">
        <f t="shared" si="11"/>
        <v>1705000000</v>
      </c>
      <c r="AE384" s="18" t="s">
        <v>1315</v>
      </c>
      <c r="AF384" s="1" t="b">
        <v>1</v>
      </c>
    </row>
    <row r="385" spans="2:32" ht="16.5" customHeight="1">
      <c r="B385" s="1" t="str">
        <f t="shared" si="10"/>
        <v>M_TDIF04_VM_BKT_1.3_342</v>
      </c>
      <c r="C385" s="92" t="s">
        <v>700</v>
      </c>
      <c r="D385" s="92" t="str" cm="1">
        <f t="array" ref="D385">INDEX(기계코드!$D$4:$D$214,MATCH(1,(C385=기계코드!$F$4:$F$214)*1,0))</f>
        <v>M_TDIF04</v>
      </c>
      <c r="E385" s="92" t="s">
        <v>1128</v>
      </c>
      <c r="F385" s="7" t="str" cm="1">
        <f t="array" ref="F385">INDEX(공급업체코드!$B$3:$B$1000,MATCH(1,(E385=공급업체코드!$D$3:$D$1000)*1,0))</f>
        <v>VM_BKT</v>
      </c>
      <c r="G385" s="18" t="s">
        <v>1881</v>
      </c>
      <c r="H385" s="64"/>
      <c r="I385" s="64"/>
      <c r="J385" s="64"/>
      <c r="K385" s="300">
        <v>1.1000000000000001</v>
      </c>
      <c r="L385" s="300">
        <v>1.3</v>
      </c>
      <c r="M385" s="64">
        <v>342</v>
      </c>
      <c r="N385" s="64"/>
      <c r="O385" s="64"/>
      <c r="P385" s="64"/>
      <c r="Q385" s="64"/>
      <c r="R385" s="70"/>
      <c r="T385" s="64"/>
      <c r="X385">
        <v>0.123</v>
      </c>
      <c r="Y385" s="258" t="s">
        <v>1313</v>
      </c>
      <c r="AA385" s="259" t="s">
        <v>1314</v>
      </c>
      <c r="AB385" s="20" t="s">
        <v>1061</v>
      </c>
      <c r="AC385">
        <f t="shared" si="11"/>
        <v>1710000000</v>
      </c>
      <c r="AE385" s="18" t="s">
        <v>1315</v>
      </c>
      <c r="AF385" s="1" t="b">
        <v>1</v>
      </c>
    </row>
    <row r="386" spans="2:32" ht="16.5" customHeight="1">
      <c r="B386" s="1" t="str">
        <f t="shared" si="10"/>
        <v>M_TDIF04_VM_BKT_1.3_343</v>
      </c>
      <c r="C386" s="92" t="s">
        <v>700</v>
      </c>
      <c r="D386" s="92" t="str" cm="1">
        <f t="array" ref="D386">INDEX(기계코드!$D$4:$D$214,MATCH(1,(C386=기계코드!$F$4:$F$214)*1,0))</f>
        <v>M_TDIF04</v>
      </c>
      <c r="E386" s="92" t="s">
        <v>1128</v>
      </c>
      <c r="F386" s="7" t="str" cm="1">
        <f t="array" ref="F386">INDEX(공급업체코드!$B$3:$B$1000,MATCH(1,(E386=공급업체코드!$D$3:$D$1000)*1,0))</f>
        <v>VM_BKT</v>
      </c>
      <c r="G386" s="18" t="s">
        <v>1881</v>
      </c>
      <c r="H386" s="64"/>
      <c r="I386" s="64"/>
      <c r="J386" s="64"/>
      <c r="K386" s="300">
        <v>1.1000000000000001</v>
      </c>
      <c r="L386" s="300">
        <v>1.3</v>
      </c>
      <c r="M386" s="64">
        <v>343</v>
      </c>
      <c r="N386" s="64"/>
      <c r="O386" s="64"/>
      <c r="P386" s="64"/>
      <c r="Q386" s="64"/>
      <c r="R386" s="70"/>
      <c r="T386" s="64"/>
      <c r="X386">
        <v>0.123</v>
      </c>
      <c r="Y386" s="258" t="s">
        <v>1313</v>
      </c>
      <c r="AA386" s="259" t="s">
        <v>1314</v>
      </c>
      <c r="AB386" s="20" t="s">
        <v>1061</v>
      </c>
      <c r="AC386">
        <f t="shared" si="11"/>
        <v>1715000000</v>
      </c>
      <c r="AE386" s="18" t="s">
        <v>1315</v>
      </c>
      <c r="AF386" s="1" t="b">
        <v>1</v>
      </c>
    </row>
    <row r="387" spans="2:32" ht="16.5" customHeight="1">
      <c r="B387" s="1" t="str">
        <f t="shared" si="10"/>
        <v>M_TDIF04_VM_BKT_1.3_344</v>
      </c>
      <c r="C387" s="92" t="s">
        <v>700</v>
      </c>
      <c r="D387" s="92" t="str" cm="1">
        <f t="array" ref="D387">INDEX(기계코드!$D$4:$D$214,MATCH(1,(C387=기계코드!$F$4:$F$214)*1,0))</f>
        <v>M_TDIF04</v>
      </c>
      <c r="E387" s="92" t="s">
        <v>1128</v>
      </c>
      <c r="F387" s="7" t="str" cm="1">
        <f t="array" ref="F387">INDEX(공급업체코드!$B$3:$B$1000,MATCH(1,(E387=공급업체코드!$D$3:$D$1000)*1,0))</f>
        <v>VM_BKT</v>
      </c>
      <c r="G387" s="18" t="s">
        <v>1881</v>
      </c>
      <c r="H387" s="64"/>
      <c r="I387" s="64"/>
      <c r="J387" s="64"/>
      <c r="K387" s="300">
        <v>1.1000000000000001</v>
      </c>
      <c r="L387" s="300">
        <v>1.3</v>
      </c>
      <c r="M387" s="64">
        <v>344</v>
      </c>
      <c r="N387" s="64"/>
      <c r="O387" s="64"/>
      <c r="P387" s="64"/>
      <c r="Q387" s="64"/>
      <c r="R387" s="70"/>
      <c r="T387" s="64"/>
      <c r="X387">
        <v>0.123</v>
      </c>
      <c r="Y387" s="258" t="s">
        <v>1313</v>
      </c>
      <c r="AA387" s="259" t="s">
        <v>1314</v>
      </c>
      <c r="AB387" s="20" t="s">
        <v>1061</v>
      </c>
      <c r="AC387">
        <f t="shared" si="11"/>
        <v>1720000000</v>
      </c>
      <c r="AE387" s="18" t="s">
        <v>1315</v>
      </c>
      <c r="AF387" s="1" t="b">
        <v>1</v>
      </c>
    </row>
    <row r="388" spans="2:32" ht="16.5" customHeight="1">
      <c r="B388" s="1" t="str">
        <f t="shared" si="10"/>
        <v>M_TDIF04_VM_BKT_1.3_345</v>
      </c>
      <c r="C388" s="92" t="s">
        <v>700</v>
      </c>
      <c r="D388" s="92" t="str" cm="1">
        <f t="array" ref="D388">INDEX(기계코드!$D$4:$D$214,MATCH(1,(C388=기계코드!$F$4:$F$214)*1,0))</f>
        <v>M_TDIF04</v>
      </c>
      <c r="E388" s="92" t="s">
        <v>1128</v>
      </c>
      <c r="F388" s="7" t="str" cm="1">
        <f t="array" ref="F388">INDEX(공급업체코드!$B$3:$B$1000,MATCH(1,(E388=공급업체코드!$D$3:$D$1000)*1,0))</f>
        <v>VM_BKT</v>
      </c>
      <c r="G388" s="18" t="s">
        <v>1881</v>
      </c>
      <c r="H388" s="64"/>
      <c r="I388" s="64"/>
      <c r="J388" s="64"/>
      <c r="K388" s="300">
        <v>1.1000000000000001</v>
      </c>
      <c r="L388" s="300">
        <v>1.3</v>
      </c>
      <c r="M388" s="64">
        <v>345</v>
      </c>
      <c r="N388" s="64"/>
      <c r="O388" s="64"/>
      <c r="P388" s="64"/>
      <c r="Q388" s="64"/>
      <c r="R388" s="70"/>
      <c r="T388" s="64"/>
      <c r="X388">
        <v>0.123</v>
      </c>
      <c r="Y388" s="258" t="s">
        <v>1313</v>
      </c>
      <c r="AA388" s="259" t="s">
        <v>1314</v>
      </c>
      <c r="AB388" s="20" t="s">
        <v>1061</v>
      </c>
      <c r="AC388">
        <f t="shared" si="11"/>
        <v>1725000000</v>
      </c>
      <c r="AE388" s="18" t="s">
        <v>1315</v>
      </c>
      <c r="AF388" s="1" t="b">
        <v>1</v>
      </c>
    </row>
    <row r="389" spans="2:32" ht="16.5" customHeight="1">
      <c r="B389" s="1" t="str">
        <f t="shared" si="10"/>
        <v>M_TDIF04_VM_BKT_1.3_346</v>
      </c>
      <c r="C389" s="92" t="s">
        <v>700</v>
      </c>
      <c r="D389" s="92" t="str" cm="1">
        <f t="array" ref="D389">INDEX(기계코드!$D$4:$D$214,MATCH(1,(C389=기계코드!$F$4:$F$214)*1,0))</f>
        <v>M_TDIF04</v>
      </c>
      <c r="E389" s="92" t="s">
        <v>1128</v>
      </c>
      <c r="F389" s="7" t="str" cm="1">
        <f t="array" ref="F389">INDEX(공급업체코드!$B$3:$B$1000,MATCH(1,(E389=공급업체코드!$D$3:$D$1000)*1,0))</f>
        <v>VM_BKT</v>
      </c>
      <c r="G389" s="18" t="s">
        <v>1881</v>
      </c>
      <c r="H389" s="64"/>
      <c r="I389" s="64"/>
      <c r="J389" s="64"/>
      <c r="K389" s="300">
        <v>1.1000000000000001</v>
      </c>
      <c r="L389" s="300">
        <v>1.3</v>
      </c>
      <c r="M389" s="64">
        <v>346</v>
      </c>
      <c r="N389" s="64"/>
      <c r="O389" s="64"/>
      <c r="P389" s="64"/>
      <c r="Q389" s="64"/>
      <c r="R389" s="70"/>
      <c r="T389" s="64"/>
      <c r="X389">
        <v>0.123</v>
      </c>
      <c r="Y389" s="258" t="s">
        <v>1313</v>
      </c>
      <c r="AA389" s="259" t="s">
        <v>1314</v>
      </c>
      <c r="AB389" s="20" t="s">
        <v>1061</v>
      </c>
      <c r="AC389">
        <f t="shared" si="11"/>
        <v>1730000000</v>
      </c>
      <c r="AE389" s="18" t="s">
        <v>1315</v>
      </c>
      <c r="AF389" s="1" t="b">
        <v>1</v>
      </c>
    </row>
    <row r="390" spans="2:32" ht="16.5" customHeight="1">
      <c r="B390" s="1" t="str">
        <f t="shared" si="10"/>
        <v>M_TDIF04_VM_BKT_1.3_347</v>
      </c>
      <c r="C390" s="92" t="s">
        <v>700</v>
      </c>
      <c r="D390" s="92" t="str" cm="1">
        <f t="array" ref="D390">INDEX(기계코드!$D$4:$D$214,MATCH(1,(C390=기계코드!$F$4:$F$214)*1,0))</f>
        <v>M_TDIF04</v>
      </c>
      <c r="E390" s="92" t="s">
        <v>1128</v>
      </c>
      <c r="F390" s="7" t="str" cm="1">
        <f t="array" ref="F390">INDEX(공급업체코드!$B$3:$B$1000,MATCH(1,(E390=공급업체코드!$D$3:$D$1000)*1,0))</f>
        <v>VM_BKT</v>
      </c>
      <c r="G390" s="18" t="s">
        <v>1881</v>
      </c>
      <c r="H390" s="64"/>
      <c r="I390" s="64"/>
      <c r="J390" s="64"/>
      <c r="K390" s="300">
        <v>1.1000000000000001</v>
      </c>
      <c r="L390" s="300">
        <v>1.3</v>
      </c>
      <c r="M390" s="64">
        <v>347</v>
      </c>
      <c r="N390" s="64"/>
      <c r="O390" s="64"/>
      <c r="P390" s="64"/>
      <c r="Q390" s="64"/>
      <c r="R390" s="70"/>
      <c r="T390" s="64"/>
      <c r="X390">
        <v>0.123</v>
      </c>
      <c r="Y390" s="258" t="s">
        <v>1313</v>
      </c>
      <c r="AA390" s="259" t="s">
        <v>1314</v>
      </c>
      <c r="AB390" s="20" t="s">
        <v>1061</v>
      </c>
      <c r="AC390">
        <f t="shared" si="11"/>
        <v>1735000000</v>
      </c>
      <c r="AE390" s="18" t="s">
        <v>1315</v>
      </c>
      <c r="AF390" s="1" t="b">
        <v>1</v>
      </c>
    </row>
    <row r="391" spans="2:32" ht="16.5" customHeight="1">
      <c r="B391" s="1" t="str">
        <f t="shared" si="10"/>
        <v>M_TDIF04_VM_BKT_1.3_348</v>
      </c>
      <c r="C391" s="92" t="s">
        <v>700</v>
      </c>
      <c r="D391" s="92" t="str" cm="1">
        <f t="array" ref="D391">INDEX(기계코드!$D$4:$D$214,MATCH(1,(C391=기계코드!$F$4:$F$214)*1,0))</f>
        <v>M_TDIF04</v>
      </c>
      <c r="E391" s="92" t="s">
        <v>1128</v>
      </c>
      <c r="F391" s="7" t="str" cm="1">
        <f t="array" ref="F391">INDEX(공급업체코드!$B$3:$B$1000,MATCH(1,(E391=공급업체코드!$D$3:$D$1000)*1,0))</f>
        <v>VM_BKT</v>
      </c>
      <c r="G391" s="18" t="s">
        <v>1881</v>
      </c>
      <c r="H391" s="64"/>
      <c r="I391" s="64"/>
      <c r="J391" s="64"/>
      <c r="K391" s="300">
        <v>1.1000000000000001</v>
      </c>
      <c r="L391" s="300">
        <v>1.3</v>
      </c>
      <c r="M391" s="64">
        <v>348</v>
      </c>
      <c r="N391" s="64"/>
      <c r="O391" s="64"/>
      <c r="P391" s="64"/>
      <c r="Q391" s="64"/>
      <c r="R391" s="70"/>
      <c r="T391" s="64"/>
      <c r="X391">
        <v>0.123</v>
      </c>
      <c r="Y391" s="258" t="s">
        <v>1313</v>
      </c>
      <c r="AA391" s="259" t="s">
        <v>1314</v>
      </c>
      <c r="AB391" s="20" t="s">
        <v>1061</v>
      </c>
      <c r="AC391">
        <f t="shared" si="11"/>
        <v>1740000000</v>
      </c>
      <c r="AE391" s="18" t="s">
        <v>1315</v>
      </c>
      <c r="AF391" s="1" t="b">
        <v>1</v>
      </c>
    </row>
    <row r="392" spans="2:32" ht="16.5" customHeight="1">
      <c r="B392" s="1" t="str">
        <f t="shared" si="10"/>
        <v>M_TDIF04_VM_BKT_1.3_349</v>
      </c>
      <c r="C392" s="92" t="s">
        <v>700</v>
      </c>
      <c r="D392" s="92" t="str" cm="1">
        <f t="array" ref="D392">INDEX(기계코드!$D$4:$D$214,MATCH(1,(C392=기계코드!$F$4:$F$214)*1,0))</f>
        <v>M_TDIF04</v>
      </c>
      <c r="E392" s="92" t="s">
        <v>1128</v>
      </c>
      <c r="F392" s="7" t="str" cm="1">
        <f t="array" ref="F392">INDEX(공급업체코드!$B$3:$B$1000,MATCH(1,(E392=공급업체코드!$D$3:$D$1000)*1,0))</f>
        <v>VM_BKT</v>
      </c>
      <c r="G392" s="18" t="s">
        <v>1881</v>
      </c>
      <c r="H392" s="64"/>
      <c r="I392" s="64"/>
      <c r="J392" s="64"/>
      <c r="K392" s="300">
        <v>1.1000000000000001</v>
      </c>
      <c r="L392" s="300">
        <v>1.3</v>
      </c>
      <c r="M392" s="64">
        <v>349</v>
      </c>
      <c r="N392" s="64"/>
      <c r="O392" s="64"/>
      <c r="P392" s="64"/>
      <c r="Q392" s="64"/>
      <c r="R392" s="70"/>
      <c r="T392" s="64"/>
      <c r="X392">
        <v>0.123</v>
      </c>
      <c r="Y392" s="258" t="s">
        <v>1313</v>
      </c>
      <c r="AA392" s="259" t="s">
        <v>1314</v>
      </c>
      <c r="AB392" s="20" t="s">
        <v>1061</v>
      </c>
      <c r="AC392">
        <f t="shared" si="11"/>
        <v>1745000000</v>
      </c>
      <c r="AE392" s="18" t="s">
        <v>1315</v>
      </c>
      <c r="AF392" s="1" t="b">
        <v>1</v>
      </c>
    </row>
    <row r="393" spans="2:32" ht="16.5" customHeight="1">
      <c r="B393" s="1" t="str">
        <f t="shared" si="10"/>
        <v>M_TDIF04_VM_BKT_1.3_350</v>
      </c>
      <c r="C393" s="92" t="s">
        <v>700</v>
      </c>
      <c r="D393" s="92" t="str" cm="1">
        <f t="array" ref="D393">INDEX(기계코드!$D$4:$D$214,MATCH(1,(C393=기계코드!$F$4:$F$214)*1,0))</f>
        <v>M_TDIF04</v>
      </c>
      <c r="E393" s="92" t="s">
        <v>1128</v>
      </c>
      <c r="F393" s="7" t="str" cm="1">
        <f t="array" ref="F393">INDEX(공급업체코드!$B$3:$B$1000,MATCH(1,(E393=공급업체코드!$D$3:$D$1000)*1,0))</f>
        <v>VM_BKT</v>
      </c>
      <c r="G393" s="18" t="s">
        <v>1881</v>
      </c>
      <c r="H393" s="64"/>
      <c r="I393" s="64"/>
      <c r="J393" s="64"/>
      <c r="K393" s="300">
        <v>1.1000000000000001</v>
      </c>
      <c r="L393" s="300">
        <v>1.3</v>
      </c>
      <c r="M393" s="64">
        <v>350</v>
      </c>
      <c r="N393" s="64"/>
      <c r="O393" s="64"/>
      <c r="P393" s="64"/>
      <c r="Q393" s="64"/>
      <c r="R393" s="70"/>
      <c r="T393" s="64"/>
      <c r="X393">
        <v>0.123</v>
      </c>
      <c r="Y393" s="258" t="s">
        <v>1313</v>
      </c>
      <c r="AA393" s="259" t="s">
        <v>1314</v>
      </c>
      <c r="AB393" s="20" t="s">
        <v>1061</v>
      </c>
      <c r="AC393">
        <f t="shared" si="11"/>
        <v>1750000000</v>
      </c>
      <c r="AE393" s="18" t="s">
        <v>1315</v>
      </c>
      <c r="AF393" s="1" t="b">
        <v>1</v>
      </c>
    </row>
    <row r="394" spans="2:32" ht="16.5" customHeight="1">
      <c r="B394" s="1" t="str">
        <f t="shared" si="10"/>
        <v>M_TDIF04_VM_BKT_1.3_351</v>
      </c>
      <c r="C394" s="92" t="s">
        <v>700</v>
      </c>
      <c r="D394" s="92" t="str" cm="1">
        <f t="array" ref="D394">INDEX(기계코드!$D$4:$D$214,MATCH(1,(C394=기계코드!$F$4:$F$214)*1,0))</f>
        <v>M_TDIF04</v>
      </c>
      <c r="E394" s="92" t="s">
        <v>1128</v>
      </c>
      <c r="F394" s="7" t="str" cm="1">
        <f t="array" ref="F394">INDEX(공급업체코드!$B$3:$B$1000,MATCH(1,(E394=공급업체코드!$D$3:$D$1000)*1,0))</f>
        <v>VM_BKT</v>
      </c>
      <c r="G394" s="18" t="s">
        <v>1881</v>
      </c>
      <c r="H394" s="64"/>
      <c r="I394" s="64"/>
      <c r="J394" s="64"/>
      <c r="K394" s="300">
        <v>1.1000000000000001</v>
      </c>
      <c r="L394" s="300">
        <v>1.3</v>
      </c>
      <c r="M394" s="64">
        <v>351</v>
      </c>
      <c r="N394" s="64"/>
      <c r="O394" s="64"/>
      <c r="P394" s="64"/>
      <c r="Q394" s="64"/>
      <c r="R394" s="70"/>
      <c r="T394" s="64"/>
      <c r="X394">
        <v>0.123</v>
      </c>
      <c r="Y394" s="258" t="s">
        <v>1313</v>
      </c>
      <c r="AA394" s="259" t="s">
        <v>1314</v>
      </c>
      <c r="AB394" s="20" t="s">
        <v>1061</v>
      </c>
      <c r="AC394">
        <f t="shared" si="11"/>
        <v>1755000000</v>
      </c>
      <c r="AE394" s="18" t="s">
        <v>1315</v>
      </c>
      <c r="AF394" s="1" t="b">
        <v>1</v>
      </c>
    </row>
    <row r="395" spans="2:32" ht="16.5" customHeight="1">
      <c r="B395" s="1" t="str">
        <f t="shared" si="10"/>
        <v>M_TDIF04_VM_BKT_1.3_352</v>
      </c>
      <c r="C395" s="92" t="s">
        <v>700</v>
      </c>
      <c r="D395" s="92" t="str" cm="1">
        <f t="array" ref="D395">INDEX(기계코드!$D$4:$D$214,MATCH(1,(C395=기계코드!$F$4:$F$214)*1,0))</f>
        <v>M_TDIF04</v>
      </c>
      <c r="E395" s="92" t="s">
        <v>1128</v>
      </c>
      <c r="F395" s="7" t="str" cm="1">
        <f t="array" ref="F395">INDEX(공급업체코드!$B$3:$B$1000,MATCH(1,(E395=공급업체코드!$D$3:$D$1000)*1,0))</f>
        <v>VM_BKT</v>
      </c>
      <c r="G395" s="18" t="s">
        <v>1881</v>
      </c>
      <c r="H395" s="64"/>
      <c r="I395" s="64"/>
      <c r="J395" s="64"/>
      <c r="K395" s="300">
        <v>1.1000000000000001</v>
      </c>
      <c r="L395" s="300">
        <v>1.3</v>
      </c>
      <c r="M395" s="64">
        <v>352</v>
      </c>
      <c r="N395" s="64"/>
      <c r="O395" s="64"/>
      <c r="P395" s="64"/>
      <c r="Q395" s="64"/>
      <c r="R395" s="70"/>
      <c r="T395" s="64"/>
      <c r="X395">
        <v>0.123</v>
      </c>
      <c r="Y395" s="258" t="s">
        <v>1313</v>
      </c>
      <c r="AA395" s="259" t="s">
        <v>1314</v>
      </c>
      <c r="AB395" s="20" t="s">
        <v>1061</v>
      </c>
      <c r="AC395">
        <f t="shared" si="11"/>
        <v>1760000000</v>
      </c>
      <c r="AE395" s="18" t="s">
        <v>1315</v>
      </c>
      <c r="AF395" s="1" t="b">
        <v>1</v>
      </c>
    </row>
    <row r="396" spans="2:32" ht="16.5" customHeight="1">
      <c r="B396" s="1" t="str">
        <f t="shared" si="10"/>
        <v>M_TDIF04_VM_BKT_1.3_353</v>
      </c>
      <c r="C396" s="92" t="s">
        <v>700</v>
      </c>
      <c r="D396" s="92" t="str" cm="1">
        <f t="array" ref="D396">INDEX(기계코드!$D$4:$D$214,MATCH(1,(C396=기계코드!$F$4:$F$214)*1,0))</f>
        <v>M_TDIF04</v>
      </c>
      <c r="E396" s="92" t="s">
        <v>1128</v>
      </c>
      <c r="F396" s="7" t="str" cm="1">
        <f t="array" ref="F396">INDEX(공급업체코드!$B$3:$B$1000,MATCH(1,(E396=공급업체코드!$D$3:$D$1000)*1,0))</f>
        <v>VM_BKT</v>
      </c>
      <c r="G396" s="18" t="s">
        <v>1881</v>
      </c>
      <c r="H396" s="64"/>
      <c r="I396" s="64"/>
      <c r="J396" s="64"/>
      <c r="K396" s="300">
        <v>1.1000000000000001</v>
      </c>
      <c r="L396" s="300">
        <v>1.3</v>
      </c>
      <c r="M396" s="64">
        <v>353</v>
      </c>
      <c r="N396" s="64"/>
      <c r="O396" s="64"/>
      <c r="P396" s="64"/>
      <c r="Q396" s="64"/>
      <c r="R396" s="70"/>
      <c r="T396" s="64"/>
      <c r="X396">
        <v>0.123</v>
      </c>
      <c r="Y396" s="258" t="s">
        <v>1313</v>
      </c>
      <c r="AA396" s="259" t="s">
        <v>1314</v>
      </c>
      <c r="AB396" s="20" t="s">
        <v>1061</v>
      </c>
      <c r="AC396">
        <f t="shared" si="11"/>
        <v>1765000000</v>
      </c>
      <c r="AE396" s="18" t="s">
        <v>1315</v>
      </c>
      <c r="AF396" s="1" t="b">
        <v>1</v>
      </c>
    </row>
    <row r="397" spans="2:32" ht="16.5" customHeight="1">
      <c r="B397" s="1" t="str">
        <f t="shared" si="10"/>
        <v>M_TDIF04_VM_BKT_1.3_354</v>
      </c>
      <c r="C397" s="92" t="s">
        <v>700</v>
      </c>
      <c r="D397" s="92" t="str" cm="1">
        <f t="array" ref="D397">INDEX(기계코드!$D$4:$D$214,MATCH(1,(C397=기계코드!$F$4:$F$214)*1,0))</f>
        <v>M_TDIF04</v>
      </c>
      <c r="E397" s="92" t="s">
        <v>1128</v>
      </c>
      <c r="F397" s="7" t="str" cm="1">
        <f t="array" ref="F397">INDEX(공급업체코드!$B$3:$B$1000,MATCH(1,(E397=공급업체코드!$D$3:$D$1000)*1,0))</f>
        <v>VM_BKT</v>
      </c>
      <c r="G397" s="18" t="s">
        <v>1881</v>
      </c>
      <c r="H397" s="64"/>
      <c r="I397" s="64"/>
      <c r="J397" s="64"/>
      <c r="K397" s="300">
        <v>1.1000000000000001</v>
      </c>
      <c r="L397" s="300">
        <v>1.3</v>
      </c>
      <c r="M397" s="64">
        <v>354</v>
      </c>
      <c r="N397" s="64"/>
      <c r="O397" s="64"/>
      <c r="P397" s="64"/>
      <c r="Q397" s="64"/>
      <c r="R397" s="70"/>
      <c r="T397" s="64"/>
      <c r="X397">
        <v>0.123</v>
      </c>
      <c r="Y397" s="258" t="s">
        <v>1313</v>
      </c>
      <c r="AA397" s="259" t="s">
        <v>1314</v>
      </c>
      <c r="AB397" s="20" t="s">
        <v>1061</v>
      </c>
      <c r="AC397">
        <f t="shared" si="11"/>
        <v>1770000000</v>
      </c>
      <c r="AE397" s="18" t="s">
        <v>1315</v>
      </c>
      <c r="AF397" s="1" t="b">
        <v>1</v>
      </c>
    </row>
    <row r="398" spans="2:32" ht="16.5" customHeight="1">
      <c r="B398" s="1" t="str">
        <f t="shared" si="10"/>
        <v>M_TDIF04_VM_BKT_1.3_355</v>
      </c>
      <c r="C398" s="92" t="s">
        <v>700</v>
      </c>
      <c r="D398" s="92" t="str" cm="1">
        <f t="array" ref="D398">INDEX(기계코드!$D$4:$D$214,MATCH(1,(C398=기계코드!$F$4:$F$214)*1,0))</f>
        <v>M_TDIF04</v>
      </c>
      <c r="E398" s="92" t="s">
        <v>1128</v>
      </c>
      <c r="F398" s="7" t="str" cm="1">
        <f t="array" ref="F398">INDEX(공급업체코드!$B$3:$B$1000,MATCH(1,(E398=공급업체코드!$D$3:$D$1000)*1,0))</f>
        <v>VM_BKT</v>
      </c>
      <c r="G398" s="18" t="s">
        <v>1881</v>
      </c>
      <c r="H398" s="64"/>
      <c r="I398" s="64"/>
      <c r="J398" s="64"/>
      <c r="K398" s="300">
        <v>1.1000000000000001</v>
      </c>
      <c r="L398" s="300">
        <v>1.3</v>
      </c>
      <c r="M398" s="64">
        <v>355</v>
      </c>
      <c r="N398" s="64"/>
      <c r="O398" s="64"/>
      <c r="P398" s="64"/>
      <c r="Q398" s="64"/>
      <c r="R398" s="70"/>
      <c r="T398" s="64"/>
      <c r="X398">
        <v>0.123</v>
      </c>
      <c r="Y398" s="258" t="s">
        <v>1313</v>
      </c>
      <c r="AA398" s="259" t="s">
        <v>1314</v>
      </c>
      <c r="AB398" s="20" t="s">
        <v>1061</v>
      </c>
      <c r="AC398">
        <f t="shared" si="11"/>
        <v>1775000000</v>
      </c>
      <c r="AE398" s="18" t="s">
        <v>1315</v>
      </c>
      <c r="AF398" s="1" t="b">
        <v>1</v>
      </c>
    </row>
    <row r="399" spans="2:32" ht="16.5" customHeight="1">
      <c r="B399" s="1" t="str">
        <f t="shared" si="10"/>
        <v>M_TDIF04_VM_BKT_1.3_356</v>
      </c>
      <c r="C399" s="92" t="s">
        <v>700</v>
      </c>
      <c r="D399" s="92" t="str" cm="1">
        <f t="array" ref="D399">INDEX(기계코드!$D$4:$D$214,MATCH(1,(C399=기계코드!$F$4:$F$214)*1,0))</f>
        <v>M_TDIF04</v>
      </c>
      <c r="E399" s="92" t="s">
        <v>1128</v>
      </c>
      <c r="F399" s="7" t="str" cm="1">
        <f t="array" ref="F399">INDEX(공급업체코드!$B$3:$B$1000,MATCH(1,(E399=공급업체코드!$D$3:$D$1000)*1,0))</f>
        <v>VM_BKT</v>
      </c>
      <c r="G399" s="18" t="s">
        <v>1881</v>
      </c>
      <c r="H399" s="64"/>
      <c r="I399" s="64"/>
      <c r="J399" s="64"/>
      <c r="K399" s="300">
        <v>1.1000000000000001</v>
      </c>
      <c r="L399" s="300">
        <v>1.3</v>
      </c>
      <c r="M399" s="64">
        <v>356</v>
      </c>
      <c r="N399" s="64"/>
      <c r="O399" s="64"/>
      <c r="P399" s="64"/>
      <c r="Q399" s="64"/>
      <c r="R399" s="70"/>
      <c r="T399" s="64"/>
      <c r="X399">
        <v>0.123</v>
      </c>
      <c r="Y399" s="258" t="s">
        <v>1313</v>
      </c>
      <c r="AA399" s="259" t="s">
        <v>1314</v>
      </c>
      <c r="AB399" s="20" t="s">
        <v>1061</v>
      </c>
      <c r="AC399">
        <f t="shared" si="11"/>
        <v>1780000000</v>
      </c>
      <c r="AE399" s="18" t="s">
        <v>1315</v>
      </c>
      <c r="AF399" s="1" t="b">
        <v>1</v>
      </c>
    </row>
    <row r="400" spans="2:32" ht="16.5" customHeight="1">
      <c r="B400" s="1" t="str">
        <f t="shared" si="10"/>
        <v>M_TDIF04_VM_BKT_1.3_357</v>
      </c>
      <c r="C400" s="92" t="s">
        <v>700</v>
      </c>
      <c r="D400" s="92" t="str" cm="1">
        <f t="array" ref="D400">INDEX(기계코드!$D$4:$D$214,MATCH(1,(C400=기계코드!$F$4:$F$214)*1,0))</f>
        <v>M_TDIF04</v>
      </c>
      <c r="E400" s="92" t="s">
        <v>1128</v>
      </c>
      <c r="F400" s="7" t="str" cm="1">
        <f t="array" ref="F400">INDEX(공급업체코드!$B$3:$B$1000,MATCH(1,(E400=공급업체코드!$D$3:$D$1000)*1,0))</f>
        <v>VM_BKT</v>
      </c>
      <c r="G400" s="18" t="s">
        <v>1881</v>
      </c>
      <c r="H400" s="64"/>
      <c r="I400" s="64"/>
      <c r="J400" s="64"/>
      <c r="K400" s="300">
        <v>1.1000000000000001</v>
      </c>
      <c r="L400" s="300">
        <v>1.3</v>
      </c>
      <c r="M400" s="64">
        <v>357</v>
      </c>
      <c r="N400" s="64"/>
      <c r="O400" s="64"/>
      <c r="P400" s="64"/>
      <c r="Q400" s="64"/>
      <c r="R400" s="70"/>
      <c r="T400" s="64"/>
      <c r="X400">
        <v>0.123</v>
      </c>
      <c r="Y400" s="258" t="s">
        <v>1313</v>
      </c>
      <c r="AA400" s="259" t="s">
        <v>1314</v>
      </c>
      <c r="AB400" s="20" t="s">
        <v>1061</v>
      </c>
      <c r="AC400">
        <f t="shared" si="11"/>
        <v>1785000000</v>
      </c>
      <c r="AE400" s="18" t="s">
        <v>1315</v>
      </c>
      <c r="AF400" s="1" t="b">
        <v>1</v>
      </c>
    </row>
    <row r="401" spans="2:32" ht="16.5" customHeight="1">
      <c r="B401" s="1" t="str">
        <f t="shared" si="10"/>
        <v>M_TDIF04_VM_BKT_1.3_358</v>
      </c>
      <c r="C401" s="92" t="s">
        <v>700</v>
      </c>
      <c r="D401" s="92" t="str" cm="1">
        <f t="array" ref="D401">INDEX(기계코드!$D$4:$D$214,MATCH(1,(C401=기계코드!$F$4:$F$214)*1,0))</f>
        <v>M_TDIF04</v>
      </c>
      <c r="E401" s="92" t="s">
        <v>1128</v>
      </c>
      <c r="F401" s="7" t="str" cm="1">
        <f t="array" ref="F401">INDEX(공급업체코드!$B$3:$B$1000,MATCH(1,(E401=공급업체코드!$D$3:$D$1000)*1,0))</f>
        <v>VM_BKT</v>
      </c>
      <c r="G401" s="18" t="s">
        <v>1881</v>
      </c>
      <c r="H401" s="64"/>
      <c r="I401" s="64"/>
      <c r="J401" s="64"/>
      <c r="K401" s="300">
        <v>1.1000000000000001</v>
      </c>
      <c r="L401" s="300">
        <v>1.3</v>
      </c>
      <c r="M401" s="64">
        <v>358</v>
      </c>
      <c r="N401" s="64"/>
      <c r="O401" s="64"/>
      <c r="P401" s="64"/>
      <c r="Q401" s="64"/>
      <c r="R401" s="70"/>
      <c r="T401" s="64"/>
      <c r="X401">
        <v>0.123</v>
      </c>
      <c r="Y401" s="258" t="s">
        <v>1313</v>
      </c>
      <c r="AA401" s="259" t="s">
        <v>1314</v>
      </c>
      <c r="AB401" s="20" t="s">
        <v>1061</v>
      </c>
      <c r="AC401">
        <f t="shared" si="11"/>
        <v>1790000000</v>
      </c>
      <c r="AE401" s="18" t="s">
        <v>1315</v>
      </c>
      <c r="AF401" s="1" t="b">
        <v>1</v>
      </c>
    </row>
    <row r="402" spans="2:32" ht="16.5" customHeight="1">
      <c r="B402" s="1" t="str">
        <f t="shared" si="10"/>
        <v>M_TDIF04_VM_BKT_1.3_359</v>
      </c>
      <c r="C402" s="92" t="s">
        <v>700</v>
      </c>
      <c r="D402" s="92" t="str" cm="1">
        <f t="array" ref="D402">INDEX(기계코드!$D$4:$D$214,MATCH(1,(C402=기계코드!$F$4:$F$214)*1,0))</f>
        <v>M_TDIF04</v>
      </c>
      <c r="E402" s="92" t="s">
        <v>1128</v>
      </c>
      <c r="F402" s="7" t="str" cm="1">
        <f t="array" ref="F402">INDEX(공급업체코드!$B$3:$B$1000,MATCH(1,(E402=공급업체코드!$D$3:$D$1000)*1,0))</f>
        <v>VM_BKT</v>
      </c>
      <c r="G402" s="18" t="s">
        <v>1881</v>
      </c>
      <c r="H402" s="64"/>
      <c r="I402" s="64"/>
      <c r="J402" s="64"/>
      <c r="K402" s="300">
        <v>1.1000000000000001</v>
      </c>
      <c r="L402" s="300">
        <v>1.3</v>
      </c>
      <c r="M402" s="64">
        <v>359</v>
      </c>
      <c r="N402" s="64"/>
      <c r="O402" s="64"/>
      <c r="P402" s="64"/>
      <c r="Q402" s="64"/>
      <c r="R402" s="70"/>
      <c r="T402" s="64"/>
      <c r="X402">
        <v>0.123</v>
      </c>
      <c r="Y402" s="258" t="s">
        <v>1313</v>
      </c>
      <c r="AA402" s="259" t="s">
        <v>1314</v>
      </c>
      <c r="AB402" s="20" t="s">
        <v>1061</v>
      </c>
      <c r="AC402">
        <f t="shared" si="11"/>
        <v>1795000000</v>
      </c>
      <c r="AE402" s="18" t="s">
        <v>1315</v>
      </c>
      <c r="AF402" s="1" t="b">
        <v>1</v>
      </c>
    </row>
    <row r="403" spans="2:32" ht="16.5" customHeight="1">
      <c r="B403" s="1" t="str">
        <f t="shared" si="10"/>
        <v>M_TDIF04_VM_BKT_1.3_360</v>
      </c>
      <c r="C403" s="92" t="s">
        <v>700</v>
      </c>
      <c r="D403" s="92" t="str" cm="1">
        <f t="array" ref="D403">INDEX(기계코드!$D$4:$D$214,MATCH(1,(C403=기계코드!$F$4:$F$214)*1,0))</f>
        <v>M_TDIF04</v>
      </c>
      <c r="E403" s="92" t="s">
        <v>1128</v>
      </c>
      <c r="F403" s="7" t="str" cm="1">
        <f t="array" ref="F403">INDEX(공급업체코드!$B$3:$B$1000,MATCH(1,(E403=공급업체코드!$D$3:$D$1000)*1,0))</f>
        <v>VM_BKT</v>
      </c>
      <c r="G403" s="18" t="s">
        <v>1881</v>
      </c>
      <c r="H403" s="64"/>
      <c r="I403" s="64"/>
      <c r="J403" s="64"/>
      <c r="K403" s="300">
        <v>1.1000000000000001</v>
      </c>
      <c r="L403" s="300">
        <v>1.3</v>
      </c>
      <c r="M403" s="64">
        <v>360</v>
      </c>
      <c r="N403" s="64"/>
      <c r="O403" s="64"/>
      <c r="P403" s="64"/>
      <c r="Q403" s="64"/>
      <c r="R403" s="70"/>
      <c r="T403" s="64"/>
      <c r="X403">
        <v>0.123</v>
      </c>
      <c r="Y403" s="258" t="s">
        <v>1313</v>
      </c>
      <c r="AA403" s="259" t="s">
        <v>1314</v>
      </c>
      <c r="AB403" s="20" t="s">
        <v>1061</v>
      </c>
      <c r="AC403">
        <f t="shared" si="11"/>
        <v>1800000000</v>
      </c>
      <c r="AE403" s="18" t="s">
        <v>1315</v>
      </c>
      <c r="AF403" s="1" t="b">
        <v>1</v>
      </c>
    </row>
    <row r="404" spans="2:32" ht="16.5" customHeight="1">
      <c r="B404" s="1" t="str">
        <f t="shared" si="10"/>
        <v>M_TDIF04_VM_BKT_1.3_361</v>
      </c>
      <c r="C404" s="92" t="s">
        <v>700</v>
      </c>
      <c r="D404" s="92" t="str" cm="1">
        <f t="array" ref="D404">INDEX(기계코드!$D$4:$D$214,MATCH(1,(C404=기계코드!$F$4:$F$214)*1,0))</f>
        <v>M_TDIF04</v>
      </c>
      <c r="E404" s="92" t="s">
        <v>1128</v>
      </c>
      <c r="F404" s="7" t="str" cm="1">
        <f t="array" ref="F404">INDEX(공급업체코드!$B$3:$B$1000,MATCH(1,(E404=공급업체코드!$D$3:$D$1000)*1,0))</f>
        <v>VM_BKT</v>
      </c>
      <c r="G404" s="18" t="s">
        <v>1881</v>
      </c>
      <c r="H404" s="64"/>
      <c r="I404" s="64"/>
      <c r="J404" s="64"/>
      <c r="K404" s="300">
        <v>1.1000000000000001</v>
      </c>
      <c r="L404" s="300">
        <v>1.3</v>
      </c>
      <c r="M404" s="64">
        <v>361</v>
      </c>
      <c r="N404" s="64"/>
      <c r="O404" s="64"/>
      <c r="P404" s="64"/>
      <c r="Q404" s="64"/>
      <c r="R404" s="70"/>
      <c r="T404" s="64"/>
      <c r="X404">
        <v>0.123</v>
      </c>
      <c r="Y404" s="258" t="s">
        <v>1313</v>
      </c>
      <c r="AA404" s="259" t="s">
        <v>1314</v>
      </c>
      <c r="AB404" s="20" t="s">
        <v>1061</v>
      </c>
      <c r="AC404">
        <f t="shared" si="11"/>
        <v>1805000000</v>
      </c>
      <c r="AE404" s="18" t="s">
        <v>1315</v>
      </c>
      <c r="AF404" s="1" t="b">
        <v>1</v>
      </c>
    </row>
    <row r="405" spans="2:32" ht="16.5" customHeight="1">
      <c r="B405" s="1" t="str">
        <f t="shared" si="10"/>
        <v>M_TDIF04_VM_BKT_1.3_362</v>
      </c>
      <c r="C405" s="92" t="s">
        <v>700</v>
      </c>
      <c r="D405" s="92" t="str" cm="1">
        <f t="array" ref="D405">INDEX(기계코드!$D$4:$D$214,MATCH(1,(C405=기계코드!$F$4:$F$214)*1,0))</f>
        <v>M_TDIF04</v>
      </c>
      <c r="E405" s="92" t="s">
        <v>1128</v>
      </c>
      <c r="F405" s="7" t="str" cm="1">
        <f t="array" ref="F405">INDEX(공급업체코드!$B$3:$B$1000,MATCH(1,(E405=공급업체코드!$D$3:$D$1000)*1,0))</f>
        <v>VM_BKT</v>
      </c>
      <c r="G405" s="18" t="s">
        <v>1881</v>
      </c>
      <c r="H405" s="64"/>
      <c r="I405" s="64"/>
      <c r="J405" s="64"/>
      <c r="K405" s="300">
        <v>1.1000000000000001</v>
      </c>
      <c r="L405" s="300">
        <v>1.3</v>
      </c>
      <c r="M405" s="64">
        <v>362</v>
      </c>
      <c r="N405" s="64"/>
      <c r="O405" s="64"/>
      <c r="P405" s="64"/>
      <c r="Q405" s="64"/>
      <c r="R405" s="70"/>
      <c r="T405" s="64"/>
      <c r="X405">
        <v>0.123</v>
      </c>
      <c r="Y405" s="258" t="s">
        <v>1313</v>
      </c>
      <c r="AA405" s="259" t="s">
        <v>1314</v>
      </c>
      <c r="AB405" s="20" t="s">
        <v>1061</v>
      </c>
      <c r="AC405">
        <f t="shared" si="11"/>
        <v>1810000000</v>
      </c>
      <c r="AE405" s="18" t="s">
        <v>1315</v>
      </c>
      <c r="AF405" s="1" t="b">
        <v>1</v>
      </c>
    </row>
    <row r="406" spans="2:32" ht="16.5" customHeight="1">
      <c r="B406" s="1" t="str">
        <f t="shared" si="10"/>
        <v>M_TDIF04_VM_BKT_1.3_363</v>
      </c>
      <c r="C406" s="92" t="s">
        <v>700</v>
      </c>
      <c r="D406" s="92" t="str" cm="1">
        <f t="array" ref="D406">INDEX(기계코드!$D$4:$D$214,MATCH(1,(C406=기계코드!$F$4:$F$214)*1,0))</f>
        <v>M_TDIF04</v>
      </c>
      <c r="E406" s="92" t="s">
        <v>1128</v>
      </c>
      <c r="F406" s="7" t="str" cm="1">
        <f t="array" ref="F406">INDEX(공급업체코드!$B$3:$B$1000,MATCH(1,(E406=공급업체코드!$D$3:$D$1000)*1,0))</f>
        <v>VM_BKT</v>
      </c>
      <c r="G406" s="18" t="s">
        <v>1881</v>
      </c>
      <c r="H406" s="64"/>
      <c r="I406" s="64"/>
      <c r="J406" s="64"/>
      <c r="K406" s="300">
        <v>1.1000000000000001</v>
      </c>
      <c r="L406" s="300">
        <v>1.3</v>
      </c>
      <c r="M406" s="64">
        <v>363</v>
      </c>
      <c r="N406" s="64"/>
      <c r="O406" s="64"/>
      <c r="P406" s="64"/>
      <c r="Q406" s="64"/>
      <c r="R406" s="70"/>
      <c r="T406" s="64"/>
      <c r="X406">
        <v>0.123</v>
      </c>
      <c r="Y406" s="258" t="s">
        <v>1313</v>
      </c>
      <c r="AA406" s="259" t="s">
        <v>1314</v>
      </c>
      <c r="AB406" s="20" t="s">
        <v>1061</v>
      </c>
      <c r="AC406">
        <f t="shared" si="11"/>
        <v>1815000000</v>
      </c>
      <c r="AE406" s="18" t="s">
        <v>1315</v>
      </c>
      <c r="AF406" s="1" t="b">
        <v>1</v>
      </c>
    </row>
    <row r="407" spans="2:32" ht="16.5" customHeight="1">
      <c r="B407" s="1" t="str">
        <f t="shared" si="10"/>
        <v>M_TDIF04_VM_BKT_1.3_364</v>
      </c>
      <c r="C407" s="92" t="s">
        <v>700</v>
      </c>
      <c r="D407" s="92" t="str" cm="1">
        <f t="array" ref="D407">INDEX(기계코드!$D$4:$D$214,MATCH(1,(C407=기계코드!$F$4:$F$214)*1,0))</f>
        <v>M_TDIF04</v>
      </c>
      <c r="E407" s="92" t="s">
        <v>1128</v>
      </c>
      <c r="F407" s="7" t="str" cm="1">
        <f t="array" ref="F407">INDEX(공급업체코드!$B$3:$B$1000,MATCH(1,(E407=공급업체코드!$D$3:$D$1000)*1,0))</f>
        <v>VM_BKT</v>
      </c>
      <c r="G407" s="18" t="s">
        <v>1881</v>
      </c>
      <c r="H407" s="64"/>
      <c r="I407" s="64"/>
      <c r="J407" s="64"/>
      <c r="K407" s="300">
        <v>1.1000000000000001</v>
      </c>
      <c r="L407" s="300">
        <v>1.3</v>
      </c>
      <c r="M407" s="64">
        <v>364</v>
      </c>
      <c r="N407" s="64"/>
      <c r="O407" s="64"/>
      <c r="P407" s="64"/>
      <c r="Q407" s="64"/>
      <c r="R407" s="70"/>
      <c r="T407" s="64"/>
      <c r="X407">
        <v>0.123</v>
      </c>
      <c r="Y407" s="258" t="s">
        <v>1313</v>
      </c>
      <c r="AA407" s="259" t="s">
        <v>1314</v>
      </c>
      <c r="AB407" s="20" t="s">
        <v>1061</v>
      </c>
      <c r="AC407">
        <f t="shared" si="11"/>
        <v>1820000000</v>
      </c>
      <c r="AE407" s="18" t="s">
        <v>1315</v>
      </c>
      <c r="AF407" s="1" t="b">
        <v>1</v>
      </c>
    </row>
    <row r="408" spans="2:32" ht="16.5" customHeight="1">
      <c r="B408" s="1" t="str">
        <f t="shared" si="10"/>
        <v>M_TDIF04_VM_BKT_1.3_365</v>
      </c>
      <c r="C408" s="92" t="s">
        <v>700</v>
      </c>
      <c r="D408" s="92" t="str" cm="1">
        <f t="array" ref="D408">INDEX(기계코드!$D$4:$D$214,MATCH(1,(C408=기계코드!$F$4:$F$214)*1,0))</f>
        <v>M_TDIF04</v>
      </c>
      <c r="E408" s="92" t="s">
        <v>1128</v>
      </c>
      <c r="F408" s="7" t="str" cm="1">
        <f t="array" ref="F408">INDEX(공급업체코드!$B$3:$B$1000,MATCH(1,(E408=공급업체코드!$D$3:$D$1000)*1,0))</f>
        <v>VM_BKT</v>
      </c>
      <c r="G408" s="18" t="s">
        <v>1881</v>
      </c>
      <c r="H408" s="64"/>
      <c r="I408" s="64"/>
      <c r="J408" s="64"/>
      <c r="K408" s="300">
        <v>1.1000000000000001</v>
      </c>
      <c r="L408" s="300">
        <v>1.3</v>
      </c>
      <c r="M408" s="64">
        <v>365</v>
      </c>
      <c r="N408" s="64"/>
      <c r="O408" s="64"/>
      <c r="P408" s="64"/>
      <c r="Q408" s="64"/>
      <c r="R408" s="70"/>
      <c r="T408" s="64"/>
      <c r="X408">
        <v>0.123</v>
      </c>
      <c r="Y408" s="258" t="s">
        <v>1313</v>
      </c>
      <c r="AA408" s="259" t="s">
        <v>1314</v>
      </c>
      <c r="AB408" s="20" t="s">
        <v>1061</v>
      </c>
      <c r="AC408">
        <f t="shared" si="11"/>
        <v>1825000000</v>
      </c>
      <c r="AE408" s="18" t="s">
        <v>1315</v>
      </c>
      <c r="AF408" s="1" t="b">
        <v>1</v>
      </c>
    </row>
    <row r="409" spans="2:32" ht="16.5" customHeight="1">
      <c r="B409" s="1" t="str">
        <f t="shared" si="10"/>
        <v>M_TDIF04_VM_BKT_1.3_366</v>
      </c>
      <c r="C409" s="92" t="s">
        <v>700</v>
      </c>
      <c r="D409" s="92" t="str" cm="1">
        <f t="array" ref="D409">INDEX(기계코드!$D$4:$D$214,MATCH(1,(C409=기계코드!$F$4:$F$214)*1,0))</f>
        <v>M_TDIF04</v>
      </c>
      <c r="E409" s="92" t="s">
        <v>1128</v>
      </c>
      <c r="F409" s="7" t="str" cm="1">
        <f t="array" ref="F409">INDEX(공급업체코드!$B$3:$B$1000,MATCH(1,(E409=공급업체코드!$D$3:$D$1000)*1,0))</f>
        <v>VM_BKT</v>
      </c>
      <c r="G409" s="18" t="s">
        <v>1881</v>
      </c>
      <c r="H409" s="64"/>
      <c r="I409" s="64"/>
      <c r="J409" s="64"/>
      <c r="K409" s="300">
        <v>1.1000000000000001</v>
      </c>
      <c r="L409" s="300">
        <v>1.3</v>
      </c>
      <c r="M409" s="64">
        <v>366</v>
      </c>
      <c r="N409" s="64"/>
      <c r="O409" s="64"/>
      <c r="P409" s="64"/>
      <c r="Q409" s="64"/>
      <c r="R409" s="70"/>
      <c r="T409" s="64"/>
      <c r="X409">
        <v>0.123</v>
      </c>
      <c r="Y409" s="258" t="s">
        <v>1313</v>
      </c>
      <c r="AA409" s="259" t="s">
        <v>1314</v>
      </c>
      <c r="AB409" s="20" t="s">
        <v>1061</v>
      </c>
      <c r="AC409">
        <f t="shared" si="11"/>
        <v>1830000000</v>
      </c>
      <c r="AE409" s="18" t="s">
        <v>1315</v>
      </c>
      <c r="AF409" s="1" t="b">
        <v>1</v>
      </c>
    </row>
    <row r="410" spans="2:32" ht="16.5" customHeight="1">
      <c r="B410" s="1" t="str">
        <f t="shared" si="10"/>
        <v>M_TDIF04_VM_BKT_1.3_367</v>
      </c>
      <c r="C410" s="92" t="s">
        <v>700</v>
      </c>
      <c r="D410" s="92" t="str" cm="1">
        <f t="array" ref="D410">INDEX(기계코드!$D$4:$D$214,MATCH(1,(C410=기계코드!$F$4:$F$214)*1,0))</f>
        <v>M_TDIF04</v>
      </c>
      <c r="E410" s="92" t="s">
        <v>1128</v>
      </c>
      <c r="F410" s="7" t="str" cm="1">
        <f t="array" ref="F410">INDEX(공급업체코드!$B$3:$B$1000,MATCH(1,(E410=공급업체코드!$D$3:$D$1000)*1,0))</f>
        <v>VM_BKT</v>
      </c>
      <c r="G410" s="18" t="s">
        <v>1881</v>
      </c>
      <c r="H410" s="64"/>
      <c r="I410" s="64"/>
      <c r="J410" s="64"/>
      <c r="K410" s="300">
        <v>1.1000000000000001</v>
      </c>
      <c r="L410" s="300">
        <v>1.3</v>
      </c>
      <c r="M410" s="64">
        <v>367</v>
      </c>
      <c r="N410" s="64"/>
      <c r="O410" s="64"/>
      <c r="P410" s="64"/>
      <c r="Q410" s="64"/>
      <c r="R410" s="70"/>
      <c r="T410" s="64"/>
      <c r="X410">
        <v>0.123</v>
      </c>
      <c r="Y410" s="258" t="s">
        <v>1313</v>
      </c>
      <c r="AA410" s="259" t="s">
        <v>1314</v>
      </c>
      <c r="AB410" s="20" t="s">
        <v>1061</v>
      </c>
      <c r="AC410">
        <f t="shared" si="11"/>
        <v>1835000000</v>
      </c>
      <c r="AE410" s="18" t="s">
        <v>1315</v>
      </c>
      <c r="AF410" s="1" t="b">
        <v>1</v>
      </c>
    </row>
    <row r="411" spans="2:32" ht="16.5" customHeight="1">
      <c r="B411" s="1" t="str">
        <f t="shared" si="10"/>
        <v>M_TDIF04_VM_BKT_1.3_368</v>
      </c>
      <c r="C411" s="92" t="s">
        <v>700</v>
      </c>
      <c r="D411" s="92" t="str" cm="1">
        <f t="array" ref="D411">INDEX(기계코드!$D$4:$D$214,MATCH(1,(C411=기계코드!$F$4:$F$214)*1,0))</f>
        <v>M_TDIF04</v>
      </c>
      <c r="E411" s="92" t="s">
        <v>1128</v>
      </c>
      <c r="F411" s="7" t="str" cm="1">
        <f t="array" ref="F411">INDEX(공급업체코드!$B$3:$B$1000,MATCH(1,(E411=공급업체코드!$D$3:$D$1000)*1,0))</f>
        <v>VM_BKT</v>
      </c>
      <c r="G411" s="18" t="s">
        <v>1881</v>
      </c>
      <c r="H411" s="64"/>
      <c r="I411" s="64"/>
      <c r="J411" s="64"/>
      <c r="K411" s="300">
        <v>1.1000000000000001</v>
      </c>
      <c r="L411" s="300">
        <v>1.3</v>
      </c>
      <c r="M411" s="64">
        <v>368</v>
      </c>
      <c r="N411" s="64"/>
      <c r="O411" s="64"/>
      <c r="P411" s="64"/>
      <c r="Q411" s="64"/>
      <c r="R411" s="70"/>
      <c r="T411" s="64"/>
      <c r="X411">
        <v>0.123</v>
      </c>
      <c r="Y411" s="258" t="s">
        <v>1313</v>
      </c>
      <c r="AA411" s="259" t="s">
        <v>1314</v>
      </c>
      <c r="AB411" s="20" t="s">
        <v>1061</v>
      </c>
      <c r="AC411">
        <f t="shared" si="11"/>
        <v>1840000000</v>
      </c>
      <c r="AE411" s="18" t="s">
        <v>1315</v>
      </c>
      <c r="AF411" s="1" t="b">
        <v>1</v>
      </c>
    </row>
    <row r="412" spans="2:32" ht="16.5" customHeight="1">
      <c r="B412" s="1" t="str">
        <f t="shared" si="10"/>
        <v>M_TDIF04_VM_BKT_1.3_369</v>
      </c>
      <c r="C412" s="92" t="s">
        <v>700</v>
      </c>
      <c r="D412" s="92" t="str" cm="1">
        <f t="array" ref="D412">INDEX(기계코드!$D$4:$D$214,MATCH(1,(C412=기계코드!$F$4:$F$214)*1,0))</f>
        <v>M_TDIF04</v>
      </c>
      <c r="E412" s="92" t="s">
        <v>1128</v>
      </c>
      <c r="F412" s="7" t="str" cm="1">
        <f t="array" ref="F412">INDEX(공급업체코드!$B$3:$B$1000,MATCH(1,(E412=공급업체코드!$D$3:$D$1000)*1,0))</f>
        <v>VM_BKT</v>
      </c>
      <c r="G412" s="18" t="s">
        <v>1881</v>
      </c>
      <c r="H412" s="64"/>
      <c r="I412" s="64"/>
      <c r="J412" s="64"/>
      <c r="K412" s="300">
        <v>1.1000000000000001</v>
      </c>
      <c r="L412" s="300">
        <v>1.3</v>
      </c>
      <c r="M412" s="64">
        <v>369</v>
      </c>
      <c r="N412" s="64"/>
      <c r="O412" s="64"/>
      <c r="P412" s="64"/>
      <c r="Q412" s="64"/>
      <c r="R412" s="70"/>
      <c r="T412" s="64"/>
      <c r="X412">
        <v>0.123</v>
      </c>
      <c r="Y412" s="258" t="s">
        <v>1313</v>
      </c>
      <c r="AA412" s="259" t="s">
        <v>1314</v>
      </c>
      <c r="AB412" s="20" t="s">
        <v>1061</v>
      </c>
      <c r="AC412">
        <f t="shared" si="11"/>
        <v>1845000000</v>
      </c>
      <c r="AE412" s="18" t="s">
        <v>1315</v>
      </c>
      <c r="AF412" s="1" t="b">
        <v>1</v>
      </c>
    </row>
    <row r="413" spans="2:32" ht="16.5" customHeight="1">
      <c r="B413" s="1" t="str">
        <f t="shared" si="10"/>
        <v>M_TDIF04_VM_BKT_1.3_370</v>
      </c>
      <c r="C413" s="92" t="s">
        <v>700</v>
      </c>
      <c r="D413" s="92" t="str" cm="1">
        <f t="array" ref="D413">INDEX(기계코드!$D$4:$D$214,MATCH(1,(C413=기계코드!$F$4:$F$214)*1,0))</f>
        <v>M_TDIF04</v>
      </c>
      <c r="E413" s="92" t="s">
        <v>1128</v>
      </c>
      <c r="F413" s="7" t="str" cm="1">
        <f t="array" ref="F413">INDEX(공급업체코드!$B$3:$B$1000,MATCH(1,(E413=공급업체코드!$D$3:$D$1000)*1,0))</f>
        <v>VM_BKT</v>
      </c>
      <c r="G413" s="18" t="s">
        <v>1881</v>
      </c>
      <c r="H413" s="64"/>
      <c r="I413" s="64"/>
      <c r="J413" s="64"/>
      <c r="K413" s="300">
        <v>1.1000000000000001</v>
      </c>
      <c r="L413" s="300">
        <v>1.3</v>
      </c>
      <c r="M413" s="64">
        <v>370</v>
      </c>
      <c r="N413" s="64"/>
      <c r="O413" s="64"/>
      <c r="P413" s="64"/>
      <c r="Q413" s="64"/>
      <c r="R413" s="70"/>
      <c r="T413" s="64"/>
      <c r="X413">
        <v>0.123</v>
      </c>
      <c r="Y413" s="258" t="s">
        <v>1313</v>
      </c>
      <c r="AA413" s="259" t="s">
        <v>1314</v>
      </c>
      <c r="AB413" s="20" t="s">
        <v>1061</v>
      </c>
      <c r="AC413">
        <f t="shared" si="11"/>
        <v>1850000000</v>
      </c>
      <c r="AE413" s="18" t="s">
        <v>1315</v>
      </c>
      <c r="AF413" s="1" t="b">
        <v>1</v>
      </c>
    </row>
    <row r="414" spans="2:32" ht="16.5" customHeight="1">
      <c r="B414" s="1" t="str">
        <f t="shared" si="10"/>
        <v>M_TDIF04_VM_BKT_1.3_371</v>
      </c>
      <c r="C414" s="92" t="s">
        <v>700</v>
      </c>
      <c r="D414" s="92" t="str" cm="1">
        <f t="array" ref="D414">INDEX(기계코드!$D$4:$D$214,MATCH(1,(C414=기계코드!$F$4:$F$214)*1,0))</f>
        <v>M_TDIF04</v>
      </c>
      <c r="E414" s="92" t="s">
        <v>1128</v>
      </c>
      <c r="F414" s="7" t="str" cm="1">
        <f t="array" ref="F414">INDEX(공급업체코드!$B$3:$B$1000,MATCH(1,(E414=공급업체코드!$D$3:$D$1000)*1,0))</f>
        <v>VM_BKT</v>
      </c>
      <c r="G414" s="18" t="s">
        <v>1881</v>
      </c>
      <c r="H414" s="64"/>
      <c r="I414" s="64"/>
      <c r="J414" s="64"/>
      <c r="K414" s="300">
        <v>1.1000000000000001</v>
      </c>
      <c r="L414" s="300">
        <v>1.3</v>
      </c>
      <c r="M414" s="64">
        <v>371</v>
      </c>
      <c r="N414" s="64"/>
      <c r="O414" s="64"/>
      <c r="P414" s="64"/>
      <c r="Q414" s="64"/>
      <c r="R414" s="70"/>
      <c r="T414" s="64"/>
      <c r="X414">
        <v>0.123</v>
      </c>
      <c r="Y414" s="258" t="s">
        <v>1313</v>
      </c>
      <c r="AA414" s="259" t="s">
        <v>1314</v>
      </c>
      <c r="AB414" s="20" t="s">
        <v>1061</v>
      </c>
      <c r="AC414">
        <f t="shared" si="11"/>
        <v>1855000000</v>
      </c>
      <c r="AE414" s="18" t="s">
        <v>1315</v>
      </c>
      <c r="AF414" s="1" t="b">
        <v>1</v>
      </c>
    </row>
    <row r="415" spans="2:32" ht="16.5" customHeight="1">
      <c r="B415" s="1" t="str">
        <f t="shared" si="10"/>
        <v>M_TDIF04_VM_BKT_1.3_372</v>
      </c>
      <c r="C415" s="92" t="s">
        <v>700</v>
      </c>
      <c r="D415" s="92" t="str" cm="1">
        <f t="array" ref="D415">INDEX(기계코드!$D$4:$D$214,MATCH(1,(C415=기계코드!$F$4:$F$214)*1,0))</f>
        <v>M_TDIF04</v>
      </c>
      <c r="E415" s="92" t="s">
        <v>1128</v>
      </c>
      <c r="F415" s="7" t="str" cm="1">
        <f t="array" ref="F415">INDEX(공급업체코드!$B$3:$B$1000,MATCH(1,(E415=공급업체코드!$D$3:$D$1000)*1,0))</f>
        <v>VM_BKT</v>
      </c>
      <c r="G415" s="18" t="s">
        <v>1881</v>
      </c>
      <c r="H415" s="64"/>
      <c r="I415" s="64"/>
      <c r="J415" s="64"/>
      <c r="K415" s="300">
        <v>1.1000000000000001</v>
      </c>
      <c r="L415" s="300">
        <v>1.3</v>
      </c>
      <c r="M415" s="64">
        <v>372</v>
      </c>
      <c r="N415" s="64"/>
      <c r="O415" s="64"/>
      <c r="P415" s="64"/>
      <c r="Q415" s="64"/>
      <c r="R415" s="70"/>
      <c r="T415" s="64"/>
      <c r="X415">
        <v>0.123</v>
      </c>
      <c r="Y415" s="258" t="s">
        <v>1313</v>
      </c>
      <c r="AA415" s="259" t="s">
        <v>1314</v>
      </c>
      <c r="AB415" s="20" t="s">
        <v>1061</v>
      </c>
      <c r="AC415">
        <f t="shared" si="11"/>
        <v>1860000000</v>
      </c>
      <c r="AE415" s="18" t="s">
        <v>1315</v>
      </c>
      <c r="AF415" s="1" t="b">
        <v>1</v>
      </c>
    </row>
    <row r="416" spans="2:32" ht="16.5" customHeight="1">
      <c r="B416" s="1" t="str">
        <f t="shared" si="10"/>
        <v>M_TDIF04_VM_BKT_1.3_373</v>
      </c>
      <c r="C416" s="92" t="s">
        <v>700</v>
      </c>
      <c r="D416" s="92" t="str" cm="1">
        <f t="array" ref="D416">INDEX(기계코드!$D$4:$D$214,MATCH(1,(C416=기계코드!$F$4:$F$214)*1,0))</f>
        <v>M_TDIF04</v>
      </c>
      <c r="E416" s="92" t="s">
        <v>1128</v>
      </c>
      <c r="F416" s="7" t="str" cm="1">
        <f t="array" ref="F416">INDEX(공급업체코드!$B$3:$B$1000,MATCH(1,(E416=공급업체코드!$D$3:$D$1000)*1,0))</f>
        <v>VM_BKT</v>
      </c>
      <c r="G416" s="18" t="s">
        <v>1881</v>
      </c>
      <c r="H416" s="64"/>
      <c r="I416" s="64"/>
      <c r="J416" s="64"/>
      <c r="K416" s="300">
        <v>1.1000000000000001</v>
      </c>
      <c r="L416" s="300">
        <v>1.3</v>
      </c>
      <c r="M416" s="64">
        <v>373</v>
      </c>
      <c r="N416" s="64"/>
      <c r="O416" s="64"/>
      <c r="P416" s="64"/>
      <c r="Q416" s="64"/>
      <c r="R416" s="70"/>
      <c r="T416" s="64"/>
      <c r="X416">
        <v>0.123</v>
      </c>
      <c r="Y416" s="258" t="s">
        <v>1313</v>
      </c>
      <c r="AA416" s="259" t="s">
        <v>1314</v>
      </c>
      <c r="AB416" s="20" t="s">
        <v>1061</v>
      </c>
      <c r="AC416">
        <f t="shared" si="11"/>
        <v>1865000000</v>
      </c>
      <c r="AE416" s="18" t="s">
        <v>1315</v>
      </c>
      <c r="AF416" s="1" t="b">
        <v>1</v>
      </c>
    </row>
    <row r="417" spans="2:32" ht="16.5" customHeight="1">
      <c r="B417" s="1" t="str">
        <f t="shared" si="10"/>
        <v>M_TDIF04_VM_BKT_1.3_374</v>
      </c>
      <c r="C417" s="92" t="s">
        <v>700</v>
      </c>
      <c r="D417" s="92" t="str" cm="1">
        <f t="array" ref="D417">INDEX(기계코드!$D$4:$D$214,MATCH(1,(C417=기계코드!$F$4:$F$214)*1,0))</f>
        <v>M_TDIF04</v>
      </c>
      <c r="E417" s="92" t="s">
        <v>1128</v>
      </c>
      <c r="F417" s="7" t="str" cm="1">
        <f t="array" ref="F417">INDEX(공급업체코드!$B$3:$B$1000,MATCH(1,(E417=공급업체코드!$D$3:$D$1000)*1,0))</f>
        <v>VM_BKT</v>
      </c>
      <c r="G417" s="18" t="s">
        <v>1881</v>
      </c>
      <c r="H417" s="64"/>
      <c r="I417" s="64"/>
      <c r="J417" s="64"/>
      <c r="K417" s="300">
        <v>1.1000000000000001</v>
      </c>
      <c r="L417" s="300">
        <v>1.3</v>
      </c>
      <c r="M417" s="64">
        <v>374</v>
      </c>
      <c r="N417" s="64"/>
      <c r="O417" s="64"/>
      <c r="P417" s="64"/>
      <c r="Q417" s="64"/>
      <c r="R417" s="70"/>
      <c r="T417" s="64"/>
      <c r="X417">
        <v>0.123</v>
      </c>
      <c r="Y417" s="258" t="s">
        <v>1313</v>
      </c>
      <c r="AA417" s="259" t="s">
        <v>1314</v>
      </c>
      <c r="AB417" s="20" t="s">
        <v>1061</v>
      </c>
      <c r="AC417">
        <f t="shared" si="11"/>
        <v>1870000000</v>
      </c>
      <c r="AE417" s="18" t="s">
        <v>1315</v>
      </c>
      <c r="AF417" s="1" t="b">
        <v>1</v>
      </c>
    </row>
    <row r="418" spans="2:32" ht="16.5" customHeight="1">
      <c r="B418" s="1" t="str">
        <f t="shared" si="10"/>
        <v>M_TDIF04_VM_BKT_1.3_375</v>
      </c>
      <c r="C418" s="92" t="s">
        <v>700</v>
      </c>
      <c r="D418" s="92" t="str" cm="1">
        <f t="array" ref="D418">INDEX(기계코드!$D$4:$D$214,MATCH(1,(C418=기계코드!$F$4:$F$214)*1,0))</f>
        <v>M_TDIF04</v>
      </c>
      <c r="E418" s="92" t="s">
        <v>1128</v>
      </c>
      <c r="F418" s="7" t="str" cm="1">
        <f t="array" ref="F418">INDEX(공급업체코드!$B$3:$B$1000,MATCH(1,(E418=공급업체코드!$D$3:$D$1000)*1,0))</f>
        <v>VM_BKT</v>
      </c>
      <c r="G418" s="18" t="s">
        <v>1881</v>
      </c>
      <c r="H418" s="64"/>
      <c r="I418" s="64"/>
      <c r="J418" s="64"/>
      <c r="K418" s="300">
        <v>1.1000000000000001</v>
      </c>
      <c r="L418" s="300">
        <v>1.3</v>
      </c>
      <c r="M418" s="64">
        <v>375</v>
      </c>
      <c r="N418" s="64"/>
      <c r="O418" s="64"/>
      <c r="P418" s="64"/>
      <c r="Q418" s="64"/>
      <c r="R418" s="70"/>
      <c r="T418" s="64"/>
      <c r="X418">
        <v>0.123</v>
      </c>
      <c r="Y418" s="258" t="s">
        <v>1313</v>
      </c>
      <c r="AA418" s="259" t="s">
        <v>1314</v>
      </c>
      <c r="AB418" s="20" t="s">
        <v>1061</v>
      </c>
      <c r="AC418">
        <f t="shared" si="11"/>
        <v>1875000000</v>
      </c>
      <c r="AE418" s="18" t="s">
        <v>1315</v>
      </c>
      <c r="AF418" s="1" t="b">
        <v>1</v>
      </c>
    </row>
    <row r="419" spans="2:32" ht="16.5" customHeight="1">
      <c r="B419" s="1" t="str">
        <f t="shared" si="10"/>
        <v>M_TDIF04_VM_BKT_1.3_376</v>
      </c>
      <c r="C419" s="92" t="s">
        <v>700</v>
      </c>
      <c r="D419" s="92" t="str" cm="1">
        <f t="array" ref="D419">INDEX(기계코드!$D$4:$D$214,MATCH(1,(C419=기계코드!$F$4:$F$214)*1,0))</f>
        <v>M_TDIF04</v>
      </c>
      <c r="E419" s="92" t="s">
        <v>1128</v>
      </c>
      <c r="F419" s="7" t="str" cm="1">
        <f t="array" ref="F419">INDEX(공급업체코드!$B$3:$B$1000,MATCH(1,(E419=공급업체코드!$D$3:$D$1000)*1,0))</f>
        <v>VM_BKT</v>
      </c>
      <c r="G419" s="18" t="s">
        <v>1881</v>
      </c>
      <c r="H419" s="64"/>
      <c r="I419" s="64"/>
      <c r="J419" s="64"/>
      <c r="K419" s="300">
        <v>1.1000000000000001</v>
      </c>
      <c r="L419" s="300">
        <v>1.3</v>
      </c>
      <c r="M419" s="64">
        <v>376</v>
      </c>
      <c r="N419" s="64"/>
      <c r="O419" s="64"/>
      <c r="P419" s="64"/>
      <c r="Q419" s="64"/>
      <c r="R419" s="70"/>
      <c r="T419" s="64"/>
      <c r="X419">
        <v>0.123</v>
      </c>
      <c r="Y419" s="258" t="s">
        <v>1313</v>
      </c>
      <c r="AA419" s="259" t="s">
        <v>1314</v>
      </c>
      <c r="AB419" s="20" t="s">
        <v>1061</v>
      </c>
      <c r="AC419">
        <f t="shared" si="11"/>
        <v>1880000000</v>
      </c>
      <c r="AE419" s="18" t="s">
        <v>1315</v>
      </c>
      <c r="AF419" s="1" t="b">
        <v>1</v>
      </c>
    </row>
    <row r="420" spans="2:32" ht="16.5" customHeight="1">
      <c r="B420" s="1" t="str">
        <f t="shared" si="10"/>
        <v>M_TDIF04_VM_BKT_1.3_377</v>
      </c>
      <c r="C420" s="92" t="s">
        <v>700</v>
      </c>
      <c r="D420" s="92" t="str" cm="1">
        <f t="array" ref="D420">INDEX(기계코드!$D$4:$D$214,MATCH(1,(C420=기계코드!$F$4:$F$214)*1,0))</f>
        <v>M_TDIF04</v>
      </c>
      <c r="E420" s="92" t="s">
        <v>1128</v>
      </c>
      <c r="F420" s="7" t="str" cm="1">
        <f t="array" ref="F420">INDEX(공급업체코드!$B$3:$B$1000,MATCH(1,(E420=공급업체코드!$D$3:$D$1000)*1,0))</f>
        <v>VM_BKT</v>
      </c>
      <c r="G420" s="18" t="s">
        <v>1881</v>
      </c>
      <c r="H420" s="64"/>
      <c r="I420" s="64"/>
      <c r="J420" s="64"/>
      <c r="K420" s="300">
        <v>1.1000000000000001</v>
      </c>
      <c r="L420" s="300">
        <v>1.3</v>
      </c>
      <c r="M420" s="64">
        <v>377</v>
      </c>
      <c r="N420" s="64"/>
      <c r="O420" s="64"/>
      <c r="P420" s="64"/>
      <c r="Q420" s="64"/>
      <c r="R420" s="70"/>
      <c r="T420" s="64"/>
      <c r="X420">
        <v>0.123</v>
      </c>
      <c r="Y420" s="258" t="s">
        <v>1313</v>
      </c>
      <c r="AA420" s="259" t="s">
        <v>1314</v>
      </c>
      <c r="AB420" s="20" t="s">
        <v>1061</v>
      </c>
      <c r="AC420">
        <f t="shared" si="11"/>
        <v>1885000000</v>
      </c>
      <c r="AE420" s="18" t="s">
        <v>1315</v>
      </c>
      <c r="AF420" s="1" t="b">
        <v>1</v>
      </c>
    </row>
    <row r="421" spans="2:32" ht="16.5" customHeight="1">
      <c r="B421" s="1" t="str">
        <f t="shared" si="10"/>
        <v>M_TDIF04_VM_BKT_1.3_378</v>
      </c>
      <c r="C421" s="92" t="s">
        <v>700</v>
      </c>
      <c r="D421" s="92" t="str" cm="1">
        <f t="array" ref="D421">INDEX(기계코드!$D$4:$D$214,MATCH(1,(C421=기계코드!$F$4:$F$214)*1,0))</f>
        <v>M_TDIF04</v>
      </c>
      <c r="E421" s="92" t="s">
        <v>1128</v>
      </c>
      <c r="F421" s="7" t="str" cm="1">
        <f t="array" ref="F421">INDEX(공급업체코드!$B$3:$B$1000,MATCH(1,(E421=공급업체코드!$D$3:$D$1000)*1,0))</f>
        <v>VM_BKT</v>
      </c>
      <c r="G421" s="18" t="s">
        <v>1881</v>
      </c>
      <c r="H421" s="64"/>
      <c r="I421" s="64"/>
      <c r="J421" s="64"/>
      <c r="K421" s="300">
        <v>1.1000000000000001</v>
      </c>
      <c r="L421" s="300">
        <v>1.3</v>
      </c>
      <c r="M421" s="64">
        <v>378</v>
      </c>
      <c r="N421" s="64"/>
      <c r="O421" s="64"/>
      <c r="P421" s="64"/>
      <c r="Q421" s="64"/>
      <c r="R421" s="70"/>
      <c r="T421" s="64"/>
      <c r="X421">
        <v>0.123</v>
      </c>
      <c r="Y421" s="258" t="s">
        <v>1313</v>
      </c>
      <c r="AA421" s="259" t="s">
        <v>1314</v>
      </c>
      <c r="AB421" s="20" t="s">
        <v>1061</v>
      </c>
      <c r="AC421">
        <f t="shared" si="11"/>
        <v>1890000000</v>
      </c>
      <c r="AE421" s="18" t="s">
        <v>1315</v>
      </c>
      <c r="AF421" s="1" t="b">
        <v>1</v>
      </c>
    </row>
    <row r="422" spans="2:32" ht="16.5" customHeight="1">
      <c r="B422" s="1" t="str">
        <f t="shared" si="10"/>
        <v>M_TDIF04_VM_BKT_1.3_379</v>
      </c>
      <c r="C422" s="92" t="s">
        <v>700</v>
      </c>
      <c r="D422" s="92" t="str" cm="1">
        <f t="array" ref="D422">INDEX(기계코드!$D$4:$D$214,MATCH(1,(C422=기계코드!$F$4:$F$214)*1,0))</f>
        <v>M_TDIF04</v>
      </c>
      <c r="E422" s="92" t="s">
        <v>1128</v>
      </c>
      <c r="F422" s="7" t="str" cm="1">
        <f t="array" ref="F422">INDEX(공급업체코드!$B$3:$B$1000,MATCH(1,(E422=공급업체코드!$D$3:$D$1000)*1,0))</f>
        <v>VM_BKT</v>
      </c>
      <c r="G422" s="18" t="s">
        <v>1881</v>
      </c>
      <c r="H422" s="64"/>
      <c r="I422" s="64"/>
      <c r="J422" s="64"/>
      <c r="K422" s="300">
        <v>1.1000000000000001</v>
      </c>
      <c r="L422" s="300">
        <v>1.3</v>
      </c>
      <c r="M422" s="64">
        <v>379</v>
      </c>
      <c r="N422" s="64"/>
      <c r="O422" s="64"/>
      <c r="P422" s="64"/>
      <c r="Q422" s="64"/>
      <c r="R422" s="70"/>
      <c r="T422" s="64"/>
      <c r="X422">
        <v>0.123</v>
      </c>
      <c r="Y422" s="258" t="s">
        <v>1313</v>
      </c>
      <c r="AA422" s="259" t="s">
        <v>1314</v>
      </c>
      <c r="AB422" s="20" t="s">
        <v>1061</v>
      </c>
      <c r="AC422">
        <f t="shared" si="11"/>
        <v>1895000000</v>
      </c>
      <c r="AE422" s="18" t="s">
        <v>1315</v>
      </c>
      <c r="AF422" s="1" t="b">
        <v>1</v>
      </c>
    </row>
    <row r="423" spans="2:32" ht="16.5" customHeight="1">
      <c r="B423" s="1" t="str">
        <f t="shared" si="10"/>
        <v>M_TDIF04_VM_BKT_1.3_380</v>
      </c>
      <c r="C423" s="92" t="s">
        <v>700</v>
      </c>
      <c r="D423" s="92" t="str" cm="1">
        <f t="array" ref="D423">INDEX(기계코드!$D$4:$D$214,MATCH(1,(C423=기계코드!$F$4:$F$214)*1,0))</f>
        <v>M_TDIF04</v>
      </c>
      <c r="E423" s="92" t="s">
        <v>1128</v>
      </c>
      <c r="F423" s="7" t="str" cm="1">
        <f t="array" ref="F423">INDEX(공급업체코드!$B$3:$B$1000,MATCH(1,(E423=공급업체코드!$D$3:$D$1000)*1,0))</f>
        <v>VM_BKT</v>
      </c>
      <c r="G423" s="18" t="s">
        <v>1881</v>
      </c>
      <c r="H423" s="64"/>
      <c r="I423" s="64"/>
      <c r="J423" s="64"/>
      <c r="K423" s="300">
        <v>1.1000000000000001</v>
      </c>
      <c r="L423" s="300">
        <v>1.3</v>
      </c>
      <c r="M423" s="64">
        <v>380</v>
      </c>
      <c r="N423" s="64"/>
      <c r="O423" s="64"/>
      <c r="P423" s="64"/>
      <c r="Q423" s="64"/>
      <c r="R423" s="70"/>
      <c r="T423" s="64"/>
      <c r="X423">
        <v>0.123</v>
      </c>
      <c r="Y423" s="258" t="s">
        <v>1313</v>
      </c>
      <c r="AA423" s="259" t="s">
        <v>1314</v>
      </c>
      <c r="AB423" s="20" t="s">
        <v>1061</v>
      </c>
      <c r="AC423">
        <f t="shared" si="11"/>
        <v>1900000000</v>
      </c>
      <c r="AE423" s="18" t="s">
        <v>1315</v>
      </c>
      <c r="AF423" s="1" t="b">
        <v>1</v>
      </c>
    </row>
    <row r="424" spans="2:32" ht="16.5" customHeight="1">
      <c r="B424" s="1" t="str">
        <f t="shared" si="10"/>
        <v>M_TDIF04_VM_BKT_1.3_381</v>
      </c>
      <c r="C424" s="92" t="s">
        <v>700</v>
      </c>
      <c r="D424" s="92" t="str" cm="1">
        <f t="array" ref="D424">INDEX(기계코드!$D$4:$D$214,MATCH(1,(C424=기계코드!$F$4:$F$214)*1,0))</f>
        <v>M_TDIF04</v>
      </c>
      <c r="E424" s="92" t="s">
        <v>1128</v>
      </c>
      <c r="F424" s="7" t="str" cm="1">
        <f t="array" ref="F424">INDEX(공급업체코드!$B$3:$B$1000,MATCH(1,(E424=공급업체코드!$D$3:$D$1000)*1,0))</f>
        <v>VM_BKT</v>
      </c>
      <c r="G424" s="18" t="s">
        <v>1881</v>
      </c>
      <c r="H424" s="64"/>
      <c r="I424" s="64"/>
      <c r="J424" s="64"/>
      <c r="K424" s="300">
        <v>1.1000000000000001</v>
      </c>
      <c r="L424" s="300">
        <v>1.3</v>
      </c>
      <c r="M424" s="64">
        <v>381</v>
      </c>
      <c r="N424" s="64"/>
      <c r="O424" s="64"/>
      <c r="P424" s="64"/>
      <c r="Q424" s="64"/>
      <c r="R424" s="70"/>
      <c r="T424" s="64"/>
      <c r="X424">
        <v>0.123</v>
      </c>
      <c r="Y424" s="258" t="s">
        <v>1313</v>
      </c>
      <c r="AA424" s="259" t="s">
        <v>1314</v>
      </c>
      <c r="AB424" s="20" t="s">
        <v>1061</v>
      </c>
      <c r="AC424">
        <f t="shared" si="11"/>
        <v>1905000000</v>
      </c>
      <c r="AE424" s="18" t="s">
        <v>1315</v>
      </c>
      <c r="AF424" s="1" t="b">
        <v>1</v>
      </c>
    </row>
    <row r="425" spans="2:32" ht="16.5" customHeight="1">
      <c r="B425" s="1" t="str">
        <f t="shared" si="10"/>
        <v>M_TDIF04_VM_BKT_1.3_382</v>
      </c>
      <c r="C425" s="92" t="s">
        <v>700</v>
      </c>
      <c r="D425" s="92" t="str" cm="1">
        <f t="array" ref="D425">INDEX(기계코드!$D$4:$D$214,MATCH(1,(C425=기계코드!$F$4:$F$214)*1,0))</f>
        <v>M_TDIF04</v>
      </c>
      <c r="E425" s="92" t="s">
        <v>1128</v>
      </c>
      <c r="F425" s="7" t="str" cm="1">
        <f t="array" ref="F425">INDEX(공급업체코드!$B$3:$B$1000,MATCH(1,(E425=공급업체코드!$D$3:$D$1000)*1,0))</f>
        <v>VM_BKT</v>
      </c>
      <c r="G425" s="18" t="s">
        <v>1881</v>
      </c>
      <c r="H425" s="64"/>
      <c r="I425" s="64"/>
      <c r="J425" s="64"/>
      <c r="K425" s="300">
        <v>1.1000000000000001</v>
      </c>
      <c r="L425" s="300">
        <v>1.3</v>
      </c>
      <c r="M425" s="64">
        <v>382</v>
      </c>
      <c r="N425" s="64"/>
      <c r="O425" s="64"/>
      <c r="P425" s="64"/>
      <c r="Q425" s="64"/>
      <c r="R425" s="70"/>
      <c r="T425" s="64"/>
      <c r="X425">
        <v>0.123</v>
      </c>
      <c r="Y425" s="258" t="s">
        <v>1313</v>
      </c>
      <c r="AA425" s="259" t="s">
        <v>1314</v>
      </c>
      <c r="AB425" s="20" t="s">
        <v>1061</v>
      </c>
      <c r="AC425">
        <f t="shared" si="11"/>
        <v>1910000000</v>
      </c>
      <c r="AE425" s="18" t="s">
        <v>1315</v>
      </c>
      <c r="AF425" s="1" t="b">
        <v>1</v>
      </c>
    </row>
    <row r="426" spans="2:32" ht="16.5" customHeight="1">
      <c r="B426" s="1" t="str">
        <f t="shared" si="10"/>
        <v>M_TDIF04_VM_BKT_1.3_383</v>
      </c>
      <c r="C426" s="92" t="s">
        <v>700</v>
      </c>
      <c r="D426" s="92" t="str" cm="1">
        <f t="array" ref="D426">INDEX(기계코드!$D$4:$D$214,MATCH(1,(C426=기계코드!$F$4:$F$214)*1,0))</f>
        <v>M_TDIF04</v>
      </c>
      <c r="E426" s="92" t="s">
        <v>1128</v>
      </c>
      <c r="F426" s="7" t="str" cm="1">
        <f t="array" ref="F426">INDEX(공급업체코드!$B$3:$B$1000,MATCH(1,(E426=공급업체코드!$D$3:$D$1000)*1,0))</f>
        <v>VM_BKT</v>
      </c>
      <c r="G426" s="18" t="s">
        <v>1881</v>
      </c>
      <c r="H426" s="64"/>
      <c r="I426" s="64"/>
      <c r="J426" s="64"/>
      <c r="K426" s="300">
        <v>1.1000000000000001</v>
      </c>
      <c r="L426" s="300">
        <v>1.3</v>
      </c>
      <c r="M426" s="64">
        <v>383</v>
      </c>
      <c r="N426" s="64"/>
      <c r="O426" s="64"/>
      <c r="P426" s="64"/>
      <c r="Q426" s="64"/>
      <c r="R426" s="70"/>
      <c r="T426" s="64"/>
      <c r="X426">
        <v>0.123</v>
      </c>
      <c r="Y426" s="258" t="s">
        <v>1313</v>
      </c>
      <c r="AA426" s="259" t="s">
        <v>1314</v>
      </c>
      <c r="AB426" s="20" t="s">
        <v>1061</v>
      </c>
      <c r="AC426">
        <f t="shared" si="11"/>
        <v>1915000000</v>
      </c>
      <c r="AE426" s="18" t="s">
        <v>1315</v>
      </c>
      <c r="AF426" s="1" t="b">
        <v>1</v>
      </c>
    </row>
    <row r="427" spans="2:32" ht="16.5" customHeight="1">
      <c r="B427" s="1" t="str">
        <f t="shared" si="10"/>
        <v>M_TDIF04_VM_BKT_1.3_384</v>
      </c>
      <c r="C427" s="92" t="s">
        <v>700</v>
      </c>
      <c r="D427" s="92" t="str" cm="1">
        <f t="array" ref="D427">INDEX(기계코드!$D$4:$D$214,MATCH(1,(C427=기계코드!$F$4:$F$214)*1,0))</f>
        <v>M_TDIF04</v>
      </c>
      <c r="E427" s="92" t="s">
        <v>1128</v>
      </c>
      <c r="F427" s="7" t="str" cm="1">
        <f t="array" ref="F427">INDEX(공급업체코드!$B$3:$B$1000,MATCH(1,(E427=공급업체코드!$D$3:$D$1000)*1,0))</f>
        <v>VM_BKT</v>
      </c>
      <c r="G427" s="18" t="s">
        <v>1881</v>
      </c>
      <c r="H427" s="64"/>
      <c r="I427" s="64"/>
      <c r="J427" s="64"/>
      <c r="K427" s="300">
        <v>1.1000000000000001</v>
      </c>
      <c r="L427" s="300">
        <v>1.3</v>
      </c>
      <c r="M427" s="64">
        <v>384</v>
      </c>
      <c r="N427" s="64"/>
      <c r="O427" s="64"/>
      <c r="P427" s="64"/>
      <c r="Q427" s="64"/>
      <c r="R427" s="70"/>
      <c r="T427" s="64"/>
      <c r="X427">
        <v>0.123</v>
      </c>
      <c r="Y427" s="258" t="s">
        <v>1313</v>
      </c>
      <c r="AA427" s="259" t="s">
        <v>1314</v>
      </c>
      <c r="AB427" s="20" t="s">
        <v>1061</v>
      </c>
      <c r="AC427">
        <f t="shared" si="11"/>
        <v>1920000000</v>
      </c>
      <c r="AE427" s="18" t="s">
        <v>1315</v>
      </c>
      <c r="AF427" s="1" t="b">
        <v>1</v>
      </c>
    </row>
    <row r="428" spans="2:32" ht="16.5" customHeight="1">
      <c r="B428" s="1" t="str">
        <f t="shared" si="10"/>
        <v>M_TDIF04_VM_BKT_1.3_385</v>
      </c>
      <c r="C428" s="92" t="s">
        <v>700</v>
      </c>
      <c r="D428" s="92" t="str" cm="1">
        <f t="array" ref="D428">INDEX(기계코드!$D$4:$D$214,MATCH(1,(C428=기계코드!$F$4:$F$214)*1,0))</f>
        <v>M_TDIF04</v>
      </c>
      <c r="E428" s="92" t="s">
        <v>1128</v>
      </c>
      <c r="F428" s="7" t="str" cm="1">
        <f t="array" ref="F428">INDEX(공급업체코드!$B$3:$B$1000,MATCH(1,(E428=공급업체코드!$D$3:$D$1000)*1,0))</f>
        <v>VM_BKT</v>
      </c>
      <c r="G428" s="18" t="s">
        <v>1881</v>
      </c>
      <c r="H428" s="64"/>
      <c r="I428" s="64"/>
      <c r="J428" s="64"/>
      <c r="K428" s="300">
        <v>1.1000000000000001</v>
      </c>
      <c r="L428" s="300">
        <v>1.3</v>
      </c>
      <c r="M428" s="64">
        <v>385</v>
      </c>
      <c r="N428" s="64"/>
      <c r="O428" s="64"/>
      <c r="P428" s="64"/>
      <c r="Q428" s="64"/>
      <c r="R428" s="70"/>
      <c r="T428" s="64"/>
      <c r="X428">
        <v>0.123</v>
      </c>
      <c r="Y428" s="258" t="s">
        <v>1313</v>
      </c>
      <c r="AA428" s="259" t="s">
        <v>1314</v>
      </c>
      <c r="AB428" s="20" t="s">
        <v>1061</v>
      </c>
      <c r="AC428">
        <f t="shared" si="11"/>
        <v>1925000000</v>
      </c>
      <c r="AE428" s="18" t="s">
        <v>1315</v>
      </c>
      <c r="AF428" s="1" t="b">
        <v>1</v>
      </c>
    </row>
    <row r="429" spans="2:32" ht="16.5" customHeight="1">
      <c r="B429" s="1" t="str">
        <f t="shared" ref="B429:B492" si="12">D429&amp;"_"&amp;F429&amp;"_"&amp;L429&amp;"_"&amp;M429</f>
        <v>M_TDIF04_VM_BKT_1.3_386</v>
      </c>
      <c r="C429" s="92" t="s">
        <v>700</v>
      </c>
      <c r="D429" s="92" t="str" cm="1">
        <f t="array" ref="D429">INDEX(기계코드!$D$4:$D$214,MATCH(1,(C429=기계코드!$F$4:$F$214)*1,0))</f>
        <v>M_TDIF04</v>
      </c>
      <c r="E429" s="92" t="s">
        <v>1128</v>
      </c>
      <c r="F429" s="7" t="str" cm="1">
        <f t="array" ref="F429">INDEX(공급업체코드!$B$3:$B$1000,MATCH(1,(E429=공급업체코드!$D$3:$D$1000)*1,0))</f>
        <v>VM_BKT</v>
      </c>
      <c r="G429" s="18" t="s">
        <v>1881</v>
      </c>
      <c r="H429" s="64"/>
      <c r="I429" s="64"/>
      <c r="J429" s="64"/>
      <c r="K429" s="300">
        <v>1.1000000000000001</v>
      </c>
      <c r="L429" s="300">
        <v>1.3</v>
      </c>
      <c r="M429" s="64">
        <v>386</v>
      </c>
      <c r="N429" s="64"/>
      <c r="O429" s="64"/>
      <c r="P429" s="64"/>
      <c r="Q429" s="64"/>
      <c r="R429" s="70"/>
      <c r="T429" s="64"/>
      <c r="X429">
        <v>0.123</v>
      </c>
      <c r="Y429" s="258" t="s">
        <v>1313</v>
      </c>
      <c r="AA429" s="259" t="s">
        <v>1314</v>
      </c>
      <c r="AB429" s="20" t="s">
        <v>1061</v>
      </c>
      <c r="AC429">
        <f t="shared" si="11"/>
        <v>1930000000</v>
      </c>
      <c r="AE429" s="18" t="s">
        <v>1315</v>
      </c>
      <c r="AF429" s="1" t="b">
        <v>1</v>
      </c>
    </row>
    <row r="430" spans="2:32" ht="16.5" customHeight="1">
      <c r="B430" s="1" t="str">
        <f t="shared" si="12"/>
        <v>M_TDIF04_VM_BKT_1.3_387</v>
      </c>
      <c r="C430" s="92" t="s">
        <v>700</v>
      </c>
      <c r="D430" s="92" t="str" cm="1">
        <f t="array" ref="D430">INDEX(기계코드!$D$4:$D$214,MATCH(1,(C430=기계코드!$F$4:$F$214)*1,0))</f>
        <v>M_TDIF04</v>
      </c>
      <c r="E430" s="92" t="s">
        <v>1128</v>
      </c>
      <c r="F430" s="7" t="str" cm="1">
        <f t="array" ref="F430">INDEX(공급업체코드!$B$3:$B$1000,MATCH(1,(E430=공급업체코드!$D$3:$D$1000)*1,0))</f>
        <v>VM_BKT</v>
      </c>
      <c r="G430" s="18" t="s">
        <v>1881</v>
      </c>
      <c r="H430" s="64"/>
      <c r="I430" s="64"/>
      <c r="J430" s="64"/>
      <c r="K430" s="300">
        <v>1.1000000000000001</v>
      </c>
      <c r="L430" s="300">
        <v>1.3</v>
      </c>
      <c r="M430" s="64">
        <v>387</v>
      </c>
      <c r="N430" s="64"/>
      <c r="O430" s="64"/>
      <c r="P430" s="64"/>
      <c r="Q430" s="64"/>
      <c r="R430" s="70"/>
      <c r="T430" s="64"/>
      <c r="X430">
        <v>0.123</v>
      </c>
      <c r="Y430" s="258" t="s">
        <v>1313</v>
      </c>
      <c r="AA430" s="259" t="s">
        <v>1314</v>
      </c>
      <c r="AB430" s="20" t="s">
        <v>1061</v>
      </c>
      <c r="AC430">
        <f t="shared" ref="AC430:AC493" si="13">M430*$AC$44</f>
        <v>1935000000</v>
      </c>
      <c r="AE430" s="18" t="s">
        <v>1315</v>
      </c>
      <c r="AF430" s="1" t="b">
        <v>1</v>
      </c>
    </row>
    <row r="431" spans="2:32" ht="16.5" customHeight="1">
      <c r="B431" s="1" t="str">
        <f t="shared" si="12"/>
        <v>M_TDIF04_VM_BKT_1.3_388</v>
      </c>
      <c r="C431" s="92" t="s">
        <v>700</v>
      </c>
      <c r="D431" s="92" t="str" cm="1">
        <f t="array" ref="D431">INDEX(기계코드!$D$4:$D$214,MATCH(1,(C431=기계코드!$F$4:$F$214)*1,0))</f>
        <v>M_TDIF04</v>
      </c>
      <c r="E431" s="92" t="s">
        <v>1128</v>
      </c>
      <c r="F431" s="7" t="str" cm="1">
        <f t="array" ref="F431">INDEX(공급업체코드!$B$3:$B$1000,MATCH(1,(E431=공급업체코드!$D$3:$D$1000)*1,0))</f>
        <v>VM_BKT</v>
      </c>
      <c r="G431" s="18" t="s">
        <v>1881</v>
      </c>
      <c r="H431" s="64"/>
      <c r="I431" s="64"/>
      <c r="J431" s="64"/>
      <c r="K431" s="300">
        <v>1.1000000000000001</v>
      </c>
      <c r="L431" s="300">
        <v>1.3</v>
      </c>
      <c r="M431" s="64">
        <v>388</v>
      </c>
      <c r="N431" s="64"/>
      <c r="O431" s="64"/>
      <c r="P431" s="64"/>
      <c r="Q431" s="64"/>
      <c r="R431" s="70"/>
      <c r="T431" s="64"/>
      <c r="X431">
        <v>0.123</v>
      </c>
      <c r="Y431" s="258" t="s">
        <v>1313</v>
      </c>
      <c r="AA431" s="259" t="s">
        <v>1314</v>
      </c>
      <c r="AB431" s="20" t="s">
        <v>1061</v>
      </c>
      <c r="AC431">
        <f t="shared" si="13"/>
        <v>1940000000</v>
      </c>
      <c r="AE431" s="18" t="s">
        <v>1315</v>
      </c>
      <c r="AF431" s="1" t="b">
        <v>1</v>
      </c>
    </row>
    <row r="432" spans="2:32" ht="16.5" customHeight="1">
      <c r="B432" s="1" t="str">
        <f t="shared" si="12"/>
        <v>M_TDIF04_VM_BKT_1.3_389</v>
      </c>
      <c r="C432" s="92" t="s">
        <v>700</v>
      </c>
      <c r="D432" s="92" t="str" cm="1">
        <f t="array" ref="D432">INDEX(기계코드!$D$4:$D$214,MATCH(1,(C432=기계코드!$F$4:$F$214)*1,0))</f>
        <v>M_TDIF04</v>
      </c>
      <c r="E432" s="92" t="s">
        <v>1128</v>
      </c>
      <c r="F432" s="7" t="str" cm="1">
        <f t="array" ref="F432">INDEX(공급업체코드!$B$3:$B$1000,MATCH(1,(E432=공급업체코드!$D$3:$D$1000)*1,0))</f>
        <v>VM_BKT</v>
      </c>
      <c r="G432" s="18" t="s">
        <v>1881</v>
      </c>
      <c r="H432" s="64"/>
      <c r="I432" s="64"/>
      <c r="J432" s="64"/>
      <c r="K432" s="300">
        <v>1.1000000000000001</v>
      </c>
      <c r="L432" s="300">
        <v>1.3</v>
      </c>
      <c r="M432" s="64">
        <v>389</v>
      </c>
      <c r="N432" s="64"/>
      <c r="O432" s="64"/>
      <c r="P432" s="64"/>
      <c r="Q432" s="64"/>
      <c r="R432" s="70"/>
      <c r="T432" s="64"/>
      <c r="X432">
        <v>0.123</v>
      </c>
      <c r="Y432" s="258" t="s">
        <v>1313</v>
      </c>
      <c r="AA432" s="259" t="s">
        <v>1314</v>
      </c>
      <c r="AB432" s="20" t="s">
        <v>1061</v>
      </c>
      <c r="AC432">
        <f t="shared" si="13"/>
        <v>1945000000</v>
      </c>
      <c r="AE432" s="18" t="s">
        <v>1315</v>
      </c>
      <c r="AF432" s="1" t="b">
        <v>1</v>
      </c>
    </row>
    <row r="433" spans="2:32" ht="16.5" customHeight="1">
      <c r="B433" s="1" t="str">
        <f t="shared" si="12"/>
        <v>M_TDIF04_VM_BKT_1.3_390</v>
      </c>
      <c r="C433" s="92" t="s">
        <v>700</v>
      </c>
      <c r="D433" s="92" t="str" cm="1">
        <f t="array" ref="D433">INDEX(기계코드!$D$4:$D$214,MATCH(1,(C433=기계코드!$F$4:$F$214)*1,0))</f>
        <v>M_TDIF04</v>
      </c>
      <c r="E433" s="92" t="s">
        <v>1128</v>
      </c>
      <c r="F433" s="7" t="str" cm="1">
        <f t="array" ref="F433">INDEX(공급업체코드!$B$3:$B$1000,MATCH(1,(E433=공급업체코드!$D$3:$D$1000)*1,0))</f>
        <v>VM_BKT</v>
      </c>
      <c r="G433" s="18" t="s">
        <v>1881</v>
      </c>
      <c r="H433" s="64"/>
      <c r="I433" s="64"/>
      <c r="J433" s="64"/>
      <c r="K433" s="300">
        <v>1.1000000000000001</v>
      </c>
      <c r="L433" s="300">
        <v>1.3</v>
      </c>
      <c r="M433" s="64">
        <v>390</v>
      </c>
      <c r="N433" s="64"/>
      <c r="O433" s="64"/>
      <c r="P433" s="64"/>
      <c r="Q433" s="64"/>
      <c r="R433" s="70"/>
      <c r="T433" s="64"/>
      <c r="X433">
        <v>0.123</v>
      </c>
      <c r="Y433" s="258" t="s">
        <v>1313</v>
      </c>
      <c r="AA433" s="259" t="s">
        <v>1314</v>
      </c>
      <c r="AB433" s="20" t="s">
        <v>1061</v>
      </c>
      <c r="AC433">
        <f t="shared" si="13"/>
        <v>1950000000</v>
      </c>
      <c r="AE433" s="18" t="s">
        <v>1315</v>
      </c>
      <c r="AF433" s="1" t="b">
        <v>1</v>
      </c>
    </row>
    <row r="434" spans="2:32" ht="16.5" customHeight="1">
      <c r="B434" s="1" t="str">
        <f t="shared" si="12"/>
        <v>M_TDIF04_VM_BKT_1.3_391</v>
      </c>
      <c r="C434" s="92" t="s">
        <v>700</v>
      </c>
      <c r="D434" s="92" t="str" cm="1">
        <f t="array" ref="D434">INDEX(기계코드!$D$4:$D$214,MATCH(1,(C434=기계코드!$F$4:$F$214)*1,0))</f>
        <v>M_TDIF04</v>
      </c>
      <c r="E434" s="92" t="s">
        <v>1128</v>
      </c>
      <c r="F434" s="7" t="str" cm="1">
        <f t="array" ref="F434">INDEX(공급업체코드!$B$3:$B$1000,MATCH(1,(E434=공급업체코드!$D$3:$D$1000)*1,0))</f>
        <v>VM_BKT</v>
      </c>
      <c r="G434" s="18" t="s">
        <v>1881</v>
      </c>
      <c r="H434" s="64"/>
      <c r="I434" s="64"/>
      <c r="J434" s="64"/>
      <c r="K434" s="300">
        <v>1.1000000000000001</v>
      </c>
      <c r="L434" s="300">
        <v>1.3</v>
      </c>
      <c r="M434" s="64">
        <v>391</v>
      </c>
      <c r="N434" s="64"/>
      <c r="O434" s="64"/>
      <c r="P434" s="64"/>
      <c r="Q434" s="64"/>
      <c r="R434" s="70"/>
      <c r="T434" s="64"/>
      <c r="X434">
        <v>0.123</v>
      </c>
      <c r="Y434" s="258" t="s">
        <v>1313</v>
      </c>
      <c r="AA434" s="259" t="s">
        <v>1314</v>
      </c>
      <c r="AB434" s="20" t="s">
        <v>1061</v>
      </c>
      <c r="AC434">
        <f t="shared" si="13"/>
        <v>1955000000</v>
      </c>
      <c r="AE434" s="18" t="s">
        <v>1315</v>
      </c>
      <c r="AF434" s="1" t="b">
        <v>1</v>
      </c>
    </row>
    <row r="435" spans="2:32" ht="16.5" customHeight="1">
      <c r="B435" s="1" t="str">
        <f t="shared" si="12"/>
        <v>M_TDIF04_VM_BKT_1.3_392</v>
      </c>
      <c r="C435" s="92" t="s">
        <v>700</v>
      </c>
      <c r="D435" s="92" t="str" cm="1">
        <f t="array" ref="D435">INDEX(기계코드!$D$4:$D$214,MATCH(1,(C435=기계코드!$F$4:$F$214)*1,0))</f>
        <v>M_TDIF04</v>
      </c>
      <c r="E435" s="92" t="s">
        <v>1128</v>
      </c>
      <c r="F435" s="7" t="str" cm="1">
        <f t="array" ref="F435">INDEX(공급업체코드!$B$3:$B$1000,MATCH(1,(E435=공급업체코드!$D$3:$D$1000)*1,0))</f>
        <v>VM_BKT</v>
      </c>
      <c r="G435" s="18" t="s">
        <v>1881</v>
      </c>
      <c r="H435" s="64"/>
      <c r="I435" s="64"/>
      <c r="J435" s="64"/>
      <c r="K435" s="300">
        <v>1.1000000000000001</v>
      </c>
      <c r="L435" s="300">
        <v>1.3</v>
      </c>
      <c r="M435" s="64">
        <v>392</v>
      </c>
      <c r="N435" s="64"/>
      <c r="O435" s="64"/>
      <c r="P435" s="64"/>
      <c r="Q435" s="64"/>
      <c r="R435" s="70"/>
      <c r="T435" s="64"/>
      <c r="X435">
        <v>0.123</v>
      </c>
      <c r="Y435" s="258" t="s">
        <v>1313</v>
      </c>
      <c r="AA435" s="259" t="s">
        <v>1314</v>
      </c>
      <c r="AB435" s="20" t="s">
        <v>1061</v>
      </c>
      <c r="AC435">
        <f t="shared" si="13"/>
        <v>1960000000</v>
      </c>
      <c r="AE435" s="18" t="s">
        <v>1315</v>
      </c>
      <c r="AF435" s="1" t="b">
        <v>1</v>
      </c>
    </row>
    <row r="436" spans="2:32" ht="16.5" customHeight="1">
      <c r="B436" s="1" t="str">
        <f t="shared" si="12"/>
        <v>M_TDIF04_VM_BKT_1.3_393</v>
      </c>
      <c r="C436" s="92" t="s">
        <v>700</v>
      </c>
      <c r="D436" s="92" t="str" cm="1">
        <f t="array" ref="D436">INDEX(기계코드!$D$4:$D$214,MATCH(1,(C436=기계코드!$F$4:$F$214)*1,0))</f>
        <v>M_TDIF04</v>
      </c>
      <c r="E436" s="92" t="s">
        <v>1128</v>
      </c>
      <c r="F436" s="7" t="str" cm="1">
        <f t="array" ref="F436">INDEX(공급업체코드!$B$3:$B$1000,MATCH(1,(E436=공급업체코드!$D$3:$D$1000)*1,0))</f>
        <v>VM_BKT</v>
      </c>
      <c r="G436" s="18" t="s">
        <v>1881</v>
      </c>
      <c r="H436" s="64"/>
      <c r="I436" s="64"/>
      <c r="J436" s="64"/>
      <c r="K436" s="300">
        <v>1.1000000000000001</v>
      </c>
      <c r="L436" s="300">
        <v>1.3</v>
      </c>
      <c r="M436" s="64">
        <v>393</v>
      </c>
      <c r="N436" s="64"/>
      <c r="O436" s="64"/>
      <c r="P436" s="64"/>
      <c r="Q436" s="64"/>
      <c r="R436" s="70"/>
      <c r="T436" s="64"/>
      <c r="X436">
        <v>0.123</v>
      </c>
      <c r="Y436" s="258" t="s">
        <v>1313</v>
      </c>
      <c r="AA436" s="259" t="s">
        <v>1314</v>
      </c>
      <c r="AB436" s="20" t="s">
        <v>1061</v>
      </c>
      <c r="AC436">
        <f t="shared" si="13"/>
        <v>1965000000</v>
      </c>
      <c r="AE436" s="18" t="s">
        <v>1315</v>
      </c>
      <c r="AF436" s="1" t="b">
        <v>1</v>
      </c>
    </row>
    <row r="437" spans="2:32" ht="16.5" customHeight="1">
      <c r="B437" s="1" t="str">
        <f t="shared" si="12"/>
        <v>M_TDIF04_VM_BKT_1.3_394</v>
      </c>
      <c r="C437" s="92" t="s">
        <v>700</v>
      </c>
      <c r="D437" s="92" t="str" cm="1">
        <f t="array" ref="D437">INDEX(기계코드!$D$4:$D$214,MATCH(1,(C437=기계코드!$F$4:$F$214)*1,0))</f>
        <v>M_TDIF04</v>
      </c>
      <c r="E437" s="92" t="s">
        <v>1128</v>
      </c>
      <c r="F437" s="7" t="str" cm="1">
        <f t="array" ref="F437">INDEX(공급업체코드!$B$3:$B$1000,MATCH(1,(E437=공급업체코드!$D$3:$D$1000)*1,0))</f>
        <v>VM_BKT</v>
      </c>
      <c r="G437" s="18" t="s">
        <v>1881</v>
      </c>
      <c r="H437" s="64"/>
      <c r="I437" s="64"/>
      <c r="J437" s="64"/>
      <c r="K437" s="300">
        <v>1.1000000000000001</v>
      </c>
      <c r="L437" s="300">
        <v>1.3</v>
      </c>
      <c r="M437" s="64">
        <v>394</v>
      </c>
      <c r="N437" s="64"/>
      <c r="O437" s="64"/>
      <c r="P437" s="64"/>
      <c r="Q437" s="64"/>
      <c r="R437" s="70"/>
      <c r="T437" s="64"/>
      <c r="X437">
        <v>0.123</v>
      </c>
      <c r="Y437" s="258" t="s">
        <v>1313</v>
      </c>
      <c r="AA437" s="259" t="s">
        <v>1314</v>
      </c>
      <c r="AB437" s="20" t="s">
        <v>1061</v>
      </c>
      <c r="AC437">
        <f t="shared" si="13"/>
        <v>1970000000</v>
      </c>
      <c r="AE437" s="18" t="s">
        <v>1315</v>
      </c>
      <c r="AF437" s="1" t="b">
        <v>1</v>
      </c>
    </row>
    <row r="438" spans="2:32" ht="16.5" customHeight="1">
      <c r="B438" s="1" t="str">
        <f t="shared" si="12"/>
        <v>M_TDIF04_VM_BKT_1.3_395</v>
      </c>
      <c r="C438" s="92" t="s">
        <v>700</v>
      </c>
      <c r="D438" s="92" t="str" cm="1">
        <f t="array" ref="D438">INDEX(기계코드!$D$4:$D$214,MATCH(1,(C438=기계코드!$F$4:$F$214)*1,0))</f>
        <v>M_TDIF04</v>
      </c>
      <c r="E438" s="92" t="s">
        <v>1128</v>
      </c>
      <c r="F438" s="7" t="str" cm="1">
        <f t="array" ref="F438">INDEX(공급업체코드!$B$3:$B$1000,MATCH(1,(E438=공급업체코드!$D$3:$D$1000)*1,0))</f>
        <v>VM_BKT</v>
      </c>
      <c r="G438" s="18" t="s">
        <v>1881</v>
      </c>
      <c r="H438" s="64"/>
      <c r="I438" s="64"/>
      <c r="J438" s="64"/>
      <c r="K438" s="300">
        <v>1.1000000000000001</v>
      </c>
      <c r="L438" s="300">
        <v>1.3</v>
      </c>
      <c r="M438" s="64">
        <v>395</v>
      </c>
      <c r="N438" s="64"/>
      <c r="O438" s="64"/>
      <c r="P438" s="64"/>
      <c r="Q438" s="64"/>
      <c r="R438" s="70"/>
      <c r="T438" s="64"/>
      <c r="X438">
        <v>0.123</v>
      </c>
      <c r="Y438" s="258" t="s">
        <v>1313</v>
      </c>
      <c r="AA438" s="259" t="s">
        <v>1314</v>
      </c>
      <c r="AB438" s="20" t="s">
        <v>1061</v>
      </c>
      <c r="AC438">
        <f t="shared" si="13"/>
        <v>1975000000</v>
      </c>
      <c r="AE438" s="18" t="s">
        <v>1315</v>
      </c>
      <c r="AF438" s="1" t="b">
        <v>1</v>
      </c>
    </row>
    <row r="439" spans="2:32" ht="16.5" customHeight="1">
      <c r="B439" s="1" t="str">
        <f t="shared" si="12"/>
        <v>M_TDIF04_VM_BKT_1.3_396</v>
      </c>
      <c r="C439" s="92" t="s">
        <v>700</v>
      </c>
      <c r="D439" s="92" t="str" cm="1">
        <f t="array" ref="D439">INDEX(기계코드!$D$4:$D$214,MATCH(1,(C439=기계코드!$F$4:$F$214)*1,0))</f>
        <v>M_TDIF04</v>
      </c>
      <c r="E439" s="92" t="s">
        <v>1128</v>
      </c>
      <c r="F439" s="7" t="str" cm="1">
        <f t="array" ref="F439">INDEX(공급업체코드!$B$3:$B$1000,MATCH(1,(E439=공급업체코드!$D$3:$D$1000)*1,0))</f>
        <v>VM_BKT</v>
      </c>
      <c r="G439" s="18" t="s">
        <v>1881</v>
      </c>
      <c r="H439" s="64"/>
      <c r="I439" s="64"/>
      <c r="J439" s="64"/>
      <c r="K439" s="300">
        <v>1.1000000000000001</v>
      </c>
      <c r="L439" s="300">
        <v>1.3</v>
      </c>
      <c r="M439" s="64">
        <v>396</v>
      </c>
      <c r="N439" s="64"/>
      <c r="O439" s="64"/>
      <c r="P439" s="64"/>
      <c r="Q439" s="64"/>
      <c r="R439" s="70"/>
      <c r="T439" s="64"/>
      <c r="X439">
        <v>0.123</v>
      </c>
      <c r="Y439" s="258" t="s">
        <v>1313</v>
      </c>
      <c r="AA439" s="259" t="s">
        <v>1314</v>
      </c>
      <c r="AB439" s="20" t="s">
        <v>1061</v>
      </c>
      <c r="AC439">
        <f t="shared" si="13"/>
        <v>1980000000</v>
      </c>
      <c r="AE439" s="18" t="s">
        <v>1315</v>
      </c>
      <c r="AF439" s="1" t="b">
        <v>1</v>
      </c>
    </row>
    <row r="440" spans="2:32" ht="16.5" customHeight="1">
      <c r="B440" s="1" t="str">
        <f t="shared" si="12"/>
        <v>M_TDIF04_VM_BKT_1.3_397</v>
      </c>
      <c r="C440" s="92" t="s">
        <v>700</v>
      </c>
      <c r="D440" s="92" t="str" cm="1">
        <f t="array" ref="D440">INDEX(기계코드!$D$4:$D$214,MATCH(1,(C440=기계코드!$F$4:$F$214)*1,0))</f>
        <v>M_TDIF04</v>
      </c>
      <c r="E440" s="92" t="s">
        <v>1128</v>
      </c>
      <c r="F440" s="7" t="str" cm="1">
        <f t="array" ref="F440">INDEX(공급업체코드!$B$3:$B$1000,MATCH(1,(E440=공급업체코드!$D$3:$D$1000)*1,0))</f>
        <v>VM_BKT</v>
      </c>
      <c r="G440" s="18" t="s">
        <v>1881</v>
      </c>
      <c r="H440" s="64"/>
      <c r="I440" s="64"/>
      <c r="J440" s="64"/>
      <c r="K440" s="300">
        <v>1.1000000000000001</v>
      </c>
      <c r="L440" s="300">
        <v>1.3</v>
      </c>
      <c r="M440" s="64">
        <v>397</v>
      </c>
      <c r="N440" s="64"/>
      <c r="O440" s="64"/>
      <c r="P440" s="64"/>
      <c r="Q440" s="64"/>
      <c r="R440" s="70"/>
      <c r="T440" s="64"/>
      <c r="X440">
        <v>0.123</v>
      </c>
      <c r="Y440" s="258" t="s">
        <v>1313</v>
      </c>
      <c r="AA440" s="259" t="s">
        <v>1314</v>
      </c>
      <c r="AB440" s="20" t="s">
        <v>1061</v>
      </c>
      <c r="AC440">
        <f t="shared" si="13"/>
        <v>1985000000</v>
      </c>
      <c r="AE440" s="18" t="s">
        <v>1315</v>
      </c>
      <c r="AF440" s="1" t="b">
        <v>1</v>
      </c>
    </row>
    <row r="441" spans="2:32" ht="16.5" customHeight="1">
      <c r="B441" s="1" t="str">
        <f t="shared" si="12"/>
        <v>M_TDIF04_VM_BKT_1.3_398</v>
      </c>
      <c r="C441" s="92" t="s">
        <v>700</v>
      </c>
      <c r="D441" s="92" t="str" cm="1">
        <f t="array" ref="D441">INDEX(기계코드!$D$4:$D$214,MATCH(1,(C441=기계코드!$F$4:$F$214)*1,0))</f>
        <v>M_TDIF04</v>
      </c>
      <c r="E441" s="92" t="s">
        <v>1128</v>
      </c>
      <c r="F441" s="7" t="str" cm="1">
        <f t="array" ref="F441">INDEX(공급업체코드!$B$3:$B$1000,MATCH(1,(E441=공급업체코드!$D$3:$D$1000)*1,0))</f>
        <v>VM_BKT</v>
      </c>
      <c r="G441" s="18" t="s">
        <v>1881</v>
      </c>
      <c r="H441" s="64"/>
      <c r="I441" s="64"/>
      <c r="J441" s="64"/>
      <c r="K441" s="300">
        <v>1.1000000000000001</v>
      </c>
      <c r="L441" s="300">
        <v>1.3</v>
      </c>
      <c r="M441" s="64">
        <v>398</v>
      </c>
      <c r="N441" s="64"/>
      <c r="O441" s="64"/>
      <c r="P441" s="64"/>
      <c r="Q441" s="64"/>
      <c r="R441" s="70"/>
      <c r="T441" s="64"/>
      <c r="X441">
        <v>0.123</v>
      </c>
      <c r="Y441" s="258" t="s">
        <v>1313</v>
      </c>
      <c r="AA441" s="259" t="s">
        <v>1314</v>
      </c>
      <c r="AB441" s="20" t="s">
        <v>1061</v>
      </c>
      <c r="AC441">
        <f t="shared" si="13"/>
        <v>1990000000</v>
      </c>
      <c r="AE441" s="18" t="s">
        <v>1315</v>
      </c>
      <c r="AF441" s="1" t="b">
        <v>1</v>
      </c>
    </row>
    <row r="442" spans="2:32" ht="16.5" customHeight="1">
      <c r="B442" s="1" t="str">
        <f t="shared" si="12"/>
        <v>M_TDIF04_VM_BKT_1.3_399</v>
      </c>
      <c r="C442" s="92" t="s">
        <v>700</v>
      </c>
      <c r="D442" s="92" t="str" cm="1">
        <f t="array" ref="D442">INDEX(기계코드!$D$4:$D$214,MATCH(1,(C442=기계코드!$F$4:$F$214)*1,0))</f>
        <v>M_TDIF04</v>
      </c>
      <c r="E442" s="92" t="s">
        <v>1128</v>
      </c>
      <c r="F442" s="7" t="str" cm="1">
        <f t="array" ref="F442">INDEX(공급업체코드!$B$3:$B$1000,MATCH(1,(E442=공급업체코드!$D$3:$D$1000)*1,0))</f>
        <v>VM_BKT</v>
      </c>
      <c r="G442" s="18" t="s">
        <v>1881</v>
      </c>
      <c r="H442" s="64"/>
      <c r="I442" s="64"/>
      <c r="J442" s="64"/>
      <c r="K442" s="300">
        <v>1.1000000000000001</v>
      </c>
      <c r="L442" s="300">
        <v>1.3</v>
      </c>
      <c r="M442" s="64">
        <v>399</v>
      </c>
      <c r="N442" s="64"/>
      <c r="O442" s="64"/>
      <c r="P442" s="64"/>
      <c r="Q442" s="64"/>
      <c r="R442" s="70"/>
      <c r="T442" s="64"/>
      <c r="X442">
        <v>0.123</v>
      </c>
      <c r="Y442" s="258" t="s">
        <v>1313</v>
      </c>
      <c r="AA442" s="259" t="s">
        <v>1314</v>
      </c>
      <c r="AB442" s="20" t="s">
        <v>1061</v>
      </c>
      <c r="AC442">
        <f t="shared" si="13"/>
        <v>1995000000</v>
      </c>
      <c r="AE442" s="18" t="s">
        <v>1315</v>
      </c>
      <c r="AF442" s="1" t="b">
        <v>1</v>
      </c>
    </row>
    <row r="443" spans="2:32" ht="16.5" customHeight="1">
      <c r="B443" s="1" t="str">
        <f t="shared" si="12"/>
        <v>M_TDIF04_VM_BKT_1.3_400</v>
      </c>
      <c r="C443" s="92" t="s">
        <v>700</v>
      </c>
      <c r="D443" s="92" t="str" cm="1">
        <f t="array" ref="D443">INDEX(기계코드!$D$4:$D$214,MATCH(1,(C443=기계코드!$F$4:$F$214)*1,0))</f>
        <v>M_TDIF04</v>
      </c>
      <c r="E443" s="92" t="s">
        <v>1128</v>
      </c>
      <c r="F443" s="7" t="str" cm="1">
        <f t="array" ref="F443">INDEX(공급업체코드!$B$3:$B$1000,MATCH(1,(E443=공급업체코드!$D$3:$D$1000)*1,0))</f>
        <v>VM_BKT</v>
      </c>
      <c r="G443" s="18" t="s">
        <v>1881</v>
      </c>
      <c r="H443" s="64"/>
      <c r="I443" s="64"/>
      <c r="J443" s="64"/>
      <c r="K443" s="300">
        <v>1.1000000000000001</v>
      </c>
      <c r="L443" s="300">
        <v>1.3</v>
      </c>
      <c r="M443" s="64">
        <v>400</v>
      </c>
      <c r="N443" s="64"/>
      <c r="O443" s="64"/>
      <c r="P443" s="64"/>
      <c r="Q443" s="64"/>
      <c r="R443" s="70"/>
      <c r="T443" s="64"/>
      <c r="X443">
        <v>0.123</v>
      </c>
      <c r="Y443" s="258" t="s">
        <v>1313</v>
      </c>
      <c r="AA443" s="259" t="s">
        <v>1314</v>
      </c>
      <c r="AB443" s="20" t="s">
        <v>1061</v>
      </c>
      <c r="AC443">
        <f t="shared" si="13"/>
        <v>2000000000</v>
      </c>
      <c r="AE443" s="18" t="s">
        <v>1315</v>
      </c>
      <c r="AF443" s="1" t="b">
        <v>1</v>
      </c>
    </row>
    <row r="444" spans="2:32" ht="16.5" customHeight="1">
      <c r="B444" s="1" t="str">
        <f t="shared" si="12"/>
        <v>M_TDIF04_VM_BKT_1.3_401</v>
      </c>
      <c r="C444" s="92" t="s">
        <v>700</v>
      </c>
      <c r="D444" s="92" t="str" cm="1">
        <f t="array" ref="D444">INDEX(기계코드!$D$4:$D$214,MATCH(1,(C444=기계코드!$F$4:$F$214)*1,0))</f>
        <v>M_TDIF04</v>
      </c>
      <c r="E444" s="92" t="s">
        <v>1128</v>
      </c>
      <c r="F444" s="7" t="str" cm="1">
        <f t="array" ref="F444">INDEX(공급업체코드!$B$3:$B$1000,MATCH(1,(E444=공급업체코드!$D$3:$D$1000)*1,0))</f>
        <v>VM_BKT</v>
      </c>
      <c r="G444" s="18" t="s">
        <v>1881</v>
      </c>
      <c r="H444" s="64"/>
      <c r="I444" s="64"/>
      <c r="J444" s="64"/>
      <c r="K444" s="300">
        <v>1.1000000000000001</v>
      </c>
      <c r="L444" s="300">
        <v>1.3</v>
      </c>
      <c r="M444" s="64">
        <v>401</v>
      </c>
      <c r="N444" s="64"/>
      <c r="O444" s="64"/>
      <c r="P444" s="64"/>
      <c r="Q444" s="64"/>
      <c r="R444" s="70"/>
      <c r="T444" s="64"/>
      <c r="X444">
        <v>0.123</v>
      </c>
      <c r="Y444" s="258" t="s">
        <v>1313</v>
      </c>
      <c r="AA444" s="259" t="s">
        <v>1314</v>
      </c>
      <c r="AB444" s="20" t="s">
        <v>1061</v>
      </c>
      <c r="AC444">
        <f t="shared" si="13"/>
        <v>2005000000</v>
      </c>
      <c r="AE444" s="18" t="s">
        <v>1315</v>
      </c>
      <c r="AF444" s="1" t="b">
        <v>1</v>
      </c>
    </row>
    <row r="445" spans="2:32" ht="16.5" customHeight="1">
      <c r="B445" s="1" t="str">
        <f t="shared" si="12"/>
        <v>M_TDIF04_VM_BKT_1.3_402</v>
      </c>
      <c r="C445" s="92" t="s">
        <v>700</v>
      </c>
      <c r="D445" s="92" t="str" cm="1">
        <f t="array" ref="D445">INDEX(기계코드!$D$4:$D$214,MATCH(1,(C445=기계코드!$F$4:$F$214)*1,0))</f>
        <v>M_TDIF04</v>
      </c>
      <c r="E445" s="92" t="s">
        <v>1128</v>
      </c>
      <c r="F445" s="7" t="str" cm="1">
        <f t="array" ref="F445">INDEX(공급업체코드!$B$3:$B$1000,MATCH(1,(E445=공급업체코드!$D$3:$D$1000)*1,0))</f>
        <v>VM_BKT</v>
      </c>
      <c r="G445" s="18" t="s">
        <v>1881</v>
      </c>
      <c r="H445" s="64"/>
      <c r="I445" s="64"/>
      <c r="J445" s="64"/>
      <c r="K445" s="300">
        <v>1.1000000000000001</v>
      </c>
      <c r="L445" s="300">
        <v>1.3</v>
      </c>
      <c r="M445" s="64">
        <v>402</v>
      </c>
      <c r="N445" s="64"/>
      <c r="O445" s="64"/>
      <c r="P445" s="64"/>
      <c r="Q445" s="64"/>
      <c r="R445" s="70"/>
      <c r="T445" s="64"/>
      <c r="X445">
        <v>0.123</v>
      </c>
      <c r="Y445" s="258" t="s">
        <v>1313</v>
      </c>
      <c r="AA445" s="259" t="s">
        <v>1314</v>
      </c>
      <c r="AB445" s="20" t="s">
        <v>1061</v>
      </c>
      <c r="AC445">
        <f t="shared" si="13"/>
        <v>2010000000</v>
      </c>
      <c r="AE445" s="18" t="s">
        <v>1315</v>
      </c>
      <c r="AF445" s="1" t="b">
        <v>1</v>
      </c>
    </row>
    <row r="446" spans="2:32" ht="16.5" customHeight="1">
      <c r="B446" s="1" t="str">
        <f t="shared" si="12"/>
        <v>M_TDIF04_VM_BKT_1.3_403</v>
      </c>
      <c r="C446" s="92" t="s">
        <v>700</v>
      </c>
      <c r="D446" s="92" t="str" cm="1">
        <f t="array" ref="D446">INDEX(기계코드!$D$4:$D$214,MATCH(1,(C446=기계코드!$F$4:$F$214)*1,0))</f>
        <v>M_TDIF04</v>
      </c>
      <c r="E446" s="92" t="s">
        <v>1128</v>
      </c>
      <c r="F446" s="7" t="str" cm="1">
        <f t="array" ref="F446">INDEX(공급업체코드!$B$3:$B$1000,MATCH(1,(E446=공급업체코드!$D$3:$D$1000)*1,0))</f>
        <v>VM_BKT</v>
      </c>
      <c r="G446" s="18" t="s">
        <v>1881</v>
      </c>
      <c r="H446" s="64"/>
      <c r="I446" s="64"/>
      <c r="J446" s="64"/>
      <c r="K446" s="300">
        <v>1.1000000000000001</v>
      </c>
      <c r="L446" s="300">
        <v>1.3</v>
      </c>
      <c r="M446" s="64">
        <v>403</v>
      </c>
      <c r="N446" s="64"/>
      <c r="O446" s="64"/>
      <c r="P446" s="64"/>
      <c r="Q446" s="64"/>
      <c r="R446" s="70"/>
      <c r="T446" s="64"/>
      <c r="X446">
        <v>0.123</v>
      </c>
      <c r="Y446" s="258" t="s">
        <v>1313</v>
      </c>
      <c r="AA446" s="259" t="s">
        <v>1314</v>
      </c>
      <c r="AB446" s="20" t="s">
        <v>1061</v>
      </c>
      <c r="AC446">
        <f t="shared" si="13"/>
        <v>2015000000</v>
      </c>
      <c r="AE446" s="18" t="s">
        <v>1315</v>
      </c>
      <c r="AF446" s="1" t="b">
        <v>1</v>
      </c>
    </row>
    <row r="447" spans="2:32" ht="16.5" customHeight="1">
      <c r="B447" s="1" t="str">
        <f t="shared" si="12"/>
        <v>M_TDIF04_VM_BKT_1.3_404</v>
      </c>
      <c r="C447" s="92" t="s">
        <v>700</v>
      </c>
      <c r="D447" s="92" t="str" cm="1">
        <f t="array" ref="D447">INDEX(기계코드!$D$4:$D$214,MATCH(1,(C447=기계코드!$F$4:$F$214)*1,0))</f>
        <v>M_TDIF04</v>
      </c>
      <c r="E447" s="92" t="s">
        <v>1128</v>
      </c>
      <c r="F447" s="7" t="str" cm="1">
        <f t="array" ref="F447">INDEX(공급업체코드!$B$3:$B$1000,MATCH(1,(E447=공급업체코드!$D$3:$D$1000)*1,0))</f>
        <v>VM_BKT</v>
      </c>
      <c r="G447" s="18" t="s">
        <v>1881</v>
      </c>
      <c r="H447" s="64"/>
      <c r="I447" s="64"/>
      <c r="J447" s="64"/>
      <c r="K447" s="300">
        <v>1.1000000000000001</v>
      </c>
      <c r="L447" s="300">
        <v>1.3</v>
      </c>
      <c r="M447" s="64">
        <v>404</v>
      </c>
      <c r="N447" s="64"/>
      <c r="O447" s="64"/>
      <c r="P447" s="64"/>
      <c r="Q447" s="64"/>
      <c r="R447" s="70"/>
      <c r="T447" s="64"/>
      <c r="X447">
        <v>0.123</v>
      </c>
      <c r="Y447" s="258" t="s">
        <v>1313</v>
      </c>
      <c r="AA447" s="259" t="s">
        <v>1314</v>
      </c>
      <c r="AB447" s="20" t="s">
        <v>1061</v>
      </c>
      <c r="AC447">
        <f t="shared" si="13"/>
        <v>2020000000</v>
      </c>
      <c r="AE447" s="18" t="s">
        <v>1315</v>
      </c>
      <c r="AF447" s="1" t="b">
        <v>1</v>
      </c>
    </row>
    <row r="448" spans="2:32" ht="16.5" customHeight="1">
      <c r="B448" s="1" t="str">
        <f t="shared" si="12"/>
        <v>M_TDIF04_VM_BKT_1.3_405</v>
      </c>
      <c r="C448" s="92" t="s">
        <v>700</v>
      </c>
      <c r="D448" s="92" t="str" cm="1">
        <f t="array" ref="D448">INDEX(기계코드!$D$4:$D$214,MATCH(1,(C448=기계코드!$F$4:$F$214)*1,0))</f>
        <v>M_TDIF04</v>
      </c>
      <c r="E448" s="92" t="s">
        <v>1128</v>
      </c>
      <c r="F448" s="7" t="str" cm="1">
        <f t="array" ref="F448">INDEX(공급업체코드!$B$3:$B$1000,MATCH(1,(E448=공급업체코드!$D$3:$D$1000)*1,0))</f>
        <v>VM_BKT</v>
      </c>
      <c r="G448" s="18" t="s">
        <v>1881</v>
      </c>
      <c r="H448" s="64"/>
      <c r="I448" s="64"/>
      <c r="J448" s="64"/>
      <c r="K448" s="300">
        <v>1.1000000000000001</v>
      </c>
      <c r="L448" s="300">
        <v>1.3</v>
      </c>
      <c r="M448" s="64">
        <v>405</v>
      </c>
      <c r="N448" s="64"/>
      <c r="O448" s="64"/>
      <c r="P448" s="64"/>
      <c r="Q448" s="64"/>
      <c r="R448" s="70"/>
      <c r="T448" s="64"/>
      <c r="X448">
        <v>0.123</v>
      </c>
      <c r="Y448" s="258" t="s">
        <v>1313</v>
      </c>
      <c r="AA448" s="259" t="s">
        <v>1314</v>
      </c>
      <c r="AB448" s="20" t="s">
        <v>1061</v>
      </c>
      <c r="AC448">
        <f t="shared" si="13"/>
        <v>2025000000</v>
      </c>
      <c r="AE448" s="18" t="s">
        <v>1315</v>
      </c>
      <c r="AF448" s="1" t="b">
        <v>1</v>
      </c>
    </row>
    <row r="449" spans="2:32" ht="16.5" customHeight="1">
      <c r="B449" s="1" t="str">
        <f t="shared" si="12"/>
        <v>M_TDIF04_VM_BKT_1.3_406</v>
      </c>
      <c r="C449" s="92" t="s">
        <v>700</v>
      </c>
      <c r="D449" s="92" t="str" cm="1">
        <f t="array" ref="D449">INDEX(기계코드!$D$4:$D$214,MATCH(1,(C449=기계코드!$F$4:$F$214)*1,0))</f>
        <v>M_TDIF04</v>
      </c>
      <c r="E449" s="92" t="s">
        <v>1128</v>
      </c>
      <c r="F449" s="7" t="str" cm="1">
        <f t="array" ref="F449">INDEX(공급업체코드!$B$3:$B$1000,MATCH(1,(E449=공급업체코드!$D$3:$D$1000)*1,0))</f>
        <v>VM_BKT</v>
      </c>
      <c r="G449" s="18" t="s">
        <v>1881</v>
      </c>
      <c r="H449" s="64"/>
      <c r="I449" s="64"/>
      <c r="J449" s="64"/>
      <c r="K449" s="300">
        <v>1.1000000000000001</v>
      </c>
      <c r="L449" s="300">
        <v>1.3</v>
      </c>
      <c r="M449" s="64">
        <v>406</v>
      </c>
      <c r="N449" s="64"/>
      <c r="O449" s="64"/>
      <c r="P449" s="64"/>
      <c r="Q449" s="64"/>
      <c r="R449" s="70"/>
      <c r="T449" s="64"/>
      <c r="X449">
        <v>0.123</v>
      </c>
      <c r="Y449" s="258" t="s">
        <v>1313</v>
      </c>
      <c r="AA449" s="259" t="s">
        <v>1314</v>
      </c>
      <c r="AB449" s="20" t="s">
        <v>1061</v>
      </c>
      <c r="AC449">
        <f t="shared" si="13"/>
        <v>2030000000</v>
      </c>
      <c r="AE449" s="18" t="s">
        <v>1315</v>
      </c>
      <c r="AF449" s="1" t="b">
        <v>1</v>
      </c>
    </row>
    <row r="450" spans="2:32" ht="16.5" customHeight="1">
      <c r="B450" s="1" t="str">
        <f t="shared" si="12"/>
        <v>M_TDIF04_VM_BKT_1.3_407</v>
      </c>
      <c r="C450" s="92" t="s">
        <v>700</v>
      </c>
      <c r="D450" s="92" t="str" cm="1">
        <f t="array" ref="D450">INDEX(기계코드!$D$4:$D$214,MATCH(1,(C450=기계코드!$F$4:$F$214)*1,0))</f>
        <v>M_TDIF04</v>
      </c>
      <c r="E450" s="92" t="s">
        <v>1128</v>
      </c>
      <c r="F450" s="7" t="str" cm="1">
        <f t="array" ref="F450">INDEX(공급업체코드!$B$3:$B$1000,MATCH(1,(E450=공급업체코드!$D$3:$D$1000)*1,0))</f>
        <v>VM_BKT</v>
      </c>
      <c r="G450" s="18" t="s">
        <v>1881</v>
      </c>
      <c r="H450" s="64"/>
      <c r="I450" s="64"/>
      <c r="J450" s="64"/>
      <c r="K450" s="300">
        <v>1.1000000000000001</v>
      </c>
      <c r="L450" s="300">
        <v>1.3</v>
      </c>
      <c r="M450" s="64">
        <v>407</v>
      </c>
      <c r="N450" s="64"/>
      <c r="O450" s="64"/>
      <c r="P450" s="64"/>
      <c r="Q450" s="64"/>
      <c r="R450" s="70"/>
      <c r="T450" s="64"/>
      <c r="X450">
        <v>0.123</v>
      </c>
      <c r="Y450" s="258" t="s">
        <v>1313</v>
      </c>
      <c r="AA450" s="259" t="s">
        <v>1314</v>
      </c>
      <c r="AB450" s="20" t="s">
        <v>1061</v>
      </c>
      <c r="AC450">
        <f t="shared" si="13"/>
        <v>2035000000</v>
      </c>
      <c r="AE450" s="18" t="s">
        <v>1315</v>
      </c>
      <c r="AF450" s="1" t="b">
        <v>1</v>
      </c>
    </row>
    <row r="451" spans="2:32" ht="16.5" customHeight="1">
      <c r="B451" s="1" t="str">
        <f t="shared" si="12"/>
        <v>M_TDIF04_VM_BKT_1.3_408</v>
      </c>
      <c r="C451" s="92" t="s">
        <v>700</v>
      </c>
      <c r="D451" s="92" t="str" cm="1">
        <f t="array" ref="D451">INDEX(기계코드!$D$4:$D$214,MATCH(1,(C451=기계코드!$F$4:$F$214)*1,0))</f>
        <v>M_TDIF04</v>
      </c>
      <c r="E451" s="92" t="s">
        <v>1128</v>
      </c>
      <c r="F451" s="7" t="str" cm="1">
        <f t="array" ref="F451">INDEX(공급업체코드!$B$3:$B$1000,MATCH(1,(E451=공급업체코드!$D$3:$D$1000)*1,0))</f>
        <v>VM_BKT</v>
      </c>
      <c r="G451" s="18" t="s">
        <v>1881</v>
      </c>
      <c r="H451" s="64"/>
      <c r="I451" s="64"/>
      <c r="J451" s="64"/>
      <c r="K451" s="300">
        <v>1.1000000000000001</v>
      </c>
      <c r="L451" s="300">
        <v>1.3</v>
      </c>
      <c r="M451" s="64">
        <v>408</v>
      </c>
      <c r="N451" s="64"/>
      <c r="O451" s="64"/>
      <c r="P451" s="64"/>
      <c r="Q451" s="64"/>
      <c r="R451" s="70"/>
      <c r="T451" s="64"/>
      <c r="X451">
        <v>0.123</v>
      </c>
      <c r="Y451" s="258" t="s">
        <v>1313</v>
      </c>
      <c r="AA451" s="259" t="s">
        <v>1314</v>
      </c>
      <c r="AB451" s="20" t="s">
        <v>1061</v>
      </c>
      <c r="AC451">
        <f t="shared" si="13"/>
        <v>2040000000</v>
      </c>
      <c r="AE451" s="18" t="s">
        <v>1315</v>
      </c>
      <c r="AF451" s="1" t="b">
        <v>1</v>
      </c>
    </row>
    <row r="452" spans="2:32" ht="16.5" customHeight="1">
      <c r="B452" s="1" t="str">
        <f t="shared" si="12"/>
        <v>M_TDIF04_VM_BKT_1.3_409</v>
      </c>
      <c r="C452" s="92" t="s">
        <v>700</v>
      </c>
      <c r="D452" s="92" t="str" cm="1">
        <f t="array" ref="D452">INDEX(기계코드!$D$4:$D$214,MATCH(1,(C452=기계코드!$F$4:$F$214)*1,0))</f>
        <v>M_TDIF04</v>
      </c>
      <c r="E452" s="92" t="s">
        <v>1128</v>
      </c>
      <c r="F452" s="7" t="str" cm="1">
        <f t="array" ref="F452">INDEX(공급업체코드!$B$3:$B$1000,MATCH(1,(E452=공급업체코드!$D$3:$D$1000)*1,0))</f>
        <v>VM_BKT</v>
      </c>
      <c r="G452" s="18" t="s">
        <v>1881</v>
      </c>
      <c r="H452" s="64"/>
      <c r="I452" s="64"/>
      <c r="J452" s="64"/>
      <c r="K452" s="300">
        <v>1.1000000000000001</v>
      </c>
      <c r="L452" s="300">
        <v>1.3</v>
      </c>
      <c r="M452" s="64">
        <v>409</v>
      </c>
      <c r="N452" s="64"/>
      <c r="O452" s="64"/>
      <c r="P452" s="64"/>
      <c r="Q452" s="64"/>
      <c r="R452" s="70"/>
      <c r="T452" s="64"/>
      <c r="X452">
        <v>0.123</v>
      </c>
      <c r="Y452" s="258" t="s">
        <v>1313</v>
      </c>
      <c r="AA452" s="259" t="s">
        <v>1314</v>
      </c>
      <c r="AB452" s="20" t="s">
        <v>1061</v>
      </c>
      <c r="AC452">
        <f t="shared" si="13"/>
        <v>2045000000</v>
      </c>
      <c r="AE452" s="18" t="s">
        <v>1315</v>
      </c>
      <c r="AF452" s="1" t="b">
        <v>1</v>
      </c>
    </row>
    <row r="453" spans="2:32" ht="16.5" customHeight="1">
      <c r="B453" s="1" t="str">
        <f t="shared" si="12"/>
        <v>M_TDIF04_VM_BKT_1.3_410</v>
      </c>
      <c r="C453" s="92" t="s">
        <v>700</v>
      </c>
      <c r="D453" s="92" t="str" cm="1">
        <f t="array" ref="D453">INDEX(기계코드!$D$4:$D$214,MATCH(1,(C453=기계코드!$F$4:$F$214)*1,0))</f>
        <v>M_TDIF04</v>
      </c>
      <c r="E453" s="92" t="s">
        <v>1128</v>
      </c>
      <c r="F453" s="7" t="str" cm="1">
        <f t="array" ref="F453">INDEX(공급업체코드!$B$3:$B$1000,MATCH(1,(E453=공급업체코드!$D$3:$D$1000)*1,0))</f>
        <v>VM_BKT</v>
      </c>
      <c r="G453" s="18" t="s">
        <v>1881</v>
      </c>
      <c r="H453" s="64"/>
      <c r="I453" s="64"/>
      <c r="J453" s="64"/>
      <c r="K453" s="300">
        <v>1.1000000000000001</v>
      </c>
      <c r="L453" s="300">
        <v>1.3</v>
      </c>
      <c r="M453" s="64">
        <v>410</v>
      </c>
      <c r="N453" s="64"/>
      <c r="O453" s="64"/>
      <c r="P453" s="64"/>
      <c r="Q453" s="64"/>
      <c r="R453" s="70"/>
      <c r="T453" s="64"/>
      <c r="X453">
        <v>0.123</v>
      </c>
      <c r="Y453" s="258" t="s">
        <v>1313</v>
      </c>
      <c r="AA453" s="259" t="s">
        <v>1314</v>
      </c>
      <c r="AB453" s="20" t="s">
        <v>1061</v>
      </c>
      <c r="AC453">
        <f t="shared" si="13"/>
        <v>2050000000</v>
      </c>
      <c r="AE453" s="18" t="s">
        <v>1315</v>
      </c>
      <c r="AF453" s="1" t="b">
        <v>1</v>
      </c>
    </row>
    <row r="454" spans="2:32" ht="16.5" customHeight="1">
      <c r="B454" s="1" t="str">
        <f t="shared" si="12"/>
        <v>M_TDIF04_VM_BKT_1.3_411</v>
      </c>
      <c r="C454" s="92" t="s">
        <v>700</v>
      </c>
      <c r="D454" s="92" t="str" cm="1">
        <f t="array" ref="D454">INDEX(기계코드!$D$4:$D$214,MATCH(1,(C454=기계코드!$F$4:$F$214)*1,0))</f>
        <v>M_TDIF04</v>
      </c>
      <c r="E454" s="92" t="s">
        <v>1128</v>
      </c>
      <c r="F454" s="7" t="str" cm="1">
        <f t="array" ref="F454">INDEX(공급업체코드!$B$3:$B$1000,MATCH(1,(E454=공급업체코드!$D$3:$D$1000)*1,0))</f>
        <v>VM_BKT</v>
      </c>
      <c r="G454" s="18" t="s">
        <v>1881</v>
      </c>
      <c r="H454" s="64"/>
      <c r="I454" s="64"/>
      <c r="J454" s="64"/>
      <c r="K454" s="300">
        <v>1.1000000000000001</v>
      </c>
      <c r="L454" s="300">
        <v>1.3</v>
      </c>
      <c r="M454" s="64">
        <v>411</v>
      </c>
      <c r="N454" s="64"/>
      <c r="O454" s="64"/>
      <c r="P454" s="64"/>
      <c r="Q454" s="64"/>
      <c r="R454" s="70"/>
      <c r="T454" s="64"/>
      <c r="X454">
        <v>0.123</v>
      </c>
      <c r="Y454" s="258" t="s">
        <v>1313</v>
      </c>
      <c r="AA454" s="259" t="s">
        <v>1314</v>
      </c>
      <c r="AB454" s="20" t="s">
        <v>1061</v>
      </c>
      <c r="AC454">
        <f t="shared" si="13"/>
        <v>2055000000</v>
      </c>
      <c r="AE454" s="18" t="s">
        <v>1315</v>
      </c>
      <c r="AF454" s="1" t="b">
        <v>1</v>
      </c>
    </row>
    <row r="455" spans="2:32" ht="16.5" customHeight="1">
      <c r="B455" s="1" t="str">
        <f t="shared" si="12"/>
        <v>M_TDIF04_VM_BKT_1.3_412</v>
      </c>
      <c r="C455" s="92" t="s">
        <v>700</v>
      </c>
      <c r="D455" s="92" t="str" cm="1">
        <f t="array" ref="D455">INDEX(기계코드!$D$4:$D$214,MATCH(1,(C455=기계코드!$F$4:$F$214)*1,0))</f>
        <v>M_TDIF04</v>
      </c>
      <c r="E455" s="92" t="s">
        <v>1128</v>
      </c>
      <c r="F455" s="7" t="str" cm="1">
        <f t="array" ref="F455">INDEX(공급업체코드!$B$3:$B$1000,MATCH(1,(E455=공급업체코드!$D$3:$D$1000)*1,0))</f>
        <v>VM_BKT</v>
      </c>
      <c r="G455" s="18" t="s">
        <v>1881</v>
      </c>
      <c r="H455" s="64"/>
      <c r="I455" s="64"/>
      <c r="J455" s="64"/>
      <c r="K455" s="300">
        <v>1.1000000000000001</v>
      </c>
      <c r="L455" s="300">
        <v>1.3</v>
      </c>
      <c r="M455" s="64">
        <v>412</v>
      </c>
      <c r="N455" s="64"/>
      <c r="O455" s="64"/>
      <c r="P455" s="64"/>
      <c r="Q455" s="64"/>
      <c r="R455" s="70"/>
      <c r="T455" s="64"/>
      <c r="X455">
        <v>0.123</v>
      </c>
      <c r="Y455" s="258" t="s">
        <v>1313</v>
      </c>
      <c r="AA455" s="259" t="s">
        <v>1314</v>
      </c>
      <c r="AB455" s="20" t="s">
        <v>1061</v>
      </c>
      <c r="AC455">
        <f t="shared" si="13"/>
        <v>2060000000</v>
      </c>
      <c r="AE455" s="18" t="s">
        <v>1315</v>
      </c>
      <c r="AF455" s="1" t="b">
        <v>1</v>
      </c>
    </row>
    <row r="456" spans="2:32" ht="16.5" customHeight="1">
      <c r="B456" s="1" t="str">
        <f t="shared" si="12"/>
        <v>M_TDIF04_VM_BKT_1.3_413</v>
      </c>
      <c r="C456" s="92" t="s">
        <v>700</v>
      </c>
      <c r="D456" s="92" t="str" cm="1">
        <f t="array" ref="D456">INDEX(기계코드!$D$4:$D$214,MATCH(1,(C456=기계코드!$F$4:$F$214)*1,0))</f>
        <v>M_TDIF04</v>
      </c>
      <c r="E456" s="92" t="s">
        <v>1128</v>
      </c>
      <c r="F456" s="7" t="str" cm="1">
        <f t="array" ref="F456">INDEX(공급업체코드!$B$3:$B$1000,MATCH(1,(E456=공급업체코드!$D$3:$D$1000)*1,0))</f>
        <v>VM_BKT</v>
      </c>
      <c r="G456" s="18" t="s">
        <v>1881</v>
      </c>
      <c r="H456" s="64"/>
      <c r="I456" s="64"/>
      <c r="J456" s="64"/>
      <c r="K456" s="300">
        <v>1.1000000000000001</v>
      </c>
      <c r="L456" s="300">
        <v>1.3</v>
      </c>
      <c r="M456" s="64">
        <v>413</v>
      </c>
      <c r="N456" s="64"/>
      <c r="O456" s="64"/>
      <c r="P456" s="64"/>
      <c r="Q456" s="64"/>
      <c r="R456" s="70"/>
      <c r="T456" s="64"/>
      <c r="X456">
        <v>0.123</v>
      </c>
      <c r="Y456" s="258" t="s">
        <v>1313</v>
      </c>
      <c r="AA456" s="259" t="s">
        <v>1314</v>
      </c>
      <c r="AB456" s="20" t="s">
        <v>1061</v>
      </c>
      <c r="AC456">
        <f t="shared" si="13"/>
        <v>2065000000</v>
      </c>
      <c r="AE456" s="18" t="s">
        <v>1315</v>
      </c>
      <c r="AF456" s="1" t="b">
        <v>1</v>
      </c>
    </row>
    <row r="457" spans="2:32" ht="16.5" customHeight="1">
      <c r="B457" s="1" t="str">
        <f t="shared" si="12"/>
        <v>M_TDIF04_VM_BKT_1.3_414</v>
      </c>
      <c r="C457" s="92" t="s">
        <v>700</v>
      </c>
      <c r="D457" s="92" t="str" cm="1">
        <f t="array" ref="D457">INDEX(기계코드!$D$4:$D$214,MATCH(1,(C457=기계코드!$F$4:$F$214)*1,0))</f>
        <v>M_TDIF04</v>
      </c>
      <c r="E457" s="92" t="s">
        <v>1128</v>
      </c>
      <c r="F457" s="7" t="str" cm="1">
        <f t="array" ref="F457">INDEX(공급업체코드!$B$3:$B$1000,MATCH(1,(E457=공급업체코드!$D$3:$D$1000)*1,0))</f>
        <v>VM_BKT</v>
      </c>
      <c r="G457" s="18" t="s">
        <v>1881</v>
      </c>
      <c r="H457" s="64"/>
      <c r="I457" s="64"/>
      <c r="J457" s="64"/>
      <c r="K457" s="300">
        <v>1.1000000000000001</v>
      </c>
      <c r="L457" s="300">
        <v>1.3</v>
      </c>
      <c r="M457" s="64">
        <v>414</v>
      </c>
      <c r="N457" s="64"/>
      <c r="O457" s="64"/>
      <c r="P457" s="64"/>
      <c r="Q457" s="64"/>
      <c r="R457" s="70"/>
      <c r="T457" s="64"/>
      <c r="X457">
        <v>0.123</v>
      </c>
      <c r="Y457" s="258" t="s">
        <v>1313</v>
      </c>
      <c r="AA457" s="259" t="s">
        <v>1314</v>
      </c>
      <c r="AB457" s="20" t="s">
        <v>1061</v>
      </c>
      <c r="AC457">
        <f t="shared" si="13"/>
        <v>2070000000</v>
      </c>
      <c r="AE457" s="18" t="s">
        <v>1315</v>
      </c>
      <c r="AF457" s="1" t="b">
        <v>1</v>
      </c>
    </row>
    <row r="458" spans="2:32" ht="16.5" customHeight="1">
      <c r="B458" s="1" t="str">
        <f t="shared" si="12"/>
        <v>M_TDIF04_VM_BKT_1.3_415</v>
      </c>
      <c r="C458" s="92" t="s">
        <v>700</v>
      </c>
      <c r="D458" s="92" t="str" cm="1">
        <f t="array" ref="D458">INDEX(기계코드!$D$4:$D$214,MATCH(1,(C458=기계코드!$F$4:$F$214)*1,0))</f>
        <v>M_TDIF04</v>
      </c>
      <c r="E458" s="92" t="s">
        <v>1128</v>
      </c>
      <c r="F458" s="7" t="str" cm="1">
        <f t="array" ref="F458">INDEX(공급업체코드!$B$3:$B$1000,MATCH(1,(E458=공급업체코드!$D$3:$D$1000)*1,0))</f>
        <v>VM_BKT</v>
      </c>
      <c r="G458" s="18" t="s">
        <v>1881</v>
      </c>
      <c r="H458" s="64"/>
      <c r="I458" s="64"/>
      <c r="J458" s="64"/>
      <c r="K458" s="300">
        <v>1.1000000000000001</v>
      </c>
      <c r="L458" s="300">
        <v>1.3</v>
      </c>
      <c r="M458" s="64">
        <v>415</v>
      </c>
      <c r="N458" s="64"/>
      <c r="O458" s="64"/>
      <c r="P458" s="64"/>
      <c r="Q458" s="64"/>
      <c r="R458" s="70"/>
      <c r="T458" s="64"/>
      <c r="X458">
        <v>0.123</v>
      </c>
      <c r="Y458" s="258" t="s">
        <v>1313</v>
      </c>
      <c r="AA458" s="259" t="s">
        <v>1314</v>
      </c>
      <c r="AB458" s="20" t="s">
        <v>1061</v>
      </c>
      <c r="AC458">
        <f t="shared" si="13"/>
        <v>2075000000</v>
      </c>
      <c r="AE458" s="18" t="s">
        <v>1315</v>
      </c>
      <c r="AF458" s="1" t="b">
        <v>1</v>
      </c>
    </row>
    <row r="459" spans="2:32" ht="16.5" customHeight="1">
      <c r="B459" s="1" t="str">
        <f t="shared" si="12"/>
        <v>M_TDIF04_VM_BKT_1.3_416</v>
      </c>
      <c r="C459" s="92" t="s">
        <v>700</v>
      </c>
      <c r="D459" s="92" t="str" cm="1">
        <f t="array" ref="D459">INDEX(기계코드!$D$4:$D$214,MATCH(1,(C459=기계코드!$F$4:$F$214)*1,0))</f>
        <v>M_TDIF04</v>
      </c>
      <c r="E459" s="92" t="s">
        <v>1128</v>
      </c>
      <c r="F459" s="7" t="str" cm="1">
        <f t="array" ref="F459">INDEX(공급업체코드!$B$3:$B$1000,MATCH(1,(E459=공급업체코드!$D$3:$D$1000)*1,0))</f>
        <v>VM_BKT</v>
      </c>
      <c r="G459" s="18" t="s">
        <v>1881</v>
      </c>
      <c r="H459" s="64"/>
      <c r="I459" s="64"/>
      <c r="J459" s="64"/>
      <c r="K459" s="300">
        <v>1.1000000000000001</v>
      </c>
      <c r="L459" s="300">
        <v>1.3</v>
      </c>
      <c r="M459" s="64">
        <v>416</v>
      </c>
      <c r="N459" s="64"/>
      <c r="O459" s="64"/>
      <c r="P459" s="64"/>
      <c r="Q459" s="64"/>
      <c r="R459" s="70"/>
      <c r="T459" s="64"/>
      <c r="X459">
        <v>0.123</v>
      </c>
      <c r="Y459" s="258" t="s">
        <v>1313</v>
      </c>
      <c r="AA459" s="259" t="s">
        <v>1314</v>
      </c>
      <c r="AB459" s="20" t="s">
        <v>1061</v>
      </c>
      <c r="AC459">
        <f t="shared" si="13"/>
        <v>2080000000</v>
      </c>
      <c r="AE459" s="18" t="s">
        <v>1315</v>
      </c>
      <c r="AF459" s="1" t="b">
        <v>1</v>
      </c>
    </row>
    <row r="460" spans="2:32" ht="16.5" customHeight="1">
      <c r="B460" s="1" t="str">
        <f t="shared" si="12"/>
        <v>M_TDIF04_VM_BKT_1.3_417</v>
      </c>
      <c r="C460" s="92" t="s">
        <v>700</v>
      </c>
      <c r="D460" s="92" t="str" cm="1">
        <f t="array" ref="D460">INDEX(기계코드!$D$4:$D$214,MATCH(1,(C460=기계코드!$F$4:$F$214)*1,0))</f>
        <v>M_TDIF04</v>
      </c>
      <c r="E460" s="92" t="s">
        <v>1128</v>
      </c>
      <c r="F460" s="7" t="str" cm="1">
        <f t="array" ref="F460">INDEX(공급업체코드!$B$3:$B$1000,MATCH(1,(E460=공급업체코드!$D$3:$D$1000)*1,0))</f>
        <v>VM_BKT</v>
      </c>
      <c r="G460" s="18" t="s">
        <v>1881</v>
      </c>
      <c r="H460" s="64"/>
      <c r="I460" s="64"/>
      <c r="J460" s="64"/>
      <c r="K460" s="300">
        <v>1.1000000000000001</v>
      </c>
      <c r="L460" s="300">
        <v>1.3</v>
      </c>
      <c r="M460" s="64">
        <v>417</v>
      </c>
      <c r="N460" s="64"/>
      <c r="O460" s="64"/>
      <c r="P460" s="64"/>
      <c r="Q460" s="64"/>
      <c r="R460" s="70"/>
      <c r="T460" s="64"/>
      <c r="X460">
        <v>0.123</v>
      </c>
      <c r="Y460" s="258" t="s">
        <v>1313</v>
      </c>
      <c r="AA460" s="259" t="s">
        <v>1314</v>
      </c>
      <c r="AB460" s="20" t="s">
        <v>1061</v>
      </c>
      <c r="AC460">
        <f t="shared" si="13"/>
        <v>2085000000</v>
      </c>
      <c r="AE460" s="18" t="s">
        <v>1315</v>
      </c>
      <c r="AF460" s="1" t="b">
        <v>1</v>
      </c>
    </row>
    <row r="461" spans="2:32" ht="16.5" customHeight="1">
      <c r="B461" s="1" t="str">
        <f t="shared" si="12"/>
        <v>M_TDIF04_VM_BKT_1.3_418</v>
      </c>
      <c r="C461" s="92" t="s">
        <v>700</v>
      </c>
      <c r="D461" s="92" t="str" cm="1">
        <f t="array" ref="D461">INDEX(기계코드!$D$4:$D$214,MATCH(1,(C461=기계코드!$F$4:$F$214)*1,0))</f>
        <v>M_TDIF04</v>
      </c>
      <c r="E461" s="92" t="s">
        <v>1128</v>
      </c>
      <c r="F461" s="7" t="str" cm="1">
        <f t="array" ref="F461">INDEX(공급업체코드!$B$3:$B$1000,MATCH(1,(E461=공급업체코드!$D$3:$D$1000)*1,0))</f>
        <v>VM_BKT</v>
      </c>
      <c r="G461" s="18" t="s">
        <v>1881</v>
      </c>
      <c r="H461" s="64"/>
      <c r="I461" s="64"/>
      <c r="J461" s="64"/>
      <c r="K461" s="300">
        <v>1.1000000000000001</v>
      </c>
      <c r="L461" s="300">
        <v>1.3</v>
      </c>
      <c r="M461" s="64">
        <v>418</v>
      </c>
      <c r="N461" s="64"/>
      <c r="O461" s="64"/>
      <c r="P461" s="64"/>
      <c r="Q461" s="64"/>
      <c r="R461" s="70"/>
      <c r="T461" s="64"/>
      <c r="X461">
        <v>0.123</v>
      </c>
      <c r="Y461" s="258" t="s">
        <v>1313</v>
      </c>
      <c r="AA461" s="259" t="s">
        <v>1314</v>
      </c>
      <c r="AB461" s="20" t="s">
        <v>1061</v>
      </c>
      <c r="AC461">
        <f t="shared" si="13"/>
        <v>2090000000</v>
      </c>
      <c r="AE461" s="18" t="s">
        <v>1315</v>
      </c>
      <c r="AF461" s="1" t="b">
        <v>1</v>
      </c>
    </row>
    <row r="462" spans="2:32" ht="16.5" customHeight="1">
      <c r="B462" s="1" t="str">
        <f t="shared" si="12"/>
        <v>M_TDIF04_VM_BKT_1.3_419</v>
      </c>
      <c r="C462" s="92" t="s">
        <v>700</v>
      </c>
      <c r="D462" s="92" t="str" cm="1">
        <f t="array" ref="D462">INDEX(기계코드!$D$4:$D$214,MATCH(1,(C462=기계코드!$F$4:$F$214)*1,0))</f>
        <v>M_TDIF04</v>
      </c>
      <c r="E462" s="92" t="s">
        <v>1128</v>
      </c>
      <c r="F462" s="7" t="str" cm="1">
        <f t="array" ref="F462">INDEX(공급업체코드!$B$3:$B$1000,MATCH(1,(E462=공급업체코드!$D$3:$D$1000)*1,0))</f>
        <v>VM_BKT</v>
      </c>
      <c r="G462" s="18" t="s">
        <v>1881</v>
      </c>
      <c r="H462" s="64"/>
      <c r="I462" s="64"/>
      <c r="J462" s="64"/>
      <c r="K462" s="300">
        <v>1.1000000000000001</v>
      </c>
      <c r="L462" s="300">
        <v>1.3</v>
      </c>
      <c r="M462" s="64">
        <v>419</v>
      </c>
      <c r="N462" s="64"/>
      <c r="O462" s="64"/>
      <c r="P462" s="64"/>
      <c r="Q462" s="64"/>
      <c r="R462" s="70"/>
      <c r="T462" s="64"/>
      <c r="X462">
        <v>0.123</v>
      </c>
      <c r="Y462" s="258" t="s">
        <v>1313</v>
      </c>
      <c r="AA462" s="259" t="s">
        <v>1314</v>
      </c>
      <c r="AB462" s="20" t="s">
        <v>1061</v>
      </c>
      <c r="AC462">
        <f t="shared" si="13"/>
        <v>2095000000</v>
      </c>
      <c r="AE462" s="18" t="s">
        <v>1315</v>
      </c>
      <c r="AF462" s="1" t="b">
        <v>1</v>
      </c>
    </row>
    <row r="463" spans="2:32" ht="16.5" customHeight="1">
      <c r="B463" s="1" t="str">
        <f t="shared" si="12"/>
        <v>M_TDIF04_VM_BKT_1.3_420</v>
      </c>
      <c r="C463" s="92" t="s">
        <v>700</v>
      </c>
      <c r="D463" s="92" t="str" cm="1">
        <f t="array" ref="D463">INDEX(기계코드!$D$4:$D$214,MATCH(1,(C463=기계코드!$F$4:$F$214)*1,0))</f>
        <v>M_TDIF04</v>
      </c>
      <c r="E463" s="92" t="s">
        <v>1128</v>
      </c>
      <c r="F463" s="7" t="str" cm="1">
        <f t="array" ref="F463">INDEX(공급업체코드!$B$3:$B$1000,MATCH(1,(E463=공급업체코드!$D$3:$D$1000)*1,0))</f>
        <v>VM_BKT</v>
      </c>
      <c r="G463" s="18" t="s">
        <v>1881</v>
      </c>
      <c r="H463" s="64"/>
      <c r="I463" s="64"/>
      <c r="J463" s="64"/>
      <c r="K463" s="300">
        <v>1.1000000000000001</v>
      </c>
      <c r="L463" s="300">
        <v>1.3</v>
      </c>
      <c r="M463" s="64">
        <v>420</v>
      </c>
      <c r="N463" s="64"/>
      <c r="O463" s="64"/>
      <c r="P463" s="64"/>
      <c r="Q463" s="64"/>
      <c r="R463" s="70"/>
      <c r="T463" s="64"/>
      <c r="X463">
        <v>0.123</v>
      </c>
      <c r="Y463" s="258" t="s">
        <v>1313</v>
      </c>
      <c r="AA463" s="259" t="s">
        <v>1314</v>
      </c>
      <c r="AB463" s="20" t="s">
        <v>1061</v>
      </c>
      <c r="AC463">
        <f t="shared" si="13"/>
        <v>2100000000</v>
      </c>
      <c r="AE463" s="18" t="s">
        <v>1315</v>
      </c>
      <c r="AF463" s="1" t="b">
        <v>1</v>
      </c>
    </row>
    <row r="464" spans="2:32" ht="16.5" customHeight="1">
      <c r="B464" s="1" t="str">
        <f t="shared" si="12"/>
        <v>M_TDIF04_VM_BKT_1.3_421</v>
      </c>
      <c r="C464" s="92" t="s">
        <v>700</v>
      </c>
      <c r="D464" s="92" t="str" cm="1">
        <f t="array" ref="D464">INDEX(기계코드!$D$4:$D$214,MATCH(1,(C464=기계코드!$F$4:$F$214)*1,0))</f>
        <v>M_TDIF04</v>
      </c>
      <c r="E464" s="92" t="s">
        <v>1128</v>
      </c>
      <c r="F464" s="7" t="str" cm="1">
        <f t="array" ref="F464">INDEX(공급업체코드!$B$3:$B$1000,MATCH(1,(E464=공급업체코드!$D$3:$D$1000)*1,0))</f>
        <v>VM_BKT</v>
      </c>
      <c r="G464" s="18" t="s">
        <v>1881</v>
      </c>
      <c r="H464" s="64"/>
      <c r="I464" s="64"/>
      <c r="J464" s="64"/>
      <c r="K464" s="300">
        <v>1.1000000000000001</v>
      </c>
      <c r="L464" s="300">
        <v>1.3</v>
      </c>
      <c r="M464" s="64">
        <v>421</v>
      </c>
      <c r="N464" s="64"/>
      <c r="O464" s="64"/>
      <c r="P464" s="64"/>
      <c r="Q464" s="64"/>
      <c r="R464" s="70"/>
      <c r="T464" s="64"/>
      <c r="X464">
        <v>0.123</v>
      </c>
      <c r="Y464" s="258" t="s">
        <v>1313</v>
      </c>
      <c r="AA464" s="259" t="s">
        <v>1314</v>
      </c>
      <c r="AB464" s="20" t="s">
        <v>1061</v>
      </c>
      <c r="AC464">
        <f t="shared" si="13"/>
        <v>2105000000</v>
      </c>
      <c r="AE464" s="18" t="s">
        <v>1315</v>
      </c>
      <c r="AF464" s="1" t="b">
        <v>1</v>
      </c>
    </row>
    <row r="465" spans="2:32" ht="16.5" customHeight="1">
      <c r="B465" s="1" t="str">
        <f t="shared" si="12"/>
        <v>M_TDIF04_VM_BKT_1.3_422</v>
      </c>
      <c r="C465" s="92" t="s">
        <v>700</v>
      </c>
      <c r="D465" s="92" t="str" cm="1">
        <f t="array" ref="D465">INDEX(기계코드!$D$4:$D$214,MATCH(1,(C465=기계코드!$F$4:$F$214)*1,0))</f>
        <v>M_TDIF04</v>
      </c>
      <c r="E465" s="92" t="s">
        <v>1128</v>
      </c>
      <c r="F465" s="7" t="str" cm="1">
        <f t="array" ref="F465">INDEX(공급업체코드!$B$3:$B$1000,MATCH(1,(E465=공급업체코드!$D$3:$D$1000)*1,0))</f>
        <v>VM_BKT</v>
      </c>
      <c r="G465" s="18" t="s">
        <v>1881</v>
      </c>
      <c r="H465" s="64"/>
      <c r="I465" s="64"/>
      <c r="J465" s="64"/>
      <c r="K465" s="300">
        <v>1.1000000000000001</v>
      </c>
      <c r="L465" s="300">
        <v>1.3</v>
      </c>
      <c r="M465" s="64">
        <v>422</v>
      </c>
      <c r="N465" s="64"/>
      <c r="O465" s="64"/>
      <c r="P465" s="64"/>
      <c r="Q465" s="64"/>
      <c r="R465" s="70"/>
      <c r="T465" s="64"/>
      <c r="X465">
        <v>0.123</v>
      </c>
      <c r="Y465" s="258" t="s">
        <v>1313</v>
      </c>
      <c r="AA465" s="259" t="s">
        <v>1314</v>
      </c>
      <c r="AB465" s="20" t="s">
        <v>1061</v>
      </c>
      <c r="AC465">
        <f t="shared" si="13"/>
        <v>2110000000</v>
      </c>
      <c r="AE465" s="18" t="s">
        <v>1315</v>
      </c>
      <c r="AF465" s="1" t="b">
        <v>1</v>
      </c>
    </row>
    <row r="466" spans="2:32" ht="16.5" customHeight="1">
      <c r="B466" s="1" t="str">
        <f t="shared" si="12"/>
        <v>M_TDIF04_VM_BKT_1.3_423</v>
      </c>
      <c r="C466" s="92" t="s">
        <v>700</v>
      </c>
      <c r="D466" s="92" t="str" cm="1">
        <f t="array" ref="D466">INDEX(기계코드!$D$4:$D$214,MATCH(1,(C466=기계코드!$F$4:$F$214)*1,0))</f>
        <v>M_TDIF04</v>
      </c>
      <c r="E466" s="92" t="s">
        <v>1128</v>
      </c>
      <c r="F466" s="7" t="str" cm="1">
        <f t="array" ref="F466">INDEX(공급업체코드!$B$3:$B$1000,MATCH(1,(E466=공급업체코드!$D$3:$D$1000)*1,0))</f>
        <v>VM_BKT</v>
      </c>
      <c r="G466" s="18" t="s">
        <v>1881</v>
      </c>
      <c r="H466" s="64"/>
      <c r="I466" s="64"/>
      <c r="J466" s="64"/>
      <c r="K466" s="300">
        <v>1.1000000000000001</v>
      </c>
      <c r="L466" s="300">
        <v>1.3</v>
      </c>
      <c r="M466" s="64">
        <v>423</v>
      </c>
      <c r="N466" s="64"/>
      <c r="O466" s="64"/>
      <c r="P466" s="64"/>
      <c r="Q466" s="64"/>
      <c r="R466" s="70"/>
      <c r="T466" s="64"/>
      <c r="X466">
        <v>0.123</v>
      </c>
      <c r="Y466" s="258" t="s">
        <v>1313</v>
      </c>
      <c r="AA466" s="259" t="s">
        <v>1314</v>
      </c>
      <c r="AB466" s="20" t="s">
        <v>1061</v>
      </c>
      <c r="AC466">
        <f t="shared" si="13"/>
        <v>2115000000</v>
      </c>
      <c r="AE466" s="18" t="s">
        <v>1315</v>
      </c>
      <c r="AF466" s="1" t="b">
        <v>1</v>
      </c>
    </row>
    <row r="467" spans="2:32" ht="16.5" customHeight="1">
      <c r="B467" s="1" t="str">
        <f t="shared" si="12"/>
        <v>M_TDIF04_VM_BKT_1.3_424</v>
      </c>
      <c r="C467" s="92" t="s">
        <v>700</v>
      </c>
      <c r="D467" s="92" t="str" cm="1">
        <f t="array" ref="D467">INDEX(기계코드!$D$4:$D$214,MATCH(1,(C467=기계코드!$F$4:$F$214)*1,0))</f>
        <v>M_TDIF04</v>
      </c>
      <c r="E467" s="92" t="s">
        <v>1128</v>
      </c>
      <c r="F467" s="7" t="str" cm="1">
        <f t="array" ref="F467">INDEX(공급업체코드!$B$3:$B$1000,MATCH(1,(E467=공급업체코드!$D$3:$D$1000)*1,0))</f>
        <v>VM_BKT</v>
      </c>
      <c r="G467" s="18" t="s">
        <v>1881</v>
      </c>
      <c r="H467" s="64"/>
      <c r="I467" s="64"/>
      <c r="J467" s="64"/>
      <c r="K467" s="300">
        <v>1.1000000000000001</v>
      </c>
      <c r="L467" s="300">
        <v>1.3</v>
      </c>
      <c r="M467" s="64">
        <v>424</v>
      </c>
      <c r="N467" s="64"/>
      <c r="O467" s="64"/>
      <c r="P467" s="64"/>
      <c r="Q467" s="64"/>
      <c r="R467" s="70"/>
      <c r="T467" s="64"/>
      <c r="X467">
        <v>0.123</v>
      </c>
      <c r="Y467" s="258" t="s">
        <v>1313</v>
      </c>
      <c r="AA467" s="259" t="s">
        <v>1314</v>
      </c>
      <c r="AB467" s="20" t="s">
        <v>1061</v>
      </c>
      <c r="AC467">
        <f t="shared" si="13"/>
        <v>2120000000</v>
      </c>
      <c r="AE467" s="18" t="s">
        <v>1315</v>
      </c>
      <c r="AF467" s="1" t="b">
        <v>1</v>
      </c>
    </row>
    <row r="468" spans="2:32" ht="16.5" customHeight="1">
      <c r="B468" s="1" t="str">
        <f t="shared" si="12"/>
        <v>M_TDIF04_VM_BKT_1.3_425</v>
      </c>
      <c r="C468" s="92" t="s">
        <v>700</v>
      </c>
      <c r="D468" s="92" t="str" cm="1">
        <f t="array" ref="D468">INDEX(기계코드!$D$4:$D$214,MATCH(1,(C468=기계코드!$F$4:$F$214)*1,0))</f>
        <v>M_TDIF04</v>
      </c>
      <c r="E468" s="92" t="s">
        <v>1128</v>
      </c>
      <c r="F468" s="7" t="str" cm="1">
        <f t="array" ref="F468">INDEX(공급업체코드!$B$3:$B$1000,MATCH(1,(E468=공급업체코드!$D$3:$D$1000)*1,0))</f>
        <v>VM_BKT</v>
      </c>
      <c r="G468" s="18" t="s">
        <v>1881</v>
      </c>
      <c r="H468" s="64"/>
      <c r="I468" s="64"/>
      <c r="J468" s="64"/>
      <c r="K468" s="300">
        <v>1.1000000000000001</v>
      </c>
      <c r="L468" s="300">
        <v>1.3</v>
      </c>
      <c r="M468" s="64">
        <v>425</v>
      </c>
      <c r="N468" s="64"/>
      <c r="O468" s="64"/>
      <c r="P468" s="64"/>
      <c r="Q468" s="64"/>
      <c r="R468" s="70"/>
      <c r="T468" s="64"/>
      <c r="X468">
        <v>0.123</v>
      </c>
      <c r="Y468" s="258" t="s">
        <v>1313</v>
      </c>
      <c r="AA468" s="259" t="s">
        <v>1314</v>
      </c>
      <c r="AB468" s="20" t="s">
        <v>1061</v>
      </c>
      <c r="AC468">
        <f t="shared" si="13"/>
        <v>2125000000</v>
      </c>
      <c r="AE468" s="18" t="s">
        <v>1315</v>
      </c>
      <c r="AF468" s="1" t="b">
        <v>1</v>
      </c>
    </row>
    <row r="469" spans="2:32" ht="16.5" customHeight="1">
      <c r="B469" s="1" t="str">
        <f t="shared" si="12"/>
        <v>M_TDIF04_VM_BKT_1.3_426</v>
      </c>
      <c r="C469" s="92" t="s">
        <v>700</v>
      </c>
      <c r="D469" s="92" t="str" cm="1">
        <f t="array" ref="D469">INDEX(기계코드!$D$4:$D$214,MATCH(1,(C469=기계코드!$F$4:$F$214)*1,0))</f>
        <v>M_TDIF04</v>
      </c>
      <c r="E469" s="92" t="s">
        <v>1128</v>
      </c>
      <c r="F469" s="7" t="str" cm="1">
        <f t="array" ref="F469">INDEX(공급업체코드!$B$3:$B$1000,MATCH(1,(E469=공급업체코드!$D$3:$D$1000)*1,0))</f>
        <v>VM_BKT</v>
      </c>
      <c r="G469" s="18" t="s">
        <v>1881</v>
      </c>
      <c r="H469" s="64"/>
      <c r="I469" s="64"/>
      <c r="J469" s="64"/>
      <c r="K469" s="300">
        <v>1.1000000000000001</v>
      </c>
      <c r="L469" s="300">
        <v>1.3</v>
      </c>
      <c r="M469" s="64">
        <v>426</v>
      </c>
      <c r="N469" s="64"/>
      <c r="O469" s="64"/>
      <c r="P469" s="64"/>
      <c r="Q469" s="64"/>
      <c r="R469" s="70"/>
      <c r="T469" s="64"/>
      <c r="X469">
        <v>0.123</v>
      </c>
      <c r="Y469" s="258" t="s">
        <v>1313</v>
      </c>
      <c r="AA469" s="259" t="s">
        <v>1314</v>
      </c>
      <c r="AB469" s="20" t="s">
        <v>1061</v>
      </c>
      <c r="AC469">
        <f t="shared" si="13"/>
        <v>2130000000</v>
      </c>
      <c r="AE469" s="18" t="s">
        <v>1315</v>
      </c>
      <c r="AF469" s="1" t="b">
        <v>1</v>
      </c>
    </row>
    <row r="470" spans="2:32" ht="16.5" customHeight="1">
      <c r="B470" s="1" t="str">
        <f t="shared" si="12"/>
        <v>M_TDIF04_VM_BKT_1.3_427</v>
      </c>
      <c r="C470" s="92" t="s">
        <v>700</v>
      </c>
      <c r="D470" s="92" t="str" cm="1">
        <f t="array" ref="D470">INDEX(기계코드!$D$4:$D$214,MATCH(1,(C470=기계코드!$F$4:$F$214)*1,0))</f>
        <v>M_TDIF04</v>
      </c>
      <c r="E470" s="92" t="s">
        <v>1128</v>
      </c>
      <c r="F470" s="7" t="str" cm="1">
        <f t="array" ref="F470">INDEX(공급업체코드!$B$3:$B$1000,MATCH(1,(E470=공급업체코드!$D$3:$D$1000)*1,0))</f>
        <v>VM_BKT</v>
      </c>
      <c r="G470" s="18" t="s">
        <v>1881</v>
      </c>
      <c r="H470" s="64"/>
      <c r="I470" s="64"/>
      <c r="J470" s="64"/>
      <c r="K470" s="300">
        <v>1.1000000000000001</v>
      </c>
      <c r="L470" s="300">
        <v>1.3</v>
      </c>
      <c r="M470" s="64">
        <v>427</v>
      </c>
      <c r="N470" s="64"/>
      <c r="O470" s="64"/>
      <c r="P470" s="64"/>
      <c r="Q470" s="64"/>
      <c r="R470" s="70"/>
      <c r="T470" s="64"/>
      <c r="X470">
        <v>0.123</v>
      </c>
      <c r="Y470" s="258" t="s">
        <v>1313</v>
      </c>
      <c r="AA470" s="259" t="s">
        <v>1314</v>
      </c>
      <c r="AB470" s="20" t="s">
        <v>1061</v>
      </c>
      <c r="AC470">
        <f t="shared" si="13"/>
        <v>2135000000</v>
      </c>
      <c r="AE470" s="18" t="s">
        <v>1315</v>
      </c>
      <c r="AF470" s="1" t="b">
        <v>1</v>
      </c>
    </row>
    <row r="471" spans="2:32" ht="16.5" customHeight="1">
      <c r="B471" s="1" t="str">
        <f t="shared" si="12"/>
        <v>M_TDIF04_VM_BKT_1.3_428</v>
      </c>
      <c r="C471" s="92" t="s">
        <v>700</v>
      </c>
      <c r="D471" s="92" t="str" cm="1">
        <f t="array" ref="D471">INDEX(기계코드!$D$4:$D$214,MATCH(1,(C471=기계코드!$F$4:$F$214)*1,0))</f>
        <v>M_TDIF04</v>
      </c>
      <c r="E471" s="92" t="s">
        <v>1128</v>
      </c>
      <c r="F471" s="7" t="str" cm="1">
        <f t="array" ref="F471">INDEX(공급업체코드!$B$3:$B$1000,MATCH(1,(E471=공급업체코드!$D$3:$D$1000)*1,0))</f>
        <v>VM_BKT</v>
      </c>
      <c r="G471" s="18" t="s">
        <v>1881</v>
      </c>
      <c r="H471" s="64"/>
      <c r="I471" s="64"/>
      <c r="J471" s="64"/>
      <c r="K471" s="300">
        <v>1.1000000000000001</v>
      </c>
      <c r="L471" s="300">
        <v>1.3</v>
      </c>
      <c r="M471" s="64">
        <v>428</v>
      </c>
      <c r="N471" s="64"/>
      <c r="O471" s="64"/>
      <c r="P471" s="64"/>
      <c r="Q471" s="64"/>
      <c r="R471" s="70"/>
      <c r="T471" s="64"/>
      <c r="X471">
        <v>0.123</v>
      </c>
      <c r="Y471" s="258" t="s">
        <v>1313</v>
      </c>
      <c r="AA471" s="259" t="s">
        <v>1314</v>
      </c>
      <c r="AB471" s="20" t="s">
        <v>1061</v>
      </c>
      <c r="AC471">
        <f t="shared" si="13"/>
        <v>2140000000</v>
      </c>
      <c r="AE471" s="18" t="s">
        <v>1315</v>
      </c>
      <c r="AF471" s="1" t="b">
        <v>1</v>
      </c>
    </row>
    <row r="472" spans="2:32" ht="16.5" customHeight="1">
      <c r="B472" s="1" t="str">
        <f t="shared" si="12"/>
        <v>M_TDIF04_VM_BKT_1.3_429</v>
      </c>
      <c r="C472" s="92" t="s">
        <v>700</v>
      </c>
      <c r="D472" s="92" t="str" cm="1">
        <f t="array" ref="D472">INDEX(기계코드!$D$4:$D$214,MATCH(1,(C472=기계코드!$F$4:$F$214)*1,0))</f>
        <v>M_TDIF04</v>
      </c>
      <c r="E472" s="92" t="s">
        <v>1128</v>
      </c>
      <c r="F472" s="7" t="str" cm="1">
        <f t="array" ref="F472">INDEX(공급업체코드!$B$3:$B$1000,MATCH(1,(E472=공급업체코드!$D$3:$D$1000)*1,0))</f>
        <v>VM_BKT</v>
      </c>
      <c r="G472" s="18" t="s">
        <v>1881</v>
      </c>
      <c r="H472" s="64"/>
      <c r="I472" s="64"/>
      <c r="J472" s="64"/>
      <c r="K472" s="300">
        <v>1.1000000000000001</v>
      </c>
      <c r="L472" s="300">
        <v>1.3</v>
      </c>
      <c r="M472" s="64">
        <v>429</v>
      </c>
      <c r="N472" s="64"/>
      <c r="O472" s="64"/>
      <c r="P472" s="64"/>
      <c r="Q472" s="64"/>
      <c r="R472" s="70"/>
      <c r="T472" s="64"/>
      <c r="X472">
        <v>0.123</v>
      </c>
      <c r="Y472" s="258" t="s">
        <v>1313</v>
      </c>
      <c r="AA472" s="259" t="s">
        <v>1314</v>
      </c>
      <c r="AB472" s="20" t="s">
        <v>1061</v>
      </c>
      <c r="AC472">
        <f t="shared" si="13"/>
        <v>2145000000</v>
      </c>
      <c r="AE472" s="18" t="s">
        <v>1315</v>
      </c>
      <c r="AF472" s="1" t="b">
        <v>1</v>
      </c>
    </row>
    <row r="473" spans="2:32" ht="16.5" customHeight="1">
      <c r="B473" s="1" t="str">
        <f t="shared" si="12"/>
        <v>M_TDIF04_VM_BKT_1.3_430</v>
      </c>
      <c r="C473" s="92" t="s">
        <v>700</v>
      </c>
      <c r="D473" s="92" t="str" cm="1">
        <f t="array" ref="D473">INDEX(기계코드!$D$4:$D$214,MATCH(1,(C473=기계코드!$F$4:$F$214)*1,0))</f>
        <v>M_TDIF04</v>
      </c>
      <c r="E473" s="92" t="s">
        <v>1128</v>
      </c>
      <c r="F473" s="7" t="str" cm="1">
        <f t="array" ref="F473">INDEX(공급업체코드!$B$3:$B$1000,MATCH(1,(E473=공급업체코드!$D$3:$D$1000)*1,0))</f>
        <v>VM_BKT</v>
      </c>
      <c r="G473" s="18" t="s">
        <v>1881</v>
      </c>
      <c r="H473" s="64"/>
      <c r="I473" s="64"/>
      <c r="J473" s="64"/>
      <c r="K473" s="300">
        <v>1.1000000000000001</v>
      </c>
      <c r="L473" s="300">
        <v>1.3</v>
      </c>
      <c r="M473" s="64">
        <v>430</v>
      </c>
      <c r="N473" s="64"/>
      <c r="O473" s="64"/>
      <c r="P473" s="64"/>
      <c r="Q473" s="64"/>
      <c r="R473" s="70"/>
      <c r="T473" s="64"/>
      <c r="X473">
        <v>0.123</v>
      </c>
      <c r="Y473" s="258" t="s">
        <v>1313</v>
      </c>
      <c r="AA473" s="259" t="s">
        <v>1314</v>
      </c>
      <c r="AB473" s="20" t="s">
        <v>1061</v>
      </c>
      <c r="AC473">
        <f t="shared" si="13"/>
        <v>2150000000</v>
      </c>
      <c r="AE473" s="18" t="s">
        <v>1315</v>
      </c>
      <c r="AF473" s="1" t="b">
        <v>1</v>
      </c>
    </row>
    <row r="474" spans="2:32" ht="16.5" customHeight="1">
      <c r="B474" s="1" t="str">
        <f t="shared" si="12"/>
        <v>M_TDIF04_VM_BKT_1.3_431</v>
      </c>
      <c r="C474" s="92" t="s">
        <v>700</v>
      </c>
      <c r="D474" s="92" t="str" cm="1">
        <f t="array" ref="D474">INDEX(기계코드!$D$4:$D$214,MATCH(1,(C474=기계코드!$F$4:$F$214)*1,0))</f>
        <v>M_TDIF04</v>
      </c>
      <c r="E474" s="92" t="s">
        <v>1128</v>
      </c>
      <c r="F474" s="7" t="str" cm="1">
        <f t="array" ref="F474">INDEX(공급업체코드!$B$3:$B$1000,MATCH(1,(E474=공급업체코드!$D$3:$D$1000)*1,0))</f>
        <v>VM_BKT</v>
      </c>
      <c r="G474" s="18" t="s">
        <v>1881</v>
      </c>
      <c r="H474" s="64"/>
      <c r="I474" s="64"/>
      <c r="J474" s="64"/>
      <c r="K474" s="300">
        <v>1.1000000000000001</v>
      </c>
      <c r="L474" s="300">
        <v>1.3</v>
      </c>
      <c r="M474" s="64">
        <v>431</v>
      </c>
      <c r="N474" s="64"/>
      <c r="O474" s="64"/>
      <c r="P474" s="64"/>
      <c r="Q474" s="64"/>
      <c r="R474" s="70"/>
      <c r="T474" s="64"/>
      <c r="X474">
        <v>0.123</v>
      </c>
      <c r="Y474" s="258" t="s">
        <v>1313</v>
      </c>
      <c r="AA474" s="259" t="s">
        <v>1314</v>
      </c>
      <c r="AB474" s="20" t="s">
        <v>1061</v>
      </c>
      <c r="AC474">
        <f t="shared" si="13"/>
        <v>2155000000</v>
      </c>
      <c r="AE474" s="18" t="s">
        <v>1315</v>
      </c>
      <c r="AF474" s="1" t="b">
        <v>1</v>
      </c>
    </row>
    <row r="475" spans="2:32" ht="16.5" customHeight="1">
      <c r="B475" s="1" t="str">
        <f t="shared" si="12"/>
        <v>M_TDIF04_VM_BKT_1.3_432</v>
      </c>
      <c r="C475" s="92" t="s">
        <v>700</v>
      </c>
      <c r="D475" s="92" t="str" cm="1">
        <f t="array" ref="D475">INDEX(기계코드!$D$4:$D$214,MATCH(1,(C475=기계코드!$F$4:$F$214)*1,0))</f>
        <v>M_TDIF04</v>
      </c>
      <c r="E475" s="92" t="s">
        <v>1128</v>
      </c>
      <c r="F475" s="7" t="str" cm="1">
        <f t="array" ref="F475">INDEX(공급업체코드!$B$3:$B$1000,MATCH(1,(E475=공급업체코드!$D$3:$D$1000)*1,0))</f>
        <v>VM_BKT</v>
      </c>
      <c r="G475" s="18" t="s">
        <v>1881</v>
      </c>
      <c r="H475" s="64"/>
      <c r="I475" s="64"/>
      <c r="J475" s="64"/>
      <c r="K475" s="300">
        <v>1.1000000000000001</v>
      </c>
      <c r="L475" s="300">
        <v>1.3</v>
      </c>
      <c r="M475" s="64">
        <v>432</v>
      </c>
      <c r="N475" s="64"/>
      <c r="O475" s="64"/>
      <c r="P475" s="64"/>
      <c r="Q475" s="64"/>
      <c r="R475" s="70"/>
      <c r="T475" s="64"/>
      <c r="X475">
        <v>0.123</v>
      </c>
      <c r="Y475" s="258" t="s">
        <v>1313</v>
      </c>
      <c r="AA475" s="259" t="s">
        <v>1314</v>
      </c>
      <c r="AB475" s="20" t="s">
        <v>1061</v>
      </c>
      <c r="AC475">
        <f t="shared" si="13"/>
        <v>2160000000</v>
      </c>
      <c r="AE475" s="18" t="s">
        <v>1315</v>
      </c>
      <c r="AF475" s="1" t="b">
        <v>1</v>
      </c>
    </row>
    <row r="476" spans="2:32" ht="16.5" customHeight="1">
      <c r="B476" s="1" t="str">
        <f t="shared" si="12"/>
        <v>M_TDIF04_VM_BKT_1.3_433</v>
      </c>
      <c r="C476" s="92" t="s">
        <v>700</v>
      </c>
      <c r="D476" s="92" t="str" cm="1">
        <f t="array" ref="D476">INDEX(기계코드!$D$4:$D$214,MATCH(1,(C476=기계코드!$F$4:$F$214)*1,0))</f>
        <v>M_TDIF04</v>
      </c>
      <c r="E476" s="92" t="s">
        <v>1128</v>
      </c>
      <c r="F476" s="7" t="str" cm="1">
        <f t="array" ref="F476">INDEX(공급업체코드!$B$3:$B$1000,MATCH(1,(E476=공급업체코드!$D$3:$D$1000)*1,0))</f>
        <v>VM_BKT</v>
      </c>
      <c r="G476" s="18" t="s">
        <v>1881</v>
      </c>
      <c r="H476" s="64"/>
      <c r="I476" s="64"/>
      <c r="J476" s="64"/>
      <c r="K476" s="300">
        <v>1.1000000000000001</v>
      </c>
      <c r="L476" s="300">
        <v>1.3</v>
      </c>
      <c r="M476" s="64">
        <v>433</v>
      </c>
      <c r="N476" s="64"/>
      <c r="O476" s="64"/>
      <c r="P476" s="64"/>
      <c r="Q476" s="64"/>
      <c r="R476" s="70"/>
      <c r="T476" s="64"/>
      <c r="X476">
        <v>0.123</v>
      </c>
      <c r="Y476" s="258" t="s">
        <v>1313</v>
      </c>
      <c r="AA476" s="259" t="s">
        <v>1314</v>
      </c>
      <c r="AB476" s="20" t="s">
        <v>1061</v>
      </c>
      <c r="AC476">
        <f t="shared" si="13"/>
        <v>2165000000</v>
      </c>
      <c r="AE476" s="18" t="s">
        <v>1315</v>
      </c>
      <c r="AF476" s="1" t="b">
        <v>1</v>
      </c>
    </row>
    <row r="477" spans="2:32" ht="16.5" customHeight="1">
      <c r="B477" s="1" t="str">
        <f t="shared" si="12"/>
        <v>M_TDIF04_VM_BKT_1.3_434</v>
      </c>
      <c r="C477" s="92" t="s">
        <v>700</v>
      </c>
      <c r="D477" s="92" t="str" cm="1">
        <f t="array" ref="D477">INDEX(기계코드!$D$4:$D$214,MATCH(1,(C477=기계코드!$F$4:$F$214)*1,0))</f>
        <v>M_TDIF04</v>
      </c>
      <c r="E477" s="92" t="s">
        <v>1128</v>
      </c>
      <c r="F477" s="7" t="str" cm="1">
        <f t="array" ref="F477">INDEX(공급업체코드!$B$3:$B$1000,MATCH(1,(E477=공급업체코드!$D$3:$D$1000)*1,0))</f>
        <v>VM_BKT</v>
      </c>
      <c r="G477" s="18" t="s">
        <v>1881</v>
      </c>
      <c r="H477" s="64"/>
      <c r="I477" s="64"/>
      <c r="J477" s="64"/>
      <c r="K477" s="300">
        <v>1.1000000000000001</v>
      </c>
      <c r="L477" s="300">
        <v>1.3</v>
      </c>
      <c r="M477" s="64">
        <v>434</v>
      </c>
      <c r="N477" s="64"/>
      <c r="O477" s="64"/>
      <c r="P477" s="64"/>
      <c r="Q477" s="64"/>
      <c r="R477" s="70"/>
      <c r="T477" s="64"/>
      <c r="X477">
        <v>0.123</v>
      </c>
      <c r="Y477" s="258" t="s">
        <v>1313</v>
      </c>
      <c r="AA477" s="259" t="s">
        <v>1314</v>
      </c>
      <c r="AB477" s="20" t="s">
        <v>1061</v>
      </c>
      <c r="AC477">
        <f t="shared" si="13"/>
        <v>2170000000</v>
      </c>
      <c r="AE477" s="18" t="s">
        <v>1315</v>
      </c>
      <c r="AF477" s="1" t="b">
        <v>1</v>
      </c>
    </row>
    <row r="478" spans="2:32" ht="16.5" customHeight="1">
      <c r="B478" s="1" t="str">
        <f t="shared" si="12"/>
        <v>M_TDIF04_VM_BKT_1.3_435</v>
      </c>
      <c r="C478" s="92" t="s">
        <v>700</v>
      </c>
      <c r="D478" s="92" t="str" cm="1">
        <f t="array" ref="D478">INDEX(기계코드!$D$4:$D$214,MATCH(1,(C478=기계코드!$F$4:$F$214)*1,0))</f>
        <v>M_TDIF04</v>
      </c>
      <c r="E478" s="92" t="s">
        <v>1128</v>
      </c>
      <c r="F478" s="7" t="str" cm="1">
        <f t="array" ref="F478">INDEX(공급업체코드!$B$3:$B$1000,MATCH(1,(E478=공급업체코드!$D$3:$D$1000)*1,0))</f>
        <v>VM_BKT</v>
      </c>
      <c r="G478" s="18" t="s">
        <v>1881</v>
      </c>
      <c r="H478" s="64"/>
      <c r="I478" s="64"/>
      <c r="J478" s="64"/>
      <c r="K478" s="300">
        <v>1.1000000000000001</v>
      </c>
      <c r="L478" s="300">
        <v>1.3</v>
      </c>
      <c r="M478" s="64">
        <v>435</v>
      </c>
      <c r="N478" s="64"/>
      <c r="O478" s="64"/>
      <c r="P478" s="64"/>
      <c r="Q478" s="64"/>
      <c r="R478" s="70"/>
      <c r="T478" s="64"/>
      <c r="X478">
        <v>0.123</v>
      </c>
      <c r="Y478" s="258" t="s">
        <v>1313</v>
      </c>
      <c r="AA478" s="259" t="s">
        <v>1314</v>
      </c>
      <c r="AB478" s="20" t="s">
        <v>1061</v>
      </c>
      <c r="AC478">
        <f t="shared" si="13"/>
        <v>2175000000</v>
      </c>
      <c r="AE478" s="18" t="s">
        <v>1315</v>
      </c>
      <c r="AF478" s="1" t="b">
        <v>1</v>
      </c>
    </row>
    <row r="479" spans="2:32" ht="16.5" customHeight="1">
      <c r="B479" s="1" t="str">
        <f t="shared" si="12"/>
        <v>M_TDIF04_VM_BKT_1.3_436</v>
      </c>
      <c r="C479" s="92" t="s">
        <v>700</v>
      </c>
      <c r="D479" s="92" t="str" cm="1">
        <f t="array" ref="D479">INDEX(기계코드!$D$4:$D$214,MATCH(1,(C479=기계코드!$F$4:$F$214)*1,0))</f>
        <v>M_TDIF04</v>
      </c>
      <c r="E479" s="92" t="s">
        <v>1128</v>
      </c>
      <c r="F479" s="7" t="str" cm="1">
        <f t="array" ref="F479">INDEX(공급업체코드!$B$3:$B$1000,MATCH(1,(E479=공급업체코드!$D$3:$D$1000)*1,0))</f>
        <v>VM_BKT</v>
      </c>
      <c r="G479" s="18" t="s">
        <v>1881</v>
      </c>
      <c r="H479" s="64"/>
      <c r="I479" s="64"/>
      <c r="J479" s="64"/>
      <c r="K479" s="300">
        <v>1.1000000000000001</v>
      </c>
      <c r="L479" s="300">
        <v>1.3</v>
      </c>
      <c r="M479" s="64">
        <v>436</v>
      </c>
      <c r="N479" s="64"/>
      <c r="O479" s="64"/>
      <c r="P479" s="64"/>
      <c r="Q479" s="64"/>
      <c r="R479" s="70"/>
      <c r="T479" s="64"/>
      <c r="X479">
        <v>0.123</v>
      </c>
      <c r="Y479" s="258" t="s">
        <v>1313</v>
      </c>
      <c r="AA479" s="259" t="s">
        <v>1314</v>
      </c>
      <c r="AB479" s="20" t="s">
        <v>1061</v>
      </c>
      <c r="AC479">
        <f t="shared" si="13"/>
        <v>2180000000</v>
      </c>
      <c r="AE479" s="18" t="s">
        <v>1315</v>
      </c>
      <c r="AF479" s="1" t="b">
        <v>1</v>
      </c>
    </row>
    <row r="480" spans="2:32" ht="16.5" customHeight="1">
      <c r="B480" s="1" t="str">
        <f t="shared" si="12"/>
        <v>M_TDIF04_VM_BKT_1.3_437</v>
      </c>
      <c r="C480" s="92" t="s">
        <v>700</v>
      </c>
      <c r="D480" s="92" t="str" cm="1">
        <f t="array" ref="D480">INDEX(기계코드!$D$4:$D$214,MATCH(1,(C480=기계코드!$F$4:$F$214)*1,0))</f>
        <v>M_TDIF04</v>
      </c>
      <c r="E480" s="92" t="s">
        <v>1128</v>
      </c>
      <c r="F480" s="7" t="str" cm="1">
        <f t="array" ref="F480">INDEX(공급업체코드!$B$3:$B$1000,MATCH(1,(E480=공급업체코드!$D$3:$D$1000)*1,0))</f>
        <v>VM_BKT</v>
      </c>
      <c r="G480" s="18" t="s">
        <v>1881</v>
      </c>
      <c r="H480" s="64"/>
      <c r="I480" s="64"/>
      <c r="J480" s="64"/>
      <c r="K480" s="300">
        <v>1.1000000000000001</v>
      </c>
      <c r="L480" s="300">
        <v>1.3</v>
      </c>
      <c r="M480" s="64">
        <v>437</v>
      </c>
      <c r="N480" s="64"/>
      <c r="O480" s="64"/>
      <c r="P480" s="64"/>
      <c r="Q480" s="64"/>
      <c r="R480" s="70"/>
      <c r="T480" s="64"/>
      <c r="X480">
        <v>0.123</v>
      </c>
      <c r="Y480" s="258" t="s">
        <v>1313</v>
      </c>
      <c r="AA480" s="259" t="s">
        <v>1314</v>
      </c>
      <c r="AB480" s="20" t="s">
        <v>1061</v>
      </c>
      <c r="AC480">
        <f t="shared" si="13"/>
        <v>2185000000</v>
      </c>
      <c r="AE480" s="18" t="s">
        <v>1315</v>
      </c>
      <c r="AF480" s="1" t="b">
        <v>1</v>
      </c>
    </row>
    <row r="481" spans="2:32" ht="16.5" customHeight="1">
      <c r="B481" s="1" t="str">
        <f t="shared" si="12"/>
        <v>M_TDIF04_VM_BKT_1.3_438</v>
      </c>
      <c r="C481" s="92" t="s">
        <v>700</v>
      </c>
      <c r="D481" s="92" t="str" cm="1">
        <f t="array" ref="D481">INDEX(기계코드!$D$4:$D$214,MATCH(1,(C481=기계코드!$F$4:$F$214)*1,0))</f>
        <v>M_TDIF04</v>
      </c>
      <c r="E481" s="92" t="s">
        <v>1128</v>
      </c>
      <c r="F481" s="7" t="str" cm="1">
        <f t="array" ref="F481">INDEX(공급업체코드!$B$3:$B$1000,MATCH(1,(E481=공급업체코드!$D$3:$D$1000)*1,0))</f>
        <v>VM_BKT</v>
      </c>
      <c r="G481" s="18" t="s">
        <v>1881</v>
      </c>
      <c r="H481" s="64"/>
      <c r="I481" s="64"/>
      <c r="J481" s="64"/>
      <c r="K481" s="300">
        <v>1.1000000000000001</v>
      </c>
      <c r="L481" s="300">
        <v>1.3</v>
      </c>
      <c r="M481" s="64">
        <v>438</v>
      </c>
      <c r="N481" s="64"/>
      <c r="O481" s="64"/>
      <c r="P481" s="64"/>
      <c r="Q481" s="64"/>
      <c r="R481" s="70"/>
      <c r="T481" s="64"/>
      <c r="X481">
        <v>0.123</v>
      </c>
      <c r="Y481" s="258" t="s">
        <v>1313</v>
      </c>
      <c r="AA481" s="259" t="s">
        <v>1314</v>
      </c>
      <c r="AB481" s="20" t="s">
        <v>1061</v>
      </c>
      <c r="AC481">
        <f t="shared" si="13"/>
        <v>2190000000</v>
      </c>
      <c r="AE481" s="18" t="s">
        <v>1315</v>
      </c>
      <c r="AF481" s="1" t="b">
        <v>1</v>
      </c>
    </row>
    <row r="482" spans="2:32" ht="16.5" customHeight="1">
      <c r="B482" s="1" t="str">
        <f t="shared" si="12"/>
        <v>M_TDIF04_VM_BKT_1.3_439</v>
      </c>
      <c r="C482" s="92" t="s">
        <v>700</v>
      </c>
      <c r="D482" s="92" t="str" cm="1">
        <f t="array" ref="D482">INDEX(기계코드!$D$4:$D$214,MATCH(1,(C482=기계코드!$F$4:$F$214)*1,0))</f>
        <v>M_TDIF04</v>
      </c>
      <c r="E482" s="92" t="s">
        <v>1128</v>
      </c>
      <c r="F482" s="7" t="str" cm="1">
        <f t="array" ref="F482">INDEX(공급업체코드!$B$3:$B$1000,MATCH(1,(E482=공급업체코드!$D$3:$D$1000)*1,0))</f>
        <v>VM_BKT</v>
      </c>
      <c r="G482" s="18" t="s">
        <v>1881</v>
      </c>
      <c r="H482" s="64"/>
      <c r="I482" s="64"/>
      <c r="J482" s="64"/>
      <c r="K482" s="300">
        <v>1.1000000000000001</v>
      </c>
      <c r="L482" s="300">
        <v>1.3</v>
      </c>
      <c r="M482" s="64">
        <v>439</v>
      </c>
      <c r="N482" s="64"/>
      <c r="O482" s="64"/>
      <c r="P482" s="64"/>
      <c r="Q482" s="64"/>
      <c r="R482" s="70"/>
      <c r="T482" s="64"/>
      <c r="X482">
        <v>0.123</v>
      </c>
      <c r="Y482" s="258" t="s">
        <v>1313</v>
      </c>
      <c r="AA482" s="259" t="s">
        <v>1314</v>
      </c>
      <c r="AB482" s="20" t="s">
        <v>1061</v>
      </c>
      <c r="AC482">
        <f t="shared" si="13"/>
        <v>2195000000</v>
      </c>
      <c r="AE482" s="18" t="s">
        <v>1315</v>
      </c>
      <c r="AF482" s="1" t="b">
        <v>1</v>
      </c>
    </row>
    <row r="483" spans="2:32" ht="16.5" customHeight="1">
      <c r="B483" s="1" t="str">
        <f t="shared" si="12"/>
        <v>M_TDIF04_VM_BKT_1.3_440</v>
      </c>
      <c r="C483" s="92" t="s">
        <v>700</v>
      </c>
      <c r="D483" s="92" t="str" cm="1">
        <f t="array" ref="D483">INDEX(기계코드!$D$4:$D$214,MATCH(1,(C483=기계코드!$F$4:$F$214)*1,0))</f>
        <v>M_TDIF04</v>
      </c>
      <c r="E483" s="92" t="s">
        <v>1128</v>
      </c>
      <c r="F483" s="7" t="str" cm="1">
        <f t="array" ref="F483">INDEX(공급업체코드!$B$3:$B$1000,MATCH(1,(E483=공급업체코드!$D$3:$D$1000)*1,0))</f>
        <v>VM_BKT</v>
      </c>
      <c r="G483" s="18" t="s">
        <v>1881</v>
      </c>
      <c r="H483" s="64"/>
      <c r="I483" s="64"/>
      <c r="J483" s="64"/>
      <c r="K483" s="300">
        <v>1.1000000000000001</v>
      </c>
      <c r="L483" s="300">
        <v>1.3</v>
      </c>
      <c r="M483" s="64">
        <v>440</v>
      </c>
      <c r="N483" s="64"/>
      <c r="O483" s="64"/>
      <c r="P483" s="64"/>
      <c r="Q483" s="64"/>
      <c r="R483" s="70"/>
      <c r="T483" s="64"/>
      <c r="X483">
        <v>0.123</v>
      </c>
      <c r="Y483" s="258" t="s">
        <v>1313</v>
      </c>
      <c r="AA483" s="259" t="s">
        <v>1314</v>
      </c>
      <c r="AB483" s="20" t="s">
        <v>1061</v>
      </c>
      <c r="AC483">
        <f t="shared" si="13"/>
        <v>2200000000</v>
      </c>
      <c r="AE483" s="18" t="s">
        <v>1315</v>
      </c>
      <c r="AF483" s="1" t="b">
        <v>1</v>
      </c>
    </row>
    <row r="484" spans="2:32" ht="16.5" customHeight="1">
      <c r="B484" s="1" t="str">
        <f t="shared" si="12"/>
        <v>M_TDIF04_VM_BKT_1.3_441</v>
      </c>
      <c r="C484" s="92" t="s">
        <v>700</v>
      </c>
      <c r="D484" s="92" t="str" cm="1">
        <f t="array" ref="D484">INDEX(기계코드!$D$4:$D$214,MATCH(1,(C484=기계코드!$F$4:$F$214)*1,0))</f>
        <v>M_TDIF04</v>
      </c>
      <c r="E484" s="92" t="s">
        <v>1128</v>
      </c>
      <c r="F484" s="7" t="str" cm="1">
        <f t="array" ref="F484">INDEX(공급업체코드!$B$3:$B$1000,MATCH(1,(E484=공급업체코드!$D$3:$D$1000)*1,0))</f>
        <v>VM_BKT</v>
      </c>
      <c r="G484" s="18" t="s">
        <v>1881</v>
      </c>
      <c r="H484" s="64"/>
      <c r="I484" s="64"/>
      <c r="J484" s="64"/>
      <c r="K484" s="300">
        <v>1.1000000000000001</v>
      </c>
      <c r="L484" s="300">
        <v>1.3</v>
      </c>
      <c r="M484" s="64">
        <v>441</v>
      </c>
      <c r="N484" s="64"/>
      <c r="O484" s="64"/>
      <c r="P484" s="64"/>
      <c r="Q484" s="64"/>
      <c r="R484" s="70"/>
      <c r="T484" s="64"/>
      <c r="X484">
        <v>0.123</v>
      </c>
      <c r="Y484" s="258" t="s">
        <v>1313</v>
      </c>
      <c r="AA484" s="259" t="s">
        <v>1314</v>
      </c>
      <c r="AB484" s="20" t="s">
        <v>1061</v>
      </c>
      <c r="AC484">
        <f t="shared" si="13"/>
        <v>2205000000</v>
      </c>
      <c r="AE484" s="18" t="s">
        <v>1315</v>
      </c>
      <c r="AF484" s="1" t="b">
        <v>1</v>
      </c>
    </row>
    <row r="485" spans="2:32" ht="16.5" customHeight="1">
      <c r="B485" s="1" t="str">
        <f t="shared" si="12"/>
        <v>M_TDIF04_VM_BKT_1.3_442</v>
      </c>
      <c r="C485" s="92" t="s">
        <v>700</v>
      </c>
      <c r="D485" s="92" t="str" cm="1">
        <f t="array" ref="D485">INDEX(기계코드!$D$4:$D$214,MATCH(1,(C485=기계코드!$F$4:$F$214)*1,0))</f>
        <v>M_TDIF04</v>
      </c>
      <c r="E485" s="92" t="s">
        <v>1128</v>
      </c>
      <c r="F485" s="7" t="str" cm="1">
        <f t="array" ref="F485">INDEX(공급업체코드!$B$3:$B$1000,MATCH(1,(E485=공급업체코드!$D$3:$D$1000)*1,0))</f>
        <v>VM_BKT</v>
      </c>
      <c r="G485" s="18" t="s">
        <v>1881</v>
      </c>
      <c r="H485" s="64"/>
      <c r="I485" s="64"/>
      <c r="J485" s="64"/>
      <c r="K485" s="300">
        <v>1.1000000000000001</v>
      </c>
      <c r="L485" s="300">
        <v>1.3</v>
      </c>
      <c r="M485" s="64">
        <v>442</v>
      </c>
      <c r="N485" s="64"/>
      <c r="O485" s="64"/>
      <c r="P485" s="64"/>
      <c r="Q485" s="64"/>
      <c r="R485" s="70"/>
      <c r="T485" s="64"/>
      <c r="X485">
        <v>0.123</v>
      </c>
      <c r="Y485" s="258" t="s">
        <v>1313</v>
      </c>
      <c r="AA485" s="259" t="s">
        <v>1314</v>
      </c>
      <c r="AB485" s="20" t="s">
        <v>1061</v>
      </c>
      <c r="AC485">
        <f t="shared" si="13"/>
        <v>2210000000</v>
      </c>
      <c r="AE485" s="18" t="s">
        <v>1315</v>
      </c>
      <c r="AF485" s="1" t="b">
        <v>1</v>
      </c>
    </row>
    <row r="486" spans="2:32" ht="16.5" customHeight="1">
      <c r="B486" s="1" t="str">
        <f t="shared" si="12"/>
        <v>M_TDIF04_VM_BKT_1.3_443</v>
      </c>
      <c r="C486" s="92" t="s">
        <v>700</v>
      </c>
      <c r="D486" s="92" t="str" cm="1">
        <f t="array" ref="D486">INDEX(기계코드!$D$4:$D$214,MATCH(1,(C486=기계코드!$F$4:$F$214)*1,0))</f>
        <v>M_TDIF04</v>
      </c>
      <c r="E486" s="92" t="s">
        <v>1128</v>
      </c>
      <c r="F486" s="7" t="str" cm="1">
        <f t="array" ref="F486">INDEX(공급업체코드!$B$3:$B$1000,MATCH(1,(E486=공급업체코드!$D$3:$D$1000)*1,0))</f>
        <v>VM_BKT</v>
      </c>
      <c r="G486" s="18" t="s">
        <v>1881</v>
      </c>
      <c r="H486" s="64"/>
      <c r="I486" s="64"/>
      <c r="J486" s="64"/>
      <c r="K486" s="300">
        <v>1.1000000000000001</v>
      </c>
      <c r="L486" s="300">
        <v>1.3</v>
      </c>
      <c r="M486" s="64">
        <v>443</v>
      </c>
      <c r="N486" s="64"/>
      <c r="O486" s="64"/>
      <c r="P486" s="64"/>
      <c r="Q486" s="64"/>
      <c r="R486" s="70"/>
      <c r="T486" s="64"/>
      <c r="X486">
        <v>0.123</v>
      </c>
      <c r="Y486" s="258" t="s">
        <v>1313</v>
      </c>
      <c r="AA486" s="259" t="s">
        <v>1314</v>
      </c>
      <c r="AB486" s="20" t="s">
        <v>1061</v>
      </c>
      <c r="AC486">
        <f t="shared" si="13"/>
        <v>2215000000</v>
      </c>
      <c r="AE486" s="18" t="s">
        <v>1315</v>
      </c>
      <c r="AF486" s="1" t="b">
        <v>1</v>
      </c>
    </row>
    <row r="487" spans="2:32" ht="16.5" customHeight="1">
      <c r="B487" s="1" t="str">
        <f t="shared" si="12"/>
        <v>M_TDIF04_VM_BKT_1.3_444</v>
      </c>
      <c r="C487" s="92" t="s">
        <v>700</v>
      </c>
      <c r="D487" s="92" t="str" cm="1">
        <f t="array" ref="D487">INDEX(기계코드!$D$4:$D$214,MATCH(1,(C487=기계코드!$F$4:$F$214)*1,0))</f>
        <v>M_TDIF04</v>
      </c>
      <c r="E487" s="92" t="s">
        <v>1128</v>
      </c>
      <c r="F487" s="7" t="str" cm="1">
        <f t="array" ref="F487">INDEX(공급업체코드!$B$3:$B$1000,MATCH(1,(E487=공급업체코드!$D$3:$D$1000)*1,0))</f>
        <v>VM_BKT</v>
      </c>
      <c r="G487" s="18" t="s">
        <v>1881</v>
      </c>
      <c r="H487" s="64"/>
      <c r="I487" s="64"/>
      <c r="J487" s="64"/>
      <c r="K487" s="300">
        <v>1.1000000000000001</v>
      </c>
      <c r="L487" s="300">
        <v>1.3</v>
      </c>
      <c r="M487" s="64">
        <v>444</v>
      </c>
      <c r="N487" s="64"/>
      <c r="O487" s="64"/>
      <c r="P487" s="64"/>
      <c r="Q487" s="64"/>
      <c r="R487" s="70"/>
      <c r="T487" s="64"/>
      <c r="X487">
        <v>0.123</v>
      </c>
      <c r="Y487" s="258" t="s">
        <v>1313</v>
      </c>
      <c r="AA487" s="259" t="s">
        <v>1314</v>
      </c>
      <c r="AB487" s="20" t="s">
        <v>1061</v>
      </c>
      <c r="AC487">
        <f t="shared" si="13"/>
        <v>2220000000</v>
      </c>
      <c r="AE487" s="18" t="s">
        <v>1315</v>
      </c>
      <c r="AF487" s="1" t="b">
        <v>1</v>
      </c>
    </row>
    <row r="488" spans="2:32" ht="16.5" customHeight="1">
      <c r="B488" s="1" t="str">
        <f t="shared" si="12"/>
        <v>M_TDIF04_VM_BKT_1.3_445</v>
      </c>
      <c r="C488" s="92" t="s">
        <v>700</v>
      </c>
      <c r="D488" s="92" t="str" cm="1">
        <f t="array" ref="D488">INDEX(기계코드!$D$4:$D$214,MATCH(1,(C488=기계코드!$F$4:$F$214)*1,0))</f>
        <v>M_TDIF04</v>
      </c>
      <c r="E488" s="92" t="s">
        <v>1128</v>
      </c>
      <c r="F488" s="7" t="str" cm="1">
        <f t="array" ref="F488">INDEX(공급업체코드!$B$3:$B$1000,MATCH(1,(E488=공급업체코드!$D$3:$D$1000)*1,0))</f>
        <v>VM_BKT</v>
      </c>
      <c r="G488" s="18" t="s">
        <v>1881</v>
      </c>
      <c r="H488" s="64"/>
      <c r="I488" s="64"/>
      <c r="J488" s="64"/>
      <c r="K488" s="300">
        <v>1.1000000000000001</v>
      </c>
      <c r="L488" s="300">
        <v>1.3</v>
      </c>
      <c r="M488" s="64">
        <v>445</v>
      </c>
      <c r="N488" s="64"/>
      <c r="O488" s="64"/>
      <c r="P488" s="64"/>
      <c r="Q488" s="64"/>
      <c r="R488" s="70"/>
      <c r="T488" s="64"/>
      <c r="X488">
        <v>0.123</v>
      </c>
      <c r="Y488" s="258" t="s">
        <v>1313</v>
      </c>
      <c r="AA488" s="259" t="s">
        <v>1314</v>
      </c>
      <c r="AB488" s="20" t="s">
        <v>1061</v>
      </c>
      <c r="AC488">
        <f t="shared" si="13"/>
        <v>2225000000</v>
      </c>
      <c r="AE488" s="18" t="s">
        <v>1315</v>
      </c>
      <c r="AF488" s="1" t="b">
        <v>1</v>
      </c>
    </row>
    <row r="489" spans="2:32" ht="16.5" customHeight="1">
      <c r="B489" s="1" t="str">
        <f t="shared" si="12"/>
        <v>M_TDIF04_VM_BKT_1.3_446</v>
      </c>
      <c r="C489" s="92" t="s">
        <v>700</v>
      </c>
      <c r="D489" s="92" t="str" cm="1">
        <f t="array" ref="D489">INDEX(기계코드!$D$4:$D$214,MATCH(1,(C489=기계코드!$F$4:$F$214)*1,0))</f>
        <v>M_TDIF04</v>
      </c>
      <c r="E489" s="92" t="s">
        <v>1128</v>
      </c>
      <c r="F489" s="7" t="str" cm="1">
        <f t="array" ref="F489">INDEX(공급업체코드!$B$3:$B$1000,MATCH(1,(E489=공급업체코드!$D$3:$D$1000)*1,0))</f>
        <v>VM_BKT</v>
      </c>
      <c r="G489" s="18" t="s">
        <v>1881</v>
      </c>
      <c r="H489" s="64"/>
      <c r="I489" s="64"/>
      <c r="J489" s="64"/>
      <c r="K489" s="300">
        <v>1.1000000000000001</v>
      </c>
      <c r="L489" s="300">
        <v>1.3</v>
      </c>
      <c r="M489" s="64">
        <v>446</v>
      </c>
      <c r="N489" s="64"/>
      <c r="O489" s="64"/>
      <c r="P489" s="64"/>
      <c r="Q489" s="64"/>
      <c r="R489" s="70"/>
      <c r="T489" s="64"/>
      <c r="X489">
        <v>0.123</v>
      </c>
      <c r="Y489" s="258" t="s">
        <v>1313</v>
      </c>
      <c r="AA489" s="259" t="s">
        <v>1314</v>
      </c>
      <c r="AB489" s="20" t="s">
        <v>1061</v>
      </c>
      <c r="AC489">
        <f t="shared" si="13"/>
        <v>2230000000</v>
      </c>
      <c r="AE489" s="18" t="s">
        <v>1315</v>
      </c>
      <c r="AF489" s="1" t="b">
        <v>1</v>
      </c>
    </row>
    <row r="490" spans="2:32" ht="16.5" customHeight="1">
      <c r="B490" s="1" t="str">
        <f t="shared" si="12"/>
        <v>M_TDIF04_VM_BKT_1.3_447</v>
      </c>
      <c r="C490" s="92" t="s">
        <v>700</v>
      </c>
      <c r="D490" s="92" t="str" cm="1">
        <f t="array" ref="D490">INDEX(기계코드!$D$4:$D$214,MATCH(1,(C490=기계코드!$F$4:$F$214)*1,0))</f>
        <v>M_TDIF04</v>
      </c>
      <c r="E490" s="92" t="s">
        <v>1128</v>
      </c>
      <c r="F490" s="7" t="str" cm="1">
        <f t="array" ref="F490">INDEX(공급업체코드!$B$3:$B$1000,MATCH(1,(E490=공급업체코드!$D$3:$D$1000)*1,0))</f>
        <v>VM_BKT</v>
      </c>
      <c r="G490" s="18" t="s">
        <v>1881</v>
      </c>
      <c r="H490" s="64"/>
      <c r="I490" s="64"/>
      <c r="J490" s="64"/>
      <c r="K490" s="300">
        <v>1.1000000000000001</v>
      </c>
      <c r="L490" s="300">
        <v>1.3</v>
      </c>
      <c r="M490" s="64">
        <v>447</v>
      </c>
      <c r="N490" s="64"/>
      <c r="O490" s="64"/>
      <c r="P490" s="64"/>
      <c r="Q490" s="64"/>
      <c r="R490" s="70"/>
      <c r="T490" s="64"/>
      <c r="X490">
        <v>0.123</v>
      </c>
      <c r="Y490" s="258" t="s">
        <v>1313</v>
      </c>
      <c r="AA490" s="259" t="s">
        <v>1314</v>
      </c>
      <c r="AB490" s="20" t="s">
        <v>1061</v>
      </c>
      <c r="AC490">
        <f t="shared" si="13"/>
        <v>2235000000</v>
      </c>
      <c r="AE490" s="18" t="s">
        <v>1315</v>
      </c>
      <c r="AF490" s="1" t="b">
        <v>1</v>
      </c>
    </row>
    <row r="491" spans="2:32" ht="16.5" customHeight="1">
      <c r="B491" s="1" t="str">
        <f t="shared" si="12"/>
        <v>M_TDIF04_VM_BKT_1.3_448</v>
      </c>
      <c r="C491" s="92" t="s">
        <v>700</v>
      </c>
      <c r="D491" s="92" t="str" cm="1">
        <f t="array" ref="D491">INDEX(기계코드!$D$4:$D$214,MATCH(1,(C491=기계코드!$F$4:$F$214)*1,0))</f>
        <v>M_TDIF04</v>
      </c>
      <c r="E491" s="92" t="s">
        <v>1128</v>
      </c>
      <c r="F491" s="7" t="str" cm="1">
        <f t="array" ref="F491">INDEX(공급업체코드!$B$3:$B$1000,MATCH(1,(E491=공급업체코드!$D$3:$D$1000)*1,0))</f>
        <v>VM_BKT</v>
      </c>
      <c r="G491" s="18" t="s">
        <v>1881</v>
      </c>
      <c r="H491" s="64"/>
      <c r="I491" s="64"/>
      <c r="J491" s="64"/>
      <c r="K491" s="300">
        <v>1.1000000000000001</v>
      </c>
      <c r="L491" s="300">
        <v>1.3</v>
      </c>
      <c r="M491" s="64">
        <v>448</v>
      </c>
      <c r="N491" s="64"/>
      <c r="O491" s="64"/>
      <c r="P491" s="64"/>
      <c r="Q491" s="64"/>
      <c r="R491" s="70"/>
      <c r="T491" s="64"/>
      <c r="X491">
        <v>0.123</v>
      </c>
      <c r="Y491" s="258" t="s">
        <v>1313</v>
      </c>
      <c r="AA491" s="259" t="s">
        <v>1314</v>
      </c>
      <c r="AB491" s="20" t="s">
        <v>1061</v>
      </c>
      <c r="AC491">
        <f t="shared" si="13"/>
        <v>2240000000</v>
      </c>
      <c r="AE491" s="18" t="s">
        <v>1315</v>
      </c>
      <c r="AF491" s="1" t="b">
        <v>1</v>
      </c>
    </row>
    <row r="492" spans="2:32" ht="16.5" customHeight="1">
      <c r="B492" s="1" t="str">
        <f t="shared" si="12"/>
        <v>M_TDIF04_VM_BKT_1.3_449</v>
      </c>
      <c r="C492" s="92" t="s">
        <v>700</v>
      </c>
      <c r="D492" s="92" t="str" cm="1">
        <f t="array" ref="D492">INDEX(기계코드!$D$4:$D$214,MATCH(1,(C492=기계코드!$F$4:$F$214)*1,0))</f>
        <v>M_TDIF04</v>
      </c>
      <c r="E492" s="92" t="s">
        <v>1128</v>
      </c>
      <c r="F492" s="7" t="str" cm="1">
        <f t="array" ref="F492">INDEX(공급업체코드!$B$3:$B$1000,MATCH(1,(E492=공급업체코드!$D$3:$D$1000)*1,0))</f>
        <v>VM_BKT</v>
      </c>
      <c r="G492" s="18" t="s">
        <v>1881</v>
      </c>
      <c r="H492" s="64"/>
      <c r="I492" s="64"/>
      <c r="J492" s="64"/>
      <c r="K492" s="300">
        <v>1.1000000000000001</v>
      </c>
      <c r="L492" s="300">
        <v>1.3</v>
      </c>
      <c r="M492" s="64">
        <v>449</v>
      </c>
      <c r="N492" s="64"/>
      <c r="O492" s="64"/>
      <c r="P492" s="64"/>
      <c r="Q492" s="64"/>
      <c r="R492" s="70"/>
      <c r="T492" s="64"/>
      <c r="X492">
        <v>0.123</v>
      </c>
      <c r="Y492" s="258" t="s">
        <v>1313</v>
      </c>
      <c r="AA492" s="259" t="s">
        <v>1314</v>
      </c>
      <c r="AB492" s="20" t="s">
        <v>1061</v>
      </c>
      <c r="AC492">
        <f t="shared" si="13"/>
        <v>2245000000</v>
      </c>
      <c r="AE492" s="18" t="s">
        <v>1315</v>
      </c>
      <c r="AF492" s="1" t="b">
        <v>1</v>
      </c>
    </row>
    <row r="493" spans="2:32" ht="16.5" customHeight="1">
      <c r="B493" s="1" t="str">
        <f t="shared" ref="B493:B556" si="14">D493&amp;"_"&amp;F493&amp;"_"&amp;L493&amp;"_"&amp;M493</f>
        <v>M_TDIF04_VM_BKT_1.3_450</v>
      </c>
      <c r="C493" s="92" t="s">
        <v>700</v>
      </c>
      <c r="D493" s="92" t="str" cm="1">
        <f t="array" ref="D493">INDEX(기계코드!$D$4:$D$214,MATCH(1,(C493=기계코드!$F$4:$F$214)*1,0))</f>
        <v>M_TDIF04</v>
      </c>
      <c r="E493" s="92" t="s">
        <v>1128</v>
      </c>
      <c r="F493" s="7" t="str" cm="1">
        <f t="array" ref="F493">INDEX(공급업체코드!$B$3:$B$1000,MATCH(1,(E493=공급업체코드!$D$3:$D$1000)*1,0))</f>
        <v>VM_BKT</v>
      </c>
      <c r="G493" s="18" t="s">
        <v>1881</v>
      </c>
      <c r="H493" s="64"/>
      <c r="I493" s="64"/>
      <c r="J493" s="64"/>
      <c r="K493" s="300">
        <v>1.1000000000000001</v>
      </c>
      <c r="L493" s="300">
        <v>1.3</v>
      </c>
      <c r="M493" s="64">
        <v>450</v>
      </c>
      <c r="N493" s="64"/>
      <c r="O493" s="64"/>
      <c r="P493" s="64"/>
      <c r="Q493" s="64"/>
      <c r="R493" s="70"/>
      <c r="T493" s="64"/>
      <c r="X493">
        <v>0.123</v>
      </c>
      <c r="Y493" s="258" t="s">
        <v>1313</v>
      </c>
      <c r="AA493" s="259" t="s">
        <v>1314</v>
      </c>
      <c r="AB493" s="20" t="s">
        <v>1061</v>
      </c>
      <c r="AC493">
        <f t="shared" si="13"/>
        <v>2250000000</v>
      </c>
      <c r="AE493" s="18" t="s">
        <v>1315</v>
      </c>
      <c r="AF493" s="1" t="b">
        <v>1</v>
      </c>
    </row>
    <row r="494" spans="2:32" ht="16.5" customHeight="1">
      <c r="B494" s="1" t="str">
        <f t="shared" si="14"/>
        <v>M_TDIF04_VM_BKT_1.3_451</v>
      </c>
      <c r="C494" s="92" t="s">
        <v>700</v>
      </c>
      <c r="D494" s="92" t="str" cm="1">
        <f t="array" ref="D494">INDEX(기계코드!$D$4:$D$214,MATCH(1,(C494=기계코드!$F$4:$F$214)*1,0))</f>
        <v>M_TDIF04</v>
      </c>
      <c r="E494" s="92" t="s">
        <v>1128</v>
      </c>
      <c r="F494" s="7" t="str" cm="1">
        <f t="array" ref="F494">INDEX(공급업체코드!$B$3:$B$1000,MATCH(1,(E494=공급업체코드!$D$3:$D$1000)*1,0))</f>
        <v>VM_BKT</v>
      </c>
      <c r="G494" s="18" t="s">
        <v>1881</v>
      </c>
      <c r="H494" s="64"/>
      <c r="I494" s="64"/>
      <c r="J494" s="64"/>
      <c r="K494" s="300">
        <v>1.1000000000000001</v>
      </c>
      <c r="L494" s="300">
        <v>1.3</v>
      </c>
      <c r="M494" s="64">
        <v>451</v>
      </c>
      <c r="N494" s="64"/>
      <c r="O494" s="64"/>
      <c r="P494" s="64"/>
      <c r="Q494" s="64"/>
      <c r="R494" s="70"/>
      <c r="T494" s="64"/>
      <c r="X494">
        <v>0.123</v>
      </c>
      <c r="Y494" s="258" t="s">
        <v>1313</v>
      </c>
      <c r="AA494" s="259" t="s">
        <v>1314</v>
      </c>
      <c r="AB494" s="20" t="s">
        <v>1061</v>
      </c>
      <c r="AC494">
        <f t="shared" ref="AC494:AC557" si="15">M494*$AC$44</f>
        <v>2255000000</v>
      </c>
      <c r="AE494" s="18" t="s">
        <v>1315</v>
      </c>
      <c r="AF494" s="1" t="b">
        <v>1</v>
      </c>
    </row>
    <row r="495" spans="2:32" ht="16.5" customHeight="1">
      <c r="B495" s="1" t="str">
        <f t="shared" si="14"/>
        <v>M_TDIF04_VM_BKT_1.3_452</v>
      </c>
      <c r="C495" s="92" t="s">
        <v>700</v>
      </c>
      <c r="D495" s="92" t="str" cm="1">
        <f t="array" ref="D495">INDEX(기계코드!$D$4:$D$214,MATCH(1,(C495=기계코드!$F$4:$F$214)*1,0))</f>
        <v>M_TDIF04</v>
      </c>
      <c r="E495" s="92" t="s">
        <v>1128</v>
      </c>
      <c r="F495" s="7" t="str" cm="1">
        <f t="array" ref="F495">INDEX(공급업체코드!$B$3:$B$1000,MATCH(1,(E495=공급업체코드!$D$3:$D$1000)*1,0))</f>
        <v>VM_BKT</v>
      </c>
      <c r="G495" s="18" t="s">
        <v>1881</v>
      </c>
      <c r="H495" s="64"/>
      <c r="I495" s="64"/>
      <c r="J495" s="64"/>
      <c r="K495" s="300">
        <v>1.1000000000000001</v>
      </c>
      <c r="L495" s="300">
        <v>1.3</v>
      </c>
      <c r="M495" s="64">
        <v>452</v>
      </c>
      <c r="N495" s="64"/>
      <c r="O495" s="64"/>
      <c r="P495" s="64"/>
      <c r="Q495" s="64"/>
      <c r="R495" s="70"/>
      <c r="T495" s="64"/>
      <c r="X495">
        <v>0.123</v>
      </c>
      <c r="Y495" s="258" t="s">
        <v>1313</v>
      </c>
      <c r="AA495" s="259" t="s">
        <v>1314</v>
      </c>
      <c r="AB495" s="20" t="s">
        <v>1061</v>
      </c>
      <c r="AC495">
        <f t="shared" si="15"/>
        <v>2260000000</v>
      </c>
      <c r="AE495" s="18" t="s">
        <v>1315</v>
      </c>
      <c r="AF495" s="1" t="b">
        <v>1</v>
      </c>
    </row>
    <row r="496" spans="2:32" ht="16.5" customHeight="1">
      <c r="B496" s="1" t="str">
        <f t="shared" si="14"/>
        <v>M_TDIF04_VM_BKT_1.3_453</v>
      </c>
      <c r="C496" s="92" t="s">
        <v>700</v>
      </c>
      <c r="D496" s="92" t="str" cm="1">
        <f t="array" ref="D496">INDEX(기계코드!$D$4:$D$214,MATCH(1,(C496=기계코드!$F$4:$F$214)*1,0))</f>
        <v>M_TDIF04</v>
      </c>
      <c r="E496" s="92" t="s">
        <v>1128</v>
      </c>
      <c r="F496" s="7" t="str" cm="1">
        <f t="array" ref="F496">INDEX(공급업체코드!$B$3:$B$1000,MATCH(1,(E496=공급업체코드!$D$3:$D$1000)*1,0))</f>
        <v>VM_BKT</v>
      </c>
      <c r="G496" s="18" t="s">
        <v>1881</v>
      </c>
      <c r="H496" s="64"/>
      <c r="I496" s="64"/>
      <c r="J496" s="64"/>
      <c r="K496" s="300">
        <v>1.1000000000000001</v>
      </c>
      <c r="L496" s="300">
        <v>1.3</v>
      </c>
      <c r="M496" s="64">
        <v>453</v>
      </c>
      <c r="N496" s="64"/>
      <c r="O496" s="64"/>
      <c r="P496" s="64"/>
      <c r="Q496" s="64"/>
      <c r="R496" s="70"/>
      <c r="T496" s="64"/>
      <c r="X496">
        <v>0.123</v>
      </c>
      <c r="Y496" s="258" t="s">
        <v>1313</v>
      </c>
      <c r="AA496" s="259" t="s">
        <v>1314</v>
      </c>
      <c r="AB496" s="20" t="s">
        <v>1061</v>
      </c>
      <c r="AC496">
        <f t="shared" si="15"/>
        <v>2265000000</v>
      </c>
      <c r="AE496" s="18" t="s">
        <v>1315</v>
      </c>
      <c r="AF496" s="1" t="b">
        <v>1</v>
      </c>
    </row>
    <row r="497" spans="2:32" ht="16.5" customHeight="1">
      <c r="B497" s="1" t="str">
        <f t="shared" si="14"/>
        <v>M_TDIF04_VM_BKT_1.3_454</v>
      </c>
      <c r="C497" s="92" t="s">
        <v>700</v>
      </c>
      <c r="D497" s="92" t="str" cm="1">
        <f t="array" ref="D497">INDEX(기계코드!$D$4:$D$214,MATCH(1,(C497=기계코드!$F$4:$F$214)*1,0))</f>
        <v>M_TDIF04</v>
      </c>
      <c r="E497" s="92" t="s">
        <v>1128</v>
      </c>
      <c r="F497" s="7" t="str" cm="1">
        <f t="array" ref="F497">INDEX(공급업체코드!$B$3:$B$1000,MATCH(1,(E497=공급업체코드!$D$3:$D$1000)*1,0))</f>
        <v>VM_BKT</v>
      </c>
      <c r="G497" s="18" t="s">
        <v>1881</v>
      </c>
      <c r="H497" s="64"/>
      <c r="I497" s="64"/>
      <c r="J497" s="64"/>
      <c r="K497" s="300">
        <v>1.1000000000000001</v>
      </c>
      <c r="L497" s="300">
        <v>1.3</v>
      </c>
      <c r="M497" s="64">
        <v>454</v>
      </c>
      <c r="N497" s="64"/>
      <c r="O497" s="64"/>
      <c r="P497" s="64"/>
      <c r="Q497" s="64"/>
      <c r="R497" s="70"/>
      <c r="T497" s="64"/>
      <c r="X497">
        <v>0.123</v>
      </c>
      <c r="Y497" s="258" t="s">
        <v>1313</v>
      </c>
      <c r="AA497" s="259" t="s">
        <v>1314</v>
      </c>
      <c r="AB497" s="20" t="s">
        <v>1061</v>
      </c>
      <c r="AC497">
        <f t="shared" si="15"/>
        <v>2270000000</v>
      </c>
      <c r="AE497" s="18" t="s">
        <v>1315</v>
      </c>
      <c r="AF497" s="1" t="b">
        <v>1</v>
      </c>
    </row>
    <row r="498" spans="2:32" ht="16.5" customHeight="1">
      <c r="B498" s="1" t="str">
        <f t="shared" si="14"/>
        <v>M_TDIF04_VM_BKT_1.3_455</v>
      </c>
      <c r="C498" s="92" t="s">
        <v>700</v>
      </c>
      <c r="D498" s="92" t="str" cm="1">
        <f t="array" ref="D498">INDEX(기계코드!$D$4:$D$214,MATCH(1,(C498=기계코드!$F$4:$F$214)*1,0))</f>
        <v>M_TDIF04</v>
      </c>
      <c r="E498" s="92" t="s">
        <v>1128</v>
      </c>
      <c r="F498" s="7" t="str" cm="1">
        <f t="array" ref="F498">INDEX(공급업체코드!$B$3:$B$1000,MATCH(1,(E498=공급업체코드!$D$3:$D$1000)*1,0))</f>
        <v>VM_BKT</v>
      </c>
      <c r="G498" s="18" t="s">
        <v>1881</v>
      </c>
      <c r="H498" s="64"/>
      <c r="I498" s="64"/>
      <c r="J498" s="64"/>
      <c r="K498" s="300">
        <v>1.1000000000000001</v>
      </c>
      <c r="L498" s="300">
        <v>1.3</v>
      </c>
      <c r="M498" s="64">
        <v>455</v>
      </c>
      <c r="N498" s="64"/>
      <c r="O498" s="64"/>
      <c r="P498" s="64"/>
      <c r="Q498" s="64"/>
      <c r="R498" s="70"/>
      <c r="T498" s="64"/>
      <c r="X498">
        <v>0.123</v>
      </c>
      <c r="Y498" s="258" t="s">
        <v>1313</v>
      </c>
      <c r="AA498" s="259" t="s">
        <v>1314</v>
      </c>
      <c r="AB498" s="20" t="s">
        <v>1061</v>
      </c>
      <c r="AC498">
        <f t="shared" si="15"/>
        <v>2275000000</v>
      </c>
      <c r="AE498" s="18" t="s">
        <v>1315</v>
      </c>
      <c r="AF498" s="1" t="b">
        <v>1</v>
      </c>
    </row>
    <row r="499" spans="2:32" ht="16.5" customHeight="1">
      <c r="B499" s="1" t="str">
        <f t="shared" si="14"/>
        <v>M_TDIF04_VM_BKT_1.3_456</v>
      </c>
      <c r="C499" s="92" t="s">
        <v>700</v>
      </c>
      <c r="D499" s="92" t="str" cm="1">
        <f t="array" ref="D499">INDEX(기계코드!$D$4:$D$214,MATCH(1,(C499=기계코드!$F$4:$F$214)*1,0))</f>
        <v>M_TDIF04</v>
      </c>
      <c r="E499" s="92" t="s">
        <v>1128</v>
      </c>
      <c r="F499" s="7" t="str" cm="1">
        <f t="array" ref="F499">INDEX(공급업체코드!$B$3:$B$1000,MATCH(1,(E499=공급업체코드!$D$3:$D$1000)*1,0))</f>
        <v>VM_BKT</v>
      </c>
      <c r="G499" s="18" t="s">
        <v>1881</v>
      </c>
      <c r="H499" s="64"/>
      <c r="I499" s="64"/>
      <c r="J499" s="64"/>
      <c r="K499" s="300">
        <v>1.1000000000000001</v>
      </c>
      <c r="L499" s="300">
        <v>1.3</v>
      </c>
      <c r="M499" s="64">
        <v>456</v>
      </c>
      <c r="N499" s="64"/>
      <c r="O499" s="64"/>
      <c r="P499" s="64"/>
      <c r="Q499" s="64"/>
      <c r="R499" s="70"/>
      <c r="T499" s="64"/>
      <c r="X499">
        <v>0.123</v>
      </c>
      <c r="Y499" s="258" t="s">
        <v>1313</v>
      </c>
      <c r="AA499" s="259" t="s">
        <v>1314</v>
      </c>
      <c r="AB499" s="20" t="s">
        <v>1061</v>
      </c>
      <c r="AC499">
        <f t="shared" si="15"/>
        <v>2280000000</v>
      </c>
      <c r="AE499" s="18" t="s">
        <v>1315</v>
      </c>
      <c r="AF499" s="1" t="b">
        <v>1</v>
      </c>
    </row>
    <row r="500" spans="2:32" ht="16.5" customHeight="1">
      <c r="B500" s="1" t="str">
        <f t="shared" si="14"/>
        <v>M_TDIF04_VM_BKT_1.3_457</v>
      </c>
      <c r="C500" s="92" t="s">
        <v>700</v>
      </c>
      <c r="D500" s="92" t="str" cm="1">
        <f t="array" ref="D500">INDEX(기계코드!$D$4:$D$214,MATCH(1,(C500=기계코드!$F$4:$F$214)*1,0))</f>
        <v>M_TDIF04</v>
      </c>
      <c r="E500" s="92" t="s">
        <v>1128</v>
      </c>
      <c r="F500" s="7" t="str" cm="1">
        <f t="array" ref="F500">INDEX(공급업체코드!$B$3:$B$1000,MATCH(1,(E500=공급업체코드!$D$3:$D$1000)*1,0))</f>
        <v>VM_BKT</v>
      </c>
      <c r="G500" s="18" t="s">
        <v>1881</v>
      </c>
      <c r="H500" s="64"/>
      <c r="I500" s="64"/>
      <c r="J500" s="64"/>
      <c r="K500" s="300">
        <v>1.1000000000000001</v>
      </c>
      <c r="L500" s="300">
        <v>1.3</v>
      </c>
      <c r="M500" s="64">
        <v>457</v>
      </c>
      <c r="N500" s="64"/>
      <c r="O500" s="64"/>
      <c r="P500" s="64"/>
      <c r="Q500" s="64"/>
      <c r="R500" s="70"/>
      <c r="T500" s="64"/>
      <c r="X500">
        <v>0.123</v>
      </c>
      <c r="Y500" s="258" t="s">
        <v>1313</v>
      </c>
      <c r="AA500" s="259" t="s">
        <v>1314</v>
      </c>
      <c r="AB500" s="20" t="s">
        <v>1061</v>
      </c>
      <c r="AC500">
        <f t="shared" si="15"/>
        <v>2285000000</v>
      </c>
      <c r="AE500" s="18" t="s">
        <v>1315</v>
      </c>
      <c r="AF500" s="1" t="b">
        <v>1</v>
      </c>
    </row>
    <row r="501" spans="2:32" ht="16.5" customHeight="1">
      <c r="B501" s="1" t="str">
        <f t="shared" si="14"/>
        <v>M_TDIF04_VM_BKT_1.3_458</v>
      </c>
      <c r="C501" s="92" t="s">
        <v>700</v>
      </c>
      <c r="D501" s="92" t="str" cm="1">
        <f t="array" ref="D501">INDEX(기계코드!$D$4:$D$214,MATCH(1,(C501=기계코드!$F$4:$F$214)*1,0))</f>
        <v>M_TDIF04</v>
      </c>
      <c r="E501" s="92" t="s">
        <v>1128</v>
      </c>
      <c r="F501" s="7" t="str" cm="1">
        <f t="array" ref="F501">INDEX(공급업체코드!$B$3:$B$1000,MATCH(1,(E501=공급업체코드!$D$3:$D$1000)*1,0))</f>
        <v>VM_BKT</v>
      </c>
      <c r="G501" s="18" t="s">
        <v>1881</v>
      </c>
      <c r="H501" s="64"/>
      <c r="I501" s="64"/>
      <c r="J501" s="64"/>
      <c r="K501" s="300">
        <v>1.1000000000000001</v>
      </c>
      <c r="L501" s="300">
        <v>1.3</v>
      </c>
      <c r="M501" s="64">
        <v>458</v>
      </c>
      <c r="N501" s="64"/>
      <c r="O501" s="64"/>
      <c r="P501" s="64"/>
      <c r="Q501" s="64"/>
      <c r="R501" s="70"/>
      <c r="T501" s="64"/>
      <c r="X501">
        <v>0.123</v>
      </c>
      <c r="Y501" s="258" t="s">
        <v>1313</v>
      </c>
      <c r="AA501" s="259" t="s">
        <v>1314</v>
      </c>
      <c r="AB501" s="20" t="s">
        <v>1061</v>
      </c>
      <c r="AC501">
        <f t="shared" si="15"/>
        <v>2290000000</v>
      </c>
      <c r="AE501" s="18" t="s">
        <v>1315</v>
      </c>
      <c r="AF501" s="1" t="b">
        <v>1</v>
      </c>
    </row>
    <row r="502" spans="2:32" ht="16.5" customHeight="1">
      <c r="B502" s="1" t="str">
        <f t="shared" si="14"/>
        <v>M_TDIF04_VM_BKT_1.3_459</v>
      </c>
      <c r="C502" s="92" t="s">
        <v>700</v>
      </c>
      <c r="D502" s="92" t="str" cm="1">
        <f t="array" ref="D502">INDEX(기계코드!$D$4:$D$214,MATCH(1,(C502=기계코드!$F$4:$F$214)*1,0))</f>
        <v>M_TDIF04</v>
      </c>
      <c r="E502" s="92" t="s">
        <v>1128</v>
      </c>
      <c r="F502" s="7" t="str" cm="1">
        <f t="array" ref="F502">INDEX(공급업체코드!$B$3:$B$1000,MATCH(1,(E502=공급업체코드!$D$3:$D$1000)*1,0))</f>
        <v>VM_BKT</v>
      </c>
      <c r="G502" s="18" t="s">
        <v>1881</v>
      </c>
      <c r="H502" s="64"/>
      <c r="I502" s="64"/>
      <c r="J502" s="64"/>
      <c r="K502" s="300">
        <v>1.1000000000000001</v>
      </c>
      <c r="L502" s="300">
        <v>1.3</v>
      </c>
      <c r="M502" s="64">
        <v>459</v>
      </c>
      <c r="N502" s="64"/>
      <c r="O502" s="64"/>
      <c r="P502" s="64"/>
      <c r="Q502" s="64"/>
      <c r="R502" s="70"/>
      <c r="T502" s="64"/>
      <c r="X502">
        <v>0.123</v>
      </c>
      <c r="Y502" s="258" t="s">
        <v>1313</v>
      </c>
      <c r="AA502" s="259" t="s">
        <v>1314</v>
      </c>
      <c r="AB502" s="20" t="s">
        <v>1061</v>
      </c>
      <c r="AC502">
        <f t="shared" si="15"/>
        <v>2295000000</v>
      </c>
      <c r="AE502" s="18" t="s">
        <v>1315</v>
      </c>
      <c r="AF502" s="1" t="b">
        <v>1</v>
      </c>
    </row>
    <row r="503" spans="2:32" ht="16.5" customHeight="1">
      <c r="B503" s="1" t="str">
        <f t="shared" si="14"/>
        <v>M_TDIF04_VM_BKT_1.3_460</v>
      </c>
      <c r="C503" s="92" t="s">
        <v>700</v>
      </c>
      <c r="D503" s="92" t="str" cm="1">
        <f t="array" ref="D503">INDEX(기계코드!$D$4:$D$214,MATCH(1,(C503=기계코드!$F$4:$F$214)*1,0))</f>
        <v>M_TDIF04</v>
      </c>
      <c r="E503" s="92" t="s">
        <v>1128</v>
      </c>
      <c r="F503" s="7" t="str" cm="1">
        <f t="array" ref="F503">INDEX(공급업체코드!$B$3:$B$1000,MATCH(1,(E503=공급업체코드!$D$3:$D$1000)*1,0))</f>
        <v>VM_BKT</v>
      </c>
      <c r="G503" s="18" t="s">
        <v>1881</v>
      </c>
      <c r="H503" s="64"/>
      <c r="I503" s="64"/>
      <c r="J503" s="64"/>
      <c r="K503" s="300">
        <v>1.1000000000000001</v>
      </c>
      <c r="L503" s="300">
        <v>1.3</v>
      </c>
      <c r="M503" s="64">
        <v>460</v>
      </c>
      <c r="N503" s="64"/>
      <c r="O503" s="64"/>
      <c r="P503" s="64"/>
      <c r="Q503" s="64"/>
      <c r="R503" s="70"/>
      <c r="T503" s="64"/>
      <c r="X503">
        <v>0.123</v>
      </c>
      <c r="Y503" s="258" t="s">
        <v>1313</v>
      </c>
      <c r="AA503" s="259" t="s">
        <v>1314</v>
      </c>
      <c r="AB503" s="20" t="s">
        <v>1061</v>
      </c>
      <c r="AC503">
        <f t="shared" si="15"/>
        <v>2300000000</v>
      </c>
      <c r="AE503" s="18" t="s">
        <v>1315</v>
      </c>
      <c r="AF503" s="1" t="b">
        <v>1</v>
      </c>
    </row>
    <row r="504" spans="2:32" ht="16.5" customHeight="1">
      <c r="B504" s="1" t="str">
        <f t="shared" si="14"/>
        <v>M_TDIF04_VM_BKT_1.3_461</v>
      </c>
      <c r="C504" s="92" t="s">
        <v>700</v>
      </c>
      <c r="D504" s="92" t="str" cm="1">
        <f t="array" ref="D504">INDEX(기계코드!$D$4:$D$214,MATCH(1,(C504=기계코드!$F$4:$F$214)*1,0))</f>
        <v>M_TDIF04</v>
      </c>
      <c r="E504" s="92" t="s">
        <v>1128</v>
      </c>
      <c r="F504" s="7" t="str" cm="1">
        <f t="array" ref="F504">INDEX(공급업체코드!$B$3:$B$1000,MATCH(1,(E504=공급업체코드!$D$3:$D$1000)*1,0))</f>
        <v>VM_BKT</v>
      </c>
      <c r="G504" s="18" t="s">
        <v>1881</v>
      </c>
      <c r="H504" s="64"/>
      <c r="I504" s="64"/>
      <c r="J504" s="64"/>
      <c r="K504" s="300">
        <v>1.1000000000000001</v>
      </c>
      <c r="L504" s="300">
        <v>1.3</v>
      </c>
      <c r="M504" s="64">
        <v>461</v>
      </c>
      <c r="N504" s="64"/>
      <c r="O504" s="64"/>
      <c r="P504" s="64"/>
      <c r="Q504" s="64"/>
      <c r="R504" s="70"/>
      <c r="T504" s="64"/>
      <c r="X504">
        <v>0.123</v>
      </c>
      <c r="Y504" s="258" t="s">
        <v>1313</v>
      </c>
      <c r="AA504" s="259" t="s">
        <v>1314</v>
      </c>
      <c r="AB504" s="20" t="s">
        <v>1061</v>
      </c>
      <c r="AC504">
        <f t="shared" si="15"/>
        <v>2305000000</v>
      </c>
      <c r="AE504" s="18" t="s">
        <v>1315</v>
      </c>
      <c r="AF504" s="1" t="b">
        <v>1</v>
      </c>
    </row>
    <row r="505" spans="2:32" ht="16.5" customHeight="1">
      <c r="B505" s="1" t="str">
        <f t="shared" si="14"/>
        <v>M_TDIF04_VM_BKT_1.3_462</v>
      </c>
      <c r="C505" s="92" t="s">
        <v>700</v>
      </c>
      <c r="D505" s="92" t="str" cm="1">
        <f t="array" ref="D505">INDEX(기계코드!$D$4:$D$214,MATCH(1,(C505=기계코드!$F$4:$F$214)*1,0))</f>
        <v>M_TDIF04</v>
      </c>
      <c r="E505" s="92" t="s">
        <v>1128</v>
      </c>
      <c r="F505" s="7" t="str" cm="1">
        <f t="array" ref="F505">INDEX(공급업체코드!$B$3:$B$1000,MATCH(1,(E505=공급업체코드!$D$3:$D$1000)*1,0))</f>
        <v>VM_BKT</v>
      </c>
      <c r="G505" s="18" t="s">
        <v>1881</v>
      </c>
      <c r="H505" s="64"/>
      <c r="I505" s="64"/>
      <c r="J505" s="64"/>
      <c r="K505" s="300">
        <v>1.1000000000000001</v>
      </c>
      <c r="L505" s="300">
        <v>1.3</v>
      </c>
      <c r="M505" s="64">
        <v>462</v>
      </c>
      <c r="N505" s="64"/>
      <c r="O505" s="64"/>
      <c r="P505" s="64"/>
      <c r="Q505" s="64"/>
      <c r="R505" s="70"/>
      <c r="T505" s="64"/>
      <c r="X505">
        <v>0.123</v>
      </c>
      <c r="Y505" s="258" t="s">
        <v>1313</v>
      </c>
      <c r="AA505" s="259" t="s">
        <v>1314</v>
      </c>
      <c r="AB505" s="20" t="s">
        <v>1061</v>
      </c>
      <c r="AC505">
        <f t="shared" si="15"/>
        <v>2310000000</v>
      </c>
      <c r="AE505" s="18" t="s">
        <v>1315</v>
      </c>
      <c r="AF505" s="1" t="b">
        <v>1</v>
      </c>
    </row>
    <row r="506" spans="2:32" ht="16.5" customHeight="1">
      <c r="B506" s="1" t="str">
        <f t="shared" si="14"/>
        <v>M_TDIF04_VM_BKT_1.3_463</v>
      </c>
      <c r="C506" s="92" t="s">
        <v>700</v>
      </c>
      <c r="D506" s="92" t="str" cm="1">
        <f t="array" ref="D506">INDEX(기계코드!$D$4:$D$214,MATCH(1,(C506=기계코드!$F$4:$F$214)*1,0))</f>
        <v>M_TDIF04</v>
      </c>
      <c r="E506" s="92" t="s">
        <v>1128</v>
      </c>
      <c r="F506" s="7" t="str" cm="1">
        <f t="array" ref="F506">INDEX(공급업체코드!$B$3:$B$1000,MATCH(1,(E506=공급업체코드!$D$3:$D$1000)*1,0))</f>
        <v>VM_BKT</v>
      </c>
      <c r="G506" s="18" t="s">
        <v>1881</v>
      </c>
      <c r="H506" s="64"/>
      <c r="I506" s="64"/>
      <c r="J506" s="64"/>
      <c r="K506" s="300">
        <v>1.1000000000000001</v>
      </c>
      <c r="L506" s="300">
        <v>1.3</v>
      </c>
      <c r="M506" s="64">
        <v>463</v>
      </c>
      <c r="N506" s="64"/>
      <c r="O506" s="64"/>
      <c r="P506" s="64"/>
      <c r="Q506" s="64"/>
      <c r="R506" s="70"/>
      <c r="T506" s="64"/>
      <c r="X506">
        <v>0.123</v>
      </c>
      <c r="Y506" s="258" t="s">
        <v>1313</v>
      </c>
      <c r="AA506" s="259" t="s">
        <v>1314</v>
      </c>
      <c r="AB506" s="20" t="s">
        <v>1061</v>
      </c>
      <c r="AC506">
        <f t="shared" si="15"/>
        <v>2315000000</v>
      </c>
      <c r="AE506" s="18" t="s">
        <v>1315</v>
      </c>
      <c r="AF506" s="1" t="b">
        <v>1</v>
      </c>
    </row>
    <row r="507" spans="2:32" ht="16.5" customHeight="1">
      <c r="B507" s="1" t="str">
        <f t="shared" si="14"/>
        <v>M_TDIF04_VM_BKT_1.3_464</v>
      </c>
      <c r="C507" s="92" t="s">
        <v>700</v>
      </c>
      <c r="D507" s="92" t="str" cm="1">
        <f t="array" ref="D507">INDEX(기계코드!$D$4:$D$214,MATCH(1,(C507=기계코드!$F$4:$F$214)*1,0))</f>
        <v>M_TDIF04</v>
      </c>
      <c r="E507" s="92" t="s">
        <v>1128</v>
      </c>
      <c r="F507" s="7" t="str" cm="1">
        <f t="array" ref="F507">INDEX(공급업체코드!$B$3:$B$1000,MATCH(1,(E507=공급업체코드!$D$3:$D$1000)*1,0))</f>
        <v>VM_BKT</v>
      </c>
      <c r="G507" s="18" t="s">
        <v>1881</v>
      </c>
      <c r="H507" s="64"/>
      <c r="I507" s="64"/>
      <c r="J507" s="64"/>
      <c r="K507" s="300">
        <v>1.1000000000000001</v>
      </c>
      <c r="L507" s="300">
        <v>1.3</v>
      </c>
      <c r="M507" s="64">
        <v>464</v>
      </c>
      <c r="N507" s="64"/>
      <c r="O507" s="64"/>
      <c r="P507" s="64"/>
      <c r="Q507" s="64"/>
      <c r="R507" s="70"/>
      <c r="T507" s="64"/>
      <c r="X507">
        <v>0.123</v>
      </c>
      <c r="Y507" s="258" t="s">
        <v>1313</v>
      </c>
      <c r="AA507" s="259" t="s">
        <v>1314</v>
      </c>
      <c r="AB507" s="20" t="s">
        <v>1061</v>
      </c>
      <c r="AC507">
        <f t="shared" si="15"/>
        <v>2320000000</v>
      </c>
      <c r="AE507" s="18" t="s">
        <v>1315</v>
      </c>
      <c r="AF507" s="1" t="b">
        <v>1</v>
      </c>
    </row>
    <row r="508" spans="2:32" ht="16.5" customHeight="1">
      <c r="B508" s="1" t="str">
        <f t="shared" si="14"/>
        <v>M_TDIF04_VM_BKT_1.3_465</v>
      </c>
      <c r="C508" s="92" t="s">
        <v>700</v>
      </c>
      <c r="D508" s="92" t="str" cm="1">
        <f t="array" ref="D508">INDEX(기계코드!$D$4:$D$214,MATCH(1,(C508=기계코드!$F$4:$F$214)*1,0))</f>
        <v>M_TDIF04</v>
      </c>
      <c r="E508" s="92" t="s">
        <v>1128</v>
      </c>
      <c r="F508" s="7" t="str" cm="1">
        <f t="array" ref="F508">INDEX(공급업체코드!$B$3:$B$1000,MATCH(1,(E508=공급업체코드!$D$3:$D$1000)*1,0))</f>
        <v>VM_BKT</v>
      </c>
      <c r="G508" s="18" t="s">
        <v>1881</v>
      </c>
      <c r="H508" s="64"/>
      <c r="I508" s="64"/>
      <c r="J508" s="64"/>
      <c r="K508" s="300">
        <v>1.1000000000000001</v>
      </c>
      <c r="L508" s="300">
        <v>1.3</v>
      </c>
      <c r="M508" s="64">
        <v>465</v>
      </c>
      <c r="N508" s="64"/>
      <c r="O508" s="64"/>
      <c r="P508" s="64"/>
      <c r="Q508" s="64"/>
      <c r="R508" s="70"/>
      <c r="T508" s="64"/>
      <c r="X508">
        <v>0.123</v>
      </c>
      <c r="Y508" s="258" t="s">
        <v>1313</v>
      </c>
      <c r="AA508" s="259" t="s">
        <v>1314</v>
      </c>
      <c r="AB508" s="20" t="s">
        <v>1061</v>
      </c>
      <c r="AC508">
        <f t="shared" si="15"/>
        <v>2325000000</v>
      </c>
      <c r="AE508" s="18" t="s">
        <v>1315</v>
      </c>
      <c r="AF508" s="1" t="b">
        <v>1</v>
      </c>
    </row>
    <row r="509" spans="2:32" ht="16.5" customHeight="1">
      <c r="B509" s="1" t="str">
        <f t="shared" si="14"/>
        <v>M_TDIF04_VM_BKT_1.3_466</v>
      </c>
      <c r="C509" s="92" t="s">
        <v>700</v>
      </c>
      <c r="D509" s="92" t="str" cm="1">
        <f t="array" ref="D509">INDEX(기계코드!$D$4:$D$214,MATCH(1,(C509=기계코드!$F$4:$F$214)*1,0))</f>
        <v>M_TDIF04</v>
      </c>
      <c r="E509" s="92" t="s">
        <v>1128</v>
      </c>
      <c r="F509" s="7" t="str" cm="1">
        <f t="array" ref="F509">INDEX(공급업체코드!$B$3:$B$1000,MATCH(1,(E509=공급업체코드!$D$3:$D$1000)*1,0))</f>
        <v>VM_BKT</v>
      </c>
      <c r="G509" s="18" t="s">
        <v>1881</v>
      </c>
      <c r="H509" s="64"/>
      <c r="I509" s="64"/>
      <c r="J509" s="64"/>
      <c r="K509" s="300">
        <v>1.1000000000000001</v>
      </c>
      <c r="L509" s="300">
        <v>1.3</v>
      </c>
      <c r="M509" s="64">
        <v>466</v>
      </c>
      <c r="N509" s="64"/>
      <c r="O509" s="64"/>
      <c r="P509" s="64"/>
      <c r="Q509" s="64"/>
      <c r="R509" s="70"/>
      <c r="T509" s="64"/>
      <c r="X509">
        <v>0.123</v>
      </c>
      <c r="Y509" s="258" t="s">
        <v>1313</v>
      </c>
      <c r="AA509" s="259" t="s">
        <v>1314</v>
      </c>
      <c r="AB509" s="20" t="s">
        <v>1061</v>
      </c>
      <c r="AC509">
        <f t="shared" si="15"/>
        <v>2330000000</v>
      </c>
      <c r="AE509" s="18" t="s">
        <v>1315</v>
      </c>
      <c r="AF509" s="1" t="b">
        <v>1</v>
      </c>
    </row>
    <row r="510" spans="2:32" ht="16.5" customHeight="1">
      <c r="B510" s="1" t="str">
        <f t="shared" si="14"/>
        <v>M_TDIF04_VM_BKT_1.3_467</v>
      </c>
      <c r="C510" s="92" t="s">
        <v>700</v>
      </c>
      <c r="D510" s="92" t="str" cm="1">
        <f t="array" ref="D510">INDEX(기계코드!$D$4:$D$214,MATCH(1,(C510=기계코드!$F$4:$F$214)*1,0))</f>
        <v>M_TDIF04</v>
      </c>
      <c r="E510" s="92" t="s">
        <v>1128</v>
      </c>
      <c r="F510" s="7" t="str" cm="1">
        <f t="array" ref="F510">INDEX(공급업체코드!$B$3:$B$1000,MATCH(1,(E510=공급업체코드!$D$3:$D$1000)*1,0))</f>
        <v>VM_BKT</v>
      </c>
      <c r="G510" s="18" t="s">
        <v>1881</v>
      </c>
      <c r="H510" s="64"/>
      <c r="I510" s="64"/>
      <c r="J510" s="64"/>
      <c r="K510" s="300">
        <v>1.1000000000000001</v>
      </c>
      <c r="L510" s="300">
        <v>1.3</v>
      </c>
      <c r="M510" s="64">
        <v>467</v>
      </c>
      <c r="N510" s="64"/>
      <c r="O510" s="64"/>
      <c r="P510" s="64"/>
      <c r="Q510" s="64"/>
      <c r="R510" s="70"/>
      <c r="T510" s="64"/>
      <c r="X510">
        <v>0.123</v>
      </c>
      <c r="Y510" s="258" t="s">
        <v>1313</v>
      </c>
      <c r="AA510" s="259" t="s">
        <v>1314</v>
      </c>
      <c r="AB510" s="20" t="s">
        <v>1061</v>
      </c>
      <c r="AC510">
        <f t="shared" si="15"/>
        <v>2335000000</v>
      </c>
      <c r="AE510" s="18" t="s">
        <v>1315</v>
      </c>
      <c r="AF510" s="1" t="b">
        <v>1</v>
      </c>
    </row>
    <row r="511" spans="2:32" ht="16.5" customHeight="1">
      <c r="B511" s="1" t="str">
        <f t="shared" si="14"/>
        <v>M_TDIF04_VM_BKT_1.3_468</v>
      </c>
      <c r="C511" s="92" t="s">
        <v>700</v>
      </c>
      <c r="D511" s="92" t="str" cm="1">
        <f t="array" ref="D511">INDEX(기계코드!$D$4:$D$214,MATCH(1,(C511=기계코드!$F$4:$F$214)*1,0))</f>
        <v>M_TDIF04</v>
      </c>
      <c r="E511" s="92" t="s">
        <v>1128</v>
      </c>
      <c r="F511" s="7" t="str" cm="1">
        <f t="array" ref="F511">INDEX(공급업체코드!$B$3:$B$1000,MATCH(1,(E511=공급업체코드!$D$3:$D$1000)*1,0))</f>
        <v>VM_BKT</v>
      </c>
      <c r="G511" s="18" t="s">
        <v>1881</v>
      </c>
      <c r="H511" s="64"/>
      <c r="I511" s="64"/>
      <c r="J511" s="64"/>
      <c r="K511" s="300">
        <v>1.1000000000000001</v>
      </c>
      <c r="L511" s="300">
        <v>1.3</v>
      </c>
      <c r="M511" s="64">
        <v>468</v>
      </c>
      <c r="N511" s="64"/>
      <c r="O511" s="64"/>
      <c r="P511" s="64"/>
      <c r="Q511" s="64"/>
      <c r="R511" s="70"/>
      <c r="T511" s="64"/>
      <c r="X511">
        <v>0.123</v>
      </c>
      <c r="Y511" s="258" t="s">
        <v>1313</v>
      </c>
      <c r="AA511" s="259" t="s">
        <v>1314</v>
      </c>
      <c r="AB511" s="20" t="s">
        <v>1061</v>
      </c>
      <c r="AC511">
        <f t="shared" si="15"/>
        <v>2340000000</v>
      </c>
      <c r="AE511" s="18" t="s">
        <v>1315</v>
      </c>
      <c r="AF511" s="1" t="b">
        <v>1</v>
      </c>
    </row>
    <row r="512" spans="2:32" ht="16.5" customHeight="1">
      <c r="B512" s="1" t="str">
        <f t="shared" si="14"/>
        <v>M_TDIF04_VM_BKT_1.3_469</v>
      </c>
      <c r="C512" s="92" t="s">
        <v>700</v>
      </c>
      <c r="D512" s="92" t="str" cm="1">
        <f t="array" ref="D512">INDEX(기계코드!$D$4:$D$214,MATCH(1,(C512=기계코드!$F$4:$F$214)*1,0))</f>
        <v>M_TDIF04</v>
      </c>
      <c r="E512" s="92" t="s">
        <v>1128</v>
      </c>
      <c r="F512" s="7" t="str" cm="1">
        <f t="array" ref="F512">INDEX(공급업체코드!$B$3:$B$1000,MATCH(1,(E512=공급업체코드!$D$3:$D$1000)*1,0))</f>
        <v>VM_BKT</v>
      </c>
      <c r="G512" s="18" t="s">
        <v>1881</v>
      </c>
      <c r="H512" s="64"/>
      <c r="I512" s="64"/>
      <c r="J512" s="64"/>
      <c r="K512" s="300">
        <v>1.1000000000000001</v>
      </c>
      <c r="L512" s="300">
        <v>1.3</v>
      </c>
      <c r="M512" s="64">
        <v>469</v>
      </c>
      <c r="N512" s="64"/>
      <c r="O512" s="64"/>
      <c r="P512" s="64"/>
      <c r="Q512" s="64"/>
      <c r="R512" s="70"/>
      <c r="T512" s="64"/>
      <c r="X512">
        <v>0.123</v>
      </c>
      <c r="Y512" s="258" t="s">
        <v>1313</v>
      </c>
      <c r="AA512" s="259" t="s">
        <v>1314</v>
      </c>
      <c r="AB512" s="20" t="s">
        <v>1061</v>
      </c>
      <c r="AC512">
        <f t="shared" si="15"/>
        <v>2345000000</v>
      </c>
      <c r="AE512" s="18" t="s">
        <v>1315</v>
      </c>
      <c r="AF512" s="1" t="b">
        <v>1</v>
      </c>
    </row>
    <row r="513" spans="2:32" ht="16.5" customHeight="1">
      <c r="B513" s="1" t="str">
        <f t="shared" si="14"/>
        <v>M_TDIF04_VM_BKT_1.3_470</v>
      </c>
      <c r="C513" s="92" t="s">
        <v>700</v>
      </c>
      <c r="D513" s="92" t="str" cm="1">
        <f t="array" ref="D513">INDEX(기계코드!$D$4:$D$214,MATCH(1,(C513=기계코드!$F$4:$F$214)*1,0))</f>
        <v>M_TDIF04</v>
      </c>
      <c r="E513" s="92" t="s">
        <v>1128</v>
      </c>
      <c r="F513" s="7" t="str" cm="1">
        <f t="array" ref="F513">INDEX(공급업체코드!$B$3:$B$1000,MATCH(1,(E513=공급업체코드!$D$3:$D$1000)*1,0))</f>
        <v>VM_BKT</v>
      </c>
      <c r="G513" s="18" t="s">
        <v>1881</v>
      </c>
      <c r="H513" s="64"/>
      <c r="I513" s="64"/>
      <c r="J513" s="64"/>
      <c r="K513" s="300">
        <v>1.1000000000000001</v>
      </c>
      <c r="L513" s="300">
        <v>1.3</v>
      </c>
      <c r="M513" s="64">
        <v>470</v>
      </c>
      <c r="N513" s="64"/>
      <c r="O513" s="64"/>
      <c r="P513" s="64"/>
      <c r="Q513" s="64"/>
      <c r="R513" s="70"/>
      <c r="T513" s="64"/>
      <c r="X513">
        <v>0.123</v>
      </c>
      <c r="Y513" s="258" t="s">
        <v>1313</v>
      </c>
      <c r="AA513" s="259" t="s">
        <v>1314</v>
      </c>
      <c r="AB513" s="20" t="s">
        <v>1061</v>
      </c>
      <c r="AC513">
        <f t="shared" si="15"/>
        <v>2350000000</v>
      </c>
      <c r="AE513" s="18" t="s">
        <v>1315</v>
      </c>
      <c r="AF513" s="1" t="b">
        <v>1</v>
      </c>
    </row>
    <row r="514" spans="2:32" ht="16.5" customHeight="1">
      <c r="B514" s="1" t="str">
        <f t="shared" si="14"/>
        <v>M_TDIF04_VM_BKT_1.3_471</v>
      </c>
      <c r="C514" s="92" t="s">
        <v>700</v>
      </c>
      <c r="D514" s="92" t="str" cm="1">
        <f t="array" ref="D514">INDEX(기계코드!$D$4:$D$214,MATCH(1,(C514=기계코드!$F$4:$F$214)*1,0))</f>
        <v>M_TDIF04</v>
      </c>
      <c r="E514" s="92" t="s">
        <v>1128</v>
      </c>
      <c r="F514" s="7" t="str" cm="1">
        <f t="array" ref="F514">INDEX(공급업체코드!$B$3:$B$1000,MATCH(1,(E514=공급업체코드!$D$3:$D$1000)*1,0))</f>
        <v>VM_BKT</v>
      </c>
      <c r="G514" s="18" t="s">
        <v>1881</v>
      </c>
      <c r="H514" s="64"/>
      <c r="I514" s="64"/>
      <c r="J514" s="64"/>
      <c r="K514" s="300">
        <v>1.1000000000000001</v>
      </c>
      <c r="L514" s="300">
        <v>1.3</v>
      </c>
      <c r="M514" s="64">
        <v>471</v>
      </c>
      <c r="N514" s="64"/>
      <c r="O514" s="64"/>
      <c r="P514" s="64"/>
      <c r="Q514" s="64"/>
      <c r="R514" s="70"/>
      <c r="T514" s="64"/>
      <c r="X514">
        <v>0.123</v>
      </c>
      <c r="Y514" s="258" t="s">
        <v>1313</v>
      </c>
      <c r="AA514" s="259" t="s">
        <v>1314</v>
      </c>
      <c r="AB514" s="20" t="s">
        <v>1061</v>
      </c>
      <c r="AC514">
        <f t="shared" si="15"/>
        <v>2355000000</v>
      </c>
      <c r="AE514" s="18" t="s">
        <v>1315</v>
      </c>
      <c r="AF514" s="1" t="b">
        <v>1</v>
      </c>
    </row>
    <row r="515" spans="2:32" ht="16.5" customHeight="1">
      <c r="B515" s="1" t="str">
        <f t="shared" si="14"/>
        <v>M_TDIF04_VM_BKT_1.3_472</v>
      </c>
      <c r="C515" s="92" t="s">
        <v>700</v>
      </c>
      <c r="D515" s="92" t="str" cm="1">
        <f t="array" ref="D515">INDEX(기계코드!$D$4:$D$214,MATCH(1,(C515=기계코드!$F$4:$F$214)*1,0))</f>
        <v>M_TDIF04</v>
      </c>
      <c r="E515" s="92" t="s">
        <v>1128</v>
      </c>
      <c r="F515" s="7" t="str" cm="1">
        <f t="array" ref="F515">INDEX(공급업체코드!$B$3:$B$1000,MATCH(1,(E515=공급업체코드!$D$3:$D$1000)*1,0))</f>
        <v>VM_BKT</v>
      </c>
      <c r="G515" s="18" t="s">
        <v>1881</v>
      </c>
      <c r="H515" s="64"/>
      <c r="I515" s="64"/>
      <c r="J515" s="64"/>
      <c r="K515" s="300">
        <v>1.1000000000000001</v>
      </c>
      <c r="L515" s="300">
        <v>1.3</v>
      </c>
      <c r="M515" s="64">
        <v>472</v>
      </c>
      <c r="N515" s="64"/>
      <c r="O515" s="64"/>
      <c r="P515" s="64"/>
      <c r="Q515" s="64"/>
      <c r="R515" s="70"/>
      <c r="T515" s="64"/>
      <c r="X515">
        <v>0.123</v>
      </c>
      <c r="Y515" s="258" t="s">
        <v>1313</v>
      </c>
      <c r="AA515" s="259" t="s">
        <v>1314</v>
      </c>
      <c r="AB515" s="20" t="s">
        <v>1061</v>
      </c>
      <c r="AC515">
        <f t="shared" si="15"/>
        <v>2360000000</v>
      </c>
      <c r="AE515" s="18" t="s">
        <v>1315</v>
      </c>
      <c r="AF515" s="1" t="b">
        <v>1</v>
      </c>
    </row>
    <row r="516" spans="2:32" ht="16.5" customHeight="1">
      <c r="B516" s="1" t="str">
        <f t="shared" si="14"/>
        <v>M_TDIF04_VM_BKT_1.3_473</v>
      </c>
      <c r="C516" s="92" t="s">
        <v>700</v>
      </c>
      <c r="D516" s="92" t="str" cm="1">
        <f t="array" ref="D516">INDEX(기계코드!$D$4:$D$214,MATCH(1,(C516=기계코드!$F$4:$F$214)*1,0))</f>
        <v>M_TDIF04</v>
      </c>
      <c r="E516" s="92" t="s">
        <v>1128</v>
      </c>
      <c r="F516" s="7" t="str" cm="1">
        <f t="array" ref="F516">INDEX(공급업체코드!$B$3:$B$1000,MATCH(1,(E516=공급업체코드!$D$3:$D$1000)*1,0))</f>
        <v>VM_BKT</v>
      </c>
      <c r="G516" s="18" t="s">
        <v>1881</v>
      </c>
      <c r="H516" s="64"/>
      <c r="I516" s="64"/>
      <c r="J516" s="64"/>
      <c r="K516" s="300">
        <v>1.1000000000000001</v>
      </c>
      <c r="L516" s="300">
        <v>1.3</v>
      </c>
      <c r="M516" s="64">
        <v>473</v>
      </c>
      <c r="N516" s="64"/>
      <c r="O516" s="64"/>
      <c r="P516" s="64"/>
      <c r="Q516" s="64"/>
      <c r="R516" s="70"/>
      <c r="T516" s="64"/>
      <c r="X516">
        <v>0.123</v>
      </c>
      <c r="Y516" s="258" t="s">
        <v>1313</v>
      </c>
      <c r="AA516" s="259" t="s">
        <v>1314</v>
      </c>
      <c r="AB516" s="20" t="s">
        <v>1061</v>
      </c>
      <c r="AC516">
        <f t="shared" si="15"/>
        <v>2365000000</v>
      </c>
      <c r="AE516" s="18" t="s">
        <v>1315</v>
      </c>
      <c r="AF516" s="1" t="b">
        <v>1</v>
      </c>
    </row>
    <row r="517" spans="2:32" ht="16.5" customHeight="1">
      <c r="B517" s="1" t="str">
        <f t="shared" si="14"/>
        <v>M_TDIF04_VM_BKT_1.3_474</v>
      </c>
      <c r="C517" s="92" t="s">
        <v>700</v>
      </c>
      <c r="D517" s="92" t="str" cm="1">
        <f t="array" ref="D517">INDEX(기계코드!$D$4:$D$214,MATCH(1,(C517=기계코드!$F$4:$F$214)*1,0))</f>
        <v>M_TDIF04</v>
      </c>
      <c r="E517" s="92" t="s">
        <v>1128</v>
      </c>
      <c r="F517" s="7" t="str" cm="1">
        <f t="array" ref="F517">INDEX(공급업체코드!$B$3:$B$1000,MATCH(1,(E517=공급업체코드!$D$3:$D$1000)*1,0))</f>
        <v>VM_BKT</v>
      </c>
      <c r="G517" s="18" t="s">
        <v>1881</v>
      </c>
      <c r="H517" s="64"/>
      <c r="I517" s="64"/>
      <c r="J517" s="64"/>
      <c r="K517" s="300">
        <v>1.1000000000000001</v>
      </c>
      <c r="L517" s="300">
        <v>1.3</v>
      </c>
      <c r="M517" s="64">
        <v>474</v>
      </c>
      <c r="N517" s="64"/>
      <c r="O517" s="64"/>
      <c r="P517" s="64"/>
      <c r="Q517" s="64"/>
      <c r="R517" s="70"/>
      <c r="T517" s="64"/>
      <c r="X517">
        <v>0.123</v>
      </c>
      <c r="Y517" s="258" t="s">
        <v>1313</v>
      </c>
      <c r="AA517" s="259" t="s">
        <v>1314</v>
      </c>
      <c r="AB517" s="20" t="s">
        <v>1061</v>
      </c>
      <c r="AC517">
        <f t="shared" si="15"/>
        <v>2370000000</v>
      </c>
      <c r="AE517" s="18" t="s">
        <v>1315</v>
      </c>
      <c r="AF517" s="1" t="b">
        <v>1</v>
      </c>
    </row>
    <row r="518" spans="2:32" ht="16.5" customHeight="1">
      <c r="B518" s="1" t="str">
        <f t="shared" si="14"/>
        <v>M_TDIF04_VM_BKT_1.3_475</v>
      </c>
      <c r="C518" s="92" t="s">
        <v>700</v>
      </c>
      <c r="D518" s="92" t="str" cm="1">
        <f t="array" ref="D518">INDEX(기계코드!$D$4:$D$214,MATCH(1,(C518=기계코드!$F$4:$F$214)*1,0))</f>
        <v>M_TDIF04</v>
      </c>
      <c r="E518" s="92" t="s">
        <v>1128</v>
      </c>
      <c r="F518" s="7" t="str" cm="1">
        <f t="array" ref="F518">INDEX(공급업체코드!$B$3:$B$1000,MATCH(1,(E518=공급업체코드!$D$3:$D$1000)*1,0))</f>
        <v>VM_BKT</v>
      </c>
      <c r="G518" s="18" t="s">
        <v>1881</v>
      </c>
      <c r="H518" s="64"/>
      <c r="I518" s="64"/>
      <c r="J518" s="64"/>
      <c r="K518" s="300">
        <v>1.1000000000000001</v>
      </c>
      <c r="L518" s="300">
        <v>1.3</v>
      </c>
      <c r="M518" s="64">
        <v>475</v>
      </c>
      <c r="N518" s="64"/>
      <c r="O518" s="64"/>
      <c r="P518" s="64"/>
      <c r="Q518" s="64"/>
      <c r="R518" s="70"/>
      <c r="T518" s="64"/>
      <c r="X518">
        <v>0.123</v>
      </c>
      <c r="Y518" s="258" t="s">
        <v>1313</v>
      </c>
      <c r="AA518" s="259" t="s">
        <v>1314</v>
      </c>
      <c r="AB518" s="20" t="s">
        <v>1061</v>
      </c>
      <c r="AC518">
        <f t="shared" si="15"/>
        <v>2375000000</v>
      </c>
      <c r="AE518" s="18" t="s">
        <v>1315</v>
      </c>
      <c r="AF518" s="1" t="b">
        <v>1</v>
      </c>
    </row>
    <row r="519" spans="2:32" ht="16.5" customHeight="1">
      <c r="B519" s="1" t="str">
        <f t="shared" si="14"/>
        <v>M_TDIF04_VM_BKT_1.3_476</v>
      </c>
      <c r="C519" s="92" t="s">
        <v>700</v>
      </c>
      <c r="D519" s="92" t="str" cm="1">
        <f t="array" ref="D519">INDEX(기계코드!$D$4:$D$214,MATCH(1,(C519=기계코드!$F$4:$F$214)*1,0))</f>
        <v>M_TDIF04</v>
      </c>
      <c r="E519" s="92" t="s">
        <v>1128</v>
      </c>
      <c r="F519" s="7" t="str" cm="1">
        <f t="array" ref="F519">INDEX(공급업체코드!$B$3:$B$1000,MATCH(1,(E519=공급업체코드!$D$3:$D$1000)*1,0))</f>
        <v>VM_BKT</v>
      </c>
      <c r="G519" s="18" t="s">
        <v>1881</v>
      </c>
      <c r="H519" s="64"/>
      <c r="I519" s="64"/>
      <c r="J519" s="64"/>
      <c r="K519" s="300">
        <v>1.1000000000000001</v>
      </c>
      <c r="L519" s="300">
        <v>1.3</v>
      </c>
      <c r="M519" s="64">
        <v>476</v>
      </c>
      <c r="N519" s="64"/>
      <c r="O519" s="64"/>
      <c r="P519" s="64"/>
      <c r="Q519" s="64"/>
      <c r="R519" s="70"/>
      <c r="T519" s="64"/>
      <c r="X519">
        <v>0.123</v>
      </c>
      <c r="Y519" s="258" t="s">
        <v>1313</v>
      </c>
      <c r="AA519" s="259" t="s">
        <v>1314</v>
      </c>
      <c r="AB519" s="20" t="s">
        <v>1061</v>
      </c>
      <c r="AC519">
        <f t="shared" si="15"/>
        <v>2380000000</v>
      </c>
      <c r="AE519" s="18" t="s">
        <v>1315</v>
      </c>
      <c r="AF519" s="1" t="b">
        <v>1</v>
      </c>
    </row>
    <row r="520" spans="2:32" ht="16.5" customHeight="1">
      <c r="B520" s="1" t="str">
        <f t="shared" si="14"/>
        <v>M_TDIF04_VM_BKT_1.3_477</v>
      </c>
      <c r="C520" s="92" t="s">
        <v>700</v>
      </c>
      <c r="D520" s="92" t="str" cm="1">
        <f t="array" ref="D520">INDEX(기계코드!$D$4:$D$214,MATCH(1,(C520=기계코드!$F$4:$F$214)*1,0))</f>
        <v>M_TDIF04</v>
      </c>
      <c r="E520" s="92" t="s">
        <v>1128</v>
      </c>
      <c r="F520" s="7" t="str" cm="1">
        <f t="array" ref="F520">INDEX(공급업체코드!$B$3:$B$1000,MATCH(1,(E520=공급업체코드!$D$3:$D$1000)*1,0))</f>
        <v>VM_BKT</v>
      </c>
      <c r="G520" s="18" t="s">
        <v>1881</v>
      </c>
      <c r="H520" s="64"/>
      <c r="I520" s="64"/>
      <c r="J520" s="64"/>
      <c r="K520" s="300">
        <v>1.1000000000000001</v>
      </c>
      <c r="L520" s="300">
        <v>1.3</v>
      </c>
      <c r="M520" s="64">
        <v>477</v>
      </c>
      <c r="N520" s="64"/>
      <c r="O520" s="64"/>
      <c r="P520" s="64"/>
      <c r="Q520" s="64"/>
      <c r="R520" s="70"/>
      <c r="T520" s="64"/>
      <c r="X520">
        <v>0.123</v>
      </c>
      <c r="Y520" s="258" t="s">
        <v>1313</v>
      </c>
      <c r="AA520" s="259" t="s">
        <v>1314</v>
      </c>
      <c r="AB520" s="20" t="s">
        <v>1061</v>
      </c>
      <c r="AC520">
        <f t="shared" si="15"/>
        <v>2385000000</v>
      </c>
      <c r="AE520" s="18" t="s">
        <v>1315</v>
      </c>
      <c r="AF520" s="1" t="b">
        <v>1</v>
      </c>
    </row>
    <row r="521" spans="2:32" ht="16.5" customHeight="1">
      <c r="B521" s="1" t="str">
        <f t="shared" si="14"/>
        <v>M_TDIF04_VM_BKT_1.3_478</v>
      </c>
      <c r="C521" s="92" t="s">
        <v>700</v>
      </c>
      <c r="D521" s="92" t="str" cm="1">
        <f t="array" ref="D521">INDEX(기계코드!$D$4:$D$214,MATCH(1,(C521=기계코드!$F$4:$F$214)*1,0))</f>
        <v>M_TDIF04</v>
      </c>
      <c r="E521" s="92" t="s">
        <v>1128</v>
      </c>
      <c r="F521" s="7" t="str" cm="1">
        <f t="array" ref="F521">INDEX(공급업체코드!$B$3:$B$1000,MATCH(1,(E521=공급업체코드!$D$3:$D$1000)*1,0))</f>
        <v>VM_BKT</v>
      </c>
      <c r="G521" s="18" t="s">
        <v>1881</v>
      </c>
      <c r="H521" s="64"/>
      <c r="I521" s="64"/>
      <c r="J521" s="64"/>
      <c r="K521" s="300">
        <v>1.1000000000000001</v>
      </c>
      <c r="L521" s="300">
        <v>1.3</v>
      </c>
      <c r="M521" s="64">
        <v>478</v>
      </c>
      <c r="N521" s="64"/>
      <c r="O521" s="64"/>
      <c r="P521" s="64"/>
      <c r="Q521" s="64"/>
      <c r="R521" s="70"/>
      <c r="T521" s="64"/>
      <c r="X521">
        <v>0.123</v>
      </c>
      <c r="Y521" s="258" t="s">
        <v>1313</v>
      </c>
      <c r="AA521" s="259" t="s">
        <v>1314</v>
      </c>
      <c r="AB521" s="20" t="s">
        <v>1061</v>
      </c>
      <c r="AC521">
        <f t="shared" si="15"/>
        <v>2390000000</v>
      </c>
      <c r="AE521" s="18" t="s">
        <v>1315</v>
      </c>
      <c r="AF521" s="1" t="b">
        <v>1</v>
      </c>
    </row>
    <row r="522" spans="2:32" ht="16.5" customHeight="1">
      <c r="B522" s="1" t="str">
        <f t="shared" si="14"/>
        <v>M_TDIF04_VM_BKT_1.3_479</v>
      </c>
      <c r="C522" s="92" t="s">
        <v>700</v>
      </c>
      <c r="D522" s="92" t="str" cm="1">
        <f t="array" ref="D522">INDEX(기계코드!$D$4:$D$214,MATCH(1,(C522=기계코드!$F$4:$F$214)*1,0))</f>
        <v>M_TDIF04</v>
      </c>
      <c r="E522" s="92" t="s">
        <v>1128</v>
      </c>
      <c r="F522" s="7" t="str" cm="1">
        <f t="array" ref="F522">INDEX(공급업체코드!$B$3:$B$1000,MATCH(1,(E522=공급업체코드!$D$3:$D$1000)*1,0))</f>
        <v>VM_BKT</v>
      </c>
      <c r="G522" s="18" t="s">
        <v>1881</v>
      </c>
      <c r="H522" s="64"/>
      <c r="I522" s="64"/>
      <c r="J522" s="64"/>
      <c r="K522" s="300">
        <v>1.1000000000000001</v>
      </c>
      <c r="L522" s="300">
        <v>1.3</v>
      </c>
      <c r="M522" s="64">
        <v>479</v>
      </c>
      <c r="N522" s="64"/>
      <c r="O522" s="64"/>
      <c r="P522" s="64"/>
      <c r="Q522" s="64"/>
      <c r="R522" s="70"/>
      <c r="T522" s="64"/>
      <c r="X522">
        <v>0.123</v>
      </c>
      <c r="Y522" s="258" t="s">
        <v>1313</v>
      </c>
      <c r="AA522" s="259" t="s">
        <v>1314</v>
      </c>
      <c r="AB522" s="20" t="s">
        <v>1061</v>
      </c>
      <c r="AC522">
        <f t="shared" si="15"/>
        <v>2395000000</v>
      </c>
      <c r="AE522" s="18" t="s">
        <v>1315</v>
      </c>
      <c r="AF522" s="1" t="b">
        <v>1</v>
      </c>
    </row>
    <row r="523" spans="2:32" ht="16.5" customHeight="1">
      <c r="B523" s="1" t="str">
        <f t="shared" si="14"/>
        <v>M_TDIF04_VM_BKT_1.3_480</v>
      </c>
      <c r="C523" s="92" t="s">
        <v>700</v>
      </c>
      <c r="D523" s="92" t="str" cm="1">
        <f t="array" ref="D523">INDEX(기계코드!$D$4:$D$214,MATCH(1,(C523=기계코드!$F$4:$F$214)*1,0))</f>
        <v>M_TDIF04</v>
      </c>
      <c r="E523" s="92" t="s">
        <v>1128</v>
      </c>
      <c r="F523" s="7" t="str" cm="1">
        <f t="array" ref="F523">INDEX(공급업체코드!$B$3:$B$1000,MATCH(1,(E523=공급업체코드!$D$3:$D$1000)*1,0))</f>
        <v>VM_BKT</v>
      </c>
      <c r="G523" s="18" t="s">
        <v>1881</v>
      </c>
      <c r="H523" s="64"/>
      <c r="I523" s="64"/>
      <c r="J523" s="64"/>
      <c r="K523" s="300">
        <v>1.1000000000000001</v>
      </c>
      <c r="L523" s="300">
        <v>1.3</v>
      </c>
      <c r="M523" s="64">
        <v>480</v>
      </c>
      <c r="N523" s="64"/>
      <c r="O523" s="64"/>
      <c r="P523" s="64"/>
      <c r="Q523" s="64"/>
      <c r="R523" s="70"/>
      <c r="T523" s="64"/>
      <c r="X523">
        <v>0.123</v>
      </c>
      <c r="Y523" s="258" t="s">
        <v>1313</v>
      </c>
      <c r="AA523" s="259" t="s">
        <v>1314</v>
      </c>
      <c r="AB523" s="20" t="s">
        <v>1061</v>
      </c>
      <c r="AC523">
        <f t="shared" si="15"/>
        <v>2400000000</v>
      </c>
      <c r="AE523" s="18" t="s">
        <v>1315</v>
      </c>
      <c r="AF523" s="1" t="b">
        <v>1</v>
      </c>
    </row>
    <row r="524" spans="2:32" ht="16.5" customHeight="1">
      <c r="B524" s="1" t="str">
        <f t="shared" si="14"/>
        <v>M_TDIF04_VM_BKT_1.3_481</v>
      </c>
      <c r="C524" s="92" t="s">
        <v>700</v>
      </c>
      <c r="D524" s="92" t="str" cm="1">
        <f t="array" ref="D524">INDEX(기계코드!$D$4:$D$214,MATCH(1,(C524=기계코드!$F$4:$F$214)*1,0))</f>
        <v>M_TDIF04</v>
      </c>
      <c r="E524" s="92" t="s">
        <v>1128</v>
      </c>
      <c r="F524" s="7" t="str" cm="1">
        <f t="array" ref="F524">INDEX(공급업체코드!$B$3:$B$1000,MATCH(1,(E524=공급업체코드!$D$3:$D$1000)*1,0))</f>
        <v>VM_BKT</v>
      </c>
      <c r="G524" s="18" t="s">
        <v>1881</v>
      </c>
      <c r="H524" s="64"/>
      <c r="I524" s="64"/>
      <c r="J524" s="64"/>
      <c r="K524" s="300">
        <v>1.1000000000000001</v>
      </c>
      <c r="L524" s="300">
        <v>1.3</v>
      </c>
      <c r="M524" s="64">
        <v>481</v>
      </c>
      <c r="N524" s="64"/>
      <c r="O524" s="64"/>
      <c r="P524" s="64"/>
      <c r="Q524" s="64"/>
      <c r="R524" s="70"/>
      <c r="T524" s="64"/>
      <c r="X524">
        <v>0.123</v>
      </c>
      <c r="Y524" s="258" t="s">
        <v>1313</v>
      </c>
      <c r="AA524" s="259" t="s">
        <v>1314</v>
      </c>
      <c r="AB524" s="20" t="s">
        <v>1061</v>
      </c>
      <c r="AC524">
        <f t="shared" si="15"/>
        <v>2405000000</v>
      </c>
      <c r="AE524" s="18" t="s">
        <v>1315</v>
      </c>
      <c r="AF524" s="1" t="b">
        <v>1</v>
      </c>
    </row>
    <row r="525" spans="2:32" ht="16.5" customHeight="1">
      <c r="B525" s="1" t="str">
        <f t="shared" si="14"/>
        <v>M_TDIF04_VM_BKT_1.3_482</v>
      </c>
      <c r="C525" s="92" t="s">
        <v>700</v>
      </c>
      <c r="D525" s="92" t="str" cm="1">
        <f t="array" ref="D525">INDEX(기계코드!$D$4:$D$214,MATCH(1,(C525=기계코드!$F$4:$F$214)*1,0))</f>
        <v>M_TDIF04</v>
      </c>
      <c r="E525" s="92" t="s">
        <v>1128</v>
      </c>
      <c r="F525" s="7" t="str" cm="1">
        <f t="array" ref="F525">INDEX(공급업체코드!$B$3:$B$1000,MATCH(1,(E525=공급업체코드!$D$3:$D$1000)*1,0))</f>
        <v>VM_BKT</v>
      </c>
      <c r="G525" s="18" t="s">
        <v>1881</v>
      </c>
      <c r="H525" s="64"/>
      <c r="I525" s="64"/>
      <c r="J525" s="64"/>
      <c r="K525" s="300">
        <v>1.1000000000000001</v>
      </c>
      <c r="L525" s="300">
        <v>1.3</v>
      </c>
      <c r="M525" s="64">
        <v>482</v>
      </c>
      <c r="N525" s="64"/>
      <c r="O525" s="64"/>
      <c r="P525" s="64"/>
      <c r="Q525" s="64"/>
      <c r="R525" s="70"/>
      <c r="T525" s="64"/>
      <c r="X525">
        <v>0.123</v>
      </c>
      <c r="Y525" s="258" t="s">
        <v>1313</v>
      </c>
      <c r="AA525" s="259" t="s">
        <v>1314</v>
      </c>
      <c r="AB525" s="20" t="s">
        <v>1061</v>
      </c>
      <c r="AC525">
        <f t="shared" si="15"/>
        <v>2410000000</v>
      </c>
      <c r="AE525" s="18" t="s">
        <v>1315</v>
      </c>
      <c r="AF525" s="1" t="b">
        <v>1</v>
      </c>
    </row>
    <row r="526" spans="2:32" ht="16.5" customHeight="1">
      <c r="B526" s="1" t="str">
        <f t="shared" si="14"/>
        <v>M_TDIF04_VM_BKT_1.3_483</v>
      </c>
      <c r="C526" s="92" t="s">
        <v>700</v>
      </c>
      <c r="D526" s="92" t="str" cm="1">
        <f t="array" ref="D526">INDEX(기계코드!$D$4:$D$214,MATCH(1,(C526=기계코드!$F$4:$F$214)*1,0))</f>
        <v>M_TDIF04</v>
      </c>
      <c r="E526" s="92" t="s">
        <v>1128</v>
      </c>
      <c r="F526" s="7" t="str" cm="1">
        <f t="array" ref="F526">INDEX(공급업체코드!$B$3:$B$1000,MATCH(1,(E526=공급업체코드!$D$3:$D$1000)*1,0))</f>
        <v>VM_BKT</v>
      </c>
      <c r="G526" s="18" t="s">
        <v>1881</v>
      </c>
      <c r="H526" s="64"/>
      <c r="I526" s="64"/>
      <c r="J526" s="64"/>
      <c r="K526" s="300">
        <v>1.1000000000000001</v>
      </c>
      <c r="L526" s="300">
        <v>1.3</v>
      </c>
      <c r="M526" s="64">
        <v>483</v>
      </c>
      <c r="N526" s="64"/>
      <c r="O526" s="64"/>
      <c r="P526" s="64"/>
      <c r="Q526" s="64"/>
      <c r="R526" s="70"/>
      <c r="T526" s="64"/>
      <c r="X526">
        <v>0.123</v>
      </c>
      <c r="Y526" s="258" t="s">
        <v>1313</v>
      </c>
      <c r="AA526" s="259" t="s">
        <v>1314</v>
      </c>
      <c r="AB526" s="20" t="s">
        <v>1061</v>
      </c>
      <c r="AC526">
        <f t="shared" si="15"/>
        <v>2415000000</v>
      </c>
      <c r="AE526" s="18" t="s">
        <v>1315</v>
      </c>
      <c r="AF526" s="1" t="b">
        <v>1</v>
      </c>
    </row>
    <row r="527" spans="2:32" ht="16.5" customHeight="1">
      <c r="B527" s="1" t="str">
        <f t="shared" si="14"/>
        <v>M_TDIF04_VM_BKT_1.3_484</v>
      </c>
      <c r="C527" s="92" t="s">
        <v>700</v>
      </c>
      <c r="D527" s="92" t="str" cm="1">
        <f t="array" ref="D527">INDEX(기계코드!$D$4:$D$214,MATCH(1,(C527=기계코드!$F$4:$F$214)*1,0))</f>
        <v>M_TDIF04</v>
      </c>
      <c r="E527" s="92" t="s">
        <v>1128</v>
      </c>
      <c r="F527" s="7" t="str" cm="1">
        <f t="array" ref="F527">INDEX(공급업체코드!$B$3:$B$1000,MATCH(1,(E527=공급업체코드!$D$3:$D$1000)*1,0))</f>
        <v>VM_BKT</v>
      </c>
      <c r="G527" s="18" t="s">
        <v>1881</v>
      </c>
      <c r="H527" s="64"/>
      <c r="I527" s="64"/>
      <c r="J527" s="64"/>
      <c r="K527" s="300">
        <v>1.1000000000000001</v>
      </c>
      <c r="L527" s="300">
        <v>1.3</v>
      </c>
      <c r="M527" s="64">
        <v>484</v>
      </c>
      <c r="N527" s="64"/>
      <c r="O527" s="64"/>
      <c r="P527" s="64"/>
      <c r="Q527" s="64"/>
      <c r="R527" s="70"/>
      <c r="T527" s="64"/>
      <c r="X527">
        <v>0.123</v>
      </c>
      <c r="Y527" s="258" t="s">
        <v>1313</v>
      </c>
      <c r="AA527" s="259" t="s">
        <v>1314</v>
      </c>
      <c r="AB527" s="20" t="s">
        <v>1061</v>
      </c>
      <c r="AC527">
        <f t="shared" si="15"/>
        <v>2420000000</v>
      </c>
      <c r="AE527" s="18" t="s">
        <v>1315</v>
      </c>
      <c r="AF527" s="1" t="b">
        <v>1</v>
      </c>
    </row>
    <row r="528" spans="2:32" ht="16.5" customHeight="1">
      <c r="B528" s="1" t="str">
        <f t="shared" si="14"/>
        <v>M_TDIF04_VM_BKT_1.3_485</v>
      </c>
      <c r="C528" s="92" t="s">
        <v>700</v>
      </c>
      <c r="D528" s="92" t="str" cm="1">
        <f t="array" ref="D528">INDEX(기계코드!$D$4:$D$214,MATCH(1,(C528=기계코드!$F$4:$F$214)*1,0))</f>
        <v>M_TDIF04</v>
      </c>
      <c r="E528" s="92" t="s">
        <v>1128</v>
      </c>
      <c r="F528" s="7" t="str" cm="1">
        <f t="array" ref="F528">INDEX(공급업체코드!$B$3:$B$1000,MATCH(1,(E528=공급업체코드!$D$3:$D$1000)*1,0))</f>
        <v>VM_BKT</v>
      </c>
      <c r="G528" s="18" t="s">
        <v>1881</v>
      </c>
      <c r="H528" s="64"/>
      <c r="I528" s="64"/>
      <c r="J528" s="64"/>
      <c r="K528" s="300">
        <v>1.1000000000000001</v>
      </c>
      <c r="L528" s="300">
        <v>1.3</v>
      </c>
      <c r="M528" s="64">
        <v>485</v>
      </c>
      <c r="N528" s="64"/>
      <c r="O528" s="64"/>
      <c r="P528" s="64"/>
      <c r="Q528" s="64"/>
      <c r="R528" s="70"/>
      <c r="T528" s="64"/>
      <c r="X528">
        <v>0.123</v>
      </c>
      <c r="Y528" s="258" t="s">
        <v>1313</v>
      </c>
      <c r="AA528" s="259" t="s">
        <v>1314</v>
      </c>
      <c r="AB528" s="20" t="s">
        <v>1061</v>
      </c>
      <c r="AC528">
        <f t="shared" si="15"/>
        <v>2425000000</v>
      </c>
      <c r="AE528" s="18" t="s">
        <v>1315</v>
      </c>
      <c r="AF528" s="1" t="b">
        <v>1</v>
      </c>
    </row>
    <row r="529" spans="2:32" ht="16.5" customHeight="1">
      <c r="B529" s="1" t="str">
        <f t="shared" si="14"/>
        <v>M_TDIF04_VM_BKT_1.3_486</v>
      </c>
      <c r="C529" s="92" t="s">
        <v>700</v>
      </c>
      <c r="D529" s="92" t="str" cm="1">
        <f t="array" ref="D529">INDEX(기계코드!$D$4:$D$214,MATCH(1,(C529=기계코드!$F$4:$F$214)*1,0))</f>
        <v>M_TDIF04</v>
      </c>
      <c r="E529" s="92" t="s">
        <v>1128</v>
      </c>
      <c r="F529" s="7" t="str" cm="1">
        <f t="array" ref="F529">INDEX(공급업체코드!$B$3:$B$1000,MATCH(1,(E529=공급업체코드!$D$3:$D$1000)*1,0))</f>
        <v>VM_BKT</v>
      </c>
      <c r="G529" s="18" t="s">
        <v>1881</v>
      </c>
      <c r="H529" s="64"/>
      <c r="I529" s="64"/>
      <c r="J529" s="64"/>
      <c r="K529" s="300">
        <v>1.1000000000000001</v>
      </c>
      <c r="L529" s="300">
        <v>1.3</v>
      </c>
      <c r="M529" s="64">
        <v>486</v>
      </c>
      <c r="N529" s="64"/>
      <c r="O529" s="64"/>
      <c r="P529" s="64"/>
      <c r="Q529" s="64"/>
      <c r="R529" s="70"/>
      <c r="T529" s="64"/>
      <c r="X529">
        <v>0.123</v>
      </c>
      <c r="Y529" s="258" t="s">
        <v>1313</v>
      </c>
      <c r="AA529" s="259" t="s">
        <v>1314</v>
      </c>
      <c r="AB529" s="20" t="s">
        <v>1061</v>
      </c>
      <c r="AC529">
        <f t="shared" si="15"/>
        <v>2430000000</v>
      </c>
      <c r="AE529" s="18" t="s">
        <v>1315</v>
      </c>
      <c r="AF529" s="1" t="b">
        <v>1</v>
      </c>
    </row>
    <row r="530" spans="2:32" ht="16.5" customHeight="1">
      <c r="B530" s="1" t="str">
        <f t="shared" si="14"/>
        <v>M_TDIF04_VM_BKT_1.3_487</v>
      </c>
      <c r="C530" s="92" t="s">
        <v>700</v>
      </c>
      <c r="D530" s="92" t="str" cm="1">
        <f t="array" ref="D530">INDEX(기계코드!$D$4:$D$214,MATCH(1,(C530=기계코드!$F$4:$F$214)*1,0))</f>
        <v>M_TDIF04</v>
      </c>
      <c r="E530" s="92" t="s">
        <v>1128</v>
      </c>
      <c r="F530" s="7" t="str" cm="1">
        <f t="array" ref="F530">INDEX(공급업체코드!$B$3:$B$1000,MATCH(1,(E530=공급업체코드!$D$3:$D$1000)*1,0))</f>
        <v>VM_BKT</v>
      </c>
      <c r="G530" s="18" t="s">
        <v>1881</v>
      </c>
      <c r="H530" s="64"/>
      <c r="I530" s="64"/>
      <c r="J530" s="64"/>
      <c r="K530" s="300">
        <v>1.1000000000000001</v>
      </c>
      <c r="L530" s="300">
        <v>1.3</v>
      </c>
      <c r="M530" s="64">
        <v>487</v>
      </c>
      <c r="N530" s="64"/>
      <c r="O530" s="64"/>
      <c r="P530" s="64"/>
      <c r="Q530" s="64"/>
      <c r="R530" s="70"/>
      <c r="T530" s="64"/>
      <c r="X530">
        <v>0.123</v>
      </c>
      <c r="Y530" s="258" t="s">
        <v>1313</v>
      </c>
      <c r="AA530" s="259" t="s">
        <v>1314</v>
      </c>
      <c r="AB530" s="20" t="s">
        <v>1061</v>
      </c>
      <c r="AC530">
        <f t="shared" si="15"/>
        <v>2435000000</v>
      </c>
      <c r="AE530" s="18" t="s">
        <v>1315</v>
      </c>
      <c r="AF530" s="1" t="b">
        <v>1</v>
      </c>
    </row>
    <row r="531" spans="2:32" ht="16.5" customHeight="1">
      <c r="B531" s="1" t="str">
        <f t="shared" si="14"/>
        <v>M_TDIF04_VM_BKT_1.3_488</v>
      </c>
      <c r="C531" s="92" t="s">
        <v>700</v>
      </c>
      <c r="D531" s="92" t="str" cm="1">
        <f t="array" ref="D531">INDEX(기계코드!$D$4:$D$214,MATCH(1,(C531=기계코드!$F$4:$F$214)*1,0))</f>
        <v>M_TDIF04</v>
      </c>
      <c r="E531" s="92" t="s">
        <v>1128</v>
      </c>
      <c r="F531" s="7" t="str" cm="1">
        <f t="array" ref="F531">INDEX(공급업체코드!$B$3:$B$1000,MATCH(1,(E531=공급업체코드!$D$3:$D$1000)*1,0))</f>
        <v>VM_BKT</v>
      </c>
      <c r="G531" s="18" t="s">
        <v>1881</v>
      </c>
      <c r="H531" s="64"/>
      <c r="I531" s="64"/>
      <c r="J531" s="64"/>
      <c r="K531" s="300">
        <v>1.1000000000000001</v>
      </c>
      <c r="L531" s="300">
        <v>1.3</v>
      </c>
      <c r="M531" s="64">
        <v>488</v>
      </c>
      <c r="N531" s="64"/>
      <c r="O531" s="64"/>
      <c r="P531" s="64"/>
      <c r="Q531" s="64"/>
      <c r="R531" s="70"/>
      <c r="T531" s="64"/>
      <c r="X531">
        <v>0.123</v>
      </c>
      <c r="Y531" s="258" t="s">
        <v>1313</v>
      </c>
      <c r="AA531" s="259" t="s">
        <v>1314</v>
      </c>
      <c r="AB531" s="20" t="s">
        <v>1061</v>
      </c>
      <c r="AC531">
        <f t="shared" si="15"/>
        <v>2440000000</v>
      </c>
      <c r="AE531" s="18" t="s">
        <v>1315</v>
      </c>
      <c r="AF531" s="1" t="b">
        <v>1</v>
      </c>
    </row>
    <row r="532" spans="2:32" ht="16.5" customHeight="1">
      <c r="B532" s="1" t="str">
        <f t="shared" si="14"/>
        <v>M_TDIF04_VM_BKT_1.3_489</v>
      </c>
      <c r="C532" s="92" t="s">
        <v>700</v>
      </c>
      <c r="D532" s="92" t="str" cm="1">
        <f t="array" ref="D532">INDEX(기계코드!$D$4:$D$214,MATCH(1,(C532=기계코드!$F$4:$F$214)*1,0))</f>
        <v>M_TDIF04</v>
      </c>
      <c r="E532" s="92" t="s">
        <v>1128</v>
      </c>
      <c r="F532" s="7" t="str" cm="1">
        <f t="array" ref="F532">INDEX(공급업체코드!$B$3:$B$1000,MATCH(1,(E532=공급업체코드!$D$3:$D$1000)*1,0))</f>
        <v>VM_BKT</v>
      </c>
      <c r="G532" s="18" t="s">
        <v>1881</v>
      </c>
      <c r="H532" s="64"/>
      <c r="I532" s="64"/>
      <c r="J532" s="64"/>
      <c r="K532" s="300">
        <v>1.1000000000000001</v>
      </c>
      <c r="L532" s="300">
        <v>1.3</v>
      </c>
      <c r="M532" s="64">
        <v>489</v>
      </c>
      <c r="N532" s="64"/>
      <c r="O532" s="64"/>
      <c r="P532" s="64"/>
      <c r="Q532" s="64"/>
      <c r="R532" s="70"/>
      <c r="T532" s="64"/>
      <c r="X532">
        <v>0.123</v>
      </c>
      <c r="Y532" s="258" t="s">
        <v>1313</v>
      </c>
      <c r="AA532" s="259" t="s">
        <v>1314</v>
      </c>
      <c r="AB532" s="20" t="s">
        <v>1061</v>
      </c>
      <c r="AC532">
        <f t="shared" si="15"/>
        <v>2445000000</v>
      </c>
      <c r="AE532" s="18" t="s">
        <v>1315</v>
      </c>
      <c r="AF532" s="1" t="b">
        <v>1</v>
      </c>
    </row>
    <row r="533" spans="2:32" ht="16.5" customHeight="1">
      <c r="B533" s="1" t="str">
        <f t="shared" si="14"/>
        <v>M_TDIF04_VM_BKT_1.3_490</v>
      </c>
      <c r="C533" s="92" t="s">
        <v>700</v>
      </c>
      <c r="D533" s="92" t="str" cm="1">
        <f t="array" ref="D533">INDEX(기계코드!$D$4:$D$214,MATCH(1,(C533=기계코드!$F$4:$F$214)*1,0))</f>
        <v>M_TDIF04</v>
      </c>
      <c r="E533" s="92" t="s">
        <v>1128</v>
      </c>
      <c r="F533" s="7" t="str" cm="1">
        <f t="array" ref="F533">INDEX(공급업체코드!$B$3:$B$1000,MATCH(1,(E533=공급업체코드!$D$3:$D$1000)*1,0))</f>
        <v>VM_BKT</v>
      </c>
      <c r="G533" s="18" t="s">
        <v>1881</v>
      </c>
      <c r="H533" s="64"/>
      <c r="I533" s="64"/>
      <c r="J533" s="64"/>
      <c r="K533" s="300">
        <v>1.1000000000000001</v>
      </c>
      <c r="L533" s="300">
        <v>1.3</v>
      </c>
      <c r="M533" s="64">
        <v>490</v>
      </c>
      <c r="N533" s="64"/>
      <c r="O533" s="64"/>
      <c r="P533" s="64"/>
      <c r="Q533" s="64"/>
      <c r="R533" s="70"/>
      <c r="T533" s="64"/>
      <c r="X533">
        <v>0.123</v>
      </c>
      <c r="Y533" s="258" t="s">
        <v>1313</v>
      </c>
      <c r="AA533" s="259" t="s">
        <v>1314</v>
      </c>
      <c r="AB533" s="20" t="s">
        <v>1061</v>
      </c>
      <c r="AC533">
        <f t="shared" si="15"/>
        <v>2450000000</v>
      </c>
      <c r="AE533" s="18" t="s">
        <v>1315</v>
      </c>
      <c r="AF533" s="1" t="b">
        <v>1</v>
      </c>
    </row>
    <row r="534" spans="2:32" ht="16.5" customHeight="1">
      <c r="B534" s="1" t="str">
        <f t="shared" si="14"/>
        <v>M_TDIF04_VM_BKT_1.3_491</v>
      </c>
      <c r="C534" s="92" t="s">
        <v>700</v>
      </c>
      <c r="D534" s="92" t="str" cm="1">
        <f t="array" ref="D534">INDEX(기계코드!$D$4:$D$214,MATCH(1,(C534=기계코드!$F$4:$F$214)*1,0))</f>
        <v>M_TDIF04</v>
      </c>
      <c r="E534" s="92" t="s">
        <v>1128</v>
      </c>
      <c r="F534" s="7" t="str" cm="1">
        <f t="array" ref="F534">INDEX(공급업체코드!$B$3:$B$1000,MATCH(1,(E534=공급업체코드!$D$3:$D$1000)*1,0))</f>
        <v>VM_BKT</v>
      </c>
      <c r="G534" s="18" t="s">
        <v>1881</v>
      </c>
      <c r="H534" s="64"/>
      <c r="I534" s="64"/>
      <c r="J534" s="64"/>
      <c r="K534" s="300">
        <v>1.1000000000000001</v>
      </c>
      <c r="L534" s="300">
        <v>1.3</v>
      </c>
      <c r="M534" s="64">
        <v>491</v>
      </c>
      <c r="N534" s="64"/>
      <c r="O534" s="64"/>
      <c r="P534" s="64"/>
      <c r="Q534" s="64"/>
      <c r="R534" s="70"/>
      <c r="T534" s="64"/>
      <c r="X534">
        <v>0.123</v>
      </c>
      <c r="Y534" s="258" t="s">
        <v>1313</v>
      </c>
      <c r="AA534" s="259" t="s">
        <v>1314</v>
      </c>
      <c r="AB534" s="20" t="s">
        <v>1061</v>
      </c>
      <c r="AC534">
        <f t="shared" si="15"/>
        <v>2455000000</v>
      </c>
      <c r="AE534" s="18" t="s">
        <v>1315</v>
      </c>
      <c r="AF534" s="1" t="b">
        <v>1</v>
      </c>
    </row>
    <row r="535" spans="2:32" ht="16.5" customHeight="1">
      <c r="B535" s="1" t="str">
        <f t="shared" si="14"/>
        <v>M_TDIF04_VM_BKT_1.3_492</v>
      </c>
      <c r="C535" s="92" t="s">
        <v>700</v>
      </c>
      <c r="D535" s="92" t="str" cm="1">
        <f t="array" ref="D535">INDEX(기계코드!$D$4:$D$214,MATCH(1,(C535=기계코드!$F$4:$F$214)*1,0))</f>
        <v>M_TDIF04</v>
      </c>
      <c r="E535" s="92" t="s">
        <v>1128</v>
      </c>
      <c r="F535" s="7" t="str" cm="1">
        <f t="array" ref="F535">INDEX(공급업체코드!$B$3:$B$1000,MATCH(1,(E535=공급업체코드!$D$3:$D$1000)*1,0))</f>
        <v>VM_BKT</v>
      </c>
      <c r="G535" s="18" t="s">
        <v>1881</v>
      </c>
      <c r="H535" s="64"/>
      <c r="I535" s="64"/>
      <c r="J535" s="64"/>
      <c r="K535" s="300">
        <v>1.1000000000000001</v>
      </c>
      <c r="L535" s="300">
        <v>1.3</v>
      </c>
      <c r="M535" s="64">
        <v>492</v>
      </c>
      <c r="N535" s="64"/>
      <c r="O535" s="64"/>
      <c r="P535" s="64"/>
      <c r="Q535" s="64"/>
      <c r="R535" s="70"/>
      <c r="T535" s="64"/>
      <c r="X535">
        <v>0.123</v>
      </c>
      <c r="Y535" s="258" t="s">
        <v>1313</v>
      </c>
      <c r="AA535" s="259" t="s">
        <v>1314</v>
      </c>
      <c r="AB535" s="20" t="s">
        <v>1061</v>
      </c>
      <c r="AC535">
        <f t="shared" si="15"/>
        <v>2460000000</v>
      </c>
      <c r="AE535" s="18" t="s">
        <v>1315</v>
      </c>
      <c r="AF535" s="1" t="b">
        <v>1</v>
      </c>
    </row>
    <row r="536" spans="2:32" ht="16.5" customHeight="1">
      <c r="B536" s="1" t="str">
        <f t="shared" si="14"/>
        <v>M_TDIF04_VM_BKT_1.3_493</v>
      </c>
      <c r="C536" s="92" t="s">
        <v>700</v>
      </c>
      <c r="D536" s="92" t="str" cm="1">
        <f t="array" ref="D536">INDEX(기계코드!$D$4:$D$214,MATCH(1,(C536=기계코드!$F$4:$F$214)*1,0))</f>
        <v>M_TDIF04</v>
      </c>
      <c r="E536" s="92" t="s">
        <v>1128</v>
      </c>
      <c r="F536" s="7" t="str" cm="1">
        <f t="array" ref="F536">INDEX(공급업체코드!$B$3:$B$1000,MATCH(1,(E536=공급업체코드!$D$3:$D$1000)*1,0))</f>
        <v>VM_BKT</v>
      </c>
      <c r="G536" s="18" t="s">
        <v>1881</v>
      </c>
      <c r="H536" s="64"/>
      <c r="I536" s="64"/>
      <c r="J536" s="64"/>
      <c r="K536" s="300">
        <v>1.1000000000000001</v>
      </c>
      <c r="L536" s="300">
        <v>1.3</v>
      </c>
      <c r="M536" s="64">
        <v>493</v>
      </c>
      <c r="N536" s="64"/>
      <c r="O536" s="64"/>
      <c r="P536" s="64"/>
      <c r="Q536" s="64"/>
      <c r="R536" s="70"/>
      <c r="T536" s="64"/>
      <c r="X536">
        <v>0.123</v>
      </c>
      <c r="Y536" s="258" t="s">
        <v>1313</v>
      </c>
      <c r="AA536" s="259" t="s">
        <v>1314</v>
      </c>
      <c r="AB536" s="20" t="s">
        <v>1061</v>
      </c>
      <c r="AC536">
        <f t="shared" si="15"/>
        <v>2465000000</v>
      </c>
      <c r="AE536" s="18" t="s">
        <v>1315</v>
      </c>
      <c r="AF536" s="1" t="b">
        <v>1</v>
      </c>
    </row>
    <row r="537" spans="2:32" ht="16.5" customHeight="1">
      <c r="B537" s="1" t="str">
        <f t="shared" si="14"/>
        <v>M_TDIF04_VM_BKT_1.3_494</v>
      </c>
      <c r="C537" s="92" t="s">
        <v>700</v>
      </c>
      <c r="D537" s="92" t="str" cm="1">
        <f t="array" ref="D537">INDEX(기계코드!$D$4:$D$214,MATCH(1,(C537=기계코드!$F$4:$F$214)*1,0))</f>
        <v>M_TDIF04</v>
      </c>
      <c r="E537" s="92" t="s">
        <v>1128</v>
      </c>
      <c r="F537" s="7" t="str" cm="1">
        <f t="array" ref="F537">INDEX(공급업체코드!$B$3:$B$1000,MATCH(1,(E537=공급업체코드!$D$3:$D$1000)*1,0))</f>
        <v>VM_BKT</v>
      </c>
      <c r="G537" s="18" t="s">
        <v>1881</v>
      </c>
      <c r="H537" s="64"/>
      <c r="I537" s="64"/>
      <c r="J537" s="64"/>
      <c r="K537" s="300">
        <v>1.1000000000000001</v>
      </c>
      <c r="L537" s="300">
        <v>1.3</v>
      </c>
      <c r="M537" s="64">
        <v>494</v>
      </c>
      <c r="N537" s="64"/>
      <c r="O537" s="64"/>
      <c r="P537" s="64"/>
      <c r="Q537" s="64"/>
      <c r="R537" s="70"/>
      <c r="T537" s="64"/>
      <c r="X537">
        <v>0.123</v>
      </c>
      <c r="Y537" s="258" t="s">
        <v>1313</v>
      </c>
      <c r="AA537" s="259" t="s">
        <v>1314</v>
      </c>
      <c r="AB537" s="20" t="s">
        <v>1061</v>
      </c>
      <c r="AC537">
        <f t="shared" si="15"/>
        <v>2470000000</v>
      </c>
      <c r="AE537" s="18" t="s">
        <v>1315</v>
      </c>
      <c r="AF537" s="1" t="b">
        <v>1</v>
      </c>
    </row>
    <row r="538" spans="2:32" ht="16.5" customHeight="1">
      <c r="B538" s="1" t="str">
        <f t="shared" si="14"/>
        <v>M_TDIF04_VM_BKT_1.3_495</v>
      </c>
      <c r="C538" s="92" t="s">
        <v>700</v>
      </c>
      <c r="D538" s="92" t="str" cm="1">
        <f t="array" ref="D538">INDEX(기계코드!$D$4:$D$214,MATCH(1,(C538=기계코드!$F$4:$F$214)*1,0))</f>
        <v>M_TDIF04</v>
      </c>
      <c r="E538" s="92" t="s">
        <v>1128</v>
      </c>
      <c r="F538" s="7" t="str" cm="1">
        <f t="array" ref="F538">INDEX(공급업체코드!$B$3:$B$1000,MATCH(1,(E538=공급업체코드!$D$3:$D$1000)*1,0))</f>
        <v>VM_BKT</v>
      </c>
      <c r="G538" s="18" t="s">
        <v>1881</v>
      </c>
      <c r="H538" s="64"/>
      <c r="I538" s="64"/>
      <c r="J538" s="64"/>
      <c r="K538" s="300">
        <v>1.1000000000000001</v>
      </c>
      <c r="L538" s="300">
        <v>1.3</v>
      </c>
      <c r="M538" s="64">
        <v>495</v>
      </c>
      <c r="N538" s="64"/>
      <c r="O538" s="64"/>
      <c r="P538" s="64"/>
      <c r="Q538" s="64"/>
      <c r="R538" s="70"/>
      <c r="T538" s="64"/>
      <c r="X538">
        <v>0.123</v>
      </c>
      <c r="Y538" s="258" t="s">
        <v>1313</v>
      </c>
      <c r="AA538" s="259" t="s">
        <v>1314</v>
      </c>
      <c r="AB538" s="20" t="s">
        <v>1061</v>
      </c>
      <c r="AC538">
        <f t="shared" si="15"/>
        <v>2475000000</v>
      </c>
      <c r="AE538" s="18" t="s">
        <v>1315</v>
      </c>
      <c r="AF538" s="1" t="b">
        <v>1</v>
      </c>
    </row>
    <row r="539" spans="2:32" ht="16.5" customHeight="1">
      <c r="B539" s="1" t="str">
        <f t="shared" si="14"/>
        <v>M_TDIF04_VM_BKT_1.3_496</v>
      </c>
      <c r="C539" s="92" t="s">
        <v>700</v>
      </c>
      <c r="D539" s="92" t="str" cm="1">
        <f t="array" ref="D539">INDEX(기계코드!$D$4:$D$214,MATCH(1,(C539=기계코드!$F$4:$F$214)*1,0))</f>
        <v>M_TDIF04</v>
      </c>
      <c r="E539" s="92" t="s">
        <v>1128</v>
      </c>
      <c r="F539" s="7" t="str" cm="1">
        <f t="array" ref="F539">INDEX(공급업체코드!$B$3:$B$1000,MATCH(1,(E539=공급업체코드!$D$3:$D$1000)*1,0))</f>
        <v>VM_BKT</v>
      </c>
      <c r="G539" s="18" t="s">
        <v>1881</v>
      </c>
      <c r="H539" s="64"/>
      <c r="I539" s="64"/>
      <c r="J539" s="64"/>
      <c r="K539" s="300">
        <v>1.1000000000000001</v>
      </c>
      <c r="L539" s="300">
        <v>1.3</v>
      </c>
      <c r="M539" s="64">
        <v>496</v>
      </c>
      <c r="N539" s="64"/>
      <c r="O539" s="64"/>
      <c r="P539" s="64"/>
      <c r="Q539" s="64"/>
      <c r="R539" s="70"/>
      <c r="T539" s="64"/>
      <c r="X539">
        <v>0.123</v>
      </c>
      <c r="Y539" s="258" t="s">
        <v>1313</v>
      </c>
      <c r="AA539" s="259" t="s">
        <v>1314</v>
      </c>
      <c r="AB539" s="20" t="s">
        <v>1061</v>
      </c>
      <c r="AC539">
        <f t="shared" si="15"/>
        <v>2480000000</v>
      </c>
      <c r="AE539" s="18" t="s">
        <v>1315</v>
      </c>
      <c r="AF539" s="1" t="b">
        <v>1</v>
      </c>
    </row>
    <row r="540" spans="2:32" ht="16.5" customHeight="1">
      <c r="B540" s="1" t="str">
        <f t="shared" si="14"/>
        <v>M_TDIF04_VM_BKT_1.3_497</v>
      </c>
      <c r="C540" s="92" t="s">
        <v>700</v>
      </c>
      <c r="D540" s="92" t="str" cm="1">
        <f t="array" ref="D540">INDEX(기계코드!$D$4:$D$214,MATCH(1,(C540=기계코드!$F$4:$F$214)*1,0))</f>
        <v>M_TDIF04</v>
      </c>
      <c r="E540" s="92" t="s">
        <v>1128</v>
      </c>
      <c r="F540" s="7" t="str" cm="1">
        <f t="array" ref="F540">INDEX(공급업체코드!$B$3:$B$1000,MATCH(1,(E540=공급업체코드!$D$3:$D$1000)*1,0))</f>
        <v>VM_BKT</v>
      </c>
      <c r="G540" s="18" t="s">
        <v>1881</v>
      </c>
      <c r="H540" s="64"/>
      <c r="I540" s="64"/>
      <c r="J540" s="64"/>
      <c r="K540" s="300">
        <v>1.1000000000000001</v>
      </c>
      <c r="L540" s="300">
        <v>1.3</v>
      </c>
      <c r="M540" s="64">
        <v>497</v>
      </c>
      <c r="N540" s="64"/>
      <c r="O540" s="64"/>
      <c r="P540" s="64"/>
      <c r="Q540" s="64"/>
      <c r="R540" s="70"/>
      <c r="T540" s="64"/>
      <c r="X540">
        <v>0.123</v>
      </c>
      <c r="Y540" s="258" t="s">
        <v>1313</v>
      </c>
      <c r="AA540" s="259" t="s">
        <v>1314</v>
      </c>
      <c r="AB540" s="20" t="s">
        <v>1061</v>
      </c>
      <c r="AC540">
        <f t="shared" si="15"/>
        <v>2485000000</v>
      </c>
      <c r="AE540" s="18" t="s">
        <v>1315</v>
      </c>
      <c r="AF540" s="1" t="b">
        <v>1</v>
      </c>
    </row>
    <row r="541" spans="2:32" ht="16.5" customHeight="1">
      <c r="B541" s="1" t="str">
        <f t="shared" si="14"/>
        <v>M_TDIF04_VM_BKT_1.3_498</v>
      </c>
      <c r="C541" s="92" t="s">
        <v>700</v>
      </c>
      <c r="D541" s="92" t="str" cm="1">
        <f t="array" ref="D541">INDEX(기계코드!$D$4:$D$214,MATCH(1,(C541=기계코드!$F$4:$F$214)*1,0))</f>
        <v>M_TDIF04</v>
      </c>
      <c r="E541" s="92" t="s">
        <v>1128</v>
      </c>
      <c r="F541" s="7" t="str" cm="1">
        <f t="array" ref="F541">INDEX(공급업체코드!$B$3:$B$1000,MATCH(1,(E541=공급업체코드!$D$3:$D$1000)*1,0))</f>
        <v>VM_BKT</v>
      </c>
      <c r="G541" s="18" t="s">
        <v>1881</v>
      </c>
      <c r="H541" s="64"/>
      <c r="I541" s="64"/>
      <c r="J541" s="64"/>
      <c r="K541" s="300">
        <v>1.1000000000000001</v>
      </c>
      <c r="L541" s="300">
        <v>1.3</v>
      </c>
      <c r="M541" s="64">
        <v>498</v>
      </c>
      <c r="N541" s="64"/>
      <c r="O541" s="64"/>
      <c r="P541" s="64"/>
      <c r="Q541" s="64"/>
      <c r="R541" s="70"/>
      <c r="T541" s="64"/>
      <c r="X541">
        <v>0.123</v>
      </c>
      <c r="Y541" s="258" t="s">
        <v>1313</v>
      </c>
      <c r="AA541" s="259" t="s">
        <v>1314</v>
      </c>
      <c r="AB541" s="20" t="s">
        <v>1061</v>
      </c>
      <c r="AC541">
        <f t="shared" si="15"/>
        <v>2490000000</v>
      </c>
      <c r="AE541" s="18" t="s">
        <v>1315</v>
      </c>
      <c r="AF541" s="1" t="b">
        <v>1</v>
      </c>
    </row>
    <row r="542" spans="2:32" ht="16.5" customHeight="1">
      <c r="B542" s="1" t="str">
        <f t="shared" si="14"/>
        <v>M_TDIF04_VM_BKT_1.3_499</v>
      </c>
      <c r="C542" s="92" t="s">
        <v>700</v>
      </c>
      <c r="D542" s="92" t="str" cm="1">
        <f t="array" ref="D542">INDEX(기계코드!$D$4:$D$214,MATCH(1,(C542=기계코드!$F$4:$F$214)*1,0))</f>
        <v>M_TDIF04</v>
      </c>
      <c r="E542" s="92" t="s">
        <v>1128</v>
      </c>
      <c r="F542" s="7" t="str" cm="1">
        <f t="array" ref="F542">INDEX(공급업체코드!$B$3:$B$1000,MATCH(1,(E542=공급업체코드!$D$3:$D$1000)*1,0))</f>
        <v>VM_BKT</v>
      </c>
      <c r="G542" s="18" t="s">
        <v>1881</v>
      </c>
      <c r="H542" s="64"/>
      <c r="I542" s="64"/>
      <c r="J542" s="64"/>
      <c r="K542" s="300">
        <v>1.1000000000000001</v>
      </c>
      <c r="L542" s="300">
        <v>1.3</v>
      </c>
      <c r="M542" s="64">
        <v>499</v>
      </c>
      <c r="N542" s="64"/>
      <c r="O542" s="64"/>
      <c r="P542" s="64"/>
      <c r="Q542" s="64"/>
      <c r="R542" s="70"/>
      <c r="T542" s="64"/>
      <c r="X542">
        <v>0.123</v>
      </c>
      <c r="Y542" s="258" t="s">
        <v>1313</v>
      </c>
      <c r="AA542" s="259" t="s">
        <v>1314</v>
      </c>
      <c r="AB542" s="20" t="s">
        <v>1061</v>
      </c>
      <c r="AC542">
        <f t="shared" si="15"/>
        <v>2495000000</v>
      </c>
      <c r="AE542" s="18" t="s">
        <v>1315</v>
      </c>
      <c r="AF542" s="1" t="b">
        <v>1</v>
      </c>
    </row>
    <row r="543" spans="2:32" ht="16.5" customHeight="1">
      <c r="B543" s="1" t="str">
        <f t="shared" si="14"/>
        <v>M_TDIF04_VM_BKT_1.3_500</v>
      </c>
      <c r="C543" s="92" t="s">
        <v>700</v>
      </c>
      <c r="D543" s="92" t="str" cm="1">
        <f t="array" ref="D543">INDEX(기계코드!$D$4:$D$214,MATCH(1,(C543=기계코드!$F$4:$F$214)*1,0))</f>
        <v>M_TDIF04</v>
      </c>
      <c r="E543" s="92" t="s">
        <v>1128</v>
      </c>
      <c r="F543" s="7" t="str" cm="1">
        <f t="array" ref="F543">INDEX(공급업체코드!$B$3:$B$1000,MATCH(1,(E543=공급업체코드!$D$3:$D$1000)*1,0))</f>
        <v>VM_BKT</v>
      </c>
      <c r="G543" s="18" t="s">
        <v>1881</v>
      </c>
      <c r="H543" s="64"/>
      <c r="I543" s="64"/>
      <c r="J543" s="64"/>
      <c r="K543" s="300">
        <v>1.1000000000000001</v>
      </c>
      <c r="L543" s="300">
        <v>1.3</v>
      </c>
      <c r="M543" s="64">
        <v>500</v>
      </c>
      <c r="N543" s="64"/>
      <c r="O543" s="64"/>
      <c r="P543" s="64"/>
      <c r="Q543" s="64"/>
      <c r="R543" s="70"/>
      <c r="T543" s="64"/>
      <c r="X543">
        <v>0.123</v>
      </c>
      <c r="Y543" s="258" t="s">
        <v>1313</v>
      </c>
      <c r="AA543" s="259" t="s">
        <v>1314</v>
      </c>
      <c r="AB543" s="20" t="s">
        <v>1061</v>
      </c>
      <c r="AC543">
        <f t="shared" si="15"/>
        <v>2500000000</v>
      </c>
      <c r="AE543" s="18" t="s">
        <v>1315</v>
      </c>
      <c r="AF543" s="1" t="b">
        <v>1</v>
      </c>
    </row>
    <row r="544" spans="2:32" ht="16.5" customHeight="1">
      <c r="B544" s="1" t="str">
        <f t="shared" si="14"/>
        <v>M_TDIF04_VM_BKT_1.3_501</v>
      </c>
      <c r="C544" s="92" t="s">
        <v>700</v>
      </c>
      <c r="D544" s="92" t="str" cm="1">
        <f t="array" ref="D544">INDEX(기계코드!$D$4:$D$214,MATCH(1,(C544=기계코드!$F$4:$F$214)*1,0))</f>
        <v>M_TDIF04</v>
      </c>
      <c r="E544" s="92" t="s">
        <v>1128</v>
      </c>
      <c r="F544" s="7" t="str" cm="1">
        <f t="array" ref="F544">INDEX(공급업체코드!$B$3:$B$1000,MATCH(1,(E544=공급업체코드!$D$3:$D$1000)*1,0))</f>
        <v>VM_BKT</v>
      </c>
      <c r="G544" s="18" t="s">
        <v>1881</v>
      </c>
      <c r="H544" s="64"/>
      <c r="I544" s="64"/>
      <c r="J544" s="64"/>
      <c r="K544" s="300">
        <v>1.1000000000000001</v>
      </c>
      <c r="L544" s="300">
        <v>1.3</v>
      </c>
      <c r="M544" s="64">
        <v>501</v>
      </c>
      <c r="N544" s="64"/>
      <c r="O544" s="64"/>
      <c r="P544" s="64"/>
      <c r="Q544" s="64"/>
      <c r="R544" s="70"/>
      <c r="T544" s="64"/>
      <c r="X544">
        <v>0.123</v>
      </c>
      <c r="Y544" s="258" t="s">
        <v>1313</v>
      </c>
      <c r="AA544" s="259" t="s">
        <v>1314</v>
      </c>
      <c r="AB544" s="20" t="s">
        <v>1061</v>
      </c>
      <c r="AC544">
        <f t="shared" si="15"/>
        <v>2505000000</v>
      </c>
      <c r="AE544" s="18" t="s">
        <v>1315</v>
      </c>
      <c r="AF544" s="1" t="b">
        <v>1</v>
      </c>
    </row>
    <row r="545" spans="2:32" ht="16.5" customHeight="1">
      <c r="B545" s="1" t="str">
        <f t="shared" si="14"/>
        <v>M_TDIF04_VM_BKT_1.3_502</v>
      </c>
      <c r="C545" s="92" t="s">
        <v>700</v>
      </c>
      <c r="D545" s="92" t="str" cm="1">
        <f t="array" ref="D545">INDEX(기계코드!$D$4:$D$214,MATCH(1,(C545=기계코드!$F$4:$F$214)*1,0))</f>
        <v>M_TDIF04</v>
      </c>
      <c r="E545" s="92" t="s">
        <v>1128</v>
      </c>
      <c r="F545" s="7" t="str" cm="1">
        <f t="array" ref="F545">INDEX(공급업체코드!$B$3:$B$1000,MATCH(1,(E545=공급업체코드!$D$3:$D$1000)*1,0))</f>
        <v>VM_BKT</v>
      </c>
      <c r="G545" s="18" t="s">
        <v>1881</v>
      </c>
      <c r="H545" s="64"/>
      <c r="I545" s="64"/>
      <c r="J545" s="64"/>
      <c r="K545" s="300">
        <v>1.1000000000000001</v>
      </c>
      <c r="L545" s="300">
        <v>1.3</v>
      </c>
      <c r="M545" s="64">
        <v>502</v>
      </c>
      <c r="N545" s="64"/>
      <c r="O545" s="64"/>
      <c r="P545" s="64"/>
      <c r="Q545" s="64"/>
      <c r="R545" s="70"/>
      <c r="T545" s="64"/>
      <c r="X545">
        <v>0.123</v>
      </c>
      <c r="Y545" s="258" t="s">
        <v>1313</v>
      </c>
      <c r="AA545" s="259" t="s">
        <v>1314</v>
      </c>
      <c r="AB545" s="20" t="s">
        <v>1061</v>
      </c>
      <c r="AC545">
        <f t="shared" si="15"/>
        <v>2510000000</v>
      </c>
      <c r="AE545" s="18" t="s">
        <v>1315</v>
      </c>
      <c r="AF545" s="1" t="b">
        <v>1</v>
      </c>
    </row>
    <row r="546" spans="2:32" ht="16.5" customHeight="1">
      <c r="B546" s="1" t="str">
        <f t="shared" si="14"/>
        <v>M_TDIF04_VM_BKT_1.3_503</v>
      </c>
      <c r="C546" s="92" t="s">
        <v>700</v>
      </c>
      <c r="D546" s="92" t="str" cm="1">
        <f t="array" ref="D546">INDEX(기계코드!$D$4:$D$214,MATCH(1,(C546=기계코드!$F$4:$F$214)*1,0))</f>
        <v>M_TDIF04</v>
      </c>
      <c r="E546" s="92" t="s">
        <v>1128</v>
      </c>
      <c r="F546" s="7" t="str" cm="1">
        <f t="array" ref="F546">INDEX(공급업체코드!$B$3:$B$1000,MATCH(1,(E546=공급업체코드!$D$3:$D$1000)*1,0))</f>
        <v>VM_BKT</v>
      </c>
      <c r="G546" s="18" t="s">
        <v>1881</v>
      </c>
      <c r="H546" s="64"/>
      <c r="I546" s="64"/>
      <c r="J546" s="64"/>
      <c r="K546" s="300">
        <v>1.1000000000000001</v>
      </c>
      <c r="L546" s="300">
        <v>1.3</v>
      </c>
      <c r="M546" s="64">
        <v>503</v>
      </c>
      <c r="N546" s="64"/>
      <c r="O546" s="64"/>
      <c r="P546" s="64"/>
      <c r="Q546" s="64"/>
      <c r="R546" s="70"/>
      <c r="T546" s="64"/>
      <c r="X546">
        <v>0.123</v>
      </c>
      <c r="Y546" s="258" t="s">
        <v>1313</v>
      </c>
      <c r="AA546" s="259" t="s">
        <v>1314</v>
      </c>
      <c r="AB546" s="20" t="s">
        <v>1061</v>
      </c>
      <c r="AC546">
        <f t="shared" si="15"/>
        <v>2515000000</v>
      </c>
      <c r="AE546" s="18" t="s">
        <v>1315</v>
      </c>
      <c r="AF546" s="1" t="b">
        <v>1</v>
      </c>
    </row>
    <row r="547" spans="2:32" ht="16.5" customHeight="1">
      <c r="B547" s="1" t="str">
        <f t="shared" si="14"/>
        <v>M_TDIF04_VM_BKT_1.3_504</v>
      </c>
      <c r="C547" s="92" t="s">
        <v>700</v>
      </c>
      <c r="D547" s="92" t="str" cm="1">
        <f t="array" ref="D547">INDEX(기계코드!$D$4:$D$214,MATCH(1,(C547=기계코드!$F$4:$F$214)*1,0))</f>
        <v>M_TDIF04</v>
      </c>
      <c r="E547" s="92" t="s">
        <v>1128</v>
      </c>
      <c r="F547" s="7" t="str" cm="1">
        <f t="array" ref="F547">INDEX(공급업체코드!$B$3:$B$1000,MATCH(1,(E547=공급업체코드!$D$3:$D$1000)*1,0))</f>
        <v>VM_BKT</v>
      </c>
      <c r="G547" s="18" t="s">
        <v>1881</v>
      </c>
      <c r="H547" s="64"/>
      <c r="I547" s="64"/>
      <c r="J547" s="64"/>
      <c r="K547" s="300">
        <v>1.1000000000000001</v>
      </c>
      <c r="L547" s="300">
        <v>1.3</v>
      </c>
      <c r="M547" s="64">
        <v>504</v>
      </c>
      <c r="N547" s="64"/>
      <c r="O547" s="64"/>
      <c r="P547" s="64"/>
      <c r="Q547" s="64"/>
      <c r="R547" s="70"/>
      <c r="T547" s="64"/>
      <c r="X547">
        <v>0.123</v>
      </c>
      <c r="Y547" s="258" t="s">
        <v>1313</v>
      </c>
      <c r="AA547" s="259" t="s">
        <v>1314</v>
      </c>
      <c r="AB547" s="20" t="s">
        <v>1061</v>
      </c>
      <c r="AC547">
        <f t="shared" si="15"/>
        <v>2520000000</v>
      </c>
      <c r="AE547" s="18" t="s">
        <v>1315</v>
      </c>
      <c r="AF547" s="1" t="b">
        <v>1</v>
      </c>
    </row>
    <row r="548" spans="2:32" ht="16.5" customHeight="1">
      <c r="B548" s="1" t="str">
        <f t="shared" si="14"/>
        <v>M_TDIF04_VM_BKT_1.3_505</v>
      </c>
      <c r="C548" s="92" t="s">
        <v>700</v>
      </c>
      <c r="D548" s="92" t="str" cm="1">
        <f t="array" ref="D548">INDEX(기계코드!$D$4:$D$214,MATCH(1,(C548=기계코드!$F$4:$F$214)*1,0))</f>
        <v>M_TDIF04</v>
      </c>
      <c r="E548" s="92" t="s">
        <v>1128</v>
      </c>
      <c r="F548" s="7" t="str" cm="1">
        <f t="array" ref="F548">INDEX(공급업체코드!$B$3:$B$1000,MATCH(1,(E548=공급업체코드!$D$3:$D$1000)*1,0))</f>
        <v>VM_BKT</v>
      </c>
      <c r="G548" s="18" t="s">
        <v>1881</v>
      </c>
      <c r="H548" s="64"/>
      <c r="I548" s="64"/>
      <c r="J548" s="64"/>
      <c r="K548" s="300">
        <v>1.1000000000000001</v>
      </c>
      <c r="L548" s="300">
        <v>1.3</v>
      </c>
      <c r="M548" s="64">
        <v>505</v>
      </c>
      <c r="N548" s="64"/>
      <c r="O548" s="64"/>
      <c r="P548" s="64"/>
      <c r="Q548" s="64"/>
      <c r="R548" s="70"/>
      <c r="T548" s="64"/>
      <c r="X548">
        <v>0.123</v>
      </c>
      <c r="Y548" s="258" t="s">
        <v>1313</v>
      </c>
      <c r="AA548" s="259" t="s">
        <v>1314</v>
      </c>
      <c r="AB548" s="20" t="s">
        <v>1061</v>
      </c>
      <c r="AC548">
        <f t="shared" si="15"/>
        <v>2525000000</v>
      </c>
      <c r="AE548" s="18" t="s">
        <v>1315</v>
      </c>
      <c r="AF548" s="1" t="b">
        <v>1</v>
      </c>
    </row>
    <row r="549" spans="2:32" ht="16.5" customHeight="1">
      <c r="B549" s="1" t="str">
        <f t="shared" si="14"/>
        <v>M_TDIF04_VM_BKT_1.3_506</v>
      </c>
      <c r="C549" s="92" t="s">
        <v>700</v>
      </c>
      <c r="D549" s="92" t="str" cm="1">
        <f t="array" ref="D549">INDEX(기계코드!$D$4:$D$214,MATCH(1,(C549=기계코드!$F$4:$F$214)*1,0))</f>
        <v>M_TDIF04</v>
      </c>
      <c r="E549" s="92" t="s">
        <v>1128</v>
      </c>
      <c r="F549" s="7" t="str" cm="1">
        <f t="array" ref="F549">INDEX(공급업체코드!$B$3:$B$1000,MATCH(1,(E549=공급업체코드!$D$3:$D$1000)*1,0))</f>
        <v>VM_BKT</v>
      </c>
      <c r="G549" s="18" t="s">
        <v>1881</v>
      </c>
      <c r="H549" s="64"/>
      <c r="I549" s="64"/>
      <c r="J549" s="64"/>
      <c r="K549" s="300">
        <v>1.1000000000000001</v>
      </c>
      <c r="L549" s="300">
        <v>1.3</v>
      </c>
      <c r="M549" s="64">
        <v>506</v>
      </c>
      <c r="N549" s="64"/>
      <c r="O549" s="64"/>
      <c r="P549" s="64"/>
      <c r="Q549" s="64"/>
      <c r="R549" s="70"/>
      <c r="T549" s="64"/>
      <c r="X549">
        <v>0.123</v>
      </c>
      <c r="Y549" s="258" t="s">
        <v>1313</v>
      </c>
      <c r="AA549" s="259" t="s">
        <v>1314</v>
      </c>
      <c r="AB549" s="20" t="s">
        <v>1061</v>
      </c>
      <c r="AC549">
        <f t="shared" si="15"/>
        <v>2530000000</v>
      </c>
      <c r="AE549" s="18" t="s">
        <v>1315</v>
      </c>
      <c r="AF549" s="1" t="b">
        <v>1</v>
      </c>
    </row>
    <row r="550" spans="2:32" ht="16.5" customHeight="1">
      <c r="B550" s="1" t="str">
        <f t="shared" si="14"/>
        <v>M_TDIF04_VM_BKT_1.3_507</v>
      </c>
      <c r="C550" s="92" t="s">
        <v>700</v>
      </c>
      <c r="D550" s="92" t="str" cm="1">
        <f t="array" ref="D550">INDEX(기계코드!$D$4:$D$214,MATCH(1,(C550=기계코드!$F$4:$F$214)*1,0))</f>
        <v>M_TDIF04</v>
      </c>
      <c r="E550" s="92" t="s">
        <v>1128</v>
      </c>
      <c r="F550" s="7" t="str" cm="1">
        <f t="array" ref="F550">INDEX(공급업체코드!$B$3:$B$1000,MATCH(1,(E550=공급업체코드!$D$3:$D$1000)*1,0))</f>
        <v>VM_BKT</v>
      </c>
      <c r="G550" s="18" t="s">
        <v>1881</v>
      </c>
      <c r="H550" s="64"/>
      <c r="I550" s="64"/>
      <c r="J550" s="64"/>
      <c r="K550" s="300">
        <v>1.1000000000000001</v>
      </c>
      <c r="L550" s="300">
        <v>1.3</v>
      </c>
      <c r="M550" s="64">
        <v>507</v>
      </c>
      <c r="N550" s="64"/>
      <c r="O550" s="64"/>
      <c r="P550" s="64"/>
      <c r="Q550" s="64"/>
      <c r="R550" s="70"/>
      <c r="T550" s="64"/>
      <c r="X550">
        <v>0.123</v>
      </c>
      <c r="Y550" s="258" t="s">
        <v>1313</v>
      </c>
      <c r="AA550" s="259" t="s">
        <v>1314</v>
      </c>
      <c r="AB550" s="20" t="s">
        <v>1061</v>
      </c>
      <c r="AC550">
        <f t="shared" si="15"/>
        <v>2535000000</v>
      </c>
      <c r="AE550" s="18" t="s">
        <v>1315</v>
      </c>
      <c r="AF550" s="1" t="b">
        <v>1</v>
      </c>
    </row>
    <row r="551" spans="2:32" ht="16.5" customHeight="1">
      <c r="B551" s="1" t="str">
        <f t="shared" si="14"/>
        <v>M_TDIF04_VM_BKT_1.3_508</v>
      </c>
      <c r="C551" s="92" t="s">
        <v>700</v>
      </c>
      <c r="D551" s="92" t="str" cm="1">
        <f t="array" ref="D551">INDEX(기계코드!$D$4:$D$214,MATCH(1,(C551=기계코드!$F$4:$F$214)*1,0))</f>
        <v>M_TDIF04</v>
      </c>
      <c r="E551" s="92" t="s">
        <v>1128</v>
      </c>
      <c r="F551" s="7" t="str" cm="1">
        <f t="array" ref="F551">INDEX(공급업체코드!$B$3:$B$1000,MATCH(1,(E551=공급업체코드!$D$3:$D$1000)*1,0))</f>
        <v>VM_BKT</v>
      </c>
      <c r="G551" s="18" t="s">
        <v>1881</v>
      </c>
      <c r="H551" s="64"/>
      <c r="I551" s="64"/>
      <c r="J551" s="64"/>
      <c r="K551" s="300">
        <v>1.1000000000000001</v>
      </c>
      <c r="L551" s="300">
        <v>1.3</v>
      </c>
      <c r="M551" s="64">
        <v>508</v>
      </c>
      <c r="N551" s="64"/>
      <c r="O551" s="64"/>
      <c r="P551" s="64"/>
      <c r="Q551" s="64"/>
      <c r="R551" s="70"/>
      <c r="T551" s="64"/>
      <c r="X551">
        <v>0.123</v>
      </c>
      <c r="Y551" s="258" t="s">
        <v>1313</v>
      </c>
      <c r="AA551" s="259" t="s">
        <v>1314</v>
      </c>
      <c r="AB551" s="20" t="s">
        <v>1061</v>
      </c>
      <c r="AC551">
        <f t="shared" si="15"/>
        <v>2540000000</v>
      </c>
      <c r="AE551" s="18" t="s">
        <v>1315</v>
      </c>
      <c r="AF551" s="1" t="b">
        <v>1</v>
      </c>
    </row>
    <row r="552" spans="2:32" ht="16.5" customHeight="1">
      <c r="B552" s="1" t="str">
        <f t="shared" si="14"/>
        <v>M_TDIF04_VM_BKT_1.3_509</v>
      </c>
      <c r="C552" s="92" t="s">
        <v>700</v>
      </c>
      <c r="D552" s="92" t="str" cm="1">
        <f t="array" ref="D552">INDEX(기계코드!$D$4:$D$214,MATCH(1,(C552=기계코드!$F$4:$F$214)*1,0))</f>
        <v>M_TDIF04</v>
      </c>
      <c r="E552" s="92" t="s">
        <v>1128</v>
      </c>
      <c r="F552" s="7" t="str" cm="1">
        <f t="array" ref="F552">INDEX(공급업체코드!$B$3:$B$1000,MATCH(1,(E552=공급업체코드!$D$3:$D$1000)*1,0))</f>
        <v>VM_BKT</v>
      </c>
      <c r="G552" s="18" t="s">
        <v>1881</v>
      </c>
      <c r="H552" s="64"/>
      <c r="I552" s="64"/>
      <c r="J552" s="64"/>
      <c r="K552" s="300">
        <v>1.1000000000000001</v>
      </c>
      <c r="L552" s="300">
        <v>1.3</v>
      </c>
      <c r="M552" s="64">
        <v>509</v>
      </c>
      <c r="N552" s="64"/>
      <c r="O552" s="64"/>
      <c r="P552" s="64"/>
      <c r="Q552" s="64"/>
      <c r="R552" s="70"/>
      <c r="T552" s="64"/>
      <c r="X552">
        <v>0.123</v>
      </c>
      <c r="Y552" s="258" t="s">
        <v>1313</v>
      </c>
      <c r="AA552" s="259" t="s">
        <v>1314</v>
      </c>
      <c r="AB552" s="20" t="s">
        <v>1061</v>
      </c>
      <c r="AC552">
        <f t="shared" si="15"/>
        <v>2545000000</v>
      </c>
      <c r="AE552" s="18" t="s">
        <v>1315</v>
      </c>
      <c r="AF552" s="1" t="b">
        <v>1</v>
      </c>
    </row>
    <row r="553" spans="2:32" ht="16.5" customHeight="1">
      <c r="B553" s="1" t="str">
        <f t="shared" si="14"/>
        <v>M_TDIF04_VM_BKT_1.3_510</v>
      </c>
      <c r="C553" s="92" t="s">
        <v>700</v>
      </c>
      <c r="D553" s="92" t="str" cm="1">
        <f t="array" ref="D553">INDEX(기계코드!$D$4:$D$214,MATCH(1,(C553=기계코드!$F$4:$F$214)*1,0))</f>
        <v>M_TDIF04</v>
      </c>
      <c r="E553" s="92" t="s">
        <v>1128</v>
      </c>
      <c r="F553" s="7" t="str" cm="1">
        <f t="array" ref="F553">INDEX(공급업체코드!$B$3:$B$1000,MATCH(1,(E553=공급업체코드!$D$3:$D$1000)*1,0))</f>
        <v>VM_BKT</v>
      </c>
      <c r="G553" s="18" t="s">
        <v>1881</v>
      </c>
      <c r="H553" s="64"/>
      <c r="I553" s="64"/>
      <c r="J553" s="64"/>
      <c r="K553" s="300">
        <v>1.1000000000000001</v>
      </c>
      <c r="L553" s="300">
        <v>1.3</v>
      </c>
      <c r="M553" s="64">
        <v>510</v>
      </c>
      <c r="N553" s="64"/>
      <c r="O553" s="64"/>
      <c r="P553" s="64"/>
      <c r="Q553" s="64"/>
      <c r="R553" s="70"/>
      <c r="T553" s="64"/>
      <c r="X553">
        <v>0.123</v>
      </c>
      <c r="Y553" s="258" t="s">
        <v>1313</v>
      </c>
      <c r="AA553" s="259" t="s">
        <v>1314</v>
      </c>
      <c r="AB553" s="20" t="s">
        <v>1061</v>
      </c>
      <c r="AC553">
        <f t="shared" si="15"/>
        <v>2550000000</v>
      </c>
      <c r="AE553" s="18" t="s">
        <v>1315</v>
      </c>
      <c r="AF553" s="1" t="b">
        <v>1</v>
      </c>
    </row>
    <row r="554" spans="2:32" ht="16.5" customHeight="1">
      <c r="B554" s="1" t="str">
        <f t="shared" si="14"/>
        <v>M_TDIF04_VM_BKT_1.3_511</v>
      </c>
      <c r="C554" s="92" t="s">
        <v>700</v>
      </c>
      <c r="D554" s="92" t="str" cm="1">
        <f t="array" ref="D554">INDEX(기계코드!$D$4:$D$214,MATCH(1,(C554=기계코드!$F$4:$F$214)*1,0))</f>
        <v>M_TDIF04</v>
      </c>
      <c r="E554" s="92" t="s">
        <v>1128</v>
      </c>
      <c r="F554" s="7" t="str" cm="1">
        <f t="array" ref="F554">INDEX(공급업체코드!$B$3:$B$1000,MATCH(1,(E554=공급업체코드!$D$3:$D$1000)*1,0))</f>
        <v>VM_BKT</v>
      </c>
      <c r="G554" s="18" t="s">
        <v>1881</v>
      </c>
      <c r="H554" s="64"/>
      <c r="I554" s="64"/>
      <c r="J554" s="64"/>
      <c r="K554" s="300">
        <v>1.1000000000000001</v>
      </c>
      <c r="L554" s="300">
        <v>1.3</v>
      </c>
      <c r="M554" s="64">
        <v>511</v>
      </c>
      <c r="N554" s="64"/>
      <c r="O554" s="64"/>
      <c r="P554" s="64"/>
      <c r="Q554" s="64"/>
      <c r="R554" s="70"/>
      <c r="T554" s="64"/>
      <c r="X554">
        <v>0.123</v>
      </c>
      <c r="Y554" s="258" t="s">
        <v>1313</v>
      </c>
      <c r="AA554" s="259" t="s">
        <v>1314</v>
      </c>
      <c r="AB554" s="20" t="s">
        <v>1061</v>
      </c>
      <c r="AC554">
        <f t="shared" si="15"/>
        <v>2555000000</v>
      </c>
      <c r="AE554" s="18" t="s">
        <v>1315</v>
      </c>
      <c r="AF554" s="1" t="b">
        <v>1</v>
      </c>
    </row>
    <row r="555" spans="2:32" ht="16.5" customHeight="1">
      <c r="B555" s="1" t="str">
        <f t="shared" si="14"/>
        <v>M_TDIF04_VM_BKT_1.3_512</v>
      </c>
      <c r="C555" s="92" t="s">
        <v>700</v>
      </c>
      <c r="D555" s="92" t="str" cm="1">
        <f t="array" ref="D555">INDEX(기계코드!$D$4:$D$214,MATCH(1,(C555=기계코드!$F$4:$F$214)*1,0))</f>
        <v>M_TDIF04</v>
      </c>
      <c r="E555" s="92" t="s">
        <v>1128</v>
      </c>
      <c r="F555" s="7" t="str" cm="1">
        <f t="array" ref="F555">INDEX(공급업체코드!$B$3:$B$1000,MATCH(1,(E555=공급업체코드!$D$3:$D$1000)*1,0))</f>
        <v>VM_BKT</v>
      </c>
      <c r="G555" s="18" t="s">
        <v>1881</v>
      </c>
      <c r="H555" s="64"/>
      <c r="I555" s="64"/>
      <c r="J555" s="64"/>
      <c r="K555" s="300">
        <v>1.1000000000000001</v>
      </c>
      <c r="L555" s="300">
        <v>1.3</v>
      </c>
      <c r="M555" s="64">
        <v>512</v>
      </c>
      <c r="N555" s="64"/>
      <c r="O555" s="64"/>
      <c r="P555" s="64"/>
      <c r="Q555" s="64"/>
      <c r="R555" s="70"/>
      <c r="T555" s="64"/>
      <c r="X555">
        <v>0.123</v>
      </c>
      <c r="Y555" s="258" t="s">
        <v>1313</v>
      </c>
      <c r="AA555" s="259" t="s">
        <v>1314</v>
      </c>
      <c r="AB555" s="20" t="s">
        <v>1061</v>
      </c>
      <c r="AC555">
        <f t="shared" si="15"/>
        <v>2560000000</v>
      </c>
      <c r="AE555" s="18" t="s">
        <v>1315</v>
      </c>
      <c r="AF555" s="1" t="b">
        <v>1</v>
      </c>
    </row>
    <row r="556" spans="2:32" ht="16.5" customHeight="1">
      <c r="B556" s="1" t="str">
        <f t="shared" si="14"/>
        <v>M_TDIF04_VM_BKT_1.3_513</v>
      </c>
      <c r="C556" s="92" t="s">
        <v>700</v>
      </c>
      <c r="D556" s="92" t="str" cm="1">
        <f t="array" ref="D556">INDEX(기계코드!$D$4:$D$214,MATCH(1,(C556=기계코드!$F$4:$F$214)*1,0))</f>
        <v>M_TDIF04</v>
      </c>
      <c r="E556" s="92" t="s">
        <v>1128</v>
      </c>
      <c r="F556" s="7" t="str" cm="1">
        <f t="array" ref="F556">INDEX(공급업체코드!$B$3:$B$1000,MATCH(1,(E556=공급업체코드!$D$3:$D$1000)*1,0))</f>
        <v>VM_BKT</v>
      </c>
      <c r="G556" s="18" t="s">
        <v>1881</v>
      </c>
      <c r="H556" s="64"/>
      <c r="I556" s="64"/>
      <c r="J556" s="64"/>
      <c r="K556" s="300">
        <v>1.1000000000000001</v>
      </c>
      <c r="L556" s="300">
        <v>1.3</v>
      </c>
      <c r="M556" s="64">
        <v>513</v>
      </c>
      <c r="N556" s="64"/>
      <c r="O556" s="64"/>
      <c r="P556" s="64"/>
      <c r="Q556" s="64"/>
      <c r="R556" s="70"/>
      <c r="T556" s="64"/>
      <c r="X556">
        <v>0.123</v>
      </c>
      <c r="Y556" s="258" t="s">
        <v>1313</v>
      </c>
      <c r="AA556" s="259" t="s">
        <v>1314</v>
      </c>
      <c r="AB556" s="20" t="s">
        <v>1061</v>
      </c>
      <c r="AC556">
        <f t="shared" si="15"/>
        <v>2565000000</v>
      </c>
      <c r="AE556" s="18" t="s">
        <v>1315</v>
      </c>
      <c r="AF556" s="1" t="b">
        <v>1</v>
      </c>
    </row>
    <row r="557" spans="2:32" ht="16.5" customHeight="1">
      <c r="B557" s="1" t="str">
        <f t="shared" ref="B557:B620" si="16">D557&amp;"_"&amp;F557&amp;"_"&amp;L557&amp;"_"&amp;M557</f>
        <v>M_TDIF04_VM_BKT_1.3_514</v>
      </c>
      <c r="C557" s="92" t="s">
        <v>700</v>
      </c>
      <c r="D557" s="92" t="str" cm="1">
        <f t="array" ref="D557">INDEX(기계코드!$D$4:$D$214,MATCH(1,(C557=기계코드!$F$4:$F$214)*1,0))</f>
        <v>M_TDIF04</v>
      </c>
      <c r="E557" s="92" t="s">
        <v>1128</v>
      </c>
      <c r="F557" s="7" t="str" cm="1">
        <f t="array" ref="F557">INDEX(공급업체코드!$B$3:$B$1000,MATCH(1,(E557=공급업체코드!$D$3:$D$1000)*1,0))</f>
        <v>VM_BKT</v>
      </c>
      <c r="G557" s="18" t="s">
        <v>1881</v>
      </c>
      <c r="H557" s="64"/>
      <c r="I557" s="64"/>
      <c r="J557" s="64"/>
      <c r="K557" s="300">
        <v>1.1000000000000001</v>
      </c>
      <c r="L557" s="300">
        <v>1.3</v>
      </c>
      <c r="M557" s="64">
        <v>514</v>
      </c>
      <c r="N557" s="64"/>
      <c r="O557" s="64"/>
      <c r="P557" s="64"/>
      <c r="Q557" s="64"/>
      <c r="R557" s="70"/>
      <c r="T557" s="64"/>
      <c r="X557">
        <v>0.123</v>
      </c>
      <c r="Y557" s="258" t="s">
        <v>1313</v>
      </c>
      <c r="AA557" s="259" t="s">
        <v>1314</v>
      </c>
      <c r="AB557" s="20" t="s">
        <v>1061</v>
      </c>
      <c r="AC557">
        <f t="shared" si="15"/>
        <v>2570000000</v>
      </c>
      <c r="AE557" s="18" t="s">
        <v>1315</v>
      </c>
      <c r="AF557" s="1" t="b">
        <v>1</v>
      </c>
    </row>
    <row r="558" spans="2:32" ht="16.5" customHeight="1">
      <c r="B558" s="1" t="str">
        <f t="shared" si="16"/>
        <v>M_TDIF04_VM_BKT_1.3_515</v>
      </c>
      <c r="C558" s="92" t="s">
        <v>700</v>
      </c>
      <c r="D558" s="92" t="str" cm="1">
        <f t="array" ref="D558">INDEX(기계코드!$D$4:$D$214,MATCH(1,(C558=기계코드!$F$4:$F$214)*1,0))</f>
        <v>M_TDIF04</v>
      </c>
      <c r="E558" s="92" t="s">
        <v>1128</v>
      </c>
      <c r="F558" s="7" t="str" cm="1">
        <f t="array" ref="F558">INDEX(공급업체코드!$B$3:$B$1000,MATCH(1,(E558=공급업체코드!$D$3:$D$1000)*1,0))</f>
        <v>VM_BKT</v>
      </c>
      <c r="G558" s="18" t="s">
        <v>1881</v>
      </c>
      <c r="H558" s="64"/>
      <c r="I558" s="64"/>
      <c r="J558" s="64"/>
      <c r="K558" s="300">
        <v>1.1000000000000001</v>
      </c>
      <c r="L558" s="300">
        <v>1.3</v>
      </c>
      <c r="M558" s="64">
        <v>515</v>
      </c>
      <c r="N558" s="64"/>
      <c r="O558" s="64"/>
      <c r="P558" s="64"/>
      <c r="Q558" s="64"/>
      <c r="R558" s="70"/>
      <c r="T558" s="64"/>
      <c r="X558">
        <v>0.123</v>
      </c>
      <c r="Y558" s="258" t="s">
        <v>1313</v>
      </c>
      <c r="AA558" s="259" t="s">
        <v>1314</v>
      </c>
      <c r="AB558" s="20" t="s">
        <v>1061</v>
      </c>
      <c r="AC558">
        <f t="shared" ref="AC558:AC621" si="17">M558*$AC$44</f>
        <v>2575000000</v>
      </c>
      <c r="AE558" s="18" t="s">
        <v>1315</v>
      </c>
      <c r="AF558" s="1" t="b">
        <v>1</v>
      </c>
    </row>
    <row r="559" spans="2:32" ht="16.5" customHeight="1">
      <c r="B559" s="1" t="str">
        <f t="shared" si="16"/>
        <v>M_TDIF04_VM_BKT_1.3_516</v>
      </c>
      <c r="C559" s="92" t="s">
        <v>700</v>
      </c>
      <c r="D559" s="92" t="str" cm="1">
        <f t="array" ref="D559">INDEX(기계코드!$D$4:$D$214,MATCH(1,(C559=기계코드!$F$4:$F$214)*1,0))</f>
        <v>M_TDIF04</v>
      </c>
      <c r="E559" s="92" t="s">
        <v>1128</v>
      </c>
      <c r="F559" s="7" t="str" cm="1">
        <f t="array" ref="F559">INDEX(공급업체코드!$B$3:$B$1000,MATCH(1,(E559=공급업체코드!$D$3:$D$1000)*1,0))</f>
        <v>VM_BKT</v>
      </c>
      <c r="G559" s="18" t="s">
        <v>1881</v>
      </c>
      <c r="H559" s="64"/>
      <c r="I559" s="64"/>
      <c r="J559" s="64"/>
      <c r="K559" s="300">
        <v>1.1000000000000001</v>
      </c>
      <c r="L559" s="300">
        <v>1.3</v>
      </c>
      <c r="M559" s="64">
        <v>516</v>
      </c>
      <c r="N559" s="64"/>
      <c r="O559" s="64"/>
      <c r="P559" s="64"/>
      <c r="Q559" s="64"/>
      <c r="R559" s="70"/>
      <c r="T559" s="64"/>
      <c r="X559">
        <v>0.123</v>
      </c>
      <c r="Y559" s="258" t="s">
        <v>1313</v>
      </c>
      <c r="AA559" s="259" t="s">
        <v>1314</v>
      </c>
      <c r="AB559" s="20" t="s">
        <v>1061</v>
      </c>
      <c r="AC559">
        <f t="shared" si="17"/>
        <v>2580000000</v>
      </c>
      <c r="AE559" s="18" t="s">
        <v>1315</v>
      </c>
      <c r="AF559" s="1" t="b">
        <v>1</v>
      </c>
    </row>
    <row r="560" spans="2:32" ht="16.5" customHeight="1">
      <c r="B560" s="1" t="str">
        <f t="shared" si="16"/>
        <v>M_TDIF04_VM_BKT_1.3_517</v>
      </c>
      <c r="C560" s="92" t="s">
        <v>700</v>
      </c>
      <c r="D560" s="92" t="str" cm="1">
        <f t="array" ref="D560">INDEX(기계코드!$D$4:$D$214,MATCH(1,(C560=기계코드!$F$4:$F$214)*1,0))</f>
        <v>M_TDIF04</v>
      </c>
      <c r="E560" s="92" t="s">
        <v>1128</v>
      </c>
      <c r="F560" s="7" t="str" cm="1">
        <f t="array" ref="F560">INDEX(공급업체코드!$B$3:$B$1000,MATCH(1,(E560=공급업체코드!$D$3:$D$1000)*1,0))</f>
        <v>VM_BKT</v>
      </c>
      <c r="G560" s="18" t="s">
        <v>1881</v>
      </c>
      <c r="H560" s="64"/>
      <c r="I560" s="64"/>
      <c r="J560" s="64"/>
      <c r="K560" s="300">
        <v>1.1000000000000001</v>
      </c>
      <c r="L560" s="300">
        <v>1.3</v>
      </c>
      <c r="M560" s="64">
        <v>517</v>
      </c>
      <c r="N560" s="64"/>
      <c r="O560" s="64"/>
      <c r="P560" s="64"/>
      <c r="Q560" s="64"/>
      <c r="R560" s="70"/>
      <c r="T560" s="64"/>
      <c r="X560">
        <v>0.123</v>
      </c>
      <c r="Y560" s="258" t="s">
        <v>1313</v>
      </c>
      <c r="AA560" s="259" t="s">
        <v>1314</v>
      </c>
      <c r="AB560" s="20" t="s">
        <v>1061</v>
      </c>
      <c r="AC560">
        <f t="shared" si="17"/>
        <v>2585000000</v>
      </c>
      <c r="AE560" s="18" t="s">
        <v>1315</v>
      </c>
      <c r="AF560" s="1" t="b">
        <v>1</v>
      </c>
    </row>
    <row r="561" spans="2:32" ht="16.5" customHeight="1">
      <c r="B561" s="1" t="str">
        <f t="shared" si="16"/>
        <v>M_TDIF04_VM_BKT_1.3_518</v>
      </c>
      <c r="C561" s="92" t="s">
        <v>700</v>
      </c>
      <c r="D561" s="92" t="str" cm="1">
        <f t="array" ref="D561">INDEX(기계코드!$D$4:$D$214,MATCH(1,(C561=기계코드!$F$4:$F$214)*1,0))</f>
        <v>M_TDIF04</v>
      </c>
      <c r="E561" s="92" t="s">
        <v>1128</v>
      </c>
      <c r="F561" s="7" t="str" cm="1">
        <f t="array" ref="F561">INDEX(공급업체코드!$B$3:$B$1000,MATCH(1,(E561=공급업체코드!$D$3:$D$1000)*1,0))</f>
        <v>VM_BKT</v>
      </c>
      <c r="G561" s="18" t="s">
        <v>1881</v>
      </c>
      <c r="H561" s="64"/>
      <c r="I561" s="64"/>
      <c r="J561" s="64"/>
      <c r="K561" s="300">
        <v>1.1000000000000001</v>
      </c>
      <c r="L561" s="300">
        <v>1.3</v>
      </c>
      <c r="M561" s="64">
        <v>518</v>
      </c>
      <c r="N561" s="64"/>
      <c r="O561" s="64"/>
      <c r="P561" s="64"/>
      <c r="Q561" s="64"/>
      <c r="R561" s="70"/>
      <c r="T561" s="64"/>
      <c r="X561">
        <v>0.123</v>
      </c>
      <c r="Y561" s="258" t="s">
        <v>1313</v>
      </c>
      <c r="AA561" s="259" t="s">
        <v>1314</v>
      </c>
      <c r="AB561" s="20" t="s">
        <v>1061</v>
      </c>
      <c r="AC561">
        <f t="shared" si="17"/>
        <v>2590000000</v>
      </c>
      <c r="AE561" s="18" t="s">
        <v>1315</v>
      </c>
      <c r="AF561" s="1" t="b">
        <v>1</v>
      </c>
    </row>
    <row r="562" spans="2:32" ht="16.5" customHeight="1">
      <c r="B562" s="1" t="str">
        <f t="shared" si="16"/>
        <v>M_TDIF04_VM_BKT_1.3_519</v>
      </c>
      <c r="C562" s="92" t="s">
        <v>700</v>
      </c>
      <c r="D562" s="92" t="str" cm="1">
        <f t="array" ref="D562">INDEX(기계코드!$D$4:$D$214,MATCH(1,(C562=기계코드!$F$4:$F$214)*1,0))</f>
        <v>M_TDIF04</v>
      </c>
      <c r="E562" s="92" t="s">
        <v>1128</v>
      </c>
      <c r="F562" s="7" t="str" cm="1">
        <f t="array" ref="F562">INDEX(공급업체코드!$B$3:$B$1000,MATCH(1,(E562=공급업체코드!$D$3:$D$1000)*1,0))</f>
        <v>VM_BKT</v>
      </c>
      <c r="G562" s="18" t="s">
        <v>1881</v>
      </c>
      <c r="H562" s="64"/>
      <c r="I562" s="64"/>
      <c r="J562" s="64"/>
      <c r="K562" s="300">
        <v>1.1000000000000001</v>
      </c>
      <c r="L562" s="300">
        <v>1.3</v>
      </c>
      <c r="M562" s="64">
        <v>519</v>
      </c>
      <c r="N562" s="64"/>
      <c r="O562" s="64"/>
      <c r="P562" s="64"/>
      <c r="Q562" s="64"/>
      <c r="R562" s="70"/>
      <c r="T562" s="64"/>
      <c r="X562">
        <v>0.123</v>
      </c>
      <c r="Y562" s="258" t="s">
        <v>1313</v>
      </c>
      <c r="AA562" s="259" t="s">
        <v>1314</v>
      </c>
      <c r="AB562" s="20" t="s">
        <v>1061</v>
      </c>
      <c r="AC562">
        <f t="shared" si="17"/>
        <v>2595000000</v>
      </c>
      <c r="AE562" s="18" t="s">
        <v>1315</v>
      </c>
      <c r="AF562" s="1" t="b">
        <v>1</v>
      </c>
    </row>
    <row r="563" spans="2:32" ht="16.5" customHeight="1">
      <c r="B563" s="1" t="str">
        <f t="shared" si="16"/>
        <v>M_TDIF04_VM_BKT_1.3_520</v>
      </c>
      <c r="C563" s="92" t="s">
        <v>700</v>
      </c>
      <c r="D563" s="92" t="str" cm="1">
        <f t="array" ref="D563">INDEX(기계코드!$D$4:$D$214,MATCH(1,(C563=기계코드!$F$4:$F$214)*1,0))</f>
        <v>M_TDIF04</v>
      </c>
      <c r="E563" s="92" t="s">
        <v>1128</v>
      </c>
      <c r="F563" s="7" t="str" cm="1">
        <f t="array" ref="F563">INDEX(공급업체코드!$B$3:$B$1000,MATCH(1,(E563=공급업체코드!$D$3:$D$1000)*1,0))</f>
        <v>VM_BKT</v>
      </c>
      <c r="G563" s="18" t="s">
        <v>1881</v>
      </c>
      <c r="H563" s="64"/>
      <c r="I563" s="64"/>
      <c r="J563" s="64"/>
      <c r="K563" s="300">
        <v>1.1000000000000001</v>
      </c>
      <c r="L563" s="300">
        <v>1.3</v>
      </c>
      <c r="M563" s="64">
        <v>520</v>
      </c>
      <c r="N563" s="64"/>
      <c r="O563" s="64"/>
      <c r="P563" s="64"/>
      <c r="Q563" s="64"/>
      <c r="R563" s="70"/>
      <c r="T563" s="64"/>
      <c r="X563">
        <v>0.123</v>
      </c>
      <c r="Y563" s="258" t="s">
        <v>1313</v>
      </c>
      <c r="AA563" s="259" t="s">
        <v>1314</v>
      </c>
      <c r="AB563" s="20" t="s">
        <v>1061</v>
      </c>
      <c r="AC563">
        <f t="shared" si="17"/>
        <v>2600000000</v>
      </c>
      <c r="AE563" s="18" t="s">
        <v>1315</v>
      </c>
      <c r="AF563" s="1" t="b">
        <v>1</v>
      </c>
    </row>
    <row r="564" spans="2:32" ht="16.5" customHeight="1">
      <c r="B564" s="1" t="str">
        <f t="shared" si="16"/>
        <v>M_TDIF04_VM_BKT_1.3_521</v>
      </c>
      <c r="C564" s="92" t="s">
        <v>700</v>
      </c>
      <c r="D564" s="92" t="str" cm="1">
        <f t="array" ref="D564">INDEX(기계코드!$D$4:$D$214,MATCH(1,(C564=기계코드!$F$4:$F$214)*1,0))</f>
        <v>M_TDIF04</v>
      </c>
      <c r="E564" s="92" t="s">
        <v>1128</v>
      </c>
      <c r="F564" s="7" t="str" cm="1">
        <f t="array" ref="F564">INDEX(공급업체코드!$B$3:$B$1000,MATCH(1,(E564=공급업체코드!$D$3:$D$1000)*1,0))</f>
        <v>VM_BKT</v>
      </c>
      <c r="G564" s="18" t="s">
        <v>1881</v>
      </c>
      <c r="H564" s="64"/>
      <c r="I564" s="64"/>
      <c r="J564" s="64"/>
      <c r="K564" s="300">
        <v>1.1000000000000001</v>
      </c>
      <c r="L564" s="300">
        <v>1.3</v>
      </c>
      <c r="M564" s="64">
        <v>521</v>
      </c>
      <c r="N564" s="64"/>
      <c r="O564" s="64"/>
      <c r="P564" s="64"/>
      <c r="Q564" s="64"/>
      <c r="R564" s="70"/>
      <c r="T564" s="64"/>
      <c r="X564">
        <v>0.123</v>
      </c>
      <c r="Y564" s="258" t="s">
        <v>1313</v>
      </c>
      <c r="AA564" s="259" t="s">
        <v>1314</v>
      </c>
      <c r="AB564" s="20" t="s">
        <v>1061</v>
      </c>
      <c r="AC564">
        <f t="shared" si="17"/>
        <v>2605000000</v>
      </c>
      <c r="AE564" s="18" t="s">
        <v>1315</v>
      </c>
      <c r="AF564" s="1" t="b">
        <v>1</v>
      </c>
    </row>
    <row r="565" spans="2:32" ht="16.5" customHeight="1">
      <c r="B565" s="1" t="str">
        <f t="shared" si="16"/>
        <v>M_TDIF04_VM_BKT_1.3_522</v>
      </c>
      <c r="C565" s="92" t="s">
        <v>700</v>
      </c>
      <c r="D565" s="92" t="str" cm="1">
        <f t="array" ref="D565">INDEX(기계코드!$D$4:$D$214,MATCH(1,(C565=기계코드!$F$4:$F$214)*1,0))</f>
        <v>M_TDIF04</v>
      </c>
      <c r="E565" s="92" t="s">
        <v>1128</v>
      </c>
      <c r="F565" s="7" t="str" cm="1">
        <f t="array" ref="F565">INDEX(공급업체코드!$B$3:$B$1000,MATCH(1,(E565=공급업체코드!$D$3:$D$1000)*1,0))</f>
        <v>VM_BKT</v>
      </c>
      <c r="G565" s="18" t="s">
        <v>1881</v>
      </c>
      <c r="H565" s="64"/>
      <c r="I565" s="64"/>
      <c r="J565" s="64"/>
      <c r="K565" s="300">
        <v>1.1000000000000001</v>
      </c>
      <c r="L565" s="300">
        <v>1.3</v>
      </c>
      <c r="M565" s="64">
        <v>522</v>
      </c>
      <c r="N565" s="64"/>
      <c r="O565" s="64"/>
      <c r="P565" s="64"/>
      <c r="Q565" s="64"/>
      <c r="R565" s="70"/>
      <c r="T565" s="64"/>
      <c r="X565">
        <v>0.123</v>
      </c>
      <c r="Y565" s="258" t="s">
        <v>1313</v>
      </c>
      <c r="AA565" s="259" t="s">
        <v>1314</v>
      </c>
      <c r="AB565" s="20" t="s">
        <v>1061</v>
      </c>
      <c r="AC565">
        <f t="shared" si="17"/>
        <v>2610000000</v>
      </c>
      <c r="AE565" s="18" t="s">
        <v>1315</v>
      </c>
      <c r="AF565" s="1" t="b">
        <v>1</v>
      </c>
    </row>
    <row r="566" spans="2:32" ht="16.5" customHeight="1">
      <c r="B566" s="1" t="str">
        <f t="shared" si="16"/>
        <v>M_TDIF04_VM_BKT_1.3_523</v>
      </c>
      <c r="C566" s="92" t="s">
        <v>700</v>
      </c>
      <c r="D566" s="92" t="str" cm="1">
        <f t="array" ref="D566">INDEX(기계코드!$D$4:$D$214,MATCH(1,(C566=기계코드!$F$4:$F$214)*1,0))</f>
        <v>M_TDIF04</v>
      </c>
      <c r="E566" s="92" t="s">
        <v>1128</v>
      </c>
      <c r="F566" s="7" t="str" cm="1">
        <f t="array" ref="F566">INDEX(공급업체코드!$B$3:$B$1000,MATCH(1,(E566=공급업체코드!$D$3:$D$1000)*1,0))</f>
        <v>VM_BKT</v>
      </c>
      <c r="G566" s="18" t="s">
        <v>1881</v>
      </c>
      <c r="H566" s="64"/>
      <c r="I566" s="64"/>
      <c r="J566" s="64"/>
      <c r="K566" s="300">
        <v>1.1000000000000001</v>
      </c>
      <c r="L566" s="300">
        <v>1.3</v>
      </c>
      <c r="M566" s="64">
        <v>523</v>
      </c>
      <c r="N566" s="64"/>
      <c r="O566" s="64"/>
      <c r="P566" s="64"/>
      <c r="Q566" s="64"/>
      <c r="R566" s="70"/>
      <c r="T566" s="64"/>
      <c r="X566">
        <v>0.123</v>
      </c>
      <c r="Y566" s="258" t="s">
        <v>1313</v>
      </c>
      <c r="AA566" s="259" t="s">
        <v>1314</v>
      </c>
      <c r="AB566" s="20" t="s">
        <v>1061</v>
      </c>
      <c r="AC566">
        <f t="shared" si="17"/>
        <v>2615000000</v>
      </c>
      <c r="AE566" s="18" t="s">
        <v>1315</v>
      </c>
      <c r="AF566" s="1" t="b">
        <v>1</v>
      </c>
    </row>
    <row r="567" spans="2:32" ht="16.5" customHeight="1">
      <c r="B567" s="1" t="str">
        <f t="shared" si="16"/>
        <v>M_TDIF04_VM_BKT_1.3_524</v>
      </c>
      <c r="C567" s="92" t="s">
        <v>700</v>
      </c>
      <c r="D567" s="92" t="str" cm="1">
        <f t="array" ref="D567">INDEX(기계코드!$D$4:$D$214,MATCH(1,(C567=기계코드!$F$4:$F$214)*1,0))</f>
        <v>M_TDIF04</v>
      </c>
      <c r="E567" s="92" t="s">
        <v>1128</v>
      </c>
      <c r="F567" s="7" t="str" cm="1">
        <f t="array" ref="F567">INDEX(공급업체코드!$B$3:$B$1000,MATCH(1,(E567=공급업체코드!$D$3:$D$1000)*1,0))</f>
        <v>VM_BKT</v>
      </c>
      <c r="G567" s="18" t="s">
        <v>1881</v>
      </c>
      <c r="H567" s="64"/>
      <c r="I567" s="64"/>
      <c r="J567" s="64"/>
      <c r="K567" s="300">
        <v>1.1000000000000001</v>
      </c>
      <c r="L567" s="300">
        <v>1.3</v>
      </c>
      <c r="M567" s="64">
        <v>524</v>
      </c>
      <c r="N567" s="64"/>
      <c r="O567" s="64"/>
      <c r="P567" s="64"/>
      <c r="Q567" s="64"/>
      <c r="R567" s="70"/>
      <c r="T567" s="64"/>
      <c r="X567">
        <v>0.123</v>
      </c>
      <c r="Y567" s="258" t="s">
        <v>1313</v>
      </c>
      <c r="AA567" s="259" t="s">
        <v>1314</v>
      </c>
      <c r="AB567" s="20" t="s">
        <v>1061</v>
      </c>
      <c r="AC567">
        <f t="shared" si="17"/>
        <v>2620000000</v>
      </c>
      <c r="AE567" s="18" t="s">
        <v>1315</v>
      </c>
      <c r="AF567" s="1" t="b">
        <v>1</v>
      </c>
    </row>
    <row r="568" spans="2:32" ht="16.5" customHeight="1">
      <c r="B568" s="1" t="str">
        <f t="shared" si="16"/>
        <v>M_TDIF04_VM_BKT_1.3_525</v>
      </c>
      <c r="C568" s="92" t="s">
        <v>700</v>
      </c>
      <c r="D568" s="92" t="str" cm="1">
        <f t="array" ref="D568">INDEX(기계코드!$D$4:$D$214,MATCH(1,(C568=기계코드!$F$4:$F$214)*1,0))</f>
        <v>M_TDIF04</v>
      </c>
      <c r="E568" s="92" t="s">
        <v>1128</v>
      </c>
      <c r="F568" s="7" t="str" cm="1">
        <f t="array" ref="F568">INDEX(공급업체코드!$B$3:$B$1000,MATCH(1,(E568=공급업체코드!$D$3:$D$1000)*1,0))</f>
        <v>VM_BKT</v>
      </c>
      <c r="G568" s="18" t="s">
        <v>1881</v>
      </c>
      <c r="H568" s="64"/>
      <c r="I568" s="64"/>
      <c r="J568" s="64"/>
      <c r="K568" s="300">
        <v>1.1000000000000001</v>
      </c>
      <c r="L568" s="300">
        <v>1.3</v>
      </c>
      <c r="M568" s="64">
        <v>525</v>
      </c>
      <c r="N568" s="64"/>
      <c r="O568" s="64"/>
      <c r="P568" s="64"/>
      <c r="Q568" s="64"/>
      <c r="R568" s="70"/>
      <c r="T568" s="64"/>
      <c r="X568">
        <v>0.123</v>
      </c>
      <c r="Y568" s="258" t="s">
        <v>1313</v>
      </c>
      <c r="AA568" s="259" t="s">
        <v>1314</v>
      </c>
      <c r="AB568" s="20" t="s">
        <v>1061</v>
      </c>
      <c r="AC568">
        <f t="shared" si="17"/>
        <v>2625000000</v>
      </c>
      <c r="AE568" s="18" t="s">
        <v>1315</v>
      </c>
      <c r="AF568" s="1" t="b">
        <v>1</v>
      </c>
    </row>
    <row r="569" spans="2:32" ht="16.5" customHeight="1">
      <c r="B569" s="1" t="str">
        <f t="shared" si="16"/>
        <v>M_TDIF04_VM_BKT_1.3_526</v>
      </c>
      <c r="C569" s="92" t="s">
        <v>700</v>
      </c>
      <c r="D569" s="92" t="str" cm="1">
        <f t="array" ref="D569">INDEX(기계코드!$D$4:$D$214,MATCH(1,(C569=기계코드!$F$4:$F$214)*1,0))</f>
        <v>M_TDIF04</v>
      </c>
      <c r="E569" s="92" t="s">
        <v>1128</v>
      </c>
      <c r="F569" s="7" t="str" cm="1">
        <f t="array" ref="F569">INDEX(공급업체코드!$B$3:$B$1000,MATCH(1,(E569=공급업체코드!$D$3:$D$1000)*1,0))</f>
        <v>VM_BKT</v>
      </c>
      <c r="G569" s="18" t="s">
        <v>1881</v>
      </c>
      <c r="H569" s="64"/>
      <c r="I569" s="64"/>
      <c r="J569" s="64"/>
      <c r="K569" s="300">
        <v>1.1000000000000001</v>
      </c>
      <c r="L569" s="300">
        <v>1.3</v>
      </c>
      <c r="M569" s="64">
        <v>526</v>
      </c>
      <c r="N569" s="64"/>
      <c r="O569" s="64"/>
      <c r="P569" s="64"/>
      <c r="Q569" s="64"/>
      <c r="R569" s="70"/>
      <c r="T569" s="64"/>
      <c r="X569">
        <v>0.123</v>
      </c>
      <c r="Y569" s="258" t="s">
        <v>1313</v>
      </c>
      <c r="AA569" s="259" t="s">
        <v>1314</v>
      </c>
      <c r="AB569" s="20" t="s">
        <v>1061</v>
      </c>
      <c r="AC569">
        <f t="shared" si="17"/>
        <v>2630000000</v>
      </c>
      <c r="AE569" s="18" t="s">
        <v>1315</v>
      </c>
      <c r="AF569" s="1" t="b">
        <v>1</v>
      </c>
    </row>
    <row r="570" spans="2:32" ht="16.5" customHeight="1">
      <c r="B570" s="1" t="str">
        <f t="shared" si="16"/>
        <v>M_TDIF04_VM_BKT_1.3_527</v>
      </c>
      <c r="C570" s="92" t="s">
        <v>700</v>
      </c>
      <c r="D570" s="92" t="str" cm="1">
        <f t="array" ref="D570">INDEX(기계코드!$D$4:$D$214,MATCH(1,(C570=기계코드!$F$4:$F$214)*1,0))</f>
        <v>M_TDIF04</v>
      </c>
      <c r="E570" s="92" t="s">
        <v>1128</v>
      </c>
      <c r="F570" s="7" t="str" cm="1">
        <f t="array" ref="F570">INDEX(공급업체코드!$B$3:$B$1000,MATCH(1,(E570=공급업체코드!$D$3:$D$1000)*1,0))</f>
        <v>VM_BKT</v>
      </c>
      <c r="G570" s="18" t="s">
        <v>1881</v>
      </c>
      <c r="H570" s="64"/>
      <c r="I570" s="64"/>
      <c r="J570" s="64"/>
      <c r="K570" s="300">
        <v>1.1000000000000001</v>
      </c>
      <c r="L570" s="300">
        <v>1.3</v>
      </c>
      <c r="M570" s="64">
        <v>527</v>
      </c>
      <c r="N570" s="64"/>
      <c r="O570" s="64"/>
      <c r="P570" s="64"/>
      <c r="Q570" s="64"/>
      <c r="R570" s="70"/>
      <c r="T570" s="64"/>
      <c r="X570">
        <v>0.123</v>
      </c>
      <c r="Y570" s="258" t="s">
        <v>1313</v>
      </c>
      <c r="AA570" s="259" t="s">
        <v>1314</v>
      </c>
      <c r="AB570" s="20" t="s">
        <v>1061</v>
      </c>
      <c r="AC570">
        <f t="shared" si="17"/>
        <v>2635000000</v>
      </c>
      <c r="AE570" s="18" t="s">
        <v>1315</v>
      </c>
      <c r="AF570" s="1" t="b">
        <v>1</v>
      </c>
    </row>
    <row r="571" spans="2:32" ht="16.5" customHeight="1">
      <c r="B571" s="1" t="str">
        <f t="shared" si="16"/>
        <v>M_TDIF04_VM_BKT_1.3_528</v>
      </c>
      <c r="C571" s="92" t="s">
        <v>700</v>
      </c>
      <c r="D571" s="92" t="str" cm="1">
        <f t="array" ref="D571">INDEX(기계코드!$D$4:$D$214,MATCH(1,(C571=기계코드!$F$4:$F$214)*1,0))</f>
        <v>M_TDIF04</v>
      </c>
      <c r="E571" s="92" t="s">
        <v>1128</v>
      </c>
      <c r="F571" s="7" t="str" cm="1">
        <f t="array" ref="F571">INDEX(공급업체코드!$B$3:$B$1000,MATCH(1,(E571=공급업체코드!$D$3:$D$1000)*1,0))</f>
        <v>VM_BKT</v>
      </c>
      <c r="G571" s="18" t="s">
        <v>1881</v>
      </c>
      <c r="H571" s="64"/>
      <c r="I571" s="64"/>
      <c r="J571" s="64"/>
      <c r="K571" s="300">
        <v>1.1000000000000001</v>
      </c>
      <c r="L571" s="300">
        <v>1.3</v>
      </c>
      <c r="M571" s="64">
        <v>528</v>
      </c>
      <c r="N571" s="64"/>
      <c r="O571" s="64"/>
      <c r="P571" s="64"/>
      <c r="Q571" s="64"/>
      <c r="R571" s="70"/>
      <c r="T571" s="64"/>
      <c r="X571">
        <v>0.123</v>
      </c>
      <c r="Y571" s="258" t="s">
        <v>1313</v>
      </c>
      <c r="AA571" s="259" t="s">
        <v>1314</v>
      </c>
      <c r="AB571" s="20" t="s">
        <v>1061</v>
      </c>
      <c r="AC571">
        <f t="shared" si="17"/>
        <v>2640000000</v>
      </c>
      <c r="AE571" s="18" t="s">
        <v>1315</v>
      </c>
      <c r="AF571" s="1" t="b">
        <v>1</v>
      </c>
    </row>
    <row r="572" spans="2:32" ht="16.5" customHeight="1">
      <c r="B572" s="1" t="str">
        <f t="shared" si="16"/>
        <v>M_TDIF04_VM_BKT_1.3_529</v>
      </c>
      <c r="C572" s="92" t="s">
        <v>700</v>
      </c>
      <c r="D572" s="92" t="str" cm="1">
        <f t="array" ref="D572">INDEX(기계코드!$D$4:$D$214,MATCH(1,(C572=기계코드!$F$4:$F$214)*1,0))</f>
        <v>M_TDIF04</v>
      </c>
      <c r="E572" s="92" t="s">
        <v>1128</v>
      </c>
      <c r="F572" s="7" t="str" cm="1">
        <f t="array" ref="F572">INDEX(공급업체코드!$B$3:$B$1000,MATCH(1,(E572=공급업체코드!$D$3:$D$1000)*1,0))</f>
        <v>VM_BKT</v>
      </c>
      <c r="G572" s="18" t="s">
        <v>1881</v>
      </c>
      <c r="H572" s="64"/>
      <c r="I572" s="64"/>
      <c r="J572" s="64"/>
      <c r="K572" s="300">
        <v>1.1000000000000001</v>
      </c>
      <c r="L572" s="300">
        <v>1.3</v>
      </c>
      <c r="M572" s="64">
        <v>529</v>
      </c>
      <c r="N572" s="64"/>
      <c r="O572" s="64"/>
      <c r="P572" s="64"/>
      <c r="Q572" s="64"/>
      <c r="R572" s="70"/>
      <c r="T572" s="64"/>
      <c r="X572">
        <v>0.123</v>
      </c>
      <c r="Y572" s="258" t="s">
        <v>1313</v>
      </c>
      <c r="AA572" s="259" t="s">
        <v>1314</v>
      </c>
      <c r="AB572" s="20" t="s">
        <v>1061</v>
      </c>
      <c r="AC572">
        <f t="shared" si="17"/>
        <v>2645000000</v>
      </c>
      <c r="AE572" s="18" t="s">
        <v>1315</v>
      </c>
      <c r="AF572" s="1" t="b">
        <v>1</v>
      </c>
    </row>
    <row r="573" spans="2:32" ht="16.5" customHeight="1">
      <c r="B573" s="1" t="str">
        <f t="shared" si="16"/>
        <v>M_TDIF04_VM_BKT_1.3_530</v>
      </c>
      <c r="C573" s="92" t="s">
        <v>700</v>
      </c>
      <c r="D573" s="92" t="str" cm="1">
        <f t="array" ref="D573">INDEX(기계코드!$D$4:$D$214,MATCH(1,(C573=기계코드!$F$4:$F$214)*1,0))</f>
        <v>M_TDIF04</v>
      </c>
      <c r="E573" s="92" t="s">
        <v>1128</v>
      </c>
      <c r="F573" s="7" t="str" cm="1">
        <f t="array" ref="F573">INDEX(공급업체코드!$B$3:$B$1000,MATCH(1,(E573=공급업체코드!$D$3:$D$1000)*1,0))</f>
        <v>VM_BKT</v>
      </c>
      <c r="G573" s="18" t="s">
        <v>1881</v>
      </c>
      <c r="H573" s="64"/>
      <c r="I573" s="64"/>
      <c r="J573" s="64"/>
      <c r="K573" s="300">
        <v>1.1000000000000001</v>
      </c>
      <c r="L573" s="300">
        <v>1.3</v>
      </c>
      <c r="M573" s="64">
        <v>530</v>
      </c>
      <c r="N573" s="64"/>
      <c r="O573" s="64"/>
      <c r="P573" s="64"/>
      <c r="Q573" s="64"/>
      <c r="R573" s="70"/>
      <c r="T573" s="64"/>
      <c r="X573">
        <v>0.123</v>
      </c>
      <c r="Y573" s="258" t="s">
        <v>1313</v>
      </c>
      <c r="AA573" s="259" t="s">
        <v>1314</v>
      </c>
      <c r="AB573" s="20" t="s">
        <v>1061</v>
      </c>
      <c r="AC573">
        <f t="shared" si="17"/>
        <v>2650000000</v>
      </c>
      <c r="AE573" s="18" t="s">
        <v>1315</v>
      </c>
      <c r="AF573" s="1" t="b">
        <v>1</v>
      </c>
    </row>
    <row r="574" spans="2:32" ht="16.5" customHeight="1">
      <c r="B574" s="1" t="str">
        <f t="shared" si="16"/>
        <v>M_TDIF04_VM_BKT_1.3_531</v>
      </c>
      <c r="C574" s="92" t="s">
        <v>700</v>
      </c>
      <c r="D574" s="92" t="str" cm="1">
        <f t="array" ref="D574">INDEX(기계코드!$D$4:$D$214,MATCH(1,(C574=기계코드!$F$4:$F$214)*1,0))</f>
        <v>M_TDIF04</v>
      </c>
      <c r="E574" s="92" t="s">
        <v>1128</v>
      </c>
      <c r="F574" s="7" t="str" cm="1">
        <f t="array" ref="F574">INDEX(공급업체코드!$B$3:$B$1000,MATCH(1,(E574=공급업체코드!$D$3:$D$1000)*1,0))</f>
        <v>VM_BKT</v>
      </c>
      <c r="G574" s="18" t="s">
        <v>1881</v>
      </c>
      <c r="H574" s="64"/>
      <c r="I574" s="64"/>
      <c r="J574" s="64"/>
      <c r="K574" s="300">
        <v>1.1000000000000001</v>
      </c>
      <c r="L574" s="300">
        <v>1.3</v>
      </c>
      <c r="M574" s="64">
        <v>531</v>
      </c>
      <c r="N574" s="64"/>
      <c r="O574" s="64"/>
      <c r="P574" s="64"/>
      <c r="Q574" s="64"/>
      <c r="R574" s="70"/>
      <c r="T574" s="64"/>
      <c r="X574">
        <v>0.123</v>
      </c>
      <c r="Y574" s="258" t="s">
        <v>1313</v>
      </c>
      <c r="AA574" s="259" t="s">
        <v>1314</v>
      </c>
      <c r="AB574" s="20" t="s">
        <v>1061</v>
      </c>
      <c r="AC574">
        <f t="shared" si="17"/>
        <v>2655000000</v>
      </c>
      <c r="AE574" s="18" t="s">
        <v>1315</v>
      </c>
      <c r="AF574" s="1" t="b">
        <v>1</v>
      </c>
    </row>
    <row r="575" spans="2:32" ht="16.5" customHeight="1">
      <c r="B575" s="1" t="str">
        <f t="shared" si="16"/>
        <v>M_TDIF04_VM_BKT_1.3_532</v>
      </c>
      <c r="C575" s="92" t="s">
        <v>700</v>
      </c>
      <c r="D575" s="92" t="str" cm="1">
        <f t="array" ref="D575">INDEX(기계코드!$D$4:$D$214,MATCH(1,(C575=기계코드!$F$4:$F$214)*1,0))</f>
        <v>M_TDIF04</v>
      </c>
      <c r="E575" s="92" t="s">
        <v>1128</v>
      </c>
      <c r="F575" s="7" t="str" cm="1">
        <f t="array" ref="F575">INDEX(공급업체코드!$B$3:$B$1000,MATCH(1,(E575=공급업체코드!$D$3:$D$1000)*1,0))</f>
        <v>VM_BKT</v>
      </c>
      <c r="G575" s="18" t="s">
        <v>1881</v>
      </c>
      <c r="H575" s="64"/>
      <c r="I575" s="64"/>
      <c r="J575" s="64"/>
      <c r="K575" s="300">
        <v>1.1000000000000001</v>
      </c>
      <c r="L575" s="300">
        <v>1.3</v>
      </c>
      <c r="M575" s="64">
        <v>532</v>
      </c>
      <c r="N575" s="64"/>
      <c r="O575" s="64"/>
      <c r="P575" s="64"/>
      <c r="Q575" s="64"/>
      <c r="R575" s="70"/>
      <c r="T575" s="64"/>
      <c r="X575">
        <v>0.123</v>
      </c>
      <c r="Y575" s="258" t="s">
        <v>1313</v>
      </c>
      <c r="AA575" s="259" t="s">
        <v>1314</v>
      </c>
      <c r="AB575" s="20" t="s">
        <v>1061</v>
      </c>
      <c r="AC575">
        <f t="shared" si="17"/>
        <v>2660000000</v>
      </c>
      <c r="AE575" s="18" t="s">
        <v>1315</v>
      </c>
      <c r="AF575" s="1" t="b">
        <v>1</v>
      </c>
    </row>
    <row r="576" spans="2:32" ht="16.5" customHeight="1">
      <c r="B576" s="1" t="str">
        <f t="shared" si="16"/>
        <v>M_TDIF04_VM_BKT_1.3_533</v>
      </c>
      <c r="C576" s="92" t="s">
        <v>700</v>
      </c>
      <c r="D576" s="92" t="str" cm="1">
        <f t="array" ref="D576">INDEX(기계코드!$D$4:$D$214,MATCH(1,(C576=기계코드!$F$4:$F$214)*1,0))</f>
        <v>M_TDIF04</v>
      </c>
      <c r="E576" s="92" t="s">
        <v>1128</v>
      </c>
      <c r="F576" s="7" t="str" cm="1">
        <f t="array" ref="F576">INDEX(공급업체코드!$B$3:$B$1000,MATCH(1,(E576=공급업체코드!$D$3:$D$1000)*1,0))</f>
        <v>VM_BKT</v>
      </c>
      <c r="G576" s="18" t="s">
        <v>1881</v>
      </c>
      <c r="H576" s="64"/>
      <c r="I576" s="64"/>
      <c r="J576" s="64"/>
      <c r="K576" s="300">
        <v>1.1000000000000001</v>
      </c>
      <c r="L576" s="300">
        <v>1.3</v>
      </c>
      <c r="M576" s="64">
        <v>533</v>
      </c>
      <c r="N576" s="64"/>
      <c r="O576" s="64"/>
      <c r="P576" s="64"/>
      <c r="Q576" s="64"/>
      <c r="R576" s="70"/>
      <c r="T576" s="64"/>
      <c r="X576">
        <v>0.123</v>
      </c>
      <c r="Y576" s="258" t="s">
        <v>1313</v>
      </c>
      <c r="AA576" s="259" t="s">
        <v>1314</v>
      </c>
      <c r="AB576" s="20" t="s">
        <v>1061</v>
      </c>
      <c r="AC576">
        <f t="shared" si="17"/>
        <v>2665000000</v>
      </c>
      <c r="AE576" s="18" t="s">
        <v>1315</v>
      </c>
      <c r="AF576" s="1" t="b">
        <v>1</v>
      </c>
    </row>
    <row r="577" spans="2:32" ht="16.5" customHeight="1">
      <c r="B577" s="1" t="str">
        <f t="shared" si="16"/>
        <v>M_TDIF04_VM_BKT_1.3_534</v>
      </c>
      <c r="C577" s="92" t="s">
        <v>700</v>
      </c>
      <c r="D577" s="92" t="str" cm="1">
        <f t="array" ref="D577">INDEX(기계코드!$D$4:$D$214,MATCH(1,(C577=기계코드!$F$4:$F$214)*1,0))</f>
        <v>M_TDIF04</v>
      </c>
      <c r="E577" s="92" t="s">
        <v>1128</v>
      </c>
      <c r="F577" s="7" t="str" cm="1">
        <f t="array" ref="F577">INDEX(공급업체코드!$B$3:$B$1000,MATCH(1,(E577=공급업체코드!$D$3:$D$1000)*1,0))</f>
        <v>VM_BKT</v>
      </c>
      <c r="G577" s="18" t="s">
        <v>1881</v>
      </c>
      <c r="H577" s="64"/>
      <c r="I577" s="64"/>
      <c r="J577" s="64"/>
      <c r="K577" s="300">
        <v>1.1000000000000001</v>
      </c>
      <c r="L577" s="300">
        <v>1.3</v>
      </c>
      <c r="M577" s="64">
        <v>534</v>
      </c>
      <c r="N577" s="64"/>
      <c r="O577" s="64"/>
      <c r="P577" s="64"/>
      <c r="Q577" s="64"/>
      <c r="R577" s="70"/>
      <c r="T577" s="64"/>
      <c r="X577">
        <v>0.123</v>
      </c>
      <c r="Y577" s="258" t="s">
        <v>1313</v>
      </c>
      <c r="AA577" s="259" t="s">
        <v>1314</v>
      </c>
      <c r="AB577" s="20" t="s">
        <v>1061</v>
      </c>
      <c r="AC577">
        <f t="shared" si="17"/>
        <v>2670000000</v>
      </c>
      <c r="AE577" s="18" t="s">
        <v>1315</v>
      </c>
      <c r="AF577" s="1" t="b">
        <v>1</v>
      </c>
    </row>
    <row r="578" spans="2:32" ht="16.5" customHeight="1">
      <c r="B578" s="1" t="str">
        <f t="shared" si="16"/>
        <v>M_TDIF04_VM_BKT_1.3_535</v>
      </c>
      <c r="C578" s="92" t="s">
        <v>700</v>
      </c>
      <c r="D578" s="92" t="str" cm="1">
        <f t="array" ref="D578">INDEX(기계코드!$D$4:$D$214,MATCH(1,(C578=기계코드!$F$4:$F$214)*1,0))</f>
        <v>M_TDIF04</v>
      </c>
      <c r="E578" s="92" t="s">
        <v>1128</v>
      </c>
      <c r="F578" s="7" t="str" cm="1">
        <f t="array" ref="F578">INDEX(공급업체코드!$B$3:$B$1000,MATCH(1,(E578=공급업체코드!$D$3:$D$1000)*1,0))</f>
        <v>VM_BKT</v>
      </c>
      <c r="G578" s="18" t="s">
        <v>1881</v>
      </c>
      <c r="H578" s="64"/>
      <c r="I578" s="64"/>
      <c r="J578" s="64"/>
      <c r="K578" s="300">
        <v>1.1000000000000001</v>
      </c>
      <c r="L578" s="300">
        <v>1.3</v>
      </c>
      <c r="M578" s="64">
        <v>535</v>
      </c>
      <c r="N578" s="64"/>
      <c r="O578" s="64"/>
      <c r="P578" s="64"/>
      <c r="Q578" s="64"/>
      <c r="R578" s="70"/>
      <c r="T578" s="64"/>
      <c r="X578">
        <v>0.123</v>
      </c>
      <c r="Y578" s="258" t="s">
        <v>1313</v>
      </c>
      <c r="AA578" s="259" t="s">
        <v>1314</v>
      </c>
      <c r="AB578" s="20" t="s">
        <v>1061</v>
      </c>
      <c r="AC578">
        <f t="shared" si="17"/>
        <v>2675000000</v>
      </c>
      <c r="AE578" s="18" t="s">
        <v>1315</v>
      </c>
      <c r="AF578" s="1" t="b">
        <v>1</v>
      </c>
    </row>
    <row r="579" spans="2:32" ht="16.5" customHeight="1">
      <c r="B579" s="1" t="str">
        <f t="shared" si="16"/>
        <v>M_TDIF04_VM_BKT_1.3_536</v>
      </c>
      <c r="C579" s="92" t="s">
        <v>700</v>
      </c>
      <c r="D579" s="92" t="str" cm="1">
        <f t="array" ref="D579">INDEX(기계코드!$D$4:$D$214,MATCH(1,(C579=기계코드!$F$4:$F$214)*1,0))</f>
        <v>M_TDIF04</v>
      </c>
      <c r="E579" s="92" t="s">
        <v>1128</v>
      </c>
      <c r="F579" s="7" t="str" cm="1">
        <f t="array" ref="F579">INDEX(공급업체코드!$B$3:$B$1000,MATCH(1,(E579=공급업체코드!$D$3:$D$1000)*1,0))</f>
        <v>VM_BKT</v>
      </c>
      <c r="G579" s="18" t="s">
        <v>1881</v>
      </c>
      <c r="H579" s="64"/>
      <c r="I579" s="64"/>
      <c r="J579" s="64"/>
      <c r="K579" s="300">
        <v>1.1000000000000001</v>
      </c>
      <c r="L579" s="300">
        <v>1.3</v>
      </c>
      <c r="M579" s="64">
        <v>536</v>
      </c>
      <c r="N579" s="64"/>
      <c r="O579" s="64"/>
      <c r="P579" s="64"/>
      <c r="Q579" s="64"/>
      <c r="R579" s="70"/>
      <c r="T579" s="64"/>
      <c r="X579">
        <v>0.123</v>
      </c>
      <c r="Y579" s="258" t="s">
        <v>1313</v>
      </c>
      <c r="AA579" s="259" t="s">
        <v>1314</v>
      </c>
      <c r="AB579" s="20" t="s">
        <v>1061</v>
      </c>
      <c r="AC579">
        <f t="shared" si="17"/>
        <v>2680000000</v>
      </c>
      <c r="AE579" s="18" t="s">
        <v>1315</v>
      </c>
      <c r="AF579" s="1" t="b">
        <v>1</v>
      </c>
    </row>
    <row r="580" spans="2:32" ht="16.5" customHeight="1">
      <c r="B580" s="1" t="str">
        <f t="shared" si="16"/>
        <v>M_TDIF04_VM_BKT_1.3_537</v>
      </c>
      <c r="C580" s="92" t="s">
        <v>700</v>
      </c>
      <c r="D580" s="92" t="str" cm="1">
        <f t="array" ref="D580">INDEX(기계코드!$D$4:$D$214,MATCH(1,(C580=기계코드!$F$4:$F$214)*1,0))</f>
        <v>M_TDIF04</v>
      </c>
      <c r="E580" s="92" t="s">
        <v>1128</v>
      </c>
      <c r="F580" s="7" t="str" cm="1">
        <f t="array" ref="F580">INDEX(공급업체코드!$B$3:$B$1000,MATCH(1,(E580=공급업체코드!$D$3:$D$1000)*1,0))</f>
        <v>VM_BKT</v>
      </c>
      <c r="G580" s="18" t="s">
        <v>1881</v>
      </c>
      <c r="H580" s="64"/>
      <c r="I580" s="64"/>
      <c r="J580" s="64"/>
      <c r="K580" s="300">
        <v>1.1000000000000001</v>
      </c>
      <c r="L580" s="300">
        <v>1.3</v>
      </c>
      <c r="M580" s="64">
        <v>537</v>
      </c>
      <c r="N580" s="64"/>
      <c r="O580" s="64"/>
      <c r="P580" s="64"/>
      <c r="Q580" s="64"/>
      <c r="R580" s="70"/>
      <c r="T580" s="64"/>
      <c r="X580">
        <v>0.123</v>
      </c>
      <c r="Y580" s="258" t="s">
        <v>1313</v>
      </c>
      <c r="AA580" s="259" t="s">
        <v>1314</v>
      </c>
      <c r="AB580" s="20" t="s">
        <v>1061</v>
      </c>
      <c r="AC580">
        <f t="shared" si="17"/>
        <v>2685000000</v>
      </c>
      <c r="AE580" s="18" t="s">
        <v>1315</v>
      </c>
      <c r="AF580" s="1" t="b">
        <v>1</v>
      </c>
    </row>
    <row r="581" spans="2:32" ht="16.5" customHeight="1">
      <c r="B581" s="1" t="str">
        <f t="shared" si="16"/>
        <v>M_TDIF04_VM_BKT_1.3_538</v>
      </c>
      <c r="C581" s="92" t="s">
        <v>700</v>
      </c>
      <c r="D581" s="92" t="str" cm="1">
        <f t="array" ref="D581">INDEX(기계코드!$D$4:$D$214,MATCH(1,(C581=기계코드!$F$4:$F$214)*1,0))</f>
        <v>M_TDIF04</v>
      </c>
      <c r="E581" s="92" t="s">
        <v>1128</v>
      </c>
      <c r="F581" s="7" t="str" cm="1">
        <f t="array" ref="F581">INDEX(공급업체코드!$B$3:$B$1000,MATCH(1,(E581=공급업체코드!$D$3:$D$1000)*1,0))</f>
        <v>VM_BKT</v>
      </c>
      <c r="G581" s="18" t="s">
        <v>1881</v>
      </c>
      <c r="H581" s="64"/>
      <c r="I581" s="64"/>
      <c r="J581" s="64"/>
      <c r="K581" s="300">
        <v>1.1000000000000001</v>
      </c>
      <c r="L581" s="300">
        <v>1.3</v>
      </c>
      <c r="M581" s="64">
        <v>538</v>
      </c>
      <c r="N581" s="64"/>
      <c r="O581" s="64"/>
      <c r="P581" s="64"/>
      <c r="Q581" s="64"/>
      <c r="R581" s="70"/>
      <c r="T581" s="64"/>
      <c r="X581">
        <v>0.123</v>
      </c>
      <c r="Y581" s="258" t="s">
        <v>1313</v>
      </c>
      <c r="AA581" s="259" t="s">
        <v>1314</v>
      </c>
      <c r="AB581" s="20" t="s">
        <v>1061</v>
      </c>
      <c r="AC581">
        <f t="shared" si="17"/>
        <v>2690000000</v>
      </c>
      <c r="AE581" s="18" t="s">
        <v>1315</v>
      </c>
      <c r="AF581" s="1" t="b">
        <v>1</v>
      </c>
    </row>
    <row r="582" spans="2:32" ht="16.5" customHeight="1">
      <c r="B582" s="1" t="str">
        <f t="shared" si="16"/>
        <v>M_TDIF04_VM_BKT_1.3_539</v>
      </c>
      <c r="C582" s="92" t="s">
        <v>700</v>
      </c>
      <c r="D582" s="92" t="str" cm="1">
        <f t="array" ref="D582">INDEX(기계코드!$D$4:$D$214,MATCH(1,(C582=기계코드!$F$4:$F$214)*1,0))</f>
        <v>M_TDIF04</v>
      </c>
      <c r="E582" s="92" t="s">
        <v>1128</v>
      </c>
      <c r="F582" s="7" t="str" cm="1">
        <f t="array" ref="F582">INDEX(공급업체코드!$B$3:$B$1000,MATCH(1,(E582=공급업체코드!$D$3:$D$1000)*1,0))</f>
        <v>VM_BKT</v>
      </c>
      <c r="G582" s="18" t="s">
        <v>1881</v>
      </c>
      <c r="H582" s="64"/>
      <c r="I582" s="64"/>
      <c r="J582" s="64"/>
      <c r="K582" s="300">
        <v>1.1000000000000001</v>
      </c>
      <c r="L582" s="300">
        <v>1.3</v>
      </c>
      <c r="M582" s="64">
        <v>539</v>
      </c>
      <c r="N582" s="64"/>
      <c r="O582" s="64"/>
      <c r="P582" s="64"/>
      <c r="Q582" s="64"/>
      <c r="R582" s="70"/>
      <c r="T582" s="64"/>
      <c r="X582">
        <v>0.123</v>
      </c>
      <c r="Y582" s="258" t="s">
        <v>1313</v>
      </c>
      <c r="AA582" s="259" t="s">
        <v>1314</v>
      </c>
      <c r="AB582" s="20" t="s">
        <v>1061</v>
      </c>
      <c r="AC582">
        <f t="shared" si="17"/>
        <v>2695000000</v>
      </c>
      <c r="AE582" s="18" t="s">
        <v>1315</v>
      </c>
      <c r="AF582" s="1" t="b">
        <v>1</v>
      </c>
    </row>
    <row r="583" spans="2:32" ht="16.5" customHeight="1">
      <c r="B583" s="1" t="str">
        <f t="shared" si="16"/>
        <v>M_TDIF04_VM_BKT_1.3_540</v>
      </c>
      <c r="C583" s="92" t="s">
        <v>700</v>
      </c>
      <c r="D583" s="92" t="str" cm="1">
        <f t="array" ref="D583">INDEX(기계코드!$D$4:$D$214,MATCH(1,(C583=기계코드!$F$4:$F$214)*1,0))</f>
        <v>M_TDIF04</v>
      </c>
      <c r="E583" s="92" t="s">
        <v>1128</v>
      </c>
      <c r="F583" s="7" t="str" cm="1">
        <f t="array" ref="F583">INDEX(공급업체코드!$B$3:$B$1000,MATCH(1,(E583=공급업체코드!$D$3:$D$1000)*1,0))</f>
        <v>VM_BKT</v>
      </c>
      <c r="G583" s="18" t="s">
        <v>1881</v>
      </c>
      <c r="H583" s="64"/>
      <c r="I583" s="64"/>
      <c r="J583" s="64"/>
      <c r="K583" s="300">
        <v>1.1000000000000001</v>
      </c>
      <c r="L583" s="300">
        <v>1.3</v>
      </c>
      <c r="M583" s="64">
        <v>540</v>
      </c>
      <c r="N583" s="64"/>
      <c r="O583" s="64"/>
      <c r="P583" s="64"/>
      <c r="Q583" s="64"/>
      <c r="R583" s="70"/>
      <c r="T583" s="64"/>
      <c r="X583">
        <v>0.123</v>
      </c>
      <c r="Y583" s="258" t="s">
        <v>1313</v>
      </c>
      <c r="AA583" s="259" t="s">
        <v>1314</v>
      </c>
      <c r="AB583" s="20" t="s">
        <v>1061</v>
      </c>
      <c r="AC583">
        <f t="shared" si="17"/>
        <v>2700000000</v>
      </c>
      <c r="AE583" s="18" t="s">
        <v>1315</v>
      </c>
      <c r="AF583" s="1" t="b">
        <v>1</v>
      </c>
    </row>
    <row r="584" spans="2:32" ht="16.5" customHeight="1">
      <c r="B584" s="1" t="str">
        <f t="shared" si="16"/>
        <v>M_TDIF04_VM_BKT_1.3_541</v>
      </c>
      <c r="C584" s="92" t="s">
        <v>700</v>
      </c>
      <c r="D584" s="92" t="str" cm="1">
        <f t="array" ref="D584">INDEX(기계코드!$D$4:$D$214,MATCH(1,(C584=기계코드!$F$4:$F$214)*1,0))</f>
        <v>M_TDIF04</v>
      </c>
      <c r="E584" s="92" t="s">
        <v>1128</v>
      </c>
      <c r="F584" s="7" t="str" cm="1">
        <f t="array" ref="F584">INDEX(공급업체코드!$B$3:$B$1000,MATCH(1,(E584=공급업체코드!$D$3:$D$1000)*1,0))</f>
        <v>VM_BKT</v>
      </c>
      <c r="G584" s="18" t="s">
        <v>1881</v>
      </c>
      <c r="H584" s="64"/>
      <c r="I584" s="64"/>
      <c r="J584" s="64"/>
      <c r="K584" s="300">
        <v>1.1000000000000001</v>
      </c>
      <c r="L584" s="300">
        <v>1.3</v>
      </c>
      <c r="M584" s="64">
        <v>541</v>
      </c>
      <c r="N584" s="64"/>
      <c r="O584" s="64"/>
      <c r="P584" s="64"/>
      <c r="Q584" s="64"/>
      <c r="R584" s="70"/>
      <c r="T584" s="64"/>
      <c r="X584">
        <v>0.123</v>
      </c>
      <c r="Y584" s="258" t="s">
        <v>1313</v>
      </c>
      <c r="AA584" s="259" t="s">
        <v>1314</v>
      </c>
      <c r="AB584" s="20" t="s">
        <v>1061</v>
      </c>
      <c r="AC584">
        <f t="shared" si="17"/>
        <v>2705000000</v>
      </c>
      <c r="AE584" s="18" t="s">
        <v>1315</v>
      </c>
      <c r="AF584" s="1" t="b">
        <v>1</v>
      </c>
    </row>
    <row r="585" spans="2:32" ht="16.5" customHeight="1">
      <c r="B585" s="1" t="str">
        <f t="shared" si="16"/>
        <v>M_TDIF04_VM_BKT_1.3_542</v>
      </c>
      <c r="C585" s="92" t="s">
        <v>700</v>
      </c>
      <c r="D585" s="92" t="str" cm="1">
        <f t="array" ref="D585">INDEX(기계코드!$D$4:$D$214,MATCH(1,(C585=기계코드!$F$4:$F$214)*1,0))</f>
        <v>M_TDIF04</v>
      </c>
      <c r="E585" s="92" t="s">
        <v>1128</v>
      </c>
      <c r="F585" s="7" t="str" cm="1">
        <f t="array" ref="F585">INDEX(공급업체코드!$B$3:$B$1000,MATCH(1,(E585=공급업체코드!$D$3:$D$1000)*1,0))</f>
        <v>VM_BKT</v>
      </c>
      <c r="G585" s="18" t="s">
        <v>1881</v>
      </c>
      <c r="H585" s="64"/>
      <c r="I585" s="64"/>
      <c r="J585" s="64"/>
      <c r="K585" s="300">
        <v>1.1000000000000001</v>
      </c>
      <c r="L585" s="300">
        <v>1.3</v>
      </c>
      <c r="M585" s="64">
        <v>542</v>
      </c>
      <c r="N585" s="64"/>
      <c r="O585" s="64"/>
      <c r="P585" s="64"/>
      <c r="Q585" s="64"/>
      <c r="R585" s="70"/>
      <c r="T585" s="64"/>
      <c r="X585">
        <v>0.123</v>
      </c>
      <c r="Y585" s="258" t="s">
        <v>1313</v>
      </c>
      <c r="AA585" s="259" t="s">
        <v>1314</v>
      </c>
      <c r="AB585" s="20" t="s">
        <v>1061</v>
      </c>
      <c r="AC585">
        <f t="shared" si="17"/>
        <v>2710000000</v>
      </c>
      <c r="AE585" s="18" t="s">
        <v>1315</v>
      </c>
      <c r="AF585" s="1" t="b">
        <v>1</v>
      </c>
    </row>
    <row r="586" spans="2:32" ht="16.5" customHeight="1">
      <c r="B586" s="1" t="str">
        <f t="shared" si="16"/>
        <v>M_TDIF04_VM_BKT_1.3_543</v>
      </c>
      <c r="C586" s="92" t="s">
        <v>700</v>
      </c>
      <c r="D586" s="92" t="str" cm="1">
        <f t="array" ref="D586">INDEX(기계코드!$D$4:$D$214,MATCH(1,(C586=기계코드!$F$4:$F$214)*1,0))</f>
        <v>M_TDIF04</v>
      </c>
      <c r="E586" s="92" t="s">
        <v>1128</v>
      </c>
      <c r="F586" s="7" t="str" cm="1">
        <f t="array" ref="F586">INDEX(공급업체코드!$B$3:$B$1000,MATCH(1,(E586=공급업체코드!$D$3:$D$1000)*1,0))</f>
        <v>VM_BKT</v>
      </c>
      <c r="G586" s="18" t="s">
        <v>1881</v>
      </c>
      <c r="H586" s="64"/>
      <c r="I586" s="64"/>
      <c r="J586" s="64"/>
      <c r="K586" s="300">
        <v>1.1000000000000001</v>
      </c>
      <c r="L586" s="300">
        <v>1.3</v>
      </c>
      <c r="M586" s="64">
        <v>543</v>
      </c>
      <c r="N586" s="64"/>
      <c r="O586" s="64"/>
      <c r="P586" s="64"/>
      <c r="Q586" s="64"/>
      <c r="R586" s="70"/>
      <c r="T586" s="64"/>
      <c r="X586">
        <v>0.123</v>
      </c>
      <c r="Y586" s="258" t="s">
        <v>1313</v>
      </c>
      <c r="AA586" s="259" t="s">
        <v>1314</v>
      </c>
      <c r="AB586" s="20" t="s">
        <v>1061</v>
      </c>
      <c r="AC586">
        <f t="shared" si="17"/>
        <v>2715000000</v>
      </c>
      <c r="AE586" s="18" t="s">
        <v>1315</v>
      </c>
      <c r="AF586" s="1" t="b">
        <v>1</v>
      </c>
    </row>
    <row r="587" spans="2:32" ht="16.5" customHeight="1">
      <c r="B587" s="1" t="str">
        <f t="shared" si="16"/>
        <v>M_TDIF04_VM_BKT_1.3_544</v>
      </c>
      <c r="C587" s="92" t="s">
        <v>700</v>
      </c>
      <c r="D587" s="92" t="str" cm="1">
        <f t="array" ref="D587">INDEX(기계코드!$D$4:$D$214,MATCH(1,(C587=기계코드!$F$4:$F$214)*1,0))</f>
        <v>M_TDIF04</v>
      </c>
      <c r="E587" s="92" t="s">
        <v>1128</v>
      </c>
      <c r="F587" s="7" t="str" cm="1">
        <f t="array" ref="F587">INDEX(공급업체코드!$B$3:$B$1000,MATCH(1,(E587=공급업체코드!$D$3:$D$1000)*1,0))</f>
        <v>VM_BKT</v>
      </c>
      <c r="G587" s="18" t="s">
        <v>1881</v>
      </c>
      <c r="H587" s="64"/>
      <c r="I587" s="64"/>
      <c r="J587" s="64"/>
      <c r="K587" s="300">
        <v>1.1000000000000001</v>
      </c>
      <c r="L587" s="300">
        <v>1.3</v>
      </c>
      <c r="M587" s="64">
        <v>544</v>
      </c>
      <c r="N587" s="64"/>
      <c r="O587" s="64"/>
      <c r="P587" s="64"/>
      <c r="Q587" s="64"/>
      <c r="R587" s="70"/>
      <c r="T587" s="64"/>
      <c r="X587">
        <v>0.123</v>
      </c>
      <c r="Y587" s="258" t="s">
        <v>1313</v>
      </c>
      <c r="AA587" s="259" t="s">
        <v>1314</v>
      </c>
      <c r="AB587" s="20" t="s">
        <v>1061</v>
      </c>
      <c r="AC587">
        <f t="shared" si="17"/>
        <v>2720000000</v>
      </c>
      <c r="AE587" s="18" t="s">
        <v>1315</v>
      </c>
      <c r="AF587" s="1" t="b">
        <v>1</v>
      </c>
    </row>
    <row r="588" spans="2:32" ht="16.5" customHeight="1">
      <c r="B588" s="1" t="str">
        <f t="shared" si="16"/>
        <v>M_TDIF04_VM_BKT_1.3_545</v>
      </c>
      <c r="C588" s="92" t="s">
        <v>700</v>
      </c>
      <c r="D588" s="92" t="str" cm="1">
        <f t="array" ref="D588">INDEX(기계코드!$D$4:$D$214,MATCH(1,(C588=기계코드!$F$4:$F$214)*1,0))</f>
        <v>M_TDIF04</v>
      </c>
      <c r="E588" s="92" t="s">
        <v>1128</v>
      </c>
      <c r="F588" s="7" t="str" cm="1">
        <f t="array" ref="F588">INDEX(공급업체코드!$B$3:$B$1000,MATCH(1,(E588=공급업체코드!$D$3:$D$1000)*1,0))</f>
        <v>VM_BKT</v>
      </c>
      <c r="G588" s="18" t="s">
        <v>1881</v>
      </c>
      <c r="H588" s="64"/>
      <c r="I588" s="64"/>
      <c r="J588" s="64"/>
      <c r="K588" s="300">
        <v>1.1000000000000001</v>
      </c>
      <c r="L588" s="300">
        <v>1.3</v>
      </c>
      <c r="M588" s="64">
        <v>545</v>
      </c>
      <c r="N588" s="64"/>
      <c r="O588" s="64"/>
      <c r="P588" s="64"/>
      <c r="Q588" s="64"/>
      <c r="R588" s="70"/>
      <c r="T588" s="64"/>
      <c r="X588">
        <v>0.123</v>
      </c>
      <c r="Y588" s="258" t="s">
        <v>1313</v>
      </c>
      <c r="AA588" s="259" t="s">
        <v>1314</v>
      </c>
      <c r="AB588" s="20" t="s">
        <v>1061</v>
      </c>
      <c r="AC588">
        <f t="shared" si="17"/>
        <v>2725000000</v>
      </c>
      <c r="AE588" s="18" t="s">
        <v>1315</v>
      </c>
      <c r="AF588" s="1" t="b">
        <v>1</v>
      </c>
    </row>
    <row r="589" spans="2:32" ht="16.5" customHeight="1">
      <c r="B589" s="1" t="str">
        <f t="shared" si="16"/>
        <v>M_TDIF04_VM_BKT_1.3_546</v>
      </c>
      <c r="C589" s="92" t="s">
        <v>700</v>
      </c>
      <c r="D589" s="92" t="str" cm="1">
        <f t="array" ref="D589">INDEX(기계코드!$D$4:$D$214,MATCH(1,(C589=기계코드!$F$4:$F$214)*1,0))</f>
        <v>M_TDIF04</v>
      </c>
      <c r="E589" s="92" t="s">
        <v>1128</v>
      </c>
      <c r="F589" s="7" t="str" cm="1">
        <f t="array" ref="F589">INDEX(공급업체코드!$B$3:$B$1000,MATCH(1,(E589=공급업체코드!$D$3:$D$1000)*1,0))</f>
        <v>VM_BKT</v>
      </c>
      <c r="G589" s="18" t="s">
        <v>1881</v>
      </c>
      <c r="H589" s="64"/>
      <c r="I589" s="64"/>
      <c r="J589" s="64"/>
      <c r="K589" s="300">
        <v>1.1000000000000001</v>
      </c>
      <c r="L589" s="300">
        <v>1.3</v>
      </c>
      <c r="M589" s="64">
        <v>546</v>
      </c>
      <c r="N589" s="64"/>
      <c r="O589" s="64"/>
      <c r="P589" s="64"/>
      <c r="Q589" s="64"/>
      <c r="R589" s="70"/>
      <c r="T589" s="64"/>
      <c r="X589">
        <v>0.123</v>
      </c>
      <c r="Y589" s="258" t="s">
        <v>1313</v>
      </c>
      <c r="AA589" s="259" t="s">
        <v>1314</v>
      </c>
      <c r="AB589" s="20" t="s">
        <v>1061</v>
      </c>
      <c r="AC589">
        <f t="shared" si="17"/>
        <v>2730000000</v>
      </c>
      <c r="AE589" s="18" t="s">
        <v>1315</v>
      </c>
      <c r="AF589" s="1" t="b">
        <v>1</v>
      </c>
    </row>
    <row r="590" spans="2:32" ht="16.5" customHeight="1">
      <c r="B590" s="1" t="str">
        <f t="shared" si="16"/>
        <v>M_TDIF04_VM_BKT_1.3_547</v>
      </c>
      <c r="C590" s="92" t="s">
        <v>700</v>
      </c>
      <c r="D590" s="92" t="str" cm="1">
        <f t="array" ref="D590">INDEX(기계코드!$D$4:$D$214,MATCH(1,(C590=기계코드!$F$4:$F$214)*1,0))</f>
        <v>M_TDIF04</v>
      </c>
      <c r="E590" s="92" t="s">
        <v>1128</v>
      </c>
      <c r="F590" s="7" t="str" cm="1">
        <f t="array" ref="F590">INDEX(공급업체코드!$B$3:$B$1000,MATCH(1,(E590=공급업체코드!$D$3:$D$1000)*1,0))</f>
        <v>VM_BKT</v>
      </c>
      <c r="G590" s="18" t="s">
        <v>1881</v>
      </c>
      <c r="H590" s="64"/>
      <c r="I590" s="64"/>
      <c r="J590" s="64"/>
      <c r="K590" s="300">
        <v>1.1000000000000001</v>
      </c>
      <c r="L590" s="300">
        <v>1.3</v>
      </c>
      <c r="M590" s="64">
        <v>547</v>
      </c>
      <c r="N590" s="64"/>
      <c r="O590" s="64"/>
      <c r="P590" s="64"/>
      <c r="Q590" s="64"/>
      <c r="R590" s="70"/>
      <c r="T590" s="64"/>
      <c r="X590">
        <v>0.123</v>
      </c>
      <c r="Y590" s="258" t="s">
        <v>1313</v>
      </c>
      <c r="AA590" s="259" t="s">
        <v>1314</v>
      </c>
      <c r="AB590" s="20" t="s">
        <v>1061</v>
      </c>
      <c r="AC590">
        <f t="shared" si="17"/>
        <v>2735000000</v>
      </c>
      <c r="AE590" s="18" t="s">
        <v>1315</v>
      </c>
      <c r="AF590" s="1" t="b">
        <v>1</v>
      </c>
    </row>
    <row r="591" spans="2:32" ht="16.5" customHeight="1">
      <c r="B591" s="1" t="str">
        <f t="shared" si="16"/>
        <v>M_TDIF04_VM_BKT_1.3_548</v>
      </c>
      <c r="C591" s="92" t="s">
        <v>700</v>
      </c>
      <c r="D591" s="92" t="str" cm="1">
        <f t="array" ref="D591">INDEX(기계코드!$D$4:$D$214,MATCH(1,(C591=기계코드!$F$4:$F$214)*1,0))</f>
        <v>M_TDIF04</v>
      </c>
      <c r="E591" s="92" t="s">
        <v>1128</v>
      </c>
      <c r="F591" s="7" t="str" cm="1">
        <f t="array" ref="F591">INDEX(공급업체코드!$B$3:$B$1000,MATCH(1,(E591=공급업체코드!$D$3:$D$1000)*1,0))</f>
        <v>VM_BKT</v>
      </c>
      <c r="G591" s="18" t="s">
        <v>1881</v>
      </c>
      <c r="H591" s="64"/>
      <c r="I591" s="64"/>
      <c r="J591" s="64"/>
      <c r="K591" s="300">
        <v>1.1000000000000001</v>
      </c>
      <c r="L591" s="300">
        <v>1.3</v>
      </c>
      <c r="M591" s="64">
        <v>548</v>
      </c>
      <c r="N591" s="64"/>
      <c r="O591" s="64"/>
      <c r="P591" s="64"/>
      <c r="Q591" s="64"/>
      <c r="R591" s="70"/>
      <c r="T591" s="64"/>
      <c r="X591">
        <v>0.123</v>
      </c>
      <c r="Y591" s="258" t="s">
        <v>1313</v>
      </c>
      <c r="AA591" s="259" t="s">
        <v>1314</v>
      </c>
      <c r="AB591" s="20" t="s">
        <v>1061</v>
      </c>
      <c r="AC591">
        <f t="shared" si="17"/>
        <v>2740000000</v>
      </c>
      <c r="AE591" s="18" t="s">
        <v>1315</v>
      </c>
      <c r="AF591" s="1" t="b">
        <v>1</v>
      </c>
    </row>
    <row r="592" spans="2:32" ht="16.5" customHeight="1">
      <c r="B592" s="1" t="str">
        <f t="shared" si="16"/>
        <v>M_TDIF04_VM_BKT_1.3_549</v>
      </c>
      <c r="C592" s="92" t="s">
        <v>700</v>
      </c>
      <c r="D592" s="92" t="str" cm="1">
        <f t="array" ref="D592">INDEX(기계코드!$D$4:$D$214,MATCH(1,(C592=기계코드!$F$4:$F$214)*1,0))</f>
        <v>M_TDIF04</v>
      </c>
      <c r="E592" s="92" t="s">
        <v>1128</v>
      </c>
      <c r="F592" s="7" t="str" cm="1">
        <f t="array" ref="F592">INDEX(공급업체코드!$B$3:$B$1000,MATCH(1,(E592=공급업체코드!$D$3:$D$1000)*1,0))</f>
        <v>VM_BKT</v>
      </c>
      <c r="G592" s="18" t="s">
        <v>1881</v>
      </c>
      <c r="H592" s="64"/>
      <c r="I592" s="64"/>
      <c r="J592" s="64"/>
      <c r="K592" s="300">
        <v>1.1000000000000001</v>
      </c>
      <c r="L592" s="300">
        <v>1.3</v>
      </c>
      <c r="M592" s="64">
        <v>549</v>
      </c>
      <c r="N592" s="64"/>
      <c r="O592" s="64"/>
      <c r="P592" s="64"/>
      <c r="Q592" s="64"/>
      <c r="R592" s="70"/>
      <c r="T592" s="64"/>
      <c r="X592">
        <v>0.123</v>
      </c>
      <c r="Y592" s="258" t="s">
        <v>1313</v>
      </c>
      <c r="AA592" s="259" t="s">
        <v>1314</v>
      </c>
      <c r="AB592" s="20" t="s">
        <v>1061</v>
      </c>
      <c r="AC592">
        <f t="shared" si="17"/>
        <v>2745000000</v>
      </c>
      <c r="AE592" s="18" t="s">
        <v>1315</v>
      </c>
      <c r="AF592" s="1" t="b">
        <v>1</v>
      </c>
    </row>
    <row r="593" spans="2:32" ht="16.5" customHeight="1">
      <c r="B593" s="1" t="str">
        <f t="shared" si="16"/>
        <v>M_TDIF04_VM_BKT_1.3_550</v>
      </c>
      <c r="C593" s="92" t="s">
        <v>700</v>
      </c>
      <c r="D593" s="92" t="str" cm="1">
        <f t="array" ref="D593">INDEX(기계코드!$D$4:$D$214,MATCH(1,(C593=기계코드!$F$4:$F$214)*1,0))</f>
        <v>M_TDIF04</v>
      </c>
      <c r="E593" s="92" t="s">
        <v>1128</v>
      </c>
      <c r="F593" s="7" t="str" cm="1">
        <f t="array" ref="F593">INDEX(공급업체코드!$B$3:$B$1000,MATCH(1,(E593=공급업체코드!$D$3:$D$1000)*1,0))</f>
        <v>VM_BKT</v>
      </c>
      <c r="G593" s="18" t="s">
        <v>1881</v>
      </c>
      <c r="H593" s="64"/>
      <c r="I593" s="64"/>
      <c r="J593" s="64"/>
      <c r="K593" s="300">
        <v>1.1000000000000001</v>
      </c>
      <c r="L593" s="300">
        <v>1.3</v>
      </c>
      <c r="M593" s="64">
        <v>550</v>
      </c>
      <c r="N593" s="64"/>
      <c r="O593" s="64"/>
      <c r="P593" s="64"/>
      <c r="Q593" s="64"/>
      <c r="R593" s="70"/>
      <c r="T593" s="64"/>
      <c r="X593">
        <v>0.123</v>
      </c>
      <c r="Y593" s="258" t="s">
        <v>1313</v>
      </c>
      <c r="AA593" s="259" t="s">
        <v>1314</v>
      </c>
      <c r="AB593" s="20" t="s">
        <v>1061</v>
      </c>
      <c r="AC593">
        <f t="shared" si="17"/>
        <v>2750000000</v>
      </c>
      <c r="AE593" s="18" t="s">
        <v>1315</v>
      </c>
      <c r="AF593" s="1" t="b">
        <v>1</v>
      </c>
    </row>
    <row r="594" spans="2:32" ht="16.5" customHeight="1">
      <c r="B594" s="1" t="str">
        <f t="shared" si="16"/>
        <v>M_TDIF04_VM_BKT_1.3_551</v>
      </c>
      <c r="C594" s="92" t="s">
        <v>700</v>
      </c>
      <c r="D594" s="92" t="str" cm="1">
        <f t="array" ref="D594">INDEX(기계코드!$D$4:$D$214,MATCH(1,(C594=기계코드!$F$4:$F$214)*1,0))</f>
        <v>M_TDIF04</v>
      </c>
      <c r="E594" s="92" t="s">
        <v>1128</v>
      </c>
      <c r="F594" s="7" t="str" cm="1">
        <f t="array" ref="F594">INDEX(공급업체코드!$B$3:$B$1000,MATCH(1,(E594=공급업체코드!$D$3:$D$1000)*1,0))</f>
        <v>VM_BKT</v>
      </c>
      <c r="G594" s="18" t="s">
        <v>1881</v>
      </c>
      <c r="H594" s="64"/>
      <c r="I594" s="64"/>
      <c r="J594" s="64"/>
      <c r="K594" s="300">
        <v>1.1000000000000001</v>
      </c>
      <c r="L594" s="300">
        <v>1.3</v>
      </c>
      <c r="M594" s="64">
        <v>551</v>
      </c>
      <c r="N594" s="64"/>
      <c r="O594" s="64"/>
      <c r="P594" s="64"/>
      <c r="Q594" s="64"/>
      <c r="R594" s="70"/>
      <c r="T594" s="64"/>
      <c r="X594">
        <v>0.123</v>
      </c>
      <c r="Y594" s="258" t="s">
        <v>1313</v>
      </c>
      <c r="AA594" s="259" t="s">
        <v>1314</v>
      </c>
      <c r="AB594" s="20" t="s">
        <v>1061</v>
      </c>
      <c r="AC594">
        <f t="shared" si="17"/>
        <v>2755000000</v>
      </c>
      <c r="AE594" s="18" t="s">
        <v>1315</v>
      </c>
      <c r="AF594" s="1" t="b">
        <v>1</v>
      </c>
    </row>
    <row r="595" spans="2:32" ht="16.5" customHeight="1">
      <c r="B595" s="1" t="str">
        <f t="shared" si="16"/>
        <v>M_TDIF04_VM_BKT_1.3_552</v>
      </c>
      <c r="C595" s="92" t="s">
        <v>700</v>
      </c>
      <c r="D595" s="92" t="str" cm="1">
        <f t="array" ref="D595">INDEX(기계코드!$D$4:$D$214,MATCH(1,(C595=기계코드!$F$4:$F$214)*1,0))</f>
        <v>M_TDIF04</v>
      </c>
      <c r="E595" s="92" t="s">
        <v>1128</v>
      </c>
      <c r="F595" s="7" t="str" cm="1">
        <f t="array" ref="F595">INDEX(공급업체코드!$B$3:$B$1000,MATCH(1,(E595=공급업체코드!$D$3:$D$1000)*1,0))</f>
        <v>VM_BKT</v>
      </c>
      <c r="G595" s="18" t="s">
        <v>1881</v>
      </c>
      <c r="H595" s="64"/>
      <c r="I595" s="64"/>
      <c r="J595" s="64"/>
      <c r="K595" s="300">
        <v>1.1000000000000001</v>
      </c>
      <c r="L595" s="300">
        <v>1.3</v>
      </c>
      <c r="M595" s="64">
        <v>552</v>
      </c>
      <c r="N595" s="64"/>
      <c r="O595" s="64"/>
      <c r="P595" s="64"/>
      <c r="Q595" s="64"/>
      <c r="R595" s="70"/>
      <c r="T595" s="64"/>
      <c r="X595">
        <v>0.123</v>
      </c>
      <c r="Y595" s="258" t="s">
        <v>1313</v>
      </c>
      <c r="AA595" s="259" t="s">
        <v>1314</v>
      </c>
      <c r="AB595" s="20" t="s">
        <v>1061</v>
      </c>
      <c r="AC595">
        <f t="shared" si="17"/>
        <v>2760000000</v>
      </c>
      <c r="AE595" s="18" t="s">
        <v>1315</v>
      </c>
      <c r="AF595" s="1" t="b">
        <v>1</v>
      </c>
    </row>
    <row r="596" spans="2:32" ht="16.5" customHeight="1">
      <c r="B596" s="1" t="str">
        <f t="shared" si="16"/>
        <v>M_TDIF04_VM_BKT_1.3_553</v>
      </c>
      <c r="C596" s="92" t="s">
        <v>700</v>
      </c>
      <c r="D596" s="92" t="str" cm="1">
        <f t="array" ref="D596">INDEX(기계코드!$D$4:$D$214,MATCH(1,(C596=기계코드!$F$4:$F$214)*1,0))</f>
        <v>M_TDIF04</v>
      </c>
      <c r="E596" s="92" t="s">
        <v>1128</v>
      </c>
      <c r="F596" s="7" t="str" cm="1">
        <f t="array" ref="F596">INDEX(공급업체코드!$B$3:$B$1000,MATCH(1,(E596=공급업체코드!$D$3:$D$1000)*1,0))</f>
        <v>VM_BKT</v>
      </c>
      <c r="G596" s="18" t="s">
        <v>1881</v>
      </c>
      <c r="H596" s="64"/>
      <c r="I596" s="64"/>
      <c r="J596" s="64"/>
      <c r="K596" s="300">
        <v>1.1000000000000001</v>
      </c>
      <c r="L596" s="300">
        <v>1.3</v>
      </c>
      <c r="M596" s="64">
        <v>553</v>
      </c>
      <c r="N596" s="64"/>
      <c r="O596" s="64"/>
      <c r="P596" s="64"/>
      <c r="Q596" s="64"/>
      <c r="R596" s="70"/>
      <c r="T596" s="64"/>
      <c r="X596">
        <v>0.123</v>
      </c>
      <c r="Y596" s="258" t="s">
        <v>1313</v>
      </c>
      <c r="AA596" s="259" t="s">
        <v>1314</v>
      </c>
      <c r="AB596" s="20" t="s">
        <v>1061</v>
      </c>
      <c r="AC596">
        <f t="shared" si="17"/>
        <v>2765000000</v>
      </c>
      <c r="AE596" s="18" t="s">
        <v>1315</v>
      </c>
      <c r="AF596" s="1" t="b">
        <v>1</v>
      </c>
    </row>
    <row r="597" spans="2:32" ht="16.5" customHeight="1">
      <c r="B597" s="1" t="str">
        <f t="shared" si="16"/>
        <v>M_TDIF04_VM_BKT_1.3_554</v>
      </c>
      <c r="C597" s="92" t="s">
        <v>700</v>
      </c>
      <c r="D597" s="92" t="str" cm="1">
        <f t="array" ref="D597">INDEX(기계코드!$D$4:$D$214,MATCH(1,(C597=기계코드!$F$4:$F$214)*1,0))</f>
        <v>M_TDIF04</v>
      </c>
      <c r="E597" s="92" t="s">
        <v>1128</v>
      </c>
      <c r="F597" s="7" t="str" cm="1">
        <f t="array" ref="F597">INDEX(공급업체코드!$B$3:$B$1000,MATCH(1,(E597=공급업체코드!$D$3:$D$1000)*1,0))</f>
        <v>VM_BKT</v>
      </c>
      <c r="G597" s="18" t="s">
        <v>1881</v>
      </c>
      <c r="H597" s="64"/>
      <c r="I597" s="64"/>
      <c r="J597" s="64"/>
      <c r="K597" s="300">
        <v>1.1000000000000001</v>
      </c>
      <c r="L597" s="300">
        <v>1.3</v>
      </c>
      <c r="M597" s="64">
        <v>554</v>
      </c>
      <c r="N597" s="64"/>
      <c r="O597" s="64"/>
      <c r="P597" s="64"/>
      <c r="Q597" s="64"/>
      <c r="R597" s="70"/>
      <c r="T597" s="64"/>
      <c r="X597">
        <v>0.123</v>
      </c>
      <c r="Y597" s="258" t="s">
        <v>1313</v>
      </c>
      <c r="AA597" s="259" t="s">
        <v>1314</v>
      </c>
      <c r="AB597" s="20" t="s">
        <v>1061</v>
      </c>
      <c r="AC597">
        <f t="shared" si="17"/>
        <v>2770000000</v>
      </c>
      <c r="AE597" s="18" t="s">
        <v>1315</v>
      </c>
      <c r="AF597" s="1" t="b">
        <v>1</v>
      </c>
    </row>
    <row r="598" spans="2:32" ht="16.5" customHeight="1">
      <c r="B598" s="1" t="str">
        <f t="shared" si="16"/>
        <v>M_TDIF04_VM_BKT_1.3_555</v>
      </c>
      <c r="C598" s="92" t="s">
        <v>700</v>
      </c>
      <c r="D598" s="92" t="str" cm="1">
        <f t="array" ref="D598">INDEX(기계코드!$D$4:$D$214,MATCH(1,(C598=기계코드!$F$4:$F$214)*1,0))</f>
        <v>M_TDIF04</v>
      </c>
      <c r="E598" s="92" t="s">
        <v>1128</v>
      </c>
      <c r="F598" s="7" t="str" cm="1">
        <f t="array" ref="F598">INDEX(공급업체코드!$B$3:$B$1000,MATCH(1,(E598=공급업체코드!$D$3:$D$1000)*1,0))</f>
        <v>VM_BKT</v>
      </c>
      <c r="G598" s="18" t="s">
        <v>1881</v>
      </c>
      <c r="H598" s="64"/>
      <c r="I598" s="64"/>
      <c r="J598" s="64"/>
      <c r="K598" s="300">
        <v>1.1000000000000001</v>
      </c>
      <c r="L598" s="300">
        <v>1.3</v>
      </c>
      <c r="M598" s="64">
        <v>555</v>
      </c>
      <c r="N598" s="64"/>
      <c r="O598" s="64"/>
      <c r="P598" s="64"/>
      <c r="Q598" s="64"/>
      <c r="R598" s="70"/>
      <c r="T598" s="64"/>
      <c r="X598">
        <v>0.123</v>
      </c>
      <c r="Y598" s="258" t="s">
        <v>1313</v>
      </c>
      <c r="AA598" s="259" t="s">
        <v>1314</v>
      </c>
      <c r="AB598" s="20" t="s">
        <v>1061</v>
      </c>
      <c r="AC598">
        <f t="shared" si="17"/>
        <v>2775000000</v>
      </c>
      <c r="AE598" s="18" t="s">
        <v>1315</v>
      </c>
      <c r="AF598" s="1" t="b">
        <v>1</v>
      </c>
    </row>
    <row r="599" spans="2:32" ht="16.5" customHeight="1">
      <c r="B599" s="1" t="str">
        <f t="shared" si="16"/>
        <v>M_TDIF04_VM_BKT_1.3_556</v>
      </c>
      <c r="C599" s="92" t="s">
        <v>700</v>
      </c>
      <c r="D599" s="92" t="str" cm="1">
        <f t="array" ref="D599">INDEX(기계코드!$D$4:$D$214,MATCH(1,(C599=기계코드!$F$4:$F$214)*1,0))</f>
        <v>M_TDIF04</v>
      </c>
      <c r="E599" s="92" t="s">
        <v>1128</v>
      </c>
      <c r="F599" s="7" t="str" cm="1">
        <f t="array" ref="F599">INDEX(공급업체코드!$B$3:$B$1000,MATCH(1,(E599=공급업체코드!$D$3:$D$1000)*1,0))</f>
        <v>VM_BKT</v>
      </c>
      <c r="G599" s="18" t="s">
        <v>1881</v>
      </c>
      <c r="H599" s="64"/>
      <c r="I599" s="64"/>
      <c r="J599" s="64"/>
      <c r="K599" s="300">
        <v>1.1000000000000001</v>
      </c>
      <c r="L599" s="300">
        <v>1.3</v>
      </c>
      <c r="M599" s="64">
        <v>556</v>
      </c>
      <c r="N599" s="64"/>
      <c r="O599" s="64"/>
      <c r="P599" s="64"/>
      <c r="Q599" s="64"/>
      <c r="R599" s="70"/>
      <c r="T599" s="64"/>
      <c r="X599">
        <v>0.123</v>
      </c>
      <c r="Y599" s="258" t="s">
        <v>1313</v>
      </c>
      <c r="AA599" s="259" t="s">
        <v>1314</v>
      </c>
      <c r="AB599" s="20" t="s">
        <v>1061</v>
      </c>
      <c r="AC599">
        <f t="shared" si="17"/>
        <v>2780000000</v>
      </c>
      <c r="AE599" s="18" t="s">
        <v>1315</v>
      </c>
      <c r="AF599" s="1" t="b">
        <v>1</v>
      </c>
    </row>
    <row r="600" spans="2:32" ht="16.5" customHeight="1">
      <c r="B600" s="1" t="str">
        <f t="shared" si="16"/>
        <v>M_TDIF04_VM_BKT_1.3_557</v>
      </c>
      <c r="C600" s="92" t="s">
        <v>700</v>
      </c>
      <c r="D600" s="92" t="str" cm="1">
        <f t="array" ref="D600">INDEX(기계코드!$D$4:$D$214,MATCH(1,(C600=기계코드!$F$4:$F$214)*1,0))</f>
        <v>M_TDIF04</v>
      </c>
      <c r="E600" s="92" t="s">
        <v>1128</v>
      </c>
      <c r="F600" s="7" t="str" cm="1">
        <f t="array" ref="F600">INDEX(공급업체코드!$B$3:$B$1000,MATCH(1,(E600=공급업체코드!$D$3:$D$1000)*1,0))</f>
        <v>VM_BKT</v>
      </c>
      <c r="G600" s="18" t="s">
        <v>1881</v>
      </c>
      <c r="H600" s="64"/>
      <c r="I600" s="64"/>
      <c r="J600" s="64"/>
      <c r="K600" s="300">
        <v>1.1000000000000001</v>
      </c>
      <c r="L600" s="300">
        <v>1.3</v>
      </c>
      <c r="M600" s="64">
        <v>557</v>
      </c>
      <c r="N600" s="64"/>
      <c r="O600" s="64"/>
      <c r="P600" s="64"/>
      <c r="Q600" s="64"/>
      <c r="R600" s="70"/>
      <c r="T600" s="64"/>
      <c r="X600">
        <v>0.123</v>
      </c>
      <c r="Y600" s="258" t="s">
        <v>1313</v>
      </c>
      <c r="AA600" s="259" t="s">
        <v>1314</v>
      </c>
      <c r="AB600" s="20" t="s">
        <v>1061</v>
      </c>
      <c r="AC600">
        <f t="shared" si="17"/>
        <v>2785000000</v>
      </c>
      <c r="AE600" s="18" t="s">
        <v>1315</v>
      </c>
      <c r="AF600" s="1" t="b">
        <v>1</v>
      </c>
    </row>
    <row r="601" spans="2:32" ht="16.5" customHeight="1">
      <c r="B601" s="1" t="str">
        <f t="shared" si="16"/>
        <v>M_TDIF04_VM_BKT_1.3_558</v>
      </c>
      <c r="C601" s="92" t="s">
        <v>700</v>
      </c>
      <c r="D601" s="92" t="str" cm="1">
        <f t="array" ref="D601">INDEX(기계코드!$D$4:$D$214,MATCH(1,(C601=기계코드!$F$4:$F$214)*1,0))</f>
        <v>M_TDIF04</v>
      </c>
      <c r="E601" s="92" t="s">
        <v>1128</v>
      </c>
      <c r="F601" s="7" t="str" cm="1">
        <f t="array" ref="F601">INDEX(공급업체코드!$B$3:$B$1000,MATCH(1,(E601=공급업체코드!$D$3:$D$1000)*1,0))</f>
        <v>VM_BKT</v>
      </c>
      <c r="G601" s="18" t="s">
        <v>1881</v>
      </c>
      <c r="H601" s="64"/>
      <c r="I601" s="64"/>
      <c r="J601" s="64"/>
      <c r="K601" s="300">
        <v>1.1000000000000001</v>
      </c>
      <c r="L601" s="300">
        <v>1.3</v>
      </c>
      <c r="M601" s="64">
        <v>558</v>
      </c>
      <c r="N601" s="64"/>
      <c r="O601" s="64"/>
      <c r="P601" s="64"/>
      <c r="Q601" s="64"/>
      <c r="R601" s="70"/>
      <c r="T601" s="64"/>
      <c r="X601">
        <v>0.123</v>
      </c>
      <c r="Y601" s="258" t="s">
        <v>1313</v>
      </c>
      <c r="AA601" s="259" t="s">
        <v>1314</v>
      </c>
      <c r="AB601" s="20" t="s">
        <v>1061</v>
      </c>
      <c r="AC601">
        <f t="shared" si="17"/>
        <v>2790000000</v>
      </c>
      <c r="AE601" s="18" t="s">
        <v>1315</v>
      </c>
      <c r="AF601" s="1" t="b">
        <v>1</v>
      </c>
    </row>
    <row r="602" spans="2:32" ht="16.5" customHeight="1">
      <c r="B602" s="1" t="str">
        <f t="shared" si="16"/>
        <v>M_TDIF04_VM_BKT_1.3_559</v>
      </c>
      <c r="C602" s="92" t="s">
        <v>700</v>
      </c>
      <c r="D602" s="92" t="str" cm="1">
        <f t="array" ref="D602">INDEX(기계코드!$D$4:$D$214,MATCH(1,(C602=기계코드!$F$4:$F$214)*1,0))</f>
        <v>M_TDIF04</v>
      </c>
      <c r="E602" s="92" t="s">
        <v>1128</v>
      </c>
      <c r="F602" s="7" t="str" cm="1">
        <f t="array" ref="F602">INDEX(공급업체코드!$B$3:$B$1000,MATCH(1,(E602=공급업체코드!$D$3:$D$1000)*1,0))</f>
        <v>VM_BKT</v>
      </c>
      <c r="G602" s="18" t="s">
        <v>1881</v>
      </c>
      <c r="H602" s="64"/>
      <c r="I602" s="64"/>
      <c r="J602" s="64"/>
      <c r="K602" s="300">
        <v>1.1000000000000001</v>
      </c>
      <c r="L602" s="300">
        <v>1.3</v>
      </c>
      <c r="M602" s="64">
        <v>559</v>
      </c>
      <c r="N602" s="64"/>
      <c r="O602" s="64"/>
      <c r="P602" s="64"/>
      <c r="Q602" s="64"/>
      <c r="R602" s="70"/>
      <c r="T602" s="64"/>
      <c r="X602">
        <v>0.123</v>
      </c>
      <c r="Y602" s="258" t="s">
        <v>1313</v>
      </c>
      <c r="AA602" s="259" t="s">
        <v>1314</v>
      </c>
      <c r="AB602" s="20" t="s">
        <v>1061</v>
      </c>
      <c r="AC602">
        <f t="shared" si="17"/>
        <v>2795000000</v>
      </c>
      <c r="AE602" s="18" t="s">
        <v>1315</v>
      </c>
      <c r="AF602" s="1" t="b">
        <v>1</v>
      </c>
    </row>
    <row r="603" spans="2:32" ht="16.5" customHeight="1">
      <c r="B603" s="1" t="str">
        <f t="shared" si="16"/>
        <v>M_TDIF04_VM_BKT_1.3_560</v>
      </c>
      <c r="C603" s="92" t="s">
        <v>700</v>
      </c>
      <c r="D603" s="92" t="str" cm="1">
        <f t="array" ref="D603">INDEX(기계코드!$D$4:$D$214,MATCH(1,(C603=기계코드!$F$4:$F$214)*1,0))</f>
        <v>M_TDIF04</v>
      </c>
      <c r="E603" s="92" t="s">
        <v>1128</v>
      </c>
      <c r="F603" s="7" t="str" cm="1">
        <f t="array" ref="F603">INDEX(공급업체코드!$B$3:$B$1000,MATCH(1,(E603=공급업체코드!$D$3:$D$1000)*1,0))</f>
        <v>VM_BKT</v>
      </c>
      <c r="G603" s="18" t="s">
        <v>1881</v>
      </c>
      <c r="H603" s="64"/>
      <c r="I603" s="64"/>
      <c r="J603" s="64"/>
      <c r="K603" s="300">
        <v>1.1000000000000001</v>
      </c>
      <c r="L603" s="300">
        <v>1.3</v>
      </c>
      <c r="M603" s="64">
        <v>560</v>
      </c>
      <c r="N603" s="64"/>
      <c r="O603" s="64"/>
      <c r="P603" s="64"/>
      <c r="Q603" s="64"/>
      <c r="R603" s="70"/>
      <c r="T603" s="64"/>
      <c r="X603">
        <v>0.123</v>
      </c>
      <c r="Y603" s="258" t="s">
        <v>1313</v>
      </c>
      <c r="AA603" s="259" t="s">
        <v>1314</v>
      </c>
      <c r="AB603" s="20" t="s">
        <v>1061</v>
      </c>
      <c r="AC603">
        <f t="shared" si="17"/>
        <v>2800000000</v>
      </c>
      <c r="AE603" s="18" t="s">
        <v>1315</v>
      </c>
      <c r="AF603" s="1" t="b">
        <v>1</v>
      </c>
    </row>
    <row r="604" spans="2:32" ht="16.5" customHeight="1">
      <c r="B604" s="1" t="str">
        <f t="shared" si="16"/>
        <v>M_TDIF04_VM_BKT_1.3_561</v>
      </c>
      <c r="C604" s="92" t="s">
        <v>700</v>
      </c>
      <c r="D604" s="92" t="str" cm="1">
        <f t="array" ref="D604">INDEX(기계코드!$D$4:$D$214,MATCH(1,(C604=기계코드!$F$4:$F$214)*1,0))</f>
        <v>M_TDIF04</v>
      </c>
      <c r="E604" s="92" t="s">
        <v>1128</v>
      </c>
      <c r="F604" s="7" t="str" cm="1">
        <f t="array" ref="F604">INDEX(공급업체코드!$B$3:$B$1000,MATCH(1,(E604=공급업체코드!$D$3:$D$1000)*1,0))</f>
        <v>VM_BKT</v>
      </c>
      <c r="G604" s="18" t="s">
        <v>1881</v>
      </c>
      <c r="H604" s="64"/>
      <c r="I604" s="64"/>
      <c r="J604" s="64"/>
      <c r="K604" s="300">
        <v>1.1000000000000001</v>
      </c>
      <c r="L604" s="300">
        <v>1.3</v>
      </c>
      <c r="M604" s="64">
        <v>561</v>
      </c>
      <c r="N604" s="64"/>
      <c r="O604" s="64"/>
      <c r="P604" s="64"/>
      <c r="Q604" s="64"/>
      <c r="R604" s="70"/>
      <c r="T604" s="64"/>
      <c r="X604">
        <v>0.123</v>
      </c>
      <c r="Y604" s="258" t="s">
        <v>1313</v>
      </c>
      <c r="AA604" s="259" t="s">
        <v>1314</v>
      </c>
      <c r="AB604" s="20" t="s">
        <v>1061</v>
      </c>
      <c r="AC604">
        <f t="shared" si="17"/>
        <v>2805000000</v>
      </c>
      <c r="AE604" s="18" t="s">
        <v>1315</v>
      </c>
      <c r="AF604" s="1" t="b">
        <v>1</v>
      </c>
    </row>
    <row r="605" spans="2:32" ht="16.5" customHeight="1">
      <c r="B605" s="1" t="str">
        <f t="shared" si="16"/>
        <v>M_TDIF04_VM_BKT_1.3_562</v>
      </c>
      <c r="C605" s="92" t="s">
        <v>700</v>
      </c>
      <c r="D605" s="92" t="str" cm="1">
        <f t="array" ref="D605">INDEX(기계코드!$D$4:$D$214,MATCH(1,(C605=기계코드!$F$4:$F$214)*1,0))</f>
        <v>M_TDIF04</v>
      </c>
      <c r="E605" s="92" t="s">
        <v>1128</v>
      </c>
      <c r="F605" s="7" t="str" cm="1">
        <f t="array" ref="F605">INDEX(공급업체코드!$B$3:$B$1000,MATCH(1,(E605=공급업체코드!$D$3:$D$1000)*1,0))</f>
        <v>VM_BKT</v>
      </c>
      <c r="G605" s="18" t="s">
        <v>1881</v>
      </c>
      <c r="H605" s="64"/>
      <c r="I605" s="64"/>
      <c r="J605" s="64"/>
      <c r="K605" s="300">
        <v>1.1000000000000001</v>
      </c>
      <c r="L605" s="300">
        <v>1.3</v>
      </c>
      <c r="M605" s="64">
        <v>562</v>
      </c>
      <c r="N605" s="64"/>
      <c r="O605" s="64"/>
      <c r="P605" s="64"/>
      <c r="Q605" s="64"/>
      <c r="R605" s="70"/>
      <c r="T605" s="64"/>
      <c r="X605">
        <v>0.123</v>
      </c>
      <c r="Y605" s="258" t="s">
        <v>1313</v>
      </c>
      <c r="AA605" s="259" t="s">
        <v>1314</v>
      </c>
      <c r="AB605" s="20" t="s">
        <v>1061</v>
      </c>
      <c r="AC605">
        <f t="shared" si="17"/>
        <v>2810000000</v>
      </c>
      <c r="AE605" s="18" t="s">
        <v>1315</v>
      </c>
      <c r="AF605" s="1" t="b">
        <v>1</v>
      </c>
    </row>
    <row r="606" spans="2:32" ht="16.5" customHeight="1">
      <c r="B606" s="1" t="str">
        <f t="shared" si="16"/>
        <v>M_TDIF04_VM_BKT_1.3_563</v>
      </c>
      <c r="C606" s="92" t="s">
        <v>700</v>
      </c>
      <c r="D606" s="92" t="str" cm="1">
        <f t="array" ref="D606">INDEX(기계코드!$D$4:$D$214,MATCH(1,(C606=기계코드!$F$4:$F$214)*1,0))</f>
        <v>M_TDIF04</v>
      </c>
      <c r="E606" s="92" t="s">
        <v>1128</v>
      </c>
      <c r="F606" s="7" t="str" cm="1">
        <f t="array" ref="F606">INDEX(공급업체코드!$B$3:$B$1000,MATCH(1,(E606=공급업체코드!$D$3:$D$1000)*1,0))</f>
        <v>VM_BKT</v>
      </c>
      <c r="G606" s="18" t="s">
        <v>1881</v>
      </c>
      <c r="H606" s="64"/>
      <c r="I606" s="64"/>
      <c r="J606" s="64"/>
      <c r="K606" s="300">
        <v>1.1000000000000001</v>
      </c>
      <c r="L606" s="300">
        <v>1.3</v>
      </c>
      <c r="M606" s="64">
        <v>563</v>
      </c>
      <c r="N606" s="64"/>
      <c r="O606" s="64"/>
      <c r="P606" s="64"/>
      <c r="Q606" s="64"/>
      <c r="R606" s="70"/>
      <c r="T606" s="64"/>
      <c r="X606">
        <v>0.123</v>
      </c>
      <c r="Y606" s="258" t="s">
        <v>1313</v>
      </c>
      <c r="AA606" s="259" t="s">
        <v>1314</v>
      </c>
      <c r="AB606" s="20" t="s">
        <v>1061</v>
      </c>
      <c r="AC606">
        <f t="shared" si="17"/>
        <v>2815000000</v>
      </c>
      <c r="AE606" s="18" t="s">
        <v>1315</v>
      </c>
      <c r="AF606" s="1" t="b">
        <v>1</v>
      </c>
    </row>
    <row r="607" spans="2:32" ht="16.5" customHeight="1">
      <c r="B607" s="1" t="str">
        <f t="shared" si="16"/>
        <v>M_TDIF04_VM_BKT_1.3_564</v>
      </c>
      <c r="C607" s="92" t="s">
        <v>700</v>
      </c>
      <c r="D607" s="92" t="str" cm="1">
        <f t="array" ref="D607">INDEX(기계코드!$D$4:$D$214,MATCH(1,(C607=기계코드!$F$4:$F$214)*1,0))</f>
        <v>M_TDIF04</v>
      </c>
      <c r="E607" s="92" t="s">
        <v>1128</v>
      </c>
      <c r="F607" s="7" t="str" cm="1">
        <f t="array" ref="F607">INDEX(공급업체코드!$B$3:$B$1000,MATCH(1,(E607=공급업체코드!$D$3:$D$1000)*1,0))</f>
        <v>VM_BKT</v>
      </c>
      <c r="G607" s="18" t="s">
        <v>1881</v>
      </c>
      <c r="H607" s="64"/>
      <c r="I607" s="64"/>
      <c r="J607" s="64"/>
      <c r="K607" s="300">
        <v>1.1000000000000001</v>
      </c>
      <c r="L607" s="300">
        <v>1.3</v>
      </c>
      <c r="M607" s="64">
        <v>564</v>
      </c>
      <c r="N607" s="64"/>
      <c r="O607" s="64"/>
      <c r="P607" s="64"/>
      <c r="Q607" s="64"/>
      <c r="R607" s="70"/>
      <c r="T607" s="64"/>
      <c r="X607">
        <v>0.123</v>
      </c>
      <c r="Y607" s="258" t="s">
        <v>1313</v>
      </c>
      <c r="AA607" s="259" t="s">
        <v>1314</v>
      </c>
      <c r="AB607" s="20" t="s">
        <v>1061</v>
      </c>
      <c r="AC607">
        <f t="shared" si="17"/>
        <v>2820000000</v>
      </c>
      <c r="AE607" s="18" t="s">
        <v>1315</v>
      </c>
      <c r="AF607" s="1" t="b">
        <v>1</v>
      </c>
    </row>
    <row r="608" spans="2:32" ht="16.5" customHeight="1">
      <c r="B608" s="1" t="str">
        <f t="shared" si="16"/>
        <v>M_TDIF04_VM_BKT_1.3_565</v>
      </c>
      <c r="C608" s="92" t="s">
        <v>700</v>
      </c>
      <c r="D608" s="92" t="str" cm="1">
        <f t="array" ref="D608">INDEX(기계코드!$D$4:$D$214,MATCH(1,(C608=기계코드!$F$4:$F$214)*1,0))</f>
        <v>M_TDIF04</v>
      </c>
      <c r="E608" s="92" t="s">
        <v>1128</v>
      </c>
      <c r="F608" s="7" t="str" cm="1">
        <f t="array" ref="F608">INDEX(공급업체코드!$B$3:$B$1000,MATCH(1,(E608=공급업체코드!$D$3:$D$1000)*1,0))</f>
        <v>VM_BKT</v>
      </c>
      <c r="G608" s="18" t="s">
        <v>1881</v>
      </c>
      <c r="H608" s="64"/>
      <c r="I608" s="64"/>
      <c r="J608" s="64"/>
      <c r="K608" s="300">
        <v>1.1000000000000001</v>
      </c>
      <c r="L608" s="300">
        <v>1.3</v>
      </c>
      <c r="M608" s="64">
        <v>565</v>
      </c>
      <c r="N608" s="64"/>
      <c r="O608" s="64"/>
      <c r="P608" s="64"/>
      <c r="Q608" s="64"/>
      <c r="R608" s="70"/>
      <c r="T608" s="64"/>
      <c r="X608">
        <v>0.123</v>
      </c>
      <c r="Y608" s="258" t="s">
        <v>1313</v>
      </c>
      <c r="AA608" s="259" t="s">
        <v>1314</v>
      </c>
      <c r="AB608" s="20" t="s">
        <v>1061</v>
      </c>
      <c r="AC608">
        <f t="shared" si="17"/>
        <v>2825000000</v>
      </c>
      <c r="AE608" s="18" t="s">
        <v>1315</v>
      </c>
      <c r="AF608" s="1" t="b">
        <v>1</v>
      </c>
    </row>
    <row r="609" spans="2:32" ht="16.5" customHeight="1">
      <c r="B609" s="1" t="str">
        <f t="shared" si="16"/>
        <v>M_TDIF04_VM_BKT_1.3_566</v>
      </c>
      <c r="C609" s="92" t="s">
        <v>700</v>
      </c>
      <c r="D609" s="92" t="str" cm="1">
        <f t="array" ref="D609">INDEX(기계코드!$D$4:$D$214,MATCH(1,(C609=기계코드!$F$4:$F$214)*1,0))</f>
        <v>M_TDIF04</v>
      </c>
      <c r="E609" s="92" t="s">
        <v>1128</v>
      </c>
      <c r="F609" s="7" t="str" cm="1">
        <f t="array" ref="F609">INDEX(공급업체코드!$B$3:$B$1000,MATCH(1,(E609=공급업체코드!$D$3:$D$1000)*1,0))</f>
        <v>VM_BKT</v>
      </c>
      <c r="G609" s="18" t="s">
        <v>1881</v>
      </c>
      <c r="H609" s="64"/>
      <c r="I609" s="64"/>
      <c r="J609" s="64"/>
      <c r="K609" s="300">
        <v>1.1000000000000001</v>
      </c>
      <c r="L609" s="300">
        <v>1.3</v>
      </c>
      <c r="M609" s="64">
        <v>566</v>
      </c>
      <c r="N609" s="64"/>
      <c r="O609" s="64"/>
      <c r="P609" s="64"/>
      <c r="Q609" s="64"/>
      <c r="R609" s="70"/>
      <c r="T609" s="64"/>
      <c r="X609">
        <v>0.123</v>
      </c>
      <c r="Y609" s="258" t="s">
        <v>1313</v>
      </c>
      <c r="AA609" s="259" t="s">
        <v>1314</v>
      </c>
      <c r="AB609" s="20" t="s">
        <v>1061</v>
      </c>
      <c r="AC609">
        <f t="shared" si="17"/>
        <v>2830000000</v>
      </c>
      <c r="AE609" s="18" t="s">
        <v>1315</v>
      </c>
      <c r="AF609" s="1" t="b">
        <v>1</v>
      </c>
    </row>
    <row r="610" spans="2:32" ht="16.5" customHeight="1">
      <c r="B610" s="1" t="str">
        <f t="shared" si="16"/>
        <v>M_TDIF04_VM_BKT_1.3_567</v>
      </c>
      <c r="C610" s="92" t="s">
        <v>700</v>
      </c>
      <c r="D610" s="92" t="str" cm="1">
        <f t="array" ref="D610">INDEX(기계코드!$D$4:$D$214,MATCH(1,(C610=기계코드!$F$4:$F$214)*1,0))</f>
        <v>M_TDIF04</v>
      </c>
      <c r="E610" s="92" t="s">
        <v>1128</v>
      </c>
      <c r="F610" s="7" t="str" cm="1">
        <f t="array" ref="F610">INDEX(공급업체코드!$B$3:$B$1000,MATCH(1,(E610=공급업체코드!$D$3:$D$1000)*1,0))</f>
        <v>VM_BKT</v>
      </c>
      <c r="G610" s="18" t="s">
        <v>1881</v>
      </c>
      <c r="H610" s="64"/>
      <c r="I610" s="64"/>
      <c r="J610" s="64"/>
      <c r="K610" s="300">
        <v>1.1000000000000001</v>
      </c>
      <c r="L610" s="300">
        <v>1.3</v>
      </c>
      <c r="M610" s="64">
        <v>567</v>
      </c>
      <c r="N610" s="64"/>
      <c r="O610" s="64"/>
      <c r="P610" s="64"/>
      <c r="Q610" s="64"/>
      <c r="R610" s="70"/>
      <c r="T610" s="64"/>
      <c r="X610">
        <v>0.123</v>
      </c>
      <c r="Y610" s="258" t="s">
        <v>1313</v>
      </c>
      <c r="AA610" s="259" t="s">
        <v>1314</v>
      </c>
      <c r="AB610" s="20" t="s">
        <v>1061</v>
      </c>
      <c r="AC610">
        <f t="shared" si="17"/>
        <v>2835000000</v>
      </c>
      <c r="AE610" s="18" t="s">
        <v>1315</v>
      </c>
      <c r="AF610" s="1" t="b">
        <v>1</v>
      </c>
    </row>
    <row r="611" spans="2:32" ht="16.5" customHeight="1">
      <c r="B611" s="1" t="str">
        <f t="shared" si="16"/>
        <v>M_TDIF04_VM_BKT_1.3_568</v>
      </c>
      <c r="C611" s="92" t="s">
        <v>700</v>
      </c>
      <c r="D611" s="92" t="str" cm="1">
        <f t="array" ref="D611">INDEX(기계코드!$D$4:$D$214,MATCH(1,(C611=기계코드!$F$4:$F$214)*1,0))</f>
        <v>M_TDIF04</v>
      </c>
      <c r="E611" s="92" t="s">
        <v>1128</v>
      </c>
      <c r="F611" s="7" t="str" cm="1">
        <f t="array" ref="F611">INDEX(공급업체코드!$B$3:$B$1000,MATCH(1,(E611=공급업체코드!$D$3:$D$1000)*1,0))</f>
        <v>VM_BKT</v>
      </c>
      <c r="G611" s="18" t="s">
        <v>1881</v>
      </c>
      <c r="H611" s="64"/>
      <c r="I611" s="64"/>
      <c r="J611" s="64"/>
      <c r="K611" s="300">
        <v>1.1000000000000001</v>
      </c>
      <c r="L611" s="300">
        <v>1.3</v>
      </c>
      <c r="M611" s="64">
        <v>568</v>
      </c>
      <c r="N611" s="64"/>
      <c r="O611" s="64"/>
      <c r="P611" s="64"/>
      <c r="Q611" s="64"/>
      <c r="R611" s="70"/>
      <c r="T611" s="64"/>
      <c r="X611">
        <v>0.123</v>
      </c>
      <c r="Y611" s="258" t="s">
        <v>1313</v>
      </c>
      <c r="AA611" s="259" t="s">
        <v>1314</v>
      </c>
      <c r="AB611" s="20" t="s">
        <v>1061</v>
      </c>
      <c r="AC611">
        <f t="shared" si="17"/>
        <v>2840000000</v>
      </c>
      <c r="AE611" s="18" t="s">
        <v>1315</v>
      </c>
      <c r="AF611" s="1" t="b">
        <v>1</v>
      </c>
    </row>
    <row r="612" spans="2:32" ht="16.5" customHeight="1">
      <c r="B612" s="1" t="str">
        <f t="shared" si="16"/>
        <v>M_TDIF04_VM_BKT_1.3_569</v>
      </c>
      <c r="C612" s="92" t="s">
        <v>700</v>
      </c>
      <c r="D612" s="92" t="str" cm="1">
        <f t="array" ref="D612">INDEX(기계코드!$D$4:$D$214,MATCH(1,(C612=기계코드!$F$4:$F$214)*1,0))</f>
        <v>M_TDIF04</v>
      </c>
      <c r="E612" s="92" t="s">
        <v>1128</v>
      </c>
      <c r="F612" s="7" t="str" cm="1">
        <f t="array" ref="F612">INDEX(공급업체코드!$B$3:$B$1000,MATCH(1,(E612=공급업체코드!$D$3:$D$1000)*1,0))</f>
        <v>VM_BKT</v>
      </c>
      <c r="G612" s="18" t="s">
        <v>1881</v>
      </c>
      <c r="H612" s="64"/>
      <c r="I612" s="64"/>
      <c r="J612" s="64"/>
      <c r="K612" s="300">
        <v>1.1000000000000001</v>
      </c>
      <c r="L612" s="300">
        <v>1.3</v>
      </c>
      <c r="M612" s="64">
        <v>569</v>
      </c>
      <c r="N612" s="64"/>
      <c r="O612" s="64"/>
      <c r="P612" s="64"/>
      <c r="Q612" s="64"/>
      <c r="R612" s="70"/>
      <c r="T612" s="64"/>
      <c r="X612">
        <v>0.123</v>
      </c>
      <c r="Y612" s="258" t="s">
        <v>1313</v>
      </c>
      <c r="AA612" s="259" t="s">
        <v>1314</v>
      </c>
      <c r="AB612" s="20" t="s">
        <v>1061</v>
      </c>
      <c r="AC612">
        <f t="shared" si="17"/>
        <v>2845000000</v>
      </c>
      <c r="AE612" s="18" t="s">
        <v>1315</v>
      </c>
      <c r="AF612" s="1" t="b">
        <v>1</v>
      </c>
    </row>
    <row r="613" spans="2:32" ht="16.5" customHeight="1">
      <c r="B613" s="1" t="str">
        <f t="shared" si="16"/>
        <v>M_TDIF04_VM_BKT_1.3_570</v>
      </c>
      <c r="C613" s="92" t="s">
        <v>700</v>
      </c>
      <c r="D613" s="92" t="str" cm="1">
        <f t="array" ref="D613">INDEX(기계코드!$D$4:$D$214,MATCH(1,(C613=기계코드!$F$4:$F$214)*1,0))</f>
        <v>M_TDIF04</v>
      </c>
      <c r="E613" s="92" t="s">
        <v>1128</v>
      </c>
      <c r="F613" s="7" t="str" cm="1">
        <f t="array" ref="F613">INDEX(공급업체코드!$B$3:$B$1000,MATCH(1,(E613=공급업체코드!$D$3:$D$1000)*1,0))</f>
        <v>VM_BKT</v>
      </c>
      <c r="G613" s="18" t="s">
        <v>1881</v>
      </c>
      <c r="H613" s="64"/>
      <c r="I613" s="64"/>
      <c r="J613" s="64"/>
      <c r="K613" s="300">
        <v>1.1000000000000001</v>
      </c>
      <c r="L613" s="300">
        <v>1.3</v>
      </c>
      <c r="M613" s="64">
        <v>570</v>
      </c>
      <c r="N613" s="64"/>
      <c r="O613" s="64"/>
      <c r="P613" s="64"/>
      <c r="Q613" s="64"/>
      <c r="R613" s="70"/>
      <c r="T613" s="64"/>
      <c r="X613">
        <v>0.123</v>
      </c>
      <c r="Y613" s="258" t="s">
        <v>1313</v>
      </c>
      <c r="AA613" s="259" t="s">
        <v>1314</v>
      </c>
      <c r="AB613" s="20" t="s">
        <v>1061</v>
      </c>
      <c r="AC613">
        <f t="shared" si="17"/>
        <v>2850000000</v>
      </c>
      <c r="AE613" s="18" t="s">
        <v>1315</v>
      </c>
      <c r="AF613" s="1" t="b">
        <v>1</v>
      </c>
    </row>
    <row r="614" spans="2:32" ht="16.5" customHeight="1">
      <c r="B614" s="1" t="str">
        <f t="shared" si="16"/>
        <v>M_TDIF04_VM_BKT_1.3_571</v>
      </c>
      <c r="C614" s="92" t="s">
        <v>700</v>
      </c>
      <c r="D614" s="92" t="str" cm="1">
        <f t="array" ref="D614">INDEX(기계코드!$D$4:$D$214,MATCH(1,(C614=기계코드!$F$4:$F$214)*1,0))</f>
        <v>M_TDIF04</v>
      </c>
      <c r="E614" s="92" t="s">
        <v>1128</v>
      </c>
      <c r="F614" s="7" t="str" cm="1">
        <f t="array" ref="F614">INDEX(공급업체코드!$B$3:$B$1000,MATCH(1,(E614=공급업체코드!$D$3:$D$1000)*1,0))</f>
        <v>VM_BKT</v>
      </c>
      <c r="G614" s="18" t="s">
        <v>1881</v>
      </c>
      <c r="H614" s="64"/>
      <c r="I614" s="64"/>
      <c r="J614" s="64"/>
      <c r="K614" s="300">
        <v>1.1000000000000001</v>
      </c>
      <c r="L614" s="300">
        <v>1.3</v>
      </c>
      <c r="M614" s="64">
        <v>571</v>
      </c>
      <c r="N614" s="64"/>
      <c r="O614" s="64"/>
      <c r="P614" s="64"/>
      <c r="Q614" s="64"/>
      <c r="R614" s="70"/>
      <c r="T614" s="64"/>
      <c r="X614">
        <v>0.123</v>
      </c>
      <c r="Y614" s="258" t="s">
        <v>1313</v>
      </c>
      <c r="AA614" s="259" t="s">
        <v>1314</v>
      </c>
      <c r="AB614" s="20" t="s">
        <v>1061</v>
      </c>
      <c r="AC614">
        <f t="shared" si="17"/>
        <v>2855000000</v>
      </c>
      <c r="AE614" s="18" t="s">
        <v>1315</v>
      </c>
      <c r="AF614" s="1" t="b">
        <v>1</v>
      </c>
    </row>
    <row r="615" spans="2:32" ht="16.5" customHeight="1">
      <c r="B615" s="1" t="str">
        <f t="shared" si="16"/>
        <v>M_TDIF04_VM_BKT_1.3_572</v>
      </c>
      <c r="C615" s="92" t="s">
        <v>700</v>
      </c>
      <c r="D615" s="92" t="str" cm="1">
        <f t="array" ref="D615">INDEX(기계코드!$D$4:$D$214,MATCH(1,(C615=기계코드!$F$4:$F$214)*1,0))</f>
        <v>M_TDIF04</v>
      </c>
      <c r="E615" s="92" t="s">
        <v>1128</v>
      </c>
      <c r="F615" s="7" t="str" cm="1">
        <f t="array" ref="F615">INDEX(공급업체코드!$B$3:$B$1000,MATCH(1,(E615=공급업체코드!$D$3:$D$1000)*1,0))</f>
        <v>VM_BKT</v>
      </c>
      <c r="G615" s="18" t="s">
        <v>1881</v>
      </c>
      <c r="H615" s="64"/>
      <c r="I615" s="64"/>
      <c r="J615" s="64"/>
      <c r="K615" s="300">
        <v>1.1000000000000001</v>
      </c>
      <c r="L615" s="300">
        <v>1.3</v>
      </c>
      <c r="M615" s="64">
        <v>572</v>
      </c>
      <c r="N615" s="64"/>
      <c r="O615" s="64"/>
      <c r="P615" s="64"/>
      <c r="Q615" s="64"/>
      <c r="R615" s="70"/>
      <c r="T615" s="64"/>
      <c r="X615">
        <v>0.123</v>
      </c>
      <c r="Y615" s="258" t="s">
        <v>1313</v>
      </c>
      <c r="AA615" s="259" t="s">
        <v>1314</v>
      </c>
      <c r="AB615" s="20" t="s">
        <v>1061</v>
      </c>
      <c r="AC615">
        <f t="shared" si="17"/>
        <v>2860000000</v>
      </c>
      <c r="AE615" s="18" t="s">
        <v>1315</v>
      </c>
      <c r="AF615" s="1" t="b">
        <v>1</v>
      </c>
    </row>
    <row r="616" spans="2:32" ht="16.5" customHeight="1">
      <c r="B616" s="1" t="str">
        <f t="shared" si="16"/>
        <v>M_TDIF04_VM_BKT_1.3_573</v>
      </c>
      <c r="C616" s="92" t="s">
        <v>700</v>
      </c>
      <c r="D616" s="92" t="str" cm="1">
        <f t="array" ref="D616">INDEX(기계코드!$D$4:$D$214,MATCH(1,(C616=기계코드!$F$4:$F$214)*1,0))</f>
        <v>M_TDIF04</v>
      </c>
      <c r="E616" s="92" t="s">
        <v>1128</v>
      </c>
      <c r="F616" s="7" t="str" cm="1">
        <f t="array" ref="F616">INDEX(공급업체코드!$B$3:$B$1000,MATCH(1,(E616=공급업체코드!$D$3:$D$1000)*1,0))</f>
        <v>VM_BKT</v>
      </c>
      <c r="G616" s="18" t="s">
        <v>1881</v>
      </c>
      <c r="H616" s="64"/>
      <c r="I616" s="64"/>
      <c r="J616" s="64"/>
      <c r="K616" s="300">
        <v>1.1000000000000001</v>
      </c>
      <c r="L616" s="300">
        <v>1.3</v>
      </c>
      <c r="M616" s="64">
        <v>573</v>
      </c>
      <c r="N616" s="64"/>
      <c r="O616" s="64"/>
      <c r="P616" s="64"/>
      <c r="Q616" s="64"/>
      <c r="R616" s="70"/>
      <c r="T616" s="64"/>
      <c r="X616">
        <v>0.123</v>
      </c>
      <c r="Y616" s="258" t="s">
        <v>1313</v>
      </c>
      <c r="AA616" s="259" t="s">
        <v>1314</v>
      </c>
      <c r="AB616" s="20" t="s">
        <v>1061</v>
      </c>
      <c r="AC616">
        <f t="shared" si="17"/>
        <v>2865000000</v>
      </c>
      <c r="AE616" s="18" t="s">
        <v>1315</v>
      </c>
      <c r="AF616" s="1" t="b">
        <v>1</v>
      </c>
    </row>
    <row r="617" spans="2:32" ht="16.5" customHeight="1">
      <c r="B617" s="1" t="str">
        <f t="shared" si="16"/>
        <v>M_TDIF04_VM_BKT_1.3_574</v>
      </c>
      <c r="C617" s="92" t="s">
        <v>700</v>
      </c>
      <c r="D617" s="92" t="str" cm="1">
        <f t="array" ref="D617">INDEX(기계코드!$D$4:$D$214,MATCH(1,(C617=기계코드!$F$4:$F$214)*1,0))</f>
        <v>M_TDIF04</v>
      </c>
      <c r="E617" s="92" t="s">
        <v>1128</v>
      </c>
      <c r="F617" s="7" t="str" cm="1">
        <f t="array" ref="F617">INDEX(공급업체코드!$B$3:$B$1000,MATCH(1,(E617=공급업체코드!$D$3:$D$1000)*1,0))</f>
        <v>VM_BKT</v>
      </c>
      <c r="G617" s="18" t="s">
        <v>1881</v>
      </c>
      <c r="H617" s="64"/>
      <c r="I617" s="64"/>
      <c r="J617" s="64"/>
      <c r="K617" s="300">
        <v>1.1000000000000001</v>
      </c>
      <c r="L617" s="300">
        <v>1.3</v>
      </c>
      <c r="M617" s="64">
        <v>574</v>
      </c>
      <c r="N617" s="64"/>
      <c r="O617" s="64"/>
      <c r="P617" s="64"/>
      <c r="Q617" s="64"/>
      <c r="R617" s="70"/>
      <c r="T617" s="64"/>
      <c r="X617">
        <v>0.123</v>
      </c>
      <c r="Y617" s="258" t="s">
        <v>1313</v>
      </c>
      <c r="AA617" s="259" t="s">
        <v>1314</v>
      </c>
      <c r="AB617" s="20" t="s">
        <v>1061</v>
      </c>
      <c r="AC617">
        <f t="shared" si="17"/>
        <v>2870000000</v>
      </c>
      <c r="AE617" s="18" t="s">
        <v>1315</v>
      </c>
      <c r="AF617" s="1" t="b">
        <v>1</v>
      </c>
    </row>
    <row r="618" spans="2:32" ht="16.5" customHeight="1">
      <c r="B618" s="1" t="str">
        <f t="shared" si="16"/>
        <v>M_TDIF04_VM_BKT_1.3_575</v>
      </c>
      <c r="C618" s="92" t="s">
        <v>700</v>
      </c>
      <c r="D618" s="92" t="str" cm="1">
        <f t="array" ref="D618">INDEX(기계코드!$D$4:$D$214,MATCH(1,(C618=기계코드!$F$4:$F$214)*1,0))</f>
        <v>M_TDIF04</v>
      </c>
      <c r="E618" s="92" t="s">
        <v>1128</v>
      </c>
      <c r="F618" s="7" t="str" cm="1">
        <f t="array" ref="F618">INDEX(공급업체코드!$B$3:$B$1000,MATCH(1,(E618=공급업체코드!$D$3:$D$1000)*1,0))</f>
        <v>VM_BKT</v>
      </c>
      <c r="G618" s="18" t="s">
        <v>1881</v>
      </c>
      <c r="H618" s="64"/>
      <c r="I618" s="64"/>
      <c r="J618" s="64"/>
      <c r="K618" s="300">
        <v>1.1000000000000001</v>
      </c>
      <c r="L618" s="300">
        <v>1.3</v>
      </c>
      <c r="M618" s="64">
        <v>575</v>
      </c>
      <c r="N618" s="64"/>
      <c r="O618" s="64"/>
      <c r="P618" s="64"/>
      <c r="Q618" s="64"/>
      <c r="R618" s="70"/>
      <c r="T618" s="64"/>
      <c r="X618">
        <v>0.123</v>
      </c>
      <c r="Y618" s="258" t="s">
        <v>1313</v>
      </c>
      <c r="AA618" s="259" t="s">
        <v>1314</v>
      </c>
      <c r="AB618" s="20" t="s">
        <v>1061</v>
      </c>
      <c r="AC618">
        <f t="shared" si="17"/>
        <v>2875000000</v>
      </c>
      <c r="AE618" s="18" t="s">
        <v>1315</v>
      </c>
      <c r="AF618" s="1" t="b">
        <v>1</v>
      </c>
    </row>
    <row r="619" spans="2:32" ht="16.5" customHeight="1">
      <c r="B619" s="1" t="str">
        <f t="shared" si="16"/>
        <v>M_TDIF04_VM_BKT_1.3_576</v>
      </c>
      <c r="C619" s="92" t="s">
        <v>700</v>
      </c>
      <c r="D619" s="92" t="str" cm="1">
        <f t="array" ref="D619">INDEX(기계코드!$D$4:$D$214,MATCH(1,(C619=기계코드!$F$4:$F$214)*1,0))</f>
        <v>M_TDIF04</v>
      </c>
      <c r="E619" s="92" t="s">
        <v>1128</v>
      </c>
      <c r="F619" s="7" t="str" cm="1">
        <f t="array" ref="F619">INDEX(공급업체코드!$B$3:$B$1000,MATCH(1,(E619=공급업체코드!$D$3:$D$1000)*1,0))</f>
        <v>VM_BKT</v>
      </c>
      <c r="G619" s="18" t="s">
        <v>1881</v>
      </c>
      <c r="H619" s="64"/>
      <c r="I619" s="64"/>
      <c r="J619" s="64"/>
      <c r="K619" s="300">
        <v>1.1000000000000001</v>
      </c>
      <c r="L619" s="300">
        <v>1.3</v>
      </c>
      <c r="M619" s="64">
        <v>576</v>
      </c>
      <c r="N619" s="64"/>
      <c r="O619" s="64"/>
      <c r="P619" s="64"/>
      <c r="Q619" s="64"/>
      <c r="R619" s="70"/>
      <c r="T619" s="64"/>
      <c r="X619">
        <v>0.123</v>
      </c>
      <c r="Y619" s="258" t="s">
        <v>1313</v>
      </c>
      <c r="AA619" s="259" t="s">
        <v>1314</v>
      </c>
      <c r="AB619" s="20" t="s">
        <v>1061</v>
      </c>
      <c r="AC619">
        <f t="shared" si="17"/>
        <v>2880000000</v>
      </c>
      <c r="AE619" s="18" t="s">
        <v>1315</v>
      </c>
      <c r="AF619" s="1" t="b">
        <v>1</v>
      </c>
    </row>
    <row r="620" spans="2:32" ht="16.5" customHeight="1">
      <c r="B620" s="1" t="str">
        <f t="shared" si="16"/>
        <v>M_TDIF04_VM_BKT_1.3_577</v>
      </c>
      <c r="C620" s="92" t="s">
        <v>700</v>
      </c>
      <c r="D620" s="92" t="str" cm="1">
        <f t="array" ref="D620">INDEX(기계코드!$D$4:$D$214,MATCH(1,(C620=기계코드!$F$4:$F$214)*1,0))</f>
        <v>M_TDIF04</v>
      </c>
      <c r="E620" s="92" t="s">
        <v>1128</v>
      </c>
      <c r="F620" s="7" t="str" cm="1">
        <f t="array" ref="F620">INDEX(공급업체코드!$B$3:$B$1000,MATCH(1,(E620=공급업체코드!$D$3:$D$1000)*1,0))</f>
        <v>VM_BKT</v>
      </c>
      <c r="G620" s="18" t="s">
        <v>1881</v>
      </c>
      <c r="H620" s="64"/>
      <c r="I620" s="64"/>
      <c r="J620" s="64"/>
      <c r="K620" s="300">
        <v>1.1000000000000001</v>
      </c>
      <c r="L620" s="300">
        <v>1.3</v>
      </c>
      <c r="M620" s="64">
        <v>577</v>
      </c>
      <c r="N620" s="64"/>
      <c r="O620" s="64"/>
      <c r="P620" s="64"/>
      <c r="Q620" s="64"/>
      <c r="R620" s="70"/>
      <c r="T620" s="64"/>
      <c r="X620">
        <v>0.123</v>
      </c>
      <c r="Y620" s="258" t="s">
        <v>1313</v>
      </c>
      <c r="AA620" s="259" t="s">
        <v>1314</v>
      </c>
      <c r="AB620" s="20" t="s">
        <v>1061</v>
      </c>
      <c r="AC620">
        <f t="shared" si="17"/>
        <v>2885000000</v>
      </c>
      <c r="AE620" s="18" t="s">
        <v>1315</v>
      </c>
      <c r="AF620" s="1" t="b">
        <v>1</v>
      </c>
    </row>
    <row r="621" spans="2:32" ht="16.5" customHeight="1">
      <c r="B621" s="1" t="str">
        <f t="shared" ref="B621:B684" si="18">D621&amp;"_"&amp;F621&amp;"_"&amp;L621&amp;"_"&amp;M621</f>
        <v>M_TDIF04_VM_BKT_1.3_578</v>
      </c>
      <c r="C621" s="92" t="s">
        <v>700</v>
      </c>
      <c r="D621" s="92" t="str" cm="1">
        <f t="array" ref="D621">INDEX(기계코드!$D$4:$D$214,MATCH(1,(C621=기계코드!$F$4:$F$214)*1,0))</f>
        <v>M_TDIF04</v>
      </c>
      <c r="E621" s="92" t="s">
        <v>1128</v>
      </c>
      <c r="F621" s="7" t="str" cm="1">
        <f t="array" ref="F621">INDEX(공급업체코드!$B$3:$B$1000,MATCH(1,(E621=공급업체코드!$D$3:$D$1000)*1,0))</f>
        <v>VM_BKT</v>
      </c>
      <c r="G621" s="18" t="s">
        <v>1881</v>
      </c>
      <c r="H621" s="64"/>
      <c r="I621" s="64"/>
      <c r="J621" s="64"/>
      <c r="K621" s="300">
        <v>1.1000000000000001</v>
      </c>
      <c r="L621" s="300">
        <v>1.3</v>
      </c>
      <c r="M621" s="64">
        <v>578</v>
      </c>
      <c r="N621" s="64"/>
      <c r="O621" s="64"/>
      <c r="P621" s="64"/>
      <c r="Q621" s="64"/>
      <c r="R621" s="70"/>
      <c r="T621" s="64"/>
      <c r="X621">
        <v>0.123</v>
      </c>
      <c r="Y621" s="258" t="s">
        <v>1313</v>
      </c>
      <c r="AA621" s="259" t="s">
        <v>1314</v>
      </c>
      <c r="AB621" s="20" t="s">
        <v>1061</v>
      </c>
      <c r="AC621">
        <f t="shared" si="17"/>
        <v>2890000000</v>
      </c>
      <c r="AE621" s="18" t="s">
        <v>1315</v>
      </c>
      <c r="AF621" s="1" t="b">
        <v>1</v>
      </c>
    </row>
    <row r="622" spans="2:32" ht="16.5" customHeight="1">
      <c r="B622" s="1" t="str">
        <f t="shared" si="18"/>
        <v>M_TDIF04_VM_BKT_1.3_579</v>
      </c>
      <c r="C622" s="92" t="s">
        <v>700</v>
      </c>
      <c r="D622" s="92" t="str" cm="1">
        <f t="array" ref="D622">INDEX(기계코드!$D$4:$D$214,MATCH(1,(C622=기계코드!$F$4:$F$214)*1,0))</f>
        <v>M_TDIF04</v>
      </c>
      <c r="E622" s="92" t="s">
        <v>1128</v>
      </c>
      <c r="F622" s="7" t="str" cm="1">
        <f t="array" ref="F622">INDEX(공급업체코드!$B$3:$B$1000,MATCH(1,(E622=공급업체코드!$D$3:$D$1000)*1,0))</f>
        <v>VM_BKT</v>
      </c>
      <c r="G622" s="18" t="s">
        <v>1881</v>
      </c>
      <c r="H622" s="64"/>
      <c r="I622" s="64"/>
      <c r="J622" s="64"/>
      <c r="K622" s="300">
        <v>1.1000000000000001</v>
      </c>
      <c r="L622" s="300">
        <v>1.3</v>
      </c>
      <c r="M622" s="64">
        <v>579</v>
      </c>
      <c r="N622" s="64"/>
      <c r="O622" s="64"/>
      <c r="P622" s="64"/>
      <c r="Q622" s="64"/>
      <c r="R622" s="70"/>
      <c r="T622" s="64"/>
      <c r="X622">
        <v>0.123</v>
      </c>
      <c r="Y622" s="258" t="s">
        <v>1313</v>
      </c>
      <c r="AA622" s="259" t="s">
        <v>1314</v>
      </c>
      <c r="AB622" s="20" t="s">
        <v>1061</v>
      </c>
      <c r="AC622">
        <f t="shared" ref="AC622:AC685" si="19">M622*$AC$44</f>
        <v>2895000000</v>
      </c>
      <c r="AE622" s="18" t="s">
        <v>1315</v>
      </c>
      <c r="AF622" s="1" t="b">
        <v>1</v>
      </c>
    </row>
    <row r="623" spans="2:32" ht="16.5" customHeight="1">
      <c r="B623" s="1" t="str">
        <f t="shared" si="18"/>
        <v>M_TDIF04_VM_BKT_1.3_580</v>
      </c>
      <c r="C623" s="92" t="s">
        <v>700</v>
      </c>
      <c r="D623" s="92" t="str" cm="1">
        <f t="array" ref="D623">INDEX(기계코드!$D$4:$D$214,MATCH(1,(C623=기계코드!$F$4:$F$214)*1,0))</f>
        <v>M_TDIF04</v>
      </c>
      <c r="E623" s="92" t="s">
        <v>1128</v>
      </c>
      <c r="F623" s="7" t="str" cm="1">
        <f t="array" ref="F623">INDEX(공급업체코드!$B$3:$B$1000,MATCH(1,(E623=공급업체코드!$D$3:$D$1000)*1,0))</f>
        <v>VM_BKT</v>
      </c>
      <c r="G623" s="18" t="s">
        <v>1881</v>
      </c>
      <c r="H623" s="64"/>
      <c r="I623" s="64"/>
      <c r="J623" s="64"/>
      <c r="K623" s="300">
        <v>1.1000000000000001</v>
      </c>
      <c r="L623" s="300">
        <v>1.3</v>
      </c>
      <c r="M623" s="64">
        <v>580</v>
      </c>
      <c r="N623" s="64"/>
      <c r="O623" s="64"/>
      <c r="P623" s="64"/>
      <c r="Q623" s="64"/>
      <c r="R623" s="70"/>
      <c r="T623" s="64"/>
      <c r="X623">
        <v>0.123</v>
      </c>
      <c r="Y623" s="258" t="s">
        <v>1313</v>
      </c>
      <c r="AA623" s="259" t="s">
        <v>1314</v>
      </c>
      <c r="AB623" s="20" t="s">
        <v>1061</v>
      </c>
      <c r="AC623">
        <f t="shared" si="19"/>
        <v>2900000000</v>
      </c>
      <c r="AE623" s="18" t="s">
        <v>1315</v>
      </c>
      <c r="AF623" s="1" t="b">
        <v>1</v>
      </c>
    </row>
    <row r="624" spans="2:32" ht="16.5" customHeight="1">
      <c r="B624" s="1" t="str">
        <f t="shared" si="18"/>
        <v>M_TDIF04_VM_BKT_1.3_581</v>
      </c>
      <c r="C624" s="92" t="s">
        <v>700</v>
      </c>
      <c r="D624" s="92" t="str" cm="1">
        <f t="array" ref="D624">INDEX(기계코드!$D$4:$D$214,MATCH(1,(C624=기계코드!$F$4:$F$214)*1,0))</f>
        <v>M_TDIF04</v>
      </c>
      <c r="E624" s="92" t="s">
        <v>1128</v>
      </c>
      <c r="F624" s="7" t="str" cm="1">
        <f t="array" ref="F624">INDEX(공급업체코드!$B$3:$B$1000,MATCH(1,(E624=공급업체코드!$D$3:$D$1000)*1,0))</f>
        <v>VM_BKT</v>
      </c>
      <c r="G624" s="18" t="s">
        <v>1881</v>
      </c>
      <c r="H624" s="64"/>
      <c r="I624" s="64"/>
      <c r="J624" s="64"/>
      <c r="K624" s="300">
        <v>1.1000000000000001</v>
      </c>
      <c r="L624" s="300">
        <v>1.3</v>
      </c>
      <c r="M624" s="64">
        <v>581</v>
      </c>
      <c r="N624" s="64"/>
      <c r="O624" s="64"/>
      <c r="P624" s="64"/>
      <c r="Q624" s="64"/>
      <c r="R624" s="70"/>
      <c r="T624" s="64"/>
      <c r="X624">
        <v>0.123</v>
      </c>
      <c r="Y624" s="258" t="s">
        <v>1313</v>
      </c>
      <c r="AA624" s="259" t="s">
        <v>1314</v>
      </c>
      <c r="AB624" s="20" t="s">
        <v>1061</v>
      </c>
      <c r="AC624">
        <f t="shared" si="19"/>
        <v>2905000000</v>
      </c>
      <c r="AE624" s="18" t="s">
        <v>1315</v>
      </c>
      <c r="AF624" s="1" t="b">
        <v>1</v>
      </c>
    </row>
    <row r="625" spans="2:32" ht="16.5" customHeight="1">
      <c r="B625" s="1" t="str">
        <f t="shared" si="18"/>
        <v>M_TDIF04_VM_BKT_1.3_582</v>
      </c>
      <c r="C625" s="92" t="s">
        <v>700</v>
      </c>
      <c r="D625" s="92" t="str" cm="1">
        <f t="array" ref="D625">INDEX(기계코드!$D$4:$D$214,MATCH(1,(C625=기계코드!$F$4:$F$214)*1,0))</f>
        <v>M_TDIF04</v>
      </c>
      <c r="E625" s="92" t="s">
        <v>1128</v>
      </c>
      <c r="F625" s="7" t="str" cm="1">
        <f t="array" ref="F625">INDEX(공급업체코드!$B$3:$B$1000,MATCH(1,(E625=공급업체코드!$D$3:$D$1000)*1,0))</f>
        <v>VM_BKT</v>
      </c>
      <c r="G625" s="18" t="s">
        <v>1881</v>
      </c>
      <c r="H625" s="64"/>
      <c r="I625" s="64"/>
      <c r="J625" s="64"/>
      <c r="K625" s="300">
        <v>1.1000000000000001</v>
      </c>
      <c r="L625" s="300">
        <v>1.3</v>
      </c>
      <c r="M625" s="64">
        <v>582</v>
      </c>
      <c r="N625" s="64"/>
      <c r="O625" s="64"/>
      <c r="P625" s="64"/>
      <c r="Q625" s="64"/>
      <c r="R625" s="70"/>
      <c r="T625" s="64"/>
      <c r="X625">
        <v>0.123</v>
      </c>
      <c r="Y625" s="258" t="s">
        <v>1313</v>
      </c>
      <c r="AA625" s="259" t="s">
        <v>1314</v>
      </c>
      <c r="AB625" s="20" t="s">
        <v>1061</v>
      </c>
      <c r="AC625">
        <f t="shared" si="19"/>
        <v>2910000000</v>
      </c>
      <c r="AE625" s="18" t="s">
        <v>1315</v>
      </c>
      <c r="AF625" s="1" t="b">
        <v>1</v>
      </c>
    </row>
    <row r="626" spans="2:32" ht="16.5" customHeight="1">
      <c r="B626" s="1" t="str">
        <f t="shared" si="18"/>
        <v>M_TDIF04_VM_BKT_1.3_583</v>
      </c>
      <c r="C626" s="92" t="s">
        <v>700</v>
      </c>
      <c r="D626" s="92" t="str" cm="1">
        <f t="array" ref="D626">INDEX(기계코드!$D$4:$D$214,MATCH(1,(C626=기계코드!$F$4:$F$214)*1,0))</f>
        <v>M_TDIF04</v>
      </c>
      <c r="E626" s="92" t="s">
        <v>1128</v>
      </c>
      <c r="F626" s="7" t="str" cm="1">
        <f t="array" ref="F626">INDEX(공급업체코드!$B$3:$B$1000,MATCH(1,(E626=공급업체코드!$D$3:$D$1000)*1,0))</f>
        <v>VM_BKT</v>
      </c>
      <c r="G626" s="18" t="s">
        <v>1881</v>
      </c>
      <c r="H626" s="64"/>
      <c r="I626" s="64"/>
      <c r="J626" s="64"/>
      <c r="K626" s="300">
        <v>1.1000000000000001</v>
      </c>
      <c r="L626" s="300">
        <v>1.3</v>
      </c>
      <c r="M626" s="64">
        <v>583</v>
      </c>
      <c r="N626" s="64"/>
      <c r="O626" s="64"/>
      <c r="P626" s="64"/>
      <c r="Q626" s="64"/>
      <c r="R626" s="70"/>
      <c r="T626" s="64"/>
      <c r="X626">
        <v>0.123</v>
      </c>
      <c r="Y626" s="258" t="s">
        <v>1313</v>
      </c>
      <c r="AA626" s="259" t="s">
        <v>1314</v>
      </c>
      <c r="AB626" s="20" t="s">
        <v>1061</v>
      </c>
      <c r="AC626">
        <f t="shared" si="19"/>
        <v>2915000000</v>
      </c>
      <c r="AE626" s="18" t="s">
        <v>1315</v>
      </c>
      <c r="AF626" s="1" t="b">
        <v>1</v>
      </c>
    </row>
    <row r="627" spans="2:32" ht="16.5" customHeight="1">
      <c r="B627" s="1" t="str">
        <f t="shared" si="18"/>
        <v>M_TDIF04_VM_BKT_1.3_584</v>
      </c>
      <c r="C627" s="92" t="s">
        <v>700</v>
      </c>
      <c r="D627" s="92" t="str" cm="1">
        <f t="array" ref="D627">INDEX(기계코드!$D$4:$D$214,MATCH(1,(C627=기계코드!$F$4:$F$214)*1,0))</f>
        <v>M_TDIF04</v>
      </c>
      <c r="E627" s="92" t="s">
        <v>1128</v>
      </c>
      <c r="F627" s="7" t="str" cm="1">
        <f t="array" ref="F627">INDEX(공급업체코드!$B$3:$B$1000,MATCH(1,(E627=공급업체코드!$D$3:$D$1000)*1,0))</f>
        <v>VM_BKT</v>
      </c>
      <c r="G627" s="18" t="s">
        <v>1881</v>
      </c>
      <c r="H627" s="64"/>
      <c r="I627" s="64"/>
      <c r="J627" s="64"/>
      <c r="K627" s="300">
        <v>1.1000000000000001</v>
      </c>
      <c r="L627" s="300">
        <v>1.3</v>
      </c>
      <c r="M627" s="64">
        <v>584</v>
      </c>
      <c r="N627" s="64"/>
      <c r="O627" s="64"/>
      <c r="P627" s="64"/>
      <c r="Q627" s="64"/>
      <c r="R627" s="70"/>
      <c r="T627" s="64"/>
      <c r="X627">
        <v>0.123</v>
      </c>
      <c r="Y627" s="258" t="s">
        <v>1313</v>
      </c>
      <c r="AA627" s="259" t="s">
        <v>1314</v>
      </c>
      <c r="AB627" s="20" t="s">
        <v>1061</v>
      </c>
      <c r="AC627">
        <f t="shared" si="19"/>
        <v>2920000000</v>
      </c>
      <c r="AE627" s="18" t="s">
        <v>1315</v>
      </c>
      <c r="AF627" s="1" t="b">
        <v>1</v>
      </c>
    </row>
    <row r="628" spans="2:32" ht="16.5" customHeight="1">
      <c r="B628" s="1" t="str">
        <f t="shared" si="18"/>
        <v>M_TDIF04_VM_BKT_1.3_585</v>
      </c>
      <c r="C628" s="92" t="s">
        <v>700</v>
      </c>
      <c r="D628" s="92" t="str" cm="1">
        <f t="array" ref="D628">INDEX(기계코드!$D$4:$D$214,MATCH(1,(C628=기계코드!$F$4:$F$214)*1,0))</f>
        <v>M_TDIF04</v>
      </c>
      <c r="E628" s="92" t="s">
        <v>1128</v>
      </c>
      <c r="F628" s="7" t="str" cm="1">
        <f t="array" ref="F628">INDEX(공급업체코드!$B$3:$B$1000,MATCH(1,(E628=공급업체코드!$D$3:$D$1000)*1,0))</f>
        <v>VM_BKT</v>
      </c>
      <c r="G628" s="18" t="s">
        <v>1881</v>
      </c>
      <c r="H628" s="64"/>
      <c r="I628" s="64"/>
      <c r="J628" s="64"/>
      <c r="K628" s="300">
        <v>1.1000000000000001</v>
      </c>
      <c r="L628" s="300">
        <v>1.3</v>
      </c>
      <c r="M628" s="64">
        <v>585</v>
      </c>
      <c r="N628" s="64"/>
      <c r="O628" s="64"/>
      <c r="P628" s="64"/>
      <c r="Q628" s="64"/>
      <c r="R628" s="70"/>
      <c r="T628" s="64"/>
      <c r="X628">
        <v>0.123</v>
      </c>
      <c r="Y628" s="258" t="s">
        <v>1313</v>
      </c>
      <c r="AA628" s="259" t="s">
        <v>1314</v>
      </c>
      <c r="AB628" s="20" t="s">
        <v>1061</v>
      </c>
      <c r="AC628">
        <f t="shared" si="19"/>
        <v>2925000000</v>
      </c>
      <c r="AE628" s="18" t="s">
        <v>1315</v>
      </c>
      <c r="AF628" s="1" t="b">
        <v>1</v>
      </c>
    </row>
    <row r="629" spans="2:32" ht="16.5" customHeight="1">
      <c r="B629" s="1" t="str">
        <f t="shared" si="18"/>
        <v>M_TDIF04_VM_BKT_1.3_586</v>
      </c>
      <c r="C629" s="92" t="s">
        <v>700</v>
      </c>
      <c r="D629" s="92" t="str" cm="1">
        <f t="array" ref="D629">INDEX(기계코드!$D$4:$D$214,MATCH(1,(C629=기계코드!$F$4:$F$214)*1,0))</f>
        <v>M_TDIF04</v>
      </c>
      <c r="E629" s="92" t="s">
        <v>1128</v>
      </c>
      <c r="F629" s="7" t="str" cm="1">
        <f t="array" ref="F629">INDEX(공급업체코드!$B$3:$B$1000,MATCH(1,(E629=공급업체코드!$D$3:$D$1000)*1,0))</f>
        <v>VM_BKT</v>
      </c>
      <c r="G629" s="18" t="s">
        <v>1881</v>
      </c>
      <c r="H629" s="64"/>
      <c r="I629" s="64"/>
      <c r="J629" s="64"/>
      <c r="K629" s="300">
        <v>1.1000000000000001</v>
      </c>
      <c r="L629" s="300">
        <v>1.3</v>
      </c>
      <c r="M629" s="64">
        <v>586</v>
      </c>
      <c r="N629" s="64"/>
      <c r="O629" s="64"/>
      <c r="P629" s="64"/>
      <c r="Q629" s="64"/>
      <c r="R629" s="70"/>
      <c r="T629" s="64"/>
      <c r="X629">
        <v>0.123</v>
      </c>
      <c r="Y629" s="258" t="s">
        <v>1313</v>
      </c>
      <c r="AA629" s="259" t="s">
        <v>1314</v>
      </c>
      <c r="AB629" s="20" t="s">
        <v>1061</v>
      </c>
      <c r="AC629">
        <f t="shared" si="19"/>
        <v>2930000000</v>
      </c>
      <c r="AE629" s="18" t="s">
        <v>1315</v>
      </c>
      <c r="AF629" s="1" t="b">
        <v>1</v>
      </c>
    </row>
    <row r="630" spans="2:32" ht="16.5" customHeight="1">
      <c r="B630" s="1" t="str">
        <f t="shared" si="18"/>
        <v>M_TDIF04_VM_BKT_1.3_587</v>
      </c>
      <c r="C630" s="92" t="s">
        <v>700</v>
      </c>
      <c r="D630" s="92" t="str" cm="1">
        <f t="array" ref="D630">INDEX(기계코드!$D$4:$D$214,MATCH(1,(C630=기계코드!$F$4:$F$214)*1,0))</f>
        <v>M_TDIF04</v>
      </c>
      <c r="E630" s="92" t="s">
        <v>1128</v>
      </c>
      <c r="F630" s="7" t="str" cm="1">
        <f t="array" ref="F630">INDEX(공급업체코드!$B$3:$B$1000,MATCH(1,(E630=공급업체코드!$D$3:$D$1000)*1,0))</f>
        <v>VM_BKT</v>
      </c>
      <c r="G630" s="18" t="s">
        <v>1881</v>
      </c>
      <c r="H630" s="64"/>
      <c r="I630" s="64"/>
      <c r="J630" s="64"/>
      <c r="K630" s="300">
        <v>1.1000000000000001</v>
      </c>
      <c r="L630" s="300">
        <v>1.3</v>
      </c>
      <c r="M630" s="64">
        <v>587</v>
      </c>
      <c r="N630" s="64"/>
      <c r="O630" s="64"/>
      <c r="P630" s="64"/>
      <c r="Q630" s="64"/>
      <c r="R630" s="70"/>
      <c r="T630" s="64"/>
      <c r="X630">
        <v>0.123</v>
      </c>
      <c r="Y630" s="258" t="s">
        <v>1313</v>
      </c>
      <c r="AA630" s="259" t="s">
        <v>1314</v>
      </c>
      <c r="AB630" s="20" t="s">
        <v>1061</v>
      </c>
      <c r="AC630">
        <f t="shared" si="19"/>
        <v>2935000000</v>
      </c>
      <c r="AE630" s="18" t="s">
        <v>1315</v>
      </c>
      <c r="AF630" s="1" t="b">
        <v>1</v>
      </c>
    </row>
    <row r="631" spans="2:32" ht="16.5" customHeight="1">
      <c r="B631" s="1" t="str">
        <f t="shared" si="18"/>
        <v>M_TDIF04_VM_BKT_1.3_588</v>
      </c>
      <c r="C631" s="92" t="s">
        <v>700</v>
      </c>
      <c r="D631" s="92" t="str" cm="1">
        <f t="array" ref="D631">INDEX(기계코드!$D$4:$D$214,MATCH(1,(C631=기계코드!$F$4:$F$214)*1,0))</f>
        <v>M_TDIF04</v>
      </c>
      <c r="E631" s="92" t="s">
        <v>1128</v>
      </c>
      <c r="F631" s="7" t="str" cm="1">
        <f t="array" ref="F631">INDEX(공급업체코드!$B$3:$B$1000,MATCH(1,(E631=공급업체코드!$D$3:$D$1000)*1,0))</f>
        <v>VM_BKT</v>
      </c>
      <c r="G631" s="18" t="s">
        <v>1881</v>
      </c>
      <c r="H631" s="64"/>
      <c r="I631" s="64"/>
      <c r="J631" s="64"/>
      <c r="K631" s="300">
        <v>1.1000000000000001</v>
      </c>
      <c r="L631" s="300">
        <v>1.3</v>
      </c>
      <c r="M631" s="64">
        <v>588</v>
      </c>
      <c r="N631" s="64"/>
      <c r="O631" s="64"/>
      <c r="P631" s="64"/>
      <c r="Q631" s="64"/>
      <c r="R631" s="70"/>
      <c r="T631" s="64"/>
      <c r="X631">
        <v>0.123</v>
      </c>
      <c r="Y631" s="258" t="s">
        <v>1313</v>
      </c>
      <c r="AA631" s="259" t="s">
        <v>1314</v>
      </c>
      <c r="AB631" s="20" t="s">
        <v>1061</v>
      </c>
      <c r="AC631">
        <f t="shared" si="19"/>
        <v>2940000000</v>
      </c>
      <c r="AE631" s="18" t="s">
        <v>1315</v>
      </c>
      <c r="AF631" s="1" t="b">
        <v>1</v>
      </c>
    </row>
    <row r="632" spans="2:32" ht="16.5" customHeight="1">
      <c r="B632" s="1" t="str">
        <f t="shared" si="18"/>
        <v>M_TDIF04_VM_BKT_1.3_589</v>
      </c>
      <c r="C632" s="92" t="s">
        <v>700</v>
      </c>
      <c r="D632" s="92" t="str" cm="1">
        <f t="array" ref="D632">INDEX(기계코드!$D$4:$D$214,MATCH(1,(C632=기계코드!$F$4:$F$214)*1,0))</f>
        <v>M_TDIF04</v>
      </c>
      <c r="E632" s="92" t="s">
        <v>1128</v>
      </c>
      <c r="F632" s="7" t="str" cm="1">
        <f t="array" ref="F632">INDEX(공급업체코드!$B$3:$B$1000,MATCH(1,(E632=공급업체코드!$D$3:$D$1000)*1,0))</f>
        <v>VM_BKT</v>
      </c>
      <c r="G632" s="18" t="s">
        <v>1881</v>
      </c>
      <c r="H632" s="64"/>
      <c r="I632" s="64"/>
      <c r="J632" s="64"/>
      <c r="K632" s="300">
        <v>1.1000000000000001</v>
      </c>
      <c r="L632" s="300">
        <v>1.3</v>
      </c>
      <c r="M632" s="64">
        <v>589</v>
      </c>
      <c r="N632" s="64"/>
      <c r="O632" s="64"/>
      <c r="P632" s="64"/>
      <c r="Q632" s="64"/>
      <c r="R632" s="70"/>
      <c r="T632" s="64"/>
      <c r="X632">
        <v>0.123</v>
      </c>
      <c r="Y632" s="258" t="s">
        <v>1313</v>
      </c>
      <c r="AA632" s="259" t="s">
        <v>1314</v>
      </c>
      <c r="AB632" s="20" t="s">
        <v>1061</v>
      </c>
      <c r="AC632">
        <f t="shared" si="19"/>
        <v>2945000000</v>
      </c>
      <c r="AE632" s="18" t="s">
        <v>1315</v>
      </c>
      <c r="AF632" s="1" t="b">
        <v>1</v>
      </c>
    </row>
    <row r="633" spans="2:32" ht="16.5" customHeight="1">
      <c r="B633" s="1" t="str">
        <f t="shared" si="18"/>
        <v>M_TDIF04_VM_BKT_1.3_590</v>
      </c>
      <c r="C633" s="92" t="s">
        <v>700</v>
      </c>
      <c r="D633" s="92" t="str" cm="1">
        <f t="array" ref="D633">INDEX(기계코드!$D$4:$D$214,MATCH(1,(C633=기계코드!$F$4:$F$214)*1,0))</f>
        <v>M_TDIF04</v>
      </c>
      <c r="E633" s="92" t="s">
        <v>1128</v>
      </c>
      <c r="F633" s="7" t="str" cm="1">
        <f t="array" ref="F633">INDEX(공급업체코드!$B$3:$B$1000,MATCH(1,(E633=공급업체코드!$D$3:$D$1000)*1,0))</f>
        <v>VM_BKT</v>
      </c>
      <c r="G633" s="18" t="s">
        <v>1881</v>
      </c>
      <c r="H633" s="64"/>
      <c r="I633" s="64"/>
      <c r="J633" s="64"/>
      <c r="K633" s="300">
        <v>1.1000000000000001</v>
      </c>
      <c r="L633" s="300">
        <v>1.3</v>
      </c>
      <c r="M633" s="64">
        <v>590</v>
      </c>
      <c r="N633" s="64"/>
      <c r="O633" s="64"/>
      <c r="P633" s="64"/>
      <c r="Q633" s="64"/>
      <c r="R633" s="70"/>
      <c r="T633" s="64"/>
      <c r="X633">
        <v>0.123</v>
      </c>
      <c r="Y633" s="258" t="s">
        <v>1313</v>
      </c>
      <c r="AA633" s="259" t="s">
        <v>1314</v>
      </c>
      <c r="AB633" s="20" t="s">
        <v>1061</v>
      </c>
      <c r="AC633">
        <f t="shared" si="19"/>
        <v>2950000000</v>
      </c>
      <c r="AE633" s="18" t="s">
        <v>1315</v>
      </c>
      <c r="AF633" s="1" t="b">
        <v>1</v>
      </c>
    </row>
    <row r="634" spans="2:32" ht="16.5" customHeight="1">
      <c r="B634" s="1" t="str">
        <f t="shared" si="18"/>
        <v>M_TDIF04_VM_BKT_1.3_591</v>
      </c>
      <c r="C634" s="92" t="s">
        <v>700</v>
      </c>
      <c r="D634" s="92" t="str" cm="1">
        <f t="array" ref="D634">INDEX(기계코드!$D$4:$D$214,MATCH(1,(C634=기계코드!$F$4:$F$214)*1,0))</f>
        <v>M_TDIF04</v>
      </c>
      <c r="E634" s="92" t="s">
        <v>1128</v>
      </c>
      <c r="F634" s="7" t="str" cm="1">
        <f t="array" ref="F634">INDEX(공급업체코드!$B$3:$B$1000,MATCH(1,(E634=공급업체코드!$D$3:$D$1000)*1,0))</f>
        <v>VM_BKT</v>
      </c>
      <c r="G634" s="18" t="s">
        <v>1881</v>
      </c>
      <c r="H634" s="64"/>
      <c r="I634" s="64"/>
      <c r="J634" s="64"/>
      <c r="K634" s="300">
        <v>1.1000000000000001</v>
      </c>
      <c r="L634" s="300">
        <v>1.3</v>
      </c>
      <c r="M634" s="64">
        <v>591</v>
      </c>
      <c r="N634" s="64"/>
      <c r="O634" s="64"/>
      <c r="P634" s="64"/>
      <c r="Q634" s="64"/>
      <c r="R634" s="70"/>
      <c r="T634" s="64"/>
      <c r="X634">
        <v>0.123</v>
      </c>
      <c r="Y634" s="258" t="s">
        <v>1313</v>
      </c>
      <c r="AA634" s="259" t="s">
        <v>1314</v>
      </c>
      <c r="AB634" s="20" t="s">
        <v>1061</v>
      </c>
      <c r="AC634">
        <f t="shared" si="19"/>
        <v>2955000000</v>
      </c>
      <c r="AE634" s="18" t="s">
        <v>1315</v>
      </c>
      <c r="AF634" s="1" t="b">
        <v>1</v>
      </c>
    </row>
    <row r="635" spans="2:32" ht="16.5" customHeight="1">
      <c r="B635" s="1" t="str">
        <f t="shared" si="18"/>
        <v>M_TDIF04_VM_BKT_1.3_592</v>
      </c>
      <c r="C635" s="92" t="s">
        <v>700</v>
      </c>
      <c r="D635" s="92" t="str" cm="1">
        <f t="array" ref="D635">INDEX(기계코드!$D$4:$D$214,MATCH(1,(C635=기계코드!$F$4:$F$214)*1,0))</f>
        <v>M_TDIF04</v>
      </c>
      <c r="E635" s="92" t="s">
        <v>1128</v>
      </c>
      <c r="F635" s="7" t="str" cm="1">
        <f t="array" ref="F635">INDEX(공급업체코드!$B$3:$B$1000,MATCH(1,(E635=공급업체코드!$D$3:$D$1000)*1,0))</f>
        <v>VM_BKT</v>
      </c>
      <c r="G635" s="18" t="s">
        <v>1881</v>
      </c>
      <c r="H635" s="64"/>
      <c r="I635" s="64"/>
      <c r="J635" s="64"/>
      <c r="K635" s="300">
        <v>1.1000000000000001</v>
      </c>
      <c r="L635" s="300">
        <v>1.3</v>
      </c>
      <c r="M635" s="64">
        <v>592</v>
      </c>
      <c r="N635" s="64"/>
      <c r="O635" s="64"/>
      <c r="P635" s="64"/>
      <c r="Q635" s="64"/>
      <c r="R635" s="70"/>
      <c r="T635" s="64"/>
      <c r="X635">
        <v>0.123</v>
      </c>
      <c r="Y635" s="258" t="s">
        <v>1313</v>
      </c>
      <c r="AA635" s="259" t="s">
        <v>1314</v>
      </c>
      <c r="AB635" s="20" t="s">
        <v>1061</v>
      </c>
      <c r="AC635">
        <f t="shared" si="19"/>
        <v>2960000000</v>
      </c>
      <c r="AE635" s="18" t="s">
        <v>1315</v>
      </c>
      <c r="AF635" s="1" t="b">
        <v>1</v>
      </c>
    </row>
    <row r="636" spans="2:32" ht="16.5" customHeight="1">
      <c r="B636" s="1" t="str">
        <f t="shared" si="18"/>
        <v>M_TDIF04_VM_BKT_1.3_593</v>
      </c>
      <c r="C636" s="92" t="s">
        <v>700</v>
      </c>
      <c r="D636" s="92" t="str" cm="1">
        <f t="array" ref="D636">INDEX(기계코드!$D$4:$D$214,MATCH(1,(C636=기계코드!$F$4:$F$214)*1,0))</f>
        <v>M_TDIF04</v>
      </c>
      <c r="E636" s="92" t="s">
        <v>1128</v>
      </c>
      <c r="F636" s="7" t="str" cm="1">
        <f t="array" ref="F636">INDEX(공급업체코드!$B$3:$B$1000,MATCH(1,(E636=공급업체코드!$D$3:$D$1000)*1,0))</f>
        <v>VM_BKT</v>
      </c>
      <c r="G636" s="18" t="s">
        <v>1881</v>
      </c>
      <c r="H636" s="64"/>
      <c r="I636" s="64"/>
      <c r="J636" s="64"/>
      <c r="K636" s="300">
        <v>1.1000000000000001</v>
      </c>
      <c r="L636" s="300">
        <v>1.3</v>
      </c>
      <c r="M636" s="64">
        <v>593</v>
      </c>
      <c r="N636" s="64"/>
      <c r="O636" s="64"/>
      <c r="P636" s="64"/>
      <c r="Q636" s="64"/>
      <c r="R636" s="70"/>
      <c r="T636" s="64"/>
      <c r="X636">
        <v>0.123</v>
      </c>
      <c r="Y636" s="258" t="s">
        <v>1313</v>
      </c>
      <c r="AA636" s="259" t="s">
        <v>1314</v>
      </c>
      <c r="AB636" s="20" t="s">
        <v>1061</v>
      </c>
      <c r="AC636">
        <f t="shared" si="19"/>
        <v>2965000000</v>
      </c>
      <c r="AE636" s="18" t="s">
        <v>1315</v>
      </c>
      <c r="AF636" s="1" t="b">
        <v>1</v>
      </c>
    </row>
    <row r="637" spans="2:32" ht="16.5" customHeight="1">
      <c r="B637" s="1" t="str">
        <f t="shared" si="18"/>
        <v>M_TDIF04_VM_BKT_1.3_594</v>
      </c>
      <c r="C637" s="92" t="s">
        <v>700</v>
      </c>
      <c r="D637" s="92" t="str" cm="1">
        <f t="array" ref="D637">INDEX(기계코드!$D$4:$D$214,MATCH(1,(C637=기계코드!$F$4:$F$214)*1,0))</f>
        <v>M_TDIF04</v>
      </c>
      <c r="E637" s="92" t="s">
        <v>1128</v>
      </c>
      <c r="F637" s="7" t="str" cm="1">
        <f t="array" ref="F637">INDEX(공급업체코드!$B$3:$B$1000,MATCH(1,(E637=공급업체코드!$D$3:$D$1000)*1,0))</f>
        <v>VM_BKT</v>
      </c>
      <c r="G637" s="18" t="s">
        <v>1881</v>
      </c>
      <c r="H637" s="64"/>
      <c r="I637" s="64"/>
      <c r="J637" s="64"/>
      <c r="K637" s="300">
        <v>1.1000000000000001</v>
      </c>
      <c r="L637" s="300">
        <v>1.3</v>
      </c>
      <c r="M637" s="64">
        <v>594</v>
      </c>
      <c r="N637" s="64"/>
      <c r="O637" s="64"/>
      <c r="P637" s="64"/>
      <c r="Q637" s="64"/>
      <c r="R637" s="70"/>
      <c r="T637" s="64"/>
      <c r="X637">
        <v>0.123</v>
      </c>
      <c r="Y637" s="258" t="s">
        <v>1313</v>
      </c>
      <c r="AA637" s="259" t="s">
        <v>1314</v>
      </c>
      <c r="AB637" s="20" t="s">
        <v>1061</v>
      </c>
      <c r="AC637">
        <f t="shared" si="19"/>
        <v>2970000000</v>
      </c>
      <c r="AE637" s="18" t="s">
        <v>1315</v>
      </c>
      <c r="AF637" s="1" t="b">
        <v>1</v>
      </c>
    </row>
    <row r="638" spans="2:32" ht="16.5" customHeight="1">
      <c r="B638" s="1" t="str">
        <f t="shared" si="18"/>
        <v>M_TDIF04_VM_BKT_1.3_595</v>
      </c>
      <c r="C638" s="92" t="s">
        <v>700</v>
      </c>
      <c r="D638" s="92" t="str" cm="1">
        <f t="array" ref="D638">INDEX(기계코드!$D$4:$D$214,MATCH(1,(C638=기계코드!$F$4:$F$214)*1,0))</f>
        <v>M_TDIF04</v>
      </c>
      <c r="E638" s="92" t="s">
        <v>1128</v>
      </c>
      <c r="F638" s="7" t="str" cm="1">
        <f t="array" ref="F638">INDEX(공급업체코드!$B$3:$B$1000,MATCH(1,(E638=공급업체코드!$D$3:$D$1000)*1,0))</f>
        <v>VM_BKT</v>
      </c>
      <c r="G638" s="18" t="s">
        <v>1881</v>
      </c>
      <c r="H638" s="64"/>
      <c r="I638" s="64"/>
      <c r="J638" s="64"/>
      <c r="K638" s="300">
        <v>1.1000000000000001</v>
      </c>
      <c r="L638" s="300">
        <v>1.3</v>
      </c>
      <c r="M638" s="64">
        <v>595</v>
      </c>
      <c r="N638" s="64"/>
      <c r="O638" s="64"/>
      <c r="P638" s="64"/>
      <c r="Q638" s="64"/>
      <c r="R638" s="70"/>
      <c r="T638" s="64"/>
      <c r="X638">
        <v>0.123</v>
      </c>
      <c r="Y638" s="258" t="s">
        <v>1313</v>
      </c>
      <c r="AA638" s="259" t="s">
        <v>1314</v>
      </c>
      <c r="AB638" s="20" t="s">
        <v>1061</v>
      </c>
      <c r="AC638">
        <f t="shared" si="19"/>
        <v>2975000000</v>
      </c>
      <c r="AE638" s="18" t="s">
        <v>1315</v>
      </c>
      <c r="AF638" s="1" t="b">
        <v>1</v>
      </c>
    </row>
    <row r="639" spans="2:32" ht="16.5" customHeight="1">
      <c r="B639" s="1" t="str">
        <f t="shared" si="18"/>
        <v>M_TDIF04_VM_BKT_1.3_596</v>
      </c>
      <c r="C639" s="92" t="s">
        <v>700</v>
      </c>
      <c r="D639" s="92" t="str" cm="1">
        <f t="array" ref="D639">INDEX(기계코드!$D$4:$D$214,MATCH(1,(C639=기계코드!$F$4:$F$214)*1,0))</f>
        <v>M_TDIF04</v>
      </c>
      <c r="E639" s="92" t="s">
        <v>1128</v>
      </c>
      <c r="F639" s="7" t="str" cm="1">
        <f t="array" ref="F639">INDEX(공급업체코드!$B$3:$B$1000,MATCH(1,(E639=공급업체코드!$D$3:$D$1000)*1,0))</f>
        <v>VM_BKT</v>
      </c>
      <c r="G639" s="18" t="s">
        <v>1881</v>
      </c>
      <c r="H639" s="64"/>
      <c r="I639" s="64"/>
      <c r="J639" s="64"/>
      <c r="K639" s="300">
        <v>1.1000000000000001</v>
      </c>
      <c r="L639" s="300">
        <v>1.3</v>
      </c>
      <c r="M639" s="64">
        <v>596</v>
      </c>
      <c r="N639" s="64"/>
      <c r="O639" s="64"/>
      <c r="P639" s="64"/>
      <c r="Q639" s="64"/>
      <c r="R639" s="70"/>
      <c r="T639" s="64"/>
      <c r="X639">
        <v>0.123</v>
      </c>
      <c r="Y639" s="258" t="s">
        <v>1313</v>
      </c>
      <c r="AA639" s="259" t="s">
        <v>1314</v>
      </c>
      <c r="AB639" s="20" t="s">
        <v>1061</v>
      </c>
      <c r="AC639">
        <f t="shared" si="19"/>
        <v>2980000000</v>
      </c>
      <c r="AE639" s="18" t="s">
        <v>1315</v>
      </c>
      <c r="AF639" s="1" t="b">
        <v>1</v>
      </c>
    </row>
    <row r="640" spans="2:32" ht="16.5" customHeight="1">
      <c r="B640" s="1" t="str">
        <f t="shared" si="18"/>
        <v>M_TDIF04_VM_BKT_1.3_597</v>
      </c>
      <c r="C640" s="92" t="s">
        <v>700</v>
      </c>
      <c r="D640" s="92" t="str" cm="1">
        <f t="array" ref="D640">INDEX(기계코드!$D$4:$D$214,MATCH(1,(C640=기계코드!$F$4:$F$214)*1,0))</f>
        <v>M_TDIF04</v>
      </c>
      <c r="E640" s="92" t="s">
        <v>1128</v>
      </c>
      <c r="F640" s="7" t="str" cm="1">
        <f t="array" ref="F640">INDEX(공급업체코드!$B$3:$B$1000,MATCH(1,(E640=공급업체코드!$D$3:$D$1000)*1,0))</f>
        <v>VM_BKT</v>
      </c>
      <c r="G640" s="18" t="s">
        <v>1881</v>
      </c>
      <c r="H640" s="64"/>
      <c r="I640" s="64"/>
      <c r="J640" s="64"/>
      <c r="K640" s="300">
        <v>1.1000000000000001</v>
      </c>
      <c r="L640" s="300">
        <v>1.3</v>
      </c>
      <c r="M640" s="64">
        <v>597</v>
      </c>
      <c r="N640" s="64"/>
      <c r="O640" s="64"/>
      <c r="P640" s="64"/>
      <c r="Q640" s="64"/>
      <c r="R640" s="70"/>
      <c r="T640" s="64"/>
      <c r="X640">
        <v>0.123</v>
      </c>
      <c r="Y640" s="258" t="s">
        <v>1313</v>
      </c>
      <c r="AA640" s="259" t="s">
        <v>1314</v>
      </c>
      <c r="AB640" s="20" t="s">
        <v>1061</v>
      </c>
      <c r="AC640">
        <f t="shared" si="19"/>
        <v>2985000000</v>
      </c>
      <c r="AE640" s="18" t="s">
        <v>1315</v>
      </c>
      <c r="AF640" s="1" t="b">
        <v>1</v>
      </c>
    </row>
    <row r="641" spans="2:32" ht="16.5" customHeight="1">
      <c r="B641" s="1" t="str">
        <f t="shared" si="18"/>
        <v>M_TDIF04_VM_BKT_1.3_598</v>
      </c>
      <c r="C641" s="92" t="s">
        <v>700</v>
      </c>
      <c r="D641" s="92" t="str" cm="1">
        <f t="array" ref="D641">INDEX(기계코드!$D$4:$D$214,MATCH(1,(C641=기계코드!$F$4:$F$214)*1,0))</f>
        <v>M_TDIF04</v>
      </c>
      <c r="E641" s="92" t="s">
        <v>1128</v>
      </c>
      <c r="F641" s="7" t="str" cm="1">
        <f t="array" ref="F641">INDEX(공급업체코드!$B$3:$B$1000,MATCH(1,(E641=공급업체코드!$D$3:$D$1000)*1,0))</f>
        <v>VM_BKT</v>
      </c>
      <c r="G641" s="18" t="s">
        <v>1881</v>
      </c>
      <c r="H641" s="64"/>
      <c r="I641" s="64"/>
      <c r="J641" s="64"/>
      <c r="K641" s="300">
        <v>1.1000000000000001</v>
      </c>
      <c r="L641" s="300">
        <v>1.3</v>
      </c>
      <c r="M641" s="64">
        <v>598</v>
      </c>
      <c r="N641" s="64"/>
      <c r="O641" s="64"/>
      <c r="P641" s="64"/>
      <c r="Q641" s="64"/>
      <c r="R641" s="70"/>
      <c r="T641" s="64"/>
      <c r="X641">
        <v>0.123</v>
      </c>
      <c r="Y641" s="258" t="s">
        <v>1313</v>
      </c>
      <c r="AA641" s="259" t="s">
        <v>1314</v>
      </c>
      <c r="AB641" s="20" t="s">
        <v>1061</v>
      </c>
      <c r="AC641">
        <f t="shared" si="19"/>
        <v>2990000000</v>
      </c>
      <c r="AE641" s="18" t="s">
        <v>1315</v>
      </c>
      <c r="AF641" s="1" t="b">
        <v>1</v>
      </c>
    </row>
    <row r="642" spans="2:32" ht="16.5" customHeight="1">
      <c r="B642" s="1" t="str">
        <f t="shared" si="18"/>
        <v>M_TDIF04_VM_BKT_1.3_599</v>
      </c>
      <c r="C642" s="92" t="s">
        <v>700</v>
      </c>
      <c r="D642" s="92" t="str" cm="1">
        <f t="array" ref="D642">INDEX(기계코드!$D$4:$D$214,MATCH(1,(C642=기계코드!$F$4:$F$214)*1,0))</f>
        <v>M_TDIF04</v>
      </c>
      <c r="E642" s="92" t="s">
        <v>1128</v>
      </c>
      <c r="F642" s="7" t="str" cm="1">
        <f t="array" ref="F642">INDEX(공급업체코드!$B$3:$B$1000,MATCH(1,(E642=공급업체코드!$D$3:$D$1000)*1,0))</f>
        <v>VM_BKT</v>
      </c>
      <c r="G642" s="18" t="s">
        <v>1881</v>
      </c>
      <c r="H642" s="64"/>
      <c r="I642" s="64"/>
      <c r="J642" s="64"/>
      <c r="K642" s="300">
        <v>1.1000000000000001</v>
      </c>
      <c r="L642" s="300">
        <v>1.3</v>
      </c>
      <c r="M642" s="64">
        <v>599</v>
      </c>
      <c r="N642" s="64"/>
      <c r="O642" s="64"/>
      <c r="P642" s="64"/>
      <c r="Q642" s="64"/>
      <c r="R642" s="70"/>
      <c r="T642" s="64"/>
      <c r="X642">
        <v>0.123</v>
      </c>
      <c r="Y642" s="258" t="s">
        <v>1313</v>
      </c>
      <c r="AA642" s="259" t="s">
        <v>1314</v>
      </c>
      <c r="AB642" s="20" t="s">
        <v>1061</v>
      </c>
      <c r="AC642">
        <f t="shared" si="19"/>
        <v>2995000000</v>
      </c>
      <c r="AE642" s="18" t="s">
        <v>1315</v>
      </c>
      <c r="AF642" s="1" t="b">
        <v>1</v>
      </c>
    </row>
    <row r="643" spans="2:32" ht="16.5" customHeight="1">
      <c r="B643" s="1" t="str">
        <f t="shared" si="18"/>
        <v>M_TDIF04_VM_BKT_1.3_600</v>
      </c>
      <c r="C643" s="92" t="s">
        <v>700</v>
      </c>
      <c r="D643" s="92" t="str" cm="1">
        <f t="array" ref="D643">INDEX(기계코드!$D$4:$D$214,MATCH(1,(C643=기계코드!$F$4:$F$214)*1,0))</f>
        <v>M_TDIF04</v>
      </c>
      <c r="E643" s="92" t="s">
        <v>1128</v>
      </c>
      <c r="F643" s="7" t="str" cm="1">
        <f t="array" ref="F643">INDEX(공급업체코드!$B$3:$B$1000,MATCH(1,(E643=공급업체코드!$D$3:$D$1000)*1,0))</f>
        <v>VM_BKT</v>
      </c>
      <c r="G643" s="18" t="s">
        <v>1881</v>
      </c>
      <c r="H643" s="64"/>
      <c r="I643" s="64"/>
      <c r="J643" s="64"/>
      <c r="K643" s="300">
        <v>1.1000000000000001</v>
      </c>
      <c r="L643" s="300">
        <v>1.3</v>
      </c>
      <c r="M643" s="64">
        <v>600</v>
      </c>
      <c r="N643" s="64"/>
      <c r="O643" s="64"/>
      <c r="P643" s="64"/>
      <c r="Q643" s="64"/>
      <c r="R643" s="70"/>
      <c r="T643" s="64"/>
      <c r="X643">
        <v>0.123</v>
      </c>
      <c r="Y643" s="258" t="s">
        <v>1313</v>
      </c>
      <c r="AA643" s="259" t="s">
        <v>1314</v>
      </c>
      <c r="AB643" s="20" t="s">
        <v>1061</v>
      </c>
      <c r="AC643">
        <f t="shared" si="19"/>
        <v>3000000000</v>
      </c>
      <c r="AE643" s="18" t="s">
        <v>1315</v>
      </c>
      <c r="AF643" s="1" t="b">
        <v>1</v>
      </c>
    </row>
    <row r="644" spans="2:32" ht="16.5" customHeight="1">
      <c r="B644" s="1" t="str">
        <f t="shared" si="18"/>
        <v>M_TDIF04_VM_BKT_1.3_601</v>
      </c>
      <c r="C644" s="92" t="s">
        <v>700</v>
      </c>
      <c r="D644" s="92" t="str" cm="1">
        <f t="array" ref="D644">INDEX(기계코드!$D$4:$D$214,MATCH(1,(C644=기계코드!$F$4:$F$214)*1,0))</f>
        <v>M_TDIF04</v>
      </c>
      <c r="E644" s="92" t="s">
        <v>1128</v>
      </c>
      <c r="F644" s="7" t="str" cm="1">
        <f t="array" ref="F644">INDEX(공급업체코드!$B$3:$B$1000,MATCH(1,(E644=공급업체코드!$D$3:$D$1000)*1,0))</f>
        <v>VM_BKT</v>
      </c>
      <c r="G644" s="18" t="s">
        <v>1881</v>
      </c>
      <c r="H644" s="64"/>
      <c r="I644" s="64"/>
      <c r="J644" s="64"/>
      <c r="K644" s="300">
        <v>1.1000000000000001</v>
      </c>
      <c r="L644" s="300">
        <v>1.3</v>
      </c>
      <c r="M644" s="64">
        <v>601</v>
      </c>
      <c r="N644" s="64"/>
      <c r="O644" s="64"/>
      <c r="P644" s="64"/>
      <c r="Q644" s="64"/>
      <c r="R644" s="70"/>
      <c r="T644" s="64"/>
      <c r="X644">
        <v>0.123</v>
      </c>
      <c r="Y644" s="258" t="s">
        <v>1313</v>
      </c>
      <c r="AA644" s="259" t="s">
        <v>1314</v>
      </c>
      <c r="AB644" s="20" t="s">
        <v>1061</v>
      </c>
      <c r="AC644">
        <f t="shared" si="19"/>
        <v>3005000000</v>
      </c>
      <c r="AE644" s="18" t="s">
        <v>1315</v>
      </c>
      <c r="AF644" s="1" t="b">
        <v>1</v>
      </c>
    </row>
    <row r="645" spans="2:32" ht="16.5" customHeight="1">
      <c r="B645" s="1" t="str">
        <f t="shared" si="18"/>
        <v>M_TDIF04_VM_BKT_1.3_602</v>
      </c>
      <c r="C645" s="92" t="s">
        <v>700</v>
      </c>
      <c r="D645" s="92" t="str" cm="1">
        <f t="array" ref="D645">INDEX(기계코드!$D$4:$D$214,MATCH(1,(C645=기계코드!$F$4:$F$214)*1,0))</f>
        <v>M_TDIF04</v>
      </c>
      <c r="E645" s="92" t="s">
        <v>1128</v>
      </c>
      <c r="F645" s="7" t="str" cm="1">
        <f t="array" ref="F645">INDEX(공급업체코드!$B$3:$B$1000,MATCH(1,(E645=공급업체코드!$D$3:$D$1000)*1,0))</f>
        <v>VM_BKT</v>
      </c>
      <c r="G645" s="18" t="s">
        <v>1881</v>
      </c>
      <c r="H645" s="64"/>
      <c r="I645" s="64"/>
      <c r="J645" s="64"/>
      <c r="K645" s="300">
        <v>1.1000000000000001</v>
      </c>
      <c r="L645" s="300">
        <v>1.3</v>
      </c>
      <c r="M645" s="64">
        <v>602</v>
      </c>
      <c r="N645" s="64"/>
      <c r="O645" s="64"/>
      <c r="P645" s="64"/>
      <c r="Q645" s="64"/>
      <c r="R645" s="70"/>
      <c r="T645" s="64"/>
      <c r="X645">
        <v>0.123</v>
      </c>
      <c r="Y645" s="258" t="s">
        <v>1313</v>
      </c>
      <c r="AA645" s="259" t="s">
        <v>1314</v>
      </c>
      <c r="AB645" s="20" t="s">
        <v>1061</v>
      </c>
      <c r="AC645">
        <f t="shared" si="19"/>
        <v>3010000000</v>
      </c>
      <c r="AE645" s="18" t="s">
        <v>1315</v>
      </c>
      <c r="AF645" s="1" t="b">
        <v>1</v>
      </c>
    </row>
    <row r="646" spans="2:32" ht="16.5" customHeight="1">
      <c r="B646" s="1" t="str">
        <f t="shared" si="18"/>
        <v>M_TDIF04_VM_BKT_1.3_603</v>
      </c>
      <c r="C646" s="92" t="s">
        <v>700</v>
      </c>
      <c r="D646" s="92" t="str" cm="1">
        <f t="array" ref="D646">INDEX(기계코드!$D$4:$D$214,MATCH(1,(C646=기계코드!$F$4:$F$214)*1,0))</f>
        <v>M_TDIF04</v>
      </c>
      <c r="E646" s="92" t="s">
        <v>1128</v>
      </c>
      <c r="F646" s="7" t="str" cm="1">
        <f t="array" ref="F646">INDEX(공급업체코드!$B$3:$B$1000,MATCH(1,(E646=공급업체코드!$D$3:$D$1000)*1,0))</f>
        <v>VM_BKT</v>
      </c>
      <c r="G646" s="18" t="s">
        <v>1881</v>
      </c>
      <c r="H646" s="64"/>
      <c r="I646" s="64"/>
      <c r="J646" s="64"/>
      <c r="K646" s="300">
        <v>1.1000000000000001</v>
      </c>
      <c r="L646" s="300">
        <v>1.3</v>
      </c>
      <c r="M646" s="64">
        <v>603</v>
      </c>
      <c r="N646" s="64"/>
      <c r="O646" s="64"/>
      <c r="P646" s="64"/>
      <c r="Q646" s="64"/>
      <c r="R646" s="70"/>
      <c r="T646" s="64"/>
      <c r="X646">
        <v>0.123</v>
      </c>
      <c r="Y646" s="258" t="s">
        <v>1313</v>
      </c>
      <c r="AA646" s="259" t="s">
        <v>1314</v>
      </c>
      <c r="AB646" s="20" t="s">
        <v>1061</v>
      </c>
      <c r="AC646">
        <f t="shared" si="19"/>
        <v>3015000000</v>
      </c>
      <c r="AE646" s="18" t="s">
        <v>1315</v>
      </c>
      <c r="AF646" s="1" t="b">
        <v>1</v>
      </c>
    </row>
    <row r="647" spans="2:32" ht="16.5" customHeight="1">
      <c r="B647" s="1" t="str">
        <f t="shared" si="18"/>
        <v>M_TDIF04_VM_BKT_1.3_604</v>
      </c>
      <c r="C647" s="92" t="s">
        <v>700</v>
      </c>
      <c r="D647" s="92" t="str" cm="1">
        <f t="array" ref="D647">INDEX(기계코드!$D$4:$D$214,MATCH(1,(C647=기계코드!$F$4:$F$214)*1,0))</f>
        <v>M_TDIF04</v>
      </c>
      <c r="E647" s="92" t="s">
        <v>1128</v>
      </c>
      <c r="F647" s="7" t="str" cm="1">
        <f t="array" ref="F647">INDEX(공급업체코드!$B$3:$B$1000,MATCH(1,(E647=공급업체코드!$D$3:$D$1000)*1,0))</f>
        <v>VM_BKT</v>
      </c>
      <c r="G647" s="18" t="s">
        <v>1881</v>
      </c>
      <c r="H647" s="64"/>
      <c r="I647" s="64"/>
      <c r="J647" s="64"/>
      <c r="K647" s="300">
        <v>1.1000000000000001</v>
      </c>
      <c r="L647" s="300">
        <v>1.3</v>
      </c>
      <c r="M647" s="64">
        <v>604</v>
      </c>
      <c r="N647" s="64"/>
      <c r="O647" s="64"/>
      <c r="P647" s="64"/>
      <c r="Q647" s="64"/>
      <c r="R647" s="70"/>
      <c r="T647" s="64"/>
      <c r="X647">
        <v>0.123</v>
      </c>
      <c r="Y647" s="258" t="s">
        <v>1313</v>
      </c>
      <c r="AA647" s="259" t="s">
        <v>1314</v>
      </c>
      <c r="AB647" s="20" t="s">
        <v>1061</v>
      </c>
      <c r="AC647">
        <f t="shared" si="19"/>
        <v>3020000000</v>
      </c>
      <c r="AE647" s="18" t="s">
        <v>1315</v>
      </c>
      <c r="AF647" s="1" t="b">
        <v>1</v>
      </c>
    </row>
    <row r="648" spans="2:32" ht="16.5" customHeight="1">
      <c r="B648" s="1" t="str">
        <f t="shared" si="18"/>
        <v>M_TDIF04_VM_BKT_1.3_605</v>
      </c>
      <c r="C648" s="92" t="s">
        <v>700</v>
      </c>
      <c r="D648" s="92" t="str" cm="1">
        <f t="array" ref="D648">INDEX(기계코드!$D$4:$D$214,MATCH(1,(C648=기계코드!$F$4:$F$214)*1,0))</f>
        <v>M_TDIF04</v>
      </c>
      <c r="E648" s="92" t="s">
        <v>1128</v>
      </c>
      <c r="F648" s="7" t="str" cm="1">
        <f t="array" ref="F648">INDEX(공급업체코드!$B$3:$B$1000,MATCH(1,(E648=공급업체코드!$D$3:$D$1000)*1,0))</f>
        <v>VM_BKT</v>
      </c>
      <c r="G648" s="18" t="s">
        <v>1881</v>
      </c>
      <c r="H648" s="64"/>
      <c r="I648" s="64"/>
      <c r="J648" s="64"/>
      <c r="K648" s="300">
        <v>1.1000000000000001</v>
      </c>
      <c r="L648" s="300">
        <v>1.3</v>
      </c>
      <c r="M648" s="64">
        <v>605</v>
      </c>
      <c r="N648" s="64"/>
      <c r="O648" s="64"/>
      <c r="P648" s="64"/>
      <c r="Q648" s="64"/>
      <c r="R648" s="70"/>
      <c r="T648" s="64"/>
      <c r="X648">
        <v>0.123</v>
      </c>
      <c r="Y648" s="258" t="s">
        <v>1313</v>
      </c>
      <c r="AA648" s="259" t="s">
        <v>1314</v>
      </c>
      <c r="AB648" s="20" t="s">
        <v>1061</v>
      </c>
      <c r="AC648">
        <f t="shared" si="19"/>
        <v>3025000000</v>
      </c>
      <c r="AE648" s="18" t="s">
        <v>1315</v>
      </c>
      <c r="AF648" s="1" t="b">
        <v>1</v>
      </c>
    </row>
    <row r="649" spans="2:32" ht="16.5" customHeight="1">
      <c r="B649" s="1" t="str">
        <f t="shared" si="18"/>
        <v>M_TDIF04_VM_BKT_1.3_606</v>
      </c>
      <c r="C649" s="92" t="s">
        <v>700</v>
      </c>
      <c r="D649" s="92" t="str" cm="1">
        <f t="array" ref="D649">INDEX(기계코드!$D$4:$D$214,MATCH(1,(C649=기계코드!$F$4:$F$214)*1,0))</f>
        <v>M_TDIF04</v>
      </c>
      <c r="E649" s="92" t="s">
        <v>1128</v>
      </c>
      <c r="F649" s="7" t="str" cm="1">
        <f t="array" ref="F649">INDEX(공급업체코드!$B$3:$B$1000,MATCH(1,(E649=공급업체코드!$D$3:$D$1000)*1,0))</f>
        <v>VM_BKT</v>
      </c>
      <c r="G649" s="18" t="s">
        <v>1881</v>
      </c>
      <c r="H649" s="64"/>
      <c r="I649" s="64"/>
      <c r="J649" s="64"/>
      <c r="K649" s="300">
        <v>1.1000000000000001</v>
      </c>
      <c r="L649" s="300">
        <v>1.3</v>
      </c>
      <c r="M649" s="64">
        <v>606</v>
      </c>
      <c r="N649" s="64"/>
      <c r="O649" s="64"/>
      <c r="P649" s="64"/>
      <c r="Q649" s="64"/>
      <c r="R649" s="70"/>
      <c r="T649" s="64"/>
      <c r="X649">
        <v>0.123</v>
      </c>
      <c r="Y649" s="258" t="s">
        <v>1313</v>
      </c>
      <c r="AA649" s="259" t="s">
        <v>1314</v>
      </c>
      <c r="AB649" s="20" t="s">
        <v>1061</v>
      </c>
      <c r="AC649">
        <f t="shared" si="19"/>
        <v>3030000000</v>
      </c>
      <c r="AE649" s="18" t="s">
        <v>1315</v>
      </c>
      <c r="AF649" s="1" t="b">
        <v>1</v>
      </c>
    </row>
    <row r="650" spans="2:32" ht="16.5" customHeight="1">
      <c r="B650" s="1" t="str">
        <f t="shared" si="18"/>
        <v>M_TDIF04_VM_BKT_1.3_607</v>
      </c>
      <c r="C650" s="92" t="s">
        <v>700</v>
      </c>
      <c r="D650" s="92" t="str" cm="1">
        <f t="array" ref="D650">INDEX(기계코드!$D$4:$D$214,MATCH(1,(C650=기계코드!$F$4:$F$214)*1,0))</f>
        <v>M_TDIF04</v>
      </c>
      <c r="E650" s="92" t="s">
        <v>1128</v>
      </c>
      <c r="F650" s="7" t="str" cm="1">
        <f t="array" ref="F650">INDEX(공급업체코드!$B$3:$B$1000,MATCH(1,(E650=공급업체코드!$D$3:$D$1000)*1,0))</f>
        <v>VM_BKT</v>
      </c>
      <c r="G650" s="18" t="s">
        <v>1881</v>
      </c>
      <c r="H650" s="64"/>
      <c r="I650" s="64"/>
      <c r="J650" s="64"/>
      <c r="K650" s="300">
        <v>1.1000000000000001</v>
      </c>
      <c r="L650" s="300">
        <v>1.3</v>
      </c>
      <c r="M650" s="64">
        <v>607</v>
      </c>
      <c r="N650" s="64"/>
      <c r="O650" s="64"/>
      <c r="P650" s="64"/>
      <c r="Q650" s="64"/>
      <c r="R650" s="70"/>
      <c r="T650" s="64"/>
      <c r="X650">
        <v>0.123</v>
      </c>
      <c r="Y650" s="258" t="s">
        <v>1313</v>
      </c>
      <c r="AA650" s="259" t="s">
        <v>1314</v>
      </c>
      <c r="AB650" s="20" t="s">
        <v>1061</v>
      </c>
      <c r="AC650">
        <f t="shared" si="19"/>
        <v>3035000000</v>
      </c>
      <c r="AE650" s="18" t="s">
        <v>1315</v>
      </c>
      <c r="AF650" s="1" t="b">
        <v>1</v>
      </c>
    </row>
    <row r="651" spans="2:32" ht="16.5" customHeight="1">
      <c r="B651" s="1" t="str">
        <f t="shared" si="18"/>
        <v>M_TDIF04_VM_BKT_1.3_608</v>
      </c>
      <c r="C651" s="92" t="s">
        <v>700</v>
      </c>
      <c r="D651" s="92" t="str" cm="1">
        <f t="array" ref="D651">INDEX(기계코드!$D$4:$D$214,MATCH(1,(C651=기계코드!$F$4:$F$214)*1,0))</f>
        <v>M_TDIF04</v>
      </c>
      <c r="E651" s="92" t="s">
        <v>1128</v>
      </c>
      <c r="F651" s="7" t="str" cm="1">
        <f t="array" ref="F651">INDEX(공급업체코드!$B$3:$B$1000,MATCH(1,(E651=공급업체코드!$D$3:$D$1000)*1,0))</f>
        <v>VM_BKT</v>
      </c>
      <c r="G651" s="18" t="s">
        <v>1881</v>
      </c>
      <c r="H651" s="64"/>
      <c r="I651" s="64"/>
      <c r="J651" s="64"/>
      <c r="K651" s="300">
        <v>1.1000000000000001</v>
      </c>
      <c r="L651" s="300">
        <v>1.3</v>
      </c>
      <c r="M651" s="64">
        <v>608</v>
      </c>
      <c r="N651" s="64"/>
      <c r="O651" s="64"/>
      <c r="P651" s="64"/>
      <c r="Q651" s="64"/>
      <c r="R651" s="70"/>
      <c r="T651" s="64"/>
      <c r="X651">
        <v>0.123</v>
      </c>
      <c r="Y651" s="258" t="s">
        <v>1313</v>
      </c>
      <c r="AA651" s="259" t="s">
        <v>1314</v>
      </c>
      <c r="AB651" s="20" t="s">
        <v>1061</v>
      </c>
      <c r="AC651">
        <f t="shared" si="19"/>
        <v>3040000000</v>
      </c>
      <c r="AE651" s="18" t="s">
        <v>1315</v>
      </c>
      <c r="AF651" s="1" t="b">
        <v>1</v>
      </c>
    </row>
    <row r="652" spans="2:32" ht="16.5" customHeight="1">
      <c r="B652" s="1" t="str">
        <f t="shared" si="18"/>
        <v>M_TDIF04_VM_BKT_1.3_609</v>
      </c>
      <c r="C652" s="92" t="s">
        <v>700</v>
      </c>
      <c r="D652" s="92" t="str" cm="1">
        <f t="array" ref="D652">INDEX(기계코드!$D$4:$D$214,MATCH(1,(C652=기계코드!$F$4:$F$214)*1,0))</f>
        <v>M_TDIF04</v>
      </c>
      <c r="E652" s="92" t="s">
        <v>1128</v>
      </c>
      <c r="F652" s="7" t="str" cm="1">
        <f t="array" ref="F652">INDEX(공급업체코드!$B$3:$B$1000,MATCH(1,(E652=공급업체코드!$D$3:$D$1000)*1,0))</f>
        <v>VM_BKT</v>
      </c>
      <c r="G652" s="18" t="s">
        <v>1881</v>
      </c>
      <c r="H652" s="64"/>
      <c r="I652" s="64"/>
      <c r="J652" s="64"/>
      <c r="K652" s="300">
        <v>1.1000000000000001</v>
      </c>
      <c r="L652" s="300">
        <v>1.3</v>
      </c>
      <c r="M652" s="64">
        <v>609</v>
      </c>
      <c r="N652" s="64"/>
      <c r="O652" s="64"/>
      <c r="P652" s="64"/>
      <c r="Q652" s="64"/>
      <c r="R652" s="70"/>
      <c r="T652" s="64"/>
      <c r="X652">
        <v>0.123</v>
      </c>
      <c r="Y652" s="258" t="s">
        <v>1313</v>
      </c>
      <c r="AA652" s="259" t="s">
        <v>1314</v>
      </c>
      <c r="AB652" s="20" t="s">
        <v>1061</v>
      </c>
      <c r="AC652">
        <f t="shared" si="19"/>
        <v>3045000000</v>
      </c>
      <c r="AE652" s="18" t="s">
        <v>1315</v>
      </c>
      <c r="AF652" s="1" t="b">
        <v>1</v>
      </c>
    </row>
    <row r="653" spans="2:32" ht="16.5" customHeight="1">
      <c r="B653" s="1" t="str">
        <f t="shared" si="18"/>
        <v>M_TDIF04_VM_BKT_1.3_610</v>
      </c>
      <c r="C653" s="92" t="s">
        <v>700</v>
      </c>
      <c r="D653" s="92" t="str" cm="1">
        <f t="array" ref="D653">INDEX(기계코드!$D$4:$D$214,MATCH(1,(C653=기계코드!$F$4:$F$214)*1,0))</f>
        <v>M_TDIF04</v>
      </c>
      <c r="E653" s="92" t="s">
        <v>1128</v>
      </c>
      <c r="F653" s="7" t="str" cm="1">
        <f t="array" ref="F653">INDEX(공급업체코드!$B$3:$B$1000,MATCH(1,(E653=공급업체코드!$D$3:$D$1000)*1,0))</f>
        <v>VM_BKT</v>
      </c>
      <c r="G653" s="18" t="s">
        <v>1881</v>
      </c>
      <c r="H653" s="64"/>
      <c r="I653" s="64"/>
      <c r="J653" s="64"/>
      <c r="K653" s="300">
        <v>1.1000000000000001</v>
      </c>
      <c r="L653" s="300">
        <v>1.3</v>
      </c>
      <c r="M653" s="64">
        <v>610</v>
      </c>
      <c r="N653" s="64"/>
      <c r="O653" s="64"/>
      <c r="P653" s="64"/>
      <c r="Q653" s="64"/>
      <c r="R653" s="70"/>
      <c r="T653" s="64"/>
      <c r="X653">
        <v>0.123</v>
      </c>
      <c r="Y653" s="258" t="s">
        <v>1313</v>
      </c>
      <c r="AA653" s="259" t="s">
        <v>1314</v>
      </c>
      <c r="AB653" s="20" t="s">
        <v>1061</v>
      </c>
      <c r="AC653">
        <f t="shared" si="19"/>
        <v>3050000000</v>
      </c>
      <c r="AE653" s="18" t="s">
        <v>1315</v>
      </c>
      <c r="AF653" s="1" t="b">
        <v>1</v>
      </c>
    </row>
    <row r="654" spans="2:32" ht="16.5" customHeight="1">
      <c r="B654" s="1" t="str">
        <f t="shared" si="18"/>
        <v>M_TDIF04_VM_BKT_1.3_611</v>
      </c>
      <c r="C654" s="92" t="s">
        <v>700</v>
      </c>
      <c r="D654" s="92" t="str" cm="1">
        <f t="array" ref="D654">INDEX(기계코드!$D$4:$D$214,MATCH(1,(C654=기계코드!$F$4:$F$214)*1,0))</f>
        <v>M_TDIF04</v>
      </c>
      <c r="E654" s="92" t="s">
        <v>1128</v>
      </c>
      <c r="F654" s="7" t="str" cm="1">
        <f t="array" ref="F654">INDEX(공급업체코드!$B$3:$B$1000,MATCH(1,(E654=공급업체코드!$D$3:$D$1000)*1,0))</f>
        <v>VM_BKT</v>
      </c>
      <c r="G654" s="18" t="s">
        <v>1881</v>
      </c>
      <c r="H654" s="64"/>
      <c r="I654" s="64"/>
      <c r="J654" s="64"/>
      <c r="K654" s="300">
        <v>1.1000000000000001</v>
      </c>
      <c r="L654" s="300">
        <v>1.3</v>
      </c>
      <c r="M654" s="64">
        <v>611</v>
      </c>
      <c r="N654" s="64"/>
      <c r="O654" s="64"/>
      <c r="P654" s="64"/>
      <c r="Q654" s="64"/>
      <c r="R654" s="70"/>
      <c r="T654" s="64"/>
      <c r="X654">
        <v>0.123</v>
      </c>
      <c r="Y654" s="258" t="s">
        <v>1313</v>
      </c>
      <c r="AA654" s="259" t="s">
        <v>1314</v>
      </c>
      <c r="AB654" s="20" t="s">
        <v>1061</v>
      </c>
      <c r="AC654">
        <f t="shared" si="19"/>
        <v>3055000000</v>
      </c>
      <c r="AE654" s="18" t="s">
        <v>1315</v>
      </c>
      <c r="AF654" s="1" t="b">
        <v>1</v>
      </c>
    </row>
    <row r="655" spans="2:32" ht="16.5" customHeight="1">
      <c r="B655" s="1" t="str">
        <f t="shared" si="18"/>
        <v>M_TDIF04_VM_BKT_1.3_612</v>
      </c>
      <c r="C655" s="92" t="s">
        <v>700</v>
      </c>
      <c r="D655" s="92" t="str" cm="1">
        <f t="array" ref="D655">INDEX(기계코드!$D$4:$D$214,MATCH(1,(C655=기계코드!$F$4:$F$214)*1,0))</f>
        <v>M_TDIF04</v>
      </c>
      <c r="E655" s="92" t="s">
        <v>1128</v>
      </c>
      <c r="F655" s="7" t="str" cm="1">
        <f t="array" ref="F655">INDEX(공급업체코드!$B$3:$B$1000,MATCH(1,(E655=공급업체코드!$D$3:$D$1000)*1,0))</f>
        <v>VM_BKT</v>
      </c>
      <c r="G655" s="18" t="s">
        <v>1881</v>
      </c>
      <c r="H655" s="64"/>
      <c r="I655" s="64"/>
      <c r="J655" s="64"/>
      <c r="K655" s="300">
        <v>1.1000000000000001</v>
      </c>
      <c r="L655" s="300">
        <v>1.3</v>
      </c>
      <c r="M655" s="64">
        <v>612</v>
      </c>
      <c r="N655" s="64"/>
      <c r="O655" s="64"/>
      <c r="P655" s="64"/>
      <c r="Q655" s="64"/>
      <c r="R655" s="70"/>
      <c r="T655" s="64"/>
      <c r="X655">
        <v>0.123</v>
      </c>
      <c r="Y655" s="258" t="s">
        <v>1313</v>
      </c>
      <c r="AA655" s="259" t="s">
        <v>1314</v>
      </c>
      <c r="AB655" s="20" t="s">
        <v>1061</v>
      </c>
      <c r="AC655">
        <f t="shared" si="19"/>
        <v>3060000000</v>
      </c>
      <c r="AE655" s="18" t="s">
        <v>1315</v>
      </c>
      <c r="AF655" s="1" t="b">
        <v>1</v>
      </c>
    </row>
    <row r="656" spans="2:32" ht="16.5" customHeight="1">
      <c r="B656" s="1" t="str">
        <f t="shared" si="18"/>
        <v>M_TDIF04_VM_BKT_1.3_613</v>
      </c>
      <c r="C656" s="92" t="s">
        <v>700</v>
      </c>
      <c r="D656" s="92" t="str" cm="1">
        <f t="array" ref="D656">INDEX(기계코드!$D$4:$D$214,MATCH(1,(C656=기계코드!$F$4:$F$214)*1,0))</f>
        <v>M_TDIF04</v>
      </c>
      <c r="E656" s="92" t="s">
        <v>1128</v>
      </c>
      <c r="F656" s="7" t="str" cm="1">
        <f t="array" ref="F656">INDEX(공급업체코드!$B$3:$B$1000,MATCH(1,(E656=공급업체코드!$D$3:$D$1000)*1,0))</f>
        <v>VM_BKT</v>
      </c>
      <c r="G656" s="18" t="s">
        <v>1881</v>
      </c>
      <c r="H656" s="64"/>
      <c r="I656" s="64"/>
      <c r="J656" s="64"/>
      <c r="K656" s="300">
        <v>1.1000000000000001</v>
      </c>
      <c r="L656" s="300">
        <v>1.3</v>
      </c>
      <c r="M656" s="64">
        <v>613</v>
      </c>
      <c r="N656" s="64"/>
      <c r="O656" s="64"/>
      <c r="P656" s="64"/>
      <c r="Q656" s="64"/>
      <c r="R656" s="70"/>
      <c r="T656" s="64"/>
      <c r="X656">
        <v>0.123</v>
      </c>
      <c r="Y656" s="258" t="s">
        <v>1313</v>
      </c>
      <c r="AA656" s="259" t="s">
        <v>1314</v>
      </c>
      <c r="AB656" s="20" t="s">
        <v>1061</v>
      </c>
      <c r="AC656">
        <f t="shared" si="19"/>
        <v>3065000000</v>
      </c>
      <c r="AE656" s="18" t="s">
        <v>1315</v>
      </c>
      <c r="AF656" s="1" t="b">
        <v>1</v>
      </c>
    </row>
    <row r="657" spans="2:32" ht="16.5" customHeight="1">
      <c r="B657" s="1" t="str">
        <f t="shared" si="18"/>
        <v>M_TDIF04_VM_BKT_1.3_614</v>
      </c>
      <c r="C657" s="92" t="s">
        <v>700</v>
      </c>
      <c r="D657" s="92" t="str" cm="1">
        <f t="array" ref="D657">INDEX(기계코드!$D$4:$D$214,MATCH(1,(C657=기계코드!$F$4:$F$214)*1,0))</f>
        <v>M_TDIF04</v>
      </c>
      <c r="E657" s="92" t="s">
        <v>1128</v>
      </c>
      <c r="F657" s="7" t="str" cm="1">
        <f t="array" ref="F657">INDEX(공급업체코드!$B$3:$B$1000,MATCH(1,(E657=공급업체코드!$D$3:$D$1000)*1,0))</f>
        <v>VM_BKT</v>
      </c>
      <c r="G657" s="18" t="s">
        <v>1881</v>
      </c>
      <c r="H657" s="64"/>
      <c r="I657" s="64"/>
      <c r="J657" s="64"/>
      <c r="K657" s="300">
        <v>1.1000000000000001</v>
      </c>
      <c r="L657" s="300">
        <v>1.3</v>
      </c>
      <c r="M657" s="64">
        <v>614</v>
      </c>
      <c r="N657" s="64"/>
      <c r="O657" s="64"/>
      <c r="P657" s="64"/>
      <c r="Q657" s="64"/>
      <c r="R657" s="70"/>
      <c r="T657" s="64"/>
      <c r="X657">
        <v>0.123</v>
      </c>
      <c r="Y657" s="258" t="s">
        <v>1313</v>
      </c>
      <c r="AA657" s="259" t="s">
        <v>1314</v>
      </c>
      <c r="AB657" s="20" t="s">
        <v>1061</v>
      </c>
      <c r="AC657">
        <f t="shared" si="19"/>
        <v>3070000000</v>
      </c>
      <c r="AE657" s="18" t="s">
        <v>1315</v>
      </c>
      <c r="AF657" s="1" t="b">
        <v>1</v>
      </c>
    </row>
    <row r="658" spans="2:32" ht="16.5" customHeight="1">
      <c r="B658" s="1" t="str">
        <f t="shared" si="18"/>
        <v>M_TDIF04_VM_BKT_1.3_615</v>
      </c>
      <c r="C658" s="92" t="s">
        <v>700</v>
      </c>
      <c r="D658" s="92" t="str" cm="1">
        <f t="array" ref="D658">INDEX(기계코드!$D$4:$D$214,MATCH(1,(C658=기계코드!$F$4:$F$214)*1,0))</f>
        <v>M_TDIF04</v>
      </c>
      <c r="E658" s="92" t="s">
        <v>1128</v>
      </c>
      <c r="F658" s="7" t="str" cm="1">
        <f t="array" ref="F658">INDEX(공급업체코드!$B$3:$B$1000,MATCH(1,(E658=공급업체코드!$D$3:$D$1000)*1,0))</f>
        <v>VM_BKT</v>
      </c>
      <c r="G658" s="18" t="s">
        <v>1881</v>
      </c>
      <c r="H658" s="64"/>
      <c r="I658" s="64"/>
      <c r="J658" s="64"/>
      <c r="K658" s="300">
        <v>1.1000000000000001</v>
      </c>
      <c r="L658" s="300">
        <v>1.3</v>
      </c>
      <c r="M658" s="64">
        <v>615</v>
      </c>
      <c r="N658" s="64"/>
      <c r="O658" s="64"/>
      <c r="P658" s="64"/>
      <c r="Q658" s="64"/>
      <c r="R658" s="70"/>
      <c r="T658" s="64"/>
      <c r="X658">
        <v>0.123</v>
      </c>
      <c r="Y658" s="258" t="s">
        <v>1313</v>
      </c>
      <c r="AA658" s="259" t="s">
        <v>1314</v>
      </c>
      <c r="AB658" s="20" t="s">
        <v>1061</v>
      </c>
      <c r="AC658">
        <f t="shared" si="19"/>
        <v>3075000000</v>
      </c>
      <c r="AE658" s="18" t="s">
        <v>1315</v>
      </c>
      <c r="AF658" s="1" t="b">
        <v>1</v>
      </c>
    </row>
    <row r="659" spans="2:32" ht="16.5" customHeight="1">
      <c r="B659" s="1" t="str">
        <f t="shared" si="18"/>
        <v>M_TDIF04_VM_BKT_1.3_616</v>
      </c>
      <c r="C659" s="92" t="s">
        <v>700</v>
      </c>
      <c r="D659" s="92" t="str" cm="1">
        <f t="array" ref="D659">INDEX(기계코드!$D$4:$D$214,MATCH(1,(C659=기계코드!$F$4:$F$214)*1,0))</f>
        <v>M_TDIF04</v>
      </c>
      <c r="E659" s="92" t="s">
        <v>1128</v>
      </c>
      <c r="F659" s="7" t="str" cm="1">
        <f t="array" ref="F659">INDEX(공급업체코드!$B$3:$B$1000,MATCH(1,(E659=공급업체코드!$D$3:$D$1000)*1,0))</f>
        <v>VM_BKT</v>
      </c>
      <c r="G659" s="18" t="s">
        <v>1881</v>
      </c>
      <c r="H659" s="64"/>
      <c r="I659" s="64"/>
      <c r="J659" s="64"/>
      <c r="K659" s="300">
        <v>1.1000000000000001</v>
      </c>
      <c r="L659" s="300">
        <v>1.3</v>
      </c>
      <c r="M659" s="64">
        <v>616</v>
      </c>
      <c r="N659" s="64"/>
      <c r="O659" s="64"/>
      <c r="P659" s="64"/>
      <c r="Q659" s="64"/>
      <c r="R659" s="70"/>
      <c r="T659" s="64"/>
      <c r="X659">
        <v>0.123</v>
      </c>
      <c r="Y659" s="258" t="s">
        <v>1313</v>
      </c>
      <c r="AA659" s="259" t="s">
        <v>1314</v>
      </c>
      <c r="AB659" s="20" t="s">
        <v>1061</v>
      </c>
      <c r="AC659">
        <f t="shared" si="19"/>
        <v>3080000000</v>
      </c>
      <c r="AE659" s="18" t="s">
        <v>1315</v>
      </c>
      <c r="AF659" s="1" t="b">
        <v>1</v>
      </c>
    </row>
    <row r="660" spans="2:32" ht="16.5" customHeight="1">
      <c r="B660" s="1" t="str">
        <f t="shared" si="18"/>
        <v>M_TDIF04_VM_BKT_1.3_617</v>
      </c>
      <c r="C660" s="92" t="s">
        <v>700</v>
      </c>
      <c r="D660" s="92" t="str" cm="1">
        <f t="array" ref="D660">INDEX(기계코드!$D$4:$D$214,MATCH(1,(C660=기계코드!$F$4:$F$214)*1,0))</f>
        <v>M_TDIF04</v>
      </c>
      <c r="E660" s="92" t="s">
        <v>1128</v>
      </c>
      <c r="F660" s="7" t="str" cm="1">
        <f t="array" ref="F660">INDEX(공급업체코드!$B$3:$B$1000,MATCH(1,(E660=공급업체코드!$D$3:$D$1000)*1,0))</f>
        <v>VM_BKT</v>
      </c>
      <c r="G660" s="18" t="s">
        <v>1881</v>
      </c>
      <c r="H660" s="64"/>
      <c r="I660" s="64"/>
      <c r="J660" s="64"/>
      <c r="K660" s="300">
        <v>1.1000000000000001</v>
      </c>
      <c r="L660" s="300">
        <v>1.3</v>
      </c>
      <c r="M660" s="64">
        <v>617</v>
      </c>
      <c r="N660" s="64"/>
      <c r="O660" s="64"/>
      <c r="P660" s="64"/>
      <c r="Q660" s="64"/>
      <c r="R660" s="70"/>
      <c r="T660" s="64"/>
      <c r="X660">
        <v>0.123</v>
      </c>
      <c r="Y660" s="258" t="s">
        <v>1313</v>
      </c>
      <c r="AA660" s="259" t="s">
        <v>1314</v>
      </c>
      <c r="AB660" s="20" t="s">
        <v>1061</v>
      </c>
      <c r="AC660">
        <f t="shared" si="19"/>
        <v>3085000000</v>
      </c>
      <c r="AE660" s="18" t="s">
        <v>1315</v>
      </c>
      <c r="AF660" s="1" t="b">
        <v>1</v>
      </c>
    </row>
    <row r="661" spans="2:32" ht="16.5" customHeight="1">
      <c r="B661" s="1" t="str">
        <f t="shared" si="18"/>
        <v>M_TDIF04_VM_BKT_1.3_618</v>
      </c>
      <c r="C661" s="92" t="s">
        <v>700</v>
      </c>
      <c r="D661" s="92" t="str" cm="1">
        <f t="array" ref="D661">INDEX(기계코드!$D$4:$D$214,MATCH(1,(C661=기계코드!$F$4:$F$214)*1,0))</f>
        <v>M_TDIF04</v>
      </c>
      <c r="E661" s="92" t="s">
        <v>1128</v>
      </c>
      <c r="F661" s="7" t="str" cm="1">
        <f t="array" ref="F661">INDEX(공급업체코드!$B$3:$B$1000,MATCH(1,(E661=공급업체코드!$D$3:$D$1000)*1,0))</f>
        <v>VM_BKT</v>
      </c>
      <c r="G661" s="18" t="s">
        <v>1881</v>
      </c>
      <c r="H661" s="64"/>
      <c r="I661" s="64"/>
      <c r="J661" s="64"/>
      <c r="K661" s="300">
        <v>1.1000000000000001</v>
      </c>
      <c r="L661" s="300">
        <v>1.3</v>
      </c>
      <c r="M661" s="64">
        <v>618</v>
      </c>
      <c r="N661" s="64"/>
      <c r="O661" s="64"/>
      <c r="P661" s="64"/>
      <c r="Q661" s="64"/>
      <c r="R661" s="70"/>
      <c r="T661" s="64"/>
      <c r="X661">
        <v>0.123</v>
      </c>
      <c r="Y661" s="258" t="s">
        <v>1313</v>
      </c>
      <c r="AA661" s="259" t="s">
        <v>1314</v>
      </c>
      <c r="AB661" s="20" t="s">
        <v>1061</v>
      </c>
      <c r="AC661">
        <f t="shared" si="19"/>
        <v>3090000000</v>
      </c>
      <c r="AE661" s="18" t="s">
        <v>1315</v>
      </c>
      <c r="AF661" s="1" t="b">
        <v>1</v>
      </c>
    </row>
    <row r="662" spans="2:32" ht="16.5" customHeight="1">
      <c r="B662" s="1" t="str">
        <f t="shared" si="18"/>
        <v>M_TDIF04_VM_BKT_1.3_619</v>
      </c>
      <c r="C662" s="92" t="s">
        <v>700</v>
      </c>
      <c r="D662" s="92" t="str" cm="1">
        <f t="array" ref="D662">INDEX(기계코드!$D$4:$D$214,MATCH(1,(C662=기계코드!$F$4:$F$214)*1,0))</f>
        <v>M_TDIF04</v>
      </c>
      <c r="E662" s="92" t="s">
        <v>1128</v>
      </c>
      <c r="F662" s="7" t="str" cm="1">
        <f t="array" ref="F662">INDEX(공급업체코드!$B$3:$B$1000,MATCH(1,(E662=공급업체코드!$D$3:$D$1000)*1,0))</f>
        <v>VM_BKT</v>
      </c>
      <c r="G662" s="18" t="s">
        <v>1881</v>
      </c>
      <c r="H662" s="64"/>
      <c r="I662" s="64"/>
      <c r="J662" s="64"/>
      <c r="K662" s="300">
        <v>1.1000000000000001</v>
      </c>
      <c r="L662" s="300">
        <v>1.3</v>
      </c>
      <c r="M662" s="64">
        <v>619</v>
      </c>
      <c r="N662" s="64"/>
      <c r="O662" s="64"/>
      <c r="P662" s="64"/>
      <c r="Q662" s="64"/>
      <c r="R662" s="70"/>
      <c r="T662" s="64"/>
      <c r="X662">
        <v>0.123</v>
      </c>
      <c r="Y662" s="258" t="s">
        <v>1313</v>
      </c>
      <c r="AA662" s="259" t="s">
        <v>1314</v>
      </c>
      <c r="AB662" s="20" t="s">
        <v>1061</v>
      </c>
      <c r="AC662">
        <f t="shared" si="19"/>
        <v>3095000000</v>
      </c>
      <c r="AE662" s="18" t="s">
        <v>1315</v>
      </c>
      <c r="AF662" s="1" t="b">
        <v>1</v>
      </c>
    </row>
    <row r="663" spans="2:32" ht="16.5" customHeight="1">
      <c r="B663" s="1" t="str">
        <f t="shared" si="18"/>
        <v>M_TDIF04_VM_BKT_1.3_620</v>
      </c>
      <c r="C663" s="92" t="s">
        <v>700</v>
      </c>
      <c r="D663" s="92" t="str" cm="1">
        <f t="array" ref="D663">INDEX(기계코드!$D$4:$D$214,MATCH(1,(C663=기계코드!$F$4:$F$214)*1,0))</f>
        <v>M_TDIF04</v>
      </c>
      <c r="E663" s="92" t="s">
        <v>1128</v>
      </c>
      <c r="F663" s="7" t="str" cm="1">
        <f t="array" ref="F663">INDEX(공급업체코드!$B$3:$B$1000,MATCH(1,(E663=공급업체코드!$D$3:$D$1000)*1,0))</f>
        <v>VM_BKT</v>
      </c>
      <c r="G663" s="18" t="s">
        <v>1881</v>
      </c>
      <c r="H663" s="64"/>
      <c r="I663" s="64"/>
      <c r="J663" s="64"/>
      <c r="K663" s="300">
        <v>1.1000000000000001</v>
      </c>
      <c r="L663" s="300">
        <v>1.3</v>
      </c>
      <c r="M663" s="64">
        <v>620</v>
      </c>
      <c r="N663" s="64"/>
      <c r="O663" s="64"/>
      <c r="P663" s="64"/>
      <c r="Q663" s="64"/>
      <c r="R663" s="70"/>
      <c r="T663" s="64"/>
      <c r="X663">
        <v>0.123</v>
      </c>
      <c r="Y663" s="258" t="s">
        <v>1313</v>
      </c>
      <c r="AA663" s="259" t="s">
        <v>1314</v>
      </c>
      <c r="AB663" s="20" t="s">
        <v>1061</v>
      </c>
      <c r="AC663">
        <f t="shared" si="19"/>
        <v>3100000000</v>
      </c>
      <c r="AE663" s="18" t="s">
        <v>1315</v>
      </c>
      <c r="AF663" s="1" t="b">
        <v>1</v>
      </c>
    </row>
    <row r="664" spans="2:32" ht="16.5" customHeight="1">
      <c r="B664" s="1" t="str">
        <f t="shared" si="18"/>
        <v>M_TDIF04_VM_BKT_1.3_621</v>
      </c>
      <c r="C664" s="92" t="s">
        <v>700</v>
      </c>
      <c r="D664" s="92" t="str" cm="1">
        <f t="array" ref="D664">INDEX(기계코드!$D$4:$D$214,MATCH(1,(C664=기계코드!$F$4:$F$214)*1,0))</f>
        <v>M_TDIF04</v>
      </c>
      <c r="E664" s="92" t="s">
        <v>1128</v>
      </c>
      <c r="F664" s="7" t="str" cm="1">
        <f t="array" ref="F664">INDEX(공급업체코드!$B$3:$B$1000,MATCH(1,(E664=공급업체코드!$D$3:$D$1000)*1,0))</f>
        <v>VM_BKT</v>
      </c>
      <c r="G664" s="18" t="s">
        <v>1881</v>
      </c>
      <c r="H664" s="64"/>
      <c r="I664" s="64"/>
      <c r="J664" s="64"/>
      <c r="K664" s="300">
        <v>1.1000000000000001</v>
      </c>
      <c r="L664" s="300">
        <v>1.3</v>
      </c>
      <c r="M664" s="64">
        <v>621</v>
      </c>
      <c r="N664" s="64"/>
      <c r="O664" s="64"/>
      <c r="P664" s="64"/>
      <c r="Q664" s="64"/>
      <c r="R664" s="70"/>
      <c r="T664" s="64"/>
      <c r="X664">
        <v>0.123</v>
      </c>
      <c r="Y664" s="258" t="s">
        <v>1313</v>
      </c>
      <c r="AA664" s="259" t="s">
        <v>1314</v>
      </c>
      <c r="AB664" s="20" t="s">
        <v>1061</v>
      </c>
      <c r="AC664">
        <f t="shared" si="19"/>
        <v>3105000000</v>
      </c>
      <c r="AE664" s="18" t="s">
        <v>1315</v>
      </c>
      <c r="AF664" s="1" t="b">
        <v>1</v>
      </c>
    </row>
    <row r="665" spans="2:32" ht="16.5" customHeight="1">
      <c r="B665" s="1" t="str">
        <f t="shared" si="18"/>
        <v>M_TDIF04_VM_BKT_1.3_622</v>
      </c>
      <c r="C665" s="92" t="s">
        <v>700</v>
      </c>
      <c r="D665" s="92" t="str" cm="1">
        <f t="array" ref="D665">INDEX(기계코드!$D$4:$D$214,MATCH(1,(C665=기계코드!$F$4:$F$214)*1,0))</f>
        <v>M_TDIF04</v>
      </c>
      <c r="E665" s="92" t="s">
        <v>1128</v>
      </c>
      <c r="F665" s="7" t="str" cm="1">
        <f t="array" ref="F665">INDEX(공급업체코드!$B$3:$B$1000,MATCH(1,(E665=공급업체코드!$D$3:$D$1000)*1,0))</f>
        <v>VM_BKT</v>
      </c>
      <c r="G665" s="18" t="s">
        <v>1881</v>
      </c>
      <c r="H665" s="64"/>
      <c r="I665" s="64"/>
      <c r="J665" s="64"/>
      <c r="K665" s="300">
        <v>1.1000000000000001</v>
      </c>
      <c r="L665" s="300">
        <v>1.3</v>
      </c>
      <c r="M665" s="64">
        <v>622</v>
      </c>
      <c r="N665" s="64"/>
      <c r="O665" s="64"/>
      <c r="P665" s="64"/>
      <c r="Q665" s="64"/>
      <c r="R665" s="70"/>
      <c r="T665" s="64"/>
      <c r="X665">
        <v>0.123</v>
      </c>
      <c r="Y665" s="258" t="s">
        <v>1313</v>
      </c>
      <c r="AA665" s="259" t="s">
        <v>1314</v>
      </c>
      <c r="AB665" s="20" t="s">
        <v>1061</v>
      </c>
      <c r="AC665">
        <f t="shared" si="19"/>
        <v>3110000000</v>
      </c>
      <c r="AE665" s="18" t="s">
        <v>1315</v>
      </c>
      <c r="AF665" s="1" t="b">
        <v>1</v>
      </c>
    </row>
    <row r="666" spans="2:32" ht="16.5" customHeight="1">
      <c r="B666" s="1" t="str">
        <f t="shared" si="18"/>
        <v>M_TDIF04_VM_BKT_1.3_623</v>
      </c>
      <c r="C666" s="92" t="s">
        <v>700</v>
      </c>
      <c r="D666" s="92" t="str" cm="1">
        <f t="array" ref="D666">INDEX(기계코드!$D$4:$D$214,MATCH(1,(C666=기계코드!$F$4:$F$214)*1,0))</f>
        <v>M_TDIF04</v>
      </c>
      <c r="E666" s="92" t="s">
        <v>1128</v>
      </c>
      <c r="F666" s="7" t="str" cm="1">
        <f t="array" ref="F666">INDEX(공급업체코드!$B$3:$B$1000,MATCH(1,(E666=공급업체코드!$D$3:$D$1000)*1,0))</f>
        <v>VM_BKT</v>
      </c>
      <c r="G666" s="18" t="s">
        <v>1881</v>
      </c>
      <c r="H666" s="64"/>
      <c r="I666" s="64"/>
      <c r="J666" s="64"/>
      <c r="K666" s="300">
        <v>1.1000000000000001</v>
      </c>
      <c r="L666" s="300">
        <v>1.3</v>
      </c>
      <c r="M666" s="64">
        <v>623</v>
      </c>
      <c r="N666" s="64"/>
      <c r="O666" s="64"/>
      <c r="P666" s="64"/>
      <c r="Q666" s="64"/>
      <c r="R666" s="70"/>
      <c r="T666" s="64"/>
      <c r="X666">
        <v>0.123</v>
      </c>
      <c r="Y666" s="258" t="s">
        <v>1313</v>
      </c>
      <c r="AA666" s="259" t="s">
        <v>1314</v>
      </c>
      <c r="AB666" s="20" t="s">
        <v>1061</v>
      </c>
      <c r="AC666">
        <f t="shared" si="19"/>
        <v>3115000000</v>
      </c>
      <c r="AE666" s="18" t="s">
        <v>1315</v>
      </c>
      <c r="AF666" s="1" t="b">
        <v>1</v>
      </c>
    </row>
    <row r="667" spans="2:32" ht="16.5" customHeight="1">
      <c r="B667" s="1" t="str">
        <f t="shared" si="18"/>
        <v>M_TDIF04_VM_BKT_1.3_624</v>
      </c>
      <c r="C667" s="92" t="s">
        <v>700</v>
      </c>
      <c r="D667" s="92" t="str" cm="1">
        <f t="array" ref="D667">INDEX(기계코드!$D$4:$D$214,MATCH(1,(C667=기계코드!$F$4:$F$214)*1,0))</f>
        <v>M_TDIF04</v>
      </c>
      <c r="E667" s="92" t="s">
        <v>1128</v>
      </c>
      <c r="F667" s="7" t="str" cm="1">
        <f t="array" ref="F667">INDEX(공급업체코드!$B$3:$B$1000,MATCH(1,(E667=공급업체코드!$D$3:$D$1000)*1,0))</f>
        <v>VM_BKT</v>
      </c>
      <c r="G667" s="18" t="s">
        <v>1881</v>
      </c>
      <c r="H667" s="64"/>
      <c r="I667" s="64"/>
      <c r="J667" s="64"/>
      <c r="K667" s="300">
        <v>1.1000000000000001</v>
      </c>
      <c r="L667" s="300">
        <v>1.3</v>
      </c>
      <c r="M667" s="64">
        <v>624</v>
      </c>
      <c r="N667" s="64"/>
      <c r="O667" s="64"/>
      <c r="P667" s="64"/>
      <c r="Q667" s="64"/>
      <c r="R667" s="70"/>
      <c r="T667" s="64"/>
      <c r="X667">
        <v>0.123</v>
      </c>
      <c r="Y667" s="258" t="s">
        <v>1313</v>
      </c>
      <c r="AA667" s="259" t="s">
        <v>1314</v>
      </c>
      <c r="AB667" s="20" t="s">
        <v>1061</v>
      </c>
      <c r="AC667">
        <f t="shared" si="19"/>
        <v>3120000000</v>
      </c>
      <c r="AE667" s="18" t="s">
        <v>1315</v>
      </c>
      <c r="AF667" s="1" t="b">
        <v>1</v>
      </c>
    </row>
    <row r="668" spans="2:32" ht="16.5" customHeight="1">
      <c r="B668" s="1" t="str">
        <f t="shared" si="18"/>
        <v>M_TDIF04_VM_BKT_1.3_625</v>
      </c>
      <c r="C668" s="92" t="s">
        <v>700</v>
      </c>
      <c r="D668" s="92" t="str" cm="1">
        <f t="array" ref="D668">INDEX(기계코드!$D$4:$D$214,MATCH(1,(C668=기계코드!$F$4:$F$214)*1,0))</f>
        <v>M_TDIF04</v>
      </c>
      <c r="E668" s="92" t="s">
        <v>1128</v>
      </c>
      <c r="F668" s="7" t="str" cm="1">
        <f t="array" ref="F668">INDEX(공급업체코드!$B$3:$B$1000,MATCH(1,(E668=공급업체코드!$D$3:$D$1000)*1,0))</f>
        <v>VM_BKT</v>
      </c>
      <c r="G668" s="18" t="s">
        <v>1881</v>
      </c>
      <c r="H668" s="64"/>
      <c r="I668" s="64"/>
      <c r="J668" s="64"/>
      <c r="K668" s="300">
        <v>1.1000000000000001</v>
      </c>
      <c r="L668" s="300">
        <v>1.3</v>
      </c>
      <c r="M668" s="64">
        <v>625</v>
      </c>
      <c r="N668" s="64"/>
      <c r="O668" s="64"/>
      <c r="P668" s="64"/>
      <c r="Q668" s="64"/>
      <c r="R668" s="70"/>
      <c r="T668" s="64"/>
      <c r="X668">
        <v>0.123</v>
      </c>
      <c r="Y668" s="258" t="s">
        <v>1313</v>
      </c>
      <c r="AA668" s="259" t="s">
        <v>1314</v>
      </c>
      <c r="AB668" s="20" t="s">
        <v>1061</v>
      </c>
      <c r="AC668">
        <f t="shared" si="19"/>
        <v>3125000000</v>
      </c>
      <c r="AE668" s="18" t="s">
        <v>1315</v>
      </c>
      <c r="AF668" s="1" t="b">
        <v>1</v>
      </c>
    </row>
    <row r="669" spans="2:32" ht="16.5" customHeight="1">
      <c r="B669" s="1" t="str">
        <f t="shared" si="18"/>
        <v>M_TDIF04_VM_BKT_1.3_626</v>
      </c>
      <c r="C669" s="92" t="s">
        <v>700</v>
      </c>
      <c r="D669" s="92" t="str" cm="1">
        <f t="array" ref="D669">INDEX(기계코드!$D$4:$D$214,MATCH(1,(C669=기계코드!$F$4:$F$214)*1,0))</f>
        <v>M_TDIF04</v>
      </c>
      <c r="E669" s="92" t="s">
        <v>1128</v>
      </c>
      <c r="F669" s="7" t="str" cm="1">
        <f t="array" ref="F669">INDEX(공급업체코드!$B$3:$B$1000,MATCH(1,(E669=공급업체코드!$D$3:$D$1000)*1,0))</f>
        <v>VM_BKT</v>
      </c>
      <c r="G669" s="18" t="s">
        <v>1881</v>
      </c>
      <c r="H669" s="64"/>
      <c r="I669" s="64"/>
      <c r="J669" s="64"/>
      <c r="K669" s="300">
        <v>1.1000000000000001</v>
      </c>
      <c r="L669" s="300">
        <v>1.3</v>
      </c>
      <c r="M669" s="64">
        <v>626</v>
      </c>
      <c r="N669" s="64"/>
      <c r="O669" s="64"/>
      <c r="P669" s="64"/>
      <c r="Q669" s="64"/>
      <c r="R669" s="70"/>
      <c r="T669" s="64"/>
      <c r="X669">
        <v>0.123</v>
      </c>
      <c r="Y669" s="258" t="s">
        <v>1313</v>
      </c>
      <c r="AA669" s="259" t="s">
        <v>1314</v>
      </c>
      <c r="AB669" s="20" t="s">
        <v>1061</v>
      </c>
      <c r="AC669">
        <f t="shared" si="19"/>
        <v>3130000000</v>
      </c>
      <c r="AE669" s="18" t="s">
        <v>1315</v>
      </c>
      <c r="AF669" s="1" t="b">
        <v>1</v>
      </c>
    </row>
    <row r="670" spans="2:32" ht="16.5" customHeight="1">
      <c r="B670" s="1" t="str">
        <f t="shared" si="18"/>
        <v>M_TDIF04_VM_BKT_1.3_627</v>
      </c>
      <c r="C670" s="92" t="s">
        <v>700</v>
      </c>
      <c r="D670" s="92" t="str" cm="1">
        <f t="array" ref="D670">INDEX(기계코드!$D$4:$D$214,MATCH(1,(C670=기계코드!$F$4:$F$214)*1,0))</f>
        <v>M_TDIF04</v>
      </c>
      <c r="E670" s="92" t="s">
        <v>1128</v>
      </c>
      <c r="F670" s="7" t="str" cm="1">
        <f t="array" ref="F670">INDEX(공급업체코드!$B$3:$B$1000,MATCH(1,(E670=공급업체코드!$D$3:$D$1000)*1,0))</f>
        <v>VM_BKT</v>
      </c>
      <c r="G670" s="18" t="s">
        <v>1881</v>
      </c>
      <c r="H670" s="64"/>
      <c r="I670" s="64"/>
      <c r="J670" s="64"/>
      <c r="K670" s="300">
        <v>1.1000000000000001</v>
      </c>
      <c r="L670" s="300">
        <v>1.3</v>
      </c>
      <c r="M670" s="64">
        <v>627</v>
      </c>
      <c r="N670" s="64"/>
      <c r="O670" s="64"/>
      <c r="P670" s="64"/>
      <c r="Q670" s="64"/>
      <c r="R670" s="70"/>
      <c r="T670" s="64"/>
      <c r="X670">
        <v>0.123</v>
      </c>
      <c r="Y670" s="258" t="s">
        <v>1313</v>
      </c>
      <c r="AA670" s="259" t="s">
        <v>1314</v>
      </c>
      <c r="AB670" s="20" t="s">
        <v>1061</v>
      </c>
      <c r="AC670">
        <f t="shared" si="19"/>
        <v>3135000000</v>
      </c>
      <c r="AE670" s="18" t="s">
        <v>1315</v>
      </c>
      <c r="AF670" s="1" t="b">
        <v>1</v>
      </c>
    </row>
    <row r="671" spans="2:32" ht="16.5" customHeight="1">
      <c r="B671" s="1" t="str">
        <f t="shared" si="18"/>
        <v>M_TDIF04_VM_BKT_1.3_628</v>
      </c>
      <c r="C671" s="92" t="s">
        <v>700</v>
      </c>
      <c r="D671" s="92" t="str" cm="1">
        <f t="array" ref="D671">INDEX(기계코드!$D$4:$D$214,MATCH(1,(C671=기계코드!$F$4:$F$214)*1,0))</f>
        <v>M_TDIF04</v>
      </c>
      <c r="E671" s="92" t="s">
        <v>1128</v>
      </c>
      <c r="F671" s="7" t="str" cm="1">
        <f t="array" ref="F671">INDEX(공급업체코드!$B$3:$B$1000,MATCH(1,(E671=공급업체코드!$D$3:$D$1000)*1,0))</f>
        <v>VM_BKT</v>
      </c>
      <c r="G671" s="18" t="s">
        <v>1881</v>
      </c>
      <c r="H671" s="64"/>
      <c r="I671" s="64"/>
      <c r="J671" s="64"/>
      <c r="K671" s="300">
        <v>1.1000000000000001</v>
      </c>
      <c r="L671" s="300">
        <v>1.3</v>
      </c>
      <c r="M671" s="64">
        <v>628</v>
      </c>
      <c r="N671" s="64"/>
      <c r="O671" s="64"/>
      <c r="P671" s="64"/>
      <c r="Q671" s="64"/>
      <c r="R671" s="70"/>
      <c r="T671" s="64"/>
      <c r="X671">
        <v>0.123</v>
      </c>
      <c r="Y671" s="258" t="s">
        <v>1313</v>
      </c>
      <c r="AA671" s="259" t="s">
        <v>1314</v>
      </c>
      <c r="AB671" s="20" t="s">
        <v>1061</v>
      </c>
      <c r="AC671">
        <f t="shared" si="19"/>
        <v>3140000000</v>
      </c>
      <c r="AE671" s="18" t="s">
        <v>1315</v>
      </c>
      <c r="AF671" s="1" t="b">
        <v>1</v>
      </c>
    </row>
    <row r="672" spans="2:32" ht="16.5" customHeight="1">
      <c r="B672" s="1" t="str">
        <f t="shared" si="18"/>
        <v>M_TDIF04_VM_BKT_1.3_629</v>
      </c>
      <c r="C672" s="92" t="s">
        <v>700</v>
      </c>
      <c r="D672" s="92" t="str" cm="1">
        <f t="array" ref="D672">INDEX(기계코드!$D$4:$D$214,MATCH(1,(C672=기계코드!$F$4:$F$214)*1,0))</f>
        <v>M_TDIF04</v>
      </c>
      <c r="E672" s="92" t="s">
        <v>1128</v>
      </c>
      <c r="F672" s="7" t="str" cm="1">
        <f t="array" ref="F672">INDEX(공급업체코드!$B$3:$B$1000,MATCH(1,(E672=공급업체코드!$D$3:$D$1000)*1,0))</f>
        <v>VM_BKT</v>
      </c>
      <c r="G672" s="18" t="s">
        <v>1881</v>
      </c>
      <c r="H672" s="64"/>
      <c r="I672" s="64"/>
      <c r="J672" s="64"/>
      <c r="K672" s="300">
        <v>1.1000000000000001</v>
      </c>
      <c r="L672" s="300">
        <v>1.3</v>
      </c>
      <c r="M672" s="64">
        <v>629</v>
      </c>
      <c r="N672" s="64"/>
      <c r="O672" s="64"/>
      <c r="P672" s="64"/>
      <c r="Q672" s="64"/>
      <c r="R672" s="70"/>
      <c r="T672" s="64"/>
      <c r="X672">
        <v>0.123</v>
      </c>
      <c r="Y672" s="258" t="s">
        <v>1313</v>
      </c>
      <c r="AA672" s="259" t="s">
        <v>1314</v>
      </c>
      <c r="AB672" s="20" t="s">
        <v>1061</v>
      </c>
      <c r="AC672">
        <f t="shared" si="19"/>
        <v>3145000000</v>
      </c>
      <c r="AE672" s="18" t="s">
        <v>1315</v>
      </c>
      <c r="AF672" s="1" t="b">
        <v>1</v>
      </c>
    </row>
    <row r="673" spans="2:32" ht="16.5" customHeight="1">
      <c r="B673" s="1" t="str">
        <f t="shared" si="18"/>
        <v>M_TDIF04_VM_BKT_1.3_630</v>
      </c>
      <c r="C673" s="92" t="s">
        <v>700</v>
      </c>
      <c r="D673" s="92" t="str" cm="1">
        <f t="array" ref="D673">INDEX(기계코드!$D$4:$D$214,MATCH(1,(C673=기계코드!$F$4:$F$214)*1,0))</f>
        <v>M_TDIF04</v>
      </c>
      <c r="E673" s="92" t="s">
        <v>1128</v>
      </c>
      <c r="F673" s="7" t="str" cm="1">
        <f t="array" ref="F673">INDEX(공급업체코드!$B$3:$B$1000,MATCH(1,(E673=공급업체코드!$D$3:$D$1000)*1,0))</f>
        <v>VM_BKT</v>
      </c>
      <c r="G673" s="18" t="s">
        <v>1881</v>
      </c>
      <c r="H673" s="64"/>
      <c r="I673" s="64"/>
      <c r="J673" s="64"/>
      <c r="K673" s="300">
        <v>1.1000000000000001</v>
      </c>
      <c r="L673" s="300">
        <v>1.3</v>
      </c>
      <c r="M673" s="64">
        <v>630</v>
      </c>
      <c r="N673" s="64"/>
      <c r="O673" s="64"/>
      <c r="P673" s="64"/>
      <c r="Q673" s="64"/>
      <c r="R673" s="70"/>
      <c r="T673" s="64"/>
      <c r="X673">
        <v>0.123</v>
      </c>
      <c r="Y673" s="258" t="s">
        <v>1313</v>
      </c>
      <c r="AA673" s="259" t="s">
        <v>1314</v>
      </c>
      <c r="AB673" s="20" t="s">
        <v>1061</v>
      </c>
      <c r="AC673">
        <f t="shared" si="19"/>
        <v>3150000000</v>
      </c>
      <c r="AE673" s="18" t="s">
        <v>1315</v>
      </c>
      <c r="AF673" s="1" t="b">
        <v>1</v>
      </c>
    </row>
    <row r="674" spans="2:32" ht="16.5" customHeight="1">
      <c r="B674" s="1" t="str">
        <f t="shared" si="18"/>
        <v>M_TDIF04_VM_BKT_1.3_631</v>
      </c>
      <c r="C674" s="92" t="s">
        <v>700</v>
      </c>
      <c r="D674" s="92" t="str" cm="1">
        <f t="array" ref="D674">INDEX(기계코드!$D$4:$D$214,MATCH(1,(C674=기계코드!$F$4:$F$214)*1,0))</f>
        <v>M_TDIF04</v>
      </c>
      <c r="E674" s="92" t="s">
        <v>1128</v>
      </c>
      <c r="F674" s="7" t="str" cm="1">
        <f t="array" ref="F674">INDEX(공급업체코드!$B$3:$B$1000,MATCH(1,(E674=공급업체코드!$D$3:$D$1000)*1,0))</f>
        <v>VM_BKT</v>
      </c>
      <c r="G674" s="18" t="s">
        <v>1881</v>
      </c>
      <c r="H674" s="64"/>
      <c r="I674" s="64"/>
      <c r="J674" s="64"/>
      <c r="K674" s="300">
        <v>1.1000000000000001</v>
      </c>
      <c r="L674" s="300">
        <v>1.3</v>
      </c>
      <c r="M674" s="64">
        <v>631</v>
      </c>
      <c r="N674" s="64"/>
      <c r="O674" s="64"/>
      <c r="P674" s="64"/>
      <c r="Q674" s="64"/>
      <c r="R674" s="70"/>
      <c r="T674" s="64"/>
      <c r="X674">
        <v>0.123</v>
      </c>
      <c r="Y674" s="258" t="s">
        <v>1313</v>
      </c>
      <c r="AA674" s="259" t="s">
        <v>1314</v>
      </c>
      <c r="AB674" s="20" t="s">
        <v>1061</v>
      </c>
      <c r="AC674">
        <f t="shared" si="19"/>
        <v>3155000000</v>
      </c>
      <c r="AE674" s="18" t="s">
        <v>1315</v>
      </c>
      <c r="AF674" s="1" t="b">
        <v>1</v>
      </c>
    </row>
    <row r="675" spans="2:32" ht="16.5" customHeight="1">
      <c r="B675" s="1" t="str">
        <f t="shared" si="18"/>
        <v>M_TDIF04_VM_BKT_1.3_632</v>
      </c>
      <c r="C675" s="92" t="s">
        <v>700</v>
      </c>
      <c r="D675" s="92" t="str" cm="1">
        <f t="array" ref="D675">INDEX(기계코드!$D$4:$D$214,MATCH(1,(C675=기계코드!$F$4:$F$214)*1,0))</f>
        <v>M_TDIF04</v>
      </c>
      <c r="E675" s="92" t="s">
        <v>1128</v>
      </c>
      <c r="F675" s="7" t="str" cm="1">
        <f t="array" ref="F675">INDEX(공급업체코드!$B$3:$B$1000,MATCH(1,(E675=공급업체코드!$D$3:$D$1000)*1,0))</f>
        <v>VM_BKT</v>
      </c>
      <c r="G675" s="18" t="s">
        <v>1881</v>
      </c>
      <c r="H675" s="64"/>
      <c r="I675" s="64"/>
      <c r="J675" s="64"/>
      <c r="K675" s="300">
        <v>1.1000000000000001</v>
      </c>
      <c r="L675" s="300">
        <v>1.3</v>
      </c>
      <c r="M675" s="64">
        <v>632</v>
      </c>
      <c r="N675" s="64"/>
      <c r="O675" s="64"/>
      <c r="P675" s="64"/>
      <c r="Q675" s="64"/>
      <c r="R675" s="70"/>
      <c r="T675" s="64"/>
      <c r="X675">
        <v>0.123</v>
      </c>
      <c r="Y675" s="258" t="s">
        <v>1313</v>
      </c>
      <c r="AA675" s="259" t="s">
        <v>1314</v>
      </c>
      <c r="AB675" s="20" t="s">
        <v>1061</v>
      </c>
      <c r="AC675">
        <f t="shared" si="19"/>
        <v>3160000000</v>
      </c>
      <c r="AE675" s="18" t="s">
        <v>1315</v>
      </c>
      <c r="AF675" s="1" t="b">
        <v>1</v>
      </c>
    </row>
    <row r="676" spans="2:32" ht="16.5" customHeight="1">
      <c r="B676" s="1" t="str">
        <f t="shared" si="18"/>
        <v>M_TDIF04_VM_BKT_1.3_633</v>
      </c>
      <c r="C676" s="92" t="s">
        <v>700</v>
      </c>
      <c r="D676" s="92" t="str" cm="1">
        <f t="array" ref="D676">INDEX(기계코드!$D$4:$D$214,MATCH(1,(C676=기계코드!$F$4:$F$214)*1,0))</f>
        <v>M_TDIF04</v>
      </c>
      <c r="E676" s="92" t="s">
        <v>1128</v>
      </c>
      <c r="F676" s="7" t="str" cm="1">
        <f t="array" ref="F676">INDEX(공급업체코드!$B$3:$B$1000,MATCH(1,(E676=공급업체코드!$D$3:$D$1000)*1,0))</f>
        <v>VM_BKT</v>
      </c>
      <c r="G676" s="18" t="s">
        <v>1881</v>
      </c>
      <c r="H676" s="64"/>
      <c r="I676" s="64"/>
      <c r="J676" s="64"/>
      <c r="K676" s="300">
        <v>1.1000000000000001</v>
      </c>
      <c r="L676" s="300">
        <v>1.3</v>
      </c>
      <c r="M676" s="64">
        <v>633</v>
      </c>
      <c r="N676" s="64"/>
      <c r="O676" s="64"/>
      <c r="P676" s="64"/>
      <c r="Q676" s="64"/>
      <c r="R676" s="70"/>
      <c r="T676" s="64"/>
      <c r="X676">
        <v>0.123</v>
      </c>
      <c r="Y676" s="258" t="s">
        <v>1313</v>
      </c>
      <c r="AA676" s="259" t="s">
        <v>1314</v>
      </c>
      <c r="AB676" s="20" t="s">
        <v>1061</v>
      </c>
      <c r="AC676">
        <f t="shared" si="19"/>
        <v>3165000000</v>
      </c>
      <c r="AE676" s="18" t="s">
        <v>1315</v>
      </c>
      <c r="AF676" s="1" t="b">
        <v>1</v>
      </c>
    </row>
    <row r="677" spans="2:32" ht="16.5" customHeight="1">
      <c r="B677" s="1" t="str">
        <f t="shared" si="18"/>
        <v>M_TDIF04_VM_BKT_1.3_634</v>
      </c>
      <c r="C677" s="92" t="s">
        <v>700</v>
      </c>
      <c r="D677" s="92" t="str" cm="1">
        <f t="array" ref="D677">INDEX(기계코드!$D$4:$D$214,MATCH(1,(C677=기계코드!$F$4:$F$214)*1,0))</f>
        <v>M_TDIF04</v>
      </c>
      <c r="E677" s="92" t="s">
        <v>1128</v>
      </c>
      <c r="F677" s="7" t="str" cm="1">
        <f t="array" ref="F677">INDEX(공급업체코드!$B$3:$B$1000,MATCH(1,(E677=공급업체코드!$D$3:$D$1000)*1,0))</f>
        <v>VM_BKT</v>
      </c>
      <c r="G677" s="18" t="s">
        <v>1881</v>
      </c>
      <c r="H677" s="64"/>
      <c r="I677" s="64"/>
      <c r="J677" s="64"/>
      <c r="K677" s="300">
        <v>1.1000000000000001</v>
      </c>
      <c r="L677" s="300">
        <v>1.3</v>
      </c>
      <c r="M677" s="64">
        <v>634</v>
      </c>
      <c r="N677" s="64"/>
      <c r="O677" s="64"/>
      <c r="P677" s="64"/>
      <c r="Q677" s="64"/>
      <c r="R677" s="70"/>
      <c r="T677" s="64"/>
      <c r="X677">
        <v>0.123</v>
      </c>
      <c r="Y677" s="258" t="s">
        <v>1313</v>
      </c>
      <c r="AA677" s="259" t="s">
        <v>1314</v>
      </c>
      <c r="AB677" s="20" t="s">
        <v>1061</v>
      </c>
      <c r="AC677">
        <f t="shared" si="19"/>
        <v>3170000000</v>
      </c>
      <c r="AE677" s="18" t="s">
        <v>1315</v>
      </c>
      <c r="AF677" s="1" t="b">
        <v>1</v>
      </c>
    </row>
    <row r="678" spans="2:32" ht="16.5" customHeight="1">
      <c r="B678" s="1" t="str">
        <f t="shared" si="18"/>
        <v>M_TDIF04_VM_BKT_1.3_635</v>
      </c>
      <c r="C678" s="92" t="s">
        <v>700</v>
      </c>
      <c r="D678" s="92" t="str" cm="1">
        <f t="array" ref="D678">INDEX(기계코드!$D$4:$D$214,MATCH(1,(C678=기계코드!$F$4:$F$214)*1,0))</f>
        <v>M_TDIF04</v>
      </c>
      <c r="E678" s="92" t="s">
        <v>1128</v>
      </c>
      <c r="F678" s="7" t="str" cm="1">
        <f t="array" ref="F678">INDEX(공급업체코드!$B$3:$B$1000,MATCH(1,(E678=공급업체코드!$D$3:$D$1000)*1,0))</f>
        <v>VM_BKT</v>
      </c>
      <c r="G678" s="18" t="s">
        <v>1881</v>
      </c>
      <c r="H678" s="64"/>
      <c r="I678" s="64"/>
      <c r="J678" s="64"/>
      <c r="K678" s="300">
        <v>1.1000000000000001</v>
      </c>
      <c r="L678" s="300">
        <v>1.3</v>
      </c>
      <c r="M678" s="64">
        <v>635</v>
      </c>
      <c r="N678" s="64"/>
      <c r="O678" s="64"/>
      <c r="P678" s="64"/>
      <c r="Q678" s="64"/>
      <c r="R678" s="70"/>
      <c r="T678" s="64"/>
      <c r="X678">
        <v>0.123</v>
      </c>
      <c r="Y678" s="258" t="s">
        <v>1313</v>
      </c>
      <c r="AA678" s="259" t="s">
        <v>1314</v>
      </c>
      <c r="AB678" s="20" t="s">
        <v>1061</v>
      </c>
      <c r="AC678">
        <f t="shared" si="19"/>
        <v>3175000000</v>
      </c>
      <c r="AE678" s="18" t="s">
        <v>1315</v>
      </c>
      <c r="AF678" s="1" t="b">
        <v>1</v>
      </c>
    </row>
    <row r="679" spans="2:32" ht="16.5" customHeight="1">
      <c r="B679" s="1" t="str">
        <f t="shared" si="18"/>
        <v>M_TDIF04_VM_BKT_1.3_636</v>
      </c>
      <c r="C679" s="92" t="s">
        <v>700</v>
      </c>
      <c r="D679" s="92" t="str" cm="1">
        <f t="array" ref="D679">INDEX(기계코드!$D$4:$D$214,MATCH(1,(C679=기계코드!$F$4:$F$214)*1,0))</f>
        <v>M_TDIF04</v>
      </c>
      <c r="E679" s="92" t="s">
        <v>1128</v>
      </c>
      <c r="F679" s="7" t="str" cm="1">
        <f t="array" ref="F679">INDEX(공급업체코드!$B$3:$B$1000,MATCH(1,(E679=공급업체코드!$D$3:$D$1000)*1,0))</f>
        <v>VM_BKT</v>
      </c>
      <c r="G679" s="18" t="s">
        <v>1881</v>
      </c>
      <c r="H679" s="64"/>
      <c r="I679" s="64"/>
      <c r="J679" s="64"/>
      <c r="K679" s="300">
        <v>1.1000000000000001</v>
      </c>
      <c r="L679" s="300">
        <v>1.3</v>
      </c>
      <c r="M679" s="64">
        <v>636</v>
      </c>
      <c r="N679" s="64"/>
      <c r="O679" s="64"/>
      <c r="P679" s="64"/>
      <c r="Q679" s="64"/>
      <c r="R679" s="70"/>
      <c r="T679" s="64"/>
      <c r="X679">
        <v>0.123</v>
      </c>
      <c r="Y679" s="258" t="s">
        <v>1313</v>
      </c>
      <c r="AA679" s="259" t="s">
        <v>1314</v>
      </c>
      <c r="AB679" s="20" t="s">
        <v>1061</v>
      </c>
      <c r="AC679">
        <f t="shared" si="19"/>
        <v>3180000000</v>
      </c>
      <c r="AE679" s="18" t="s">
        <v>1315</v>
      </c>
      <c r="AF679" s="1" t="b">
        <v>1</v>
      </c>
    </row>
    <row r="680" spans="2:32" ht="16.5" customHeight="1">
      <c r="B680" s="1" t="str">
        <f t="shared" si="18"/>
        <v>M_TDIF04_VM_BKT_1.3_637</v>
      </c>
      <c r="C680" s="92" t="s">
        <v>700</v>
      </c>
      <c r="D680" s="92" t="str" cm="1">
        <f t="array" ref="D680">INDEX(기계코드!$D$4:$D$214,MATCH(1,(C680=기계코드!$F$4:$F$214)*1,0))</f>
        <v>M_TDIF04</v>
      </c>
      <c r="E680" s="92" t="s">
        <v>1128</v>
      </c>
      <c r="F680" s="7" t="str" cm="1">
        <f t="array" ref="F680">INDEX(공급업체코드!$B$3:$B$1000,MATCH(1,(E680=공급업체코드!$D$3:$D$1000)*1,0))</f>
        <v>VM_BKT</v>
      </c>
      <c r="G680" s="18" t="s">
        <v>1881</v>
      </c>
      <c r="H680" s="64"/>
      <c r="I680" s="64"/>
      <c r="J680" s="64"/>
      <c r="K680" s="300">
        <v>1.1000000000000001</v>
      </c>
      <c r="L680" s="300">
        <v>1.3</v>
      </c>
      <c r="M680" s="64">
        <v>637</v>
      </c>
      <c r="N680" s="64"/>
      <c r="O680" s="64"/>
      <c r="P680" s="64"/>
      <c r="Q680" s="64"/>
      <c r="R680" s="70"/>
      <c r="T680" s="64"/>
      <c r="X680">
        <v>0.123</v>
      </c>
      <c r="Y680" s="258" t="s">
        <v>1313</v>
      </c>
      <c r="AA680" s="259" t="s">
        <v>1314</v>
      </c>
      <c r="AB680" s="20" t="s">
        <v>1061</v>
      </c>
      <c r="AC680">
        <f t="shared" si="19"/>
        <v>3185000000</v>
      </c>
      <c r="AE680" s="18" t="s">
        <v>1315</v>
      </c>
      <c r="AF680" s="1" t="b">
        <v>1</v>
      </c>
    </row>
    <row r="681" spans="2:32" ht="16.5" customHeight="1">
      <c r="B681" s="1" t="str">
        <f t="shared" si="18"/>
        <v>M_TDIF04_VM_BKT_1.3_638</v>
      </c>
      <c r="C681" s="92" t="s">
        <v>700</v>
      </c>
      <c r="D681" s="92" t="str" cm="1">
        <f t="array" ref="D681">INDEX(기계코드!$D$4:$D$214,MATCH(1,(C681=기계코드!$F$4:$F$214)*1,0))</f>
        <v>M_TDIF04</v>
      </c>
      <c r="E681" s="92" t="s">
        <v>1128</v>
      </c>
      <c r="F681" s="7" t="str" cm="1">
        <f t="array" ref="F681">INDEX(공급업체코드!$B$3:$B$1000,MATCH(1,(E681=공급업체코드!$D$3:$D$1000)*1,0))</f>
        <v>VM_BKT</v>
      </c>
      <c r="G681" s="18" t="s">
        <v>1881</v>
      </c>
      <c r="H681" s="64"/>
      <c r="I681" s="64"/>
      <c r="J681" s="64"/>
      <c r="K681" s="300">
        <v>1.1000000000000001</v>
      </c>
      <c r="L681" s="300">
        <v>1.3</v>
      </c>
      <c r="M681" s="64">
        <v>638</v>
      </c>
      <c r="N681" s="64"/>
      <c r="O681" s="64"/>
      <c r="P681" s="64"/>
      <c r="Q681" s="64"/>
      <c r="R681" s="70"/>
      <c r="T681" s="64"/>
      <c r="X681">
        <v>0.123</v>
      </c>
      <c r="Y681" s="258" t="s">
        <v>1313</v>
      </c>
      <c r="AA681" s="259" t="s">
        <v>1314</v>
      </c>
      <c r="AB681" s="20" t="s">
        <v>1061</v>
      </c>
      <c r="AC681">
        <f t="shared" si="19"/>
        <v>3190000000</v>
      </c>
      <c r="AE681" s="18" t="s">
        <v>1315</v>
      </c>
      <c r="AF681" s="1" t="b">
        <v>1</v>
      </c>
    </row>
    <row r="682" spans="2:32" ht="16.5" customHeight="1">
      <c r="B682" s="1" t="str">
        <f t="shared" si="18"/>
        <v>M_TDIF04_VM_BKT_1.3_639</v>
      </c>
      <c r="C682" s="92" t="s">
        <v>700</v>
      </c>
      <c r="D682" s="92" t="str" cm="1">
        <f t="array" ref="D682">INDEX(기계코드!$D$4:$D$214,MATCH(1,(C682=기계코드!$F$4:$F$214)*1,0))</f>
        <v>M_TDIF04</v>
      </c>
      <c r="E682" s="92" t="s">
        <v>1128</v>
      </c>
      <c r="F682" s="7" t="str" cm="1">
        <f t="array" ref="F682">INDEX(공급업체코드!$B$3:$B$1000,MATCH(1,(E682=공급업체코드!$D$3:$D$1000)*1,0))</f>
        <v>VM_BKT</v>
      </c>
      <c r="G682" s="18" t="s">
        <v>1881</v>
      </c>
      <c r="H682" s="64"/>
      <c r="I682" s="64"/>
      <c r="J682" s="64"/>
      <c r="K682" s="300">
        <v>1.1000000000000001</v>
      </c>
      <c r="L682" s="300">
        <v>1.3</v>
      </c>
      <c r="M682" s="64">
        <v>639</v>
      </c>
      <c r="N682" s="64"/>
      <c r="O682" s="64"/>
      <c r="P682" s="64"/>
      <c r="Q682" s="64"/>
      <c r="R682" s="70"/>
      <c r="T682" s="64"/>
      <c r="X682">
        <v>0.123</v>
      </c>
      <c r="Y682" s="258" t="s">
        <v>1313</v>
      </c>
      <c r="AA682" s="259" t="s">
        <v>1314</v>
      </c>
      <c r="AB682" s="20" t="s">
        <v>1061</v>
      </c>
      <c r="AC682">
        <f t="shared" si="19"/>
        <v>3195000000</v>
      </c>
      <c r="AE682" s="18" t="s">
        <v>1315</v>
      </c>
      <c r="AF682" s="1" t="b">
        <v>1</v>
      </c>
    </row>
    <row r="683" spans="2:32" ht="16.5" customHeight="1">
      <c r="B683" s="1" t="str">
        <f t="shared" si="18"/>
        <v>M_TDIF04_VM_BKT_1.3_640</v>
      </c>
      <c r="C683" s="92" t="s">
        <v>700</v>
      </c>
      <c r="D683" s="92" t="str" cm="1">
        <f t="array" ref="D683">INDEX(기계코드!$D$4:$D$214,MATCH(1,(C683=기계코드!$F$4:$F$214)*1,0))</f>
        <v>M_TDIF04</v>
      </c>
      <c r="E683" s="92" t="s">
        <v>1128</v>
      </c>
      <c r="F683" s="7" t="str" cm="1">
        <f t="array" ref="F683">INDEX(공급업체코드!$B$3:$B$1000,MATCH(1,(E683=공급업체코드!$D$3:$D$1000)*1,0))</f>
        <v>VM_BKT</v>
      </c>
      <c r="G683" s="18" t="s">
        <v>1881</v>
      </c>
      <c r="H683" s="64"/>
      <c r="I683" s="64"/>
      <c r="J683" s="64"/>
      <c r="K683" s="300">
        <v>1.1000000000000001</v>
      </c>
      <c r="L683" s="300">
        <v>1.3</v>
      </c>
      <c r="M683" s="64">
        <v>640</v>
      </c>
      <c r="N683" s="64"/>
      <c r="O683" s="64"/>
      <c r="P683" s="64"/>
      <c r="Q683" s="64"/>
      <c r="R683" s="70"/>
      <c r="T683" s="64"/>
      <c r="X683">
        <v>0.123</v>
      </c>
      <c r="Y683" s="258" t="s">
        <v>1313</v>
      </c>
      <c r="AA683" s="259" t="s">
        <v>1314</v>
      </c>
      <c r="AB683" s="20" t="s">
        <v>1061</v>
      </c>
      <c r="AC683">
        <f t="shared" si="19"/>
        <v>3200000000</v>
      </c>
      <c r="AE683" s="18" t="s">
        <v>1315</v>
      </c>
      <c r="AF683" s="1" t="b">
        <v>1</v>
      </c>
    </row>
    <row r="684" spans="2:32" ht="16.5" customHeight="1">
      <c r="B684" s="1" t="str">
        <f t="shared" si="18"/>
        <v>M_TDIF04_VM_BKT_1.3_641</v>
      </c>
      <c r="C684" s="92" t="s">
        <v>700</v>
      </c>
      <c r="D684" s="92" t="str" cm="1">
        <f t="array" ref="D684">INDEX(기계코드!$D$4:$D$214,MATCH(1,(C684=기계코드!$F$4:$F$214)*1,0))</f>
        <v>M_TDIF04</v>
      </c>
      <c r="E684" s="92" t="s">
        <v>1128</v>
      </c>
      <c r="F684" s="7" t="str" cm="1">
        <f t="array" ref="F684">INDEX(공급업체코드!$B$3:$B$1000,MATCH(1,(E684=공급업체코드!$D$3:$D$1000)*1,0))</f>
        <v>VM_BKT</v>
      </c>
      <c r="G684" s="18" t="s">
        <v>1881</v>
      </c>
      <c r="H684" s="64"/>
      <c r="I684" s="64"/>
      <c r="J684" s="64"/>
      <c r="K684" s="300">
        <v>1.1000000000000001</v>
      </c>
      <c r="L684" s="300">
        <v>1.3</v>
      </c>
      <c r="M684" s="64">
        <v>641</v>
      </c>
      <c r="N684" s="64"/>
      <c r="O684" s="64"/>
      <c r="P684" s="64"/>
      <c r="Q684" s="64"/>
      <c r="R684" s="70"/>
      <c r="T684" s="64"/>
      <c r="X684">
        <v>0.123</v>
      </c>
      <c r="Y684" s="258" t="s">
        <v>1313</v>
      </c>
      <c r="AA684" s="259" t="s">
        <v>1314</v>
      </c>
      <c r="AB684" s="20" t="s">
        <v>1061</v>
      </c>
      <c r="AC684">
        <f t="shared" si="19"/>
        <v>3205000000</v>
      </c>
      <c r="AE684" s="18" t="s">
        <v>1315</v>
      </c>
      <c r="AF684" s="1" t="b">
        <v>1</v>
      </c>
    </row>
    <row r="685" spans="2:32" ht="16.5" customHeight="1">
      <c r="B685" s="1" t="str">
        <f t="shared" ref="B685:B748" si="20">D685&amp;"_"&amp;F685&amp;"_"&amp;L685&amp;"_"&amp;M685</f>
        <v>M_TDIF04_VM_BKT_1.3_642</v>
      </c>
      <c r="C685" s="92" t="s">
        <v>700</v>
      </c>
      <c r="D685" s="92" t="str" cm="1">
        <f t="array" ref="D685">INDEX(기계코드!$D$4:$D$214,MATCH(1,(C685=기계코드!$F$4:$F$214)*1,0))</f>
        <v>M_TDIF04</v>
      </c>
      <c r="E685" s="92" t="s">
        <v>1128</v>
      </c>
      <c r="F685" s="7" t="str" cm="1">
        <f t="array" ref="F685">INDEX(공급업체코드!$B$3:$B$1000,MATCH(1,(E685=공급업체코드!$D$3:$D$1000)*1,0))</f>
        <v>VM_BKT</v>
      </c>
      <c r="G685" s="18" t="s">
        <v>1881</v>
      </c>
      <c r="H685" s="64"/>
      <c r="I685" s="64"/>
      <c r="J685" s="64"/>
      <c r="K685" s="300">
        <v>1.1000000000000001</v>
      </c>
      <c r="L685" s="300">
        <v>1.3</v>
      </c>
      <c r="M685" s="64">
        <v>642</v>
      </c>
      <c r="N685" s="64"/>
      <c r="O685" s="64"/>
      <c r="P685" s="64"/>
      <c r="Q685" s="64"/>
      <c r="R685" s="70"/>
      <c r="T685" s="64"/>
      <c r="X685">
        <v>0.123</v>
      </c>
      <c r="Y685" s="258" t="s">
        <v>1313</v>
      </c>
      <c r="AA685" s="259" t="s">
        <v>1314</v>
      </c>
      <c r="AB685" s="20" t="s">
        <v>1061</v>
      </c>
      <c r="AC685">
        <f t="shared" si="19"/>
        <v>3210000000</v>
      </c>
      <c r="AE685" s="18" t="s">
        <v>1315</v>
      </c>
      <c r="AF685" s="1" t="b">
        <v>1</v>
      </c>
    </row>
    <row r="686" spans="2:32" ht="16.5" customHeight="1">
      <c r="B686" s="1" t="str">
        <f t="shared" si="20"/>
        <v>M_TDIF04_VM_BKT_1.3_643</v>
      </c>
      <c r="C686" s="92" t="s">
        <v>700</v>
      </c>
      <c r="D686" s="92" t="str" cm="1">
        <f t="array" ref="D686">INDEX(기계코드!$D$4:$D$214,MATCH(1,(C686=기계코드!$F$4:$F$214)*1,0))</f>
        <v>M_TDIF04</v>
      </c>
      <c r="E686" s="92" t="s">
        <v>1128</v>
      </c>
      <c r="F686" s="7" t="str" cm="1">
        <f t="array" ref="F686">INDEX(공급업체코드!$B$3:$B$1000,MATCH(1,(E686=공급업체코드!$D$3:$D$1000)*1,0))</f>
        <v>VM_BKT</v>
      </c>
      <c r="G686" s="18" t="s">
        <v>1881</v>
      </c>
      <c r="H686" s="64"/>
      <c r="I686" s="64"/>
      <c r="J686" s="64"/>
      <c r="K686" s="300">
        <v>1.1000000000000001</v>
      </c>
      <c r="L686" s="300">
        <v>1.3</v>
      </c>
      <c r="M686" s="64">
        <v>643</v>
      </c>
      <c r="N686" s="64"/>
      <c r="O686" s="64"/>
      <c r="P686" s="64"/>
      <c r="Q686" s="64"/>
      <c r="R686" s="70"/>
      <c r="T686" s="64"/>
      <c r="X686">
        <v>0.123</v>
      </c>
      <c r="Y686" s="258" t="s">
        <v>1313</v>
      </c>
      <c r="AA686" s="259" t="s">
        <v>1314</v>
      </c>
      <c r="AB686" s="20" t="s">
        <v>1061</v>
      </c>
      <c r="AC686">
        <f t="shared" ref="AC686:AC749" si="21">M686*$AC$44</f>
        <v>3215000000</v>
      </c>
      <c r="AE686" s="18" t="s">
        <v>1315</v>
      </c>
      <c r="AF686" s="1" t="b">
        <v>1</v>
      </c>
    </row>
    <row r="687" spans="2:32" ht="16.5" customHeight="1">
      <c r="B687" s="1" t="str">
        <f t="shared" si="20"/>
        <v>M_TDIF04_VM_BKT_1.3_644</v>
      </c>
      <c r="C687" s="92" t="s">
        <v>700</v>
      </c>
      <c r="D687" s="92" t="str" cm="1">
        <f t="array" ref="D687">INDEX(기계코드!$D$4:$D$214,MATCH(1,(C687=기계코드!$F$4:$F$214)*1,0))</f>
        <v>M_TDIF04</v>
      </c>
      <c r="E687" s="92" t="s">
        <v>1128</v>
      </c>
      <c r="F687" s="7" t="str" cm="1">
        <f t="array" ref="F687">INDEX(공급업체코드!$B$3:$B$1000,MATCH(1,(E687=공급업체코드!$D$3:$D$1000)*1,0))</f>
        <v>VM_BKT</v>
      </c>
      <c r="G687" s="18" t="s">
        <v>1881</v>
      </c>
      <c r="H687" s="64"/>
      <c r="I687" s="64"/>
      <c r="J687" s="64"/>
      <c r="K687" s="300">
        <v>1.1000000000000001</v>
      </c>
      <c r="L687" s="300">
        <v>1.3</v>
      </c>
      <c r="M687" s="64">
        <v>644</v>
      </c>
      <c r="N687" s="64"/>
      <c r="O687" s="64"/>
      <c r="P687" s="64"/>
      <c r="Q687" s="64"/>
      <c r="R687" s="70"/>
      <c r="T687" s="64"/>
      <c r="X687">
        <v>0.123</v>
      </c>
      <c r="Y687" s="258" t="s">
        <v>1313</v>
      </c>
      <c r="AA687" s="259" t="s">
        <v>1314</v>
      </c>
      <c r="AB687" s="20" t="s">
        <v>1061</v>
      </c>
      <c r="AC687">
        <f t="shared" si="21"/>
        <v>3220000000</v>
      </c>
      <c r="AE687" s="18" t="s">
        <v>1315</v>
      </c>
      <c r="AF687" s="1" t="b">
        <v>1</v>
      </c>
    </row>
    <row r="688" spans="2:32" ht="16.5" customHeight="1">
      <c r="B688" s="1" t="str">
        <f t="shared" si="20"/>
        <v>M_TDIF04_VM_BKT_1.3_645</v>
      </c>
      <c r="C688" s="92" t="s">
        <v>700</v>
      </c>
      <c r="D688" s="92" t="str" cm="1">
        <f t="array" ref="D688">INDEX(기계코드!$D$4:$D$214,MATCH(1,(C688=기계코드!$F$4:$F$214)*1,0))</f>
        <v>M_TDIF04</v>
      </c>
      <c r="E688" s="92" t="s">
        <v>1128</v>
      </c>
      <c r="F688" s="7" t="str" cm="1">
        <f t="array" ref="F688">INDEX(공급업체코드!$B$3:$B$1000,MATCH(1,(E688=공급업체코드!$D$3:$D$1000)*1,0))</f>
        <v>VM_BKT</v>
      </c>
      <c r="G688" s="18" t="s">
        <v>1881</v>
      </c>
      <c r="H688" s="64"/>
      <c r="I688" s="64"/>
      <c r="J688" s="64"/>
      <c r="K688" s="300">
        <v>1.1000000000000001</v>
      </c>
      <c r="L688" s="300">
        <v>1.3</v>
      </c>
      <c r="M688" s="64">
        <v>645</v>
      </c>
      <c r="N688" s="64"/>
      <c r="O688" s="64"/>
      <c r="P688" s="64"/>
      <c r="Q688" s="64"/>
      <c r="R688" s="70"/>
      <c r="T688" s="64"/>
      <c r="X688">
        <v>0.123</v>
      </c>
      <c r="Y688" s="258" t="s">
        <v>1313</v>
      </c>
      <c r="AA688" s="259" t="s">
        <v>1314</v>
      </c>
      <c r="AB688" s="20" t="s">
        <v>1061</v>
      </c>
      <c r="AC688">
        <f t="shared" si="21"/>
        <v>3225000000</v>
      </c>
      <c r="AE688" s="18" t="s">
        <v>1315</v>
      </c>
      <c r="AF688" s="1" t="b">
        <v>1</v>
      </c>
    </row>
    <row r="689" spans="2:32" ht="16.5" customHeight="1">
      <c r="B689" s="1" t="str">
        <f t="shared" si="20"/>
        <v>M_TDIF04_VM_BKT_1.3_646</v>
      </c>
      <c r="C689" s="92" t="s">
        <v>700</v>
      </c>
      <c r="D689" s="92" t="str" cm="1">
        <f t="array" ref="D689">INDEX(기계코드!$D$4:$D$214,MATCH(1,(C689=기계코드!$F$4:$F$214)*1,0))</f>
        <v>M_TDIF04</v>
      </c>
      <c r="E689" s="92" t="s">
        <v>1128</v>
      </c>
      <c r="F689" s="7" t="str" cm="1">
        <f t="array" ref="F689">INDEX(공급업체코드!$B$3:$B$1000,MATCH(1,(E689=공급업체코드!$D$3:$D$1000)*1,0))</f>
        <v>VM_BKT</v>
      </c>
      <c r="G689" s="18" t="s">
        <v>1881</v>
      </c>
      <c r="H689" s="64"/>
      <c r="I689" s="64"/>
      <c r="J689" s="64"/>
      <c r="K689" s="300">
        <v>1.1000000000000001</v>
      </c>
      <c r="L689" s="300">
        <v>1.3</v>
      </c>
      <c r="M689" s="64">
        <v>646</v>
      </c>
      <c r="N689" s="64"/>
      <c r="O689" s="64"/>
      <c r="P689" s="64"/>
      <c r="Q689" s="64"/>
      <c r="R689" s="70"/>
      <c r="T689" s="64"/>
      <c r="X689">
        <v>0.123</v>
      </c>
      <c r="Y689" s="258" t="s">
        <v>1313</v>
      </c>
      <c r="AA689" s="259" t="s">
        <v>1314</v>
      </c>
      <c r="AB689" s="20" t="s">
        <v>1061</v>
      </c>
      <c r="AC689">
        <f t="shared" si="21"/>
        <v>3230000000</v>
      </c>
      <c r="AE689" s="18" t="s">
        <v>1315</v>
      </c>
      <c r="AF689" s="1" t="b">
        <v>1</v>
      </c>
    </row>
    <row r="690" spans="2:32" ht="16.5" customHeight="1">
      <c r="B690" s="1" t="str">
        <f t="shared" si="20"/>
        <v>M_TDIF04_VM_BKT_1.3_647</v>
      </c>
      <c r="C690" s="92" t="s">
        <v>700</v>
      </c>
      <c r="D690" s="92" t="str" cm="1">
        <f t="array" ref="D690">INDEX(기계코드!$D$4:$D$214,MATCH(1,(C690=기계코드!$F$4:$F$214)*1,0))</f>
        <v>M_TDIF04</v>
      </c>
      <c r="E690" s="92" t="s">
        <v>1128</v>
      </c>
      <c r="F690" s="7" t="str" cm="1">
        <f t="array" ref="F690">INDEX(공급업체코드!$B$3:$B$1000,MATCH(1,(E690=공급업체코드!$D$3:$D$1000)*1,0))</f>
        <v>VM_BKT</v>
      </c>
      <c r="G690" s="18" t="s">
        <v>1881</v>
      </c>
      <c r="H690" s="64"/>
      <c r="I690" s="64"/>
      <c r="J690" s="64"/>
      <c r="K690" s="300">
        <v>1.1000000000000001</v>
      </c>
      <c r="L690" s="300">
        <v>1.3</v>
      </c>
      <c r="M690" s="64">
        <v>647</v>
      </c>
      <c r="N690" s="64"/>
      <c r="O690" s="64"/>
      <c r="P690" s="64"/>
      <c r="Q690" s="64"/>
      <c r="R690" s="70"/>
      <c r="T690" s="64"/>
      <c r="X690">
        <v>0.123</v>
      </c>
      <c r="Y690" s="258" t="s">
        <v>1313</v>
      </c>
      <c r="AA690" s="259" t="s">
        <v>1314</v>
      </c>
      <c r="AB690" s="20" t="s">
        <v>1061</v>
      </c>
      <c r="AC690">
        <f t="shared" si="21"/>
        <v>3235000000</v>
      </c>
      <c r="AE690" s="18" t="s">
        <v>1315</v>
      </c>
      <c r="AF690" s="1" t="b">
        <v>1</v>
      </c>
    </row>
    <row r="691" spans="2:32" ht="16.5" customHeight="1">
      <c r="B691" s="1" t="str">
        <f t="shared" si="20"/>
        <v>M_TDIF04_VM_BKT_1.3_648</v>
      </c>
      <c r="C691" s="92" t="s">
        <v>700</v>
      </c>
      <c r="D691" s="92" t="str" cm="1">
        <f t="array" ref="D691">INDEX(기계코드!$D$4:$D$214,MATCH(1,(C691=기계코드!$F$4:$F$214)*1,0))</f>
        <v>M_TDIF04</v>
      </c>
      <c r="E691" s="92" t="s">
        <v>1128</v>
      </c>
      <c r="F691" s="7" t="str" cm="1">
        <f t="array" ref="F691">INDEX(공급업체코드!$B$3:$B$1000,MATCH(1,(E691=공급업체코드!$D$3:$D$1000)*1,0))</f>
        <v>VM_BKT</v>
      </c>
      <c r="G691" s="18" t="s">
        <v>1881</v>
      </c>
      <c r="H691" s="64"/>
      <c r="I691" s="64"/>
      <c r="J691" s="64"/>
      <c r="K691" s="300">
        <v>1.1000000000000001</v>
      </c>
      <c r="L691" s="300">
        <v>1.3</v>
      </c>
      <c r="M691" s="64">
        <v>648</v>
      </c>
      <c r="N691" s="64"/>
      <c r="O691" s="64"/>
      <c r="P691" s="64"/>
      <c r="Q691" s="64"/>
      <c r="R691" s="70"/>
      <c r="T691" s="64"/>
      <c r="X691">
        <v>0.123</v>
      </c>
      <c r="Y691" s="258" t="s">
        <v>1313</v>
      </c>
      <c r="AA691" s="259" t="s">
        <v>1314</v>
      </c>
      <c r="AB691" s="20" t="s">
        <v>1061</v>
      </c>
      <c r="AC691">
        <f t="shared" si="21"/>
        <v>3240000000</v>
      </c>
      <c r="AE691" s="18" t="s">
        <v>1315</v>
      </c>
      <c r="AF691" s="1" t="b">
        <v>1</v>
      </c>
    </row>
    <row r="692" spans="2:32" ht="16.5" customHeight="1">
      <c r="B692" s="1" t="str">
        <f t="shared" si="20"/>
        <v>M_TDIF04_VM_BKT_1.3_649</v>
      </c>
      <c r="C692" s="92" t="s">
        <v>700</v>
      </c>
      <c r="D692" s="92" t="str" cm="1">
        <f t="array" ref="D692">INDEX(기계코드!$D$4:$D$214,MATCH(1,(C692=기계코드!$F$4:$F$214)*1,0))</f>
        <v>M_TDIF04</v>
      </c>
      <c r="E692" s="92" t="s">
        <v>1128</v>
      </c>
      <c r="F692" s="7" t="str" cm="1">
        <f t="array" ref="F692">INDEX(공급업체코드!$B$3:$B$1000,MATCH(1,(E692=공급업체코드!$D$3:$D$1000)*1,0))</f>
        <v>VM_BKT</v>
      </c>
      <c r="G692" s="18" t="s">
        <v>1881</v>
      </c>
      <c r="H692" s="64"/>
      <c r="I692" s="64"/>
      <c r="J692" s="64"/>
      <c r="K692" s="300">
        <v>1.1000000000000001</v>
      </c>
      <c r="L692" s="300">
        <v>1.3</v>
      </c>
      <c r="M692" s="64">
        <v>649</v>
      </c>
      <c r="N692" s="64"/>
      <c r="O692" s="64"/>
      <c r="P692" s="64"/>
      <c r="Q692" s="64"/>
      <c r="R692" s="70"/>
      <c r="T692" s="64"/>
      <c r="X692">
        <v>0.123</v>
      </c>
      <c r="Y692" s="258" t="s">
        <v>1313</v>
      </c>
      <c r="AA692" s="259" t="s">
        <v>1314</v>
      </c>
      <c r="AB692" s="20" t="s">
        <v>1061</v>
      </c>
      <c r="AC692">
        <f t="shared" si="21"/>
        <v>3245000000</v>
      </c>
      <c r="AE692" s="18" t="s">
        <v>1315</v>
      </c>
      <c r="AF692" s="1" t="b">
        <v>1</v>
      </c>
    </row>
    <row r="693" spans="2:32" ht="16.5" customHeight="1">
      <c r="B693" s="1" t="str">
        <f t="shared" si="20"/>
        <v>M_TDIF04_VM_BKT_1.3_650</v>
      </c>
      <c r="C693" s="92" t="s">
        <v>700</v>
      </c>
      <c r="D693" s="92" t="str" cm="1">
        <f t="array" ref="D693">INDEX(기계코드!$D$4:$D$214,MATCH(1,(C693=기계코드!$F$4:$F$214)*1,0))</f>
        <v>M_TDIF04</v>
      </c>
      <c r="E693" s="92" t="s">
        <v>1128</v>
      </c>
      <c r="F693" s="7" t="str" cm="1">
        <f t="array" ref="F693">INDEX(공급업체코드!$B$3:$B$1000,MATCH(1,(E693=공급업체코드!$D$3:$D$1000)*1,0))</f>
        <v>VM_BKT</v>
      </c>
      <c r="G693" s="18" t="s">
        <v>1881</v>
      </c>
      <c r="H693" s="64"/>
      <c r="I693" s="64"/>
      <c r="J693" s="64"/>
      <c r="K693" s="300">
        <v>1.1000000000000001</v>
      </c>
      <c r="L693" s="300">
        <v>1.3</v>
      </c>
      <c r="M693" s="64">
        <v>650</v>
      </c>
      <c r="N693" s="64"/>
      <c r="O693" s="64"/>
      <c r="P693" s="64"/>
      <c r="Q693" s="64"/>
      <c r="R693" s="70"/>
      <c r="T693" s="64"/>
      <c r="X693">
        <v>0.123</v>
      </c>
      <c r="Y693" s="258" t="s">
        <v>1313</v>
      </c>
      <c r="AA693" s="259" t="s">
        <v>1314</v>
      </c>
      <c r="AB693" s="20" t="s">
        <v>1061</v>
      </c>
      <c r="AC693">
        <f t="shared" si="21"/>
        <v>3250000000</v>
      </c>
      <c r="AE693" s="18" t="s">
        <v>1315</v>
      </c>
      <c r="AF693" s="1" t="b">
        <v>1</v>
      </c>
    </row>
    <row r="694" spans="2:32" ht="16.5" customHeight="1">
      <c r="B694" s="1" t="str">
        <f t="shared" si="20"/>
        <v>M_TDIF04_VM_BKT_1.3_651</v>
      </c>
      <c r="C694" s="92" t="s">
        <v>700</v>
      </c>
      <c r="D694" s="92" t="str" cm="1">
        <f t="array" ref="D694">INDEX(기계코드!$D$4:$D$214,MATCH(1,(C694=기계코드!$F$4:$F$214)*1,0))</f>
        <v>M_TDIF04</v>
      </c>
      <c r="E694" s="92" t="s">
        <v>1128</v>
      </c>
      <c r="F694" s="7" t="str" cm="1">
        <f t="array" ref="F694">INDEX(공급업체코드!$B$3:$B$1000,MATCH(1,(E694=공급업체코드!$D$3:$D$1000)*1,0))</f>
        <v>VM_BKT</v>
      </c>
      <c r="G694" s="18" t="s">
        <v>1881</v>
      </c>
      <c r="H694" s="64"/>
      <c r="I694" s="64"/>
      <c r="J694" s="64"/>
      <c r="K694" s="300">
        <v>1.1000000000000001</v>
      </c>
      <c r="L694" s="300">
        <v>1.3</v>
      </c>
      <c r="M694" s="64">
        <v>651</v>
      </c>
      <c r="N694" s="64"/>
      <c r="O694" s="64"/>
      <c r="P694" s="64"/>
      <c r="Q694" s="64"/>
      <c r="R694" s="70"/>
      <c r="T694" s="64"/>
      <c r="X694">
        <v>0.123</v>
      </c>
      <c r="Y694" s="258" t="s">
        <v>1313</v>
      </c>
      <c r="AA694" s="259" t="s">
        <v>1314</v>
      </c>
      <c r="AB694" s="20" t="s">
        <v>1061</v>
      </c>
      <c r="AC694">
        <f t="shared" si="21"/>
        <v>3255000000</v>
      </c>
      <c r="AE694" s="18" t="s">
        <v>1315</v>
      </c>
      <c r="AF694" s="1" t="b">
        <v>1</v>
      </c>
    </row>
    <row r="695" spans="2:32" ht="16.5" customHeight="1">
      <c r="B695" s="1" t="str">
        <f t="shared" si="20"/>
        <v>M_TDIF04_VM_BKT_1.3_652</v>
      </c>
      <c r="C695" s="92" t="s">
        <v>700</v>
      </c>
      <c r="D695" s="92" t="str" cm="1">
        <f t="array" ref="D695">INDEX(기계코드!$D$4:$D$214,MATCH(1,(C695=기계코드!$F$4:$F$214)*1,0))</f>
        <v>M_TDIF04</v>
      </c>
      <c r="E695" s="92" t="s">
        <v>1128</v>
      </c>
      <c r="F695" s="7" t="str" cm="1">
        <f t="array" ref="F695">INDEX(공급업체코드!$B$3:$B$1000,MATCH(1,(E695=공급업체코드!$D$3:$D$1000)*1,0))</f>
        <v>VM_BKT</v>
      </c>
      <c r="G695" s="18" t="s">
        <v>1881</v>
      </c>
      <c r="H695" s="64"/>
      <c r="I695" s="64"/>
      <c r="J695" s="64"/>
      <c r="K695" s="300">
        <v>1.1000000000000001</v>
      </c>
      <c r="L695" s="300">
        <v>1.3</v>
      </c>
      <c r="M695" s="64">
        <v>652</v>
      </c>
      <c r="N695" s="64"/>
      <c r="O695" s="64"/>
      <c r="P695" s="64"/>
      <c r="Q695" s="64"/>
      <c r="R695" s="70"/>
      <c r="T695" s="64"/>
      <c r="X695">
        <v>0.123</v>
      </c>
      <c r="Y695" s="258" t="s">
        <v>1313</v>
      </c>
      <c r="AA695" s="259" t="s">
        <v>1314</v>
      </c>
      <c r="AB695" s="20" t="s">
        <v>1061</v>
      </c>
      <c r="AC695">
        <f t="shared" si="21"/>
        <v>3260000000</v>
      </c>
      <c r="AE695" s="18" t="s">
        <v>1315</v>
      </c>
      <c r="AF695" s="1" t="b">
        <v>1</v>
      </c>
    </row>
    <row r="696" spans="2:32" ht="16.5" customHeight="1">
      <c r="B696" s="1" t="str">
        <f t="shared" si="20"/>
        <v>M_TDIF04_VM_BKT_1.3_653</v>
      </c>
      <c r="C696" s="92" t="s">
        <v>700</v>
      </c>
      <c r="D696" s="92" t="str" cm="1">
        <f t="array" ref="D696">INDEX(기계코드!$D$4:$D$214,MATCH(1,(C696=기계코드!$F$4:$F$214)*1,0))</f>
        <v>M_TDIF04</v>
      </c>
      <c r="E696" s="92" t="s">
        <v>1128</v>
      </c>
      <c r="F696" s="7" t="str" cm="1">
        <f t="array" ref="F696">INDEX(공급업체코드!$B$3:$B$1000,MATCH(1,(E696=공급업체코드!$D$3:$D$1000)*1,0))</f>
        <v>VM_BKT</v>
      </c>
      <c r="G696" s="18" t="s">
        <v>1881</v>
      </c>
      <c r="H696" s="64"/>
      <c r="I696" s="64"/>
      <c r="J696" s="64"/>
      <c r="K696" s="300">
        <v>1.1000000000000001</v>
      </c>
      <c r="L696" s="300">
        <v>1.3</v>
      </c>
      <c r="M696" s="64">
        <v>653</v>
      </c>
      <c r="N696" s="64"/>
      <c r="O696" s="64"/>
      <c r="P696" s="64"/>
      <c r="Q696" s="64"/>
      <c r="R696" s="70"/>
      <c r="T696" s="64"/>
      <c r="X696">
        <v>0.123</v>
      </c>
      <c r="Y696" s="258" t="s">
        <v>1313</v>
      </c>
      <c r="AA696" s="259" t="s">
        <v>1314</v>
      </c>
      <c r="AB696" s="20" t="s">
        <v>1061</v>
      </c>
      <c r="AC696">
        <f t="shared" si="21"/>
        <v>3265000000</v>
      </c>
      <c r="AE696" s="18" t="s">
        <v>1315</v>
      </c>
      <c r="AF696" s="1" t="b">
        <v>1</v>
      </c>
    </row>
    <row r="697" spans="2:32" ht="16.5" customHeight="1">
      <c r="B697" s="1" t="str">
        <f t="shared" si="20"/>
        <v>M_TDIF04_VM_BKT_1.3_654</v>
      </c>
      <c r="C697" s="92" t="s">
        <v>700</v>
      </c>
      <c r="D697" s="92" t="str" cm="1">
        <f t="array" ref="D697">INDEX(기계코드!$D$4:$D$214,MATCH(1,(C697=기계코드!$F$4:$F$214)*1,0))</f>
        <v>M_TDIF04</v>
      </c>
      <c r="E697" s="92" t="s">
        <v>1128</v>
      </c>
      <c r="F697" s="7" t="str" cm="1">
        <f t="array" ref="F697">INDEX(공급업체코드!$B$3:$B$1000,MATCH(1,(E697=공급업체코드!$D$3:$D$1000)*1,0))</f>
        <v>VM_BKT</v>
      </c>
      <c r="G697" s="18" t="s">
        <v>1881</v>
      </c>
      <c r="H697" s="64"/>
      <c r="I697" s="64"/>
      <c r="J697" s="64"/>
      <c r="K697" s="300">
        <v>1.1000000000000001</v>
      </c>
      <c r="L697" s="300">
        <v>1.3</v>
      </c>
      <c r="M697" s="64">
        <v>654</v>
      </c>
      <c r="N697" s="64"/>
      <c r="O697" s="64"/>
      <c r="P697" s="64"/>
      <c r="Q697" s="64"/>
      <c r="R697" s="70"/>
      <c r="T697" s="64"/>
      <c r="X697">
        <v>0.123</v>
      </c>
      <c r="Y697" s="258" t="s">
        <v>1313</v>
      </c>
      <c r="AA697" s="259" t="s">
        <v>1314</v>
      </c>
      <c r="AB697" s="20" t="s">
        <v>1061</v>
      </c>
      <c r="AC697">
        <f t="shared" si="21"/>
        <v>3270000000</v>
      </c>
      <c r="AE697" s="18" t="s">
        <v>1315</v>
      </c>
      <c r="AF697" s="1" t="b">
        <v>1</v>
      </c>
    </row>
    <row r="698" spans="2:32" ht="16.5" customHeight="1">
      <c r="B698" s="1" t="str">
        <f t="shared" si="20"/>
        <v>M_TDIF04_VM_BKT_1.3_655</v>
      </c>
      <c r="C698" s="92" t="s">
        <v>700</v>
      </c>
      <c r="D698" s="92" t="str" cm="1">
        <f t="array" ref="D698">INDEX(기계코드!$D$4:$D$214,MATCH(1,(C698=기계코드!$F$4:$F$214)*1,0))</f>
        <v>M_TDIF04</v>
      </c>
      <c r="E698" s="92" t="s">
        <v>1128</v>
      </c>
      <c r="F698" s="7" t="str" cm="1">
        <f t="array" ref="F698">INDEX(공급업체코드!$B$3:$B$1000,MATCH(1,(E698=공급업체코드!$D$3:$D$1000)*1,0))</f>
        <v>VM_BKT</v>
      </c>
      <c r="G698" s="18" t="s">
        <v>1881</v>
      </c>
      <c r="H698" s="64"/>
      <c r="I698" s="64"/>
      <c r="J698" s="64"/>
      <c r="K698" s="300">
        <v>1.1000000000000001</v>
      </c>
      <c r="L698" s="300">
        <v>1.3</v>
      </c>
      <c r="M698" s="64">
        <v>655</v>
      </c>
      <c r="N698" s="64"/>
      <c r="O698" s="64"/>
      <c r="P698" s="64"/>
      <c r="Q698" s="64"/>
      <c r="R698" s="70"/>
      <c r="T698" s="64"/>
      <c r="X698">
        <v>0.123</v>
      </c>
      <c r="Y698" s="258" t="s">
        <v>1313</v>
      </c>
      <c r="AA698" s="259" t="s">
        <v>1314</v>
      </c>
      <c r="AB698" s="20" t="s">
        <v>1061</v>
      </c>
      <c r="AC698">
        <f t="shared" si="21"/>
        <v>3275000000</v>
      </c>
      <c r="AE698" s="18" t="s">
        <v>1315</v>
      </c>
      <c r="AF698" s="1" t="b">
        <v>1</v>
      </c>
    </row>
    <row r="699" spans="2:32" ht="16.5" customHeight="1">
      <c r="B699" s="1" t="str">
        <f t="shared" si="20"/>
        <v>M_TDIF04_VM_BKT_1.3_656</v>
      </c>
      <c r="C699" s="92" t="s">
        <v>700</v>
      </c>
      <c r="D699" s="92" t="str" cm="1">
        <f t="array" ref="D699">INDEX(기계코드!$D$4:$D$214,MATCH(1,(C699=기계코드!$F$4:$F$214)*1,0))</f>
        <v>M_TDIF04</v>
      </c>
      <c r="E699" s="92" t="s">
        <v>1128</v>
      </c>
      <c r="F699" s="7" t="str" cm="1">
        <f t="array" ref="F699">INDEX(공급업체코드!$B$3:$B$1000,MATCH(1,(E699=공급업체코드!$D$3:$D$1000)*1,0))</f>
        <v>VM_BKT</v>
      </c>
      <c r="G699" s="18" t="s">
        <v>1881</v>
      </c>
      <c r="H699" s="64"/>
      <c r="I699" s="64"/>
      <c r="J699" s="64"/>
      <c r="K699" s="300">
        <v>1.1000000000000001</v>
      </c>
      <c r="L699" s="300">
        <v>1.3</v>
      </c>
      <c r="M699" s="64">
        <v>656</v>
      </c>
      <c r="N699" s="64"/>
      <c r="O699" s="64"/>
      <c r="P699" s="64"/>
      <c r="Q699" s="64"/>
      <c r="R699" s="70"/>
      <c r="T699" s="64"/>
      <c r="X699">
        <v>0.123</v>
      </c>
      <c r="Y699" s="258" t="s">
        <v>1313</v>
      </c>
      <c r="AA699" s="259" t="s">
        <v>1314</v>
      </c>
      <c r="AB699" s="20" t="s">
        <v>1061</v>
      </c>
      <c r="AC699">
        <f t="shared" si="21"/>
        <v>3280000000</v>
      </c>
      <c r="AE699" s="18" t="s">
        <v>1315</v>
      </c>
      <c r="AF699" s="1" t="b">
        <v>1</v>
      </c>
    </row>
    <row r="700" spans="2:32" ht="16.5" customHeight="1">
      <c r="B700" s="1" t="str">
        <f t="shared" si="20"/>
        <v>M_TDIF04_VM_BKT_1.3_657</v>
      </c>
      <c r="C700" s="92" t="s">
        <v>700</v>
      </c>
      <c r="D700" s="92" t="str" cm="1">
        <f t="array" ref="D700">INDEX(기계코드!$D$4:$D$214,MATCH(1,(C700=기계코드!$F$4:$F$214)*1,0))</f>
        <v>M_TDIF04</v>
      </c>
      <c r="E700" s="92" t="s">
        <v>1128</v>
      </c>
      <c r="F700" s="7" t="str" cm="1">
        <f t="array" ref="F700">INDEX(공급업체코드!$B$3:$B$1000,MATCH(1,(E700=공급업체코드!$D$3:$D$1000)*1,0))</f>
        <v>VM_BKT</v>
      </c>
      <c r="G700" s="18" t="s">
        <v>1881</v>
      </c>
      <c r="H700" s="64"/>
      <c r="I700" s="64"/>
      <c r="J700" s="64"/>
      <c r="K700" s="300">
        <v>1.1000000000000001</v>
      </c>
      <c r="L700" s="300">
        <v>1.3</v>
      </c>
      <c r="M700" s="64">
        <v>657</v>
      </c>
      <c r="N700" s="64"/>
      <c r="O700" s="64"/>
      <c r="P700" s="64"/>
      <c r="Q700" s="64"/>
      <c r="R700" s="70"/>
      <c r="T700" s="64"/>
      <c r="X700">
        <v>0.123</v>
      </c>
      <c r="Y700" s="258" t="s">
        <v>1313</v>
      </c>
      <c r="AA700" s="259" t="s">
        <v>1314</v>
      </c>
      <c r="AB700" s="20" t="s">
        <v>1061</v>
      </c>
      <c r="AC700">
        <f t="shared" si="21"/>
        <v>3285000000</v>
      </c>
      <c r="AE700" s="18" t="s">
        <v>1315</v>
      </c>
      <c r="AF700" s="1" t="b">
        <v>1</v>
      </c>
    </row>
    <row r="701" spans="2:32" ht="16.5" customHeight="1">
      <c r="B701" s="1" t="str">
        <f t="shared" si="20"/>
        <v>M_TDIF04_VM_BKT_1.3_658</v>
      </c>
      <c r="C701" s="92" t="s">
        <v>700</v>
      </c>
      <c r="D701" s="92" t="str" cm="1">
        <f t="array" ref="D701">INDEX(기계코드!$D$4:$D$214,MATCH(1,(C701=기계코드!$F$4:$F$214)*1,0))</f>
        <v>M_TDIF04</v>
      </c>
      <c r="E701" s="92" t="s">
        <v>1128</v>
      </c>
      <c r="F701" s="7" t="str" cm="1">
        <f t="array" ref="F701">INDEX(공급업체코드!$B$3:$B$1000,MATCH(1,(E701=공급업체코드!$D$3:$D$1000)*1,0))</f>
        <v>VM_BKT</v>
      </c>
      <c r="G701" s="18" t="s">
        <v>1881</v>
      </c>
      <c r="H701" s="64"/>
      <c r="I701" s="64"/>
      <c r="J701" s="64"/>
      <c r="K701" s="300">
        <v>1.1000000000000001</v>
      </c>
      <c r="L701" s="300">
        <v>1.3</v>
      </c>
      <c r="M701" s="64">
        <v>658</v>
      </c>
      <c r="N701" s="64"/>
      <c r="O701" s="64"/>
      <c r="P701" s="64"/>
      <c r="Q701" s="64"/>
      <c r="R701" s="70"/>
      <c r="T701" s="64"/>
      <c r="X701">
        <v>0.123</v>
      </c>
      <c r="Y701" s="258" t="s">
        <v>1313</v>
      </c>
      <c r="AA701" s="259" t="s">
        <v>1314</v>
      </c>
      <c r="AB701" s="20" t="s">
        <v>1061</v>
      </c>
      <c r="AC701">
        <f t="shared" si="21"/>
        <v>3290000000</v>
      </c>
      <c r="AE701" s="18" t="s">
        <v>1315</v>
      </c>
      <c r="AF701" s="1" t="b">
        <v>1</v>
      </c>
    </row>
    <row r="702" spans="2:32" ht="16.5" customHeight="1">
      <c r="B702" s="1" t="str">
        <f t="shared" si="20"/>
        <v>M_TDIF04_VM_BKT_1.3_659</v>
      </c>
      <c r="C702" s="92" t="s">
        <v>700</v>
      </c>
      <c r="D702" s="92" t="str" cm="1">
        <f t="array" ref="D702">INDEX(기계코드!$D$4:$D$214,MATCH(1,(C702=기계코드!$F$4:$F$214)*1,0))</f>
        <v>M_TDIF04</v>
      </c>
      <c r="E702" s="92" t="s">
        <v>1128</v>
      </c>
      <c r="F702" s="7" t="str" cm="1">
        <f t="array" ref="F702">INDEX(공급업체코드!$B$3:$B$1000,MATCH(1,(E702=공급업체코드!$D$3:$D$1000)*1,0))</f>
        <v>VM_BKT</v>
      </c>
      <c r="G702" s="18" t="s">
        <v>1881</v>
      </c>
      <c r="H702" s="64"/>
      <c r="I702" s="64"/>
      <c r="J702" s="64"/>
      <c r="K702" s="300">
        <v>1.1000000000000001</v>
      </c>
      <c r="L702" s="300">
        <v>1.3</v>
      </c>
      <c r="M702" s="64">
        <v>659</v>
      </c>
      <c r="N702" s="64"/>
      <c r="O702" s="64"/>
      <c r="P702" s="64"/>
      <c r="Q702" s="64"/>
      <c r="R702" s="70"/>
      <c r="T702" s="64"/>
      <c r="X702">
        <v>0.123</v>
      </c>
      <c r="Y702" s="258" t="s">
        <v>1313</v>
      </c>
      <c r="AA702" s="259" t="s">
        <v>1314</v>
      </c>
      <c r="AB702" s="20" t="s">
        <v>1061</v>
      </c>
      <c r="AC702">
        <f t="shared" si="21"/>
        <v>3295000000</v>
      </c>
      <c r="AE702" s="18" t="s">
        <v>1315</v>
      </c>
      <c r="AF702" s="1" t="b">
        <v>1</v>
      </c>
    </row>
    <row r="703" spans="2:32" ht="16.5" customHeight="1">
      <c r="B703" s="1" t="str">
        <f t="shared" si="20"/>
        <v>M_TDIF04_VM_BKT_1.3_660</v>
      </c>
      <c r="C703" s="92" t="s">
        <v>700</v>
      </c>
      <c r="D703" s="92" t="str" cm="1">
        <f t="array" ref="D703">INDEX(기계코드!$D$4:$D$214,MATCH(1,(C703=기계코드!$F$4:$F$214)*1,0))</f>
        <v>M_TDIF04</v>
      </c>
      <c r="E703" s="92" t="s">
        <v>1128</v>
      </c>
      <c r="F703" s="7" t="str" cm="1">
        <f t="array" ref="F703">INDEX(공급업체코드!$B$3:$B$1000,MATCH(1,(E703=공급업체코드!$D$3:$D$1000)*1,0))</f>
        <v>VM_BKT</v>
      </c>
      <c r="G703" s="18" t="s">
        <v>1881</v>
      </c>
      <c r="H703" s="64"/>
      <c r="I703" s="64"/>
      <c r="J703" s="64"/>
      <c r="K703" s="300">
        <v>1.1000000000000001</v>
      </c>
      <c r="L703" s="300">
        <v>1.3</v>
      </c>
      <c r="M703" s="64">
        <v>660</v>
      </c>
      <c r="N703" s="64"/>
      <c r="O703" s="64"/>
      <c r="P703" s="64"/>
      <c r="Q703" s="64"/>
      <c r="R703" s="70"/>
      <c r="T703" s="64"/>
      <c r="X703">
        <v>0.123</v>
      </c>
      <c r="Y703" s="258" t="s">
        <v>1313</v>
      </c>
      <c r="AA703" s="259" t="s">
        <v>1314</v>
      </c>
      <c r="AB703" s="20" t="s">
        <v>1061</v>
      </c>
      <c r="AC703">
        <f t="shared" si="21"/>
        <v>3300000000</v>
      </c>
      <c r="AE703" s="18" t="s">
        <v>1315</v>
      </c>
      <c r="AF703" s="1" t="b">
        <v>1</v>
      </c>
    </row>
    <row r="704" spans="2:32" ht="16.5" customHeight="1">
      <c r="B704" s="1" t="str">
        <f t="shared" si="20"/>
        <v>M_TDIF04_VM_BKT_1.3_661</v>
      </c>
      <c r="C704" s="92" t="s">
        <v>700</v>
      </c>
      <c r="D704" s="92" t="str" cm="1">
        <f t="array" ref="D704">INDEX(기계코드!$D$4:$D$214,MATCH(1,(C704=기계코드!$F$4:$F$214)*1,0))</f>
        <v>M_TDIF04</v>
      </c>
      <c r="E704" s="92" t="s">
        <v>1128</v>
      </c>
      <c r="F704" s="7" t="str" cm="1">
        <f t="array" ref="F704">INDEX(공급업체코드!$B$3:$B$1000,MATCH(1,(E704=공급업체코드!$D$3:$D$1000)*1,0))</f>
        <v>VM_BKT</v>
      </c>
      <c r="G704" s="18" t="s">
        <v>1881</v>
      </c>
      <c r="H704" s="64"/>
      <c r="I704" s="64"/>
      <c r="J704" s="64"/>
      <c r="K704" s="300">
        <v>1.1000000000000001</v>
      </c>
      <c r="L704" s="300">
        <v>1.3</v>
      </c>
      <c r="M704" s="64">
        <v>661</v>
      </c>
      <c r="N704" s="64"/>
      <c r="O704" s="64"/>
      <c r="P704" s="64"/>
      <c r="Q704" s="64"/>
      <c r="R704" s="70"/>
      <c r="T704" s="64"/>
      <c r="X704">
        <v>0.123</v>
      </c>
      <c r="Y704" s="258" t="s">
        <v>1313</v>
      </c>
      <c r="AA704" s="259" t="s">
        <v>1314</v>
      </c>
      <c r="AB704" s="20" t="s">
        <v>1061</v>
      </c>
      <c r="AC704">
        <f t="shared" si="21"/>
        <v>3305000000</v>
      </c>
      <c r="AE704" s="18" t="s">
        <v>1315</v>
      </c>
      <c r="AF704" s="1" t="b">
        <v>1</v>
      </c>
    </row>
    <row r="705" spans="2:32" ht="16.5" customHeight="1">
      <c r="B705" s="1" t="str">
        <f t="shared" si="20"/>
        <v>M_TDIF04_VM_BKT_1.3_662</v>
      </c>
      <c r="C705" s="92" t="s">
        <v>700</v>
      </c>
      <c r="D705" s="92" t="str" cm="1">
        <f t="array" ref="D705">INDEX(기계코드!$D$4:$D$214,MATCH(1,(C705=기계코드!$F$4:$F$214)*1,0))</f>
        <v>M_TDIF04</v>
      </c>
      <c r="E705" s="92" t="s">
        <v>1128</v>
      </c>
      <c r="F705" s="7" t="str" cm="1">
        <f t="array" ref="F705">INDEX(공급업체코드!$B$3:$B$1000,MATCH(1,(E705=공급업체코드!$D$3:$D$1000)*1,0))</f>
        <v>VM_BKT</v>
      </c>
      <c r="G705" s="18" t="s">
        <v>1881</v>
      </c>
      <c r="H705" s="64"/>
      <c r="I705" s="64"/>
      <c r="J705" s="64"/>
      <c r="K705" s="300">
        <v>1.1000000000000001</v>
      </c>
      <c r="L705" s="300">
        <v>1.3</v>
      </c>
      <c r="M705" s="64">
        <v>662</v>
      </c>
      <c r="N705" s="64"/>
      <c r="O705" s="64"/>
      <c r="P705" s="64"/>
      <c r="Q705" s="64"/>
      <c r="R705" s="70"/>
      <c r="T705" s="64"/>
      <c r="X705">
        <v>0.123</v>
      </c>
      <c r="Y705" s="258" t="s">
        <v>1313</v>
      </c>
      <c r="AA705" s="259" t="s">
        <v>1314</v>
      </c>
      <c r="AB705" s="20" t="s">
        <v>1061</v>
      </c>
      <c r="AC705">
        <f t="shared" si="21"/>
        <v>3310000000</v>
      </c>
      <c r="AE705" s="18" t="s">
        <v>1315</v>
      </c>
      <c r="AF705" s="1" t="b">
        <v>1</v>
      </c>
    </row>
    <row r="706" spans="2:32" ht="16.5" customHeight="1">
      <c r="B706" s="1" t="str">
        <f t="shared" si="20"/>
        <v>M_TDIF04_VM_BKT_1.3_663</v>
      </c>
      <c r="C706" s="92" t="s">
        <v>700</v>
      </c>
      <c r="D706" s="92" t="str" cm="1">
        <f t="array" ref="D706">INDEX(기계코드!$D$4:$D$214,MATCH(1,(C706=기계코드!$F$4:$F$214)*1,0))</f>
        <v>M_TDIF04</v>
      </c>
      <c r="E706" s="92" t="s">
        <v>1128</v>
      </c>
      <c r="F706" s="7" t="str" cm="1">
        <f t="array" ref="F706">INDEX(공급업체코드!$B$3:$B$1000,MATCH(1,(E706=공급업체코드!$D$3:$D$1000)*1,0))</f>
        <v>VM_BKT</v>
      </c>
      <c r="G706" s="18" t="s">
        <v>1881</v>
      </c>
      <c r="H706" s="64"/>
      <c r="I706" s="64"/>
      <c r="J706" s="64"/>
      <c r="K706" s="300">
        <v>1.1000000000000001</v>
      </c>
      <c r="L706" s="300">
        <v>1.3</v>
      </c>
      <c r="M706" s="64">
        <v>663</v>
      </c>
      <c r="N706" s="64"/>
      <c r="O706" s="64"/>
      <c r="P706" s="64"/>
      <c r="Q706" s="64"/>
      <c r="R706" s="70"/>
      <c r="T706" s="64"/>
      <c r="X706">
        <v>0.123</v>
      </c>
      <c r="Y706" s="258" t="s">
        <v>1313</v>
      </c>
      <c r="AA706" s="259" t="s">
        <v>1314</v>
      </c>
      <c r="AB706" s="20" t="s">
        <v>1061</v>
      </c>
      <c r="AC706">
        <f t="shared" si="21"/>
        <v>3315000000</v>
      </c>
      <c r="AE706" s="18" t="s">
        <v>1315</v>
      </c>
      <c r="AF706" s="1" t="b">
        <v>1</v>
      </c>
    </row>
    <row r="707" spans="2:32" ht="16.5" customHeight="1">
      <c r="B707" s="1" t="str">
        <f t="shared" si="20"/>
        <v>M_TDIF04_VM_BKT_1.3_664</v>
      </c>
      <c r="C707" s="92" t="s">
        <v>700</v>
      </c>
      <c r="D707" s="92" t="str" cm="1">
        <f t="array" ref="D707">INDEX(기계코드!$D$4:$D$214,MATCH(1,(C707=기계코드!$F$4:$F$214)*1,0))</f>
        <v>M_TDIF04</v>
      </c>
      <c r="E707" s="92" t="s">
        <v>1128</v>
      </c>
      <c r="F707" s="7" t="str" cm="1">
        <f t="array" ref="F707">INDEX(공급업체코드!$B$3:$B$1000,MATCH(1,(E707=공급업체코드!$D$3:$D$1000)*1,0))</f>
        <v>VM_BKT</v>
      </c>
      <c r="G707" s="18" t="s">
        <v>1881</v>
      </c>
      <c r="H707" s="64"/>
      <c r="I707" s="64"/>
      <c r="J707" s="64"/>
      <c r="K707" s="300">
        <v>1.1000000000000001</v>
      </c>
      <c r="L707" s="300">
        <v>1.3</v>
      </c>
      <c r="M707" s="64">
        <v>664</v>
      </c>
      <c r="N707" s="64"/>
      <c r="O707" s="64"/>
      <c r="P707" s="64"/>
      <c r="Q707" s="64"/>
      <c r="R707" s="70"/>
      <c r="T707" s="64"/>
      <c r="X707">
        <v>0.123</v>
      </c>
      <c r="Y707" s="258" t="s">
        <v>1313</v>
      </c>
      <c r="AA707" s="259" t="s">
        <v>1314</v>
      </c>
      <c r="AB707" s="20" t="s">
        <v>1061</v>
      </c>
      <c r="AC707">
        <f t="shared" si="21"/>
        <v>3320000000</v>
      </c>
      <c r="AE707" s="18" t="s">
        <v>1315</v>
      </c>
      <c r="AF707" s="1" t="b">
        <v>1</v>
      </c>
    </row>
    <row r="708" spans="2:32" ht="16.5" customHeight="1">
      <c r="B708" s="1" t="str">
        <f t="shared" si="20"/>
        <v>M_TDIF04_VM_BKT_1.3_665</v>
      </c>
      <c r="C708" s="92" t="s">
        <v>700</v>
      </c>
      <c r="D708" s="92" t="str" cm="1">
        <f t="array" ref="D708">INDEX(기계코드!$D$4:$D$214,MATCH(1,(C708=기계코드!$F$4:$F$214)*1,0))</f>
        <v>M_TDIF04</v>
      </c>
      <c r="E708" s="92" t="s">
        <v>1128</v>
      </c>
      <c r="F708" s="7" t="str" cm="1">
        <f t="array" ref="F708">INDEX(공급업체코드!$B$3:$B$1000,MATCH(1,(E708=공급업체코드!$D$3:$D$1000)*1,0))</f>
        <v>VM_BKT</v>
      </c>
      <c r="G708" s="18" t="s">
        <v>1881</v>
      </c>
      <c r="H708" s="64"/>
      <c r="I708" s="64"/>
      <c r="J708" s="64"/>
      <c r="K708" s="300">
        <v>1.1000000000000001</v>
      </c>
      <c r="L708" s="300">
        <v>1.3</v>
      </c>
      <c r="M708" s="64">
        <v>665</v>
      </c>
      <c r="N708" s="64"/>
      <c r="O708" s="64"/>
      <c r="P708" s="64"/>
      <c r="Q708" s="64"/>
      <c r="R708" s="70"/>
      <c r="T708" s="64"/>
      <c r="X708">
        <v>0.123</v>
      </c>
      <c r="Y708" s="258" t="s">
        <v>1313</v>
      </c>
      <c r="AA708" s="259" t="s">
        <v>1314</v>
      </c>
      <c r="AB708" s="20" t="s">
        <v>1061</v>
      </c>
      <c r="AC708">
        <f t="shared" si="21"/>
        <v>3325000000</v>
      </c>
      <c r="AE708" s="18" t="s">
        <v>1315</v>
      </c>
      <c r="AF708" s="1" t="b">
        <v>1</v>
      </c>
    </row>
    <row r="709" spans="2:32" ht="16.5" customHeight="1">
      <c r="B709" s="1" t="str">
        <f t="shared" si="20"/>
        <v>M_TDIF04_VM_BKT_1.3_666</v>
      </c>
      <c r="C709" s="92" t="s">
        <v>700</v>
      </c>
      <c r="D709" s="92" t="str" cm="1">
        <f t="array" ref="D709">INDEX(기계코드!$D$4:$D$214,MATCH(1,(C709=기계코드!$F$4:$F$214)*1,0))</f>
        <v>M_TDIF04</v>
      </c>
      <c r="E709" s="92" t="s">
        <v>1128</v>
      </c>
      <c r="F709" s="7" t="str" cm="1">
        <f t="array" ref="F709">INDEX(공급업체코드!$B$3:$B$1000,MATCH(1,(E709=공급업체코드!$D$3:$D$1000)*1,0))</f>
        <v>VM_BKT</v>
      </c>
      <c r="G709" s="18" t="s">
        <v>1881</v>
      </c>
      <c r="H709" s="64"/>
      <c r="I709" s="64"/>
      <c r="J709" s="64"/>
      <c r="K709" s="300">
        <v>1.1000000000000001</v>
      </c>
      <c r="L709" s="300">
        <v>1.3</v>
      </c>
      <c r="M709" s="64">
        <v>666</v>
      </c>
      <c r="N709" s="64"/>
      <c r="O709" s="64"/>
      <c r="P709" s="64"/>
      <c r="Q709" s="64"/>
      <c r="R709" s="70"/>
      <c r="T709" s="64"/>
      <c r="X709">
        <v>0.123</v>
      </c>
      <c r="Y709" s="258" t="s">
        <v>1313</v>
      </c>
      <c r="AA709" s="259" t="s">
        <v>1314</v>
      </c>
      <c r="AB709" s="20" t="s">
        <v>1061</v>
      </c>
      <c r="AC709">
        <f t="shared" si="21"/>
        <v>3330000000</v>
      </c>
      <c r="AE709" s="18" t="s">
        <v>1315</v>
      </c>
      <c r="AF709" s="1" t="b">
        <v>1</v>
      </c>
    </row>
    <row r="710" spans="2:32" ht="16.5" customHeight="1">
      <c r="B710" s="1" t="str">
        <f t="shared" si="20"/>
        <v>M_TDIF04_VM_BKT_1.3_667</v>
      </c>
      <c r="C710" s="92" t="s">
        <v>700</v>
      </c>
      <c r="D710" s="92" t="str" cm="1">
        <f t="array" ref="D710">INDEX(기계코드!$D$4:$D$214,MATCH(1,(C710=기계코드!$F$4:$F$214)*1,0))</f>
        <v>M_TDIF04</v>
      </c>
      <c r="E710" s="92" t="s">
        <v>1128</v>
      </c>
      <c r="F710" s="7" t="str" cm="1">
        <f t="array" ref="F710">INDEX(공급업체코드!$B$3:$B$1000,MATCH(1,(E710=공급업체코드!$D$3:$D$1000)*1,0))</f>
        <v>VM_BKT</v>
      </c>
      <c r="G710" s="18" t="s">
        <v>1881</v>
      </c>
      <c r="H710" s="64"/>
      <c r="I710" s="64"/>
      <c r="J710" s="64"/>
      <c r="K710" s="300">
        <v>1.1000000000000001</v>
      </c>
      <c r="L710" s="300">
        <v>1.3</v>
      </c>
      <c r="M710" s="64">
        <v>667</v>
      </c>
      <c r="N710" s="64"/>
      <c r="O710" s="64"/>
      <c r="P710" s="64"/>
      <c r="Q710" s="64"/>
      <c r="R710" s="70"/>
      <c r="T710" s="64"/>
      <c r="X710">
        <v>0.123</v>
      </c>
      <c r="Y710" s="258" t="s">
        <v>1313</v>
      </c>
      <c r="AA710" s="259" t="s">
        <v>1314</v>
      </c>
      <c r="AB710" s="20" t="s">
        <v>1061</v>
      </c>
      <c r="AC710">
        <f t="shared" si="21"/>
        <v>3335000000</v>
      </c>
      <c r="AE710" s="18" t="s">
        <v>1315</v>
      </c>
      <c r="AF710" s="1" t="b">
        <v>1</v>
      </c>
    </row>
    <row r="711" spans="2:32" ht="16.5" customHeight="1">
      <c r="B711" s="1" t="str">
        <f t="shared" si="20"/>
        <v>M_TDIF04_VM_BKT_1.3_668</v>
      </c>
      <c r="C711" s="92" t="s">
        <v>700</v>
      </c>
      <c r="D711" s="92" t="str" cm="1">
        <f t="array" ref="D711">INDEX(기계코드!$D$4:$D$214,MATCH(1,(C711=기계코드!$F$4:$F$214)*1,0))</f>
        <v>M_TDIF04</v>
      </c>
      <c r="E711" s="92" t="s">
        <v>1128</v>
      </c>
      <c r="F711" s="7" t="str" cm="1">
        <f t="array" ref="F711">INDEX(공급업체코드!$B$3:$B$1000,MATCH(1,(E711=공급업체코드!$D$3:$D$1000)*1,0))</f>
        <v>VM_BKT</v>
      </c>
      <c r="G711" s="18" t="s">
        <v>1881</v>
      </c>
      <c r="H711" s="64"/>
      <c r="I711" s="64"/>
      <c r="J711" s="64"/>
      <c r="K711" s="300">
        <v>1.1000000000000001</v>
      </c>
      <c r="L711" s="300">
        <v>1.3</v>
      </c>
      <c r="M711" s="64">
        <v>668</v>
      </c>
      <c r="N711" s="64"/>
      <c r="O711" s="64"/>
      <c r="P711" s="64"/>
      <c r="Q711" s="64"/>
      <c r="R711" s="70"/>
      <c r="T711" s="64"/>
      <c r="X711">
        <v>0.123</v>
      </c>
      <c r="Y711" s="258" t="s">
        <v>1313</v>
      </c>
      <c r="AA711" s="259" t="s">
        <v>1314</v>
      </c>
      <c r="AB711" s="20" t="s">
        <v>1061</v>
      </c>
      <c r="AC711">
        <f t="shared" si="21"/>
        <v>3340000000</v>
      </c>
      <c r="AE711" s="18" t="s">
        <v>1315</v>
      </c>
      <c r="AF711" s="1" t="b">
        <v>1</v>
      </c>
    </row>
    <row r="712" spans="2:32" ht="16.5" customHeight="1">
      <c r="B712" s="1" t="str">
        <f t="shared" si="20"/>
        <v>M_TDIF04_VM_BKT_1.3_669</v>
      </c>
      <c r="C712" s="92" t="s">
        <v>700</v>
      </c>
      <c r="D712" s="92" t="str" cm="1">
        <f t="array" ref="D712">INDEX(기계코드!$D$4:$D$214,MATCH(1,(C712=기계코드!$F$4:$F$214)*1,0))</f>
        <v>M_TDIF04</v>
      </c>
      <c r="E712" s="92" t="s">
        <v>1128</v>
      </c>
      <c r="F712" s="7" t="str" cm="1">
        <f t="array" ref="F712">INDEX(공급업체코드!$B$3:$B$1000,MATCH(1,(E712=공급업체코드!$D$3:$D$1000)*1,0))</f>
        <v>VM_BKT</v>
      </c>
      <c r="G712" s="18" t="s">
        <v>1881</v>
      </c>
      <c r="H712" s="64"/>
      <c r="I712" s="64"/>
      <c r="J712" s="64"/>
      <c r="K712" s="300">
        <v>1.1000000000000001</v>
      </c>
      <c r="L712" s="300">
        <v>1.3</v>
      </c>
      <c r="M712" s="64">
        <v>669</v>
      </c>
      <c r="N712" s="64"/>
      <c r="O712" s="64"/>
      <c r="P712" s="64"/>
      <c r="Q712" s="64"/>
      <c r="R712" s="70"/>
      <c r="T712" s="64"/>
      <c r="X712">
        <v>0.123</v>
      </c>
      <c r="Y712" s="258" t="s">
        <v>1313</v>
      </c>
      <c r="AA712" s="259" t="s">
        <v>1314</v>
      </c>
      <c r="AB712" s="20" t="s">
        <v>1061</v>
      </c>
      <c r="AC712">
        <f t="shared" si="21"/>
        <v>3345000000</v>
      </c>
      <c r="AE712" s="18" t="s">
        <v>1315</v>
      </c>
      <c r="AF712" s="1" t="b">
        <v>1</v>
      </c>
    </row>
    <row r="713" spans="2:32" ht="16.5" customHeight="1">
      <c r="B713" s="1" t="str">
        <f t="shared" si="20"/>
        <v>M_TDIF04_VM_BKT_1.3_670</v>
      </c>
      <c r="C713" s="92" t="s">
        <v>700</v>
      </c>
      <c r="D713" s="92" t="str" cm="1">
        <f t="array" ref="D713">INDEX(기계코드!$D$4:$D$214,MATCH(1,(C713=기계코드!$F$4:$F$214)*1,0))</f>
        <v>M_TDIF04</v>
      </c>
      <c r="E713" s="92" t="s">
        <v>1128</v>
      </c>
      <c r="F713" s="7" t="str" cm="1">
        <f t="array" ref="F713">INDEX(공급업체코드!$B$3:$B$1000,MATCH(1,(E713=공급업체코드!$D$3:$D$1000)*1,0))</f>
        <v>VM_BKT</v>
      </c>
      <c r="G713" s="18" t="s">
        <v>1881</v>
      </c>
      <c r="H713" s="64"/>
      <c r="I713" s="64"/>
      <c r="J713" s="64"/>
      <c r="K713" s="300">
        <v>1.1000000000000001</v>
      </c>
      <c r="L713" s="300">
        <v>1.3</v>
      </c>
      <c r="M713" s="64">
        <v>670</v>
      </c>
      <c r="N713" s="64"/>
      <c r="O713" s="64"/>
      <c r="P713" s="64"/>
      <c r="Q713" s="64"/>
      <c r="R713" s="70"/>
      <c r="T713" s="64"/>
      <c r="X713">
        <v>0.123</v>
      </c>
      <c r="Y713" s="258" t="s">
        <v>1313</v>
      </c>
      <c r="AA713" s="259" t="s">
        <v>1314</v>
      </c>
      <c r="AB713" s="20" t="s">
        <v>1061</v>
      </c>
      <c r="AC713">
        <f t="shared" si="21"/>
        <v>3350000000</v>
      </c>
      <c r="AE713" s="18" t="s">
        <v>1315</v>
      </c>
      <c r="AF713" s="1" t="b">
        <v>1</v>
      </c>
    </row>
    <row r="714" spans="2:32" ht="16.5" customHeight="1">
      <c r="B714" s="1" t="str">
        <f t="shared" si="20"/>
        <v>M_TDIF04_VM_BKT_1.3_671</v>
      </c>
      <c r="C714" s="92" t="s">
        <v>700</v>
      </c>
      <c r="D714" s="92" t="str" cm="1">
        <f t="array" ref="D714">INDEX(기계코드!$D$4:$D$214,MATCH(1,(C714=기계코드!$F$4:$F$214)*1,0))</f>
        <v>M_TDIF04</v>
      </c>
      <c r="E714" s="92" t="s">
        <v>1128</v>
      </c>
      <c r="F714" s="7" t="str" cm="1">
        <f t="array" ref="F714">INDEX(공급업체코드!$B$3:$B$1000,MATCH(1,(E714=공급업체코드!$D$3:$D$1000)*1,0))</f>
        <v>VM_BKT</v>
      </c>
      <c r="G714" s="18" t="s">
        <v>1881</v>
      </c>
      <c r="H714" s="64"/>
      <c r="I714" s="64"/>
      <c r="J714" s="64"/>
      <c r="K714" s="300">
        <v>1.1000000000000001</v>
      </c>
      <c r="L714" s="300">
        <v>1.3</v>
      </c>
      <c r="M714" s="64">
        <v>671</v>
      </c>
      <c r="N714" s="64"/>
      <c r="O714" s="64"/>
      <c r="P714" s="64"/>
      <c r="Q714" s="64"/>
      <c r="R714" s="70"/>
      <c r="T714" s="64"/>
      <c r="X714">
        <v>0.123</v>
      </c>
      <c r="Y714" s="258" t="s">
        <v>1313</v>
      </c>
      <c r="AA714" s="259" t="s">
        <v>1314</v>
      </c>
      <c r="AB714" s="20" t="s">
        <v>1061</v>
      </c>
      <c r="AC714">
        <f t="shared" si="21"/>
        <v>3355000000</v>
      </c>
      <c r="AE714" s="18" t="s">
        <v>1315</v>
      </c>
      <c r="AF714" s="1" t="b">
        <v>1</v>
      </c>
    </row>
    <row r="715" spans="2:32" ht="16.5" customHeight="1">
      <c r="B715" s="1" t="str">
        <f t="shared" si="20"/>
        <v>M_TDIF04_VM_BKT_1.3_672</v>
      </c>
      <c r="C715" s="92" t="s">
        <v>700</v>
      </c>
      <c r="D715" s="92" t="str" cm="1">
        <f t="array" ref="D715">INDEX(기계코드!$D$4:$D$214,MATCH(1,(C715=기계코드!$F$4:$F$214)*1,0))</f>
        <v>M_TDIF04</v>
      </c>
      <c r="E715" s="92" t="s">
        <v>1128</v>
      </c>
      <c r="F715" s="7" t="str" cm="1">
        <f t="array" ref="F715">INDEX(공급업체코드!$B$3:$B$1000,MATCH(1,(E715=공급업체코드!$D$3:$D$1000)*1,0))</f>
        <v>VM_BKT</v>
      </c>
      <c r="G715" s="18" t="s">
        <v>1881</v>
      </c>
      <c r="H715" s="64"/>
      <c r="I715" s="64"/>
      <c r="J715" s="64"/>
      <c r="K715" s="300">
        <v>1.1000000000000001</v>
      </c>
      <c r="L715" s="300">
        <v>1.3</v>
      </c>
      <c r="M715" s="64">
        <v>672</v>
      </c>
      <c r="N715" s="64"/>
      <c r="O715" s="64"/>
      <c r="P715" s="64"/>
      <c r="Q715" s="64"/>
      <c r="R715" s="70"/>
      <c r="T715" s="64"/>
      <c r="X715">
        <v>0.123</v>
      </c>
      <c r="Y715" s="258" t="s">
        <v>1313</v>
      </c>
      <c r="AA715" s="259" t="s">
        <v>1314</v>
      </c>
      <c r="AB715" s="20" t="s">
        <v>1061</v>
      </c>
      <c r="AC715">
        <f t="shared" si="21"/>
        <v>3360000000</v>
      </c>
      <c r="AE715" s="18" t="s">
        <v>1315</v>
      </c>
      <c r="AF715" s="1" t="b">
        <v>1</v>
      </c>
    </row>
    <row r="716" spans="2:32" ht="16.5" customHeight="1">
      <c r="B716" s="1" t="str">
        <f t="shared" si="20"/>
        <v>M_TDIF04_VM_BKT_1.3_673</v>
      </c>
      <c r="C716" s="92" t="s">
        <v>700</v>
      </c>
      <c r="D716" s="92" t="str" cm="1">
        <f t="array" ref="D716">INDEX(기계코드!$D$4:$D$214,MATCH(1,(C716=기계코드!$F$4:$F$214)*1,0))</f>
        <v>M_TDIF04</v>
      </c>
      <c r="E716" s="92" t="s">
        <v>1128</v>
      </c>
      <c r="F716" s="7" t="str" cm="1">
        <f t="array" ref="F716">INDEX(공급업체코드!$B$3:$B$1000,MATCH(1,(E716=공급업체코드!$D$3:$D$1000)*1,0))</f>
        <v>VM_BKT</v>
      </c>
      <c r="G716" s="18" t="s">
        <v>1881</v>
      </c>
      <c r="H716" s="64"/>
      <c r="I716" s="64"/>
      <c r="J716" s="64"/>
      <c r="K716" s="300">
        <v>1.1000000000000001</v>
      </c>
      <c r="L716" s="300">
        <v>1.3</v>
      </c>
      <c r="M716" s="64">
        <v>673</v>
      </c>
      <c r="N716" s="64"/>
      <c r="O716" s="64"/>
      <c r="P716" s="64"/>
      <c r="Q716" s="64"/>
      <c r="R716" s="70"/>
      <c r="T716" s="64"/>
      <c r="X716">
        <v>0.123</v>
      </c>
      <c r="Y716" s="258" t="s">
        <v>1313</v>
      </c>
      <c r="AA716" s="259" t="s">
        <v>1314</v>
      </c>
      <c r="AB716" s="20" t="s">
        <v>1061</v>
      </c>
      <c r="AC716">
        <f t="shared" si="21"/>
        <v>3365000000</v>
      </c>
      <c r="AE716" s="18" t="s">
        <v>1315</v>
      </c>
      <c r="AF716" s="1" t="b">
        <v>1</v>
      </c>
    </row>
    <row r="717" spans="2:32" ht="16.5" customHeight="1">
      <c r="B717" s="1" t="str">
        <f t="shared" si="20"/>
        <v>M_TDIF04_VM_BKT_1.3_674</v>
      </c>
      <c r="C717" s="92" t="s">
        <v>700</v>
      </c>
      <c r="D717" s="92" t="str" cm="1">
        <f t="array" ref="D717">INDEX(기계코드!$D$4:$D$214,MATCH(1,(C717=기계코드!$F$4:$F$214)*1,0))</f>
        <v>M_TDIF04</v>
      </c>
      <c r="E717" s="92" t="s">
        <v>1128</v>
      </c>
      <c r="F717" s="7" t="str" cm="1">
        <f t="array" ref="F717">INDEX(공급업체코드!$B$3:$B$1000,MATCH(1,(E717=공급업체코드!$D$3:$D$1000)*1,0))</f>
        <v>VM_BKT</v>
      </c>
      <c r="G717" s="18" t="s">
        <v>1881</v>
      </c>
      <c r="H717" s="64"/>
      <c r="I717" s="64"/>
      <c r="J717" s="64"/>
      <c r="K717" s="300">
        <v>1.1000000000000001</v>
      </c>
      <c r="L717" s="300">
        <v>1.3</v>
      </c>
      <c r="M717" s="64">
        <v>674</v>
      </c>
      <c r="N717" s="64"/>
      <c r="O717" s="64"/>
      <c r="P717" s="64"/>
      <c r="Q717" s="64"/>
      <c r="R717" s="70"/>
      <c r="T717" s="64"/>
      <c r="X717">
        <v>0.123</v>
      </c>
      <c r="Y717" s="258" t="s">
        <v>1313</v>
      </c>
      <c r="AA717" s="259" t="s">
        <v>1314</v>
      </c>
      <c r="AB717" s="20" t="s">
        <v>1061</v>
      </c>
      <c r="AC717">
        <f t="shared" si="21"/>
        <v>3370000000</v>
      </c>
      <c r="AE717" s="18" t="s">
        <v>1315</v>
      </c>
      <c r="AF717" s="1" t="b">
        <v>1</v>
      </c>
    </row>
    <row r="718" spans="2:32" ht="16.5" customHeight="1">
      <c r="B718" s="1" t="str">
        <f t="shared" si="20"/>
        <v>M_TDIF04_VM_BKT_1.3_675</v>
      </c>
      <c r="C718" s="92" t="s">
        <v>700</v>
      </c>
      <c r="D718" s="92" t="str" cm="1">
        <f t="array" ref="D718">INDEX(기계코드!$D$4:$D$214,MATCH(1,(C718=기계코드!$F$4:$F$214)*1,0))</f>
        <v>M_TDIF04</v>
      </c>
      <c r="E718" s="92" t="s">
        <v>1128</v>
      </c>
      <c r="F718" s="7" t="str" cm="1">
        <f t="array" ref="F718">INDEX(공급업체코드!$B$3:$B$1000,MATCH(1,(E718=공급업체코드!$D$3:$D$1000)*1,0))</f>
        <v>VM_BKT</v>
      </c>
      <c r="G718" s="18" t="s">
        <v>1881</v>
      </c>
      <c r="H718" s="64"/>
      <c r="I718" s="64"/>
      <c r="J718" s="64"/>
      <c r="K718" s="300">
        <v>1.1000000000000001</v>
      </c>
      <c r="L718" s="300">
        <v>1.3</v>
      </c>
      <c r="M718" s="64">
        <v>675</v>
      </c>
      <c r="N718" s="64"/>
      <c r="O718" s="64"/>
      <c r="P718" s="64"/>
      <c r="Q718" s="64"/>
      <c r="R718" s="70"/>
      <c r="T718" s="64"/>
      <c r="X718">
        <v>0.123</v>
      </c>
      <c r="Y718" s="258" t="s">
        <v>1313</v>
      </c>
      <c r="AA718" s="259" t="s">
        <v>1314</v>
      </c>
      <c r="AB718" s="20" t="s">
        <v>1061</v>
      </c>
      <c r="AC718">
        <f t="shared" si="21"/>
        <v>3375000000</v>
      </c>
      <c r="AE718" s="18" t="s">
        <v>1315</v>
      </c>
      <c r="AF718" s="1" t="b">
        <v>1</v>
      </c>
    </row>
    <row r="719" spans="2:32" ht="16.5" customHeight="1">
      <c r="B719" s="1" t="str">
        <f t="shared" si="20"/>
        <v>M_TDIF04_VM_BKT_1.3_676</v>
      </c>
      <c r="C719" s="92" t="s">
        <v>700</v>
      </c>
      <c r="D719" s="92" t="str" cm="1">
        <f t="array" ref="D719">INDEX(기계코드!$D$4:$D$214,MATCH(1,(C719=기계코드!$F$4:$F$214)*1,0))</f>
        <v>M_TDIF04</v>
      </c>
      <c r="E719" s="92" t="s">
        <v>1128</v>
      </c>
      <c r="F719" s="7" t="str" cm="1">
        <f t="array" ref="F719">INDEX(공급업체코드!$B$3:$B$1000,MATCH(1,(E719=공급업체코드!$D$3:$D$1000)*1,0))</f>
        <v>VM_BKT</v>
      </c>
      <c r="G719" s="18" t="s">
        <v>1881</v>
      </c>
      <c r="H719" s="64"/>
      <c r="I719" s="64"/>
      <c r="J719" s="64"/>
      <c r="K719" s="300">
        <v>1.1000000000000001</v>
      </c>
      <c r="L719" s="300">
        <v>1.3</v>
      </c>
      <c r="M719" s="64">
        <v>676</v>
      </c>
      <c r="N719" s="64"/>
      <c r="O719" s="64"/>
      <c r="P719" s="64"/>
      <c r="Q719" s="64"/>
      <c r="R719" s="70"/>
      <c r="T719" s="64"/>
      <c r="X719">
        <v>0.123</v>
      </c>
      <c r="Y719" s="258" t="s">
        <v>1313</v>
      </c>
      <c r="AA719" s="259" t="s">
        <v>1314</v>
      </c>
      <c r="AB719" s="20" t="s">
        <v>1061</v>
      </c>
      <c r="AC719">
        <f t="shared" si="21"/>
        <v>3380000000</v>
      </c>
      <c r="AE719" s="18" t="s">
        <v>1315</v>
      </c>
      <c r="AF719" s="1" t="b">
        <v>1</v>
      </c>
    </row>
    <row r="720" spans="2:32" ht="16.5" customHeight="1">
      <c r="B720" s="1" t="str">
        <f t="shared" si="20"/>
        <v>M_TDIF04_VM_BKT_1.3_677</v>
      </c>
      <c r="C720" s="92" t="s">
        <v>700</v>
      </c>
      <c r="D720" s="92" t="str" cm="1">
        <f t="array" ref="D720">INDEX(기계코드!$D$4:$D$214,MATCH(1,(C720=기계코드!$F$4:$F$214)*1,0))</f>
        <v>M_TDIF04</v>
      </c>
      <c r="E720" s="92" t="s">
        <v>1128</v>
      </c>
      <c r="F720" s="7" t="str" cm="1">
        <f t="array" ref="F720">INDEX(공급업체코드!$B$3:$B$1000,MATCH(1,(E720=공급업체코드!$D$3:$D$1000)*1,0))</f>
        <v>VM_BKT</v>
      </c>
      <c r="G720" s="18" t="s">
        <v>1881</v>
      </c>
      <c r="H720" s="64"/>
      <c r="I720" s="64"/>
      <c r="J720" s="64"/>
      <c r="K720" s="300">
        <v>1.1000000000000001</v>
      </c>
      <c r="L720" s="300">
        <v>1.3</v>
      </c>
      <c r="M720" s="64">
        <v>677</v>
      </c>
      <c r="N720" s="64"/>
      <c r="O720" s="64"/>
      <c r="P720" s="64"/>
      <c r="Q720" s="64"/>
      <c r="R720" s="70"/>
      <c r="T720" s="64"/>
      <c r="X720">
        <v>0.123</v>
      </c>
      <c r="Y720" s="258" t="s">
        <v>1313</v>
      </c>
      <c r="AA720" s="259" t="s">
        <v>1314</v>
      </c>
      <c r="AB720" s="20" t="s">
        <v>1061</v>
      </c>
      <c r="AC720">
        <f t="shared" si="21"/>
        <v>3385000000</v>
      </c>
      <c r="AE720" s="18" t="s">
        <v>1315</v>
      </c>
      <c r="AF720" s="1" t="b">
        <v>1</v>
      </c>
    </row>
    <row r="721" spans="2:32" ht="16.5" customHeight="1">
      <c r="B721" s="1" t="str">
        <f t="shared" si="20"/>
        <v>M_TDIF04_VM_BKT_1.3_678</v>
      </c>
      <c r="C721" s="92" t="s">
        <v>700</v>
      </c>
      <c r="D721" s="92" t="str" cm="1">
        <f t="array" ref="D721">INDEX(기계코드!$D$4:$D$214,MATCH(1,(C721=기계코드!$F$4:$F$214)*1,0))</f>
        <v>M_TDIF04</v>
      </c>
      <c r="E721" s="92" t="s">
        <v>1128</v>
      </c>
      <c r="F721" s="7" t="str" cm="1">
        <f t="array" ref="F721">INDEX(공급업체코드!$B$3:$B$1000,MATCH(1,(E721=공급업체코드!$D$3:$D$1000)*1,0))</f>
        <v>VM_BKT</v>
      </c>
      <c r="G721" s="18" t="s">
        <v>1881</v>
      </c>
      <c r="H721" s="64"/>
      <c r="I721" s="64"/>
      <c r="J721" s="64"/>
      <c r="K721" s="300">
        <v>1.1000000000000001</v>
      </c>
      <c r="L721" s="300">
        <v>1.3</v>
      </c>
      <c r="M721" s="64">
        <v>678</v>
      </c>
      <c r="N721" s="64"/>
      <c r="O721" s="64"/>
      <c r="P721" s="64"/>
      <c r="Q721" s="64"/>
      <c r="R721" s="70"/>
      <c r="T721" s="64"/>
      <c r="X721">
        <v>0.123</v>
      </c>
      <c r="Y721" s="258" t="s">
        <v>1313</v>
      </c>
      <c r="AA721" s="259" t="s">
        <v>1314</v>
      </c>
      <c r="AB721" s="20" t="s">
        <v>1061</v>
      </c>
      <c r="AC721">
        <f t="shared" si="21"/>
        <v>3390000000</v>
      </c>
      <c r="AE721" s="18" t="s">
        <v>1315</v>
      </c>
      <c r="AF721" s="1" t="b">
        <v>1</v>
      </c>
    </row>
    <row r="722" spans="2:32" ht="16.5" customHeight="1">
      <c r="B722" s="1" t="str">
        <f t="shared" si="20"/>
        <v>M_TDIF04_VM_BKT_1.3_679</v>
      </c>
      <c r="C722" s="92" t="s">
        <v>700</v>
      </c>
      <c r="D722" s="92" t="str" cm="1">
        <f t="array" ref="D722">INDEX(기계코드!$D$4:$D$214,MATCH(1,(C722=기계코드!$F$4:$F$214)*1,0))</f>
        <v>M_TDIF04</v>
      </c>
      <c r="E722" s="92" t="s">
        <v>1128</v>
      </c>
      <c r="F722" s="7" t="str" cm="1">
        <f t="array" ref="F722">INDEX(공급업체코드!$B$3:$B$1000,MATCH(1,(E722=공급업체코드!$D$3:$D$1000)*1,0))</f>
        <v>VM_BKT</v>
      </c>
      <c r="G722" s="18" t="s">
        <v>1881</v>
      </c>
      <c r="H722" s="64"/>
      <c r="I722" s="64"/>
      <c r="J722" s="64"/>
      <c r="K722" s="300">
        <v>1.1000000000000001</v>
      </c>
      <c r="L722" s="300">
        <v>1.3</v>
      </c>
      <c r="M722" s="64">
        <v>679</v>
      </c>
      <c r="N722" s="64"/>
      <c r="O722" s="64"/>
      <c r="P722" s="64"/>
      <c r="Q722" s="64"/>
      <c r="R722" s="70"/>
      <c r="T722" s="64"/>
      <c r="X722">
        <v>0.123</v>
      </c>
      <c r="Y722" s="258" t="s">
        <v>1313</v>
      </c>
      <c r="AA722" s="259" t="s">
        <v>1314</v>
      </c>
      <c r="AB722" s="20" t="s">
        <v>1061</v>
      </c>
      <c r="AC722">
        <f t="shared" si="21"/>
        <v>3395000000</v>
      </c>
      <c r="AE722" s="18" t="s">
        <v>1315</v>
      </c>
      <c r="AF722" s="1" t="b">
        <v>1</v>
      </c>
    </row>
    <row r="723" spans="2:32" ht="16.5" customHeight="1">
      <c r="B723" s="1" t="str">
        <f t="shared" si="20"/>
        <v>M_TDIF04_VM_BKT_1.3_680</v>
      </c>
      <c r="C723" s="92" t="s">
        <v>700</v>
      </c>
      <c r="D723" s="92" t="str" cm="1">
        <f t="array" ref="D723">INDEX(기계코드!$D$4:$D$214,MATCH(1,(C723=기계코드!$F$4:$F$214)*1,0))</f>
        <v>M_TDIF04</v>
      </c>
      <c r="E723" s="92" t="s">
        <v>1128</v>
      </c>
      <c r="F723" s="7" t="str" cm="1">
        <f t="array" ref="F723">INDEX(공급업체코드!$B$3:$B$1000,MATCH(1,(E723=공급업체코드!$D$3:$D$1000)*1,0))</f>
        <v>VM_BKT</v>
      </c>
      <c r="G723" s="18" t="s">
        <v>1881</v>
      </c>
      <c r="H723" s="64"/>
      <c r="I723" s="64"/>
      <c r="J723" s="64"/>
      <c r="K723" s="300">
        <v>1.1000000000000001</v>
      </c>
      <c r="L723" s="300">
        <v>1.3</v>
      </c>
      <c r="M723" s="64">
        <v>680</v>
      </c>
      <c r="N723" s="64"/>
      <c r="O723" s="64"/>
      <c r="P723" s="64"/>
      <c r="Q723" s="64"/>
      <c r="R723" s="70"/>
      <c r="T723" s="64"/>
      <c r="X723">
        <v>0.123</v>
      </c>
      <c r="Y723" s="258" t="s">
        <v>1313</v>
      </c>
      <c r="AA723" s="259" t="s">
        <v>1314</v>
      </c>
      <c r="AB723" s="20" t="s">
        <v>1061</v>
      </c>
      <c r="AC723">
        <f t="shared" si="21"/>
        <v>3400000000</v>
      </c>
      <c r="AE723" s="18" t="s">
        <v>1315</v>
      </c>
      <c r="AF723" s="1" t="b">
        <v>1</v>
      </c>
    </row>
    <row r="724" spans="2:32" ht="16.5" customHeight="1">
      <c r="B724" s="1" t="str">
        <f t="shared" si="20"/>
        <v>M_TDIF04_VM_BKT_1.3_681</v>
      </c>
      <c r="C724" s="92" t="s">
        <v>700</v>
      </c>
      <c r="D724" s="92" t="str" cm="1">
        <f t="array" ref="D724">INDEX(기계코드!$D$4:$D$214,MATCH(1,(C724=기계코드!$F$4:$F$214)*1,0))</f>
        <v>M_TDIF04</v>
      </c>
      <c r="E724" s="92" t="s">
        <v>1128</v>
      </c>
      <c r="F724" s="7" t="str" cm="1">
        <f t="array" ref="F724">INDEX(공급업체코드!$B$3:$B$1000,MATCH(1,(E724=공급업체코드!$D$3:$D$1000)*1,0))</f>
        <v>VM_BKT</v>
      </c>
      <c r="G724" s="18" t="s">
        <v>1881</v>
      </c>
      <c r="H724" s="64"/>
      <c r="I724" s="64"/>
      <c r="J724" s="64"/>
      <c r="K724" s="300">
        <v>1.1000000000000001</v>
      </c>
      <c r="L724" s="300">
        <v>1.3</v>
      </c>
      <c r="M724" s="64">
        <v>681</v>
      </c>
      <c r="N724" s="64"/>
      <c r="O724" s="64"/>
      <c r="P724" s="64"/>
      <c r="Q724" s="64"/>
      <c r="R724" s="70"/>
      <c r="T724" s="64"/>
      <c r="X724">
        <v>0.123</v>
      </c>
      <c r="Y724" s="258" t="s">
        <v>1313</v>
      </c>
      <c r="AA724" s="259" t="s">
        <v>1314</v>
      </c>
      <c r="AB724" s="20" t="s">
        <v>1061</v>
      </c>
      <c r="AC724">
        <f t="shared" si="21"/>
        <v>3405000000</v>
      </c>
      <c r="AE724" s="18" t="s">
        <v>1315</v>
      </c>
      <c r="AF724" s="1" t="b">
        <v>1</v>
      </c>
    </row>
    <row r="725" spans="2:32" ht="16.5" customHeight="1">
      <c r="B725" s="1" t="str">
        <f t="shared" si="20"/>
        <v>M_TDIF04_VM_BKT_1.3_682</v>
      </c>
      <c r="C725" s="92" t="s">
        <v>700</v>
      </c>
      <c r="D725" s="92" t="str" cm="1">
        <f t="array" ref="D725">INDEX(기계코드!$D$4:$D$214,MATCH(1,(C725=기계코드!$F$4:$F$214)*1,0))</f>
        <v>M_TDIF04</v>
      </c>
      <c r="E725" s="92" t="s">
        <v>1128</v>
      </c>
      <c r="F725" s="7" t="str" cm="1">
        <f t="array" ref="F725">INDEX(공급업체코드!$B$3:$B$1000,MATCH(1,(E725=공급업체코드!$D$3:$D$1000)*1,0))</f>
        <v>VM_BKT</v>
      </c>
      <c r="G725" s="18" t="s">
        <v>1881</v>
      </c>
      <c r="H725" s="64"/>
      <c r="I725" s="64"/>
      <c r="J725" s="64"/>
      <c r="K725" s="300">
        <v>1.1000000000000001</v>
      </c>
      <c r="L725" s="300">
        <v>1.3</v>
      </c>
      <c r="M725" s="64">
        <v>682</v>
      </c>
      <c r="N725" s="64"/>
      <c r="O725" s="64"/>
      <c r="P725" s="64"/>
      <c r="Q725" s="64"/>
      <c r="R725" s="70"/>
      <c r="T725" s="64"/>
      <c r="X725">
        <v>0.123</v>
      </c>
      <c r="Y725" s="258" t="s">
        <v>1313</v>
      </c>
      <c r="AA725" s="259" t="s">
        <v>1314</v>
      </c>
      <c r="AB725" s="20" t="s">
        <v>1061</v>
      </c>
      <c r="AC725">
        <f t="shared" si="21"/>
        <v>3410000000</v>
      </c>
      <c r="AE725" s="18" t="s">
        <v>1315</v>
      </c>
      <c r="AF725" s="1" t="b">
        <v>1</v>
      </c>
    </row>
    <row r="726" spans="2:32" ht="16.5" customHeight="1">
      <c r="B726" s="1" t="str">
        <f t="shared" si="20"/>
        <v>M_TDIF04_VM_BKT_1.3_683</v>
      </c>
      <c r="C726" s="92" t="s">
        <v>700</v>
      </c>
      <c r="D726" s="92" t="str" cm="1">
        <f t="array" ref="D726">INDEX(기계코드!$D$4:$D$214,MATCH(1,(C726=기계코드!$F$4:$F$214)*1,0))</f>
        <v>M_TDIF04</v>
      </c>
      <c r="E726" s="92" t="s">
        <v>1128</v>
      </c>
      <c r="F726" s="7" t="str" cm="1">
        <f t="array" ref="F726">INDEX(공급업체코드!$B$3:$B$1000,MATCH(1,(E726=공급업체코드!$D$3:$D$1000)*1,0))</f>
        <v>VM_BKT</v>
      </c>
      <c r="G726" s="18" t="s">
        <v>1881</v>
      </c>
      <c r="H726" s="64"/>
      <c r="I726" s="64"/>
      <c r="J726" s="64"/>
      <c r="K726" s="300">
        <v>1.1000000000000001</v>
      </c>
      <c r="L726" s="300">
        <v>1.3</v>
      </c>
      <c r="M726" s="64">
        <v>683</v>
      </c>
      <c r="N726" s="64"/>
      <c r="O726" s="64"/>
      <c r="P726" s="64"/>
      <c r="Q726" s="64"/>
      <c r="R726" s="70"/>
      <c r="T726" s="64"/>
      <c r="X726">
        <v>0.123</v>
      </c>
      <c r="Y726" s="258" t="s">
        <v>1313</v>
      </c>
      <c r="AA726" s="259" t="s">
        <v>1314</v>
      </c>
      <c r="AB726" s="20" t="s">
        <v>1061</v>
      </c>
      <c r="AC726">
        <f t="shared" si="21"/>
        <v>3415000000</v>
      </c>
      <c r="AE726" s="18" t="s">
        <v>1315</v>
      </c>
      <c r="AF726" s="1" t="b">
        <v>1</v>
      </c>
    </row>
    <row r="727" spans="2:32" ht="16.5" customHeight="1">
      <c r="B727" s="1" t="str">
        <f t="shared" si="20"/>
        <v>M_TDIF04_VM_BKT_1.3_684</v>
      </c>
      <c r="C727" s="92" t="s">
        <v>700</v>
      </c>
      <c r="D727" s="92" t="str" cm="1">
        <f t="array" ref="D727">INDEX(기계코드!$D$4:$D$214,MATCH(1,(C727=기계코드!$F$4:$F$214)*1,0))</f>
        <v>M_TDIF04</v>
      </c>
      <c r="E727" s="92" t="s">
        <v>1128</v>
      </c>
      <c r="F727" s="7" t="str" cm="1">
        <f t="array" ref="F727">INDEX(공급업체코드!$B$3:$B$1000,MATCH(1,(E727=공급업체코드!$D$3:$D$1000)*1,0))</f>
        <v>VM_BKT</v>
      </c>
      <c r="G727" s="18" t="s">
        <v>1881</v>
      </c>
      <c r="H727" s="64"/>
      <c r="I727" s="64"/>
      <c r="J727" s="64"/>
      <c r="K727" s="300">
        <v>1.1000000000000001</v>
      </c>
      <c r="L727" s="300">
        <v>1.3</v>
      </c>
      <c r="M727" s="64">
        <v>684</v>
      </c>
      <c r="N727" s="64"/>
      <c r="O727" s="64"/>
      <c r="P727" s="64"/>
      <c r="Q727" s="64"/>
      <c r="R727" s="70"/>
      <c r="T727" s="64"/>
      <c r="X727">
        <v>0.123</v>
      </c>
      <c r="Y727" s="258" t="s">
        <v>1313</v>
      </c>
      <c r="AA727" s="259" t="s">
        <v>1314</v>
      </c>
      <c r="AB727" s="20" t="s">
        <v>1061</v>
      </c>
      <c r="AC727">
        <f t="shared" si="21"/>
        <v>3420000000</v>
      </c>
      <c r="AE727" s="18" t="s">
        <v>1315</v>
      </c>
      <c r="AF727" s="1" t="b">
        <v>1</v>
      </c>
    </row>
    <row r="728" spans="2:32" ht="16.5" customHeight="1">
      <c r="B728" s="1" t="str">
        <f t="shared" si="20"/>
        <v>M_TDIF04_VM_BKT_1.3_685</v>
      </c>
      <c r="C728" s="92" t="s">
        <v>700</v>
      </c>
      <c r="D728" s="92" t="str" cm="1">
        <f t="array" ref="D728">INDEX(기계코드!$D$4:$D$214,MATCH(1,(C728=기계코드!$F$4:$F$214)*1,0))</f>
        <v>M_TDIF04</v>
      </c>
      <c r="E728" s="92" t="s">
        <v>1128</v>
      </c>
      <c r="F728" s="7" t="str" cm="1">
        <f t="array" ref="F728">INDEX(공급업체코드!$B$3:$B$1000,MATCH(1,(E728=공급업체코드!$D$3:$D$1000)*1,0))</f>
        <v>VM_BKT</v>
      </c>
      <c r="G728" s="18" t="s">
        <v>1881</v>
      </c>
      <c r="H728" s="64"/>
      <c r="I728" s="64"/>
      <c r="J728" s="64"/>
      <c r="K728" s="300">
        <v>1.1000000000000001</v>
      </c>
      <c r="L728" s="300">
        <v>1.3</v>
      </c>
      <c r="M728" s="64">
        <v>685</v>
      </c>
      <c r="N728" s="64"/>
      <c r="O728" s="64"/>
      <c r="P728" s="64"/>
      <c r="Q728" s="64"/>
      <c r="R728" s="70"/>
      <c r="T728" s="64"/>
      <c r="X728">
        <v>0.123</v>
      </c>
      <c r="Y728" s="258" t="s">
        <v>1313</v>
      </c>
      <c r="AA728" s="259" t="s">
        <v>1314</v>
      </c>
      <c r="AB728" s="20" t="s">
        <v>1061</v>
      </c>
      <c r="AC728">
        <f t="shared" si="21"/>
        <v>3425000000</v>
      </c>
      <c r="AE728" s="18" t="s">
        <v>1315</v>
      </c>
      <c r="AF728" s="1" t="b">
        <v>1</v>
      </c>
    </row>
    <row r="729" spans="2:32" ht="16.5" customHeight="1">
      <c r="B729" s="1" t="str">
        <f t="shared" si="20"/>
        <v>M_TDIF04_VM_BKT_1.3_686</v>
      </c>
      <c r="C729" s="92" t="s">
        <v>700</v>
      </c>
      <c r="D729" s="92" t="str" cm="1">
        <f t="array" ref="D729">INDEX(기계코드!$D$4:$D$214,MATCH(1,(C729=기계코드!$F$4:$F$214)*1,0))</f>
        <v>M_TDIF04</v>
      </c>
      <c r="E729" s="92" t="s">
        <v>1128</v>
      </c>
      <c r="F729" s="7" t="str" cm="1">
        <f t="array" ref="F729">INDEX(공급업체코드!$B$3:$B$1000,MATCH(1,(E729=공급업체코드!$D$3:$D$1000)*1,0))</f>
        <v>VM_BKT</v>
      </c>
      <c r="G729" s="18" t="s">
        <v>1881</v>
      </c>
      <c r="H729" s="64"/>
      <c r="I729" s="64"/>
      <c r="J729" s="64"/>
      <c r="K729" s="300">
        <v>1.1000000000000001</v>
      </c>
      <c r="L729" s="300">
        <v>1.3</v>
      </c>
      <c r="M729" s="64">
        <v>686</v>
      </c>
      <c r="N729" s="64"/>
      <c r="O729" s="64"/>
      <c r="P729" s="64"/>
      <c r="Q729" s="64"/>
      <c r="R729" s="70"/>
      <c r="T729" s="64"/>
      <c r="X729">
        <v>0.123</v>
      </c>
      <c r="Y729" s="258" t="s">
        <v>1313</v>
      </c>
      <c r="AA729" s="259" t="s">
        <v>1314</v>
      </c>
      <c r="AB729" s="20" t="s">
        <v>1061</v>
      </c>
      <c r="AC729">
        <f t="shared" si="21"/>
        <v>3430000000</v>
      </c>
      <c r="AE729" s="18" t="s">
        <v>1315</v>
      </c>
      <c r="AF729" s="1" t="b">
        <v>1</v>
      </c>
    </row>
    <row r="730" spans="2:32" ht="16.5" customHeight="1">
      <c r="B730" s="1" t="str">
        <f t="shared" si="20"/>
        <v>M_TDIF04_VM_BKT_1.3_687</v>
      </c>
      <c r="C730" s="92" t="s">
        <v>700</v>
      </c>
      <c r="D730" s="92" t="str" cm="1">
        <f t="array" ref="D730">INDEX(기계코드!$D$4:$D$214,MATCH(1,(C730=기계코드!$F$4:$F$214)*1,0))</f>
        <v>M_TDIF04</v>
      </c>
      <c r="E730" s="92" t="s">
        <v>1128</v>
      </c>
      <c r="F730" s="7" t="str" cm="1">
        <f t="array" ref="F730">INDEX(공급업체코드!$B$3:$B$1000,MATCH(1,(E730=공급업체코드!$D$3:$D$1000)*1,0))</f>
        <v>VM_BKT</v>
      </c>
      <c r="G730" s="18" t="s">
        <v>1881</v>
      </c>
      <c r="H730" s="64"/>
      <c r="I730" s="64"/>
      <c r="J730" s="64"/>
      <c r="K730" s="300">
        <v>1.1000000000000001</v>
      </c>
      <c r="L730" s="300">
        <v>1.3</v>
      </c>
      <c r="M730" s="64">
        <v>687</v>
      </c>
      <c r="N730" s="64"/>
      <c r="O730" s="64"/>
      <c r="P730" s="64"/>
      <c r="Q730" s="64"/>
      <c r="R730" s="70"/>
      <c r="T730" s="64"/>
      <c r="X730">
        <v>0.123</v>
      </c>
      <c r="Y730" s="258" t="s">
        <v>1313</v>
      </c>
      <c r="AA730" s="259" t="s">
        <v>1314</v>
      </c>
      <c r="AB730" s="20" t="s">
        <v>1061</v>
      </c>
      <c r="AC730">
        <f t="shared" si="21"/>
        <v>3435000000</v>
      </c>
      <c r="AE730" s="18" t="s">
        <v>1315</v>
      </c>
      <c r="AF730" s="1" t="b">
        <v>1</v>
      </c>
    </row>
    <row r="731" spans="2:32" ht="16.5" customHeight="1">
      <c r="B731" s="1" t="str">
        <f t="shared" si="20"/>
        <v>M_TDIF04_VM_BKT_1.3_688</v>
      </c>
      <c r="C731" s="92" t="s">
        <v>700</v>
      </c>
      <c r="D731" s="92" t="str" cm="1">
        <f t="array" ref="D731">INDEX(기계코드!$D$4:$D$214,MATCH(1,(C731=기계코드!$F$4:$F$214)*1,0))</f>
        <v>M_TDIF04</v>
      </c>
      <c r="E731" s="92" t="s">
        <v>1128</v>
      </c>
      <c r="F731" s="7" t="str" cm="1">
        <f t="array" ref="F731">INDEX(공급업체코드!$B$3:$B$1000,MATCH(1,(E731=공급업체코드!$D$3:$D$1000)*1,0))</f>
        <v>VM_BKT</v>
      </c>
      <c r="G731" s="18" t="s">
        <v>1881</v>
      </c>
      <c r="H731" s="64"/>
      <c r="I731" s="64"/>
      <c r="J731" s="64"/>
      <c r="K731" s="300">
        <v>1.1000000000000001</v>
      </c>
      <c r="L731" s="300">
        <v>1.3</v>
      </c>
      <c r="M731" s="64">
        <v>688</v>
      </c>
      <c r="N731" s="64"/>
      <c r="O731" s="64"/>
      <c r="P731" s="64"/>
      <c r="Q731" s="64"/>
      <c r="R731" s="70"/>
      <c r="T731" s="64"/>
      <c r="X731">
        <v>0.123</v>
      </c>
      <c r="Y731" s="258" t="s">
        <v>1313</v>
      </c>
      <c r="AA731" s="259" t="s">
        <v>1314</v>
      </c>
      <c r="AB731" s="20" t="s">
        <v>1061</v>
      </c>
      <c r="AC731">
        <f t="shared" si="21"/>
        <v>3440000000</v>
      </c>
      <c r="AE731" s="18" t="s">
        <v>1315</v>
      </c>
      <c r="AF731" s="1" t="b">
        <v>1</v>
      </c>
    </row>
    <row r="732" spans="2:32" ht="16.5" customHeight="1">
      <c r="B732" s="1" t="str">
        <f t="shared" si="20"/>
        <v>M_TDIF04_VM_BKT_1.3_689</v>
      </c>
      <c r="C732" s="92" t="s">
        <v>700</v>
      </c>
      <c r="D732" s="92" t="str" cm="1">
        <f t="array" ref="D732">INDEX(기계코드!$D$4:$D$214,MATCH(1,(C732=기계코드!$F$4:$F$214)*1,0))</f>
        <v>M_TDIF04</v>
      </c>
      <c r="E732" s="92" t="s">
        <v>1128</v>
      </c>
      <c r="F732" s="7" t="str" cm="1">
        <f t="array" ref="F732">INDEX(공급업체코드!$B$3:$B$1000,MATCH(1,(E732=공급업체코드!$D$3:$D$1000)*1,0))</f>
        <v>VM_BKT</v>
      </c>
      <c r="G732" s="18" t="s">
        <v>1881</v>
      </c>
      <c r="H732" s="64"/>
      <c r="I732" s="64"/>
      <c r="J732" s="64"/>
      <c r="K732" s="300">
        <v>1.1000000000000001</v>
      </c>
      <c r="L732" s="300">
        <v>1.3</v>
      </c>
      <c r="M732" s="64">
        <v>689</v>
      </c>
      <c r="N732" s="64"/>
      <c r="O732" s="64"/>
      <c r="P732" s="64"/>
      <c r="Q732" s="64"/>
      <c r="R732" s="70"/>
      <c r="T732" s="64"/>
      <c r="X732">
        <v>0.123</v>
      </c>
      <c r="Y732" s="258" t="s">
        <v>1313</v>
      </c>
      <c r="AA732" s="259" t="s">
        <v>1314</v>
      </c>
      <c r="AB732" s="20" t="s">
        <v>1061</v>
      </c>
      <c r="AC732">
        <f t="shared" si="21"/>
        <v>3445000000</v>
      </c>
      <c r="AE732" s="18" t="s">
        <v>1315</v>
      </c>
      <c r="AF732" s="1" t="b">
        <v>1</v>
      </c>
    </row>
    <row r="733" spans="2:32" ht="16.5" customHeight="1">
      <c r="B733" s="1" t="str">
        <f t="shared" si="20"/>
        <v>M_TDIF04_VM_BKT_1.3_690</v>
      </c>
      <c r="C733" s="92" t="s">
        <v>700</v>
      </c>
      <c r="D733" s="92" t="str" cm="1">
        <f t="array" ref="D733">INDEX(기계코드!$D$4:$D$214,MATCH(1,(C733=기계코드!$F$4:$F$214)*1,0))</f>
        <v>M_TDIF04</v>
      </c>
      <c r="E733" s="92" t="s">
        <v>1128</v>
      </c>
      <c r="F733" s="7" t="str" cm="1">
        <f t="array" ref="F733">INDEX(공급업체코드!$B$3:$B$1000,MATCH(1,(E733=공급업체코드!$D$3:$D$1000)*1,0))</f>
        <v>VM_BKT</v>
      </c>
      <c r="G733" s="18" t="s">
        <v>1881</v>
      </c>
      <c r="H733" s="64"/>
      <c r="I733" s="64"/>
      <c r="J733" s="64"/>
      <c r="K733" s="300">
        <v>1.1000000000000001</v>
      </c>
      <c r="L733" s="300">
        <v>1.3</v>
      </c>
      <c r="M733" s="64">
        <v>690</v>
      </c>
      <c r="N733" s="64"/>
      <c r="O733" s="64"/>
      <c r="P733" s="64"/>
      <c r="Q733" s="64"/>
      <c r="R733" s="70"/>
      <c r="T733" s="64"/>
      <c r="X733">
        <v>0.123</v>
      </c>
      <c r="Y733" s="258" t="s">
        <v>1313</v>
      </c>
      <c r="AA733" s="259" t="s">
        <v>1314</v>
      </c>
      <c r="AB733" s="20" t="s">
        <v>1061</v>
      </c>
      <c r="AC733">
        <f t="shared" si="21"/>
        <v>3450000000</v>
      </c>
      <c r="AE733" s="18" t="s">
        <v>1315</v>
      </c>
      <c r="AF733" s="1" t="b">
        <v>1</v>
      </c>
    </row>
    <row r="734" spans="2:32" ht="16.5" customHeight="1">
      <c r="B734" s="1" t="str">
        <f t="shared" si="20"/>
        <v>M_TDIF04_VM_BKT_1.3_691</v>
      </c>
      <c r="C734" s="92" t="s">
        <v>700</v>
      </c>
      <c r="D734" s="92" t="str" cm="1">
        <f t="array" ref="D734">INDEX(기계코드!$D$4:$D$214,MATCH(1,(C734=기계코드!$F$4:$F$214)*1,0))</f>
        <v>M_TDIF04</v>
      </c>
      <c r="E734" s="92" t="s">
        <v>1128</v>
      </c>
      <c r="F734" s="7" t="str" cm="1">
        <f t="array" ref="F734">INDEX(공급업체코드!$B$3:$B$1000,MATCH(1,(E734=공급업체코드!$D$3:$D$1000)*1,0))</f>
        <v>VM_BKT</v>
      </c>
      <c r="G734" s="18" t="s">
        <v>1881</v>
      </c>
      <c r="H734" s="64"/>
      <c r="I734" s="64"/>
      <c r="J734" s="64"/>
      <c r="K734" s="300">
        <v>1.1000000000000001</v>
      </c>
      <c r="L734" s="300">
        <v>1.3</v>
      </c>
      <c r="M734" s="64">
        <v>691</v>
      </c>
      <c r="N734" s="64"/>
      <c r="O734" s="64"/>
      <c r="P734" s="64"/>
      <c r="Q734" s="64"/>
      <c r="R734" s="70"/>
      <c r="T734" s="64"/>
      <c r="X734">
        <v>0.123</v>
      </c>
      <c r="Y734" s="258" t="s">
        <v>1313</v>
      </c>
      <c r="AA734" s="259" t="s">
        <v>1314</v>
      </c>
      <c r="AB734" s="20" t="s">
        <v>1061</v>
      </c>
      <c r="AC734">
        <f t="shared" si="21"/>
        <v>3455000000</v>
      </c>
      <c r="AE734" s="18" t="s">
        <v>1315</v>
      </c>
      <c r="AF734" s="1" t="b">
        <v>1</v>
      </c>
    </row>
    <row r="735" spans="2:32" ht="16.5" customHeight="1">
      <c r="B735" s="1" t="str">
        <f t="shared" si="20"/>
        <v>M_TDIF04_VM_BKT_1.3_692</v>
      </c>
      <c r="C735" s="92" t="s">
        <v>700</v>
      </c>
      <c r="D735" s="92" t="str" cm="1">
        <f t="array" ref="D735">INDEX(기계코드!$D$4:$D$214,MATCH(1,(C735=기계코드!$F$4:$F$214)*1,0))</f>
        <v>M_TDIF04</v>
      </c>
      <c r="E735" s="92" t="s">
        <v>1128</v>
      </c>
      <c r="F735" s="7" t="str" cm="1">
        <f t="array" ref="F735">INDEX(공급업체코드!$B$3:$B$1000,MATCH(1,(E735=공급업체코드!$D$3:$D$1000)*1,0))</f>
        <v>VM_BKT</v>
      </c>
      <c r="G735" s="18" t="s">
        <v>1881</v>
      </c>
      <c r="H735" s="64"/>
      <c r="I735" s="64"/>
      <c r="J735" s="64"/>
      <c r="K735" s="300">
        <v>1.1000000000000001</v>
      </c>
      <c r="L735" s="300">
        <v>1.3</v>
      </c>
      <c r="M735" s="64">
        <v>692</v>
      </c>
      <c r="N735" s="64"/>
      <c r="O735" s="64"/>
      <c r="P735" s="64"/>
      <c r="Q735" s="64"/>
      <c r="R735" s="70"/>
      <c r="T735" s="64"/>
      <c r="X735">
        <v>0.123</v>
      </c>
      <c r="Y735" s="258" t="s">
        <v>1313</v>
      </c>
      <c r="AA735" s="259" t="s">
        <v>1314</v>
      </c>
      <c r="AB735" s="20" t="s">
        <v>1061</v>
      </c>
      <c r="AC735">
        <f t="shared" si="21"/>
        <v>3460000000</v>
      </c>
      <c r="AE735" s="18" t="s">
        <v>1315</v>
      </c>
      <c r="AF735" s="1" t="b">
        <v>1</v>
      </c>
    </row>
    <row r="736" spans="2:32" ht="16.5" customHeight="1">
      <c r="B736" s="1" t="str">
        <f t="shared" si="20"/>
        <v>M_TDIF04_VM_BKT_1.3_693</v>
      </c>
      <c r="C736" s="92" t="s">
        <v>700</v>
      </c>
      <c r="D736" s="92" t="str" cm="1">
        <f t="array" ref="D736">INDEX(기계코드!$D$4:$D$214,MATCH(1,(C736=기계코드!$F$4:$F$214)*1,0))</f>
        <v>M_TDIF04</v>
      </c>
      <c r="E736" s="92" t="s">
        <v>1128</v>
      </c>
      <c r="F736" s="7" t="str" cm="1">
        <f t="array" ref="F736">INDEX(공급업체코드!$B$3:$B$1000,MATCH(1,(E736=공급업체코드!$D$3:$D$1000)*1,0))</f>
        <v>VM_BKT</v>
      </c>
      <c r="G736" s="18" t="s">
        <v>1881</v>
      </c>
      <c r="H736" s="64"/>
      <c r="I736" s="64"/>
      <c r="J736" s="64"/>
      <c r="K736" s="300">
        <v>1.1000000000000001</v>
      </c>
      <c r="L736" s="300">
        <v>1.3</v>
      </c>
      <c r="M736" s="64">
        <v>693</v>
      </c>
      <c r="N736" s="64"/>
      <c r="O736" s="64"/>
      <c r="P736" s="64"/>
      <c r="Q736" s="64"/>
      <c r="R736" s="70"/>
      <c r="T736" s="64"/>
      <c r="X736">
        <v>0.123</v>
      </c>
      <c r="Y736" s="258" t="s">
        <v>1313</v>
      </c>
      <c r="AA736" s="259" t="s">
        <v>1314</v>
      </c>
      <c r="AB736" s="20" t="s">
        <v>1061</v>
      </c>
      <c r="AC736">
        <f t="shared" si="21"/>
        <v>3465000000</v>
      </c>
      <c r="AE736" s="18" t="s">
        <v>1315</v>
      </c>
      <c r="AF736" s="1" t="b">
        <v>1</v>
      </c>
    </row>
    <row r="737" spans="2:32" ht="16.5" customHeight="1">
      <c r="B737" s="1" t="str">
        <f t="shared" si="20"/>
        <v>M_TDIF04_VM_BKT_1.3_694</v>
      </c>
      <c r="C737" s="92" t="s">
        <v>700</v>
      </c>
      <c r="D737" s="92" t="str" cm="1">
        <f t="array" ref="D737">INDEX(기계코드!$D$4:$D$214,MATCH(1,(C737=기계코드!$F$4:$F$214)*1,0))</f>
        <v>M_TDIF04</v>
      </c>
      <c r="E737" s="92" t="s">
        <v>1128</v>
      </c>
      <c r="F737" s="7" t="str" cm="1">
        <f t="array" ref="F737">INDEX(공급업체코드!$B$3:$B$1000,MATCH(1,(E737=공급업체코드!$D$3:$D$1000)*1,0))</f>
        <v>VM_BKT</v>
      </c>
      <c r="G737" s="18" t="s">
        <v>1881</v>
      </c>
      <c r="H737" s="64"/>
      <c r="I737" s="64"/>
      <c r="J737" s="64"/>
      <c r="K737" s="300">
        <v>1.1000000000000001</v>
      </c>
      <c r="L737" s="300">
        <v>1.3</v>
      </c>
      <c r="M737" s="64">
        <v>694</v>
      </c>
      <c r="N737" s="64"/>
      <c r="O737" s="64"/>
      <c r="P737" s="64"/>
      <c r="Q737" s="64"/>
      <c r="R737" s="70"/>
      <c r="T737" s="64"/>
      <c r="X737">
        <v>0.123</v>
      </c>
      <c r="Y737" s="258" t="s">
        <v>1313</v>
      </c>
      <c r="AA737" s="259" t="s">
        <v>1314</v>
      </c>
      <c r="AB737" s="20" t="s">
        <v>1061</v>
      </c>
      <c r="AC737">
        <f t="shared" si="21"/>
        <v>3470000000</v>
      </c>
      <c r="AE737" s="18" t="s">
        <v>1315</v>
      </c>
      <c r="AF737" s="1" t="b">
        <v>1</v>
      </c>
    </row>
    <row r="738" spans="2:32" ht="16.5" customHeight="1">
      <c r="B738" s="1" t="str">
        <f t="shared" si="20"/>
        <v>M_TDIF04_VM_BKT_1.3_695</v>
      </c>
      <c r="C738" s="92" t="s">
        <v>700</v>
      </c>
      <c r="D738" s="92" t="str" cm="1">
        <f t="array" ref="D738">INDEX(기계코드!$D$4:$D$214,MATCH(1,(C738=기계코드!$F$4:$F$214)*1,0))</f>
        <v>M_TDIF04</v>
      </c>
      <c r="E738" s="92" t="s">
        <v>1128</v>
      </c>
      <c r="F738" s="7" t="str" cm="1">
        <f t="array" ref="F738">INDEX(공급업체코드!$B$3:$B$1000,MATCH(1,(E738=공급업체코드!$D$3:$D$1000)*1,0))</f>
        <v>VM_BKT</v>
      </c>
      <c r="G738" s="18" t="s">
        <v>1881</v>
      </c>
      <c r="H738" s="64"/>
      <c r="I738" s="64"/>
      <c r="J738" s="64"/>
      <c r="K738" s="300">
        <v>1.1000000000000001</v>
      </c>
      <c r="L738" s="300">
        <v>1.3</v>
      </c>
      <c r="M738" s="64">
        <v>695</v>
      </c>
      <c r="N738" s="64"/>
      <c r="O738" s="64"/>
      <c r="P738" s="64"/>
      <c r="Q738" s="64"/>
      <c r="R738" s="70"/>
      <c r="T738" s="64"/>
      <c r="X738">
        <v>0.123</v>
      </c>
      <c r="Y738" s="258" t="s">
        <v>1313</v>
      </c>
      <c r="AA738" s="259" t="s">
        <v>1314</v>
      </c>
      <c r="AB738" s="20" t="s">
        <v>1061</v>
      </c>
      <c r="AC738">
        <f t="shared" si="21"/>
        <v>3475000000</v>
      </c>
      <c r="AE738" s="18" t="s">
        <v>1315</v>
      </c>
      <c r="AF738" s="1" t="b">
        <v>1</v>
      </c>
    </row>
    <row r="739" spans="2:32" ht="16.5" customHeight="1">
      <c r="B739" s="1" t="str">
        <f t="shared" si="20"/>
        <v>M_TDIF04_VM_BKT_1.3_696</v>
      </c>
      <c r="C739" s="92" t="s">
        <v>700</v>
      </c>
      <c r="D739" s="92" t="str" cm="1">
        <f t="array" ref="D739">INDEX(기계코드!$D$4:$D$214,MATCH(1,(C739=기계코드!$F$4:$F$214)*1,0))</f>
        <v>M_TDIF04</v>
      </c>
      <c r="E739" s="92" t="s">
        <v>1128</v>
      </c>
      <c r="F739" s="7" t="str" cm="1">
        <f t="array" ref="F739">INDEX(공급업체코드!$B$3:$B$1000,MATCH(1,(E739=공급업체코드!$D$3:$D$1000)*1,0))</f>
        <v>VM_BKT</v>
      </c>
      <c r="G739" s="18" t="s">
        <v>1881</v>
      </c>
      <c r="H739" s="64"/>
      <c r="I739" s="64"/>
      <c r="J739" s="64"/>
      <c r="K739" s="300">
        <v>1.1000000000000001</v>
      </c>
      <c r="L739" s="300">
        <v>1.3</v>
      </c>
      <c r="M739" s="64">
        <v>696</v>
      </c>
      <c r="N739" s="64"/>
      <c r="O739" s="64"/>
      <c r="P739" s="64"/>
      <c r="Q739" s="64"/>
      <c r="R739" s="70"/>
      <c r="T739" s="64"/>
      <c r="X739">
        <v>0.123</v>
      </c>
      <c r="Y739" s="258" t="s">
        <v>1313</v>
      </c>
      <c r="AA739" s="259" t="s">
        <v>1314</v>
      </c>
      <c r="AB739" s="20" t="s">
        <v>1061</v>
      </c>
      <c r="AC739">
        <f t="shared" si="21"/>
        <v>3480000000</v>
      </c>
      <c r="AE739" s="18" t="s">
        <v>1315</v>
      </c>
      <c r="AF739" s="1" t="b">
        <v>1</v>
      </c>
    </row>
    <row r="740" spans="2:32" ht="16.5" customHeight="1">
      <c r="B740" s="1" t="str">
        <f t="shared" si="20"/>
        <v>M_TDIF04_VM_BKT_1.3_697</v>
      </c>
      <c r="C740" s="92" t="s">
        <v>700</v>
      </c>
      <c r="D740" s="92" t="str" cm="1">
        <f t="array" ref="D740">INDEX(기계코드!$D$4:$D$214,MATCH(1,(C740=기계코드!$F$4:$F$214)*1,0))</f>
        <v>M_TDIF04</v>
      </c>
      <c r="E740" s="92" t="s">
        <v>1128</v>
      </c>
      <c r="F740" s="7" t="str" cm="1">
        <f t="array" ref="F740">INDEX(공급업체코드!$B$3:$B$1000,MATCH(1,(E740=공급업체코드!$D$3:$D$1000)*1,0))</f>
        <v>VM_BKT</v>
      </c>
      <c r="G740" s="18" t="s">
        <v>1881</v>
      </c>
      <c r="H740" s="64"/>
      <c r="I740" s="64"/>
      <c r="J740" s="64"/>
      <c r="K740" s="300">
        <v>1.1000000000000001</v>
      </c>
      <c r="L740" s="300">
        <v>1.3</v>
      </c>
      <c r="M740" s="64">
        <v>697</v>
      </c>
      <c r="N740" s="64"/>
      <c r="O740" s="64"/>
      <c r="P740" s="64"/>
      <c r="Q740" s="64"/>
      <c r="R740" s="70"/>
      <c r="T740" s="64"/>
      <c r="X740">
        <v>0.123</v>
      </c>
      <c r="Y740" s="258" t="s">
        <v>1313</v>
      </c>
      <c r="AA740" s="259" t="s">
        <v>1314</v>
      </c>
      <c r="AB740" s="20" t="s">
        <v>1061</v>
      </c>
      <c r="AC740">
        <f t="shared" si="21"/>
        <v>3485000000</v>
      </c>
      <c r="AE740" s="18" t="s">
        <v>1315</v>
      </c>
      <c r="AF740" s="1" t="b">
        <v>1</v>
      </c>
    </row>
    <row r="741" spans="2:32" ht="16.5" customHeight="1">
      <c r="B741" s="1" t="str">
        <f t="shared" si="20"/>
        <v>M_TDIF04_VM_BKT_1.3_698</v>
      </c>
      <c r="C741" s="92" t="s">
        <v>700</v>
      </c>
      <c r="D741" s="92" t="str" cm="1">
        <f t="array" ref="D741">INDEX(기계코드!$D$4:$D$214,MATCH(1,(C741=기계코드!$F$4:$F$214)*1,0))</f>
        <v>M_TDIF04</v>
      </c>
      <c r="E741" s="92" t="s">
        <v>1128</v>
      </c>
      <c r="F741" s="7" t="str" cm="1">
        <f t="array" ref="F741">INDEX(공급업체코드!$B$3:$B$1000,MATCH(1,(E741=공급업체코드!$D$3:$D$1000)*1,0))</f>
        <v>VM_BKT</v>
      </c>
      <c r="G741" s="18" t="s">
        <v>1881</v>
      </c>
      <c r="H741" s="64"/>
      <c r="I741" s="64"/>
      <c r="J741" s="64"/>
      <c r="K741" s="300">
        <v>1.1000000000000001</v>
      </c>
      <c r="L741" s="300">
        <v>1.3</v>
      </c>
      <c r="M741" s="64">
        <v>698</v>
      </c>
      <c r="N741" s="64"/>
      <c r="O741" s="64"/>
      <c r="P741" s="64"/>
      <c r="Q741" s="64"/>
      <c r="R741" s="70"/>
      <c r="T741" s="64"/>
      <c r="X741">
        <v>0.123</v>
      </c>
      <c r="Y741" s="258" t="s">
        <v>1313</v>
      </c>
      <c r="AA741" s="259" t="s">
        <v>1314</v>
      </c>
      <c r="AB741" s="20" t="s">
        <v>1061</v>
      </c>
      <c r="AC741">
        <f t="shared" si="21"/>
        <v>3490000000</v>
      </c>
      <c r="AE741" s="18" t="s">
        <v>1315</v>
      </c>
      <c r="AF741" s="1" t="b">
        <v>1</v>
      </c>
    </row>
    <row r="742" spans="2:32" ht="16.5" customHeight="1">
      <c r="B742" s="1" t="str">
        <f t="shared" si="20"/>
        <v>M_TDIF04_VM_BKT_1.3_699</v>
      </c>
      <c r="C742" s="92" t="s">
        <v>700</v>
      </c>
      <c r="D742" s="92" t="str" cm="1">
        <f t="array" ref="D742">INDEX(기계코드!$D$4:$D$214,MATCH(1,(C742=기계코드!$F$4:$F$214)*1,0))</f>
        <v>M_TDIF04</v>
      </c>
      <c r="E742" s="92" t="s">
        <v>1128</v>
      </c>
      <c r="F742" s="7" t="str" cm="1">
        <f t="array" ref="F742">INDEX(공급업체코드!$B$3:$B$1000,MATCH(1,(E742=공급업체코드!$D$3:$D$1000)*1,0))</f>
        <v>VM_BKT</v>
      </c>
      <c r="G742" s="18" t="s">
        <v>1881</v>
      </c>
      <c r="H742" s="64"/>
      <c r="I742" s="64"/>
      <c r="J742" s="64"/>
      <c r="K742" s="300">
        <v>1.1000000000000001</v>
      </c>
      <c r="L742" s="300">
        <v>1.3</v>
      </c>
      <c r="M742" s="64">
        <v>699</v>
      </c>
      <c r="N742" s="64"/>
      <c r="O742" s="64"/>
      <c r="P742" s="64"/>
      <c r="Q742" s="64"/>
      <c r="R742" s="70"/>
      <c r="T742" s="64"/>
      <c r="X742">
        <v>0.123</v>
      </c>
      <c r="Y742" s="258" t="s">
        <v>1313</v>
      </c>
      <c r="AA742" s="259" t="s">
        <v>1314</v>
      </c>
      <c r="AB742" s="20" t="s">
        <v>1061</v>
      </c>
      <c r="AC742">
        <f t="shared" si="21"/>
        <v>3495000000</v>
      </c>
      <c r="AE742" s="18" t="s">
        <v>1315</v>
      </c>
      <c r="AF742" s="1" t="b">
        <v>1</v>
      </c>
    </row>
    <row r="743" spans="2:32" ht="16.5" customHeight="1">
      <c r="B743" s="1" t="str">
        <f t="shared" si="20"/>
        <v>M_TDIF04_VM_BKT_1.3_700</v>
      </c>
      <c r="C743" s="92" t="s">
        <v>700</v>
      </c>
      <c r="D743" s="92" t="str" cm="1">
        <f t="array" ref="D743">INDEX(기계코드!$D$4:$D$214,MATCH(1,(C743=기계코드!$F$4:$F$214)*1,0))</f>
        <v>M_TDIF04</v>
      </c>
      <c r="E743" s="92" t="s">
        <v>1128</v>
      </c>
      <c r="F743" s="7" t="str" cm="1">
        <f t="array" ref="F743">INDEX(공급업체코드!$B$3:$B$1000,MATCH(1,(E743=공급업체코드!$D$3:$D$1000)*1,0))</f>
        <v>VM_BKT</v>
      </c>
      <c r="G743" s="18" t="s">
        <v>1881</v>
      </c>
      <c r="H743" s="64"/>
      <c r="I743" s="64"/>
      <c r="J743" s="64"/>
      <c r="K743" s="300">
        <v>1.1000000000000001</v>
      </c>
      <c r="L743" s="300">
        <v>1.3</v>
      </c>
      <c r="M743" s="64">
        <v>700</v>
      </c>
      <c r="N743" s="64"/>
      <c r="O743" s="64"/>
      <c r="P743" s="64"/>
      <c r="Q743" s="64"/>
      <c r="R743" s="70"/>
      <c r="T743" s="64"/>
      <c r="X743">
        <v>0.123</v>
      </c>
      <c r="Y743" s="258" t="s">
        <v>1313</v>
      </c>
      <c r="AA743" s="259" t="s">
        <v>1314</v>
      </c>
      <c r="AB743" s="20" t="s">
        <v>1061</v>
      </c>
      <c r="AC743">
        <f t="shared" si="21"/>
        <v>3500000000</v>
      </c>
      <c r="AE743" s="18" t="s">
        <v>1315</v>
      </c>
      <c r="AF743" s="1" t="b">
        <v>1</v>
      </c>
    </row>
    <row r="744" spans="2:32" ht="16.5" customHeight="1">
      <c r="B744" s="1" t="str">
        <f t="shared" si="20"/>
        <v>M_TDIF04_VM_BKT_1.3_701</v>
      </c>
      <c r="C744" s="92" t="s">
        <v>700</v>
      </c>
      <c r="D744" s="92" t="str" cm="1">
        <f t="array" ref="D744">INDEX(기계코드!$D$4:$D$214,MATCH(1,(C744=기계코드!$F$4:$F$214)*1,0))</f>
        <v>M_TDIF04</v>
      </c>
      <c r="E744" s="92" t="s">
        <v>1128</v>
      </c>
      <c r="F744" s="7" t="str" cm="1">
        <f t="array" ref="F744">INDEX(공급업체코드!$B$3:$B$1000,MATCH(1,(E744=공급업체코드!$D$3:$D$1000)*1,0))</f>
        <v>VM_BKT</v>
      </c>
      <c r="G744" s="18" t="s">
        <v>1881</v>
      </c>
      <c r="H744" s="64"/>
      <c r="I744" s="64"/>
      <c r="J744" s="64"/>
      <c r="K744" s="300">
        <v>1.1000000000000001</v>
      </c>
      <c r="L744" s="300">
        <v>1.3</v>
      </c>
      <c r="M744" s="64">
        <v>701</v>
      </c>
      <c r="N744" s="64"/>
      <c r="O744" s="64"/>
      <c r="P744" s="64"/>
      <c r="Q744" s="64"/>
      <c r="R744" s="70"/>
      <c r="T744" s="64"/>
      <c r="X744">
        <v>0.123</v>
      </c>
      <c r="Y744" s="258" t="s">
        <v>1313</v>
      </c>
      <c r="AA744" s="259" t="s">
        <v>1314</v>
      </c>
      <c r="AB744" s="20" t="s">
        <v>1061</v>
      </c>
      <c r="AC744">
        <f t="shared" si="21"/>
        <v>3505000000</v>
      </c>
      <c r="AE744" s="18" t="s">
        <v>1315</v>
      </c>
      <c r="AF744" s="1" t="b">
        <v>1</v>
      </c>
    </row>
    <row r="745" spans="2:32" ht="16.5" customHeight="1">
      <c r="B745" s="1" t="str">
        <f t="shared" si="20"/>
        <v>M_TDIF04_VM_BKT_1.3_702</v>
      </c>
      <c r="C745" s="92" t="s">
        <v>700</v>
      </c>
      <c r="D745" s="92" t="str" cm="1">
        <f t="array" ref="D745">INDEX(기계코드!$D$4:$D$214,MATCH(1,(C745=기계코드!$F$4:$F$214)*1,0))</f>
        <v>M_TDIF04</v>
      </c>
      <c r="E745" s="92" t="s">
        <v>1128</v>
      </c>
      <c r="F745" s="7" t="str" cm="1">
        <f t="array" ref="F745">INDEX(공급업체코드!$B$3:$B$1000,MATCH(1,(E745=공급업체코드!$D$3:$D$1000)*1,0))</f>
        <v>VM_BKT</v>
      </c>
      <c r="G745" s="18" t="s">
        <v>1881</v>
      </c>
      <c r="H745" s="64"/>
      <c r="I745" s="64"/>
      <c r="J745" s="64"/>
      <c r="K745" s="300">
        <v>1.1000000000000001</v>
      </c>
      <c r="L745" s="300">
        <v>1.3</v>
      </c>
      <c r="M745" s="64">
        <v>702</v>
      </c>
      <c r="N745" s="64"/>
      <c r="O745" s="64"/>
      <c r="P745" s="64"/>
      <c r="Q745" s="64"/>
      <c r="R745" s="70"/>
      <c r="T745" s="64"/>
      <c r="X745">
        <v>0.123</v>
      </c>
      <c r="Y745" s="258" t="s">
        <v>1313</v>
      </c>
      <c r="AA745" s="259" t="s">
        <v>1314</v>
      </c>
      <c r="AB745" s="20" t="s">
        <v>1061</v>
      </c>
      <c r="AC745">
        <f t="shared" si="21"/>
        <v>3510000000</v>
      </c>
      <c r="AE745" s="18" t="s">
        <v>1315</v>
      </c>
      <c r="AF745" s="1" t="b">
        <v>1</v>
      </c>
    </row>
    <row r="746" spans="2:32" ht="16.5" customHeight="1">
      <c r="B746" s="1" t="str">
        <f t="shared" si="20"/>
        <v>M_TDIF04_VM_BKT_1.3_703</v>
      </c>
      <c r="C746" s="92" t="s">
        <v>700</v>
      </c>
      <c r="D746" s="92" t="str" cm="1">
        <f t="array" ref="D746">INDEX(기계코드!$D$4:$D$214,MATCH(1,(C746=기계코드!$F$4:$F$214)*1,0))</f>
        <v>M_TDIF04</v>
      </c>
      <c r="E746" s="92" t="s">
        <v>1128</v>
      </c>
      <c r="F746" s="7" t="str" cm="1">
        <f t="array" ref="F746">INDEX(공급업체코드!$B$3:$B$1000,MATCH(1,(E746=공급업체코드!$D$3:$D$1000)*1,0))</f>
        <v>VM_BKT</v>
      </c>
      <c r="G746" s="18" t="s">
        <v>1881</v>
      </c>
      <c r="H746" s="64"/>
      <c r="I746" s="64"/>
      <c r="J746" s="64"/>
      <c r="K746" s="300">
        <v>1.1000000000000001</v>
      </c>
      <c r="L746" s="300">
        <v>1.3</v>
      </c>
      <c r="M746" s="64">
        <v>703</v>
      </c>
      <c r="N746" s="64"/>
      <c r="O746" s="64"/>
      <c r="P746" s="64"/>
      <c r="Q746" s="64"/>
      <c r="R746" s="70"/>
      <c r="T746" s="64"/>
      <c r="X746">
        <v>0.123</v>
      </c>
      <c r="Y746" s="258" t="s">
        <v>1313</v>
      </c>
      <c r="AA746" s="259" t="s">
        <v>1314</v>
      </c>
      <c r="AB746" s="20" t="s">
        <v>1061</v>
      </c>
      <c r="AC746">
        <f t="shared" si="21"/>
        <v>3515000000</v>
      </c>
      <c r="AE746" s="18" t="s">
        <v>1315</v>
      </c>
      <c r="AF746" s="1" t="b">
        <v>1</v>
      </c>
    </row>
    <row r="747" spans="2:32" ht="16.5" customHeight="1">
      <c r="B747" s="1" t="str">
        <f t="shared" si="20"/>
        <v>M_TDIF04_VM_BKT_1.3_704</v>
      </c>
      <c r="C747" s="92" t="s">
        <v>700</v>
      </c>
      <c r="D747" s="92" t="str" cm="1">
        <f t="array" ref="D747">INDEX(기계코드!$D$4:$D$214,MATCH(1,(C747=기계코드!$F$4:$F$214)*1,0))</f>
        <v>M_TDIF04</v>
      </c>
      <c r="E747" s="92" t="s">
        <v>1128</v>
      </c>
      <c r="F747" s="7" t="str" cm="1">
        <f t="array" ref="F747">INDEX(공급업체코드!$B$3:$B$1000,MATCH(1,(E747=공급업체코드!$D$3:$D$1000)*1,0))</f>
        <v>VM_BKT</v>
      </c>
      <c r="G747" s="18" t="s">
        <v>1881</v>
      </c>
      <c r="H747" s="64"/>
      <c r="I747" s="64"/>
      <c r="J747" s="64"/>
      <c r="K747" s="300">
        <v>1.1000000000000001</v>
      </c>
      <c r="L747" s="300">
        <v>1.3</v>
      </c>
      <c r="M747" s="64">
        <v>704</v>
      </c>
      <c r="N747" s="64"/>
      <c r="O747" s="64"/>
      <c r="P747" s="64"/>
      <c r="Q747" s="64"/>
      <c r="R747" s="70"/>
      <c r="T747" s="64"/>
      <c r="X747">
        <v>0.123</v>
      </c>
      <c r="Y747" s="258" t="s">
        <v>1313</v>
      </c>
      <c r="AA747" s="259" t="s">
        <v>1314</v>
      </c>
      <c r="AB747" s="20" t="s">
        <v>1061</v>
      </c>
      <c r="AC747">
        <f t="shared" si="21"/>
        <v>3520000000</v>
      </c>
      <c r="AE747" s="18" t="s">
        <v>1315</v>
      </c>
      <c r="AF747" s="1" t="b">
        <v>1</v>
      </c>
    </row>
    <row r="748" spans="2:32" ht="16.5" customHeight="1">
      <c r="B748" s="1" t="str">
        <f t="shared" si="20"/>
        <v>M_TDIF04_VM_BKT_1.3_705</v>
      </c>
      <c r="C748" s="92" t="s">
        <v>700</v>
      </c>
      <c r="D748" s="92" t="str" cm="1">
        <f t="array" ref="D748">INDEX(기계코드!$D$4:$D$214,MATCH(1,(C748=기계코드!$F$4:$F$214)*1,0))</f>
        <v>M_TDIF04</v>
      </c>
      <c r="E748" s="92" t="s">
        <v>1128</v>
      </c>
      <c r="F748" s="7" t="str" cm="1">
        <f t="array" ref="F748">INDEX(공급업체코드!$B$3:$B$1000,MATCH(1,(E748=공급업체코드!$D$3:$D$1000)*1,0))</f>
        <v>VM_BKT</v>
      </c>
      <c r="G748" s="18" t="s">
        <v>1881</v>
      </c>
      <c r="H748" s="64"/>
      <c r="I748" s="64"/>
      <c r="J748" s="64"/>
      <c r="K748" s="300">
        <v>1.1000000000000001</v>
      </c>
      <c r="L748" s="300">
        <v>1.3</v>
      </c>
      <c r="M748" s="64">
        <v>705</v>
      </c>
      <c r="N748" s="64"/>
      <c r="O748" s="64"/>
      <c r="P748" s="64"/>
      <c r="Q748" s="64"/>
      <c r="R748" s="70"/>
      <c r="T748" s="64"/>
      <c r="X748">
        <v>0.123</v>
      </c>
      <c r="Y748" s="258" t="s">
        <v>1313</v>
      </c>
      <c r="AA748" s="259" t="s">
        <v>1314</v>
      </c>
      <c r="AB748" s="20" t="s">
        <v>1061</v>
      </c>
      <c r="AC748">
        <f t="shared" si="21"/>
        <v>3525000000</v>
      </c>
      <c r="AE748" s="18" t="s">
        <v>1315</v>
      </c>
      <c r="AF748" s="1" t="b">
        <v>1</v>
      </c>
    </row>
    <row r="749" spans="2:32" ht="16.5" customHeight="1">
      <c r="B749" s="1" t="str">
        <f t="shared" ref="B749:B812" si="22">D749&amp;"_"&amp;F749&amp;"_"&amp;L749&amp;"_"&amp;M749</f>
        <v>M_TDIF04_VM_BKT_1.3_706</v>
      </c>
      <c r="C749" s="92" t="s">
        <v>700</v>
      </c>
      <c r="D749" s="92" t="str" cm="1">
        <f t="array" ref="D749">INDEX(기계코드!$D$4:$D$214,MATCH(1,(C749=기계코드!$F$4:$F$214)*1,0))</f>
        <v>M_TDIF04</v>
      </c>
      <c r="E749" s="92" t="s">
        <v>1128</v>
      </c>
      <c r="F749" s="7" t="str" cm="1">
        <f t="array" ref="F749">INDEX(공급업체코드!$B$3:$B$1000,MATCH(1,(E749=공급업체코드!$D$3:$D$1000)*1,0))</f>
        <v>VM_BKT</v>
      </c>
      <c r="G749" s="18" t="s">
        <v>1881</v>
      </c>
      <c r="H749" s="64"/>
      <c r="I749" s="64"/>
      <c r="J749" s="64"/>
      <c r="K749" s="300">
        <v>1.1000000000000001</v>
      </c>
      <c r="L749" s="300">
        <v>1.3</v>
      </c>
      <c r="M749" s="64">
        <v>706</v>
      </c>
      <c r="N749" s="64"/>
      <c r="O749" s="64"/>
      <c r="P749" s="64"/>
      <c r="Q749" s="64"/>
      <c r="R749" s="70"/>
      <c r="T749" s="64"/>
      <c r="X749">
        <v>0.123</v>
      </c>
      <c r="Y749" s="258" t="s">
        <v>1313</v>
      </c>
      <c r="AA749" s="259" t="s">
        <v>1314</v>
      </c>
      <c r="AB749" s="20" t="s">
        <v>1061</v>
      </c>
      <c r="AC749">
        <f t="shared" si="21"/>
        <v>3530000000</v>
      </c>
      <c r="AE749" s="18" t="s">
        <v>1315</v>
      </c>
      <c r="AF749" s="1" t="b">
        <v>1</v>
      </c>
    </row>
    <row r="750" spans="2:32" ht="16.5" customHeight="1">
      <c r="B750" s="1" t="str">
        <f t="shared" si="22"/>
        <v>M_TDIF04_VM_BKT_1.3_707</v>
      </c>
      <c r="C750" s="92" t="s">
        <v>700</v>
      </c>
      <c r="D750" s="92" t="str" cm="1">
        <f t="array" ref="D750">INDEX(기계코드!$D$4:$D$214,MATCH(1,(C750=기계코드!$F$4:$F$214)*1,0))</f>
        <v>M_TDIF04</v>
      </c>
      <c r="E750" s="92" t="s">
        <v>1128</v>
      </c>
      <c r="F750" s="7" t="str" cm="1">
        <f t="array" ref="F750">INDEX(공급업체코드!$B$3:$B$1000,MATCH(1,(E750=공급업체코드!$D$3:$D$1000)*1,0))</f>
        <v>VM_BKT</v>
      </c>
      <c r="G750" s="18" t="s">
        <v>1881</v>
      </c>
      <c r="H750" s="64"/>
      <c r="I750" s="64"/>
      <c r="J750" s="64"/>
      <c r="K750" s="300">
        <v>1.1000000000000001</v>
      </c>
      <c r="L750" s="300">
        <v>1.3</v>
      </c>
      <c r="M750" s="64">
        <v>707</v>
      </c>
      <c r="N750" s="64"/>
      <c r="O750" s="64"/>
      <c r="P750" s="64"/>
      <c r="Q750" s="64"/>
      <c r="R750" s="70"/>
      <c r="T750" s="64"/>
      <c r="X750">
        <v>0.123</v>
      </c>
      <c r="Y750" s="258" t="s">
        <v>1313</v>
      </c>
      <c r="AA750" s="259" t="s">
        <v>1314</v>
      </c>
      <c r="AB750" s="20" t="s">
        <v>1061</v>
      </c>
      <c r="AC750">
        <f t="shared" ref="AC750:AC813" si="23">M750*$AC$44</f>
        <v>3535000000</v>
      </c>
      <c r="AE750" s="18" t="s">
        <v>1315</v>
      </c>
      <c r="AF750" s="1" t="b">
        <v>1</v>
      </c>
    </row>
    <row r="751" spans="2:32" ht="16.5" customHeight="1">
      <c r="B751" s="1" t="str">
        <f t="shared" si="22"/>
        <v>M_TDIF04_VM_BKT_1.3_708</v>
      </c>
      <c r="C751" s="92" t="s">
        <v>700</v>
      </c>
      <c r="D751" s="92" t="str" cm="1">
        <f t="array" ref="D751">INDEX(기계코드!$D$4:$D$214,MATCH(1,(C751=기계코드!$F$4:$F$214)*1,0))</f>
        <v>M_TDIF04</v>
      </c>
      <c r="E751" s="92" t="s">
        <v>1128</v>
      </c>
      <c r="F751" s="7" t="str" cm="1">
        <f t="array" ref="F751">INDEX(공급업체코드!$B$3:$B$1000,MATCH(1,(E751=공급업체코드!$D$3:$D$1000)*1,0))</f>
        <v>VM_BKT</v>
      </c>
      <c r="G751" s="18" t="s">
        <v>1881</v>
      </c>
      <c r="H751" s="64"/>
      <c r="I751" s="64"/>
      <c r="J751" s="64"/>
      <c r="K751" s="300">
        <v>1.1000000000000001</v>
      </c>
      <c r="L751" s="300">
        <v>1.3</v>
      </c>
      <c r="M751" s="64">
        <v>708</v>
      </c>
      <c r="N751" s="64"/>
      <c r="O751" s="64"/>
      <c r="P751" s="64"/>
      <c r="Q751" s="64"/>
      <c r="R751" s="70"/>
      <c r="T751" s="64"/>
      <c r="X751">
        <v>0.123</v>
      </c>
      <c r="Y751" s="258" t="s">
        <v>1313</v>
      </c>
      <c r="AA751" s="259" t="s">
        <v>1314</v>
      </c>
      <c r="AB751" s="20" t="s">
        <v>1061</v>
      </c>
      <c r="AC751">
        <f t="shared" si="23"/>
        <v>3540000000</v>
      </c>
      <c r="AE751" s="18" t="s">
        <v>1315</v>
      </c>
      <c r="AF751" s="1" t="b">
        <v>1</v>
      </c>
    </row>
    <row r="752" spans="2:32" ht="16.5" customHeight="1">
      <c r="B752" s="1" t="str">
        <f t="shared" si="22"/>
        <v>M_TDIF04_VM_BKT_1.3_709</v>
      </c>
      <c r="C752" s="92" t="s">
        <v>700</v>
      </c>
      <c r="D752" s="92" t="str" cm="1">
        <f t="array" ref="D752">INDEX(기계코드!$D$4:$D$214,MATCH(1,(C752=기계코드!$F$4:$F$214)*1,0))</f>
        <v>M_TDIF04</v>
      </c>
      <c r="E752" s="92" t="s">
        <v>1128</v>
      </c>
      <c r="F752" s="7" t="str" cm="1">
        <f t="array" ref="F752">INDEX(공급업체코드!$B$3:$B$1000,MATCH(1,(E752=공급업체코드!$D$3:$D$1000)*1,0))</f>
        <v>VM_BKT</v>
      </c>
      <c r="G752" s="18" t="s">
        <v>1881</v>
      </c>
      <c r="H752" s="64"/>
      <c r="I752" s="64"/>
      <c r="J752" s="64"/>
      <c r="K752" s="300">
        <v>1.1000000000000001</v>
      </c>
      <c r="L752" s="300">
        <v>1.3</v>
      </c>
      <c r="M752" s="64">
        <v>709</v>
      </c>
      <c r="N752" s="64"/>
      <c r="O752" s="64"/>
      <c r="P752" s="64"/>
      <c r="Q752" s="64"/>
      <c r="R752" s="70"/>
      <c r="T752" s="64"/>
      <c r="X752">
        <v>0.123</v>
      </c>
      <c r="Y752" s="258" t="s">
        <v>1313</v>
      </c>
      <c r="AA752" s="259" t="s">
        <v>1314</v>
      </c>
      <c r="AB752" s="20" t="s">
        <v>1061</v>
      </c>
      <c r="AC752">
        <f t="shared" si="23"/>
        <v>3545000000</v>
      </c>
      <c r="AE752" s="18" t="s">
        <v>1315</v>
      </c>
      <c r="AF752" s="1" t="b">
        <v>1</v>
      </c>
    </row>
    <row r="753" spans="2:32" ht="16.5" customHeight="1">
      <c r="B753" s="1" t="str">
        <f t="shared" si="22"/>
        <v>M_TDIF04_VM_BKT_1.3_710</v>
      </c>
      <c r="C753" s="92" t="s">
        <v>700</v>
      </c>
      <c r="D753" s="92" t="str" cm="1">
        <f t="array" ref="D753">INDEX(기계코드!$D$4:$D$214,MATCH(1,(C753=기계코드!$F$4:$F$214)*1,0))</f>
        <v>M_TDIF04</v>
      </c>
      <c r="E753" s="92" t="s">
        <v>1128</v>
      </c>
      <c r="F753" s="7" t="str" cm="1">
        <f t="array" ref="F753">INDEX(공급업체코드!$B$3:$B$1000,MATCH(1,(E753=공급업체코드!$D$3:$D$1000)*1,0))</f>
        <v>VM_BKT</v>
      </c>
      <c r="G753" s="18" t="s">
        <v>1881</v>
      </c>
      <c r="H753" s="64"/>
      <c r="I753" s="64"/>
      <c r="J753" s="64"/>
      <c r="K753" s="300">
        <v>1.1000000000000001</v>
      </c>
      <c r="L753" s="300">
        <v>1.3</v>
      </c>
      <c r="M753" s="64">
        <v>710</v>
      </c>
      <c r="N753" s="64"/>
      <c r="O753" s="64"/>
      <c r="P753" s="64"/>
      <c r="Q753" s="64"/>
      <c r="R753" s="70"/>
      <c r="T753" s="64"/>
      <c r="X753">
        <v>0.123</v>
      </c>
      <c r="Y753" s="258" t="s">
        <v>1313</v>
      </c>
      <c r="AA753" s="259" t="s">
        <v>1314</v>
      </c>
      <c r="AB753" s="20" t="s">
        <v>1061</v>
      </c>
      <c r="AC753">
        <f t="shared" si="23"/>
        <v>3550000000</v>
      </c>
      <c r="AE753" s="18" t="s">
        <v>1315</v>
      </c>
      <c r="AF753" s="1" t="b">
        <v>1</v>
      </c>
    </row>
    <row r="754" spans="2:32" ht="16.5" customHeight="1">
      <c r="B754" s="1" t="str">
        <f t="shared" si="22"/>
        <v>M_TDIF04_VM_BKT_1.3_711</v>
      </c>
      <c r="C754" s="92" t="s">
        <v>700</v>
      </c>
      <c r="D754" s="92" t="str" cm="1">
        <f t="array" ref="D754">INDEX(기계코드!$D$4:$D$214,MATCH(1,(C754=기계코드!$F$4:$F$214)*1,0))</f>
        <v>M_TDIF04</v>
      </c>
      <c r="E754" s="92" t="s">
        <v>1128</v>
      </c>
      <c r="F754" s="7" t="str" cm="1">
        <f t="array" ref="F754">INDEX(공급업체코드!$B$3:$B$1000,MATCH(1,(E754=공급업체코드!$D$3:$D$1000)*1,0))</f>
        <v>VM_BKT</v>
      </c>
      <c r="G754" s="18" t="s">
        <v>1881</v>
      </c>
      <c r="H754" s="64"/>
      <c r="I754" s="64"/>
      <c r="J754" s="64"/>
      <c r="K754" s="300">
        <v>1.1000000000000001</v>
      </c>
      <c r="L754" s="300">
        <v>1.3</v>
      </c>
      <c r="M754" s="64">
        <v>711</v>
      </c>
      <c r="N754" s="64"/>
      <c r="O754" s="64"/>
      <c r="P754" s="64"/>
      <c r="Q754" s="64"/>
      <c r="R754" s="70"/>
      <c r="T754" s="64"/>
      <c r="X754">
        <v>0.123</v>
      </c>
      <c r="Y754" s="258" t="s">
        <v>1313</v>
      </c>
      <c r="AA754" s="259" t="s">
        <v>1314</v>
      </c>
      <c r="AB754" s="20" t="s">
        <v>1061</v>
      </c>
      <c r="AC754">
        <f t="shared" si="23"/>
        <v>3555000000</v>
      </c>
      <c r="AE754" s="18" t="s">
        <v>1315</v>
      </c>
      <c r="AF754" s="1" t="b">
        <v>1</v>
      </c>
    </row>
    <row r="755" spans="2:32" ht="16.5" customHeight="1">
      <c r="B755" s="1" t="str">
        <f t="shared" si="22"/>
        <v>M_TDIF04_VM_BKT_1.3_712</v>
      </c>
      <c r="C755" s="92" t="s">
        <v>700</v>
      </c>
      <c r="D755" s="92" t="str" cm="1">
        <f t="array" ref="D755">INDEX(기계코드!$D$4:$D$214,MATCH(1,(C755=기계코드!$F$4:$F$214)*1,0))</f>
        <v>M_TDIF04</v>
      </c>
      <c r="E755" s="92" t="s">
        <v>1128</v>
      </c>
      <c r="F755" s="7" t="str" cm="1">
        <f t="array" ref="F755">INDEX(공급업체코드!$B$3:$B$1000,MATCH(1,(E755=공급업체코드!$D$3:$D$1000)*1,0))</f>
        <v>VM_BKT</v>
      </c>
      <c r="G755" s="18" t="s">
        <v>1881</v>
      </c>
      <c r="H755" s="64"/>
      <c r="I755" s="64"/>
      <c r="J755" s="64"/>
      <c r="K755" s="300">
        <v>1.1000000000000001</v>
      </c>
      <c r="L755" s="300">
        <v>1.3</v>
      </c>
      <c r="M755" s="64">
        <v>712</v>
      </c>
      <c r="N755" s="64"/>
      <c r="O755" s="64"/>
      <c r="P755" s="64"/>
      <c r="Q755" s="64"/>
      <c r="R755" s="70"/>
      <c r="T755" s="64"/>
      <c r="X755">
        <v>0.123</v>
      </c>
      <c r="Y755" s="258" t="s">
        <v>1313</v>
      </c>
      <c r="AA755" s="259" t="s">
        <v>1314</v>
      </c>
      <c r="AB755" s="20" t="s">
        <v>1061</v>
      </c>
      <c r="AC755">
        <f t="shared" si="23"/>
        <v>3560000000</v>
      </c>
      <c r="AE755" s="18" t="s">
        <v>1315</v>
      </c>
      <c r="AF755" s="1" t="b">
        <v>1</v>
      </c>
    </row>
    <row r="756" spans="2:32" ht="16.5" customHeight="1">
      <c r="B756" s="1" t="str">
        <f t="shared" si="22"/>
        <v>M_TDIF04_VM_BKT_1.3_713</v>
      </c>
      <c r="C756" s="92" t="s">
        <v>700</v>
      </c>
      <c r="D756" s="92" t="str" cm="1">
        <f t="array" ref="D756">INDEX(기계코드!$D$4:$D$214,MATCH(1,(C756=기계코드!$F$4:$F$214)*1,0))</f>
        <v>M_TDIF04</v>
      </c>
      <c r="E756" s="92" t="s">
        <v>1128</v>
      </c>
      <c r="F756" s="7" t="str" cm="1">
        <f t="array" ref="F756">INDEX(공급업체코드!$B$3:$B$1000,MATCH(1,(E756=공급업체코드!$D$3:$D$1000)*1,0))</f>
        <v>VM_BKT</v>
      </c>
      <c r="G756" s="18" t="s">
        <v>1881</v>
      </c>
      <c r="H756" s="64"/>
      <c r="I756" s="64"/>
      <c r="J756" s="64"/>
      <c r="K756" s="300">
        <v>1.1000000000000001</v>
      </c>
      <c r="L756" s="300">
        <v>1.3</v>
      </c>
      <c r="M756" s="64">
        <v>713</v>
      </c>
      <c r="N756" s="64"/>
      <c r="O756" s="64"/>
      <c r="P756" s="64"/>
      <c r="Q756" s="64"/>
      <c r="R756" s="70"/>
      <c r="T756" s="64"/>
      <c r="X756">
        <v>0.123</v>
      </c>
      <c r="Y756" s="258" t="s">
        <v>1313</v>
      </c>
      <c r="AA756" s="259" t="s">
        <v>1314</v>
      </c>
      <c r="AB756" s="20" t="s">
        <v>1061</v>
      </c>
      <c r="AC756">
        <f t="shared" si="23"/>
        <v>3565000000</v>
      </c>
      <c r="AE756" s="18" t="s">
        <v>1315</v>
      </c>
      <c r="AF756" s="1" t="b">
        <v>1</v>
      </c>
    </row>
    <row r="757" spans="2:32" ht="16.5" customHeight="1">
      <c r="B757" s="1" t="str">
        <f t="shared" si="22"/>
        <v>M_TDIF04_VM_BKT_1.3_714</v>
      </c>
      <c r="C757" s="92" t="s">
        <v>700</v>
      </c>
      <c r="D757" s="92" t="str" cm="1">
        <f t="array" ref="D757">INDEX(기계코드!$D$4:$D$214,MATCH(1,(C757=기계코드!$F$4:$F$214)*1,0))</f>
        <v>M_TDIF04</v>
      </c>
      <c r="E757" s="92" t="s">
        <v>1128</v>
      </c>
      <c r="F757" s="7" t="str" cm="1">
        <f t="array" ref="F757">INDEX(공급업체코드!$B$3:$B$1000,MATCH(1,(E757=공급업체코드!$D$3:$D$1000)*1,0))</f>
        <v>VM_BKT</v>
      </c>
      <c r="G757" s="18" t="s">
        <v>1881</v>
      </c>
      <c r="H757" s="64"/>
      <c r="I757" s="64"/>
      <c r="J757" s="64"/>
      <c r="K757" s="300">
        <v>1.1000000000000001</v>
      </c>
      <c r="L757" s="300">
        <v>1.3</v>
      </c>
      <c r="M757" s="64">
        <v>714</v>
      </c>
      <c r="N757" s="64"/>
      <c r="O757" s="64"/>
      <c r="P757" s="64"/>
      <c r="Q757" s="64"/>
      <c r="R757" s="70"/>
      <c r="T757" s="64"/>
      <c r="X757">
        <v>0.123</v>
      </c>
      <c r="Y757" s="258" t="s">
        <v>1313</v>
      </c>
      <c r="AA757" s="259" t="s">
        <v>1314</v>
      </c>
      <c r="AB757" s="20" t="s">
        <v>1061</v>
      </c>
      <c r="AC757">
        <f t="shared" si="23"/>
        <v>3570000000</v>
      </c>
      <c r="AE757" s="18" t="s">
        <v>1315</v>
      </c>
      <c r="AF757" s="1" t="b">
        <v>1</v>
      </c>
    </row>
    <row r="758" spans="2:32" ht="16.5" customHeight="1">
      <c r="B758" s="1" t="str">
        <f t="shared" si="22"/>
        <v>M_TDIF04_VM_BKT_1.3_715</v>
      </c>
      <c r="C758" s="92" t="s">
        <v>700</v>
      </c>
      <c r="D758" s="92" t="str" cm="1">
        <f t="array" ref="D758">INDEX(기계코드!$D$4:$D$214,MATCH(1,(C758=기계코드!$F$4:$F$214)*1,0))</f>
        <v>M_TDIF04</v>
      </c>
      <c r="E758" s="92" t="s">
        <v>1128</v>
      </c>
      <c r="F758" s="7" t="str" cm="1">
        <f t="array" ref="F758">INDEX(공급업체코드!$B$3:$B$1000,MATCH(1,(E758=공급업체코드!$D$3:$D$1000)*1,0))</f>
        <v>VM_BKT</v>
      </c>
      <c r="G758" s="18" t="s">
        <v>1881</v>
      </c>
      <c r="H758" s="64"/>
      <c r="I758" s="64"/>
      <c r="J758" s="64"/>
      <c r="K758" s="300">
        <v>1.1000000000000001</v>
      </c>
      <c r="L758" s="300">
        <v>1.3</v>
      </c>
      <c r="M758" s="64">
        <v>715</v>
      </c>
      <c r="N758" s="64"/>
      <c r="O758" s="64"/>
      <c r="P758" s="64"/>
      <c r="Q758" s="64"/>
      <c r="R758" s="70"/>
      <c r="T758" s="64"/>
      <c r="X758">
        <v>0.123</v>
      </c>
      <c r="Y758" s="258" t="s">
        <v>1313</v>
      </c>
      <c r="AA758" s="259" t="s">
        <v>1314</v>
      </c>
      <c r="AB758" s="20" t="s">
        <v>1061</v>
      </c>
      <c r="AC758">
        <f t="shared" si="23"/>
        <v>3575000000</v>
      </c>
      <c r="AE758" s="18" t="s">
        <v>1315</v>
      </c>
      <c r="AF758" s="1" t="b">
        <v>1</v>
      </c>
    </row>
    <row r="759" spans="2:32" ht="16.5" customHeight="1">
      <c r="B759" s="1" t="str">
        <f t="shared" si="22"/>
        <v>M_TDIF04_VM_BKT_1.3_716</v>
      </c>
      <c r="C759" s="92" t="s">
        <v>700</v>
      </c>
      <c r="D759" s="92" t="str" cm="1">
        <f t="array" ref="D759">INDEX(기계코드!$D$4:$D$214,MATCH(1,(C759=기계코드!$F$4:$F$214)*1,0))</f>
        <v>M_TDIF04</v>
      </c>
      <c r="E759" s="92" t="s">
        <v>1128</v>
      </c>
      <c r="F759" s="7" t="str" cm="1">
        <f t="array" ref="F759">INDEX(공급업체코드!$B$3:$B$1000,MATCH(1,(E759=공급업체코드!$D$3:$D$1000)*1,0))</f>
        <v>VM_BKT</v>
      </c>
      <c r="G759" s="18" t="s">
        <v>1881</v>
      </c>
      <c r="H759" s="64"/>
      <c r="I759" s="64"/>
      <c r="J759" s="64"/>
      <c r="K759" s="300">
        <v>1.1000000000000001</v>
      </c>
      <c r="L759" s="300">
        <v>1.3</v>
      </c>
      <c r="M759" s="64">
        <v>716</v>
      </c>
      <c r="N759" s="64"/>
      <c r="O759" s="64"/>
      <c r="P759" s="64"/>
      <c r="Q759" s="64"/>
      <c r="R759" s="70"/>
      <c r="T759" s="64"/>
      <c r="X759">
        <v>0.123</v>
      </c>
      <c r="Y759" s="258" t="s">
        <v>1313</v>
      </c>
      <c r="AA759" s="259" t="s">
        <v>1314</v>
      </c>
      <c r="AB759" s="20" t="s">
        <v>1061</v>
      </c>
      <c r="AC759">
        <f t="shared" si="23"/>
        <v>3580000000</v>
      </c>
      <c r="AE759" s="18" t="s">
        <v>1315</v>
      </c>
      <c r="AF759" s="1" t="b">
        <v>1</v>
      </c>
    </row>
    <row r="760" spans="2:32" ht="16.5" customHeight="1">
      <c r="B760" s="1" t="str">
        <f t="shared" si="22"/>
        <v>M_TDIF04_VM_BKT_1.3_717</v>
      </c>
      <c r="C760" s="92" t="s">
        <v>700</v>
      </c>
      <c r="D760" s="92" t="str" cm="1">
        <f t="array" ref="D760">INDEX(기계코드!$D$4:$D$214,MATCH(1,(C760=기계코드!$F$4:$F$214)*1,0))</f>
        <v>M_TDIF04</v>
      </c>
      <c r="E760" s="92" t="s">
        <v>1128</v>
      </c>
      <c r="F760" s="7" t="str" cm="1">
        <f t="array" ref="F760">INDEX(공급업체코드!$B$3:$B$1000,MATCH(1,(E760=공급업체코드!$D$3:$D$1000)*1,0))</f>
        <v>VM_BKT</v>
      </c>
      <c r="G760" s="18" t="s">
        <v>1881</v>
      </c>
      <c r="H760" s="64"/>
      <c r="I760" s="64"/>
      <c r="J760" s="64"/>
      <c r="K760" s="300">
        <v>1.1000000000000001</v>
      </c>
      <c r="L760" s="300">
        <v>1.3</v>
      </c>
      <c r="M760" s="64">
        <v>717</v>
      </c>
      <c r="N760" s="64"/>
      <c r="O760" s="64"/>
      <c r="P760" s="64"/>
      <c r="Q760" s="64"/>
      <c r="R760" s="70"/>
      <c r="T760" s="64"/>
      <c r="X760">
        <v>0.123</v>
      </c>
      <c r="Y760" s="258" t="s">
        <v>1313</v>
      </c>
      <c r="AA760" s="259" t="s">
        <v>1314</v>
      </c>
      <c r="AB760" s="20" t="s">
        <v>1061</v>
      </c>
      <c r="AC760">
        <f t="shared" si="23"/>
        <v>3585000000</v>
      </c>
      <c r="AE760" s="18" t="s">
        <v>1315</v>
      </c>
      <c r="AF760" s="1" t="b">
        <v>1</v>
      </c>
    </row>
    <row r="761" spans="2:32" ht="16.5" customHeight="1">
      <c r="B761" s="1" t="str">
        <f t="shared" si="22"/>
        <v>M_TDIF04_VM_BKT_1.3_718</v>
      </c>
      <c r="C761" s="92" t="s">
        <v>700</v>
      </c>
      <c r="D761" s="92" t="str" cm="1">
        <f t="array" ref="D761">INDEX(기계코드!$D$4:$D$214,MATCH(1,(C761=기계코드!$F$4:$F$214)*1,0))</f>
        <v>M_TDIF04</v>
      </c>
      <c r="E761" s="92" t="s">
        <v>1128</v>
      </c>
      <c r="F761" s="7" t="str" cm="1">
        <f t="array" ref="F761">INDEX(공급업체코드!$B$3:$B$1000,MATCH(1,(E761=공급업체코드!$D$3:$D$1000)*1,0))</f>
        <v>VM_BKT</v>
      </c>
      <c r="G761" s="18" t="s">
        <v>1881</v>
      </c>
      <c r="H761" s="64"/>
      <c r="I761" s="64"/>
      <c r="J761" s="64"/>
      <c r="K761" s="300">
        <v>1.1000000000000001</v>
      </c>
      <c r="L761" s="300">
        <v>1.3</v>
      </c>
      <c r="M761" s="64">
        <v>718</v>
      </c>
      <c r="N761" s="64"/>
      <c r="O761" s="64"/>
      <c r="P761" s="64"/>
      <c r="Q761" s="64"/>
      <c r="R761" s="70"/>
      <c r="T761" s="64"/>
      <c r="X761">
        <v>0.123</v>
      </c>
      <c r="Y761" s="258" t="s">
        <v>1313</v>
      </c>
      <c r="AA761" s="259" t="s">
        <v>1314</v>
      </c>
      <c r="AB761" s="20" t="s">
        <v>1061</v>
      </c>
      <c r="AC761">
        <f t="shared" si="23"/>
        <v>3590000000</v>
      </c>
      <c r="AE761" s="18" t="s">
        <v>1315</v>
      </c>
      <c r="AF761" s="1" t="b">
        <v>1</v>
      </c>
    </row>
    <row r="762" spans="2:32" ht="16.5" customHeight="1">
      <c r="B762" s="1" t="str">
        <f t="shared" si="22"/>
        <v>M_TDIF04_VM_BKT_1.3_719</v>
      </c>
      <c r="C762" s="92" t="s">
        <v>700</v>
      </c>
      <c r="D762" s="92" t="str" cm="1">
        <f t="array" ref="D762">INDEX(기계코드!$D$4:$D$214,MATCH(1,(C762=기계코드!$F$4:$F$214)*1,0))</f>
        <v>M_TDIF04</v>
      </c>
      <c r="E762" s="92" t="s">
        <v>1128</v>
      </c>
      <c r="F762" s="7" t="str" cm="1">
        <f t="array" ref="F762">INDEX(공급업체코드!$B$3:$B$1000,MATCH(1,(E762=공급업체코드!$D$3:$D$1000)*1,0))</f>
        <v>VM_BKT</v>
      </c>
      <c r="G762" s="18" t="s">
        <v>1881</v>
      </c>
      <c r="H762" s="64"/>
      <c r="I762" s="64"/>
      <c r="J762" s="64"/>
      <c r="K762" s="300">
        <v>1.1000000000000001</v>
      </c>
      <c r="L762" s="300">
        <v>1.3</v>
      </c>
      <c r="M762" s="64">
        <v>719</v>
      </c>
      <c r="N762" s="64"/>
      <c r="O762" s="64"/>
      <c r="P762" s="64"/>
      <c r="Q762" s="64"/>
      <c r="R762" s="70"/>
      <c r="T762" s="64"/>
      <c r="X762">
        <v>0.123</v>
      </c>
      <c r="Y762" s="258" t="s">
        <v>1313</v>
      </c>
      <c r="AA762" s="259" t="s">
        <v>1314</v>
      </c>
      <c r="AB762" s="20" t="s">
        <v>1061</v>
      </c>
      <c r="AC762">
        <f t="shared" si="23"/>
        <v>3595000000</v>
      </c>
      <c r="AE762" s="18" t="s">
        <v>1315</v>
      </c>
      <c r="AF762" s="1" t="b">
        <v>1</v>
      </c>
    </row>
    <row r="763" spans="2:32" ht="16.5" customHeight="1">
      <c r="B763" s="1" t="str">
        <f t="shared" si="22"/>
        <v>M_TDIF04_VM_BKT_1.3_720</v>
      </c>
      <c r="C763" s="92" t="s">
        <v>700</v>
      </c>
      <c r="D763" s="92" t="str" cm="1">
        <f t="array" ref="D763">INDEX(기계코드!$D$4:$D$214,MATCH(1,(C763=기계코드!$F$4:$F$214)*1,0))</f>
        <v>M_TDIF04</v>
      </c>
      <c r="E763" s="92" t="s">
        <v>1128</v>
      </c>
      <c r="F763" s="7" t="str" cm="1">
        <f t="array" ref="F763">INDEX(공급업체코드!$B$3:$B$1000,MATCH(1,(E763=공급업체코드!$D$3:$D$1000)*1,0))</f>
        <v>VM_BKT</v>
      </c>
      <c r="G763" s="18" t="s">
        <v>1881</v>
      </c>
      <c r="H763" s="64"/>
      <c r="I763" s="64"/>
      <c r="J763" s="64"/>
      <c r="K763" s="300">
        <v>1.1000000000000001</v>
      </c>
      <c r="L763" s="300">
        <v>1.3</v>
      </c>
      <c r="M763" s="64">
        <v>720</v>
      </c>
      <c r="N763" s="64"/>
      <c r="O763" s="64"/>
      <c r="P763" s="64"/>
      <c r="Q763" s="64"/>
      <c r="R763" s="70"/>
      <c r="T763" s="64"/>
      <c r="X763">
        <v>0.123</v>
      </c>
      <c r="Y763" s="258" t="s">
        <v>1313</v>
      </c>
      <c r="AA763" s="259" t="s">
        <v>1314</v>
      </c>
      <c r="AB763" s="20" t="s">
        <v>1061</v>
      </c>
      <c r="AC763">
        <f t="shared" si="23"/>
        <v>3600000000</v>
      </c>
      <c r="AE763" s="18" t="s">
        <v>1315</v>
      </c>
      <c r="AF763" s="1" t="b">
        <v>1</v>
      </c>
    </row>
    <row r="764" spans="2:32" ht="16.5" customHeight="1">
      <c r="B764" s="1" t="str">
        <f t="shared" si="22"/>
        <v>M_TDIF04_VM_BKT_1.3_721</v>
      </c>
      <c r="C764" s="92" t="s">
        <v>700</v>
      </c>
      <c r="D764" s="92" t="str" cm="1">
        <f t="array" ref="D764">INDEX(기계코드!$D$4:$D$214,MATCH(1,(C764=기계코드!$F$4:$F$214)*1,0))</f>
        <v>M_TDIF04</v>
      </c>
      <c r="E764" s="92" t="s">
        <v>1128</v>
      </c>
      <c r="F764" s="7" t="str" cm="1">
        <f t="array" ref="F764">INDEX(공급업체코드!$B$3:$B$1000,MATCH(1,(E764=공급업체코드!$D$3:$D$1000)*1,0))</f>
        <v>VM_BKT</v>
      </c>
      <c r="G764" s="18" t="s">
        <v>1881</v>
      </c>
      <c r="H764" s="64"/>
      <c r="I764" s="64"/>
      <c r="J764" s="64"/>
      <c r="K764" s="300">
        <v>1.1000000000000001</v>
      </c>
      <c r="L764" s="300">
        <v>1.3</v>
      </c>
      <c r="M764" s="64">
        <v>721</v>
      </c>
      <c r="N764" s="64"/>
      <c r="O764" s="64"/>
      <c r="P764" s="64"/>
      <c r="Q764" s="64"/>
      <c r="R764" s="70"/>
      <c r="T764" s="64"/>
      <c r="X764">
        <v>0.123</v>
      </c>
      <c r="Y764" s="258" t="s">
        <v>1313</v>
      </c>
      <c r="AA764" s="259" t="s">
        <v>1314</v>
      </c>
      <c r="AB764" s="20" t="s">
        <v>1061</v>
      </c>
      <c r="AC764">
        <f t="shared" si="23"/>
        <v>3605000000</v>
      </c>
      <c r="AE764" s="18" t="s">
        <v>1315</v>
      </c>
      <c r="AF764" s="1" t="b">
        <v>1</v>
      </c>
    </row>
    <row r="765" spans="2:32" ht="16.5" customHeight="1">
      <c r="B765" s="1" t="str">
        <f t="shared" si="22"/>
        <v>M_TDIF04_VM_BKT_1.3_722</v>
      </c>
      <c r="C765" s="92" t="s">
        <v>700</v>
      </c>
      <c r="D765" s="92" t="str" cm="1">
        <f t="array" ref="D765">INDEX(기계코드!$D$4:$D$214,MATCH(1,(C765=기계코드!$F$4:$F$214)*1,0))</f>
        <v>M_TDIF04</v>
      </c>
      <c r="E765" s="92" t="s">
        <v>1128</v>
      </c>
      <c r="F765" s="7" t="str" cm="1">
        <f t="array" ref="F765">INDEX(공급업체코드!$B$3:$B$1000,MATCH(1,(E765=공급업체코드!$D$3:$D$1000)*1,0))</f>
        <v>VM_BKT</v>
      </c>
      <c r="G765" s="18" t="s">
        <v>1881</v>
      </c>
      <c r="H765" s="64"/>
      <c r="I765" s="64"/>
      <c r="J765" s="64"/>
      <c r="K765" s="300">
        <v>1.1000000000000001</v>
      </c>
      <c r="L765" s="300">
        <v>1.3</v>
      </c>
      <c r="M765" s="64">
        <v>722</v>
      </c>
      <c r="N765" s="64"/>
      <c r="O765" s="64"/>
      <c r="P765" s="64"/>
      <c r="Q765" s="64"/>
      <c r="R765" s="70"/>
      <c r="T765" s="64"/>
      <c r="X765">
        <v>0.123</v>
      </c>
      <c r="Y765" s="258" t="s">
        <v>1313</v>
      </c>
      <c r="AA765" s="259" t="s">
        <v>1314</v>
      </c>
      <c r="AB765" s="20" t="s">
        <v>1061</v>
      </c>
      <c r="AC765">
        <f t="shared" si="23"/>
        <v>3610000000</v>
      </c>
      <c r="AE765" s="18" t="s">
        <v>1315</v>
      </c>
      <c r="AF765" s="1" t="b">
        <v>1</v>
      </c>
    </row>
    <row r="766" spans="2:32" ht="16.5" customHeight="1">
      <c r="B766" s="1" t="str">
        <f t="shared" si="22"/>
        <v>M_TDIF04_VM_BKT_1.3_723</v>
      </c>
      <c r="C766" s="92" t="s">
        <v>700</v>
      </c>
      <c r="D766" s="92" t="str" cm="1">
        <f t="array" ref="D766">INDEX(기계코드!$D$4:$D$214,MATCH(1,(C766=기계코드!$F$4:$F$214)*1,0))</f>
        <v>M_TDIF04</v>
      </c>
      <c r="E766" s="92" t="s">
        <v>1128</v>
      </c>
      <c r="F766" s="7" t="str" cm="1">
        <f t="array" ref="F766">INDEX(공급업체코드!$B$3:$B$1000,MATCH(1,(E766=공급업체코드!$D$3:$D$1000)*1,0))</f>
        <v>VM_BKT</v>
      </c>
      <c r="G766" s="18" t="s">
        <v>1881</v>
      </c>
      <c r="H766" s="64"/>
      <c r="I766" s="64"/>
      <c r="J766" s="64"/>
      <c r="K766" s="300">
        <v>1.1000000000000001</v>
      </c>
      <c r="L766" s="300">
        <v>1.3</v>
      </c>
      <c r="M766" s="64">
        <v>723</v>
      </c>
      <c r="N766" s="64"/>
      <c r="O766" s="64"/>
      <c r="P766" s="64"/>
      <c r="Q766" s="64"/>
      <c r="R766" s="70"/>
      <c r="T766" s="64"/>
      <c r="X766">
        <v>0.123</v>
      </c>
      <c r="Y766" s="258" t="s">
        <v>1313</v>
      </c>
      <c r="AA766" s="259" t="s">
        <v>1314</v>
      </c>
      <c r="AB766" s="20" t="s">
        <v>1061</v>
      </c>
      <c r="AC766">
        <f t="shared" si="23"/>
        <v>3615000000</v>
      </c>
      <c r="AE766" s="18" t="s">
        <v>1315</v>
      </c>
      <c r="AF766" s="1" t="b">
        <v>1</v>
      </c>
    </row>
    <row r="767" spans="2:32" ht="16.5" customHeight="1">
      <c r="B767" s="1" t="str">
        <f t="shared" si="22"/>
        <v>M_TDIF04_VM_BKT_1.3_724</v>
      </c>
      <c r="C767" s="92" t="s">
        <v>700</v>
      </c>
      <c r="D767" s="92" t="str" cm="1">
        <f t="array" ref="D767">INDEX(기계코드!$D$4:$D$214,MATCH(1,(C767=기계코드!$F$4:$F$214)*1,0))</f>
        <v>M_TDIF04</v>
      </c>
      <c r="E767" s="92" t="s">
        <v>1128</v>
      </c>
      <c r="F767" s="7" t="str" cm="1">
        <f t="array" ref="F767">INDEX(공급업체코드!$B$3:$B$1000,MATCH(1,(E767=공급업체코드!$D$3:$D$1000)*1,0))</f>
        <v>VM_BKT</v>
      </c>
      <c r="G767" s="18" t="s">
        <v>1881</v>
      </c>
      <c r="H767" s="64"/>
      <c r="I767" s="64"/>
      <c r="J767" s="64"/>
      <c r="K767" s="300">
        <v>1.1000000000000001</v>
      </c>
      <c r="L767" s="300">
        <v>1.3</v>
      </c>
      <c r="M767" s="64">
        <v>724</v>
      </c>
      <c r="N767" s="64"/>
      <c r="O767" s="64"/>
      <c r="P767" s="64"/>
      <c r="Q767" s="64"/>
      <c r="R767" s="70"/>
      <c r="T767" s="64"/>
      <c r="X767">
        <v>0.123</v>
      </c>
      <c r="Y767" s="258" t="s">
        <v>1313</v>
      </c>
      <c r="AA767" s="259" t="s">
        <v>1314</v>
      </c>
      <c r="AB767" s="20" t="s">
        <v>1061</v>
      </c>
      <c r="AC767">
        <f t="shared" si="23"/>
        <v>3620000000</v>
      </c>
      <c r="AE767" s="18" t="s">
        <v>1315</v>
      </c>
      <c r="AF767" s="1" t="b">
        <v>1</v>
      </c>
    </row>
    <row r="768" spans="2:32" ht="16.5" customHeight="1">
      <c r="B768" s="1" t="str">
        <f t="shared" si="22"/>
        <v>M_TDIF04_VM_BKT_1.3_725</v>
      </c>
      <c r="C768" s="92" t="s">
        <v>700</v>
      </c>
      <c r="D768" s="92" t="str" cm="1">
        <f t="array" ref="D768">INDEX(기계코드!$D$4:$D$214,MATCH(1,(C768=기계코드!$F$4:$F$214)*1,0))</f>
        <v>M_TDIF04</v>
      </c>
      <c r="E768" s="92" t="s">
        <v>1128</v>
      </c>
      <c r="F768" s="7" t="str" cm="1">
        <f t="array" ref="F768">INDEX(공급업체코드!$B$3:$B$1000,MATCH(1,(E768=공급업체코드!$D$3:$D$1000)*1,0))</f>
        <v>VM_BKT</v>
      </c>
      <c r="G768" s="18" t="s">
        <v>1881</v>
      </c>
      <c r="H768" s="64"/>
      <c r="I768" s="64"/>
      <c r="J768" s="64"/>
      <c r="K768" s="300">
        <v>1.1000000000000001</v>
      </c>
      <c r="L768" s="300">
        <v>1.3</v>
      </c>
      <c r="M768" s="64">
        <v>725</v>
      </c>
      <c r="N768" s="64"/>
      <c r="O768" s="64"/>
      <c r="P768" s="64"/>
      <c r="Q768" s="64"/>
      <c r="R768" s="70"/>
      <c r="T768" s="64"/>
      <c r="X768">
        <v>0.123</v>
      </c>
      <c r="Y768" s="258" t="s">
        <v>1313</v>
      </c>
      <c r="AA768" s="259" t="s">
        <v>1314</v>
      </c>
      <c r="AB768" s="20" t="s">
        <v>1061</v>
      </c>
      <c r="AC768">
        <f t="shared" si="23"/>
        <v>3625000000</v>
      </c>
      <c r="AE768" s="18" t="s">
        <v>1315</v>
      </c>
      <c r="AF768" s="1" t="b">
        <v>1</v>
      </c>
    </row>
    <row r="769" spans="2:32" ht="16.5" customHeight="1">
      <c r="B769" s="1" t="str">
        <f t="shared" si="22"/>
        <v>M_TDIF04_VM_BKT_1.3_726</v>
      </c>
      <c r="C769" s="92" t="s">
        <v>700</v>
      </c>
      <c r="D769" s="92" t="str" cm="1">
        <f t="array" ref="D769">INDEX(기계코드!$D$4:$D$214,MATCH(1,(C769=기계코드!$F$4:$F$214)*1,0))</f>
        <v>M_TDIF04</v>
      </c>
      <c r="E769" s="92" t="s">
        <v>1128</v>
      </c>
      <c r="F769" s="7" t="str" cm="1">
        <f t="array" ref="F769">INDEX(공급업체코드!$B$3:$B$1000,MATCH(1,(E769=공급업체코드!$D$3:$D$1000)*1,0))</f>
        <v>VM_BKT</v>
      </c>
      <c r="G769" s="18" t="s">
        <v>1881</v>
      </c>
      <c r="H769" s="64"/>
      <c r="I769" s="64"/>
      <c r="J769" s="64"/>
      <c r="K769" s="300">
        <v>1.1000000000000001</v>
      </c>
      <c r="L769" s="300">
        <v>1.3</v>
      </c>
      <c r="M769" s="64">
        <v>726</v>
      </c>
      <c r="N769" s="64"/>
      <c r="O769" s="64"/>
      <c r="P769" s="64"/>
      <c r="Q769" s="64"/>
      <c r="R769" s="70"/>
      <c r="T769" s="64"/>
      <c r="X769">
        <v>0.123</v>
      </c>
      <c r="Y769" s="258" t="s">
        <v>1313</v>
      </c>
      <c r="AA769" s="259" t="s">
        <v>1314</v>
      </c>
      <c r="AB769" s="20" t="s">
        <v>1061</v>
      </c>
      <c r="AC769">
        <f t="shared" si="23"/>
        <v>3630000000</v>
      </c>
      <c r="AE769" s="18" t="s">
        <v>1315</v>
      </c>
      <c r="AF769" s="1" t="b">
        <v>1</v>
      </c>
    </row>
    <row r="770" spans="2:32" ht="16.5" customHeight="1">
      <c r="B770" s="1" t="str">
        <f t="shared" si="22"/>
        <v>M_TDIF04_VM_BKT_1.3_727</v>
      </c>
      <c r="C770" s="92" t="s">
        <v>700</v>
      </c>
      <c r="D770" s="92" t="str" cm="1">
        <f t="array" ref="D770">INDEX(기계코드!$D$4:$D$214,MATCH(1,(C770=기계코드!$F$4:$F$214)*1,0))</f>
        <v>M_TDIF04</v>
      </c>
      <c r="E770" s="92" t="s">
        <v>1128</v>
      </c>
      <c r="F770" s="7" t="str" cm="1">
        <f t="array" ref="F770">INDEX(공급업체코드!$B$3:$B$1000,MATCH(1,(E770=공급업체코드!$D$3:$D$1000)*1,0))</f>
        <v>VM_BKT</v>
      </c>
      <c r="G770" s="18" t="s">
        <v>1881</v>
      </c>
      <c r="H770" s="64"/>
      <c r="I770" s="64"/>
      <c r="J770" s="64"/>
      <c r="K770" s="300">
        <v>1.1000000000000001</v>
      </c>
      <c r="L770" s="300">
        <v>1.3</v>
      </c>
      <c r="M770" s="64">
        <v>727</v>
      </c>
      <c r="N770" s="64"/>
      <c r="O770" s="64"/>
      <c r="P770" s="64"/>
      <c r="Q770" s="64"/>
      <c r="R770" s="70"/>
      <c r="T770" s="64"/>
      <c r="X770">
        <v>0.123</v>
      </c>
      <c r="Y770" s="258" t="s">
        <v>1313</v>
      </c>
      <c r="AA770" s="259" t="s">
        <v>1314</v>
      </c>
      <c r="AB770" s="20" t="s">
        <v>1061</v>
      </c>
      <c r="AC770">
        <f t="shared" si="23"/>
        <v>3635000000</v>
      </c>
      <c r="AE770" s="18" t="s">
        <v>1315</v>
      </c>
      <c r="AF770" s="1" t="b">
        <v>1</v>
      </c>
    </row>
    <row r="771" spans="2:32" ht="16.5" customHeight="1">
      <c r="B771" s="1" t="str">
        <f t="shared" si="22"/>
        <v>M_TDIF04_VM_BKT_1.3_728</v>
      </c>
      <c r="C771" s="92" t="s">
        <v>700</v>
      </c>
      <c r="D771" s="92" t="str" cm="1">
        <f t="array" ref="D771">INDEX(기계코드!$D$4:$D$214,MATCH(1,(C771=기계코드!$F$4:$F$214)*1,0))</f>
        <v>M_TDIF04</v>
      </c>
      <c r="E771" s="92" t="s">
        <v>1128</v>
      </c>
      <c r="F771" s="7" t="str" cm="1">
        <f t="array" ref="F771">INDEX(공급업체코드!$B$3:$B$1000,MATCH(1,(E771=공급업체코드!$D$3:$D$1000)*1,0))</f>
        <v>VM_BKT</v>
      </c>
      <c r="G771" s="18" t="s">
        <v>1881</v>
      </c>
      <c r="H771" s="64"/>
      <c r="I771" s="64"/>
      <c r="J771" s="64"/>
      <c r="K771" s="300">
        <v>1.1000000000000001</v>
      </c>
      <c r="L771" s="300">
        <v>1.3</v>
      </c>
      <c r="M771" s="64">
        <v>728</v>
      </c>
      <c r="N771" s="64"/>
      <c r="O771" s="64"/>
      <c r="P771" s="64"/>
      <c r="Q771" s="64"/>
      <c r="R771" s="70"/>
      <c r="T771" s="64"/>
      <c r="X771">
        <v>0.123</v>
      </c>
      <c r="Y771" s="258" t="s">
        <v>1313</v>
      </c>
      <c r="AA771" s="259" t="s">
        <v>1314</v>
      </c>
      <c r="AB771" s="20" t="s">
        <v>1061</v>
      </c>
      <c r="AC771">
        <f t="shared" si="23"/>
        <v>3640000000</v>
      </c>
      <c r="AE771" s="18" t="s">
        <v>1315</v>
      </c>
      <c r="AF771" s="1" t="b">
        <v>1</v>
      </c>
    </row>
    <row r="772" spans="2:32" ht="16.5" customHeight="1">
      <c r="B772" s="1" t="str">
        <f t="shared" si="22"/>
        <v>M_TDIF04_VM_BKT_1.3_729</v>
      </c>
      <c r="C772" s="92" t="s">
        <v>700</v>
      </c>
      <c r="D772" s="92" t="str" cm="1">
        <f t="array" ref="D772">INDEX(기계코드!$D$4:$D$214,MATCH(1,(C772=기계코드!$F$4:$F$214)*1,0))</f>
        <v>M_TDIF04</v>
      </c>
      <c r="E772" s="92" t="s">
        <v>1128</v>
      </c>
      <c r="F772" s="7" t="str" cm="1">
        <f t="array" ref="F772">INDEX(공급업체코드!$B$3:$B$1000,MATCH(1,(E772=공급업체코드!$D$3:$D$1000)*1,0))</f>
        <v>VM_BKT</v>
      </c>
      <c r="G772" s="18" t="s">
        <v>1881</v>
      </c>
      <c r="H772" s="64"/>
      <c r="I772" s="64"/>
      <c r="J772" s="64"/>
      <c r="K772" s="300">
        <v>1.1000000000000001</v>
      </c>
      <c r="L772" s="300">
        <v>1.3</v>
      </c>
      <c r="M772" s="64">
        <v>729</v>
      </c>
      <c r="N772" s="64"/>
      <c r="O772" s="64"/>
      <c r="P772" s="64"/>
      <c r="Q772" s="64"/>
      <c r="R772" s="70"/>
      <c r="T772" s="64"/>
      <c r="X772">
        <v>0.123</v>
      </c>
      <c r="Y772" s="258" t="s">
        <v>1313</v>
      </c>
      <c r="AA772" s="259" t="s">
        <v>1314</v>
      </c>
      <c r="AB772" s="20" t="s">
        <v>1061</v>
      </c>
      <c r="AC772">
        <f t="shared" si="23"/>
        <v>3645000000</v>
      </c>
      <c r="AE772" s="18" t="s">
        <v>1315</v>
      </c>
      <c r="AF772" s="1" t="b">
        <v>1</v>
      </c>
    </row>
    <row r="773" spans="2:32" ht="16.5" customHeight="1">
      <c r="B773" s="1" t="str">
        <f t="shared" si="22"/>
        <v>M_TDIF04_VM_BKT_1.3_730</v>
      </c>
      <c r="C773" s="92" t="s">
        <v>700</v>
      </c>
      <c r="D773" s="92" t="str" cm="1">
        <f t="array" ref="D773">INDEX(기계코드!$D$4:$D$214,MATCH(1,(C773=기계코드!$F$4:$F$214)*1,0))</f>
        <v>M_TDIF04</v>
      </c>
      <c r="E773" s="92" t="s">
        <v>1128</v>
      </c>
      <c r="F773" s="7" t="str" cm="1">
        <f t="array" ref="F773">INDEX(공급업체코드!$B$3:$B$1000,MATCH(1,(E773=공급업체코드!$D$3:$D$1000)*1,0))</f>
        <v>VM_BKT</v>
      </c>
      <c r="G773" s="18" t="s">
        <v>1881</v>
      </c>
      <c r="H773" s="64"/>
      <c r="I773" s="64"/>
      <c r="J773" s="64"/>
      <c r="K773" s="300">
        <v>1.1000000000000001</v>
      </c>
      <c r="L773" s="300">
        <v>1.3</v>
      </c>
      <c r="M773" s="64">
        <v>730</v>
      </c>
      <c r="N773" s="64"/>
      <c r="O773" s="64"/>
      <c r="P773" s="64"/>
      <c r="Q773" s="64"/>
      <c r="R773" s="70"/>
      <c r="T773" s="64"/>
      <c r="X773">
        <v>0.123</v>
      </c>
      <c r="Y773" s="258" t="s">
        <v>1313</v>
      </c>
      <c r="AA773" s="259" t="s">
        <v>1314</v>
      </c>
      <c r="AB773" s="20" t="s">
        <v>1061</v>
      </c>
      <c r="AC773">
        <f t="shared" si="23"/>
        <v>3650000000</v>
      </c>
      <c r="AE773" s="18" t="s">
        <v>1315</v>
      </c>
      <c r="AF773" s="1" t="b">
        <v>1</v>
      </c>
    </row>
    <row r="774" spans="2:32" ht="16.5" customHeight="1">
      <c r="B774" s="1" t="str">
        <f t="shared" si="22"/>
        <v>M_TDIF04_VM_BKT_1.3_731</v>
      </c>
      <c r="C774" s="92" t="s">
        <v>700</v>
      </c>
      <c r="D774" s="92" t="str" cm="1">
        <f t="array" ref="D774">INDEX(기계코드!$D$4:$D$214,MATCH(1,(C774=기계코드!$F$4:$F$214)*1,0))</f>
        <v>M_TDIF04</v>
      </c>
      <c r="E774" s="92" t="s">
        <v>1128</v>
      </c>
      <c r="F774" s="7" t="str" cm="1">
        <f t="array" ref="F774">INDEX(공급업체코드!$B$3:$B$1000,MATCH(1,(E774=공급업체코드!$D$3:$D$1000)*1,0))</f>
        <v>VM_BKT</v>
      </c>
      <c r="G774" s="18" t="s">
        <v>1881</v>
      </c>
      <c r="H774" s="64"/>
      <c r="I774" s="64"/>
      <c r="J774" s="64"/>
      <c r="K774" s="300">
        <v>1.1000000000000001</v>
      </c>
      <c r="L774" s="300">
        <v>1.3</v>
      </c>
      <c r="M774" s="64">
        <v>731</v>
      </c>
      <c r="N774" s="64"/>
      <c r="O774" s="64"/>
      <c r="P774" s="64"/>
      <c r="Q774" s="64"/>
      <c r="R774" s="70"/>
      <c r="T774" s="64"/>
      <c r="X774">
        <v>0.123</v>
      </c>
      <c r="Y774" s="258" t="s">
        <v>1313</v>
      </c>
      <c r="AA774" s="259" t="s">
        <v>1314</v>
      </c>
      <c r="AB774" s="20" t="s">
        <v>1061</v>
      </c>
      <c r="AC774">
        <f t="shared" si="23"/>
        <v>3655000000</v>
      </c>
      <c r="AE774" s="18" t="s">
        <v>1315</v>
      </c>
      <c r="AF774" s="1" t="b">
        <v>1</v>
      </c>
    </row>
    <row r="775" spans="2:32" ht="16.5" customHeight="1">
      <c r="B775" s="1" t="str">
        <f t="shared" si="22"/>
        <v>M_TDIF04_VM_BKT_1.3_732</v>
      </c>
      <c r="C775" s="92" t="s">
        <v>700</v>
      </c>
      <c r="D775" s="92" t="str" cm="1">
        <f t="array" ref="D775">INDEX(기계코드!$D$4:$D$214,MATCH(1,(C775=기계코드!$F$4:$F$214)*1,0))</f>
        <v>M_TDIF04</v>
      </c>
      <c r="E775" s="92" t="s">
        <v>1128</v>
      </c>
      <c r="F775" s="7" t="str" cm="1">
        <f t="array" ref="F775">INDEX(공급업체코드!$B$3:$B$1000,MATCH(1,(E775=공급업체코드!$D$3:$D$1000)*1,0))</f>
        <v>VM_BKT</v>
      </c>
      <c r="G775" s="18" t="s">
        <v>1881</v>
      </c>
      <c r="H775" s="64"/>
      <c r="I775" s="64"/>
      <c r="J775" s="64"/>
      <c r="K775" s="300">
        <v>1.1000000000000001</v>
      </c>
      <c r="L775" s="300">
        <v>1.3</v>
      </c>
      <c r="M775" s="64">
        <v>732</v>
      </c>
      <c r="N775" s="64"/>
      <c r="O775" s="64"/>
      <c r="P775" s="64"/>
      <c r="Q775" s="64"/>
      <c r="R775" s="70"/>
      <c r="T775" s="64"/>
      <c r="X775">
        <v>0.123</v>
      </c>
      <c r="Y775" s="258" t="s">
        <v>1313</v>
      </c>
      <c r="AA775" s="259" t="s">
        <v>1314</v>
      </c>
      <c r="AB775" s="20" t="s">
        <v>1061</v>
      </c>
      <c r="AC775">
        <f t="shared" si="23"/>
        <v>3660000000</v>
      </c>
      <c r="AE775" s="18" t="s">
        <v>1315</v>
      </c>
      <c r="AF775" s="1" t="b">
        <v>1</v>
      </c>
    </row>
    <row r="776" spans="2:32" ht="16.5" customHeight="1">
      <c r="B776" s="1" t="str">
        <f t="shared" si="22"/>
        <v>M_TDIF04_VM_BKT_1.3_733</v>
      </c>
      <c r="C776" s="92" t="s">
        <v>700</v>
      </c>
      <c r="D776" s="92" t="str" cm="1">
        <f t="array" ref="D776">INDEX(기계코드!$D$4:$D$214,MATCH(1,(C776=기계코드!$F$4:$F$214)*1,0))</f>
        <v>M_TDIF04</v>
      </c>
      <c r="E776" s="92" t="s">
        <v>1128</v>
      </c>
      <c r="F776" s="7" t="str" cm="1">
        <f t="array" ref="F776">INDEX(공급업체코드!$B$3:$B$1000,MATCH(1,(E776=공급업체코드!$D$3:$D$1000)*1,0))</f>
        <v>VM_BKT</v>
      </c>
      <c r="G776" s="18" t="s">
        <v>1881</v>
      </c>
      <c r="H776" s="64"/>
      <c r="I776" s="64"/>
      <c r="J776" s="64"/>
      <c r="K776" s="300">
        <v>1.1000000000000001</v>
      </c>
      <c r="L776" s="300">
        <v>1.3</v>
      </c>
      <c r="M776" s="64">
        <v>733</v>
      </c>
      <c r="N776" s="64"/>
      <c r="O776" s="64"/>
      <c r="P776" s="64"/>
      <c r="Q776" s="64"/>
      <c r="R776" s="70"/>
      <c r="T776" s="64"/>
      <c r="X776">
        <v>0.123</v>
      </c>
      <c r="Y776" s="258" t="s">
        <v>1313</v>
      </c>
      <c r="AA776" s="259" t="s">
        <v>1314</v>
      </c>
      <c r="AB776" s="20" t="s">
        <v>1061</v>
      </c>
      <c r="AC776">
        <f t="shared" si="23"/>
        <v>3665000000</v>
      </c>
      <c r="AE776" s="18" t="s">
        <v>1315</v>
      </c>
      <c r="AF776" s="1" t="b">
        <v>1</v>
      </c>
    </row>
    <row r="777" spans="2:32" ht="16.5" customHeight="1">
      <c r="B777" s="1" t="str">
        <f t="shared" si="22"/>
        <v>M_TDIF04_VM_BKT_1.3_734</v>
      </c>
      <c r="C777" s="92" t="s">
        <v>700</v>
      </c>
      <c r="D777" s="92" t="str" cm="1">
        <f t="array" ref="D777">INDEX(기계코드!$D$4:$D$214,MATCH(1,(C777=기계코드!$F$4:$F$214)*1,0))</f>
        <v>M_TDIF04</v>
      </c>
      <c r="E777" s="92" t="s">
        <v>1128</v>
      </c>
      <c r="F777" s="7" t="str" cm="1">
        <f t="array" ref="F777">INDEX(공급업체코드!$B$3:$B$1000,MATCH(1,(E777=공급업체코드!$D$3:$D$1000)*1,0))</f>
        <v>VM_BKT</v>
      </c>
      <c r="G777" s="18" t="s">
        <v>1881</v>
      </c>
      <c r="H777" s="64"/>
      <c r="I777" s="64"/>
      <c r="J777" s="64"/>
      <c r="K777" s="300">
        <v>1.1000000000000001</v>
      </c>
      <c r="L777" s="300">
        <v>1.3</v>
      </c>
      <c r="M777" s="64">
        <v>734</v>
      </c>
      <c r="N777" s="64"/>
      <c r="O777" s="64"/>
      <c r="P777" s="64"/>
      <c r="Q777" s="64"/>
      <c r="R777" s="70"/>
      <c r="T777" s="64"/>
      <c r="X777">
        <v>0.123</v>
      </c>
      <c r="Y777" s="258" t="s">
        <v>1313</v>
      </c>
      <c r="AA777" s="259" t="s">
        <v>1314</v>
      </c>
      <c r="AB777" s="20" t="s">
        <v>1061</v>
      </c>
      <c r="AC777">
        <f t="shared" si="23"/>
        <v>3670000000</v>
      </c>
      <c r="AE777" s="18" t="s">
        <v>1315</v>
      </c>
      <c r="AF777" s="1" t="b">
        <v>1</v>
      </c>
    </row>
    <row r="778" spans="2:32" ht="16.5" customHeight="1">
      <c r="B778" s="1" t="str">
        <f t="shared" si="22"/>
        <v>M_TDIF04_VM_BKT_1.3_735</v>
      </c>
      <c r="C778" s="92" t="s">
        <v>700</v>
      </c>
      <c r="D778" s="92" t="str" cm="1">
        <f t="array" ref="D778">INDEX(기계코드!$D$4:$D$214,MATCH(1,(C778=기계코드!$F$4:$F$214)*1,0))</f>
        <v>M_TDIF04</v>
      </c>
      <c r="E778" s="92" t="s">
        <v>1128</v>
      </c>
      <c r="F778" s="7" t="str" cm="1">
        <f t="array" ref="F778">INDEX(공급업체코드!$B$3:$B$1000,MATCH(1,(E778=공급업체코드!$D$3:$D$1000)*1,0))</f>
        <v>VM_BKT</v>
      </c>
      <c r="G778" s="18" t="s">
        <v>1881</v>
      </c>
      <c r="H778" s="64"/>
      <c r="I778" s="64"/>
      <c r="J778" s="64"/>
      <c r="K778" s="300">
        <v>1.1000000000000001</v>
      </c>
      <c r="L778" s="300">
        <v>1.3</v>
      </c>
      <c r="M778" s="64">
        <v>735</v>
      </c>
      <c r="N778" s="64"/>
      <c r="O778" s="64"/>
      <c r="P778" s="64"/>
      <c r="Q778" s="64"/>
      <c r="R778" s="70"/>
      <c r="T778" s="64"/>
      <c r="X778">
        <v>0.123</v>
      </c>
      <c r="Y778" s="258" t="s">
        <v>1313</v>
      </c>
      <c r="AA778" s="259" t="s">
        <v>1314</v>
      </c>
      <c r="AB778" s="20" t="s">
        <v>1061</v>
      </c>
      <c r="AC778">
        <f t="shared" si="23"/>
        <v>3675000000</v>
      </c>
      <c r="AE778" s="18" t="s">
        <v>1315</v>
      </c>
      <c r="AF778" s="1" t="b">
        <v>1</v>
      </c>
    </row>
    <row r="779" spans="2:32" ht="16.5" customHeight="1">
      <c r="B779" s="1" t="str">
        <f t="shared" si="22"/>
        <v>M_TDIF04_VM_BKT_1.3_736</v>
      </c>
      <c r="C779" s="92" t="s">
        <v>700</v>
      </c>
      <c r="D779" s="92" t="str" cm="1">
        <f t="array" ref="D779">INDEX(기계코드!$D$4:$D$214,MATCH(1,(C779=기계코드!$F$4:$F$214)*1,0))</f>
        <v>M_TDIF04</v>
      </c>
      <c r="E779" s="92" t="s">
        <v>1128</v>
      </c>
      <c r="F779" s="7" t="str" cm="1">
        <f t="array" ref="F779">INDEX(공급업체코드!$B$3:$B$1000,MATCH(1,(E779=공급업체코드!$D$3:$D$1000)*1,0))</f>
        <v>VM_BKT</v>
      </c>
      <c r="G779" s="18" t="s">
        <v>1881</v>
      </c>
      <c r="H779" s="64"/>
      <c r="I779" s="64"/>
      <c r="J779" s="64"/>
      <c r="K779" s="300">
        <v>1.1000000000000001</v>
      </c>
      <c r="L779" s="300">
        <v>1.3</v>
      </c>
      <c r="M779" s="64">
        <v>736</v>
      </c>
      <c r="N779" s="64"/>
      <c r="O779" s="64"/>
      <c r="P779" s="64"/>
      <c r="Q779" s="64"/>
      <c r="R779" s="70"/>
      <c r="T779" s="64"/>
      <c r="X779">
        <v>0.123</v>
      </c>
      <c r="Y779" s="258" t="s">
        <v>1313</v>
      </c>
      <c r="AA779" s="259" t="s">
        <v>1314</v>
      </c>
      <c r="AB779" s="20" t="s">
        <v>1061</v>
      </c>
      <c r="AC779">
        <f t="shared" si="23"/>
        <v>3680000000</v>
      </c>
      <c r="AE779" s="18" t="s">
        <v>1315</v>
      </c>
      <c r="AF779" s="1" t="b">
        <v>1</v>
      </c>
    </row>
    <row r="780" spans="2:32" ht="16.5" customHeight="1">
      <c r="B780" s="1" t="str">
        <f t="shared" si="22"/>
        <v>M_TDIF04_VM_BKT_1.3_737</v>
      </c>
      <c r="C780" s="92" t="s">
        <v>700</v>
      </c>
      <c r="D780" s="92" t="str" cm="1">
        <f t="array" ref="D780">INDEX(기계코드!$D$4:$D$214,MATCH(1,(C780=기계코드!$F$4:$F$214)*1,0))</f>
        <v>M_TDIF04</v>
      </c>
      <c r="E780" s="92" t="s">
        <v>1128</v>
      </c>
      <c r="F780" s="7" t="str" cm="1">
        <f t="array" ref="F780">INDEX(공급업체코드!$B$3:$B$1000,MATCH(1,(E780=공급업체코드!$D$3:$D$1000)*1,0))</f>
        <v>VM_BKT</v>
      </c>
      <c r="G780" s="18" t="s">
        <v>1881</v>
      </c>
      <c r="H780" s="64"/>
      <c r="I780" s="64"/>
      <c r="J780" s="64"/>
      <c r="K780" s="300">
        <v>1.1000000000000001</v>
      </c>
      <c r="L780" s="300">
        <v>1.3</v>
      </c>
      <c r="M780" s="64">
        <v>737</v>
      </c>
      <c r="N780" s="64"/>
      <c r="O780" s="64"/>
      <c r="P780" s="64"/>
      <c r="Q780" s="64"/>
      <c r="R780" s="70"/>
      <c r="T780" s="64"/>
      <c r="X780">
        <v>0.123</v>
      </c>
      <c r="Y780" s="258" t="s">
        <v>1313</v>
      </c>
      <c r="AA780" s="259" t="s">
        <v>1314</v>
      </c>
      <c r="AB780" s="20" t="s">
        <v>1061</v>
      </c>
      <c r="AC780">
        <f t="shared" si="23"/>
        <v>3685000000</v>
      </c>
      <c r="AE780" s="18" t="s">
        <v>1315</v>
      </c>
      <c r="AF780" s="1" t="b">
        <v>1</v>
      </c>
    </row>
    <row r="781" spans="2:32" ht="16.5" customHeight="1">
      <c r="B781" s="1" t="str">
        <f t="shared" si="22"/>
        <v>M_TDIF04_VM_BKT_1.3_738</v>
      </c>
      <c r="C781" s="92" t="s">
        <v>700</v>
      </c>
      <c r="D781" s="92" t="str" cm="1">
        <f t="array" ref="D781">INDEX(기계코드!$D$4:$D$214,MATCH(1,(C781=기계코드!$F$4:$F$214)*1,0))</f>
        <v>M_TDIF04</v>
      </c>
      <c r="E781" s="92" t="s">
        <v>1128</v>
      </c>
      <c r="F781" s="7" t="str" cm="1">
        <f t="array" ref="F781">INDEX(공급업체코드!$B$3:$B$1000,MATCH(1,(E781=공급업체코드!$D$3:$D$1000)*1,0))</f>
        <v>VM_BKT</v>
      </c>
      <c r="G781" s="18" t="s">
        <v>1881</v>
      </c>
      <c r="H781" s="64"/>
      <c r="I781" s="64"/>
      <c r="J781" s="64"/>
      <c r="K781" s="300">
        <v>1.1000000000000001</v>
      </c>
      <c r="L781" s="300">
        <v>1.3</v>
      </c>
      <c r="M781" s="64">
        <v>738</v>
      </c>
      <c r="N781" s="64"/>
      <c r="O781" s="64"/>
      <c r="P781" s="64"/>
      <c r="Q781" s="64"/>
      <c r="R781" s="70"/>
      <c r="T781" s="64"/>
      <c r="X781">
        <v>0.123</v>
      </c>
      <c r="Y781" s="258" t="s">
        <v>1313</v>
      </c>
      <c r="AA781" s="259" t="s">
        <v>1314</v>
      </c>
      <c r="AB781" s="20" t="s">
        <v>1061</v>
      </c>
      <c r="AC781">
        <f t="shared" si="23"/>
        <v>3690000000</v>
      </c>
      <c r="AE781" s="18" t="s">
        <v>1315</v>
      </c>
      <c r="AF781" s="1" t="b">
        <v>1</v>
      </c>
    </row>
    <row r="782" spans="2:32" ht="16.5" customHeight="1">
      <c r="B782" s="1" t="str">
        <f t="shared" si="22"/>
        <v>M_TDIF04_VM_BKT_1.3_739</v>
      </c>
      <c r="C782" s="92" t="s">
        <v>700</v>
      </c>
      <c r="D782" s="92" t="str" cm="1">
        <f t="array" ref="D782">INDEX(기계코드!$D$4:$D$214,MATCH(1,(C782=기계코드!$F$4:$F$214)*1,0))</f>
        <v>M_TDIF04</v>
      </c>
      <c r="E782" s="92" t="s">
        <v>1128</v>
      </c>
      <c r="F782" s="7" t="str" cm="1">
        <f t="array" ref="F782">INDEX(공급업체코드!$B$3:$B$1000,MATCH(1,(E782=공급업체코드!$D$3:$D$1000)*1,0))</f>
        <v>VM_BKT</v>
      </c>
      <c r="G782" s="18" t="s">
        <v>1881</v>
      </c>
      <c r="H782" s="64"/>
      <c r="I782" s="64"/>
      <c r="J782" s="64"/>
      <c r="K782" s="300">
        <v>1.1000000000000001</v>
      </c>
      <c r="L782" s="300">
        <v>1.3</v>
      </c>
      <c r="M782" s="64">
        <v>739</v>
      </c>
      <c r="N782" s="64"/>
      <c r="O782" s="64"/>
      <c r="P782" s="64"/>
      <c r="Q782" s="64"/>
      <c r="R782" s="70"/>
      <c r="T782" s="64"/>
      <c r="X782">
        <v>0.123</v>
      </c>
      <c r="Y782" s="258" t="s">
        <v>1313</v>
      </c>
      <c r="AA782" s="259" t="s">
        <v>1314</v>
      </c>
      <c r="AB782" s="20" t="s">
        <v>1061</v>
      </c>
      <c r="AC782">
        <f t="shared" si="23"/>
        <v>3695000000</v>
      </c>
      <c r="AE782" s="18" t="s">
        <v>1315</v>
      </c>
      <c r="AF782" s="1" t="b">
        <v>1</v>
      </c>
    </row>
    <row r="783" spans="2:32" ht="16.5" customHeight="1">
      <c r="B783" s="1" t="str">
        <f t="shared" si="22"/>
        <v>M_TDIF04_VM_BKT_1.3_740</v>
      </c>
      <c r="C783" s="92" t="s">
        <v>700</v>
      </c>
      <c r="D783" s="92" t="str" cm="1">
        <f t="array" ref="D783">INDEX(기계코드!$D$4:$D$214,MATCH(1,(C783=기계코드!$F$4:$F$214)*1,0))</f>
        <v>M_TDIF04</v>
      </c>
      <c r="E783" s="92" t="s">
        <v>1128</v>
      </c>
      <c r="F783" s="7" t="str" cm="1">
        <f t="array" ref="F783">INDEX(공급업체코드!$B$3:$B$1000,MATCH(1,(E783=공급업체코드!$D$3:$D$1000)*1,0))</f>
        <v>VM_BKT</v>
      </c>
      <c r="G783" s="18" t="s">
        <v>1881</v>
      </c>
      <c r="H783" s="64"/>
      <c r="I783" s="64"/>
      <c r="J783" s="64"/>
      <c r="K783" s="300">
        <v>1.1000000000000001</v>
      </c>
      <c r="L783" s="300">
        <v>1.3</v>
      </c>
      <c r="M783" s="64">
        <v>740</v>
      </c>
      <c r="N783" s="64"/>
      <c r="O783" s="64"/>
      <c r="P783" s="64"/>
      <c r="Q783" s="64"/>
      <c r="R783" s="70"/>
      <c r="T783" s="64"/>
      <c r="X783">
        <v>0.123</v>
      </c>
      <c r="Y783" s="258" t="s">
        <v>1313</v>
      </c>
      <c r="AA783" s="259" t="s">
        <v>1314</v>
      </c>
      <c r="AB783" s="20" t="s">
        <v>1061</v>
      </c>
      <c r="AC783">
        <f t="shared" si="23"/>
        <v>3700000000</v>
      </c>
      <c r="AE783" s="18" t="s">
        <v>1315</v>
      </c>
      <c r="AF783" s="1" t="b">
        <v>1</v>
      </c>
    </row>
    <row r="784" spans="2:32" ht="16.5" customHeight="1">
      <c r="B784" s="1" t="str">
        <f t="shared" si="22"/>
        <v>M_TDIF04_VM_BKT_1.3_741</v>
      </c>
      <c r="C784" s="92" t="s">
        <v>700</v>
      </c>
      <c r="D784" s="92" t="str" cm="1">
        <f t="array" ref="D784">INDEX(기계코드!$D$4:$D$214,MATCH(1,(C784=기계코드!$F$4:$F$214)*1,0))</f>
        <v>M_TDIF04</v>
      </c>
      <c r="E784" s="92" t="s">
        <v>1128</v>
      </c>
      <c r="F784" s="7" t="str" cm="1">
        <f t="array" ref="F784">INDEX(공급업체코드!$B$3:$B$1000,MATCH(1,(E784=공급업체코드!$D$3:$D$1000)*1,0))</f>
        <v>VM_BKT</v>
      </c>
      <c r="G784" s="18" t="s">
        <v>1881</v>
      </c>
      <c r="H784" s="64"/>
      <c r="I784" s="64"/>
      <c r="J784" s="64"/>
      <c r="K784" s="300">
        <v>1.1000000000000001</v>
      </c>
      <c r="L784" s="300">
        <v>1.3</v>
      </c>
      <c r="M784" s="64">
        <v>741</v>
      </c>
      <c r="N784" s="64"/>
      <c r="O784" s="64"/>
      <c r="P784" s="64"/>
      <c r="Q784" s="64"/>
      <c r="R784" s="70"/>
      <c r="T784" s="64"/>
      <c r="X784">
        <v>0.123</v>
      </c>
      <c r="Y784" s="258" t="s">
        <v>1313</v>
      </c>
      <c r="AA784" s="259" t="s">
        <v>1314</v>
      </c>
      <c r="AB784" s="20" t="s">
        <v>1061</v>
      </c>
      <c r="AC784">
        <f t="shared" si="23"/>
        <v>3705000000</v>
      </c>
      <c r="AE784" s="18" t="s">
        <v>1315</v>
      </c>
      <c r="AF784" s="1" t="b">
        <v>1</v>
      </c>
    </row>
    <row r="785" spans="2:32" ht="16.5" customHeight="1">
      <c r="B785" s="1" t="str">
        <f t="shared" si="22"/>
        <v>M_TDIF04_VM_BKT_1.3_742</v>
      </c>
      <c r="C785" s="92" t="s">
        <v>700</v>
      </c>
      <c r="D785" s="92" t="str" cm="1">
        <f t="array" ref="D785">INDEX(기계코드!$D$4:$D$214,MATCH(1,(C785=기계코드!$F$4:$F$214)*1,0))</f>
        <v>M_TDIF04</v>
      </c>
      <c r="E785" s="92" t="s">
        <v>1128</v>
      </c>
      <c r="F785" s="7" t="str" cm="1">
        <f t="array" ref="F785">INDEX(공급업체코드!$B$3:$B$1000,MATCH(1,(E785=공급업체코드!$D$3:$D$1000)*1,0))</f>
        <v>VM_BKT</v>
      </c>
      <c r="G785" s="18" t="s">
        <v>1881</v>
      </c>
      <c r="H785" s="64"/>
      <c r="I785" s="64"/>
      <c r="J785" s="64"/>
      <c r="K785" s="300">
        <v>1.1000000000000001</v>
      </c>
      <c r="L785" s="300">
        <v>1.3</v>
      </c>
      <c r="M785" s="64">
        <v>742</v>
      </c>
      <c r="N785" s="64"/>
      <c r="O785" s="64"/>
      <c r="P785" s="64"/>
      <c r="Q785" s="64"/>
      <c r="R785" s="70"/>
      <c r="T785" s="64"/>
      <c r="X785">
        <v>0.123</v>
      </c>
      <c r="Y785" s="258" t="s">
        <v>1313</v>
      </c>
      <c r="AA785" s="259" t="s">
        <v>1314</v>
      </c>
      <c r="AB785" s="20" t="s">
        <v>1061</v>
      </c>
      <c r="AC785">
        <f t="shared" si="23"/>
        <v>3710000000</v>
      </c>
      <c r="AE785" s="18" t="s">
        <v>1315</v>
      </c>
      <c r="AF785" s="1" t="b">
        <v>1</v>
      </c>
    </row>
    <row r="786" spans="2:32" ht="16.5" customHeight="1">
      <c r="B786" s="1" t="str">
        <f t="shared" si="22"/>
        <v>M_TDIF04_VM_BKT_1.3_743</v>
      </c>
      <c r="C786" s="92" t="s">
        <v>700</v>
      </c>
      <c r="D786" s="92" t="str" cm="1">
        <f t="array" ref="D786">INDEX(기계코드!$D$4:$D$214,MATCH(1,(C786=기계코드!$F$4:$F$214)*1,0))</f>
        <v>M_TDIF04</v>
      </c>
      <c r="E786" s="92" t="s">
        <v>1128</v>
      </c>
      <c r="F786" s="7" t="str" cm="1">
        <f t="array" ref="F786">INDEX(공급업체코드!$B$3:$B$1000,MATCH(1,(E786=공급업체코드!$D$3:$D$1000)*1,0))</f>
        <v>VM_BKT</v>
      </c>
      <c r="G786" s="18" t="s">
        <v>1881</v>
      </c>
      <c r="H786" s="64"/>
      <c r="I786" s="64"/>
      <c r="J786" s="64"/>
      <c r="K786" s="300">
        <v>1.1000000000000001</v>
      </c>
      <c r="L786" s="300">
        <v>1.3</v>
      </c>
      <c r="M786" s="64">
        <v>743</v>
      </c>
      <c r="N786" s="64"/>
      <c r="O786" s="64"/>
      <c r="P786" s="64"/>
      <c r="Q786" s="64"/>
      <c r="R786" s="70"/>
      <c r="T786" s="64"/>
      <c r="X786">
        <v>0.123</v>
      </c>
      <c r="Y786" s="258" t="s">
        <v>1313</v>
      </c>
      <c r="AA786" s="259" t="s">
        <v>1314</v>
      </c>
      <c r="AB786" s="20" t="s">
        <v>1061</v>
      </c>
      <c r="AC786">
        <f t="shared" si="23"/>
        <v>3715000000</v>
      </c>
      <c r="AE786" s="18" t="s">
        <v>1315</v>
      </c>
      <c r="AF786" s="1" t="b">
        <v>1</v>
      </c>
    </row>
    <row r="787" spans="2:32" ht="16.5" customHeight="1">
      <c r="B787" s="1" t="str">
        <f t="shared" si="22"/>
        <v>M_TDIF04_VM_BKT_1.3_744</v>
      </c>
      <c r="C787" s="92" t="s">
        <v>700</v>
      </c>
      <c r="D787" s="92" t="str" cm="1">
        <f t="array" ref="D787">INDEX(기계코드!$D$4:$D$214,MATCH(1,(C787=기계코드!$F$4:$F$214)*1,0))</f>
        <v>M_TDIF04</v>
      </c>
      <c r="E787" s="92" t="s">
        <v>1128</v>
      </c>
      <c r="F787" s="7" t="str" cm="1">
        <f t="array" ref="F787">INDEX(공급업체코드!$B$3:$B$1000,MATCH(1,(E787=공급업체코드!$D$3:$D$1000)*1,0))</f>
        <v>VM_BKT</v>
      </c>
      <c r="G787" s="18" t="s">
        <v>1881</v>
      </c>
      <c r="H787" s="64"/>
      <c r="I787" s="64"/>
      <c r="J787" s="64"/>
      <c r="K787" s="300">
        <v>1.1000000000000001</v>
      </c>
      <c r="L787" s="300">
        <v>1.3</v>
      </c>
      <c r="M787" s="64">
        <v>744</v>
      </c>
      <c r="N787" s="64"/>
      <c r="O787" s="64"/>
      <c r="P787" s="64"/>
      <c r="Q787" s="64"/>
      <c r="R787" s="70"/>
      <c r="T787" s="64"/>
      <c r="X787">
        <v>0.123</v>
      </c>
      <c r="Y787" s="258" t="s">
        <v>1313</v>
      </c>
      <c r="AA787" s="259" t="s">
        <v>1314</v>
      </c>
      <c r="AB787" s="20" t="s">
        <v>1061</v>
      </c>
      <c r="AC787">
        <f t="shared" si="23"/>
        <v>3720000000</v>
      </c>
      <c r="AE787" s="18" t="s">
        <v>1315</v>
      </c>
      <c r="AF787" s="1" t="b">
        <v>1</v>
      </c>
    </row>
    <row r="788" spans="2:32" ht="16.5" customHeight="1">
      <c r="B788" s="1" t="str">
        <f t="shared" si="22"/>
        <v>M_TDIF04_VM_BKT_1.3_745</v>
      </c>
      <c r="C788" s="92" t="s">
        <v>700</v>
      </c>
      <c r="D788" s="92" t="str" cm="1">
        <f t="array" ref="D788">INDEX(기계코드!$D$4:$D$214,MATCH(1,(C788=기계코드!$F$4:$F$214)*1,0))</f>
        <v>M_TDIF04</v>
      </c>
      <c r="E788" s="92" t="s">
        <v>1128</v>
      </c>
      <c r="F788" s="7" t="str" cm="1">
        <f t="array" ref="F788">INDEX(공급업체코드!$B$3:$B$1000,MATCH(1,(E788=공급업체코드!$D$3:$D$1000)*1,0))</f>
        <v>VM_BKT</v>
      </c>
      <c r="G788" s="18" t="s">
        <v>1881</v>
      </c>
      <c r="H788" s="64"/>
      <c r="I788" s="64"/>
      <c r="J788" s="64"/>
      <c r="K788" s="300">
        <v>1.1000000000000001</v>
      </c>
      <c r="L788" s="300">
        <v>1.3</v>
      </c>
      <c r="M788" s="64">
        <v>745</v>
      </c>
      <c r="N788" s="64"/>
      <c r="O788" s="64"/>
      <c r="P788" s="64"/>
      <c r="Q788" s="64"/>
      <c r="R788" s="70"/>
      <c r="T788" s="64"/>
      <c r="X788">
        <v>0.123</v>
      </c>
      <c r="Y788" s="258" t="s">
        <v>1313</v>
      </c>
      <c r="AA788" s="259" t="s">
        <v>1314</v>
      </c>
      <c r="AB788" s="20" t="s">
        <v>1061</v>
      </c>
      <c r="AC788">
        <f t="shared" si="23"/>
        <v>3725000000</v>
      </c>
      <c r="AE788" s="18" t="s">
        <v>1315</v>
      </c>
      <c r="AF788" s="1" t="b">
        <v>1</v>
      </c>
    </row>
    <row r="789" spans="2:32" ht="16.5" customHeight="1">
      <c r="B789" s="1" t="str">
        <f t="shared" si="22"/>
        <v>M_TDIF04_VM_BKT_1.3_746</v>
      </c>
      <c r="C789" s="92" t="s">
        <v>700</v>
      </c>
      <c r="D789" s="92" t="str" cm="1">
        <f t="array" ref="D789">INDEX(기계코드!$D$4:$D$214,MATCH(1,(C789=기계코드!$F$4:$F$214)*1,0))</f>
        <v>M_TDIF04</v>
      </c>
      <c r="E789" s="92" t="s">
        <v>1128</v>
      </c>
      <c r="F789" s="7" t="str" cm="1">
        <f t="array" ref="F789">INDEX(공급업체코드!$B$3:$B$1000,MATCH(1,(E789=공급업체코드!$D$3:$D$1000)*1,0))</f>
        <v>VM_BKT</v>
      </c>
      <c r="G789" s="18" t="s">
        <v>1881</v>
      </c>
      <c r="H789" s="64"/>
      <c r="I789" s="64"/>
      <c r="J789" s="64"/>
      <c r="K789" s="300">
        <v>1.1000000000000001</v>
      </c>
      <c r="L789" s="300">
        <v>1.3</v>
      </c>
      <c r="M789" s="64">
        <v>746</v>
      </c>
      <c r="N789" s="64"/>
      <c r="O789" s="64"/>
      <c r="P789" s="64"/>
      <c r="Q789" s="64"/>
      <c r="R789" s="70"/>
      <c r="T789" s="64"/>
      <c r="X789">
        <v>0.123</v>
      </c>
      <c r="Y789" s="258" t="s">
        <v>1313</v>
      </c>
      <c r="AA789" s="259" t="s">
        <v>1314</v>
      </c>
      <c r="AB789" s="20" t="s">
        <v>1061</v>
      </c>
      <c r="AC789">
        <f t="shared" si="23"/>
        <v>3730000000</v>
      </c>
      <c r="AE789" s="18" t="s">
        <v>1315</v>
      </c>
      <c r="AF789" s="1" t="b">
        <v>1</v>
      </c>
    </row>
    <row r="790" spans="2:32" ht="16.5" customHeight="1">
      <c r="B790" s="1" t="str">
        <f t="shared" si="22"/>
        <v>M_TDIF04_VM_BKT_1.3_747</v>
      </c>
      <c r="C790" s="92" t="s">
        <v>700</v>
      </c>
      <c r="D790" s="92" t="str" cm="1">
        <f t="array" ref="D790">INDEX(기계코드!$D$4:$D$214,MATCH(1,(C790=기계코드!$F$4:$F$214)*1,0))</f>
        <v>M_TDIF04</v>
      </c>
      <c r="E790" s="92" t="s">
        <v>1128</v>
      </c>
      <c r="F790" s="7" t="str" cm="1">
        <f t="array" ref="F790">INDEX(공급업체코드!$B$3:$B$1000,MATCH(1,(E790=공급업체코드!$D$3:$D$1000)*1,0))</f>
        <v>VM_BKT</v>
      </c>
      <c r="G790" s="18" t="s">
        <v>1881</v>
      </c>
      <c r="H790" s="64"/>
      <c r="I790" s="64"/>
      <c r="J790" s="64"/>
      <c r="K790" s="300">
        <v>1.1000000000000001</v>
      </c>
      <c r="L790" s="300">
        <v>1.3</v>
      </c>
      <c r="M790" s="64">
        <v>747</v>
      </c>
      <c r="N790" s="64"/>
      <c r="O790" s="64"/>
      <c r="P790" s="64"/>
      <c r="Q790" s="64"/>
      <c r="R790" s="70"/>
      <c r="T790" s="64"/>
      <c r="X790">
        <v>0.123</v>
      </c>
      <c r="Y790" s="258" t="s">
        <v>1313</v>
      </c>
      <c r="AA790" s="259" t="s">
        <v>1314</v>
      </c>
      <c r="AB790" s="20" t="s">
        <v>1061</v>
      </c>
      <c r="AC790">
        <f t="shared" si="23"/>
        <v>3735000000</v>
      </c>
      <c r="AE790" s="18" t="s">
        <v>1315</v>
      </c>
      <c r="AF790" s="1" t="b">
        <v>1</v>
      </c>
    </row>
    <row r="791" spans="2:32" ht="16.5" customHeight="1">
      <c r="B791" s="1" t="str">
        <f t="shared" si="22"/>
        <v>M_TDIF04_VM_BKT_1.3_748</v>
      </c>
      <c r="C791" s="92" t="s">
        <v>700</v>
      </c>
      <c r="D791" s="92" t="str" cm="1">
        <f t="array" ref="D791">INDEX(기계코드!$D$4:$D$214,MATCH(1,(C791=기계코드!$F$4:$F$214)*1,0))</f>
        <v>M_TDIF04</v>
      </c>
      <c r="E791" s="92" t="s">
        <v>1128</v>
      </c>
      <c r="F791" s="7" t="str" cm="1">
        <f t="array" ref="F791">INDEX(공급업체코드!$B$3:$B$1000,MATCH(1,(E791=공급업체코드!$D$3:$D$1000)*1,0))</f>
        <v>VM_BKT</v>
      </c>
      <c r="G791" s="18" t="s">
        <v>1881</v>
      </c>
      <c r="H791" s="64"/>
      <c r="I791" s="64"/>
      <c r="J791" s="64"/>
      <c r="K791" s="300">
        <v>1.1000000000000001</v>
      </c>
      <c r="L791" s="300">
        <v>1.3</v>
      </c>
      <c r="M791" s="64">
        <v>748</v>
      </c>
      <c r="N791" s="64"/>
      <c r="O791" s="64"/>
      <c r="P791" s="64"/>
      <c r="Q791" s="64"/>
      <c r="R791" s="70"/>
      <c r="T791" s="64"/>
      <c r="X791">
        <v>0.123</v>
      </c>
      <c r="Y791" s="258" t="s">
        <v>1313</v>
      </c>
      <c r="AA791" s="259" t="s">
        <v>1314</v>
      </c>
      <c r="AB791" s="20" t="s">
        <v>1061</v>
      </c>
      <c r="AC791">
        <f t="shared" si="23"/>
        <v>3740000000</v>
      </c>
      <c r="AE791" s="18" t="s">
        <v>1315</v>
      </c>
      <c r="AF791" s="1" t="b">
        <v>1</v>
      </c>
    </row>
    <row r="792" spans="2:32" ht="16.5" customHeight="1">
      <c r="B792" s="1" t="str">
        <f t="shared" si="22"/>
        <v>M_TDIF04_VM_BKT_1.3_749</v>
      </c>
      <c r="C792" s="92" t="s">
        <v>700</v>
      </c>
      <c r="D792" s="92" t="str" cm="1">
        <f t="array" ref="D792">INDEX(기계코드!$D$4:$D$214,MATCH(1,(C792=기계코드!$F$4:$F$214)*1,0))</f>
        <v>M_TDIF04</v>
      </c>
      <c r="E792" s="92" t="s">
        <v>1128</v>
      </c>
      <c r="F792" s="7" t="str" cm="1">
        <f t="array" ref="F792">INDEX(공급업체코드!$B$3:$B$1000,MATCH(1,(E792=공급업체코드!$D$3:$D$1000)*1,0))</f>
        <v>VM_BKT</v>
      </c>
      <c r="G792" s="18" t="s">
        <v>1881</v>
      </c>
      <c r="H792" s="64"/>
      <c r="I792" s="64"/>
      <c r="J792" s="64"/>
      <c r="K792" s="300">
        <v>1.1000000000000001</v>
      </c>
      <c r="L792" s="300">
        <v>1.3</v>
      </c>
      <c r="M792" s="64">
        <v>749</v>
      </c>
      <c r="N792" s="64"/>
      <c r="O792" s="64"/>
      <c r="P792" s="64"/>
      <c r="Q792" s="64"/>
      <c r="R792" s="70"/>
      <c r="T792" s="64"/>
      <c r="X792">
        <v>0.123</v>
      </c>
      <c r="Y792" s="258" t="s">
        <v>1313</v>
      </c>
      <c r="AA792" s="259" t="s">
        <v>1314</v>
      </c>
      <c r="AB792" s="20" t="s">
        <v>1061</v>
      </c>
      <c r="AC792">
        <f t="shared" si="23"/>
        <v>3745000000</v>
      </c>
      <c r="AE792" s="18" t="s">
        <v>1315</v>
      </c>
      <c r="AF792" s="1" t="b">
        <v>1</v>
      </c>
    </row>
    <row r="793" spans="2:32" ht="16.5" customHeight="1">
      <c r="B793" s="1" t="str">
        <f t="shared" si="22"/>
        <v>M_TDIF04_VM_BKT_1.3_750</v>
      </c>
      <c r="C793" s="92" t="s">
        <v>700</v>
      </c>
      <c r="D793" s="92" t="str" cm="1">
        <f t="array" ref="D793">INDEX(기계코드!$D$4:$D$214,MATCH(1,(C793=기계코드!$F$4:$F$214)*1,0))</f>
        <v>M_TDIF04</v>
      </c>
      <c r="E793" s="92" t="s">
        <v>1128</v>
      </c>
      <c r="F793" s="7" t="str" cm="1">
        <f t="array" ref="F793">INDEX(공급업체코드!$B$3:$B$1000,MATCH(1,(E793=공급업체코드!$D$3:$D$1000)*1,0))</f>
        <v>VM_BKT</v>
      </c>
      <c r="G793" s="18" t="s">
        <v>1881</v>
      </c>
      <c r="H793" s="64"/>
      <c r="I793" s="64"/>
      <c r="J793" s="64"/>
      <c r="K793" s="300">
        <v>1.1000000000000001</v>
      </c>
      <c r="L793" s="300">
        <v>1.3</v>
      </c>
      <c r="M793" s="64">
        <v>750</v>
      </c>
      <c r="N793" s="64"/>
      <c r="O793" s="64"/>
      <c r="P793" s="64"/>
      <c r="Q793" s="64"/>
      <c r="R793" s="70"/>
      <c r="T793" s="64"/>
      <c r="X793">
        <v>0.123</v>
      </c>
      <c r="Y793" s="258" t="s">
        <v>1313</v>
      </c>
      <c r="AA793" s="259" t="s">
        <v>1314</v>
      </c>
      <c r="AB793" s="20" t="s">
        <v>1061</v>
      </c>
      <c r="AC793">
        <f t="shared" si="23"/>
        <v>3750000000</v>
      </c>
      <c r="AE793" s="18" t="s">
        <v>1315</v>
      </c>
      <c r="AF793" s="1" t="b">
        <v>1</v>
      </c>
    </row>
    <row r="794" spans="2:32" ht="16.5" customHeight="1">
      <c r="B794" s="1" t="str">
        <f t="shared" si="22"/>
        <v>M_TDIF04_VM_BKT_1.3_751</v>
      </c>
      <c r="C794" s="92" t="s">
        <v>700</v>
      </c>
      <c r="D794" s="92" t="str" cm="1">
        <f t="array" ref="D794">INDEX(기계코드!$D$4:$D$214,MATCH(1,(C794=기계코드!$F$4:$F$214)*1,0))</f>
        <v>M_TDIF04</v>
      </c>
      <c r="E794" s="92" t="s">
        <v>1128</v>
      </c>
      <c r="F794" s="7" t="str" cm="1">
        <f t="array" ref="F794">INDEX(공급업체코드!$B$3:$B$1000,MATCH(1,(E794=공급업체코드!$D$3:$D$1000)*1,0))</f>
        <v>VM_BKT</v>
      </c>
      <c r="G794" s="18" t="s">
        <v>1881</v>
      </c>
      <c r="H794" s="64"/>
      <c r="I794" s="64"/>
      <c r="J794" s="64"/>
      <c r="K794" s="300">
        <v>1.1000000000000001</v>
      </c>
      <c r="L794" s="300">
        <v>1.3</v>
      </c>
      <c r="M794" s="64">
        <v>751</v>
      </c>
      <c r="N794" s="64"/>
      <c r="O794" s="64"/>
      <c r="P794" s="64"/>
      <c r="Q794" s="64"/>
      <c r="R794" s="70"/>
      <c r="T794" s="64"/>
      <c r="X794">
        <v>0.123</v>
      </c>
      <c r="Y794" s="258" t="s">
        <v>1313</v>
      </c>
      <c r="AA794" s="259" t="s">
        <v>1314</v>
      </c>
      <c r="AB794" s="20" t="s">
        <v>1061</v>
      </c>
      <c r="AC794">
        <f t="shared" si="23"/>
        <v>3755000000</v>
      </c>
      <c r="AE794" s="18" t="s">
        <v>1315</v>
      </c>
      <c r="AF794" s="1" t="b">
        <v>1</v>
      </c>
    </row>
    <row r="795" spans="2:32" ht="16.5" customHeight="1">
      <c r="B795" s="1" t="str">
        <f t="shared" si="22"/>
        <v>M_TDIF04_VM_BKT_1.3_752</v>
      </c>
      <c r="C795" s="92" t="s">
        <v>700</v>
      </c>
      <c r="D795" s="92" t="str" cm="1">
        <f t="array" ref="D795">INDEX(기계코드!$D$4:$D$214,MATCH(1,(C795=기계코드!$F$4:$F$214)*1,0))</f>
        <v>M_TDIF04</v>
      </c>
      <c r="E795" s="92" t="s">
        <v>1128</v>
      </c>
      <c r="F795" s="7" t="str" cm="1">
        <f t="array" ref="F795">INDEX(공급업체코드!$B$3:$B$1000,MATCH(1,(E795=공급업체코드!$D$3:$D$1000)*1,0))</f>
        <v>VM_BKT</v>
      </c>
      <c r="G795" s="18" t="s">
        <v>1881</v>
      </c>
      <c r="H795" s="64"/>
      <c r="I795" s="64"/>
      <c r="J795" s="64"/>
      <c r="K795" s="300">
        <v>1.1000000000000001</v>
      </c>
      <c r="L795" s="300">
        <v>1.3</v>
      </c>
      <c r="M795" s="64">
        <v>752</v>
      </c>
      <c r="N795" s="64"/>
      <c r="O795" s="64"/>
      <c r="P795" s="64"/>
      <c r="Q795" s="64"/>
      <c r="R795" s="70"/>
      <c r="T795" s="64"/>
      <c r="X795">
        <v>0.123</v>
      </c>
      <c r="Y795" s="258" t="s">
        <v>1313</v>
      </c>
      <c r="AA795" s="259" t="s">
        <v>1314</v>
      </c>
      <c r="AB795" s="20" t="s">
        <v>1061</v>
      </c>
      <c r="AC795">
        <f t="shared" si="23"/>
        <v>3760000000</v>
      </c>
      <c r="AE795" s="18" t="s">
        <v>1315</v>
      </c>
      <c r="AF795" s="1" t="b">
        <v>1</v>
      </c>
    </row>
    <row r="796" spans="2:32" ht="16.5" customHeight="1">
      <c r="B796" s="1" t="str">
        <f t="shared" si="22"/>
        <v>M_TDIF04_VM_BKT_1.3_753</v>
      </c>
      <c r="C796" s="92" t="s">
        <v>700</v>
      </c>
      <c r="D796" s="92" t="str" cm="1">
        <f t="array" ref="D796">INDEX(기계코드!$D$4:$D$214,MATCH(1,(C796=기계코드!$F$4:$F$214)*1,0))</f>
        <v>M_TDIF04</v>
      </c>
      <c r="E796" s="92" t="s">
        <v>1128</v>
      </c>
      <c r="F796" s="7" t="str" cm="1">
        <f t="array" ref="F796">INDEX(공급업체코드!$B$3:$B$1000,MATCH(1,(E796=공급업체코드!$D$3:$D$1000)*1,0))</f>
        <v>VM_BKT</v>
      </c>
      <c r="G796" s="18" t="s">
        <v>1881</v>
      </c>
      <c r="H796" s="64"/>
      <c r="I796" s="64"/>
      <c r="J796" s="64"/>
      <c r="K796" s="300">
        <v>1.1000000000000001</v>
      </c>
      <c r="L796" s="300">
        <v>1.3</v>
      </c>
      <c r="M796" s="64">
        <v>753</v>
      </c>
      <c r="N796" s="64"/>
      <c r="O796" s="64"/>
      <c r="P796" s="64"/>
      <c r="Q796" s="64"/>
      <c r="R796" s="70"/>
      <c r="T796" s="64"/>
      <c r="X796">
        <v>0.123</v>
      </c>
      <c r="Y796" s="258" t="s">
        <v>1313</v>
      </c>
      <c r="AA796" s="259" t="s">
        <v>1314</v>
      </c>
      <c r="AB796" s="20" t="s">
        <v>1061</v>
      </c>
      <c r="AC796">
        <f t="shared" si="23"/>
        <v>3765000000</v>
      </c>
      <c r="AE796" s="18" t="s">
        <v>1315</v>
      </c>
      <c r="AF796" s="1" t="b">
        <v>1</v>
      </c>
    </row>
    <row r="797" spans="2:32" ht="16.5" customHeight="1">
      <c r="B797" s="1" t="str">
        <f t="shared" si="22"/>
        <v>M_TDIF04_VM_BKT_1.3_754</v>
      </c>
      <c r="C797" s="92" t="s">
        <v>700</v>
      </c>
      <c r="D797" s="92" t="str" cm="1">
        <f t="array" ref="D797">INDEX(기계코드!$D$4:$D$214,MATCH(1,(C797=기계코드!$F$4:$F$214)*1,0))</f>
        <v>M_TDIF04</v>
      </c>
      <c r="E797" s="92" t="s">
        <v>1128</v>
      </c>
      <c r="F797" s="7" t="str" cm="1">
        <f t="array" ref="F797">INDEX(공급업체코드!$B$3:$B$1000,MATCH(1,(E797=공급업체코드!$D$3:$D$1000)*1,0))</f>
        <v>VM_BKT</v>
      </c>
      <c r="G797" s="18" t="s">
        <v>1881</v>
      </c>
      <c r="H797" s="64"/>
      <c r="I797" s="64"/>
      <c r="J797" s="64"/>
      <c r="K797" s="300">
        <v>1.1000000000000001</v>
      </c>
      <c r="L797" s="300">
        <v>1.3</v>
      </c>
      <c r="M797" s="64">
        <v>754</v>
      </c>
      <c r="N797" s="64"/>
      <c r="O797" s="64"/>
      <c r="P797" s="64"/>
      <c r="Q797" s="64"/>
      <c r="R797" s="70"/>
      <c r="T797" s="64"/>
      <c r="X797">
        <v>0.123</v>
      </c>
      <c r="Y797" s="258" t="s">
        <v>1313</v>
      </c>
      <c r="AA797" s="259" t="s">
        <v>1314</v>
      </c>
      <c r="AB797" s="20" t="s">
        <v>1061</v>
      </c>
      <c r="AC797">
        <f t="shared" si="23"/>
        <v>3770000000</v>
      </c>
      <c r="AE797" s="18" t="s">
        <v>1315</v>
      </c>
      <c r="AF797" s="1" t="b">
        <v>1</v>
      </c>
    </row>
    <row r="798" spans="2:32" ht="16.5" customHeight="1">
      <c r="B798" s="1" t="str">
        <f t="shared" si="22"/>
        <v>M_TDIF04_VM_BKT_1.3_755</v>
      </c>
      <c r="C798" s="92" t="s">
        <v>700</v>
      </c>
      <c r="D798" s="92" t="str" cm="1">
        <f t="array" ref="D798">INDEX(기계코드!$D$4:$D$214,MATCH(1,(C798=기계코드!$F$4:$F$214)*1,0))</f>
        <v>M_TDIF04</v>
      </c>
      <c r="E798" s="92" t="s">
        <v>1128</v>
      </c>
      <c r="F798" s="7" t="str" cm="1">
        <f t="array" ref="F798">INDEX(공급업체코드!$B$3:$B$1000,MATCH(1,(E798=공급업체코드!$D$3:$D$1000)*1,0))</f>
        <v>VM_BKT</v>
      </c>
      <c r="G798" s="18" t="s">
        <v>1881</v>
      </c>
      <c r="H798" s="64"/>
      <c r="I798" s="64"/>
      <c r="J798" s="64"/>
      <c r="K798" s="300">
        <v>1.1000000000000001</v>
      </c>
      <c r="L798" s="300">
        <v>1.3</v>
      </c>
      <c r="M798" s="64">
        <v>755</v>
      </c>
      <c r="N798" s="64"/>
      <c r="O798" s="64"/>
      <c r="P798" s="64"/>
      <c r="Q798" s="64"/>
      <c r="R798" s="70"/>
      <c r="T798" s="64"/>
      <c r="X798">
        <v>0.123</v>
      </c>
      <c r="Y798" s="258" t="s">
        <v>1313</v>
      </c>
      <c r="AA798" s="259" t="s">
        <v>1314</v>
      </c>
      <c r="AB798" s="20" t="s">
        <v>1061</v>
      </c>
      <c r="AC798">
        <f t="shared" si="23"/>
        <v>3775000000</v>
      </c>
      <c r="AE798" s="18" t="s">
        <v>1315</v>
      </c>
      <c r="AF798" s="1" t="b">
        <v>1</v>
      </c>
    </row>
    <row r="799" spans="2:32" ht="16.5" customHeight="1">
      <c r="B799" s="1" t="str">
        <f t="shared" si="22"/>
        <v>M_TDIF04_VM_BKT_1.3_756</v>
      </c>
      <c r="C799" s="92" t="s">
        <v>700</v>
      </c>
      <c r="D799" s="92" t="str" cm="1">
        <f t="array" ref="D799">INDEX(기계코드!$D$4:$D$214,MATCH(1,(C799=기계코드!$F$4:$F$214)*1,0))</f>
        <v>M_TDIF04</v>
      </c>
      <c r="E799" s="92" t="s">
        <v>1128</v>
      </c>
      <c r="F799" s="7" t="str" cm="1">
        <f t="array" ref="F799">INDEX(공급업체코드!$B$3:$B$1000,MATCH(1,(E799=공급업체코드!$D$3:$D$1000)*1,0))</f>
        <v>VM_BKT</v>
      </c>
      <c r="G799" s="18" t="s">
        <v>1881</v>
      </c>
      <c r="H799" s="64"/>
      <c r="I799" s="64"/>
      <c r="J799" s="64"/>
      <c r="K799" s="300">
        <v>1.1000000000000001</v>
      </c>
      <c r="L799" s="300">
        <v>1.3</v>
      </c>
      <c r="M799" s="64">
        <v>756</v>
      </c>
      <c r="N799" s="64"/>
      <c r="O799" s="64"/>
      <c r="P799" s="64"/>
      <c r="Q799" s="64"/>
      <c r="R799" s="70"/>
      <c r="T799" s="64"/>
      <c r="X799">
        <v>0.123</v>
      </c>
      <c r="Y799" s="258" t="s">
        <v>1313</v>
      </c>
      <c r="AA799" s="259" t="s">
        <v>1314</v>
      </c>
      <c r="AB799" s="20" t="s">
        <v>1061</v>
      </c>
      <c r="AC799">
        <f t="shared" si="23"/>
        <v>3780000000</v>
      </c>
      <c r="AE799" s="18" t="s">
        <v>1315</v>
      </c>
      <c r="AF799" s="1" t="b">
        <v>1</v>
      </c>
    </row>
    <row r="800" spans="2:32" ht="16.5" customHeight="1">
      <c r="B800" s="1" t="str">
        <f t="shared" si="22"/>
        <v>M_TDIF04_VM_BKT_1.3_757</v>
      </c>
      <c r="C800" s="92" t="s">
        <v>700</v>
      </c>
      <c r="D800" s="92" t="str" cm="1">
        <f t="array" ref="D800">INDEX(기계코드!$D$4:$D$214,MATCH(1,(C800=기계코드!$F$4:$F$214)*1,0))</f>
        <v>M_TDIF04</v>
      </c>
      <c r="E800" s="92" t="s">
        <v>1128</v>
      </c>
      <c r="F800" s="7" t="str" cm="1">
        <f t="array" ref="F800">INDEX(공급업체코드!$B$3:$B$1000,MATCH(1,(E800=공급업체코드!$D$3:$D$1000)*1,0))</f>
        <v>VM_BKT</v>
      </c>
      <c r="G800" s="18" t="s">
        <v>1881</v>
      </c>
      <c r="H800" s="64"/>
      <c r="I800" s="64"/>
      <c r="J800" s="64"/>
      <c r="K800" s="300">
        <v>1.1000000000000001</v>
      </c>
      <c r="L800" s="300">
        <v>1.3</v>
      </c>
      <c r="M800" s="64">
        <v>757</v>
      </c>
      <c r="N800" s="64"/>
      <c r="O800" s="64"/>
      <c r="P800" s="64"/>
      <c r="Q800" s="64"/>
      <c r="R800" s="70"/>
      <c r="T800" s="64"/>
      <c r="X800">
        <v>0.123</v>
      </c>
      <c r="Y800" s="258" t="s">
        <v>1313</v>
      </c>
      <c r="AA800" s="259" t="s">
        <v>1314</v>
      </c>
      <c r="AB800" s="20" t="s">
        <v>1061</v>
      </c>
      <c r="AC800">
        <f t="shared" si="23"/>
        <v>3785000000</v>
      </c>
      <c r="AE800" s="18" t="s">
        <v>1315</v>
      </c>
      <c r="AF800" s="1" t="b">
        <v>1</v>
      </c>
    </row>
    <row r="801" spans="2:32" ht="16.5" customHeight="1">
      <c r="B801" s="1" t="str">
        <f t="shared" si="22"/>
        <v>M_TDIF04_VM_BKT_1.3_758</v>
      </c>
      <c r="C801" s="92" t="s">
        <v>700</v>
      </c>
      <c r="D801" s="92" t="str" cm="1">
        <f t="array" ref="D801">INDEX(기계코드!$D$4:$D$214,MATCH(1,(C801=기계코드!$F$4:$F$214)*1,0))</f>
        <v>M_TDIF04</v>
      </c>
      <c r="E801" s="92" t="s">
        <v>1128</v>
      </c>
      <c r="F801" s="7" t="str" cm="1">
        <f t="array" ref="F801">INDEX(공급업체코드!$B$3:$B$1000,MATCH(1,(E801=공급업체코드!$D$3:$D$1000)*1,0))</f>
        <v>VM_BKT</v>
      </c>
      <c r="G801" s="18" t="s">
        <v>1881</v>
      </c>
      <c r="H801" s="64"/>
      <c r="I801" s="64"/>
      <c r="J801" s="64"/>
      <c r="K801" s="300">
        <v>1.1000000000000001</v>
      </c>
      <c r="L801" s="300">
        <v>1.3</v>
      </c>
      <c r="M801" s="64">
        <v>758</v>
      </c>
      <c r="N801" s="64"/>
      <c r="O801" s="64"/>
      <c r="P801" s="64"/>
      <c r="Q801" s="64"/>
      <c r="R801" s="70"/>
      <c r="T801" s="64"/>
      <c r="X801">
        <v>0.123</v>
      </c>
      <c r="Y801" s="258" t="s">
        <v>1313</v>
      </c>
      <c r="AA801" s="259" t="s">
        <v>1314</v>
      </c>
      <c r="AB801" s="20" t="s">
        <v>1061</v>
      </c>
      <c r="AC801">
        <f t="shared" si="23"/>
        <v>3790000000</v>
      </c>
      <c r="AE801" s="18" t="s">
        <v>1315</v>
      </c>
      <c r="AF801" s="1" t="b">
        <v>1</v>
      </c>
    </row>
    <row r="802" spans="2:32" ht="16.5" customHeight="1">
      <c r="B802" s="1" t="str">
        <f t="shared" si="22"/>
        <v>M_TDIF04_VM_BKT_1.3_759</v>
      </c>
      <c r="C802" s="92" t="s">
        <v>700</v>
      </c>
      <c r="D802" s="92" t="str" cm="1">
        <f t="array" ref="D802">INDEX(기계코드!$D$4:$D$214,MATCH(1,(C802=기계코드!$F$4:$F$214)*1,0))</f>
        <v>M_TDIF04</v>
      </c>
      <c r="E802" s="92" t="s">
        <v>1128</v>
      </c>
      <c r="F802" s="7" t="str" cm="1">
        <f t="array" ref="F802">INDEX(공급업체코드!$B$3:$B$1000,MATCH(1,(E802=공급업체코드!$D$3:$D$1000)*1,0))</f>
        <v>VM_BKT</v>
      </c>
      <c r="G802" s="18" t="s">
        <v>1881</v>
      </c>
      <c r="H802" s="64"/>
      <c r="I802" s="64"/>
      <c r="J802" s="64"/>
      <c r="K802" s="300">
        <v>1.1000000000000001</v>
      </c>
      <c r="L802" s="300">
        <v>1.3</v>
      </c>
      <c r="M802" s="64">
        <v>759</v>
      </c>
      <c r="N802" s="64"/>
      <c r="O802" s="64"/>
      <c r="P802" s="64"/>
      <c r="Q802" s="64"/>
      <c r="R802" s="70"/>
      <c r="T802" s="64"/>
      <c r="X802">
        <v>0.123</v>
      </c>
      <c r="Y802" s="258" t="s">
        <v>1313</v>
      </c>
      <c r="AA802" s="259" t="s">
        <v>1314</v>
      </c>
      <c r="AB802" s="20" t="s">
        <v>1061</v>
      </c>
      <c r="AC802">
        <f t="shared" si="23"/>
        <v>3795000000</v>
      </c>
      <c r="AE802" s="18" t="s">
        <v>1315</v>
      </c>
      <c r="AF802" s="1" t="b">
        <v>1</v>
      </c>
    </row>
    <row r="803" spans="2:32" ht="16.5" customHeight="1">
      <c r="B803" s="1" t="str">
        <f t="shared" si="22"/>
        <v>M_TDIF04_VM_BKT_1.3_760</v>
      </c>
      <c r="C803" s="92" t="s">
        <v>700</v>
      </c>
      <c r="D803" s="92" t="str" cm="1">
        <f t="array" ref="D803">INDEX(기계코드!$D$4:$D$214,MATCH(1,(C803=기계코드!$F$4:$F$214)*1,0))</f>
        <v>M_TDIF04</v>
      </c>
      <c r="E803" s="92" t="s">
        <v>1128</v>
      </c>
      <c r="F803" s="7" t="str" cm="1">
        <f t="array" ref="F803">INDEX(공급업체코드!$B$3:$B$1000,MATCH(1,(E803=공급업체코드!$D$3:$D$1000)*1,0))</f>
        <v>VM_BKT</v>
      </c>
      <c r="G803" s="18" t="s">
        <v>1881</v>
      </c>
      <c r="H803" s="64"/>
      <c r="I803" s="64"/>
      <c r="J803" s="64"/>
      <c r="K803" s="300">
        <v>1.1000000000000001</v>
      </c>
      <c r="L803" s="300">
        <v>1.3</v>
      </c>
      <c r="M803" s="64">
        <v>760</v>
      </c>
      <c r="N803" s="64"/>
      <c r="O803" s="64"/>
      <c r="P803" s="64"/>
      <c r="Q803" s="64"/>
      <c r="R803" s="70"/>
      <c r="T803" s="64"/>
      <c r="X803">
        <v>0.123</v>
      </c>
      <c r="Y803" s="258" t="s">
        <v>1313</v>
      </c>
      <c r="AA803" s="259" t="s">
        <v>1314</v>
      </c>
      <c r="AB803" s="20" t="s">
        <v>1061</v>
      </c>
      <c r="AC803">
        <f t="shared" si="23"/>
        <v>3800000000</v>
      </c>
      <c r="AE803" s="18" t="s">
        <v>1315</v>
      </c>
      <c r="AF803" s="1" t="b">
        <v>1</v>
      </c>
    </row>
    <row r="804" spans="2:32" ht="16.5" customHeight="1">
      <c r="B804" s="1" t="str">
        <f t="shared" si="22"/>
        <v>M_TDIF04_VM_BKT_1.3_761</v>
      </c>
      <c r="C804" s="92" t="s">
        <v>700</v>
      </c>
      <c r="D804" s="92" t="str" cm="1">
        <f t="array" ref="D804">INDEX(기계코드!$D$4:$D$214,MATCH(1,(C804=기계코드!$F$4:$F$214)*1,0))</f>
        <v>M_TDIF04</v>
      </c>
      <c r="E804" s="92" t="s">
        <v>1128</v>
      </c>
      <c r="F804" s="7" t="str" cm="1">
        <f t="array" ref="F804">INDEX(공급업체코드!$B$3:$B$1000,MATCH(1,(E804=공급업체코드!$D$3:$D$1000)*1,0))</f>
        <v>VM_BKT</v>
      </c>
      <c r="G804" s="18" t="s">
        <v>1881</v>
      </c>
      <c r="H804" s="64"/>
      <c r="I804" s="64"/>
      <c r="J804" s="64"/>
      <c r="K804" s="300">
        <v>1.1000000000000001</v>
      </c>
      <c r="L804" s="300">
        <v>1.3</v>
      </c>
      <c r="M804" s="64">
        <v>761</v>
      </c>
      <c r="N804" s="64"/>
      <c r="O804" s="64"/>
      <c r="P804" s="64"/>
      <c r="Q804" s="64"/>
      <c r="R804" s="70"/>
      <c r="T804" s="64"/>
      <c r="X804">
        <v>0.123</v>
      </c>
      <c r="Y804" s="258" t="s">
        <v>1313</v>
      </c>
      <c r="AA804" s="259" t="s">
        <v>1314</v>
      </c>
      <c r="AB804" s="20" t="s">
        <v>1061</v>
      </c>
      <c r="AC804">
        <f t="shared" si="23"/>
        <v>3805000000</v>
      </c>
      <c r="AE804" s="18" t="s">
        <v>1315</v>
      </c>
      <c r="AF804" s="1" t="b">
        <v>1</v>
      </c>
    </row>
    <row r="805" spans="2:32" ht="16.5" customHeight="1">
      <c r="B805" s="1" t="str">
        <f t="shared" si="22"/>
        <v>M_TDIF04_VM_BKT_1.3_762</v>
      </c>
      <c r="C805" s="92" t="s">
        <v>700</v>
      </c>
      <c r="D805" s="92" t="str" cm="1">
        <f t="array" ref="D805">INDEX(기계코드!$D$4:$D$214,MATCH(1,(C805=기계코드!$F$4:$F$214)*1,0))</f>
        <v>M_TDIF04</v>
      </c>
      <c r="E805" s="92" t="s">
        <v>1128</v>
      </c>
      <c r="F805" s="7" t="str" cm="1">
        <f t="array" ref="F805">INDEX(공급업체코드!$B$3:$B$1000,MATCH(1,(E805=공급업체코드!$D$3:$D$1000)*1,0))</f>
        <v>VM_BKT</v>
      </c>
      <c r="G805" s="18" t="s">
        <v>1881</v>
      </c>
      <c r="H805" s="64"/>
      <c r="I805" s="64"/>
      <c r="J805" s="64"/>
      <c r="K805" s="300">
        <v>1.1000000000000001</v>
      </c>
      <c r="L805" s="300">
        <v>1.3</v>
      </c>
      <c r="M805" s="64">
        <v>762</v>
      </c>
      <c r="N805" s="64"/>
      <c r="O805" s="64"/>
      <c r="P805" s="64"/>
      <c r="Q805" s="64"/>
      <c r="R805" s="70"/>
      <c r="T805" s="64"/>
      <c r="X805">
        <v>0.123</v>
      </c>
      <c r="Y805" s="258" t="s">
        <v>1313</v>
      </c>
      <c r="AA805" s="259" t="s">
        <v>1314</v>
      </c>
      <c r="AB805" s="20" t="s">
        <v>1061</v>
      </c>
      <c r="AC805">
        <f t="shared" si="23"/>
        <v>3810000000</v>
      </c>
      <c r="AE805" s="18" t="s">
        <v>1315</v>
      </c>
      <c r="AF805" s="1" t="b">
        <v>1</v>
      </c>
    </row>
    <row r="806" spans="2:32" ht="16.5" customHeight="1">
      <c r="B806" s="1" t="str">
        <f t="shared" si="22"/>
        <v>M_TDIF04_VM_BKT_1.3_763</v>
      </c>
      <c r="C806" s="92" t="s">
        <v>700</v>
      </c>
      <c r="D806" s="92" t="str" cm="1">
        <f t="array" ref="D806">INDEX(기계코드!$D$4:$D$214,MATCH(1,(C806=기계코드!$F$4:$F$214)*1,0))</f>
        <v>M_TDIF04</v>
      </c>
      <c r="E806" s="92" t="s">
        <v>1128</v>
      </c>
      <c r="F806" s="7" t="str" cm="1">
        <f t="array" ref="F806">INDEX(공급업체코드!$B$3:$B$1000,MATCH(1,(E806=공급업체코드!$D$3:$D$1000)*1,0))</f>
        <v>VM_BKT</v>
      </c>
      <c r="G806" s="18" t="s">
        <v>1881</v>
      </c>
      <c r="H806" s="64"/>
      <c r="I806" s="64"/>
      <c r="J806" s="64"/>
      <c r="K806" s="300">
        <v>1.1000000000000001</v>
      </c>
      <c r="L806" s="300">
        <v>1.3</v>
      </c>
      <c r="M806" s="64">
        <v>763</v>
      </c>
      <c r="N806" s="64"/>
      <c r="O806" s="64"/>
      <c r="P806" s="64"/>
      <c r="Q806" s="64"/>
      <c r="R806" s="70"/>
      <c r="T806" s="64"/>
      <c r="X806">
        <v>0.123</v>
      </c>
      <c r="Y806" s="258" t="s">
        <v>1313</v>
      </c>
      <c r="AA806" s="259" t="s">
        <v>1314</v>
      </c>
      <c r="AB806" s="20" t="s">
        <v>1061</v>
      </c>
      <c r="AC806">
        <f t="shared" si="23"/>
        <v>3815000000</v>
      </c>
      <c r="AE806" s="18" t="s">
        <v>1315</v>
      </c>
      <c r="AF806" s="1" t="b">
        <v>1</v>
      </c>
    </row>
    <row r="807" spans="2:32" ht="16.5" customHeight="1">
      <c r="B807" s="1" t="str">
        <f t="shared" si="22"/>
        <v>M_TDIF04_VM_BKT_1.3_764</v>
      </c>
      <c r="C807" s="92" t="s">
        <v>700</v>
      </c>
      <c r="D807" s="92" t="str" cm="1">
        <f t="array" ref="D807">INDEX(기계코드!$D$4:$D$214,MATCH(1,(C807=기계코드!$F$4:$F$214)*1,0))</f>
        <v>M_TDIF04</v>
      </c>
      <c r="E807" s="92" t="s">
        <v>1128</v>
      </c>
      <c r="F807" s="7" t="str" cm="1">
        <f t="array" ref="F807">INDEX(공급업체코드!$B$3:$B$1000,MATCH(1,(E807=공급업체코드!$D$3:$D$1000)*1,0))</f>
        <v>VM_BKT</v>
      </c>
      <c r="G807" s="18" t="s">
        <v>1881</v>
      </c>
      <c r="H807" s="64"/>
      <c r="I807" s="64"/>
      <c r="J807" s="64"/>
      <c r="K807" s="300">
        <v>1.1000000000000001</v>
      </c>
      <c r="L807" s="300">
        <v>1.3</v>
      </c>
      <c r="M807" s="64">
        <v>764</v>
      </c>
      <c r="N807" s="64"/>
      <c r="O807" s="64"/>
      <c r="P807" s="64"/>
      <c r="Q807" s="64"/>
      <c r="R807" s="70"/>
      <c r="T807" s="64"/>
      <c r="X807">
        <v>0.123</v>
      </c>
      <c r="Y807" s="258" t="s">
        <v>1313</v>
      </c>
      <c r="AA807" s="259" t="s">
        <v>1314</v>
      </c>
      <c r="AB807" s="20" t="s">
        <v>1061</v>
      </c>
      <c r="AC807">
        <f t="shared" si="23"/>
        <v>3820000000</v>
      </c>
      <c r="AE807" s="18" t="s">
        <v>1315</v>
      </c>
      <c r="AF807" s="1" t="b">
        <v>1</v>
      </c>
    </row>
    <row r="808" spans="2:32" ht="16.5" customHeight="1">
      <c r="B808" s="1" t="str">
        <f t="shared" si="22"/>
        <v>M_TDIF04_VM_BKT_1.3_765</v>
      </c>
      <c r="C808" s="92" t="s">
        <v>700</v>
      </c>
      <c r="D808" s="92" t="str" cm="1">
        <f t="array" ref="D808">INDEX(기계코드!$D$4:$D$214,MATCH(1,(C808=기계코드!$F$4:$F$214)*1,0))</f>
        <v>M_TDIF04</v>
      </c>
      <c r="E808" s="92" t="s">
        <v>1128</v>
      </c>
      <c r="F808" s="7" t="str" cm="1">
        <f t="array" ref="F808">INDEX(공급업체코드!$B$3:$B$1000,MATCH(1,(E808=공급업체코드!$D$3:$D$1000)*1,0))</f>
        <v>VM_BKT</v>
      </c>
      <c r="G808" s="18" t="s">
        <v>1881</v>
      </c>
      <c r="H808" s="64"/>
      <c r="I808" s="64"/>
      <c r="J808" s="64"/>
      <c r="K808" s="300">
        <v>1.1000000000000001</v>
      </c>
      <c r="L808" s="300">
        <v>1.3</v>
      </c>
      <c r="M808" s="64">
        <v>765</v>
      </c>
      <c r="N808" s="64"/>
      <c r="O808" s="64"/>
      <c r="P808" s="64"/>
      <c r="Q808" s="64"/>
      <c r="R808" s="70"/>
      <c r="T808" s="64"/>
      <c r="X808">
        <v>0.123</v>
      </c>
      <c r="Y808" s="258" t="s">
        <v>1313</v>
      </c>
      <c r="AA808" s="259" t="s">
        <v>1314</v>
      </c>
      <c r="AB808" s="20" t="s">
        <v>1061</v>
      </c>
      <c r="AC808">
        <f t="shared" si="23"/>
        <v>3825000000</v>
      </c>
      <c r="AE808" s="18" t="s">
        <v>1315</v>
      </c>
      <c r="AF808" s="1" t="b">
        <v>1</v>
      </c>
    </row>
    <row r="809" spans="2:32" ht="16.5" customHeight="1">
      <c r="B809" s="1" t="str">
        <f t="shared" si="22"/>
        <v>M_TDIF04_VM_BKT_1.3_766</v>
      </c>
      <c r="C809" s="92" t="s">
        <v>700</v>
      </c>
      <c r="D809" s="92" t="str" cm="1">
        <f t="array" ref="D809">INDEX(기계코드!$D$4:$D$214,MATCH(1,(C809=기계코드!$F$4:$F$214)*1,0))</f>
        <v>M_TDIF04</v>
      </c>
      <c r="E809" s="92" t="s">
        <v>1128</v>
      </c>
      <c r="F809" s="7" t="str" cm="1">
        <f t="array" ref="F809">INDEX(공급업체코드!$B$3:$B$1000,MATCH(1,(E809=공급업체코드!$D$3:$D$1000)*1,0))</f>
        <v>VM_BKT</v>
      </c>
      <c r="G809" s="18" t="s">
        <v>1881</v>
      </c>
      <c r="H809" s="64"/>
      <c r="I809" s="64"/>
      <c r="J809" s="64"/>
      <c r="K809" s="300">
        <v>1.1000000000000001</v>
      </c>
      <c r="L809" s="300">
        <v>1.3</v>
      </c>
      <c r="M809" s="64">
        <v>766</v>
      </c>
      <c r="N809" s="64"/>
      <c r="O809" s="64"/>
      <c r="P809" s="64"/>
      <c r="Q809" s="64"/>
      <c r="R809" s="70"/>
      <c r="T809" s="64"/>
      <c r="X809">
        <v>0.123</v>
      </c>
      <c r="Y809" s="258" t="s">
        <v>1313</v>
      </c>
      <c r="AA809" s="259" t="s">
        <v>1314</v>
      </c>
      <c r="AB809" s="20" t="s">
        <v>1061</v>
      </c>
      <c r="AC809">
        <f t="shared" si="23"/>
        <v>3830000000</v>
      </c>
      <c r="AE809" s="18" t="s">
        <v>1315</v>
      </c>
      <c r="AF809" s="1" t="b">
        <v>1</v>
      </c>
    </row>
    <row r="810" spans="2:32" ht="16.5" customHeight="1">
      <c r="B810" s="1" t="str">
        <f t="shared" si="22"/>
        <v>M_TDIF04_VM_BKT_1.3_767</v>
      </c>
      <c r="C810" s="92" t="s">
        <v>700</v>
      </c>
      <c r="D810" s="92" t="str" cm="1">
        <f t="array" ref="D810">INDEX(기계코드!$D$4:$D$214,MATCH(1,(C810=기계코드!$F$4:$F$214)*1,0))</f>
        <v>M_TDIF04</v>
      </c>
      <c r="E810" s="92" t="s">
        <v>1128</v>
      </c>
      <c r="F810" s="7" t="str" cm="1">
        <f t="array" ref="F810">INDEX(공급업체코드!$B$3:$B$1000,MATCH(1,(E810=공급업체코드!$D$3:$D$1000)*1,0))</f>
        <v>VM_BKT</v>
      </c>
      <c r="G810" s="18" t="s">
        <v>1881</v>
      </c>
      <c r="H810" s="64"/>
      <c r="I810" s="64"/>
      <c r="J810" s="64"/>
      <c r="K810" s="300">
        <v>1.1000000000000001</v>
      </c>
      <c r="L810" s="300">
        <v>1.3</v>
      </c>
      <c r="M810" s="64">
        <v>767</v>
      </c>
      <c r="N810" s="64"/>
      <c r="O810" s="64"/>
      <c r="P810" s="64"/>
      <c r="Q810" s="64"/>
      <c r="R810" s="70"/>
      <c r="T810" s="64"/>
      <c r="X810">
        <v>0.123</v>
      </c>
      <c r="Y810" s="258" t="s">
        <v>1313</v>
      </c>
      <c r="AA810" s="259" t="s">
        <v>1314</v>
      </c>
      <c r="AB810" s="20" t="s">
        <v>1061</v>
      </c>
      <c r="AC810">
        <f t="shared" si="23"/>
        <v>3835000000</v>
      </c>
      <c r="AE810" s="18" t="s">
        <v>1315</v>
      </c>
      <c r="AF810" s="1" t="b">
        <v>1</v>
      </c>
    </row>
    <row r="811" spans="2:32" ht="16.5" customHeight="1">
      <c r="B811" s="1" t="str">
        <f t="shared" si="22"/>
        <v>M_TDIF04_VM_BKT_1.3_768</v>
      </c>
      <c r="C811" s="92" t="s">
        <v>700</v>
      </c>
      <c r="D811" s="92" t="str" cm="1">
        <f t="array" ref="D811">INDEX(기계코드!$D$4:$D$214,MATCH(1,(C811=기계코드!$F$4:$F$214)*1,0))</f>
        <v>M_TDIF04</v>
      </c>
      <c r="E811" s="92" t="s">
        <v>1128</v>
      </c>
      <c r="F811" s="7" t="str" cm="1">
        <f t="array" ref="F811">INDEX(공급업체코드!$B$3:$B$1000,MATCH(1,(E811=공급업체코드!$D$3:$D$1000)*1,0))</f>
        <v>VM_BKT</v>
      </c>
      <c r="G811" s="18" t="s">
        <v>1881</v>
      </c>
      <c r="H811" s="64"/>
      <c r="I811" s="64"/>
      <c r="J811" s="64"/>
      <c r="K811" s="300">
        <v>1.1000000000000001</v>
      </c>
      <c r="L811" s="300">
        <v>1.3</v>
      </c>
      <c r="M811" s="64">
        <v>768</v>
      </c>
      <c r="N811" s="64"/>
      <c r="O811" s="64"/>
      <c r="P811" s="64"/>
      <c r="Q811" s="64"/>
      <c r="R811" s="70"/>
      <c r="T811" s="64"/>
      <c r="X811">
        <v>0.123</v>
      </c>
      <c r="Y811" s="258" t="s">
        <v>1313</v>
      </c>
      <c r="AA811" s="259" t="s">
        <v>1314</v>
      </c>
      <c r="AB811" s="20" t="s">
        <v>1061</v>
      </c>
      <c r="AC811">
        <f t="shared" si="23"/>
        <v>3840000000</v>
      </c>
      <c r="AE811" s="18" t="s">
        <v>1315</v>
      </c>
      <c r="AF811" s="1" t="b">
        <v>1</v>
      </c>
    </row>
    <row r="812" spans="2:32" ht="16.5" customHeight="1">
      <c r="B812" s="1" t="str">
        <f t="shared" si="22"/>
        <v>M_TDIF04_VM_BKT_1.3_769</v>
      </c>
      <c r="C812" s="92" t="s">
        <v>700</v>
      </c>
      <c r="D812" s="92" t="str" cm="1">
        <f t="array" ref="D812">INDEX(기계코드!$D$4:$D$214,MATCH(1,(C812=기계코드!$F$4:$F$214)*1,0))</f>
        <v>M_TDIF04</v>
      </c>
      <c r="E812" s="92" t="s">
        <v>1128</v>
      </c>
      <c r="F812" s="7" t="str" cm="1">
        <f t="array" ref="F812">INDEX(공급업체코드!$B$3:$B$1000,MATCH(1,(E812=공급업체코드!$D$3:$D$1000)*1,0))</f>
        <v>VM_BKT</v>
      </c>
      <c r="G812" s="18" t="s">
        <v>1881</v>
      </c>
      <c r="H812" s="64"/>
      <c r="I812" s="64"/>
      <c r="J812" s="64"/>
      <c r="K812" s="300">
        <v>1.1000000000000001</v>
      </c>
      <c r="L812" s="300">
        <v>1.3</v>
      </c>
      <c r="M812" s="64">
        <v>769</v>
      </c>
      <c r="N812" s="64"/>
      <c r="O812" s="64"/>
      <c r="P812" s="64"/>
      <c r="Q812" s="64"/>
      <c r="R812" s="70"/>
      <c r="T812" s="64"/>
      <c r="X812">
        <v>0.123</v>
      </c>
      <c r="Y812" s="258" t="s">
        <v>1313</v>
      </c>
      <c r="AA812" s="259" t="s">
        <v>1314</v>
      </c>
      <c r="AB812" s="20" t="s">
        <v>1061</v>
      </c>
      <c r="AC812">
        <f t="shared" si="23"/>
        <v>3845000000</v>
      </c>
      <c r="AE812" s="18" t="s">
        <v>1315</v>
      </c>
      <c r="AF812" s="1" t="b">
        <v>1</v>
      </c>
    </row>
    <row r="813" spans="2:32" ht="16.5" customHeight="1">
      <c r="B813" s="1" t="str">
        <f t="shared" ref="B813:B876" si="24">D813&amp;"_"&amp;F813&amp;"_"&amp;L813&amp;"_"&amp;M813</f>
        <v>M_TDIF04_VM_BKT_1.3_770</v>
      </c>
      <c r="C813" s="92" t="s">
        <v>700</v>
      </c>
      <c r="D813" s="92" t="str" cm="1">
        <f t="array" ref="D813">INDEX(기계코드!$D$4:$D$214,MATCH(1,(C813=기계코드!$F$4:$F$214)*1,0))</f>
        <v>M_TDIF04</v>
      </c>
      <c r="E813" s="92" t="s">
        <v>1128</v>
      </c>
      <c r="F813" s="7" t="str" cm="1">
        <f t="array" ref="F813">INDEX(공급업체코드!$B$3:$B$1000,MATCH(1,(E813=공급업체코드!$D$3:$D$1000)*1,0))</f>
        <v>VM_BKT</v>
      </c>
      <c r="G813" s="18" t="s">
        <v>1881</v>
      </c>
      <c r="H813" s="64"/>
      <c r="I813" s="64"/>
      <c r="J813" s="64"/>
      <c r="K813" s="300">
        <v>1.1000000000000001</v>
      </c>
      <c r="L813" s="300">
        <v>1.3</v>
      </c>
      <c r="M813" s="64">
        <v>770</v>
      </c>
      <c r="N813" s="64"/>
      <c r="O813" s="64"/>
      <c r="P813" s="64"/>
      <c r="Q813" s="64"/>
      <c r="R813" s="70"/>
      <c r="T813" s="64"/>
      <c r="X813">
        <v>0.123</v>
      </c>
      <c r="Y813" s="258" t="s">
        <v>1313</v>
      </c>
      <c r="AA813" s="259" t="s">
        <v>1314</v>
      </c>
      <c r="AB813" s="20" t="s">
        <v>1061</v>
      </c>
      <c r="AC813">
        <f t="shared" si="23"/>
        <v>3850000000</v>
      </c>
      <c r="AE813" s="18" t="s">
        <v>1315</v>
      </c>
      <c r="AF813" s="1" t="b">
        <v>1</v>
      </c>
    </row>
    <row r="814" spans="2:32" ht="16.5" customHeight="1">
      <c r="B814" s="1" t="str">
        <f t="shared" si="24"/>
        <v>M_TDIF04_VM_BKT_1.3_771</v>
      </c>
      <c r="C814" s="92" t="s">
        <v>700</v>
      </c>
      <c r="D814" s="92" t="str" cm="1">
        <f t="array" ref="D814">INDEX(기계코드!$D$4:$D$214,MATCH(1,(C814=기계코드!$F$4:$F$214)*1,0))</f>
        <v>M_TDIF04</v>
      </c>
      <c r="E814" s="92" t="s">
        <v>1128</v>
      </c>
      <c r="F814" s="7" t="str" cm="1">
        <f t="array" ref="F814">INDEX(공급업체코드!$B$3:$B$1000,MATCH(1,(E814=공급업체코드!$D$3:$D$1000)*1,0))</f>
        <v>VM_BKT</v>
      </c>
      <c r="G814" s="18" t="s">
        <v>1881</v>
      </c>
      <c r="H814" s="64"/>
      <c r="I814" s="64"/>
      <c r="J814" s="64"/>
      <c r="K814" s="300">
        <v>1.1000000000000001</v>
      </c>
      <c r="L814" s="300">
        <v>1.3</v>
      </c>
      <c r="M814" s="64">
        <v>771</v>
      </c>
      <c r="N814" s="64"/>
      <c r="O814" s="64"/>
      <c r="P814" s="64"/>
      <c r="Q814" s="64"/>
      <c r="R814" s="70"/>
      <c r="T814" s="64"/>
      <c r="X814">
        <v>0.123</v>
      </c>
      <c r="Y814" s="258" t="s">
        <v>1313</v>
      </c>
      <c r="AA814" s="259" t="s">
        <v>1314</v>
      </c>
      <c r="AB814" s="20" t="s">
        <v>1061</v>
      </c>
      <c r="AC814">
        <f t="shared" ref="AC814:AC877" si="25">M814*$AC$44</f>
        <v>3855000000</v>
      </c>
      <c r="AE814" s="18" t="s">
        <v>1315</v>
      </c>
      <c r="AF814" s="1" t="b">
        <v>1</v>
      </c>
    </row>
    <row r="815" spans="2:32" ht="16.5" customHeight="1">
      <c r="B815" s="1" t="str">
        <f t="shared" si="24"/>
        <v>M_TDIF04_VM_BKT_1.3_772</v>
      </c>
      <c r="C815" s="92" t="s">
        <v>700</v>
      </c>
      <c r="D815" s="92" t="str" cm="1">
        <f t="array" ref="D815">INDEX(기계코드!$D$4:$D$214,MATCH(1,(C815=기계코드!$F$4:$F$214)*1,0))</f>
        <v>M_TDIF04</v>
      </c>
      <c r="E815" s="92" t="s">
        <v>1128</v>
      </c>
      <c r="F815" s="7" t="str" cm="1">
        <f t="array" ref="F815">INDEX(공급업체코드!$B$3:$B$1000,MATCH(1,(E815=공급업체코드!$D$3:$D$1000)*1,0))</f>
        <v>VM_BKT</v>
      </c>
      <c r="G815" s="18" t="s">
        <v>1881</v>
      </c>
      <c r="H815" s="64"/>
      <c r="I815" s="64"/>
      <c r="J815" s="64"/>
      <c r="K815" s="300">
        <v>1.1000000000000001</v>
      </c>
      <c r="L815" s="300">
        <v>1.3</v>
      </c>
      <c r="M815" s="64">
        <v>772</v>
      </c>
      <c r="N815" s="64"/>
      <c r="O815" s="64"/>
      <c r="P815" s="64"/>
      <c r="Q815" s="64"/>
      <c r="R815" s="70"/>
      <c r="T815" s="64"/>
      <c r="X815">
        <v>0.123</v>
      </c>
      <c r="Y815" s="258" t="s">
        <v>1313</v>
      </c>
      <c r="AA815" s="259" t="s">
        <v>1314</v>
      </c>
      <c r="AB815" s="20" t="s">
        <v>1061</v>
      </c>
      <c r="AC815">
        <f t="shared" si="25"/>
        <v>3860000000</v>
      </c>
      <c r="AE815" s="18" t="s">
        <v>1315</v>
      </c>
      <c r="AF815" s="1" t="b">
        <v>1</v>
      </c>
    </row>
    <row r="816" spans="2:32" ht="16.5" customHeight="1">
      <c r="B816" s="1" t="str">
        <f t="shared" si="24"/>
        <v>M_TDIF04_VM_BKT_1.3_773</v>
      </c>
      <c r="C816" s="92" t="s">
        <v>700</v>
      </c>
      <c r="D816" s="92" t="str" cm="1">
        <f t="array" ref="D816">INDEX(기계코드!$D$4:$D$214,MATCH(1,(C816=기계코드!$F$4:$F$214)*1,0))</f>
        <v>M_TDIF04</v>
      </c>
      <c r="E816" s="92" t="s">
        <v>1128</v>
      </c>
      <c r="F816" s="7" t="str" cm="1">
        <f t="array" ref="F816">INDEX(공급업체코드!$B$3:$B$1000,MATCH(1,(E816=공급업체코드!$D$3:$D$1000)*1,0))</f>
        <v>VM_BKT</v>
      </c>
      <c r="G816" s="18" t="s">
        <v>1881</v>
      </c>
      <c r="H816" s="64"/>
      <c r="I816" s="64"/>
      <c r="J816" s="64"/>
      <c r="K816" s="300">
        <v>1.1000000000000001</v>
      </c>
      <c r="L816" s="300">
        <v>1.3</v>
      </c>
      <c r="M816" s="64">
        <v>773</v>
      </c>
      <c r="N816" s="64"/>
      <c r="O816" s="64"/>
      <c r="P816" s="64"/>
      <c r="Q816" s="64"/>
      <c r="R816" s="70"/>
      <c r="T816" s="64"/>
      <c r="X816">
        <v>0.123</v>
      </c>
      <c r="Y816" s="258" t="s">
        <v>1313</v>
      </c>
      <c r="AA816" s="259" t="s">
        <v>1314</v>
      </c>
      <c r="AB816" s="20" t="s">
        <v>1061</v>
      </c>
      <c r="AC816">
        <f t="shared" si="25"/>
        <v>3865000000</v>
      </c>
      <c r="AE816" s="18" t="s">
        <v>1315</v>
      </c>
      <c r="AF816" s="1" t="b">
        <v>1</v>
      </c>
    </row>
    <row r="817" spans="2:32" ht="16.5" customHeight="1">
      <c r="B817" s="1" t="str">
        <f t="shared" si="24"/>
        <v>M_TDIF04_VM_BKT_1.3_774</v>
      </c>
      <c r="C817" s="92" t="s">
        <v>700</v>
      </c>
      <c r="D817" s="92" t="str" cm="1">
        <f t="array" ref="D817">INDEX(기계코드!$D$4:$D$214,MATCH(1,(C817=기계코드!$F$4:$F$214)*1,0))</f>
        <v>M_TDIF04</v>
      </c>
      <c r="E817" s="92" t="s">
        <v>1128</v>
      </c>
      <c r="F817" s="7" t="str" cm="1">
        <f t="array" ref="F817">INDEX(공급업체코드!$B$3:$B$1000,MATCH(1,(E817=공급업체코드!$D$3:$D$1000)*1,0))</f>
        <v>VM_BKT</v>
      </c>
      <c r="G817" s="18" t="s">
        <v>1881</v>
      </c>
      <c r="H817" s="64"/>
      <c r="I817" s="64"/>
      <c r="J817" s="64"/>
      <c r="K817" s="300">
        <v>1.1000000000000001</v>
      </c>
      <c r="L817" s="300">
        <v>1.3</v>
      </c>
      <c r="M817" s="64">
        <v>774</v>
      </c>
      <c r="N817" s="64"/>
      <c r="O817" s="64"/>
      <c r="P817" s="64"/>
      <c r="Q817" s="64"/>
      <c r="R817" s="70"/>
      <c r="T817" s="64"/>
      <c r="X817">
        <v>0.123</v>
      </c>
      <c r="Y817" s="258" t="s">
        <v>1313</v>
      </c>
      <c r="AA817" s="259" t="s">
        <v>1314</v>
      </c>
      <c r="AB817" s="20" t="s">
        <v>1061</v>
      </c>
      <c r="AC817">
        <f t="shared" si="25"/>
        <v>3870000000</v>
      </c>
      <c r="AE817" s="18" t="s">
        <v>1315</v>
      </c>
      <c r="AF817" s="1" t="b">
        <v>1</v>
      </c>
    </row>
    <row r="818" spans="2:32" ht="16.5" customHeight="1">
      <c r="B818" s="1" t="str">
        <f t="shared" si="24"/>
        <v>M_TDIF04_VM_BKT_1.3_775</v>
      </c>
      <c r="C818" s="92" t="s">
        <v>700</v>
      </c>
      <c r="D818" s="92" t="str" cm="1">
        <f t="array" ref="D818">INDEX(기계코드!$D$4:$D$214,MATCH(1,(C818=기계코드!$F$4:$F$214)*1,0))</f>
        <v>M_TDIF04</v>
      </c>
      <c r="E818" s="92" t="s">
        <v>1128</v>
      </c>
      <c r="F818" s="7" t="str" cm="1">
        <f t="array" ref="F818">INDEX(공급업체코드!$B$3:$B$1000,MATCH(1,(E818=공급업체코드!$D$3:$D$1000)*1,0))</f>
        <v>VM_BKT</v>
      </c>
      <c r="G818" s="18" t="s">
        <v>1881</v>
      </c>
      <c r="H818" s="64"/>
      <c r="I818" s="64"/>
      <c r="J818" s="64"/>
      <c r="K818" s="300">
        <v>1.1000000000000001</v>
      </c>
      <c r="L818" s="300">
        <v>1.3</v>
      </c>
      <c r="M818" s="64">
        <v>775</v>
      </c>
      <c r="N818" s="64"/>
      <c r="O818" s="64"/>
      <c r="P818" s="64"/>
      <c r="Q818" s="64"/>
      <c r="R818" s="70"/>
      <c r="T818" s="64"/>
      <c r="X818">
        <v>0.123</v>
      </c>
      <c r="Y818" s="258" t="s">
        <v>1313</v>
      </c>
      <c r="AA818" s="259" t="s">
        <v>1314</v>
      </c>
      <c r="AB818" s="20" t="s">
        <v>1061</v>
      </c>
      <c r="AC818">
        <f t="shared" si="25"/>
        <v>3875000000</v>
      </c>
      <c r="AE818" s="18" t="s">
        <v>1315</v>
      </c>
      <c r="AF818" s="1" t="b">
        <v>1</v>
      </c>
    </row>
    <row r="819" spans="2:32" ht="16.5" customHeight="1">
      <c r="B819" s="1" t="str">
        <f t="shared" si="24"/>
        <v>M_TDIF04_VM_BKT_1.3_776</v>
      </c>
      <c r="C819" s="92" t="s">
        <v>700</v>
      </c>
      <c r="D819" s="92" t="str" cm="1">
        <f t="array" ref="D819">INDEX(기계코드!$D$4:$D$214,MATCH(1,(C819=기계코드!$F$4:$F$214)*1,0))</f>
        <v>M_TDIF04</v>
      </c>
      <c r="E819" s="92" t="s">
        <v>1128</v>
      </c>
      <c r="F819" s="7" t="str" cm="1">
        <f t="array" ref="F819">INDEX(공급업체코드!$B$3:$B$1000,MATCH(1,(E819=공급업체코드!$D$3:$D$1000)*1,0))</f>
        <v>VM_BKT</v>
      </c>
      <c r="G819" s="18" t="s">
        <v>1881</v>
      </c>
      <c r="H819" s="64"/>
      <c r="I819" s="64"/>
      <c r="J819" s="64"/>
      <c r="K819" s="300">
        <v>1.1000000000000001</v>
      </c>
      <c r="L819" s="300">
        <v>1.3</v>
      </c>
      <c r="M819" s="64">
        <v>776</v>
      </c>
      <c r="N819" s="64"/>
      <c r="O819" s="64"/>
      <c r="P819" s="64"/>
      <c r="Q819" s="64"/>
      <c r="R819" s="70"/>
      <c r="T819" s="64"/>
      <c r="X819">
        <v>0.123</v>
      </c>
      <c r="Y819" s="258" t="s">
        <v>1313</v>
      </c>
      <c r="AA819" s="259" t="s">
        <v>1314</v>
      </c>
      <c r="AB819" s="20" t="s">
        <v>1061</v>
      </c>
      <c r="AC819">
        <f t="shared" si="25"/>
        <v>3880000000</v>
      </c>
      <c r="AE819" s="18" t="s">
        <v>1315</v>
      </c>
      <c r="AF819" s="1" t="b">
        <v>1</v>
      </c>
    </row>
    <row r="820" spans="2:32" ht="16.5" customHeight="1">
      <c r="B820" s="1" t="str">
        <f t="shared" si="24"/>
        <v>M_TDIF04_VM_BKT_1.3_777</v>
      </c>
      <c r="C820" s="92" t="s">
        <v>700</v>
      </c>
      <c r="D820" s="92" t="str" cm="1">
        <f t="array" ref="D820">INDEX(기계코드!$D$4:$D$214,MATCH(1,(C820=기계코드!$F$4:$F$214)*1,0))</f>
        <v>M_TDIF04</v>
      </c>
      <c r="E820" s="92" t="s">
        <v>1128</v>
      </c>
      <c r="F820" s="7" t="str" cm="1">
        <f t="array" ref="F820">INDEX(공급업체코드!$B$3:$B$1000,MATCH(1,(E820=공급업체코드!$D$3:$D$1000)*1,0))</f>
        <v>VM_BKT</v>
      </c>
      <c r="G820" s="18" t="s">
        <v>1881</v>
      </c>
      <c r="H820" s="64"/>
      <c r="I820" s="64"/>
      <c r="J820" s="64"/>
      <c r="K820" s="300">
        <v>1.1000000000000001</v>
      </c>
      <c r="L820" s="300">
        <v>1.3</v>
      </c>
      <c r="M820" s="64">
        <v>777</v>
      </c>
      <c r="N820" s="64"/>
      <c r="O820" s="64"/>
      <c r="P820" s="64"/>
      <c r="Q820" s="64"/>
      <c r="R820" s="70"/>
      <c r="T820" s="64"/>
      <c r="X820">
        <v>0.123</v>
      </c>
      <c r="Y820" s="258" t="s">
        <v>1313</v>
      </c>
      <c r="AA820" s="259" t="s">
        <v>1314</v>
      </c>
      <c r="AB820" s="20" t="s">
        <v>1061</v>
      </c>
      <c r="AC820">
        <f t="shared" si="25"/>
        <v>3885000000</v>
      </c>
      <c r="AE820" s="18" t="s">
        <v>1315</v>
      </c>
      <c r="AF820" s="1" t="b">
        <v>1</v>
      </c>
    </row>
    <row r="821" spans="2:32" ht="16.5" customHeight="1">
      <c r="B821" s="1" t="str">
        <f t="shared" si="24"/>
        <v>M_TDIF04_VM_BKT_1.3_778</v>
      </c>
      <c r="C821" s="92" t="s">
        <v>700</v>
      </c>
      <c r="D821" s="92" t="str" cm="1">
        <f t="array" ref="D821">INDEX(기계코드!$D$4:$D$214,MATCH(1,(C821=기계코드!$F$4:$F$214)*1,0))</f>
        <v>M_TDIF04</v>
      </c>
      <c r="E821" s="92" t="s">
        <v>1128</v>
      </c>
      <c r="F821" s="7" t="str" cm="1">
        <f t="array" ref="F821">INDEX(공급업체코드!$B$3:$B$1000,MATCH(1,(E821=공급업체코드!$D$3:$D$1000)*1,0))</f>
        <v>VM_BKT</v>
      </c>
      <c r="G821" s="18" t="s">
        <v>1881</v>
      </c>
      <c r="H821" s="64"/>
      <c r="I821" s="64"/>
      <c r="J821" s="64"/>
      <c r="K821" s="300">
        <v>1.1000000000000001</v>
      </c>
      <c r="L821" s="300">
        <v>1.3</v>
      </c>
      <c r="M821" s="64">
        <v>778</v>
      </c>
      <c r="N821" s="64"/>
      <c r="O821" s="64"/>
      <c r="P821" s="64"/>
      <c r="Q821" s="64"/>
      <c r="R821" s="70"/>
      <c r="T821" s="64"/>
      <c r="X821">
        <v>0.123</v>
      </c>
      <c r="Y821" s="258" t="s">
        <v>1313</v>
      </c>
      <c r="AA821" s="259" t="s">
        <v>1314</v>
      </c>
      <c r="AB821" s="20" t="s">
        <v>1061</v>
      </c>
      <c r="AC821">
        <f t="shared" si="25"/>
        <v>3890000000</v>
      </c>
      <c r="AE821" s="18" t="s">
        <v>1315</v>
      </c>
      <c r="AF821" s="1" t="b">
        <v>1</v>
      </c>
    </row>
    <row r="822" spans="2:32" ht="16.5" customHeight="1">
      <c r="B822" s="1" t="str">
        <f t="shared" si="24"/>
        <v>M_TDIF04_VM_BKT_1.3_779</v>
      </c>
      <c r="C822" s="92" t="s">
        <v>700</v>
      </c>
      <c r="D822" s="92" t="str" cm="1">
        <f t="array" ref="D822">INDEX(기계코드!$D$4:$D$214,MATCH(1,(C822=기계코드!$F$4:$F$214)*1,0))</f>
        <v>M_TDIF04</v>
      </c>
      <c r="E822" s="92" t="s">
        <v>1128</v>
      </c>
      <c r="F822" s="7" t="str" cm="1">
        <f t="array" ref="F822">INDEX(공급업체코드!$B$3:$B$1000,MATCH(1,(E822=공급업체코드!$D$3:$D$1000)*1,0))</f>
        <v>VM_BKT</v>
      </c>
      <c r="G822" s="18" t="s">
        <v>1881</v>
      </c>
      <c r="H822" s="64"/>
      <c r="I822" s="64"/>
      <c r="J822" s="64"/>
      <c r="K822" s="300">
        <v>1.1000000000000001</v>
      </c>
      <c r="L822" s="300">
        <v>1.3</v>
      </c>
      <c r="M822" s="64">
        <v>779</v>
      </c>
      <c r="N822" s="64"/>
      <c r="O822" s="64"/>
      <c r="P822" s="64"/>
      <c r="Q822" s="64"/>
      <c r="R822" s="70"/>
      <c r="T822" s="64"/>
      <c r="X822">
        <v>0.123</v>
      </c>
      <c r="Y822" s="258" t="s">
        <v>1313</v>
      </c>
      <c r="AA822" s="259" t="s">
        <v>1314</v>
      </c>
      <c r="AB822" s="20" t="s">
        <v>1061</v>
      </c>
      <c r="AC822">
        <f t="shared" si="25"/>
        <v>3895000000</v>
      </c>
      <c r="AE822" s="18" t="s">
        <v>1315</v>
      </c>
      <c r="AF822" s="1" t="b">
        <v>1</v>
      </c>
    </row>
    <row r="823" spans="2:32" ht="16.5" customHeight="1">
      <c r="B823" s="1" t="str">
        <f t="shared" si="24"/>
        <v>M_TDIF04_VM_BKT_1.3_780</v>
      </c>
      <c r="C823" s="92" t="s">
        <v>700</v>
      </c>
      <c r="D823" s="92" t="str" cm="1">
        <f t="array" ref="D823">INDEX(기계코드!$D$4:$D$214,MATCH(1,(C823=기계코드!$F$4:$F$214)*1,0))</f>
        <v>M_TDIF04</v>
      </c>
      <c r="E823" s="92" t="s">
        <v>1128</v>
      </c>
      <c r="F823" s="7" t="str" cm="1">
        <f t="array" ref="F823">INDEX(공급업체코드!$B$3:$B$1000,MATCH(1,(E823=공급업체코드!$D$3:$D$1000)*1,0))</f>
        <v>VM_BKT</v>
      </c>
      <c r="G823" s="18" t="s">
        <v>1881</v>
      </c>
      <c r="H823" s="64"/>
      <c r="I823" s="64"/>
      <c r="J823" s="64"/>
      <c r="K823" s="300">
        <v>1.1000000000000001</v>
      </c>
      <c r="L823" s="300">
        <v>1.3</v>
      </c>
      <c r="M823" s="64">
        <v>780</v>
      </c>
      <c r="N823" s="64"/>
      <c r="O823" s="64"/>
      <c r="P823" s="64"/>
      <c r="Q823" s="64"/>
      <c r="R823" s="70"/>
      <c r="T823" s="64"/>
      <c r="X823">
        <v>0.123</v>
      </c>
      <c r="Y823" s="258" t="s">
        <v>1313</v>
      </c>
      <c r="AA823" s="259" t="s">
        <v>1314</v>
      </c>
      <c r="AB823" s="20" t="s">
        <v>1061</v>
      </c>
      <c r="AC823">
        <f t="shared" si="25"/>
        <v>3900000000</v>
      </c>
      <c r="AE823" s="18" t="s">
        <v>1315</v>
      </c>
      <c r="AF823" s="1" t="b">
        <v>1</v>
      </c>
    </row>
    <row r="824" spans="2:32" ht="16.5" customHeight="1">
      <c r="B824" s="1" t="str">
        <f t="shared" si="24"/>
        <v>M_TDIF04_VM_BKT_1.3_781</v>
      </c>
      <c r="C824" s="92" t="s">
        <v>700</v>
      </c>
      <c r="D824" s="92" t="str" cm="1">
        <f t="array" ref="D824">INDEX(기계코드!$D$4:$D$214,MATCH(1,(C824=기계코드!$F$4:$F$214)*1,0))</f>
        <v>M_TDIF04</v>
      </c>
      <c r="E824" s="92" t="s">
        <v>1128</v>
      </c>
      <c r="F824" s="7" t="str" cm="1">
        <f t="array" ref="F824">INDEX(공급업체코드!$B$3:$B$1000,MATCH(1,(E824=공급업체코드!$D$3:$D$1000)*1,0))</f>
        <v>VM_BKT</v>
      </c>
      <c r="G824" s="18" t="s">
        <v>1881</v>
      </c>
      <c r="H824" s="64"/>
      <c r="I824" s="64"/>
      <c r="J824" s="64"/>
      <c r="K824" s="300">
        <v>1.1000000000000001</v>
      </c>
      <c r="L824" s="300">
        <v>1.3</v>
      </c>
      <c r="M824" s="64">
        <v>781</v>
      </c>
      <c r="N824" s="64"/>
      <c r="O824" s="64"/>
      <c r="P824" s="64"/>
      <c r="Q824" s="64"/>
      <c r="R824" s="70"/>
      <c r="T824" s="64"/>
      <c r="X824">
        <v>0.123</v>
      </c>
      <c r="Y824" s="258" t="s">
        <v>1313</v>
      </c>
      <c r="AA824" s="259" t="s">
        <v>1314</v>
      </c>
      <c r="AB824" s="20" t="s">
        <v>1061</v>
      </c>
      <c r="AC824">
        <f t="shared" si="25"/>
        <v>3905000000</v>
      </c>
      <c r="AE824" s="18" t="s">
        <v>1315</v>
      </c>
      <c r="AF824" s="1" t="b">
        <v>1</v>
      </c>
    </row>
    <row r="825" spans="2:32" ht="16.5" customHeight="1">
      <c r="B825" s="1" t="str">
        <f t="shared" si="24"/>
        <v>M_TDIF04_VM_BKT_1.3_782</v>
      </c>
      <c r="C825" s="92" t="s">
        <v>700</v>
      </c>
      <c r="D825" s="92" t="str" cm="1">
        <f t="array" ref="D825">INDEX(기계코드!$D$4:$D$214,MATCH(1,(C825=기계코드!$F$4:$F$214)*1,0))</f>
        <v>M_TDIF04</v>
      </c>
      <c r="E825" s="92" t="s">
        <v>1128</v>
      </c>
      <c r="F825" s="7" t="str" cm="1">
        <f t="array" ref="F825">INDEX(공급업체코드!$B$3:$B$1000,MATCH(1,(E825=공급업체코드!$D$3:$D$1000)*1,0))</f>
        <v>VM_BKT</v>
      </c>
      <c r="G825" s="18" t="s">
        <v>1881</v>
      </c>
      <c r="H825" s="64"/>
      <c r="I825" s="64"/>
      <c r="J825" s="64"/>
      <c r="K825" s="300">
        <v>1.1000000000000001</v>
      </c>
      <c r="L825" s="300">
        <v>1.3</v>
      </c>
      <c r="M825" s="64">
        <v>782</v>
      </c>
      <c r="N825" s="64"/>
      <c r="O825" s="64"/>
      <c r="P825" s="64"/>
      <c r="Q825" s="64"/>
      <c r="R825" s="70"/>
      <c r="T825" s="64"/>
      <c r="X825">
        <v>0.123</v>
      </c>
      <c r="Y825" s="258" t="s">
        <v>1313</v>
      </c>
      <c r="AA825" s="259" t="s">
        <v>1314</v>
      </c>
      <c r="AB825" s="20" t="s">
        <v>1061</v>
      </c>
      <c r="AC825">
        <f t="shared" si="25"/>
        <v>3910000000</v>
      </c>
      <c r="AE825" s="18" t="s">
        <v>1315</v>
      </c>
      <c r="AF825" s="1" t="b">
        <v>1</v>
      </c>
    </row>
    <row r="826" spans="2:32" ht="16.5" customHeight="1">
      <c r="B826" s="1" t="str">
        <f t="shared" si="24"/>
        <v>M_TDIF04_VM_BKT_1.3_783</v>
      </c>
      <c r="C826" s="92" t="s">
        <v>700</v>
      </c>
      <c r="D826" s="92" t="str" cm="1">
        <f t="array" ref="D826">INDEX(기계코드!$D$4:$D$214,MATCH(1,(C826=기계코드!$F$4:$F$214)*1,0))</f>
        <v>M_TDIF04</v>
      </c>
      <c r="E826" s="92" t="s">
        <v>1128</v>
      </c>
      <c r="F826" s="7" t="str" cm="1">
        <f t="array" ref="F826">INDEX(공급업체코드!$B$3:$B$1000,MATCH(1,(E826=공급업체코드!$D$3:$D$1000)*1,0))</f>
        <v>VM_BKT</v>
      </c>
      <c r="G826" s="18" t="s">
        <v>1881</v>
      </c>
      <c r="H826" s="64"/>
      <c r="I826" s="64"/>
      <c r="J826" s="64"/>
      <c r="K826" s="300">
        <v>1.1000000000000001</v>
      </c>
      <c r="L826" s="300">
        <v>1.3</v>
      </c>
      <c r="M826" s="64">
        <v>783</v>
      </c>
      <c r="N826" s="64"/>
      <c r="O826" s="64"/>
      <c r="P826" s="64"/>
      <c r="Q826" s="64"/>
      <c r="R826" s="70"/>
      <c r="T826" s="64"/>
      <c r="X826">
        <v>0.123</v>
      </c>
      <c r="Y826" s="258" t="s">
        <v>1313</v>
      </c>
      <c r="AA826" s="259" t="s">
        <v>1314</v>
      </c>
      <c r="AB826" s="20" t="s">
        <v>1061</v>
      </c>
      <c r="AC826">
        <f t="shared" si="25"/>
        <v>3915000000</v>
      </c>
      <c r="AE826" s="18" t="s">
        <v>1315</v>
      </c>
      <c r="AF826" s="1" t="b">
        <v>1</v>
      </c>
    </row>
    <row r="827" spans="2:32" ht="16.5" customHeight="1">
      <c r="B827" s="1" t="str">
        <f t="shared" si="24"/>
        <v>M_TDIF04_VM_BKT_1.3_784</v>
      </c>
      <c r="C827" s="92" t="s">
        <v>700</v>
      </c>
      <c r="D827" s="92" t="str" cm="1">
        <f t="array" ref="D827">INDEX(기계코드!$D$4:$D$214,MATCH(1,(C827=기계코드!$F$4:$F$214)*1,0))</f>
        <v>M_TDIF04</v>
      </c>
      <c r="E827" s="92" t="s">
        <v>1128</v>
      </c>
      <c r="F827" s="7" t="str" cm="1">
        <f t="array" ref="F827">INDEX(공급업체코드!$B$3:$B$1000,MATCH(1,(E827=공급업체코드!$D$3:$D$1000)*1,0))</f>
        <v>VM_BKT</v>
      </c>
      <c r="G827" s="18" t="s">
        <v>1881</v>
      </c>
      <c r="H827" s="64"/>
      <c r="I827" s="64"/>
      <c r="J827" s="64"/>
      <c r="K827" s="300">
        <v>1.1000000000000001</v>
      </c>
      <c r="L827" s="300">
        <v>1.3</v>
      </c>
      <c r="M827" s="64">
        <v>784</v>
      </c>
      <c r="N827" s="64"/>
      <c r="O827" s="64"/>
      <c r="P827" s="64"/>
      <c r="Q827" s="64"/>
      <c r="R827" s="70"/>
      <c r="T827" s="64"/>
      <c r="X827">
        <v>0.123</v>
      </c>
      <c r="Y827" s="258" t="s">
        <v>1313</v>
      </c>
      <c r="AA827" s="259" t="s">
        <v>1314</v>
      </c>
      <c r="AB827" s="20" t="s">
        <v>1061</v>
      </c>
      <c r="AC827">
        <f t="shared" si="25"/>
        <v>3920000000</v>
      </c>
      <c r="AE827" s="18" t="s">
        <v>1315</v>
      </c>
      <c r="AF827" s="1" t="b">
        <v>1</v>
      </c>
    </row>
    <row r="828" spans="2:32" ht="16.5" customHeight="1">
      <c r="B828" s="1" t="str">
        <f t="shared" si="24"/>
        <v>M_TDIF04_VM_BKT_1.3_785</v>
      </c>
      <c r="C828" s="92" t="s">
        <v>700</v>
      </c>
      <c r="D828" s="92" t="str" cm="1">
        <f t="array" ref="D828">INDEX(기계코드!$D$4:$D$214,MATCH(1,(C828=기계코드!$F$4:$F$214)*1,0))</f>
        <v>M_TDIF04</v>
      </c>
      <c r="E828" s="92" t="s">
        <v>1128</v>
      </c>
      <c r="F828" s="7" t="str" cm="1">
        <f t="array" ref="F828">INDEX(공급업체코드!$B$3:$B$1000,MATCH(1,(E828=공급업체코드!$D$3:$D$1000)*1,0))</f>
        <v>VM_BKT</v>
      </c>
      <c r="G828" s="18" t="s">
        <v>1881</v>
      </c>
      <c r="H828" s="64"/>
      <c r="I828" s="64"/>
      <c r="J828" s="64"/>
      <c r="K828" s="300">
        <v>1.1000000000000001</v>
      </c>
      <c r="L828" s="300">
        <v>1.3</v>
      </c>
      <c r="M828" s="64">
        <v>785</v>
      </c>
      <c r="N828" s="64"/>
      <c r="O828" s="64"/>
      <c r="P828" s="64"/>
      <c r="Q828" s="64"/>
      <c r="R828" s="70"/>
      <c r="T828" s="64"/>
      <c r="X828">
        <v>0.123</v>
      </c>
      <c r="Y828" s="258" t="s">
        <v>1313</v>
      </c>
      <c r="AA828" s="259" t="s">
        <v>1314</v>
      </c>
      <c r="AB828" s="20" t="s">
        <v>1061</v>
      </c>
      <c r="AC828">
        <f t="shared" si="25"/>
        <v>3925000000</v>
      </c>
      <c r="AE828" s="18" t="s">
        <v>1315</v>
      </c>
      <c r="AF828" s="1" t="b">
        <v>1</v>
      </c>
    </row>
    <row r="829" spans="2:32" ht="16.5" customHeight="1">
      <c r="B829" s="1" t="str">
        <f t="shared" si="24"/>
        <v>M_TDIF04_VM_BKT_1.3_786</v>
      </c>
      <c r="C829" s="92" t="s">
        <v>700</v>
      </c>
      <c r="D829" s="92" t="str" cm="1">
        <f t="array" ref="D829">INDEX(기계코드!$D$4:$D$214,MATCH(1,(C829=기계코드!$F$4:$F$214)*1,0))</f>
        <v>M_TDIF04</v>
      </c>
      <c r="E829" s="92" t="s">
        <v>1128</v>
      </c>
      <c r="F829" s="7" t="str" cm="1">
        <f t="array" ref="F829">INDEX(공급업체코드!$B$3:$B$1000,MATCH(1,(E829=공급업체코드!$D$3:$D$1000)*1,0))</f>
        <v>VM_BKT</v>
      </c>
      <c r="G829" s="18" t="s">
        <v>1881</v>
      </c>
      <c r="H829" s="64"/>
      <c r="I829" s="64"/>
      <c r="J829" s="64"/>
      <c r="K829" s="300">
        <v>1.1000000000000001</v>
      </c>
      <c r="L829" s="300">
        <v>1.3</v>
      </c>
      <c r="M829" s="64">
        <v>786</v>
      </c>
      <c r="N829" s="64"/>
      <c r="O829" s="64"/>
      <c r="P829" s="64"/>
      <c r="Q829" s="64"/>
      <c r="R829" s="70"/>
      <c r="T829" s="64"/>
      <c r="X829">
        <v>0.123</v>
      </c>
      <c r="Y829" s="258" t="s">
        <v>1313</v>
      </c>
      <c r="AA829" s="259" t="s">
        <v>1314</v>
      </c>
      <c r="AB829" s="20" t="s">
        <v>1061</v>
      </c>
      <c r="AC829">
        <f t="shared" si="25"/>
        <v>3930000000</v>
      </c>
      <c r="AE829" s="18" t="s">
        <v>1315</v>
      </c>
      <c r="AF829" s="1" t="b">
        <v>1</v>
      </c>
    </row>
    <row r="830" spans="2:32" ht="16.5" customHeight="1">
      <c r="B830" s="1" t="str">
        <f t="shared" si="24"/>
        <v>M_TDIF04_VM_BKT_1.3_787</v>
      </c>
      <c r="C830" s="92" t="s">
        <v>700</v>
      </c>
      <c r="D830" s="92" t="str" cm="1">
        <f t="array" ref="D830">INDEX(기계코드!$D$4:$D$214,MATCH(1,(C830=기계코드!$F$4:$F$214)*1,0))</f>
        <v>M_TDIF04</v>
      </c>
      <c r="E830" s="92" t="s">
        <v>1128</v>
      </c>
      <c r="F830" s="7" t="str" cm="1">
        <f t="array" ref="F830">INDEX(공급업체코드!$B$3:$B$1000,MATCH(1,(E830=공급업체코드!$D$3:$D$1000)*1,0))</f>
        <v>VM_BKT</v>
      </c>
      <c r="G830" s="18" t="s">
        <v>1881</v>
      </c>
      <c r="H830" s="64"/>
      <c r="I830" s="64"/>
      <c r="J830" s="64"/>
      <c r="K830" s="300">
        <v>1.1000000000000001</v>
      </c>
      <c r="L830" s="300">
        <v>1.3</v>
      </c>
      <c r="M830" s="64">
        <v>787</v>
      </c>
      <c r="N830" s="64"/>
      <c r="O830" s="64"/>
      <c r="P830" s="64"/>
      <c r="Q830" s="64"/>
      <c r="R830" s="70"/>
      <c r="T830" s="64"/>
      <c r="X830">
        <v>0.123</v>
      </c>
      <c r="Y830" s="258" t="s">
        <v>1313</v>
      </c>
      <c r="AA830" s="259" t="s">
        <v>1314</v>
      </c>
      <c r="AB830" s="20" t="s">
        <v>1061</v>
      </c>
      <c r="AC830">
        <f t="shared" si="25"/>
        <v>3935000000</v>
      </c>
      <c r="AE830" s="18" t="s">
        <v>1315</v>
      </c>
      <c r="AF830" s="1" t="b">
        <v>1</v>
      </c>
    </row>
    <row r="831" spans="2:32" ht="16.5" customHeight="1">
      <c r="B831" s="1" t="str">
        <f t="shared" si="24"/>
        <v>M_TDIF04_VM_BKT_1.3_788</v>
      </c>
      <c r="C831" s="92" t="s">
        <v>700</v>
      </c>
      <c r="D831" s="92" t="str" cm="1">
        <f t="array" ref="D831">INDEX(기계코드!$D$4:$D$214,MATCH(1,(C831=기계코드!$F$4:$F$214)*1,0))</f>
        <v>M_TDIF04</v>
      </c>
      <c r="E831" s="92" t="s">
        <v>1128</v>
      </c>
      <c r="F831" s="7" t="str" cm="1">
        <f t="array" ref="F831">INDEX(공급업체코드!$B$3:$B$1000,MATCH(1,(E831=공급업체코드!$D$3:$D$1000)*1,0))</f>
        <v>VM_BKT</v>
      </c>
      <c r="G831" s="18" t="s">
        <v>1881</v>
      </c>
      <c r="H831" s="64"/>
      <c r="I831" s="64"/>
      <c r="J831" s="64"/>
      <c r="K831" s="300">
        <v>1.1000000000000001</v>
      </c>
      <c r="L831" s="300">
        <v>1.3</v>
      </c>
      <c r="M831" s="64">
        <v>788</v>
      </c>
      <c r="N831" s="64"/>
      <c r="O831" s="64"/>
      <c r="P831" s="64"/>
      <c r="Q831" s="64"/>
      <c r="R831" s="70"/>
      <c r="T831" s="64"/>
      <c r="X831">
        <v>0.123</v>
      </c>
      <c r="Y831" s="258" t="s">
        <v>1313</v>
      </c>
      <c r="AA831" s="259" t="s">
        <v>1314</v>
      </c>
      <c r="AB831" s="20" t="s">
        <v>1061</v>
      </c>
      <c r="AC831">
        <f t="shared" si="25"/>
        <v>3940000000</v>
      </c>
      <c r="AE831" s="18" t="s">
        <v>1315</v>
      </c>
      <c r="AF831" s="1" t="b">
        <v>1</v>
      </c>
    </row>
    <row r="832" spans="2:32" ht="16.5" customHeight="1">
      <c r="B832" s="1" t="str">
        <f t="shared" si="24"/>
        <v>M_TDIF04_VM_BKT_1.3_789</v>
      </c>
      <c r="C832" s="92" t="s">
        <v>700</v>
      </c>
      <c r="D832" s="92" t="str" cm="1">
        <f t="array" ref="D832">INDEX(기계코드!$D$4:$D$214,MATCH(1,(C832=기계코드!$F$4:$F$214)*1,0))</f>
        <v>M_TDIF04</v>
      </c>
      <c r="E832" s="92" t="s">
        <v>1128</v>
      </c>
      <c r="F832" s="7" t="str" cm="1">
        <f t="array" ref="F832">INDEX(공급업체코드!$B$3:$B$1000,MATCH(1,(E832=공급업체코드!$D$3:$D$1000)*1,0))</f>
        <v>VM_BKT</v>
      </c>
      <c r="G832" s="18" t="s">
        <v>1881</v>
      </c>
      <c r="H832" s="64"/>
      <c r="I832" s="64"/>
      <c r="J832" s="64"/>
      <c r="K832" s="300">
        <v>1.1000000000000001</v>
      </c>
      <c r="L832" s="300">
        <v>1.3</v>
      </c>
      <c r="M832" s="64">
        <v>789</v>
      </c>
      <c r="N832" s="64"/>
      <c r="O832" s="64"/>
      <c r="P832" s="64"/>
      <c r="Q832" s="64"/>
      <c r="R832" s="70"/>
      <c r="T832" s="64"/>
      <c r="X832">
        <v>0.123</v>
      </c>
      <c r="Y832" s="258" t="s">
        <v>1313</v>
      </c>
      <c r="AA832" s="259" t="s">
        <v>1314</v>
      </c>
      <c r="AB832" s="20" t="s">
        <v>1061</v>
      </c>
      <c r="AC832">
        <f t="shared" si="25"/>
        <v>3945000000</v>
      </c>
      <c r="AE832" s="18" t="s">
        <v>1315</v>
      </c>
      <c r="AF832" s="1" t="b">
        <v>1</v>
      </c>
    </row>
    <row r="833" spans="2:32" ht="16.5" customHeight="1">
      <c r="B833" s="1" t="str">
        <f t="shared" si="24"/>
        <v>M_TDIF04_VM_BKT_1.3_790</v>
      </c>
      <c r="C833" s="92" t="s">
        <v>700</v>
      </c>
      <c r="D833" s="92" t="str" cm="1">
        <f t="array" ref="D833">INDEX(기계코드!$D$4:$D$214,MATCH(1,(C833=기계코드!$F$4:$F$214)*1,0))</f>
        <v>M_TDIF04</v>
      </c>
      <c r="E833" s="92" t="s">
        <v>1128</v>
      </c>
      <c r="F833" s="7" t="str" cm="1">
        <f t="array" ref="F833">INDEX(공급업체코드!$B$3:$B$1000,MATCH(1,(E833=공급업체코드!$D$3:$D$1000)*1,0))</f>
        <v>VM_BKT</v>
      </c>
      <c r="G833" s="18" t="s">
        <v>1881</v>
      </c>
      <c r="H833" s="64"/>
      <c r="I833" s="64"/>
      <c r="J833" s="64"/>
      <c r="K833" s="300">
        <v>1.1000000000000001</v>
      </c>
      <c r="L833" s="300">
        <v>1.3</v>
      </c>
      <c r="M833" s="64">
        <v>790</v>
      </c>
      <c r="N833" s="64"/>
      <c r="O833" s="64"/>
      <c r="P833" s="64"/>
      <c r="Q833" s="64"/>
      <c r="R833" s="70"/>
      <c r="T833" s="64"/>
      <c r="X833">
        <v>0.123</v>
      </c>
      <c r="Y833" s="258" t="s">
        <v>1313</v>
      </c>
      <c r="AA833" s="259" t="s">
        <v>1314</v>
      </c>
      <c r="AB833" s="20" t="s">
        <v>1061</v>
      </c>
      <c r="AC833">
        <f t="shared" si="25"/>
        <v>3950000000</v>
      </c>
      <c r="AE833" s="18" t="s">
        <v>1315</v>
      </c>
      <c r="AF833" s="1" t="b">
        <v>1</v>
      </c>
    </row>
    <row r="834" spans="2:32" ht="16.5" customHeight="1">
      <c r="B834" s="1" t="str">
        <f t="shared" si="24"/>
        <v>M_TDIF04_VM_BKT_1.3_791</v>
      </c>
      <c r="C834" s="92" t="s">
        <v>700</v>
      </c>
      <c r="D834" s="92" t="str" cm="1">
        <f t="array" ref="D834">INDEX(기계코드!$D$4:$D$214,MATCH(1,(C834=기계코드!$F$4:$F$214)*1,0))</f>
        <v>M_TDIF04</v>
      </c>
      <c r="E834" s="92" t="s">
        <v>1128</v>
      </c>
      <c r="F834" s="7" t="str" cm="1">
        <f t="array" ref="F834">INDEX(공급업체코드!$B$3:$B$1000,MATCH(1,(E834=공급업체코드!$D$3:$D$1000)*1,0))</f>
        <v>VM_BKT</v>
      </c>
      <c r="G834" s="18" t="s">
        <v>1881</v>
      </c>
      <c r="H834" s="64"/>
      <c r="I834" s="64"/>
      <c r="J834" s="64"/>
      <c r="K834" s="300">
        <v>1.1000000000000001</v>
      </c>
      <c r="L834" s="300">
        <v>1.3</v>
      </c>
      <c r="M834" s="64">
        <v>791</v>
      </c>
      <c r="N834" s="64"/>
      <c r="O834" s="64"/>
      <c r="P834" s="64"/>
      <c r="Q834" s="64"/>
      <c r="R834" s="70"/>
      <c r="T834" s="64"/>
      <c r="X834">
        <v>0.123</v>
      </c>
      <c r="Y834" s="258" t="s">
        <v>1313</v>
      </c>
      <c r="AA834" s="259" t="s">
        <v>1314</v>
      </c>
      <c r="AB834" s="20" t="s">
        <v>1061</v>
      </c>
      <c r="AC834">
        <f t="shared" si="25"/>
        <v>3955000000</v>
      </c>
      <c r="AE834" s="18" t="s">
        <v>1315</v>
      </c>
      <c r="AF834" s="1" t="b">
        <v>1</v>
      </c>
    </row>
    <row r="835" spans="2:32" ht="16.5" customHeight="1">
      <c r="B835" s="1" t="str">
        <f t="shared" si="24"/>
        <v>M_TDIF04_VM_BKT_1.3_792</v>
      </c>
      <c r="C835" s="92" t="s">
        <v>700</v>
      </c>
      <c r="D835" s="92" t="str" cm="1">
        <f t="array" ref="D835">INDEX(기계코드!$D$4:$D$214,MATCH(1,(C835=기계코드!$F$4:$F$214)*1,0))</f>
        <v>M_TDIF04</v>
      </c>
      <c r="E835" s="92" t="s">
        <v>1128</v>
      </c>
      <c r="F835" s="7" t="str" cm="1">
        <f t="array" ref="F835">INDEX(공급업체코드!$B$3:$B$1000,MATCH(1,(E835=공급업체코드!$D$3:$D$1000)*1,0))</f>
        <v>VM_BKT</v>
      </c>
      <c r="G835" s="18" t="s">
        <v>1881</v>
      </c>
      <c r="H835" s="64"/>
      <c r="I835" s="64"/>
      <c r="J835" s="64"/>
      <c r="K835" s="300">
        <v>1.1000000000000001</v>
      </c>
      <c r="L835" s="300">
        <v>1.3</v>
      </c>
      <c r="M835" s="64">
        <v>792</v>
      </c>
      <c r="N835" s="64"/>
      <c r="O835" s="64"/>
      <c r="P835" s="64"/>
      <c r="Q835" s="64"/>
      <c r="R835" s="70"/>
      <c r="T835" s="64"/>
      <c r="X835">
        <v>0.123</v>
      </c>
      <c r="Y835" s="258" t="s">
        <v>1313</v>
      </c>
      <c r="AA835" s="259" t="s">
        <v>1314</v>
      </c>
      <c r="AB835" s="20" t="s">
        <v>1061</v>
      </c>
      <c r="AC835">
        <f t="shared" si="25"/>
        <v>3960000000</v>
      </c>
      <c r="AE835" s="18" t="s">
        <v>1315</v>
      </c>
      <c r="AF835" s="1" t="b">
        <v>1</v>
      </c>
    </row>
    <row r="836" spans="2:32" ht="16.5" customHeight="1">
      <c r="B836" s="1" t="str">
        <f t="shared" si="24"/>
        <v>M_TDIF04_VM_BKT_1.3_793</v>
      </c>
      <c r="C836" s="92" t="s">
        <v>700</v>
      </c>
      <c r="D836" s="92" t="str" cm="1">
        <f t="array" ref="D836">INDEX(기계코드!$D$4:$D$214,MATCH(1,(C836=기계코드!$F$4:$F$214)*1,0))</f>
        <v>M_TDIF04</v>
      </c>
      <c r="E836" s="92" t="s">
        <v>1128</v>
      </c>
      <c r="F836" s="7" t="str" cm="1">
        <f t="array" ref="F836">INDEX(공급업체코드!$B$3:$B$1000,MATCH(1,(E836=공급업체코드!$D$3:$D$1000)*1,0))</f>
        <v>VM_BKT</v>
      </c>
      <c r="G836" s="18" t="s">
        <v>1881</v>
      </c>
      <c r="H836" s="64"/>
      <c r="I836" s="64"/>
      <c r="J836" s="64"/>
      <c r="K836" s="300">
        <v>1.1000000000000001</v>
      </c>
      <c r="L836" s="300">
        <v>1.3</v>
      </c>
      <c r="M836" s="64">
        <v>793</v>
      </c>
      <c r="N836" s="64"/>
      <c r="O836" s="64"/>
      <c r="P836" s="64"/>
      <c r="Q836" s="64"/>
      <c r="R836" s="70"/>
      <c r="T836" s="64"/>
      <c r="X836">
        <v>0.123</v>
      </c>
      <c r="Y836" s="258" t="s">
        <v>1313</v>
      </c>
      <c r="AA836" s="259" t="s">
        <v>1314</v>
      </c>
      <c r="AB836" s="20" t="s">
        <v>1061</v>
      </c>
      <c r="AC836">
        <f t="shared" si="25"/>
        <v>3965000000</v>
      </c>
      <c r="AE836" s="18" t="s">
        <v>1315</v>
      </c>
      <c r="AF836" s="1" t="b">
        <v>1</v>
      </c>
    </row>
    <row r="837" spans="2:32" ht="16.5" customHeight="1">
      <c r="B837" s="1" t="str">
        <f t="shared" si="24"/>
        <v>M_TDIF04_VM_BKT_1.3_794</v>
      </c>
      <c r="C837" s="92" t="s">
        <v>700</v>
      </c>
      <c r="D837" s="92" t="str" cm="1">
        <f t="array" ref="D837">INDEX(기계코드!$D$4:$D$214,MATCH(1,(C837=기계코드!$F$4:$F$214)*1,0))</f>
        <v>M_TDIF04</v>
      </c>
      <c r="E837" s="92" t="s">
        <v>1128</v>
      </c>
      <c r="F837" s="7" t="str" cm="1">
        <f t="array" ref="F837">INDEX(공급업체코드!$B$3:$B$1000,MATCH(1,(E837=공급업체코드!$D$3:$D$1000)*1,0))</f>
        <v>VM_BKT</v>
      </c>
      <c r="G837" s="18" t="s">
        <v>1881</v>
      </c>
      <c r="H837" s="64"/>
      <c r="I837" s="64"/>
      <c r="J837" s="64"/>
      <c r="K837" s="300">
        <v>1.1000000000000001</v>
      </c>
      <c r="L837" s="300">
        <v>1.3</v>
      </c>
      <c r="M837" s="64">
        <v>794</v>
      </c>
      <c r="N837" s="64"/>
      <c r="O837" s="64"/>
      <c r="P837" s="64"/>
      <c r="Q837" s="64"/>
      <c r="R837" s="70"/>
      <c r="T837" s="64"/>
      <c r="X837">
        <v>0.123</v>
      </c>
      <c r="Y837" s="258" t="s">
        <v>1313</v>
      </c>
      <c r="AA837" s="259" t="s">
        <v>1314</v>
      </c>
      <c r="AB837" s="20" t="s">
        <v>1061</v>
      </c>
      <c r="AC837">
        <f t="shared" si="25"/>
        <v>3970000000</v>
      </c>
      <c r="AE837" s="18" t="s">
        <v>1315</v>
      </c>
      <c r="AF837" s="1" t="b">
        <v>1</v>
      </c>
    </row>
    <row r="838" spans="2:32" ht="16.5" customHeight="1">
      <c r="B838" s="1" t="str">
        <f t="shared" si="24"/>
        <v>M_TDIF04_VM_BKT_1.3_795</v>
      </c>
      <c r="C838" s="92" t="s">
        <v>700</v>
      </c>
      <c r="D838" s="92" t="str" cm="1">
        <f t="array" ref="D838">INDEX(기계코드!$D$4:$D$214,MATCH(1,(C838=기계코드!$F$4:$F$214)*1,0))</f>
        <v>M_TDIF04</v>
      </c>
      <c r="E838" s="92" t="s">
        <v>1128</v>
      </c>
      <c r="F838" s="7" t="str" cm="1">
        <f t="array" ref="F838">INDEX(공급업체코드!$B$3:$B$1000,MATCH(1,(E838=공급업체코드!$D$3:$D$1000)*1,0))</f>
        <v>VM_BKT</v>
      </c>
      <c r="G838" s="18" t="s">
        <v>1881</v>
      </c>
      <c r="H838" s="64"/>
      <c r="I838" s="64"/>
      <c r="J838" s="64"/>
      <c r="K838" s="300">
        <v>1.1000000000000001</v>
      </c>
      <c r="L838" s="300">
        <v>1.3</v>
      </c>
      <c r="M838" s="64">
        <v>795</v>
      </c>
      <c r="N838" s="64"/>
      <c r="O838" s="64"/>
      <c r="P838" s="64"/>
      <c r="Q838" s="64"/>
      <c r="R838" s="70"/>
      <c r="T838" s="64"/>
      <c r="X838">
        <v>0.123</v>
      </c>
      <c r="Y838" s="258" t="s">
        <v>1313</v>
      </c>
      <c r="AA838" s="259" t="s">
        <v>1314</v>
      </c>
      <c r="AB838" s="20" t="s">
        <v>1061</v>
      </c>
      <c r="AC838">
        <f t="shared" si="25"/>
        <v>3975000000</v>
      </c>
      <c r="AE838" s="18" t="s">
        <v>1315</v>
      </c>
      <c r="AF838" s="1" t="b">
        <v>1</v>
      </c>
    </row>
    <row r="839" spans="2:32" ht="16.5" customHeight="1">
      <c r="B839" s="1" t="str">
        <f t="shared" si="24"/>
        <v>M_TDIF04_VM_BKT_1.3_796</v>
      </c>
      <c r="C839" s="92" t="s">
        <v>700</v>
      </c>
      <c r="D839" s="92" t="str" cm="1">
        <f t="array" ref="D839">INDEX(기계코드!$D$4:$D$214,MATCH(1,(C839=기계코드!$F$4:$F$214)*1,0))</f>
        <v>M_TDIF04</v>
      </c>
      <c r="E839" s="92" t="s">
        <v>1128</v>
      </c>
      <c r="F839" s="7" t="str" cm="1">
        <f t="array" ref="F839">INDEX(공급업체코드!$B$3:$B$1000,MATCH(1,(E839=공급업체코드!$D$3:$D$1000)*1,0))</f>
        <v>VM_BKT</v>
      </c>
      <c r="G839" s="18" t="s">
        <v>1881</v>
      </c>
      <c r="H839" s="64"/>
      <c r="I839" s="64"/>
      <c r="J839" s="64"/>
      <c r="K839" s="300">
        <v>1.1000000000000001</v>
      </c>
      <c r="L839" s="300">
        <v>1.3</v>
      </c>
      <c r="M839" s="64">
        <v>796</v>
      </c>
      <c r="N839" s="64"/>
      <c r="O839" s="64"/>
      <c r="P839" s="64"/>
      <c r="Q839" s="64"/>
      <c r="R839" s="70"/>
      <c r="T839" s="64"/>
      <c r="X839">
        <v>0.123</v>
      </c>
      <c r="Y839" s="258" t="s">
        <v>1313</v>
      </c>
      <c r="AA839" s="259" t="s">
        <v>1314</v>
      </c>
      <c r="AB839" s="20" t="s">
        <v>1061</v>
      </c>
      <c r="AC839">
        <f t="shared" si="25"/>
        <v>3980000000</v>
      </c>
      <c r="AE839" s="18" t="s">
        <v>1315</v>
      </c>
      <c r="AF839" s="1" t="b">
        <v>1</v>
      </c>
    </row>
    <row r="840" spans="2:32" ht="16.5" customHeight="1">
      <c r="B840" s="1" t="str">
        <f t="shared" si="24"/>
        <v>M_TDIF04_VM_BKT_1.3_797</v>
      </c>
      <c r="C840" s="92" t="s">
        <v>700</v>
      </c>
      <c r="D840" s="92" t="str" cm="1">
        <f t="array" ref="D840">INDEX(기계코드!$D$4:$D$214,MATCH(1,(C840=기계코드!$F$4:$F$214)*1,0))</f>
        <v>M_TDIF04</v>
      </c>
      <c r="E840" s="92" t="s">
        <v>1128</v>
      </c>
      <c r="F840" s="7" t="str" cm="1">
        <f t="array" ref="F840">INDEX(공급업체코드!$B$3:$B$1000,MATCH(1,(E840=공급업체코드!$D$3:$D$1000)*1,0))</f>
        <v>VM_BKT</v>
      </c>
      <c r="G840" s="18" t="s">
        <v>1881</v>
      </c>
      <c r="H840" s="64"/>
      <c r="I840" s="64"/>
      <c r="J840" s="64"/>
      <c r="K840" s="300">
        <v>1.1000000000000001</v>
      </c>
      <c r="L840" s="300">
        <v>1.3</v>
      </c>
      <c r="M840" s="64">
        <v>797</v>
      </c>
      <c r="N840" s="64"/>
      <c r="O840" s="64"/>
      <c r="P840" s="64"/>
      <c r="Q840" s="64"/>
      <c r="R840" s="70"/>
      <c r="T840" s="64"/>
      <c r="X840">
        <v>0.123</v>
      </c>
      <c r="Y840" s="258" t="s">
        <v>1313</v>
      </c>
      <c r="AA840" s="259" t="s">
        <v>1314</v>
      </c>
      <c r="AB840" s="20" t="s">
        <v>1061</v>
      </c>
      <c r="AC840">
        <f t="shared" si="25"/>
        <v>3985000000</v>
      </c>
      <c r="AE840" s="18" t="s">
        <v>1315</v>
      </c>
      <c r="AF840" s="1" t="b">
        <v>1</v>
      </c>
    </row>
    <row r="841" spans="2:32" ht="16.5" customHeight="1">
      <c r="B841" s="1" t="str">
        <f t="shared" si="24"/>
        <v>M_TDIF04_VM_BKT_1.3_798</v>
      </c>
      <c r="C841" s="92" t="s">
        <v>700</v>
      </c>
      <c r="D841" s="92" t="str" cm="1">
        <f t="array" ref="D841">INDEX(기계코드!$D$4:$D$214,MATCH(1,(C841=기계코드!$F$4:$F$214)*1,0))</f>
        <v>M_TDIF04</v>
      </c>
      <c r="E841" s="92" t="s">
        <v>1128</v>
      </c>
      <c r="F841" s="7" t="str" cm="1">
        <f t="array" ref="F841">INDEX(공급업체코드!$B$3:$B$1000,MATCH(1,(E841=공급업체코드!$D$3:$D$1000)*1,0))</f>
        <v>VM_BKT</v>
      </c>
      <c r="G841" s="18" t="s">
        <v>1881</v>
      </c>
      <c r="H841" s="64"/>
      <c r="I841" s="64"/>
      <c r="J841" s="64"/>
      <c r="K841" s="300">
        <v>1.1000000000000001</v>
      </c>
      <c r="L841" s="300">
        <v>1.3</v>
      </c>
      <c r="M841" s="64">
        <v>798</v>
      </c>
      <c r="N841" s="64"/>
      <c r="O841" s="64"/>
      <c r="P841" s="64"/>
      <c r="Q841" s="64"/>
      <c r="R841" s="70"/>
      <c r="T841" s="64"/>
      <c r="X841">
        <v>0.123</v>
      </c>
      <c r="Y841" s="258" t="s">
        <v>1313</v>
      </c>
      <c r="AA841" s="259" t="s">
        <v>1314</v>
      </c>
      <c r="AB841" s="20" t="s">
        <v>1061</v>
      </c>
      <c r="AC841">
        <f t="shared" si="25"/>
        <v>3990000000</v>
      </c>
      <c r="AE841" s="18" t="s">
        <v>1315</v>
      </c>
      <c r="AF841" s="1" t="b">
        <v>1</v>
      </c>
    </row>
    <row r="842" spans="2:32" ht="16.5" customHeight="1">
      <c r="B842" s="1" t="str">
        <f t="shared" si="24"/>
        <v>M_TDIF04_VM_BKT_1.3_799</v>
      </c>
      <c r="C842" s="92" t="s">
        <v>700</v>
      </c>
      <c r="D842" s="92" t="str" cm="1">
        <f t="array" ref="D842">INDEX(기계코드!$D$4:$D$214,MATCH(1,(C842=기계코드!$F$4:$F$214)*1,0))</f>
        <v>M_TDIF04</v>
      </c>
      <c r="E842" s="92" t="s">
        <v>1128</v>
      </c>
      <c r="F842" s="7" t="str" cm="1">
        <f t="array" ref="F842">INDEX(공급업체코드!$B$3:$B$1000,MATCH(1,(E842=공급업체코드!$D$3:$D$1000)*1,0))</f>
        <v>VM_BKT</v>
      </c>
      <c r="G842" s="18" t="s">
        <v>1881</v>
      </c>
      <c r="H842" s="64"/>
      <c r="I842" s="64"/>
      <c r="J842" s="64"/>
      <c r="K842" s="300">
        <v>1.1000000000000001</v>
      </c>
      <c r="L842" s="300">
        <v>1.3</v>
      </c>
      <c r="M842" s="64">
        <v>799</v>
      </c>
      <c r="N842" s="64"/>
      <c r="O842" s="64"/>
      <c r="P842" s="64"/>
      <c r="Q842" s="64"/>
      <c r="R842" s="70"/>
      <c r="T842" s="64"/>
      <c r="X842">
        <v>0.123</v>
      </c>
      <c r="Y842" s="258" t="s">
        <v>1313</v>
      </c>
      <c r="AA842" s="259" t="s">
        <v>1314</v>
      </c>
      <c r="AB842" s="20" t="s">
        <v>1061</v>
      </c>
      <c r="AC842">
        <f t="shared" si="25"/>
        <v>3995000000</v>
      </c>
      <c r="AE842" s="18" t="s">
        <v>1315</v>
      </c>
      <c r="AF842" s="1" t="b">
        <v>1</v>
      </c>
    </row>
    <row r="843" spans="2:32" ht="16.5" customHeight="1">
      <c r="B843" s="1" t="str">
        <f t="shared" si="24"/>
        <v>M_TDIF04_VM_BKT_1.3_800</v>
      </c>
      <c r="C843" s="92" t="s">
        <v>700</v>
      </c>
      <c r="D843" s="92" t="str" cm="1">
        <f t="array" ref="D843">INDEX(기계코드!$D$4:$D$214,MATCH(1,(C843=기계코드!$F$4:$F$214)*1,0))</f>
        <v>M_TDIF04</v>
      </c>
      <c r="E843" s="92" t="s">
        <v>1128</v>
      </c>
      <c r="F843" s="7" t="str" cm="1">
        <f t="array" ref="F843">INDEX(공급업체코드!$B$3:$B$1000,MATCH(1,(E843=공급업체코드!$D$3:$D$1000)*1,0))</f>
        <v>VM_BKT</v>
      </c>
      <c r="G843" s="18" t="s">
        <v>1881</v>
      </c>
      <c r="H843" s="64"/>
      <c r="I843" s="64"/>
      <c r="J843" s="64"/>
      <c r="K843" s="300">
        <v>1.1000000000000001</v>
      </c>
      <c r="L843" s="300">
        <v>1.3</v>
      </c>
      <c r="M843" s="64">
        <v>800</v>
      </c>
      <c r="N843" s="64"/>
      <c r="O843" s="64"/>
      <c r="P843" s="64"/>
      <c r="Q843" s="64"/>
      <c r="R843" s="70"/>
      <c r="T843" s="64"/>
      <c r="X843">
        <v>0.123</v>
      </c>
      <c r="Y843" s="258" t="s">
        <v>1313</v>
      </c>
      <c r="AA843" s="259" t="s">
        <v>1314</v>
      </c>
      <c r="AB843" s="20" t="s">
        <v>1061</v>
      </c>
      <c r="AC843">
        <f t="shared" si="25"/>
        <v>4000000000</v>
      </c>
      <c r="AE843" s="18" t="s">
        <v>1315</v>
      </c>
      <c r="AF843" s="1" t="b">
        <v>1</v>
      </c>
    </row>
    <row r="844" spans="2:32" ht="16.5" customHeight="1">
      <c r="B844" s="1" t="str">
        <f t="shared" si="24"/>
        <v>M_TDIF04_VM_BKT_1.3_801</v>
      </c>
      <c r="C844" s="92" t="s">
        <v>700</v>
      </c>
      <c r="D844" s="92" t="str" cm="1">
        <f t="array" ref="D844">INDEX(기계코드!$D$4:$D$214,MATCH(1,(C844=기계코드!$F$4:$F$214)*1,0))</f>
        <v>M_TDIF04</v>
      </c>
      <c r="E844" s="92" t="s">
        <v>1128</v>
      </c>
      <c r="F844" s="7" t="str" cm="1">
        <f t="array" ref="F844">INDEX(공급업체코드!$B$3:$B$1000,MATCH(1,(E844=공급업체코드!$D$3:$D$1000)*1,0))</f>
        <v>VM_BKT</v>
      </c>
      <c r="G844" s="18" t="s">
        <v>1881</v>
      </c>
      <c r="H844" s="64"/>
      <c r="I844" s="64"/>
      <c r="J844" s="64"/>
      <c r="K844" s="300">
        <v>1.1000000000000001</v>
      </c>
      <c r="L844" s="300">
        <v>1.3</v>
      </c>
      <c r="M844" s="64">
        <v>801</v>
      </c>
      <c r="N844" s="64"/>
      <c r="O844" s="64"/>
      <c r="P844" s="64"/>
      <c r="Q844" s="64"/>
      <c r="R844" s="70"/>
      <c r="T844" s="64"/>
      <c r="X844">
        <v>0.123</v>
      </c>
      <c r="Y844" s="258" t="s">
        <v>1313</v>
      </c>
      <c r="AA844" s="259" t="s">
        <v>1314</v>
      </c>
      <c r="AB844" s="20" t="s">
        <v>1061</v>
      </c>
      <c r="AC844">
        <f t="shared" si="25"/>
        <v>4005000000</v>
      </c>
      <c r="AE844" s="18" t="s">
        <v>1315</v>
      </c>
      <c r="AF844" s="1" t="b">
        <v>1</v>
      </c>
    </row>
    <row r="845" spans="2:32" ht="16.5" customHeight="1">
      <c r="B845" s="1" t="str">
        <f t="shared" si="24"/>
        <v>M_TDIF04_VM_BKT_1.3_802</v>
      </c>
      <c r="C845" s="92" t="s">
        <v>700</v>
      </c>
      <c r="D845" s="92" t="str" cm="1">
        <f t="array" ref="D845">INDEX(기계코드!$D$4:$D$214,MATCH(1,(C845=기계코드!$F$4:$F$214)*1,0))</f>
        <v>M_TDIF04</v>
      </c>
      <c r="E845" s="92" t="s">
        <v>1128</v>
      </c>
      <c r="F845" s="7" t="str" cm="1">
        <f t="array" ref="F845">INDEX(공급업체코드!$B$3:$B$1000,MATCH(1,(E845=공급업체코드!$D$3:$D$1000)*1,0))</f>
        <v>VM_BKT</v>
      </c>
      <c r="G845" s="18" t="s">
        <v>1881</v>
      </c>
      <c r="H845" s="64"/>
      <c r="I845" s="64"/>
      <c r="J845" s="64"/>
      <c r="K845" s="300">
        <v>1.1000000000000001</v>
      </c>
      <c r="L845" s="300">
        <v>1.3</v>
      </c>
      <c r="M845" s="64">
        <v>802</v>
      </c>
      <c r="N845" s="64"/>
      <c r="O845" s="64"/>
      <c r="P845" s="64"/>
      <c r="Q845" s="64"/>
      <c r="R845" s="70"/>
      <c r="T845" s="64"/>
      <c r="X845">
        <v>0.123</v>
      </c>
      <c r="Y845" s="258" t="s">
        <v>1313</v>
      </c>
      <c r="AA845" s="259" t="s">
        <v>1314</v>
      </c>
      <c r="AB845" s="20" t="s">
        <v>1061</v>
      </c>
      <c r="AC845">
        <f t="shared" si="25"/>
        <v>4010000000</v>
      </c>
      <c r="AE845" s="18" t="s">
        <v>1315</v>
      </c>
      <c r="AF845" s="1" t="b">
        <v>1</v>
      </c>
    </row>
    <row r="846" spans="2:32" ht="16.5" customHeight="1">
      <c r="B846" s="1" t="str">
        <f t="shared" si="24"/>
        <v>M_TDIF04_VM_BKT_1.3_803</v>
      </c>
      <c r="C846" s="92" t="s">
        <v>700</v>
      </c>
      <c r="D846" s="92" t="str" cm="1">
        <f t="array" ref="D846">INDEX(기계코드!$D$4:$D$214,MATCH(1,(C846=기계코드!$F$4:$F$214)*1,0))</f>
        <v>M_TDIF04</v>
      </c>
      <c r="E846" s="92" t="s">
        <v>1128</v>
      </c>
      <c r="F846" s="7" t="str" cm="1">
        <f t="array" ref="F846">INDEX(공급업체코드!$B$3:$B$1000,MATCH(1,(E846=공급업체코드!$D$3:$D$1000)*1,0))</f>
        <v>VM_BKT</v>
      </c>
      <c r="G846" s="18" t="s">
        <v>1881</v>
      </c>
      <c r="H846" s="64"/>
      <c r="I846" s="64"/>
      <c r="J846" s="64"/>
      <c r="K846" s="300">
        <v>1.1000000000000001</v>
      </c>
      <c r="L846" s="300">
        <v>1.3</v>
      </c>
      <c r="M846" s="64">
        <v>803</v>
      </c>
      <c r="N846" s="64"/>
      <c r="O846" s="64"/>
      <c r="P846" s="64"/>
      <c r="Q846" s="64"/>
      <c r="R846" s="70"/>
      <c r="T846" s="64"/>
      <c r="X846">
        <v>0.123</v>
      </c>
      <c r="Y846" s="258" t="s">
        <v>1313</v>
      </c>
      <c r="AA846" s="259" t="s">
        <v>1314</v>
      </c>
      <c r="AB846" s="20" t="s">
        <v>1061</v>
      </c>
      <c r="AC846">
        <f t="shared" si="25"/>
        <v>4015000000</v>
      </c>
      <c r="AE846" s="18" t="s">
        <v>1315</v>
      </c>
      <c r="AF846" s="1" t="b">
        <v>1</v>
      </c>
    </row>
    <row r="847" spans="2:32" ht="16.5" customHeight="1">
      <c r="B847" s="1" t="str">
        <f t="shared" si="24"/>
        <v>M_TDIF04_VM_BKT_1.3_804</v>
      </c>
      <c r="C847" s="92" t="s">
        <v>700</v>
      </c>
      <c r="D847" s="92" t="str" cm="1">
        <f t="array" ref="D847">INDEX(기계코드!$D$4:$D$214,MATCH(1,(C847=기계코드!$F$4:$F$214)*1,0))</f>
        <v>M_TDIF04</v>
      </c>
      <c r="E847" s="92" t="s">
        <v>1128</v>
      </c>
      <c r="F847" s="7" t="str" cm="1">
        <f t="array" ref="F847">INDEX(공급업체코드!$B$3:$B$1000,MATCH(1,(E847=공급업체코드!$D$3:$D$1000)*1,0))</f>
        <v>VM_BKT</v>
      </c>
      <c r="G847" s="18" t="s">
        <v>1881</v>
      </c>
      <c r="H847" s="64"/>
      <c r="I847" s="64"/>
      <c r="J847" s="64"/>
      <c r="K847" s="300">
        <v>1.1000000000000001</v>
      </c>
      <c r="L847" s="300">
        <v>1.3</v>
      </c>
      <c r="M847" s="64">
        <v>804</v>
      </c>
      <c r="N847" s="64"/>
      <c r="O847" s="64"/>
      <c r="P847" s="64"/>
      <c r="Q847" s="64"/>
      <c r="R847" s="70"/>
      <c r="T847" s="64"/>
      <c r="X847">
        <v>0.123</v>
      </c>
      <c r="Y847" s="258" t="s">
        <v>1313</v>
      </c>
      <c r="AA847" s="259" t="s">
        <v>1314</v>
      </c>
      <c r="AB847" s="20" t="s">
        <v>1061</v>
      </c>
      <c r="AC847">
        <f t="shared" si="25"/>
        <v>4020000000</v>
      </c>
      <c r="AE847" s="18" t="s">
        <v>1315</v>
      </c>
      <c r="AF847" s="1" t="b">
        <v>1</v>
      </c>
    </row>
    <row r="848" spans="2:32" ht="16.5" customHeight="1">
      <c r="B848" s="1" t="str">
        <f t="shared" si="24"/>
        <v>M_TDIF04_VM_BKT_1.3_805</v>
      </c>
      <c r="C848" s="92" t="s">
        <v>700</v>
      </c>
      <c r="D848" s="92" t="str" cm="1">
        <f t="array" ref="D848">INDEX(기계코드!$D$4:$D$214,MATCH(1,(C848=기계코드!$F$4:$F$214)*1,0))</f>
        <v>M_TDIF04</v>
      </c>
      <c r="E848" s="92" t="s">
        <v>1128</v>
      </c>
      <c r="F848" s="7" t="str" cm="1">
        <f t="array" ref="F848">INDEX(공급업체코드!$B$3:$B$1000,MATCH(1,(E848=공급업체코드!$D$3:$D$1000)*1,0))</f>
        <v>VM_BKT</v>
      </c>
      <c r="G848" s="18" t="s">
        <v>1881</v>
      </c>
      <c r="H848" s="64"/>
      <c r="I848" s="64"/>
      <c r="J848" s="64"/>
      <c r="K848" s="300">
        <v>1.1000000000000001</v>
      </c>
      <c r="L848" s="300">
        <v>1.3</v>
      </c>
      <c r="M848" s="64">
        <v>805</v>
      </c>
      <c r="N848" s="64"/>
      <c r="O848" s="64"/>
      <c r="P848" s="64"/>
      <c r="Q848" s="64"/>
      <c r="R848" s="70"/>
      <c r="T848" s="64"/>
      <c r="X848">
        <v>0.123</v>
      </c>
      <c r="Y848" s="258" t="s">
        <v>1313</v>
      </c>
      <c r="AA848" s="259" t="s">
        <v>1314</v>
      </c>
      <c r="AB848" s="20" t="s">
        <v>1061</v>
      </c>
      <c r="AC848">
        <f t="shared" si="25"/>
        <v>4025000000</v>
      </c>
      <c r="AE848" s="18" t="s">
        <v>1315</v>
      </c>
      <c r="AF848" s="1" t="b">
        <v>1</v>
      </c>
    </row>
    <row r="849" spans="2:32" ht="16.5" customHeight="1">
      <c r="B849" s="1" t="str">
        <f t="shared" si="24"/>
        <v>M_TDIF04_VM_BKT_1.3_806</v>
      </c>
      <c r="C849" s="92" t="s">
        <v>700</v>
      </c>
      <c r="D849" s="92" t="str" cm="1">
        <f t="array" ref="D849">INDEX(기계코드!$D$4:$D$214,MATCH(1,(C849=기계코드!$F$4:$F$214)*1,0))</f>
        <v>M_TDIF04</v>
      </c>
      <c r="E849" s="92" t="s">
        <v>1128</v>
      </c>
      <c r="F849" s="7" t="str" cm="1">
        <f t="array" ref="F849">INDEX(공급업체코드!$B$3:$B$1000,MATCH(1,(E849=공급업체코드!$D$3:$D$1000)*1,0))</f>
        <v>VM_BKT</v>
      </c>
      <c r="G849" s="18" t="s">
        <v>1881</v>
      </c>
      <c r="H849" s="64"/>
      <c r="I849" s="64"/>
      <c r="J849" s="64"/>
      <c r="K849" s="300">
        <v>1.1000000000000001</v>
      </c>
      <c r="L849" s="300">
        <v>1.3</v>
      </c>
      <c r="M849" s="64">
        <v>806</v>
      </c>
      <c r="N849" s="64"/>
      <c r="O849" s="64"/>
      <c r="P849" s="64"/>
      <c r="Q849" s="64"/>
      <c r="R849" s="70"/>
      <c r="T849" s="64"/>
      <c r="X849">
        <v>0.123</v>
      </c>
      <c r="Y849" s="258" t="s">
        <v>1313</v>
      </c>
      <c r="AA849" s="259" t="s">
        <v>1314</v>
      </c>
      <c r="AB849" s="20" t="s">
        <v>1061</v>
      </c>
      <c r="AC849">
        <f t="shared" si="25"/>
        <v>4030000000</v>
      </c>
      <c r="AE849" s="18" t="s">
        <v>1315</v>
      </c>
      <c r="AF849" s="1" t="b">
        <v>1</v>
      </c>
    </row>
    <row r="850" spans="2:32" ht="16.5" customHeight="1">
      <c r="B850" s="1" t="str">
        <f t="shared" si="24"/>
        <v>M_TDIF04_VM_BKT_1.3_807</v>
      </c>
      <c r="C850" s="92" t="s">
        <v>700</v>
      </c>
      <c r="D850" s="92" t="str" cm="1">
        <f t="array" ref="D850">INDEX(기계코드!$D$4:$D$214,MATCH(1,(C850=기계코드!$F$4:$F$214)*1,0))</f>
        <v>M_TDIF04</v>
      </c>
      <c r="E850" s="92" t="s">
        <v>1128</v>
      </c>
      <c r="F850" s="7" t="str" cm="1">
        <f t="array" ref="F850">INDEX(공급업체코드!$B$3:$B$1000,MATCH(1,(E850=공급업체코드!$D$3:$D$1000)*1,0))</f>
        <v>VM_BKT</v>
      </c>
      <c r="G850" s="18" t="s">
        <v>1881</v>
      </c>
      <c r="H850" s="64"/>
      <c r="I850" s="64"/>
      <c r="J850" s="64"/>
      <c r="K850" s="300">
        <v>1.1000000000000001</v>
      </c>
      <c r="L850" s="300">
        <v>1.3</v>
      </c>
      <c r="M850" s="64">
        <v>807</v>
      </c>
      <c r="N850" s="64"/>
      <c r="O850" s="64"/>
      <c r="P850" s="64"/>
      <c r="Q850" s="64"/>
      <c r="R850" s="70"/>
      <c r="T850" s="64"/>
      <c r="X850">
        <v>0.123</v>
      </c>
      <c r="Y850" s="258" t="s">
        <v>1313</v>
      </c>
      <c r="AA850" s="259" t="s">
        <v>1314</v>
      </c>
      <c r="AB850" s="20" t="s">
        <v>1061</v>
      </c>
      <c r="AC850">
        <f t="shared" si="25"/>
        <v>4035000000</v>
      </c>
      <c r="AE850" s="18" t="s">
        <v>1315</v>
      </c>
      <c r="AF850" s="1" t="b">
        <v>1</v>
      </c>
    </row>
    <row r="851" spans="2:32" ht="16.5" customHeight="1">
      <c r="B851" s="1" t="str">
        <f t="shared" si="24"/>
        <v>M_TDIF04_VM_BKT_1.3_808</v>
      </c>
      <c r="C851" s="92" t="s">
        <v>700</v>
      </c>
      <c r="D851" s="92" t="str" cm="1">
        <f t="array" ref="D851">INDEX(기계코드!$D$4:$D$214,MATCH(1,(C851=기계코드!$F$4:$F$214)*1,0))</f>
        <v>M_TDIF04</v>
      </c>
      <c r="E851" s="92" t="s">
        <v>1128</v>
      </c>
      <c r="F851" s="7" t="str" cm="1">
        <f t="array" ref="F851">INDEX(공급업체코드!$B$3:$B$1000,MATCH(1,(E851=공급업체코드!$D$3:$D$1000)*1,0))</f>
        <v>VM_BKT</v>
      </c>
      <c r="G851" s="18" t="s">
        <v>1881</v>
      </c>
      <c r="H851" s="64"/>
      <c r="I851" s="64"/>
      <c r="J851" s="64"/>
      <c r="K851" s="300">
        <v>1.1000000000000001</v>
      </c>
      <c r="L851" s="300">
        <v>1.3</v>
      </c>
      <c r="M851" s="64">
        <v>808</v>
      </c>
      <c r="N851" s="64"/>
      <c r="O851" s="64"/>
      <c r="P851" s="64"/>
      <c r="Q851" s="64"/>
      <c r="R851" s="70"/>
      <c r="T851" s="64"/>
      <c r="X851">
        <v>0.123</v>
      </c>
      <c r="Y851" s="258" t="s">
        <v>1313</v>
      </c>
      <c r="AA851" s="259" t="s">
        <v>1314</v>
      </c>
      <c r="AB851" s="20" t="s">
        <v>1061</v>
      </c>
      <c r="AC851">
        <f t="shared" si="25"/>
        <v>4040000000</v>
      </c>
      <c r="AE851" s="18" t="s">
        <v>1315</v>
      </c>
      <c r="AF851" s="1" t="b">
        <v>1</v>
      </c>
    </row>
    <row r="852" spans="2:32" ht="16.5" customHeight="1">
      <c r="B852" s="1" t="str">
        <f t="shared" si="24"/>
        <v>M_TDIF04_VM_BKT_1.3_809</v>
      </c>
      <c r="C852" s="92" t="s">
        <v>700</v>
      </c>
      <c r="D852" s="92" t="str" cm="1">
        <f t="array" ref="D852">INDEX(기계코드!$D$4:$D$214,MATCH(1,(C852=기계코드!$F$4:$F$214)*1,0))</f>
        <v>M_TDIF04</v>
      </c>
      <c r="E852" s="92" t="s">
        <v>1128</v>
      </c>
      <c r="F852" s="7" t="str" cm="1">
        <f t="array" ref="F852">INDEX(공급업체코드!$B$3:$B$1000,MATCH(1,(E852=공급업체코드!$D$3:$D$1000)*1,0))</f>
        <v>VM_BKT</v>
      </c>
      <c r="G852" s="18" t="s">
        <v>1881</v>
      </c>
      <c r="H852" s="64"/>
      <c r="I852" s="64"/>
      <c r="J852" s="64"/>
      <c r="K852" s="300">
        <v>1.1000000000000001</v>
      </c>
      <c r="L852" s="300">
        <v>1.3</v>
      </c>
      <c r="M852" s="64">
        <v>809</v>
      </c>
      <c r="N852" s="64"/>
      <c r="O852" s="64"/>
      <c r="P852" s="64"/>
      <c r="Q852" s="64"/>
      <c r="R852" s="70"/>
      <c r="T852" s="64"/>
      <c r="X852">
        <v>0.123</v>
      </c>
      <c r="Y852" s="258" t="s">
        <v>1313</v>
      </c>
      <c r="AA852" s="259" t="s">
        <v>1314</v>
      </c>
      <c r="AB852" s="20" t="s">
        <v>1061</v>
      </c>
      <c r="AC852">
        <f t="shared" si="25"/>
        <v>4045000000</v>
      </c>
      <c r="AE852" s="18" t="s">
        <v>1315</v>
      </c>
      <c r="AF852" s="1" t="b">
        <v>1</v>
      </c>
    </row>
    <row r="853" spans="2:32" ht="16.5" customHeight="1">
      <c r="B853" s="1" t="str">
        <f t="shared" si="24"/>
        <v>M_TDIF04_VM_BKT_1.3_810</v>
      </c>
      <c r="C853" s="92" t="s">
        <v>700</v>
      </c>
      <c r="D853" s="92" t="str" cm="1">
        <f t="array" ref="D853">INDEX(기계코드!$D$4:$D$214,MATCH(1,(C853=기계코드!$F$4:$F$214)*1,0))</f>
        <v>M_TDIF04</v>
      </c>
      <c r="E853" s="92" t="s">
        <v>1128</v>
      </c>
      <c r="F853" s="7" t="str" cm="1">
        <f t="array" ref="F853">INDEX(공급업체코드!$B$3:$B$1000,MATCH(1,(E853=공급업체코드!$D$3:$D$1000)*1,0))</f>
        <v>VM_BKT</v>
      </c>
      <c r="G853" s="18" t="s">
        <v>1881</v>
      </c>
      <c r="H853" s="64"/>
      <c r="I853" s="64"/>
      <c r="J853" s="64"/>
      <c r="K853" s="300">
        <v>1.1000000000000001</v>
      </c>
      <c r="L853" s="300">
        <v>1.3</v>
      </c>
      <c r="M853" s="64">
        <v>810</v>
      </c>
      <c r="N853" s="64"/>
      <c r="O853" s="64"/>
      <c r="P853" s="64"/>
      <c r="Q853" s="64"/>
      <c r="R853" s="70"/>
      <c r="T853" s="64"/>
      <c r="X853">
        <v>0.123</v>
      </c>
      <c r="Y853" s="258" t="s">
        <v>1313</v>
      </c>
      <c r="AA853" s="259" t="s">
        <v>1314</v>
      </c>
      <c r="AB853" s="20" t="s">
        <v>1061</v>
      </c>
      <c r="AC853">
        <f t="shared" si="25"/>
        <v>4050000000</v>
      </c>
      <c r="AE853" s="18" t="s">
        <v>1315</v>
      </c>
      <c r="AF853" s="1" t="b">
        <v>1</v>
      </c>
    </row>
    <row r="854" spans="2:32" ht="16.5" customHeight="1">
      <c r="B854" s="1" t="str">
        <f t="shared" si="24"/>
        <v>M_TDIF04_VM_BKT_1.3_811</v>
      </c>
      <c r="C854" s="92" t="s">
        <v>700</v>
      </c>
      <c r="D854" s="92" t="str" cm="1">
        <f t="array" ref="D854">INDEX(기계코드!$D$4:$D$214,MATCH(1,(C854=기계코드!$F$4:$F$214)*1,0))</f>
        <v>M_TDIF04</v>
      </c>
      <c r="E854" s="92" t="s">
        <v>1128</v>
      </c>
      <c r="F854" s="7" t="str" cm="1">
        <f t="array" ref="F854">INDEX(공급업체코드!$B$3:$B$1000,MATCH(1,(E854=공급업체코드!$D$3:$D$1000)*1,0))</f>
        <v>VM_BKT</v>
      </c>
      <c r="G854" s="18" t="s">
        <v>1881</v>
      </c>
      <c r="H854" s="64"/>
      <c r="I854" s="64"/>
      <c r="J854" s="64"/>
      <c r="K854" s="300">
        <v>1.1000000000000001</v>
      </c>
      <c r="L854" s="300">
        <v>1.3</v>
      </c>
      <c r="M854" s="64">
        <v>811</v>
      </c>
      <c r="N854" s="64"/>
      <c r="O854" s="64"/>
      <c r="P854" s="64"/>
      <c r="Q854" s="64"/>
      <c r="R854" s="70"/>
      <c r="T854" s="64"/>
      <c r="X854">
        <v>0.123</v>
      </c>
      <c r="Y854" s="258" t="s">
        <v>1313</v>
      </c>
      <c r="AA854" s="259" t="s">
        <v>1314</v>
      </c>
      <c r="AB854" s="20" t="s">
        <v>1061</v>
      </c>
      <c r="AC854">
        <f t="shared" si="25"/>
        <v>4055000000</v>
      </c>
      <c r="AE854" s="18" t="s">
        <v>1315</v>
      </c>
      <c r="AF854" s="1" t="b">
        <v>1</v>
      </c>
    </row>
    <row r="855" spans="2:32" ht="16.5" customHeight="1">
      <c r="B855" s="1" t="str">
        <f t="shared" si="24"/>
        <v>M_TDIF04_VM_BKT_1.3_812</v>
      </c>
      <c r="C855" s="92" t="s">
        <v>700</v>
      </c>
      <c r="D855" s="92" t="str" cm="1">
        <f t="array" ref="D855">INDEX(기계코드!$D$4:$D$214,MATCH(1,(C855=기계코드!$F$4:$F$214)*1,0))</f>
        <v>M_TDIF04</v>
      </c>
      <c r="E855" s="92" t="s">
        <v>1128</v>
      </c>
      <c r="F855" s="7" t="str" cm="1">
        <f t="array" ref="F855">INDEX(공급업체코드!$B$3:$B$1000,MATCH(1,(E855=공급업체코드!$D$3:$D$1000)*1,0))</f>
        <v>VM_BKT</v>
      </c>
      <c r="G855" s="18" t="s">
        <v>1881</v>
      </c>
      <c r="H855" s="64"/>
      <c r="I855" s="64"/>
      <c r="J855" s="64"/>
      <c r="K855" s="300">
        <v>1.1000000000000001</v>
      </c>
      <c r="L855" s="300">
        <v>1.3</v>
      </c>
      <c r="M855" s="64">
        <v>812</v>
      </c>
      <c r="N855" s="64"/>
      <c r="O855" s="64"/>
      <c r="P855" s="64"/>
      <c r="Q855" s="64"/>
      <c r="R855" s="70"/>
      <c r="T855" s="64"/>
      <c r="X855">
        <v>0.123</v>
      </c>
      <c r="Y855" s="258" t="s">
        <v>1313</v>
      </c>
      <c r="AA855" s="259" t="s">
        <v>1314</v>
      </c>
      <c r="AB855" s="20" t="s">
        <v>1061</v>
      </c>
      <c r="AC855">
        <f t="shared" si="25"/>
        <v>4060000000</v>
      </c>
      <c r="AE855" s="18" t="s">
        <v>1315</v>
      </c>
      <c r="AF855" s="1" t="b">
        <v>1</v>
      </c>
    </row>
    <row r="856" spans="2:32" ht="16.5" customHeight="1">
      <c r="B856" s="1" t="str">
        <f t="shared" si="24"/>
        <v>M_TDIF04_VM_BKT_1.3_813</v>
      </c>
      <c r="C856" s="92" t="s">
        <v>700</v>
      </c>
      <c r="D856" s="92" t="str" cm="1">
        <f t="array" ref="D856">INDEX(기계코드!$D$4:$D$214,MATCH(1,(C856=기계코드!$F$4:$F$214)*1,0))</f>
        <v>M_TDIF04</v>
      </c>
      <c r="E856" s="92" t="s">
        <v>1128</v>
      </c>
      <c r="F856" s="7" t="str" cm="1">
        <f t="array" ref="F856">INDEX(공급업체코드!$B$3:$B$1000,MATCH(1,(E856=공급업체코드!$D$3:$D$1000)*1,0))</f>
        <v>VM_BKT</v>
      </c>
      <c r="G856" s="18" t="s">
        <v>1881</v>
      </c>
      <c r="H856" s="64"/>
      <c r="I856" s="64"/>
      <c r="J856" s="64"/>
      <c r="K856" s="300">
        <v>1.1000000000000001</v>
      </c>
      <c r="L856" s="300">
        <v>1.3</v>
      </c>
      <c r="M856" s="64">
        <v>813</v>
      </c>
      <c r="N856" s="64"/>
      <c r="O856" s="64"/>
      <c r="P856" s="64"/>
      <c r="Q856" s="64"/>
      <c r="R856" s="70"/>
      <c r="T856" s="64"/>
      <c r="X856">
        <v>0.123</v>
      </c>
      <c r="Y856" s="258" t="s">
        <v>1313</v>
      </c>
      <c r="AA856" s="259" t="s">
        <v>1314</v>
      </c>
      <c r="AB856" s="20" t="s">
        <v>1061</v>
      </c>
      <c r="AC856">
        <f t="shared" si="25"/>
        <v>4065000000</v>
      </c>
      <c r="AE856" s="18" t="s">
        <v>1315</v>
      </c>
      <c r="AF856" s="1" t="b">
        <v>1</v>
      </c>
    </row>
    <row r="857" spans="2:32" ht="16.5" customHeight="1">
      <c r="B857" s="1" t="str">
        <f t="shared" si="24"/>
        <v>M_TDIF04_VM_BKT_1.3_814</v>
      </c>
      <c r="C857" s="92" t="s">
        <v>700</v>
      </c>
      <c r="D857" s="92" t="str" cm="1">
        <f t="array" ref="D857">INDEX(기계코드!$D$4:$D$214,MATCH(1,(C857=기계코드!$F$4:$F$214)*1,0))</f>
        <v>M_TDIF04</v>
      </c>
      <c r="E857" s="92" t="s">
        <v>1128</v>
      </c>
      <c r="F857" s="7" t="str" cm="1">
        <f t="array" ref="F857">INDEX(공급업체코드!$B$3:$B$1000,MATCH(1,(E857=공급업체코드!$D$3:$D$1000)*1,0))</f>
        <v>VM_BKT</v>
      </c>
      <c r="G857" s="18" t="s">
        <v>1881</v>
      </c>
      <c r="H857" s="64"/>
      <c r="I857" s="64"/>
      <c r="J857" s="64"/>
      <c r="K857" s="300">
        <v>1.1000000000000001</v>
      </c>
      <c r="L857" s="300">
        <v>1.3</v>
      </c>
      <c r="M857" s="64">
        <v>814</v>
      </c>
      <c r="N857" s="64"/>
      <c r="O857" s="64"/>
      <c r="P857" s="64"/>
      <c r="Q857" s="64"/>
      <c r="R857" s="70"/>
      <c r="T857" s="64"/>
      <c r="X857">
        <v>0.123</v>
      </c>
      <c r="Y857" s="258" t="s">
        <v>1313</v>
      </c>
      <c r="AA857" s="259" t="s">
        <v>1314</v>
      </c>
      <c r="AB857" s="20" t="s">
        <v>1061</v>
      </c>
      <c r="AC857">
        <f t="shared" si="25"/>
        <v>4070000000</v>
      </c>
      <c r="AE857" s="18" t="s">
        <v>1315</v>
      </c>
      <c r="AF857" s="1" t="b">
        <v>1</v>
      </c>
    </row>
    <row r="858" spans="2:32" ht="16.5" customHeight="1">
      <c r="B858" s="1" t="str">
        <f t="shared" si="24"/>
        <v>M_TDIF04_VM_BKT_1.3_815</v>
      </c>
      <c r="C858" s="92" t="s">
        <v>700</v>
      </c>
      <c r="D858" s="92" t="str" cm="1">
        <f t="array" ref="D858">INDEX(기계코드!$D$4:$D$214,MATCH(1,(C858=기계코드!$F$4:$F$214)*1,0))</f>
        <v>M_TDIF04</v>
      </c>
      <c r="E858" s="92" t="s">
        <v>1128</v>
      </c>
      <c r="F858" s="7" t="str" cm="1">
        <f t="array" ref="F858">INDEX(공급업체코드!$B$3:$B$1000,MATCH(1,(E858=공급업체코드!$D$3:$D$1000)*1,0))</f>
        <v>VM_BKT</v>
      </c>
      <c r="G858" s="18" t="s">
        <v>1881</v>
      </c>
      <c r="H858" s="64"/>
      <c r="I858" s="64"/>
      <c r="J858" s="64"/>
      <c r="K858" s="300">
        <v>1.1000000000000001</v>
      </c>
      <c r="L858" s="300">
        <v>1.3</v>
      </c>
      <c r="M858" s="64">
        <v>815</v>
      </c>
      <c r="N858" s="64"/>
      <c r="O858" s="64"/>
      <c r="P858" s="64"/>
      <c r="Q858" s="64"/>
      <c r="R858" s="70"/>
      <c r="T858" s="64"/>
      <c r="X858">
        <v>0.123</v>
      </c>
      <c r="Y858" s="258" t="s">
        <v>1313</v>
      </c>
      <c r="AA858" s="259" t="s">
        <v>1314</v>
      </c>
      <c r="AB858" s="20" t="s">
        <v>1061</v>
      </c>
      <c r="AC858">
        <f t="shared" si="25"/>
        <v>4075000000</v>
      </c>
      <c r="AE858" s="18" t="s">
        <v>1315</v>
      </c>
      <c r="AF858" s="1" t="b">
        <v>1</v>
      </c>
    </row>
    <row r="859" spans="2:32" ht="16.5" customHeight="1">
      <c r="B859" s="1" t="str">
        <f t="shared" si="24"/>
        <v>M_TDIF04_VM_BKT_1.3_816</v>
      </c>
      <c r="C859" s="92" t="s">
        <v>700</v>
      </c>
      <c r="D859" s="92" t="str" cm="1">
        <f t="array" ref="D859">INDEX(기계코드!$D$4:$D$214,MATCH(1,(C859=기계코드!$F$4:$F$214)*1,0))</f>
        <v>M_TDIF04</v>
      </c>
      <c r="E859" s="92" t="s">
        <v>1128</v>
      </c>
      <c r="F859" s="7" t="str" cm="1">
        <f t="array" ref="F859">INDEX(공급업체코드!$B$3:$B$1000,MATCH(1,(E859=공급업체코드!$D$3:$D$1000)*1,0))</f>
        <v>VM_BKT</v>
      </c>
      <c r="G859" s="18" t="s">
        <v>1881</v>
      </c>
      <c r="H859" s="64"/>
      <c r="I859" s="64"/>
      <c r="J859" s="64"/>
      <c r="K859" s="300">
        <v>1.1000000000000001</v>
      </c>
      <c r="L859" s="300">
        <v>1.3</v>
      </c>
      <c r="M859" s="64">
        <v>816</v>
      </c>
      <c r="N859" s="64"/>
      <c r="O859" s="64"/>
      <c r="P859" s="64"/>
      <c r="Q859" s="64"/>
      <c r="R859" s="70"/>
      <c r="T859" s="64"/>
      <c r="X859">
        <v>0.123</v>
      </c>
      <c r="Y859" s="258" t="s">
        <v>1313</v>
      </c>
      <c r="AA859" s="259" t="s">
        <v>1314</v>
      </c>
      <c r="AB859" s="20" t="s">
        <v>1061</v>
      </c>
      <c r="AC859">
        <f t="shared" si="25"/>
        <v>4080000000</v>
      </c>
      <c r="AE859" s="18" t="s">
        <v>1315</v>
      </c>
      <c r="AF859" s="1" t="b">
        <v>1</v>
      </c>
    </row>
    <row r="860" spans="2:32" ht="16.5" customHeight="1">
      <c r="B860" s="1" t="str">
        <f t="shared" si="24"/>
        <v>M_TDIF04_VM_BKT_1.3_817</v>
      </c>
      <c r="C860" s="92" t="s">
        <v>700</v>
      </c>
      <c r="D860" s="92" t="str" cm="1">
        <f t="array" ref="D860">INDEX(기계코드!$D$4:$D$214,MATCH(1,(C860=기계코드!$F$4:$F$214)*1,0))</f>
        <v>M_TDIF04</v>
      </c>
      <c r="E860" s="92" t="s">
        <v>1128</v>
      </c>
      <c r="F860" s="7" t="str" cm="1">
        <f t="array" ref="F860">INDEX(공급업체코드!$B$3:$B$1000,MATCH(1,(E860=공급업체코드!$D$3:$D$1000)*1,0))</f>
        <v>VM_BKT</v>
      </c>
      <c r="G860" s="18" t="s">
        <v>1881</v>
      </c>
      <c r="H860" s="64"/>
      <c r="I860" s="64"/>
      <c r="J860" s="64"/>
      <c r="K860" s="300">
        <v>1.1000000000000001</v>
      </c>
      <c r="L860" s="300">
        <v>1.3</v>
      </c>
      <c r="M860" s="64">
        <v>817</v>
      </c>
      <c r="N860" s="64"/>
      <c r="O860" s="64"/>
      <c r="P860" s="64"/>
      <c r="Q860" s="64"/>
      <c r="R860" s="70"/>
      <c r="T860" s="64"/>
      <c r="X860">
        <v>0.123</v>
      </c>
      <c r="Y860" s="258" t="s">
        <v>1313</v>
      </c>
      <c r="AA860" s="259" t="s">
        <v>1314</v>
      </c>
      <c r="AB860" s="20" t="s">
        <v>1061</v>
      </c>
      <c r="AC860">
        <f t="shared" si="25"/>
        <v>4085000000</v>
      </c>
      <c r="AE860" s="18" t="s">
        <v>1315</v>
      </c>
      <c r="AF860" s="1" t="b">
        <v>1</v>
      </c>
    </row>
    <row r="861" spans="2:32" ht="16.5" customHeight="1">
      <c r="B861" s="1" t="str">
        <f t="shared" si="24"/>
        <v>M_TDIF04_VM_BKT_1.3_818</v>
      </c>
      <c r="C861" s="92" t="s">
        <v>700</v>
      </c>
      <c r="D861" s="92" t="str" cm="1">
        <f t="array" ref="D861">INDEX(기계코드!$D$4:$D$214,MATCH(1,(C861=기계코드!$F$4:$F$214)*1,0))</f>
        <v>M_TDIF04</v>
      </c>
      <c r="E861" s="92" t="s">
        <v>1128</v>
      </c>
      <c r="F861" s="7" t="str" cm="1">
        <f t="array" ref="F861">INDEX(공급업체코드!$B$3:$B$1000,MATCH(1,(E861=공급업체코드!$D$3:$D$1000)*1,0))</f>
        <v>VM_BKT</v>
      </c>
      <c r="G861" s="18" t="s">
        <v>1881</v>
      </c>
      <c r="H861" s="64"/>
      <c r="I861" s="64"/>
      <c r="J861" s="64"/>
      <c r="K861" s="300">
        <v>1.1000000000000001</v>
      </c>
      <c r="L861" s="300">
        <v>1.3</v>
      </c>
      <c r="M861" s="64">
        <v>818</v>
      </c>
      <c r="N861" s="64"/>
      <c r="O861" s="64"/>
      <c r="P861" s="64"/>
      <c r="Q861" s="64"/>
      <c r="R861" s="70"/>
      <c r="T861" s="64"/>
      <c r="X861">
        <v>0.123</v>
      </c>
      <c r="Y861" s="258" t="s">
        <v>1313</v>
      </c>
      <c r="AA861" s="259" t="s">
        <v>1314</v>
      </c>
      <c r="AB861" s="20" t="s">
        <v>1061</v>
      </c>
      <c r="AC861">
        <f t="shared" si="25"/>
        <v>4090000000</v>
      </c>
      <c r="AE861" s="18" t="s">
        <v>1315</v>
      </c>
      <c r="AF861" s="1" t="b">
        <v>1</v>
      </c>
    </row>
    <row r="862" spans="2:32" ht="16.5" customHeight="1">
      <c r="B862" s="1" t="str">
        <f t="shared" si="24"/>
        <v>M_TDIF04_VM_BKT_1.3_819</v>
      </c>
      <c r="C862" s="92" t="s">
        <v>700</v>
      </c>
      <c r="D862" s="92" t="str" cm="1">
        <f t="array" ref="D862">INDEX(기계코드!$D$4:$D$214,MATCH(1,(C862=기계코드!$F$4:$F$214)*1,0))</f>
        <v>M_TDIF04</v>
      </c>
      <c r="E862" s="92" t="s">
        <v>1128</v>
      </c>
      <c r="F862" s="7" t="str" cm="1">
        <f t="array" ref="F862">INDEX(공급업체코드!$B$3:$B$1000,MATCH(1,(E862=공급업체코드!$D$3:$D$1000)*1,0))</f>
        <v>VM_BKT</v>
      </c>
      <c r="G862" s="18" t="s">
        <v>1881</v>
      </c>
      <c r="H862" s="64"/>
      <c r="I862" s="64"/>
      <c r="J862" s="64"/>
      <c r="K862" s="300">
        <v>1.1000000000000001</v>
      </c>
      <c r="L862" s="300">
        <v>1.3</v>
      </c>
      <c r="M862" s="64">
        <v>819</v>
      </c>
      <c r="N862" s="64"/>
      <c r="O862" s="64"/>
      <c r="P862" s="64"/>
      <c r="Q862" s="64"/>
      <c r="R862" s="70"/>
      <c r="T862" s="64"/>
      <c r="X862">
        <v>0.123</v>
      </c>
      <c r="Y862" s="258" t="s">
        <v>1313</v>
      </c>
      <c r="AA862" s="259" t="s">
        <v>1314</v>
      </c>
      <c r="AB862" s="20" t="s">
        <v>1061</v>
      </c>
      <c r="AC862">
        <f t="shared" si="25"/>
        <v>4095000000</v>
      </c>
      <c r="AE862" s="18" t="s">
        <v>1315</v>
      </c>
      <c r="AF862" s="1" t="b">
        <v>1</v>
      </c>
    </row>
    <row r="863" spans="2:32" ht="16.5" customHeight="1">
      <c r="B863" s="1" t="str">
        <f t="shared" si="24"/>
        <v>M_TDIF04_VM_BKT_1.3_820</v>
      </c>
      <c r="C863" s="92" t="s">
        <v>700</v>
      </c>
      <c r="D863" s="92" t="str" cm="1">
        <f t="array" ref="D863">INDEX(기계코드!$D$4:$D$214,MATCH(1,(C863=기계코드!$F$4:$F$214)*1,0))</f>
        <v>M_TDIF04</v>
      </c>
      <c r="E863" s="92" t="s">
        <v>1128</v>
      </c>
      <c r="F863" s="7" t="str" cm="1">
        <f t="array" ref="F863">INDEX(공급업체코드!$B$3:$B$1000,MATCH(1,(E863=공급업체코드!$D$3:$D$1000)*1,0))</f>
        <v>VM_BKT</v>
      </c>
      <c r="G863" s="18" t="s">
        <v>1881</v>
      </c>
      <c r="H863" s="64"/>
      <c r="I863" s="64"/>
      <c r="J863" s="64"/>
      <c r="K863" s="300">
        <v>1.1000000000000001</v>
      </c>
      <c r="L863" s="300">
        <v>1.3</v>
      </c>
      <c r="M863" s="64">
        <v>820</v>
      </c>
      <c r="N863" s="64"/>
      <c r="O863" s="64"/>
      <c r="P863" s="64"/>
      <c r="Q863" s="64"/>
      <c r="R863" s="70"/>
      <c r="T863" s="64"/>
      <c r="X863">
        <v>0.123</v>
      </c>
      <c r="Y863" s="258" t="s">
        <v>1313</v>
      </c>
      <c r="AA863" s="259" t="s">
        <v>1314</v>
      </c>
      <c r="AB863" s="20" t="s">
        <v>1061</v>
      </c>
      <c r="AC863">
        <f t="shared" si="25"/>
        <v>4100000000</v>
      </c>
      <c r="AE863" s="18" t="s">
        <v>1315</v>
      </c>
      <c r="AF863" s="1" t="b">
        <v>1</v>
      </c>
    </row>
    <row r="864" spans="2:32" ht="16.5" customHeight="1">
      <c r="B864" s="1" t="str">
        <f t="shared" si="24"/>
        <v>M_TDIF04_VM_BKT_1.3_821</v>
      </c>
      <c r="C864" s="92" t="s">
        <v>700</v>
      </c>
      <c r="D864" s="92" t="str" cm="1">
        <f t="array" ref="D864">INDEX(기계코드!$D$4:$D$214,MATCH(1,(C864=기계코드!$F$4:$F$214)*1,0))</f>
        <v>M_TDIF04</v>
      </c>
      <c r="E864" s="92" t="s">
        <v>1128</v>
      </c>
      <c r="F864" s="7" t="str" cm="1">
        <f t="array" ref="F864">INDEX(공급업체코드!$B$3:$B$1000,MATCH(1,(E864=공급업체코드!$D$3:$D$1000)*1,0))</f>
        <v>VM_BKT</v>
      </c>
      <c r="G864" s="18" t="s">
        <v>1881</v>
      </c>
      <c r="H864" s="64"/>
      <c r="I864" s="64"/>
      <c r="J864" s="64"/>
      <c r="K864" s="300">
        <v>1.1000000000000001</v>
      </c>
      <c r="L864" s="300">
        <v>1.3</v>
      </c>
      <c r="M864" s="64">
        <v>821</v>
      </c>
      <c r="N864" s="64"/>
      <c r="O864" s="64"/>
      <c r="P864" s="64"/>
      <c r="Q864" s="64"/>
      <c r="R864" s="70"/>
      <c r="T864" s="64"/>
      <c r="X864">
        <v>0.123</v>
      </c>
      <c r="Y864" s="258" t="s">
        <v>1313</v>
      </c>
      <c r="AA864" s="259" t="s">
        <v>1314</v>
      </c>
      <c r="AB864" s="20" t="s">
        <v>1061</v>
      </c>
      <c r="AC864">
        <f t="shared" si="25"/>
        <v>4105000000</v>
      </c>
      <c r="AE864" s="18" t="s">
        <v>1315</v>
      </c>
      <c r="AF864" s="1" t="b">
        <v>1</v>
      </c>
    </row>
    <row r="865" spans="2:32" ht="16.5" customHeight="1">
      <c r="B865" s="1" t="str">
        <f t="shared" si="24"/>
        <v>M_TDIF04_VM_BKT_1.3_822</v>
      </c>
      <c r="C865" s="92" t="s">
        <v>700</v>
      </c>
      <c r="D865" s="92" t="str" cm="1">
        <f t="array" ref="D865">INDEX(기계코드!$D$4:$D$214,MATCH(1,(C865=기계코드!$F$4:$F$214)*1,0))</f>
        <v>M_TDIF04</v>
      </c>
      <c r="E865" s="92" t="s">
        <v>1128</v>
      </c>
      <c r="F865" s="7" t="str" cm="1">
        <f t="array" ref="F865">INDEX(공급업체코드!$B$3:$B$1000,MATCH(1,(E865=공급업체코드!$D$3:$D$1000)*1,0))</f>
        <v>VM_BKT</v>
      </c>
      <c r="G865" s="18" t="s">
        <v>1881</v>
      </c>
      <c r="H865" s="64"/>
      <c r="I865" s="64"/>
      <c r="J865" s="64"/>
      <c r="K865" s="300">
        <v>1.1000000000000001</v>
      </c>
      <c r="L865" s="300">
        <v>1.3</v>
      </c>
      <c r="M865" s="64">
        <v>822</v>
      </c>
      <c r="N865" s="64"/>
      <c r="O865" s="64"/>
      <c r="P865" s="64"/>
      <c r="Q865" s="64"/>
      <c r="R865" s="70"/>
      <c r="T865" s="64"/>
      <c r="X865">
        <v>0.123</v>
      </c>
      <c r="Y865" s="258" t="s">
        <v>1313</v>
      </c>
      <c r="AA865" s="259" t="s">
        <v>1314</v>
      </c>
      <c r="AB865" s="20" t="s">
        <v>1061</v>
      </c>
      <c r="AC865">
        <f t="shared" si="25"/>
        <v>4110000000</v>
      </c>
      <c r="AE865" s="18" t="s">
        <v>1315</v>
      </c>
      <c r="AF865" s="1" t="b">
        <v>1</v>
      </c>
    </row>
    <row r="866" spans="2:32" ht="16.5" customHeight="1">
      <c r="B866" s="1" t="str">
        <f t="shared" si="24"/>
        <v>M_TDIF04_VM_BKT_1.3_823</v>
      </c>
      <c r="C866" s="92" t="s">
        <v>700</v>
      </c>
      <c r="D866" s="92" t="str" cm="1">
        <f t="array" ref="D866">INDEX(기계코드!$D$4:$D$214,MATCH(1,(C866=기계코드!$F$4:$F$214)*1,0))</f>
        <v>M_TDIF04</v>
      </c>
      <c r="E866" s="92" t="s">
        <v>1128</v>
      </c>
      <c r="F866" s="7" t="str" cm="1">
        <f t="array" ref="F866">INDEX(공급업체코드!$B$3:$B$1000,MATCH(1,(E866=공급업체코드!$D$3:$D$1000)*1,0))</f>
        <v>VM_BKT</v>
      </c>
      <c r="G866" s="18" t="s">
        <v>1881</v>
      </c>
      <c r="H866" s="64"/>
      <c r="I866" s="64"/>
      <c r="J866" s="64"/>
      <c r="K866" s="300">
        <v>1.1000000000000001</v>
      </c>
      <c r="L866" s="300">
        <v>1.3</v>
      </c>
      <c r="M866" s="64">
        <v>823</v>
      </c>
      <c r="N866" s="64"/>
      <c r="O866" s="64"/>
      <c r="P866" s="64"/>
      <c r="Q866" s="64"/>
      <c r="R866" s="70"/>
      <c r="T866" s="64"/>
      <c r="X866">
        <v>0.123</v>
      </c>
      <c r="Y866" s="258" t="s">
        <v>1313</v>
      </c>
      <c r="AA866" s="259" t="s">
        <v>1314</v>
      </c>
      <c r="AB866" s="20" t="s">
        <v>1061</v>
      </c>
      <c r="AC866">
        <f t="shared" si="25"/>
        <v>4115000000</v>
      </c>
      <c r="AE866" s="18" t="s">
        <v>1315</v>
      </c>
      <c r="AF866" s="1" t="b">
        <v>1</v>
      </c>
    </row>
    <row r="867" spans="2:32" ht="16.5" customHeight="1">
      <c r="B867" s="1" t="str">
        <f t="shared" si="24"/>
        <v>M_TDIF04_VM_BKT_1.3_824</v>
      </c>
      <c r="C867" s="92" t="s">
        <v>700</v>
      </c>
      <c r="D867" s="92" t="str" cm="1">
        <f t="array" ref="D867">INDEX(기계코드!$D$4:$D$214,MATCH(1,(C867=기계코드!$F$4:$F$214)*1,0))</f>
        <v>M_TDIF04</v>
      </c>
      <c r="E867" s="92" t="s">
        <v>1128</v>
      </c>
      <c r="F867" s="7" t="str" cm="1">
        <f t="array" ref="F867">INDEX(공급업체코드!$B$3:$B$1000,MATCH(1,(E867=공급업체코드!$D$3:$D$1000)*1,0))</f>
        <v>VM_BKT</v>
      </c>
      <c r="G867" s="18" t="s">
        <v>1881</v>
      </c>
      <c r="H867" s="64"/>
      <c r="I867" s="64"/>
      <c r="J867" s="64"/>
      <c r="K867" s="300">
        <v>1.1000000000000001</v>
      </c>
      <c r="L867" s="300">
        <v>1.3</v>
      </c>
      <c r="M867" s="64">
        <v>824</v>
      </c>
      <c r="N867" s="64"/>
      <c r="O867" s="64"/>
      <c r="P867" s="64"/>
      <c r="Q867" s="64"/>
      <c r="R867" s="70"/>
      <c r="T867" s="64"/>
      <c r="X867">
        <v>0.123</v>
      </c>
      <c r="Y867" s="258" t="s">
        <v>1313</v>
      </c>
      <c r="AA867" s="259" t="s">
        <v>1314</v>
      </c>
      <c r="AB867" s="20" t="s">
        <v>1061</v>
      </c>
      <c r="AC867">
        <f t="shared" si="25"/>
        <v>4120000000</v>
      </c>
      <c r="AE867" s="18" t="s">
        <v>1315</v>
      </c>
      <c r="AF867" s="1" t="b">
        <v>1</v>
      </c>
    </row>
    <row r="868" spans="2:32" ht="16.5" customHeight="1">
      <c r="B868" s="1" t="str">
        <f t="shared" si="24"/>
        <v>M_TDIF04_VM_BKT_1.3_825</v>
      </c>
      <c r="C868" s="92" t="s">
        <v>700</v>
      </c>
      <c r="D868" s="92" t="str" cm="1">
        <f t="array" ref="D868">INDEX(기계코드!$D$4:$D$214,MATCH(1,(C868=기계코드!$F$4:$F$214)*1,0))</f>
        <v>M_TDIF04</v>
      </c>
      <c r="E868" s="92" t="s">
        <v>1128</v>
      </c>
      <c r="F868" s="7" t="str" cm="1">
        <f t="array" ref="F868">INDEX(공급업체코드!$B$3:$B$1000,MATCH(1,(E868=공급업체코드!$D$3:$D$1000)*1,0))</f>
        <v>VM_BKT</v>
      </c>
      <c r="G868" s="18" t="s">
        <v>1881</v>
      </c>
      <c r="H868" s="64"/>
      <c r="I868" s="64"/>
      <c r="J868" s="64"/>
      <c r="K868" s="300">
        <v>1.1000000000000001</v>
      </c>
      <c r="L868" s="300">
        <v>1.3</v>
      </c>
      <c r="M868" s="64">
        <v>825</v>
      </c>
      <c r="N868" s="64"/>
      <c r="O868" s="64"/>
      <c r="P868" s="64"/>
      <c r="Q868" s="64"/>
      <c r="R868" s="70"/>
      <c r="T868" s="64"/>
      <c r="X868">
        <v>0.123</v>
      </c>
      <c r="Y868" s="258" t="s">
        <v>1313</v>
      </c>
      <c r="AA868" s="259" t="s">
        <v>1314</v>
      </c>
      <c r="AB868" s="20" t="s">
        <v>1061</v>
      </c>
      <c r="AC868">
        <f t="shared" si="25"/>
        <v>4125000000</v>
      </c>
      <c r="AE868" s="18" t="s">
        <v>1315</v>
      </c>
      <c r="AF868" s="1" t="b">
        <v>1</v>
      </c>
    </row>
    <row r="869" spans="2:32" ht="16.5" customHeight="1">
      <c r="B869" s="1" t="str">
        <f t="shared" si="24"/>
        <v>M_TDIF04_VM_BKT_1.3_826</v>
      </c>
      <c r="C869" s="92" t="s">
        <v>700</v>
      </c>
      <c r="D869" s="92" t="str" cm="1">
        <f t="array" ref="D869">INDEX(기계코드!$D$4:$D$214,MATCH(1,(C869=기계코드!$F$4:$F$214)*1,0))</f>
        <v>M_TDIF04</v>
      </c>
      <c r="E869" s="92" t="s">
        <v>1128</v>
      </c>
      <c r="F869" s="7" t="str" cm="1">
        <f t="array" ref="F869">INDEX(공급업체코드!$B$3:$B$1000,MATCH(1,(E869=공급업체코드!$D$3:$D$1000)*1,0))</f>
        <v>VM_BKT</v>
      </c>
      <c r="G869" s="18" t="s">
        <v>1881</v>
      </c>
      <c r="H869" s="64"/>
      <c r="I869" s="64"/>
      <c r="J869" s="64"/>
      <c r="K869" s="300">
        <v>1.1000000000000001</v>
      </c>
      <c r="L869" s="300">
        <v>1.3</v>
      </c>
      <c r="M869" s="64">
        <v>826</v>
      </c>
      <c r="N869" s="64"/>
      <c r="O869" s="64"/>
      <c r="P869" s="64"/>
      <c r="Q869" s="64"/>
      <c r="R869" s="70"/>
      <c r="T869" s="64"/>
      <c r="X869">
        <v>0.123</v>
      </c>
      <c r="Y869" s="258" t="s">
        <v>1313</v>
      </c>
      <c r="AA869" s="259" t="s">
        <v>1314</v>
      </c>
      <c r="AB869" s="20" t="s">
        <v>1061</v>
      </c>
      <c r="AC869">
        <f t="shared" si="25"/>
        <v>4130000000</v>
      </c>
      <c r="AE869" s="18" t="s">
        <v>1315</v>
      </c>
      <c r="AF869" s="1" t="b">
        <v>1</v>
      </c>
    </row>
    <row r="870" spans="2:32" ht="16.5" customHeight="1">
      <c r="B870" s="1" t="str">
        <f t="shared" si="24"/>
        <v>M_TDIF04_VM_BKT_1.3_827</v>
      </c>
      <c r="C870" s="92" t="s">
        <v>700</v>
      </c>
      <c r="D870" s="92" t="str" cm="1">
        <f t="array" ref="D870">INDEX(기계코드!$D$4:$D$214,MATCH(1,(C870=기계코드!$F$4:$F$214)*1,0))</f>
        <v>M_TDIF04</v>
      </c>
      <c r="E870" s="92" t="s">
        <v>1128</v>
      </c>
      <c r="F870" s="7" t="str" cm="1">
        <f t="array" ref="F870">INDEX(공급업체코드!$B$3:$B$1000,MATCH(1,(E870=공급업체코드!$D$3:$D$1000)*1,0))</f>
        <v>VM_BKT</v>
      </c>
      <c r="G870" s="18" t="s">
        <v>1881</v>
      </c>
      <c r="H870" s="64"/>
      <c r="I870" s="64"/>
      <c r="J870" s="64"/>
      <c r="K870" s="300">
        <v>1.1000000000000001</v>
      </c>
      <c r="L870" s="300">
        <v>1.3</v>
      </c>
      <c r="M870" s="64">
        <v>827</v>
      </c>
      <c r="N870" s="64"/>
      <c r="O870" s="64"/>
      <c r="P870" s="64"/>
      <c r="Q870" s="64"/>
      <c r="R870" s="70"/>
      <c r="T870" s="64"/>
      <c r="X870">
        <v>0.123</v>
      </c>
      <c r="Y870" s="258" t="s">
        <v>1313</v>
      </c>
      <c r="AA870" s="259" t="s">
        <v>1314</v>
      </c>
      <c r="AB870" s="20" t="s">
        <v>1061</v>
      </c>
      <c r="AC870">
        <f t="shared" si="25"/>
        <v>4135000000</v>
      </c>
      <c r="AE870" s="18" t="s">
        <v>1315</v>
      </c>
      <c r="AF870" s="1" t="b">
        <v>1</v>
      </c>
    </row>
    <row r="871" spans="2:32" ht="16.5" customHeight="1">
      <c r="B871" s="1" t="str">
        <f t="shared" si="24"/>
        <v>M_TDIF04_VM_BKT_1.3_828</v>
      </c>
      <c r="C871" s="92" t="s">
        <v>700</v>
      </c>
      <c r="D871" s="92" t="str" cm="1">
        <f t="array" ref="D871">INDEX(기계코드!$D$4:$D$214,MATCH(1,(C871=기계코드!$F$4:$F$214)*1,0))</f>
        <v>M_TDIF04</v>
      </c>
      <c r="E871" s="92" t="s">
        <v>1128</v>
      </c>
      <c r="F871" s="7" t="str" cm="1">
        <f t="array" ref="F871">INDEX(공급업체코드!$B$3:$B$1000,MATCH(1,(E871=공급업체코드!$D$3:$D$1000)*1,0))</f>
        <v>VM_BKT</v>
      </c>
      <c r="G871" s="18" t="s">
        <v>1881</v>
      </c>
      <c r="H871" s="64"/>
      <c r="I871" s="64"/>
      <c r="J871" s="64"/>
      <c r="K871" s="300">
        <v>1.1000000000000001</v>
      </c>
      <c r="L871" s="300">
        <v>1.3</v>
      </c>
      <c r="M871" s="64">
        <v>828</v>
      </c>
      <c r="N871" s="64"/>
      <c r="O871" s="64"/>
      <c r="P871" s="64"/>
      <c r="Q871" s="64"/>
      <c r="R871" s="70"/>
      <c r="T871" s="64"/>
      <c r="X871">
        <v>0.123</v>
      </c>
      <c r="Y871" s="258" t="s">
        <v>1313</v>
      </c>
      <c r="AA871" s="259" t="s">
        <v>1314</v>
      </c>
      <c r="AB871" s="20" t="s">
        <v>1061</v>
      </c>
      <c r="AC871">
        <f t="shared" si="25"/>
        <v>4140000000</v>
      </c>
      <c r="AE871" s="18" t="s">
        <v>1315</v>
      </c>
      <c r="AF871" s="1" t="b">
        <v>1</v>
      </c>
    </row>
    <row r="872" spans="2:32" ht="16.5" customHeight="1">
      <c r="B872" s="1" t="str">
        <f t="shared" si="24"/>
        <v>M_TDIF04_VM_BKT_1.3_829</v>
      </c>
      <c r="C872" s="92" t="s">
        <v>700</v>
      </c>
      <c r="D872" s="92" t="str" cm="1">
        <f t="array" ref="D872">INDEX(기계코드!$D$4:$D$214,MATCH(1,(C872=기계코드!$F$4:$F$214)*1,0))</f>
        <v>M_TDIF04</v>
      </c>
      <c r="E872" s="92" t="s">
        <v>1128</v>
      </c>
      <c r="F872" s="7" t="str" cm="1">
        <f t="array" ref="F872">INDEX(공급업체코드!$B$3:$B$1000,MATCH(1,(E872=공급업체코드!$D$3:$D$1000)*1,0))</f>
        <v>VM_BKT</v>
      </c>
      <c r="G872" s="18" t="s">
        <v>1881</v>
      </c>
      <c r="H872" s="64"/>
      <c r="I872" s="64"/>
      <c r="J872" s="64"/>
      <c r="K872" s="300">
        <v>1.1000000000000001</v>
      </c>
      <c r="L872" s="300">
        <v>1.3</v>
      </c>
      <c r="M872" s="64">
        <v>829</v>
      </c>
      <c r="N872" s="64"/>
      <c r="O872" s="64"/>
      <c r="P872" s="64"/>
      <c r="Q872" s="64"/>
      <c r="R872" s="70"/>
      <c r="T872" s="64"/>
      <c r="X872">
        <v>0.123</v>
      </c>
      <c r="Y872" s="258" t="s">
        <v>1313</v>
      </c>
      <c r="AA872" s="259" t="s">
        <v>1314</v>
      </c>
      <c r="AB872" s="20" t="s">
        <v>1061</v>
      </c>
      <c r="AC872">
        <f t="shared" si="25"/>
        <v>4145000000</v>
      </c>
      <c r="AE872" s="18" t="s">
        <v>1315</v>
      </c>
      <c r="AF872" s="1" t="b">
        <v>1</v>
      </c>
    </row>
    <row r="873" spans="2:32" ht="16.5" customHeight="1">
      <c r="B873" s="1" t="str">
        <f t="shared" si="24"/>
        <v>M_TDIF04_VM_BKT_1.3_830</v>
      </c>
      <c r="C873" s="92" t="s">
        <v>700</v>
      </c>
      <c r="D873" s="92" t="str" cm="1">
        <f t="array" ref="D873">INDEX(기계코드!$D$4:$D$214,MATCH(1,(C873=기계코드!$F$4:$F$214)*1,0))</f>
        <v>M_TDIF04</v>
      </c>
      <c r="E873" s="92" t="s">
        <v>1128</v>
      </c>
      <c r="F873" s="7" t="str" cm="1">
        <f t="array" ref="F873">INDEX(공급업체코드!$B$3:$B$1000,MATCH(1,(E873=공급업체코드!$D$3:$D$1000)*1,0))</f>
        <v>VM_BKT</v>
      </c>
      <c r="G873" s="18" t="s">
        <v>1881</v>
      </c>
      <c r="H873" s="64"/>
      <c r="I873" s="64"/>
      <c r="J873" s="64"/>
      <c r="K873" s="300">
        <v>1.1000000000000001</v>
      </c>
      <c r="L873" s="300">
        <v>1.3</v>
      </c>
      <c r="M873" s="64">
        <v>830</v>
      </c>
      <c r="N873" s="64"/>
      <c r="O873" s="64"/>
      <c r="P873" s="64"/>
      <c r="Q873" s="64"/>
      <c r="R873" s="70"/>
      <c r="T873" s="64"/>
      <c r="X873">
        <v>0.123</v>
      </c>
      <c r="Y873" s="258" t="s">
        <v>1313</v>
      </c>
      <c r="AA873" s="259" t="s">
        <v>1314</v>
      </c>
      <c r="AB873" s="20" t="s">
        <v>1061</v>
      </c>
      <c r="AC873">
        <f t="shared" si="25"/>
        <v>4150000000</v>
      </c>
      <c r="AE873" s="18" t="s">
        <v>1315</v>
      </c>
      <c r="AF873" s="1" t="b">
        <v>1</v>
      </c>
    </row>
    <row r="874" spans="2:32" ht="16.5" customHeight="1">
      <c r="B874" s="1" t="str">
        <f t="shared" si="24"/>
        <v>M_TDIF04_VM_BKT_1.3_831</v>
      </c>
      <c r="C874" s="92" t="s">
        <v>700</v>
      </c>
      <c r="D874" s="92" t="str" cm="1">
        <f t="array" ref="D874">INDEX(기계코드!$D$4:$D$214,MATCH(1,(C874=기계코드!$F$4:$F$214)*1,0))</f>
        <v>M_TDIF04</v>
      </c>
      <c r="E874" s="92" t="s">
        <v>1128</v>
      </c>
      <c r="F874" s="7" t="str" cm="1">
        <f t="array" ref="F874">INDEX(공급업체코드!$B$3:$B$1000,MATCH(1,(E874=공급업체코드!$D$3:$D$1000)*1,0))</f>
        <v>VM_BKT</v>
      </c>
      <c r="G874" s="18" t="s">
        <v>1881</v>
      </c>
      <c r="H874" s="64"/>
      <c r="I874" s="64"/>
      <c r="J874" s="64"/>
      <c r="K874" s="300">
        <v>1.1000000000000001</v>
      </c>
      <c r="L874" s="300">
        <v>1.3</v>
      </c>
      <c r="M874" s="64">
        <v>831</v>
      </c>
      <c r="N874" s="64"/>
      <c r="O874" s="64"/>
      <c r="P874" s="64"/>
      <c r="Q874" s="64"/>
      <c r="R874" s="70"/>
      <c r="T874" s="64"/>
      <c r="X874">
        <v>0.123</v>
      </c>
      <c r="Y874" s="258" t="s">
        <v>1313</v>
      </c>
      <c r="AA874" s="259" t="s">
        <v>1314</v>
      </c>
      <c r="AB874" s="20" t="s">
        <v>1061</v>
      </c>
      <c r="AC874">
        <f t="shared" si="25"/>
        <v>4155000000</v>
      </c>
      <c r="AE874" s="18" t="s">
        <v>1315</v>
      </c>
      <c r="AF874" s="1" t="b">
        <v>1</v>
      </c>
    </row>
    <row r="875" spans="2:32" ht="16.5" customHeight="1">
      <c r="B875" s="1" t="str">
        <f t="shared" si="24"/>
        <v>M_TDIF04_VM_BKT_1.3_832</v>
      </c>
      <c r="C875" s="92" t="s">
        <v>700</v>
      </c>
      <c r="D875" s="92" t="str" cm="1">
        <f t="array" ref="D875">INDEX(기계코드!$D$4:$D$214,MATCH(1,(C875=기계코드!$F$4:$F$214)*1,0))</f>
        <v>M_TDIF04</v>
      </c>
      <c r="E875" s="92" t="s">
        <v>1128</v>
      </c>
      <c r="F875" s="7" t="str" cm="1">
        <f t="array" ref="F875">INDEX(공급업체코드!$B$3:$B$1000,MATCH(1,(E875=공급업체코드!$D$3:$D$1000)*1,0))</f>
        <v>VM_BKT</v>
      </c>
      <c r="G875" s="18" t="s">
        <v>1881</v>
      </c>
      <c r="H875" s="64"/>
      <c r="I875" s="64"/>
      <c r="J875" s="64"/>
      <c r="K875" s="300">
        <v>1.1000000000000001</v>
      </c>
      <c r="L875" s="300">
        <v>1.3</v>
      </c>
      <c r="M875" s="64">
        <v>832</v>
      </c>
      <c r="N875" s="64"/>
      <c r="O875" s="64"/>
      <c r="P875" s="64"/>
      <c r="Q875" s="64"/>
      <c r="R875" s="70"/>
      <c r="T875" s="64"/>
      <c r="X875">
        <v>0.123</v>
      </c>
      <c r="Y875" s="258" t="s">
        <v>1313</v>
      </c>
      <c r="AA875" s="259" t="s">
        <v>1314</v>
      </c>
      <c r="AB875" s="20" t="s">
        <v>1061</v>
      </c>
      <c r="AC875">
        <f t="shared" si="25"/>
        <v>4160000000</v>
      </c>
      <c r="AE875" s="18" t="s">
        <v>1315</v>
      </c>
      <c r="AF875" s="1" t="b">
        <v>1</v>
      </c>
    </row>
    <row r="876" spans="2:32" ht="16.5" customHeight="1">
      <c r="B876" s="1" t="str">
        <f t="shared" si="24"/>
        <v>M_TDIF04_VM_BKT_1.3_833</v>
      </c>
      <c r="C876" s="92" t="s">
        <v>700</v>
      </c>
      <c r="D876" s="92" t="str" cm="1">
        <f t="array" ref="D876">INDEX(기계코드!$D$4:$D$214,MATCH(1,(C876=기계코드!$F$4:$F$214)*1,0))</f>
        <v>M_TDIF04</v>
      </c>
      <c r="E876" s="92" t="s">
        <v>1128</v>
      </c>
      <c r="F876" s="7" t="str" cm="1">
        <f t="array" ref="F876">INDEX(공급업체코드!$B$3:$B$1000,MATCH(1,(E876=공급업체코드!$D$3:$D$1000)*1,0))</f>
        <v>VM_BKT</v>
      </c>
      <c r="G876" s="18" t="s">
        <v>1881</v>
      </c>
      <c r="H876" s="64"/>
      <c r="I876" s="64"/>
      <c r="J876" s="64"/>
      <c r="K876" s="300">
        <v>1.1000000000000001</v>
      </c>
      <c r="L876" s="300">
        <v>1.3</v>
      </c>
      <c r="M876" s="64">
        <v>833</v>
      </c>
      <c r="N876" s="64"/>
      <c r="O876" s="64"/>
      <c r="P876" s="64"/>
      <c r="Q876" s="64"/>
      <c r="R876" s="70"/>
      <c r="T876" s="64"/>
      <c r="X876">
        <v>0.123</v>
      </c>
      <c r="Y876" s="258" t="s">
        <v>1313</v>
      </c>
      <c r="AA876" s="259" t="s">
        <v>1314</v>
      </c>
      <c r="AB876" s="20" t="s">
        <v>1061</v>
      </c>
      <c r="AC876">
        <f t="shared" si="25"/>
        <v>4165000000</v>
      </c>
      <c r="AE876" s="18" t="s">
        <v>1315</v>
      </c>
      <c r="AF876" s="1" t="b">
        <v>1</v>
      </c>
    </row>
    <row r="877" spans="2:32" ht="16.5" customHeight="1">
      <c r="B877" s="1" t="str">
        <f t="shared" ref="B877:B940" si="26">D877&amp;"_"&amp;F877&amp;"_"&amp;L877&amp;"_"&amp;M877</f>
        <v>M_TDIF04_VM_BKT_1.3_834</v>
      </c>
      <c r="C877" s="92" t="s">
        <v>700</v>
      </c>
      <c r="D877" s="92" t="str" cm="1">
        <f t="array" ref="D877">INDEX(기계코드!$D$4:$D$214,MATCH(1,(C877=기계코드!$F$4:$F$214)*1,0))</f>
        <v>M_TDIF04</v>
      </c>
      <c r="E877" s="92" t="s">
        <v>1128</v>
      </c>
      <c r="F877" s="7" t="str" cm="1">
        <f t="array" ref="F877">INDEX(공급업체코드!$B$3:$B$1000,MATCH(1,(E877=공급업체코드!$D$3:$D$1000)*1,0))</f>
        <v>VM_BKT</v>
      </c>
      <c r="G877" s="18" t="s">
        <v>1881</v>
      </c>
      <c r="H877" s="64"/>
      <c r="I877" s="64"/>
      <c r="J877" s="64"/>
      <c r="K877" s="300">
        <v>1.1000000000000001</v>
      </c>
      <c r="L877" s="300">
        <v>1.3</v>
      </c>
      <c r="M877" s="64">
        <v>834</v>
      </c>
      <c r="N877" s="64"/>
      <c r="O877" s="64"/>
      <c r="P877" s="64"/>
      <c r="Q877" s="64"/>
      <c r="R877" s="70"/>
      <c r="T877" s="64"/>
      <c r="X877">
        <v>0.123</v>
      </c>
      <c r="Y877" s="258" t="s">
        <v>1313</v>
      </c>
      <c r="AA877" s="259" t="s">
        <v>1314</v>
      </c>
      <c r="AB877" s="20" t="s">
        <v>1061</v>
      </c>
      <c r="AC877">
        <f t="shared" si="25"/>
        <v>4170000000</v>
      </c>
      <c r="AE877" s="18" t="s">
        <v>1315</v>
      </c>
      <c r="AF877" s="1" t="b">
        <v>1</v>
      </c>
    </row>
    <row r="878" spans="2:32" ht="16.5" customHeight="1">
      <c r="B878" s="1" t="str">
        <f t="shared" si="26"/>
        <v>M_TDIF04_VM_BKT_1.3_835</v>
      </c>
      <c r="C878" s="92" t="s">
        <v>700</v>
      </c>
      <c r="D878" s="92" t="str" cm="1">
        <f t="array" ref="D878">INDEX(기계코드!$D$4:$D$214,MATCH(1,(C878=기계코드!$F$4:$F$214)*1,0))</f>
        <v>M_TDIF04</v>
      </c>
      <c r="E878" s="92" t="s">
        <v>1128</v>
      </c>
      <c r="F878" s="7" t="str" cm="1">
        <f t="array" ref="F878">INDEX(공급업체코드!$B$3:$B$1000,MATCH(1,(E878=공급업체코드!$D$3:$D$1000)*1,0))</f>
        <v>VM_BKT</v>
      </c>
      <c r="G878" s="18" t="s">
        <v>1881</v>
      </c>
      <c r="H878" s="64"/>
      <c r="I878" s="64"/>
      <c r="J878" s="64"/>
      <c r="K878" s="300">
        <v>1.1000000000000001</v>
      </c>
      <c r="L878" s="300">
        <v>1.3</v>
      </c>
      <c r="M878" s="64">
        <v>835</v>
      </c>
      <c r="N878" s="64"/>
      <c r="O878" s="64"/>
      <c r="P878" s="64"/>
      <c r="Q878" s="64"/>
      <c r="R878" s="70"/>
      <c r="T878" s="64"/>
      <c r="X878">
        <v>0.123</v>
      </c>
      <c r="Y878" s="258" t="s">
        <v>1313</v>
      </c>
      <c r="AA878" s="259" t="s">
        <v>1314</v>
      </c>
      <c r="AB878" s="20" t="s">
        <v>1061</v>
      </c>
      <c r="AC878">
        <f t="shared" ref="AC878:AC941" si="27">M878*$AC$44</f>
        <v>4175000000</v>
      </c>
      <c r="AE878" s="18" t="s">
        <v>1315</v>
      </c>
      <c r="AF878" s="1" t="b">
        <v>1</v>
      </c>
    </row>
    <row r="879" spans="2:32" ht="16.5" customHeight="1">
      <c r="B879" s="1" t="str">
        <f t="shared" si="26"/>
        <v>M_TDIF04_VM_BKT_1.3_836</v>
      </c>
      <c r="C879" s="92" t="s">
        <v>700</v>
      </c>
      <c r="D879" s="92" t="str" cm="1">
        <f t="array" ref="D879">INDEX(기계코드!$D$4:$D$214,MATCH(1,(C879=기계코드!$F$4:$F$214)*1,0))</f>
        <v>M_TDIF04</v>
      </c>
      <c r="E879" s="92" t="s">
        <v>1128</v>
      </c>
      <c r="F879" s="7" t="str" cm="1">
        <f t="array" ref="F879">INDEX(공급업체코드!$B$3:$B$1000,MATCH(1,(E879=공급업체코드!$D$3:$D$1000)*1,0))</f>
        <v>VM_BKT</v>
      </c>
      <c r="G879" s="18" t="s">
        <v>1881</v>
      </c>
      <c r="H879" s="64"/>
      <c r="I879" s="64"/>
      <c r="J879" s="64"/>
      <c r="K879" s="300">
        <v>1.1000000000000001</v>
      </c>
      <c r="L879" s="300">
        <v>1.3</v>
      </c>
      <c r="M879" s="64">
        <v>836</v>
      </c>
      <c r="N879" s="64"/>
      <c r="O879" s="64"/>
      <c r="P879" s="64"/>
      <c r="Q879" s="64"/>
      <c r="R879" s="70"/>
      <c r="T879" s="64"/>
      <c r="X879">
        <v>0.123</v>
      </c>
      <c r="Y879" s="258" t="s">
        <v>1313</v>
      </c>
      <c r="AA879" s="259" t="s">
        <v>1314</v>
      </c>
      <c r="AB879" s="20" t="s">
        <v>1061</v>
      </c>
      <c r="AC879">
        <f t="shared" si="27"/>
        <v>4180000000</v>
      </c>
      <c r="AE879" s="18" t="s">
        <v>1315</v>
      </c>
      <c r="AF879" s="1" t="b">
        <v>1</v>
      </c>
    </row>
    <row r="880" spans="2:32" ht="16.5" customHeight="1">
      <c r="B880" s="1" t="str">
        <f t="shared" si="26"/>
        <v>M_TDIF04_VM_BKT_1.3_837</v>
      </c>
      <c r="C880" s="92" t="s">
        <v>700</v>
      </c>
      <c r="D880" s="92" t="str" cm="1">
        <f t="array" ref="D880">INDEX(기계코드!$D$4:$D$214,MATCH(1,(C880=기계코드!$F$4:$F$214)*1,0))</f>
        <v>M_TDIF04</v>
      </c>
      <c r="E880" s="92" t="s">
        <v>1128</v>
      </c>
      <c r="F880" s="7" t="str" cm="1">
        <f t="array" ref="F880">INDEX(공급업체코드!$B$3:$B$1000,MATCH(1,(E880=공급업체코드!$D$3:$D$1000)*1,0))</f>
        <v>VM_BKT</v>
      </c>
      <c r="G880" s="18" t="s">
        <v>1881</v>
      </c>
      <c r="H880" s="64"/>
      <c r="I880" s="64"/>
      <c r="J880" s="64"/>
      <c r="K880" s="300">
        <v>1.1000000000000001</v>
      </c>
      <c r="L880" s="300">
        <v>1.3</v>
      </c>
      <c r="M880" s="64">
        <v>837</v>
      </c>
      <c r="N880" s="64"/>
      <c r="O880" s="64"/>
      <c r="P880" s="64"/>
      <c r="Q880" s="64"/>
      <c r="R880" s="70"/>
      <c r="T880" s="64"/>
      <c r="X880">
        <v>0.123</v>
      </c>
      <c r="Y880" s="258" t="s">
        <v>1313</v>
      </c>
      <c r="AA880" s="259" t="s">
        <v>1314</v>
      </c>
      <c r="AB880" s="20" t="s">
        <v>1061</v>
      </c>
      <c r="AC880">
        <f t="shared" si="27"/>
        <v>4185000000</v>
      </c>
      <c r="AE880" s="18" t="s">
        <v>1315</v>
      </c>
      <c r="AF880" s="1" t="b">
        <v>1</v>
      </c>
    </row>
    <row r="881" spans="2:32" ht="16.5" customHeight="1">
      <c r="B881" s="1" t="str">
        <f t="shared" si="26"/>
        <v>M_TDIF04_VM_BKT_1.3_838</v>
      </c>
      <c r="C881" s="92" t="s">
        <v>700</v>
      </c>
      <c r="D881" s="92" t="str" cm="1">
        <f t="array" ref="D881">INDEX(기계코드!$D$4:$D$214,MATCH(1,(C881=기계코드!$F$4:$F$214)*1,0))</f>
        <v>M_TDIF04</v>
      </c>
      <c r="E881" s="92" t="s">
        <v>1128</v>
      </c>
      <c r="F881" s="7" t="str" cm="1">
        <f t="array" ref="F881">INDEX(공급업체코드!$B$3:$B$1000,MATCH(1,(E881=공급업체코드!$D$3:$D$1000)*1,0))</f>
        <v>VM_BKT</v>
      </c>
      <c r="G881" s="18" t="s">
        <v>1881</v>
      </c>
      <c r="H881" s="64"/>
      <c r="I881" s="64"/>
      <c r="J881" s="64"/>
      <c r="K881" s="300">
        <v>1.1000000000000001</v>
      </c>
      <c r="L881" s="300">
        <v>1.3</v>
      </c>
      <c r="M881" s="64">
        <v>838</v>
      </c>
      <c r="N881" s="64"/>
      <c r="O881" s="64"/>
      <c r="P881" s="64"/>
      <c r="Q881" s="64"/>
      <c r="R881" s="70"/>
      <c r="T881" s="64"/>
      <c r="X881">
        <v>0.123</v>
      </c>
      <c r="Y881" s="258" t="s">
        <v>1313</v>
      </c>
      <c r="AA881" s="259" t="s">
        <v>1314</v>
      </c>
      <c r="AB881" s="20" t="s">
        <v>1061</v>
      </c>
      <c r="AC881">
        <f t="shared" si="27"/>
        <v>4190000000</v>
      </c>
      <c r="AE881" s="18" t="s">
        <v>1315</v>
      </c>
      <c r="AF881" s="1" t="b">
        <v>1</v>
      </c>
    </row>
    <row r="882" spans="2:32" ht="16.5" customHeight="1">
      <c r="B882" s="1" t="str">
        <f t="shared" si="26"/>
        <v>M_TDIF04_VM_BKT_1.3_839</v>
      </c>
      <c r="C882" s="92" t="s">
        <v>700</v>
      </c>
      <c r="D882" s="92" t="str" cm="1">
        <f t="array" ref="D882">INDEX(기계코드!$D$4:$D$214,MATCH(1,(C882=기계코드!$F$4:$F$214)*1,0))</f>
        <v>M_TDIF04</v>
      </c>
      <c r="E882" s="92" t="s">
        <v>1128</v>
      </c>
      <c r="F882" s="7" t="str" cm="1">
        <f t="array" ref="F882">INDEX(공급업체코드!$B$3:$B$1000,MATCH(1,(E882=공급업체코드!$D$3:$D$1000)*1,0))</f>
        <v>VM_BKT</v>
      </c>
      <c r="G882" s="18" t="s">
        <v>1881</v>
      </c>
      <c r="H882" s="64"/>
      <c r="I882" s="64"/>
      <c r="J882" s="64"/>
      <c r="K882" s="300">
        <v>1.1000000000000001</v>
      </c>
      <c r="L882" s="300">
        <v>1.3</v>
      </c>
      <c r="M882" s="64">
        <v>839</v>
      </c>
      <c r="N882" s="64"/>
      <c r="O882" s="64"/>
      <c r="P882" s="64"/>
      <c r="Q882" s="64"/>
      <c r="R882" s="70"/>
      <c r="T882" s="64"/>
      <c r="X882">
        <v>0.123</v>
      </c>
      <c r="Y882" s="258" t="s">
        <v>1313</v>
      </c>
      <c r="AA882" s="259" t="s">
        <v>1314</v>
      </c>
      <c r="AB882" s="20" t="s">
        <v>1061</v>
      </c>
      <c r="AC882">
        <f t="shared" si="27"/>
        <v>4195000000</v>
      </c>
      <c r="AE882" s="18" t="s">
        <v>1315</v>
      </c>
      <c r="AF882" s="1" t="b">
        <v>1</v>
      </c>
    </row>
    <row r="883" spans="2:32" ht="16.5" customHeight="1">
      <c r="B883" s="1" t="str">
        <f t="shared" si="26"/>
        <v>M_TDIF04_VM_BKT_1.3_840</v>
      </c>
      <c r="C883" s="92" t="s">
        <v>700</v>
      </c>
      <c r="D883" s="92" t="str" cm="1">
        <f t="array" ref="D883">INDEX(기계코드!$D$4:$D$214,MATCH(1,(C883=기계코드!$F$4:$F$214)*1,0))</f>
        <v>M_TDIF04</v>
      </c>
      <c r="E883" s="92" t="s">
        <v>1128</v>
      </c>
      <c r="F883" s="7" t="str" cm="1">
        <f t="array" ref="F883">INDEX(공급업체코드!$B$3:$B$1000,MATCH(1,(E883=공급업체코드!$D$3:$D$1000)*1,0))</f>
        <v>VM_BKT</v>
      </c>
      <c r="G883" s="18" t="s">
        <v>1881</v>
      </c>
      <c r="H883" s="64"/>
      <c r="I883" s="64"/>
      <c r="J883" s="64"/>
      <c r="K883" s="300">
        <v>1.1000000000000001</v>
      </c>
      <c r="L883" s="300">
        <v>1.3</v>
      </c>
      <c r="M883" s="64">
        <v>840</v>
      </c>
      <c r="N883" s="64"/>
      <c r="O883" s="64"/>
      <c r="P883" s="64"/>
      <c r="Q883" s="64"/>
      <c r="R883" s="70"/>
      <c r="T883" s="64"/>
      <c r="X883">
        <v>0.123</v>
      </c>
      <c r="Y883" s="258" t="s">
        <v>1313</v>
      </c>
      <c r="AA883" s="259" t="s">
        <v>1314</v>
      </c>
      <c r="AB883" s="20" t="s">
        <v>1061</v>
      </c>
      <c r="AC883">
        <f t="shared" si="27"/>
        <v>4200000000</v>
      </c>
      <c r="AE883" s="18" t="s">
        <v>1315</v>
      </c>
      <c r="AF883" s="1" t="b">
        <v>1</v>
      </c>
    </row>
    <row r="884" spans="2:32" ht="16.5" customHeight="1">
      <c r="B884" s="1" t="str">
        <f t="shared" si="26"/>
        <v>M_TDIF04_VM_BKT_1.3_841</v>
      </c>
      <c r="C884" s="92" t="s">
        <v>700</v>
      </c>
      <c r="D884" s="92" t="str" cm="1">
        <f t="array" ref="D884">INDEX(기계코드!$D$4:$D$214,MATCH(1,(C884=기계코드!$F$4:$F$214)*1,0))</f>
        <v>M_TDIF04</v>
      </c>
      <c r="E884" s="92" t="s">
        <v>1128</v>
      </c>
      <c r="F884" s="7" t="str" cm="1">
        <f t="array" ref="F884">INDEX(공급업체코드!$B$3:$B$1000,MATCH(1,(E884=공급업체코드!$D$3:$D$1000)*1,0))</f>
        <v>VM_BKT</v>
      </c>
      <c r="G884" s="18" t="s">
        <v>1881</v>
      </c>
      <c r="H884" s="64"/>
      <c r="I884" s="64"/>
      <c r="J884" s="64"/>
      <c r="K884" s="300">
        <v>1.1000000000000001</v>
      </c>
      <c r="L884" s="300">
        <v>1.3</v>
      </c>
      <c r="M884" s="64">
        <v>841</v>
      </c>
      <c r="N884" s="64"/>
      <c r="O884" s="64"/>
      <c r="P884" s="64"/>
      <c r="Q884" s="64"/>
      <c r="R884" s="70"/>
      <c r="T884" s="64"/>
      <c r="X884">
        <v>0.123</v>
      </c>
      <c r="Y884" s="258" t="s">
        <v>1313</v>
      </c>
      <c r="AA884" s="259" t="s">
        <v>1314</v>
      </c>
      <c r="AB884" s="20" t="s">
        <v>1061</v>
      </c>
      <c r="AC884">
        <f t="shared" si="27"/>
        <v>4205000000</v>
      </c>
      <c r="AE884" s="18" t="s">
        <v>1315</v>
      </c>
      <c r="AF884" s="1" t="b">
        <v>1</v>
      </c>
    </row>
    <row r="885" spans="2:32" ht="16.5" customHeight="1">
      <c r="B885" s="1" t="str">
        <f t="shared" si="26"/>
        <v>M_TDIF04_VM_BKT_1.3_842</v>
      </c>
      <c r="C885" s="92" t="s">
        <v>700</v>
      </c>
      <c r="D885" s="92" t="str" cm="1">
        <f t="array" ref="D885">INDEX(기계코드!$D$4:$D$214,MATCH(1,(C885=기계코드!$F$4:$F$214)*1,0))</f>
        <v>M_TDIF04</v>
      </c>
      <c r="E885" s="92" t="s">
        <v>1128</v>
      </c>
      <c r="F885" s="7" t="str" cm="1">
        <f t="array" ref="F885">INDEX(공급업체코드!$B$3:$B$1000,MATCH(1,(E885=공급업체코드!$D$3:$D$1000)*1,0))</f>
        <v>VM_BKT</v>
      </c>
      <c r="G885" s="18" t="s">
        <v>1881</v>
      </c>
      <c r="H885" s="64"/>
      <c r="I885" s="64"/>
      <c r="J885" s="64"/>
      <c r="K885" s="300">
        <v>1.1000000000000001</v>
      </c>
      <c r="L885" s="300">
        <v>1.3</v>
      </c>
      <c r="M885" s="64">
        <v>842</v>
      </c>
      <c r="N885" s="64"/>
      <c r="O885" s="64"/>
      <c r="P885" s="64"/>
      <c r="Q885" s="64"/>
      <c r="R885" s="70"/>
      <c r="T885" s="64"/>
      <c r="X885">
        <v>0.123</v>
      </c>
      <c r="Y885" s="258" t="s">
        <v>1313</v>
      </c>
      <c r="AA885" s="259" t="s">
        <v>1314</v>
      </c>
      <c r="AB885" s="20" t="s">
        <v>1061</v>
      </c>
      <c r="AC885">
        <f t="shared" si="27"/>
        <v>4210000000</v>
      </c>
      <c r="AE885" s="18" t="s">
        <v>1315</v>
      </c>
      <c r="AF885" s="1" t="b">
        <v>1</v>
      </c>
    </row>
    <row r="886" spans="2:32" ht="16.5" customHeight="1">
      <c r="B886" s="1" t="str">
        <f t="shared" si="26"/>
        <v>M_TDIF04_VM_BKT_1.3_843</v>
      </c>
      <c r="C886" s="92" t="s">
        <v>700</v>
      </c>
      <c r="D886" s="92" t="str" cm="1">
        <f t="array" ref="D886">INDEX(기계코드!$D$4:$D$214,MATCH(1,(C886=기계코드!$F$4:$F$214)*1,0))</f>
        <v>M_TDIF04</v>
      </c>
      <c r="E886" s="92" t="s">
        <v>1128</v>
      </c>
      <c r="F886" s="7" t="str" cm="1">
        <f t="array" ref="F886">INDEX(공급업체코드!$B$3:$B$1000,MATCH(1,(E886=공급업체코드!$D$3:$D$1000)*1,0))</f>
        <v>VM_BKT</v>
      </c>
      <c r="G886" s="18" t="s">
        <v>1881</v>
      </c>
      <c r="H886" s="64"/>
      <c r="I886" s="64"/>
      <c r="J886" s="64"/>
      <c r="K886" s="300">
        <v>1.1000000000000001</v>
      </c>
      <c r="L886" s="300">
        <v>1.3</v>
      </c>
      <c r="M886" s="64">
        <v>843</v>
      </c>
      <c r="N886" s="64"/>
      <c r="O886" s="64"/>
      <c r="P886" s="64"/>
      <c r="Q886" s="64"/>
      <c r="R886" s="70"/>
      <c r="T886" s="64"/>
      <c r="X886">
        <v>0.123</v>
      </c>
      <c r="Y886" s="258" t="s">
        <v>1313</v>
      </c>
      <c r="AA886" s="259" t="s">
        <v>1314</v>
      </c>
      <c r="AB886" s="20" t="s">
        <v>1061</v>
      </c>
      <c r="AC886">
        <f t="shared" si="27"/>
        <v>4215000000</v>
      </c>
      <c r="AE886" s="18" t="s">
        <v>1315</v>
      </c>
      <c r="AF886" s="1" t="b">
        <v>1</v>
      </c>
    </row>
    <row r="887" spans="2:32" ht="16.5" customHeight="1">
      <c r="B887" s="1" t="str">
        <f t="shared" si="26"/>
        <v>M_TDIF04_VM_BKT_1.3_844</v>
      </c>
      <c r="C887" s="92" t="s">
        <v>700</v>
      </c>
      <c r="D887" s="92" t="str" cm="1">
        <f t="array" ref="D887">INDEX(기계코드!$D$4:$D$214,MATCH(1,(C887=기계코드!$F$4:$F$214)*1,0))</f>
        <v>M_TDIF04</v>
      </c>
      <c r="E887" s="92" t="s">
        <v>1128</v>
      </c>
      <c r="F887" s="7" t="str" cm="1">
        <f t="array" ref="F887">INDEX(공급업체코드!$B$3:$B$1000,MATCH(1,(E887=공급업체코드!$D$3:$D$1000)*1,0))</f>
        <v>VM_BKT</v>
      </c>
      <c r="G887" s="18" t="s">
        <v>1881</v>
      </c>
      <c r="H887" s="64"/>
      <c r="I887" s="64"/>
      <c r="J887" s="64"/>
      <c r="K887" s="300">
        <v>1.1000000000000001</v>
      </c>
      <c r="L887" s="300">
        <v>1.3</v>
      </c>
      <c r="M887" s="64">
        <v>844</v>
      </c>
      <c r="N887" s="64"/>
      <c r="O887" s="64"/>
      <c r="P887" s="64"/>
      <c r="Q887" s="64"/>
      <c r="R887" s="70"/>
      <c r="T887" s="64"/>
      <c r="X887">
        <v>0.123</v>
      </c>
      <c r="Y887" s="258" t="s">
        <v>1313</v>
      </c>
      <c r="AA887" s="259" t="s">
        <v>1314</v>
      </c>
      <c r="AB887" s="20" t="s">
        <v>1061</v>
      </c>
      <c r="AC887">
        <f t="shared" si="27"/>
        <v>4220000000</v>
      </c>
      <c r="AE887" s="18" t="s">
        <v>1315</v>
      </c>
      <c r="AF887" s="1" t="b">
        <v>1</v>
      </c>
    </row>
    <row r="888" spans="2:32" ht="16.5" customHeight="1">
      <c r="B888" s="1" t="str">
        <f t="shared" si="26"/>
        <v>M_TDIF04_VM_BKT_1.3_845</v>
      </c>
      <c r="C888" s="92" t="s">
        <v>700</v>
      </c>
      <c r="D888" s="92" t="str" cm="1">
        <f t="array" ref="D888">INDEX(기계코드!$D$4:$D$214,MATCH(1,(C888=기계코드!$F$4:$F$214)*1,0))</f>
        <v>M_TDIF04</v>
      </c>
      <c r="E888" s="92" t="s">
        <v>1128</v>
      </c>
      <c r="F888" s="7" t="str" cm="1">
        <f t="array" ref="F888">INDEX(공급업체코드!$B$3:$B$1000,MATCH(1,(E888=공급업체코드!$D$3:$D$1000)*1,0))</f>
        <v>VM_BKT</v>
      </c>
      <c r="G888" s="18" t="s">
        <v>1881</v>
      </c>
      <c r="H888" s="64"/>
      <c r="I888" s="64"/>
      <c r="J888" s="64"/>
      <c r="K888" s="300">
        <v>1.1000000000000001</v>
      </c>
      <c r="L888" s="300">
        <v>1.3</v>
      </c>
      <c r="M888" s="64">
        <v>845</v>
      </c>
      <c r="N888" s="64"/>
      <c r="O888" s="64"/>
      <c r="P888" s="64"/>
      <c r="Q888" s="64"/>
      <c r="R888" s="70"/>
      <c r="T888" s="64"/>
      <c r="X888">
        <v>0.123</v>
      </c>
      <c r="Y888" s="258" t="s">
        <v>1313</v>
      </c>
      <c r="AA888" s="259" t="s">
        <v>1314</v>
      </c>
      <c r="AB888" s="20" t="s">
        <v>1061</v>
      </c>
      <c r="AC888">
        <f t="shared" si="27"/>
        <v>4225000000</v>
      </c>
      <c r="AE888" s="18" t="s">
        <v>1315</v>
      </c>
      <c r="AF888" s="1" t="b">
        <v>1</v>
      </c>
    </row>
    <row r="889" spans="2:32" ht="16.5" customHeight="1">
      <c r="B889" s="1" t="str">
        <f t="shared" si="26"/>
        <v>M_TDIF04_VM_BKT_1.3_846</v>
      </c>
      <c r="C889" s="92" t="s">
        <v>700</v>
      </c>
      <c r="D889" s="92" t="str" cm="1">
        <f t="array" ref="D889">INDEX(기계코드!$D$4:$D$214,MATCH(1,(C889=기계코드!$F$4:$F$214)*1,0))</f>
        <v>M_TDIF04</v>
      </c>
      <c r="E889" s="92" t="s">
        <v>1128</v>
      </c>
      <c r="F889" s="7" t="str" cm="1">
        <f t="array" ref="F889">INDEX(공급업체코드!$B$3:$B$1000,MATCH(1,(E889=공급업체코드!$D$3:$D$1000)*1,0))</f>
        <v>VM_BKT</v>
      </c>
      <c r="G889" s="18" t="s">
        <v>1881</v>
      </c>
      <c r="H889" s="64"/>
      <c r="I889" s="64"/>
      <c r="J889" s="64"/>
      <c r="K889" s="300">
        <v>1.1000000000000001</v>
      </c>
      <c r="L889" s="300">
        <v>1.3</v>
      </c>
      <c r="M889" s="64">
        <v>846</v>
      </c>
      <c r="N889" s="64"/>
      <c r="O889" s="64"/>
      <c r="P889" s="64"/>
      <c r="Q889" s="64"/>
      <c r="R889" s="70"/>
      <c r="T889" s="64"/>
      <c r="X889">
        <v>0.123</v>
      </c>
      <c r="Y889" s="258" t="s">
        <v>1313</v>
      </c>
      <c r="AA889" s="259" t="s">
        <v>1314</v>
      </c>
      <c r="AB889" s="20" t="s">
        <v>1061</v>
      </c>
      <c r="AC889">
        <f t="shared" si="27"/>
        <v>4230000000</v>
      </c>
      <c r="AE889" s="18" t="s">
        <v>1315</v>
      </c>
      <c r="AF889" s="1" t="b">
        <v>1</v>
      </c>
    </row>
    <row r="890" spans="2:32" ht="16.5" customHeight="1">
      <c r="B890" s="1" t="str">
        <f t="shared" si="26"/>
        <v>M_TDIF04_VM_BKT_1.3_847</v>
      </c>
      <c r="C890" s="92" t="s">
        <v>700</v>
      </c>
      <c r="D890" s="92" t="str" cm="1">
        <f t="array" ref="D890">INDEX(기계코드!$D$4:$D$214,MATCH(1,(C890=기계코드!$F$4:$F$214)*1,0))</f>
        <v>M_TDIF04</v>
      </c>
      <c r="E890" s="92" t="s">
        <v>1128</v>
      </c>
      <c r="F890" s="7" t="str" cm="1">
        <f t="array" ref="F890">INDEX(공급업체코드!$B$3:$B$1000,MATCH(1,(E890=공급업체코드!$D$3:$D$1000)*1,0))</f>
        <v>VM_BKT</v>
      </c>
      <c r="G890" s="18" t="s">
        <v>1881</v>
      </c>
      <c r="H890" s="64"/>
      <c r="I890" s="64"/>
      <c r="J890" s="64"/>
      <c r="K890" s="300">
        <v>1.1000000000000001</v>
      </c>
      <c r="L890" s="300">
        <v>1.3</v>
      </c>
      <c r="M890" s="64">
        <v>847</v>
      </c>
      <c r="N890" s="64"/>
      <c r="O890" s="64"/>
      <c r="P890" s="64"/>
      <c r="Q890" s="64"/>
      <c r="R890" s="70"/>
      <c r="T890" s="64"/>
      <c r="X890">
        <v>0.123</v>
      </c>
      <c r="Y890" s="258" t="s">
        <v>1313</v>
      </c>
      <c r="AA890" s="259" t="s">
        <v>1314</v>
      </c>
      <c r="AB890" s="20" t="s">
        <v>1061</v>
      </c>
      <c r="AC890">
        <f t="shared" si="27"/>
        <v>4235000000</v>
      </c>
      <c r="AE890" s="18" t="s">
        <v>1315</v>
      </c>
      <c r="AF890" s="1" t="b">
        <v>1</v>
      </c>
    </row>
    <row r="891" spans="2:32" ht="16.5" customHeight="1">
      <c r="B891" s="1" t="str">
        <f t="shared" si="26"/>
        <v>M_TDIF04_VM_BKT_1.3_848</v>
      </c>
      <c r="C891" s="92" t="s">
        <v>700</v>
      </c>
      <c r="D891" s="92" t="str" cm="1">
        <f t="array" ref="D891">INDEX(기계코드!$D$4:$D$214,MATCH(1,(C891=기계코드!$F$4:$F$214)*1,0))</f>
        <v>M_TDIF04</v>
      </c>
      <c r="E891" s="92" t="s">
        <v>1128</v>
      </c>
      <c r="F891" s="7" t="str" cm="1">
        <f t="array" ref="F891">INDEX(공급업체코드!$B$3:$B$1000,MATCH(1,(E891=공급업체코드!$D$3:$D$1000)*1,0))</f>
        <v>VM_BKT</v>
      </c>
      <c r="G891" s="18" t="s">
        <v>1881</v>
      </c>
      <c r="H891" s="64"/>
      <c r="I891" s="64"/>
      <c r="J891" s="64"/>
      <c r="K891" s="300">
        <v>1.1000000000000001</v>
      </c>
      <c r="L891" s="300">
        <v>1.3</v>
      </c>
      <c r="M891" s="64">
        <v>848</v>
      </c>
      <c r="N891" s="64"/>
      <c r="O891" s="64"/>
      <c r="P891" s="64"/>
      <c r="Q891" s="64"/>
      <c r="R891" s="70"/>
      <c r="T891" s="64"/>
      <c r="X891">
        <v>0.123</v>
      </c>
      <c r="Y891" s="258" t="s">
        <v>1313</v>
      </c>
      <c r="AA891" s="259" t="s">
        <v>1314</v>
      </c>
      <c r="AB891" s="20" t="s">
        <v>1061</v>
      </c>
      <c r="AC891">
        <f t="shared" si="27"/>
        <v>4240000000</v>
      </c>
      <c r="AE891" s="18" t="s">
        <v>1315</v>
      </c>
      <c r="AF891" s="1" t="b">
        <v>1</v>
      </c>
    </row>
    <row r="892" spans="2:32" ht="16.5" customHeight="1">
      <c r="B892" s="1" t="str">
        <f t="shared" si="26"/>
        <v>M_TDIF04_VM_BKT_1.3_849</v>
      </c>
      <c r="C892" s="92" t="s">
        <v>700</v>
      </c>
      <c r="D892" s="92" t="str" cm="1">
        <f t="array" ref="D892">INDEX(기계코드!$D$4:$D$214,MATCH(1,(C892=기계코드!$F$4:$F$214)*1,0))</f>
        <v>M_TDIF04</v>
      </c>
      <c r="E892" s="92" t="s">
        <v>1128</v>
      </c>
      <c r="F892" s="7" t="str" cm="1">
        <f t="array" ref="F892">INDEX(공급업체코드!$B$3:$B$1000,MATCH(1,(E892=공급업체코드!$D$3:$D$1000)*1,0))</f>
        <v>VM_BKT</v>
      </c>
      <c r="G892" s="18" t="s">
        <v>1881</v>
      </c>
      <c r="H892" s="64"/>
      <c r="I892" s="64"/>
      <c r="J892" s="64"/>
      <c r="K892" s="300">
        <v>1.1000000000000001</v>
      </c>
      <c r="L892" s="300">
        <v>1.3</v>
      </c>
      <c r="M892" s="64">
        <v>849</v>
      </c>
      <c r="N892" s="64"/>
      <c r="O892" s="64"/>
      <c r="P892" s="64"/>
      <c r="Q892" s="64"/>
      <c r="R892" s="70"/>
      <c r="T892" s="64"/>
      <c r="X892">
        <v>0.123</v>
      </c>
      <c r="Y892" s="258" t="s">
        <v>1313</v>
      </c>
      <c r="AA892" s="259" t="s">
        <v>1314</v>
      </c>
      <c r="AB892" s="20" t="s">
        <v>1061</v>
      </c>
      <c r="AC892">
        <f t="shared" si="27"/>
        <v>4245000000</v>
      </c>
      <c r="AE892" s="18" t="s">
        <v>1315</v>
      </c>
      <c r="AF892" s="1" t="b">
        <v>1</v>
      </c>
    </row>
    <row r="893" spans="2:32" ht="16.5" customHeight="1">
      <c r="B893" s="1" t="str">
        <f t="shared" si="26"/>
        <v>M_TDIF04_VM_BKT_1.3_850</v>
      </c>
      <c r="C893" s="92" t="s">
        <v>700</v>
      </c>
      <c r="D893" s="92" t="str" cm="1">
        <f t="array" ref="D893">INDEX(기계코드!$D$4:$D$214,MATCH(1,(C893=기계코드!$F$4:$F$214)*1,0))</f>
        <v>M_TDIF04</v>
      </c>
      <c r="E893" s="92" t="s">
        <v>1128</v>
      </c>
      <c r="F893" s="7" t="str" cm="1">
        <f t="array" ref="F893">INDEX(공급업체코드!$B$3:$B$1000,MATCH(1,(E893=공급업체코드!$D$3:$D$1000)*1,0))</f>
        <v>VM_BKT</v>
      </c>
      <c r="G893" s="18" t="s">
        <v>1881</v>
      </c>
      <c r="H893" s="64"/>
      <c r="I893" s="64"/>
      <c r="J893" s="64"/>
      <c r="K893" s="300">
        <v>1.1000000000000001</v>
      </c>
      <c r="L893" s="300">
        <v>1.3</v>
      </c>
      <c r="M893" s="64">
        <v>850</v>
      </c>
      <c r="N893" s="64"/>
      <c r="O893" s="64"/>
      <c r="P893" s="64"/>
      <c r="Q893" s="64"/>
      <c r="R893" s="70"/>
      <c r="T893" s="64"/>
      <c r="X893">
        <v>0.123</v>
      </c>
      <c r="Y893" s="258" t="s">
        <v>1313</v>
      </c>
      <c r="AA893" s="259" t="s">
        <v>1314</v>
      </c>
      <c r="AB893" s="20" t="s">
        <v>1061</v>
      </c>
      <c r="AC893">
        <f t="shared" si="27"/>
        <v>4250000000</v>
      </c>
      <c r="AE893" s="18" t="s">
        <v>1315</v>
      </c>
      <c r="AF893" s="1" t="b">
        <v>1</v>
      </c>
    </row>
    <row r="894" spans="2:32" ht="16.5" customHeight="1">
      <c r="B894" s="1" t="str">
        <f t="shared" si="26"/>
        <v>M_TDIF04_VM_BKT_1.3_851</v>
      </c>
      <c r="C894" s="92" t="s">
        <v>700</v>
      </c>
      <c r="D894" s="92" t="str" cm="1">
        <f t="array" ref="D894">INDEX(기계코드!$D$4:$D$214,MATCH(1,(C894=기계코드!$F$4:$F$214)*1,0))</f>
        <v>M_TDIF04</v>
      </c>
      <c r="E894" s="92" t="s">
        <v>1128</v>
      </c>
      <c r="F894" s="7" t="str" cm="1">
        <f t="array" ref="F894">INDEX(공급업체코드!$B$3:$B$1000,MATCH(1,(E894=공급업체코드!$D$3:$D$1000)*1,0))</f>
        <v>VM_BKT</v>
      </c>
      <c r="G894" s="18" t="s">
        <v>1881</v>
      </c>
      <c r="H894" s="64"/>
      <c r="I894" s="64"/>
      <c r="J894" s="64"/>
      <c r="K894" s="300">
        <v>1.1000000000000001</v>
      </c>
      <c r="L894" s="300">
        <v>1.3</v>
      </c>
      <c r="M894" s="64">
        <v>851</v>
      </c>
      <c r="N894" s="64"/>
      <c r="O894" s="64"/>
      <c r="P894" s="64"/>
      <c r="Q894" s="64"/>
      <c r="R894" s="70"/>
      <c r="T894" s="64"/>
      <c r="X894">
        <v>0.123</v>
      </c>
      <c r="Y894" s="258" t="s">
        <v>1313</v>
      </c>
      <c r="AA894" s="259" t="s">
        <v>1314</v>
      </c>
      <c r="AB894" s="20" t="s">
        <v>1061</v>
      </c>
      <c r="AC894">
        <f t="shared" si="27"/>
        <v>4255000000</v>
      </c>
      <c r="AE894" s="18" t="s">
        <v>1315</v>
      </c>
      <c r="AF894" s="1" t="b">
        <v>1</v>
      </c>
    </row>
    <row r="895" spans="2:32" ht="16.5" customHeight="1">
      <c r="B895" s="1" t="str">
        <f t="shared" si="26"/>
        <v>M_TDIF04_VM_BKT_1.3_852</v>
      </c>
      <c r="C895" s="92" t="s">
        <v>700</v>
      </c>
      <c r="D895" s="92" t="str" cm="1">
        <f t="array" ref="D895">INDEX(기계코드!$D$4:$D$214,MATCH(1,(C895=기계코드!$F$4:$F$214)*1,0))</f>
        <v>M_TDIF04</v>
      </c>
      <c r="E895" s="92" t="s">
        <v>1128</v>
      </c>
      <c r="F895" s="7" t="str" cm="1">
        <f t="array" ref="F895">INDEX(공급업체코드!$B$3:$B$1000,MATCH(1,(E895=공급업체코드!$D$3:$D$1000)*1,0))</f>
        <v>VM_BKT</v>
      </c>
      <c r="G895" s="18" t="s">
        <v>1881</v>
      </c>
      <c r="H895" s="64"/>
      <c r="I895" s="64"/>
      <c r="J895" s="64"/>
      <c r="K895" s="300">
        <v>1.1000000000000001</v>
      </c>
      <c r="L895" s="300">
        <v>1.3</v>
      </c>
      <c r="M895" s="64">
        <v>852</v>
      </c>
      <c r="N895" s="64"/>
      <c r="O895" s="64"/>
      <c r="P895" s="64"/>
      <c r="Q895" s="64"/>
      <c r="R895" s="70"/>
      <c r="T895" s="64"/>
      <c r="X895">
        <v>0.123</v>
      </c>
      <c r="Y895" s="258" t="s">
        <v>1313</v>
      </c>
      <c r="AA895" s="259" t="s">
        <v>1314</v>
      </c>
      <c r="AB895" s="20" t="s">
        <v>1061</v>
      </c>
      <c r="AC895">
        <f t="shared" si="27"/>
        <v>4260000000</v>
      </c>
      <c r="AE895" s="18" t="s">
        <v>1315</v>
      </c>
      <c r="AF895" s="1" t="b">
        <v>1</v>
      </c>
    </row>
    <row r="896" spans="2:32" ht="16.5" customHeight="1">
      <c r="B896" s="1" t="str">
        <f t="shared" si="26"/>
        <v>M_TDIF04_VM_BKT_1.3_853</v>
      </c>
      <c r="C896" s="92" t="s">
        <v>700</v>
      </c>
      <c r="D896" s="92" t="str" cm="1">
        <f t="array" ref="D896">INDEX(기계코드!$D$4:$D$214,MATCH(1,(C896=기계코드!$F$4:$F$214)*1,0))</f>
        <v>M_TDIF04</v>
      </c>
      <c r="E896" s="92" t="s">
        <v>1128</v>
      </c>
      <c r="F896" s="7" t="str" cm="1">
        <f t="array" ref="F896">INDEX(공급업체코드!$B$3:$B$1000,MATCH(1,(E896=공급업체코드!$D$3:$D$1000)*1,0))</f>
        <v>VM_BKT</v>
      </c>
      <c r="G896" s="18" t="s">
        <v>1881</v>
      </c>
      <c r="H896" s="64"/>
      <c r="I896" s="64"/>
      <c r="J896" s="64"/>
      <c r="K896" s="300">
        <v>1.1000000000000001</v>
      </c>
      <c r="L896" s="300">
        <v>1.3</v>
      </c>
      <c r="M896" s="64">
        <v>853</v>
      </c>
      <c r="N896" s="64"/>
      <c r="O896" s="64"/>
      <c r="P896" s="64"/>
      <c r="Q896" s="64"/>
      <c r="R896" s="70"/>
      <c r="T896" s="64"/>
      <c r="X896">
        <v>0.123</v>
      </c>
      <c r="Y896" s="258" t="s">
        <v>1313</v>
      </c>
      <c r="AA896" s="259" t="s">
        <v>1314</v>
      </c>
      <c r="AB896" s="20" t="s">
        <v>1061</v>
      </c>
      <c r="AC896">
        <f t="shared" si="27"/>
        <v>4265000000</v>
      </c>
      <c r="AE896" s="18" t="s">
        <v>1315</v>
      </c>
      <c r="AF896" s="1" t="b">
        <v>1</v>
      </c>
    </row>
    <row r="897" spans="2:32" ht="16.5" customHeight="1">
      <c r="B897" s="1" t="str">
        <f t="shared" si="26"/>
        <v>M_TDIF04_VM_BKT_1.3_854</v>
      </c>
      <c r="C897" s="92" t="s">
        <v>700</v>
      </c>
      <c r="D897" s="92" t="str" cm="1">
        <f t="array" ref="D897">INDEX(기계코드!$D$4:$D$214,MATCH(1,(C897=기계코드!$F$4:$F$214)*1,0))</f>
        <v>M_TDIF04</v>
      </c>
      <c r="E897" s="92" t="s">
        <v>1128</v>
      </c>
      <c r="F897" s="7" t="str" cm="1">
        <f t="array" ref="F897">INDEX(공급업체코드!$B$3:$B$1000,MATCH(1,(E897=공급업체코드!$D$3:$D$1000)*1,0))</f>
        <v>VM_BKT</v>
      </c>
      <c r="G897" s="18" t="s">
        <v>1881</v>
      </c>
      <c r="H897" s="64"/>
      <c r="I897" s="64"/>
      <c r="J897" s="64"/>
      <c r="K897" s="300">
        <v>1.1000000000000001</v>
      </c>
      <c r="L897" s="300">
        <v>1.3</v>
      </c>
      <c r="M897" s="64">
        <v>854</v>
      </c>
      <c r="N897" s="64"/>
      <c r="O897" s="64"/>
      <c r="P897" s="64"/>
      <c r="Q897" s="64"/>
      <c r="R897" s="70"/>
      <c r="T897" s="64"/>
      <c r="X897">
        <v>0.123</v>
      </c>
      <c r="Y897" s="258" t="s">
        <v>1313</v>
      </c>
      <c r="AA897" s="259" t="s">
        <v>1314</v>
      </c>
      <c r="AB897" s="20" t="s">
        <v>1061</v>
      </c>
      <c r="AC897">
        <f t="shared" si="27"/>
        <v>4270000000</v>
      </c>
      <c r="AE897" s="18" t="s">
        <v>1315</v>
      </c>
      <c r="AF897" s="1" t="b">
        <v>1</v>
      </c>
    </row>
    <row r="898" spans="2:32" ht="16.5" customHeight="1">
      <c r="B898" s="1" t="str">
        <f t="shared" si="26"/>
        <v>M_TDIF04_VM_BKT_1.3_855</v>
      </c>
      <c r="C898" s="92" t="s">
        <v>700</v>
      </c>
      <c r="D898" s="92" t="str" cm="1">
        <f t="array" ref="D898">INDEX(기계코드!$D$4:$D$214,MATCH(1,(C898=기계코드!$F$4:$F$214)*1,0))</f>
        <v>M_TDIF04</v>
      </c>
      <c r="E898" s="92" t="s">
        <v>1128</v>
      </c>
      <c r="F898" s="7" t="str" cm="1">
        <f t="array" ref="F898">INDEX(공급업체코드!$B$3:$B$1000,MATCH(1,(E898=공급업체코드!$D$3:$D$1000)*1,0))</f>
        <v>VM_BKT</v>
      </c>
      <c r="G898" s="18" t="s">
        <v>1881</v>
      </c>
      <c r="H898" s="64"/>
      <c r="I898" s="64"/>
      <c r="J898" s="64"/>
      <c r="K898" s="300">
        <v>1.1000000000000001</v>
      </c>
      <c r="L898" s="300">
        <v>1.3</v>
      </c>
      <c r="M898" s="64">
        <v>855</v>
      </c>
      <c r="N898" s="64"/>
      <c r="O898" s="64"/>
      <c r="P898" s="64"/>
      <c r="Q898" s="64"/>
      <c r="R898" s="70"/>
      <c r="T898" s="64"/>
      <c r="X898">
        <v>0.123</v>
      </c>
      <c r="Y898" s="258" t="s">
        <v>1313</v>
      </c>
      <c r="AA898" s="259" t="s">
        <v>1314</v>
      </c>
      <c r="AB898" s="20" t="s">
        <v>1061</v>
      </c>
      <c r="AC898">
        <f t="shared" si="27"/>
        <v>4275000000</v>
      </c>
      <c r="AE898" s="18" t="s">
        <v>1315</v>
      </c>
      <c r="AF898" s="1" t="b">
        <v>1</v>
      </c>
    </row>
    <row r="899" spans="2:32" ht="16.5" customHeight="1">
      <c r="B899" s="1" t="str">
        <f t="shared" si="26"/>
        <v>M_TDIF04_VM_BKT_1.3_856</v>
      </c>
      <c r="C899" s="92" t="s">
        <v>700</v>
      </c>
      <c r="D899" s="92" t="str" cm="1">
        <f t="array" ref="D899">INDEX(기계코드!$D$4:$D$214,MATCH(1,(C899=기계코드!$F$4:$F$214)*1,0))</f>
        <v>M_TDIF04</v>
      </c>
      <c r="E899" s="92" t="s">
        <v>1128</v>
      </c>
      <c r="F899" s="7" t="str" cm="1">
        <f t="array" ref="F899">INDEX(공급업체코드!$B$3:$B$1000,MATCH(1,(E899=공급업체코드!$D$3:$D$1000)*1,0))</f>
        <v>VM_BKT</v>
      </c>
      <c r="G899" s="18" t="s">
        <v>1881</v>
      </c>
      <c r="H899" s="64"/>
      <c r="I899" s="64"/>
      <c r="J899" s="64"/>
      <c r="K899" s="300">
        <v>1.1000000000000001</v>
      </c>
      <c r="L899" s="300">
        <v>1.3</v>
      </c>
      <c r="M899" s="64">
        <v>856</v>
      </c>
      <c r="N899" s="64"/>
      <c r="O899" s="64"/>
      <c r="P899" s="64"/>
      <c r="Q899" s="64"/>
      <c r="R899" s="70"/>
      <c r="T899" s="64"/>
      <c r="X899">
        <v>0.123</v>
      </c>
      <c r="Y899" s="258" t="s">
        <v>1313</v>
      </c>
      <c r="AA899" s="259" t="s">
        <v>1314</v>
      </c>
      <c r="AB899" s="20" t="s">
        <v>1061</v>
      </c>
      <c r="AC899">
        <f t="shared" si="27"/>
        <v>4280000000</v>
      </c>
      <c r="AE899" s="18" t="s">
        <v>1315</v>
      </c>
      <c r="AF899" s="1" t="b">
        <v>1</v>
      </c>
    </row>
    <row r="900" spans="2:32" ht="16.5" customHeight="1">
      <c r="B900" s="1" t="str">
        <f t="shared" si="26"/>
        <v>M_TDIF04_VM_BKT_1.3_857</v>
      </c>
      <c r="C900" s="92" t="s">
        <v>700</v>
      </c>
      <c r="D900" s="92" t="str" cm="1">
        <f t="array" ref="D900">INDEX(기계코드!$D$4:$D$214,MATCH(1,(C900=기계코드!$F$4:$F$214)*1,0))</f>
        <v>M_TDIF04</v>
      </c>
      <c r="E900" s="92" t="s">
        <v>1128</v>
      </c>
      <c r="F900" s="7" t="str" cm="1">
        <f t="array" ref="F900">INDEX(공급업체코드!$B$3:$B$1000,MATCH(1,(E900=공급업체코드!$D$3:$D$1000)*1,0))</f>
        <v>VM_BKT</v>
      </c>
      <c r="G900" s="18" t="s">
        <v>1881</v>
      </c>
      <c r="H900" s="64"/>
      <c r="I900" s="64"/>
      <c r="J900" s="64"/>
      <c r="K900" s="300">
        <v>1.1000000000000001</v>
      </c>
      <c r="L900" s="300">
        <v>1.3</v>
      </c>
      <c r="M900" s="64">
        <v>857</v>
      </c>
      <c r="N900" s="64"/>
      <c r="O900" s="64"/>
      <c r="P900" s="64"/>
      <c r="Q900" s="64"/>
      <c r="R900" s="70"/>
      <c r="T900" s="64"/>
      <c r="X900">
        <v>0.123</v>
      </c>
      <c r="Y900" s="258" t="s">
        <v>1313</v>
      </c>
      <c r="AA900" s="259" t="s">
        <v>1314</v>
      </c>
      <c r="AB900" s="20" t="s">
        <v>1061</v>
      </c>
      <c r="AC900">
        <f t="shared" si="27"/>
        <v>4285000000</v>
      </c>
      <c r="AE900" s="18" t="s">
        <v>1315</v>
      </c>
      <c r="AF900" s="1" t="b">
        <v>1</v>
      </c>
    </row>
    <row r="901" spans="2:32" ht="16.5" customHeight="1">
      <c r="B901" s="1" t="str">
        <f t="shared" si="26"/>
        <v>M_TDIF04_VM_BKT_1.3_858</v>
      </c>
      <c r="C901" s="92" t="s">
        <v>700</v>
      </c>
      <c r="D901" s="92" t="str" cm="1">
        <f t="array" ref="D901">INDEX(기계코드!$D$4:$D$214,MATCH(1,(C901=기계코드!$F$4:$F$214)*1,0))</f>
        <v>M_TDIF04</v>
      </c>
      <c r="E901" s="92" t="s">
        <v>1128</v>
      </c>
      <c r="F901" s="7" t="str" cm="1">
        <f t="array" ref="F901">INDEX(공급업체코드!$B$3:$B$1000,MATCH(1,(E901=공급업체코드!$D$3:$D$1000)*1,0))</f>
        <v>VM_BKT</v>
      </c>
      <c r="G901" s="18" t="s">
        <v>1881</v>
      </c>
      <c r="H901" s="64"/>
      <c r="I901" s="64"/>
      <c r="J901" s="64"/>
      <c r="K901" s="300">
        <v>1.1000000000000001</v>
      </c>
      <c r="L901" s="300">
        <v>1.3</v>
      </c>
      <c r="M901" s="64">
        <v>858</v>
      </c>
      <c r="N901" s="64"/>
      <c r="O901" s="64"/>
      <c r="P901" s="64"/>
      <c r="Q901" s="64"/>
      <c r="R901" s="70"/>
      <c r="T901" s="64"/>
      <c r="X901">
        <v>0.123</v>
      </c>
      <c r="Y901" s="258" t="s">
        <v>1313</v>
      </c>
      <c r="AA901" s="259" t="s">
        <v>1314</v>
      </c>
      <c r="AB901" s="20" t="s">
        <v>1061</v>
      </c>
      <c r="AC901">
        <f t="shared" si="27"/>
        <v>4290000000</v>
      </c>
      <c r="AE901" s="18" t="s">
        <v>1315</v>
      </c>
      <c r="AF901" s="1" t="b">
        <v>1</v>
      </c>
    </row>
    <row r="902" spans="2:32" ht="16.5" customHeight="1">
      <c r="B902" s="1" t="str">
        <f t="shared" si="26"/>
        <v>M_TDIF04_VM_BKT_1.3_859</v>
      </c>
      <c r="C902" s="92" t="s">
        <v>700</v>
      </c>
      <c r="D902" s="92" t="str" cm="1">
        <f t="array" ref="D902">INDEX(기계코드!$D$4:$D$214,MATCH(1,(C902=기계코드!$F$4:$F$214)*1,0))</f>
        <v>M_TDIF04</v>
      </c>
      <c r="E902" s="92" t="s">
        <v>1128</v>
      </c>
      <c r="F902" s="7" t="str" cm="1">
        <f t="array" ref="F902">INDEX(공급업체코드!$B$3:$B$1000,MATCH(1,(E902=공급업체코드!$D$3:$D$1000)*1,0))</f>
        <v>VM_BKT</v>
      </c>
      <c r="G902" s="18" t="s">
        <v>1881</v>
      </c>
      <c r="H902" s="64"/>
      <c r="I902" s="64"/>
      <c r="J902" s="64"/>
      <c r="K902" s="300">
        <v>1.1000000000000001</v>
      </c>
      <c r="L902" s="300">
        <v>1.3</v>
      </c>
      <c r="M902" s="64">
        <v>859</v>
      </c>
      <c r="N902" s="64"/>
      <c r="O902" s="64"/>
      <c r="P902" s="64"/>
      <c r="Q902" s="64"/>
      <c r="R902" s="70"/>
      <c r="T902" s="64"/>
      <c r="X902">
        <v>0.123</v>
      </c>
      <c r="Y902" s="258" t="s">
        <v>1313</v>
      </c>
      <c r="AA902" s="259" t="s">
        <v>1314</v>
      </c>
      <c r="AB902" s="20" t="s">
        <v>1061</v>
      </c>
      <c r="AC902">
        <f t="shared" si="27"/>
        <v>4295000000</v>
      </c>
      <c r="AE902" s="18" t="s">
        <v>1315</v>
      </c>
      <c r="AF902" s="1" t="b">
        <v>1</v>
      </c>
    </row>
    <row r="903" spans="2:32" ht="16.5" customHeight="1">
      <c r="B903" s="1" t="str">
        <f t="shared" si="26"/>
        <v>M_TDIF04_VM_BKT_1.3_860</v>
      </c>
      <c r="C903" s="92" t="s">
        <v>700</v>
      </c>
      <c r="D903" s="92" t="str" cm="1">
        <f t="array" ref="D903">INDEX(기계코드!$D$4:$D$214,MATCH(1,(C903=기계코드!$F$4:$F$214)*1,0))</f>
        <v>M_TDIF04</v>
      </c>
      <c r="E903" s="92" t="s">
        <v>1128</v>
      </c>
      <c r="F903" s="7" t="str" cm="1">
        <f t="array" ref="F903">INDEX(공급업체코드!$B$3:$B$1000,MATCH(1,(E903=공급업체코드!$D$3:$D$1000)*1,0))</f>
        <v>VM_BKT</v>
      </c>
      <c r="G903" s="18" t="s">
        <v>1881</v>
      </c>
      <c r="H903" s="64"/>
      <c r="I903" s="64"/>
      <c r="J903" s="64"/>
      <c r="K903" s="300">
        <v>1.1000000000000001</v>
      </c>
      <c r="L903" s="300">
        <v>1.3</v>
      </c>
      <c r="M903" s="64">
        <v>860</v>
      </c>
      <c r="N903" s="64"/>
      <c r="O903" s="64"/>
      <c r="P903" s="64"/>
      <c r="Q903" s="64"/>
      <c r="R903" s="70"/>
      <c r="T903" s="64"/>
      <c r="X903">
        <v>0.123</v>
      </c>
      <c r="Y903" s="258" t="s">
        <v>1313</v>
      </c>
      <c r="AA903" s="259" t="s">
        <v>1314</v>
      </c>
      <c r="AB903" s="20" t="s">
        <v>1061</v>
      </c>
      <c r="AC903">
        <f t="shared" si="27"/>
        <v>4300000000</v>
      </c>
      <c r="AE903" s="18" t="s">
        <v>1315</v>
      </c>
      <c r="AF903" s="1" t="b">
        <v>1</v>
      </c>
    </row>
    <row r="904" spans="2:32" ht="16.5" customHeight="1">
      <c r="B904" s="1" t="str">
        <f t="shared" si="26"/>
        <v>M_TDIF04_VM_BKT_1.3_861</v>
      </c>
      <c r="C904" s="92" t="s">
        <v>700</v>
      </c>
      <c r="D904" s="92" t="str" cm="1">
        <f t="array" ref="D904">INDEX(기계코드!$D$4:$D$214,MATCH(1,(C904=기계코드!$F$4:$F$214)*1,0))</f>
        <v>M_TDIF04</v>
      </c>
      <c r="E904" s="92" t="s">
        <v>1128</v>
      </c>
      <c r="F904" s="7" t="str" cm="1">
        <f t="array" ref="F904">INDEX(공급업체코드!$B$3:$B$1000,MATCH(1,(E904=공급업체코드!$D$3:$D$1000)*1,0))</f>
        <v>VM_BKT</v>
      </c>
      <c r="G904" s="18" t="s">
        <v>1881</v>
      </c>
      <c r="H904" s="64"/>
      <c r="I904" s="64"/>
      <c r="J904" s="64"/>
      <c r="K904" s="300">
        <v>1.1000000000000001</v>
      </c>
      <c r="L904" s="300">
        <v>1.3</v>
      </c>
      <c r="M904" s="64">
        <v>861</v>
      </c>
      <c r="N904" s="64"/>
      <c r="O904" s="64"/>
      <c r="P904" s="64"/>
      <c r="Q904" s="64"/>
      <c r="R904" s="70"/>
      <c r="T904" s="64"/>
      <c r="X904">
        <v>0.123</v>
      </c>
      <c r="Y904" s="258" t="s">
        <v>1313</v>
      </c>
      <c r="AA904" s="259" t="s">
        <v>1314</v>
      </c>
      <c r="AB904" s="20" t="s">
        <v>1061</v>
      </c>
      <c r="AC904">
        <f t="shared" si="27"/>
        <v>4305000000</v>
      </c>
      <c r="AE904" s="18" t="s">
        <v>1315</v>
      </c>
      <c r="AF904" s="1" t="b">
        <v>1</v>
      </c>
    </row>
    <row r="905" spans="2:32" ht="16.5" customHeight="1">
      <c r="B905" s="1" t="str">
        <f t="shared" si="26"/>
        <v>M_TDIF04_VM_BKT_1.3_862</v>
      </c>
      <c r="C905" s="92" t="s">
        <v>700</v>
      </c>
      <c r="D905" s="92" t="str" cm="1">
        <f t="array" ref="D905">INDEX(기계코드!$D$4:$D$214,MATCH(1,(C905=기계코드!$F$4:$F$214)*1,0))</f>
        <v>M_TDIF04</v>
      </c>
      <c r="E905" s="92" t="s">
        <v>1128</v>
      </c>
      <c r="F905" s="7" t="str" cm="1">
        <f t="array" ref="F905">INDEX(공급업체코드!$B$3:$B$1000,MATCH(1,(E905=공급업체코드!$D$3:$D$1000)*1,0))</f>
        <v>VM_BKT</v>
      </c>
      <c r="G905" s="18" t="s">
        <v>1881</v>
      </c>
      <c r="H905" s="64"/>
      <c r="I905" s="64"/>
      <c r="J905" s="64"/>
      <c r="K905" s="300">
        <v>1.1000000000000001</v>
      </c>
      <c r="L905" s="300">
        <v>1.3</v>
      </c>
      <c r="M905" s="64">
        <v>862</v>
      </c>
      <c r="N905" s="64"/>
      <c r="O905" s="64"/>
      <c r="P905" s="64"/>
      <c r="Q905" s="64"/>
      <c r="R905" s="70"/>
      <c r="T905" s="64"/>
      <c r="X905">
        <v>0.123</v>
      </c>
      <c r="Y905" s="258" t="s">
        <v>1313</v>
      </c>
      <c r="AA905" s="259" t="s">
        <v>1314</v>
      </c>
      <c r="AB905" s="20" t="s">
        <v>1061</v>
      </c>
      <c r="AC905">
        <f t="shared" si="27"/>
        <v>4310000000</v>
      </c>
      <c r="AE905" s="18" t="s">
        <v>1315</v>
      </c>
      <c r="AF905" s="1" t="b">
        <v>1</v>
      </c>
    </row>
    <row r="906" spans="2:32" ht="16.5" customHeight="1">
      <c r="B906" s="1" t="str">
        <f t="shared" si="26"/>
        <v>M_TDIF04_VM_BKT_1.3_863</v>
      </c>
      <c r="C906" s="92" t="s">
        <v>700</v>
      </c>
      <c r="D906" s="92" t="str" cm="1">
        <f t="array" ref="D906">INDEX(기계코드!$D$4:$D$214,MATCH(1,(C906=기계코드!$F$4:$F$214)*1,0))</f>
        <v>M_TDIF04</v>
      </c>
      <c r="E906" s="92" t="s">
        <v>1128</v>
      </c>
      <c r="F906" s="7" t="str" cm="1">
        <f t="array" ref="F906">INDEX(공급업체코드!$B$3:$B$1000,MATCH(1,(E906=공급업체코드!$D$3:$D$1000)*1,0))</f>
        <v>VM_BKT</v>
      </c>
      <c r="G906" s="18" t="s">
        <v>1881</v>
      </c>
      <c r="H906" s="64"/>
      <c r="I906" s="64"/>
      <c r="J906" s="64"/>
      <c r="K906" s="300">
        <v>1.1000000000000001</v>
      </c>
      <c r="L906" s="300">
        <v>1.3</v>
      </c>
      <c r="M906" s="64">
        <v>863</v>
      </c>
      <c r="N906" s="64"/>
      <c r="O906" s="64"/>
      <c r="P906" s="64"/>
      <c r="Q906" s="64"/>
      <c r="R906" s="70"/>
      <c r="T906" s="64"/>
      <c r="X906">
        <v>0.123</v>
      </c>
      <c r="Y906" s="258" t="s">
        <v>1313</v>
      </c>
      <c r="AA906" s="259" t="s">
        <v>1314</v>
      </c>
      <c r="AB906" s="20" t="s">
        <v>1061</v>
      </c>
      <c r="AC906">
        <f t="shared" si="27"/>
        <v>4315000000</v>
      </c>
      <c r="AE906" s="18" t="s">
        <v>1315</v>
      </c>
      <c r="AF906" s="1" t="b">
        <v>1</v>
      </c>
    </row>
    <row r="907" spans="2:32" ht="16.5" customHeight="1">
      <c r="B907" s="1" t="str">
        <f t="shared" si="26"/>
        <v>M_TDIF04_VM_BKT_1.3_864</v>
      </c>
      <c r="C907" s="92" t="s">
        <v>700</v>
      </c>
      <c r="D907" s="92" t="str" cm="1">
        <f t="array" ref="D907">INDEX(기계코드!$D$4:$D$214,MATCH(1,(C907=기계코드!$F$4:$F$214)*1,0))</f>
        <v>M_TDIF04</v>
      </c>
      <c r="E907" s="92" t="s">
        <v>1128</v>
      </c>
      <c r="F907" s="7" t="str" cm="1">
        <f t="array" ref="F907">INDEX(공급업체코드!$B$3:$B$1000,MATCH(1,(E907=공급업체코드!$D$3:$D$1000)*1,0))</f>
        <v>VM_BKT</v>
      </c>
      <c r="G907" s="18" t="s">
        <v>1881</v>
      </c>
      <c r="H907" s="64"/>
      <c r="I907" s="64"/>
      <c r="J907" s="64"/>
      <c r="K907" s="300">
        <v>1.1000000000000001</v>
      </c>
      <c r="L907" s="300">
        <v>1.3</v>
      </c>
      <c r="M907" s="64">
        <v>864</v>
      </c>
      <c r="N907" s="64"/>
      <c r="O907" s="64"/>
      <c r="P907" s="64"/>
      <c r="Q907" s="64"/>
      <c r="R907" s="70"/>
      <c r="T907" s="64"/>
      <c r="X907">
        <v>0.123</v>
      </c>
      <c r="Y907" s="258" t="s">
        <v>1313</v>
      </c>
      <c r="AA907" s="259" t="s">
        <v>1314</v>
      </c>
      <c r="AB907" s="20" t="s">
        <v>1061</v>
      </c>
      <c r="AC907">
        <f t="shared" si="27"/>
        <v>4320000000</v>
      </c>
      <c r="AE907" s="18" t="s">
        <v>1315</v>
      </c>
      <c r="AF907" s="1" t="b">
        <v>1</v>
      </c>
    </row>
    <row r="908" spans="2:32" ht="16.5" customHeight="1">
      <c r="B908" s="1" t="str">
        <f t="shared" si="26"/>
        <v>M_TDIF04_VM_BKT_1.3_865</v>
      </c>
      <c r="C908" s="92" t="s">
        <v>700</v>
      </c>
      <c r="D908" s="92" t="str" cm="1">
        <f t="array" ref="D908">INDEX(기계코드!$D$4:$D$214,MATCH(1,(C908=기계코드!$F$4:$F$214)*1,0))</f>
        <v>M_TDIF04</v>
      </c>
      <c r="E908" s="92" t="s">
        <v>1128</v>
      </c>
      <c r="F908" s="7" t="str" cm="1">
        <f t="array" ref="F908">INDEX(공급업체코드!$B$3:$B$1000,MATCH(1,(E908=공급업체코드!$D$3:$D$1000)*1,0))</f>
        <v>VM_BKT</v>
      </c>
      <c r="G908" s="18" t="s">
        <v>1881</v>
      </c>
      <c r="H908" s="64"/>
      <c r="I908" s="64"/>
      <c r="J908" s="64"/>
      <c r="K908" s="300">
        <v>1.1000000000000001</v>
      </c>
      <c r="L908" s="300">
        <v>1.3</v>
      </c>
      <c r="M908" s="64">
        <v>865</v>
      </c>
      <c r="N908" s="64"/>
      <c r="O908" s="64"/>
      <c r="P908" s="64"/>
      <c r="Q908" s="64"/>
      <c r="R908" s="70"/>
      <c r="T908" s="64"/>
      <c r="X908">
        <v>0.123</v>
      </c>
      <c r="Y908" s="258" t="s">
        <v>1313</v>
      </c>
      <c r="AA908" s="259" t="s">
        <v>1314</v>
      </c>
      <c r="AB908" s="20" t="s">
        <v>1061</v>
      </c>
      <c r="AC908">
        <f t="shared" si="27"/>
        <v>4325000000</v>
      </c>
      <c r="AE908" s="18" t="s">
        <v>1315</v>
      </c>
      <c r="AF908" s="1" t="b">
        <v>1</v>
      </c>
    </row>
    <row r="909" spans="2:32" ht="16.5" customHeight="1">
      <c r="B909" s="1" t="str">
        <f t="shared" si="26"/>
        <v>M_TDIF04_VM_BKT_1.3_866</v>
      </c>
      <c r="C909" s="92" t="s">
        <v>700</v>
      </c>
      <c r="D909" s="92" t="str" cm="1">
        <f t="array" ref="D909">INDEX(기계코드!$D$4:$D$214,MATCH(1,(C909=기계코드!$F$4:$F$214)*1,0))</f>
        <v>M_TDIF04</v>
      </c>
      <c r="E909" s="92" t="s">
        <v>1128</v>
      </c>
      <c r="F909" s="7" t="str" cm="1">
        <f t="array" ref="F909">INDEX(공급업체코드!$B$3:$B$1000,MATCH(1,(E909=공급업체코드!$D$3:$D$1000)*1,0))</f>
        <v>VM_BKT</v>
      </c>
      <c r="G909" s="18" t="s">
        <v>1881</v>
      </c>
      <c r="H909" s="64"/>
      <c r="I909" s="64"/>
      <c r="J909" s="64"/>
      <c r="K909" s="300">
        <v>1.1000000000000001</v>
      </c>
      <c r="L909" s="300">
        <v>1.3</v>
      </c>
      <c r="M909" s="64">
        <v>866</v>
      </c>
      <c r="N909" s="64"/>
      <c r="O909" s="64"/>
      <c r="P909" s="64"/>
      <c r="Q909" s="64"/>
      <c r="R909" s="70"/>
      <c r="T909" s="64"/>
      <c r="X909">
        <v>0.123</v>
      </c>
      <c r="Y909" s="258" t="s">
        <v>1313</v>
      </c>
      <c r="AA909" s="259" t="s">
        <v>1314</v>
      </c>
      <c r="AB909" s="20" t="s">
        <v>1061</v>
      </c>
      <c r="AC909">
        <f t="shared" si="27"/>
        <v>4330000000</v>
      </c>
      <c r="AE909" s="18" t="s">
        <v>1315</v>
      </c>
      <c r="AF909" s="1" t="b">
        <v>1</v>
      </c>
    </row>
    <row r="910" spans="2:32" ht="16.5" customHeight="1">
      <c r="B910" s="1" t="str">
        <f t="shared" si="26"/>
        <v>M_TDIF04_VM_BKT_1.3_867</v>
      </c>
      <c r="C910" s="92" t="s">
        <v>700</v>
      </c>
      <c r="D910" s="92" t="str" cm="1">
        <f t="array" ref="D910">INDEX(기계코드!$D$4:$D$214,MATCH(1,(C910=기계코드!$F$4:$F$214)*1,0))</f>
        <v>M_TDIF04</v>
      </c>
      <c r="E910" s="92" t="s">
        <v>1128</v>
      </c>
      <c r="F910" s="7" t="str" cm="1">
        <f t="array" ref="F910">INDEX(공급업체코드!$B$3:$B$1000,MATCH(1,(E910=공급업체코드!$D$3:$D$1000)*1,0))</f>
        <v>VM_BKT</v>
      </c>
      <c r="G910" s="18" t="s">
        <v>1881</v>
      </c>
      <c r="H910" s="64"/>
      <c r="I910" s="64"/>
      <c r="J910" s="64"/>
      <c r="K910" s="300">
        <v>1.1000000000000001</v>
      </c>
      <c r="L910" s="300">
        <v>1.3</v>
      </c>
      <c r="M910" s="64">
        <v>867</v>
      </c>
      <c r="N910" s="64"/>
      <c r="O910" s="64"/>
      <c r="P910" s="64"/>
      <c r="Q910" s="64"/>
      <c r="R910" s="70"/>
      <c r="T910" s="64"/>
      <c r="X910">
        <v>0.123</v>
      </c>
      <c r="Y910" s="258" t="s">
        <v>1313</v>
      </c>
      <c r="AA910" s="259" t="s">
        <v>1314</v>
      </c>
      <c r="AB910" s="20" t="s">
        <v>1061</v>
      </c>
      <c r="AC910">
        <f t="shared" si="27"/>
        <v>4335000000</v>
      </c>
      <c r="AE910" s="18" t="s">
        <v>1315</v>
      </c>
      <c r="AF910" s="1" t="b">
        <v>1</v>
      </c>
    </row>
    <row r="911" spans="2:32" ht="16.5" customHeight="1">
      <c r="B911" s="1" t="str">
        <f t="shared" si="26"/>
        <v>M_TDIF04_VM_BKT_1.3_868</v>
      </c>
      <c r="C911" s="92" t="s">
        <v>700</v>
      </c>
      <c r="D911" s="92" t="str" cm="1">
        <f t="array" ref="D911">INDEX(기계코드!$D$4:$D$214,MATCH(1,(C911=기계코드!$F$4:$F$214)*1,0))</f>
        <v>M_TDIF04</v>
      </c>
      <c r="E911" s="92" t="s">
        <v>1128</v>
      </c>
      <c r="F911" s="7" t="str" cm="1">
        <f t="array" ref="F911">INDEX(공급업체코드!$B$3:$B$1000,MATCH(1,(E911=공급업체코드!$D$3:$D$1000)*1,0))</f>
        <v>VM_BKT</v>
      </c>
      <c r="G911" s="18" t="s">
        <v>1881</v>
      </c>
      <c r="H911" s="64"/>
      <c r="I911" s="64"/>
      <c r="J911" s="64"/>
      <c r="K911" s="300">
        <v>1.1000000000000001</v>
      </c>
      <c r="L911" s="300">
        <v>1.3</v>
      </c>
      <c r="M911" s="64">
        <v>868</v>
      </c>
      <c r="N911" s="64"/>
      <c r="O911" s="64"/>
      <c r="P911" s="64"/>
      <c r="Q911" s="64"/>
      <c r="R911" s="70"/>
      <c r="T911" s="64"/>
      <c r="X911">
        <v>0.123</v>
      </c>
      <c r="Y911" s="258" t="s">
        <v>1313</v>
      </c>
      <c r="AA911" s="259" t="s">
        <v>1314</v>
      </c>
      <c r="AB911" s="20" t="s">
        <v>1061</v>
      </c>
      <c r="AC911">
        <f t="shared" si="27"/>
        <v>4340000000</v>
      </c>
      <c r="AE911" s="18" t="s">
        <v>1315</v>
      </c>
      <c r="AF911" s="1" t="b">
        <v>1</v>
      </c>
    </row>
    <row r="912" spans="2:32" ht="16.5" customHeight="1">
      <c r="B912" s="1" t="str">
        <f t="shared" si="26"/>
        <v>M_TDIF04_VM_BKT_1.3_869</v>
      </c>
      <c r="C912" s="92" t="s">
        <v>700</v>
      </c>
      <c r="D912" s="92" t="str" cm="1">
        <f t="array" ref="D912">INDEX(기계코드!$D$4:$D$214,MATCH(1,(C912=기계코드!$F$4:$F$214)*1,0))</f>
        <v>M_TDIF04</v>
      </c>
      <c r="E912" s="92" t="s">
        <v>1128</v>
      </c>
      <c r="F912" s="7" t="str" cm="1">
        <f t="array" ref="F912">INDEX(공급업체코드!$B$3:$B$1000,MATCH(1,(E912=공급업체코드!$D$3:$D$1000)*1,0))</f>
        <v>VM_BKT</v>
      </c>
      <c r="G912" s="18" t="s">
        <v>1881</v>
      </c>
      <c r="H912" s="64"/>
      <c r="I912" s="64"/>
      <c r="J912" s="64"/>
      <c r="K912" s="300">
        <v>1.1000000000000001</v>
      </c>
      <c r="L912" s="300">
        <v>1.3</v>
      </c>
      <c r="M912" s="64">
        <v>869</v>
      </c>
      <c r="N912" s="64"/>
      <c r="O912" s="64"/>
      <c r="P912" s="64"/>
      <c r="Q912" s="64"/>
      <c r="R912" s="70"/>
      <c r="T912" s="64"/>
      <c r="X912">
        <v>0.123</v>
      </c>
      <c r="Y912" s="258" t="s">
        <v>1313</v>
      </c>
      <c r="AA912" s="259" t="s">
        <v>1314</v>
      </c>
      <c r="AB912" s="20" t="s">
        <v>1061</v>
      </c>
      <c r="AC912">
        <f t="shared" si="27"/>
        <v>4345000000</v>
      </c>
      <c r="AE912" s="18" t="s">
        <v>1315</v>
      </c>
      <c r="AF912" s="1" t="b">
        <v>1</v>
      </c>
    </row>
    <row r="913" spans="2:32" ht="16.5" customHeight="1">
      <c r="B913" s="1" t="str">
        <f t="shared" si="26"/>
        <v>M_TDIF04_VM_BKT_1.3_870</v>
      </c>
      <c r="C913" s="92" t="s">
        <v>700</v>
      </c>
      <c r="D913" s="92" t="str" cm="1">
        <f t="array" ref="D913">INDEX(기계코드!$D$4:$D$214,MATCH(1,(C913=기계코드!$F$4:$F$214)*1,0))</f>
        <v>M_TDIF04</v>
      </c>
      <c r="E913" s="92" t="s">
        <v>1128</v>
      </c>
      <c r="F913" s="7" t="str" cm="1">
        <f t="array" ref="F913">INDEX(공급업체코드!$B$3:$B$1000,MATCH(1,(E913=공급업체코드!$D$3:$D$1000)*1,0))</f>
        <v>VM_BKT</v>
      </c>
      <c r="G913" s="18" t="s">
        <v>1881</v>
      </c>
      <c r="H913" s="64"/>
      <c r="I913" s="64"/>
      <c r="J913" s="64"/>
      <c r="K913" s="300">
        <v>1.1000000000000001</v>
      </c>
      <c r="L913" s="300">
        <v>1.3</v>
      </c>
      <c r="M913" s="64">
        <v>870</v>
      </c>
      <c r="N913" s="64"/>
      <c r="O913" s="64"/>
      <c r="P913" s="64"/>
      <c r="Q913" s="64"/>
      <c r="R913" s="70"/>
      <c r="T913" s="64"/>
      <c r="X913">
        <v>0.123</v>
      </c>
      <c r="Y913" s="258" t="s">
        <v>1313</v>
      </c>
      <c r="AA913" s="259" t="s">
        <v>1314</v>
      </c>
      <c r="AB913" s="20" t="s">
        <v>1061</v>
      </c>
      <c r="AC913">
        <f t="shared" si="27"/>
        <v>4350000000</v>
      </c>
      <c r="AE913" s="18" t="s">
        <v>1315</v>
      </c>
      <c r="AF913" s="1" t="b">
        <v>1</v>
      </c>
    </row>
    <row r="914" spans="2:32" ht="16.5" customHeight="1">
      <c r="B914" s="1" t="str">
        <f t="shared" si="26"/>
        <v>M_TDIF04_VM_BKT_1.3_871</v>
      </c>
      <c r="C914" s="92" t="s">
        <v>700</v>
      </c>
      <c r="D914" s="92" t="str" cm="1">
        <f t="array" ref="D914">INDEX(기계코드!$D$4:$D$214,MATCH(1,(C914=기계코드!$F$4:$F$214)*1,0))</f>
        <v>M_TDIF04</v>
      </c>
      <c r="E914" s="92" t="s">
        <v>1128</v>
      </c>
      <c r="F914" s="7" t="str" cm="1">
        <f t="array" ref="F914">INDEX(공급업체코드!$B$3:$B$1000,MATCH(1,(E914=공급업체코드!$D$3:$D$1000)*1,0))</f>
        <v>VM_BKT</v>
      </c>
      <c r="G914" s="18" t="s">
        <v>1881</v>
      </c>
      <c r="H914" s="64"/>
      <c r="I914" s="64"/>
      <c r="J914" s="64"/>
      <c r="K914" s="300">
        <v>1.1000000000000001</v>
      </c>
      <c r="L914" s="300">
        <v>1.3</v>
      </c>
      <c r="M914" s="64">
        <v>871</v>
      </c>
      <c r="N914" s="64"/>
      <c r="O914" s="64"/>
      <c r="P914" s="64"/>
      <c r="Q914" s="64"/>
      <c r="R914" s="70"/>
      <c r="T914" s="64"/>
      <c r="X914">
        <v>0.123</v>
      </c>
      <c r="Y914" s="258" t="s">
        <v>1313</v>
      </c>
      <c r="AA914" s="259" t="s">
        <v>1314</v>
      </c>
      <c r="AB914" s="20" t="s">
        <v>1061</v>
      </c>
      <c r="AC914">
        <f t="shared" si="27"/>
        <v>4355000000</v>
      </c>
      <c r="AE914" s="18" t="s">
        <v>1315</v>
      </c>
      <c r="AF914" s="1" t="b">
        <v>1</v>
      </c>
    </row>
    <row r="915" spans="2:32" ht="16.5" customHeight="1">
      <c r="B915" s="1" t="str">
        <f t="shared" si="26"/>
        <v>M_TDIF04_VM_BKT_1.3_872</v>
      </c>
      <c r="C915" s="92" t="s">
        <v>700</v>
      </c>
      <c r="D915" s="92" t="str" cm="1">
        <f t="array" ref="D915">INDEX(기계코드!$D$4:$D$214,MATCH(1,(C915=기계코드!$F$4:$F$214)*1,0))</f>
        <v>M_TDIF04</v>
      </c>
      <c r="E915" s="92" t="s">
        <v>1128</v>
      </c>
      <c r="F915" s="7" t="str" cm="1">
        <f t="array" ref="F915">INDEX(공급업체코드!$B$3:$B$1000,MATCH(1,(E915=공급업체코드!$D$3:$D$1000)*1,0))</f>
        <v>VM_BKT</v>
      </c>
      <c r="G915" s="18" t="s">
        <v>1881</v>
      </c>
      <c r="H915" s="64"/>
      <c r="I915" s="64"/>
      <c r="J915" s="64"/>
      <c r="K915" s="300">
        <v>1.1000000000000001</v>
      </c>
      <c r="L915" s="300">
        <v>1.3</v>
      </c>
      <c r="M915" s="64">
        <v>872</v>
      </c>
      <c r="N915" s="64"/>
      <c r="O915" s="64"/>
      <c r="P915" s="64"/>
      <c r="Q915" s="64"/>
      <c r="R915" s="70"/>
      <c r="T915" s="64"/>
      <c r="X915">
        <v>0.123</v>
      </c>
      <c r="Y915" s="258" t="s">
        <v>1313</v>
      </c>
      <c r="AA915" s="259" t="s">
        <v>1314</v>
      </c>
      <c r="AB915" s="20" t="s">
        <v>1061</v>
      </c>
      <c r="AC915">
        <f t="shared" si="27"/>
        <v>4360000000</v>
      </c>
      <c r="AE915" s="18" t="s">
        <v>1315</v>
      </c>
      <c r="AF915" s="1" t="b">
        <v>1</v>
      </c>
    </row>
    <row r="916" spans="2:32" ht="16.5" customHeight="1">
      <c r="B916" s="1" t="str">
        <f t="shared" si="26"/>
        <v>M_TDIF04_VM_BKT_1.3_873</v>
      </c>
      <c r="C916" s="92" t="s">
        <v>700</v>
      </c>
      <c r="D916" s="92" t="str" cm="1">
        <f t="array" ref="D916">INDEX(기계코드!$D$4:$D$214,MATCH(1,(C916=기계코드!$F$4:$F$214)*1,0))</f>
        <v>M_TDIF04</v>
      </c>
      <c r="E916" s="92" t="s">
        <v>1128</v>
      </c>
      <c r="F916" s="7" t="str" cm="1">
        <f t="array" ref="F916">INDEX(공급업체코드!$B$3:$B$1000,MATCH(1,(E916=공급업체코드!$D$3:$D$1000)*1,0))</f>
        <v>VM_BKT</v>
      </c>
      <c r="G916" s="18" t="s">
        <v>1881</v>
      </c>
      <c r="H916" s="64"/>
      <c r="I916" s="64"/>
      <c r="J916" s="64"/>
      <c r="K916" s="300">
        <v>1.1000000000000001</v>
      </c>
      <c r="L916" s="300">
        <v>1.3</v>
      </c>
      <c r="M916" s="64">
        <v>873</v>
      </c>
      <c r="N916" s="64"/>
      <c r="O916" s="64"/>
      <c r="P916" s="64"/>
      <c r="Q916" s="64"/>
      <c r="R916" s="70"/>
      <c r="T916" s="64"/>
      <c r="X916">
        <v>0.123</v>
      </c>
      <c r="Y916" s="258" t="s">
        <v>1313</v>
      </c>
      <c r="AA916" s="259" t="s">
        <v>1314</v>
      </c>
      <c r="AB916" s="20" t="s">
        <v>1061</v>
      </c>
      <c r="AC916">
        <f t="shared" si="27"/>
        <v>4365000000</v>
      </c>
      <c r="AE916" s="18" t="s">
        <v>1315</v>
      </c>
      <c r="AF916" s="1" t="b">
        <v>1</v>
      </c>
    </row>
    <row r="917" spans="2:32" ht="16.5" customHeight="1">
      <c r="B917" s="1" t="str">
        <f t="shared" si="26"/>
        <v>M_TDIF04_VM_BKT_1.3_874</v>
      </c>
      <c r="C917" s="92" t="s">
        <v>700</v>
      </c>
      <c r="D917" s="92" t="str" cm="1">
        <f t="array" ref="D917">INDEX(기계코드!$D$4:$D$214,MATCH(1,(C917=기계코드!$F$4:$F$214)*1,0))</f>
        <v>M_TDIF04</v>
      </c>
      <c r="E917" s="92" t="s">
        <v>1128</v>
      </c>
      <c r="F917" s="7" t="str" cm="1">
        <f t="array" ref="F917">INDEX(공급업체코드!$B$3:$B$1000,MATCH(1,(E917=공급업체코드!$D$3:$D$1000)*1,0))</f>
        <v>VM_BKT</v>
      </c>
      <c r="G917" s="18" t="s">
        <v>1881</v>
      </c>
      <c r="H917" s="64"/>
      <c r="I917" s="64"/>
      <c r="J917" s="64"/>
      <c r="K917" s="300">
        <v>1.1000000000000001</v>
      </c>
      <c r="L917" s="300">
        <v>1.3</v>
      </c>
      <c r="M917" s="64">
        <v>874</v>
      </c>
      <c r="N917" s="64"/>
      <c r="O917" s="64"/>
      <c r="P917" s="64"/>
      <c r="Q917" s="64"/>
      <c r="R917" s="70"/>
      <c r="T917" s="64"/>
      <c r="X917">
        <v>0.123</v>
      </c>
      <c r="Y917" s="258" t="s">
        <v>1313</v>
      </c>
      <c r="AA917" s="259" t="s">
        <v>1314</v>
      </c>
      <c r="AB917" s="20" t="s">
        <v>1061</v>
      </c>
      <c r="AC917">
        <f t="shared" si="27"/>
        <v>4370000000</v>
      </c>
      <c r="AE917" s="18" t="s">
        <v>1315</v>
      </c>
      <c r="AF917" s="1" t="b">
        <v>1</v>
      </c>
    </row>
    <row r="918" spans="2:32" ht="16.5" customHeight="1">
      <c r="B918" s="1" t="str">
        <f t="shared" si="26"/>
        <v>M_TDIF04_VM_BKT_1.3_875</v>
      </c>
      <c r="C918" s="92" t="s">
        <v>700</v>
      </c>
      <c r="D918" s="92" t="str" cm="1">
        <f t="array" ref="D918">INDEX(기계코드!$D$4:$D$214,MATCH(1,(C918=기계코드!$F$4:$F$214)*1,0))</f>
        <v>M_TDIF04</v>
      </c>
      <c r="E918" s="92" t="s">
        <v>1128</v>
      </c>
      <c r="F918" s="7" t="str" cm="1">
        <f t="array" ref="F918">INDEX(공급업체코드!$B$3:$B$1000,MATCH(1,(E918=공급업체코드!$D$3:$D$1000)*1,0))</f>
        <v>VM_BKT</v>
      </c>
      <c r="G918" s="18" t="s">
        <v>1881</v>
      </c>
      <c r="H918" s="64"/>
      <c r="I918" s="64"/>
      <c r="J918" s="64"/>
      <c r="K918" s="300">
        <v>1.1000000000000001</v>
      </c>
      <c r="L918" s="300">
        <v>1.3</v>
      </c>
      <c r="M918" s="64">
        <v>875</v>
      </c>
      <c r="N918" s="64"/>
      <c r="O918" s="64"/>
      <c r="P918" s="64"/>
      <c r="Q918" s="64"/>
      <c r="R918" s="70"/>
      <c r="T918" s="64"/>
      <c r="X918">
        <v>0.123</v>
      </c>
      <c r="Y918" s="258" t="s">
        <v>1313</v>
      </c>
      <c r="AA918" s="259" t="s">
        <v>1314</v>
      </c>
      <c r="AB918" s="20" t="s">
        <v>1061</v>
      </c>
      <c r="AC918">
        <f t="shared" si="27"/>
        <v>4375000000</v>
      </c>
      <c r="AE918" s="18" t="s">
        <v>1315</v>
      </c>
      <c r="AF918" s="1" t="b">
        <v>1</v>
      </c>
    </row>
    <row r="919" spans="2:32" ht="16.5" customHeight="1">
      <c r="B919" s="1" t="str">
        <f t="shared" si="26"/>
        <v>M_TDIF04_VM_BKT_1.3_876</v>
      </c>
      <c r="C919" s="92" t="s">
        <v>700</v>
      </c>
      <c r="D919" s="92" t="str" cm="1">
        <f t="array" ref="D919">INDEX(기계코드!$D$4:$D$214,MATCH(1,(C919=기계코드!$F$4:$F$214)*1,0))</f>
        <v>M_TDIF04</v>
      </c>
      <c r="E919" s="92" t="s">
        <v>1128</v>
      </c>
      <c r="F919" s="7" t="str" cm="1">
        <f t="array" ref="F919">INDEX(공급업체코드!$B$3:$B$1000,MATCH(1,(E919=공급업체코드!$D$3:$D$1000)*1,0))</f>
        <v>VM_BKT</v>
      </c>
      <c r="G919" s="18" t="s">
        <v>1881</v>
      </c>
      <c r="H919" s="64"/>
      <c r="I919" s="64"/>
      <c r="J919" s="64"/>
      <c r="K919" s="300">
        <v>1.1000000000000001</v>
      </c>
      <c r="L919" s="300">
        <v>1.3</v>
      </c>
      <c r="M919" s="64">
        <v>876</v>
      </c>
      <c r="N919" s="64"/>
      <c r="O919" s="64"/>
      <c r="P919" s="64"/>
      <c r="Q919" s="64"/>
      <c r="R919" s="70"/>
      <c r="T919" s="64"/>
      <c r="X919">
        <v>0.123</v>
      </c>
      <c r="Y919" s="258" t="s">
        <v>1313</v>
      </c>
      <c r="AA919" s="259" t="s">
        <v>1314</v>
      </c>
      <c r="AB919" s="20" t="s">
        <v>1061</v>
      </c>
      <c r="AC919">
        <f t="shared" si="27"/>
        <v>4380000000</v>
      </c>
      <c r="AE919" s="18" t="s">
        <v>1315</v>
      </c>
      <c r="AF919" s="1" t="b">
        <v>1</v>
      </c>
    </row>
    <row r="920" spans="2:32" ht="16.5" customHeight="1">
      <c r="B920" s="1" t="str">
        <f t="shared" si="26"/>
        <v>M_TDIF04_VM_BKT_1.3_877</v>
      </c>
      <c r="C920" s="92" t="s">
        <v>700</v>
      </c>
      <c r="D920" s="92" t="str" cm="1">
        <f t="array" ref="D920">INDEX(기계코드!$D$4:$D$214,MATCH(1,(C920=기계코드!$F$4:$F$214)*1,0))</f>
        <v>M_TDIF04</v>
      </c>
      <c r="E920" s="92" t="s">
        <v>1128</v>
      </c>
      <c r="F920" s="7" t="str" cm="1">
        <f t="array" ref="F920">INDEX(공급업체코드!$B$3:$B$1000,MATCH(1,(E920=공급업체코드!$D$3:$D$1000)*1,0))</f>
        <v>VM_BKT</v>
      </c>
      <c r="G920" s="18" t="s">
        <v>1881</v>
      </c>
      <c r="H920" s="64"/>
      <c r="I920" s="64"/>
      <c r="J920" s="64"/>
      <c r="K920" s="300">
        <v>1.1000000000000001</v>
      </c>
      <c r="L920" s="300">
        <v>1.3</v>
      </c>
      <c r="M920" s="64">
        <v>877</v>
      </c>
      <c r="N920" s="64"/>
      <c r="O920" s="64"/>
      <c r="P920" s="64"/>
      <c r="Q920" s="64"/>
      <c r="R920" s="70"/>
      <c r="T920" s="64"/>
      <c r="X920">
        <v>0.123</v>
      </c>
      <c r="Y920" s="258" t="s">
        <v>1313</v>
      </c>
      <c r="AA920" s="259" t="s">
        <v>1314</v>
      </c>
      <c r="AB920" s="20" t="s">
        <v>1061</v>
      </c>
      <c r="AC920">
        <f t="shared" si="27"/>
        <v>4385000000</v>
      </c>
      <c r="AE920" s="18" t="s">
        <v>1315</v>
      </c>
      <c r="AF920" s="1" t="b">
        <v>1</v>
      </c>
    </row>
    <row r="921" spans="2:32" ht="16.5" customHeight="1">
      <c r="B921" s="1" t="str">
        <f t="shared" si="26"/>
        <v>M_TDIF04_VM_BKT_1.3_878</v>
      </c>
      <c r="C921" s="92" t="s">
        <v>700</v>
      </c>
      <c r="D921" s="92" t="str" cm="1">
        <f t="array" ref="D921">INDEX(기계코드!$D$4:$D$214,MATCH(1,(C921=기계코드!$F$4:$F$214)*1,0))</f>
        <v>M_TDIF04</v>
      </c>
      <c r="E921" s="92" t="s">
        <v>1128</v>
      </c>
      <c r="F921" s="7" t="str" cm="1">
        <f t="array" ref="F921">INDEX(공급업체코드!$B$3:$B$1000,MATCH(1,(E921=공급업체코드!$D$3:$D$1000)*1,0))</f>
        <v>VM_BKT</v>
      </c>
      <c r="G921" s="18" t="s">
        <v>1881</v>
      </c>
      <c r="H921" s="64"/>
      <c r="I921" s="64"/>
      <c r="J921" s="64"/>
      <c r="K921" s="300">
        <v>1.1000000000000001</v>
      </c>
      <c r="L921" s="300">
        <v>1.3</v>
      </c>
      <c r="M921" s="64">
        <v>878</v>
      </c>
      <c r="N921" s="64"/>
      <c r="O921" s="64"/>
      <c r="P921" s="64"/>
      <c r="Q921" s="64"/>
      <c r="R921" s="70"/>
      <c r="T921" s="64"/>
      <c r="X921">
        <v>0.123</v>
      </c>
      <c r="Y921" s="258" t="s">
        <v>1313</v>
      </c>
      <c r="AA921" s="259" t="s">
        <v>1314</v>
      </c>
      <c r="AB921" s="20" t="s">
        <v>1061</v>
      </c>
      <c r="AC921">
        <f t="shared" si="27"/>
        <v>4390000000</v>
      </c>
      <c r="AE921" s="18" t="s">
        <v>1315</v>
      </c>
      <c r="AF921" s="1" t="b">
        <v>1</v>
      </c>
    </row>
    <row r="922" spans="2:32" ht="16.5" customHeight="1">
      <c r="B922" s="1" t="str">
        <f t="shared" si="26"/>
        <v>M_TDIF04_VM_BKT_1.3_879</v>
      </c>
      <c r="C922" s="92" t="s">
        <v>700</v>
      </c>
      <c r="D922" s="92" t="str" cm="1">
        <f t="array" ref="D922">INDEX(기계코드!$D$4:$D$214,MATCH(1,(C922=기계코드!$F$4:$F$214)*1,0))</f>
        <v>M_TDIF04</v>
      </c>
      <c r="E922" s="92" t="s">
        <v>1128</v>
      </c>
      <c r="F922" s="7" t="str" cm="1">
        <f t="array" ref="F922">INDEX(공급업체코드!$B$3:$B$1000,MATCH(1,(E922=공급업체코드!$D$3:$D$1000)*1,0))</f>
        <v>VM_BKT</v>
      </c>
      <c r="G922" s="18" t="s">
        <v>1881</v>
      </c>
      <c r="H922" s="64"/>
      <c r="I922" s="64"/>
      <c r="J922" s="64"/>
      <c r="K922" s="300">
        <v>1.1000000000000001</v>
      </c>
      <c r="L922" s="300">
        <v>1.3</v>
      </c>
      <c r="M922" s="64">
        <v>879</v>
      </c>
      <c r="N922" s="64"/>
      <c r="O922" s="64"/>
      <c r="P922" s="64"/>
      <c r="Q922" s="64"/>
      <c r="R922" s="70"/>
      <c r="T922" s="64"/>
      <c r="X922">
        <v>0.123</v>
      </c>
      <c r="Y922" s="258" t="s">
        <v>1313</v>
      </c>
      <c r="AA922" s="259" t="s">
        <v>1314</v>
      </c>
      <c r="AB922" s="20" t="s">
        <v>1061</v>
      </c>
      <c r="AC922">
        <f t="shared" si="27"/>
        <v>4395000000</v>
      </c>
      <c r="AE922" s="18" t="s">
        <v>1315</v>
      </c>
      <c r="AF922" s="1" t="b">
        <v>1</v>
      </c>
    </row>
    <row r="923" spans="2:32" ht="16.5" customHeight="1">
      <c r="B923" s="1" t="str">
        <f t="shared" si="26"/>
        <v>M_TDIF04_VM_BKT_1.3_880</v>
      </c>
      <c r="C923" s="92" t="s">
        <v>700</v>
      </c>
      <c r="D923" s="92" t="str" cm="1">
        <f t="array" ref="D923">INDEX(기계코드!$D$4:$D$214,MATCH(1,(C923=기계코드!$F$4:$F$214)*1,0))</f>
        <v>M_TDIF04</v>
      </c>
      <c r="E923" s="92" t="s">
        <v>1128</v>
      </c>
      <c r="F923" s="7" t="str" cm="1">
        <f t="array" ref="F923">INDEX(공급업체코드!$B$3:$B$1000,MATCH(1,(E923=공급업체코드!$D$3:$D$1000)*1,0))</f>
        <v>VM_BKT</v>
      </c>
      <c r="G923" s="18" t="s">
        <v>1881</v>
      </c>
      <c r="H923" s="64"/>
      <c r="I923" s="64"/>
      <c r="J923" s="64"/>
      <c r="K923" s="300">
        <v>1.1000000000000001</v>
      </c>
      <c r="L923" s="300">
        <v>1.3</v>
      </c>
      <c r="M923" s="64">
        <v>880</v>
      </c>
      <c r="N923" s="64"/>
      <c r="O923" s="64"/>
      <c r="P923" s="64"/>
      <c r="Q923" s="64"/>
      <c r="R923" s="70"/>
      <c r="T923" s="64"/>
      <c r="X923">
        <v>0.123</v>
      </c>
      <c r="Y923" s="258" t="s">
        <v>1313</v>
      </c>
      <c r="AA923" s="259" t="s">
        <v>1314</v>
      </c>
      <c r="AB923" s="20" t="s">
        <v>1061</v>
      </c>
      <c r="AC923">
        <f t="shared" si="27"/>
        <v>4400000000</v>
      </c>
      <c r="AE923" s="18" t="s">
        <v>1315</v>
      </c>
      <c r="AF923" s="1" t="b">
        <v>1</v>
      </c>
    </row>
    <row r="924" spans="2:32" ht="16.5" customHeight="1">
      <c r="B924" s="1" t="str">
        <f t="shared" si="26"/>
        <v>M_TDIF04_VM_BKT_1.3_881</v>
      </c>
      <c r="C924" s="92" t="s">
        <v>700</v>
      </c>
      <c r="D924" s="92" t="str" cm="1">
        <f t="array" ref="D924">INDEX(기계코드!$D$4:$D$214,MATCH(1,(C924=기계코드!$F$4:$F$214)*1,0))</f>
        <v>M_TDIF04</v>
      </c>
      <c r="E924" s="92" t="s">
        <v>1128</v>
      </c>
      <c r="F924" s="7" t="str" cm="1">
        <f t="array" ref="F924">INDEX(공급업체코드!$B$3:$B$1000,MATCH(1,(E924=공급업체코드!$D$3:$D$1000)*1,0))</f>
        <v>VM_BKT</v>
      </c>
      <c r="G924" s="18" t="s">
        <v>1881</v>
      </c>
      <c r="H924" s="64"/>
      <c r="I924" s="64"/>
      <c r="J924" s="64"/>
      <c r="K924" s="300">
        <v>1.1000000000000001</v>
      </c>
      <c r="L924" s="300">
        <v>1.3</v>
      </c>
      <c r="M924" s="64">
        <v>881</v>
      </c>
      <c r="N924" s="64"/>
      <c r="O924" s="64"/>
      <c r="P924" s="64"/>
      <c r="Q924" s="64"/>
      <c r="R924" s="70"/>
      <c r="T924" s="64"/>
      <c r="X924">
        <v>0.123</v>
      </c>
      <c r="Y924" s="258" t="s">
        <v>1313</v>
      </c>
      <c r="AA924" s="259" t="s">
        <v>1314</v>
      </c>
      <c r="AB924" s="20" t="s">
        <v>1061</v>
      </c>
      <c r="AC924">
        <f t="shared" si="27"/>
        <v>4405000000</v>
      </c>
      <c r="AE924" s="18" t="s">
        <v>1315</v>
      </c>
      <c r="AF924" s="1" t="b">
        <v>1</v>
      </c>
    </row>
    <row r="925" spans="2:32" ht="16.5" customHeight="1">
      <c r="B925" s="1" t="str">
        <f t="shared" si="26"/>
        <v>M_TDIF04_VM_BKT_1.3_882</v>
      </c>
      <c r="C925" s="92" t="s">
        <v>700</v>
      </c>
      <c r="D925" s="92" t="str" cm="1">
        <f t="array" ref="D925">INDEX(기계코드!$D$4:$D$214,MATCH(1,(C925=기계코드!$F$4:$F$214)*1,0))</f>
        <v>M_TDIF04</v>
      </c>
      <c r="E925" s="92" t="s">
        <v>1128</v>
      </c>
      <c r="F925" s="7" t="str" cm="1">
        <f t="array" ref="F925">INDEX(공급업체코드!$B$3:$B$1000,MATCH(1,(E925=공급업체코드!$D$3:$D$1000)*1,0))</f>
        <v>VM_BKT</v>
      </c>
      <c r="G925" s="18" t="s">
        <v>1881</v>
      </c>
      <c r="H925" s="64"/>
      <c r="I925" s="64"/>
      <c r="J925" s="64"/>
      <c r="K925" s="300">
        <v>1.1000000000000001</v>
      </c>
      <c r="L925" s="300">
        <v>1.3</v>
      </c>
      <c r="M925" s="64">
        <v>882</v>
      </c>
      <c r="N925" s="64"/>
      <c r="O925" s="64"/>
      <c r="P925" s="64"/>
      <c r="Q925" s="64"/>
      <c r="R925" s="70"/>
      <c r="T925" s="64"/>
      <c r="X925">
        <v>0.123</v>
      </c>
      <c r="Y925" s="258" t="s">
        <v>1313</v>
      </c>
      <c r="AA925" s="259" t="s">
        <v>1314</v>
      </c>
      <c r="AB925" s="20" t="s">
        <v>1061</v>
      </c>
      <c r="AC925">
        <f t="shared" si="27"/>
        <v>4410000000</v>
      </c>
      <c r="AE925" s="18" t="s">
        <v>1315</v>
      </c>
      <c r="AF925" s="1" t="b">
        <v>1</v>
      </c>
    </row>
    <row r="926" spans="2:32" ht="16.5" customHeight="1">
      <c r="B926" s="1" t="str">
        <f t="shared" si="26"/>
        <v>M_TDIF04_VM_BKT_1.3_883</v>
      </c>
      <c r="C926" s="92" t="s">
        <v>700</v>
      </c>
      <c r="D926" s="92" t="str" cm="1">
        <f t="array" ref="D926">INDEX(기계코드!$D$4:$D$214,MATCH(1,(C926=기계코드!$F$4:$F$214)*1,0))</f>
        <v>M_TDIF04</v>
      </c>
      <c r="E926" s="92" t="s">
        <v>1128</v>
      </c>
      <c r="F926" s="7" t="str" cm="1">
        <f t="array" ref="F926">INDEX(공급업체코드!$B$3:$B$1000,MATCH(1,(E926=공급업체코드!$D$3:$D$1000)*1,0))</f>
        <v>VM_BKT</v>
      </c>
      <c r="G926" s="18" t="s">
        <v>1881</v>
      </c>
      <c r="H926" s="64"/>
      <c r="I926" s="64"/>
      <c r="J926" s="64"/>
      <c r="K926" s="300">
        <v>1.1000000000000001</v>
      </c>
      <c r="L926" s="300">
        <v>1.3</v>
      </c>
      <c r="M926" s="64">
        <v>883</v>
      </c>
      <c r="N926" s="64"/>
      <c r="O926" s="64"/>
      <c r="P926" s="64"/>
      <c r="Q926" s="64"/>
      <c r="R926" s="70"/>
      <c r="T926" s="64"/>
      <c r="X926">
        <v>0.123</v>
      </c>
      <c r="Y926" s="258" t="s">
        <v>1313</v>
      </c>
      <c r="AA926" s="259" t="s">
        <v>1314</v>
      </c>
      <c r="AB926" s="20" t="s">
        <v>1061</v>
      </c>
      <c r="AC926">
        <f t="shared" si="27"/>
        <v>4415000000</v>
      </c>
      <c r="AE926" s="18" t="s">
        <v>1315</v>
      </c>
      <c r="AF926" s="1" t="b">
        <v>1</v>
      </c>
    </row>
    <row r="927" spans="2:32" ht="16.5" customHeight="1">
      <c r="B927" s="1" t="str">
        <f t="shared" si="26"/>
        <v>M_TDIF04_VM_BKT_1.3_884</v>
      </c>
      <c r="C927" s="92" t="s">
        <v>700</v>
      </c>
      <c r="D927" s="92" t="str" cm="1">
        <f t="array" ref="D927">INDEX(기계코드!$D$4:$D$214,MATCH(1,(C927=기계코드!$F$4:$F$214)*1,0))</f>
        <v>M_TDIF04</v>
      </c>
      <c r="E927" s="92" t="s">
        <v>1128</v>
      </c>
      <c r="F927" s="7" t="str" cm="1">
        <f t="array" ref="F927">INDEX(공급업체코드!$B$3:$B$1000,MATCH(1,(E927=공급업체코드!$D$3:$D$1000)*1,0))</f>
        <v>VM_BKT</v>
      </c>
      <c r="G927" s="18" t="s">
        <v>1881</v>
      </c>
      <c r="H927" s="64"/>
      <c r="I927" s="64"/>
      <c r="J927" s="64"/>
      <c r="K927" s="300">
        <v>1.1000000000000001</v>
      </c>
      <c r="L927" s="300">
        <v>1.3</v>
      </c>
      <c r="M927" s="64">
        <v>884</v>
      </c>
      <c r="N927" s="64"/>
      <c r="O927" s="64"/>
      <c r="P927" s="64"/>
      <c r="Q927" s="64"/>
      <c r="R927" s="70"/>
      <c r="T927" s="64"/>
      <c r="X927">
        <v>0.123</v>
      </c>
      <c r="Y927" s="258" t="s">
        <v>1313</v>
      </c>
      <c r="AA927" s="259" t="s">
        <v>1314</v>
      </c>
      <c r="AB927" s="20" t="s">
        <v>1061</v>
      </c>
      <c r="AC927">
        <f t="shared" si="27"/>
        <v>4420000000</v>
      </c>
      <c r="AE927" s="18" t="s">
        <v>1315</v>
      </c>
      <c r="AF927" s="1" t="b">
        <v>1</v>
      </c>
    </row>
    <row r="928" spans="2:32" ht="16.5" customHeight="1">
      <c r="B928" s="1" t="str">
        <f t="shared" si="26"/>
        <v>M_TDIF04_VM_BKT_1.3_885</v>
      </c>
      <c r="C928" s="92" t="s">
        <v>700</v>
      </c>
      <c r="D928" s="92" t="str" cm="1">
        <f t="array" ref="D928">INDEX(기계코드!$D$4:$D$214,MATCH(1,(C928=기계코드!$F$4:$F$214)*1,0))</f>
        <v>M_TDIF04</v>
      </c>
      <c r="E928" s="92" t="s">
        <v>1128</v>
      </c>
      <c r="F928" s="7" t="str" cm="1">
        <f t="array" ref="F928">INDEX(공급업체코드!$B$3:$B$1000,MATCH(1,(E928=공급업체코드!$D$3:$D$1000)*1,0))</f>
        <v>VM_BKT</v>
      </c>
      <c r="G928" s="18" t="s">
        <v>1881</v>
      </c>
      <c r="H928" s="64"/>
      <c r="I928" s="64"/>
      <c r="J928" s="64"/>
      <c r="K928" s="300">
        <v>1.1000000000000001</v>
      </c>
      <c r="L928" s="300">
        <v>1.3</v>
      </c>
      <c r="M928" s="64">
        <v>885</v>
      </c>
      <c r="N928" s="64"/>
      <c r="O928" s="64"/>
      <c r="P928" s="64"/>
      <c r="Q928" s="64"/>
      <c r="R928" s="70"/>
      <c r="T928" s="64"/>
      <c r="X928">
        <v>0.123</v>
      </c>
      <c r="Y928" s="258" t="s">
        <v>1313</v>
      </c>
      <c r="AA928" s="259" t="s">
        <v>1314</v>
      </c>
      <c r="AB928" s="20" t="s">
        <v>1061</v>
      </c>
      <c r="AC928">
        <f t="shared" si="27"/>
        <v>4425000000</v>
      </c>
      <c r="AE928" s="18" t="s">
        <v>1315</v>
      </c>
      <c r="AF928" s="1" t="b">
        <v>1</v>
      </c>
    </row>
    <row r="929" spans="2:32" ht="16.5" customHeight="1">
      <c r="B929" s="1" t="str">
        <f t="shared" si="26"/>
        <v>M_TDIF04_VM_BKT_1.3_886</v>
      </c>
      <c r="C929" s="92" t="s">
        <v>700</v>
      </c>
      <c r="D929" s="92" t="str" cm="1">
        <f t="array" ref="D929">INDEX(기계코드!$D$4:$D$214,MATCH(1,(C929=기계코드!$F$4:$F$214)*1,0))</f>
        <v>M_TDIF04</v>
      </c>
      <c r="E929" s="92" t="s">
        <v>1128</v>
      </c>
      <c r="F929" s="7" t="str" cm="1">
        <f t="array" ref="F929">INDEX(공급업체코드!$B$3:$B$1000,MATCH(1,(E929=공급업체코드!$D$3:$D$1000)*1,0))</f>
        <v>VM_BKT</v>
      </c>
      <c r="G929" s="18" t="s">
        <v>1881</v>
      </c>
      <c r="H929" s="64"/>
      <c r="I929" s="64"/>
      <c r="J929" s="64"/>
      <c r="K929" s="300">
        <v>1.1000000000000001</v>
      </c>
      <c r="L929" s="300">
        <v>1.3</v>
      </c>
      <c r="M929" s="64">
        <v>886</v>
      </c>
      <c r="N929" s="64"/>
      <c r="O929" s="64"/>
      <c r="P929" s="64"/>
      <c r="Q929" s="64"/>
      <c r="R929" s="70"/>
      <c r="T929" s="64"/>
      <c r="X929">
        <v>0.123</v>
      </c>
      <c r="Y929" s="258" t="s">
        <v>1313</v>
      </c>
      <c r="AA929" s="259" t="s">
        <v>1314</v>
      </c>
      <c r="AB929" s="20" t="s">
        <v>1061</v>
      </c>
      <c r="AC929">
        <f t="shared" si="27"/>
        <v>4430000000</v>
      </c>
      <c r="AE929" s="18" t="s">
        <v>1315</v>
      </c>
      <c r="AF929" s="1" t="b">
        <v>1</v>
      </c>
    </row>
    <row r="930" spans="2:32" ht="16.5" customHeight="1">
      <c r="B930" s="1" t="str">
        <f t="shared" si="26"/>
        <v>M_TDIF04_VM_BKT_1.3_887</v>
      </c>
      <c r="C930" s="92" t="s">
        <v>700</v>
      </c>
      <c r="D930" s="92" t="str" cm="1">
        <f t="array" ref="D930">INDEX(기계코드!$D$4:$D$214,MATCH(1,(C930=기계코드!$F$4:$F$214)*1,0))</f>
        <v>M_TDIF04</v>
      </c>
      <c r="E930" s="92" t="s">
        <v>1128</v>
      </c>
      <c r="F930" s="7" t="str" cm="1">
        <f t="array" ref="F930">INDEX(공급업체코드!$B$3:$B$1000,MATCH(1,(E930=공급업체코드!$D$3:$D$1000)*1,0))</f>
        <v>VM_BKT</v>
      </c>
      <c r="G930" s="18" t="s">
        <v>1881</v>
      </c>
      <c r="H930" s="64"/>
      <c r="I930" s="64"/>
      <c r="J930" s="64"/>
      <c r="K930" s="300">
        <v>1.1000000000000001</v>
      </c>
      <c r="L930" s="300">
        <v>1.3</v>
      </c>
      <c r="M930" s="64">
        <v>887</v>
      </c>
      <c r="N930" s="64"/>
      <c r="O930" s="64"/>
      <c r="P930" s="64"/>
      <c r="Q930" s="64"/>
      <c r="R930" s="70"/>
      <c r="T930" s="64"/>
      <c r="X930">
        <v>0.123</v>
      </c>
      <c r="Y930" s="258" t="s">
        <v>1313</v>
      </c>
      <c r="AA930" s="259" t="s">
        <v>1314</v>
      </c>
      <c r="AB930" s="20" t="s">
        <v>1061</v>
      </c>
      <c r="AC930">
        <f t="shared" si="27"/>
        <v>4435000000</v>
      </c>
      <c r="AE930" s="18" t="s">
        <v>1315</v>
      </c>
      <c r="AF930" s="1" t="b">
        <v>1</v>
      </c>
    </row>
    <row r="931" spans="2:32" ht="16.5" customHeight="1">
      <c r="B931" s="1" t="str">
        <f t="shared" si="26"/>
        <v>M_TDIF04_VM_BKT_1.3_888</v>
      </c>
      <c r="C931" s="92" t="s">
        <v>700</v>
      </c>
      <c r="D931" s="92" t="str" cm="1">
        <f t="array" ref="D931">INDEX(기계코드!$D$4:$D$214,MATCH(1,(C931=기계코드!$F$4:$F$214)*1,0))</f>
        <v>M_TDIF04</v>
      </c>
      <c r="E931" s="92" t="s">
        <v>1128</v>
      </c>
      <c r="F931" s="7" t="str" cm="1">
        <f t="array" ref="F931">INDEX(공급업체코드!$B$3:$B$1000,MATCH(1,(E931=공급업체코드!$D$3:$D$1000)*1,0))</f>
        <v>VM_BKT</v>
      </c>
      <c r="G931" s="18" t="s">
        <v>1881</v>
      </c>
      <c r="H931" s="64"/>
      <c r="I931" s="64"/>
      <c r="J931" s="64"/>
      <c r="K931" s="300">
        <v>1.1000000000000001</v>
      </c>
      <c r="L931" s="300">
        <v>1.3</v>
      </c>
      <c r="M931" s="64">
        <v>888</v>
      </c>
      <c r="N931" s="64"/>
      <c r="O931" s="64"/>
      <c r="P931" s="64"/>
      <c r="Q931" s="64"/>
      <c r="R931" s="70"/>
      <c r="T931" s="64"/>
      <c r="X931">
        <v>0.123</v>
      </c>
      <c r="Y931" s="258" t="s">
        <v>1313</v>
      </c>
      <c r="AA931" s="259" t="s">
        <v>1314</v>
      </c>
      <c r="AB931" s="20" t="s">
        <v>1061</v>
      </c>
      <c r="AC931">
        <f t="shared" si="27"/>
        <v>4440000000</v>
      </c>
      <c r="AE931" s="18" t="s">
        <v>1315</v>
      </c>
      <c r="AF931" s="1" t="b">
        <v>1</v>
      </c>
    </row>
    <row r="932" spans="2:32" ht="16.5" customHeight="1">
      <c r="B932" s="1" t="str">
        <f t="shared" si="26"/>
        <v>M_TDIF04_VM_BKT_1.3_889</v>
      </c>
      <c r="C932" s="92" t="s">
        <v>700</v>
      </c>
      <c r="D932" s="92" t="str" cm="1">
        <f t="array" ref="D932">INDEX(기계코드!$D$4:$D$214,MATCH(1,(C932=기계코드!$F$4:$F$214)*1,0))</f>
        <v>M_TDIF04</v>
      </c>
      <c r="E932" s="92" t="s">
        <v>1128</v>
      </c>
      <c r="F932" s="7" t="str" cm="1">
        <f t="array" ref="F932">INDEX(공급업체코드!$B$3:$B$1000,MATCH(1,(E932=공급업체코드!$D$3:$D$1000)*1,0))</f>
        <v>VM_BKT</v>
      </c>
      <c r="G932" s="18" t="s">
        <v>1881</v>
      </c>
      <c r="H932" s="64"/>
      <c r="I932" s="64"/>
      <c r="J932" s="64"/>
      <c r="K932" s="300">
        <v>1.1000000000000001</v>
      </c>
      <c r="L932" s="300">
        <v>1.3</v>
      </c>
      <c r="M932" s="64">
        <v>889</v>
      </c>
      <c r="N932" s="64"/>
      <c r="O932" s="64"/>
      <c r="P932" s="64"/>
      <c r="Q932" s="64"/>
      <c r="R932" s="70"/>
      <c r="T932" s="64"/>
      <c r="X932">
        <v>0.123</v>
      </c>
      <c r="Y932" s="258" t="s">
        <v>1313</v>
      </c>
      <c r="AA932" s="259" t="s">
        <v>1314</v>
      </c>
      <c r="AB932" s="20" t="s">
        <v>1061</v>
      </c>
      <c r="AC932">
        <f t="shared" si="27"/>
        <v>4445000000</v>
      </c>
      <c r="AE932" s="18" t="s">
        <v>1315</v>
      </c>
      <c r="AF932" s="1" t="b">
        <v>1</v>
      </c>
    </row>
    <row r="933" spans="2:32" ht="16.5" customHeight="1">
      <c r="B933" s="1" t="str">
        <f t="shared" si="26"/>
        <v>M_TDIF04_VM_BKT_1.3_890</v>
      </c>
      <c r="C933" s="92" t="s">
        <v>700</v>
      </c>
      <c r="D933" s="92" t="str" cm="1">
        <f t="array" ref="D933">INDEX(기계코드!$D$4:$D$214,MATCH(1,(C933=기계코드!$F$4:$F$214)*1,0))</f>
        <v>M_TDIF04</v>
      </c>
      <c r="E933" s="92" t="s">
        <v>1128</v>
      </c>
      <c r="F933" s="7" t="str" cm="1">
        <f t="array" ref="F933">INDEX(공급업체코드!$B$3:$B$1000,MATCH(1,(E933=공급업체코드!$D$3:$D$1000)*1,0))</f>
        <v>VM_BKT</v>
      </c>
      <c r="G933" s="18" t="s">
        <v>1881</v>
      </c>
      <c r="H933" s="64"/>
      <c r="I933" s="64"/>
      <c r="J933" s="64"/>
      <c r="K933" s="300">
        <v>1.1000000000000001</v>
      </c>
      <c r="L933" s="300">
        <v>1.3</v>
      </c>
      <c r="M933" s="64">
        <v>890</v>
      </c>
      <c r="N933" s="64"/>
      <c r="O933" s="64"/>
      <c r="P933" s="64"/>
      <c r="Q933" s="64"/>
      <c r="R933" s="70"/>
      <c r="T933" s="64"/>
      <c r="X933">
        <v>0.123</v>
      </c>
      <c r="Y933" s="258" t="s">
        <v>1313</v>
      </c>
      <c r="AA933" s="259" t="s">
        <v>1314</v>
      </c>
      <c r="AB933" s="20" t="s">
        <v>1061</v>
      </c>
      <c r="AC933">
        <f t="shared" si="27"/>
        <v>4450000000</v>
      </c>
      <c r="AE933" s="18" t="s">
        <v>1315</v>
      </c>
      <c r="AF933" s="1" t="b">
        <v>1</v>
      </c>
    </row>
    <row r="934" spans="2:32" ht="16.5" customHeight="1">
      <c r="B934" s="1" t="str">
        <f t="shared" si="26"/>
        <v>M_TDIF04_VM_BKT_1.3_891</v>
      </c>
      <c r="C934" s="92" t="s">
        <v>700</v>
      </c>
      <c r="D934" s="92" t="str" cm="1">
        <f t="array" ref="D934">INDEX(기계코드!$D$4:$D$214,MATCH(1,(C934=기계코드!$F$4:$F$214)*1,0))</f>
        <v>M_TDIF04</v>
      </c>
      <c r="E934" s="92" t="s">
        <v>1128</v>
      </c>
      <c r="F934" s="7" t="str" cm="1">
        <f t="array" ref="F934">INDEX(공급업체코드!$B$3:$B$1000,MATCH(1,(E934=공급업체코드!$D$3:$D$1000)*1,0))</f>
        <v>VM_BKT</v>
      </c>
      <c r="G934" s="18" t="s">
        <v>1881</v>
      </c>
      <c r="H934" s="64"/>
      <c r="I934" s="64"/>
      <c r="J934" s="64"/>
      <c r="K934" s="300">
        <v>1.1000000000000001</v>
      </c>
      <c r="L934" s="300">
        <v>1.3</v>
      </c>
      <c r="M934" s="64">
        <v>891</v>
      </c>
      <c r="N934" s="64"/>
      <c r="O934" s="64"/>
      <c r="P934" s="64"/>
      <c r="Q934" s="64"/>
      <c r="R934" s="70"/>
      <c r="T934" s="64"/>
      <c r="X934">
        <v>0.123</v>
      </c>
      <c r="Y934" s="258" t="s">
        <v>1313</v>
      </c>
      <c r="AA934" s="259" t="s">
        <v>1314</v>
      </c>
      <c r="AB934" s="20" t="s">
        <v>1061</v>
      </c>
      <c r="AC934">
        <f t="shared" si="27"/>
        <v>4455000000</v>
      </c>
      <c r="AE934" s="18" t="s">
        <v>1315</v>
      </c>
      <c r="AF934" s="1" t="b">
        <v>1</v>
      </c>
    </row>
    <row r="935" spans="2:32" ht="16.5" customHeight="1">
      <c r="B935" s="1" t="str">
        <f t="shared" si="26"/>
        <v>M_TDIF04_VM_BKT_1.3_892</v>
      </c>
      <c r="C935" s="92" t="s">
        <v>700</v>
      </c>
      <c r="D935" s="92" t="str" cm="1">
        <f t="array" ref="D935">INDEX(기계코드!$D$4:$D$214,MATCH(1,(C935=기계코드!$F$4:$F$214)*1,0))</f>
        <v>M_TDIF04</v>
      </c>
      <c r="E935" s="92" t="s">
        <v>1128</v>
      </c>
      <c r="F935" s="7" t="str" cm="1">
        <f t="array" ref="F935">INDEX(공급업체코드!$B$3:$B$1000,MATCH(1,(E935=공급업체코드!$D$3:$D$1000)*1,0))</f>
        <v>VM_BKT</v>
      </c>
      <c r="G935" s="18" t="s">
        <v>1881</v>
      </c>
      <c r="H935" s="64"/>
      <c r="I935" s="64"/>
      <c r="J935" s="64"/>
      <c r="K935" s="300">
        <v>1.1000000000000001</v>
      </c>
      <c r="L935" s="300">
        <v>1.3</v>
      </c>
      <c r="M935" s="64">
        <v>892</v>
      </c>
      <c r="N935" s="64"/>
      <c r="O935" s="64"/>
      <c r="P935" s="64"/>
      <c r="Q935" s="64"/>
      <c r="R935" s="70"/>
      <c r="T935" s="64"/>
      <c r="X935">
        <v>0.123</v>
      </c>
      <c r="Y935" s="258" t="s">
        <v>1313</v>
      </c>
      <c r="AA935" s="259" t="s">
        <v>1314</v>
      </c>
      <c r="AB935" s="20" t="s">
        <v>1061</v>
      </c>
      <c r="AC935">
        <f t="shared" si="27"/>
        <v>4460000000</v>
      </c>
      <c r="AE935" s="18" t="s">
        <v>1315</v>
      </c>
      <c r="AF935" s="1" t="b">
        <v>1</v>
      </c>
    </row>
    <row r="936" spans="2:32" ht="16.5" customHeight="1">
      <c r="B936" s="1" t="str">
        <f t="shared" si="26"/>
        <v>M_TDIF04_VM_BKT_1.3_893</v>
      </c>
      <c r="C936" s="92" t="s">
        <v>700</v>
      </c>
      <c r="D936" s="92" t="str" cm="1">
        <f t="array" ref="D936">INDEX(기계코드!$D$4:$D$214,MATCH(1,(C936=기계코드!$F$4:$F$214)*1,0))</f>
        <v>M_TDIF04</v>
      </c>
      <c r="E936" s="92" t="s">
        <v>1128</v>
      </c>
      <c r="F936" s="7" t="str" cm="1">
        <f t="array" ref="F936">INDEX(공급업체코드!$B$3:$B$1000,MATCH(1,(E936=공급업체코드!$D$3:$D$1000)*1,0))</f>
        <v>VM_BKT</v>
      </c>
      <c r="G936" s="18" t="s">
        <v>1881</v>
      </c>
      <c r="H936" s="64"/>
      <c r="I936" s="64"/>
      <c r="J936" s="64"/>
      <c r="K936" s="300">
        <v>1.1000000000000001</v>
      </c>
      <c r="L936" s="300">
        <v>1.3</v>
      </c>
      <c r="M936" s="64">
        <v>893</v>
      </c>
      <c r="N936" s="64"/>
      <c r="O936" s="64"/>
      <c r="P936" s="64"/>
      <c r="Q936" s="64"/>
      <c r="R936" s="70"/>
      <c r="T936" s="64"/>
      <c r="X936">
        <v>0.123</v>
      </c>
      <c r="Y936" s="258" t="s">
        <v>1313</v>
      </c>
      <c r="AA936" s="259" t="s">
        <v>1314</v>
      </c>
      <c r="AB936" s="20" t="s">
        <v>1061</v>
      </c>
      <c r="AC936">
        <f t="shared" si="27"/>
        <v>4465000000</v>
      </c>
      <c r="AE936" s="18" t="s">
        <v>1315</v>
      </c>
      <c r="AF936" s="1" t="b">
        <v>1</v>
      </c>
    </row>
    <row r="937" spans="2:32" ht="16.5" customHeight="1">
      <c r="B937" s="1" t="str">
        <f t="shared" si="26"/>
        <v>M_TDIF04_VM_BKT_1.3_894</v>
      </c>
      <c r="C937" s="92" t="s">
        <v>700</v>
      </c>
      <c r="D937" s="92" t="str" cm="1">
        <f t="array" ref="D937">INDEX(기계코드!$D$4:$D$214,MATCH(1,(C937=기계코드!$F$4:$F$214)*1,0))</f>
        <v>M_TDIF04</v>
      </c>
      <c r="E937" s="92" t="s">
        <v>1128</v>
      </c>
      <c r="F937" s="7" t="str" cm="1">
        <f t="array" ref="F937">INDEX(공급업체코드!$B$3:$B$1000,MATCH(1,(E937=공급업체코드!$D$3:$D$1000)*1,0))</f>
        <v>VM_BKT</v>
      </c>
      <c r="G937" s="18" t="s">
        <v>1881</v>
      </c>
      <c r="H937" s="64"/>
      <c r="I937" s="64"/>
      <c r="J937" s="64"/>
      <c r="K937" s="300">
        <v>1.1000000000000001</v>
      </c>
      <c r="L937" s="300">
        <v>1.3</v>
      </c>
      <c r="M937" s="64">
        <v>894</v>
      </c>
      <c r="N937" s="64"/>
      <c r="O937" s="64"/>
      <c r="P937" s="64"/>
      <c r="Q937" s="64"/>
      <c r="R937" s="70"/>
      <c r="T937" s="64"/>
      <c r="X937">
        <v>0.123</v>
      </c>
      <c r="Y937" s="258" t="s">
        <v>1313</v>
      </c>
      <c r="AA937" s="259" t="s">
        <v>1314</v>
      </c>
      <c r="AB937" s="20" t="s">
        <v>1061</v>
      </c>
      <c r="AC937">
        <f t="shared" si="27"/>
        <v>4470000000</v>
      </c>
      <c r="AE937" s="18" t="s">
        <v>1315</v>
      </c>
      <c r="AF937" s="1" t="b">
        <v>1</v>
      </c>
    </row>
    <row r="938" spans="2:32" ht="16.5" customHeight="1">
      <c r="B938" s="1" t="str">
        <f t="shared" si="26"/>
        <v>M_TDIF04_VM_BKT_1.3_895</v>
      </c>
      <c r="C938" s="92" t="s">
        <v>700</v>
      </c>
      <c r="D938" s="92" t="str" cm="1">
        <f t="array" ref="D938">INDEX(기계코드!$D$4:$D$214,MATCH(1,(C938=기계코드!$F$4:$F$214)*1,0))</f>
        <v>M_TDIF04</v>
      </c>
      <c r="E938" s="92" t="s">
        <v>1128</v>
      </c>
      <c r="F938" s="7" t="str" cm="1">
        <f t="array" ref="F938">INDEX(공급업체코드!$B$3:$B$1000,MATCH(1,(E938=공급업체코드!$D$3:$D$1000)*1,0))</f>
        <v>VM_BKT</v>
      </c>
      <c r="G938" s="18" t="s">
        <v>1881</v>
      </c>
      <c r="H938" s="64"/>
      <c r="I938" s="64"/>
      <c r="J938" s="64"/>
      <c r="K938" s="300">
        <v>1.1000000000000001</v>
      </c>
      <c r="L938" s="300">
        <v>1.3</v>
      </c>
      <c r="M938" s="64">
        <v>895</v>
      </c>
      <c r="N938" s="64"/>
      <c r="O938" s="64"/>
      <c r="P938" s="64"/>
      <c r="Q938" s="64"/>
      <c r="R938" s="70"/>
      <c r="T938" s="64"/>
      <c r="X938">
        <v>0.123</v>
      </c>
      <c r="Y938" s="258" t="s">
        <v>1313</v>
      </c>
      <c r="AA938" s="259" t="s">
        <v>1314</v>
      </c>
      <c r="AB938" s="20" t="s">
        <v>1061</v>
      </c>
      <c r="AC938">
        <f t="shared" si="27"/>
        <v>4475000000</v>
      </c>
      <c r="AE938" s="18" t="s">
        <v>1315</v>
      </c>
      <c r="AF938" s="1" t="b">
        <v>1</v>
      </c>
    </row>
    <row r="939" spans="2:32" ht="16.5" customHeight="1">
      <c r="B939" s="1" t="str">
        <f t="shared" si="26"/>
        <v>M_TDIF04_VM_BKT_1.3_896</v>
      </c>
      <c r="C939" s="92" t="s">
        <v>700</v>
      </c>
      <c r="D939" s="92" t="str" cm="1">
        <f t="array" ref="D939">INDEX(기계코드!$D$4:$D$214,MATCH(1,(C939=기계코드!$F$4:$F$214)*1,0))</f>
        <v>M_TDIF04</v>
      </c>
      <c r="E939" s="92" t="s">
        <v>1128</v>
      </c>
      <c r="F939" s="7" t="str" cm="1">
        <f t="array" ref="F939">INDEX(공급업체코드!$B$3:$B$1000,MATCH(1,(E939=공급업체코드!$D$3:$D$1000)*1,0))</f>
        <v>VM_BKT</v>
      </c>
      <c r="G939" s="18" t="s">
        <v>1881</v>
      </c>
      <c r="H939" s="64"/>
      <c r="I939" s="64"/>
      <c r="J939" s="64"/>
      <c r="K939" s="300">
        <v>1.1000000000000001</v>
      </c>
      <c r="L939" s="300">
        <v>1.3</v>
      </c>
      <c r="M939" s="64">
        <v>896</v>
      </c>
      <c r="N939" s="64"/>
      <c r="O939" s="64"/>
      <c r="P939" s="64"/>
      <c r="Q939" s="64"/>
      <c r="R939" s="70"/>
      <c r="T939" s="64"/>
      <c r="X939">
        <v>0.123</v>
      </c>
      <c r="Y939" s="258" t="s">
        <v>1313</v>
      </c>
      <c r="AA939" s="259" t="s">
        <v>1314</v>
      </c>
      <c r="AB939" s="20" t="s">
        <v>1061</v>
      </c>
      <c r="AC939">
        <f t="shared" si="27"/>
        <v>4480000000</v>
      </c>
      <c r="AE939" s="18" t="s">
        <v>1315</v>
      </c>
      <c r="AF939" s="1" t="b">
        <v>1</v>
      </c>
    </row>
    <row r="940" spans="2:32" ht="16.5" customHeight="1">
      <c r="B940" s="1" t="str">
        <f t="shared" si="26"/>
        <v>M_TDIF04_VM_BKT_1.3_897</v>
      </c>
      <c r="C940" s="92" t="s">
        <v>700</v>
      </c>
      <c r="D940" s="92" t="str" cm="1">
        <f t="array" ref="D940">INDEX(기계코드!$D$4:$D$214,MATCH(1,(C940=기계코드!$F$4:$F$214)*1,0))</f>
        <v>M_TDIF04</v>
      </c>
      <c r="E940" s="92" t="s">
        <v>1128</v>
      </c>
      <c r="F940" s="7" t="str" cm="1">
        <f t="array" ref="F940">INDEX(공급업체코드!$B$3:$B$1000,MATCH(1,(E940=공급업체코드!$D$3:$D$1000)*1,0))</f>
        <v>VM_BKT</v>
      </c>
      <c r="G940" s="18" t="s">
        <v>1881</v>
      </c>
      <c r="H940" s="64"/>
      <c r="I940" s="64"/>
      <c r="J940" s="64"/>
      <c r="K940" s="300">
        <v>1.1000000000000001</v>
      </c>
      <c r="L940" s="300">
        <v>1.3</v>
      </c>
      <c r="M940" s="64">
        <v>897</v>
      </c>
      <c r="N940" s="64"/>
      <c r="O940" s="64"/>
      <c r="P940" s="64"/>
      <c r="Q940" s="64"/>
      <c r="R940" s="70"/>
      <c r="T940" s="64"/>
      <c r="X940">
        <v>0.123</v>
      </c>
      <c r="Y940" s="258" t="s">
        <v>1313</v>
      </c>
      <c r="AA940" s="259" t="s">
        <v>1314</v>
      </c>
      <c r="AB940" s="20" t="s">
        <v>1061</v>
      </c>
      <c r="AC940">
        <f t="shared" si="27"/>
        <v>4485000000</v>
      </c>
      <c r="AE940" s="18" t="s">
        <v>1315</v>
      </c>
      <c r="AF940" s="1" t="b">
        <v>1</v>
      </c>
    </row>
    <row r="941" spans="2:32" ht="16.5" customHeight="1">
      <c r="B941" s="1" t="str">
        <f t="shared" ref="B941:B1004" si="28">D941&amp;"_"&amp;F941&amp;"_"&amp;L941&amp;"_"&amp;M941</f>
        <v>M_TDIF04_VM_BKT_1.3_898</v>
      </c>
      <c r="C941" s="92" t="s">
        <v>700</v>
      </c>
      <c r="D941" s="92" t="str" cm="1">
        <f t="array" ref="D941">INDEX(기계코드!$D$4:$D$214,MATCH(1,(C941=기계코드!$F$4:$F$214)*1,0))</f>
        <v>M_TDIF04</v>
      </c>
      <c r="E941" s="92" t="s">
        <v>1128</v>
      </c>
      <c r="F941" s="7" t="str" cm="1">
        <f t="array" ref="F941">INDEX(공급업체코드!$B$3:$B$1000,MATCH(1,(E941=공급업체코드!$D$3:$D$1000)*1,0))</f>
        <v>VM_BKT</v>
      </c>
      <c r="G941" s="18" t="s">
        <v>1881</v>
      </c>
      <c r="H941" s="64"/>
      <c r="I941" s="64"/>
      <c r="J941" s="64"/>
      <c r="K941" s="300">
        <v>1.1000000000000001</v>
      </c>
      <c r="L941" s="300">
        <v>1.3</v>
      </c>
      <c r="M941" s="64">
        <v>898</v>
      </c>
      <c r="N941" s="64"/>
      <c r="O941" s="64"/>
      <c r="P941" s="64"/>
      <c r="Q941" s="64"/>
      <c r="R941" s="70"/>
      <c r="T941" s="64"/>
      <c r="X941">
        <v>0.123</v>
      </c>
      <c r="Y941" s="258" t="s">
        <v>1313</v>
      </c>
      <c r="AA941" s="259" t="s">
        <v>1314</v>
      </c>
      <c r="AB941" s="20" t="s">
        <v>1061</v>
      </c>
      <c r="AC941">
        <f t="shared" si="27"/>
        <v>4490000000</v>
      </c>
      <c r="AE941" s="18" t="s">
        <v>1315</v>
      </c>
      <c r="AF941" s="1" t="b">
        <v>1</v>
      </c>
    </row>
    <row r="942" spans="2:32" ht="16.5" customHeight="1">
      <c r="B942" s="1" t="str">
        <f t="shared" si="28"/>
        <v>M_TDIF04_VM_BKT_1.3_899</v>
      </c>
      <c r="C942" s="92" t="s">
        <v>700</v>
      </c>
      <c r="D942" s="92" t="str" cm="1">
        <f t="array" ref="D942">INDEX(기계코드!$D$4:$D$214,MATCH(1,(C942=기계코드!$F$4:$F$214)*1,0))</f>
        <v>M_TDIF04</v>
      </c>
      <c r="E942" s="92" t="s">
        <v>1128</v>
      </c>
      <c r="F942" s="7" t="str" cm="1">
        <f t="array" ref="F942">INDEX(공급업체코드!$B$3:$B$1000,MATCH(1,(E942=공급업체코드!$D$3:$D$1000)*1,0))</f>
        <v>VM_BKT</v>
      </c>
      <c r="G942" s="18" t="s">
        <v>1881</v>
      </c>
      <c r="H942" s="64"/>
      <c r="I942" s="64"/>
      <c r="J942" s="64"/>
      <c r="K942" s="300">
        <v>1.1000000000000001</v>
      </c>
      <c r="L942" s="300">
        <v>1.3</v>
      </c>
      <c r="M942" s="64">
        <v>899</v>
      </c>
      <c r="N942" s="64"/>
      <c r="O942" s="64"/>
      <c r="P942" s="64"/>
      <c r="Q942" s="64"/>
      <c r="R942" s="70"/>
      <c r="T942" s="64"/>
      <c r="X942">
        <v>0.123</v>
      </c>
      <c r="Y942" s="258" t="s">
        <v>1313</v>
      </c>
      <c r="AA942" s="259" t="s">
        <v>1314</v>
      </c>
      <c r="AB942" s="20" t="s">
        <v>1061</v>
      </c>
      <c r="AC942">
        <f t="shared" ref="AC942:AC1005" si="29">M942*$AC$44</f>
        <v>4495000000</v>
      </c>
      <c r="AE942" s="18" t="s">
        <v>1315</v>
      </c>
      <c r="AF942" s="1" t="b">
        <v>1</v>
      </c>
    </row>
    <row r="943" spans="2:32" ht="16.5" customHeight="1">
      <c r="B943" s="1" t="str">
        <f t="shared" si="28"/>
        <v>M_TDIF04_VM_BKT_1.3_900</v>
      </c>
      <c r="C943" s="92" t="s">
        <v>700</v>
      </c>
      <c r="D943" s="92" t="str" cm="1">
        <f t="array" ref="D943">INDEX(기계코드!$D$4:$D$214,MATCH(1,(C943=기계코드!$F$4:$F$214)*1,0))</f>
        <v>M_TDIF04</v>
      </c>
      <c r="E943" s="92" t="s">
        <v>1128</v>
      </c>
      <c r="F943" s="7" t="str" cm="1">
        <f t="array" ref="F943">INDEX(공급업체코드!$B$3:$B$1000,MATCH(1,(E943=공급업체코드!$D$3:$D$1000)*1,0))</f>
        <v>VM_BKT</v>
      </c>
      <c r="G943" s="18" t="s">
        <v>1881</v>
      </c>
      <c r="H943" s="64"/>
      <c r="I943" s="64"/>
      <c r="J943" s="64"/>
      <c r="K943" s="300">
        <v>1.1000000000000001</v>
      </c>
      <c r="L943" s="300">
        <v>1.3</v>
      </c>
      <c r="M943" s="64">
        <v>900</v>
      </c>
      <c r="N943" s="64"/>
      <c r="O943" s="64"/>
      <c r="P943" s="64"/>
      <c r="Q943" s="64"/>
      <c r="R943" s="70"/>
      <c r="T943" s="64"/>
      <c r="X943">
        <v>0.123</v>
      </c>
      <c r="Y943" s="258" t="s">
        <v>1313</v>
      </c>
      <c r="AA943" s="259" t="s">
        <v>1314</v>
      </c>
      <c r="AB943" s="20" t="s">
        <v>1061</v>
      </c>
      <c r="AC943">
        <f t="shared" si="29"/>
        <v>4500000000</v>
      </c>
      <c r="AE943" s="18" t="s">
        <v>1315</v>
      </c>
      <c r="AF943" s="1" t="b">
        <v>1</v>
      </c>
    </row>
    <row r="944" spans="2:32" ht="16.5" customHeight="1">
      <c r="B944" s="1" t="str">
        <f t="shared" si="28"/>
        <v>M_TDIF04_VM_BKT_1.3_901</v>
      </c>
      <c r="C944" s="92" t="s">
        <v>700</v>
      </c>
      <c r="D944" s="92" t="str" cm="1">
        <f t="array" ref="D944">INDEX(기계코드!$D$4:$D$214,MATCH(1,(C944=기계코드!$F$4:$F$214)*1,0))</f>
        <v>M_TDIF04</v>
      </c>
      <c r="E944" s="92" t="s">
        <v>1128</v>
      </c>
      <c r="F944" s="7" t="str" cm="1">
        <f t="array" ref="F944">INDEX(공급업체코드!$B$3:$B$1000,MATCH(1,(E944=공급업체코드!$D$3:$D$1000)*1,0))</f>
        <v>VM_BKT</v>
      </c>
      <c r="G944" s="18" t="s">
        <v>1881</v>
      </c>
      <c r="H944" s="64"/>
      <c r="I944" s="64"/>
      <c r="J944" s="64"/>
      <c r="K944" s="300">
        <v>1.1000000000000001</v>
      </c>
      <c r="L944" s="300">
        <v>1.3</v>
      </c>
      <c r="M944" s="64">
        <v>901</v>
      </c>
      <c r="N944" s="64"/>
      <c r="O944" s="64"/>
      <c r="P944" s="64"/>
      <c r="Q944" s="64"/>
      <c r="R944" s="70"/>
      <c r="T944" s="64"/>
      <c r="X944">
        <v>0.123</v>
      </c>
      <c r="Y944" s="258" t="s">
        <v>1313</v>
      </c>
      <c r="AA944" s="259" t="s">
        <v>1314</v>
      </c>
      <c r="AB944" s="20" t="s">
        <v>1061</v>
      </c>
      <c r="AC944">
        <f t="shared" si="29"/>
        <v>4505000000</v>
      </c>
      <c r="AE944" s="18" t="s">
        <v>1315</v>
      </c>
      <c r="AF944" s="1" t="b">
        <v>1</v>
      </c>
    </row>
    <row r="945" spans="2:32" ht="16.5" customHeight="1">
      <c r="B945" s="1" t="str">
        <f t="shared" si="28"/>
        <v>M_TDIF04_VM_BKT_1.3_902</v>
      </c>
      <c r="C945" s="92" t="s">
        <v>700</v>
      </c>
      <c r="D945" s="92" t="str" cm="1">
        <f t="array" ref="D945">INDEX(기계코드!$D$4:$D$214,MATCH(1,(C945=기계코드!$F$4:$F$214)*1,0))</f>
        <v>M_TDIF04</v>
      </c>
      <c r="E945" s="92" t="s">
        <v>1128</v>
      </c>
      <c r="F945" s="7" t="str" cm="1">
        <f t="array" ref="F945">INDEX(공급업체코드!$B$3:$B$1000,MATCH(1,(E945=공급업체코드!$D$3:$D$1000)*1,0))</f>
        <v>VM_BKT</v>
      </c>
      <c r="G945" s="18" t="s">
        <v>1881</v>
      </c>
      <c r="H945" s="64"/>
      <c r="I945" s="64"/>
      <c r="J945" s="64"/>
      <c r="K945" s="300">
        <v>1.1000000000000001</v>
      </c>
      <c r="L945" s="300">
        <v>1.3</v>
      </c>
      <c r="M945" s="64">
        <v>902</v>
      </c>
      <c r="N945" s="64"/>
      <c r="O945" s="64"/>
      <c r="P945" s="64"/>
      <c r="Q945" s="64"/>
      <c r="R945" s="70"/>
      <c r="T945" s="64"/>
      <c r="X945">
        <v>0.123</v>
      </c>
      <c r="Y945" s="258" t="s">
        <v>1313</v>
      </c>
      <c r="AA945" s="259" t="s">
        <v>1314</v>
      </c>
      <c r="AB945" s="20" t="s">
        <v>1061</v>
      </c>
      <c r="AC945">
        <f t="shared" si="29"/>
        <v>4510000000</v>
      </c>
      <c r="AE945" s="18" t="s">
        <v>1315</v>
      </c>
      <c r="AF945" s="1" t="b">
        <v>1</v>
      </c>
    </row>
    <row r="946" spans="2:32" ht="16.5" customHeight="1">
      <c r="B946" s="1" t="str">
        <f t="shared" si="28"/>
        <v>M_TDIF04_VM_BKT_1.3_903</v>
      </c>
      <c r="C946" s="92" t="s">
        <v>700</v>
      </c>
      <c r="D946" s="92" t="str" cm="1">
        <f t="array" ref="D946">INDEX(기계코드!$D$4:$D$214,MATCH(1,(C946=기계코드!$F$4:$F$214)*1,0))</f>
        <v>M_TDIF04</v>
      </c>
      <c r="E946" s="92" t="s">
        <v>1128</v>
      </c>
      <c r="F946" s="7" t="str" cm="1">
        <f t="array" ref="F946">INDEX(공급업체코드!$B$3:$B$1000,MATCH(1,(E946=공급업체코드!$D$3:$D$1000)*1,0))</f>
        <v>VM_BKT</v>
      </c>
      <c r="G946" s="18" t="s">
        <v>1881</v>
      </c>
      <c r="H946" s="64"/>
      <c r="I946" s="64"/>
      <c r="J946" s="64"/>
      <c r="K946" s="300">
        <v>1.1000000000000001</v>
      </c>
      <c r="L946" s="300">
        <v>1.3</v>
      </c>
      <c r="M946" s="64">
        <v>903</v>
      </c>
      <c r="N946" s="64"/>
      <c r="O946" s="64"/>
      <c r="P946" s="64"/>
      <c r="Q946" s="64"/>
      <c r="R946" s="70"/>
      <c r="T946" s="64"/>
      <c r="X946">
        <v>0.123</v>
      </c>
      <c r="Y946" s="258" t="s">
        <v>1313</v>
      </c>
      <c r="AA946" s="259" t="s">
        <v>1314</v>
      </c>
      <c r="AB946" s="20" t="s">
        <v>1061</v>
      </c>
      <c r="AC946">
        <f t="shared" si="29"/>
        <v>4515000000</v>
      </c>
      <c r="AE946" s="18" t="s">
        <v>1315</v>
      </c>
      <c r="AF946" s="1" t="b">
        <v>1</v>
      </c>
    </row>
    <row r="947" spans="2:32" ht="16.5" customHeight="1">
      <c r="B947" s="1" t="str">
        <f t="shared" si="28"/>
        <v>M_TDIF04_VM_BKT_1.3_904</v>
      </c>
      <c r="C947" s="92" t="s">
        <v>700</v>
      </c>
      <c r="D947" s="92" t="str" cm="1">
        <f t="array" ref="D947">INDEX(기계코드!$D$4:$D$214,MATCH(1,(C947=기계코드!$F$4:$F$214)*1,0))</f>
        <v>M_TDIF04</v>
      </c>
      <c r="E947" s="92" t="s">
        <v>1128</v>
      </c>
      <c r="F947" s="7" t="str" cm="1">
        <f t="array" ref="F947">INDEX(공급업체코드!$B$3:$B$1000,MATCH(1,(E947=공급업체코드!$D$3:$D$1000)*1,0))</f>
        <v>VM_BKT</v>
      </c>
      <c r="G947" s="18" t="s">
        <v>1881</v>
      </c>
      <c r="H947" s="64"/>
      <c r="I947" s="64"/>
      <c r="J947" s="64"/>
      <c r="K947" s="300">
        <v>1.1000000000000001</v>
      </c>
      <c r="L947" s="300">
        <v>1.3</v>
      </c>
      <c r="M947" s="64">
        <v>904</v>
      </c>
      <c r="N947" s="64"/>
      <c r="O947" s="64"/>
      <c r="P947" s="64"/>
      <c r="Q947" s="64"/>
      <c r="R947" s="70"/>
      <c r="T947" s="64"/>
      <c r="X947">
        <v>0.123</v>
      </c>
      <c r="Y947" s="258" t="s">
        <v>1313</v>
      </c>
      <c r="AA947" s="259" t="s">
        <v>1314</v>
      </c>
      <c r="AB947" s="20" t="s">
        <v>1061</v>
      </c>
      <c r="AC947">
        <f t="shared" si="29"/>
        <v>4520000000</v>
      </c>
      <c r="AE947" s="18" t="s">
        <v>1315</v>
      </c>
      <c r="AF947" s="1" t="b">
        <v>1</v>
      </c>
    </row>
    <row r="948" spans="2:32" ht="16.5" customHeight="1">
      <c r="B948" s="1" t="str">
        <f t="shared" si="28"/>
        <v>M_TDIF04_VM_BKT_1.3_905</v>
      </c>
      <c r="C948" s="92" t="s">
        <v>700</v>
      </c>
      <c r="D948" s="92" t="str" cm="1">
        <f t="array" ref="D948">INDEX(기계코드!$D$4:$D$214,MATCH(1,(C948=기계코드!$F$4:$F$214)*1,0))</f>
        <v>M_TDIF04</v>
      </c>
      <c r="E948" s="92" t="s">
        <v>1128</v>
      </c>
      <c r="F948" s="7" t="str" cm="1">
        <f t="array" ref="F948">INDEX(공급업체코드!$B$3:$B$1000,MATCH(1,(E948=공급업체코드!$D$3:$D$1000)*1,0))</f>
        <v>VM_BKT</v>
      </c>
      <c r="G948" s="18" t="s">
        <v>1881</v>
      </c>
      <c r="H948" s="64"/>
      <c r="I948" s="64"/>
      <c r="J948" s="64"/>
      <c r="K948" s="300">
        <v>1.1000000000000001</v>
      </c>
      <c r="L948" s="300">
        <v>1.3</v>
      </c>
      <c r="M948" s="64">
        <v>905</v>
      </c>
      <c r="N948" s="64"/>
      <c r="O948" s="64"/>
      <c r="P948" s="64"/>
      <c r="Q948" s="64"/>
      <c r="R948" s="70"/>
      <c r="T948" s="64"/>
      <c r="X948">
        <v>0.123</v>
      </c>
      <c r="Y948" s="258" t="s">
        <v>1313</v>
      </c>
      <c r="AA948" s="259" t="s">
        <v>1314</v>
      </c>
      <c r="AB948" s="20" t="s">
        <v>1061</v>
      </c>
      <c r="AC948">
        <f t="shared" si="29"/>
        <v>4525000000</v>
      </c>
      <c r="AE948" s="18" t="s">
        <v>1315</v>
      </c>
      <c r="AF948" s="1" t="b">
        <v>1</v>
      </c>
    </row>
    <row r="949" spans="2:32" ht="16.5" customHeight="1">
      <c r="B949" s="1" t="str">
        <f t="shared" si="28"/>
        <v>M_TDIF04_VM_BKT_1.3_906</v>
      </c>
      <c r="C949" s="92" t="s">
        <v>700</v>
      </c>
      <c r="D949" s="92" t="str" cm="1">
        <f t="array" ref="D949">INDEX(기계코드!$D$4:$D$214,MATCH(1,(C949=기계코드!$F$4:$F$214)*1,0))</f>
        <v>M_TDIF04</v>
      </c>
      <c r="E949" s="92" t="s">
        <v>1128</v>
      </c>
      <c r="F949" s="7" t="str" cm="1">
        <f t="array" ref="F949">INDEX(공급업체코드!$B$3:$B$1000,MATCH(1,(E949=공급업체코드!$D$3:$D$1000)*1,0))</f>
        <v>VM_BKT</v>
      </c>
      <c r="G949" s="18" t="s">
        <v>1881</v>
      </c>
      <c r="H949" s="64"/>
      <c r="I949" s="64"/>
      <c r="J949" s="64"/>
      <c r="K949" s="300">
        <v>1.1000000000000001</v>
      </c>
      <c r="L949" s="300">
        <v>1.3</v>
      </c>
      <c r="M949" s="64">
        <v>906</v>
      </c>
      <c r="N949" s="64"/>
      <c r="O949" s="64"/>
      <c r="P949" s="64"/>
      <c r="Q949" s="64"/>
      <c r="R949" s="70"/>
      <c r="T949" s="64"/>
      <c r="X949">
        <v>0.123</v>
      </c>
      <c r="Y949" s="258" t="s">
        <v>1313</v>
      </c>
      <c r="AA949" s="259" t="s">
        <v>1314</v>
      </c>
      <c r="AB949" s="20" t="s">
        <v>1061</v>
      </c>
      <c r="AC949">
        <f t="shared" si="29"/>
        <v>4530000000</v>
      </c>
      <c r="AE949" s="18" t="s">
        <v>1315</v>
      </c>
      <c r="AF949" s="1" t="b">
        <v>1</v>
      </c>
    </row>
    <row r="950" spans="2:32" ht="16.5" customHeight="1">
      <c r="B950" s="1" t="str">
        <f t="shared" si="28"/>
        <v>M_TDIF04_VM_BKT_1.3_907</v>
      </c>
      <c r="C950" s="92" t="s">
        <v>700</v>
      </c>
      <c r="D950" s="92" t="str" cm="1">
        <f t="array" ref="D950">INDEX(기계코드!$D$4:$D$214,MATCH(1,(C950=기계코드!$F$4:$F$214)*1,0))</f>
        <v>M_TDIF04</v>
      </c>
      <c r="E950" s="92" t="s">
        <v>1128</v>
      </c>
      <c r="F950" s="7" t="str" cm="1">
        <f t="array" ref="F950">INDEX(공급업체코드!$B$3:$B$1000,MATCH(1,(E950=공급업체코드!$D$3:$D$1000)*1,0))</f>
        <v>VM_BKT</v>
      </c>
      <c r="G950" s="18" t="s">
        <v>1881</v>
      </c>
      <c r="H950" s="64"/>
      <c r="I950" s="64"/>
      <c r="J950" s="64"/>
      <c r="K950" s="300">
        <v>1.1000000000000001</v>
      </c>
      <c r="L950" s="300">
        <v>1.3</v>
      </c>
      <c r="M950" s="64">
        <v>907</v>
      </c>
      <c r="N950" s="64"/>
      <c r="O950" s="64"/>
      <c r="P950" s="64"/>
      <c r="Q950" s="64"/>
      <c r="R950" s="70"/>
      <c r="T950" s="64"/>
      <c r="X950">
        <v>0.123</v>
      </c>
      <c r="Y950" s="258" t="s">
        <v>1313</v>
      </c>
      <c r="AA950" s="259" t="s">
        <v>1314</v>
      </c>
      <c r="AB950" s="20" t="s">
        <v>1061</v>
      </c>
      <c r="AC950">
        <f t="shared" si="29"/>
        <v>4535000000</v>
      </c>
      <c r="AE950" s="18" t="s">
        <v>1315</v>
      </c>
      <c r="AF950" s="1" t="b">
        <v>1</v>
      </c>
    </row>
    <row r="951" spans="2:32" ht="16.5" customHeight="1">
      <c r="B951" s="1" t="str">
        <f t="shared" si="28"/>
        <v>M_TDIF04_VM_BKT_1.3_908</v>
      </c>
      <c r="C951" s="92" t="s">
        <v>700</v>
      </c>
      <c r="D951" s="92" t="str" cm="1">
        <f t="array" ref="D951">INDEX(기계코드!$D$4:$D$214,MATCH(1,(C951=기계코드!$F$4:$F$214)*1,0))</f>
        <v>M_TDIF04</v>
      </c>
      <c r="E951" s="92" t="s">
        <v>1128</v>
      </c>
      <c r="F951" s="7" t="str" cm="1">
        <f t="array" ref="F951">INDEX(공급업체코드!$B$3:$B$1000,MATCH(1,(E951=공급업체코드!$D$3:$D$1000)*1,0))</f>
        <v>VM_BKT</v>
      </c>
      <c r="G951" s="18" t="s">
        <v>1881</v>
      </c>
      <c r="H951" s="64"/>
      <c r="I951" s="64"/>
      <c r="J951" s="64"/>
      <c r="K951" s="300">
        <v>1.1000000000000001</v>
      </c>
      <c r="L951" s="300">
        <v>1.3</v>
      </c>
      <c r="M951" s="64">
        <v>908</v>
      </c>
      <c r="N951" s="64"/>
      <c r="O951" s="64"/>
      <c r="P951" s="64"/>
      <c r="Q951" s="64"/>
      <c r="R951" s="70"/>
      <c r="T951" s="64"/>
      <c r="X951">
        <v>0.123</v>
      </c>
      <c r="Y951" s="258" t="s">
        <v>1313</v>
      </c>
      <c r="AA951" s="259" t="s">
        <v>1314</v>
      </c>
      <c r="AB951" s="20" t="s">
        <v>1061</v>
      </c>
      <c r="AC951">
        <f t="shared" si="29"/>
        <v>4540000000</v>
      </c>
      <c r="AE951" s="18" t="s">
        <v>1315</v>
      </c>
      <c r="AF951" s="1" t="b">
        <v>1</v>
      </c>
    </row>
    <row r="952" spans="2:32" ht="16.5" customHeight="1">
      <c r="B952" s="1" t="str">
        <f t="shared" si="28"/>
        <v>M_TDIF04_VM_BKT_1.3_909</v>
      </c>
      <c r="C952" s="92" t="s">
        <v>700</v>
      </c>
      <c r="D952" s="92" t="str" cm="1">
        <f t="array" ref="D952">INDEX(기계코드!$D$4:$D$214,MATCH(1,(C952=기계코드!$F$4:$F$214)*1,0))</f>
        <v>M_TDIF04</v>
      </c>
      <c r="E952" s="92" t="s">
        <v>1128</v>
      </c>
      <c r="F952" s="7" t="str" cm="1">
        <f t="array" ref="F952">INDEX(공급업체코드!$B$3:$B$1000,MATCH(1,(E952=공급업체코드!$D$3:$D$1000)*1,0))</f>
        <v>VM_BKT</v>
      </c>
      <c r="G952" s="18" t="s">
        <v>1881</v>
      </c>
      <c r="H952" s="64"/>
      <c r="I952" s="64"/>
      <c r="J952" s="64"/>
      <c r="K952" s="300">
        <v>1.1000000000000001</v>
      </c>
      <c r="L952" s="300">
        <v>1.3</v>
      </c>
      <c r="M952" s="64">
        <v>909</v>
      </c>
      <c r="N952" s="64"/>
      <c r="O952" s="64"/>
      <c r="P952" s="64"/>
      <c r="Q952" s="64"/>
      <c r="R952" s="70"/>
      <c r="T952" s="64"/>
      <c r="X952">
        <v>0.123</v>
      </c>
      <c r="Y952" s="258" t="s">
        <v>1313</v>
      </c>
      <c r="AA952" s="259" t="s">
        <v>1314</v>
      </c>
      <c r="AB952" s="20" t="s">
        <v>1061</v>
      </c>
      <c r="AC952">
        <f t="shared" si="29"/>
        <v>4545000000</v>
      </c>
      <c r="AE952" s="18" t="s">
        <v>1315</v>
      </c>
      <c r="AF952" s="1" t="b">
        <v>1</v>
      </c>
    </row>
    <row r="953" spans="2:32" ht="16.5" customHeight="1">
      <c r="B953" s="1" t="str">
        <f t="shared" si="28"/>
        <v>M_TDIF04_VM_BKT_1.3_910</v>
      </c>
      <c r="C953" s="92" t="s">
        <v>700</v>
      </c>
      <c r="D953" s="92" t="str" cm="1">
        <f t="array" ref="D953">INDEX(기계코드!$D$4:$D$214,MATCH(1,(C953=기계코드!$F$4:$F$214)*1,0))</f>
        <v>M_TDIF04</v>
      </c>
      <c r="E953" s="92" t="s">
        <v>1128</v>
      </c>
      <c r="F953" s="7" t="str" cm="1">
        <f t="array" ref="F953">INDEX(공급업체코드!$B$3:$B$1000,MATCH(1,(E953=공급업체코드!$D$3:$D$1000)*1,0))</f>
        <v>VM_BKT</v>
      </c>
      <c r="G953" s="18" t="s">
        <v>1881</v>
      </c>
      <c r="H953" s="64"/>
      <c r="I953" s="64"/>
      <c r="J953" s="64"/>
      <c r="K953" s="300">
        <v>1.1000000000000001</v>
      </c>
      <c r="L953" s="300">
        <v>1.3</v>
      </c>
      <c r="M953" s="64">
        <v>910</v>
      </c>
      <c r="N953" s="64"/>
      <c r="O953" s="64"/>
      <c r="P953" s="64"/>
      <c r="Q953" s="64"/>
      <c r="R953" s="70"/>
      <c r="T953" s="64"/>
      <c r="X953">
        <v>0.123</v>
      </c>
      <c r="Y953" s="258" t="s">
        <v>1313</v>
      </c>
      <c r="AA953" s="259" t="s">
        <v>1314</v>
      </c>
      <c r="AB953" s="20" t="s">
        <v>1061</v>
      </c>
      <c r="AC953">
        <f t="shared" si="29"/>
        <v>4550000000</v>
      </c>
      <c r="AE953" s="18" t="s">
        <v>1315</v>
      </c>
      <c r="AF953" s="1" t="b">
        <v>1</v>
      </c>
    </row>
    <row r="954" spans="2:32" ht="16.5" customHeight="1">
      <c r="B954" s="1" t="str">
        <f t="shared" si="28"/>
        <v>M_TDIF04_VM_BKT_1.3_911</v>
      </c>
      <c r="C954" s="92" t="s">
        <v>700</v>
      </c>
      <c r="D954" s="92" t="str" cm="1">
        <f t="array" ref="D954">INDEX(기계코드!$D$4:$D$214,MATCH(1,(C954=기계코드!$F$4:$F$214)*1,0))</f>
        <v>M_TDIF04</v>
      </c>
      <c r="E954" s="92" t="s">
        <v>1128</v>
      </c>
      <c r="F954" s="7" t="str" cm="1">
        <f t="array" ref="F954">INDEX(공급업체코드!$B$3:$B$1000,MATCH(1,(E954=공급업체코드!$D$3:$D$1000)*1,0))</f>
        <v>VM_BKT</v>
      </c>
      <c r="G954" s="18" t="s">
        <v>1881</v>
      </c>
      <c r="H954" s="64"/>
      <c r="I954" s="64"/>
      <c r="J954" s="64"/>
      <c r="K954" s="300">
        <v>1.1000000000000001</v>
      </c>
      <c r="L954" s="300">
        <v>1.3</v>
      </c>
      <c r="M954" s="64">
        <v>911</v>
      </c>
      <c r="N954" s="64"/>
      <c r="O954" s="64"/>
      <c r="P954" s="64"/>
      <c r="Q954" s="64"/>
      <c r="R954" s="70"/>
      <c r="T954" s="64"/>
      <c r="X954">
        <v>0.123</v>
      </c>
      <c r="Y954" s="258" t="s">
        <v>1313</v>
      </c>
      <c r="AA954" s="259" t="s">
        <v>1314</v>
      </c>
      <c r="AB954" s="20" t="s">
        <v>1061</v>
      </c>
      <c r="AC954">
        <f t="shared" si="29"/>
        <v>4555000000</v>
      </c>
      <c r="AE954" s="18" t="s">
        <v>1315</v>
      </c>
      <c r="AF954" s="1" t="b">
        <v>1</v>
      </c>
    </row>
    <row r="955" spans="2:32" ht="16.5" customHeight="1">
      <c r="B955" s="1" t="str">
        <f t="shared" si="28"/>
        <v>M_TDIF04_VM_BKT_1.3_912</v>
      </c>
      <c r="C955" s="92" t="s">
        <v>700</v>
      </c>
      <c r="D955" s="92" t="str" cm="1">
        <f t="array" ref="D955">INDEX(기계코드!$D$4:$D$214,MATCH(1,(C955=기계코드!$F$4:$F$214)*1,0))</f>
        <v>M_TDIF04</v>
      </c>
      <c r="E955" s="92" t="s">
        <v>1128</v>
      </c>
      <c r="F955" s="7" t="str" cm="1">
        <f t="array" ref="F955">INDEX(공급업체코드!$B$3:$B$1000,MATCH(1,(E955=공급업체코드!$D$3:$D$1000)*1,0))</f>
        <v>VM_BKT</v>
      </c>
      <c r="G955" s="18" t="s">
        <v>1881</v>
      </c>
      <c r="H955" s="64"/>
      <c r="I955" s="64"/>
      <c r="J955" s="64"/>
      <c r="K955" s="300">
        <v>1.1000000000000001</v>
      </c>
      <c r="L955" s="300">
        <v>1.3</v>
      </c>
      <c r="M955" s="64">
        <v>912</v>
      </c>
      <c r="N955" s="64"/>
      <c r="O955" s="64"/>
      <c r="P955" s="64"/>
      <c r="Q955" s="64"/>
      <c r="R955" s="70"/>
      <c r="T955" s="64"/>
      <c r="X955">
        <v>0.123</v>
      </c>
      <c r="Y955" s="258" t="s">
        <v>1313</v>
      </c>
      <c r="AA955" s="259" t="s">
        <v>1314</v>
      </c>
      <c r="AB955" s="20" t="s">
        <v>1061</v>
      </c>
      <c r="AC955">
        <f t="shared" si="29"/>
        <v>4560000000</v>
      </c>
      <c r="AE955" s="18" t="s">
        <v>1315</v>
      </c>
      <c r="AF955" s="1" t="b">
        <v>1</v>
      </c>
    </row>
    <row r="956" spans="2:32" ht="16.5" customHeight="1">
      <c r="B956" s="1" t="str">
        <f t="shared" si="28"/>
        <v>M_TDIF04_VM_BKT_1.3_913</v>
      </c>
      <c r="C956" s="92" t="s">
        <v>700</v>
      </c>
      <c r="D956" s="92" t="str" cm="1">
        <f t="array" ref="D956">INDEX(기계코드!$D$4:$D$214,MATCH(1,(C956=기계코드!$F$4:$F$214)*1,0))</f>
        <v>M_TDIF04</v>
      </c>
      <c r="E956" s="92" t="s">
        <v>1128</v>
      </c>
      <c r="F956" s="7" t="str" cm="1">
        <f t="array" ref="F956">INDEX(공급업체코드!$B$3:$B$1000,MATCH(1,(E956=공급업체코드!$D$3:$D$1000)*1,0))</f>
        <v>VM_BKT</v>
      </c>
      <c r="G956" s="18" t="s">
        <v>1881</v>
      </c>
      <c r="H956" s="64"/>
      <c r="I956" s="64"/>
      <c r="J956" s="64"/>
      <c r="K956" s="300">
        <v>1.1000000000000001</v>
      </c>
      <c r="L956" s="300">
        <v>1.3</v>
      </c>
      <c r="M956" s="64">
        <v>913</v>
      </c>
      <c r="N956" s="64"/>
      <c r="O956" s="64"/>
      <c r="P956" s="64"/>
      <c r="Q956" s="64"/>
      <c r="R956" s="70"/>
      <c r="T956" s="64"/>
      <c r="X956">
        <v>0.123</v>
      </c>
      <c r="Y956" s="258" t="s">
        <v>1313</v>
      </c>
      <c r="AA956" s="259" t="s">
        <v>1314</v>
      </c>
      <c r="AB956" s="20" t="s">
        <v>1061</v>
      </c>
      <c r="AC956">
        <f t="shared" si="29"/>
        <v>4565000000</v>
      </c>
      <c r="AE956" s="18" t="s">
        <v>1315</v>
      </c>
      <c r="AF956" s="1" t="b">
        <v>1</v>
      </c>
    </row>
    <row r="957" spans="2:32" ht="16.5" customHeight="1">
      <c r="B957" s="1" t="str">
        <f t="shared" si="28"/>
        <v>M_TDIF04_VM_BKT_1.3_914</v>
      </c>
      <c r="C957" s="92" t="s">
        <v>700</v>
      </c>
      <c r="D957" s="92" t="str" cm="1">
        <f t="array" ref="D957">INDEX(기계코드!$D$4:$D$214,MATCH(1,(C957=기계코드!$F$4:$F$214)*1,0))</f>
        <v>M_TDIF04</v>
      </c>
      <c r="E957" s="92" t="s">
        <v>1128</v>
      </c>
      <c r="F957" s="7" t="str" cm="1">
        <f t="array" ref="F957">INDEX(공급업체코드!$B$3:$B$1000,MATCH(1,(E957=공급업체코드!$D$3:$D$1000)*1,0))</f>
        <v>VM_BKT</v>
      </c>
      <c r="G957" s="18" t="s">
        <v>1881</v>
      </c>
      <c r="H957" s="64"/>
      <c r="I957" s="64"/>
      <c r="J957" s="64"/>
      <c r="K957" s="300">
        <v>1.1000000000000001</v>
      </c>
      <c r="L957" s="300">
        <v>1.3</v>
      </c>
      <c r="M957" s="64">
        <v>914</v>
      </c>
      <c r="N957" s="64"/>
      <c r="O957" s="64"/>
      <c r="P957" s="64"/>
      <c r="Q957" s="64"/>
      <c r="R957" s="70"/>
      <c r="T957" s="64"/>
      <c r="X957">
        <v>0.123</v>
      </c>
      <c r="Y957" s="258" t="s">
        <v>1313</v>
      </c>
      <c r="AA957" s="259" t="s">
        <v>1314</v>
      </c>
      <c r="AB957" s="20" t="s">
        <v>1061</v>
      </c>
      <c r="AC957">
        <f t="shared" si="29"/>
        <v>4570000000</v>
      </c>
      <c r="AE957" s="18" t="s">
        <v>1315</v>
      </c>
      <c r="AF957" s="1" t="b">
        <v>1</v>
      </c>
    </row>
    <row r="958" spans="2:32" ht="16.5" customHeight="1">
      <c r="B958" s="1" t="str">
        <f t="shared" si="28"/>
        <v>M_TDIF04_VM_BKT_1.3_915</v>
      </c>
      <c r="C958" s="92" t="s">
        <v>700</v>
      </c>
      <c r="D958" s="92" t="str" cm="1">
        <f t="array" ref="D958">INDEX(기계코드!$D$4:$D$214,MATCH(1,(C958=기계코드!$F$4:$F$214)*1,0))</f>
        <v>M_TDIF04</v>
      </c>
      <c r="E958" s="92" t="s">
        <v>1128</v>
      </c>
      <c r="F958" s="7" t="str" cm="1">
        <f t="array" ref="F958">INDEX(공급업체코드!$B$3:$B$1000,MATCH(1,(E958=공급업체코드!$D$3:$D$1000)*1,0))</f>
        <v>VM_BKT</v>
      </c>
      <c r="G958" s="18" t="s">
        <v>1881</v>
      </c>
      <c r="H958" s="64"/>
      <c r="I958" s="64"/>
      <c r="J958" s="64"/>
      <c r="K958" s="300">
        <v>1.1000000000000001</v>
      </c>
      <c r="L958" s="300">
        <v>1.3</v>
      </c>
      <c r="M958" s="64">
        <v>915</v>
      </c>
      <c r="N958" s="64"/>
      <c r="O958" s="64"/>
      <c r="P958" s="64"/>
      <c r="Q958" s="64"/>
      <c r="R958" s="70"/>
      <c r="T958" s="64"/>
      <c r="X958">
        <v>0.123</v>
      </c>
      <c r="Y958" s="258" t="s">
        <v>1313</v>
      </c>
      <c r="AA958" s="259" t="s">
        <v>1314</v>
      </c>
      <c r="AB958" s="20" t="s">
        <v>1061</v>
      </c>
      <c r="AC958">
        <f t="shared" si="29"/>
        <v>4575000000</v>
      </c>
      <c r="AE958" s="18" t="s">
        <v>1315</v>
      </c>
      <c r="AF958" s="1" t="b">
        <v>1</v>
      </c>
    </row>
    <row r="959" spans="2:32" ht="16.5" customHeight="1">
      <c r="B959" s="1" t="str">
        <f t="shared" si="28"/>
        <v>M_TDIF04_VM_BKT_1.3_916</v>
      </c>
      <c r="C959" s="92" t="s">
        <v>700</v>
      </c>
      <c r="D959" s="92" t="str" cm="1">
        <f t="array" ref="D959">INDEX(기계코드!$D$4:$D$214,MATCH(1,(C959=기계코드!$F$4:$F$214)*1,0))</f>
        <v>M_TDIF04</v>
      </c>
      <c r="E959" s="92" t="s">
        <v>1128</v>
      </c>
      <c r="F959" s="7" t="str" cm="1">
        <f t="array" ref="F959">INDEX(공급업체코드!$B$3:$B$1000,MATCH(1,(E959=공급업체코드!$D$3:$D$1000)*1,0))</f>
        <v>VM_BKT</v>
      </c>
      <c r="G959" s="18" t="s">
        <v>1881</v>
      </c>
      <c r="H959" s="64"/>
      <c r="I959" s="64"/>
      <c r="J959" s="64"/>
      <c r="K959" s="300">
        <v>1.1000000000000001</v>
      </c>
      <c r="L959" s="300">
        <v>1.3</v>
      </c>
      <c r="M959" s="64">
        <v>916</v>
      </c>
      <c r="N959" s="64"/>
      <c r="O959" s="64"/>
      <c r="P959" s="64"/>
      <c r="Q959" s="64"/>
      <c r="R959" s="70"/>
      <c r="T959" s="64"/>
      <c r="X959">
        <v>0.123</v>
      </c>
      <c r="Y959" s="258" t="s">
        <v>1313</v>
      </c>
      <c r="AA959" s="259" t="s">
        <v>1314</v>
      </c>
      <c r="AB959" s="20" t="s">
        <v>1061</v>
      </c>
      <c r="AC959">
        <f t="shared" si="29"/>
        <v>4580000000</v>
      </c>
      <c r="AE959" s="18" t="s">
        <v>1315</v>
      </c>
      <c r="AF959" s="1" t="b">
        <v>1</v>
      </c>
    </row>
    <row r="960" spans="2:32" ht="16.5" customHeight="1">
      <c r="B960" s="1" t="str">
        <f t="shared" si="28"/>
        <v>M_TDIF04_VM_BKT_1.3_917</v>
      </c>
      <c r="C960" s="92" t="s">
        <v>700</v>
      </c>
      <c r="D960" s="92" t="str" cm="1">
        <f t="array" ref="D960">INDEX(기계코드!$D$4:$D$214,MATCH(1,(C960=기계코드!$F$4:$F$214)*1,0))</f>
        <v>M_TDIF04</v>
      </c>
      <c r="E960" s="92" t="s">
        <v>1128</v>
      </c>
      <c r="F960" s="7" t="str" cm="1">
        <f t="array" ref="F960">INDEX(공급업체코드!$B$3:$B$1000,MATCH(1,(E960=공급업체코드!$D$3:$D$1000)*1,0))</f>
        <v>VM_BKT</v>
      </c>
      <c r="G960" s="18" t="s">
        <v>1881</v>
      </c>
      <c r="H960" s="64"/>
      <c r="I960" s="64"/>
      <c r="J960" s="64"/>
      <c r="K960" s="300">
        <v>1.1000000000000001</v>
      </c>
      <c r="L960" s="300">
        <v>1.3</v>
      </c>
      <c r="M960" s="64">
        <v>917</v>
      </c>
      <c r="N960" s="64"/>
      <c r="O960" s="64"/>
      <c r="P960" s="64"/>
      <c r="Q960" s="64"/>
      <c r="R960" s="70"/>
      <c r="T960" s="64"/>
      <c r="X960">
        <v>0.123</v>
      </c>
      <c r="Y960" s="258" t="s">
        <v>1313</v>
      </c>
      <c r="AA960" s="259" t="s">
        <v>1314</v>
      </c>
      <c r="AB960" s="20" t="s">
        <v>1061</v>
      </c>
      <c r="AC960">
        <f t="shared" si="29"/>
        <v>4585000000</v>
      </c>
      <c r="AE960" s="18" t="s">
        <v>1315</v>
      </c>
      <c r="AF960" s="1" t="b">
        <v>1</v>
      </c>
    </row>
    <row r="961" spans="2:32" ht="16.5" customHeight="1">
      <c r="B961" s="1" t="str">
        <f t="shared" si="28"/>
        <v>M_TDIF04_VM_BKT_1.3_918</v>
      </c>
      <c r="C961" s="92" t="s">
        <v>700</v>
      </c>
      <c r="D961" s="92" t="str" cm="1">
        <f t="array" ref="D961">INDEX(기계코드!$D$4:$D$214,MATCH(1,(C961=기계코드!$F$4:$F$214)*1,0))</f>
        <v>M_TDIF04</v>
      </c>
      <c r="E961" s="92" t="s">
        <v>1128</v>
      </c>
      <c r="F961" s="7" t="str" cm="1">
        <f t="array" ref="F961">INDEX(공급업체코드!$B$3:$B$1000,MATCH(1,(E961=공급업체코드!$D$3:$D$1000)*1,0))</f>
        <v>VM_BKT</v>
      </c>
      <c r="G961" s="18" t="s">
        <v>1881</v>
      </c>
      <c r="H961" s="64"/>
      <c r="I961" s="64"/>
      <c r="J961" s="64"/>
      <c r="K961" s="300">
        <v>1.1000000000000001</v>
      </c>
      <c r="L961" s="300">
        <v>1.3</v>
      </c>
      <c r="M961" s="64">
        <v>918</v>
      </c>
      <c r="N961" s="64"/>
      <c r="O961" s="64"/>
      <c r="P961" s="64"/>
      <c r="Q961" s="64"/>
      <c r="R961" s="70"/>
      <c r="T961" s="64"/>
      <c r="X961">
        <v>0.123</v>
      </c>
      <c r="Y961" s="258" t="s">
        <v>1313</v>
      </c>
      <c r="AA961" s="259" t="s">
        <v>1314</v>
      </c>
      <c r="AB961" s="20" t="s">
        <v>1061</v>
      </c>
      <c r="AC961">
        <f t="shared" si="29"/>
        <v>4590000000</v>
      </c>
      <c r="AE961" s="18" t="s">
        <v>1315</v>
      </c>
      <c r="AF961" s="1" t="b">
        <v>1</v>
      </c>
    </row>
    <row r="962" spans="2:32" ht="16.5" customHeight="1">
      <c r="B962" s="1" t="str">
        <f t="shared" si="28"/>
        <v>M_TDIF04_VM_BKT_1.3_919</v>
      </c>
      <c r="C962" s="92" t="s">
        <v>700</v>
      </c>
      <c r="D962" s="92" t="str" cm="1">
        <f t="array" ref="D962">INDEX(기계코드!$D$4:$D$214,MATCH(1,(C962=기계코드!$F$4:$F$214)*1,0))</f>
        <v>M_TDIF04</v>
      </c>
      <c r="E962" s="92" t="s">
        <v>1128</v>
      </c>
      <c r="F962" s="7" t="str" cm="1">
        <f t="array" ref="F962">INDEX(공급업체코드!$B$3:$B$1000,MATCH(1,(E962=공급업체코드!$D$3:$D$1000)*1,0))</f>
        <v>VM_BKT</v>
      </c>
      <c r="G962" s="18" t="s">
        <v>1881</v>
      </c>
      <c r="H962" s="64"/>
      <c r="I962" s="64"/>
      <c r="J962" s="64"/>
      <c r="K962" s="300">
        <v>1.1000000000000001</v>
      </c>
      <c r="L962" s="300">
        <v>1.3</v>
      </c>
      <c r="M962" s="64">
        <v>919</v>
      </c>
      <c r="N962" s="64"/>
      <c r="O962" s="64"/>
      <c r="P962" s="64"/>
      <c r="Q962" s="64"/>
      <c r="R962" s="70"/>
      <c r="T962" s="64"/>
      <c r="X962">
        <v>0.123</v>
      </c>
      <c r="Y962" s="258" t="s">
        <v>1313</v>
      </c>
      <c r="AA962" s="259" t="s">
        <v>1314</v>
      </c>
      <c r="AB962" s="20" t="s">
        <v>1061</v>
      </c>
      <c r="AC962">
        <f t="shared" si="29"/>
        <v>4595000000</v>
      </c>
      <c r="AE962" s="18" t="s">
        <v>1315</v>
      </c>
      <c r="AF962" s="1" t="b">
        <v>1</v>
      </c>
    </row>
    <row r="963" spans="2:32" ht="16.5" customHeight="1">
      <c r="B963" s="1" t="str">
        <f t="shared" si="28"/>
        <v>M_TDIF04_VM_BKT_1.3_920</v>
      </c>
      <c r="C963" s="92" t="s">
        <v>700</v>
      </c>
      <c r="D963" s="92" t="str" cm="1">
        <f t="array" ref="D963">INDEX(기계코드!$D$4:$D$214,MATCH(1,(C963=기계코드!$F$4:$F$214)*1,0))</f>
        <v>M_TDIF04</v>
      </c>
      <c r="E963" s="92" t="s">
        <v>1128</v>
      </c>
      <c r="F963" s="7" t="str" cm="1">
        <f t="array" ref="F963">INDEX(공급업체코드!$B$3:$B$1000,MATCH(1,(E963=공급업체코드!$D$3:$D$1000)*1,0))</f>
        <v>VM_BKT</v>
      </c>
      <c r="G963" s="18" t="s">
        <v>1881</v>
      </c>
      <c r="H963" s="64"/>
      <c r="I963" s="64"/>
      <c r="J963" s="64"/>
      <c r="K963" s="300">
        <v>1.1000000000000001</v>
      </c>
      <c r="L963" s="300">
        <v>1.3</v>
      </c>
      <c r="M963" s="64">
        <v>920</v>
      </c>
      <c r="N963" s="64"/>
      <c r="O963" s="64"/>
      <c r="P963" s="64"/>
      <c r="Q963" s="64"/>
      <c r="R963" s="70"/>
      <c r="T963" s="64"/>
      <c r="X963">
        <v>0.123</v>
      </c>
      <c r="Y963" s="258" t="s">
        <v>1313</v>
      </c>
      <c r="AA963" s="259" t="s">
        <v>1314</v>
      </c>
      <c r="AB963" s="20" t="s">
        <v>1061</v>
      </c>
      <c r="AC963">
        <f t="shared" si="29"/>
        <v>4600000000</v>
      </c>
      <c r="AE963" s="18" t="s">
        <v>1315</v>
      </c>
      <c r="AF963" s="1" t="b">
        <v>1</v>
      </c>
    </row>
    <row r="964" spans="2:32" ht="16.5" customHeight="1">
      <c r="B964" s="1" t="str">
        <f t="shared" si="28"/>
        <v>M_TDIF04_VM_BKT_1.3_921</v>
      </c>
      <c r="C964" s="92" t="s">
        <v>700</v>
      </c>
      <c r="D964" s="92" t="str" cm="1">
        <f t="array" ref="D964">INDEX(기계코드!$D$4:$D$214,MATCH(1,(C964=기계코드!$F$4:$F$214)*1,0))</f>
        <v>M_TDIF04</v>
      </c>
      <c r="E964" s="92" t="s">
        <v>1128</v>
      </c>
      <c r="F964" s="7" t="str" cm="1">
        <f t="array" ref="F964">INDEX(공급업체코드!$B$3:$B$1000,MATCH(1,(E964=공급업체코드!$D$3:$D$1000)*1,0))</f>
        <v>VM_BKT</v>
      </c>
      <c r="G964" s="18" t="s">
        <v>1881</v>
      </c>
      <c r="H964" s="64"/>
      <c r="I964" s="64"/>
      <c r="J964" s="64"/>
      <c r="K964" s="300">
        <v>1.1000000000000001</v>
      </c>
      <c r="L964" s="300">
        <v>1.3</v>
      </c>
      <c r="M964" s="64">
        <v>921</v>
      </c>
      <c r="N964" s="64"/>
      <c r="O964" s="64"/>
      <c r="P964" s="64"/>
      <c r="Q964" s="64"/>
      <c r="R964" s="70"/>
      <c r="T964" s="64"/>
      <c r="X964">
        <v>0.123</v>
      </c>
      <c r="Y964" s="258" t="s">
        <v>1313</v>
      </c>
      <c r="AA964" s="259" t="s">
        <v>1314</v>
      </c>
      <c r="AB964" s="20" t="s">
        <v>1061</v>
      </c>
      <c r="AC964">
        <f t="shared" si="29"/>
        <v>4605000000</v>
      </c>
      <c r="AE964" s="18" t="s">
        <v>1315</v>
      </c>
      <c r="AF964" s="1" t="b">
        <v>1</v>
      </c>
    </row>
    <row r="965" spans="2:32" ht="16.5" customHeight="1">
      <c r="B965" s="1" t="str">
        <f t="shared" si="28"/>
        <v>M_TDIF04_VM_BKT_1.3_922</v>
      </c>
      <c r="C965" s="92" t="s">
        <v>700</v>
      </c>
      <c r="D965" s="92" t="str" cm="1">
        <f t="array" ref="D965">INDEX(기계코드!$D$4:$D$214,MATCH(1,(C965=기계코드!$F$4:$F$214)*1,0))</f>
        <v>M_TDIF04</v>
      </c>
      <c r="E965" s="92" t="s">
        <v>1128</v>
      </c>
      <c r="F965" s="7" t="str" cm="1">
        <f t="array" ref="F965">INDEX(공급업체코드!$B$3:$B$1000,MATCH(1,(E965=공급업체코드!$D$3:$D$1000)*1,0))</f>
        <v>VM_BKT</v>
      </c>
      <c r="G965" s="18" t="s">
        <v>1881</v>
      </c>
      <c r="H965" s="64"/>
      <c r="I965" s="64"/>
      <c r="J965" s="64"/>
      <c r="K965" s="300">
        <v>1.1000000000000001</v>
      </c>
      <c r="L965" s="300">
        <v>1.3</v>
      </c>
      <c r="M965" s="64">
        <v>922</v>
      </c>
      <c r="N965" s="64"/>
      <c r="O965" s="64"/>
      <c r="P965" s="64"/>
      <c r="Q965" s="64"/>
      <c r="R965" s="70"/>
      <c r="T965" s="64"/>
      <c r="X965">
        <v>0.123</v>
      </c>
      <c r="Y965" s="258" t="s">
        <v>1313</v>
      </c>
      <c r="AA965" s="259" t="s">
        <v>1314</v>
      </c>
      <c r="AB965" s="20" t="s">
        <v>1061</v>
      </c>
      <c r="AC965">
        <f t="shared" si="29"/>
        <v>4610000000</v>
      </c>
      <c r="AE965" s="18" t="s">
        <v>1315</v>
      </c>
      <c r="AF965" s="1" t="b">
        <v>1</v>
      </c>
    </row>
    <row r="966" spans="2:32" ht="16.5" customHeight="1">
      <c r="B966" s="1" t="str">
        <f t="shared" si="28"/>
        <v>M_TDIF04_VM_BKT_1.3_923</v>
      </c>
      <c r="C966" s="92" t="s">
        <v>700</v>
      </c>
      <c r="D966" s="92" t="str" cm="1">
        <f t="array" ref="D966">INDEX(기계코드!$D$4:$D$214,MATCH(1,(C966=기계코드!$F$4:$F$214)*1,0))</f>
        <v>M_TDIF04</v>
      </c>
      <c r="E966" s="92" t="s">
        <v>1128</v>
      </c>
      <c r="F966" s="7" t="str" cm="1">
        <f t="array" ref="F966">INDEX(공급업체코드!$B$3:$B$1000,MATCH(1,(E966=공급업체코드!$D$3:$D$1000)*1,0))</f>
        <v>VM_BKT</v>
      </c>
      <c r="G966" s="18" t="s">
        <v>1881</v>
      </c>
      <c r="H966" s="64"/>
      <c r="I966" s="64"/>
      <c r="J966" s="64"/>
      <c r="K966" s="300">
        <v>1.1000000000000001</v>
      </c>
      <c r="L966" s="300">
        <v>1.3</v>
      </c>
      <c r="M966" s="64">
        <v>923</v>
      </c>
      <c r="N966" s="64"/>
      <c r="O966" s="64"/>
      <c r="P966" s="64"/>
      <c r="Q966" s="64"/>
      <c r="R966" s="70"/>
      <c r="T966" s="64"/>
      <c r="X966">
        <v>0.123</v>
      </c>
      <c r="Y966" s="258" t="s">
        <v>1313</v>
      </c>
      <c r="AA966" s="259" t="s">
        <v>1314</v>
      </c>
      <c r="AB966" s="20" t="s">
        <v>1061</v>
      </c>
      <c r="AC966">
        <f t="shared" si="29"/>
        <v>4615000000</v>
      </c>
      <c r="AE966" s="18" t="s">
        <v>1315</v>
      </c>
      <c r="AF966" s="1" t="b">
        <v>1</v>
      </c>
    </row>
    <row r="967" spans="2:32" ht="16.5" customHeight="1">
      <c r="B967" s="1" t="str">
        <f t="shared" si="28"/>
        <v>M_TDIF04_VM_BKT_1.3_924</v>
      </c>
      <c r="C967" s="92" t="s">
        <v>700</v>
      </c>
      <c r="D967" s="92" t="str" cm="1">
        <f t="array" ref="D967">INDEX(기계코드!$D$4:$D$214,MATCH(1,(C967=기계코드!$F$4:$F$214)*1,0))</f>
        <v>M_TDIF04</v>
      </c>
      <c r="E967" s="92" t="s">
        <v>1128</v>
      </c>
      <c r="F967" s="7" t="str" cm="1">
        <f t="array" ref="F967">INDEX(공급업체코드!$B$3:$B$1000,MATCH(1,(E967=공급업체코드!$D$3:$D$1000)*1,0))</f>
        <v>VM_BKT</v>
      </c>
      <c r="G967" s="18" t="s">
        <v>1881</v>
      </c>
      <c r="H967" s="64"/>
      <c r="I967" s="64"/>
      <c r="J967" s="64"/>
      <c r="K967" s="300">
        <v>1.1000000000000001</v>
      </c>
      <c r="L967" s="300">
        <v>1.3</v>
      </c>
      <c r="M967" s="64">
        <v>924</v>
      </c>
      <c r="N967" s="64"/>
      <c r="O967" s="64"/>
      <c r="P967" s="64"/>
      <c r="Q967" s="64"/>
      <c r="R967" s="70"/>
      <c r="T967" s="64"/>
      <c r="X967">
        <v>0.123</v>
      </c>
      <c r="Y967" s="258" t="s">
        <v>1313</v>
      </c>
      <c r="AA967" s="259" t="s">
        <v>1314</v>
      </c>
      <c r="AB967" s="20" t="s">
        <v>1061</v>
      </c>
      <c r="AC967">
        <f t="shared" si="29"/>
        <v>4620000000</v>
      </c>
      <c r="AE967" s="18" t="s">
        <v>1315</v>
      </c>
      <c r="AF967" s="1" t="b">
        <v>1</v>
      </c>
    </row>
    <row r="968" spans="2:32" ht="16.5" customHeight="1">
      <c r="B968" s="1" t="str">
        <f t="shared" si="28"/>
        <v>M_TDIF04_VM_BKT_1.3_925</v>
      </c>
      <c r="C968" s="92" t="s">
        <v>700</v>
      </c>
      <c r="D968" s="92" t="str" cm="1">
        <f t="array" ref="D968">INDEX(기계코드!$D$4:$D$214,MATCH(1,(C968=기계코드!$F$4:$F$214)*1,0))</f>
        <v>M_TDIF04</v>
      </c>
      <c r="E968" s="92" t="s">
        <v>1128</v>
      </c>
      <c r="F968" s="7" t="str" cm="1">
        <f t="array" ref="F968">INDEX(공급업체코드!$B$3:$B$1000,MATCH(1,(E968=공급업체코드!$D$3:$D$1000)*1,0))</f>
        <v>VM_BKT</v>
      </c>
      <c r="G968" s="18" t="s">
        <v>1881</v>
      </c>
      <c r="H968" s="64"/>
      <c r="I968" s="64"/>
      <c r="J968" s="64"/>
      <c r="K968" s="300">
        <v>1.1000000000000001</v>
      </c>
      <c r="L968" s="300">
        <v>1.3</v>
      </c>
      <c r="M968" s="64">
        <v>925</v>
      </c>
      <c r="N968" s="64"/>
      <c r="O968" s="64"/>
      <c r="P968" s="64"/>
      <c r="Q968" s="64"/>
      <c r="R968" s="70"/>
      <c r="T968" s="64"/>
      <c r="X968">
        <v>0.123</v>
      </c>
      <c r="Y968" s="258" t="s">
        <v>1313</v>
      </c>
      <c r="AA968" s="259" t="s">
        <v>1314</v>
      </c>
      <c r="AB968" s="20" t="s">
        <v>1061</v>
      </c>
      <c r="AC968">
        <f t="shared" si="29"/>
        <v>4625000000</v>
      </c>
      <c r="AE968" s="18" t="s">
        <v>1315</v>
      </c>
      <c r="AF968" s="1" t="b">
        <v>1</v>
      </c>
    </row>
    <row r="969" spans="2:32" ht="16.5" customHeight="1">
      <c r="B969" s="1" t="str">
        <f t="shared" si="28"/>
        <v>M_TDIF04_VM_BKT_1.3_926</v>
      </c>
      <c r="C969" s="92" t="s">
        <v>700</v>
      </c>
      <c r="D969" s="92" t="str" cm="1">
        <f t="array" ref="D969">INDEX(기계코드!$D$4:$D$214,MATCH(1,(C969=기계코드!$F$4:$F$214)*1,0))</f>
        <v>M_TDIF04</v>
      </c>
      <c r="E969" s="92" t="s">
        <v>1128</v>
      </c>
      <c r="F969" s="7" t="str" cm="1">
        <f t="array" ref="F969">INDEX(공급업체코드!$B$3:$B$1000,MATCH(1,(E969=공급업체코드!$D$3:$D$1000)*1,0))</f>
        <v>VM_BKT</v>
      </c>
      <c r="G969" s="18" t="s">
        <v>1881</v>
      </c>
      <c r="H969" s="64"/>
      <c r="I969" s="64"/>
      <c r="J969" s="64"/>
      <c r="K969" s="300">
        <v>1.1000000000000001</v>
      </c>
      <c r="L969" s="300">
        <v>1.3</v>
      </c>
      <c r="M969" s="64">
        <v>926</v>
      </c>
      <c r="N969" s="64"/>
      <c r="O969" s="64"/>
      <c r="P969" s="64"/>
      <c r="Q969" s="64"/>
      <c r="R969" s="70"/>
      <c r="T969" s="64"/>
      <c r="X969">
        <v>0.123</v>
      </c>
      <c r="Y969" s="258" t="s">
        <v>1313</v>
      </c>
      <c r="AA969" s="259" t="s">
        <v>1314</v>
      </c>
      <c r="AB969" s="20" t="s">
        <v>1061</v>
      </c>
      <c r="AC969">
        <f t="shared" si="29"/>
        <v>4630000000</v>
      </c>
      <c r="AE969" s="18" t="s">
        <v>1315</v>
      </c>
      <c r="AF969" s="1" t="b">
        <v>1</v>
      </c>
    </row>
    <row r="970" spans="2:32" ht="16.5" customHeight="1">
      <c r="B970" s="1" t="str">
        <f t="shared" si="28"/>
        <v>M_TDIF04_VM_BKT_1.3_927</v>
      </c>
      <c r="C970" s="92" t="s">
        <v>700</v>
      </c>
      <c r="D970" s="92" t="str" cm="1">
        <f t="array" ref="D970">INDEX(기계코드!$D$4:$D$214,MATCH(1,(C970=기계코드!$F$4:$F$214)*1,0))</f>
        <v>M_TDIF04</v>
      </c>
      <c r="E970" s="92" t="s">
        <v>1128</v>
      </c>
      <c r="F970" s="7" t="str" cm="1">
        <f t="array" ref="F970">INDEX(공급업체코드!$B$3:$B$1000,MATCH(1,(E970=공급업체코드!$D$3:$D$1000)*1,0))</f>
        <v>VM_BKT</v>
      </c>
      <c r="G970" s="18" t="s">
        <v>1881</v>
      </c>
      <c r="H970" s="64"/>
      <c r="I970" s="64"/>
      <c r="J970" s="64"/>
      <c r="K970" s="300">
        <v>1.1000000000000001</v>
      </c>
      <c r="L970" s="300">
        <v>1.3</v>
      </c>
      <c r="M970" s="64">
        <v>927</v>
      </c>
      <c r="N970" s="64"/>
      <c r="O970" s="64"/>
      <c r="P970" s="64"/>
      <c r="Q970" s="64"/>
      <c r="R970" s="70"/>
      <c r="T970" s="64"/>
      <c r="X970">
        <v>0.123</v>
      </c>
      <c r="Y970" s="258" t="s">
        <v>1313</v>
      </c>
      <c r="AA970" s="259" t="s">
        <v>1314</v>
      </c>
      <c r="AB970" s="20" t="s">
        <v>1061</v>
      </c>
      <c r="AC970">
        <f t="shared" si="29"/>
        <v>4635000000</v>
      </c>
      <c r="AE970" s="18" t="s">
        <v>1315</v>
      </c>
      <c r="AF970" s="1" t="b">
        <v>1</v>
      </c>
    </row>
    <row r="971" spans="2:32" ht="16.5" customHeight="1">
      <c r="B971" s="1" t="str">
        <f t="shared" si="28"/>
        <v>M_TDIF04_VM_BKT_1.3_928</v>
      </c>
      <c r="C971" s="92" t="s">
        <v>700</v>
      </c>
      <c r="D971" s="92" t="str" cm="1">
        <f t="array" ref="D971">INDEX(기계코드!$D$4:$D$214,MATCH(1,(C971=기계코드!$F$4:$F$214)*1,0))</f>
        <v>M_TDIF04</v>
      </c>
      <c r="E971" s="92" t="s">
        <v>1128</v>
      </c>
      <c r="F971" s="7" t="str" cm="1">
        <f t="array" ref="F971">INDEX(공급업체코드!$B$3:$B$1000,MATCH(1,(E971=공급업체코드!$D$3:$D$1000)*1,0))</f>
        <v>VM_BKT</v>
      </c>
      <c r="G971" s="18" t="s">
        <v>1881</v>
      </c>
      <c r="H971" s="64"/>
      <c r="I971" s="64"/>
      <c r="J971" s="64"/>
      <c r="K971" s="300">
        <v>1.1000000000000001</v>
      </c>
      <c r="L971" s="300">
        <v>1.3</v>
      </c>
      <c r="M971" s="64">
        <v>928</v>
      </c>
      <c r="N971" s="64"/>
      <c r="O971" s="64"/>
      <c r="P971" s="64"/>
      <c r="Q971" s="64"/>
      <c r="R971" s="70"/>
      <c r="T971" s="64"/>
      <c r="X971">
        <v>0.123</v>
      </c>
      <c r="Y971" s="258" t="s">
        <v>1313</v>
      </c>
      <c r="AA971" s="259" t="s">
        <v>1314</v>
      </c>
      <c r="AB971" s="20" t="s">
        <v>1061</v>
      </c>
      <c r="AC971">
        <f t="shared" si="29"/>
        <v>4640000000</v>
      </c>
      <c r="AE971" s="18" t="s">
        <v>1315</v>
      </c>
      <c r="AF971" s="1" t="b">
        <v>1</v>
      </c>
    </row>
    <row r="972" spans="2:32" ht="16.5" customHeight="1">
      <c r="B972" s="1" t="str">
        <f t="shared" si="28"/>
        <v>M_TDIF04_VM_BKT_1.3_929</v>
      </c>
      <c r="C972" s="92" t="s">
        <v>700</v>
      </c>
      <c r="D972" s="92" t="str" cm="1">
        <f t="array" ref="D972">INDEX(기계코드!$D$4:$D$214,MATCH(1,(C972=기계코드!$F$4:$F$214)*1,0))</f>
        <v>M_TDIF04</v>
      </c>
      <c r="E972" s="92" t="s">
        <v>1128</v>
      </c>
      <c r="F972" s="7" t="str" cm="1">
        <f t="array" ref="F972">INDEX(공급업체코드!$B$3:$B$1000,MATCH(1,(E972=공급업체코드!$D$3:$D$1000)*1,0))</f>
        <v>VM_BKT</v>
      </c>
      <c r="G972" s="18" t="s">
        <v>1881</v>
      </c>
      <c r="H972" s="64"/>
      <c r="I972" s="64"/>
      <c r="J972" s="64"/>
      <c r="K972" s="300">
        <v>1.1000000000000001</v>
      </c>
      <c r="L972" s="300">
        <v>1.3</v>
      </c>
      <c r="M972" s="64">
        <v>929</v>
      </c>
      <c r="N972" s="64"/>
      <c r="O972" s="64"/>
      <c r="P972" s="64"/>
      <c r="Q972" s="64"/>
      <c r="R972" s="70"/>
      <c r="T972" s="64"/>
      <c r="X972">
        <v>0.123</v>
      </c>
      <c r="Y972" s="258" t="s">
        <v>1313</v>
      </c>
      <c r="AA972" s="259" t="s">
        <v>1314</v>
      </c>
      <c r="AB972" s="20" t="s">
        <v>1061</v>
      </c>
      <c r="AC972">
        <f t="shared" si="29"/>
        <v>4645000000</v>
      </c>
      <c r="AE972" s="18" t="s">
        <v>1315</v>
      </c>
      <c r="AF972" s="1" t="b">
        <v>1</v>
      </c>
    </row>
    <row r="973" spans="2:32" ht="16.5" customHeight="1">
      <c r="B973" s="1" t="str">
        <f t="shared" si="28"/>
        <v>M_TDIF04_VM_BKT_1.3_930</v>
      </c>
      <c r="C973" s="92" t="s">
        <v>700</v>
      </c>
      <c r="D973" s="92" t="str" cm="1">
        <f t="array" ref="D973">INDEX(기계코드!$D$4:$D$214,MATCH(1,(C973=기계코드!$F$4:$F$214)*1,0))</f>
        <v>M_TDIF04</v>
      </c>
      <c r="E973" s="92" t="s">
        <v>1128</v>
      </c>
      <c r="F973" s="7" t="str" cm="1">
        <f t="array" ref="F973">INDEX(공급업체코드!$B$3:$B$1000,MATCH(1,(E973=공급업체코드!$D$3:$D$1000)*1,0))</f>
        <v>VM_BKT</v>
      </c>
      <c r="G973" s="18" t="s">
        <v>1881</v>
      </c>
      <c r="H973" s="64"/>
      <c r="I973" s="64"/>
      <c r="J973" s="64"/>
      <c r="K973" s="300">
        <v>1.1000000000000001</v>
      </c>
      <c r="L973" s="300">
        <v>1.3</v>
      </c>
      <c r="M973" s="64">
        <v>930</v>
      </c>
      <c r="N973" s="64"/>
      <c r="O973" s="64"/>
      <c r="P973" s="64"/>
      <c r="Q973" s="64"/>
      <c r="R973" s="70"/>
      <c r="T973" s="64"/>
      <c r="X973">
        <v>0.123</v>
      </c>
      <c r="Y973" s="258" t="s">
        <v>1313</v>
      </c>
      <c r="AA973" s="259" t="s">
        <v>1314</v>
      </c>
      <c r="AB973" s="20" t="s">
        <v>1061</v>
      </c>
      <c r="AC973">
        <f t="shared" si="29"/>
        <v>4650000000</v>
      </c>
      <c r="AE973" s="18" t="s">
        <v>1315</v>
      </c>
      <c r="AF973" s="1" t="b">
        <v>1</v>
      </c>
    </row>
    <row r="974" spans="2:32" ht="16.5" customHeight="1">
      <c r="B974" s="1" t="str">
        <f t="shared" si="28"/>
        <v>M_TDIF04_VM_BKT_1.3_931</v>
      </c>
      <c r="C974" s="92" t="s">
        <v>700</v>
      </c>
      <c r="D974" s="92" t="str" cm="1">
        <f t="array" ref="D974">INDEX(기계코드!$D$4:$D$214,MATCH(1,(C974=기계코드!$F$4:$F$214)*1,0))</f>
        <v>M_TDIF04</v>
      </c>
      <c r="E974" s="92" t="s">
        <v>1128</v>
      </c>
      <c r="F974" s="7" t="str" cm="1">
        <f t="array" ref="F974">INDEX(공급업체코드!$B$3:$B$1000,MATCH(1,(E974=공급업체코드!$D$3:$D$1000)*1,0))</f>
        <v>VM_BKT</v>
      </c>
      <c r="G974" s="18" t="s">
        <v>1881</v>
      </c>
      <c r="H974" s="64"/>
      <c r="I974" s="64"/>
      <c r="J974" s="64"/>
      <c r="K974" s="300">
        <v>1.1000000000000001</v>
      </c>
      <c r="L974" s="300">
        <v>1.3</v>
      </c>
      <c r="M974" s="64">
        <v>931</v>
      </c>
      <c r="N974" s="64"/>
      <c r="O974" s="64"/>
      <c r="P974" s="64"/>
      <c r="Q974" s="64"/>
      <c r="R974" s="70"/>
      <c r="T974" s="64"/>
      <c r="X974">
        <v>0.123</v>
      </c>
      <c r="Y974" s="258" t="s">
        <v>1313</v>
      </c>
      <c r="AA974" s="259" t="s">
        <v>1314</v>
      </c>
      <c r="AB974" s="20" t="s">
        <v>1061</v>
      </c>
      <c r="AC974">
        <f t="shared" si="29"/>
        <v>4655000000</v>
      </c>
      <c r="AE974" s="18" t="s">
        <v>1315</v>
      </c>
      <c r="AF974" s="1" t="b">
        <v>1</v>
      </c>
    </row>
    <row r="975" spans="2:32" ht="16.5" customHeight="1">
      <c r="B975" s="1" t="str">
        <f t="shared" si="28"/>
        <v>M_TDIF04_VM_BKT_1.3_932</v>
      </c>
      <c r="C975" s="92" t="s">
        <v>700</v>
      </c>
      <c r="D975" s="92" t="str" cm="1">
        <f t="array" ref="D975">INDEX(기계코드!$D$4:$D$214,MATCH(1,(C975=기계코드!$F$4:$F$214)*1,0))</f>
        <v>M_TDIF04</v>
      </c>
      <c r="E975" s="92" t="s">
        <v>1128</v>
      </c>
      <c r="F975" s="7" t="str" cm="1">
        <f t="array" ref="F975">INDEX(공급업체코드!$B$3:$B$1000,MATCH(1,(E975=공급업체코드!$D$3:$D$1000)*1,0))</f>
        <v>VM_BKT</v>
      </c>
      <c r="G975" s="18" t="s">
        <v>1881</v>
      </c>
      <c r="H975" s="64"/>
      <c r="I975" s="64"/>
      <c r="J975" s="64"/>
      <c r="K975" s="300">
        <v>1.1000000000000001</v>
      </c>
      <c r="L975" s="300">
        <v>1.3</v>
      </c>
      <c r="M975" s="64">
        <v>932</v>
      </c>
      <c r="N975" s="64"/>
      <c r="O975" s="64"/>
      <c r="P975" s="64"/>
      <c r="Q975" s="64"/>
      <c r="R975" s="70"/>
      <c r="T975" s="64"/>
      <c r="X975">
        <v>0.123</v>
      </c>
      <c r="Y975" s="258" t="s">
        <v>1313</v>
      </c>
      <c r="AA975" s="259" t="s">
        <v>1314</v>
      </c>
      <c r="AB975" s="20" t="s">
        <v>1061</v>
      </c>
      <c r="AC975">
        <f t="shared" si="29"/>
        <v>4660000000</v>
      </c>
      <c r="AE975" s="18" t="s">
        <v>1315</v>
      </c>
      <c r="AF975" s="1" t="b">
        <v>1</v>
      </c>
    </row>
    <row r="976" spans="2:32" ht="16.5" customHeight="1">
      <c r="B976" s="1" t="str">
        <f t="shared" si="28"/>
        <v>M_TDIF04_VM_BKT_1.3_933</v>
      </c>
      <c r="C976" s="92" t="s">
        <v>700</v>
      </c>
      <c r="D976" s="92" t="str" cm="1">
        <f t="array" ref="D976">INDEX(기계코드!$D$4:$D$214,MATCH(1,(C976=기계코드!$F$4:$F$214)*1,0))</f>
        <v>M_TDIF04</v>
      </c>
      <c r="E976" s="92" t="s">
        <v>1128</v>
      </c>
      <c r="F976" s="7" t="str" cm="1">
        <f t="array" ref="F976">INDEX(공급업체코드!$B$3:$B$1000,MATCH(1,(E976=공급업체코드!$D$3:$D$1000)*1,0))</f>
        <v>VM_BKT</v>
      </c>
      <c r="G976" s="18" t="s">
        <v>1881</v>
      </c>
      <c r="H976" s="64"/>
      <c r="I976" s="64"/>
      <c r="J976" s="64"/>
      <c r="K976" s="300">
        <v>1.1000000000000001</v>
      </c>
      <c r="L976" s="300">
        <v>1.3</v>
      </c>
      <c r="M976" s="64">
        <v>933</v>
      </c>
      <c r="N976" s="64"/>
      <c r="O976" s="64"/>
      <c r="P976" s="64"/>
      <c r="Q976" s="64"/>
      <c r="R976" s="70"/>
      <c r="T976" s="64"/>
      <c r="X976">
        <v>0.123</v>
      </c>
      <c r="Y976" s="258" t="s">
        <v>1313</v>
      </c>
      <c r="AA976" s="259" t="s">
        <v>1314</v>
      </c>
      <c r="AB976" s="20" t="s">
        <v>1061</v>
      </c>
      <c r="AC976">
        <f t="shared" si="29"/>
        <v>4665000000</v>
      </c>
      <c r="AE976" s="18" t="s">
        <v>1315</v>
      </c>
      <c r="AF976" s="1" t="b">
        <v>1</v>
      </c>
    </row>
    <row r="977" spans="2:32" ht="16.5" customHeight="1">
      <c r="B977" s="1" t="str">
        <f t="shared" si="28"/>
        <v>M_TDIF04_VM_BKT_1.3_934</v>
      </c>
      <c r="C977" s="92" t="s">
        <v>700</v>
      </c>
      <c r="D977" s="92" t="str" cm="1">
        <f t="array" ref="D977">INDEX(기계코드!$D$4:$D$214,MATCH(1,(C977=기계코드!$F$4:$F$214)*1,0))</f>
        <v>M_TDIF04</v>
      </c>
      <c r="E977" s="92" t="s">
        <v>1128</v>
      </c>
      <c r="F977" s="7" t="str" cm="1">
        <f t="array" ref="F977">INDEX(공급업체코드!$B$3:$B$1000,MATCH(1,(E977=공급업체코드!$D$3:$D$1000)*1,0))</f>
        <v>VM_BKT</v>
      </c>
      <c r="G977" s="18" t="s">
        <v>1881</v>
      </c>
      <c r="H977" s="64"/>
      <c r="I977" s="64"/>
      <c r="J977" s="64"/>
      <c r="K977" s="300">
        <v>1.1000000000000001</v>
      </c>
      <c r="L977" s="300">
        <v>1.3</v>
      </c>
      <c r="M977" s="64">
        <v>934</v>
      </c>
      <c r="N977" s="64"/>
      <c r="O977" s="64"/>
      <c r="P977" s="64"/>
      <c r="Q977" s="64"/>
      <c r="R977" s="70"/>
      <c r="T977" s="64"/>
      <c r="X977">
        <v>0.123</v>
      </c>
      <c r="Y977" s="258" t="s">
        <v>1313</v>
      </c>
      <c r="AA977" s="259" t="s">
        <v>1314</v>
      </c>
      <c r="AB977" s="20" t="s">
        <v>1061</v>
      </c>
      <c r="AC977">
        <f t="shared" si="29"/>
        <v>4670000000</v>
      </c>
      <c r="AE977" s="18" t="s">
        <v>1315</v>
      </c>
      <c r="AF977" s="1" t="b">
        <v>1</v>
      </c>
    </row>
    <row r="978" spans="2:32" ht="16.5" customHeight="1">
      <c r="B978" s="1" t="str">
        <f t="shared" si="28"/>
        <v>M_TDIF04_VM_BKT_1.3_935</v>
      </c>
      <c r="C978" s="92" t="s">
        <v>700</v>
      </c>
      <c r="D978" s="92" t="str" cm="1">
        <f t="array" ref="D978">INDEX(기계코드!$D$4:$D$214,MATCH(1,(C978=기계코드!$F$4:$F$214)*1,0))</f>
        <v>M_TDIF04</v>
      </c>
      <c r="E978" s="92" t="s">
        <v>1128</v>
      </c>
      <c r="F978" s="7" t="str" cm="1">
        <f t="array" ref="F978">INDEX(공급업체코드!$B$3:$B$1000,MATCH(1,(E978=공급업체코드!$D$3:$D$1000)*1,0))</f>
        <v>VM_BKT</v>
      </c>
      <c r="G978" s="18" t="s">
        <v>1881</v>
      </c>
      <c r="H978" s="64"/>
      <c r="I978" s="64"/>
      <c r="J978" s="64"/>
      <c r="K978" s="300">
        <v>1.1000000000000001</v>
      </c>
      <c r="L978" s="300">
        <v>1.3</v>
      </c>
      <c r="M978" s="64">
        <v>935</v>
      </c>
      <c r="N978" s="64"/>
      <c r="O978" s="64"/>
      <c r="P978" s="64"/>
      <c r="Q978" s="64"/>
      <c r="R978" s="70"/>
      <c r="T978" s="64"/>
      <c r="X978">
        <v>0.123</v>
      </c>
      <c r="Y978" s="258" t="s">
        <v>1313</v>
      </c>
      <c r="AA978" s="259" t="s">
        <v>1314</v>
      </c>
      <c r="AB978" s="20" t="s">
        <v>1061</v>
      </c>
      <c r="AC978">
        <f t="shared" si="29"/>
        <v>4675000000</v>
      </c>
      <c r="AE978" s="18" t="s">
        <v>1315</v>
      </c>
      <c r="AF978" s="1" t="b">
        <v>1</v>
      </c>
    </row>
    <row r="979" spans="2:32" ht="16.5" customHeight="1">
      <c r="B979" s="1" t="str">
        <f t="shared" si="28"/>
        <v>M_TDIF04_VM_BKT_1.3_936</v>
      </c>
      <c r="C979" s="92" t="s">
        <v>700</v>
      </c>
      <c r="D979" s="92" t="str" cm="1">
        <f t="array" ref="D979">INDEX(기계코드!$D$4:$D$214,MATCH(1,(C979=기계코드!$F$4:$F$214)*1,0))</f>
        <v>M_TDIF04</v>
      </c>
      <c r="E979" s="92" t="s">
        <v>1128</v>
      </c>
      <c r="F979" s="7" t="str" cm="1">
        <f t="array" ref="F979">INDEX(공급업체코드!$B$3:$B$1000,MATCH(1,(E979=공급업체코드!$D$3:$D$1000)*1,0))</f>
        <v>VM_BKT</v>
      </c>
      <c r="G979" s="18" t="s">
        <v>1881</v>
      </c>
      <c r="H979" s="64"/>
      <c r="I979" s="64"/>
      <c r="J979" s="64"/>
      <c r="K979" s="300">
        <v>1.1000000000000001</v>
      </c>
      <c r="L979" s="300">
        <v>1.3</v>
      </c>
      <c r="M979" s="64">
        <v>936</v>
      </c>
      <c r="N979" s="64"/>
      <c r="O979" s="64"/>
      <c r="P979" s="64"/>
      <c r="Q979" s="64"/>
      <c r="R979" s="70"/>
      <c r="T979" s="64"/>
      <c r="X979">
        <v>0.123</v>
      </c>
      <c r="Y979" s="258" t="s">
        <v>1313</v>
      </c>
      <c r="AA979" s="259" t="s">
        <v>1314</v>
      </c>
      <c r="AB979" s="20" t="s">
        <v>1061</v>
      </c>
      <c r="AC979">
        <f t="shared" si="29"/>
        <v>4680000000</v>
      </c>
      <c r="AE979" s="18" t="s">
        <v>1315</v>
      </c>
      <c r="AF979" s="1" t="b">
        <v>1</v>
      </c>
    </row>
    <row r="980" spans="2:32" ht="16.5" customHeight="1">
      <c r="B980" s="1" t="str">
        <f t="shared" si="28"/>
        <v>M_TDIF04_VM_BKT_1.3_937</v>
      </c>
      <c r="C980" s="92" t="s">
        <v>700</v>
      </c>
      <c r="D980" s="92" t="str" cm="1">
        <f t="array" ref="D980">INDEX(기계코드!$D$4:$D$214,MATCH(1,(C980=기계코드!$F$4:$F$214)*1,0))</f>
        <v>M_TDIF04</v>
      </c>
      <c r="E980" s="92" t="s">
        <v>1128</v>
      </c>
      <c r="F980" s="7" t="str" cm="1">
        <f t="array" ref="F980">INDEX(공급업체코드!$B$3:$B$1000,MATCH(1,(E980=공급업체코드!$D$3:$D$1000)*1,0))</f>
        <v>VM_BKT</v>
      </c>
      <c r="G980" s="18" t="s">
        <v>1881</v>
      </c>
      <c r="H980" s="64"/>
      <c r="I980" s="64"/>
      <c r="J980" s="64"/>
      <c r="K980" s="300">
        <v>1.1000000000000001</v>
      </c>
      <c r="L980" s="300">
        <v>1.3</v>
      </c>
      <c r="M980" s="64">
        <v>937</v>
      </c>
      <c r="N980" s="64"/>
      <c r="O980" s="64"/>
      <c r="P980" s="64"/>
      <c r="Q980" s="64"/>
      <c r="R980" s="70"/>
      <c r="T980" s="64"/>
      <c r="X980">
        <v>0.123</v>
      </c>
      <c r="Y980" s="258" t="s">
        <v>1313</v>
      </c>
      <c r="AA980" s="259" t="s">
        <v>1314</v>
      </c>
      <c r="AB980" s="20" t="s">
        <v>1061</v>
      </c>
      <c r="AC980">
        <f t="shared" si="29"/>
        <v>4685000000</v>
      </c>
      <c r="AE980" s="18" t="s">
        <v>1315</v>
      </c>
      <c r="AF980" s="1" t="b">
        <v>1</v>
      </c>
    </row>
    <row r="981" spans="2:32" ht="16.5" customHeight="1">
      <c r="B981" s="1" t="str">
        <f t="shared" si="28"/>
        <v>M_TDIF04_VM_BKT_1.3_938</v>
      </c>
      <c r="C981" s="92" t="s">
        <v>700</v>
      </c>
      <c r="D981" s="92" t="str" cm="1">
        <f t="array" ref="D981">INDEX(기계코드!$D$4:$D$214,MATCH(1,(C981=기계코드!$F$4:$F$214)*1,0))</f>
        <v>M_TDIF04</v>
      </c>
      <c r="E981" s="92" t="s">
        <v>1128</v>
      </c>
      <c r="F981" s="7" t="str" cm="1">
        <f t="array" ref="F981">INDEX(공급업체코드!$B$3:$B$1000,MATCH(1,(E981=공급업체코드!$D$3:$D$1000)*1,0))</f>
        <v>VM_BKT</v>
      </c>
      <c r="G981" s="18" t="s">
        <v>1881</v>
      </c>
      <c r="H981" s="64"/>
      <c r="I981" s="64"/>
      <c r="J981" s="64"/>
      <c r="K981" s="300">
        <v>1.1000000000000001</v>
      </c>
      <c r="L981" s="300">
        <v>1.3</v>
      </c>
      <c r="M981" s="64">
        <v>938</v>
      </c>
      <c r="N981" s="64"/>
      <c r="O981" s="64"/>
      <c r="P981" s="64"/>
      <c r="Q981" s="64"/>
      <c r="R981" s="70"/>
      <c r="T981" s="64"/>
      <c r="X981">
        <v>0.123</v>
      </c>
      <c r="Y981" s="258" t="s">
        <v>1313</v>
      </c>
      <c r="AA981" s="259" t="s">
        <v>1314</v>
      </c>
      <c r="AB981" s="20" t="s">
        <v>1061</v>
      </c>
      <c r="AC981">
        <f t="shared" si="29"/>
        <v>4690000000</v>
      </c>
      <c r="AE981" s="18" t="s">
        <v>1315</v>
      </c>
      <c r="AF981" s="1" t="b">
        <v>1</v>
      </c>
    </row>
    <row r="982" spans="2:32" ht="16.5" customHeight="1">
      <c r="B982" s="1" t="str">
        <f t="shared" si="28"/>
        <v>M_TDIF04_VM_BKT_1.3_939</v>
      </c>
      <c r="C982" s="92" t="s">
        <v>700</v>
      </c>
      <c r="D982" s="92" t="str" cm="1">
        <f t="array" ref="D982">INDEX(기계코드!$D$4:$D$214,MATCH(1,(C982=기계코드!$F$4:$F$214)*1,0))</f>
        <v>M_TDIF04</v>
      </c>
      <c r="E982" s="92" t="s">
        <v>1128</v>
      </c>
      <c r="F982" s="7" t="str" cm="1">
        <f t="array" ref="F982">INDEX(공급업체코드!$B$3:$B$1000,MATCH(1,(E982=공급업체코드!$D$3:$D$1000)*1,0))</f>
        <v>VM_BKT</v>
      </c>
      <c r="G982" s="18" t="s">
        <v>1881</v>
      </c>
      <c r="H982" s="64"/>
      <c r="I982" s="64"/>
      <c r="J982" s="64"/>
      <c r="K982" s="300">
        <v>1.1000000000000001</v>
      </c>
      <c r="L982" s="300">
        <v>1.3</v>
      </c>
      <c r="M982" s="64">
        <v>939</v>
      </c>
      <c r="N982" s="64"/>
      <c r="O982" s="64"/>
      <c r="P982" s="64"/>
      <c r="Q982" s="64"/>
      <c r="R982" s="70"/>
      <c r="T982" s="64"/>
      <c r="X982">
        <v>0.123</v>
      </c>
      <c r="Y982" s="258" t="s">
        <v>1313</v>
      </c>
      <c r="AA982" s="259" t="s">
        <v>1314</v>
      </c>
      <c r="AB982" s="20" t="s">
        <v>1061</v>
      </c>
      <c r="AC982">
        <f t="shared" si="29"/>
        <v>4695000000</v>
      </c>
      <c r="AE982" s="18" t="s">
        <v>1315</v>
      </c>
      <c r="AF982" s="1" t="b">
        <v>1</v>
      </c>
    </row>
    <row r="983" spans="2:32" ht="16.5" customHeight="1">
      <c r="B983" s="1" t="str">
        <f t="shared" si="28"/>
        <v>M_TDIF04_VM_BKT_1.3_940</v>
      </c>
      <c r="C983" s="92" t="s">
        <v>700</v>
      </c>
      <c r="D983" s="92" t="str" cm="1">
        <f t="array" ref="D983">INDEX(기계코드!$D$4:$D$214,MATCH(1,(C983=기계코드!$F$4:$F$214)*1,0))</f>
        <v>M_TDIF04</v>
      </c>
      <c r="E983" s="92" t="s">
        <v>1128</v>
      </c>
      <c r="F983" s="7" t="str" cm="1">
        <f t="array" ref="F983">INDEX(공급업체코드!$B$3:$B$1000,MATCH(1,(E983=공급업체코드!$D$3:$D$1000)*1,0))</f>
        <v>VM_BKT</v>
      </c>
      <c r="G983" s="18" t="s">
        <v>1881</v>
      </c>
      <c r="H983" s="64"/>
      <c r="I983" s="64"/>
      <c r="J983" s="64"/>
      <c r="K983" s="300">
        <v>1.1000000000000001</v>
      </c>
      <c r="L983" s="300">
        <v>1.3</v>
      </c>
      <c r="M983" s="64">
        <v>940</v>
      </c>
      <c r="N983" s="64"/>
      <c r="O983" s="64"/>
      <c r="P983" s="64"/>
      <c r="Q983" s="64"/>
      <c r="R983" s="70"/>
      <c r="T983" s="64"/>
      <c r="X983">
        <v>0.123</v>
      </c>
      <c r="Y983" s="258" t="s">
        <v>1313</v>
      </c>
      <c r="AA983" s="259" t="s">
        <v>1314</v>
      </c>
      <c r="AB983" s="20" t="s">
        <v>1061</v>
      </c>
      <c r="AC983">
        <f t="shared" si="29"/>
        <v>4700000000</v>
      </c>
      <c r="AE983" s="18" t="s">
        <v>1315</v>
      </c>
      <c r="AF983" s="1" t="b">
        <v>1</v>
      </c>
    </row>
    <row r="984" spans="2:32" ht="16.5" customHeight="1">
      <c r="B984" s="1" t="str">
        <f t="shared" si="28"/>
        <v>M_TDIF04_VM_BKT_1.3_941</v>
      </c>
      <c r="C984" s="92" t="s">
        <v>700</v>
      </c>
      <c r="D984" s="92" t="str" cm="1">
        <f t="array" ref="D984">INDEX(기계코드!$D$4:$D$214,MATCH(1,(C984=기계코드!$F$4:$F$214)*1,0))</f>
        <v>M_TDIF04</v>
      </c>
      <c r="E984" s="92" t="s">
        <v>1128</v>
      </c>
      <c r="F984" s="7" t="str" cm="1">
        <f t="array" ref="F984">INDEX(공급업체코드!$B$3:$B$1000,MATCH(1,(E984=공급업체코드!$D$3:$D$1000)*1,0))</f>
        <v>VM_BKT</v>
      </c>
      <c r="G984" s="18" t="s">
        <v>1881</v>
      </c>
      <c r="H984" s="64"/>
      <c r="I984" s="64"/>
      <c r="J984" s="64"/>
      <c r="K984" s="300">
        <v>1.1000000000000001</v>
      </c>
      <c r="L984" s="300">
        <v>1.3</v>
      </c>
      <c r="M984" s="64">
        <v>941</v>
      </c>
      <c r="N984" s="64"/>
      <c r="O984" s="64"/>
      <c r="P984" s="64"/>
      <c r="Q984" s="64"/>
      <c r="R984" s="70"/>
      <c r="T984" s="64"/>
      <c r="X984">
        <v>0.123</v>
      </c>
      <c r="Y984" s="258" t="s">
        <v>1313</v>
      </c>
      <c r="AA984" s="259" t="s">
        <v>1314</v>
      </c>
      <c r="AB984" s="20" t="s">
        <v>1061</v>
      </c>
      <c r="AC984">
        <f t="shared" si="29"/>
        <v>4705000000</v>
      </c>
      <c r="AE984" s="18" t="s">
        <v>1315</v>
      </c>
      <c r="AF984" s="1" t="b">
        <v>1</v>
      </c>
    </row>
    <row r="985" spans="2:32" ht="16.5" customHeight="1">
      <c r="B985" s="1" t="str">
        <f t="shared" si="28"/>
        <v>M_TDIF04_VM_BKT_1.3_942</v>
      </c>
      <c r="C985" s="92" t="s">
        <v>700</v>
      </c>
      <c r="D985" s="92" t="str" cm="1">
        <f t="array" ref="D985">INDEX(기계코드!$D$4:$D$214,MATCH(1,(C985=기계코드!$F$4:$F$214)*1,0))</f>
        <v>M_TDIF04</v>
      </c>
      <c r="E985" s="92" t="s">
        <v>1128</v>
      </c>
      <c r="F985" s="7" t="str" cm="1">
        <f t="array" ref="F985">INDEX(공급업체코드!$B$3:$B$1000,MATCH(1,(E985=공급업체코드!$D$3:$D$1000)*1,0))</f>
        <v>VM_BKT</v>
      </c>
      <c r="G985" s="18" t="s">
        <v>1881</v>
      </c>
      <c r="H985" s="64"/>
      <c r="I985" s="64"/>
      <c r="J985" s="64"/>
      <c r="K985" s="300">
        <v>1.1000000000000001</v>
      </c>
      <c r="L985" s="300">
        <v>1.3</v>
      </c>
      <c r="M985" s="64">
        <v>942</v>
      </c>
      <c r="N985" s="64"/>
      <c r="O985" s="64"/>
      <c r="P985" s="64"/>
      <c r="Q985" s="64"/>
      <c r="R985" s="70"/>
      <c r="T985" s="64"/>
      <c r="X985">
        <v>0.123</v>
      </c>
      <c r="Y985" s="258" t="s">
        <v>1313</v>
      </c>
      <c r="AA985" s="259" t="s">
        <v>1314</v>
      </c>
      <c r="AB985" s="20" t="s">
        <v>1061</v>
      </c>
      <c r="AC985">
        <f t="shared" si="29"/>
        <v>4710000000</v>
      </c>
      <c r="AE985" s="18" t="s">
        <v>1315</v>
      </c>
      <c r="AF985" s="1" t="b">
        <v>1</v>
      </c>
    </row>
    <row r="986" spans="2:32" ht="16.5" customHeight="1">
      <c r="B986" s="1" t="str">
        <f t="shared" si="28"/>
        <v>M_TDIF04_VM_BKT_1.3_943</v>
      </c>
      <c r="C986" s="92" t="s">
        <v>700</v>
      </c>
      <c r="D986" s="92" t="str" cm="1">
        <f t="array" ref="D986">INDEX(기계코드!$D$4:$D$214,MATCH(1,(C986=기계코드!$F$4:$F$214)*1,0))</f>
        <v>M_TDIF04</v>
      </c>
      <c r="E986" s="92" t="s">
        <v>1128</v>
      </c>
      <c r="F986" s="7" t="str" cm="1">
        <f t="array" ref="F986">INDEX(공급업체코드!$B$3:$B$1000,MATCH(1,(E986=공급업체코드!$D$3:$D$1000)*1,0))</f>
        <v>VM_BKT</v>
      </c>
      <c r="G986" s="18" t="s">
        <v>1881</v>
      </c>
      <c r="H986" s="64"/>
      <c r="I986" s="64"/>
      <c r="J986" s="64"/>
      <c r="K986" s="300">
        <v>1.1000000000000001</v>
      </c>
      <c r="L986" s="300">
        <v>1.3</v>
      </c>
      <c r="M986" s="64">
        <v>943</v>
      </c>
      <c r="N986" s="64"/>
      <c r="O986" s="64"/>
      <c r="P986" s="64"/>
      <c r="Q986" s="64"/>
      <c r="R986" s="70"/>
      <c r="T986" s="64"/>
      <c r="X986">
        <v>0.123</v>
      </c>
      <c r="Y986" s="258" t="s">
        <v>1313</v>
      </c>
      <c r="AA986" s="259" t="s">
        <v>1314</v>
      </c>
      <c r="AB986" s="20" t="s">
        <v>1061</v>
      </c>
      <c r="AC986">
        <f t="shared" si="29"/>
        <v>4715000000</v>
      </c>
      <c r="AE986" s="18" t="s">
        <v>1315</v>
      </c>
      <c r="AF986" s="1" t="b">
        <v>1</v>
      </c>
    </row>
    <row r="987" spans="2:32" ht="16.5" customHeight="1">
      <c r="B987" s="1" t="str">
        <f t="shared" si="28"/>
        <v>M_TDIF04_VM_BKT_1.3_944</v>
      </c>
      <c r="C987" s="92" t="s">
        <v>700</v>
      </c>
      <c r="D987" s="92" t="str" cm="1">
        <f t="array" ref="D987">INDEX(기계코드!$D$4:$D$214,MATCH(1,(C987=기계코드!$F$4:$F$214)*1,0))</f>
        <v>M_TDIF04</v>
      </c>
      <c r="E987" s="92" t="s">
        <v>1128</v>
      </c>
      <c r="F987" s="7" t="str" cm="1">
        <f t="array" ref="F987">INDEX(공급업체코드!$B$3:$B$1000,MATCH(1,(E987=공급업체코드!$D$3:$D$1000)*1,0))</f>
        <v>VM_BKT</v>
      </c>
      <c r="G987" s="18" t="s">
        <v>1881</v>
      </c>
      <c r="H987" s="64"/>
      <c r="I987" s="64"/>
      <c r="J987" s="64"/>
      <c r="K987" s="300">
        <v>1.1000000000000001</v>
      </c>
      <c r="L987" s="300">
        <v>1.3</v>
      </c>
      <c r="M987" s="64">
        <v>944</v>
      </c>
      <c r="N987" s="64"/>
      <c r="O987" s="64"/>
      <c r="P987" s="64"/>
      <c r="Q987" s="64"/>
      <c r="R987" s="70"/>
      <c r="T987" s="64"/>
      <c r="X987">
        <v>0.123</v>
      </c>
      <c r="Y987" s="258" t="s">
        <v>1313</v>
      </c>
      <c r="AA987" s="259" t="s">
        <v>1314</v>
      </c>
      <c r="AB987" s="20" t="s">
        <v>1061</v>
      </c>
      <c r="AC987">
        <f t="shared" si="29"/>
        <v>4720000000</v>
      </c>
      <c r="AE987" s="18" t="s">
        <v>1315</v>
      </c>
      <c r="AF987" s="1" t="b">
        <v>1</v>
      </c>
    </row>
    <row r="988" spans="2:32" ht="16.5" customHeight="1">
      <c r="B988" s="1" t="str">
        <f t="shared" si="28"/>
        <v>M_TDIF04_VM_BKT_1.3_945</v>
      </c>
      <c r="C988" s="92" t="s">
        <v>700</v>
      </c>
      <c r="D988" s="92" t="str" cm="1">
        <f t="array" ref="D988">INDEX(기계코드!$D$4:$D$214,MATCH(1,(C988=기계코드!$F$4:$F$214)*1,0))</f>
        <v>M_TDIF04</v>
      </c>
      <c r="E988" s="92" t="s">
        <v>1128</v>
      </c>
      <c r="F988" s="7" t="str" cm="1">
        <f t="array" ref="F988">INDEX(공급업체코드!$B$3:$B$1000,MATCH(1,(E988=공급업체코드!$D$3:$D$1000)*1,0))</f>
        <v>VM_BKT</v>
      </c>
      <c r="G988" s="18" t="s">
        <v>1881</v>
      </c>
      <c r="H988" s="64"/>
      <c r="I988" s="64"/>
      <c r="J988" s="64"/>
      <c r="K988" s="300">
        <v>1.1000000000000001</v>
      </c>
      <c r="L988" s="300">
        <v>1.3</v>
      </c>
      <c r="M988" s="64">
        <v>945</v>
      </c>
      <c r="N988" s="64"/>
      <c r="O988" s="64"/>
      <c r="P988" s="64"/>
      <c r="Q988" s="64"/>
      <c r="R988" s="70"/>
      <c r="T988" s="64"/>
      <c r="X988">
        <v>0.123</v>
      </c>
      <c r="Y988" s="258" t="s">
        <v>1313</v>
      </c>
      <c r="AA988" s="259" t="s">
        <v>1314</v>
      </c>
      <c r="AB988" s="20" t="s">
        <v>1061</v>
      </c>
      <c r="AC988">
        <f t="shared" si="29"/>
        <v>4725000000</v>
      </c>
      <c r="AE988" s="18" t="s">
        <v>1315</v>
      </c>
      <c r="AF988" s="1" t="b">
        <v>1</v>
      </c>
    </row>
    <row r="989" spans="2:32" ht="16.5" customHeight="1">
      <c r="B989" s="1" t="str">
        <f t="shared" si="28"/>
        <v>M_TDIF04_VM_BKT_1.3_946</v>
      </c>
      <c r="C989" s="92" t="s">
        <v>700</v>
      </c>
      <c r="D989" s="92" t="str" cm="1">
        <f t="array" ref="D989">INDEX(기계코드!$D$4:$D$214,MATCH(1,(C989=기계코드!$F$4:$F$214)*1,0))</f>
        <v>M_TDIF04</v>
      </c>
      <c r="E989" s="92" t="s">
        <v>1128</v>
      </c>
      <c r="F989" s="7" t="str" cm="1">
        <f t="array" ref="F989">INDEX(공급업체코드!$B$3:$B$1000,MATCH(1,(E989=공급업체코드!$D$3:$D$1000)*1,0))</f>
        <v>VM_BKT</v>
      </c>
      <c r="G989" s="18" t="s">
        <v>1881</v>
      </c>
      <c r="H989" s="64"/>
      <c r="I989" s="64"/>
      <c r="J989" s="64"/>
      <c r="K989" s="300">
        <v>1.1000000000000001</v>
      </c>
      <c r="L989" s="300">
        <v>1.3</v>
      </c>
      <c r="M989" s="64">
        <v>946</v>
      </c>
      <c r="N989" s="64"/>
      <c r="O989" s="64"/>
      <c r="P989" s="64"/>
      <c r="Q989" s="64"/>
      <c r="R989" s="70"/>
      <c r="T989" s="64"/>
      <c r="X989">
        <v>0.123</v>
      </c>
      <c r="Y989" s="258" t="s">
        <v>1313</v>
      </c>
      <c r="AA989" s="259" t="s">
        <v>1314</v>
      </c>
      <c r="AB989" s="20" t="s">
        <v>1061</v>
      </c>
      <c r="AC989">
        <f t="shared" si="29"/>
        <v>4730000000</v>
      </c>
      <c r="AE989" s="18" t="s">
        <v>1315</v>
      </c>
      <c r="AF989" s="1" t="b">
        <v>1</v>
      </c>
    </row>
    <row r="990" spans="2:32" ht="16.5" customHeight="1">
      <c r="B990" s="1" t="str">
        <f t="shared" si="28"/>
        <v>M_TDIF04_VM_BKT_1.3_947</v>
      </c>
      <c r="C990" s="92" t="s">
        <v>700</v>
      </c>
      <c r="D990" s="92" t="str" cm="1">
        <f t="array" ref="D990">INDEX(기계코드!$D$4:$D$214,MATCH(1,(C990=기계코드!$F$4:$F$214)*1,0))</f>
        <v>M_TDIF04</v>
      </c>
      <c r="E990" s="92" t="s">
        <v>1128</v>
      </c>
      <c r="F990" s="7" t="str" cm="1">
        <f t="array" ref="F990">INDEX(공급업체코드!$B$3:$B$1000,MATCH(1,(E990=공급업체코드!$D$3:$D$1000)*1,0))</f>
        <v>VM_BKT</v>
      </c>
      <c r="G990" s="18" t="s">
        <v>1881</v>
      </c>
      <c r="H990" s="64"/>
      <c r="I990" s="64"/>
      <c r="J990" s="64"/>
      <c r="K990" s="300">
        <v>1.1000000000000001</v>
      </c>
      <c r="L990" s="300">
        <v>1.3</v>
      </c>
      <c r="M990" s="64">
        <v>947</v>
      </c>
      <c r="N990" s="64"/>
      <c r="O990" s="64"/>
      <c r="P990" s="64"/>
      <c r="Q990" s="64"/>
      <c r="R990" s="70"/>
      <c r="T990" s="64"/>
      <c r="X990">
        <v>0.123</v>
      </c>
      <c r="Y990" s="258" t="s">
        <v>1313</v>
      </c>
      <c r="AA990" s="259" t="s">
        <v>1314</v>
      </c>
      <c r="AB990" s="20" t="s">
        <v>1061</v>
      </c>
      <c r="AC990">
        <f t="shared" si="29"/>
        <v>4735000000</v>
      </c>
      <c r="AE990" s="18" t="s">
        <v>1315</v>
      </c>
      <c r="AF990" s="1" t="b">
        <v>1</v>
      </c>
    </row>
    <row r="991" spans="2:32" ht="16.5" customHeight="1">
      <c r="B991" s="1" t="str">
        <f t="shared" si="28"/>
        <v>M_TDIF04_VM_BKT_1.3_948</v>
      </c>
      <c r="C991" s="92" t="s">
        <v>700</v>
      </c>
      <c r="D991" s="92" t="str" cm="1">
        <f t="array" ref="D991">INDEX(기계코드!$D$4:$D$214,MATCH(1,(C991=기계코드!$F$4:$F$214)*1,0))</f>
        <v>M_TDIF04</v>
      </c>
      <c r="E991" s="92" t="s">
        <v>1128</v>
      </c>
      <c r="F991" s="7" t="str" cm="1">
        <f t="array" ref="F991">INDEX(공급업체코드!$B$3:$B$1000,MATCH(1,(E991=공급업체코드!$D$3:$D$1000)*1,0))</f>
        <v>VM_BKT</v>
      </c>
      <c r="G991" s="18" t="s">
        <v>1881</v>
      </c>
      <c r="H991" s="64"/>
      <c r="I991" s="64"/>
      <c r="J991" s="64"/>
      <c r="K991" s="300">
        <v>1.1000000000000001</v>
      </c>
      <c r="L991" s="300">
        <v>1.3</v>
      </c>
      <c r="M991" s="64">
        <v>948</v>
      </c>
      <c r="N991" s="64"/>
      <c r="O991" s="64"/>
      <c r="P991" s="64"/>
      <c r="Q991" s="64"/>
      <c r="R991" s="70"/>
      <c r="T991" s="64"/>
      <c r="X991">
        <v>0.123</v>
      </c>
      <c r="Y991" s="258" t="s">
        <v>1313</v>
      </c>
      <c r="AA991" s="259" t="s">
        <v>1314</v>
      </c>
      <c r="AB991" s="20" t="s">
        <v>1061</v>
      </c>
      <c r="AC991">
        <f t="shared" si="29"/>
        <v>4740000000</v>
      </c>
      <c r="AE991" s="18" t="s">
        <v>1315</v>
      </c>
      <c r="AF991" s="1" t="b">
        <v>1</v>
      </c>
    </row>
    <row r="992" spans="2:32" ht="16.5" customHeight="1">
      <c r="B992" s="1" t="str">
        <f t="shared" si="28"/>
        <v>M_TDIF04_VM_BKT_1.3_949</v>
      </c>
      <c r="C992" s="92" t="s">
        <v>700</v>
      </c>
      <c r="D992" s="92" t="str" cm="1">
        <f t="array" ref="D992">INDEX(기계코드!$D$4:$D$214,MATCH(1,(C992=기계코드!$F$4:$F$214)*1,0))</f>
        <v>M_TDIF04</v>
      </c>
      <c r="E992" s="92" t="s">
        <v>1128</v>
      </c>
      <c r="F992" s="7" t="str" cm="1">
        <f t="array" ref="F992">INDEX(공급업체코드!$B$3:$B$1000,MATCH(1,(E992=공급업체코드!$D$3:$D$1000)*1,0))</f>
        <v>VM_BKT</v>
      </c>
      <c r="G992" s="18" t="s">
        <v>1881</v>
      </c>
      <c r="H992" s="64"/>
      <c r="I992" s="64"/>
      <c r="J992" s="64"/>
      <c r="K992" s="300">
        <v>1.1000000000000001</v>
      </c>
      <c r="L992" s="300">
        <v>1.3</v>
      </c>
      <c r="M992" s="64">
        <v>949</v>
      </c>
      <c r="N992" s="64"/>
      <c r="O992" s="64"/>
      <c r="P992" s="64"/>
      <c r="Q992" s="64"/>
      <c r="R992" s="70"/>
      <c r="T992" s="64"/>
      <c r="X992">
        <v>0.123</v>
      </c>
      <c r="Y992" s="258" t="s">
        <v>1313</v>
      </c>
      <c r="AA992" s="259" t="s">
        <v>1314</v>
      </c>
      <c r="AB992" s="20" t="s">
        <v>1061</v>
      </c>
      <c r="AC992">
        <f t="shared" si="29"/>
        <v>4745000000</v>
      </c>
      <c r="AE992" s="18" t="s">
        <v>1315</v>
      </c>
      <c r="AF992" s="1" t="b">
        <v>1</v>
      </c>
    </row>
    <row r="993" spans="2:32" ht="16.5" customHeight="1">
      <c r="B993" s="1" t="str">
        <f t="shared" si="28"/>
        <v>M_TDIF04_VM_BKT_1.3_950</v>
      </c>
      <c r="C993" s="92" t="s">
        <v>700</v>
      </c>
      <c r="D993" s="92" t="str" cm="1">
        <f t="array" ref="D993">INDEX(기계코드!$D$4:$D$214,MATCH(1,(C993=기계코드!$F$4:$F$214)*1,0))</f>
        <v>M_TDIF04</v>
      </c>
      <c r="E993" s="92" t="s">
        <v>1128</v>
      </c>
      <c r="F993" s="7" t="str" cm="1">
        <f t="array" ref="F993">INDEX(공급업체코드!$B$3:$B$1000,MATCH(1,(E993=공급업체코드!$D$3:$D$1000)*1,0))</f>
        <v>VM_BKT</v>
      </c>
      <c r="G993" s="18" t="s">
        <v>1881</v>
      </c>
      <c r="H993" s="64"/>
      <c r="I993" s="64"/>
      <c r="J993" s="64"/>
      <c r="K993" s="300">
        <v>1.1000000000000001</v>
      </c>
      <c r="L993" s="300">
        <v>1.3</v>
      </c>
      <c r="M993" s="64">
        <v>950</v>
      </c>
      <c r="N993" s="64"/>
      <c r="O993" s="64"/>
      <c r="P993" s="64"/>
      <c r="Q993" s="64"/>
      <c r="R993" s="70"/>
      <c r="T993" s="64"/>
      <c r="X993">
        <v>0.123</v>
      </c>
      <c r="Y993" s="258" t="s">
        <v>1313</v>
      </c>
      <c r="AA993" s="259" t="s">
        <v>1314</v>
      </c>
      <c r="AB993" s="20" t="s">
        <v>1061</v>
      </c>
      <c r="AC993">
        <f t="shared" si="29"/>
        <v>4750000000</v>
      </c>
      <c r="AE993" s="18" t="s">
        <v>1315</v>
      </c>
      <c r="AF993" s="1" t="b">
        <v>1</v>
      </c>
    </row>
    <row r="994" spans="2:32" ht="16.5" customHeight="1">
      <c r="B994" s="1" t="str">
        <f t="shared" si="28"/>
        <v>M_TDIF04_VM_BKT_1.3_951</v>
      </c>
      <c r="C994" s="92" t="s">
        <v>700</v>
      </c>
      <c r="D994" s="92" t="str" cm="1">
        <f t="array" ref="D994">INDEX(기계코드!$D$4:$D$214,MATCH(1,(C994=기계코드!$F$4:$F$214)*1,0))</f>
        <v>M_TDIF04</v>
      </c>
      <c r="E994" s="92" t="s">
        <v>1128</v>
      </c>
      <c r="F994" s="7" t="str" cm="1">
        <f t="array" ref="F994">INDEX(공급업체코드!$B$3:$B$1000,MATCH(1,(E994=공급업체코드!$D$3:$D$1000)*1,0))</f>
        <v>VM_BKT</v>
      </c>
      <c r="G994" s="18" t="s">
        <v>1881</v>
      </c>
      <c r="H994" s="64"/>
      <c r="I994" s="64"/>
      <c r="J994" s="64"/>
      <c r="K994" s="300">
        <v>1.1000000000000001</v>
      </c>
      <c r="L994" s="300">
        <v>1.3</v>
      </c>
      <c r="M994" s="64">
        <v>951</v>
      </c>
      <c r="N994" s="64"/>
      <c r="O994" s="64"/>
      <c r="P994" s="64"/>
      <c r="Q994" s="64"/>
      <c r="R994" s="70"/>
      <c r="T994" s="64"/>
      <c r="X994">
        <v>0.123</v>
      </c>
      <c r="Y994" s="258" t="s">
        <v>1313</v>
      </c>
      <c r="AA994" s="259" t="s">
        <v>1314</v>
      </c>
      <c r="AB994" s="20" t="s">
        <v>1061</v>
      </c>
      <c r="AC994">
        <f t="shared" si="29"/>
        <v>4755000000</v>
      </c>
      <c r="AE994" s="18" t="s">
        <v>1315</v>
      </c>
      <c r="AF994" s="1" t="b">
        <v>1</v>
      </c>
    </row>
    <row r="995" spans="2:32" ht="16.5" customHeight="1">
      <c r="B995" s="1" t="str">
        <f t="shared" si="28"/>
        <v>M_TDIF04_VM_BKT_1.3_952</v>
      </c>
      <c r="C995" s="92" t="s">
        <v>700</v>
      </c>
      <c r="D995" s="92" t="str" cm="1">
        <f t="array" ref="D995">INDEX(기계코드!$D$4:$D$214,MATCH(1,(C995=기계코드!$F$4:$F$214)*1,0))</f>
        <v>M_TDIF04</v>
      </c>
      <c r="E995" s="92" t="s">
        <v>1128</v>
      </c>
      <c r="F995" s="7" t="str" cm="1">
        <f t="array" ref="F995">INDEX(공급업체코드!$B$3:$B$1000,MATCH(1,(E995=공급업체코드!$D$3:$D$1000)*1,0))</f>
        <v>VM_BKT</v>
      </c>
      <c r="G995" s="18" t="s">
        <v>1881</v>
      </c>
      <c r="H995" s="64"/>
      <c r="I995" s="64"/>
      <c r="J995" s="64"/>
      <c r="K995" s="300">
        <v>1.1000000000000001</v>
      </c>
      <c r="L995" s="300">
        <v>1.3</v>
      </c>
      <c r="M995" s="64">
        <v>952</v>
      </c>
      <c r="N995" s="64"/>
      <c r="O995" s="64"/>
      <c r="P995" s="64"/>
      <c r="Q995" s="64"/>
      <c r="R995" s="70"/>
      <c r="T995" s="64"/>
      <c r="X995">
        <v>0.123</v>
      </c>
      <c r="Y995" s="258" t="s">
        <v>1313</v>
      </c>
      <c r="AA995" s="259" t="s">
        <v>1314</v>
      </c>
      <c r="AB995" s="20" t="s">
        <v>1061</v>
      </c>
      <c r="AC995">
        <f t="shared" si="29"/>
        <v>4760000000</v>
      </c>
      <c r="AE995" s="18" t="s">
        <v>1315</v>
      </c>
      <c r="AF995" s="1" t="b">
        <v>1</v>
      </c>
    </row>
    <row r="996" spans="2:32" ht="16.5" customHeight="1">
      <c r="B996" s="1" t="str">
        <f t="shared" si="28"/>
        <v>M_TDIF04_VM_BKT_1.3_953</v>
      </c>
      <c r="C996" s="92" t="s">
        <v>700</v>
      </c>
      <c r="D996" s="92" t="str" cm="1">
        <f t="array" ref="D996">INDEX(기계코드!$D$4:$D$214,MATCH(1,(C996=기계코드!$F$4:$F$214)*1,0))</f>
        <v>M_TDIF04</v>
      </c>
      <c r="E996" s="92" t="s">
        <v>1128</v>
      </c>
      <c r="F996" s="7" t="str" cm="1">
        <f t="array" ref="F996">INDEX(공급업체코드!$B$3:$B$1000,MATCH(1,(E996=공급업체코드!$D$3:$D$1000)*1,0))</f>
        <v>VM_BKT</v>
      </c>
      <c r="G996" s="18" t="s">
        <v>1881</v>
      </c>
      <c r="H996" s="64"/>
      <c r="I996" s="64"/>
      <c r="J996" s="64"/>
      <c r="K996" s="300">
        <v>1.1000000000000001</v>
      </c>
      <c r="L996" s="300">
        <v>1.3</v>
      </c>
      <c r="M996" s="64">
        <v>953</v>
      </c>
      <c r="N996" s="64"/>
      <c r="O996" s="64"/>
      <c r="P996" s="64"/>
      <c r="Q996" s="64"/>
      <c r="R996" s="70"/>
      <c r="T996" s="64"/>
      <c r="X996">
        <v>0.123</v>
      </c>
      <c r="Y996" s="258" t="s">
        <v>1313</v>
      </c>
      <c r="AA996" s="259" t="s">
        <v>1314</v>
      </c>
      <c r="AB996" s="20" t="s">
        <v>1061</v>
      </c>
      <c r="AC996">
        <f t="shared" si="29"/>
        <v>4765000000</v>
      </c>
      <c r="AE996" s="18" t="s">
        <v>1315</v>
      </c>
      <c r="AF996" s="1" t="b">
        <v>1</v>
      </c>
    </row>
    <row r="997" spans="2:32" ht="16.5" customHeight="1">
      <c r="B997" s="1" t="str">
        <f t="shared" si="28"/>
        <v>M_TDIF04_VM_BKT_1.3_954</v>
      </c>
      <c r="C997" s="92" t="s">
        <v>700</v>
      </c>
      <c r="D997" s="92" t="str" cm="1">
        <f t="array" ref="D997">INDEX(기계코드!$D$4:$D$214,MATCH(1,(C997=기계코드!$F$4:$F$214)*1,0))</f>
        <v>M_TDIF04</v>
      </c>
      <c r="E997" s="92" t="s">
        <v>1128</v>
      </c>
      <c r="F997" s="7" t="str" cm="1">
        <f t="array" ref="F997">INDEX(공급업체코드!$B$3:$B$1000,MATCH(1,(E997=공급업체코드!$D$3:$D$1000)*1,0))</f>
        <v>VM_BKT</v>
      </c>
      <c r="G997" s="18" t="s">
        <v>1881</v>
      </c>
      <c r="H997" s="64"/>
      <c r="I997" s="64"/>
      <c r="J997" s="64"/>
      <c r="K997" s="300">
        <v>1.1000000000000001</v>
      </c>
      <c r="L997" s="300">
        <v>1.3</v>
      </c>
      <c r="M997" s="64">
        <v>954</v>
      </c>
      <c r="N997" s="64"/>
      <c r="O997" s="64"/>
      <c r="P997" s="64"/>
      <c r="Q997" s="64"/>
      <c r="R997" s="70"/>
      <c r="T997" s="64"/>
      <c r="X997">
        <v>0.123</v>
      </c>
      <c r="Y997" s="258" t="s">
        <v>1313</v>
      </c>
      <c r="AA997" s="259" t="s">
        <v>1314</v>
      </c>
      <c r="AB997" s="20" t="s">
        <v>1061</v>
      </c>
      <c r="AC997">
        <f t="shared" si="29"/>
        <v>4770000000</v>
      </c>
      <c r="AE997" s="18" t="s">
        <v>1315</v>
      </c>
      <c r="AF997" s="1" t="b">
        <v>1</v>
      </c>
    </row>
    <row r="998" spans="2:32" ht="16.5" customHeight="1">
      <c r="B998" s="1" t="str">
        <f t="shared" si="28"/>
        <v>M_TDIF04_VM_BKT_1.3_955</v>
      </c>
      <c r="C998" s="92" t="s">
        <v>700</v>
      </c>
      <c r="D998" s="92" t="str" cm="1">
        <f t="array" ref="D998">INDEX(기계코드!$D$4:$D$214,MATCH(1,(C998=기계코드!$F$4:$F$214)*1,0))</f>
        <v>M_TDIF04</v>
      </c>
      <c r="E998" s="92" t="s">
        <v>1128</v>
      </c>
      <c r="F998" s="7" t="str" cm="1">
        <f t="array" ref="F998">INDEX(공급업체코드!$B$3:$B$1000,MATCH(1,(E998=공급업체코드!$D$3:$D$1000)*1,0))</f>
        <v>VM_BKT</v>
      </c>
      <c r="G998" s="18" t="s">
        <v>1881</v>
      </c>
      <c r="H998" s="64"/>
      <c r="I998" s="64"/>
      <c r="J998" s="64"/>
      <c r="K998" s="300">
        <v>1.1000000000000001</v>
      </c>
      <c r="L998" s="300">
        <v>1.3</v>
      </c>
      <c r="M998" s="64">
        <v>955</v>
      </c>
      <c r="N998" s="64"/>
      <c r="O998" s="64"/>
      <c r="P998" s="64"/>
      <c r="Q998" s="64"/>
      <c r="R998" s="70"/>
      <c r="T998" s="64"/>
      <c r="X998">
        <v>0.123</v>
      </c>
      <c r="Y998" s="258" t="s">
        <v>1313</v>
      </c>
      <c r="AA998" s="259" t="s">
        <v>1314</v>
      </c>
      <c r="AB998" s="20" t="s">
        <v>1061</v>
      </c>
      <c r="AC998">
        <f t="shared" si="29"/>
        <v>4775000000</v>
      </c>
      <c r="AE998" s="18" t="s">
        <v>1315</v>
      </c>
      <c r="AF998" s="1" t="b">
        <v>1</v>
      </c>
    </row>
    <row r="999" spans="2:32" ht="16.5" customHeight="1">
      <c r="B999" s="1" t="str">
        <f t="shared" si="28"/>
        <v>M_TDIF04_VM_BKT_1.3_956</v>
      </c>
      <c r="C999" s="92" t="s">
        <v>700</v>
      </c>
      <c r="D999" s="92" t="str" cm="1">
        <f t="array" ref="D999">INDEX(기계코드!$D$4:$D$214,MATCH(1,(C999=기계코드!$F$4:$F$214)*1,0))</f>
        <v>M_TDIF04</v>
      </c>
      <c r="E999" s="92" t="s">
        <v>1128</v>
      </c>
      <c r="F999" s="7" t="str" cm="1">
        <f t="array" ref="F999">INDEX(공급업체코드!$B$3:$B$1000,MATCH(1,(E999=공급업체코드!$D$3:$D$1000)*1,0))</f>
        <v>VM_BKT</v>
      </c>
      <c r="G999" s="18" t="s">
        <v>1881</v>
      </c>
      <c r="H999" s="64"/>
      <c r="I999" s="64"/>
      <c r="J999" s="64"/>
      <c r="K999" s="300">
        <v>1.1000000000000001</v>
      </c>
      <c r="L999" s="300">
        <v>1.3</v>
      </c>
      <c r="M999" s="64">
        <v>956</v>
      </c>
      <c r="N999" s="64"/>
      <c r="O999" s="64"/>
      <c r="P999" s="64"/>
      <c r="Q999" s="64"/>
      <c r="R999" s="70"/>
      <c r="T999" s="64"/>
      <c r="X999">
        <v>0.123</v>
      </c>
      <c r="Y999" s="258" t="s">
        <v>1313</v>
      </c>
      <c r="AA999" s="259" t="s">
        <v>1314</v>
      </c>
      <c r="AB999" s="20" t="s">
        <v>1061</v>
      </c>
      <c r="AC999">
        <f t="shared" si="29"/>
        <v>4780000000</v>
      </c>
      <c r="AE999" s="18" t="s">
        <v>1315</v>
      </c>
      <c r="AF999" s="1" t="b">
        <v>1</v>
      </c>
    </row>
    <row r="1000" spans="2:32" ht="16.5" customHeight="1">
      <c r="B1000" s="1" t="str">
        <f t="shared" si="28"/>
        <v>M_TDIF04_VM_BKT_1.3_957</v>
      </c>
      <c r="C1000" s="92" t="s">
        <v>700</v>
      </c>
      <c r="D1000" s="92" t="str" cm="1">
        <f t="array" ref="D1000">INDEX(기계코드!$D$4:$D$214,MATCH(1,(C1000=기계코드!$F$4:$F$214)*1,0))</f>
        <v>M_TDIF04</v>
      </c>
      <c r="E1000" s="92" t="s">
        <v>1128</v>
      </c>
      <c r="F1000" s="7" t="str" cm="1">
        <f t="array" ref="F1000">INDEX(공급업체코드!$B$3:$B$1000,MATCH(1,(E1000=공급업체코드!$D$3:$D$1000)*1,0))</f>
        <v>VM_BKT</v>
      </c>
      <c r="G1000" s="18" t="s">
        <v>1881</v>
      </c>
      <c r="H1000" s="64"/>
      <c r="I1000" s="64"/>
      <c r="J1000" s="64"/>
      <c r="K1000" s="300">
        <v>1.1000000000000001</v>
      </c>
      <c r="L1000" s="300">
        <v>1.3</v>
      </c>
      <c r="M1000" s="64">
        <v>957</v>
      </c>
      <c r="N1000" s="64"/>
      <c r="O1000" s="64"/>
      <c r="P1000" s="64"/>
      <c r="Q1000" s="64"/>
      <c r="R1000" s="70"/>
      <c r="T1000" s="64"/>
      <c r="X1000">
        <v>0.123</v>
      </c>
      <c r="Y1000" s="258" t="s">
        <v>1313</v>
      </c>
      <c r="AA1000" s="259" t="s">
        <v>1314</v>
      </c>
      <c r="AB1000" s="20" t="s">
        <v>1061</v>
      </c>
      <c r="AC1000">
        <f t="shared" si="29"/>
        <v>4785000000</v>
      </c>
      <c r="AE1000" s="18" t="s">
        <v>1315</v>
      </c>
      <c r="AF1000" s="1" t="b">
        <v>1</v>
      </c>
    </row>
    <row r="1001" spans="2:32" ht="16.5" customHeight="1">
      <c r="B1001" s="1" t="str">
        <f t="shared" si="28"/>
        <v>M_TDIF04_VM_BKT_1.3_958</v>
      </c>
      <c r="C1001" s="92" t="s">
        <v>700</v>
      </c>
      <c r="D1001" s="92" t="str" cm="1">
        <f t="array" ref="D1001">INDEX(기계코드!$D$4:$D$214,MATCH(1,(C1001=기계코드!$F$4:$F$214)*1,0))</f>
        <v>M_TDIF04</v>
      </c>
      <c r="E1001" s="92" t="s">
        <v>1128</v>
      </c>
      <c r="F1001" s="7" t="str" cm="1">
        <f t="array" ref="F1001">INDEX(공급업체코드!$B$3:$B$1000,MATCH(1,(E1001=공급업체코드!$D$3:$D$1000)*1,0))</f>
        <v>VM_BKT</v>
      </c>
      <c r="G1001" s="18" t="s">
        <v>1881</v>
      </c>
      <c r="H1001" s="64"/>
      <c r="I1001" s="64"/>
      <c r="J1001" s="64"/>
      <c r="K1001" s="300">
        <v>1.1000000000000001</v>
      </c>
      <c r="L1001" s="300">
        <v>1.3</v>
      </c>
      <c r="M1001" s="64">
        <v>958</v>
      </c>
      <c r="N1001" s="64"/>
      <c r="O1001" s="64"/>
      <c r="P1001" s="64"/>
      <c r="Q1001" s="64"/>
      <c r="R1001" s="70"/>
      <c r="T1001" s="64"/>
      <c r="X1001">
        <v>0.123</v>
      </c>
      <c r="Y1001" s="258" t="s">
        <v>1313</v>
      </c>
      <c r="AA1001" s="259" t="s">
        <v>1314</v>
      </c>
      <c r="AB1001" s="20" t="s">
        <v>1061</v>
      </c>
      <c r="AC1001">
        <f t="shared" si="29"/>
        <v>4790000000</v>
      </c>
      <c r="AE1001" s="18" t="s">
        <v>1315</v>
      </c>
      <c r="AF1001" s="1" t="b">
        <v>1</v>
      </c>
    </row>
    <row r="1002" spans="2:32" ht="16.5" customHeight="1">
      <c r="B1002" s="1" t="str">
        <f t="shared" si="28"/>
        <v>M_TDIF04_VM_BKT_1.3_959</v>
      </c>
      <c r="C1002" s="92" t="s">
        <v>700</v>
      </c>
      <c r="D1002" s="92" t="str" cm="1">
        <f t="array" ref="D1002">INDEX(기계코드!$D$4:$D$214,MATCH(1,(C1002=기계코드!$F$4:$F$214)*1,0))</f>
        <v>M_TDIF04</v>
      </c>
      <c r="E1002" s="92" t="s">
        <v>1128</v>
      </c>
      <c r="F1002" s="7" t="str" cm="1">
        <f t="array" ref="F1002">INDEX(공급업체코드!$B$3:$B$1000,MATCH(1,(E1002=공급업체코드!$D$3:$D$1000)*1,0))</f>
        <v>VM_BKT</v>
      </c>
      <c r="G1002" s="18" t="s">
        <v>1881</v>
      </c>
      <c r="H1002" s="64"/>
      <c r="I1002" s="64"/>
      <c r="J1002" s="64"/>
      <c r="K1002" s="300">
        <v>1.1000000000000001</v>
      </c>
      <c r="L1002" s="300">
        <v>1.3</v>
      </c>
      <c r="M1002" s="64">
        <v>959</v>
      </c>
      <c r="N1002" s="64"/>
      <c r="O1002" s="64"/>
      <c r="P1002" s="64"/>
      <c r="Q1002" s="64"/>
      <c r="R1002" s="70"/>
      <c r="T1002" s="64"/>
      <c r="X1002">
        <v>0.123</v>
      </c>
      <c r="Y1002" s="258" t="s">
        <v>1313</v>
      </c>
      <c r="AA1002" s="259" t="s">
        <v>1314</v>
      </c>
      <c r="AB1002" s="20" t="s">
        <v>1061</v>
      </c>
      <c r="AC1002">
        <f t="shared" si="29"/>
        <v>4795000000</v>
      </c>
      <c r="AE1002" s="18" t="s">
        <v>1315</v>
      </c>
      <c r="AF1002" s="1" t="b">
        <v>1</v>
      </c>
    </row>
    <row r="1003" spans="2:32" ht="16.5" customHeight="1">
      <c r="B1003" s="1" t="str">
        <f t="shared" si="28"/>
        <v>M_TDIF04_VM_BKT_1.3_960</v>
      </c>
      <c r="C1003" s="92" t="s">
        <v>700</v>
      </c>
      <c r="D1003" s="92" t="str" cm="1">
        <f t="array" ref="D1003">INDEX(기계코드!$D$4:$D$214,MATCH(1,(C1003=기계코드!$F$4:$F$214)*1,0))</f>
        <v>M_TDIF04</v>
      </c>
      <c r="E1003" s="92" t="s">
        <v>1128</v>
      </c>
      <c r="F1003" s="7" t="str" cm="1">
        <f t="array" ref="F1003">INDEX(공급업체코드!$B$3:$B$1000,MATCH(1,(E1003=공급업체코드!$D$3:$D$1000)*1,0))</f>
        <v>VM_BKT</v>
      </c>
      <c r="G1003" s="18" t="s">
        <v>1881</v>
      </c>
      <c r="H1003" s="64"/>
      <c r="I1003" s="64"/>
      <c r="J1003" s="64"/>
      <c r="K1003" s="300">
        <v>1.1000000000000001</v>
      </c>
      <c r="L1003" s="300">
        <v>1.3</v>
      </c>
      <c r="M1003" s="64">
        <v>960</v>
      </c>
      <c r="N1003" s="64"/>
      <c r="O1003" s="64"/>
      <c r="P1003" s="64"/>
      <c r="Q1003" s="64"/>
      <c r="R1003" s="70"/>
      <c r="T1003" s="64"/>
      <c r="X1003">
        <v>0.123</v>
      </c>
      <c r="Y1003" s="258" t="s">
        <v>1313</v>
      </c>
      <c r="AA1003" s="259" t="s">
        <v>1314</v>
      </c>
      <c r="AB1003" s="20" t="s">
        <v>1061</v>
      </c>
      <c r="AC1003">
        <f t="shared" si="29"/>
        <v>4800000000</v>
      </c>
      <c r="AE1003" s="18" t="s">
        <v>1315</v>
      </c>
      <c r="AF1003" s="1" t="b">
        <v>1</v>
      </c>
    </row>
    <row r="1004" spans="2:32" ht="16.5" customHeight="1">
      <c r="B1004" s="1" t="str">
        <f t="shared" si="28"/>
        <v>M_TDIF04_VM_BKT_1.3_961</v>
      </c>
      <c r="C1004" s="92" t="s">
        <v>700</v>
      </c>
      <c r="D1004" s="92" t="str" cm="1">
        <f t="array" ref="D1004">INDEX(기계코드!$D$4:$D$214,MATCH(1,(C1004=기계코드!$F$4:$F$214)*1,0))</f>
        <v>M_TDIF04</v>
      </c>
      <c r="E1004" s="92" t="s">
        <v>1128</v>
      </c>
      <c r="F1004" s="7" t="str" cm="1">
        <f t="array" ref="F1004">INDEX(공급업체코드!$B$3:$B$1000,MATCH(1,(E1004=공급업체코드!$D$3:$D$1000)*1,0))</f>
        <v>VM_BKT</v>
      </c>
      <c r="G1004" s="18" t="s">
        <v>1881</v>
      </c>
      <c r="H1004" s="64"/>
      <c r="I1004" s="64"/>
      <c r="J1004" s="64"/>
      <c r="K1004" s="300">
        <v>1.1000000000000001</v>
      </c>
      <c r="L1004" s="300">
        <v>1.3</v>
      </c>
      <c r="M1004" s="64">
        <v>961</v>
      </c>
      <c r="N1004" s="64"/>
      <c r="O1004" s="64"/>
      <c r="P1004" s="64"/>
      <c r="Q1004" s="64"/>
      <c r="R1004" s="70"/>
      <c r="T1004" s="64"/>
      <c r="X1004">
        <v>0.123</v>
      </c>
      <c r="Y1004" s="258" t="s">
        <v>1313</v>
      </c>
      <c r="AA1004" s="259" t="s">
        <v>1314</v>
      </c>
      <c r="AB1004" s="20" t="s">
        <v>1061</v>
      </c>
      <c r="AC1004">
        <f t="shared" si="29"/>
        <v>4805000000</v>
      </c>
      <c r="AE1004" s="18" t="s">
        <v>1315</v>
      </c>
      <c r="AF1004" s="1" t="b">
        <v>1</v>
      </c>
    </row>
    <row r="1005" spans="2:32" ht="16.5" customHeight="1">
      <c r="B1005" s="1" t="str">
        <f t="shared" ref="B1005:B1043" si="30">D1005&amp;"_"&amp;F1005&amp;"_"&amp;L1005&amp;"_"&amp;M1005</f>
        <v>M_TDIF04_VM_BKT_1.3_962</v>
      </c>
      <c r="C1005" s="92" t="s">
        <v>700</v>
      </c>
      <c r="D1005" s="92" t="str" cm="1">
        <f t="array" ref="D1005">INDEX(기계코드!$D$4:$D$214,MATCH(1,(C1005=기계코드!$F$4:$F$214)*1,0))</f>
        <v>M_TDIF04</v>
      </c>
      <c r="E1005" s="92" t="s">
        <v>1128</v>
      </c>
      <c r="F1005" s="7" t="str" cm="1">
        <f t="array" ref="F1005">INDEX(공급업체코드!$B$3:$B$1000,MATCH(1,(E1005=공급업체코드!$D$3:$D$1000)*1,0))</f>
        <v>VM_BKT</v>
      </c>
      <c r="G1005" s="18" t="s">
        <v>1881</v>
      </c>
      <c r="H1005" s="64"/>
      <c r="I1005" s="64"/>
      <c r="J1005" s="64"/>
      <c r="K1005" s="300">
        <v>1.1000000000000001</v>
      </c>
      <c r="L1005" s="300">
        <v>1.3</v>
      </c>
      <c r="M1005" s="64">
        <v>962</v>
      </c>
      <c r="N1005" s="64"/>
      <c r="O1005" s="64"/>
      <c r="P1005" s="64"/>
      <c r="Q1005" s="64"/>
      <c r="R1005" s="70"/>
      <c r="T1005" s="64"/>
      <c r="X1005">
        <v>0.123</v>
      </c>
      <c r="Y1005" s="258" t="s">
        <v>1313</v>
      </c>
      <c r="AA1005" s="259" t="s">
        <v>1314</v>
      </c>
      <c r="AB1005" s="20" t="s">
        <v>1061</v>
      </c>
      <c r="AC1005">
        <f t="shared" si="29"/>
        <v>4810000000</v>
      </c>
      <c r="AE1005" s="18" t="s">
        <v>1315</v>
      </c>
      <c r="AF1005" s="1" t="b">
        <v>1</v>
      </c>
    </row>
    <row r="1006" spans="2:32" ht="16.5" customHeight="1">
      <c r="B1006" s="1" t="str">
        <f t="shared" si="30"/>
        <v>M_TDIF04_VM_BKT_1.3_963</v>
      </c>
      <c r="C1006" s="92" t="s">
        <v>700</v>
      </c>
      <c r="D1006" s="92" t="str" cm="1">
        <f t="array" ref="D1006">INDEX(기계코드!$D$4:$D$214,MATCH(1,(C1006=기계코드!$F$4:$F$214)*1,0))</f>
        <v>M_TDIF04</v>
      </c>
      <c r="E1006" s="92" t="s">
        <v>1128</v>
      </c>
      <c r="F1006" s="7" t="str" cm="1">
        <f t="array" ref="F1006">INDEX(공급업체코드!$B$3:$B$1000,MATCH(1,(E1006=공급업체코드!$D$3:$D$1000)*1,0))</f>
        <v>VM_BKT</v>
      </c>
      <c r="G1006" s="18" t="s">
        <v>1881</v>
      </c>
      <c r="H1006" s="64"/>
      <c r="I1006" s="64"/>
      <c r="J1006" s="64"/>
      <c r="K1006" s="300">
        <v>1.1000000000000001</v>
      </c>
      <c r="L1006" s="300">
        <v>1.3</v>
      </c>
      <c r="M1006" s="64">
        <v>963</v>
      </c>
      <c r="N1006" s="64"/>
      <c r="O1006" s="64"/>
      <c r="P1006" s="64"/>
      <c r="Q1006" s="64"/>
      <c r="R1006" s="70"/>
      <c r="T1006" s="64"/>
      <c r="X1006">
        <v>0.123</v>
      </c>
      <c r="Y1006" s="258" t="s">
        <v>1313</v>
      </c>
      <c r="AA1006" s="259" t="s">
        <v>1314</v>
      </c>
      <c r="AB1006" s="20" t="s">
        <v>1061</v>
      </c>
      <c r="AC1006">
        <f t="shared" ref="AC1006:AC1043" si="31">M1006*$AC$44</f>
        <v>4815000000</v>
      </c>
      <c r="AE1006" s="18" t="s">
        <v>1315</v>
      </c>
      <c r="AF1006" s="1" t="b">
        <v>1</v>
      </c>
    </row>
    <row r="1007" spans="2:32" ht="16.5" customHeight="1">
      <c r="B1007" s="1" t="str">
        <f t="shared" si="30"/>
        <v>M_TDIF04_VM_BKT_1.3_964</v>
      </c>
      <c r="C1007" s="92" t="s">
        <v>700</v>
      </c>
      <c r="D1007" s="92" t="str" cm="1">
        <f t="array" ref="D1007">INDEX(기계코드!$D$4:$D$214,MATCH(1,(C1007=기계코드!$F$4:$F$214)*1,0))</f>
        <v>M_TDIF04</v>
      </c>
      <c r="E1007" s="92" t="s">
        <v>1128</v>
      </c>
      <c r="F1007" s="7" t="str" cm="1">
        <f t="array" ref="F1007">INDEX(공급업체코드!$B$3:$B$1000,MATCH(1,(E1007=공급업체코드!$D$3:$D$1000)*1,0))</f>
        <v>VM_BKT</v>
      </c>
      <c r="G1007" s="18" t="s">
        <v>1881</v>
      </c>
      <c r="H1007" s="64"/>
      <c r="I1007" s="64"/>
      <c r="J1007" s="64"/>
      <c r="K1007" s="300">
        <v>1.1000000000000001</v>
      </c>
      <c r="L1007" s="300">
        <v>1.3</v>
      </c>
      <c r="M1007" s="64">
        <v>964</v>
      </c>
      <c r="N1007" s="64"/>
      <c r="O1007" s="64"/>
      <c r="P1007" s="64"/>
      <c r="Q1007" s="64"/>
      <c r="R1007" s="70"/>
      <c r="T1007" s="64"/>
      <c r="X1007">
        <v>0.123</v>
      </c>
      <c r="Y1007" s="258" t="s">
        <v>1313</v>
      </c>
      <c r="AA1007" s="259" t="s">
        <v>1314</v>
      </c>
      <c r="AB1007" s="20" t="s">
        <v>1061</v>
      </c>
      <c r="AC1007">
        <f t="shared" si="31"/>
        <v>4820000000</v>
      </c>
      <c r="AE1007" s="18" t="s">
        <v>1315</v>
      </c>
      <c r="AF1007" s="1" t="b">
        <v>1</v>
      </c>
    </row>
    <row r="1008" spans="2:32" ht="16.5" customHeight="1">
      <c r="B1008" s="1" t="str">
        <f t="shared" si="30"/>
        <v>M_TDIF04_VM_BKT_1.3_965</v>
      </c>
      <c r="C1008" s="92" t="s">
        <v>700</v>
      </c>
      <c r="D1008" s="92" t="str" cm="1">
        <f t="array" ref="D1008">INDEX(기계코드!$D$4:$D$214,MATCH(1,(C1008=기계코드!$F$4:$F$214)*1,0))</f>
        <v>M_TDIF04</v>
      </c>
      <c r="E1008" s="92" t="s">
        <v>1128</v>
      </c>
      <c r="F1008" s="7" t="str" cm="1">
        <f t="array" ref="F1008">INDEX(공급업체코드!$B$3:$B$1000,MATCH(1,(E1008=공급업체코드!$D$3:$D$1000)*1,0))</f>
        <v>VM_BKT</v>
      </c>
      <c r="G1008" s="18" t="s">
        <v>1881</v>
      </c>
      <c r="H1008" s="64"/>
      <c r="I1008" s="64"/>
      <c r="J1008" s="64"/>
      <c r="K1008" s="300">
        <v>1.1000000000000001</v>
      </c>
      <c r="L1008" s="300">
        <v>1.3</v>
      </c>
      <c r="M1008" s="64">
        <v>965</v>
      </c>
      <c r="N1008" s="64"/>
      <c r="O1008" s="64"/>
      <c r="P1008" s="64"/>
      <c r="Q1008" s="64"/>
      <c r="R1008" s="70"/>
      <c r="T1008" s="64"/>
      <c r="X1008">
        <v>0.123</v>
      </c>
      <c r="Y1008" s="258" t="s">
        <v>1313</v>
      </c>
      <c r="AA1008" s="259" t="s">
        <v>1314</v>
      </c>
      <c r="AB1008" s="20" t="s">
        <v>1061</v>
      </c>
      <c r="AC1008">
        <f t="shared" si="31"/>
        <v>4825000000</v>
      </c>
      <c r="AE1008" s="18" t="s">
        <v>1315</v>
      </c>
      <c r="AF1008" s="1" t="b">
        <v>1</v>
      </c>
    </row>
    <row r="1009" spans="2:32" ht="16.5" customHeight="1">
      <c r="B1009" s="1" t="str">
        <f t="shared" si="30"/>
        <v>M_TDIF04_VM_BKT_1.3_966</v>
      </c>
      <c r="C1009" s="92" t="s">
        <v>700</v>
      </c>
      <c r="D1009" s="92" t="str" cm="1">
        <f t="array" ref="D1009">INDEX(기계코드!$D$4:$D$214,MATCH(1,(C1009=기계코드!$F$4:$F$214)*1,0))</f>
        <v>M_TDIF04</v>
      </c>
      <c r="E1009" s="92" t="s">
        <v>1128</v>
      </c>
      <c r="F1009" s="7" t="str" cm="1">
        <f t="array" ref="F1009">INDEX(공급업체코드!$B$3:$B$1000,MATCH(1,(E1009=공급업체코드!$D$3:$D$1000)*1,0))</f>
        <v>VM_BKT</v>
      </c>
      <c r="G1009" s="18" t="s">
        <v>1881</v>
      </c>
      <c r="H1009" s="64"/>
      <c r="I1009" s="64"/>
      <c r="J1009" s="64"/>
      <c r="K1009" s="300">
        <v>1.1000000000000001</v>
      </c>
      <c r="L1009" s="300">
        <v>1.3</v>
      </c>
      <c r="M1009" s="64">
        <v>966</v>
      </c>
      <c r="N1009" s="64"/>
      <c r="O1009" s="64"/>
      <c r="P1009" s="64"/>
      <c r="Q1009" s="64"/>
      <c r="R1009" s="70"/>
      <c r="T1009" s="64"/>
      <c r="X1009">
        <v>0.123</v>
      </c>
      <c r="Y1009" s="258" t="s">
        <v>1313</v>
      </c>
      <c r="AA1009" s="259" t="s">
        <v>1314</v>
      </c>
      <c r="AB1009" s="20" t="s">
        <v>1061</v>
      </c>
      <c r="AC1009">
        <f t="shared" si="31"/>
        <v>4830000000</v>
      </c>
      <c r="AE1009" s="18" t="s">
        <v>1315</v>
      </c>
      <c r="AF1009" s="1" t="b">
        <v>1</v>
      </c>
    </row>
    <row r="1010" spans="2:32" ht="16.5" customHeight="1">
      <c r="B1010" s="1" t="str">
        <f t="shared" si="30"/>
        <v>M_TDIF04_VM_BKT_1.3_967</v>
      </c>
      <c r="C1010" s="92" t="s">
        <v>700</v>
      </c>
      <c r="D1010" s="92" t="str" cm="1">
        <f t="array" ref="D1010">INDEX(기계코드!$D$4:$D$214,MATCH(1,(C1010=기계코드!$F$4:$F$214)*1,0))</f>
        <v>M_TDIF04</v>
      </c>
      <c r="E1010" s="92" t="s">
        <v>1128</v>
      </c>
      <c r="F1010" s="7" t="str" cm="1">
        <f t="array" ref="F1010">INDEX(공급업체코드!$B$3:$B$1000,MATCH(1,(E1010=공급업체코드!$D$3:$D$1000)*1,0))</f>
        <v>VM_BKT</v>
      </c>
      <c r="G1010" s="18" t="s">
        <v>1881</v>
      </c>
      <c r="H1010" s="64"/>
      <c r="I1010" s="64"/>
      <c r="J1010" s="64"/>
      <c r="K1010" s="300">
        <v>1.1000000000000001</v>
      </c>
      <c r="L1010" s="300">
        <v>1.3</v>
      </c>
      <c r="M1010" s="64">
        <v>967</v>
      </c>
      <c r="N1010" s="64"/>
      <c r="O1010" s="64"/>
      <c r="P1010" s="64"/>
      <c r="Q1010" s="64"/>
      <c r="R1010" s="70"/>
      <c r="T1010" s="64"/>
      <c r="X1010">
        <v>0.123</v>
      </c>
      <c r="Y1010" s="258" t="s">
        <v>1313</v>
      </c>
      <c r="AA1010" s="259" t="s">
        <v>1314</v>
      </c>
      <c r="AB1010" s="20" t="s">
        <v>1061</v>
      </c>
      <c r="AC1010">
        <f t="shared" si="31"/>
        <v>4835000000</v>
      </c>
      <c r="AE1010" s="18" t="s">
        <v>1315</v>
      </c>
      <c r="AF1010" s="1" t="b">
        <v>1</v>
      </c>
    </row>
    <row r="1011" spans="2:32" ht="16.5" customHeight="1">
      <c r="B1011" s="1" t="str">
        <f t="shared" si="30"/>
        <v>M_TDIF04_VM_BKT_1.3_968</v>
      </c>
      <c r="C1011" s="92" t="s">
        <v>700</v>
      </c>
      <c r="D1011" s="92" t="str" cm="1">
        <f t="array" ref="D1011">INDEX(기계코드!$D$4:$D$214,MATCH(1,(C1011=기계코드!$F$4:$F$214)*1,0))</f>
        <v>M_TDIF04</v>
      </c>
      <c r="E1011" s="92" t="s">
        <v>1128</v>
      </c>
      <c r="F1011" s="7" t="str" cm="1">
        <f t="array" ref="F1011">INDEX(공급업체코드!$B$3:$B$1000,MATCH(1,(E1011=공급업체코드!$D$3:$D$1000)*1,0))</f>
        <v>VM_BKT</v>
      </c>
      <c r="G1011" s="18" t="s">
        <v>1881</v>
      </c>
      <c r="H1011" s="64"/>
      <c r="I1011" s="64"/>
      <c r="J1011" s="64"/>
      <c r="K1011" s="300">
        <v>1.1000000000000001</v>
      </c>
      <c r="L1011" s="300">
        <v>1.3</v>
      </c>
      <c r="M1011" s="64">
        <v>968</v>
      </c>
      <c r="N1011" s="64"/>
      <c r="O1011" s="64"/>
      <c r="P1011" s="64"/>
      <c r="Q1011" s="64"/>
      <c r="R1011" s="70"/>
      <c r="T1011" s="64"/>
      <c r="X1011">
        <v>0.123</v>
      </c>
      <c r="Y1011" s="258" t="s">
        <v>1313</v>
      </c>
      <c r="AA1011" s="259" t="s">
        <v>1314</v>
      </c>
      <c r="AB1011" s="20" t="s">
        <v>1061</v>
      </c>
      <c r="AC1011">
        <f t="shared" si="31"/>
        <v>4840000000</v>
      </c>
      <c r="AE1011" s="18" t="s">
        <v>1315</v>
      </c>
      <c r="AF1011" s="1" t="b">
        <v>1</v>
      </c>
    </row>
    <row r="1012" spans="2:32" ht="16.5" customHeight="1">
      <c r="B1012" s="1" t="str">
        <f t="shared" si="30"/>
        <v>M_TDIF04_VM_BKT_1.3_969</v>
      </c>
      <c r="C1012" s="92" t="s">
        <v>700</v>
      </c>
      <c r="D1012" s="92" t="str" cm="1">
        <f t="array" ref="D1012">INDEX(기계코드!$D$4:$D$214,MATCH(1,(C1012=기계코드!$F$4:$F$214)*1,0))</f>
        <v>M_TDIF04</v>
      </c>
      <c r="E1012" s="92" t="s">
        <v>1128</v>
      </c>
      <c r="F1012" s="7" t="str" cm="1">
        <f t="array" ref="F1012">INDEX(공급업체코드!$B$3:$B$1000,MATCH(1,(E1012=공급업체코드!$D$3:$D$1000)*1,0))</f>
        <v>VM_BKT</v>
      </c>
      <c r="G1012" s="18" t="s">
        <v>1881</v>
      </c>
      <c r="H1012" s="64"/>
      <c r="I1012" s="64"/>
      <c r="J1012" s="64"/>
      <c r="K1012" s="300">
        <v>1.1000000000000001</v>
      </c>
      <c r="L1012" s="300">
        <v>1.3</v>
      </c>
      <c r="M1012" s="64">
        <v>969</v>
      </c>
      <c r="N1012" s="64"/>
      <c r="O1012" s="64"/>
      <c r="P1012" s="64"/>
      <c r="Q1012" s="64"/>
      <c r="R1012" s="70"/>
      <c r="T1012" s="64"/>
      <c r="X1012">
        <v>0.123</v>
      </c>
      <c r="Y1012" s="258" t="s">
        <v>1313</v>
      </c>
      <c r="AA1012" s="259" t="s">
        <v>1314</v>
      </c>
      <c r="AB1012" s="20" t="s">
        <v>1061</v>
      </c>
      <c r="AC1012">
        <f t="shared" si="31"/>
        <v>4845000000</v>
      </c>
      <c r="AE1012" s="18" t="s">
        <v>1315</v>
      </c>
      <c r="AF1012" s="1" t="b">
        <v>1</v>
      </c>
    </row>
    <row r="1013" spans="2:32" ht="16.5" customHeight="1">
      <c r="B1013" s="1" t="str">
        <f t="shared" si="30"/>
        <v>M_TDIF04_VM_BKT_1.3_970</v>
      </c>
      <c r="C1013" s="92" t="s">
        <v>700</v>
      </c>
      <c r="D1013" s="92" t="str" cm="1">
        <f t="array" ref="D1013">INDEX(기계코드!$D$4:$D$214,MATCH(1,(C1013=기계코드!$F$4:$F$214)*1,0))</f>
        <v>M_TDIF04</v>
      </c>
      <c r="E1013" s="92" t="s">
        <v>1128</v>
      </c>
      <c r="F1013" s="7" t="str" cm="1">
        <f t="array" ref="F1013">INDEX(공급업체코드!$B$3:$B$1000,MATCH(1,(E1013=공급업체코드!$D$3:$D$1000)*1,0))</f>
        <v>VM_BKT</v>
      </c>
      <c r="G1013" s="18" t="s">
        <v>1881</v>
      </c>
      <c r="H1013" s="64"/>
      <c r="I1013" s="64"/>
      <c r="J1013" s="64"/>
      <c r="K1013" s="300">
        <v>1.1000000000000001</v>
      </c>
      <c r="L1013" s="300">
        <v>1.3</v>
      </c>
      <c r="M1013" s="64">
        <v>970</v>
      </c>
      <c r="N1013" s="64"/>
      <c r="O1013" s="64"/>
      <c r="P1013" s="64"/>
      <c r="Q1013" s="64"/>
      <c r="R1013" s="70"/>
      <c r="T1013" s="64"/>
      <c r="X1013">
        <v>0.123</v>
      </c>
      <c r="Y1013" s="258" t="s">
        <v>1313</v>
      </c>
      <c r="AA1013" s="259" t="s">
        <v>1314</v>
      </c>
      <c r="AB1013" s="20" t="s">
        <v>1061</v>
      </c>
      <c r="AC1013">
        <f t="shared" si="31"/>
        <v>4850000000</v>
      </c>
      <c r="AE1013" s="18" t="s">
        <v>1315</v>
      </c>
      <c r="AF1013" s="1" t="b">
        <v>1</v>
      </c>
    </row>
    <row r="1014" spans="2:32" ht="16.5" customHeight="1">
      <c r="B1014" s="1" t="str">
        <f t="shared" si="30"/>
        <v>M_TDIF04_VM_BKT_1.3_971</v>
      </c>
      <c r="C1014" s="92" t="s">
        <v>700</v>
      </c>
      <c r="D1014" s="92" t="str" cm="1">
        <f t="array" ref="D1014">INDEX(기계코드!$D$4:$D$214,MATCH(1,(C1014=기계코드!$F$4:$F$214)*1,0))</f>
        <v>M_TDIF04</v>
      </c>
      <c r="E1014" s="92" t="s">
        <v>1128</v>
      </c>
      <c r="F1014" s="7" t="str" cm="1">
        <f t="array" ref="F1014">INDEX(공급업체코드!$B$3:$B$1000,MATCH(1,(E1014=공급업체코드!$D$3:$D$1000)*1,0))</f>
        <v>VM_BKT</v>
      </c>
      <c r="G1014" s="18" t="s">
        <v>1881</v>
      </c>
      <c r="H1014" s="64"/>
      <c r="I1014" s="64"/>
      <c r="J1014" s="64"/>
      <c r="K1014" s="300">
        <v>1.1000000000000001</v>
      </c>
      <c r="L1014" s="300">
        <v>1.3</v>
      </c>
      <c r="M1014" s="64">
        <v>971</v>
      </c>
      <c r="N1014" s="64"/>
      <c r="O1014" s="64"/>
      <c r="P1014" s="64"/>
      <c r="Q1014" s="64"/>
      <c r="R1014" s="70"/>
      <c r="T1014" s="64"/>
      <c r="X1014">
        <v>0.123</v>
      </c>
      <c r="Y1014" s="258" t="s">
        <v>1313</v>
      </c>
      <c r="AA1014" s="259" t="s">
        <v>1314</v>
      </c>
      <c r="AB1014" s="20" t="s">
        <v>1061</v>
      </c>
      <c r="AC1014">
        <f t="shared" si="31"/>
        <v>4855000000</v>
      </c>
      <c r="AE1014" s="18" t="s">
        <v>1315</v>
      </c>
      <c r="AF1014" s="1" t="b">
        <v>1</v>
      </c>
    </row>
    <row r="1015" spans="2:32" ht="16.5" customHeight="1">
      <c r="B1015" s="1" t="str">
        <f t="shared" si="30"/>
        <v>M_TDIF04_VM_BKT_1.3_972</v>
      </c>
      <c r="C1015" s="92" t="s">
        <v>700</v>
      </c>
      <c r="D1015" s="92" t="str" cm="1">
        <f t="array" ref="D1015">INDEX(기계코드!$D$4:$D$214,MATCH(1,(C1015=기계코드!$F$4:$F$214)*1,0))</f>
        <v>M_TDIF04</v>
      </c>
      <c r="E1015" s="92" t="s">
        <v>1128</v>
      </c>
      <c r="F1015" s="7" t="str" cm="1">
        <f t="array" ref="F1015">INDEX(공급업체코드!$B$3:$B$1000,MATCH(1,(E1015=공급업체코드!$D$3:$D$1000)*1,0))</f>
        <v>VM_BKT</v>
      </c>
      <c r="G1015" s="18" t="s">
        <v>1881</v>
      </c>
      <c r="H1015" s="64"/>
      <c r="I1015" s="64"/>
      <c r="J1015" s="64"/>
      <c r="K1015" s="300">
        <v>1.1000000000000001</v>
      </c>
      <c r="L1015" s="300">
        <v>1.3</v>
      </c>
      <c r="M1015" s="64">
        <v>972</v>
      </c>
      <c r="N1015" s="64"/>
      <c r="O1015" s="64"/>
      <c r="P1015" s="64"/>
      <c r="Q1015" s="64"/>
      <c r="R1015" s="70"/>
      <c r="T1015" s="64"/>
      <c r="X1015">
        <v>0.123</v>
      </c>
      <c r="Y1015" s="258" t="s">
        <v>1313</v>
      </c>
      <c r="AA1015" s="259" t="s">
        <v>1314</v>
      </c>
      <c r="AB1015" s="20" t="s">
        <v>1061</v>
      </c>
      <c r="AC1015">
        <f t="shared" si="31"/>
        <v>4860000000</v>
      </c>
      <c r="AE1015" s="18" t="s">
        <v>1315</v>
      </c>
      <c r="AF1015" s="1" t="b">
        <v>1</v>
      </c>
    </row>
    <row r="1016" spans="2:32" ht="16.5" customHeight="1">
      <c r="B1016" s="1" t="str">
        <f t="shared" si="30"/>
        <v>M_TDIF04_VM_BKT_1.3_973</v>
      </c>
      <c r="C1016" s="92" t="s">
        <v>700</v>
      </c>
      <c r="D1016" s="92" t="str" cm="1">
        <f t="array" ref="D1016">INDEX(기계코드!$D$4:$D$214,MATCH(1,(C1016=기계코드!$F$4:$F$214)*1,0))</f>
        <v>M_TDIF04</v>
      </c>
      <c r="E1016" s="92" t="s">
        <v>1128</v>
      </c>
      <c r="F1016" s="7" t="str" cm="1">
        <f t="array" ref="F1016">INDEX(공급업체코드!$B$3:$B$1000,MATCH(1,(E1016=공급업체코드!$D$3:$D$1000)*1,0))</f>
        <v>VM_BKT</v>
      </c>
      <c r="G1016" s="18" t="s">
        <v>1881</v>
      </c>
      <c r="H1016" s="64"/>
      <c r="I1016" s="64"/>
      <c r="J1016" s="64"/>
      <c r="K1016" s="300">
        <v>1.1000000000000001</v>
      </c>
      <c r="L1016" s="300">
        <v>1.3</v>
      </c>
      <c r="M1016" s="64">
        <v>973</v>
      </c>
      <c r="N1016" s="64"/>
      <c r="O1016" s="64"/>
      <c r="P1016" s="64"/>
      <c r="Q1016" s="64"/>
      <c r="R1016" s="70"/>
      <c r="T1016" s="64"/>
      <c r="X1016">
        <v>0.123</v>
      </c>
      <c r="Y1016" s="258" t="s">
        <v>1313</v>
      </c>
      <c r="AA1016" s="259" t="s">
        <v>1314</v>
      </c>
      <c r="AB1016" s="20" t="s">
        <v>1061</v>
      </c>
      <c r="AC1016">
        <f t="shared" si="31"/>
        <v>4865000000</v>
      </c>
      <c r="AE1016" s="18" t="s">
        <v>1315</v>
      </c>
      <c r="AF1016" s="1" t="b">
        <v>1</v>
      </c>
    </row>
    <row r="1017" spans="2:32" ht="16.5" customHeight="1">
      <c r="B1017" s="1" t="str">
        <f t="shared" si="30"/>
        <v>M_TDIF04_VM_BKT_1.3_974</v>
      </c>
      <c r="C1017" s="92" t="s">
        <v>700</v>
      </c>
      <c r="D1017" s="92" t="str" cm="1">
        <f t="array" ref="D1017">INDEX(기계코드!$D$4:$D$214,MATCH(1,(C1017=기계코드!$F$4:$F$214)*1,0))</f>
        <v>M_TDIF04</v>
      </c>
      <c r="E1017" s="92" t="s">
        <v>1128</v>
      </c>
      <c r="F1017" s="7" t="str" cm="1">
        <f t="array" ref="F1017">INDEX(공급업체코드!$B$3:$B$1000,MATCH(1,(E1017=공급업체코드!$D$3:$D$1000)*1,0))</f>
        <v>VM_BKT</v>
      </c>
      <c r="G1017" s="18" t="s">
        <v>1881</v>
      </c>
      <c r="H1017" s="64"/>
      <c r="I1017" s="64"/>
      <c r="J1017" s="64"/>
      <c r="K1017" s="300">
        <v>1.1000000000000001</v>
      </c>
      <c r="L1017" s="300">
        <v>1.3</v>
      </c>
      <c r="M1017" s="64">
        <v>974</v>
      </c>
      <c r="N1017" s="64"/>
      <c r="O1017" s="64"/>
      <c r="P1017" s="64"/>
      <c r="Q1017" s="64"/>
      <c r="R1017" s="70"/>
      <c r="T1017" s="64"/>
      <c r="X1017">
        <v>0.123</v>
      </c>
      <c r="Y1017" s="258" t="s">
        <v>1313</v>
      </c>
      <c r="AA1017" s="259" t="s">
        <v>1314</v>
      </c>
      <c r="AB1017" s="20" t="s">
        <v>1061</v>
      </c>
      <c r="AC1017">
        <f t="shared" si="31"/>
        <v>4870000000</v>
      </c>
      <c r="AE1017" s="18" t="s">
        <v>1315</v>
      </c>
      <c r="AF1017" s="1" t="b">
        <v>1</v>
      </c>
    </row>
    <row r="1018" spans="2:32" ht="16.5" customHeight="1">
      <c r="B1018" s="1" t="str">
        <f t="shared" si="30"/>
        <v>M_TDIF04_VM_BKT_1.3_975</v>
      </c>
      <c r="C1018" s="92" t="s">
        <v>700</v>
      </c>
      <c r="D1018" s="92" t="str" cm="1">
        <f t="array" ref="D1018">INDEX(기계코드!$D$4:$D$214,MATCH(1,(C1018=기계코드!$F$4:$F$214)*1,0))</f>
        <v>M_TDIF04</v>
      </c>
      <c r="E1018" s="92" t="s">
        <v>1128</v>
      </c>
      <c r="F1018" s="7" t="str" cm="1">
        <f t="array" ref="F1018">INDEX(공급업체코드!$B$3:$B$1000,MATCH(1,(E1018=공급업체코드!$D$3:$D$1000)*1,0))</f>
        <v>VM_BKT</v>
      </c>
      <c r="G1018" s="18" t="s">
        <v>1881</v>
      </c>
      <c r="H1018" s="64"/>
      <c r="I1018" s="64"/>
      <c r="J1018" s="64"/>
      <c r="K1018" s="300">
        <v>1.1000000000000001</v>
      </c>
      <c r="L1018" s="300">
        <v>1.3</v>
      </c>
      <c r="M1018" s="64">
        <v>975</v>
      </c>
      <c r="N1018" s="64"/>
      <c r="O1018" s="64"/>
      <c r="P1018" s="64"/>
      <c r="Q1018" s="64"/>
      <c r="R1018" s="70"/>
      <c r="T1018" s="64"/>
      <c r="X1018">
        <v>0.123</v>
      </c>
      <c r="Y1018" s="258" t="s">
        <v>1313</v>
      </c>
      <c r="AA1018" s="259" t="s">
        <v>1314</v>
      </c>
      <c r="AB1018" s="20" t="s">
        <v>1061</v>
      </c>
      <c r="AC1018">
        <f t="shared" si="31"/>
        <v>4875000000</v>
      </c>
      <c r="AE1018" s="18" t="s">
        <v>1315</v>
      </c>
      <c r="AF1018" s="1" t="b">
        <v>1</v>
      </c>
    </row>
    <row r="1019" spans="2:32" ht="16.5" customHeight="1">
      <c r="B1019" s="1" t="str">
        <f t="shared" si="30"/>
        <v>M_TDIF04_VM_BKT_1.3_976</v>
      </c>
      <c r="C1019" s="92" t="s">
        <v>700</v>
      </c>
      <c r="D1019" s="92" t="str" cm="1">
        <f t="array" ref="D1019">INDEX(기계코드!$D$4:$D$214,MATCH(1,(C1019=기계코드!$F$4:$F$214)*1,0))</f>
        <v>M_TDIF04</v>
      </c>
      <c r="E1019" s="92" t="s">
        <v>1128</v>
      </c>
      <c r="F1019" s="7" t="str" cm="1">
        <f t="array" ref="F1019">INDEX(공급업체코드!$B$3:$B$1000,MATCH(1,(E1019=공급업체코드!$D$3:$D$1000)*1,0))</f>
        <v>VM_BKT</v>
      </c>
      <c r="G1019" s="18" t="s">
        <v>1881</v>
      </c>
      <c r="H1019" s="64"/>
      <c r="I1019" s="64"/>
      <c r="J1019" s="64"/>
      <c r="K1019" s="300">
        <v>1.1000000000000001</v>
      </c>
      <c r="L1019" s="300">
        <v>1.3</v>
      </c>
      <c r="M1019" s="64">
        <v>976</v>
      </c>
      <c r="N1019" s="64"/>
      <c r="O1019" s="64"/>
      <c r="P1019" s="64"/>
      <c r="Q1019" s="64"/>
      <c r="R1019" s="70"/>
      <c r="T1019" s="64"/>
      <c r="X1019">
        <v>0.123</v>
      </c>
      <c r="Y1019" s="258" t="s">
        <v>1313</v>
      </c>
      <c r="AA1019" s="259" t="s">
        <v>1314</v>
      </c>
      <c r="AB1019" s="20" t="s">
        <v>1061</v>
      </c>
      <c r="AC1019">
        <f t="shared" si="31"/>
        <v>4880000000</v>
      </c>
      <c r="AE1019" s="18" t="s">
        <v>1315</v>
      </c>
      <c r="AF1019" s="1" t="b">
        <v>1</v>
      </c>
    </row>
    <row r="1020" spans="2:32" ht="16.5" customHeight="1">
      <c r="B1020" s="1" t="str">
        <f t="shared" si="30"/>
        <v>M_TDIF04_VM_BKT_1.3_977</v>
      </c>
      <c r="C1020" s="92" t="s">
        <v>700</v>
      </c>
      <c r="D1020" s="92" t="str" cm="1">
        <f t="array" ref="D1020">INDEX(기계코드!$D$4:$D$214,MATCH(1,(C1020=기계코드!$F$4:$F$214)*1,0))</f>
        <v>M_TDIF04</v>
      </c>
      <c r="E1020" s="92" t="s">
        <v>1128</v>
      </c>
      <c r="F1020" s="7" t="str" cm="1">
        <f t="array" ref="F1020">INDEX(공급업체코드!$B$3:$B$1000,MATCH(1,(E1020=공급업체코드!$D$3:$D$1000)*1,0))</f>
        <v>VM_BKT</v>
      </c>
      <c r="G1020" s="18" t="s">
        <v>1881</v>
      </c>
      <c r="H1020" s="64"/>
      <c r="I1020" s="64"/>
      <c r="J1020" s="64"/>
      <c r="K1020" s="300">
        <v>1.1000000000000001</v>
      </c>
      <c r="L1020" s="300">
        <v>1.3</v>
      </c>
      <c r="M1020" s="64">
        <v>977</v>
      </c>
      <c r="N1020" s="64"/>
      <c r="O1020" s="64"/>
      <c r="P1020" s="64"/>
      <c r="Q1020" s="64"/>
      <c r="R1020" s="70"/>
      <c r="T1020" s="64"/>
      <c r="X1020">
        <v>0.123</v>
      </c>
      <c r="Y1020" s="258" t="s">
        <v>1313</v>
      </c>
      <c r="AA1020" s="259" t="s">
        <v>1314</v>
      </c>
      <c r="AB1020" s="20" t="s">
        <v>1061</v>
      </c>
      <c r="AC1020">
        <f t="shared" si="31"/>
        <v>4885000000</v>
      </c>
      <c r="AE1020" s="18" t="s">
        <v>1315</v>
      </c>
      <c r="AF1020" s="1" t="b">
        <v>1</v>
      </c>
    </row>
    <row r="1021" spans="2:32" ht="16.5" customHeight="1">
      <c r="B1021" s="1" t="str">
        <f t="shared" si="30"/>
        <v>M_TDIF04_VM_BKT_1.3_978</v>
      </c>
      <c r="C1021" s="92" t="s">
        <v>700</v>
      </c>
      <c r="D1021" s="92" t="str" cm="1">
        <f t="array" ref="D1021">INDEX(기계코드!$D$4:$D$214,MATCH(1,(C1021=기계코드!$F$4:$F$214)*1,0))</f>
        <v>M_TDIF04</v>
      </c>
      <c r="E1021" s="92" t="s">
        <v>1128</v>
      </c>
      <c r="F1021" s="7" t="str" cm="1">
        <f t="array" ref="F1021">INDEX(공급업체코드!$B$3:$B$1000,MATCH(1,(E1021=공급업체코드!$D$3:$D$1000)*1,0))</f>
        <v>VM_BKT</v>
      </c>
      <c r="G1021" s="18" t="s">
        <v>1881</v>
      </c>
      <c r="H1021" s="64"/>
      <c r="I1021" s="64"/>
      <c r="J1021" s="64"/>
      <c r="K1021" s="300">
        <v>1.1000000000000001</v>
      </c>
      <c r="L1021" s="300">
        <v>1.3</v>
      </c>
      <c r="M1021" s="64">
        <v>978</v>
      </c>
      <c r="N1021" s="64"/>
      <c r="O1021" s="64"/>
      <c r="P1021" s="64"/>
      <c r="Q1021" s="64"/>
      <c r="R1021" s="70"/>
      <c r="T1021" s="64"/>
      <c r="X1021">
        <v>0.123</v>
      </c>
      <c r="Y1021" s="258" t="s">
        <v>1313</v>
      </c>
      <c r="AA1021" s="259" t="s">
        <v>1314</v>
      </c>
      <c r="AB1021" s="20" t="s">
        <v>1061</v>
      </c>
      <c r="AC1021">
        <f t="shared" si="31"/>
        <v>4890000000</v>
      </c>
      <c r="AE1021" s="18" t="s">
        <v>1315</v>
      </c>
      <c r="AF1021" s="1" t="b">
        <v>1</v>
      </c>
    </row>
    <row r="1022" spans="2:32" ht="16.5" customHeight="1">
      <c r="B1022" s="1" t="str">
        <f t="shared" si="30"/>
        <v>M_TDIF04_VM_BKT_1.3_979</v>
      </c>
      <c r="C1022" s="92" t="s">
        <v>700</v>
      </c>
      <c r="D1022" s="92" t="str" cm="1">
        <f t="array" ref="D1022">INDEX(기계코드!$D$4:$D$214,MATCH(1,(C1022=기계코드!$F$4:$F$214)*1,0))</f>
        <v>M_TDIF04</v>
      </c>
      <c r="E1022" s="92" t="s">
        <v>1128</v>
      </c>
      <c r="F1022" s="7" t="str" cm="1">
        <f t="array" ref="F1022">INDEX(공급업체코드!$B$3:$B$1000,MATCH(1,(E1022=공급업체코드!$D$3:$D$1000)*1,0))</f>
        <v>VM_BKT</v>
      </c>
      <c r="G1022" s="18" t="s">
        <v>1881</v>
      </c>
      <c r="H1022" s="64"/>
      <c r="I1022" s="64"/>
      <c r="J1022" s="64"/>
      <c r="K1022" s="300">
        <v>1.1000000000000001</v>
      </c>
      <c r="L1022" s="300">
        <v>1.3</v>
      </c>
      <c r="M1022" s="64">
        <v>979</v>
      </c>
      <c r="N1022" s="64"/>
      <c r="O1022" s="64"/>
      <c r="P1022" s="64"/>
      <c r="Q1022" s="64"/>
      <c r="R1022" s="70"/>
      <c r="T1022" s="64"/>
      <c r="X1022">
        <v>0.123</v>
      </c>
      <c r="Y1022" s="258" t="s">
        <v>1313</v>
      </c>
      <c r="AA1022" s="259" t="s">
        <v>1314</v>
      </c>
      <c r="AB1022" s="20" t="s">
        <v>1061</v>
      </c>
      <c r="AC1022">
        <f t="shared" si="31"/>
        <v>4895000000</v>
      </c>
      <c r="AE1022" s="18" t="s">
        <v>1315</v>
      </c>
      <c r="AF1022" s="1" t="b">
        <v>1</v>
      </c>
    </row>
    <row r="1023" spans="2:32" ht="16.5" customHeight="1">
      <c r="B1023" s="1" t="str">
        <f t="shared" si="30"/>
        <v>M_TDIF04_VM_BKT_1.3_980</v>
      </c>
      <c r="C1023" s="92" t="s">
        <v>700</v>
      </c>
      <c r="D1023" s="92" t="str" cm="1">
        <f t="array" ref="D1023">INDEX(기계코드!$D$4:$D$214,MATCH(1,(C1023=기계코드!$F$4:$F$214)*1,0))</f>
        <v>M_TDIF04</v>
      </c>
      <c r="E1023" s="92" t="s">
        <v>1128</v>
      </c>
      <c r="F1023" s="7" t="str" cm="1">
        <f t="array" ref="F1023">INDEX(공급업체코드!$B$3:$B$1000,MATCH(1,(E1023=공급업체코드!$D$3:$D$1000)*1,0))</f>
        <v>VM_BKT</v>
      </c>
      <c r="G1023" s="18" t="s">
        <v>1881</v>
      </c>
      <c r="H1023" s="64"/>
      <c r="I1023" s="64"/>
      <c r="J1023" s="64"/>
      <c r="K1023" s="300">
        <v>1.1000000000000001</v>
      </c>
      <c r="L1023" s="300">
        <v>1.3</v>
      </c>
      <c r="M1023" s="64">
        <v>980</v>
      </c>
      <c r="N1023" s="64"/>
      <c r="O1023" s="64"/>
      <c r="P1023" s="64"/>
      <c r="Q1023" s="64"/>
      <c r="R1023" s="70"/>
      <c r="T1023" s="64"/>
      <c r="X1023">
        <v>0.123</v>
      </c>
      <c r="Y1023" s="258" t="s">
        <v>1313</v>
      </c>
      <c r="AA1023" s="259" t="s">
        <v>1314</v>
      </c>
      <c r="AB1023" s="20" t="s">
        <v>1061</v>
      </c>
      <c r="AC1023">
        <f t="shared" si="31"/>
        <v>4900000000</v>
      </c>
      <c r="AE1023" s="18" t="s">
        <v>1315</v>
      </c>
      <c r="AF1023" s="1" t="b">
        <v>1</v>
      </c>
    </row>
    <row r="1024" spans="2:32" ht="16.5" customHeight="1">
      <c r="B1024" s="1" t="str">
        <f t="shared" si="30"/>
        <v>M_TDIF04_VM_BKT_1.3_981</v>
      </c>
      <c r="C1024" s="92" t="s">
        <v>700</v>
      </c>
      <c r="D1024" s="92" t="str" cm="1">
        <f t="array" ref="D1024">INDEX(기계코드!$D$4:$D$214,MATCH(1,(C1024=기계코드!$F$4:$F$214)*1,0))</f>
        <v>M_TDIF04</v>
      </c>
      <c r="E1024" s="92" t="s">
        <v>1128</v>
      </c>
      <c r="F1024" s="7" t="str" cm="1">
        <f t="array" ref="F1024">INDEX(공급업체코드!$B$3:$B$1000,MATCH(1,(E1024=공급업체코드!$D$3:$D$1000)*1,0))</f>
        <v>VM_BKT</v>
      </c>
      <c r="G1024" s="18" t="s">
        <v>1881</v>
      </c>
      <c r="H1024" s="64"/>
      <c r="I1024" s="64"/>
      <c r="J1024" s="64"/>
      <c r="K1024" s="300">
        <v>1.1000000000000001</v>
      </c>
      <c r="L1024" s="300">
        <v>1.3</v>
      </c>
      <c r="M1024" s="64">
        <v>981</v>
      </c>
      <c r="N1024" s="64"/>
      <c r="O1024" s="64"/>
      <c r="P1024" s="64"/>
      <c r="Q1024" s="64"/>
      <c r="R1024" s="70"/>
      <c r="T1024" s="64"/>
      <c r="X1024">
        <v>0.123</v>
      </c>
      <c r="Y1024" s="258" t="s">
        <v>1313</v>
      </c>
      <c r="AA1024" s="259" t="s">
        <v>1314</v>
      </c>
      <c r="AB1024" s="20" t="s">
        <v>1061</v>
      </c>
      <c r="AC1024">
        <f t="shared" si="31"/>
        <v>4905000000</v>
      </c>
      <c r="AE1024" s="18" t="s">
        <v>1315</v>
      </c>
      <c r="AF1024" s="1" t="b">
        <v>1</v>
      </c>
    </row>
    <row r="1025" spans="2:32" ht="16.5" customHeight="1">
      <c r="B1025" s="1" t="str">
        <f t="shared" si="30"/>
        <v>M_TDIF04_VM_BKT_1.3_982</v>
      </c>
      <c r="C1025" s="92" t="s">
        <v>700</v>
      </c>
      <c r="D1025" s="92" t="str" cm="1">
        <f t="array" ref="D1025">INDEX(기계코드!$D$4:$D$214,MATCH(1,(C1025=기계코드!$F$4:$F$214)*1,0))</f>
        <v>M_TDIF04</v>
      </c>
      <c r="E1025" s="92" t="s">
        <v>1128</v>
      </c>
      <c r="F1025" s="7" t="str" cm="1">
        <f t="array" ref="F1025">INDEX(공급업체코드!$B$3:$B$1000,MATCH(1,(E1025=공급업체코드!$D$3:$D$1000)*1,0))</f>
        <v>VM_BKT</v>
      </c>
      <c r="G1025" s="18" t="s">
        <v>1881</v>
      </c>
      <c r="H1025" s="64"/>
      <c r="I1025" s="64"/>
      <c r="J1025" s="64"/>
      <c r="K1025" s="300">
        <v>1.1000000000000001</v>
      </c>
      <c r="L1025" s="300">
        <v>1.3</v>
      </c>
      <c r="M1025" s="64">
        <v>982</v>
      </c>
      <c r="N1025" s="64"/>
      <c r="O1025" s="64"/>
      <c r="P1025" s="64"/>
      <c r="Q1025" s="64"/>
      <c r="R1025" s="70"/>
      <c r="T1025" s="64"/>
      <c r="X1025">
        <v>0.123</v>
      </c>
      <c r="Y1025" s="258" t="s">
        <v>1313</v>
      </c>
      <c r="AA1025" s="259" t="s">
        <v>1314</v>
      </c>
      <c r="AB1025" s="20" t="s">
        <v>1061</v>
      </c>
      <c r="AC1025">
        <f t="shared" si="31"/>
        <v>4910000000</v>
      </c>
      <c r="AE1025" s="18" t="s">
        <v>1315</v>
      </c>
      <c r="AF1025" s="1" t="b">
        <v>1</v>
      </c>
    </row>
    <row r="1026" spans="2:32" ht="16.5" customHeight="1">
      <c r="B1026" s="1" t="str">
        <f t="shared" si="30"/>
        <v>M_TDIF04_VM_BKT_1.3_983</v>
      </c>
      <c r="C1026" s="92" t="s">
        <v>700</v>
      </c>
      <c r="D1026" s="92" t="str" cm="1">
        <f t="array" ref="D1026">INDEX(기계코드!$D$4:$D$214,MATCH(1,(C1026=기계코드!$F$4:$F$214)*1,0))</f>
        <v>M_TDIF04</v>
      </c>
      <c r="E1026" s="92" t="s">
        <v>1128</v>
      </c>
      <c r="F1026" s="7" t="str" cm="1">
        <f t="array" ref="F1026">INDEX(공급업체코드!$B$3:$B$1000,MATCH(1,(E1026=공급업체코드!$D$3:$D$1000)*1,0))</f>
        <v>VM_BKT</v>
      </c>
      <c r="G1026" s="18" t="s">
        <v>1881</v>
      </c>
      <c r="H1026" s="64"/>
      <c r="I1026" s="64"/>
      <c r="J1026" s="64"/>
      <c r="K1026" s="300">
        <v>1.1000000000000001</v>
      </c>
      <c r="L1026" s="300">
        <v>1.3</v>
      </c>
      <c r="M1026" s="64">
        <v>983</v>
      </c>
      <c r="N1026" s="64"/>
      <c r="O1026" s="64"/>
      <c r="P1026" s="64"/>
      <c r="Q1026" s="64"/>
      <c r="R1026" s="70"/>
      <c r="T1026" s="64"/>
      <c r="X1026">
        <v>0.123</v>
      </c>
      <c r="Y1026" s="258" t="s">
        <v>1313</v>
      </c>
      <c r="AA1026" s="259" t="s">
        <v>1314</v>
      </c>
      <c r="AB1026" s="20" t="s">
        <v>1061</v>
      </c>
      <c r="AC1026">
        <f t="shared" si="31"/>
        <v>4915000000</v>
      </c>
      <c r="AE1026" s="18" t="s">
        <v>1315</v>
      </c>
      <c r="AF1026" s="1" t="b">
        <v>1</v>
      </c>
    </row>
    <row r="1027" spans="2:32" ht="16.5" customHeight="1">
      <c r="B1027" s="1" t="str">
        <f t="shared" si="30"/>
        <v>M_TDIF04_VM_BKT_1.3_984</v>
      </c>
      <c r="C1027" s="92" t="s">
        <v>700</v>
      </c>
      <c r="D1027" s="92" t="str" cm="1">
        <f t="array" ref="D1027">INDEX(기계코드!$D$4:$D$214,MATCH(1,(C1027=기계코드!$F$4:$F$214)*1,0))</f>
        <v>M_TDIF04</v>
      </c>
      <c r="E1027" s="92" t="s">
        <v>1128</v>
      </c>
      <c r="F1027" s="7" t="str" cm="1">
        <f t="array" ref="F1027">INDEX(공급업체코드!$B$3:$B$1000,MATCH(1,(E1027=공급업체코드!$D$3:$D$1000)*1,0))</f>
        <v>VM_BKT</v>
      </c>
      <c r="G1027" s="18" t="s">
        <v>1881</v>
      </c>
      <c r="H1027" s="64"/>
      <c r="I1027" s="64"/>
      <c r="J1027" s="64"/>
      <c r="K1027" s="300">
        <v>1.1000000000000001</v>
      </c>
      <c r="L1027" s="300">
        <v>1.3</v>
      </c>
      <c r="M1027" s="64">
        <v>984</v>
      </c>
      <c r="N1027" s="64"/>
      <c r="O1027" s="64"/>
      <c r="P1027" s="64"/>
      <c r="Q1027" s="64"/>
      <c r="R1027" s="70"/>
      <c r="T1027" s="64"/>
      <c r="X1027">
        <v>0.123</v>
      </c>
      <c r="Y1027" s="258" t="s">
        <v>1313</v>
      </c>
      <c r="AA1027" s="259" t="s">
        <v>1314</v>
      </c>
      <c r="AB1027" s="20" t="s">
        <v>1061</v>
      </c>
      <c r="AC1027">
        <f t="shared" si="31"/>
        <v>4920000000</v>
      </c>
      <c r="AE1027" s="18" t="s">
        <v>1315</v>
      </c>
      <c r="AF1027" s="1" t="b">
        <v>1</v>
      </c>
    </row>
    <row r="1028" spans="2:32" ht="16.5" customHeight="1">
      <c r="B1028" s="1" t="str">
        <f t="shared" si="30"/>
        <v>M_TDIF04_VM_BKT_1.3_985</v>
      </c>
      <c r="C1028" s="92" t="s">
        <v>700</v>
      </c>
      <c r="D1028" s="92" t="str" cm="1">
        <f t="array" ref="D1028">INDEX(기계코드!$D$4:$D$214,MATCH(1,(C1028=기계코드!$F$4:$F$214)*1,0))</f>
        <v>M_TDIF04</v>
      </c>
      <c r="E1028" s="92" t="s">
        <v>1128</v>
      </c>
      <c r="F1028" s="7" t="str" cm="1">
        <f t="array" ref="F1028">INDEX(공급업체코드!$B$3:$B$1000,MATCH(1,(E1028=공급업체코드!$D$3:$D$1000)*1,0))</f>
        <v>VM_BKT</v>
      </c>
      <c r="G1028" s="18" t="s">
        <v>1881</v>
      </c>
      <c r="H1028" s="64"/>
      <c r="I1028" s="64"/>
      <c r="J1028" s="64"/>
      <c r="K1028" s="300">
        <v>1.1000000000000001</v>
      </c>
      <c r="L1028" s="300">
        <v>1.3</v>
      </c>
      <c r="M1028" s="64">
        <v>985</v>
      </c>
      <c r="N1028" s="64"/>
      <c r="O1028" s="64"/>
      <c r="P1028" s="64"/>
      <c r="Q1028" s="64"/>
      <c r="R1028" s="70"/>
      <c r="T1028" s="64"/>
      <c r="X1028">
        <v>0.123</v>
      </c>
      <c r="Y1028" s="258" t="s">
        <v>1313</v>
      </c>
      <c r="AA1028" s="259" t="s">
        <v>1314</v>
      </c>
      <c r="AB1028" s="20" t="s">
        <v>1061</v>
      </c>
      <c r="AC1028">
        <f t="shared" si="31"/>
        <v>4925000000</v>
      </c>
      <c r="AE1028" s="18" t="s">
        <v>1315</v>
      </c>
      <c r="AF1028" s="1" t="b">
        <v>1</v>
      </c>
    </row>
    <row r="1029" spans="2:32" ht="16.5" customHeight="1">
      <c r="B1029" s="1" t="str">
        <f t="shared" si="30"/>
        <v>M_TDIF04_VM_BKT_1.3_986</v>
      </c>
      <c r="C1029" s="92" t="s">
        <v>700</v>
      </c>
      <c r="D1029" s="92" t="str" cm="1">
        <f t="array" ref="D1029">INDEX(기계코드!$D$4:$D$214,MATCH(1,(C1029=기계코드!$F$4:$F$214)*1,0))</f>
        <v>M_TDIF04</v>
      </c>
      <c r="E1029" s="92" t="s">
        <v>1128</v>
      </c>
      <c r="F1029" s="7" t="str" cm="1">
        <f t="array" ref="F1029">INDEX(공급업체코드!$B$3:$B$1000,MATCH(1,(E1029=공급업체코드!$D$3:$D$1000)*1,0))</f>
        <v>VM_BKT</v>
      </c>
      <c r="G1029" s="18" t="s">
        <v>1881</v>
      </c>
      <c r="H1029" s="64"/>
      <c r="I1029" s="64"/>
      <c r="J1029" s="64"/>
      <c r="K1029" s="300">
        <v>1.1000000000000001</v>
      </c>
      <c r="L1029" s="300">
        <v>1.3</v>
      </c>
      <c r="M1029" s="64">
        <v>986</v>
      </c>
      <c r="N1029" s="64"/>
      <c r="O1029" s="64"/>
      <c r="P1029" s="64"/>
      <c r="Q1029" s="64"/>
      <c r="R1029" s="70"/>
      <c r="T1029" s="64"/>
      <c r="X1029">
        <v>0.123</v>
      </c>
      <c r="Y1029" s="258" t="s">
        <v>1313</v>
      </c>
      <c r="AA1029" s="259" t="s">
        <v>1314</v>
      </c>
      <c r="AB1029" s="20" t="s">
        <v>1061</v>
      </c>
      <c r="AC1029">
        <f t="shared" si="31"/>
        <v>4930000000</v>
      </c>
      <c r="AE1029" s="18" t="s">
        <v>1315</v>
      </c>
      <c r="AF1029" s="1" t="b">
        <v>1</v>
      </c>
    </row>
    <row r="1030" spans="2:32" ht="16.5" customHeight="1">
      <c r="B1030" s="1" t="str">
        <f t="shared" si="30"/>
        <v>M_TDIF04_VM_BKT_1.3_987</v>
      </c>
      <c r="C1030" s="92" t="s">
        <v>700</v>
      </c>
      <c r="D1030" s="92" t="str" cm="1">
        <f t="array" ref="D1030">INDEX(기계코드!$D$4:$D$214,MATCH(1,(C1030=기계코드!$F$4:$F$214)*1,0))</f>
        <v>M_TDIF04</v>
      </c>
      <c r="E1030" s="92" t="s">
        <v>1128</v>
      </c>
      <c r="F1030" s="7" t="str" cm="1">
        <f t="array" ref="F1030">INDEX(공급업체코드!$B$3:$B$1000,MATCH(1,(E1030=공급업체코드!$D$3:$D$1000)*1,0))</f>
        <v>VM_BKT</v>
      </c>
      <c r="G1030" s="18" t="s">
        <v>1881</v>
      </c>
      <c r="H1030" s="64"/>
      <c r="I1030" s="64"/>
      <c r="J1030" s="64"/>
      <c r="K1030" s="300">
        <v>1.1000000000000001</v>
      </c>
      <c r="L1030" s="300">
        <v>1.3</v>
      </c>
      <c r="M1030" s="64">
        <v>987</v>
      </c>
      <c r="N1030" s="64"/>
      <c r="O1030" s="64"/>
      <c r="P1030" s="64"/>
      <c r="Q1030" s="64"/>
      <c r="R1030" s="70"/>
      <c r="T1030" s="64"/>
      <c r="X1030">
        <v>0.123</v>
      </c>
      <c r="Y1030" s="258" t="s">
        <v>1313</v>
      </c>
      <c r="AA1030" s="259" t="s">
        <v>1314</v>
      </c>
      <c r="AB1030" s="20" t="s">
        <v>1061</v>
      </c>
      <c r="AC1030">
        <f t="shared" si="31"/>
        <v>4935000000</v>
      </c>
      <c r="AE1030" s="18" t="s">
        <v>1315</v>
      </c>
      <c r="AF1030" s="1" t="b">
        <v>1</v>
      </c>
    </row>
    <row r="1031" spans="2:32" ht="16.5" customHeight="1">
      <c r="B1031" s="1" t="str">
        <f t="shared" si="30"/>
        <v>M_TDIF04_VM_BKT_1.3_988</v>
      </c>
      <c r="C1031" s="92" t="s">
        <v>700</v>
      </c>
      <c r="D1031" s="92" t="str" cm="1">
        <f t="array" ref="D1031">INDEX(기계코드!$D$4:$D$214,MATCH(1,(C1031=기계코드!$F$4:$F$214)*1,0))</f>
        <v>M_TDIF04</v>
      </c>
      <c r="E1031" s="92" t="s">
        <v>1128</v>
      </c>
      <c r="F1031" s="7" t="str" cm="1">
        <f t="array" ref="F1031">INDEX(공급업체코드!$B$3:$B$1000,MATCH(1,(E1031=공급업체코드!$D$3:$D$1000)*1,0))</f>
        <v>VM_BKT</v>
      </c>
      <c r="G1031" s="18" t="s">
        <v>1881</v>
      </c>
      <c r="H1031" s="64"/>
      <c r="I1031" s="64"/>
      <c r="J1031" s="64"/>
      <c r="K1031" s="300">
        <v>1.1000000000000001</v>
      </c>
      <c r="L1031" s="300">
        <v>1.3</v>
      </c>
      <c r="M1031" s="64">
        <v>988</v>
      </c>
      <c r="N1031" s="64"/>
      <c r="O1031" s="64"/>
      <c r="P1031" s="64"/>
      <c r="Q1031" s="64"/>
      <c r="R1031" s="70"/>
      <c r="T1031" s="64"/>
      <c r="X1031">
        <v>0.123</v>
      </c>
      <c r="Y1031" s="258" t="s">
        <v>1313</v>
      </c>
      <c r="AA1031" s="259" t="s">
        <v>1314</v>
      </c>
      <c r="AB1031" s="20" t="s">
        <v>1061</v>
      </c>
      <c r="AC1031">
        <f t="shared" si="31"/>
        <v>4940000000</v>
      </c>
      <c r="AE1031" s="18" t="s">
        <v>1315</v>
      </c>
      <c r="AF1031" s="1" t="b">
        <v>1</v>
      </c>
    </row>
    <row r="1032" spans="2:32" ht="16.5" customHeight="1">
      <c r="B1032" s="1" t="str">
        <f t="shared" si="30"/>
        <v>M_TDIF04_VM_BKT_1.3_989</v>
      </c>
      <c r="C1032" s="92" t="s">
        <v>700</v>
      </c>
      <c r="D1032" s="92" t="str" cm="1">
        <f t="array" ref="D1032">INDEX(기계코드!$D$4:$D$214,MATCH(1,(C1032=기계코드!$F$4:$F$214)*1,0))</f>
        <v>M_TDIF04</v>
      </c>
      <c r="E1032" s="92" t="s">
        <v>1128</v>
      </c>
      <c r="F1032" s="7" t="str" cm="1">
        <f t="array" ref="F1032">INDEX(공급업체코드!$B$3:$B$1000,MATCH(1,(E1032=공급업체코드!$D$3:$D$1000)*1,0))</f>
        <v>VM_BKT</v>
      </c>
      <c r="G1032" s="18" t="s">
        <v>1881</v>
      </c>
      <c r="H1032" s="64"/>
      <c r="I1032" s="64"/>
      <c r="J1032" s="64"/>
      <c r="K1032" s="300">
        <v>1.1000000000000001</v>
      </c>
      <c r="L1032" s="300">
        <v>1.3</v>
      </c>
      <c r="M1032" s="64">
        <v>989</v>
      </c>
      <c r="N1032" s="64"/>
      <c r="O1032" s="64"/>
      <c r="P1032" s="64"/>
      <c r="Q1032" s="64"/>
      <c r="R1032" s="70"/>
      <c r="T1032" s="64"/>
      <c r="X1032">
        <v>0.123</v>
      </c>
      <c r="Y1032" s="258" t="s">
        <v>1313</v>
      </c>
      <c r="AA1032" s="259" t="s">
        <v>1314</v>
      </c>
      <c r="AB1032" s="20" t="s">
        <v>1061</v>
      </c>
      <c r="AC1032">
        <f t="shared" si="31"/>
        <v>4945000000</v>
      </c>
      <c r="AE1032" s="18" t="s">
        <v>1315</v>
      </c>
      <c r="AF1032" s="1" t="b">
        <v>1</v>
      </c>
    </row>
    <row r="1033" spans="2:32" ht="16.5" customHeight="1">
      <c r="B1033" s="1" t="str">
        <f t="shared" si="30"/>
        <v>M_TDIF04_VM_BKT_1.3_990</v>
      </c>
      <c r="C1033" s="92" t="s">
        <v>700</v>
      </c>
      <c r="D1033" s="92" t="str" cm="1">
        <f t="array" ref="D1033">INDEX(기계코드!$D$4:$D$214,MATCH(1,(C1033=기계코드!$F$4:$F$214)*1,0))</f>
        <v>M_TDIF04</v>
      </c>
      <c r="E1033" s="92" t="s">
        <v>1128</v>
      </c>
      <c r="F1033" s="7" t="str" cm="1">
        <f t="array" ref="F1033">INDEX(공급업체코드!$B$3:$B$1000,MATCH(1,(E1033=공급업체코드!$D$3:$D$1000)*1,0))</f>
        <v>VM_BKT</v>
      </c>
      <c r="G1033" s="18" t="s">
        <v>1881</v>
      </c>
      <c r="H1033" s="64"/>
      <c r="I1033" s="64"/>
      <c r="J1033" s="64"/>
      <c r="K1033" s="300">
        <v>1.1000000000000001</v>
      </c>
      <c r="L1033" s="300">
        <v>1.3</v>
      </c>
      <c r="M1033" s="64">
        <v>990</v>
      </c>
      <c r="N1033" s="64"/>
      <c r="O1033" s="64"/>
      <c r="P1033" s="64"/>
      <c r="Q1033" s="64"/>
      <c r="R1033" s="70"/>
      <c r="T1033" s="64"/>
      <c r="X1033">
        <v>0.123</v>
      </c>
      <c r="Y1033" s="258" t="s">
        <v>1313</v>
      </c>
      <c r="AA1033" s="259" t="s">
        <v>1314</v>
      </c>
      <c r="AB1033" s="20" t="s">
        <v>1061</v>
      </c>
      <c r="AC1033">
        <f t="shared" si="31"/>
        <v>4950000000</v>
      </c>
      <c r="AE1033" s="18" t="s">
        <v>1315</v>
      </c>
      <c r="AF1033" s="1" t="b">
        <v>1</v>
      </c>
    </row>
    <row r="1034" spans="2:32" ht="16.5" customHeight="1">
      <c r="B1034" s="1" t="str">
        <f t="shared" si="30"/>
        <v>M_TDIF04_VM_BKT_1.3_991</v>
      </c>
      <c r="C1034" s="92" t="s">
        <v>700</v>
      </c>
      <c r="D1034" s="92" t="str" cm="1">
        <f t="array" ref="D1034">INDEX(기계코드!$D$4:$D$214,MATCH(1,(C1034=기계코드!$F$4:$F$214)*1,0))</f>
        <v>M_TDIF04</v>
      </c>
      <c r="E1034" s="92" t="s">
        <v>1128</v>
      </c>
      <c r="F1034" s="7" t="str" cm="1">
        <f t="array" ref="F1034">INDEX(공급업체코드!$B$3:$B$1000,MATCH(1,(E1034=공급업체코드!$D$3:$D$1000)*1,0))</f>
        <v>VM_BKT</v>
      </c>
      <c r="G1034" s="18" t="s">
        <v>1881</v>
      </c>
      <c r="H1034" s="64"/>
      <c r="I1034" s="64"/>
      <c r="J1034" s="64"/>
      <c r="K1034" s="300">
        <v>1.1000000000000001</v>
      </c>
      <c r="L1034" s="300">
        <v>1.3</v>
      </c>
      <c r="M1034" s="64">
        <v>991</v>
      </c>
      <c r="N1034" s="64"/>
      <c r="O1034" s="64"/>
      <c r="P1034" s="64"/>
      <c r="Q1034" s="64"/>
      <c r="R1034" s="70"/>
      <c r="T1034" s="64"/>
      <c r="X1034">
        <v>0.123</v>
      </c>
      <c r="Y1034" s="258" t="s">
        <v>1313</v>
      </c>
      <c r="AA1034" s="259" t="s">
        <v>1314</v>
      </c>
      <c r="AB1034" s="20" t="s">
        <v>1061</v>
      </c>
      <c r="AC1034">
        <f t="shared" si="31"/>
        <v>4955000000</v>
      </c>
      <c r="AE1034" s="18" t="s">
        <v>1315</v>
      </c>
      <c r="AF1034" s="1" t="b">
        <v>1</v>
      </c>
    </row>
    <row r="1035" spans="2:32" ht="16.5" customHeight="1">
      <c r="B1035" s="1" t="str">
        <f t="shared" si="30"/>
        <v>M_TDIF04_VM_BKT_1.3_992</v>
      </c>
      <c r="C1035" s="92" t="s">
        <v>700</v>
      </c>
      <c r="D1035" s="92" t="str" cm="1">
        <f t="array" ref="D1035">INDEX(기계코드!$D$4:$D$214,MATCH(1,(C1035=기계코드!$F$4:$F$214)*1,0))</f>
        <v>M_TDIF04</v>
      </c>
      <c r="E1035" s="92" t="s">
        <v>1128</v>
      </c>
      <c r="F1035" s="7" t="str" cm="1">
        <f t="array" ref="F1035">INDEX(공급업체코드!$B$3:$B$1000,MATCH(1,(E1035=공급업체코드!$D$3:$D$1000)*1,0))</f>
        <v>VM_BKT</v>
      </c>
      <c r="G1035" s="18" t="s">
        <v>1881</v>
      </c>
      <c r="H1035" s="64"/>
      <c r="I1035" s="64"/>
      <c r="J1035" s="64"/>
      <c r="K1035" s="300">
        <v>1.1000000000000001</v>
      </c>
      <c r="L1035" s="300">
        <v>1.3</v>
      </c>
      <c r="M1035" s="64">
        <v>992</v>
      </c>
      <c r="N1035" s="64"/>
      <c r="O1035" s="64"/>
      <c r="P1035" s="64"/>
      <c r="Q1035" s="64"/>
      <c r="R1035" s="70"/>
      <c r="T1035" s="64"/>
      <c r="X1035">
        <v>0.123</v>
      </c>
      <c r="Y1035" s="258" t="s">
        <v>1313</v>
      </c>
      <c r="AA1035" s="259" t="s">
        <v>1314</v>
      </c>
      <c r="AB1035" s="20" t="s">
        <v>1061</v>
      </c>
      <c r="AC1035">
        <f t="shared" si="31"/>
        <v>4960000000</v>
      </c>
      <c r="AE1035" s="18" t="s">
        <v>1315</v>
      </c>
      <c r="AF1035" s="1" t="b">
        <v>1</v>
      </c>
    </row>
    <row r="1036" spans="2:32" ht="16.5" customHeight="1">
      <c r="B1036" s="1" t="str">
        <f t="shared" si="30"/>
        <v>M_TDIF04_VM_BKT_1.3_993</v>
      </c>
      <c r="C1036" s="92" t="s">
        <v>700</v>
      </c>
      <c r="D1036" s="92" t="str" cm="1">
        <f t="array" ref="D1036">INDEX(기계코드!$D$4:$D$214,MATCH(1,(C1036=기계코드!$F$4:$F$214)*1,0))</f>
        <v>M_TDIF04</v>
      </c>
      <c r="E1036" s="92" t="s">
        <v>1128</v>
      </c>
      <c r="F1036" s="7" t="str" cm="1">
        <f t="array" ref="F1036">INDEX(공급업체코드!$B$3:$B$1000,MATCH(1,(E1036=공급업체코드!$D$3:$D$1000)*1,0))</f>
        <v>VM_BKT</v>
      </c>
      <c r="G1036" s="18" t="s">
        <v>1881</v>
      </c>
      <c r="H1036" s="64"/>
      <c r="I1036" s="64"/>
      <c r="J1036" s="64"/>
      <c r="K1036" s="300">
        <v>1.1000000000000001</v>
      </c>
      <c r="L1036" s="300">
        <v>1.3</v>
      </c>
      <c r="M1036" s="64">
        <v>993</v>
      </c>
      <c r="N1036" s="64"/>
      <c r="O1036" s="64"/>
      <c r="P1036" s="64"/>
      <c r="Q1036" s="64"/>
      <c r="R1036" s="70"/>
      <c r="T1036" s="64"/>
      <c r="X1036">
        <v>0.123</v>
      </c>
      <c r="Y1036" s="258" t="s">
        <v>1313</v>
      </c>
      <c r="AA1036" s="259" t="s">
        <v>1314</v>
      </c>
      <c r="AB1036" s="20" t="s">
        <v>1061</v>
      </c>
      <c r="AC1036">
        <f t="shared" si="31"/>
        <v>4965000000</v>
      </c>
      <c r="AE1036" s="18" t="s">
        <v>1315</v>
      </c>
      <c r="AF1036" s="1" t="b">
        <v>1</v>
      </c>
    </row>
    <row r="1037" spans="2:32" ht="16.5" customHeight="1">
      <c r="B1037" s="1" t="str">
        <f t="shared" si="30"/>
        <v>M_TDIF04_VM_BKT_1.3_994</v>
      </c>
      <c r="C1037" s="92" t="s">
        <v>700</v>
      </c>
      <c r="D1037" s="92" t="str" cm="1">
        <f t="array" ref="D1037">INDEX(기계코드!$D$4:$D$214,MATCH(1,(C1037=기계코드!$F$4:$F$214)*1,0))</f>
        <v>M_TDIF04</v>
      </c>
      <c r="E1037" s="92" t="s">
        <v>1128</v>
      </c>
      <c r="F1037" s="7" t="str" cm="1">
        <f t="array" ref="F1037">INDEX(공급업체코드!$B$3:$B$1000,MATCH(1,(E1037=공급업체코드!$D$3:$D$1000)*1,0))</f>
        <v>VM_BKT</v>
      </c>
      <c r="G1037" s="18" t="s">
        <v>1881</v>
      </c>
      <c r="H1037" s="64"/>
      <c r="I1037" s="64"/>
      <c r="J1037" s="64"/>
      <c r="K1037" s="300">
        <v>1.1000000000000001</v>
      </c>
      <c r="L1037" s="300">
        <v>1.3</v>
      </c>
      <c r="M1037" s="64">
        <v>994</v>
      </c>
      <c r="N1037" s="64"/>
      <c r="O1037" s="64"/>
      <c r="P1037" s="64"/>
      <c r="Q1037" s="64"/>
      <c r="R1037" s="70"/>
      <c r="T1037" s="64"/>
      <c r="X1037">
        <v>0.123</v>
      </c>
      <c r="Y1037" s="258" t="s">
        <v>1313</v>
      </c>
      <c r="AA1037" s="259" t="s">
        <v>1314</v>
      </c>
      <c r="AB1037" s="20" t="s">
        <v>1061</v>
      </c>
      <c r="AC1037">
        <f t="shared" si="31"/>
        <v>4970000000</v>
      </c>
      <c r="AE1037" s="18" t="s">
        <v>1315</v>
      </c>
      <c r="AF1037" s="1" t="b">
        <v>1</v>
      </c>
    </row>
    <row r="1038" spans="2:32" ht="16.5" customHeight="1">
      <c r="B1038" s="1" t="str">
        <f t="shared" si="30"/>
        <v>M_TDIF04_VM_BKT_1.3_995</v>
      </c>
      <c r="C1038" s="92" t="s">
        <v>700</v>
      </c>
      <c r="D1038" s="92" t="str" cm="1">
        <f t="array" ref="D1038">INDEX(기계코드!$D$4:$D$214,MATCH(1,(C1038=기계코드!$F$4:$F$214)*1,0))</f>
        <v>M_TDIF04</v>
      </c>
      <c r="E1038" s="92" t="s">
        <v>1128</v>
      </c>
      <c r="F1038" s="7" t="str" cm="1">
        <f t="array" ref="F1038">INDEX(공급업체코드!$B$3:$B$1000,MATCH(1,(E1038=공급업체코드!$D$3:$D$1000)*1,0))</f>
        <v>VM_BKT</v>
      </c>
      <c r="G1038" s="18" t="s">
        <v>1881</v>
      </c>
      <c r="H1038" s="64"/>
      <c r="I1038" s="64"/>
      <c r="J1038" s="64"/>
      <c r="K1038" s="300">
        <v>1.1000000000000001</v>
      </c>
      <c r="L1038" s="300">
        <v>1.3</v>
      </c>
      <c r="M1038" s="64">
        <v>995</v>
      </c>
      <c r="N1038" s="64"/>
      <c r="O1038" s="64"/>
      <c r="P1038" s="64"/>
      <c r="Q1038" s="64"/>
      <c r="R1038" s="70"/>
      <c r="T1038" s="64"/>
      <c r="X1038">
        <v>0.123</v>
      </c>
      <c r="Y1038" s="258" t="s">
        <v>1313</v>
      </c>
      <c r="AA1038" s="259" t="s">
        <v>1314</v>
      </c>
      <c r="AB1038" s="20" t="s">
        <v>1061</v>
      </c>
      <c r="AC1038">
        <f t="shared" si="31"/>
        <v>4975000000</v>
      </c>
      <c r="AE1038" s="18" t="s">
        <v>1315</v>
      </c>
      <c r="AF1038" s="1" t="b">
        <v>1</v>
      </c>
    </row>
    <row r="1039" spans="2:32" ht="16.5" customHeight="1">
      <c r="B1039" s="1" t="str">
        <f t="shared" si="30"/>
        <v>M_TDIF04_VM_BKT_1.3_996</v>
      </c>
      <c r="C1039" s="92" t="s">
        <v>700</v>
      </c>
      <c r="D1039" s="92" t="str" cm="1">
        <f t="array" ref="D1039">INDEX(기계코드!$D$4:$D$214,MATCH(1,(C1039=기계코드!$F$4:$F$214)*1,0))</f>
        <v>M_TDIF04</v>
      </c>
      <c r="E1039" s="92" t="s">
        <v>1128</v>
      </c>
      <c r="F1039" s="7" t="str" cm="1">
        <f t="array" ref="F1039">INDEX(공급업체코드!$B$3:$B$1000,MATCH(1,(E1039=공급업체코드!$D$3:$D$1000)*1,0))</f>
        <v>VM_BKT</v>
      </c>
      <c r="G1039" s="18" t="s">
        <v>1881</v>
      </c>
      <c r="H1039" s="64"/>
      <c r="I1039" s="64"/>
      <c r="J1039" s="64"/>
      <c r="K1039" s="300">
        <v>1.1000000000000001</v>
      </c>
      <c r="L1039" s="300">
        <v>1.3</v>
      </c>
      <c r="M1039" s="64">
        <v>996</v>
      </c>
      <c r="N1039" s="64"/>
      <c r="O1039" s="64"/>
      <c r="P1039" s="64"/>
      <c r="Q1039" s="64"/>
      <c r="R1039" s="70"/>
      <c r="T1039" s="64"/>
      <c r="X1039">
        <v>0.123</v>
      </c>
      <c r="Y1039" s="258" t="s">
        <v>1313</v>
      </c>
      <c r="AA1039" s="259" t="s">
        <v>1314</v>
      </c>
      <c r="AB1039" s="20" t="s">
        <v>1061</v>
      </c>
      <c r="AC1039">
        <f t="shared" si="31"/>
        <v>4980000000</v>
      </c>
      <c r="AE1039" s="18" t="s">
        <v>1315</v>
      </c>
      <c r="AF1039" s="1" t="b">
        <v>1</v>
      </c>
    </row>
    <row r="1040" spans="2:32" ht="16.5" customHeight="1">
      <c r="B1040" s="1" t="str">
        <f t="shared" si="30"/>
        <v>M_TDIF04_VM_BKT_1.3_997</v>
      </c>
      <c r="C1040" s="92" t="s">
        <v>700</v>
      </c>
      <c r="D1040" s="92" t="str" cm="1">
        <f t="array" ref="D1040">INDEX(기계코드!$D$4:$D$214,MATCH(1,(C1040=기계코드!$F$4:$F$214)*1,0))</f>
        <v>M_TDIF04</v>
      </c>
      <c r="E1040" s="92" t="s">
        <v>1128</v>
      </c>
      <c r="F1040" s="7" t="str" cm="1">
        <f t="array" ref="F1040">INDEX(공급업체코드!$B$3:$B$1000,MATCH(1,(E1040=공급업체코드!$D$3:$D$1000)*1,0))</f>
        <v>VM_BKT</v>
      </c>
      <c r="G1040" s="18" t="s">
        <v>1881</v>
      </c>
      <c r="H1040" s="64"/>
      <c r="I1040" s="64"/>
      <c r="J1040" s="64"/>
      <c r="K1040" s="300">
        <v>1.1000000000000001</v>
      </c>
      <c r="L1040" s="300">
        <v>1.3</v>
      </c>
      <c r="M1040" s="64">
        <v>997</v>
      </c>
      <c r="N1040" s="64"/>
      <c r="O1040" s="64"/>
      <c r="P1040" s="64"/>
      <c r="Q1040" s="64"/>
      <c r="R1040" s="70"/>
      <c r="T1040" s="64"/>
      <c r="X1040">
        <v>0.123</v>
      </c>
      <c r="Y1040" s="258" t="s">
        <v>1313</v>
      </c>
      <c r="AA1040" s="259" t="s">
        <v>1314</v>
      </c>
      <c r="AB1040" s="20" t="s">
        <v>1061</v>
      </c>
      <c r="AC1040">
        <f t="shared" si="31"/>
        <v>4985000000</v>
      </c>
      <c r="AE1040" s="18" t="s">
        <v>1315</v>
      </c>
      <c r="AF1040" s="1" t="b">
        <v>1</v>
      </c>
    </row>
    <row r="1041" spans="2:32" ht="16.5" customHeight="1">
      <c r="B1041" s="1" t="str">
        <f t="shared" si="30"/>
        <v>M_TDIF04_VM_BKT_1.3_998</v>
      </c>
      <c r="C1041" s="92" t="s">
        <v>700</v>
      </c>
      <c r="D1041" s="92" t="str" cm="1">
        <f t="array" ref="D1041">INDEX(기계코드!$D$4:$D$214,MATCH(1,(C1041=기계코드!$F$4:$F$214)*1,0))</f>
        <v>M_TDIF04</v>
      </c>
      <c r="E1041" s="92" t="s">
        <v>1128</v>
      </c>
      <c r="F1041" s="7" t="str" cm="1">
        <f t="array" ref="F1041">INDEX(공급업체코드!$B$3:$B$1000,MATCH(1,(E1041=공급업체코드!$D$3:$D$1000)*1,0))</f>
        <v>VM_BKT</v>
      </c>
      <c r="G1041" s="18" t="s">
        <v>1881</v>
      </c>
      <c r="H1041" s="64"/>
      <c r="I1041" s="64"/>
      <c r="J1041" s="64"/>
      <c r="K1041" s="300">
        <v>1.1000000000000001</v>
      </c>
      <c r="L1041" s="300">
        <v>1.3</v>
      </c>
      <c r="M1041" s="64">
        <v>998</v>
      </c>
      <c r="N1041" s="64"/>
      <c r="O1041" s="64"/>
      <c r="P1041" s="64"/>
      <c r="Q1041" s="64"/>
      <c r="R1041" s="70"/>
      <c r="T1041" s="64"/>
      <c r="X1041">
        <v>0.123</v>
      </c>
      <c r="Y1041" s="258" t="s">
        <v>1313</v>
      </c>
      <c r="AA1041" s="259" t="s">
        <v>1314</v>
      </c>
      <c r="AB1041" s="20" t="s">
        <v>1061</v>
      </c>
      <c r="AC1041">
        <f t="shared" si="31"/>
        <v>4990000000</v>
      </c>
      <c r="AE1041" s="18" t="s">
        <v>1315</v>
      </c>
      <c r="AF1041" s="1" t="b">
        <v>1</v>
      </c>
    </row>
    <row r="1042" spans="2:32" ht="16.5" customHeight="1">
      <c r="B1042" s="1" t="str">
        <f t="shared" si="30"/>
        <v>M_TDIF04_VM_BKT_1.3_999</v>
      </c>
      <c r="C1042" s="92" t="s">
        <v>700</v>
      </c>
      <c r="D1042" s="92" t="str" cm="1">
        <f t="array" ref="D1042">INDEX(기계코드!$D$4:$D$214,MATCH(1,(C1042=기계코드!$F$4:$F$214)*1,0))</f>
        <v>M_TDIF04</v>
      </c>
      <c r="E1042" s="92" t="s">
        <v>1128</v>
      </c>
      <c r="F1042" s="7" t="str" cm="1">
        <f t="array" ref="F1042">INDEX(공급업체코드!$B$3:$B$1000,MATCH(1,(E1042=공급업체코드!$D$3:$D$1000)*1,0))</f>
        <v>VM_BKT</v>
      </c>
      <c r="G1042" s="18" t="s">
        <v>1881</v>
      </c>
      <c r="H1042" s="64"/>
      <c r="I1042" s="64"/>
      <c r="J1042" s="64"/>
      <c r="K1042" s="300">
        <v>1.1000000000000001</v>
      </c>
      <c r="L1042" s="300">
        <v>1.3</v>
      </c>
      <c r="M1042" s="64">
        <v>999</v>
      </c>
      <c r="N1042" s="64"/>
      <c r="O1042" s="64"/>
      <c r="P1042" s="64"/>
      <c r="Q1042" s="64"/>
      <c r="R1042" s="70"/>
      <c r="T1042" s="64"/>
      <c r="X1042">
        <v>0.123</v>
      </c>
      <c r="Y1042" s="258" t="s">
        <v>1313</v>
      </c>
      <c r="AA1042" s="259" t="s">
        <v>1314</v>
      </c>
      <c r="AB1042" s="20" t="s">
        <v>1061</v>
      </c>
      <c r="AC1042">
        <f t="shared" si="31"/>
        <v>4995000000</v>
      </c>
      <c r="AE1042" s="18" t="s">
        <v>1315</v>
      </c>
      <c r="AF1042" s="1" t="b">
        <v>1</v>
      </c>
    </row>
    <row r="1043" spans="2:32" ht="16.5" customHeight="1">
      <c r="B1043" s="1" t="str">
        <f t="shared" si="30"/>
        <v>M_TDIF04_VM_BKT_1.3_1000</v>
      </c>
      <c r="C1043" s="92" t="s">
        <v>700</v>
      </c>
      <c r="D1043" s="92" t="str" cm="1">
        <f t="array" ref="D1043">INDEX(기계코드!$D$4:$D$214,MATCH(1,(C1043=기계코드!$F$4:$F$214)*1,0))</f>
        <v>M_TDIF04</v>
      </c>
      <c r="E1043" s="92" t="s">
        <v>1128</v>
      </c>
      <c r="F1043" s="7" t="str" cm="1">
        <f t="array" ref="F1043">INDEX(공급업체코드!$B$3:$B$1000,MATCH(1,(E1043=공급업체코드!$D$3:$D$1000)*1,0))</f>
        <v>VM_BKT</v>
      </c>
      <c r="G1043" s="18" t="s">
        <v>1881</v>
      </c>
      <c r="H1043" s="64"/>
      <c r="I1043" s="64"/>
      <c r="J1043" s="64"/>
      <c r="K1043" s="300">
        <v>1.1000000000000001</v>
      </c>
      <c r="L1043" s="300">
        <v>1.3</v>
      </c>
      <c r="M1043" s="64">
        <v>1000</v>
      </c>
      <c r="N1043" s="64"/>
      <c r="O1043" s="64"/>
      <c r="P1043" s="64"/>
      <c r="Q1043" s="64"/>
      <c r="R1043" s="70"/>
      <c r="T1043" s="64"/>
      <c r="X1043">
        <v>0.123</v>
      </c>
      <c r="Y1043" s="258" t="s">
        <v>1313</v>
      </c>
      <c r="AA1043" s="259" t="s">
        <v>1314</v>
      </c>
      <c r="AB1043" s="20" t="s">
        <v>1061</v>
      </c>
      <c r="AC1043">
        <f t="shared" si="31"/>
        <v>5000000000</v>
      </c>
      <c r="AE1043" s="18" t="s">
        <v>1315</v>
      </c>
      <c r="AF1043" s="1" t="b">
        <v>1</v>
      </c>
    </row>
    <row r="1044" spans="2:32" ht="16.5" customHeight="1">
      <c r="B1044" s="1"/>
      <c r="C1044" s="92"/>
      <c r="D1044" s="92"/>
      <c r="E1044" s="92"/>
      <c r="F1044" s="7"/>
      <c r="H1044" s="64"/>
      <c r="I1044" s="64"/>
      <c r="J1044" s="64"/>
      <c r="K1044" s="300"/>
      <c r="L1044" s="300"/>
      <c r="M1044" s="300"/>
      <c r="N1044" s="64"/>
      <c r="O1044" s="64"/>
      <c r="P1044" s="64"/>
      <c r="Q1044" s="64"/>
      <c r="R1044" s="70"/>
      <c r="T1044" s="64"/>
      <c r="Y1044" s="258"/>
      <c r="AA1044" s="259"/>
      <c r="AB1044" s="20"/>
      <c r="AF1044" s="1"/>
    </row>
    <row r="1045" spans="2:32" ht="16.5" customHeight="1">
      <c r="B1045" s="1"/>
      <c r="C1045" s="92"/>
      <c r="D1045" s="92"/>
      <c r="E1045" s="92"/>
      <c r="F1045" s="7"/>
      <c r="H1045" s="64"/>
      <c r="I1045" s="64"/>
      <c r="J1045" s="64"/>
      <c r="K1045" s="300"/>
      <c r="L1045" s="300"/>
      <c r="M1045" s="300"/>
      <c r="N1045" s="64"/>
      <c r="O1045" s="64"/>
      <c r="P1045" s="64"/>
      <c r="Q1045" s="64"/>
      <c r="R1045" s="70"/>
      <c r="T1045" s="64"/>
      <c r="Y1045" s="258"/>
      <c r="AA1045" s="259"/>
      <c r="AB1045" s="20"/>
      <c r="AF1045" s="1"/>
    </row>
    <row r="1046" spans="2:32" ht="16.5" customHeight="1">
      <c r="B1046" s="1"/>
      <c r="C1046" s="92"/>
      <c r="D1046" s="92"/>
      <c r="E1046" s="92"/>
      <c r="F1046" s="7"/>
      <c r="H1046" s="64"/>
      <c r="I1046" s="64"/>
      <c r="J1046" s="64"/>
      <c r="K1046" s="300"/>
      <c r="L1046" s="300"/>
      <c r="M1046" s="300"/>
      <c r="N1046" s="64"/>
      <c r="O1046" s="64"/>
      <c r="P1046" s="64"/>
      <c r="Q1046" s="64"/>
      <c r="R1046" s="70"/>
      <c r="T1046" s="64"/>
      <c r="Y1046" s="258"/>
      <c r="AA1046" s="259"/>
      <c r="AB1046" s="20"/>
      <c r="AF1046" s="1"/>
    </row>
  </sheetData>
  <phoneticPr fontId="2" type="noConversion"/>
  <dataValidations count="1">
    <dataValidation type="list" allowBlank="1" showInputMessage="1" showErrorMessage="1" sqref="AB3:AB1046" xr:uid="{21D30412-3657-4EEC-BA95-3C59FF42966E}">
      <formula1>"EPDM, STS, STS304, MOB99"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01E3FA-E726-4013-81EC-0C425CECC165}">
          <x14:formula1>
            <xm:f>공급업체코드!$D$3:$D$103</xm:f>
          </x14:formula1>
          <xm:sqref>E3:E1046</xm:sqref>
        </x14:dataValidation>
        <x14:dataValidation type="list" allowBlank="1" showInputMessage="1" showErrorMessage="1" xr:uid="{88E12EAA-02A5-4954-90DC-FA3A9E1993EF}">
          <x14:formula1>
            <xm:f>기계코드!$F$208:$F$214</xm:f>
          </x14:formula1>
          <xm:sqref>C3:C1046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169D-F64B-43D7-AF64-DE11B28F09F7}">
  <dimension ref="A1:AE387"/>
  <sheetViews>
    <sheetView zoomScale="70" zoomScaleNormal="70" workbookViewId="0">
      <pane xSplit="1" ySplit="2" topLeftCell="C30" activePane="bottomRight" state="frozen"/>
      <selection pane="bottomRight" activeCell="D41" sqref="D41"/>
      <selection pane="bottomLeft"/>
      <selection pane="topRight"/>
    </sheetView>
  </sheetViews>
  <sheetFormatPr defaultRowHeight="16.5" customHeight="1"/>
  <cols>
    <col min="1" max="1" width="32" bestFit="1" customWidth="1"/>
    <col min="2" max="2" width="33.625" customWidth="1"/>
    <col min="3" max="3" width="27.875" bestFit="1" customWidth="1"/>
    <col min="4" max="4" width="16.125" customWidth="1"/>
    <col min="5" max="5" width="18.25" customWidth="1"/>
    <col min="6" max="6" width="13.875" bestFit="1" customWidth="1"/>
    <col min="7" max="7" width="14.5" style="18" customWidth="1"/>
    <col min="8" max="8" width="11.375" customWidth="1"/>
    <col min="9" max="11" width="16.75" customWidth="1"/>
    <col min="12" max="12" width="19.75" bestFit="1" customWidth="1"/>
    <col min="13" max="13" width="17.125" customWidth="1"/>
    <col min="14" max="14" width="16.125" style="18" customWidth="1"/>
    <col min="15" max="15" width="16.125" style="261" customWidth="1"/>
    <col min="16" max="16" width="25.75" style="10" bestFit="1" customWidth="1"/>
    <col min="17" max="17" width="16.125" style="260" customWidth="1"/>
    <col min="18" max="18" width="16.125" customWidth="1"/>
    <col min="19" max="19" width="21.25" bestFit="1" customWidth="1"/>
    <col min="20" max="20" width="31.75" style="18" customWidth="1"/>
    <col min="21" max="21" width="10.5" customWidth="1"/>
    <col min="22" max="22" width="27.625" bestFit="1" customWidth="1"/>
    <col min="23" max="23" width="20.625" style="113" customWidth="1"/>
    <col min="25" max="25" width="12.375" customWidth="1"/>
    <col min="26" max="26" width="11.375" bestFit="1" customWidth="1"/>
    <col min="29" max="29" width="22.125" bestFit="1" customWidth="1"/>
    <col min="30" max="30" width="36.375" bestFit="1" customWidth="1"/>
    <col min="31" max="31" width="15.375" bestFit="1" customWidth="1"/>
  </cols>
  <sheetData>
    <row r="1" spans="1:31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1882</v>
      </c>
      <c r="I1" s="10" t="s">
        <v>1883</v>
      </c>
      <c r="J1" s="10" t="s">
        <v>1884</v>
      </c>
      <c r="K1" s="10" t="s">
        <v>1885</v>
      </c>
      <c r="L1" s="10" t="s">
        <v>1358</v>
      </c>
      <c r="M1" s="10" t="s">
        <v>1288</v>
      </c>
      <c r="N1" s="17" t="s">
        <v>1324</v>
      </c>
      <c r="O1" s="131" t="s">
        <v>1290</v>
      </c>
      <c r="P1" s="131" t="s">
        <v>1291</v>
      </c>
      <c r="Q1" s="131" t="s">
        <v>1292</v>
      </c>
      <c r="R1" s="10" t="s">
        <v>1293</v>
      </c>
      <c r="S1" s="17" t="s">
        <v>1294</v>
      </c>
      <c r="T1" s="61" t="s">
        <v>1295</v>
      </c>
      <c r="U1" s="10" t="s">
        <v>1296</v>
      </c>
      <c r="V1" s="10" t="s">
        <v>1297</v>
      </c>
      <c r="W1" s="210" t="s">
        <v>1298</v>
      </c>
    </row>
    <row r="2" spans="1:31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85" t="s">
        <v>1886</v>
      </c>
      <c r="I2" s="85" t="s">
        <v>1887</v>
      </c>
      <c r="J2" s="85" t="s">
        <v>1888</v>
      </c>
      <c r="K2" s="85" t="s">
        <v>1889</v>
      </c>
      <c r="L2" s="85" t="s">
        <v>1360</v>
      </c>
      <c r="M2" s="73" t="s">
        <v>1303</v>
      </c>
      <c r="N2" s="14" t="s">
        <v>1349</v>
      </c>
      <c r="O2" s="5" t="s">
        <v>1305</v>
      </c>
      <c r="P2" s="5" t="s">
        <v>1306</v>
      </c>
      <c r="Q2" s="5" t="s">
        <v>1307</v>
      </c>
      <c r="R2" s="19" t="s">
        <v>1308</v>
      </c>
      <c r="S2" s="16" t="s">
        <v>1309</v>
      </c>
      <c r="T2" s="241" t="s">
        <v>1310</v>
      </c>
      <c r="U2" s="54" t="s">
        <v>1311</v>
      </c>
      <c r="V2" s="3" t="s">
        <v>10</v>
      </c>
      <c r="W2" s="242" t="s">
        <v>1312</v>
      </c>
      <c r="AC2" s="41"/>
      <c r="AD2" s="41"/>
      <c r="AE2" s="41"/>
    </row>
    <row r="3" spans="1:31">
      <c r="A3" s="245" t="s">
        <v>1890</v>
      </c>
      <c r="B3" s="1" t="str">
        <f>D3&amp;"_"&amp;F3&amp;"_"&amp;M3</f>
        <v>M_TNK0101_VM_AILP_IND_0.2</v>
      </c>
      <c r="C3" s="7" t="s">
        <v>503</v>
      </c>
      <c r="D3" s="7" t="str" cm="1">
        <f t="array" ref="D3">INDEX(기계코드!$D$4:$D$1022,MATCH(1,(C3=기계코드!$F$4:$F$1022)*1,0))</f>
        <v>M_TNK0101</v>
      </c>
      <c r="E3" s="7" t="s">
        <v>1891</v>
      </c>
      <c r="F3" s="7" t="str" cm="1">
        <f t="array" ref="F3">INDEX(공급업체코드!$B$3:$B$1000,MATCH(1,(E3=공급업체코드!$D$3:$D$1000)*1,0))</f>
        <v>VM_AILP_IND</v>
      </c>
      <c r="G3" s="43" t="s">
        <v>1892</v>
      </c>
      <c r="H3" s="86"/>
      <c r="I3" s="87"/>
      <c r="J3" s="88">
        <v>0.65</v>
      </c>
      <c r="K3" s="88">
        <v>0.65</v>
      </c>
      <c r="L3" s="88">
        <v>0.86</v>
      </c>
      <c r="M3" s="88">
        <v>0.2</v>
      </c>
      <c r="N3" s="89">
        <v>11</v>
      </c>
      <c r="O3" s="256" t="s">
        <v>1390</v>
      </c>
      <c r="P3" s="10">
        <f>IF(N3&lt;500,43,IF(N3&lt;1000,44,""))</f>
        <v>43</v>
      </c>
      <c r="Q3" s="257" t="s">
        <v>1391</v>
      </c>
      <c r="R3" s="63">
        <v>803000</v>
      </c>
      <c r="S3" s="63"/>
      <c r="T3" s="18" t="s">
        <v>1893</v>
      </c>
      <c r="U3" s="1" t="b">
        <v>1</v>
      </c>
      <c r="W3" s="133"/>
      <c r="AC3" s="41"/>
      <c r="AD3" s="41"/>
      <c r="AE3" s="41"/>
    </row>
    <row r="4" spans="1:31">
      <c r="A4" s="245" t="s">
        <v>1894</v>
      </c>
      <c r="B4" s="1" t="str">
        <f t="shared" ref="B4:B86" si="0">D4&amp;"_"&amp;F4&amp;"_"&amp;M4</f>
        <v>M_TNK0101_VM_AILP_IND_0.4</v>
      </c>
      <c r="C4" s="7" t="s">
        <v>503</v>
      </c>
      <c r="D4" s="7" t="str" cm="1">
        <f t="array" ref="D4">INDEX(기계코드!$D$4:$D$1022,MATCH(1,(C4=기계코드!$F$4:$F$1022)*1,0))</f>
        <v>M_TNK0101</v>
      </c>
      <c r="E4" s="7" t="s">
        <v>1891</v>
      </c>
      <c r="F4" s="7" t="str" cm="1">
        <f t="array" ref="F4">INDEX(공급업체코드!$B$3:$B$1000,MATCH(1,(E4=공급업체코드!$D$3:$D$1000)*1,0))</f>
        <v>VM_AILP_IND</v>
      </c>
      <c r="G4" s="43" t="s">
        <v>1895</v>
      </c>
      <c r="H4" s="72"/>
      <c r="I4" s="72"/>
      <c r="J4" s="34">
        <v>0.88</v>
      </c>
      <c r="K4" s="34">
        <v>0.89</v>
      </c>
      <c r="L4" s="34">
        <v>1.1399999999999999</v>
      </c>
      <c r="M4" s="34">
        <v>0.4</v>
      </c>
      <c r="N4" s="67">
        <v>11</v>
      </c>
      <c r="O4" s="258" t="s">
        <v>1390</v>
      </c>
      <c r="P4" s="10">
        <f t="shared" ref="P4:P86" si="1">IF(N4&lt;500,43,IF(N4&lt;1000,44,""))</f>
        <v>43</v>
      </c>
      <c r="Q4" s="259" t="s">
        <v>1391</v>
      </c>
      <c r="R4" s="63">
        <v>1277000</v>
      </c>
      <c r="S4" s="63"/>
      <c r="T4" s="65" t="s">
        <v>1893</v>
      </c>
      <c r="U4" s="1" t="b">
        <v>1</v>
      </c>
      <c r="W4" s="133"/>
      <c r="AC4" s="41"/>
      <c r="AD4" s="41"/>
      <c r="AE4" s="41"/>
    </row>
    <row r="5" spans="1:31">
      <c r="A5" s="245" t="s">
        <v>1896</v>
      </c>
      <c r="B5" s="1" t="str">
        <f t="shared" si="0"/>
        <v>M_TNK0101_VM_AILP_IND_0.5</v>
      </c>
      <c r="C5" s="7" t="s">
        <v>503</v>
      </c>
      <c r="D5" s="7" t="str" cm="1">
        <f t="array" ref="D5">INDEX(기계코드!$D$4:$D$1022,MATCH(1,(C5=기계코드!$F$4:$F$1022)*1,0))</f>
        <v>M_TNK0101</v>
      </c>
      <c r="E5" s="7" t="s">
        <v>1891</v>
      </c>
      <c r="F5" s="7" t="str" cm="1">
        <f t="array" ref="F5">INDEX(공급업체코드!$B$3:$B$1000,MATCH(1,(E5=공급업체코드!$D$3:$D$1000)*1,0))</f>
        <v>VM_AILP_IND</v>
      </c>
      <c r="G5" s="43" t="s">
        <v>1897</v>
      </c>
      <c r="H5" s="72"/>
      <c r="I5" s="72"/>
      <c r="J5" s="34">
        <v>1</v>
      </c>
      <c r="K5" s="34">
        <v>0.74</v>
      </c>
      <c r="L5" s="34">
        <v>0.96499999999999997</v>
      </c>
      <c r="M5" s="34">
        <v>0.5</v>
      </c>
      <c r="N5" s="67">
        <v>11</v>
      </c>
      <c r="O5" s="258" t="s">
        <v>1390</v>
      </c>
      <c r="P5" s="10">
        <f t="shared" si="1"/>
        <v>43</v>
      </c>
      <c r="Q5" s="259" t="s">
        <v>1391</v>
      </c>
      <c r="R5" s="63">
        <v>1378500</v>
      </c>
      <c r="S5" s="63"/>
      <c r="T5" s="65" t="s">
        <v>1893</v>
      </c>
      <c r="U5" s="1" t="b">
        <v>1</v>
      </c>
      <c r="W5" s="133"/>
      <c r="AC5" s="41"/>
      <c r="AD5" s="41"/>
      <c r="AE5" s="41"/>
    </row>
    <row r="6" spans="1:31">
      <c r="A6" s="245" t="s">
        <v>1898</v>
      </c>
      <c r="B6" s="1" t="str">
        <f t="shared" si="0"/>
        <v>M_TNK0101_VM_AILP_IND_0.6</v>
      </c>
      <c r="C6" s="7" t="s">
        <v>503</v>
      </c>
      <c r="D6" s="7" t="str" cm="1">
        <f t="array" ref="D6">INDEX(기계코드!$D$4:$D$1022,MATCH(1,(C6=기계코드!$F$4:$F$1022)*1,0))</f>
        <v>M_TNK0101</v>
      </c>
      <c r="E6" s="7" t="s">
        <v>1891</v>
      </c>
      <c r="F6" s="7" t="str" cm="1">
        <f t="array" ref="F6">INDEX(공급업체코드!$B$3:$B$1000,MATCH(1,(E6=공급업체코드!$D$3:$D$1000)*1,0))</f>
        <v>VM_AILP_IND</v>
      </c>
      <c r="G6" s="43" t="s">
        <v>1899</v>
      </c>
      <c r="H6" s="72"/>
      <c r="I6" s="72"/>
      <c r="J6" s="34">
        <v>0.9</v>
      </c>
      <c r="K6" s="34">
        <v>1.02</v>
      </c>
      <c r="L6" s="34">
        <v>1.2649999999999999</v>
      </c>
      <c r="M6" s="34">
        <v>0.6</v>
      </c>
      <c r="N6" s="67">
        <v>11</v>
      </c>
      <c r="O6" s="258" t="s">
        <v>1390</v>
      </c>
      <c r="P6" s="10">
        <f t="shared" si="1"/>
        <v>43</v>
      </c>
      <c r="Q6" s="259" t="s">
        <v>1391</v>
      </c>
      <c r="R6" s="63">
        <v>1480000</v>
      </c>
      <c r="S6" s="63"/>
      <c r="T6" s="65" t="s">
        <v>1893</v>
      </c>
      <c r="U6" s="1" t="b">
        <v>1</v>
      </c>
      <c r="W6" s="133"/>
      <c r="AC6" s="41"/>
      <c r="AD6" s="41"/>
      <c r="AE6" s="41"/>
    </row>
    <row r="7" spans="1:31">
      <c r="A7" s="245" t="s">
        <v>1900</v>
      </c>
      <c r="B7" s="1" t="str">
        <f t="shared" si="0"/>
        <v>M_TNK0101_VM_AILP_IND_0.8</v>
      </c>
      <c r="C7" s="7" t="s">
        <v>503</v>
      </c>
      <c r="D7" s="7" t="str" cm="1">
        <f t="array" ref="D7">INDEX(기계코드!$D$4:$D$1022,MATCH(1,(C7=기계코드!$F$4:$F$1022)*1,0))</f>
        <v>M_TNK0101</v>
      </c>
      <c r="E7" s="7" t="s">
        <v>1891</v>
      </c>
      <c r="F7" s="7" t="str" cm="1">
        <f t="array" ref="F7">INDEX(공급업체코드!$B$3:$B$1000,MATCH(1,(E7=공급업체코드!$D$3:$D$1000)*1,0))</f>
        <v>VM_AILP_IND</v>
      </c>
      <c r="G7" s="43" t="s">
        <v>1901</v>
      </c>
      <c r="H7" s="72"/>
      <c r="I7" s="72"/>
      <c r="J7" s="34">
        <v>1</v>
      </c>
      <c r="K7" s="34">
        <v>1.1000000000000001</v>
      </c>
      <c r="L7" s="34">
        <v>1.385</v>
      </c>
      <c r="M7" s="34">
        <v>0.8</v>
      </c>
      <c r="N7" s="67">
        <v>11</v>
      </c>
      <c r="O7" s="258" t="s">
        <v>1390</v>
      </c>
      <c r="P7" s="10">
        <f t="shared" si="1"/>
        <v>43</v>
      </c>
      <c r="Q7" s="259" t="s">
        <v>1391</v>
      </c>
      <c r="R7" s="63">
        <v>1751000</v>
      </c>
      <c r="S7" s="63"/>
      <c r="T7" s="65" t="s">
        <v>1893</v>
      </c>
      <c r="U7" s="1" t="b">
        <v>1</v>
      </c>
      <c r="AC7" s="41"/>
      <c r="AD7" s="41"/>
      <c r="AE7" s="41"/>
    </row>
    <row r="8" spans="1:31">
      <c r="A8" s="245" t="s">
        <v>1902</v>
      </c>
      <c r="B8" s="1" t="str">
        <f t="shared" si="0"/>
        <v>M_TNK0101_VM_AILP_IND_1</v>
      </c>
      <c r="C8" s="7" t="s">
        <v>503</v>
      </c>
      <c r="D8" s="7" t="str" cm="1">
        <f t="array" ref="D8">INDEX(기계코드!$D$4:$D$1022,MATCH(1,(C8=기계코드!$F$4:$F$1022)*1,0))</f>
        <v>M_TNK0101</v>
      </c>
      <c r="E8" s="7" t="s">
        <v>1891</v>
      </c>
      <c r="F8" s="7" t="str" cm="1">
        <f t="array" ref="F8">INDEX(공급업체코드!$B$3:$B$1000,MATCH(1,(E8=공급업체코드!$D$3:$D$1000)*1,0))</f>
        <v>VM_AILP_IND</v>
      </c>
      <c r="G8" s="43" t="s">
        <v>1903</v>
      </c>
      <c r="H8" s="72"/>
      <c r="I8" s="72"/>
      <c r="J8" s="34">
        <v>1.1000000000000001</v>
      </c>
      <c r="K8" s="34">
        <v>1.165</v>
      </c>
      <c r="L8" s="34">
        <v>1.48</v>
      </c>
      <c r="M8" s="34">
        <v>1</v>
      </c>
      <c r="N8" s="67">
        <v>11</v>
      </c>
      <c r="O8" s="258" t="s">
        <v>1390</v>
      </c>
      <c r="P8" s="10">
        <f t="shared" si="1"/>
        <v>43</v>
      </c>
      <c r="Q8" s="259" t="s">
        <v>1391</v>
      </c>
      <c r="R8" s="63">
        <v>2656500</v>
      </c>
      <c r="S8" s="63"/>
      <c r="T8" s="65" t="s">
        <v>1893</v>
      </c>
      <c r="U8" s="1" t="b">
        <v>1</v>
      </c>
      <c r="AC8" s="41"/>
      <c r="AD8" s="41"/>
      <c r="AE8" s="41"/>
    </row>
    <row r="9" spans="1:31">
      <c r="A9" s="245" t="s">
        <v>1904</v>
      </c>
      <c r="B9" s="1" t="str">
        <f t="shared" si="0"/>
        <v>M_TNK0101_VM_AILP_IND_1.5</v>
      </c>
      <c r="C9" s="7" t="s">
        <v>503</v>
      </c>
      <c r="D9" s="7" t="str" cm="1">
        <f t="array" ref="D9">INDEX(기계코드!$D$4:$D$1022,MATCH(1,(C9=기계코드!$F$4:$F$1022)*1,0))</f>
        <v>M_TNK0101</v>
      </c>
      <c r="E9" s="7" t="s">
        <v>1891</v>
      </c>
      <c r="F9" s="7" t="str" cm="1">
        <f t="array" ref="F9">INDEX(공급업체코드!$B$3:$B$1000,MATCH(1,(E9=공급업체코드!$D$3:$D$1000)*1,0))</f>
        <v>VM_AILP_IND</v>
      </c>
      <c r="G9" s="43" t="s">
        <v>1905</v>
      </c>
      <c r="H9" s="72"/>
      <c r="I9" s="72"/>
      <c r="J9" s="34">
        <v>1.27</v>
      </c>
      <c r="K9" s="34">
        <v>1.3149999999999999</v>
      </c>
      <c r="L9" s="34">
        <v>1.64</v>
      </c>
      <c r="M9" s="34">
        <v>1.5</v>
      </c>
      <c r="N9" s="67">
        <v>11</v>
      </c>
      <c r="O9" s="258" t="s">
        <v>1390</v>
      </c>
      <c r="P9" s="10">
        <f t="shared" si="1"/>
        <v>43</v>
      </c>
      <c r="Q9" s="259" t="s">
        <v>1391</v>
      </c>
      <c r="R9" s="63">
        <v>2787000</v>
      </c>
      <c r="S9" s="63"/>
      <c r="T9" s="65" t="s">
        <v>1893</v>
      </c>
      <c r="U9" s="1" t="b">
        <v>1</v>
      </c>
      <c r="AC9" s="40"/>
      <c r="AD9" s="40"/>
      <c r="AE9" s="41"/>
    </row>
    <row r="10" spans="1:31">
      <c r="A10" s="245" t="s">
        <v>1906</v>
      </c>
      <c r="B10" s="1" t="str">
        <f t="shared" si="0"/>
        <v>M_TNK0101_VM_AILP_IND_2</v>
      </c>
      <c r="C10" s="7" t="s">
        <v>503</v>
      </c>
      <c r="D10" s="7" t="str" cm="1">
        <f t="array" ref="D10">INDEX(기계코드!$D$4:$D$1022,MATCH(1,(C10=기계코드!$F$4:$F$1022)*1,0))</f>
        <v>M_TNK0101</v>
      </c>
      <c r="E10" s="7" t="s">
        <v>1891</v>
      </c>
      <c r="F10" s="7" t="str" cm="1">
        <f t="array" ref="F10">INDEX(공급업체코드!$B$3:$B$1000,MATCH(1,(E10=공급업체코드!$D$3:$D$1000)*1,0))</f>
        <v>VM_AILP_IND</v>
      </c>
      <c r="G10" s="43" t="s">
        <v>1907</v>
      </c>
      <c r="H10" s="70"/>
      <c r="I10" s="72"/>
      <c r="J10" s="34">
        <v>1.44</v>
      </c>
      <c r="K10" s="34">
        <v>1.4</v>
      </c>
      <c r="L10" s="34">
        <v>1.82</v>
      </c>
      <c r="M10" s="34">
        <v>2</v>
      </c>
      <c r="N10" s="67">
        <v>11</v>
      </c>
      <c r="O10" s="258" t="s">
        <v>1390</v>
      </c>
      <c r="P10" s="10">
        <f t="shared" si="1"/>
        <v>43</v>
      </c>
      <c r="Q10" s="259" t="s">
        <v>1391</v>
      </c>
      <c r="R10" s="63">
        <v>3188500</v>
      </c>
      <c r="S10" s="63"/>
      <c r="T10" s="65" t="s">
        <v>1893</v>
      </c>
      <c r="U10" s="1" t="b">
        <v>1</v>
      </c>
      <c r="AC10" s="40"/>
      <c r="AD10" s="40"/>
      <c r="AE10" s="41"/>
    </row>
    <row r="11" spans="1:31">
      <c r="A11" s="245" t="s">
        <v>1908</v>
      </c>
      <c r="B11" s="1" t="str">
        <f t="shared" si="0"/>
        <v>M_TNK0101_VM_AILP_IND_3</v>
      </c>
      <c r="C11" s="7" t="s">
        <v>503</v>
      </c>
      <c r="D11" s="7" t="str" cm="1">
        <f t="array" ref="D11">INDEX(기계코드!$D$4:$D$1022,MATCH(1,(C11=기계코드!$F$4:$F$1022)*1,0))</f>
        <v>M_TNK0101</v>
      </c>
      <c r="E11" s="7" t="s">
        <v>1891</v>
      </c>
      <c r="F11" s="7" t="str" cm="1">
        <f t="array" ref="F11">INDEX(공급업체코드!$B$3:$B$1000,MATCH(1,(E11=공급업체코드!$D$3:$D$1000)*1,0))</f>
        <v>VM_AILP_IND</v>
      </c>
      <c r="G11" s="43" t="s">
        <v>1909</v>
      </c>
      <c r="H11" s="70"/>
      <c r="I11" s="70"/>
      <c r="J11">
        <v>1.65</v>
      </c>
      <c r="K11">
        <v>1.6</v>
      </c>
      <c r="L11">
        <v>2.0649999999999999</v>
      </c>
      <c r="M11">
        <v>3</v>
      </c>
      <c r="N11" s="67">
        <v>11</v>
      </c>
      <c r="O11" s="258" t="s">
        <v>1390</v>
      </c>
      <c r="P11" s="10">
        <f t="shared" si="1"/>
        <v>43</v>
      </c>
      <c r="Q11" s="259" t="s">
        <v>1391</v>
      </c>
      <c r="R11" s="64">
        <v>3909000</v>
      </c>
      <c r="S11" s="64"/>
      <c r="T11" s="65" t="s">
        <v>1893</v>
      </c>
      <c r="U11" s="1" t="b">
        <v>1</v>
      </c>
      <c r="AC11" s="41"/>
      <c r="AD11" s="41"/>
      <c r="AE11" s="41"/>
    </row>
    <row r="12" spans="1:31">
      <c r="A12" s="245" t="s">
        <v>1910</v>
      </c>
      <c r="B12" s="1" t="str">
        <f t="shared" si="0"/>
        <v>M_TNK0101_VM_AILP_IND_4</v>
      </c>
      <c r="C12" s="7" t="s">
        <v>503</v>
      </c>
      <c r="D12" s="7" t="str" cm="1">
        <f t="array" ref="D12">INDEX(기계코드!$D$4:$D$1022,MATCH(1,(C12=기계코드!$F$4:$F$1022)*1,0))</f>
        <v>M_TNK0101</v>
      </c>
      <c r="E12" s="7" t="s">
        <v>1891</v>
      </c>
      <c r="F12" s="7" t="str" cm="1">
        <f t="array" ref="F12">INDEX(공급업체코드!$B$3:$B$1000,MATCH(1,(E12=공급업체코드!$D$3:$D$1000)*1,0))</f>
        <v>VM_AILP_IND</v>
      </c>
      <c r="G12" s="43" t="s">
        <v>1911</v>
      </c>
      <c r="H12" s="70"/>
      <c r="I12" s="70"/>
      <c r="J12">
        <v>1.7589999999999999</v>
      </c>
      <c r="K12">
        <v>1.9</v>
      </c>
      <c r="L12">
        <v>2.2749999999999999</v>
      </c>
      <c r="M12">
        <v>4</v>
      </c>
      <c r="N12" s="67">
        <v>11</v>
      </c>
      <c r="O12" s="258" t="s">
        <v>1390</v>
      </c>
      <c r="P12" s="10">
        <f t="shared" si="1"/>
        <v>43</v>
      </c>
      <c r="Q12" s="259" t="s">
        <v>1391</v>
      </c>
      <c r="R12" s="64">
        <v>4528000</v>
      </c>
      <c r="S12" s="64"/>
      <c r="T12" s="65" t="s">
        <v>1893</v>
      </c>
      <c r="U12" s="1" t="b">
        <v>1</v>
      </c>
      <c r="AC12" s="40"/>
      <c r="AD12" s="40"/>
      <c r="AE12" s="41"/>
    </row>
    <row r="13" spans="1:31">
      <c r="A13" s="245" t="s">
        <v>1912</v>
      </c>
      <c r="B13" s="1" t="str">
        <f t="shared" si="0"/>
        <v>M_TNK0101_VM_AILP_IND_5</v>
      </c>
      <c r="C13" s="7" t="s">
        <v>503</v>
      </c>
      <c r="D13" s="7" t="str" cm="1">
        <f t="array" ref="D13">INDEX(기계코드!$D$4:$D$1022,MATCH(1,(C13=기계코드!$F$4:$F$1022)*1,0))</f>
        <v>M_TNK0101</v>
      </c>
      <c r="E13" s="7" t="s">
        <v>1891</v>
      </c>
      <c r="F13" s="7" t="str" cm="1">
        <f t="array" ref="F13">INDEX(공급업체코드!$B$3:$B$1000,MATCH(1,(E13=공급업체코드!$D$3:$D$1000)*1,0))</f>
        <v>VM_AILP_IND</v>
      </c>
      <c r="G13" s="43" t="s">
        <v>1913</v>
      </c>
      <c r="H13" s="70"/>
      <c r="I13" s="70"/>
      <c r="J13">
        <v>1.9</v>
      </c>
      <c r="K13">
        <v>1.85</v>
      </c>
      <c r="L13">
        <v>2.375</v>
      </c>
      <c r="M13">
        <v>5</v>
      </c>
      <c r="N13" s="67">
        <v>11</v>
      </c>
      <c r="O13" s="258" t="s">
        <v>1390</v>
      </c>
      <c r="P13" s="10">
        <f t="shared" si="1"/>
        <v>43</v>
      </c>
      <c r="Q13" s="259" t="s">
        <v>1391</v>
      </c>
      <c r="R13" s="64">
        <v>5432500</v>
      </c>
      <c r="S13" s="64"/>
      <c r="T13" s="65" t="s">
        <v>1893</v>
      </c>
      <c r="U13" s="1" t="b">
        <v>1</v>
      </c>
      <c r="AC13" s="40"/>
      <c r="AD13" s="40"/>
      <c r="AE13" s="40"/>
    </row>
    <row r="14" spans="1:31">
      <c r="A14" s="245" t="s">
        <v>1914</v>
      </c>
      <c r="B14" s="1" t="str">
        <f t="shared" si="0"/>
        <v>M_TNK0101_VM_AILP_IND_6</v>
      </c>
      <c r="C14" s="7" t="s">
        <v>503</v>
      </c>
      <c r="D14" s="7" t="str" cm="1">
        <f t="array" ref="D14">INDEX(기계코드!$D$4:$D$1022,MATCH(1,(C14=기계코드!$F$4:$F$1022)*1,0))</f>
        <v>M_TNK0101</v>
      </c>
      <c r="E14" s="7" t="s">
        <v>1891</v>
      </c>
      <c r="F14" s="7" t="str" cm="1">
        <f t="array" ref="F14">INDEX(공급업체코드!$B$3:$B$1000,MATCH(1,(E14=공급업체코드!$D$3:$D$1000)*1,0))</f>
        <v>VM_AILP_IND</v>
      </c>
      <c r="G14" s="43" t="s">
        <v>1915</v>
      </c>
      <c r="H14" s="70"/>
      <c r="I14" s="70"/>
      <c r="J14">
        <v>1.93</v>
      </c>
      <c r="K14">
        <v>2.2999999999999998</v>
      </c>
      <c r="L14">
        <v>2.72</v>
      </c>
      <c r="M14">
        <v>6</v>
      </c>
      <c r="N14" s="67">
        <v>11</v>
      </c>
      <c r="O14" s="258" t="s">
        <v>1390</v>
      </c>
      <c r="P14" s="10">
        <f t="shared" si="1"/>
        <v>43</v>
      </c>
      <c r="Q14" s="259" t="s">
        <v>1391</v>
      </c>
      <c r="R14" s="68">
        <v>6947000</v>
      </c>
      <c r="S14" s="68"/>
      <c r="T14" s="65" t="s">
        <v>1893</v>
      </c>
      <c r="U14" s="1" t="b">
        <v>1</v>
      </c>
      <c r="AC14" s="40"/>
      <c r="AD14" s="40"/>
      <c r="AE14" s="41"/>
    </row>
    <row r="15" spans="1:31">
      <c r="A15" s="245" t="s">
        <v>1916</v>
      </c>
      <c r="B15" s="1" t="str">
        <f t="shared" si="0"/>
        <v>M_TNK0101_VM_AILP_IND_8</v>
      </c>
      <c r="C15" s="7" t="s">
        <v>503</v>
      </c>
      <c r="D15" s="7" t="str" cm="1">
        <f t="array" ref="D15">INDEX(기계코드!$D$4:$D$1022,MATCH(1,(C15=기계코드!$F$4:$F$1022)*1,0))</f>
        <v>M_TNK0101</v>
      </c>
      <c r="E15" s="7" t="s">
        <v>1891</v>
      </c>
      <c r="F15" s="7" t="str" cm="1">
        <f t="array" ref="F15">INDEX(공급업체코드!$B$3:$B$1000,MATCH(1,(E15=공급업체코드!$D$3:$D$1000)*1,0))</f>
        <v>VM_AILP_IND</v>
      </c>
      <c r="G15" s="43" t="s">
        <v>1917</v>
      </c>
      <c r="H15" s="70"/>
      <c r="I15" s="70"/>
      <c r="J15">
        <v>2.14</v>
      </c>
      <c r="K15">
        <v>2.4</v>
      </c>
      <c r="L15">
        <v>2.98</v>
      </c>
      <c r="M15">
        <v>8</v>
      </c>
      <c r="N15" s="67">
        <v>11</v>
      </c>
      <c r="O15" s="258" t="s">
        <v>1390</v>
      </c>
      <c r="P15" s="10">
        <f t="shared" si="1"/>
        <v>43</v>
      </c>
      <c r="Q15" s="259" t="s">
        <v>1391</v>
      </c>
      <c r="R15" s="64">
        <v>7841500</v>
      </c>
      <c r="S15" s="64"/>
      <c r="T15" s="65" t="s">
        <v>1893</v>
      </c>
      <c r="U15" s="1" t="b">
        <v>1</v>
      </c>
      <c r="AC15" s="41"/>
      <c r="AD15" s="41"/>
      <c r="AE15" s="41"/>
    </row>
    <row r="16" spans="1:31">
      <c r="A16" s="245" t="s">
        <v>1918</v>
      </c>
      <c r="B16" s="1" t="str">
        <f t="shared" si="0"/>
        <v>M_TNK0101_VM_AILP_IND_10</v>
      </c>
      <c r="C16" s="7" t="s">
        <v>503</v>
      </c>
      <c r="D16" s="7" t="str" cm="1">
        <f t="array" ref="D16">INDEX(기계코드!$D$4:$D$1022,MATCH(1,(C16=기계코드!$F$4:$F$1022)*1,0))</f>
        <v>M_TNK0101</v>
      </c>
      <c r="E16" s="7" t="s">
        <v>1891</v>
      </c>
      <c r="F16" s="7" t="str" cm="1">
        <f t="array" ref="F16">INDEX(공급업체코드!$B$3:$B$1000,MATCH(1,(E16=공급업체코드!$D$3:$D$1000)*1,0))</f>
        <v>VM_AILP_IND</v>
      </c>
      <c r="G16" s="43" t="s">
        <v>1919</v>
      </c>
      <c r="H16" s="70"/>
      <c r="I16" s="70"/>
      <c r="J16">
        <v>2.38</v>
      </c>
      <c r="K16">
        <v>2.6</v>
      </c>
      <c r="L16">
        <v>3.238</v>
      </c>
      <c r="M16">
        <v>10</v>
      </c>
      <c r="N16" s="67">
        <v>11</v>
      </c>
      <c r="O16" s="258" t="s">
        <v>1390</v>
      </c>
      <c r="P16" s="10">
        <f t="shared" si="1"/>
        <v>43</v>
      </c>
      <c r="Q16" s="259" t="s">
        <v>1391</v>
      </c>
      <c r="R16" s="64">
        <v>9481000</v>
      </c>
      <c r="S16" s="64"/>
      <c r="T16" s="65" t="s">
        <v>1893</v>
      </c>
      <c r="U16" s="1" t="b">
        <v>1</v>
      </c>
      <c r="AC16" s="41"/>
      <c r="AD16" s="41"/>
      <c r="AE16" s="41"/>
    </row>
    <row r="17" spans="1:31">
      <c r="A17" s="245" t="s">
        <v>1920</v>
      </c>
      <c r="B17" s="1" t="str">
        <f t="shared" si="0"/>
        <v>M_TNK0101_VM_AILP_IND_15</v>
      </c>
      <c r="C17" s="7" t="s">
        <v>503</v>
      </c>
      <c r="D17" s="7" t="str" cm="1">
        <f t="array" ref="D17">INDEX(기계코드!$D$4:$D$1022,MATCH(1,(C17=기계코드!$F$4:$F$1022)*1,0))</f>
        <v>M_TNK0101</v>
      </c>
      <c r="E17" s="7" t="s">
        <v>1891</v>
      </c>
      <c r="F17" s="7" t="str" cm="1">
        <f t="array" ref="F17">INDEX(공급업체코드!$B$3:$B$1000,MATCH(1,(E17=공급업체코드!$D$3:$D$1000)*1,0))</f>
        <v>VM_AILP_IND</v>
      </c>
      <c r="G17" s="43" t="s">
        <v>1921</v>
      </c>
      <c r="H17" s="70"/>
      <c r="I17" s="70"/>
      <c r="J17">
        <v>2.69</v>
      </c>
      <c r="K17">
        <v>3.05</v>
      </c>
      <c r="L17">
        <v>3.67</v>
      </c>
      <c r="M17">
        <v>15</v>
      </c>
      <c r="N17" s="67">
        <v>11</v>
      </c>
      <c r="O17" s="258" t="s">
        <v>1390</v>
      </c>
      <c r="P17" s="10">
        <f t="shared" si="1"/>
        <v>43</v>
      </c>
      <c r="Q17" s="259" t="s">
        <v>1391</v>
      </c>
      <c r="R17" s="64">
        <v>12339500</v>
      </c>
      <c r="S17" s="64"/>
      <c r="T17" s="65" t="s">
        <v>1893</v>
      </c>
      <c r="U17" s="1" t="b">
        <v>1</v>
      </c>
      <c r="AC17" s="41"/>
      <c r="AD17" s="41"/>
      <c r="AE17" s="41"/>
    </row>
    <row r="18" spans="1:31">
      <c r="A18" s="245" t="s">
        <v>1922</v>
      </c>
      <c r="B18" s="1" t="str">
        <f t="shared" si="0"/>
        <v>M_TNK0101_VM_AILP_IND_20</v>
      </c>
      <c r="C18" s="7" t="s">
        <v>503</v>
      </c>
      <c r="D18" s="7" t="str" cm="1">
        <f t="array" ref="D18">INDEX(기계코드!$D$4:$D$1022,MATCH(1,(C18=기계코드!$F$4:$F$1022)*1,0))</f>
        <v>M_TNK0101</v>
      </c>
      <c r="E18" s="7" t="s">
        <v>1891</v>
      </c>
      <c r="F18" s="7" t="str" cm="1">
        <f t="array" ref="F18">INDEX(공급업체코드!$B$3:$B$1000,MATCH(1,(E18=공급업체코드!$D$3:$D$1000)*1,0))</f>
        <v>VM_AILP_IND</v>
      </c>
      <c r="G18" s="43" t="s">
        <v>1923</v>
      </c>
      <c r="H18" s="70"/>
      <c r="I18" s="70"/>
      <c r="J18">
        <v>2.88</v>
      </c>
      <c r="K18">
        <v>3.43</v>
      </c>
      <c r="L18">
        <v>4.08</v>
      </c>
      <c r="M18">
        <v>20</v>
      </c>
      <c r="N18" s="67">
        <v>11</v>
      </c>
      <c r="O18" s="258" t="s">
        <v>1390</v>
      </c>
      <c r="P18" s="10">
        <f t="shared" si="1"/>
        <v>43</v>
      </c>
      <c r="Q18" s="259" t="s">
        <v>1391</v>
      </c>
      <c r="R18" s="64">
        <v>16659000</v>
      </c>
      <c r="S18" s="64"/>
      <c r="T18" s="65" t="s">
        <v>1893</v>
      </c>
      <c r="U18" s="1" t="b">
        <v>1</v>
      </c>
      <c r="AC18" s="40"/>
      <c r="AD18" s="40"/>
      <c r="AE18" s="41"/>
    </row>
    <row r="19" spans="1:31">
      <c r="A19" s="245" t="s">
        <v>1924</v>
      </c>
      <c r="B19" s="1" t="str">
        <f t="shared" si="0"/>
        <v>M_TNK0101_VM_AILP_IND_30</v>
      </c>
      <c r="C19" s="7" t="s">
        <v>503</v>
      </c>
      <c r="D19" s="7" t="str" cm="1">
        <f t="array" ref="D19">INDEX(기계코드!$D$4:$D$1022,MATCH(1,(C19=기계코드!$F$4:$F$1022)*1,0))</f>
        <v>M_TNK0101</v>
      </c>
      <c r="E19" s="7" t="s">
        <v>1891</v>
      </c>
      <c r="F19" s="7" t="str" cm="1">
        <f t="array" ref="F19">INDEX(공급업체코드!$B$3:$B$1000,MATCH(1,(E19=공급업체코드!$D$3:$D$1000)*1,0))</f>
        <v>VM_AILP_IND</v>
      </c>
      <c r="G19" s="43" t="s">
        <v>1925</v>
      </c>
      <c r="H19" s="70"/>
      <c r="I19" s="70"/>
      <c r="J19">
        <v>2.88</v>
      </c>
      <c r="K19">
        <v>4.72</v>
      </c>
      <c r="L19">
        <v>5.37</v>
      </c>
      <c r="M19">
        <v>30</v>
      </c>
      <c r="N19" s="67">
        <v>11</v>
      </c>
      <c r="O19" s="258" t="s">
        <v>1390</v>
      </c>
      <c r="P19" s="10">
        <f t="shared" si="1"/>
        <v>43</v>
      </c>
      <c r="Q19" s="259" t="s">
        <v>1391</v>
      </c>
      <c r="R19" s="64">
        <v>23862500</v>
      </c>
      <c r="S19" s="64"/>
      <c r="T19" s="65" t="s">
        <v>1893</v>
      </c>
      <c r="U19" s="1" t="b">
        <v>1</v>
      </c>
      <c r="AC19" s="41"/>
      <c r="AD19" s="41"/>
      <c r="AE19" s="41"/>
    </row>
    <row r="20" spans="1:31">
      <c r="A20" s="245" t="s">
        <v>1926</v>
      </c>
      <c r="B20" s="1" t="str">
        <f t="shared" si="0"/>
        <v>M_TNK0101_VM_AILP_IND_40</v>
      </c>
      <c r="C20" s="7" t="s">
        <v>503</v>
      </c>
      <c r="D20" s="7" t="str" cm="1">
        <f t="array" ref="D20">INDEX(기계코드!$D$4:$D$1022,MATCH(1,(C20=기계코드!$F$4:$F$1022)*1,0))</f>
        <v>M_TNK0101</v>
      </c>
      <c r="E20" s="7" t="s">
        <v>1891</v>
      </c>
      <c r="F20" s="7" t="str" cm="1">
        <f t="array" ref="F20">INDEX(공급업체코드!$B$3:$B$1000,MATCH(1,(E20=공급업체코드!$D$3:$D$1000)*1,0))</f>
        <v>VM_AILP_IND</v>
      </c>
      <c r="G20" s="43" t="s">
        <v>1927</v>
      </c>
      <c r="H20" s="70"/>
      <c r="I20" s="70"/>
      <c r="J20">
        <v>3.16</v>
      </c>
      <c r="K20">
        <v>5.48</v>
      </c>
      <c r="L20">
        <v>6.1740000000000004</v>
      </c>
      <c r="M20">
        <v>40</v>
      </c>
      <c r="N20" s="67">
        <v>11</v>
      </c>
      <c r="O20" s="258" t="s">
        <v>1390</v>
      </c>
      <c r="P20" s="10">
        <f t="shared" si="1"/>
        <v>43</v>
      </c>
      <c r="Q20" s="259" t="s">
        <v>1391</v>
      </c>
      <c r="R20" s="64">
        <v>34310000</v>
      </c>
      <c r="S20" s="64"/>
      <c r="T20" s="65" t="s">
        <v>1893</v>
      </c>
      <c r="U20" s="1" t="b">
        <v>1</v>
      </c>
      <c r="AC20" s="41"/>
      <c r="AD20" s="41"/>
      <c r="AE20" s="41"/>
    </row>
    <row r="21" spans="1:31">
      <c r="A21" s="245" t="s">
        <v>1928</v>
      </c>
      <c r="B21" s="1" t="str">
        <f t="shared" si="0"/>
        <v>M_TNK0101_VM_AILP_IND_50</v>
      </c>
      <c r="C21" s="7" t="s">
        <v>503</v>
      </c>
      <c r="D21" s="7" t="str" cm="1">
        <f t="array" ref="D21">INDEX(기계코드!$D$4:$D$1022,MATCH(1,(C21=기계코드!$F$4:$F$1022)*1,0))</f>
        <v>M_TNK0101</v>
      </c>
      <c r="E21" s="7" t="s">
        <v>1891</v>
      </c>
      <c r="F21" s="7" t="str" cm="1">
        <f t="array" ref="F21">INDEX(공급업체코드!$B$3:$B$1000,MATCH(1,(E21=공급업체코드!$D$3:$D$1000)*1,0))</f>
        <v>VM_AILP_IND</v>
      </c>
      <c r="G21" s="43" t="s">
        <v>1929</v>
      </c>
      <c r="H21" s="70"/>
      <c r="I21" s="70"/>
      <c r="J21">
        <v>3.16</v>
      </c>
      <c r="K21">
        <v>6.5</v>
      </c>
      <c r="L21">
        <v>7.18</v>
      </c>
      <c r="M21">
        <v>50</v>
      </c>
      <c r="N21" s="67">
        <v>11</v>
      </c>
      <c r="O21" s="258" t="s">
        <v>1390</v>
      </c>
      <c r="P21" s="10">
        <f t="shared" si="1"/>
        <v>43</v>
      </c>
      <c r="Q21" s="259" t="s">
        <v>1391</v>
      </c>
      <c r="R21" s="64">
        <v>42208300</v>
      </c>
      <c r="S21" s="64"/>
      <c r="T21" s="65" t="s">
        <v>1893</v>
      </c>
      <c r="U21" s="1" t="b">
        <v>1</v>
      </c>
      <c r="AC21" s="41"/>
      <c r="AD21" s="41"/>
      <c r="AE21" s="41"/>
    </row>
    <row r="22" spans="1:31">
      <c r="A22" s="245" t="str">
        <f>A3&amp;"(교반기 포함)"</f>
        <v>PE 원형탱크, HJ-002(교반기 포함)</v>
      </c>
      <c r="B22" s="1" t="str">
        <f t="shared" si="0"/>
        <v>M_TNK0102_VM_0000_0.2</v>
      </c>
      <c r="C22" s="7" t="s">
        <v>506</v>
      </c>
      <c r="D22" s="7" t="str" cm="1">
        <f t="array" ref="D22">INDEX(기계코드!$D$4:$D$1022,MATCH(1,(C22=기계코드!$F$4:$F$1022)*1,0))</f>
        <v>M_TNK0102</v>
      </c>
      <c r="E22" s="7" t="s">
        <v>1125</v>
      </c>
      <c r="F22" s="7" t="str" cm="1">
        <f t="array" ref="F22">INDEX(공급업체코드!$B$3:$B$1000,MATCH(1,(E22=공급업체코드!$D$3:$D$1000)*1,0))</f>
        <v>VM_0000</v>
      </c>
      <c r="G22" s="43"/>
      <c r="H22" s="70"/>
      <c r="I22" s="70"/>
      <c r="M22">
        <v>0.2</v>
      </c>
      <c r="N22" s="67">
        <v>11</v>
      </c>
      <c r="O22" s="258" t="s">
        <v>1421</v>
      </c>
      <c r="P22" s="10">
        <f>IF(N22&lt;500,43,IF(N22&lt;1000,44,""))</f>
        <v>43</v>
      </c>
      <c r="Q22" s="259" t="s">
        <v>1676</v>
      </c>
      <c r="R22" s="64">
        <v>999</v>
      </c>
      <c r="S22" s="64"/>
      <c r="T22" s="65" t="s">
        <v>1354</v>
      </c>
      <c r="U22" s="1" t="b">
        <v>1</v>
      </c>
      <c r="AC22" s="41"/>
      <c r="AD22" s="41"/>
      <c r="AE22" s="41"/>
    </row>
    <row r="23" spans="1:31">
      <c r="A23" s="245" t="str">
        <f t="shared" ref="A23:A40" si="2">A4&amp;"(교반기 포함)"</f>
        <v>PE 원형탱크, HJ-004(교반기 포함)</v>
      </c>
      <c r="B23" s="1" t="str">
        <f t="shared" si="0"/>
        <v>M_TNK0102_VM_0000_0.4</v>
      </c>
      <c r="C23" s="7" t="s">
        <v>506</v>
      </c>
      <c r="D23" s="7" t="str" cm="1">
        <f t="array" ref="D23">INDEX(기계코드!$D$4:$D$1022,MATCH(1,(C23=기계코드!$F$4:$F$1022)*1,0))</f>
        <v>M_TNK0102</v>
      </c>
      <c r="E23" s="7" t="s">
        <v>1125</v>
      </c>
      <c r="F23" s="7" t="str" cm="1">
        <f t="array" ref="F23">INDEX(공급업체코드!$B$3:$B$1000,MATCH(1,(E23=공급업체코드!$D$3:$D$1000)*1,0))</f>
        <v>VM_0000</v>
      </c>
      <c r="G23" s="43"/>
      <c r="H23" s="70"/>
      <c r="I23" s="70"/>
      <c r="M23">
        <v>0.4</v>
      </c>
      <c r="N23" s="67">
        <v>11</v>
      </c>
      <c r="O23" s="258" t="s">
        <v>1421</v>
      </c>
      <c r="P23" s="10">
        <f>IF(N23&lt;500,43,IF(N23&lt;1000,44,""))</f>
        <v>43</v>
      </c>
      <c r="Q23" s="259" t="s">
        <v>1676</v>
      </c>
      <c r="R23" s="64">
        <v>999</v>
      </c>
      <c r="S23" s="64"/>
      <c r="T23" s="65" t="s">
        <v>1354</v>
      </c>
      <c r="U23" s="1" t="b">
        <v>1</v>
      </c>
      <c r="AC23" s="41"/>
      <c r="AD23" s="41"/>
      <c r="AE23" s="41"/>
    </row>
    <row r="24" spans="1:31">
      <c r="A24" s="245" t="str">
        <f t="shared" si="2"/>
        <v>PE 원형탱크, HJ-005(교반기 포함)</v>
      </c>
      <c r="B24" s="1" t="str">
        <f t="shared" si="0"/>
        <v>M_TNK0102_VM_0000_0.5</v>
      </c>
      <c r="C24" s="7" t="s">
        <v>506</v>
      </c>
      <c r="D24" s="7" t="str" cm="1">
        <f t="array" ref="D24">INDEX(기계코드!$D$4:$D$1022,MATCH(1,(C24=기계코드!$F$4:$F$1022)*1,0))</f>
        <v>M_TNK0102</v>
      </c>
      <c r="E24" s="7" t="s">
        <v>1125</v>
      </c>
      <c r="F24" s="7" t="str" cm="1">
        <f t="array" ref="F24">INDEX(공급업체코드!$B$3:$B$1000,MATCH(1,(E24=공급업체코드!$D$3:$D$1000)*1,0))</f>
        <v>VM_0000</v>
      </c>
      <c r="G24" s="43"/>
      <c r="H24" s="70"/>
      <c r="I24" s="70"/>
      <c r="M24">
        <v>0.5</v>
      </c>
      <c r="N24" s="67">
        <v>11</v>
      </c>
      <c r="O24" s="258" t="s">
        <v>1421</v>
      </c>
      <c r="P24" s="10">
        <f>IF(N24&lt;500,43,IF(N24&lt;1000,44,""))</f>
        <v>43</v>
      </c>
      <c r="Q24" s="259" t="s">
        <v>1676</v>
      </c>
      <c r="R24" s="64">
        <v>999</v>
      </c>
      <c r="S24" s="64"/>
      <c r="T24" s="65" t="s">
        <v>1354</v>
      </c>
      <c r="U24" s="1" t="b">
        <v>1</v>
      </c>
      <c r="AC24" s="41"/>
      <c r="AD24" s="41"/>
      <c r="AE24" s="41"/>
    </row>
    <row r="25" spans="1:31">
      <c r="A25" s="245" t="str">
        <f t="shared" si="2"/>
        <v>PE 원형탱크, HJ-006(교반기 포함)</v>
      </c>
      <c r="B25" s="1" t="str">
        <f t="shared" si="0"/>
        <v>M_TNK0102_VM_0000_0.6</v>
      </c>
      <c r="C25" s="7" t="s">
        <v>506</v>
      </c>
      <c r="D25" s="7" t="str" cm="1">
        <f t="array" ref="D25">INDEX(기계코드!$D$4:$D$1022,MATCH(1,(C25=기계코드!$F$4:$F$1022)*1,0))</f>
        <v>M_TNK0102</v>
      </c>
      <c r="E25" s="7" t="s">
        <v>1125</v>
      </c>
      <c r="F25" s="7" t="str" cm="1">
        <f t="array" ref="F25">INDEX(공급업체코드!$B$3:$B$1000,MATCH(1,(E25=공급업체코드!$D$3:$D$1000)*1,0))</f>
        <v>VM_0000</v>
      </c>
      <c r="G25" s="43"/>
      <c r="H25" s="70"/>
      <c r="I25" s="70"/>
      <c r="M25">
        <v>0.6</v>
      </c>
      <c r="N25" s="67">
        <v>11</v>
      </c>
      <c r="O25" s="258" t="s">
        <v>1421</v>
      </c>
      <c r="P25" s="10">
        <f>IF(N25&lt;500,43,IF(N25&lt;1000,44,""))</f>
        <v>43</v>
      </c>
      <c r="Q25" s="259" t="s">
        <v>1676</v>
      </c>
      <c r="R25" s="64">
        <v>999</v>
      </c>
      <c r="S25" s="64"/>
      <c r="T25" s="65" t="s">
        <v>1354</v>
      </c>
      <c r="U25" s="1" t="b">
        <v>1</v>
      </c>
      <c r="AC25" s="41"/>
      <c r="AD25" s="41"/>
      <c r="AE25" s="41"/>
    </row>
    <row r="26" spans="1:31">
      <c r="A26" s="245" t="str">
        <f t="shared" si="2"/>
        <v>PE 원형탱크, HJ-008(교반기 포함)</v>
      </c>
      <c r="B26" s="1" t="str">
        <f t="shared" si="0"/>
        <v>M_TNK0102_VM_0000_0.8</v>
      </c>
      <c r="C26" s="7" t="s">
        <v>506</v>
      </c>
      <c r="D26" s="7" t="str" cm="1">
        <f t="array" ref="D26">INDEX(기계코드!$D$4:$D$1022,MATCH(1,(C26=기계코드!$F$4:$F$1022)*1,0))</f>
        <v>M_TNK0102</v>
      </c>
      <c r="E26" s="7" t="s">
        <v>1125</v>
      </c>
      <c r="F26" s="7" t="str" cm="1">
        <f t="array" ref="F26">INDEX(공급업체코드!$B$3:$B$1000,MATCH(1,(E26=공급업체코드!$D$3:$D$1000)*1,0))</f>
        <v>VM_0000</v>
      </c>
      <c r="G26" s="43"/>
      <c r="H26" s="70"/>
      <c r="I26" s="70"/>
      <c r="M26">
        <v>0.8</v>
      </c>
      <c r="N26" s="67">
        <v>11</v>
      </c>
      <c r="O26" s="258" t="s">
        <v>1421</v>
      </c>
      <c r="P26" s="10">
        <f>IF(N26&lt;500,43,IF(N26&lt;1000,44,""))</f>
        <v>43</v>
      </c>
      <c r="Q26" s="259" t="s">
        <v>1676</v>
      </c>
      <c r="R26" s="64">
        <v>999</v>
      </c>
      <c r="S26" s="64"/>
      <c r="T26" s="65" t="s">
        <v>1354</v>
      </c>
      <c r="U26" s="1" t="b">
        <v>1</v>
      </c>
      <c r="AC26" s="41"/>
      <c r="AD26" s="41"/>
      <c r="AE26" s="41"/>
    </row>
    <row r="27" spans="1:31">
      <c r="A27" s="245" t="str">
        <f t="shared" si="2"/>
        <v>PE 원형탱크, HJ-010(교반기 포함)</v>
      </c>
      <c r="B27" s="1" t="str">
        <f t="shared" si="0"/>
        <v>M_TNK0102_VM_0000_1</v>
      </c>
      <c r="C27" s="7" t="s">
        <v>506</v>
      </c>
      <c r="D27" s="7" t="str" cm="1">
        <f t="array" ref="D27">INDEX(기계코드!$D$4:$D$1022,MATCH(1,(C27=기계코드!$F$4:$F$1022)*1,0))</f>
        <v>M_TNK0102</v>
      </c>
      <c r="E27" s="7" t="s">
        <v>1125</v>
      </c>
      <c r="F27" s="7" t="str" cm="1">
        <f t="array" ref="F27">INDEX(공급업체코드!$B$3:$B$1000,MATCH(1,(E27=공급업체코드!$D$3:$D$1000)*1,0))</f>
        <v>VM_0000</v>
      </c>
      <c r="G27" s="43"/>
      <c r="H27" s="70"/>
      <c r="I27" s="70"/>
      <c r="M27">
        <v>1</v>
      </c>
      <c r="N27" s="67">
        <v>11</v>
      </c>
      <c r="O27" s="258" t="s">
        <v>1421</v>
      </c>
      <c r="P27" s="10">
        <f>IF(N27&lt;500,43,IF(N27&lt;1000,44,""))</f>
        <v>43</v>
      </c>
      <c r="Q27" s="259" t="s">
        <v>1676</v>
      </c>
      <c r="R27" s="64">
        <v>999</v>
      </c>
      <c r="S27" s="64"/>
      <c r="T27" s="65" t="s">
        <v>1354</v>
      </c>
      <c r="U27" s="1" t="b">
        <v>1</v>
      </c>
      <c r="AC27" s="41"/>
      <c r="AD27" s="41"/>
      <c r="AE27" s="41"/>
    </row>
    <row r="28" spans="1:31">
      <c r="A28" s="245" t="str">
        <f t="shared" si="2"/>
        <v>PE 원형탱크, HJ-015(교반기 포함)</v>
      </c>
      <c r="B28" s="1" t="str">
        <f t="shared" si="0"/>
        <v>M_TNK0102_VM_0000_1.5</v>
      </c>
      <c r="C28" s="7" t="s">
        <v>506</v>
      </c>
      <c r="D28" s="7" t="str" cm="1">
        <f t="array" ref="D28">INDEX(기계코드!$D$4:$D$1022,MATCH(1,(C28=기계코드!$F$4:$F$1022)*1,0))</f>
        <v>M_TNK0102</v>
      </c>
      <c r="E28" s="7" t="s">
        <v>1125</v>
      </c>
      <c r="F28" s="7" t="str" cm="1">
        <f t="array" ref="F28">INDEX(공급업체코드!$B$3:$B$1000,MATCH(1,(E28=공급업체코드!$D$3:$D$1000)*1,0))</f>
        <v>VM_0000</v>
      </c>
      <c r="G28" s="43"/>
      <c r="H28" s="70"/>
      <c r="I28" s="70"/>
      <c r="M28">
        <v>1.5</v>
      </c>
      <c r="N28" s="67">
        <v>11</v>
      </c>
      <c r="O28" s="258" t="s">
        <v>1421</v>
      </c>
      <c r="P28" s="10">
        <f>IF(N28&lt;500,43,IF(N28&lt;1000,44,""))</f>
        <v>43</v>
      </c>
      <c r="Q28" s="259" t="s">
        <v>1676</v>
      </c>
      <c r="R28" s="64">
        <v>999</v>
      </c>
      <c r="S28" s="64"/>
      <c r="T28" s="65" t="s">
        <v>1354</v>
      </c>
      <c r="U28" s="1" t="b">
        <v>1</v>
      </c>
      <c r="AC28" s="41"/>
      <c r="AD28" s="41"/>
      <c r="AE28" s="41"/>
    </row>
    <row r="29" spans="1:31">
      <c r="A29" s="245" t="str">
        <f t="shared" si="2"/>
        <v>PE 원형탱크, HJ-020(교반기 포함)</v>
      </c>
      <c r="B29" s="1" t="str">
        <f t="shared" si="0"/>
        <v>M_TNK0102_VM_0000_2</v>
      </c>
      <c r="C29" s="7" t="s">
        <v>506</v>
      </c>
      <c r="D29" s="7" t="str" cm="1">
        <f t="array" ref="D29">INDEX(기계코드!$D$4:$D$1022,MATCH(1,(C29=기계코드!$F$4:$F$1022)*1,0))</f>
        <v>M_TNK0102</v>
      </c>
      <c r="E29" s="7" t="s">
        <v>1125</v>
      </c>
      <c r="F29" s="7" t="str" cm="1">
        <f t="array" ref="F29">INDEX(공급업체코드!$B$3:$B$1000,MATCH(1,(E29=공급업체코드!$D$3:$D$1000)*1,0))</f>
        <v>VM_0000</v>
      </c>
      <c r="G29" s="43"/>
      <c r="H29" s="70"/>
      <c r="I29" s="70"/>
      <c r="M29">
        <v>2</v>
      </c>
      <c r="N29" s="67">
        <v>11</v>
      </c>
      <c r="O29" s="258" t="s">
        <v>1421</v>
      </c>
      <c r="P29" s="10">
        <f>IF(N29&lt;500,43,IF(N29&lt;1000,44,""))</f>
        <v>43</v>
      </c>
      <c r="Q29" s="259" t="s">
        <v>1676</v>
      </c>
      <c r="R29" s="64">
        <v>999</v>
      </c>
      <c r="S29" s="64"/>
      <c r="T29" s="65" t="s">
        <v>1354</v>
      </c>
      <c r="U29" s="1" t="b">
        <v>1</v>
      </c>
      <c r="AC29" s="41"/>
      <c r="AD29" s="41"/>
      <c r="AE29" s="41"/>
    </row>
    <row r="30" spans="1:31">
      <c r="A30" s="245" t="str">
        <f t="shared" si="2"/>
        <v>PE 원형탱크, HJ-030(교반기 포함)</v>
      </c>
      <c r="B30" s="1" t="str">
        <f t="shared" si="0"/>
        <v>M_TNK0102_VM_0000_3</v>
      </c>
      <c r="C30" s="7" t="s">
        <v>506</v>
      </c>
      <c r="D30" s="7" t="str" cm="1">
        <f t="array" ref="D30">INDEX(기계코드!$D$4:$D$1022,MATCH(1,(C30=기계코드!$F$4:$F$1022)*1,0))</f>
        <v>M_TNK0102</v>
      </c>
      <c r="E30" s="7" t="s">
        <v>1125</v>
      </c>
      <c r="F30" s="7" t="str" cm="1">
        <f t="array" ref="F30">INDEX(공급업체코드!$B$3:$B$1000,MATCH(1,(E30=공급업체코드!$D$3:$D$1000)*1,0))</f>
        <v>VM_0000</v>
      </c>
      <c r="G30" s="43"/>
      <c r="H30" s="70"/>
      <c r="I30" s="70"/>
      <c r="M30">
        <v>3</v>
      </c>
      <c r="N30" s="67">
        <v>11</v>
      </c>
      <c r="O30" s="258" t="s">
        <v>1421</v>
      </c>
      <c r="P30" s="10">
        <f>IF(N30&lt;500,43,IF(N30&lt;1000,44,""))</f>
        <v>43</v>
      </c>
      <c r="Q30" s="259" t="s">
        <v>1676</v>
      </c>
      <c r="R30" s="64">
        <v>999</v>
      </c>
      <c r="S30" s="64"/>
      <c r="T30" s="65" t="s">
        <v>1354</v>
      </c>
      <c r="U30" s="1" t="b">
        <v>1</v>
      </c>
      <c r="AC30" s="41"/>
      <c r="AD30" s="41"/>
      <c r="AE30" s="41"/>
    </row>
    <row r="31" spans="1:31">
      <c r="A31" s="245" t="str">
        <f t="shared" si="2"/>
        <v>PE 원형탱크, HJ-040(교반기 포함)</v>
      </c>
      <c r="B31" s="1" t="str">
        <f t="shared" si="0"/>
        <v>M_TNK0102_VM_0000_4</v>
      </c>
      <c r="C31" s="7" t="s">
        <v>506</v>
      </c>
      <c r="D31" s="7" t="str" cm="1">
        <f t="array" ref="D31">INDEX(기계코드!$D$4:$D$1022,MATCH(1,(C31=기계코드!$F$4:$F$1022)*1,0))</f>
        <v>M_TNK0102</v>
      </c>
      <c r="E31" s="7" t="s">
        <v>1125</v>
      </c>
      <c r="F31" s="7" t="str" cm="1">
        <f t="array" ref="F31">INDEX(공급업체코드!$B$3:$B$1000,MATCH(1,(E31=공급업체코드!$D$3:$D$1000)*1,0))</f>
        <v>VM_0000</v>
      </c>
      <c r="G31" s="43"/>
      <c r="H31" s="70"/>
      <c r="I31" s="70"/>
      <c r="M31">
        <v>4</v>
      </c>
      <c r="N31" s="67">
        <v>11</v>
      </c>
      <c r="O31" s="258" t="s">
        <v>1421</v>
      </c>
      <c r="P31" s="10">
        <f>IF(N31&lt;500,43,IF(N31&lt;1000,44,""))</f>
        <v>43</v>
      </c>
      <c r="Q31" s="259" t="s">
        <v>1676</v>
      </c>
      <c r="R31" s="64">
        <v>999</v>
      </c>
      <c r="S31" s="64"/>
      <c r="T31" s="65" t="s">
        <v>1354</v>
      </c>
      <c r="U31" s="1" t="b">
        <v>1</v>
      </c>
      <c r="AC31" s="41"/>
      <c r="AD31" s="41"/>
      <c r="AE31" s="41"/>
    </row>
    <row r="32" spans="1:31">
      <c r="A32" s="245" t="str">
        <f t="shared" si="2"/>
        <v>PE 원형탱크, HJ-050(교반기 포함)</v>
      </c>
      <c r="B32" s="1" t="str">
        <f t="shared" si="0"/>
        <v>M_TNK0102_VM_0000_5</v>
      </c>
      <c r="C32" s="7" t="s">
        <v>506</v>
      </c>
      <c r="D32" s="7" t="str" cm="1">
        <f t="array" ref="D32">INDEX(기계코드!$D$4:$D$1022,MATCH(1,(C32=기계코드!$F$4:$F$1022)*1,0))</f>
        <v>M_TNK0102</v>
      </c>
      <c r="E32" s="7" t="s">
        <v>1125</v>
      </c>
      <c r="F32" s="7" t="str" cm="1">
        <f t="array" ref="F32">INDEX(공급업체코드!$B$3:$B$1000,MATCH(1,(E32=공급업체코드!$D$3:$D$1000)*1,0))</f>
        <v>VM_0000</v>
      </c>
      <c r="G32" s="43"/>
      <c r="H32" s="70"/>
      <c r="I32" s="70"/>
      <c r="M32">
        <v>5</v>
      </c>
      <c r="N32" s="67">
        <v>11</v>
      </c>
      <c r="O32" s="258" t="s">
        <v>1421</v>
      </c>
      <c r="P32" s="10">
        <f>IF(N32&lt;500,43,IF(N32&lt;1000,44,""))</f>
        <v>43</v>
      </c>
      <c r="Q32" s="259" t="s">
        <v>1676</v>
      </c>
      <c r="R32" s="64">
        <v>999</v>
      </c>
      <c r="S32" s="64"/>
      <c r="T32" s="65" t="s">
        <v>1354</v>
      </c>
      <c r="U32" s="1" t="b">
        <v>1</v>
      </c>
      <c r="AC32" s="41"/>
      <c r="AD32" s="41"/>
      <c r="AE32" s="41"/>
    </row>
    <row r="33" spans="1:31">
      <c r="A33" s="245" t="str">
        <f t="shared" si="2"/>
        <v>PE 원형탱크, HJ-060(교반기 포함)</v>
      </c>
      <c r="B33" s="1" t="str">
        <f t="shared" si="0"/>
        <v>M_TNK0102_VM_0000_6</v>
      </c>
      <c r="C33" s="7" t="s">
        <v>506</v>
      </c>
      <c r="D33" s="7" t="str" cm="1">
        <f t="array" ref="D33">INDEX(기계코드!$D$4:$D$1022,MATCH(1,(C33=기계코드!$F$4:$F$1022)*1,0))</f>
        <v>M_TNK0102</v>
      </c>
      <c r="E33" s="7" t="s">
        <v>1125</v>
      </c>
      <c r="F33" s="7" t="str" cm="1">
        <f t="array" ref="F33">INDEX(공급업체코드!$B$3:$B$1000,MATCH(1,(E33=공급업체코드!$D$3:$D$1000)*1,0))</f>
        <v>VM_0000</v>
      </c>
      <c r="G33" s="43"/>
      <c r="H33" s="70"/>
      <c r="I33" s="70"/>
      <c r="M33">
        <v>6</v>
      </c>
      <c r="N33" s="67">
        <v>11</v>
      </c>
      <c r="O33" s="258" t="s">
        <v>1421</v>
      </c>
      <c r="P33" s="10">
        <f>IF(N33&lt;500,43,IF(N33&lt;1000,44,""))</f>
        <v>43</v>
      </c>
      <c r="Q33" s="259" t="s">
        <v>1676</v>
      </c>
      <c r="R33" s="64">
        <v>999</v>
      </c>
      <c r="S33" s="64"/>
      <c r="T33" s="65" t="s">
        <v>1354</v>
      </c>
      <c r="U33" s="1" t="b">
        <v>1</v>
      </c>
      <c r="AC33" s="41"/>
      <c r="AD33" s="41"/>
      <c r="AE33" s="41"/>
    </row>
    <row r="34" spans="1:31">
      <c r="A34" s="245" t="str">
        <f t="shared" si="2"/>
        <v>PE 원형탱크, HJ-080(교반기 포함)</v>
      </c>
      <c r="B34" s="1" t="str">
        <f t="shared" si="0"/>
        <v>M_TNK0102_VM_0000_8</v>
      </c>
      <c r="C34" s="7" t="s">
        <v>506</v>
      </c>
      <c r="D34" s="7" t="str" cm="1">
        <f t="array" ref="D34">INDEX(기계코드!$D$4:$D$1022,MATCH(1,(C34=기계코드!$F$4:$F$1022)*1,0))</f>
        <v>M_TNK0102</v>
      </c>
      <c r="E34" s="7" t="s">
        <v>1125</v>
      </c>
      <c r="F34" s="7" t="str" cm="1">
        <f t="array" ref="F34">INDEX(공급업체코드!$B$3:$B$1000,MATCH(1,(E34=공급업체코드!$D$3:$D$1000)*1,0))</f>
        <v>VM_0000</v>
      </c>
      <c r="G34" s="43"/>
      <c r="H34" s="70"/>
      <c r="I34" s="70"/>
      <c r="M34">
        <v>8</v>
      </c>
      <c r="N34" s="67">
        <v>11</v>
      </c>
      <c r="O34" s="258" t="s">
        <v>1421</v>
      </c>
      <c r="P34" s="10">
        <f>IF(N34&lt;500,43,IF(N34&lt;1000,44,""))</f>
        <v>43</v>
      </c>
      <c r="Q34" s="259" t="s">
        <v>1676</v>
      </c>
      <c r="R34" s="64">
        <v>999</v>
      </c>
      <c r="S34" s="64"/>
      <c r="T34" s="65" t="s">
        <v>1354</v>
      </c>
      <c r="U34" s="1" t="b">
        <v>1</v>
      </c>
      <c r="AC34" s="41"/>
      <c r="AD34" s="41"/>
      <c r="AE34" s="41"/>
    </row>
    <row r="35" spans="1:31">
      <c r="A35" s="245" t="str">
        <f t="shared" si="2"/>
        <v>PE 원형탱크, HJ-100(교반기 포함)</v>
      </c>
      <c r="B35" s="1" t="str">
        <f t="shared" si="0"/>
        <v>M_TNK0102_VM_0000_10</v>
      </c>
      <c r="C35" s="7" t="s">
        <v>506</v>
      </c>
      <c r="D35" s="7" t="str" cm="1">
        <f t="array" ref="D35">INDEX(기계코드!$D$4:$D$1022,MATCH(1,(C35=기계코드!$F$4:$F$1022)*1,0))</f>
        <v>M_TNK0102</v>
      </c>
      <c r="E35" s="7" t="s">
        <v>1125</v>
      </c>
      <c r="F35" s="7" t="str" cm="1">
        <f t="array" ref="F35">INDEX(공급업체코드!$B$3:$B$1000,MATCH(1,(E35=공급업체코드!$D$3:$D$1000)*1,0))</f>
        <v>VM_0000</v>
      </c>
      <c r="G35" s="43"/>
      <c r="H35" s="70"/>
      <c r="I35" s="70"/>
      <c r="M35">
        <v>10</v>
      </c>
      <c r="N35" s="67">
        <v>11</v>
      </c>
      <c r="O35" s="258" t="s">
        <v>1421</v>
      </c>
      <c r="P35" s="10">
        <f>IF(N35&lt;500,43,IF(N35&lt;1000,44,""))</f>
        <v>43</v>
      </c>
      <c r="Q35" s="259" t="s">
        <v>1676</v>
      </c>
      <c r="R35" s="64">
        <v>999</v>
      </c>
      <c r="S35" s="64"/>
      <c r="T35" s="65" t="s">
        <v>1354</v>
      </c>
      <c r="U35" s="1" t="b">
        <v>1</v>
      </c>
      <c r="AC35" s="41"/>
      <c r="AD35" s="41"/>
      <c r="AE35" s="41"/>
    </row>
    <row r="36" spans="1:31">
      <c r="A36" s="245" t="str">
        <f t="shared" si="2"/>
        <v>PE 원형탱크, HJ-150(교반기 포함)</v>
      </c>
      <c r="B36" s="1" t="str">
        <f t="shared" si="0"/>
        <v>M_TNK0102_VM_0000_15</v>
      </c>
      <c r="C36" s="7" t="s">
        <v>506</v>
      </c>
      <c r="D36" s="7" t="str" cm="1">
        <f t="array" ref="D36">INDEX(기계코드!$D$4:$D$1022,MATCH(1,(C36=기계코드!$F$4:$F$1022)*1,0))</f>
        <v>M_TNK0102</v>
      </c>
      <c r="E36" s="7" t="s">
        <v>1125</v>
      </c>
      <c r="F36" s="7" t="str" cm="1">
        <f t="array" ref="F36">INDEX(공급업체코드!$B$3:$B$1000,MATCH(1,(E36=공급업체코드!$D$3:$D$1000)*1,0))</f>
        <v>VM_0000</v>
      </c>
      <c r="G36" s="43"/>
      <c r="H36" s="70"/>
      <c r="I36" s="70"/>
      <c r="M36">
        <v>15</v>
      </c>
      <c r="N36" s="67">
        <v>11</v>
      </c>
      <c r="O36" s="258" t="s">
        <v>1421</v>
      </c>
      <c r="P36" s="10">
        <f>IF(N36&lt;500,43,IF(N36&lt;1000,44,""))</f>
        <v>43</v>
      </c>
      <c r="Q36" s="259" t="s">
        <v>1676</v>
      </c>
      <c r="R36" s="64">
        <v>999</v>
      </c>
      <c r="S36" s="64"/>
      <c r="T36" s="65" t="s">
        <v>1354</v>
      </c>
      <c r="U36" s="1" t="b">
        <v>1</v>
      </c>
      <c r="AC36" s="41"/>
      <c r="AD36" s="41"/>
      <c r="AE36" s="41"/>
    </row>
    <row r="37" spans="1:31">
      <c r="A37" s="245" t="str">
        <f t="shared" si="2"/>
        <v>PE 원형탱크, HJ-200(교반기 포함)</v>
      </c>
      <c r="B37" s="1" t="str">
        <f t="shared" si="0"/>
        <v>M_TNK0102_VM_0000_20</v>
      </c>
      <c r="C37" s="7" t="s">
        <v>506</v>
      </c>
      <c r="D37" s="7" t="str" cm="1">
        <f t="array" ref="D37">INDEX(기계코드!$D$4:$D$1022,MATCH(1,(C37=기계코드!$F$4:$F$1022)*1,0))</f>
        <v>M_TNK0102</v>
      </c>
      <c r="E37" s="7" t="s">
        <v>1125</v>
      </c>
      <c r="F37" s="7" t="str" cm="1">
        <f t="array" ref="F37">INDEX(공급업체코드!$B$3:$B$1000,MATCH(1,(E37=공급업체코드!$D$3:$D$1000)*1,0))</f>
        <v>VM_0000</v>
      </c>
      <c r="G37" s="43"/>
      <c r="H37" s="70"/>
      <c r="I37" s="70"/>
      <c r="M37">
        <v>20</v>
      </c>
      <c r="N37" s="67">
        <v>11</v>
      </c>
      <c r="O37" s="258" t="s">
        <v>1421</v>
      </c>
      <c r="P37" s="10">
        <f>IF(N37&lt;500,43,IF(N37&lt;1000,44,""))</f>
        <v>43</v>
      </c>
      <c r="Q37" s="259" t="s">
        <v>1676</v>
      </c>
      <c r="R37" s="64">
        <v>999</v>
      </c>
      <c r="S37" s="64"/>
      <c r="T37" s="65" t="s">
        <v>1354</v>
      </c>
      <c r="U37" s="1" t="b">
        <v>1</v>
      </c>
      <c r="AC37" s="41"/>
      <c r="AD37" s="41"/>
      <c r="AE37" s="41"/>
    </row>
    <row r="38" spans="1:31">
      <c r="A38" s="245" t="str">
        <f t="shared" si="2"/>
        <v>PE 원형탱크, HJ-300(교반기 포함)</v>
      </c>
      <c r="B38" s="1" t="str">
        <f t="shared" si="0"/>
        <v>M_TNK0102_VM_0000_30</v>
      </c>
      <c r="C38" s="7" t="s">
        <v>506</v>
      </c>
      <c r="D38" s="7" t="str" cm="1">
        <f t="array" ref="D38">INDEX(기계코드!$D$4:$D$1022,MATCH(1,(C38=기계코드!$F$4:$F$1022)*1,0))</f>
        <v>M_TNK0102</v>
      </c>
      <c r="E38" s="7" t="s">
        <v>1125</v>
      </c>
      <c r="F38" s="7" t="str" cm="1">
        <f t="array" ref="F38">INDEX(공급업체코드!$B$3:$B$1000,MATCH(1,(E38=공급업체코드!$D$3:$D$1000)*1,0))</f>
        <v>VM_0000</v>
      </c>
      <c r="G38" s="43"/>
      <c r="H38" s="70"/>
      <c r="I38" s="70"/>
      <c r="M38">
        <v>30</v>
      </c>
      <c r="N38" s="67">
        <v>11</v>
      </c>
      <c r="O38" s="258" t="s">
        <v>1421</v>
      </c>
      <c r="P38" s="10">
        <f>IF(N38&lt;500,43,IF(N38&lt;1000,44,""))</f>
        <v>43</v>
      </c>
      <c r="Q38" s="259" t="s">
        <v>1676</v>
      </c>
      <c r="R38" s="64">
        <v>999</v>
      </c>
      <c r="S38" s="64"/>
      <c r="T38" s="65" t="s">
        <v>1354</v>
      </c>
      <c r="U38" s="1" t="b">
        <v>1</v>
      </c>
      <c r="AC38" s="41"/>
      <c r="AD38" s="41"/>
      <c r="AE38" s="41"/>
    </row>
    <row r="39" spans="1:31">
      <c r="A39" s="245" t="str">
        <f t="shared" si="2"/>
        <v>PE 원형탱크, HG-400(교반기 포함)</v>
      </c>
      <c r="B39" s="1" t="str">
        <f t="shared" si="0"/>
        <v>M_TNK0102_VM_0000_40</v>
      </c>
      <c r="C39" s="7" t="s">
        <v>506</v>
      </c>
      <c r="D39" s="7" t="str" cm="1">
        <f t="array" ref="D39">INDEX(기계코드!$D$4:$D$1022,MATCH(1,(C39=기계코드!$F$4:$F$1022)*1,0))</f>
        <v>M_TNK0102</v>
      </c>
      <c r="E39" s="7" t="s">
        <v>1125</v>
      </c>
      <c r="F39" s="7" t="str" cm="1">
        <f t="array" ref="F39">INDEX(공급업체코드!$B$3:$B$1000,MATCH(1,(E39=공급업체코드!$D$3:$D$1000)*1,0))</f>
        <v>VM_0000</v>
      </c>
      <c r="G39" s="43"/>
      <c r="H39" s="70"/>
      <c r="I39" s="70"/>
      <c r="M39">
        <v>40</v>
      </c>
      <c r="N39" s="67">
        <v>11</v>
      </c>
      <c r="O39" s="258" t="s">
        <v>1421</v>
      </c>
      <c r="P39" s="10">
        <f>IF(N39&lt;500,43,IF(N39&lt;1000,44,""))</f>
        <v>43</v>
      </c>
      <c r="Q39" s="259" t="s">
        <v>1676</v>
      </c>
      <c r="R39" s="64">
        <v>999</v>
      </c>
      <c r="S39" s="64"/>
      <c r="T39" s="65" t="s">
        <v>1354</v>
      </c>
      <c r="U39" s="1" t="b">
        <v>1</v>
      </c>
      <c r="AC39" s="41"/>
      <c r="AD39" s="41"/>
      <c r="AE39" s="41"/>
    </row>
    <row r="40" spans="1:31">
      <c r="A40" s="245" t="str">
        <f t="shared" si="2"/>
        <v>PE 원형탱크, HG-500(교반기 포함)</v>
      </c>
      <c r="B40" s="1" t="str">
        <f t="shared" si="0"/>
        <v>M_TNK0102_VM_0000_50</v>
      </c>
      <c r="C40" s="7" t="s">
        <v>506</v>
      </c>
      <c r="D40" s="7" t="str" cm="1">
        <f t="array" ref="D40">INDEX(기계코드!$D$4:$D$1022,MATCH(1,(C40=기계코드!$F$4:$F$1022)*1,0))</f>
        <v>M_TNK0102</v>
      </c>
      <c r="E40" s="7" t="s">
        <v>1125</v>
      </c>
      <c r="F40" s="7" t="str" cm="1">
        <f t="array" ref="F40">INDEX(공급업체코드!$B$3:$B$1000,MATCH(1,(E40=공급업체코드!$D$3:$D$1000)*1,0))</f>
        <v>VM_0000</v>
      </c>
      <c r="G40" s="43"/>
      <c r="H40" s="70"/>
      <c r="I40" s="70"/>
      <c r="M40">
        <v>50</v>
      </c>
      <c r="N40" s="67">
        <v>11</v>
      </c>
      <c r="O40" s="258" t="s">
        <v>1421</v>
      </c>
      <c r="P40" s="10">
        <f>IF(N40&lt;500,43,IF(N40&lt;1000,44,""))</f>
        <v>43</v>
      </c>
      <c r="Q40" s="259" t="s">
        <v>1676</v>
      </c>
      <c r="R40" s="64">
        <v>999</v>
      </c>
      <c r="S40" s="64"/>
      <c r="T40" s="65" t="s">
        <v>1354</v>
      </c>
      <c r="U40" s="1" t="b">
        <v>1</v>
      </c>
      <c r="AC40" s="41"/>
      <c r="AD40" s="41"/>
      <c r="AE40" s="41"/>
    </row>
    <row r="41" spans="1:31">
      <c r="A41" s="245" t="s">
        <v>1930</v>
      </c>
      <c r="B41" s="1" t="str">
        <f t="shared" si="0"/>
        <v>M_TNK02_VM_WONJIN_3</v>
      </c>
      <c r="C41" s="7" t="s">
        <v>509</v>
      </c>
      <c r="D41" s="7" t="str" cm="1">
        <f t="array" ref="D41">INDEX(기계코드!$D$4:$D$1022,MATCH(1,(C41=기계코드!$F$4:$F$1022)*1,0))</f>
        <v>M_TNK02</v>
      </c>
      <c r="E41" s="7" t="s">
        <v>1931</v>
      </c>
      <c r="F41" s="7" t="str" cm="1">
        <f t="array" ref="F41">INDEX(공급업체코드!$B$3:$B$1000,MATCH(1,(E41=공급업체코드!$D$3:$D$1000)*1,0))</f>
        <v>VM_WONJIN</v>
      </c>
      <c r="G41" s="43" t="s">
        <v>1932</v>
      </c>
      <c r="H41" s="70"/>
      <c r="I41" s="70"/>
      <c r="J41">
        <v>1.44</v>
      </c>
      <c r="L41">
        <v>1.89</v>
      </c>
      <c r="M41">
        <v>3</v>
      </c>
      <c r="N41" s="67">
        <v>11</v>
      </c>
      <c r="O41" s="258" t="s">
        <v>1390</v>
      </c>
      <c r="P41" s="10">
        <f t="shared" si="1"/>
        <v>43</v>
      </c>
      <c r="Q41" s="259" t="s">
        <v>1391</v>
      </c>
      <c r="R41" s="64">
        <v>11680000</v>
      </c>
      <c r="S41" s="64"/>
      <c r="T41" s="65" t="s">
        <v>1933</v>
      </c>
      <c r="U41" s="1" t="b">
        <v>1</v>
      </c>
      <c r="AC41" s="40"/>
      <c r="AD41" s="40"/>
      <c r="AE41" s="41"/>
    </row>
    <row r="42" spans="1:31">
      <c r="A42" s="245" t="s">
        <v>1934</v>
      </c>
      <c r="B42" s="1" t="str">
        <f t="shared" si="0"/>
        <v>M_TNK02_VM_WONJIN_5</v>
      </c>
      <c r="C42" s="7" t="s">
        <v>509</v>
      </c>
      <c r="D42" s="7" t="str" cm="1">
        <f t="array" ref="D42">INDEX(기계코드!$D$4:$D$1022,MATCH(1,(C42=기계코드!$F$4:$F$1022)*1,0))</f>
        <v>M_TNK02</v>
      </c>
      <c r="E42" s="7" t="s">
        <v>1931</v>
      </c>
      <c r="F42" s="7" t="str" cm="1">
        <f t="array" ref="F42">INDEX(공급업체코드!$B$3:$B$1000,MATCH(1,(E42=공급업체코드!$D$3:$D$1000)*1,0))</f>
        <v>VM_WONJIN</v>
      </c>
      <c r="G42" s="43" t="s">
        <v>1932</v>
      </c>
      <c r="H42" s="70"/>
      <c r="I42" s="70"/>
      <c r="J42">
        <v>1.84</v>
      </c>
      <c r="L42">
        <v>1.89</v>
      </c>
      <c r="M42">
        <v>5</v>
      </c>
      <c r="N42" s="67">
        <v>11</v>
      </c>
      <c r="O42" s="258" t="s">
        <v>1390</v>
      </c>
      <c r="P42" s="10">
        <f t="shared" si="1"/>
        <v>43</v>
      </c>
      <c r="Q42" s="259" t="s">
        <v>1391</v>
      </c>
      <c r="R42" s="64">
        <v>12580000</v>
      </c>
      <c r="S42" s="64"/>
      <c r="T42" s="65" t="s">
        <v>1933</v>
      </c>
      <c r="U42" s="1" t="b">
        <v>1</v>
      </c>
      <c r="AC42" s="41"/>
      <c r="AD42" s="41"/>
      <c r="AE42" s="41"/>
    </row>
    <row r="43" spans="1:31">
      <c r="A43" s="245" t="s">
        <v>1935</v>
      </c>
      <c r="B43" s="1" t="str">
        <f t="shared" si="0"/>
        <v>M_TNK02_VM_WONJIN_6</v>
      </c>
      <c r="C43" s="7" t="s">
        <v>509</v>
      </c>
      <c r="D43" s="7" t="str" cm="1">
        <f t="array" ref="D43">INDEX(기계코드!$D$4:$D$1022,MATCH(1,(C43=기계코드!$F$4:$F$1022)*1,0))</f>
        <v>M_TNK02</v>
      </c>
      <c r="E43" s="7" t="s">
        <v>1931</v>
      </c>
      <c r="F43" s="7" t="str" cm="1">
        <f t="array" ref="F43">INDEX(공급업체코드!$B$3:$B$1000,MATCH(1,(E43=공급업체코드!$D$3:$D$1000)*1,0))</f>
        <v>VM_WONJIN</v>
      </c>
      <c r="G43" s="43" t="s">
        <v>1932</v>
      </c>
      <c r="H43" s="70"/>
      <c r="I43" s="70"/>
      <c r="J43">
        <v>2.0499999999999998</v>
      </c>
      <c r="L43">
        <v>1.89</v>
      </c>
      <c r="M43">
        <v>6</v>
      </c>
      <c r="N43" s="67">
        <v>11</v>
      </c>
      <c r="O43" s="258" t="s">
        <v>1390</v>
      </c>
      <c r="P43" s="10">
        <f t="shared" si="1"/>
        <v>43</v>
      </c>
      <c r="Q43" s="259" t="s">
        <v>1391</v>
      </c>
      <c r="R43" s="64">
        <v>13636000</v>
      </c>
      <c r="S43" s="64"/>
      <c r="T43" s="65" t="s">
        <v>1933</v>
      </c>
      <c r="U43" s="1" t="b">
        <v>1</v>
      </c>
      <c r="AC43" s="41"/>
      <c r="AD43" s="41"/>
      <c r="AE43" s="41"/>
    </row>
    <row r="44" spans="1:31">
      <c r="A44" s="245" t="s">
        <v>1936</v>
      </c>
      <c r="B44" s="1" t="str">
        <f t="shared" si="0"/>
        <v>M_TNK02_VM_WONJIN_8</v>
      </c>
      <c r="C44" s="7" t="s">
        <v>509</v>
      </c>
      <c r="D44" s="7" t="str" cm="1">
        <f t="array" ref="D44">INDEX(기계코드!$D$4:$D$1022,MATCH(1,(C44=기계코드!$F$4:$F$1022)*1,0))</f>
        <v>M_TNK02</v>
      </c>
      <c r="E44" s="7" t="s">
        <v>1931</v>
      </c>
      <c r="F44" s="7" t="str" cm="1">
        <f t="array" ref="F44">INDEX(공급업체코드!$B$3:$B$1000,MATCH(1,(E44=공급업체코드!$D$3:$D$1000)*1,0))</f>
        <v>VM_WONJIN</v>
      </c>
      <c r="G44" s="43" t="s">
        <v>1932</v>
      </c>
      <c r="H44" s="70"/>
      <c r="I44" s="70"/>
      <c r="J44">
        <v>2.34</v>
      </c>
      <c r="L44">
        <v>1.89</v>
      </c>
      <c r="M44">
        <v>8</v>
      </c>
      <c r="N44" s="67">
        <v>11</v>
      </c>
      <c r="O44" s="258" t="s">
        <v>1390</v>
      </c>
      <c r="P44" s="10">
        <f t="shared" si="1"/>
        <v>43</v>
      </c>
      <c r="Q44" s="259" t="s">
        <v>1391</v>
      </c>
      <c r="R44" s="64">
        <v>14758000</v>
      </c>
      <c r="S44" s="64"/>
      <c r="T44" s="65" t="s">
        <v>1933</v>
      </c>
      <c r="U44" s="1" t="b">
        <v>1</v>
      </c>
      <c r="AC44" s="41"/>
      <c r="AD44" s="41"/>
      <c r="AE44" s="41"/>
    </row>
    <row r="45" spans="1:31">
      <c r="A45" s="245" t="s">
        <v>1937</v>
      </c>
      <c r="B45" s="1" t="str">
        <f t="shared" si="0"/>
        <v>M_TNK02_VM_WONJIN_10</v>
      </c>
      <c r="C45" s="7" t="s">
        <v>509</v>
      </c>
      <c r="D45" s="7" t="str" cm="1">
        <f t="array" ref="D45">INDEX(기계코드!$D$4:$D$1022,MATCH(1,(C45=기계코드!$F$4:$F$1022)*1,0))</f>
        <v>M_TNK02</v>
      </c>
      <c r="E45" s="7" t="s">
        <v>1931</v>
      </c>
      <c r="F45" s="7" t="str" cm="1">
        <f t="array" ref="F45">INDEX(공급업체코드!$B$3:$B$1000,MATCH(1,(E45=공급업체코드!$D$3:$D$1000)*1,0))</f>
        <v>VM_WONJIN</v>
      </c>
      <c r="G45" s="43" t="s">
        <v>1932</v>
      </c>
      <c r="H45" s="70"/>
      <c r="I45" s="70"/>
      <c r="J45">
        <v>2.6</v>
      </c>
      <c r="L45">
        <v>1.89</v>
      </c>
      <c r="M45">
        <v>10</v>
      </c>
      <c r="N45" s="67">
        <v>11</v>
      </c>
      <c r="O45" s="258" t="s">
        <v>1390</v>
      </c>
      <c r="P45" s="10">
        <f t="shared" si="1"/>
        <v>43</v>
      </c>
      <c r="Q45" s="259" t="s">
        <v>1391</v>
      </c>
      <c r="R45" s="64">
        <v>16216000</v>
      </c>
      <c r="S45" s="64"/>
      <c r="T45" s="65" t="s">
        <v>1933</v>
      </c>
      <c r="U45" s="1" t="b">
        <v>1</v>
      </c>
      <c r="AC45" s="40"/>
      <c r="AD45" s="40"/>
      <c r="AE45" s="41"/>
    </row>
    <row r="46" spans="1:31">
      <c r="A46" s="245" t="s">
        <v>1938</v>
      </c>
      <c r="B46" s="1" t="str">
        <f t="shared" si="0"/>
        <v>M_TNK02_VM_WONJIN_15</v>
      </c>
      <c r="C46" s="7" t="s">
        <v>509</v>
      </c>
      <c r="D46" s="7" t="str" cm="1">
        <f t="array" ref="D46">INDEX(기계코드!$D$4:$D$1022,MATCH(1,(C46=기계코드!$F$4:$F$1022)*1,0))</f>
        <v>M_TNK02</v>
      </c>
      <c r="E46" s="7" t="s">
        <v>1931</v>
      </c>
      <c r="F46" s="7" t="str" cm="1">
        <f t="array" ref="F46">INDEX(공급업체코드!$B$3:$B$1000,MATCH(1,(E46=공급업체코드!$D$3:$D$1000)*1,0))</f>
        <v>VM_WONJIN</v>
      </c>
      <c r="G46" s="43" t="s">
        <v>1932</v>
      </c>
      <c r="H46" s="70"/>
      <c r="I46" s="70"/>
      <c r="J46">
        <v>2.6</v>
      </c>
      <c r="L46">
        <v>2.835</v>
      </c>
      <c r="M46">
        <v>15</v>
      </c>
      <c r="N46" s="67">
        <v>11</v>
      </c>
      <c r="O46" s="258" t="s">
        <v>1390</v>
      </c>
      <c r="P46" s="10">
        <f t="shared" si="1"/>
        <v>43</v>
      </c>
      <c r="Q46" s="259" t="s">
        <v>1391</v>
      </c>
      <c r="R46" s="64">
        <v>19720000</v>
      </c>
      <c r="S46" s="64"/>
      <c r="T46" s="65" t="s">
        <v>1933</v>
      </c>
      <c r="U46" s="1" t="b">
        <v>1</v>
      </c>
      <c r="AC46" s="41"/>
      <c r="AD46" s="41"/>
      <c r="AE46" s="41"/>
    </row>
    <row r="47" spans="1:31">
      <c r="A47" s="245" t="s">
        <v>1939</v>
      </c>
      <c r="B47" s="1" t="str">
        <f t="shared" si="0"/>
        <v>M_TNK02_VM_WONJIN_20</v>
      </c>
      <c r="C47" s="7" t="s">
        <v>509</v>
      </c>
      <c r="D47" s="7" t="str" cm="1">
        <f t="array" ref="D47">INDEX(기계코드!$D$4:$D$1022,MATCH(1,(C47=기계코드!$F$4:$F$1022)*1,0))</f>
        <v>M_TNK02</v>
      </c>
      <c r="E47" s="7" t="s">
        <v>1931</v>
      </c>
      <c r="F47" s="7" t="str" cm="1">
        <f t="array" ref="F47">INDEX(공급업체코드!$B$3:$B$1000,MATCH(1,(E47=공급업체코드!$D$3:$D$1000)*1,0))</f>
        <v>VM_WONJIN</v>
      </c>
      <c r="G47" s="43" t="s">
        <v>1932</v>
      </c>
      <c r="H47" s="70"/>
      <c r="I47" s="70"/>
      <c r="J47">
        <v>3.1</v>
      </c>
      <c r="L47">
        <v>2.835</v>
      </c>
      <c r="M47">
        <v>20</v>
      </c>
      <c r="N47" s="67">
        <v>11</v>
      </c>
      <c r="O47" s="258" t="s">
        <v>1390</v>
      </c>
      <c r="P47" s="10">
        <f t="shared" si="1"/>
        <v>43</v>
      </c>
      <c r="Q47" s="259" t="s">
        <v>1391</v>
      </c>
      <c r="R47" s="64">
        <v>24088000</v>
      </c>
      <c r="S47" s="64"/>
      <c r="T47" s="65" t="s">
        <v>1933</v>
      </c>
      <c r="U47" s="1" t="b">
        <v>1</v>
      </c>
      <c r="AC47" s="41"/>
      <c r="AD47" s="41"/>
      <c r="AE47" s="41"/>
    </row>
    <row r="48" spans="1:31">
      <c r="A48" s="245" t="s">
        <v>1940</v>
      </c>
      <c r="B48" s="1" t="str">
        <f t="shared" si="0"/>
        <v>M_TNK02_VM_WONJIN_25</v>
      </c>
      <c r="C48" s="7" t="s">
        <v>509</v>
      </c>
      <c r="D48" s="7" t="str" cm="1">
        <f t="array" ref="D48">INDEX(기계코드!$D$4:$D$1022,MATCH(1,(C48=기계코드!$F$4:$F$1022)*1,0))</f>
        <v>M_TNK02</v>
      </c>
      <c r="E48" s="7" t="s">
        <v>1931</v>
      </c>
      <c r="F48" s="7" t="str" cm="1">
        <f t="array" ref="F48">INDEX(공급업체코드!$B$3:$B$1000,MATCH(1,(E48=공급업체코드!$D$3:$D$1000)*1,0))</f>
        <v>VM_WONJIN</v>
      </c>
      <c r="G48" s="43" t="s">
        <v>1932</v>
      </c>
      <c r="H48" s="70"/>
      <c r="I48" s="70"/>
      <c r="J48">
        <v>3.36</v>
      </c>
      <c r="L48">
        <v>2.835</v>
      </c>
      <c r="M48">
        <v>25</v>
      </c>
      <c r="N48" s="67">
        <v>11</v>
      </c>
      <c r="O48" s="258" t="s">
        <v>1390</v>
      </c>
      <c r="P48" s="10">
        <f t="shared" si="1"/>
        <v>43</v>
      </c>
      <c r="Q48" s="259" t="s">
        <v>1391</v>
      </c>
      <c r="R48" s="64">
        <v>26590000</v>
      </c>
      <c r="S48" s="64"/>
      <c r="T48" s="65" t="s">
        <v>1933</v>
      </c>
      <c r="U48" s="1" t="b">
        <v>1</v>
      </c>
      <c r="AC48" s="40"/>
      <c r="AD48" s="40"/>
      <c r="AE48" s="41"/>
    </row>
    <row r="49" spans="1:31">
      <c r="A49" s="245" t="s">
        <v>1941</v>
      </c>
      <c r="B49" s="1" t="str">
        <f t="shared" si="0"/>
        <v>M_TNK02_VM_WONJIN_30</v>
      </c>
      <c r="C49" s="7" t="s">
        <v>509</v>
      </c>
      <c r="D49" s="7" t="str" cm="1">
        <f t="array" ref="D49">INDEX(기계코드!$D$4:$D$1022,MATCH(1,(C49=기계코드!$F$4:$F$1022)*1,0))</f>
        <v>M_TNK02</v>
      </c>
      <c r="E49" s="7" t="s">
        <v>1931</v>
      </c>
      <c r="F49" s="7" t="str" cm="1">
        <f t="array" ref="F49">INDEX(공급업체코드!$B$3:$B$1000,MATCH(1,(E49=공급업체코드!$D$3:$D$1000)*1,0))</f>
        <v>VM_WONJIN</v>
      </c>
      <c r="G49" s="43" t="s">
        <v>1932</v>
      </c>
      <c r="H49" s="70"/>
      <c r="I49" s="70"/>
      <c r="J49">
        <v>3.68</v>
      </c>
      <c r="L49">
        <v>2.835</v>
      </c>
      <c r="M49">
        <v>30</v>
      </c>
      <c r="N49" s="67">
        <v>11</v>
      </c>
      <c r="O49" s="258" t="s">
        <v>1390</v>
      </c>
      <c r="P49" s="10">
        <f t="shared" si="1"/>
        <v>43</v>
      </c>
      <c r="Q49" s="259" t="s">
        <v>1391</v>
      </c>
      <c r="R49" s="64">
        <v>29128000</v>
      </c>
      <c r="S49" s="64"/>
      <c r="T49" s="65" t="s">
        <v>1933</v>
      </c>
      <c r="U49" s="1" t="b">
        <v>1</v>
      </c>
      <c r="AC49" s="41"/>
      <c r="AD49" s="41"/>
      <c r="AE49" s="41"/>
    </row>
    <row r="50" spans="1:31">
      <c r="A50" s="245" t="s">
        <v>1942</v>
      </c>
      <c r="B50" s="1" t="str">
        <f t="shared" si="0"/>
        <v>M_TNK02_VM_WONJIN_40</v>
      </c>
      <c r="C50" s="7" t="s">
        <v>509</v>
      </c>
      <c r="D50" s="7" t="str" cm="1">
        <f t="array" ref="D50">INDEX(기계코드!$D$4:$D$1022,MATCH(1,(C50=기계코드!$F$4:$F$1022)*1,0))</f>
        <v>M_TNK02</v>
      </c>
      <c r="E50" s="7" t="s">
        <v>1931</v>
      </c>
      <c r="F50" s="7" t="str" cm="1">
        <f t="array" ref="F50">INDEX(공급업체코드!$B$3:$B$1000,MATCH(1,(E50=공급업체코드!$D$3:$D$1000)*1,0))</f>
        <v>VM_WONJIN</v>
      </c>
      <c r="G50" s="43" t="s">
        <v>1932</v>
      </c>
      <c r="H50" s="70"/>
      <c r="I50" s="70"/>
      <c r="J50">
        <v>4.24</v>
      </c>
      <c r="L50">
        <v>2.835</v>
      </c>
      <c r="M50">
        <v>40</v>
      </c>
      <c r="N50" s="67">
        <v>11</v>
      </c>
      <c r="O50" s="258" t="s">
        <v>1390</v>
      </c>
      <c r="P50" s="10">
        <f t="shared" si="1"/>
        <v>43</v>
      </c>
      <c r="Q50" s="259" t="s">
        <v>1391</v>
      </c>
      <c r="R50" s="64">
        <v>33304000</v>
      </c>
      <c r="S50" s="64"/>
      <c r="T50" s="65" t="s">
        <v>1933</v>
      </c>
      <c r="U50" s="1" t="b">
        <v>1</v>
      </c>
      <c r="AC50" s="40"/>
      <c r="AD50" s="40"/>
      <c r="AE50" s="40"/>
    </row>
    <row r="51" spans="1:31">
      <c r="A51" s="245" t="s">
        <v>1943</v>
      </c>
      <c r="B51" s="1" t="str">
        <f t="shared" si="0"/>
        <v>M_TNK02_VM_WONJIN_50</v>
      </c>
      <c r="C51" s="7" t="s">
        <v>509</v>
      </c>
      <c r="D51" s="7" t="str" cm="1">
        <f t="array" ref="D51">INDEX(기계코드!$D$4:$D$1022,MATCH(1,(C51=기계코드!$F$4:$F$1022)*1,0))</f>
        <v>M_TNK02</v>
      </c>
      <c r="E51" s="7" t="s">
        <v>1931</v>
      </c>
      <c r="F51" s="7" t="str" cm="1">
        <f t="array" ref="F51">INDEX(공급업체코드!$B$3:$B$1000,MATCH(1,(E51=공급업체코드!$D$3:$D$1000)*1,0))</f>
        <v>VM_WONJIN</v>
      </c>
      <c r="G51" s="43" t="s">
        <v>1932</v>
      </c>
      <c r="H51" s="70"/>
      <c r="I51" s="70"/>
      <c r="J51">
        <v>4.76</v>
      </c>
      <c r="L51">
        <v>2.835</v>
      </c>
      <c r="M51">
        <v>50</v>
      </c>
      <c r="N51" s="67">
        <v>11</v>
      </c>
      <c r="O51" s="258" t="s">
        <v>1390</v>
      </c>
      <c r="P51" s="10">
        <f t="shared" si="1"/>
        <v>43</v>
      </c>
      <c r="Q51" s="259" t="s">
        <v>1391</v>
      </c>
      <c r="R51" s="64">
        <v>38488000</v>
      </c>
      <c r="S51" s="64"/>
      <c r="T51" s="65" t="s">
        <v>1933</v>
      </c>
      <c r="U51" s="1" t="b">
        <v>1</v>
      </c>
      <c r="AC51" s="41"/>
      <c r="AD51" s="41"/>
      <c r="AE51" s="41"/>
    </row>
    <row r="52" spans="1:31">
      <c r="A52" s="245" t="s">
        <v>1944</v>
      </c>
      <c r="B52" s="1" t="str">
        <f t="shared" si="0"/>
        <v>M_TNK02_VM_WONJIN_60</v>
      </c>
      <c r="C52" s="7" t="s">
        <v>509</v>
      </c>
      <c r="D52" s="7" t="str" cm="1">
        <f t="array" ref="D52">INDEX(기계코드!$D$4:$D$1022,MATCH(1,(C52=기계코드!$F$4:$F$1022)*1,0))</f>
        <v>M_TNK02</v>
      </c>
      <c r="E52" s="7" t="s">
        <v>1931</v>
      </c>
      <c r="F52" s="7" t="str" cm="1">
        <f t="array" ref="F52">INDEX(공급업체코드!$B$3:$B$1000,MATCH(1,(E52=공급업체코드!$D$3:$D$1000)*1,0))</f>
        <v>VM_WONJIN</v>
      </c>
      <c r="G52" s="43" t="s">
        <v>1932</v>
      </c>
      <c r="H52" s="70"/>
      <c r="I52" s="70"/>
      <c r="J52">
        <v>5.2</v>
      </c>
      <c r="L52">
        <v>2.835</v>
      </c>
      <c r="M52">
        <v>60</v>
      </c>
      <c r="N52" s="67">
        <v>11</v>
      </c>
      <c r="O52" s="258" t="s">
        <v>1390</v>
      </c>
      <c r="P52" s="10">
        <f t="shared" si="1"/>
        <v>43</v>
      </c>
      <c r="Q52" s="259" t="s">
        <v>1391</v>
      </c>
      <c r="R52" s="64">
        <v>42070000</v>
      </c>
      <c r="S52" s="64"/>
      <c r="T52" s="65" t="s">
        <v>1933</v>
      </c>
      <c r="U52" s="1" t="b">
        <v>1</v>
      </c>
      <c r="AC52" s="41"/>
      <c r="AD52" s="41"/>
      <c r="AE52" s="41"/>
    </row>
    <row r="53" spans="1:31">
      <c r="A53" s="245" t="s">
        <v>1945</v>
      </c>
      <c r="B53" s="1" t="str">
        <f t="shared" si="0"/>
        <v>M_TNK02_VM_WONJIN_70</v>
      </c>
      <c r="C53" s="7" t="s">
        <v>509</v>
      </c>
      <c r="D53" s="7" t="str" cm="1">
        <f t="array" ref="D53">INDEX(기계코드!$D$4:$D$1022,MATCH(1,(C53=기계코드!$F$4:$F$1022)*1,0))</f>
        <v>M_TNK02</v>
      </c>
      <c r="E53" s="7" t="s">
        <v>1931</v>
      </c>
      <c r="F53" s="7" t="str" cm="1">
        <f t="array" ref="F53">INDEX(공급업체코드!$B$3:$B$1000,MATCH(1,(E53=공급업체코드!$D$3:$D$1000)*1,0))</f>
        <v>VM_WONJIN</v>
      </c>
      <c r="G53" s="43" t="s">
        <v>1932</v>
      </c>
      <c r="H53" s="70"/>
      <c r="I53" s="70"/>
      <c r="J53">
        <v>4.9000000000000004</v>
      </c>
      <c r="L53">
        <v>3.78</v>
      </c>
      <c r="M53">
        <v>70</v>
      </c>
      <c r="N53" s="67">
        <v>11</v>
      </c>
      <c r="O53" s="258" t="s">
        <v>1390</v>
      </c>
      <c r="P53" s="10">
        <f t="shared" si="1"/>
        <v>43</v>
      </c>
      <c r="Q53" s="259" t="s">
        <v>1391</v>
      </c>
      <c r="R53" s="64">
        <v>47192000</v>
      </c>
      <c r="S53" s="64"/>
      <c r="T53" s="65" t="s">
        <v>1933</v>
      </c>
      <c r="U53" s="1" t="b">
        <v>1</v>
      </c>
      <c r="AC53" s="41"/>
      <c r="AD53" s="41"/>
      <c r="AE53" s="41"/>
    </row>
    <row r="54" spans="1:31">
      <c r="A54" s="245" t="s">
        <v>1946</v>
      </c>
      <c r="B54" s="1" t="str">
        <f t="shared" si="0"/>
        <v>M_TNK02_VM_WONJIN_80</v>
      </c>
      <c r="C54" s="7" t="s">
        <v>509</v>
      </c>
      <c r="D54" s="7" t="str" cm="1">
        <f t="array" ref="D54">INDEX(기계코드!$D$4:$D$1022,MATCH(1,(C54=기계코드!$F$4:$F$1022)*1,0))</f>
        <v>M_TNK02</v>
      </c>
      <c r="E54" s="7" t="s">
        <v>1931</v>
      </c>
      <c r="F54" s="7" t="str" cm="1">
        <f t="array" ref="F54">INDEX(공급업체코드!$B$3:$B$1000,MATCH(1,(E54=공급업체코드!$D$3:$D$1000)*1,0))</f>
        <v>VM_WONJIN</v>
      </c>
      <c r="G54" s="43" t="s">
        <v>1932</v>
      </c>
      <c r="H54" s="70"/>
      <c r="I54" s="70"/>
      <c r="J54">
        <v>5.2</v>
      </c>
      <c r="L54">
        <v>3.78</v>
      </c>
      <c r="M54">
        <v>80</v>
      </c>
      <c r="N54" s="67">
        <v>11</v>
      </c>
      <c r="O54" s="258" t="s">
        <v>1390</v>
      </c>
      <c r="P54" s="10">
        <f t="shared" si="1"/>
        <v>43</v>
      </c>
      <c r="Q54" s="259" t="s">
        <v>1391</v>
      </c>
      <c r="R54" s="64">
        <v>50432000</v>
      </c>
      <c r="S54" s="64"/>
      <c r="T54" s="65" t="s">
        <v>1933</v>
      </c>
      <c r="U54" s="1" t="b">
        <v>1</v>
      </c>
      <c r="AC54" s="41"/>
      <c r="AD54" s="41"/>
      <c r="AE54" s="41"/>
    </row>
    <row r="55" spans="1:31">
      <c r="A55" s="245" t="s">
        <v>1947</v>
      </c>
      <c r="B55" s="1" t="str">
        <f t="shared" si="0"/>
        <v>M_TNK02_VM_WONJIN_90</v>
      </c>
      <c r="C55" s="7" t="s">
        <v>509</v>
      </c>
      <c r="D55" s="7" t="str" cm="1">
        <f t="array" ref="D55">INDEX(기계코드!$D$4:$D$1022,MATCH(1,(C55=기계코드!$F$4:$F$1022)*1,0))</f>
        <v>M_TNK02</v>
      </c>
      <c r="E55" s="7" t="s">
        <v>1931</v>
      </c>
      <c r="F55" s="7" t="str" cm="1">
        <f t="array" ref="F55">INDEX(공급업체코드!$B$3:$B$1000,MATCH(1,(E55=공급업체코드!$D$3:$D$1000)*1,0))</f>
        <v>VM_WONJIN</v>
      </c>
      <c r="G55" s="43" t="s">
        <v>1932</v>
      </c>
      <c r="H55" s="70"/>
      <c r="I55" s="70"/>
      <c r="J55">
        <v>5.54</v>
      </c>
      <c r="L55">
        <v>3.78</v>
      </c>
      <c r="M55">
        <v>90</v>
      </c>
      <c r="N55" s="67">
        <v>11</v>
      </c>
      <c r="O55" s="258" t="s">
        <v>1390</v>
      </c>
      <c r="P55" s="10">
        <f t="shared" si="1"/>
        <v>43</v>
      </c>
      <c r="Q55" s="259" t="s">
        <v>1391</v>
      </c>
      <c r="R55" s="64">
        <v>55976000</v>
      </c>
      <c r="S55" s="64"/>
      <c r="T55" s="65" t="s">
        <v>1933</v>
      </c>
      <c r="U55" s="1" t="b">
        <v>1</v>
      </c>
    </row>
    <row r="56" spans="1:31">
      <c r="A56" s="245" t="s">
        <v>1948</v>
      </c>
      <c r="B56" s="1" t="str">
        <f t="shared" si="0"/>
        <v>M_TNK02_VM_WONJIN_100</v>
      </c>
      <c r="C56" s="7" t="s">
        <v>509</v>
      </c>
      <c r="D56" s="7" t="str" cm="1">
        <f t="array" ref="D56">INDEX(기계코드!$D$4:$D$1022,MATCH(1,(C56=기계코드!$F$4:$F$1022)*1,0))</f>
        <v>M_TNK02</v>
      </c>
      <c r="E56" s="7" t="s">
        <v>1931</v>
      </c>
      <c r="F56" s="7" t="str" cm="1">
        <f t="array" ref="F56">INDEX(공급업체코드!$B$3:$B$1000,MATCH(1,(E56=공급업체코드!$D$3:$D$1000)*1,0))</f>
        <v>VM_WONJIN</v>
      </c>
      <c r="G56" s="43" t="s">
        <v>1932</v>
      </c>
      <c r="H56" s="70"/>
      <c r="I56" s="70"/>
      <c r="J56">
        <v>5.82</v>
      </c>
      <c r="L56">
        <v>3.78</v>
      </c>
      <c r="M56">
        <v>100</v>
      </c>
      <c r="N56" s="67">
        <v>11</v>
      </c>
      <c r="O56" s="258" t="s">
        <v>1390</v>
      </c>
      <c r="P56" s="10">
        <f t="shared" si="1"/>
        <v>43</v>
      </c>
      <c r="Q56" s="259" t="s">
        <v>1391</v>
      </c>
      <c r="R56" s="64">
        <v>64904000</v>
      </c>
      <c r="S56" s="64"/>
      <c r="T56" s="65" t="s">
        <v>1933</v>
      </c>
      <c r="U56" s="1" t="b">
        <v>1</v>
      </c>
    </row>
    <row r="57" spans="1:31">
      <c r="A57" s="245" t="s">
        <v>1949</v>
      </c>
      <c r="B57" s="1" t="str">
        <f t="shared" si="0"/>
        <v>M_TNK02_VM_WONJIN_120</v>
      </c>
      <c r="C57" s="7" t="s">
        <v>509</v>
      </c>
      <c r="D57" s="7" t="str" cm="1">
        <f t="array" ref="D57">INDEX(기계코드!$D$4:$D$1022,MATCH(1,(C57=기계코드!$F$4:$F$1022)*1,0))</f>
        <v>M_TNK02</v>
      </c>
      <c r="E57" s="7" t="s">
        <v>1931</v>
      </c>
      <c r="F57" s="7" t="str" cm="1">
        <f t="array" ref="F57">INDEX(공급업체코드!$B$3:$B$1000,MATCH(1,(E57=공급업체코드!$D$3:$D$1000)*1,0))</f>
        <v>VM_WONJIN</v>
      </c>
      <c r="G57" s="43" t="s">
        <v>1932</v>
      </c>
      <c r="H57" s="70"/>
      <c r="I57" s="70"/>
      <c r="J57">
        <v>6.38</v>
      </c>
      <c r="L57">
        <v>3.78</v>
      </c>
      <c r="M57">
        <v>120</v>
      </c>
      <c r="N57" s="67">
        <v>11</v>
      </c>
      <c r="O57" s="258" t="s">
        <v>1390</v>
      </c>
      <c r="P57" s="10">
        <f t="shared" si="1"/>
        <v>43</v>
      </c>
      <c r="Q57" s="259" t="s">
        <v>1391</v>
      </c>
      <c r="R57" s="64">
        <v>73034000</v>
      </c>
      <c r="S57" s="64"/>
      <c r="T57" s="65" t="s">
        <v>1933</v>
      </c>
      <c r="U57" s="1" t="b">
        <v>1</v>
      </c>
    </row>
    <row r="58" spans="1:31">
      <c r="A58" s="245" t="s">
        <v>1950</v>
      </c>
      <c r="B58" s="1" t="str">
        <f t="shared" si="0"/>
        <v>M_TNK02_VM_WONJIN_150</v>
      </c>
      <c r="C58" s="7" t="s">
        <v>509</v>
      </c>
      <c r="D58" s="7" t="str" cm="1">
        <f t="array" ref="D58">INDEX(기계코드!$D$4:$D$1022,MATCH(1,(C58=기계코드!$F$4:$F$1022)*1,0))</f>
        <v>M_TNK02</v>
      </c>
      <c r="E58" s="7" t="s">
        <v>1931</v>
      </c>
      <c r="F58" s="7" t="str" cm="1">
        <f t="array" ref="F58">INDEX(공급업체코드!$B$3:$B$1000,MATCH(1,(E58=공급업체코드!$D$3:$D$1000)*1,0))</f>
        <v>VM_WONJIN</v>
      </c>
      <c r="G58" s="43" t="s">
        <v>1932</v>
      </c>
      <c r="H58" s="70"/>
      <c r="I58" s="70"/>
      <c r="J58">
        <v>7.12</v>
      </c>
      <c r="L58">
        <v>3.78</v>
      </c>
      <c r="M58">
        <v>150</v>
      </c>
      <c r="N58" s="67">
        <v>11</v>
      </c>
      <c r="O58" s="258" t="s">
        <v>1390</v>
      </c>
      <c r="P58" s="10">
        <f t="shared" si="1"/>
        <v>43</v>
      </c>
      <c r="Q58" s="259" t="s">
        <v>1391</v>
      </c>
      <c r="R58" s="64">
        <v>86420000</v>
      </c>
      <c r="S58" s="64"/>
      <c r="T58" s="65" t="s">
        <v>1933</v>
      </c>
      <c r="U58" s="1" t="b">
        <v>1</v>
      </c>
    </row>
    <row r="59" spans="1:31">
      <c r="A59" s="245" t="s">
        <v>1951</v>
      </c>
      <c r="B59" s="1" t="str">
        <f t="shared" si="0"/>
        <v>M_TNK02_VM_WONJIN_180</v>
      </c>
      <c r="C59" s="7" t="s">
        <v>509</v>
      </c>
      <c r="D59" s="7" t="str" cm="1">
        <f t="array" ref="D59">INDEX(기계코드!$D$4:$D$1022,MATCH(1,(C59=기계코드!$F$4:$F$1022)*1,0))</f>
        <v>M_TNK02</v>
      </c>
      <c r="E59" s="7" t="s">
        <v>1931</v>
      </c>
      <c r="F59" s="7" t="str" cm="1">
        <f t="array" ref="F59">INDEX(공급업체코드!$B$3:$B$1000,MATCH(1,(E59=공급업체코드!$D$3:$D$1000)*1,0))</f>
        <v>VM_WONJIN</v>
      </c>
      <c r="G59" s="43" t="s">
        <v>1932</v>
      </c>
      <c r="H59" s="70"/>
      <c r="I59" s="70"/>
      <c r="J59">
        <v>7.8</v>
      </c>
      <c r="L59">
        <v>3.78</v>
      </c>
      <c r="M59">
        <v>180</v>
      </c>
      <c r="N59" s="67">
        <v>11</v>
      </c>
      <c r="O59" s="258" t="s">
        <v>1390</v>
      </c>
      <c r="P59" s="10">
        <f t="shared" si="1"/>
        <v>43</v>
      </c>
      <c r="Q59" s="259" t="s">
        <v>1391</v>
      </c>
      <c r="R59" s="64">
        <v>100610000</v>
      </c>
      <c r="S59" s="64"/>
      <c r="T59" s="65" t="s">
        <v>1933</v>
      </c>
      <c r="U59" s="1" t="b">
        <v>1</v>
      </c>
    </row>
    <row r="60" spans="1:31">
      <c r="A60" s="245" t="s">
        <v>1952</v>
      </c>
      <c r="B60" s="1" t="str">
        <f t="shared" si="0"/>
        <v>M_TNK02_VM_WONJIN_200</v>
      </c>
      <c r="C60" s="7" t="s">
        <v>509</v>
      </c>
      <c r="D60" s="7" t="str" cm="1">
        <f t="array" ref="D60">INDEX(기계코드!$D$4:$D$1022,MATCH(1,(C60=기계코드!$F$4:$F$1022)*1,0))</f>
        <v>M_TNK02</v>
      </c>
      <c r="E60" s="7" t="s">
        <v>1931</v>
      </c>
      <c r="F60" s="7" t="str" cm="1">
        <f t="array" ref="F60">INDEX(공급업체코드!$B$3:$B$1000,MATCH(1,(E60=공급업체코드!$D$3:$D$1000)*1,0))</f>
        <v>VM_WONJIN</v>
      </c>
      <c r="G60" s="43" t="s">
        <v>1932</v>
      </c>
      <c r="J60">
        <v>8.2200000000000006</v>
      </c>
      <c r="L60">
        <v>3.78</v>
      </c>
      <c r="M60">
        <v>200</v>
      </c>
      <c r="N60" s="67">
        <v>11</v>
      </c>
      <c r="O60" s="258" t="s">
        <v>1390</v>
      </c>
      <c r="P60" s="10">
        <f t="shared" si="1"/>
        <v>43</v>
      </c>
      <c r="Q60" s="259" t="s">
        <v>1391</v>
      </c>
      <c r="R60" s="64">
        <v>107906000</v>
      </c>
      <c r="S60" s="64"/>
      <c r="T60" s="65" t="s">
        <v>1933</v>
      </c>
      <c r="U60" s="1" t="b">
        <v>1</v>
      </c>
    </row>
    <row r="61" spans="1:31">
      <c r="A61" s="245" t="s">
        <v>1953</v>
      </c>
      <c r="B61" s="1" t="str">
        <f t="shared" si="0"/>
        <v>M_TNK02_VM_WONJIN_250</v>
      </c>
      <c r="C61" s="7" t="s">
        <v>509</v>
      </c>
      <c r="D61" s="7" t="str" cm="1">
        <f t="array" ref="D61">INDEX(기계코드!$D$4:$D$1022,MATCH(1,(C61=기계코드!$F$4:$F$1022)*1,0))</f>
        <v>M_TNK02</v>
      </c>
      <c r="E61" s="7" t="s">
        <v>1931</v>
      </c>
      <c r="F61" s="7" t="str" cm="1">
        <f t="array" ref="F61">INDEX(공급업체코드!$B$3:$B$1000,MATCH(1,(E61=공급업체코드!$D$3:$D$1000)*1,0))</f>
        <v>VM_WONJIN</v>
      </c>
      <c r="G61" s="43" t="s">
        <v>1932</v>
      </c>
      <c r="J61">
        <v>9.18</v>
      </c>
      <c r="L61">
        <v>3.78</v>
      </c>
      <c r="M61">
        <v>250</v>
      </c>
      <c r="N61" s="67">
        <v>11</v>
      </c>
      <c r="O61" s="258" t="s">
        <v>1390</v>
      </c>
      <c r="P61" s="10">
        <f t="shared" si="1"/>
        <v>43</v>
      </c>
      <c r="Q61" s="259" t="s">
        <v>1391</v>
      </c>
      <c r="R61" s="64">
        <v>124286000</v>
      </c>
      <c r="S61" s="64"/>
      <c r="T61" s="65" t="s">
        <v>1933</v>
      </c>
      <c r="U61" s="1" t="b">
        <v>1</v>
      </c>
    </row>
    <row r="62" spans="1:31">
      <c r="A62" s="245" t="s">
        <v>1954</v>
      </c>
      <c r="B62" s="1" t="str">
        <f t="shared" si="0"/>
        <v>M_TNK02_VM_WONJIN_300</v>
      </c>
      <c r="C62" s="7" t="s">
        <v>509</v>
      </c>
      <c r="D62" s="7" t="str" cm="1">
        <f t="array" ref="D62">INDEX(기계코드!$D$4:$D$1022,MATCH(1,(C62=기계코드!$F$4:$F$1022)*1,0))</f>
        <v>M_TNK02</v>
      </c>
      <c r="E62" s="7" t="s">
        <v>1931</v>
      </c>
      <c r="F62" s="7" t="str" cm="1">
        <f t="array" ref="F62">INDEX(공급업체코드!$B$3:$B$1000,MATCH(1,(E62=공급업체코드!$D$3:$D$1000)*1,0))</f>
        <v>VM_WONJIN</v>
      </c>
      <c r="G62" s="43" t="s">
        <v>1932</v>
      </c>
      <c r="J62">
        <v>10.06</v>
      </c>
      <c r="L62">
        <v>3.78</v>
      </c>
      <c r="M62">
        <v>300</v>
      </c>
      <c r="N62" s="67">
        <v>11</v>
      </c>
      <c r="O62" s="258" t="s">
        <v>1390</v>
      </c>
      <c r="P62" s="10">
        <f t="shared" si="1"/>
        <v>43</v>
      </c>
      <c r="Q62" s="259" t="s">
        <v>1391</v>
      </c>
      <c r="R62" s="64">
        <v>149390000</v>
      </c>
      <c r="S62" s="64"/>
      <c r="T62" s="65" t="s">
        <v>1933</v>
      </c>
      <c r="U62" s="1" t="b">
        <v>1</v>
      </c>
    </row>
    <row r="63" spans="1:31">
      <c r="A63" s="245" t="s">
        <v>1955</v>
      </c>
      <c r="B63" s="1" t="str">
        <f t="shared" si="0"/>
        <v>M_TNK02_VM_WONJIN_350</v>
      </c>
      <c r="C63" s="7" t="s">
        <v>509</v>
      </c>
      <c r="D63" s="7" t="str" cm="1">
        <f t="array" ref="D63">INDEX(기계코드!$D$4:$D$1022,MATCH(1,(C63=기계코드!$F$4:$F$1022)*1,0))</f>
        <v>M_TNK02</v>
      </c>
      <c r="E63" s="7" t="s">
        <v>1931</v>
      </c>
      <c r="F63" s="7" t="str" cm="1">
        <f t="array" ref="F63">INDEX(공급업체코드!$B$3:$B$1000,MATCH(1,(E63=공급업체코드!$D$3:$D$1000)*1,0))</f>
        <v>VM_WONJIN</v>
      </c>
      <c r="G63" s="43" t="s">
        <v>1932</v>
      </c>
      <c r="J63">
        <v>10.88</v>
      </c>
      <c r="L63">
        <v>3.78</v>
      </c>
      <c r="M63">
        <v>350</v>
      </c>
      <c r="N63" s="67">
        <v>11</v>
      </c>
      <c r="O63" s="258" t="s">
        <v>1390</v>
      </c>
      <c r="P63" s="10">
        <f t="shared" si="1"/>
        <v>43</v>
      </c>
      <c r="Q63" s="259" t="s">
        <v>1391</v>
      </c>
      <c r="R63" s="64">
        <v>119270000</v>
      </c>
      <c r="S63" s="64"/>
      <c r="T63" s="65" t="s">
        <v>1933</v>
      </c>
      <c r="U63" s="1" t="b">
        <v>1</v>
      </c>
    </row>
    <row r="64" spans="1:31">
      <c r="A64" s="245" t="s">
        <v>1956</v>
      </c>
      <c r="B64" s="1" t="str">
        <f t="shared" si="0"/>
        <v>M_TNK03_VM_WONJIN_6</v>
      </c>
      <c r="C64" s="7" t="s">
        <v>512</v>
      </c>
      <c r="D64" s="7" t="str" cm="1">
        <f t="array" ref="D64">INDEX(기계코드!$D$4:$D$1022,MATCH(1,(C64=기계코드!$F$4:$F$1022)*1,0))</f>
        <v>M_TNK03</v>
      </c>
      <c r="E64" s="7" t="s">
        <v>1931</v>
      </c>
      <c r="F64" s="7" t="str" cm="1">
        <f t="array" ref="F64">INDEX(공급업체코드!$B$3:$B$1000,MATCH(1,(E64=공급업체코드!$D$3:$D$1000)*1,0))</f>
        <v>VM_WONJIN</v>
      </c>
      <c r="G64" s="43" t="s">
        <v>1957</v>
      </c>
      <c r="H64">
        <v>2</v>
      </c>
      <c r="I64">
        <v>1.5</v>
      </c>
      <c r="L64">
        <v>2</v>
      </c>
      <c r="M64">
        <v>6</v>
      </c>
      <c r="N64" s="67">
        <v>11</v>
      </c>
      <c r="O64" s="258" t="s">
        <v>1390</v>
      </c>
      <c r="P64" s="10">
        <f t="shared" si="1"/>
        <v>43</v>
      </c>
      <c r="Q64" s="259" t="s">
        <v>1391</v>
      </c>
      <c r="R64" s="64">
        <v>13701600</v>
      </c>
      <c r="S64" s="64"/>
      <c r="T64" s="65" t="s">
        <v>1933</v>
      </c>
      <c r="U64" s="1" t="b">
        <v>1</v>
      </c>
    </row>
    <row r="65" spans="1:21">
      <c r="A65" s="245" t="s">
        <v>1958</v>
      </c>
      <c r="B65" s="1" t="str">
        <f t="shared" si="0"/>
        <v>M_TNK03_VM_WONJIN_8</v>
      </c>
      <c r="C65" s="7" t="s">
        <v>512</v>
      </c>
      <c r="D65" s="7" t="str" cm="1">
        <f t="array" ref="D65">INDEX(기계코드!$D$4:$D$1022,MATCH(1,(C65=기계코드!$F$4:$F$1022)*1,0))</f>
        <v>M_TNK03</v>
      </c>
      <c r="E65" s="7" t="s">
        <v>1931</v>
      </c>
      <c r="F65" s="7" t="str" cm="1">
        <f t="array" ref="F65">INDEX(공급업체코드!$B$3:$B$1000,MATCH(1,(E65=공급업체코드!$D$3:$D$1000)*1,0))</f>
        <v>VM_WONJIN</v>
      </c>
      <c r="G65" s="43" t="s">
        <v>1957</v>
      </c>
      <c r="H65">
        <v>2</v>
      </c>
      <c r="I65">
        <v>2</v>
      </c>
      <c r="L65">
        <v>2</v>
      </c>
      <c r="M65">
        <v>8</v>
      </c>
      <c r="N65" s="67">
        <v>11</v>
      </c>
      <c r="O65" s="258" t="s">
        <v>1390</v>
      </c>
      <c r="P65" s="10">
        <f t="shared" si="1"/>
        <v>43</v>
      </c>
      <c r="Q65" s="259" t="s">
        <v>1391</v>
      </c>
      <c r="R65" s="64">
        <v>15239400</v>
      </c>
      <c r="S65" s="64"/>
      <c r="T65" s="65" t="s">
        <v>1933</v>
      </c>
      <c r="U65" s="1" t="b">
        <v>1</v>
      </c>
    </row>
    <row r="66" spans="1:21">
      <c r="A66" s="245" t="s">
        <v>1959</v>
      </c>
      <c r="B66" s="1" t="str">
        <f t="shared" si="0"/>
        <v>M_TNK03_VM_WONJIN_10</v>
      </c>
      <c r="C66" s="7" t="s">
        <v>512</v>
      </c>
      <c r="D66" s="7" t="str" cm="1">
        <f t="array" ref="D66">INDEX(기계코드!$D$4:$D$1022,MATCH(1,(C66=기계코드!$F$4:$F$1022)*1,0))</f>
        <v>M_TNK03</v>
      </c>
      <c r="E66" s="7" t="s">
        <v>1931</v>
      </c>
      <c r="F66" s="7" t="str" cm="1">
        <f t="array" ref="F66">INDEX(공급업체코드!$B$3:$B$1000,MATCH(1,(E66=공급업체코드!$D$3:$D$1000)*1,0))</f>
        <v>VM_WONJIN</v>
      </c>
      <c r="G66" s="43" t="s">
        <v>1957</v>
      </c>
      <c r="H66">
        <v>2.5</v>
      </c>
      <c r="I66">
        <v>2</v>
      </c>
      <c r="L66">
        <v>2</v>
      </c>
      <c r="M66">
        <v>10</v>
      </c>
      <c r="N66" s="67">
        <v>11</v>
      </c>
      <c r="O66" s="258" t="s">
        <v>1390</v>
      </c>
      <c r="P66" s="10">
        <f t="shared" si="1"/>
        <v>43</v>
      </c>
      <c r="Q66" s="259" t="s">
        <v>1391</v>
      </c>
      <c r="R66" s="64">
        <v>17799100</v>
      </c>
      <c r="S66" s="64"/>
      <c r="T66" s="65" t="s">
        <v>1933</v>
      </c>
      <c r="U66" s="1" t="b">
        <v>1</v>
      </c>
    </row>
    <row r="67" spans="1:21">
      <c r="A67" s="245" t="s">
        <v>1960</v>
      </c>
      <c r="B67" s="1" t="str">
        <f t="shared" si="0"/>
        <v>M_TNK03_VM_WONJIN_12</v>
      </c>
      <c r="C67" s="7" t="s">
        <v>512</v>
      </c>
      <c r="D67" s="7" t="str" cm="1">
        <f t="array" ref="D67">INDEX(기계코드!$D$4:$D$1022,MATCH(1,(C67=기계코드!$F$4:$F$1022)*1,0))</f>
        <v>M_TNK03</v>
      </c>
      <c r="E67" s="7" t="s">
        <v>1931</v>
      </c>
      <c r="F67" s="7" t="str" cm="1">
        <f t="array" ref="F67">INDEX(공급업체코드!$B$3:$B$1000,MATCH(1,(E67=공급업체코드!$D$3:$D$1000)*1,0))</f>
        <v>VM_WONJIN</v>
      </c>
      <c r="G67" s="43" t="s">
        <v>1957</v>
      </c>
      <c r="H67">
        <v>3</v>
      </c>
      <c r="I67">
        <v>2</v>
      </c>
      <c r="L67">
        <v>2</v>
      </c>
      <c r="M67">
        <v>12</v>
      </c>
      <c r="N67" s="67">
        <v>11</v>
      </c>
      <c r="O67" s="258" t="s">
        <v>1390</v>
      </c>
      <c r="P67" s="10">
        <f t="shared" si="1"/>
        <v>43</v>
      </c>
      <c r="Q67" s="259" t="s">
        <v>1391</v>
      </c>
      <c r="R67" s="64">
        <v>19325900</v>
      </c>
      <c r="S67" s="64"/>
      <c r="T67" s="65" t="s">
        <v>1933</v>
      </c>
      <c r="U67" s="1" t="b">
        <v>1</v>
      </c>
    </row>
    <row r="68" spans="1:21">
      <c r="A68" s="245" t="s">
        <v>1961</v>
      </c>
      <c r="B68" s="1" t="str">
        <f t="shared" si="0"/>
        <v>M_TNK03_VM_WONJIN_15</v>
      </c>
      <c r="C68" s="7" t="s">
        <v>512</v>
      </c>
      <c r="D68" s="7" t="str" cm="1">
        <f t="array" ref="D68">INDEX(기계코드!$D$4:$D$1022,MATCH(1,(C68=기계코드!$F$4:$F$1022)*1,0))</f>
        <v>M_TNK03</v>
      </c>
      <c r="E68" s="7" t="s">
        <v>1931</v>
      </c>
      <c r="F68" s="7" t="str" cm="1">
        <f t="array" ref="F68">INDEX(공급업체코드!$B$3:$B$1000,MATCH(1,(E68=공급업체코드!$D$3:$D$1000)*1,0))</f>
        <v>VM_WONJIN</v>
      </c>
      <c r="G68" s="43" t="s">
        <v>1957</v>
      </c>
      <c r="H68">
        <v>4</v>
      </c>
      <c r="I68">
        <v>2</v>
      </c>
      <c r="L68">
        <v>2</v>
      </c>
      <c r="M68">
        <v>15</v>
      </c>
      <c r="N68" s="67">
        <v>11</v>
      </c>
      <c r="O68" s="258" t="s">
        <v>1390</v>
      </c>
      <c r="P68" s="10">
        <f t="shared" si="1"/>
        <v>43</v>
      </c>
      <c r="Q68" s="259" t="s">
        <v>1391</v>
      </c>
      <c r="R68" s="64">
        <v>20853800</v>
      </c>
      <c r="S68" s="64"/>
      <c r="T68" s="65" t="s">
        <v>1933</v>
      </c>
      <c r="U68" s="1" t="b">
        <v>1</v>
      </c>
    </row>
    <row r="69" spans="1:21">
      <c r="A69" s="245" t="s">
        <v>1962</v>
      </c>
      <c r="B69" s="1" t="str">
        <f t="shared" si="0"/>
        <v>M_TNK03_VM_WONJIN_20</v>
      </c>
      <c r="C69" s="7" t="s">
        <v>512</v>
      </c>
      <c r="D69" s="7" t="str" cm="1">
        <f t="array" ref="D69">INDEX(기계코드!$D$4:$D$1022,MATCH(1,(C69=기계코드!$F$4:$F$1022)*1,0))</f>
        <v>M_TNK03</v>
      </c>
      <c r="E69" s="7" t="s">
        <v>1931</v>
      </c>
      <c r="F69" s="7" t="str" cm="1">
        <f t="array" ref="F69">INDEX(공급업체코드!$B$3:$B$1000,MATCH(1,(E69=공급업체코드!$D$3:$D$1000)*1,0))</f>
        <v>VM_WONJIN</v>
      </c>
      <c r="G69" s="43" t="s">
        <v>1957</v>
      </c>
      <c r="H69">
        <v>4</v>
      </c>
      <c r="I69">
        <v>2.5</v>
      </c>
      <c r="L69">
        <v>2</v>
      </c>
      <c r="M69">
        <v>20</v>
      </c>
      <c r="N69" s="67">
        <v>11</v>
      </c>
      <c r="O69" s="258" t="s">
        <v>1390</v>
      </c>
      <c r="P69" s="10">
        <f t="shared" si="1"/>
        <v>43</v>
      </c>
      <c r="Q69" s="259" t="s">
        <v>1391</v>
      </c>
      <c r="R69" s="64">
        <v>23645600</v>
      </c>
      <c r="S69" s="64"/>
      <c r="T69" s="65" t="s">
        <v>1933</v>
      </c>
      <c r="U69" s="1" t="b">
        <v>1</v>
      </c>
    </row>
    <row r="70" spans="1:21">
      <c r="A70" s="245" t="s">
        <v>1963</v>
      </c>
      <c r="B70" s="1" t="str">
        <f t="shared" si="0"/>
        <v>M_TNK03_VM_WONJIN_25</v>
      </c>
      <c r="C70" s="7" t="s">
        <v>512</v>
      </c>
      <c r="D70" s="7" t="str" cm="1">
        <f t="array" ref="D70">INDEX(기계코드!$D$4:$D$1022,MATCH(1,(C70=기계코드!$F$4:$F$1022)*1,0))</f>
        <v>M_TNK03</v>
      </c>
      <c r="E70" s="7" t="s">
        <v>1931</v>
      </c>
      <c r="F70" s="7" t="str" cm="1">
        <f t="array" ref="F70">INDEX(공급업체코드!$B$3:$B$1000,MATCH(1,(E70=공급업체코드!$D$3:$D$1000)*1,0))</f>
        <v>VM_WONJIN</v>
      </c>
      <c r="G70" s="43" t="s">
        <v>1957</v>
      </c>
      <c r="H70">
        <v>4.5</v>
      </c>
      <c r="I70">
        <v>3</v>
      </c>
      <c r="L70">
        <v>2</v>
      </c>
      <c r="M70">
        <v>25</v>
      </c>
      <c r="N70" s="67">
        <v>11</v>
      </c>
      <c r="O70" s="258" t="s">
        <v>1390</v>
      </c>
      <c r="P70" s="10">
        <f t="shared" si="1"/>
        <v>43</v>
      </c>
      <c r="Q70" s="259" t="s">
        <v>1391</v>
      </c>
      <c r="R70" s="64">
        <v>27112800</v>
      </c>
      <c r="S70" s="64"/>
      <c r="T70" s="65" t="s">
        <v>1933</v>
      </c>
      <c r="U70" s="1" t="b">
        <v>1</v>
      </c>
    </row>
    <row r="71" spans="1:21">
      <c r="A71" s="245" t="s">
        <v>1964</v>
      </c>
      <c r="B71" s="1" t="str">
        <f t="shared" si="0"/>
        <v>M_TNK03_VM_WONJIN_30</v>
      </c>
      <c r="C71" s="7" t="s">
        <v>512</v>
      </c>
      <c r="D71" s="7" t="str" cm="1">
        <f t="array" ref="D71">INDEX(기계코드!$D$4:$D$1022,MATCH(1,(C71=기계코드!$F$4:$F$1022)*1,0))</f>
        <v>M_TNK03</v>
      </c>
      <c r="E71" s="7" t="s">
        <v>1931</v>
      </c>
      <c r="F71" s="7" t="str" cm="1">
        <f t="array" ref="F71">INDEX(공급업체코드!$B$3:$B$1000,MATCH(1,(E71=공급업체코드!$D$3:$D$1000)*1,0))</f>
        <v>VM_WONJIN</v>
      </c>
      <c r="G71" s="43" t="s">
        <v>1957</v>
      </c>
      <c r="H71">
        <v>4</v>
      </c>
      <c r="I71">
        <v>4</v>
      </c>
      <c r="L71">
        <v>2</v>
      </c>
      <c r="M71">
        <v>30</v>
      </c>
      <c r="N71" s="67">
        <v>11</v>
      </c>
      <c r="O71" s="258" t="s">
        <v>1390</v>
      </c>
      <c r="P71" s="10">
        <f t="shared" si="1"/>
        <v>43</v>
      </c>
      <c r="Q71" s="259" t="s">
        <v>1391</v>
      </c>
      <c r="R71" s="64">
        <v>28473500</v>
      </c>
      <c r="S71" s="64"/>
      <c r="T71" s="65" t="s">
        <v>1933</v>
      </c>
      <c r="U71" s="1" t="b">
        <v>1</v>
      </c>
    </row>
    <row r="72" spans="1:21">
      <c r="A72" s="245" t="s">
        <v>1965</v>
      </c>
      <c r="B72" s="1" t="str">
        <f t="shared" si="0"/>
        <v>M_TNK03_VM_WONJIN_35</v>
      </c>
      <c r="C72" s="7" t="s">
        <v>512</v>
      </c>
      <c r="D72" s="7" t="str" cm="1">
        <f t="array" ref="D72">INDEX(기계코드!$D$4:$D$1022,MATCH(1,(C72=기계코드!$F$4:$F$1022)*1,0))</f>
        <v>M_TNK03</v>
      </c>
      <c r="E72" s="7" t="s">
        <v>1931</v>
      </c>
      <c r="F72" s="7" t="str" cm="1">
        <f t="array" ref="F72">INDEX(공급업체코드!$B$3:$B$1000,MATCH(1,(E72=공급업체코드!$D$3:$D$1000)*1,0))</f>
        <v>VM_WONJIN</v>
      </c>
      <c r="G72" s="43" t="s">
        <v>1957</v>
      </c>
      <c r="H72">
        <v>4.5</v>
      </c>
      <c r="I72">
        <v>4</v>
      </c>
      <c r="L72">
        <v>2</v>
      </c>
      <c r="M72">
        <v>35</v>
      </c>
      <c r="N72" s="67">
        <v>11</v>
      </c>
      <c r="O72" s="258" t="s">
        <v>1390</v>
      </c>
      <c r="P72" s="10">
        <f t="shared" si="1"/>
        <v>43</v>
      </c>
      <c r="Q72" s="259" t="s">
        <v>1391</v>
      </c>
      <c r="R72" s="64">
        <v>31345600</v>
      </c>
      <c r="S72" s="64"/>
      <c r="T72" s="65" t="s">
        <v>1933</v>
      </c>
      <c r="U72" s="1" t="b">
        <v>1</v>
      </c>
    </row>
    <row r="73" spans="1:21">
      <c r="A73" s="245" t="s">
        <v>1966</v>
      </c>
      <c r="B73" s="1" t="str">
        <f t="shared" si="0"/>
        <v>M_TNK03_VM_WONJIN_40</v>
      </c>
      <c r="C73" s="7" t="s">
        <v>512</v>
      </c>
      <c r="D73" s="7" t="str" cm="1">
        <f t="array" ref="D73">INDEX(기계코드!$D$4:$D$1022,MATCH(1,(C73=기계코드!$F$4:$F$1022)*1,0))</f>
        <v>M_TNK03</v>
      </c>
      <c r="E73" s="7" t="s">
        <v>1931</v>
      </c>
      <c r="F73" s="7" t="str" cm="1">
        <f t="array" ref="F73">INDEX(공급업체코드!$B$3:$B$1000,MATCH(1,(E73=공급업체코드!$D$3:$D$1000)*1,0))</f>
        <v>VM_WONJIN</v>
      </c>
      <c r="G73" s="43" t="s">
        <v>1957</v>
      </c>
      <c r="H73">
        <v>5</v>
      </c>
      <c r="I73">
        <v>4</v>
      </c>
      <c r="L73">
        <v>2</v>
      </c>
      <c r="M73">
        <v>40</v>
      </c>
      <c r="N73" s="67">
        <v>11</v>
      </c>
      <c r="O73" s="258" t="s">
        <v>1390</v>
      </c>
      <c r="P73" s="10">
        <f t="shared" si="1"/>
        <v>43</v>
      </c>
      <c r="Q73" s="259" t="s">
        <v>1391</v>
      </c>
      <c r="R73" s="64">
        <v>32543500</v>
      </c>
      <c r="S73" s="64"/>
      <c r="T73" s="65" t="s">
        <v>1933</v>
      </c>
      <c r="U73" s="1" t="b">
        <v>1</v>
      </c>
    </row>
    <row r="74" spans="1:21">
      <c r="A74" s="245" t="s">
        <v>1967</v>
      </c>
      <c r="B74" s="1" t="str">
        <f t="shared" si="0"/>
        <v>M_TNK03_VM_WONJIN_45</v>
      </c>
      <c r="C74" s="7" t="s">
        <v>512</v>
      </c>
      <c r="D74" s="7" t="str" cm="1">
        <f t="array" ref="D74">INDEX(기계코드!$D$4:$D$1022,MATCH(1,(C74=기계코드!$F$4:$F$1022)*1,0))</f>
        <v>M_TNK03</v>
      </c>
      <c r="E74" s="7" t="s">
        <v>1931</v>
      </c>
      <c r="F74" s="7" t="str" cm="1">
        <f t="array" ref="F74">INDEX(공급업체코드!$B$3:$B$1000,MATCH(1,(E74=공급업체코드!$D$3:$D$1000)*1,0))</f>
        <v>VM_WONJIN</v>
      </c>
      <c r="G74" s="43" t="s">
        <v>1957</v>
      </c>
      <c r="H74">
        <v>5</v>
      </c>
      <c r="I74">
        <v>3</v>
      </c>
      <c r="L74">
        <v>3</v>
      </c>
      <c r="M74">
        <v>45</v>
      </c>
      <c r="N74" s="67">
        <v>11</v>
      </c>
      <c r="O74" s="258" t="s">
        <v>1390</v>
      </c>
      <c r="P74" s="10">
        <f t="shared" si="1"/>
        <v>43</v>
      </c>
      <c r="Q74" s="259" t="s">
        <v>1391</v>
      </c>
      <c r="R74" s="64">
        <v>35523500</v>
      </c>
      <c r="S74" s="64"/>
      <c r="T74" s="65" t="s">
        <v>1933</v>
      </c>
      <c r="U74" s="1" t="b">
        <v>1</v>
      </c>
    </row>
    <row r="75" spans="1:21">
      <c r="A75" s="245" t="s">
        <v>1968</v>
      </c>
      <c r="B75" s="1" t="str">
        <f t="shared" si="0"/>
        <v>M_TNK03_VM_WONJIN_50</v>
      </c>
      <c r="C75" s="7" t="s">
        <v>512</v>
      </c>
      <c r="D75" s="7" t="str" cm="1">
        <f t="array" ref="D75">INDEX(기계코드!$D$4:$D$1022,MATCH(1,(C75=기계코드!$F$4:$F$1022)*1,0))</f>
        <v>M_TNK03</v>
      </c>
      <c r="E75" s="7" t="s">
        <v>1931</v>
      </c>
      <c r="F75" s="7" t="str" cm="1">
        <f t="array" ref="F75">INDEX(공급업체코드!$B$3:$B$1000,MATCH(1,(E75=공급업체코드!$D$3:$D$1000)*1,0))</f>
        <v>VM_WONJIN</v>
      </c>
      <c r="G75" s="43" t="s">
        <v>1957</v>
      </c>
      <c r="H75">
        <v>5</v>
      </c>
      <c r="I75">
        <v>3.5</v>
      </c>
      <c r="L75">
        <v>3</v>
      </c>
      <c r="M75">
        <v>50</v>
      </c>
      <c r="N75" s="67">
        <v>11</v>
      </c>
      <c r="O75" s="258" t="s">
        <v>1390</v>
      </c>
      <c r="P75" s="10">
        <f t="shared" si="1"/>
        <v>43</v>
      </c>
      <c r="Q75" s="259" t="s">
        <v>1391</v>
      </c>
      <c r="R75" s="64">
        <v>41664800</v>
      </c>
      <c r="S75" s="64"/>
      <c r="T75" s="65" t="s">
        <v>1933</v>
      </c>
      <c r="U75" s="1" t="b">
        <v>1</v>
      </c>
    </row>
    <row r="76" spans="1:21">
      <c r="A76" s="245" t="s">
        <v>1969</v>
      </c>
      <c r="B76" s="1" t="str">
        <f t="shared" si="0"/>
        <v>M_TNK03_VM_WONJIN_55</v>
      </c>
      <c r="C76" s="7" t="s">
        <v>512</v>
      </c>
      <c r="D76" s="7" t="str" cm="1">
        <f t="array" ref="D76">INDEX(기계코드!$D$4:$D$1022,MATCH(1,(C76=기계코드!$F$4:$F$1022)*1,0))</f>
        <v>M_TNK03</v>
      </c>
      <c r="E76" s="7" t="s">
        <v>1931</v>
      </c>
      <c r="F76" s="7" t="str" cm="1">
        <f t="array" ref="F76">INDEX(공급업체코드!$B$3:$B$1000,MATCH(1,(E76=공급업체코드!$D$3:$D$1000)*1,0))</f>
        <v>VM_WONJIN</v>
      </c>
      <c r="G76" s="43" t="s">
        <v>1957</v>
      </c>
      <c r="H76">
        <v>4.5</v>
      </c>
      <c r="I76">
        <v>4</v>
      </c>
      <c r="L76">
        <v>3</v>
      </c>
      <c r="M76">
        <v>55</v>
      </c>
      <c r="N76" s="67">
        <v>11</v>
      </c>
      <c r="O76" s="258" t="s">
        <v>1390</v>
      </c>
      <c r="P76" s="10">
        <f t="shared" si="1"/>
        <v>43</v>
      </c>
      <c r="Q76" s="259" t="s">
        <v>1391</v>
      </c>
      <c r="R76" s="64">
        <v>42014600</v>
      </c>
      <c r="S76" s="64"/>
      <c r="T76" s="65" t="s">
        <v>1933</v>
      </c>
      <c r="U76" s="1" t="b">
        <v>1</v>
      </c>
    </row>
    <row r="77" spans="1:21">
      <c r="A77" s="245" t="s">
        <v>1970</v>
      </c>
      <c r="B77" s="1" t="str">
        <f t="shared" si="0"/>
        <v>M_TNK03_VM_WONJIN_60</v>
      </c>
      <c r="C77" s="7" t="s">
        <v>512</v>
      </c>
      <c r="D77" s="7" t="str" cm="1">
        <f t="array" ref="D77">INDEX(기계코드!$D$4:$D$1022,MATCH(1,(C77=기계코드!$F$4:$F$1022)*1,0))</f>
        <v>M_TNK03</v>
      </c>
      <c r="E77" s="7" t="s">
        <v>1931</v>
      </c>
      <c r="F77" s="7" t="str" cm="1">
        <f t="array" ref="F77">INDEX(공급업체코드!$B$3:$B$1000,MATCH(1,(E77=공급업체코드!$D$3:$D$1000)*1,0))</f>
        <v>VM_WONJIN</v>
      </c>
      <c r="G77" s="43" t="s">
        <v>1957</v>
      </c>
      <c r="H77">
        <v>5</v>
      </c>
      <c r="I77">
        <v>4</v>
      </c>
      <c r="L77">
        <v>3</v>
      </c>
      <c r="M77">
        <v>60</v>
      </c>
      <c r="N77" s="67">
        <v>11</v>
      </c>
      <c r="O77" s="258" t="s">
        <v>1390</v>
      </c>
      <c r="P77" s="10">
        <f t="shared" si="1"/>
        <v>43</v>
      </c>
      <c r="Q77" s="259" t="s">
        <v>1391</v>
      </c>
      <c r="R77" s="64">
        <v>43225700</v>
      </c>
      <c r="S77" s="64"/>
      <c r="T77" s="65" t="s">
        <v>1933</v>
      </c>
      <c r="U77" s="1" t="b">
        <v>1</v>
      </c>
    </row>
    <row r="78" spans="1:21">
      <c r="A78" s="245" t="s">
        <v>1971</v>
      </c>
      <c r="B78" s="1" t="str">
        <f t="shared" si="0"/>
        <v>M_TNK03_VM_WONJIN_65</v>
      </c>
      <c r="C78" s="7" t="s">
        <v>512</v>
      </c>
      <c r="D78" s="7" t="str" cm="1">
        <f t="array" ref="D78">INDEX(기계코드!$D$4:$D$1022,MATCH(1,(C78=기계코드!$F$4:$F$1022)*1,0))</f>
        <v>M_TNK03</v>
      </c>
      <c r="E78" s="7" t="s">
        <v>1931</v>
      </c>
      <c r="F78" s="7" t="str" cm="1">
        <f t="array" ref="F78">INDEX(공급업체코드!$B$3:$B$1000,MATCH(1,(E78=공급업체코드!$D$3:$D$1000)*1,0))</f>
        <v>VM_WONJIN</v>
      </c>
      <c r="G78" s="43" t="s">
        <v>1957</v>
      </c>
      <c r="H78">
        <v>5.5</v>
      </c>
      <c r="I78">
        <v>4</v>
      </c>
      <c r="L78">
        <v>3</v>
      </c>
      <c r="M78">
        <v>65</v>
      </c>
      <c r="N78" s="67">
        <v>11</v>
      </c>
      <c r="O78" s="258" t="s">
        <v>1390</v>
      </c>
      <c r="P78" s="10">
        <f t="shared" si="1"/>
        <v>43</v>
      </c>
      <c r="Q78" s="259" t="s">
        <v>1391</v>
      </c>
      <c r="R78" s="64">
        <v>46395900</v>
      </c>
      <c r="S78" s="64"/>
      <c r="T78" s="65" t="s">
        <v>1933</v>
      </c>
      <c r="U78" s="1" t="b">
        <v>1</v>
      </c>
    </row>
    <row r="79" spans="1:21">
      <c r="A79" s="245" t="s">
        <v>1972</v>
      </c>
      <c r="B79" s="1" t="str">
        <f t="shared" si="0"/>
        <v>M_TNK03_VM_WONJIN_70</v>
      </c>
      <c r="C79" s="7" t="s">
        <v>512</v>
      </c>
      <c r="D79" s="7" t="str" cm="1">
        <f t="array" ref="D79">INDEX(기계코드!$D$4:$D$1022,MATCH(1,(C79=기계코드!$F$4:$F$1022)*1,0))</f>
        <v>M_TNK03</v>
      </c>
      <c r="E79" s="7" t="s">
        <v>1931</v>
      </c>
      <c r="F79" s="7" t="str" cm="1">
        <f t="array" ref="F79">INDEX(공급업체코드!$B$3:$B$1000,MATCH(1,(E79=공급업체코드!$D$3:$D$1000)*1,0))</f>
        <v>VM_WONJIN</v>
      </c>
      <c r="G79" s="43" t="s">
        <v>1957</v>
      </c>
      <c r="H79">
        <v>6</v>
      </c>
      <c r="I79">
        <v>4</v>
      </c>
      <c r="L79">
        <v>3</v>
      </c>
      <c r="M79">
        <v>70</v>
      </c>
      <c r="N79" s="67">
        <v>11</v>
      </c>
      <c r="O79" s="258" t="s">
        <v>1390</v>
      </c>
      <c r="P79" s="10">
        <f t="shared" si="1"/>
        <v>43</v>
      </c>
      <c r="Q79" s="259" t="s">
        <v>1391</v>
      </c>
      <c r="R79" s="64">
        <v>47921600</v>
      </c>
      <c r="S79" s="64"/>
      <c r="T79" s="65" t="s">
        <v>1933</v>
      </c>
      <c r="U79" s="1" t="b">
        <v>1</v>
      </c>
    </row>
    <row r="80" spans="1:21">
      <c r="A80" s="245" t="s">
        <v>1973</v>
      </c>
      <c r="B80" s="1" t="str">
        <f t="shared" si="0"/>
        <v>M_TNK03_VM_WONJIN_75</v>
      </c>
      <c r="C80" s="7" t="s">
        <v>512</v>
      </c>
      <c r="D80" s="7" t="str" cm="1">
        <f t="array" ref="D80">INDEX(기계코드!$D$4:$D$1022,MATCH(1,(C80=기계코드!$F$4:$F$1022)*1,0))</f>
        <v>M_TNK03</v>
      </c>
      <c r="E80" s="7" t="s">
        <v>1931</v>
      </c>
      <c r="F80" s="7" t="str" cm="1">
        <f t="array" ref="F80">INDEX(공급업체코드!$B$3:$B$1000,MATCH(1,(E80=공급업체코드!$D$3:$D$1000)*1,0))</f>
        <v>VM_WONJIN</v>
      </c>
      <c r="G80" s="43" t="s">
        <v>1957</v>
      </c>
      <c r="H80">
        <v>5</v>
      </c>
      <c r="I80">
        <v>5</v>
      </c>
      <c r="L80">
        <v>3</v>
      </c>
      <c r="M80">
        <v>75</v>
      </c>
      <c r="N80" s="67">
        <v>11</v>
      </c>
      <c r="O80" s="258" t="s">
        <v>1390</v>
      </c>
      <c r="P80" s="10">
        <f t="shared" si="1"/>
        <v>43</v>
      </c>
      <c r="Q80" s="259" t="s">
        <v>1391</v>
      </c>
      <c r="R80" s="64">
        <v>48765300</v>
      </c>
      <c r="S80" s="64"/>
      <c r="T80" s="65" t="s">
        <v>1933</v>
      </c>
      <c r="U80" s="1" t="b">
        <v>1</v>
      </c>
    </row>
    <row r="81" spans="1:21">
      <c r="A81" s="245" t="s">
        <v>1974</v>
      </c>
      <c r="B81" s="1" t="str">
        <f t="shared" si="0"/>
        <v>M_TNK03_VM_WONJIN_80</v>
      </c>
      <c r="C81" s="7" t="s">
        <v>512</v>
      </c>
      <c r="D81" s="7" t="str" cm="1">
        <f t="array" ref="D81">INDEX(기계코드!$D$4:$D$1022,MATCH(1,(C81=기계코드!$F$4:$F$1022)*1,0))</f>
        <v>M_TNK03</v>
      </c>
      <c r="E81" s="7" t="s">
        <v>1931</v>
      </c>
      <c r="F81" s="7" t="str" cm="1">
        <f t="array" ref="F81">INDEX(공급업체코드!$B$3:$B$1000,MATCH(1,(E81=공급업체코드!$D$3:$D$1000)*1,0))</f>
        <v>VM_WONJIN</v>
      </c>
      <c r="G81" s="43" t="s">
        <v>1957</v>
      </c>
      <c r="H81">
        <v>6</v>
      </c>
      <c r="I81">
        <v>4.5</v>
      </c>
      <c r="L81">
        <v>3</v>
      </c>
      <c r="M81">
        <v>80</v>
      </c>
      <c r="N81" s="67">
        <v>11</v>
      </c>
      <c r="O81" s="258" t="s">
        <v>1390</v>
      </c>
      <c r="P81" s="10">
        <f t="shared" si="1"/>
        <v>43</v>
      </c>
      <c r="Q81" s="259" t="s">
        <v>1391</v>
      </c>
      <c r="R81" s="64">
        <v>52685700</v>
      </c>
      <c r="S81" s="64"/>
      <c r="T81" s="65" t="s">
        <v>1933</v>
      </c>
      <c r="U81" s="1" t="b">
        <v>1</v>
      </c>
    </row>
    <row r="82" spans="1:21">
      <c r="A82" s="245" t="s">
        <v>1975</v>
      </c>
      <c r="B82" s="1" t="str">
        <f t="shared" si="0"/>
        <v>M_TNK03_VM_WONJIN_85</v>
      </c>
      <c r="C82" s="7" t="s">
        <v>512</v>
      </c>
      <c r="D82" s="7" t="str" cm="1">
        <f t="array" ref="D82">INDEX(기계코드!$D$4:$D$1022,MATCH(1,(C82=기계코드!$F$4:$F$1022)*1,0))</f>
        <v>M_TNK03</v>
      </c>
      <c r="E82" s="7" t="s">
        <v>1931</v>
      </c>
      <c r="F82" s="7" t="str" cm="1">
        <f t="array" ref="F82">INDEX(공급업체코드!$B$3:$B$1000,MATCH(1,(E82=공급업체코드!$D$3:$D$1000)*1,0))</f>
        <v>VM_WONJIN</v>
      </c>
      <c r="G82" s="43" t="s">
        <v>1957</v>
      </c>
      <c r="H82">
        <v>6.5</v>
      </c>
      <c r="I82">
        <v>4.5</v>
      </c>
      <c r="L82">
        <v>3</v>
      </c>
      <c r="M82">
        <v>85</v>
      </c>
      <c r="N82" s="67">
        <v>11</v>
      </c>
      <c r="O82" s="258" t="s">
        <v>1390</v>
      </c>
      <c r="P82" s="10">
        <f t="shared" si="1"/>
        <v>43</v>
      </c>
      <c r="Q82" s="259" t="s">
        <v>1391</v>
      </c>
      <c r="R82" s="64">
        <v>54505100</v>
      </c>
      <c r="S82" s="64"/>
      <c r="T82" s="65" t="s">
        <v>1933</v>
      </c>
      <c r="U82" s="1" t="b">
        <v>1</v>
      </c>
    </row>
    <row r="83" spans="1:21">
      <c r="A83" s="245" t="s">
        <v>1976</v>
      </c>
      <c r="B83" s="1" t="str">
        <f t="shared" si="0"/>
        <v>M_TNK03_VM_WONJIN_90</v>
      </c>
      <c r="C83" s="7" t="s">
        <v>512</v>
      </c>
      <c r="D83" s="7" t="str" cm="1">
        <f t="array" ref="D83">INDEX(기계코드!$D$4:$D$1022,MATCH(1,(C83=기계코드!$F$4:$F$1022)*1,0))</f>
        <v>M_TNK03</v>
      </c>
      <c r="E83" s="7" t="s">
        <v>1931</v>
      </c>
      <c r="F83" s="7" t="str" cm="1">
        <f t="array" ref="F83">INDEX(공급업체코드!$B$3:$B$1000,MATCH(1,(E83=공급업체코드!$D$3:$D$1000)*1,0))</f>
        <v>VM_WONJIN</v>
      </c>
      <c r="G83" s="43" t="s">
        <v>1957</v>
      </c>
      <c r="H83">
        <v>6</v>
      </c>
      <c r="I83">
        <v>5</v>
      </c>
      <c r="L83">
        <v>3</v>
      </c>
      <c r="M83">
        <v>90</v>
      </c>
      <c r="N83" s="67">
        <v>11</v>
      </c>
      <c r="O83" s="258" t="s">
        <v>1390</v>
      </c>
      <c r="P83" s="10">
        <f t="shared" si="1"/>
        <v>43</v>
      </c>
      <c r="Q83" s="259" t="s">
        <v>1391</v>
      </c>
      <c r="R83" s="64">
        <v>56324500</v>
      </c>
      <c r="S83" s="64"/>
      <c r="T83" s="65" t="s">
        <v>1933</v>
      </c>
      <c r="U83" s="1" t="b">
        <v>1</v>
      </c>
    </row>
    <row r="84" spans="1:21">
      <c r="A84" s="245" t="s">
        <v>1977</v>
      </c>
      <c r="B84" s="1" t="str">
        <f t="shared" si="0"/>
        <v>M_TNK03_VM_WONJIN_95</v>
      </c>
      <c r="C84" s="7" t="s">
        <v>512</v>
      </c>
      <c r="D84" s="7" t="str" cm="1">
        <f t="array" ref="D84">INDEX(기계코드!$D$4:$D$1022,MATCH(1,(C84=기계코드!$F$4:$F$1022)*1,0))</f>
        <v>M_TNK03</v>
      </c>
      <c r="E84" s="7" t="s">
        <v>1931</v>
      </c>
      <c r="F84" s="7" t="str" cm="1">
        <f t="array" ref="F84">INDEX(공급업체코드!$B$3:$B$1000,MATCH(1,(E84=공급업체코드!$D$3:$D$1000)*1,0))</f>
        <v>VM_WONJIN</v>
      </c>
      <c r="G84" s="43" t="s">
        <v>1957</v>
      </c>
      <c r="H84">
        <v>6.5</v>
      </c>
      <c r="I84">
        <v>5</v>
      </c>
      <c r="L84">
        <v>3</v>
      </c>
      <c r="M84">
        <v>95</v>
      </c>
      <c r="N84" s="67">
        <v>11</v>
      </c>
      <c r="O84" s="258" t="s">
        <v>1390</v>
      </c>
      <c r="P84" s="10">
        <f t="shared" si="1"/>
        <v>43</v>
      </c>
      <c r="Q84" s="259" t="s">
        <v>1391</v>
      </c>
      <c r="R84" s="64">
        <v>59394600</v>
      </c>
      <c r="S84" s="64"/>
      <c r="T84" s="65" t="s">
        <v>1933</v>
      </c>
      <c r="U84" s="1" t="b">
        <v>1</v>
      </c>
    </row>
    <row r="85" spans="1:21">
      <c r="A85" s="245" t="s">
        <v>1978</v>
      </c>
      <c r="B85" s="1" t="str">
        <f t="shared" si="0"/>
        <v>M_TNK03_VM_WONJIN_100</v>
      </c>
      <c r="C85" s="7" t="s">
        <v>512</v>
      </c>
      <c r="D85" s="7" t="str" cm="1">
        <f t="array" ref="D85">INDEX(기계코드!$D$4:$D$1022,MATCH(1,(C85=기계코드!$F$4:$F$1022)*1,0))</f>
        <v>M_TNK03</v>
      </c>
      <c r="E85" s="7" t="s">
        <v>1931</v>
      </c>
      <c r="F85" s="7" t="str" cm="1">
        <f t="array" ref="F85">INDEX(공급업체코드!$B$3:$B$1000,MATCH(1,(E85=공급업체코드!$D$3:$D$1000)*1,0))</f>
        <v>VM_WONJIN</v>
      </c>
      <c r="G85" s="43" t="s">
        <v>1957</v>
      </c>
      <c r="H85">
        <v>7</v>
      </c>
      <c r="I85">
        <v>5</v>
      </c>
      <c r="L85">
        <v>3</v>
      </c>
      <c r="M85">
        <v>100</v>
      </c>
      <c r="N85" s="67">
        <v>11</v>
      </c>
      <c r="O85" s="258" t="s">
        <v>1390</v>
      </c>
      <c r="P85" s="10">
        <f t="shared" si="1"/>
        <v>43</v>
      </c>
      <c r="Q85" s="259" t="s">
        <v>1391</v>
      </c>
      <c r="R85" s="64">
        <v>62465800</v>
      </c>
      <c r="S85" s="64"/>
      <c r="T85" s="65" t="s">
        <v>1933</v>
      </c>
      <c r="U85" s="1" t="b">
        <v>1</v>
      </c>
    </row>
    <row r="86" spans="1:21">
      <c r="A86" s="245" t="s">
        <v>1979</v>
      </c>
      <c r="B86" s="1" t="str">
        <f t="shared" si="0"/>
        <v>M_TNK03_VM_WONJIN_110</v>
      </c>
      <c r="C86" s="7" t="s">
        <v>512</v>
      </c>
      <c r="D86" s="7" t="str" cm="1">
        <f t="array" ref="D86">INDEX(기계코드!$D$4:$D$1022,MATCH(1,(C86=기계코드!$F$4:$F$1022)*1,0))</f>
        <v>M_TNK03</v>
      </c>
      <c r="E86" s="7" t="s">
        <v>1931</v>
      </c>
      <c r="F86" s="7" t="str" cm="1">
        <f t="array" ref="F86">INDEX(공급업체코드!$B$3:$B$1000,MATCH(1,(E86=공급업체코드!$D$3:$D$1000)*1,0))</f>
        <v>VM_WONJIN</v>
      </c>
      <c r="G86" s="43" t="s">
        <v>1957</v>
      </c>
      <c r="H86">
        <v>7.5</v>
      </c>
      <c r="I86">
        <v>5</v>
      </c>
      <c r="L86">
        <v>3</v>
      </c>
      <c r="M86">
        <v>110</v>
      </c>
      <c r="N86" s="67">
        <v>11</v>
      </c>
      <c r="O86" s="258" t="s">
        <v>1390</v>
      </c>
      <c r="P86" s="10">
        <f t="shared" si="1"/>
        <v>43</v>
      </c>
      <c r="Q86" s="259" t="s">
        <v>1391</v>
      </c>
      <c r="R86" s="64">
        <v>66221200</v>
      </c>
      <c r="S86" s="64"/>
      <c r="T86" s="65" t="s">
        <v>1933</v>
      </c>
      <c r="U86" s="1" t="b">
        <v>1</v>
      </c>
    </row>
    <row r="87" spans="1:21">
      <c r="A87" s="245" t="s">
        <v>1980</v>
      </c>
      <c r="B87" s="1" t="str">
        <f t="shared" ref="B87:B98" si="3">D87&amp;"_"&amp;F87&amp;"_"&amp;M87</f>
        <v>M_TNK03_VM_WONJIN_120</v>
      </c>
      <c r="C87" s="7" t="s">
        <v>512</v>
      </c>
      <c r="D87" s="7" t="str" cm="1">
        <f t="array" ref="D87">INDEX(기계코드!$D$4:$D$1022,MATCH(1,(C87=기계코드!$F$4:$F$1022)*1,0))</f>
        <v>M_TNK03</v>
      </c>
      <c r="E87" s="7" t="s">
        <v>1931</v>
      </c>
      <c r="F87" s="7" t="str" cm="1">
        <f t="array" ref="F87">INDEX(공급업체코드!$B$3:$B$1000,MATCH(1,(E87=공급업체코드!$D$3:$D$1000)*1,0))</f>
        <v>VM_WONJIN</v>
      </c>
      <c r="G87" s="43" t="s">
        <v>1957</v>
      </c>
      <c r="H87">
        <v>8</v>
      </c>
      <c r="I87">
        <v>5</v>
      </c>
      <c r="L87">
        <v>3</v>
      </c>
      <c r="M87">
        <v>120</v>
      </c>
      <c r="N87" s="67">
        <v>11</v>
      </c>
      <c r="O87" s="258" t="s">
        <v>1390</v>
      </c>
      <c r="P87" s="10">
        <f t="shared" ref="P87:P98" si="4">IF(N87&lt;500,43,IF(N87&lt;1000,44,""))</f>
        <v>43</v>
      </c>
      <c r="Q87" s="259" t="s">
        <v>1391</v>
      </c>
      <c r="R87" s="64">
        <v>67465300</v>
      </c>
      <c r="S87" s="64"/>
      <c r="T87" s="65" t="s">
        <v>1933</v>
      </c>
      <c r="U87" s="1" t="b">
        <v>1</v>
      </c>
    </row>
    <row r="88" spans="1:21">
      <c r="A88" s="245" t="s">
        <v>1981</v>
      </c>
      <c r="B88" s="1" t="str">
        <f t="shared" si="3"/>
        <v>M_TNK03_VM_WONJIN_130</v>
      </c>
      <c r="C88" s="7" t="s">
        <v>512</v>
      </c>
      <c r="D88" s="7" t="str" cm="1">
        <f t="array" ref="D88">INDEX(기계코드!$D$4:$D$1022,MATCH(1,(C88=기계코드!$F$4:$F$1022)*1,0))</f>
        <v>M_TNK03</v>
      </c>
      <c r="E88" s="7" t="s">
        <v>1931</v>
      </c>
      <c r="F88" s="7" t="str" cm="1">
        <f t="array" ref="F88">INDEX(공급업체코드!$B$3:$B$1000,MATCH(1,(E88=공급업체코드!$D$3:$D$1000)*1,0))</f>
        <v>VM_WONJIN</v>
      </c>
      <c r="G88" s="43" t="s">
        <v>1957</v>
      </c>
      <c r="H88">
        <v>8</v>
      </c>
      <c r="I88">
        <v>5.5</v>
      </c>
      <c r="L88">
        <v>3</v>
      </c>
      <c r="M88">
        <v>130</v>
      </c>
      <c r="N88" s="67">
        <v>11</v>
      </c>
      <c r="O88" s="258" t="s">
        <v>1390</v>
      </c>
      <c r="P88" s="10">
        <f t="shared" si="4"/>
        <v>43</v>
      </c>
      <c r="Q88" s="259" t="s">
        <v>1391</v>
      </c>
      <c r="R88" s="64">
        <v>71583700</v>
      </c>
      <c r="S88" s="64"/>
      <c r="T88" s="65" t="s">
        <v>1933</v>
      </c>
      <c r="U88" s="1" t="b">
        <v>1</v>
      </c>
    </row>
    <row r="89" spans="1:21">
      <c r="A89" s="245" t="s">
        <v>1982</v>
      </c>
      <c r="B89" s="1" t="str">
        <f t="shared" si="3"/>
        <v>M_TNK03_VM_WONJIN_140</v>
      </c>
      <c r="C89" s="7" t="s">
        <v>512</v>
      </c>
      <c r="D89" s="7" t="str" cm="1">
        <f t="array" ref="D89">INDEX(기계코드!$D$4:$D$1022,MATCH(1,(C89=기계코드!$F$4:$F$1022)*1,0))</f>
        <v>M_TNK03</v>
      </c>
      <c r="E89" s="7" t="s">
        <v>1931</v>
      </c>
      <c r="F89" s="7" t="str" cm="1">
        <f t="array" ref="F89">INDEX(공급업체코드!$B$3:$B$1000,MATCH(1,(E89=공급업체코드!$D$3:$D$1000)*1,0))</f>
        <v>VM_WONJIN</v>
      </c>
      <c r="G89" s="43" t="s">
        <v>1957</v>
      </c>
      <c r="H89">
        <v>8</v>
      </c>
      <c r="I89">
        <v>6</v>
      </c>
      <c r="L89">
        <v>3</v>
      </c>
      <c r="M89">
        <v>140</v>
      </c>
      <c r="N89" s="67">
        <v>11</v>
      </c>
      <c r="O89" s="258" t="s">
        <v>1390</v>
      </c>
      <c r="P89" s="10">
        <f t="shared" si="4"/>
        <v>43</v>
      </c>
      <c r="Q89" s="259" t="s">
        <v>1391</v>
      </c>
      <c r="R89" s="58">
        <v>75702100</v>
      </c>
      <c r="S89" s="58"/>
      <c r="T89" s="65" t="s">
        <v>1933</v>
      </c>
      <c r="U89" s="1" t="b">
        <v>1</v>
      </c>
    </row>
    <row r="90" spans="1:21">
      <c r="A90" s="245" t="s">
        <v>1983</v>
      </c>
      <c r="B90" s="1" t="str">
        <f t="shared" si="3"/>
        <v>M_TNK03_VM_WONJIN_150</v>
      </c>
      <c r="C90" s="7" t="s">
        <v>512</v>
      </c>
      <c r="D90" s="7" t="str" cm="1">
        <f t="array" ref="D90">INDEX(기계코드!$D$4:$D$1022,MATCH(1,(C90=기계코드!$F$4:$F$1022)*1,0))</f>
        <v>M_TNK03</v>
      </c>
      <c r="E90" s="7" t="s">
        <v>1931</v>
      </c>
      <c r="F90" s="7" t="str" cm="1">
        <f t="array" ref="F90">INDEX(공급업체코드!$B$3:$B$1000,MATCH(1,(E90=공급업체코드!$D$3:$D$1000)*1,0))</f>
        <v>VM_WONJIN</v>
      </c>
      <c r="G90" s="43" t="s">
        <v>1957</v>
      </c>
      <c r="H90">
        <v>8.5</v>
      </c>
      <c r="I90">
        <v>6</v>
      </c>
      <c r="L90">
        <v>3</v>
      </c>
      <c r="M90">
        <v>150</v>
      </c>
      <c r="N90" s="67">
        <v>11</v>
      </c>
      <c r="O90" s="258" t="s">
        <v>1390</v>
      </c>
      <c r="P90" s="10">
        <f t="shared" si="4"/>
        <v>43</v>
      </c>
      <c r="Q90" s="259" t="s">
        <v>1391</v>
      </c>
      <c r="R90" s="58">
        <v>79820500</v>
      </c>
      <c r="S90" s="58"/>
      <c r="T90" s="65" t="s">
        <v>1933</v>
      </c>
      <c r="U90" s="1" t="b">
        <v>1</v>
      </c>
    </row>
    <row r="91" spans="1:21">
      <c r="A91" s="245" t="s">
        <v>1984</v>
      </c>
      <c r="B91" s="1" t="str">
        <f t="shared" si="3"/>
        <v>M_TNK03_VM_WONJIN_160</v>
      </c>
      <c r="C91" s="7" t="s">
        <v>512</v>
      </c>
      <c r="D91" s="7" t="str" cm="1">
        <f t="array" ref="D91">INDEX(기계코드!$D$4:$D$1022,MATCH(1,(C91=기계코드!$F$4:$F$1022)*1,0))</f>
        <v>M_TNK03</v>
      </c>
      <c r="E91" s="7" t="s">
        <v>1931</v>
      </c>
      <c r="F91" s="7" t="str" cm="1">
        <f t="array" ref="F91">INDEX(공급업체코드!$B$3:$B$1000,MATCH(1,(E91=공급업체코드!$D$3:$D$1000)*1,0))</f>
        <v>VM_WONJIN</v>
      </c>
      <c r="G91" s="43" t="s">
        <v>1957</v>
      </c>
      <c r="H91">
        <v>9</v>
      </c>
      <c r="I91">
        <v>6</v>
      </c>
      <c r="L91">
        <v>3</v>
      </c>
      <c r="M91">
        <v>160</v>
      </c>
      <c r="N91" s="67">
        <v>11</v>
      </c>
      <c r="O91" s="258" t="s">
        <v>1390</v>
      </c>
      <c r="P91" s="10">
        <f t="shared" si="4"/>
        <v>43</v>
      </c>
      <c r="Q91" s="259" t="s">
        <v>1391</v>
      </c>
      <c r="R91" s="58">
        <v>83314100</v>
      </c>
      <c r="S91" s="58"/>
      <c r="T91" s="65" t="s">
        <v>1933</v>
      </c>
      <c r="U91" s="1" t="b">
        <v>1</v>
      </c>
    </row>
    <row r="92" spans="1:21">
      <c r="A92" s="245" t="s">
        <v>1985</v>
      </c>
      <c r="B92" s="1" t="str">
        <f t="shared" si="3"/>
        <v>M_TNK03_VM_WONJIN_170</v>
      </c>
      <c r="C92" s="7" t="s">
        <v>512</v>
      </c>
      <c r="D92" s="7" t="str" cm="1">
        <f t="array" ref="D92">INDEX(기계코드!$D$4:$D$1022,MATCH(1,(C92=기계코드!$F$4:$F$1022)*1,0))</f>
        <v>M_TNK03</v>
      </c>
      <c r="E92" s="7" t="s">
        <v>1931</v>
      </c>
      <c r="F92" s="7" t="str" cm="1">
        <f t="array" ref="F92">INDEX(공급업체코드!$B$3:$B$1000,MATCH(1,(E92=공급업체코드!$D$3:$D$1000)*1,0))</f>
        <v>VM_WONJIN</v>
      </c>
      <c r="G92" s="43" t="s">
        <v>1957</v>
      </c>
      <c r="H92">
        <v>9.5</v>
      </c>
      <c r="I92">
        <v>6</v>
      </c>
      <c r="L92">
        <v>3</v>
      </c>
      <c r="M92">
        <v>170</v>
      </c>
      <c r="N92" s="67">
        <v>11</v>
      </c>
      <c r="O92" s="258" t="s">
        <v>1390</v>
      </c>
      <c r="P92" s="10">
        <f t="shared" si="4"/>
        <v>43</v>
      </c>
      <c r="Q92" s="259" t="s">
        <v>1391</v>
      </c>
      <c r="R92" s="58">
        <v>86807700</v>
      </c>
      <c r="S92" s="58"/>
      <c r="T92" s="65" t="s">
        <v>1933</v>
      </c>
      <c r="U92" s="1" t="b">
        <v>1</v>
      </c>
    </row>
    <row r="93" spans="1:21">
      <c r="A93" s="245" t="s">
        <v>1986</v>
      </c>
      <c r="B93" s="1" t="str">
        <f t="shared" si="3"/>
        <v>M_TNK03_VM_WONJIN_180</v>
      </c>
      <c r="C93" s="7" t="s">
        <v>512</v>
      </c>
      <c r="D93" s="7" t="str" cm="1">
        <f t="array" ref="D93">INDEX(기계코드!$D$4:$D$1022,MATCH(1,(C93=기계코드!$F$4:$F$1022)*1,0))</f>
        <v>M_TNK03</v>
      </c>
      <c r="E93" s="7" t="s">
        <v>1931</v>
      </c>
      <c r="F93" s="7" t="str" cm="1">
        <f t="array" ref="F93">INDEX(공급업체코드!$B$3:$B$1000,MATCH(1,(E93=공급업체코드!$D$3:$D$1000)*1,0))</f>
        <v>VM_WONJIN</v>
      </c>
      <c r="G93" s="43" t="s">
        <v>1957</v>
      </c>
      <c r="H93">
        <v>8</v>
      </c>
      <c r="I93">
        <v>7.5</v>
      </c>
      <c r="L93">
        <v>3</v>
      </c>
      <c r="M93">
        <v>180</v>
      </c>
      <c r="N93" s="67">
        <v>11</v>
      </c>
      <c r="O93" s="258" t="s">
        <v>1390</v>
      </c>
      <c r="P93" s="10">
        <f t="shared" si="4"/>
        <v>43</v>
      </c>
      <c r="Q93" s="259" t="s">
        <v>1391</v>
      </c>
      <c r="R93" s="58">
        <v>90301300</v>
      </c>
      <c r="S93" s="58"/>
      <c r="T93" s="65" t="s">
        <v>1933</v>
      </c>
      <c r="U93" s="1" t="b">
        <v>1</v>
      </c>
    </row>
    <row r="94" spans="1:21">
      <c r="A94" s="245" t="s">
        <v>1987</v>
      </c>
      <c r="B94" s="1" t="str">
        <f t="shared" si="3"/>
        <v>M_TNK03_VM_WONJIN_190</v>
      </c>
      <c r="C94" s="7" t="s">
        <v>512</v>
      </c>
      <c r="D94" s="7" t="str" cm="1">
        <f t="array" ref="D94">INDEX(기계코드!$D$4:$D$1022,MATCH(1,(C94=기계코드!$F$4:$F$1022)*1,0))</f>
        <v>M_TNK03</v>
      </c>
      <c r="E94" s="7" t="s">
        <v>1931</v>
      </c>
      <c r="F94" s="7" t="str" cm="1">
        <f t="array" ref="F94">INDEX(공급업체코드!$B$3:$B$1000,MATCH(1,(E94=공급업체코드!$D$3:$D$1000)*1,0))</f>
        <v>VM_WONJIN</v>
      </c>
      <c r="G94" s="43" t="s">
        <v>1957</v>
      </c>
      <c r="H94">
        <v>8</v>
      </c>
      <c r="I94">
        <v>8</v>
      </c>
      <c r="L94">
        <v>3</v>
      </c>
      <c r="M94">
        <v>190</v>
      </c>
      <c r="N94" s="67">
        <v>11</v>
      </c>
      <c r="O94" s="258" t="s">
        <v>1390</v>
      </c>
      <c r="P94" s="10">
        <f t="shared" si="4"/>
        <v>43</v>
      </c>
      <c r="Q94" s="259" t="s">
        <v>1391</v>
      </c>
      <c r="R94" s="58">
        <v>93794900</v>
      </c>
      <c r="S94" s="58"/>
      <c r="T94" s="65" t="s">
        <v>1933</v>
      </c>
      <c r="U94" s="1" t="b">
        <v>1</v>
      </c>
    </row>
    <row r="95" spans="1:21">
      <c r="A95" s="245" t="s">
        <v>1988</v>
      </c>
      <c r="B95" s="1" t="str">
        <f t="shared" si="3"/>
        <v>M_TNK03_VM_WONJIN_200</v>
      </c>
      <c r="C95" s="7" t="s">
        <v>512</v>
      </c>
      <c r="D95" s="7" t="str" cm="1">
        <f t="array" ref="D95">INDEX(기계코드!$D$4:$D$1022,MATCH(1,(C95=기계코드!$F$4:$F$1022)*1,0))</f>
        <v>M_TNK03</v>
      </c>
      <c r="E95" s="7" t="s">
        <v>1931</v>
      </c>
      <c r="F95" s="7" t="str" cm="1">
        <f t="array" ref="F95">INDEX(공급업체코드!$B$3:$B$1000,MATCH(1,(E95=공급업체코드!$D$3:$D$1000)*1,0))</f>
        <v>VM_WONJIN</v>
      </c>
      <c r="G95" s="43" t="s">
        <v>1957</v>
      </c>
      <c r="H95">
        <v>9</v>
      </c>
      <c r="I95">
        <v>7.5</v>
      </c>
      <c r="L95">
        <v>3</v>
      </c>
      <c r="M95">
        <v>200</v>
      </c>
      <c r="N95" s="67">
        <v>11</v>
      </c>
      <c r="O95" s="258" t="s">
        <v>1390</v>
      </c>
      <c r="P95" s="10">
        <f t="shared" si="4"/>
        <v>43</v>
      </c>
      <c r="Q95" s="259" t="s">
        <v>1391</v>
      </c>
      <c r="R95" s="58">
        <v>97289600</v>
      </c>
      <c r="S95" s="58"/>
      <c r="T95" s="65" t="s">
        <v>1933</v>
      </c>
      <c r="U95" s="1" t="b">
        <v>1</v>
      </c>
    </row>
    <row r="96" spans="1:21">
      <c r="A96" s="245" t="s">
        <v>1989</v>
      </c>
      <c r="B96" s="1" t="str">
        <f t="shared" si="3"/>
        <v>M_TNK03_VM_WONJIN_220</v>
      </c>
      <c r="C96" s="7" t="s">
        <v>512</v>
      </c>
      <c r="D96" s="7" t="str" cm="1">
        <f t="array" ref="D96">INDEX(기계코드!$D$4:$D$1022,MATCH(1,(C96=기계코드!$F$4:$F$1022)*1,0))</f>
        <v>M_TNK03</v>
      </c>
      <c r="E96" s="7" t="s">
        <v>1931</v>
      </c>
      <c r="F96" s="7" t="str" cm="1">
        <f t="array" ref="F96">INDEX(공급업체코드!$B$3:$B$1000,MATCH(1,(E96=공급업체코드!$D$3:$D$1000)*1,0))</f>
        <v>VM_WONJIN</v>
      </c>
      <c r="G96" s="43" t="s">
        <v>1957</v>
      </c>
      <c r="H96">
        <v>9.5</v>
      </c>
      <c r="I96">
        <v>8</v>
      </c>
      <c r="L96">
        <v>3</v>
      </c>
      <c r="M96">
        <v>220</v>
      </c>
      <c r="N96" s="67">
        <v>11</v>
      </c>
      <c r="O96" s="258" t="s">
        <v>1390</v>
      </c>
      <c r="P96" s="10">
        <f t="shared" si="4"/>
        <v>43</v>
      </c>
      <c r="Q96" s="259" t="s">
        <v>1391</v>
      </c>
      <c r="R96" s="58">
        <v>105445000</v>
      </c>
      <c r="S96" s="58"/>
      <c r="T96" s="65" t="s">
        <v>1933</v>
      </c>
      <c r="U96" s="1" t="b">
        <v>1</v>
      </c>
    </row>
    <row r="97" spans="1:21">
      <c r="A97" s="245" t="s">
        <v>1990</v>
      </c>
      <c r="B97" s="1" t="str">
        <f t="shared" si="3"/>
        <v>M_TNK03_VM_WONJIN_250</v>
      </c>
      <c r="C97" s="7" t="s">
        <v>512</v>
      </c>
      <c r="D97" s="7" t="str" cm="1">
        <f t="array" ref="D97">INDEX(기계코드!$D$4:$D$1022,MATCH(1,(C97=기계코드!$F$4:$F$1022)*1,0))</f>
        <v>M_TNK03</v>
      </c>
      <c r="E97" s="7" t="s">
        <v>1931</v>
      </c>
      <c r="F97" s="7" t="str" cm="1">
        <f t="array" ref="F97">INDEX(공급업체코드!$B$3:$B$1000,MATCH(1,(E97=공급업체코드!$D$3:$D$1000)*1,0))</f>
        <v>VM_WONJIN</v>
      </c>
      <c r="G97" s="43" t="s">
        <v>1957</v>
      </c>
      <c r="H97">
        <v>10</v>
      </c>
      <c r="I97">
        <v>8.5</v>
      </c>
      <c r="L97">
        <v>3</v>
      </c>
      <c r="M97">
        <v>250</v>
      </c>
      <c r="N97" s="67">
        <v>11</v>
      </c>
      <c r="O97" s="258" t="s">
        <v>1390</v>
      </c>
      <c r="P97" s="10">
        <f t="shared" si="4"/>
        <v>43</v>
      </c>
      <c r="Q97" s="259" t="s">
        <v>1391</v>
      </c>
      <c r="R97" s="58">
        <v>113601500</v>
      </c>
      <c r="S97" s="58"/>
      <c r="T97" s="65" t="s">
        <v>1933</v>
      </c>
      <c r="U97" s="1" t="b">
        <v>1</v>
      </c>
    </row>
    <row r="98" spans="1:21">
      <c r="A98" s="245" t="s">
        <v>1991</v>
      </c>
      <c r="B98" s="1" t="str">
        <f t="shared" si="3"/>
        <v>M_TNK03_VM_WONJIN_280</v>
      </c>
      <c r="C98" s="7" t="s">
        <v>512</v>
      </c>
      <c r="D98" s="7" t="str" cm="1">
        <f t="array" ref="D98">INDEX(기계코드!$D$4:$D$1022,MATCH(1,(C98=기계코드!$F$4:$F$1022)*1,0))</f>
        <v>M_TNK03</v>
      </c>
      <c r="E98" s="7" t="s">
        <v>1931</v>
      </c>
      <c r="F98" s="7" t="str" cm="1">
        <f t="array" ref="F98">INDEX(공급업체코드!$B$3:$B$1000,MATCH(1,(E98=공급업체코드!$D$3:$D$1000)*1,0))</f>
        <v>VM_WONJIN</v>
      </c>
      <c r="G98" s="43" t="s">
        <v>1957</v>
      </c>
      <c r="H98">
        <v>10.5</v>
      </c>
      <c r="I98">
        <v>9</v>
      </c>
      <c r="L98">
        <v>3</v>
      </c>
      <c r="M98">
        <v>280</v>
      </c>
      <c r="N98" s="67">
        <v>11</v>
      </c>
      <c r="O98" s="258" t="s">
        <v>1390</v>
      </c>
      <c r="P98" s="10">
        <f t="shared" si="4"/>
        <v>43</v>
      </c>
      <c r="Q98" s="259" t="s">
        <v>1391</v>
      </c>
      <c r="R98" s="58">
        <v>121758000</v>
      </c>
      <c r="S98" s="58"/>
      <c r="T98" s="65" t="s">
        <v>1933</v>
      </c>
      <c r="U98" s="1" t="b">
        <v>1</v>
      </c>
    </row>
    <row r="99" spans="1:21">
      <c r="O99" s="258"/>
      <c r="Q99" s="259"/>
      <c r="R99" s="58"/>
      <c r="S99" s="58"/>
    </row>
    <row r="100" spans="1:21">
      <c r="O100" s="258"/>
      <c r="Q100" s="259"/>
      <c r="R100" s="58"/>
      <c r="S100" s="58"/>
    </row>
    <row r="101" spans="1:21">
      <c r="O101" s="258"/>
      <c r="Q101" s="259"/>
      <c r="R101" s="58"/>
      <c r="S101" s="58"/>
    </row>
    <row r="102" spans="1:21">
      <c r="O102" s="258"/>
      <c r="Q102" s="259"/>
    </row>
    <row r="103" spans="1:21" ht="16.5" customHeight="1">
      <c r="O103" s="258"/>
      <c r="Q103" s="259"/>
    </row>
    <row r="104" spans="1:21" ht="16.5" customHeight="1">
      <c r="O104" s="258"/>
      <c r="Q104" s="259"/>
    </row>
    <row r="105" spans="1:21" ht="16.5" customHeight="1">
      <c r="O105" s="258"/>
      <c r="Q105" s="259"/>
    </row>
    <row r="106" spans="1:21" ht="16.5" customHeight="1">
      <c r="O106" s="258"/>
      <c r="Q106" s="259"/>
    </row>
    <row r="107" spans="1:21" ht="16.5" customHeight="1">
      <c r="O107" s="258"/>
      <c r="Q107" s="259"/>
    </row>
    <row r="108" spans="1:21" ht="16.5" customHeight="1">
      <c r="O108" s="258"/>
      <c r="Q108" s="259"/>
    </row>
    <row r="109" spans="1:21" ht="16.5" customHeight="1">
      <c r="O109" s="258"/>
      <c r="Q109" s="259"/>
    </row>
    <row r="110" spans="1:21" ht="16.5" customHeight="1">
      <c r="O110" s="258"/>
      <c r="Q110" s="259"/>
    </row>
    <row r="111" spans="1:21" ht="16.5" customHeight="1">
      <c r="O111" s="258"/>
      <c r="Q111" s="259"/>
    </row>
    <row r="112" spans="1:21" ht="16.5" customHeight="1">
      <c r="O112" s="258"/>
      <c r="Q112" s="259"/>
    </row>
    <row r="113" spans="15:17" ht="16.5" customHeight="1">
      <c r="O113" s="258"/>
      <c r="Q113" s="259"/>
    </row>
    <row r="114" spans="15:17" ht="16.5" customHeight="1">
      <c r="O114" s="258"/>
      <c r="Q114" s="259"/>
    </row>
    <row r="115" spans="15:17" ht="16.5" customHeight="1">
      <c r="O115" s="258"/>
      <c r="Q115" s="259"/>
    </row>
    <row r="116" spans="15:17" ht="16.5" customHeight="1">
      <c r="O116" s="258"/>
      <c r="Q116" s="259"/>
    </row>
    <row r="117" spans="15:17" ht="16.5" customHeight="1">
      <c r="O117" s="258"/>
      <c r="Q117" s="259"/>
    </row>
    <row r="118" spans="15:17" ht="16.5" customHeight="1">
      <c r="O118" s="258"/>
      <c r="Q118" s="259"/>
    </row>
    <row r="119" spans="15:17" ht="16.5" customHeight="1">
      <c r="O119" s="258"/>
      <c r="Q119" s="259"/>
    </row>
    <row r="120" spans="15:17" ht="16.5" customHeight="1">
      <c r="O120" s="258"/>
      <c r="Q120" s="259"/>
    </row>
    <row r="121" spans="15:17" ht="16.5" customHeight="1">
      <c r="O121" s="258"/>
      <c r="Q121" s="259"/>
    </row>
    <row r="122" spans="15:17" ht="16.5" customHeight="1">
      <c r="O122" s="258"/>
      <c r="Q122" s="259"/>
    </row>
    <row r="123" spans="15:17" ht="16.5" customHeight="1">
      <c r="O123" s="258"/>
      <c r="Q123" s="259"/>
    </row>
    <row r="124" spans="15:17" ht="16.5" customHeight="1">
      <c r="O124" s="258"/>
      <c r="Q124" s="259"/>
    </row>
    <row r="125" spans="15:17" ht="16.5" customHeight="1">
      <c r="O125" s="258"/>
      <c r="Q125" s="259"/>
    </row>
    <row r="126" spans="15:17" ht="16.5" customHeight="1">
      <c r="O126" s="258"/>
      <c r="Q126" s="259"/>
    </row>
    <row r="127" spans="15:17" ht="16.5" customHeight="1">
      <c r="O127" s="258"/>
      <c r="Q127" s="259"/>
    </row>
    <row r="128" spans="15:17" ht="16.5" customHeight="1">
      <c r="O128" s="258"/>
      <c r="Q128" s="259"/>
    </row>
    <row r="129" spans="15:17" ht="16.5" customHeight="1">
      <c r="O129" s="258"/>
      <c r="Q129" s="259"/>
    </row>
    <row r="130" spans="15:17" ht="16.5" customHeight="1">
      <c r="O130" s="258"/>
      <c r="Q130" s="259"/>
    </row>
    <row r="131" spans="15:17" ht="16.5" customHeight="1">
      <c r="O131" s="258"/>
      <c r="Q131" s="259"/>
    </row>
    <row r="132" spans="15:17" ht="16.5" customHeight="1">
      <c r="O132" s="258"/>
      <c r="Q132" s="259"/>
    </row>
    <row r="133" spans="15:17" ht="16.5" customHeight="1">
      <c r="O133" s="258"/>
      <c r="Q133" s="259"/>
    </row>
    <row r="134" spans="15:17" ht="16.5" customHeight="1">
      <c r="O134" s="258"/>
      <c r="Q134" s="259"/>
    </row>
    <row r="135" spans="15:17" ht="16.5" customHeight="1">
      <c r="O135" s="258"/>
      <c r="Q135" s="259"/>
    </row>
    <row r="136" spans="15:17" ht="16.5" customHeight="1">
      <c r="O136" s="258"/>
      <c r="Q136" s="259"/>
    </row>
    <row r="137" spans="15:17" ht="16.5" customHeight="1">
      <c r="O137" s="258"/>
      <c r="Q137" s="259"/>
    </row>
    <row r="138" spans="15:17" ht="16.5" customHeight="1">
      <c r="O138" s="258"/>
      <c r="Q138" s="259"/>
    </row>
    <row r="139" spans="15:17" ht="16.5" customHeight="1">
      <c r="O139" s="258"/>
      <c r="Q139" s="259"/>
    </row>
    <row r="140" spans="15:17" ht="16.5" customHeight="1">
      <c r="O140" s="258"/>
      <c r="Q140" s="259"/>
    </row>
    <row r="141" spans="15:17" ht="16.5" customHeight="1">
      <c r="O141" s="258"/>
      <c r="Q141" s="259"/>
    </row>
    <row r="142" spans="15:17" ht="16.5" customHeight="1">
      <c r="O142" s="258"/>
      <c r="Q142" s="259"/>
    </row>
    <row r="143" spans="15:17" ht="16.5" customHeight="1">
      <c r="O143" s="258"/>
      <c r="Q143" s="259"/>
    </row>
    <row r="144" spans="15:17" ht="16.5" customHeight="1">
      <c r="O144" s="258"/>
      <c r="Q144" s="259"/>
    </row>
    <row r="145" spans="15:17" ht="16.5" customHeight="1">
      <c r="O145" s="258"/>
      <c r="Q145" s="259"/>
    </row>
    <row r="146" spans="15:17" ht="16.5" customHeight="1">
      <c r="O146" s="258"/>
    </row>
    <row r="147" spans="15:17" ht="16.5" customHeight="1">
      <c r="O147" s="258"/>
    </row>
    <row r="148" spans="15:17" ht="16.5" customHeight="1">
      <c r="O148" s="258"/>
    </row>
    <row r="149" spans="15:17" ht="16.5" customHeight="1">
      <c r="O149" s="258"/>
    </row>
    <row r="150" spans="15:17" ht="16.5" customHeight="1">
      <c r="O150" s="258"/>
    </row>
    <row r="151" spans="15:17" ht="16.5" customHeight="1">
      <c r="O151" s="258"/>
    </row>
    <row r="152" spans="15:17" ht="16.5" customHeight="1">
      <c r="O152" s="258"/>
    </row>
    <row r="153" spans="15:17" ht="16.5" customHeight="1">
      <c r="O153" s="258"/>
    </row>
    <row r="154" spans="15:17" ht="16.5" customHeight="1">
      <c r="O154" s="258"/>
    </row>
    <row r="155" spans="15:17" ht="16.5" customHeight="1">
      <c r="O155" s="258"/>
    </row>
    <row r="156" spans="15:17" ht="16.5" customHeight="1">
      <c r="O156" s="258"/>
    </row>
    <row r="157" spans="15:17" ht="16.5" customHeight="1">
      <c r="O157" s="258"/>
    </row>
    <row r="158" spans="15:17" ht="16.5" customHeight="1">
      <c r="O158" s="258"/>
    </row>
    <row r="159" spans="15:17" ht="16.5" customHeight="1">
      <c r="O159" s="258"/>
    </row>
    <row r="160" spans="15:17" ht="16.5" customHeight="1">
      <c r="O160" s="258"/>
    </row>
    <row r="161" spans="15:15" ht="16.5" customHeight="1">
      <c r="O161" s="258"/>
    </row>
    <row r="162" spans="15:15" ht="16.5" customHeight="1">
      <c r="O162" s="258"/>
    </row>
    <row r="163" spans="15:15" ht="16.5" customHeight="1">
      <c r="O163" s="258"/>
    </row>
    <row r="164" spans="15:15" ht="16.5" customHeight="1">
      <c r="O164" s="258"/>
    </row>
    <row r="165" spans="15:15" ht="16.5" customHeight="1">
      <c r="O165" s="258"/>
    </row>
    <row r="166" spans="15:15" ht="16.5" customHeight="1">
      <c r="O166" s="258"/>
    </row>
    <row r="167" spans="15:15" ht="16.5" customHeight="1">
      <c r="O167" s="258"/>
    </row>
    <row r="168" spans="15:15" ht="16.5" customHeight="1">
      <c r="O168" s="258"/>
    </row>
    <row r="169" spans="15:15" ht="16.5" customHeight="1">
      <c r="O169" s="258"/>
    </row>
    <row r="170" spans="15:15" ht="16.5" customHeight="1">
      <c r="O170" s="258"/>
    </row>
    <row r="171" spans="15:15" ht="16.5" customHeight="1">
      <c r="O171" s="258"/>
    </row>
    <row r="172" spans="15:15" ht="16.5" customHeight="1">
      <c r="O172" s="258"/>
    </row>
    <row r="173" spans="15:15" ht="16.5" customHeight="1">
      <c r="O173" s="258"/>
    </row>
    <row r="174" spans="15:15" ht="16.5" customHeight="1">
      <c r="O174" s="258"/>
    </row>
    <row r="175" spans="15:15" ht="16.5" customHeight="1">
      <c r="O175" s="258"/>
    </row>
    <row r="176" spans="15:15" ht="16.5" customHeight="1">
      <c r="O176" s="258"/>
    </row>
    <row r="177" spans="15:15" ht="16.5" customHeight="1">
      <c r="O177" s="258"/>
    </row>
    <row r="178" spans="15:15" ht="16.5" customHeight="1">
      <c r="O178" s="258"/>
    </row>
    <row r="179" spans="15:15" ht="16.5" customHeight="1">
      <c r="O179" s="258"/>
    </row>
    <row r="180" spans="15:15" ht="16.5" customHeight="1">
      <c r="O180" s="258"/>
    </row>
    <row r="181" spans="15:15" ht="16.5" customHeight="1">
      <c r="O181" s="258"/>
    </row>
    <row r="182" spans="15:15" ht="16.5" customHeight="1">
      <c r="O182" s="258"/>
    </row>
    <row r="183" spans="15:15" ht="16.5" customHeight="1">
      <c r="O183" s="258"/>
    </row>
    <row r="184" spans="15:15" ht="16.5" customHeight="1">
      <c r="O184" s="258"/>
    </row>
    <row r="185" spans="15:15" ht="16.5" customHeight="1">
      <c r="O185" s="258"/>
    </row>
    <row r="186" spans="15:15" ht="16.5" customHeight="1">
      <c r="O186" s="258"/>
    </row>
    <row r="187" spans="15:15" ht="16.5" customHeight="1">
      <c r="O187" s="258"/>
    </row>
    <row r="188" spans="15:15" ht="16.5" customHeight="1">
      <c r="O188" s="258"/>
    </row>
    <row r="189" spans="15:15" ht="16.5" customHeight="1">
      <c r="O189" s="258"/>
    </row>
    <row r="190" spans="15:15" ht="16.5" customHeight="1">
      <c r="O190" s="258"/>
    </row>
    <row r="191" spans="15:15" ht="16.5" customHeight="1">
      <c r="O191" s="258"/>
    </row>
    <row r="192" spans="15:15" ht="16.5" customHeight="1">
      <c r="O192" s="258"/>
    </row>
    <row r="193" spans="15:15" ht="16.5" customHeight="1">
      <c r="O193" s="258"/>
    </row>
    <row r="194" spans="15:15" ht="16.5" customHeight="1">
      <c r="O194" s="258"/>
    </row>
    <row r="195" spans="15:15" ht="16.5" customHeight="1">
      <c r="O195" s="258"/>
    </row>
    <row r="196" spans="15:15" ht="16.5" customHeight="1">
      <c r="O196" s="258"/>
    </row>
    <row r="197" spans="15:15" ht="16.5" customHeight="1">
      <c r="O197" s="258"/>
    </row>
    <row r="198" spans="15:15" ht="16.5" customHeight="1">
      <c r="O198" s="258"/>
    </row>
    <row r="199" spans="15:15" ht="16.5" customHeight="1">
      <c r="O199" s="258"/>
    </row>
    <row r="200" spans="15:15" ht="16.5" customHeight="1">
      <c r="O200" s="258"/>
    </row>
    <row r="201" spans="15:15" ht="16.5" customHeight="1">
      <c r="O201" s="258"/>
    </row>
    <row r="202" spans="15:15" ht="16.5" customHeight="1">
      <c r="O202" s="258"/>
    </row>
    <row r="203" spans="15:15" ht="16.5" customHeight="1">
      <c r="O203" s="258"/>
    </row>
    <row r="204" spans="15:15" ht="16.5" customHeight="1">
      <c r="O204" s="258"/>
    </row>
    <row r="205" spans="15:15" ht="16.5" customHeight="1">
      <c r="O205" s="258"/>
    </row>
    <row r="206" spans="15:15" ht="16.5" customHeight="1">
      <c r="O206" s="258"/>
    </row>
    <row r="207" spans="15:15" ht="16.5" customHeight="1">
      <c r="O207" s="258"/>
    </row>
    <row r="208" spans="15:15" ht="16.5" customHeight="1">
      <c r="O208" s="258"/>
    </row>
    <row r="209" spans="15:15" ht="16.5" customHeight="1">
      <c r="O209" s="258"/>
    </row>
    <row r="210" spans="15:15" ht="16.5" customHeight="1">
      <c r="O210" s="258"/>
    </row>
    <row r="211" spans="15:15" ht="16.5" customHeight="1">
      <c r="O211" s="258"/>
    </row>
    <row r="212" spans="15:15" ht="16.5" customHeight="1">
      <c r="O212" s="258"/>
    </row>
    <row r="213" spans="15:15" ht="16.5" customHeight="1">
      <c r="O213" s="258"/>
    </row>
    <row r="214" spans="15:15" ht="16.5" customHeight="1">
      <c r="O214" s="258"/>
    </row>
    <row r="215" spans="15:15" ht="16.5" customHeight="1">
      <c r="O215" s="258"/>
    </row>
    <row r="216" spans="15:15" ht="16.5" customHeight="1">
      <c r="O216" s="258"/>
    </row>
    <row r="217" spans="15:15" ht="16.5" customHeight="1">
      <c r="O217" s="258"/>
    </row>
    <row r="218" spans="15:15" ht="16.5" customHeight="1">
      <c r="O218" s="258"/>
    </row>
    <row r="219" spans="15:15" ht="16.5" customHeight="1">
      <c r="O219" s="258"/>
    </row>
    <row r="220" spans="15:15" ht="16.5" customHeight="1">
      <c r="O220" s="258"/>
    </row>
    <row r="221" spans="15:15" ht="16.5" customHeight="1">
      <c r="O221" s="258"/>
    </row>
    <row r="222" spans="15:15" ht="16.5" customHeight="1">
      <c r="O222" s="258"/>
    </row>
    <row r="223" spans="15:15" ht="16.5" customHeight="1">
      <c r="O223" s="258"/>
    </row>
    <row r="224" spans="15:15" ht="16.5" customHeight="1">
      <c r="O224" s="258"/>
    </row>
    <row r="225" spans="15:15" ht="16.5" customHeight="1">
      <c r="O225" s="258"/>
    </row>
    <row r="226" spans="15:15" ht="16.5" customHeight="1">
      <c r="O226" s="258"/>
    </row>
    <row r="227" spans="15:15" ht="16.5" customHeight="1">
      <c r="O227" s="258"/>
    </row>
    <row r="228" spans="15:15" ht="16.5" customHeight="1">
      <c r="O228" s="258"/>
    </row>
    <row r="229" spans="15:15" ht="16.5" customHeight="1">
      <c r="O229" s="258"/>
    </row>
    <row r="230" spans="15:15" ht="16.5" customHeight="1">
      <c r="O230" s="258"/>
    </row>
    <row r="231" spans="15:15" ht="16.5" customHeight="1">
      <c r="O231" s="258"/>
    </row>
    <row r="232" spans="15:15" ht="16.5" customHeight="1">
      <c r="O232" s="258"/>
    </row>
    <row r="233" spans="15:15" ht="16.5" customHeight="1">
      <c r="O233" s="258"/>
    </row>
    <row r="234" spans="15:15" ht="16.5" customHeight="1">
      <c r="O234" s="258"/>
    </row>
    <row r="235" spans="15:15" ht="16.5" customHeight="1">
      <c r="O235" s="258"/>
    </row>
    <row r="236" spans="15:15" ht="16.5" customHeight="1">
      <c r="O236" s="258"/>
    </row>
    <row r="237" spans="15:15" ht="16.5" customHeight="1">
      <c r="O237" s="258"/>
    </row>
    <row r="238" spans="15:15" ht="16.5" customHeight="1">
      <c r="O238" s="258"/>
    </row>
    <row r="239" spans="15:15" ht="16.5" customHeight="1">
      <c r="O239" s="258"/>
    </row>
    <row r="240" spans="15:15" ht="16.5" customHeight="1">
      <c r="O240" s="258"/>
    </row>
    <row r="241" spans="15:15" ht="16.5" customHeight="1">
      <c r="O241" s="258"/>
    </row>
    <row r="242" spans="15:15" ht="16.5" customHeight="1">
      <c r="O242" s="258"/>
    </row>
    <row r="243" spans="15:15" ht="16.5" customHeight="1">
      <c r="O243" s="258"/>
    </row>
    <row r="244" spans="15:15" ht="16.5" customHeight="1">
      <c r="O244" s="258"/>
    </row>
    <row r="245" spans="15:15" ht="16.5" customHeight="1">
      <c r="O245" s="258"/>
    </row>
    <row r="246" spans="15:15" ht="16.5" customHeight="1">
      <c r="O246" s="258"/>
    </row>
    <row r="247" spans="15:15" ht="16.5" customHeight="1">
      <c r="O247" s="258"/>
    </row>
    <row r="248" spans="15:15" ht="16.5" customHeight="1">
      <c r="O248" s="258"/>
    </row>
    <row r="249" spans="15:15" ht="16.5" customHeight="1">
      <c r="O249" s="258"/>
    </row>
    <row r="250" spans="15:15" ht="16.5" customHeight="1">
      <c r="O250" s="258"/>
    </row>
    <row r="251" spans="15:15" ht="16.5" customHeight="1">
      <c r="O251" s="258"/>
    </row>
    <row r="252" spans="15:15" ht="16.5" customHeight="1">
      <c r="O252" s="258"/>
    </row>
    <row r="253" spans="15:15" ht="16.5" customHeight="1">
      <c r="O253" s="258"/>
    </row>
    <row r="254" spans="15:15" ht="16.5" customHeight="1">
      <c r="O254" s="258"/>
    </row>
    <row r="255" spans="15:15" ht="16.5" customHeight="1">
      <c r="O255" s="258"/>
    </row>
    <row r="256" spans="15:15" ht="16.5" customHeight="1">
      <c r="O256" s="258"/>
    </row>
    <row r="257" spans="15:15" ht="16.5" customHeight="1">
      <c r="O257" s="258"/>
    </row>
    <row r="258" spans="15:15" ht="16.5" customHeight="1">
      <c r="O258" s="258"/>
    </row>
    <row r="259" spans="15:15" ht="16.5" customHeight="1">
      <c r="O259" s="258"/>
    </row>
    <row r="260" spans="15:15" ht="16.5" customHeight="1">
      <c r="O260" s="258"/>
    </row>
    <row r="261" spans="15:15" ht="16.5" customHeight="1">
      <c r="O261" s="258"/>
    </row>
    <row r="262" spans="15:15" ht="16.5" customHeight="1">
      <c r="O262" s="258"/>
    </row>
    <row r="263" spans="15:15" ht="16.5" customHeight="1">
      <c r="O263" s="258"/>
    </row>
    <row r="264" spans="15:15" ht="16.5" customHeight="1">
      <c r="O264" s="258"/>
    </row>
    <row r="265" spans="15:15" ht="16.5" customHeight="1">
      <c r="O265" s="258"/>
    </row>
    <row r="266" spans="15:15" ht="16.5" customHeight="1">
      <c r="O266" s="258"/>
    </row>
    <row r="267" spans="15:15" ht="16.5" customHeight="1">
      <c r="O267" s="258"/>
    </row>
    <row r="268" spans="15:15" ht="16.5" customHeight="1">
      <c r="O268" s="258"/>
    </row>
    <row r="269" spans="15:15" ht="16.5" customHeight="1">
      <c r="O269" s="258"/>
    </row>
    <row r="270" spans="15:15" ht="16.5" customHeight="1">
      <c r="O270" s="258"/>
    </row>
    <row r="271" spans="15:15" ht="16.5" customHeight="1">
      <c r="O271" s="258"/>
    </row>
    <row r="272" spans="15:15" ht="16.5" customHeight="1">
      <c r="O272" s="258"/>
    </row>
    <row r="273" spans="15:15" ht="16.5" customHeight="1">
      <c r="O273" s="258"/>
    </row>
    <row r="274" spans="15:15" ht="16.5" customHeight="1">
      <c r="O274" s="258"/>
    </row>
    <row r="275" spans="15:15" ht="16.5" customHeight="1">
      <c r="O275" s="258"/>
    </row>
    <row r="276" spans="15:15" ht="16.5" customHeight="1">
      <c r="O276" s="258"/>
    </row>
    <row r="277" spans="15:15" ht="16.5" customHeight="1">
      <c r="O277" s="258"/>
    </row>
    <row r="278" spans="15:15" ht="16.5" customHeight="1">
      <c r="O278" s="258"/>
    </row>
    <row r="279" spans="15:15" ht="16.5" customHeight="1">
      <c r="O279" s="258"/>
    </row>
    <row r="280" spans="15:15" ht="16.5" customHeight="1">
      <c r="O280" s="258"/>
    </row>
    <row r="281" spans="15:15" ht="16.5" customHeight="1">
      <c r="O281" s="258"/>
    </row>
    <row r="282" spans="15:15" ht="16.5" customHeight="1">
      <c r="O282" s="258"/>
    </row>
    <row r="283" spans="15:15" ht="16.5" customHeight="1">
      <c r="O283" s="258"/>
    </row>
    <row r="284" spans="15:15" ht="16.5" customHeight="1">
      <c r="O284" s="258"/>
    </row>
    <row r="285" spans="15:15" ht="16.5" customHeight="1">
      <c r="O285" s="258"/>
    </row>
    <row r="286" spans="15:15" ht="16.5" customHeight="1">
      <c r="O286" s="258"/>
    </row>
    <row r="287" spans="15:15" ht="16.5" customHeight="1">
      <c r="O287" s="258"/>
    </row>
    <row r="288" spans="15:15" ht="16.5" customHeight="1">
      <c r="O288" s="258"/>
    </row>
    <row r="289" spans="15:15" ht="16.5" customHeight="1">
      <c r="O289" s="258"/>
    </row>
    <row r="290" spans="15:15" ht="16.5" customHeight="1">
      <c r="O290" s="258"/>
    </row>
    <row r="291" spans="15:15" ht="16.5" customHeight="1">
      <c r="O291" s="258"/>
    </row>
    <row r="292" spans="15:15" ht="16.5" customHeight="1">
      <c r="O292" s="258"/>
    </row>
    <row r="293" spans="15:15" ht="16.5" customHeight="1">
      <c r="O293" s="258"/>
    </row>
    <row r="294" spans="15:15" ht="16.5" customHeight="1">
      <c r="O294" s="258"/>
    </row>
    <row r="295" spans="15:15" ht="16.5" customHeight="1">
      <c r="O295" s="258"/>
    </row>
    <row r="296" spans="15:15" ht="16.5" customHeight="1">
      <c r="O296" s="258"/>
    </row>
    <row r="297" spans="15:15" ht="16.5" customHeight="1">
      <c r="O297" s="258"/>
    </row>
    <row r="298" spans="15:15" ht="16.5" customHeight="1">
      <c r="O298" s="258"/>
    </row>
    <row r="299" spans="15:15" ht="16.5" customHeight="1">
      <c r="O299" s="258"/>
    </row>
    <row r="300" spans="15:15" ht="16.5" customHeight="1">
      <c r="O300" s="258"/>
    </row>
    <row r="301" spans="15:15" ht="16.5" customHeight="1">
      <c r="O301" s="258"/>
    </row>
    <row r="302" spans="15:15" ht="16.5" customHeight="1">
      <c r="O302" s="258"/>
    </row>
    <row r="303" spans="15:15" ht="16.5" customHeight="1">
      <c r="O303" s="258"/>
    </row>
    <row r="304" spans="15:15" ht="16.5" customHeight="1">
      <c r="O304" s="258"/>
    </row>
    <row r="305" spans="15:15" ht="16.5" customHeight="1">
      <c r="O305" s="258"/>
    </row>
    <row r="306" spans="15:15" ht="16.5" customHeight="1">
      <c r="O306" s="258"/>
    </row>
    <row r="307" spans="15:15" ht="16.5" customHeight="1">
      <c r="O307" s="258"/>
    </row>
    <row r="308" spans="15:15" ht="16.5" customHeight="1">
      <c r="O308" s="258"/>
    </row>
    <row r="309" spans="15:15" ht="16.5" customHeight="1">
      <c r="O309" s="258"/>
    </row>
    <row r="310" spans="15:15" ht="16.5" customHeight="1">
      <c r="O310" s="258"/>
    </row>
    <row r="311" spans="15:15" ht="16.5" customHeight="1">
      <c r="O311" s="258"/>
    </row>
    <row r="312" spans="15:15" ht="16.5" customHeight="1">
      <c r="O312" s="258"/>
    </row>
    <row r="313" spans="15:15" ht="16.5" customHeight="1">
      <c r="O313" s="258"/>
    </row>
    <row r="314" spans="15:15" ht="16.5" customHeight="1">
      <c r="O314" s="258"/>
    </row>
    <row r="315" spans="15:15" ht="16.5" customHeight="1">
      <c r="O315" s="258"/>
    </row>
    <row r="316" spans="15:15" ht="16.5" customHeight="1">
      <c r="O316" s="258"/>
    </row>
    <row r="317" spans="15:15" ht="16.5" customHeight="1">
      <c r="O317" s="258"/>
    </row>
    <row r="318" spans="15:15" ht="16.5" customHeight="1">
      <c r="O318" s="258"/>
    </row>
    <row r="319" spans="15:15" ht="16.5" customHeight="1">
      <c r="O319" s="258"/>
    </row>
    <row r="320" spans="15:15" ht="16.5" customHeight="1">
      <c r="O320" s="258"/>
    </row>
    <row r="321" spans="15:15" ht="16.5" customHeight="1">
      <c r="O321" s="258"/>
    </row>
    <row r="322" spans="15:15" ht="16.5" customHeight="1">
      <c r="O322" s="258"/>
    </row>
    <row r="323" spans="15:15" ht="16.5" customHeight="1">
      <c r="O323" s="258"/>
    </row>
    <row r="324" spans="15:15" ht="16.5" customHeight="1">
      <c r="O324" s="258"/>
    </row>
    <row r="325" spans="15:15" ht="16.5" customHeight="1">
      <c r="O325" s="258"/>
    </row>
    <row r="326" spans="15:15" ht="16.5" customHeight="1">
      <c r="O326" s="258"/>
    </row>
    <row r="327" spans="15:15" ht="16.5" customHeight="1">
      <c r="O327" s="258"/>
    </row>
    <row r="328" spans="15:15" ht="16.5" customHeight="1">
      <c r="O328" s="258"/>
    </row>
    <row r="329" spans="15:15" ht="16.5" customHeight="1">
      <c r="O329" s="258"/>
    </row>
    <row r="330" spans="15:15" ht="16.5" customHeight="1">
      <c r="O330" s="258"/>
    </row>
    <row r="331" spans="15:15" ht="16.5" customHeight="1">
      <c r="O331" s="258"/>
    </row>
    <row r="332" spans="15:15" ht="16.5" customHeight="1">
      <c r="O332" s="258"/>
    </row>
    <row r="333" spans="15:15" ht="16.5" customHeight="1">
      <c r="O333" s="258"/>
    </row>
    <row r="334" spans="15:15" ht="16.5" customHeight="1">
      <c r="O334" s="258"/>
    </row>
    <row r="335" spans="15:15" ht="16.5" customHeight="1">
      <c r="O335" s="258"/>
    </row>
    <row r="336" spans="15:15" ht="16.5" customHeight="1">
      <c r="O336" s="258"/>
    </row>
    <row r="337" spans="15:15" ht="16.5" customHeight="1">
      <c r="O337" s="258"/>
    </row>
    <row r="338" spans="15:15" ht="16.5" customHeight="1">
      <c r="O338" s="258"/>
    </row>
    <row r="339" spans="15:15" ht="16.5" customHeight="1">
      <c r="O339" s="258"/>
    </row>
    <row r="340" spans="15:15" ht="16.5" customHeight="1">
      <c r="O340" s="258"/>
    </row>
    <row r="341" spans="15:15" ht="16.5" customHeight="1">
      <c r="O341" s="258"/>
    </row>
    <row r="342" spans="15:15" ht="16.5" customHeight="1">
      <c r="O342" s="258"/>
    </row>
    <row r="343" spans="15:15" ht="16.5" customHeight="1">
      <c r="O343" s="258"/>
    </row>
    <row r="344" spans="15:15" ht="16.5" customHeight="1">
      <c r="O344" s="258"/>
    </row>
    <row r="345" spans="15:15" ht="16.5" customHeight="1">
      <c r="O345" s="258"/>
    </row>
    <row r="346" spans="15:15" ht="16.5" customHeight="1">
      <c r="O346" s="258"/>
    </row>
    <row r="347" spans="15:15" ht="16.5" customHeight="1">
      <c r="O347" s="258"/>
    </row>
    <row r="348" spans="15:15" ht="16.5" customHeight="1">
      <c r="O348" s="258"/>
    </row>
    <row r="349" spans="15:15" ht="16.5" customHeight="1">
      <c r="O349" s="258"/>
    </row>
    <row r="350" spans="15:15" ht="16.5" customHeight="1">
      <c r="O350" s="258"/>
    </row>
    <row r="351" spans="15:15" ht="16.5" customHeight="1">
      <c r="O351" s="258"/>
    </row>
    <row r="352" spans="15:15" ht="16.5" customHeight="1">
      <c r="O352" s="258"/>
    </row>
    <row r="353" spans="15:15" ht="16.5" customHeight="1">
      <c r="O353" s="258"/>
    </row>
    <row r="354" spans="15:15" ht="16.5" customHeight="1">
      <c r="O354" s="258"/>
    </row>
    <row r="355" spans="15:15" ht="16.5" customHeight="1">
      <c r="O355" s="258"/>
    </row>
    <row r="356" spans="15:15" ht="16.5" customHeight="1">
      <c r="O356" s="258"/>
    </row>
    <row r="357" spans="15:15" ht="16.5" customHeight="1">
      <c r="O357" s="258"/>
    </row>
    <row r="358" spans="15:15" ht="16.5" customHeight="1">
      <c r="O358" s="258"/>
    </row>
    <row r="359" spans="15:15" ht="16.5" customHeight="1">
      <c r="O359" s="258"/>
    </row>
    <row r="360" spans="15:15" ht="16.5" customHeight="1">
      <c r="O360" s="258"/>
    </row>
    <row r="361" spans="15:15" ht="16.5" customHeight="1">
      <c r="O361" s="258"/>
    </row>
    <row r="362" spans="15:15" ht="16.5" customHeight="1">
      <c r="O362" s="258"/>
    </row>
    <row r="363" spans="15:15" ht="16.5" customHeight="1">
      <c r="O363" s="258"/>
    </row>
    <row r="364" spans="15:15" ht="16.5" customHeight="1">
      <c r="O364" s="258"/>
    </row>
    <row r="365" spans="15:15" ht="16.5" customHeight="1">
      <c r="O365" s="258"/>
    </row>
    <row r="366" spans="15:15" ht="16.5" customHeight="1">
      <c r="O366" s="258"/>
    </row>
    <row r="367" spans="15:15" ht="16.5" customHeight="1">
      <c r="O367" s="258"/>
    </row>
    <row r="368" spans="15:15" ht="16.5" customHeight="1">
      <c r="O368" s="258"/>
    </row>
    <row r="369" spans="15:15" ht="16.5" customHeight="1">
      <c r="O369" s="258"/>
    </row>
    <row r="370" spans="15:15" ht="16.5" customHeight="1">
      <c r="O370" s="258"/>
    </row>
    <row r="371" spans="15:15" ht="16.5" customHeight="1">
      <c r="O371" s="258"/>
    </row>
    <row r="372" spans="15:15" ht="16.5" customHeight="1">
      <c r="O372" s="258"/>
    </row>
    <row r="373" spans="15:15" ht="16.5" customHeight="1">
      <c r="O373" s="258"/>
    </row>
    <row r="374" spans="15:15" ht="16.5" customHeight="1">
      <c r="O374" s="258"/>
    </row>
    <row r="375" spans="15:15" ht="16.5" customHeight="1">
      <c r="O375" s="258"/>
    </row>
    <row r="376" spans="15:15" ht="16.5" customHeight="1">
      <c r="O376" s="258"/>
    </row>
    <row r="377" spans="15:15" ht="16.5" customHeight="1">
      <c r="O377" s="258"/>
    </row>
    <row r="378" spans="15:15" ht="16.5" customHeight="1">
      <c r="O378" s="258"/>
    </row>
    <row r="379" spans="15:15" ht="16.5" customHeight="1">
      <c r="O379" s="258"/>
    </row>
    <row r="380" spans="15:15" ht="16.5" customHeight="1">
      <c r="O380" s="258"/>
    </row>
    <row r="381" spans="15:15" ht="16.5" customHeight="1">
      <c r="O381" s="258"/>
    </row>
    <row r="382" spans="15:15" ht="16.5" customHeight="1">
      <c r="O382" s="258"/>
    </row>
    <row r="383" spans="15:15" ht="16.5" customHeight="1">
      <c r="O383" s="258"/>
    </row>
    <row r="384" spans="15:15" ht="16.5" customHeight="1">
      <c r="O384" s="258"/>
    </row>
    <row r="385" spans="15:15" ht="16.5" customHeight="1">
      <c r="O385" s="258"/>
    </row>
    <row r="386" spans="15:15" ht="16.5" customHeight="1">
      <c r="O386" s="258"/>
    </row>
    <row r="387" spans="15:15" ht="16.5" customHeight="1">
      <c r="O387" s="258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1A7B502-D379-4DDF-95E4-BF5DF7372F38}">
          <x14:formula1>
            <xm:f>공급업체코드!$D$3:$D$100</xm:f>
          </x14:formula1>
          <xm:sqref>E3:E40</xm:sqref>
        </x14:dataValidation>
        <x14:dataValidation type="list" allowBlank="1" showInputMessage="1" showErrorMessage="1" xr:uid="{355BCB2B-F430-4960-B4A4-4FEFDD0D5A44}">
          <x14:formula1>
            <xm:f>공급업체코드!$D$3:$D$47</xm:f>
          </x14:formula1>
          <xm:sqref>E41:E98</xm:sqref>
        </x14:dataValidation>
        <x14:dataValidation type="list" allowBlank="1" showInputMessage="1" showErrorMessage="1" xr:uid="{758EAA9F-9901-4480-9563-5CC49F6C9163}">
          <x14:formula1>
            <xm:f>기계코드!$F$150:$F$155</xm:f>
          </x14:formula1>
          <xm:sqref>C3:C98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E22F-0D8C-4BCB-A6BC-2960DBCF641D}">
  <dimension ref="A1:AI303"/>
  <sheetViews>
    <sheetView zoomScale="70" zoomScaleNormal="70" workbookViewId="0">
      <pane ySplit="2" topLeftCell="A3" activePane="bottomLeft" state="frozen"/>
      <selection pane="bottomLeft"/>
    </sheetView>
  </sheetViews>
  <sheetFormatPr defaultRowHeight="16.5" customHeight="1"/>
  <cols>
    <col min="1" max="1" width="13.625" customWidth="1"/>
    <col min="2" max="2" width="37.75" customWidth="1"/>
    <col min="3" max="3" width="27.25" customWidth="1"/>
    <col min="4" max="5" width="16.125" customWidth="1"/>
    <col min="6" max="6" width="13.875" bestFit="1" customWidth="1"/>
    <col min="7" max="7" width="14.5" style="18" customWidth="1"/>
    <col min="8" max="8" width="20.25" customWidth="1"/>
    <col min="9" max="9" width="16.75" customWidth="1"/>
    <col min="10" max="10" width="20.25" customWidth="1"/>
    <col min="11" max="11" width="13.125" customWidth="1"/>
    <col min="12" max="12" width="14.125" customWidth="1"/>
    <col min="13" max="13" width="15.25" customWidth="1"/>
    <col min="14" max="14" width="19.75" bestFit="1" customWidth="1"/>
    <col min="15" max="15" width="20.875" bestFit="1" customWidth="1"/>
    <col min="16" max="16" width="24.75" bestFit="1" customWidth="1"/>
    <col min="17" max="17" width="16.125" customWidth="1"/>
    <col min="18" max="18" width="16.125" style="18" customWidth="1"/>
    <col min="19" max="19" width="16.125" style="147" customWidth="1"/>
    <col min="20" max="20" width="25.75" bestFit="1" customWidth="1"/>
    <col min="21" max="21" width="16.125" style="18" customWidth="1"/>
    <col min="22" max="23" width="16.125" customWidth="1"/>
    <col min="24" max="24" width="31.125" style="18" customWidth="1"/>
    <col min="25" max="25" width="10.5" customWidth="1"/>
    <col min="26" max="26" width="27.625" bestFit="1" customWidth="1"/>
    <col min="27" max="27" width="20.625" style="113" customWidth="1"/>
    <col min="29" max="29" width="12.375" customWidth="1"/>
    <col min="30" max="30" width="11.375" bestFit="1" customWidth="1"/>
    <col min="33" max="33" width="22.125" bestFit="1" customWidth="1"/>
    <col min="34" max="34" width="36.375" bestFit="1" customWidth="1"/>
    <col min="35" max="35" width="15.375" bestFit="1" customWidth="1"/>
  </cols>
  <sheetData>
    <row r="1" spans="1:35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1992</v>
      </c>
      <c r="I1" s="10" t="s">
        <v>1993</v>
      </c>
      <c r="J1" s="10" t="s">
        <v>1432</v>
      </c>
      <c r="K1" s="10" t="s">
        <v>1318</v>
      </c>
      <c r="L1" s="10" t="s">
        <v>1319</v>
      </c>
      <c r="M1" s="10" t="s">
        <v>1320</v>
      </c>
      <c r="N1" s="10" t="s">
        <v>1321</v>
      </c>
      <c r="O1" s="10" t="s">
        <v>1322</v>
      </c>
      <c r="P1" s="10" t="s">
        <v>1323</v>
      </c>
      <c r="Q1" s="10" t="s">
        <v>1324</v>
      </c>
      <c r="R1" s="17" t="s">
        <v>1728</v>
      </c>
      <c r="S1" s="131" t="s">
        <v>1344</v>
      </c>
      <c r="T1" s="131" t="s">
        <v>1345</v>
      </c>
      <c r="U1" s="131" t="s">
        <v>1346</v>
      </c>
      <c r="V1" s="10" t="s">
        <v>1293</v>
      </c>
      <c r="W1" s="17" t="s">
        <v>1294</v>
      </c>
      <c r="X1" s="61" t="s">
        <v>1295</v>
      </c>
      <c r="Y1" s="10" t="s">
        <v>1296</v>
      </c>
      <c r="Z1" s="10" t="s">
        <v>1297</v>
      </c>
      <c r="AA1" s="210" t="s">
        <v>1298</v>
      </c>
    </row>
    <row r="2" spans="1:35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1443</v>
      </c>
      <c r="I2" s="56" t="s">
        <v>1994</v>
      </c>
      <c r="J2" s="56" t="s">
        <v>1450</v>
      </c>
      <c r="K2" s="5" t="s">
        <v>1327</v>
      </c>
      <c r="L2" s="5" t="s">
        <v>1328</v>
      </c>
      <c r="M2" s="53" t="s">
        <v>1329</v>
      </c>
      <c r="N2" s="5" t="s">
        <v>1330</v>
      </c>
      <c r="O2" s="5" t="s">
        <v>1331</v>
      </c>
      <c r="P2" s="57" t="s">
        <v>1348</v>
      </c>
      <c r="Q2" s="5" t="s">
        <v>1349</v>
      </c>
      <c r="R2" s="59" t="s">
        <v>1995</v>
      </c>
      <c r="S2" s="5" t="s">
        <v>1350</v>
      </c>
      <c r="T2" s="5" t="s">
        <v>1351</v>
      </c>
      <c r="U2" s="5" t="s">
        <v>1352</v>
      </c>
      <c r="V2" s="19" t="s">
        <v>1308</v>
      </c>
      <c r="W2" s="16" t="s">
        <v>1309</v>
      </c>
      <c r="X2" s="241" t="s">
        <v>1310</v>
      </c>
      <c r="Y2" s="54" t="s">
        <v>1311</v>
      </c>
      <c r="Z2" s="3" t="s">
        <v>10</v>
      </c>
      <c r="AA2" s="242" t="s">
        <v>1312</v>
      </c>
      <c r="AG2" s="41"/>
      <c r="AH2" s="41"/>
      <c r="AI2" s="41"/>
    </row>
    <row r="3" spans="1:35">
      <c r="A3" s="245">
        <v>50</v>
      </c>
      <c r="B3" s="1" t="str">
        <f>D3&amp;"_"&amp;F3&amp;"_"&amp;H3</f>
        <v>M_CSG01_VM_DS_ENG_50</v>
      </c>
      <c r="C3" s="7" t="s">
        <v>1996</v>
      </c>
      <c r="D3" s="7" t="str" cm="1">
        <f t="array" ref="D3">INDEX(기계코드!$D$4:$D$1022,MATCH(1,(C3=기계코드!$F$4:$F$1022)*1,0))</f>
        <v>M_CSG01</v>
      </c>
      <c r="E3" s="7" t="s">
        <v>1163</v>
      </c>
      <c r="F3" s="7" t="str" cm="1">
        <f t="array" ref="F3">INDEX(공급업체코드!$B$3:$B$1000,MATCH(1,(E3=공급업체코드!$D$3:$D$1000)*1,0))</f>
        <v>VM_DS_ENG</v>
      </c>
      <c r="G3" s="18" t="s">
        <v>1997</v>
      </c>
      <c r="H3" s="64">
        <v>50</v>
      </c>
      <c r="I3" s="64">
        <v>150</v>
      </c>
      <c r="J3" s="64">
        <v>150</v>
      </c>
      <c r="K3" s="70">
        <v>29.5</v>
      </c>
      <c r="L3" s="7" t="s">
        <v>990</v>
      </c>
      <c r="M3" s="7">
        <v>380</v>
      </c>
      <c r="N3" s="151">
        <v>0.94099999999999995</v>
      </c>
      <c r="O3" s="7">
        <v>0.9</v>
      </c>
      <c r="P3" s="7">
        <v>60</v>
      </c>
      <c r="Q3" s="64">
        <v>5500</v>
      </c>
      <c r="R3" s="18" t="s">
        <v>1062</v>
      </c>
      <c r="S3" s="272" t="s">
        <v>1390</v>
      </c>
      <c r="T3" s="10">
        <f>IF(R3&lt;500,1,IF(R3&lt;1000,2,IF(R3&lt;5000,3,4)))</f>
        <v>4</v>
      </c>
      <c r="U3" s="273" t="s">
        <v>1391</v>
      </c>
      <c r="V3" s="64">
        <v>148000000</v>
      </c>
      <c r="W3" s="64"/>
      <c r="X3" s="65" t="s">
        <v>1998</v>
      </c>
      <c r="Y3" s="1" t="b">
        <v>1</v>
      </c>
      <c r="AA3" s="133"/>
      <c r="AG3" s="41"/>
      <c r="AH3" s="41"/>
      <c r="AI3" s="41"/>
    </row>
    <row r="4" spans="1:35">
      <c r="A4" s="245">
        <v>100</v>
      </c>
      <c r="B4" s="1" t="str">
        <f t="shared" ref="B4:B18" si="0">D4&amp;"_"&amp;F4&amp;"_"&amp;H4</f>
        <v>M_CSG01_VM_DS_ENG_100</v>
      </c>
      <c r="C4" s="7" t="s">
        <v>1996</v>
      </c>
      <c r="D4" s="7" t="str" cm="1">
        <f t="array" ref="D4">INDEX(기계코드!$D$4:$D$1022,MATCH(1,(C4=기계코드!$F$4:$F$1022)*1,0))</f>
        <v>M_CSG01</v>
      </c>
      <c r="E4" s="7" t="s">
        <v>1163</v>
      </c>
      <c r="F4" s="7" t="str" cm="1">
        <f t="array" ref="F4">INDEX(공급업체코드!$B$3:$B$1000,MATCH(1,(E4=공급업체코드!$D$3:$D$1000)*1,0))</f>
        <v>VM_DS_ENG</v>
      </c>
      <c r="G4" s="18" t="s">
        <v>1999</v>
      </c>
      <c r="H4" s="64">
        <v>100</v>
      </c>
      <c r="I4" s="64">
        <v>200</v>
      </c>
      <c r="J4" s="64">
        <v>200</v>
      </c>
      <c r="K4" s="70">
        <v>35</v>
      </c>
      <c r="L4" s="7" t="s">
        <v>990</v>
      </c>
      <c r="M4" s="7">
        <v>380</v>
      </c>
      <c r="N4" s="151">
        <v>0.94499999999999995</v>
      </c>
      <c r="O4" s="7">
        <v>0.9</v>
      </c>
      <c r="P4" s="7">
        <v>60</v>
      </c>
      <c r="Q4" s="64">
        <v>6500</v>
      </c>
      <c r="R4" s="18" t="s">
        <v>1062</v>
      </c>
      <c r="S4" s="274" t="s">
        <v>1390</v>
      </c>
      <c r="T4" s="10">
        <f>IF(R4&lt;500,1,IF(R4&lt;1000,2,IF(R4&lt;5000,3,4)))</f>
        <v>4</v>
      </c>
      <c r="U4" s="275" t="s">
        <v>1391</v>
      </c>
      <c r="V4" s="64">
        <v>185000000</v>
      </c>
      <c r="W4" s="64"/>
      <c r="X4" s="18" t="s">
        <v>1998</v>
      </c>
      <c r="Y4" s="1" t="b">
        <v>1</v>
      </c>
      <c r="AA4" s="133"/>
      <c r="AG4" s="41"/>
      <c r="AH4" s="41"/>
      <c r="AI4" s="41"/>
    </row>
    <row r="5" spans="1:35">
      <c r="A5" s="247"/>
      <c r="B5" s="1" t="str">
        <f t="shared" si="0"/>
        <v>M_CSG01_VM_DS_ENG_150</v>
      </c>
      <c r="C5" s="7" t="s">
        <v>1996</v>
      </c>
      <c r="D5" s="7" t="str" cm="1">
        <f t="array" ref="D5">INDEX(기계코드!$D$4:$D$1022,MATCH(1,(C5=기계코드!$F$4:$F$1022)*1,0))</f>
        <v>M_CSG01</v>
      </c>
      <c r="E5" s="7" t="s">
        <v>1163</v>
      </c>
      <c r="F5" s="7" t="str" cm="1">
        <f t="array" ref="F5">INDEX(공급업체코드!$B$3:$B$1000,MATCH(1,(E5=공급업체코드!$D$3:$D$1000)*1,0))</f>
        <v>VM_DS_ENG</v>
      </c>
      <c r="G5" s="18" t="s">
        <v>1999</v>
      </c>
      <c r="H5" s="64">
        <v>150</v>
      </c>
      <c r="I5" s="64">
        <v>200</v>
      </c>
      <c r="J5" s="64">
        <v>200</v>
      </c>
      <c r="K5" s="70">
        <v>44.5</v>
      </c>
      <c r="L5" s="7" t="s">
        <v>990</v>
      </c>
      <c r="M5" s="7">
        <v>380</v>
      </c>
      <c r="N5" s="151">
        <v>0.95</v>
      </c>
      <c r="O5" s="7">
        <v>0.9</v>
      </c>
      <c r="P5" s="7">
        <v>60</v>
      </c>
      <c r="Q5" s="64">
        <v>7500</v>
      </c>
      <c r="R5" s="18" t="s">
        <v>1062</v>
      </c>
      <c r="S5" s="274" t="s">
        <v>1390</v>
      </c>
      <c r="T5" s="10">
        <f t="shared" ref="T5:T18" si="1">IF(R5&lt;500,1,IF(R5&lt;1000,2,IF(R5&lt;5000,3,4)))</f>
        <v>4</v>
      </c>
      <c r="U5" s="275" t="s">
        <v>1391</v>
      </c>
      <c r="V5" s="64">
        <v>220000000</v>
      </c>
      <c r="W5" s="64"/>
      <c r="X5" s="18" t="s">
        <v>1998</v>
      </c>
      <c r="Y5" s="1" t="b">
        <v>1</v>
      </c>
      <c r="AA5" s="133"/>
      <c r="AG5" s="41"/>
      <c r="AH5" s="41"/>
      <c r="AI5" s="41"/>
    </row>
    <row r="6" spans="1:35">
      <c r="A6" s="245">
        <v>200</v>
      </c>
      <c r="B6" s="1" t="str">
        <f t="shared" si="0"/>
        <v>M_CSG01_VM_DS_ENG_200</v>
      </c>
      <c r="C6" s="7" t="s">
        <v>1996</v>
      </c>
      <c r="D6" s="7" t="str" cm="1">
        <f t="array" ref="D6">INDEX(기계코드!$D$4:$D$1022,MATCH(1,(C6=기계코드!$F$4:$F$1022)*1,0))</f>
        <v>M_CSG01</v>
      </c>
      <c r="E6" s="7" t="s">
        <v>1163</v>
      </c>
      <c r="F6" s="7" t="str" cm="1">
        <f t="array" ref="F6">INDEX(공급업체코드!$B$3:$B$1000,MATCH(1,(E6=공급업체코드!$D$3:$D$1000)*1,0))</f>
        <v>VM_DS_ENG</v>
      </c>
      <c r="G6" s="18" t="s">
        <v>2000</v>
      </c>
      <c r="H6" s="64">
        <v>200</v>
      </c>
      <c r="I6" s="64">
        <v>300</v>
      </c>
      <c r="J6" s="64">
        <v>300</v>
      </c>
      <c r="K6" s="70">
        <v>55</v>
      </c>
      <c r="L6" s="7" t="s">
        <v>990</v>
      </c>
      <c r="M6" s="7">
        <v>380</v>
      </c>
      <c r="N6" s="151">
        <v>0.95400000000000007</v>
      </c>
      <c r="O6" s="7">
        <v>0.9</v>
      </c>
      <c r="P6" s="7">
        <v>60</v>
      </c>
      <c r="Q6" s="64">
        <v>8500</v>
      </c>
      <c r="R6" s="18" t="s">
        <v>1062</v>
      </c>
      <c r="S6" s="274" t="s">
        <v>1390</v>
      </c>
      <c r="T6" s="10">
        <f t="shared" si="1"/>
        <v>4</v>
      </c>
      <c r="U6" s="275" t="s">
        <v>1391</v>
      </c>
      <c r="V6" s="64">
        <v>240000000</v>
      </c>
      <c r="W6" s="64"/>
      <c r="X6" s="18" t="s">
        <v>1998</v>
      </c>
      <c r="Y6" s="1" t="b">
        <v>1</v>
      </c>
      <c r="AA6" s="133"/>
      <c r="AG6" s="41"/>
      <c r="AH6" s="41"/>
      <c r="AI6" s="41"/>
    </row>
    <row r="7" spans="1:35">
      <c r="A7" s="247"/>
      <c r="B7" s="1" t="str">
        <f t="shared" si="0"/>
        <v>M_CSG01_VM_DS_ENG_250</v>
      </c>
      <c r="C7" s="7" t="s">
        <v>1996</v>
      </c>
      <c r="D7" s="7" t="str" cm="1">
        <f t="array" ref="D7">INDEX(기계코드!$D$4:$D$1022,MATCH(1,(C7=기계코드!$F$4:$F$1022)*1,0))</f>
        <v>M_CSG01</v>
      </c>
      <c r="E7" s="7" t="s">
        <v>1163</v>
      </c>
      <c r="F7" s="7" t="str" cm="1">
        <f t="array" ref="F7">INDEX(공급업체코드!$B$3:$B$1000,MATCH(1,(E7=공급업체코드!$D$3:$D$1000)*1,0))</f>
        <v>VM_DS_ENG</v>
      </c>
      <c r="G7" s="18" t="s">
        <v>2000</v>
      </c>
      <c r="H7" s="64">
        <v>250</v>
      </c>
      <c r="I7" s="64">
        <v>300</v>
      </c>
      <c r="J7" s="64">
        <v>300</v>
      </c>
      <c r="K7" s="70">
        <v>55</v>
      </c>
      <c r="L7" s="7" t="s">
        <v>990</v>
      </c>
      <c r="M7" s="7">
        <v>380</v>
      </c>
      <c r="N7" s="151">
        <v>0.95400000000000007</v>
      </c>
      <c r="O7" s="7">
        <v>0.9</v>
      </c>
      <c r="P7" s="7">
        <v>60</v>
      </c>
      <c r="Q7" s="64">
        <v>9500</v>
      </c>
      <c r="R7" s="18" t="s">
        <v>1062</v>
      </c>
      <c r="S7" s="274" t="s">
        <v>1390</v>
      </c>
      <c r="T7" s="10">
        <f t="shared" si="1"/>
        <v>4</v>
      </c>
      <c r="U7" s="275" t="s">
        <v>1391</v>
      </c>
      <c r="V7" s="64">
        <v>270000000</v>
      </c>
      <c r="W7" s="64"/>
      <c r="X7" s="18" t="s">
        <v>1998</v>
      </c>
      <c r="Y7" s="1" t="b">
        <v>1</v>
      </c>
      <c r="AG7" s="41"/>
      <c r="AH7" s="41"/>
      <c r="AI7" s="41"/>
    </row>
    <row r="8" spans="1:35">
      <c r="A8" s="245">
        <v>300</v>
      </c>
      <c r="B8" s="1" t="str">
        <f t="shared" si="0"/>
        <v>M_CSG01_VM_DS_ENG_300</v>
      </c>
      <c r="C8" s="7" t="s">
        <v>1996</v>
      </c>
      <c r="D8" s="7" t="str" cm="1">
        <f t="array" ref="D8">INDEX(기계코드!$D$4:$D$1022,MATCH(1,(C8=기계코드!$F$4:$F$1022)*1,0))</f>
        <v>M_CSG01</v>
      </c>
      <c r="E8" s="7" t="s">
        <v>1163</v>
      </c>
      <c r="F8" s="7" t="str" cm="1">
        <f t="array" ref="F8">INDEX(공급업체코드!$B$3:$B$1000,MATCH(1,(E8=공급업체코드!$D$3:$D$1000)*1,0))</f>
        <v>VM_DS_ENG</v>
      </c>
      <c r="G8" s="18" t="s">
        <v>2001</v>
      </c>
      <c r="H8" s="64">
        <v>300</v>
      </c>
      <c r="I8" s="64">
        <v>350</v>
      </c>
      <c r="J8" s="64">
        <v>350</v>
      </c>
      <c r="K8" s="70"/>
      <c r="L8" s="7" t="s">
        <v>990</v>
      </c>
      <c r="M8" s="7">
        <v>380</v>
      </c>
      <c r="N8" s="151"/>
      <c r="O8" s="7">
        <v>0.9</v>
      </c>
      <c r="P8" s="7">
        <v>60</v>
      </c>
      <c r="Q8" s="64">
        <v>11</v>
      </c>
      <c r="S8" s="274" t="s">
        <v>1390</v>
      </c>
      <c r="T8" s="10">
        <f t="shared" si="1"/>
        <v>1</v>
      </c>
      <c r="U8" s="275" t="s">
        <v>1391</v>
      </c>
      <c r="V8" s="64">
        <v>300000000</v>
      </c>
      <c r="W8" s="64"/>
      <c r="X8" s="18" t="s">
        <v>1998</v>
      </c>
      <c r="Y8" s="1" t="b">
        <v>1</v>
      </c>
      <c r="AG8" s="41"/>
      <c r="AH8" s="41"/>
      <c r="AI8" s="41"/>
    </row>
    <row r="9" spans="1:35">
      <c r="A9" s="247"/>
      <c r="B9" s="1" t="str">
        <f t="shared" si="0"/>
        <v>M_CSG01_VM_DS_ENG_350</v>
      </c>
      <c r="C9" s="7" t="s">
        <v>1996</v>
      </c>
      <c r="D9" s="7" t="str" cm="1">
        <f t="array" ref="D9">INDEX(기계코드!$D$4:$D$1022,MATCH(1,(C9=기계코드!$F$4:$F$1022)*1,0))</f>
        <v>M_CSG01</v>
      </c>
      <c r="E9" s="7" t="s">
        <v>1163</v>
      </c>
      <c r="F9" s="7" t="str" cm="1">
        <f t="array" ref="F9">INDEX(공급업체코드!$B$3:$B$1000,MATCH(1,(E9=공급업체코드!$D$3:$D$1000)*1,0))</f>
        <v>VM_DS_ENG</v>
      </c>
      <c r="G9" s="18" t="s">
        <v>2001</v>
      </c>
      <c r="H9" s="64">
        <v>350</v>
      </c>
      <c r="I9" s="64">
        <v>350</v>
      </c>
      <c r="J9" s="64">
        <v>350</v>
      </c>
      <c r="K9" s="70"/>
      <c r="L9" s="7" t="s">
        <v>990</v>
      </c>
      <c r="M9" s="7">
        <v>380</v>
      </c>
      <c r="N9" s="151"/>
      <c r="O9" s="7">
        <v>0.9</v>
      </c>
      <c r="P9" s="7">
        <v>60</v>
      </c>
      <c r="Q9" s="64">
        <v>11</v>
      </c>
      <c r="S9" s="274" t="s">
        <v>1390</v>
      </c>
      <c r="T9" s="10">
        <f t="shared" si="1"/>
        <v>1</v>
      </c>
      <c r="U9" s="275" t="s">
        <v>1391</v>
      </c>
      <c r="V9" s="64">
        <v>330000000</v>
      </c>
      <c r="W9" s="64"/>
      <c r="X9" s="18" t="s">
        <v>1998</v>
      </c>
      <c r="Y9" s="1" t="b">
        <v>1</v>
      </c>
      <c r="AG9" s="40"/>
      <c r="AH9" s="40"/>
      <c r="AI9" s="41"/>
    </row>
    <row r="10" spans="1:35">
      <c r="A10" s="245">
        <v>400</v>
      </c>
      <c r="B10" s="1" t="str">
        <f t="shared" si="0"/>
        <v>M_CSG01_VM_DS_ENG_400</v>
      </c>
      <c r="C10" s="7" t="s">
        <v>1996</v>
      </c>
      <c r="D10" s="7" t="str" cm="1">
        <f t="array" ref="D10">INDEX(기계코드!$D$4:$D$1022,MATCH(1,(C10=기계코드!$F$4:$F$1022)*1,0))</f>
        <v>M_CSG01</v>
      </c>
      <c r="E10" s="7" t="s">
        <v>1163</v>
      </c>
      <c r="F10" s="7" t="str" cm="1">
        <f t="array" ref="F10">INDEX(공급업체코드!$B$3:$B$1000,MATCH(1,(E10=공급업체코드!$D$3:$D$1000)*1,0))</f>
        <v>VM_DS_ENG</v>
      </c>
      <c r="G10" s="18" t="s">
        <v>2002</v>
      </c>
      <c r="H10" s="64">
        <v>400</v>
      </c>
      <c r="I10" s="64">
        <v>400</v>
      </c>
      <c r="J10" s="64">
        <v>400</v>
      </c>
      <c r="K10" s="70"/>
      <c r="L10" s="7" t="s">
        <v>990</v>
      </c>
      <c r="M10" s="7">
        <v>380</v>
      </c>
      <c r="N10" s="151"/>
      <c r="O10" s="7">
        <v>0.9</v>
      </c>
      <c r="P10" s="7">
        <v>60</v>
      </c>
      <c r="Q10" s="64">
        <v>11</v>
      </c>
      <c r="S10" s="274" t="s">
        <v>1390</v>
      </c>
      <c r="T10" s="10">
        <f t="shared" si="1"/>
        <v>1</v>
      </c>
      <c r="U10" s="275" t="s">
        <v>1391</v>
      </c>
      <c r="V10" s="64">
        <v>350000000</v>
      </c>
      <c r="W10" s="64"/>
      <c r="X10" s="18" t="s">
        <v>1998</v>
      </c>
      <c r="Y10" s="1" t="b">
        <v>1</v>
      </c>
      <c r="AG10" s="40"/>
      <c r="AH10" s="40"/>
      <c r="AI10" s="40"/>
    </row>
    <row r="11" spans="1:35">
      <c r="A11" s="247"/>
      <c r="B11" s="1" t="str">
        <f t="shared" si="0"/>
        <v>M_CSG01_VM_DS_ENG_450</v>
      </c>
      <c r="C11" s="7" t="s">
        <v>1996</v>
      </c>
      <c r="D11" s="7" t="str" cm="1">
        <f t="array" ref="D11">INDEX(기계코드!$D$4:$D$1022,MATCH(1,(C11=기계코드!$F$4:$F$1022)*1,0))</f>
        <v>M_CSG01</v>
      </c>
      <c r="E11" s="7" t="s">
        <v>2003</v>
      </c>
      <c r="F11" s="7" t="str" cm="1">
        <f t="array" ref="F11">INDEX(공급업체코드!$B$3:$B$1000,MATCH(1,(E11=공급업체코드!$D$3:$D$1000)*1,0))</f>
        <v>VM_DS_ENG</v>
      </c>
      <c r="G11" s="18" t="s">
        <v>2004</v>
      </c>
      <c r="H11" s="64">
        <v>450</v>
      </c>
      <c r="I11" s="64">
        <v>450</v>
      </c>
      <c r="J11" s="64">
        <v>450</v>
      </c>
      <c r="K11" s="70"/>
      <c r="L11" s="7" t="s">
        <v>990</v>
      </c>
      <c r="M11" s="7">
        <v>380</v>
      </c>
      <c r="N11" s="151"/>
      <c r="O11" s="7">
        <v>0.9</v>
      </c>
      <c r="P11" s="7">
        <v>60</v>
      </c>
      <c r="Q11" s="64">
        <v>11</v>
      </c>
      <c r="S11" s="274" t="s">
        <v>1390</v>
      </c>
      <c r="T11" s="10">
        <f t="shared" si="1"/>
        <v>1</v>
      </c>
      <c r="U11" s="275" t="s">
        <v>1391</v>
      </c>
      <c r="V11" s="64">
        <v>375000000</v>
      </c>
      <c r="W11" s="64"/>
      <c r="X11" s="18" t="s">
        <v>1998</v>
      </c>
      <c r="Y11" s="1" t="b">
        <v>1</v>
      </c>
      <c r="AG11" s="40"/>
      <c r="AH11" s="40"/>
      <c r="AI11" s="41"/>
    </row>
    <row r="12" spans="1:35">
      <c r="A12" s="245">
        <v>500</v>
      </c>
      <c r="B12" s="1" t="str">
        <f t="shared" si="0"/>
        <v>M_CSG01_VM_DS_ENG_500</v>
      </c>
      <c r="C12" s="7" t="s">
        <v>1996</v>
      </c>
      <c r="D12" s="7" t="str" cm="1">
        <f t="array" ref="D12">INDEX(기계코드!$D$4:$D$1022,MATCH(1,(C12=기계코드!$F$4:$F$1022)*1,0))</f>
        <v>M_CSG01</v>
      </c>
      <c r="E12" s="7" t="s">
        <v>1163</v>
      </c>
      <c r="F12" s="7" t="str" cm="1">
        <f t="array" ref="F12">INDEX(공급업체코드!$B$3:$B$1000,MATCH(1,(E12=공급업체코드!$D$3:$D$1000)*1,0))</f>
        <v>VM_DS_ENG</v>
      </c>
      <c r="G12" s="18" t="s">
        <v>2005</v>
      </c>
      <c r="H12" s="64">
        <v>500</v>
      </c>
      <c r="I12" s="64">
        <v>500</v>
      </c>
      <c r="J12" s="64">
        <v>500</v>
      </c>
      <c r="K12" s="70"/>
      <c r="L12" s="7" t="s">
        <v>990</v>
      </c>
      <c r="M12" s="7">
        <v>380</v>
      </c>
      <c r="N12" s="151"/>
      <c r="O12" s="7">
        <v>0.9</v>
      </c>
      <c r="P12" s="7">
        <v>60</v>
      </c>
      <c r="Q12" s="64">
        <v>11</v>
      </c>
      <c r="S12" s="274" t="s">
        <v>1390</v>
      </c>
      <c r="T12" s="10">
        <f t="shared" si="1"/>
        <v>1</v>
      </c>
      <c r="U12" s="275" t="s">
        <v>1391</v>
      </c>
      <c r="V12" s="64">
        <v>400000000</v>
      </c>
      <c r="W12" s="64"/>
      <c r="X12" s="18" t="s">
        <v>1998</v>
      </c>
      <c r="Y12" s="1" t="b">
        <v>1</v>
      </c>
      <c r="AG12" s="41"/>
      <c r="AH12" s="41"/>
      <c r="AI12" s="41"/>
    </row>
    <row r="13" spans="1:35">
      <c r="A13" s="245">
        <v>600</v>
      </c>
      <c r="B13" s="1" t="str">
        <f t="shared" si="0"/>
        <v>M_CSG01_VM_DS_ENG_600</v>
      </c>
      <c r="C13" s="7" t="s">
        <v>1996</v>
      </c>
      <c r="D13" s="7" t="str" cm="1">
        <f t="array" ref="D13">INDEX(기계코드!$D$4:$D$1022,MATCH(1,(C13=기계코드!$F$4:$F$1022)*1,0))</f>
        <v>M_CSG01</v>
      </c>
      <c r="E13" s="7" t="s">
        <v>1163</v>
      </c>
      <c r="F13" s="7" t="str" cm="1">
        <f t="array" ref="F13">INDEX(공급업체코드!$B$3:$B$1000,MATCH(1,(E13=공급업체코드!$D$3:$D$1000)*1,0))</f>
        <v>VM_DS_ENG</v>
      </c>
      <c r="G13" s="18" t="s">
        <v>2006</v>
      </c>
      <c r="H13" s="64">
        <v>600</v>
      </c>
      <c r="I13" s="64">
        <v>500</v>
      </c>
      <c r="J13" s="64">
        <v>500</v>
      </c>
      <c r="K13" s="70"/>
      <c r="L13" s="7" t="s">
        <v>990</v>
      </c>
      <c r="M13" s="7">
        <v>380</v>
      </c>
      <c r="N13" s="151"/>
      <c r="O13" s="7">
        <v>0.9</v>
      </c>
      <c r="P13" s="7">
        <v>60</v>
      </c>
      <c r="Q13" s="64">
        <v>11</v>
      </c>
      <c r="S13" s="274" t="s">
        <v>1390</v>
      </c>
      <c r="T13" s="10">
        <f t="shared" si="1"/>
        <v>1</v>
      </c>
      <c r="U13" s="275" t="s">
        <v>1391</v>
      </c>
      <c r="V13" s="64">
        <v>440000000</v>
      </c>
      <c r="W13" s="64"/>
      <c r="X13" s="18" t="s">
        <v>1998</v>
      </c>
      <c r="Y13" s="1" t="b">
        <v>1</v>
      </c>
      <c r="AG13" s="40"/>
      <c r="AH13" s="40"/>
      <c r="AI13" s="41"/>
    </row>
    <row r="14" spans="1:35">
      <c r="A14" s="247"/>
      <c r="B14" s="1" t="str">
        <f t="shared" si="0"/>
        <v>M_CSG01_VM_DS_ENG_700</v>
      </c>
      <c r="C14" s="7" t="s">
        <v>1996</v>
      </c>
      <c r="D14" s="7" t="str" cm="1">
        <f t="array" ref="D14">INDEX(기계코드!$D$4:$D$1022,MATCH(1,(C14=기계코드!$F$4:$F$1022)*1,0))</f>
        <v>M_CSG01</v>
      </c>
      <c r="E14" s="7" t="s">
        <v>1163</v>
      </c>
      <c r="F14" s="7" t="str" cm="1">
        <f t="array" ref="F14">INDEX(공급업체코드!$B$3:$B$1000,MATCH(1,(E14=공급업체코드!$D$3:$D$1000)*1,0))</f>
        <v>VM_DS_ENG</v>
      </c>
      <c r="G14" s="18" t="s">
        <v>2007</v>
      </c>
      <c r="H14" s="64">
        <v>700</v>
      </c>
      <c r="I14" s="64">
        <v>600</v>
      </c>
      <c r="J14" s="64">
        <v>600</v>
      </c>
      <c r="K14" s="70"/>
      <c r="L14" s="7" t="s">
        <v>990</v>
      </c>
      <c r="M14" s="7">
        <v>380</v>
      </c>
      <c r="N14" s="151"/>
      <c r="O14" s="7">
        <v>0.9</v>
      </c>
      <c r="P14" s="7">
        <v>60</v>
      </c>
      <c r="Q14" s="64">
        <v>11</v>
      </c>
      <c r="S14" s="274" t="s">
        <v>1390</v>
      </c>
      <c r="T14" s="10">
        <f t="shared" si="1"/>
        <v>1</v>
      </c>
      <c r="U14" s="275" t="s">
        <v>1391</v>
      </c>
      <c r="V14" s="64">
        <v>480000000</v>
      </c>
      <c r="W14" s="64"/>
      <c r="X14" s="18" t="s">
        <v>1998</v>
      </c>
      <c r="Y14" s="1" t="b">
        <v>1</v>
      </c>
      <c r="AG14" s="41"/>
      <c r="AH14" s="41"/>
      <c r="AI14" s="41"/>
    </row>
    <row r="15" spans="1:35">
      <c r="A15" s="245">
        <v>50</v>
      </c>
      <c r="B15" s="1" t="str">
        <f t="shared" si="0"/>
        <v>M_CSG01_VM_DJI_MACH_50</v>
      </c>
      <c r="C15" s="7" t="s">
        <v>1996</v>
      </c>
      <c r="D15" s="7" t="str" cm="1">
        <f t="array" ref="D15">INDEX(기계코드!$D$4:$D$1022,MATCH(1,(C15=기계코드!$F$4:$F$1022)*1,0))</f>
        <v>M_CSG01</v>
      </c>
      <c r="E15" s="7" t="s">
        <v>2008</v>
      </c>
      <c r="F15" s="7" t="str" cm="1">
        <f t="array" ref="F15">INDEX(공급업체코드!$B$3:$B$1000,MATCH(1,(E15=공급업체코드!$D$3:$D$1000)*1,0))</f>
        <v>VM_DJI_MACH</v>
      </c>
      <c r="G15" s="18" t="s">
        <v>2009</v>
      </c>
      <c r="H15" s="64">
        <v>50</v>
      </c>
      <c r="I15" s="64"/>
      <c r="J15" s="64"/>
      <c r="K15" s="70">
        <v>29.5</v>
      </c>
      <c r="L15" s="7" t="s">
        <v>990</v>
      </c>
      <c r="M15" s="7">
        <v>380</v>
      </c>
      <c r="N15" s="151">
        <v>0.94099999999999995</v>
      </c>
      <c r="O15" s="7">
        <v>0.9</v>
      </c>
      <c r="P15" s="7">
        <v>60</v>
      </c>
      <c r="Q15" s="64">
        <v>6000</v>
      </c>
      <c r="R15" s="18" t="s">
        <v>1062</v>
      </c>
      <c r="S15" s="274" t="s">
        <v>1390</v>
      </c>
      <c r="T15" s="10">
        <f t="shared" si="1"/>
        <v>4</v>
      </c>
      <c r="U15" s="275" t="s">
        <v>1391</v>
      </c>
      <c r="V15" s="64">
        <v>215000000</v>
      </c>
      <c r="W15" s="64"/>
      <c r="X15" s="18" t="s">
        <v>2010</v>
      </c>
      <c r="Y15" s="1" t="b">
        <v>1</v>
      </c>
      <c r="AG15" s="41"/>
      <c r="AH15" s="41"/>
      <c r="AI15" s="41"/>
    </row>
    <row r="16" spans="1:35">
      <c r="A16" s="245">
        <v>100</v>
      </c>
      <c r="B16" s="1" t="str">
        <f t="shared" si="0"/>
        <v>M_CSG01_VM_DJI_MACH_100</v>
      </c>
      <c r="C16" s="7" t="s">
        <v>1996</v>
      </c>
      <c r="D16" s="7" t="str" cm="1">
        <f t="array" ref="D16">INDEX(기계코드!$D$4:$D$1022,MATCH(1,(C16=기계코드!$F$4:$F$1022)*1,0))</f>
        <v>M_CSG01</v>
      </c>
      <c r="E16" s="7" t="s">
        <v>2008</v>
      </c>
      <c r="F16" s="7" t="str" cm="1">
        <f t="array" ref="F16">INDEX(공급업체코드!$B$3:$B$1000,MATCH(1,(E16=공급업체코드!$D$3:$D$1000)*1,0))</f>
        <v>VM_DJI_MACH</v>
      </c>
      <c r="G16" s="18" t="s">
        <v>2009</v>
      </c>
      <c r="H16" s="64">
        <v>100</v>
      </c>
      <c r="I16" s="64"/>
      <c r="J16" s="64"/>
      <c r="K16" s="70">
        <v>35</v>
      </c>
      <c r="L16" s="7" t="s">
        <v>990</v>
      </c>
      <c r="M16" s="7">
        <v>380</v>
      </c>
      <c r="N16" s="151">
        <v>0.94499999999999995</v>
      </c>
      <c r="O16" s="7">
        <v>0.9</v>
      </c>
      <c r="P16" s="7">
        <v>60</v>
      </c>
      <c r="Q16" s="64">
        <v>6500</v>
      </c>
      <c r="R16" s="18" t="s">
        <v>1061</v>
      </c>
      <c r="S16" s="274" t="s">
        <v>1390</v>
      </c>
      <c r="T16" s="10">
        <f t="shared" si="1"/>
        <v>4</v>
      </c>
      <c r="U16" s="275" t="s">
        <v>1391</v>
      </c>
      <c r="V16" s="64">
        <v>235000000</v>
      </c>
      <c r="W16" s="64"/>
      <c r="X16" s="18" t="s">
        <v>2010</v>
      </c>
      <c r="Y16" s="1" t="b">
        <v>1</v>
      </c>
      <c r="AG16" s="40"/>
      <c r="AH16" s="40"/>
      <c r="AI16" s="41"/>
    </row>
    <row r="17" spans="1:35">
      <c r="A17" s="247"/>
      <c r="B17" s="1" t="str">
        <f t="shared" si="0"/>
        <v>M_CSG01_VM_DJI_MACH_150</v>
      </c>
      <c r="C17" s="7" t="s">
        <v>1996</v>
      </c>
      <c r="D17" s="7" t="str" cm="1">
        <f t="array" ref="D17">INDEX(기계코드!$D$4:$D$1022,MATCH(1,(C17=기계코드!$F$4:$F$1022)*1,0))</f>
        <v>M_CSG01</v>
      </c>
      <c r="E17" s="7" t="s">
        <v>2008</v>
      </c>
      <c r="F17" s="7" t="str" cm="1">
        <f t="array" ref="F17">INDEX(공급업체코드!$B$3:$B$1000,MATCH(1,(E17=공급업체코드!$D$3:$D$1000)*1,0))</f>
        <v>VM_DJI_MACH</v>
      </c>
      <c r="G17" s="18" t="s">
        <v>2009</v>
      </c>
      <c r="H17" s="64">
        <v>150</v>
      </c>
      <c r="I17" s="64"/>
      <c r="J17" s="64"/>
      <c r="K17" s="70">
        <v>44.5</v>
      </c>
      <c r="L17" s="7" t="s">
        <v>990</v>
      </c>
      <c r="M17" s="7">
        <v>380</v>
      </c>
      <c r="N17" s="151">
        <v>0.95</v>
      </c>
      <c r="O17" s="7">
        <v>0.9</v>
      </c>
      <c r="P17" s="7">
        <v>60</v>
      </c>
      <c r="Q17" s="64">
        <v>7000</v>
      </c>
      <c r="R17" s="18" t="s">
        <v>1061</v>
      </c>
      <c r="S17" s="274" t="s">
        <v>1390</v>
      </c>
      <c r="T17" s="10">
        <f t="shared" si="1"/>
        <v>4</v>
      </c>
      <c r="U17" s="275" t="s">
        <v>1391</v>
      </c>
      <c r="V17" s="64">
        <v>245000000</v>
      </c>
      <c r="W17" s="64"/>
      <c r="X17" s="18" t="s">
        <v>2010</v>
      </c>
      <c r="Y17" s="1" t="b">
        <v>1</v>
      </c>
      <c r="AG17" s="41"/>
      <c r="AH17" s="41"/>
      <c r="AI17" s="41"/>
    </row>
    <row r="18" spans="1:35">
      <c r="A18" s="245">
        <v>200</v>
      </c>
      <c r="B18" s="1" t="str">
        <f t="shared" si="0"/>
        <v>M_CSG01_VM_DJI_MACH_200</v>
      </c>
      <c r="C18" s="7" t="s">
        <v>1996</v>
      </c>
      <c r="D18" s="7" t="str" cm="1">
        <f t="array" ref="D18">INDEX(기계코드!$D$4:$D$1022,MATCH(1,(C18=기계코드!$F$4:$F$1022)*1,0))</f>
        <v>M_CSG01</v>
      </c>
      <c r="E18" s="7" t="s">
        <v>2011</v>
      </c>
      <c r="F18" s="7" t="str" cm="1">
        <f t="array" ref="F18">INDEX(공급업체코드!$B$3:$B$1000,MATCH(1,(E18=공급업체코드!$D$3:$D$1000)*1,0))</f>
        <v>VM_DJI_MACH</v>
      </c>
      <c r="G18" s="18" t="s">
        <v>2009</v>
      </c>
      <c r="H18" s="64">
        <v>200</v>
      </c>
      <c r="I18" s="64"/>
      <c r="J18" s="64"/>
      <c r="K18" s="70">
        <v>55</v>
      </c>
      <c r="L18" s="7" t="s">
        <v>990</v>
      </c>
      <c r="M18" s="7">
        <v>380</v>
      </c>
      <c r="N18" s="151">
        <v>0.95400000000000007</v>
      </c>
      <c r="O18" s="7">
        <v>0.9</v>
      </c>
      <c r="P18" s="7">
        <v>60</v>
      </c>
      <c r="Q18" s="64">
        <v>8500</v>
      </c>
      <c r="R18" s="18" t="s">
        <v>1061</v>
      </c>
      <c r="S18" s="274" t="s">
        <v>1390</v>
      </c>
      <c r="T18" s="10">
        <f t="shared" si="1"/>
        <v>4</v>
      </c>
      <c r="U18" s="275" t="s">
        <v>1391</v>
      </c>
      <c r="V18" s="64">
        <v>265000000</v>
      </c>
      <c r="W18" s="64"/>
      <c r="X18" s="18" t="s">
        <v>2010</v>
      </c>
      <c r="Y18" s="1" t="b">
        <v>1</v>
      </c>
      <c r="AG18" s="41"/>
      <c r="AH18" s="41"/>
      <c r="AI18" s="41"/>
    </row>
    <row r="19" spans="1:35">
      <c r="B19" s="1"/>
      <c r="C19" s="7"/>
      <c r="D19" s="7"/>
      <c r="E19" s="7"/>
      <c r="F19" s="7"/>
      <c r="H19" s="64"/>
      <c r="I19" s="64"/>
      <c r="J19" s="64"/>
      <c r="K19" s="70"/>
      <c r="Q19" s="64"/>
      <c r="S19" s="146"/>
      <c r="T19" s="34"/>
      <c r="U19" s="43"/>
      <c r="V19" s="64"/>
      <c r="W19" s="64"/>
      <c r="Y19" s="1"/>
      <c r="AG19" s="40"/>
      <c r="AH19" s="40"/>
      <c r="AI19" s="41"/>
    </row>
    <row r="20" spans="1:35">
      <c r="B20" s="1"/>
      <c r="C20" s="7"/>
      <c r="D20" s="7"/>
      <c r="E20" s="7"/>
      <c r="F20" s="7"/>
      <c r="H20" s="64"/>
      <c r="I20" s="64"/>
      <c r="J20" s="64"/>
      <c r="K20" s="70"/>
      <c r="Q20" s="64"/>
      <c r="S20" s="146"/>
      <c r="T20" s="34"/>
      <c r="U20" s="43"/>
      <c r="V20" s="64"/>
      <c r="W20" s="64"/>
      <c r="Y20" s="1"/>
      <c r="AG20" s="41"/>
      <c r="AH20" s="41"/>
      <c r="AI20" s="41"/>
    </row>
    <row r="21" spans="1:35">
      <c r="B21" s="1"/>
      <c r="C21" s="7"/>
      <c r="D21" s="7"/>
      <c r="E21" s="7"/>
      <c r="F21" s="7"/>
      <c r="H21" s="64"/>
      <c r="I21" s="64"/>
      <c r="J21" s="64"/>
      <c r="K21" s="70"/>
      <c r="Q21" s="64"/>
      <c r="S21" s="146"/>
      <c r="T21" s="34"/>
      <c r="U21" s="43"/>
      <c r="V21" s="64"/>
      <c r="W21" s="64"/>
      <c r="Y21" s="1"/>
      <c r="AG21" s="40"/>
      <c r="AH21" s="40"/>
      <c r="AI21" s="41"/>
    </row>
    <row r="22" spans="1:35">
      <c r="C22" s="7"/>
      <c r="D22" s="7"/>
      <c r="E22" s="7"/>
      <c r="F22" s="7"/>
      <c r="H22" s="64"/>
      <c r="I22" s="64"/>
      <c r="J22" s="64"/>
      <c r="K22" s="70"/>
      <c r="Q22" s="64"/>
      <c r="S22" s="146"/>
      <c r="T22" s="34"/>
      <c r="U22" s="43"/>
      <c r="V22" s="64"/>
      <c r="W22" s="64"/>
      <c r="Y22" s="1"/>
      <c r="AG22" s="40"/>
      <c r="AH22" s="40"/>
      <c r="AI22" s="40"/>
    </row>
    <row r="23" spans="1:35">
      <c r="B23" s="1"/>
      <c r="C23" s="7"/>
      <c r="D23" s="7"/>
      <c r="E23" s="7"/>
      <c r="F23" s="7"/>
      <c r="H23" s="64"/>
      <c r="I23" s="64"/>
      <c r="J23" s="70"/>
      <c r="K23" s="70"/>
      <c r="Q23" s="64"/>
      <c r="S23" s="146"/>
      <c r="T23" s="34"/>
      <c r="U23" s="43"/>
      <c r="V23" s="68"/>
      <c r="W23" s="68"/>
      <c r="Y23" s="1"/>
      <c r="AG23" s="40"/>
      <c r="AH23" s="40"/>
      <c r="AI23" s="41"/>
    </row>
    <row r="24" spans="1:35">
      <c r="B24" s="1"/>
      <c r="C24" s="7"/>
      <c r="D24" s="7"/>
      <c r="E24" s="7"/>
      <c r="F24" s="7"/>
      <c r="H24" s="64"/>
      <c r="I24" s="64"/>
      <c r="J24" s="64"/>
      <c r="Q24" s="64"/>
      <c r="S24" s="146"/>
      <c r="T24" s="34"/>
      <c r="U24" s="43"/>
      <c r="V24" s="64"/>
      <c r="W24" s="64"/>
      <c r="Y24" s="1"/>
      <c r="AG24" s="41"/>
      <c r="AH24" s="41"/>
      <c r="AI24" s="41"/>
    </row>
    <row r="25" spans="1:35">
      <c r="B25" s="1"/>
      <c r="C25" s="7"/>
      <c r="D25" s="7"/>
      <c r="E25" s="7"/>
      <c r="F25" s="7"/>
      <c r="H25" s="64"/>
      <c r="I25" s="64"/>
      <c r="J25" s="64"/>
      <c r="K25" s="70"/>
      <c r="Q25" s="64"/>
      <c r="S25" s="146"/>
      <c r="T25" s="34"/>
      <c r="U25" s="43"/>
      <c r="V25" s="64"/>
      <c r="W25" s="64"/>
      <c r="Y25" s="1"/>
      <c r="AG25" s="41"/>
      <c r="AH25" s="41"/>
      <c r="AI25" s="41"/>
    </row>
    <row r="26" spans="1:35">
      <c r="B26" s="1"/>
      <c r="C26" s="7"/>
      <c r="D26" s="7"/>
      <c r="E26" s="7"/>
      <c r="F26" s="7"/>
      <c r="H26" s="64"/>
      <c r="I26" s="64"/>
      <c r="J26" s="64"/>
      <c r="K26" s="70"/>
      <c r="Q26" s="64"/>
      <c r="S26" s="146"/>
      <c r="T26" s="34"/>
      <c r="U26" s="43"/>
      <c r="V26" s="64"/>
      <c r="W26" s="64"/>
      <c r="Y26" s="1"/>
      <c r="AG26" s="41"/>
      <c r="AH26" s="41"/>
      <c r="AI26" s="41"/>
    </row>
    <row r="27" spans="1:35">
      <c r="B27" s="1"/>
      <c r="C27" s="7"/>
      <c r="D27" s="7"/>
      <c r="E27" s="7"/>
      <c r="F27" s="7"/>
      <c r="H27" s="64"/>
      <c r="I27" s="64"/>
      <c r="J27" s="64"/>
      <c r="K27" s="70"/>
      <c r="Q27" s="64"/>
      <c r="S27" s="146"/>
      <c r="T27" s="34"/>
      <c r="U27" s="43"/>
      <c r="V27" s="64"/>
      <c r="W27" s="64"/>
      <c r="Y27" s="1"/>
      <c r="AG27" s="40"/>
      <c r="AH27" s="40"/>
      <c r="AI27" s="41"/>
    </row>
    <row r="28" spans="1:35">
      <c r="B28" s="1"/>
      <c r="C28" s="7"/>
      <c r="D28" s="7"/>
      <c r="E28" s="7"/>
      <c r="F28" s="7"/>
      <c r="H28" s="64"/>
      <c r="I28" s="64"/>
      <c r="J28" s="64"/>
      <c r="K28" s="70"/>
      <c r="Q28" s="64"/>
      <c r="S28" s="146"/>
      <c r="T28" s="34"/>
      <c r="U28" s="43"/>
      <c r="V28" s="64"/>
      <c r="W28" s="64"/>
      <c r="Y28" s="1"/>
      <c r="AG28" s="41"/>
      <c r="AH28" s="41"/>
      <c r="AI28" s="41"/>
    </row>
    <row r="29" spans="1:35">
      <c r="B29" s="1"/>
      <c r="C29" s="7"/>
      <c r="D29" s="7"/>
      <c r="E29" s="7"/>
      <c r="F29" s="7"/>
      <c r="H29" s="64"/>
      <c r="I29" s="64"/>
      <c r="J29" s="64"/>
      <c r="K29" s="70"/>
      <c r="Q29" s="64"/>
      <c r="S29" s="146"/>
      <c r="T29" s="34"/>
      <c r="U29" s="43"/>
      <c r="V29" s="64"/>
      <c r="W29" s="64"/>
      <c r="Y29" s="1"/>
      <c r="AG29" s="41"/>
      <c r="AH29" s="41"/>
      <c r="AI29" s="41"/>
    </row>
    <row r="30" spans="1:35">
      <c r="B30" s="1"/>
      <c r="C30" s="7"/>
      <c r="D30" s="7"/>
      <c r="E30" s="7"/>
      <c r="F30" s="7"/>
      <c r="H30" s="64"/>
      <c r="I30" s="64"/>
      <c r="J30" s="64"/>
      <c r="K30" s="70"/>
      <c r="Q30" s="64"/>
      <c r="S30" s="146"/>
      <c r="T30" s="34"/>
      <c r="U30" s="43"/>
      <c r="V30" s="64"/>
      <c r="W30" s="64"/>
      <c r="Y30" s="1"/>
      <c r="AG30" s="41"/>
      <c r="AH30" s="41"/>
      <c r="AI30" s="41"/>
    </row>
    <row r="31" spans="1:35">
      <c r="B31" s="1"/>
      <c r="C31" s="7"/>
      <c r="D31" s="7"/>
      <c r="E31" s="7"/>
      <c r="F31" s="7"/>
      <c r="H31" s="64"/>
      <c r="I31" s="64"/>
      <c r="J31" s="64"/>
      <c r="K31" s="70"/>
      <c r="Q31" s="64"/>
      <c r="S31" s="146"/>
      <c r="T31" s="34"/>
      <c r="U31" s="43"/>
      <c r="V31" s="64"/>
      <c r="W31" s="64"/>
      <c r="Y31" s="1"/>
      <c r="AG31" s="40"/>
      <c r="AH31" s="40"/>
      <c r="AI31" s="41"/>
    </row>
    <row r="32" spans="1:35">
      <c r="B32" s="1"/>
      <c r="C32" s="7"/>
      <c r="D32" s="7"/>
      <c r="E32" s="7"/>
      <c r="F32" s="7"/>
      <c r="H32" s="64"/>
      <c r="I32" s="64"/>
      <c r="J32" s="64"/>
      <c r="K32" s="70"/>
      <c r="Q32" s="64"/>
      <c r="S32" s="146"/>
      <c r="T32" s="34"/>
      <c r="U32" s="43"/>
      <c r="V32" s="64"/>
      <c r="W32" s="64"/>
      <c r="Y32" s="1"/>
      <c r="AG32" s="41"/>
      <c r="AH32" s="41"/>
      <c r="AI32" s="41"/>
    </row>
    <row r="33" spans="2:35">
      <c r="B33" s="1"/>
      <c r="C33" s="7"/>
      <c r="D33" s="7"/>
      <c r="E33" s="7"/>
      <c r="F33" s="7"/>
      <c r="H33" s="64"/>
      <c r="I33" s="64"/>
      <c r="J33" s="64"/>
      <c r="K33" s="70"/>
      <c r="Q33" s="64"/>
      <c r="S33" s="146"/>
      <c r="T33" s="34"/>
      <c r="U33" s="43"/>
      <c r="V33" s="64"/>
      <c r="W33" s="64"/>
      <c r="Y33" s="1"/>
      <c r="AG33" s="41"/>
      <c r="AH33" s="41"/>
      <c r="AI33" s="41"/>
    </row>
    <row r="34" spans="2:35">
      <c r="B34" s="1"/>
      <c r="C34" s="7"/>
      <c r="D34" s="7"/>
      <c r="E34" s="7"/>
      <c r="F34" s="7"/>
      <c r="H34" s="64"/>
      <c r="I34" s="64"/>
      <c r="J34" s="64"/>
      <c r="K34" s="70"/>
      <c r="Q34" s="64"/>
      <c r="S34" s="146"/>
      <c r="T34" s="34"/>
      <c r="U34" s="43"/>
      <c r="V34" s="64"/>
      <c r="W34" s="64"/>
      <c r="Y34" s="1"/>
      <c r="AG34" s="41"/>
      <c r="AH34" s="41"/>
      <c r="AI34" s="41"/>
    </row>
    <row r="35" spans="2:35">
      <c r="B35" s="1"/>
      <c r="C35" s="7"/>
      <c r="D35" s="7"/>
      <c r="E35" s="7"/>
      <c r="F35" s="7"/>
      <c r="H35" s="64"/>
      <c r="I35" s="64"/>
      <c r="J35" s="64"/>
      <c r="K35" s="70"/>
      <c r="Q35" s="64"/>
      <c r="S35" s="146"/>
      <c r="T35" s="34"/>
      <c r="U35" s="43"/>
      <c r="V35" s="64"/>
      <c r="W35" s="64"/>
      <c r="Y35" s="1"/>
      <c r="AG35" s="40"/>
      <c r="AH35" s="40"/>
      <c r="AI35" s="41"/>
    </row>
    <row r="36" spans="2:35">
      <c r="B36" s="1"/>
      <c r="C36" s="7"/>
      <c r="D36" s="7"/>
      <c r="E36" s="7"/>
      <c r="F36" s="7"/>
      <c r="H36" s="64"/>
      <c r="I36" s="64"/>
      <c r="J36" s="64"/>
      <c r="K36" s="70"/>
      <c r="Q36" s="64"/>
      <c r="S36" s="146"/>
      <c r="T36" s="34"/>
      <c r="U36" s="43"/>
      <c r="V36" s="64"/>
      <c r="W36" s="64"/>
      <c r="Y36" s="1"/>
      <c r="AG36" s="41"/>
      <c r="AH36" s="41"/>
      <c r="AI36" s="41"/>
    </row>
    <row r="37" spans="2:35">
      <c r="B37" s="1"/>
      <c r="C37" s="7"/>
      <c r="D37" s="7"/>
      <c r="E37" s="7"/>
      <c r="F37" s="7"/>
      <c r="H37" s="64"/>
      <c r="I37" s="64"/>
      <c r="J37" s="64"/>
      <c r="K37" s="70"/>
      <c r="S37" s="146"/>
      <c r="T37" s="34"/>
      <c r="U37" s="43"/>
      <c r="V37" s="58"/>
      <c r="W37" s="58"/>
      <c r="Y37" s="1"/>
      <c r="AG37" s="41"/>
      <c r="AH37" s="41"/>
      <c r="AI37" s="41"/>
    </row>
    <row r="38" spans="2:35">
      <c r="B38" s="1"/>
      <c r="C38" s="7"/>
      <c r="D38" s="7"/>
      <c r="E38" s="7"/>
      <c r="F38" s="7"/>
      <c r="H38" s="64"/>
      <c r="I38" s="64"/>
      <c r="J38" s="64"/>
      <c r="K38" s="70"/>
      <c r="S38" s="146"/>
      <c r="T38" s="34"/>
      <c r="U38" s="43"/>
      <c r="V38" s="58"/>
      <c r="W38" s="58"/>
      <c r="Y38" s="1"/>
      <c r="AG38" s="40"/>
      <c r="AH38" s="40"/>
      <c r="AI38" s="41"/>
    </row>
    <row r="39" spans="2:35">
      <c r="B39" s="1"/>
      <c r="C39" s="7"/>
      <c r="D39" s="7"/>
      <c r="E39" s="7"/>
      <c r="F39" s="7"/>
      <c r="H39" s="64"/>
      <c r="I39" s="64"/>
      <c r="J39" s="64"/>
      <c r="K39" s="70"/>
      <c r="S39" s="146"/>
      <c r="T39" s="34"/>
      <c r="U39" s="43"/>
      <c r="V39" s="58"/>
      <c r="W39" s="58"/>
      <c r="Y39" s="1"/>
      <c r="AG39" s="41"/>
      <c r="AH39" s="41"/>
      <c r="AI39" s="41"/>
    </row>
    <row r="40" spans="2:35">
      <c r="B40" s="1"/>
      <c r="C40" s="7"/>
      <c r="D40" s="7"/>
      <c r="E40" s="7"/>
      <c r="F40" s="7"/>
      <c r="H40" s="64"/>
      <c r="I40" s="64"/>
      <c r="J40" s="64"/>
      <c r="K40" s="70"/>
      <c r="S40" s="146"/>
      <c r="T40" s="34"/>
      <c r="U40" s="43"/>
      <c r="V40" s="58"/>
      <c r="W40" s="58"/>
      <c r="Y40" s="1"/>
      <c r="AG40" s="40"/>
      <c r="AH40" s="40"/>
      <c r="AI40" s="40"/>
    </row>
    <row r="41" spans="2:35">
      <c r="B41" s="1"/>
      <c r="C41" s="7"/>
      <c r="D41" s="7"/>
      <c r="E41" s="7"/>
      <c r="F41" s="7"/>
      <c r="H41" s="64"/>
      <c r="I41" s="64"/>
      <c r="J41" s="64"/>
      <c r="K41" s="70"/>
      <c r="S41" s="146"/>
      <c r="T41" s="34"/>
      <c r="U41" s="43"/>
      <c r="V41" s="58"/>
      <c r="W41" s="58"/>
      <c r="Y41" s="1"/>
      <c r="AG41" s="41"/>
      <c r="AH41" s="41"/>
      <c r="AI41" s="41"/>
    </row>
    <row r="42" spans="2:35">
      <c r="B42" s="1"/>
      <c r="C42" s="7"/>
      <c r="D42" s="7"/>
      <c r="E42" s="7"/>
      <c r="F42" s="7"/>
      <c r="H42" s="64"/>
      <c r="I42" s="64"/>
      <c r="J42" s="64"/>
      <c r="K42" s="70"/>
      <c r="S42" s="146"/>
      <c r="T42" s="34"/>
      <c r="U42" s="43"/>
      <c r="V42" s="58"/>
      <c r="W42" s="58"/>
      <c r="Y42" s="1"/>
      <c r="AG42" s="41"/>
      <c r="AH42" s="41"/>
      <c r="AI42" s="41"/>
    </row>
    <row r="43" spans="2:35">
      <c r="B43" s="1"/>
      <c r="C43" s="7"/>
      <c r="D43" s="7"/>
      <c r="E43" s="7"/>
      <c r="F43" s="7"/>
      <c r="H43" s="64"/>
      <c r="I43" s="64"/>
      <c r="J43" s="64"/>
      <c r="K43" s="70"/>
      <c r="S43" s="146"/>
      <c r="T43" s="34"/>
      <c r="U43" s="43"/>
      <c r="V43" s="58"/>
      <c r="W43" s="58"/>
      <c r="Y43" s="1"/>
      <c r="AG43" s="41"/>
      <c r="AH43" s="41"/>
      <c r="AI43" s="41"/>
    </row>
    <row r="44" spans="2:35">
      <c r="B44" s="1"/>
      <c r="C44" s="7"/>
      <c r="D44" s="7"/>
      <c r="E44" s="7"/>
      <c r="F44" s="7"/>
      <c r="H44" s="64"/>
      <c r="I44" s="64"/>
      <c r="J44" s="64"/>
      <c r="K44" s="70"/>
      <c r="S44" s="146"/>
      <c r="T44" s="34"/>
      <c r="U44" s="43"/>
      <c r="V44" s="58"/>
      <c r="W44" s="58"/>
      <c r="Y44" s="1"/>
      <c r="AG44" s="41"/>
      <c r="AH44" s="41"/>
      <c r="AI44" s="41"/>
    </row>
    <row r="45" spans="2:35">
      <c r="B45" s="1"/>
      <c r="C45" s="7"/>
      <c r="D45" s="7"/>
      <c r="E45" s="7"/>
      <c r="F45" s="7"/>
      <c r="H45" s="64"/>
      <c r="I45" s="64"/>
      <c r="J45" s="64"/>
      <c r="K45" s="70"/>
      <c r="S45" s="146"/>
      <c r="T45" s="34"/>
      <c r="U45" s="43"/>
      <c r="V45" s="58"/>
      <c r="W45" s="58"/>
      <c r="Y45" s="1"/>
    </row>
    <row r="46" spans="2:35">
      <c r="B46" s="1"/>
      <c r="C46" s="7"/>
      <c r="D46" s="7"/>
      <c r="E46" s="7"/>
      <c r="F46" s="7"/>
      <c r="H46" s="64"/>
      <c r="I46" s="64"/>
      <c r="J46" s="64"/>
      <c r="K46" s="70"/>
      <c r="S46" s="146"/>
      <c r="T46" s="34"/>
      <c r="U46" s="43"/>
      <c r="V46" s="58"/>
      <c r="W46" s="58"/>
      <c r="Y46" s="1"/>
    </row>
    <row r="47" spans="2:35">
      <c r="B47" s="1"/>
      <c r="C47" s="7"/>
      <c r="D47" s="7"/>
      <c r="E47" s="7"/>
      <c r="F47" s="7"/>
      <c r="H47" s="64"/>
      <c r="I47" s="64"/>
      <c r="J47" s="64"/>
      <c r="S47" s="146"/>
      <c r="T47" s="34"/>
      <c r="U47" s="43"/>
      <c r="V47" s="58"/>
      <c r="W47" s="58"/>
      <c r="Y47" s="1"/>
    </row>
    <row r="48" spans="2:35">
      <c r="B48" s="1"/>
      <c r="C48" s="7"/>
      <c r="D48" s="7"/>
      <c r="E48" s="7"/>
      <c r="F48" s="7"/>
      <c r="H48" s="64"/>
      <c r="I48" s="64"/>
      <c r="J48" s="64"/>
      <c r="S48" s="146"/>
      <c r="T48" s="34"/>
      <c r="U48" s="43"/>
      <c r="V48" s="58"/>
      <c r="W48" s="58"/>
      <c r="Y48" s="1"/>
    </row>
    <row r="49" spans="2:25">
      <c r="B49" s="1"/>
      <c r="C49" s="7"/>
      <c r="D49" s="7"/>
      <c r="E49" s="7"/>
      <c r="F49" s="7"/>
      <c r="H49" s="64"/>
      <c r="I49" s="64"/>
      <c r="J49" s="64"/>
      <c r="S49" s="146"/>
      <c r="T49" s="34"/>
      <c r="U49" s="43"/>
      <c r="V49" s="58"/>
      <c r="W49" s="58"/>
      <c r="Y49" s="1"/>
    </row>
    <row r="50" spans="2:25">
      <c r="B50" s="1"/>
      <c r="C50" s="7"/>
      <c r="D50" s="7"/>
      <c r="E50" s="7"/>
      <c r="F50" s="7"/>
      <c r="H50" s="64"/>
      <c r="I50" s="64"/>
      <c r="J50" s="64"/>
      <c r="S50" s="146"/>
      <c r="T50" s="34"/>
      <c r="U50" s="43"/>
      <c r="V50" s="58"/>
      <c r="W50" s="58"/>
      <c r="Y50" s="1"/>
    </row>
    <row r="51" spans="2:25">
      <c r="B51" s="1"/>
      <c r="C51" s="7"/>
      <c r="D51" s="7"/>
      <c r="E51" s="7"/>
      <c r="F51" s="7"/>
      <c r="H51" s="64"/>
      <c r="I51" s="64"/>
      <c r="J51" s="64"/>
      <c r="S51" s="146"/>
      <c r="T51" s="34"/>
      <c r="U51" s="43"/>
      <c r="V51" s="58"/>
      <c r="W51" s="58"/>
      <c r="Y51" s="1"/>
    </row>
    <row r="52" spans="2:25">
      <c r="B52" s="1"/>
      <c r="C52" s="7"/>
      <c r="D52" s="7"/>
      <c r="E52" s="7"/>
      <c r="F52" s="7"/>
      <c r="H52" s="64"/>
      <c r="I52" s="64"/>
      <c r="J52" s="64"/>
      <c r="S52" s="146"/>
      <c r="T52" s="34"/>
      <c r="U52" s="43"/>
      <c r="V52" s="58"/>
      <c r="W52" s="58"/>
      <c r="Y52" s="1"/>
    </row>
    <row r="53" spans="2:25">
      <c r="B53" s="1"/>
      <c r="C53" s="7"/>
      <c r="D53" s="7"/>
      <c r="E53" s="7"/>
      <c r="F53" s="7"/>
      <c r="H53" s="64"/>
      <c r="I53" s="64"/>
      <c r="J53" s="64"/>
      <c r="S53" s="146"/>
      <c r="T53" s="34"/>
      <c r="U53" s="43"/>
      <c r="V53" s="58"/>
      <c r="W53" s="58"/>
      <c r="Y53" s="1"/>
    </row>
    <row r="54" spans="2:25">
      <c r="B54" s="1"/>
      <c r="C54" s="7"/>
      <c r="D54" s="7"/>
      <c r="E54" s="7"/>
      <c r="F54" s="7"/>
      <c r="H54" s="64"/>
      <c r="I54" s="64"/>
      <c r="J54" s="64"/>
      <c r="S54" s="146"/>
      <c r="T54" s="34"/>
      <c r="U54" s="43"/>
      <c r="V54" s="58"/>
      <c r="W54" s="58"/>
      <c r="Y54" s="1"/>
    </row>
    <row r="55" spans="2:25">
      <c r="B55" s="1"/>
      <c r="C55" s="7"/>
      <c r="D55" s="7"/>
      <c r="E55" s="7"/>
      <c r="F55" s="7"/>
      <c r="S55" s="146"/>
      <c r="T55" s="34"/>
      <c r="U55" s="43"/>
      <c r="V55" s="58"/>
      <c r="W55" s="58"/>
      <c r="Y55" s="1"/>
    </row>
    <row r="56" spans="2:25">
      <c r="B56" s="1"/>
      <c r="C56" s="7"/>
      <c r="D56" s="7"/>
      <c r="E56" s="7"/>
      <c r="F56" s="7"/>
      <c r="S56" s="146"/>
      <c r="T56" s="34"/>
      <c r="U56" s="43"/>
      <c r="V56" s="58"/>
      <c r="W56" s="58"/>
      <c r="Y56" s="1"/>
    </row>
    <row r="57" spans="2:25">
      <c r="B57" s="1"/>
      <c r="C57" s="7"/>
      <c r="D57" s="7"/>
      <c r="E57" s="7"/>
      <c r="F57" s="7"/>
      <c r="S57" s="146"/>
      <c r="T57" s="34"/>
      <c r="U57" s="43"/>
      <c r="V57" s="58"/>
      <c r="W57" s="58"/>
      <c r="Y57" s="1"/>
    </row>
    <row r="58" spans="2:25">
      <c r="B58" s="1"/>
      <c r="C58" s="7"/>
      <c r="D58" s="7"/>
      <c r="E58" s="7"/>
      <c r="F58" s="7"/>
      <c r="S58" s="146"/>
      <c r="T58" s="34"/>
      <c r="U58" s="43"/>
      <c r="V58" s="58"/>
      <c r="W58" s="58"/>
      <c r="Y58" s="1"/>
    </row>
    <row r="59" spans="2:25">
      <c r="B59" s="1"/>
      <c r="C59" s="7"/>
      <c r="D59" s="7"/>
      <c r="E59" s="7"/>
      <c r="F59" s="7"/>
      <c r="S59" s="146"/>
      <c r="T59" s="34"/>
      <c r="U59" s="43"/>
      <c r="V59" s="58"/>
      <c r="W59" s="58"/>
      <c r="Y59" s="1"/>
    </row>
    <row r="60" spans="2:25">
      <c r="B60" s="1"/>
      <c r="C60" s="7"/>
      <c r="D60" s="7"/>
      <c r="E60" s="7"/>
      <c r="F60" s="7"/>
      <c r="S60" s="146"/>
      <c r="T60" s="34"/>
      <c r="U60" s="43"/>
      <c r="V60" s="58"/>
      <c r="W60" s="58"/>
      <c r="Y60" s="1"/>
    </row>
    <row r="61" spans="2:25">
      <c r="B61" s="1"/>
      <c r="C61" s="7"/>
      <c r="D61" s="7"/>
      <c r="E61" s="7"/>
      <c r="F61" s="7"/>
      <c r="S61" s="146"/>
      <c r="T61" s="34"/>
      <c r="U61" s="43"/>
      <c r="V61" s="58"/>
      <c r="W61" s="58"/>
      <c r="Y61" s="1"/>
    </row>
    <row r="62" spans="2:25">
      <c r="B62" s="1"/>
      <c r="C62" s="7"/>
      <c r="D62" s="7"/>
      <c r="E62" s="7"/>
      <c r="F62" s="7"/>
      <c r="S62" s="146"/>
      <c r="T62" s="34"/>
      <c r="U62" s="43"/>
      <c r="V62" s="58"/>
      <c r="W62" s="58"/>
      <c r="Y62" s="1"/>
    </row>
    <row r="63" spans="2:25">
      <c r="B63" s="1"/>
      <c r="C63" s="7"/>
      <c r="D63" s="7"/>
      <c r="E63" s="7"/>
      <c r="F63" s="7"/>
      <c r="S63" s="146"/>
      <c r="T63" s="34"/>
      <c r="U63" s="43"/>
      <c r="V63" s="58"/>
      <c r="W63" s="58"/>
      <c r="Y63" s="1"/>
    </row>
    <row r="64" spans="2:25">
      <c r="B64" s="1"/>
      <c r="C64" s="7"/>
      <c r="D64" s="7"/>
      <c r="E64" s="7"/>
      <c r="F64" s="7"/>
      <c r="S64" s="146"/>
      <c r="T64" s="34"/>
      <c r="U64" s="43"/>
      <c r="V64" s="58"/>
      <c r="W64" s="58"/>
      <c r="Y64" s="1"/>
    </row>
    <row r="65" spans="2:25">
      <c r="B65" s="1"/>
      <c r="C65" s="7"/>
      <c r="D65" s="7"/>
      <c r="E65" s="7"/>
      <c r="F65" s="7"/>
      <c r="S65" s="146"/>
      <c r="T65" s="34"/>
      <c r="U65" s="43"/>
      <c r="V65" s="58"/>
      <c r="W65" s="58"/>
      <c r="Y65" s="1"/>
    </row>
    <row r="66" spans="2:25">
      <c r="B66" s="1"/>
      <c r="C66" s="7"/>
      <c r="D66" s="7"/>
      <c r="E66" s="7"/>
      <c r="F66" s="7"/>
      <c r="S66" s="146"/>
      <c r="T66" s="34"/>
      <c r="U66" s="43"/>
      <c r="V66" s="58"/>
      <c r="W66" s="58"/>
      <c r="Y66" s="1"/>
    </row>
    <row r="67" spans="2:25">
      <c r="B67" s="1"/>
      <c r="C67" s="7"/>
      <c r="D67" s="7"/>
      <c r="E67" s="7"/>
      <c r="F67" s="7"/>
      <c r="S67" s="146"/>
      <c r="T67" s="34"/>
      <c r="U67" s="43"/>
      <c r="V67" s="58"/>
      <c r="W67" s="58"/>
      <c r="Y67" s="1"/>
    </row>
    <row r="68" spans="2:25">
      <c r="B68" s="1"/>
      <c r="C68" s="7"/>
      <c r="D68" s="7"/>
      <c r="E68" s="7"/>
      <c r="F68" s="7"/>
      <c r="S68" s="146"/>
      <c r="T68" s="34"/>
      <c r="U68" s="43"/>
      <c r="V68" s="58"/>
      <c r="W68" s="58"/>
      <c r="Y68" s="1"/>
    </row>
    <row r="69" spans="2:25">
      <c r="B69" s="1"/>
      <c r="C69" s="7"/>
      <c r="D69" s="7"/>
      <c r="E69" s="7"/>
      <c r="F69" s="7"/>
      <c r="S69" s="146"/>
      <c r="T69" s="34"/>
      <c r="U69" s="43"/>
      <c r="V69" s="58"/>
      <c r="W69" s="58"/>
      <c r="Y69" s="1"/>
    </row>
    <row r="70" spans="2:25">
      <c r="B70" s="1"/>
      <c r="C70" s="7"/>
      <c r="D70" s="7"/>
      <c r="E70" s="7"/>
      <c r="F70" s="7"/>
      <c r="S70" s="146"/>
      <c r="T70" s="34"/>
      <c r="U70" s="43"/>
      <c r="V70" s="58"/>
      <c r="W70" s="58"/>
      <c r="Y70" s="1"/>
    </row>
    <row r="71" spans="2:25">
      <c r="B71" s="1"/>
      <c r="C71" s="7"/>
      <c r="D71" s="7"/>
      <c r="E71" s="7"/>
      <c r="F71" s="7"/>
      <c r="S71" s="146"/>
      <c r="T71" s="34"/>
      <c r="U71" s="43"/>
      <c r="V71" s="58"/>
      <c r="W71" s="58"/>
      <c r="Y71" s="1"/>
    </row>
    <row r="72" spans="2:25">
      <c r="B72" s="1"/>
      <c r="C72" s="7"/>
      <c r="D72" s="7"/>
      <c r="E72" s="7"/>
      <c r="F72" s="7"/>
      <c r="S72" s="146"/>
      <c r="T72" s="34"/>
      <c r="U72" s="43"/>
      <c r="V72" s="58"/>
      <c r="W72" s="58"/>
      <c r="Y72" s="1"/>
    </row>
    <row r="73" spans="2:25">
      <c r="B73" s="1"/>
      <c r="C73" s="7"/>
      <c r="D73" s="7"/>
      <c r="E73" s="7"/>
      <c r="F73" s="7"/>
      <c r="S73" s="146"/>
      <c r="T73" s="34"/>
      <c r="U73" s="43"/>
      <c r="V73" s="58"/>
      <c r="W73" s="58"/>
      <c r="Y73" s="1"/>
    </row>
    <row r="74" spans="2:25">
      <c r="B74" s="1"/>
      <c r="C74" s="7"/>
      <c r="D74" s="7"/>
      <c r="E74" s="7"/>
      <c r="F74" s="7"/>
      <c r="S74" s="146"/>
      <c r="T74" s="34"/>
      <c r="U74" s="43"/>
      <c r="V74" s="58"/>
      <c r="W74" s="58"/>
      <c r="Y74" s="1"/>
    </row>
    <row r="75" spans="2:25">
      <c r="B75" s="1"/>
      <c r="C75" s="7"/>
      <c r="D75" s="7"/>
      <c r="E75" s="7"/>
      <c r="F75" s="7"/>
      <c r="S75" s="146"/>
      <c r="T75" s="34"/>
      <c r="U75" s="43"/>
      <c r="V75" s="58"/>
      <c r="W75" s="58"/>
      <c r="Y75" s="1"/>
    </row>
    <row r="76" spans="2:25">
      <c r="B76" s="1"/>
      <c r="C76" s="7"/>
      <c r="D76" s="7"/>
      <c r="E76" s="7"/>
      <c r="F76" s="7"/>
      <c r="S76" s="146"/>
      <c r="T76" s="34"/>
      <c r="U76" s="43"/>
      <c r="V76" s="58"/>
      <c r="W76" s="58"/>
      <c r="Y76" s="1"/>
    </row>
    <row r="77" spans="2:25">
      <c r="B77" s="1"/>
      <c r="C77" s="7"/>
      <c r="D77" s="7"/>
      <c r="E77" s="7"/>
      <c r="F77" s="7"/>
      <c r="S77" s="146"/>
      <c r="T77" s="34"/>
      <c r="U77" s="43"/>
      <c r="V77" s="58"/>
      <c r="W77" s="58"/>
      <c r="Y77" s="1"/>
    </row>
    <row r="78" spans="2:25">
      <c r="B78" s="1"/>
      <c r="C78" s="7"/>
      <c r="D78" s="7"/>
      <c r="E78" s="7"/>
      <c r="F78" s="7"/>
      <c r="S78" s="146"/>
      <c r="T78" s="34"/>
      <c r="U78" s="43"/>
      <c r="V78" s="58"/>
      <c r="W78" s="58"/>
      <c r="Y78" s="1"/>
    </row>
    <row r="79" spans="2:25">
      <c r="B79" s="1"/>
      <c r="C79" s="7"/>
      <c r="D79" s="7"/>
      <c r="E79" s="7"/>
      <c r="F79" s="7"/>
      <c r="S79" s="146"/>
      <c r="T79" s="34"/>
      <c r="U79" s="43"/>
      <c r="V79" s="58"/>
      <c r="W79" s="58"/>
      <c r="Y79" s="1"/>
    </row>
    <row r="80" spans="2:25">
      <c r="B80" s="1"/>
      <c r="C80" s="7"/>
      <c r="D80" s="7"/>
      <c r="E80" s="7"/>
      <c r="F80" s="7"/>
      <c r="S80" s="146"/>
      <c r="T80" s="34"/>
      <c r="U80" s="43"/>
      <c r="V80" s="58"/>
      <c r="W80" s="58"/>
      <c r="Y80" s="1"/>
    </row>
    <row r="81" spans="2:25">
      <c r="B81" s="1"/>
      <c r="C81" s="7"/>
      <c r="D81" s="7"/>
      <c r="E81" s="7"/>
      <c r="F81" s="7"/>
      <c r="S81" s="146"/>
      <c r="T81" s="34"/>
      <c r="U81" s="43"/>
      <c r="V81" s="58"/>
      <c r="W81" s="58"/>
      <c r="Y81" s="1"/>
    </row>
    <row r="82" spans="2:25">
      <c r="B82" s="1"/>
      <c r="C82" s="7"/>
      <c r="D82" s="7"/>
      <c r="E82" s="7"/>
      <c r="F82" s="7"/>
      <c r="S82" s="146"/>
      <c r="T82" s="34"/>
      <c r="U82" s="43"/>
      <c r="V82" s="58"/>
      <c r="W82" s="58"/>
      <c r="Y82" s="1"/>
    </row>
    <row r="83" spans="2:25">
      <c r="S83" s="146"/>
      <c r="T83" s="34"/>
      <c r="U83" s="43"/>
      <c r="V83" s="58"/>
      <c r="W83" s="58"/>
    </row>
    <row r="84" spans="2:25">
      <c r="S84" s="146"/>
      <c r="T84" s="34"/>
      <c r="U84" s="43"/>
      <c r="V84" s="58"/>
      <c r="W84" s="58"/>
    </row>
    <row r="85" spans="2:25">
      <c r="S85" s="146"/>
      <c r="T85" s="34"/>
      <c r="U85" s="43"/>
      <c r="V85" s="58"/>
      <c r="W85" s="58"/>
    </row>
    <row r="86" spans="2:25">
      <c r="S86" s="146"/>
      <c r="T86" s="34"/>
      <c r="U86" s="43"/>
      <c r="V86" s="58"/>
      <c r="W86" s="58"/>
    </row>
    <row r="87" spans="2:25">
      <c r="S87" s="146"/>
      <c r="T87" s="34"/>
      <c r="U87" s="43"/>
      <c r="V87" s="58"/>
      <c r="W87" s="58"/>
    </row>
    <row r="88" spans="2:25">
      <c r="S88" s="146"/>
      <c r="T88" s="34"/>
      <c r="U88" s="43"/>
      <c r="V88" s="58"/>
      <c r="W88" s="58"/>
    </row>
    <row r="89" spans="2:25">
      <c r="S89" s="146"/>
      <c r="T89" s="34"/>
      <c r="U89" s="43"/>
      <c r="V89" s="58"/>
      <c r="W89" s="58"/>
    </row>
    <row r="90" spans="2:25">
      <c r="S90" s="146"/>
      <c r="T90" s="34"/>
      <c r="U90" s="43"/>
      <c r="V90" s="58"/>
      <c r="W90" s="58"/>
    </row>
    <row r="91" spans="2:25">
      <c r="S91" s="146"/>
      <c r="T91" s="34"/>
      <c r="U91" s="43"/>
      <c r="V91" s="58"/>
      <c r="W91" s="58"/>
    </row>
    <row r="92" spans="2:25">
      <c r="S92" s="146"/>
      <c r="T92" s="34"/>
      <c r="U92" s="43"/>
      <c r="V92" s="58"/>
      <c r="W92" s="58"/>
    </row>
    <row r="93" spans="2:25">
      <c r="S93" s="146"/>
      <c r="T93" s="34"/>
      <c r="U93" s="43"/>
      <c r="V93" s="58"/>
      <c r="W93" s="58"/>
    </row>
    <row r="94" spans="2:25">
      <c r="S94" s="146"/>
      <c r="T94" s="34"/>
      <c r="U94" s="43"/>
      <c r="V94" s="58"/>
      <c r="W94" s="58"/>
    </row>
    <row r="95" spans="2:25">
      <c r="S95" s="146"/>
      <c r="T95" s="34"/>
      <c r="U95" s="43"/>
      <c r="V95" s="58"/>
      <c r="W95" s="58"/>
    </row>
    <row r="96" spans="2:25" ht="16.5" customHeight="1">
      <c r="S96" s="146"/>
      <c r="T96" s="34"/>
      <c r="U96" s="43"/>
    </row>
    <row r="97" spans="19:21" ht="16.5" customHeight="1">
      <c r="S97" s="146"/>
      <c r="T97" s="34"/>
      <c r="U97" s="43"/>
    </row>
    <row r="98" spans="19:21" ht="16.5" customHeight="1">
      <c r="S98" s="146"/>
      <c r="T98" s="34"/>
      <c r="U98" s="43"/>
    </row>
    <row r="99" spans="19:21" ht="16.5" customHeight="1">
      <c r="S99" s="146"/>
      <c r="T99" s="34"/>
      <c r="U99" s="43"/>
    </row>
    <row r="100" spans="19:21" ht="16.5" customHeight="1">
      <c r="S100" s="146"/>
      <c r="T100" s="34"/>
      <c r="U100" s="43"/>
    </row>
    <row r="101" spans="19:21" ht="16.5" customHeight="1">
      <c r="S101" s="146"/>
      <c r="T101" s="34"/>
      <c r="U101" s="43"/>
    </row>
    <row r="102" spans="19:21" ht="16.5" customHeight="1">
      <c r="S102" s="146"/>
      <c r="T102" s="34"/>
      <c r="U102" s="43"/>
    </row>
    <row r="103" spans="19:21" ht="16.5" customHeight="1">
      <c r="S103" s="146"/>
      <c r="T103" s="34"/>
      <c r="U103" s="43"/>
    </row>
    <row r="104" spans="19:21" ht="16.5" customHeight="1">
      <c r="S104" s="146"/>
      <c r="T104" s="34"/>
      <c r="U104" s="43"/>
    </row>
    <row r="105" spans="19:21" ht="16.5" customHeight="1">
      <c r="S105" s="146"/>
      <c r="T105" s="34"/>
      <c r="U105" s="43"/>
    </row>
    <row r="106" spans="19:21" ht="16.5" customHeight="1">
      <c r="S106" s="146"/>
      <c r="T106" s="34"/>
      <c r="U106" s="43"/>
    </row>
    <row r="107" spans="19:21" ht="16.5" customHeight="1">
      <c r="S107" s="146"/>
      <c r="T107" s="34"/>
      <c r="U107" s="43"/>
    </row>
    <row r="108" spans="19:21" ht="16.5" customHeight="1">
      <c r="S108" s="146"/>
      <c r="T108" s="34"/>
      <c r="U108" s="43"/>
    </row>
    <row r="109" spans="19:21" ht="16.5" customHeight="1">
      <c r="S109" s="146"/>
      <c r="T109" s="34"/>
      <c r="U109" s="43"/>
    </row>
    <row r="110" spans="19:21" ht="16.5" customHeight="1">
      <c r="S110" s="146"/>
      <c r="T110" s="34"/>
      <c r="U110" s="43"/>
    </row>
    <row r="111" spans="19:21" ht="16.5" customHeight="1">
      <c r="S111" s="146"/>
      <c r="T111" s="34"/>
      <c r="U111" s="43"/>
    </row>
    <row r="112" spans="19:21" ht="16.5" customHeight="1">
      <c r="S112" s="146"/>
      <c r="T112" s="34"/>
      <c r="U112" s="43"/>
    </row>
    <row r="113" spans="19:21" ht="16.5" customHeight="1">
      <c r="S113" s="146"/>
      <c r="T113" s="34"/>
      <c r="U113" s="43"/>
    </row>
    <row r="114" spans="19:21" ht="16.5" customHeight="1">
      <c r="S114" s="146"/>
      <c r="T114" s="34"/>
      <c r="U114" s="43"/>
    </row>
    <row r="115" spans="19:21" ht="16.5" customHeight="1">
      <c r="S115" s="146"/>
      <c r="T115" s="34"/>
      <c r="U115" s="43"/>
    </row>
    <row r="116" spans="19:21" ht="16.5" customHeight="1">
      <c r="S116" s="146"/>
      <c r="T116" s="34"/>
      <c r="U116" s="43"/>
    </row>
    <row r="117" spans="19:21" ht="16.5" customHeight="1">
      <c r="S117" s="146"/>
      <c r="T117" s="34"/>
      <c r="U117" s="43"/>
    </row>
    <row r="118" spans="19:21" ht="16.5" customHeight="1">
      <c r="S118" s="146"/>
      <c r="T118" s="34"/>
      <c r="U118" s="43"/>
    </row>
    <row r="119" spans="19:21" ht="16.5" customHeight="1">
      <c r="S119" s="146"/>
      <c r="T119" s="34"/>
      <c r="U119" s="43"/>
    </row>
    <row r="120" spans="19:21" ht="16.5" customHeight="1">
      <c r="S120" s="146"/>
      <c r="T120" s="34"/>
      <c r="U120" s="43"/>
    </row>
    <row r="121" spans="19:21" ht="16.5" customHeight="1">
      <c r="S121" s="146"/>
      <c r="T121" s="34"/>
      <c r="U121" s="43"/>
    </row>
    <row r="122" spans="19:21" ht="16.5" customHeight="1">
      <c r="S122" s="146"/>
      <c r="T122" s="34"/>
      <c r="U122" s="43"/>
    </row>
    <row r="123" spans="19:21" ht="16.5" customHeight="1">
      <c r="S123" s="146"/>
      <c r="T123" s="34"/>
      <c r="U123" s="43"/>
    </row>
    <row r="124" spans="19:21" ht="16.5" customHeight="1">
      <c r="S124" s="146"/>
      <c r="T124" s="34"/>
      <c r="U124" s="43"/>
    </row>
    <row r="125" spans="19:21" ht="16.5" customHeight="1">
      <c r="S125" s="146"/>
      <c r="T125" s="34"/>
      <c r="U125" s="43"/>
    </row>
    <row r="126" spans="19:21" ht="16.5" customHeight="1">
      <c r="S126" s="146"/>
      <c r="T126" s="34"/>
      <c r="U126" s="43"/>
    </row>
    <row r="127" spans="19:21" ht="16.5" customHeight="1">
      <c r="S127" s="146"/>
      <c r="T127" s="34"/>
      <c r="U127" s="43"/>
    </row>
    <row r="128" spans="19:21" ht="16.5" customHeight="1">
      <c r="S128" s="146"/>
      <c r="T128" s="34"/>
      <c r="U128" s="43"/>
    </row>
    <row r="129" spans="19:21" ht="16.5" customHeight="1">
      <c r="S129" s="146"/>
      <c r="T129" s="34"/>
      <c r="U129" s="43"/>
    </row>
    <row r="130" spans="19:21" ht="16.5" customHeight="1">
      <c r="S130" s="146"/>
      <c r="T130" s="34"/>
      <c r="U130" s="43"/>
    </row>
    <row r="131" spans="19:21" ht="16.5" customHeight="1">
      <c r="S131" s="146"/>
      <c r="T131" s="34"/>
      <c r="U131" s="43"/>
    </row>
    <row r="132" spans="19:21" ht="16.5" customHeight="1">
      <c r="S132" s="146"/>
      <c r="T132" s="34"/>
      <c r="U132" s="43"/>
    </row>
    <row r="133" spans="19:21" ht="16.5" customHeight="1">
      <c r="S133" s="146"/>
      <c r="T133" s="34"/>
      <c r="U133" s="43"/>
    </row>
    <row r="134" spans="19:21" ht="16.5" customHeight="1">
      <c r="S134" s="146"/>
      <c r="T134" s="34"/>
      <c r="U134" s="43"/>
    </row>
    <row r="135" spans="19:21" ht="16.5" customHeight="1">
      <c r="S135" s="146"/>
      <c r="T135" s="34"/>
      <c r="U135" s="43"/>
    </row>
    <row r="136" spans="19:21" ht="16.5" customHeight="1">
      <c r="S136" s="146"/>
      <c r="T136" s="34"/>
      <c r="U136" s="43"/>
    </row>
    <row r="137" spans="19:21" ht="16.5" customHeight="1">
      <c r="S137" s="146"/>
      <c r="T137" s="34"/>
      <c r="U137" s="43"/>
    </row>
    <row r="138" spans="19:21" ht="16.5" customHeight="1">
      <c r="S138" s="146"/>
      <c r="T138" s="34"/>
      <c r="U138" s="43"/>
    </row>
    <row r="139" spans="19:21" ht="16.5" customHeight="1">
      <c r="S139" s="146"/>
      <c r="T139" s="34"/>
      <c r="U139" s="43"/>
    </row>
    <row r="140" spans="19:21" ht="16.5" customHeight="1">
      <c r="S140" s="146"/>
      <c r="T140" s="34"/>
      <c r="U140" s="43"/>
    </row>
    <row r="141" spans="19:21" ht="16.5" customHeight="1">
      <c r="S141" s="146"/>
      <c r="T141" s="34"/>
      <c r="U141" s="43"/>
    </row>
    <row r="142" spans="19:21" ht="16.5" customHeight="1">
      <c r="S142" s="146"/>
      <c r="T142" s="34"/>
      <c r="U142" s="43"/>
    </row>
    <row r="143" spans="19:21" ht="16.5" customHeight="1">
      <c r="S143" s="146"/>
      <c r="T143" s="34"/>
      <c r="U143" s="43"/>
    </row>
    <row r="144" spans="19:21" ht="16.5" customHeight="1">
      <c r="S144" s="146"/>
      <c r="T144" s="34"/>
      <c r="U144" s="43"/>
    </row>
    <row r="145" spans="19:21" ht="16.5" customHeight="1">
      <c r="S145" s="146"/>
      <c r="T145" s="34"/>
      <c r="U145" s="43"/>
    </row>
    <row r="146" spans="19:21" ht="16.5" customHeight="1">
      <c r="S146" s="146"/>
      <c r="T146" s="34"/>
      <c r="U146" s="43"/>
    </row>
    <row r="147" spans="19:21" ht="16.5" customHeight="1">
      <c r="S147" s="146"/>
      <c r="T147" s="34"/>
      <c r="U147" s="43"/>
    </row>
    <row r="148" spans="19:21" ht="16.5" customHeight="1">
      <c r="S148" s="146"/>
      <c r="T148" s="34"/>
      <c r="U148" s="43"/>
    </row>
    <row r="149" spans="19:21" ht="16.5" customHeight="1">
      <c r="S149" s="146"/>
      <c r="T149" s="34"/>
      <c r="U149" s="43"/>
    </row>
    <row r="150" spans="19:21" ht="16.5" customHeight="1">
      <c r="S150" s="146"/>
      <c r="T150" s="34"/>
      <c r="U150" s="43"/>
    </row>
    <row r="151" spans="19:21" ht="16.5" customHeight="1">
      <c r="S151" s="146"/>
      <c r="T151" s="34"/>
      <c r="U151" s="43"/>
    </row>
    <row r="152" spans="19:21" ht="16.5" customHeight="1">
      <c r="S152" s="146"/>
      <c r="T152" s="34"/>
      <c r="U152" s="43"/>
    </row>
    <row r="153" spans="19:21" ht="16.5" customHeight="1">
      <c r="S153" s="146"/>
      <c r="T153" s="34"/>
      <c r="U153" s="43"/>
    </row>
    <row r="154" spans="19:21" ht="16.5" customHeight="1">
      <c r="S154" s="146"/>
      <c r="T154" s="34"/>
      <c r="U154" s="43"/>
    </row>
    <row r="155" spans="19:21" ht="16.5" customHeight="1">
      <c r="S155" s="146"/>
      <c r="T155" s="34"/>
      <c r="U155" s="43"/>
    </row>
    <row r="156" spans="19:21" ht="16.5" customHeight="1">
      <c r="S156" s="146"/>
      <c r="T156" s="34"/>
      <c r="U156" s="43"/>
    </row>
    <row r="157" spans="19:21" ht="16.5" customHeight="1">
      <c r="S157" s="146"/>
      <c r="T157" s="34"/>
      <c r="U157" s="43"/>
    </row>
    <row r="158" spans="19:21" ht="16.5" customHeight="1">
      <c r="S158" s="146"/>
      <c r="T158" s="34"/>
      <c r="U158" s="43"/>
    </row>
    <row r="159" spans="19:21" ht="16.5" customHeight="1">
      <c r="S159" s="146"/>
      <c r="T159" s="34"/>
      <c r="U159" s="43"/>
    </row>
    <row r="160" spans="19:21" ht="16.5" customHeight="1">
      <c r="S160" s="146"/>
      <c r="T160" s="34"/>
      <c r="U160" s="43"/>
    </row>
    <row r="161" spans="19:21" ht="16.5" customHeight="1">
      <c r="S161" s="146"/>
      <c r="T161" s="34"/>
      <c r="U161" s="43"/>
    </row>
    <row r="162" spans="19:21" ht="16.5" customHeight="1">
      <c r="S162" s="146"/>
      <c r="T162" s="34"/>
      <c r="U162" s="43"/>
    </row>
    <row r="163" spans="19:21" ht="16.5" customHeight="1">
      <c r="S163" s="146"/>
      <c r="T163" s="34"/>
      <c r="U163" s="43"/>
    </row>
    <row r="164" spans="19:21" ht="16.5" customHeight="1">
      <c r="S164" s="146"/>
      <c r="T164" s="34"/>
      <c r="U164" s="43"/>
    </row>
    <row r="165" spans="19:21" ht="16.5" customHeight="1">
      <c r="S165" s="146"/>
      <c r="T165" s="34"/>
      <c r="U165" s="43"/>
    </row>
    <row r="166" spans="19:21" ht="16.5" customHeight="1">
      <c r="S166" s="146"/>
      <c r="T166" s="34"/>
      <c r="U166" s="43"/>
    </row>
    <row r="167" spans="19:21" ht="16.5" customHeight="1">
      <c r="S167" s="146"/>
      <c r="T167" s="34"/>
      <c r="U167" s="43"/>
    </row>
    <row r="168" spans="19:21" ht="16.5" customHeight="1">
      <c r="S168" s="146"/>
      <c r="T168" s="34"/>
      <c r="U168" s="43"/>
    </row>
    <row r="169" spans="19:21" ht="16.5" customHeight="1">
      <c r="S169" s="146"/>
      <c r="T169" s="34"/>
      <c r="U169" s="43"/>
    </row>
    <row r="170" spans="19:21" ht="16.5" customHeight="1">
      <c r="S170" s="146"/>
      <c r="T170" s="34"/>
      <c r="U170" s="43"/>
    </row>
    <row r="171" spans="19:21" ht="16.5" customHeight="1">
      <c r="S171" s="146"/>
      <c r="T171" s="34"/>
      <c r="U171" s="43"/>
    </row>
    <row r="172" spans="19:21" ht="16.5" customHeight="1">
      <c r="S172" s="146"/>
      <c r="T172" s="34"/>
      <c r="U172" s="43"/>
    </row>
    <row r="173" spans="19:21" ht="16.5" customHeight="1">
      <c r="S173" s="146"/>
      <c r="T173" s="34"/>
      <c r="U173" s="43"/>
    </row>
    <row r="174" spans="19:21" ht="16.5" customHeight="1">
      <c r="S174" s="146"/>
      <c r="T174" s="34"/>
      <c r="U174" s="43"/>
    </row>
    <row r="175" spans="19:21" ht="16.5" customHeight="1">
      <c r="S175" s="146"/>
      <c r="T175" s="34"/>
      <c r="U175" s="43"/>
    </row>
    <row r="176" spans="19:21" ht="16.5" customHeight="1">
      <c r="S176" s="146"/>
      <c r="T176" s="34"/>
      <c r="U176" s="43"/>
    </row>
    <row r="177" spans="19:21" ht="16.5" customHeight="1">
      <c r="S177" s="146"/>
      <c r="T177" s="34"/>
      <c r="U177" s="43"/>
    </row>
    <row r="178" spans="19:21" ht="16.5" customHeight="1">
      <c r="S178" s="146"/>
      <c r="T178" s="34"/>
      <c r="U178" s="43"/>
    </row>
    <row r="179" spans="19:21" ht="16.5" customHeight="1">
      <c r="S179" s="146"/>
      <c r="T179" s="34"/>
      <c r="U179" s="43"/>
    </row>
    <row r="180" spans="19:21" ht="16.5" customHeight="1">
      <c r="S180" s="146"/>
      <c r="T180" s="34"/>
      <c r="U180" s="43"/>
    </row>
    <row r="181" spans="19:21" ht="16.5" customHeight="1">
      <c r="S181" s="146"/>
      <c r="T181" s="34"/>
      <c r="U181" s="43"/>
    </row>
    <row r="182" spans="19:21" ht="16.5" customHeight="1">
      <c r="S182" s="146"/>
      <c r="T182" s="34"/>
      <c r="U182" s="43"/>
    </row>
    <row r="183" spans="19:21" ht="16.5" customHeight="1">
      <c r="S183" s="146"/>
      <c r="T183" s="34"/>
      <c r="U183" s="43"/>
    </row>
    <row r="184" spans="19:21" ht="16.5" customHeight="1">
      <c r="S184" s="146"/>
      <c r="T184" s="34"/>
      <c r="U184" s="43"/>
    </row>
    <row r="185" spans="19:21" ht="16.5" customHeight="1">
      <c r="S185" s="146"/>
      <c r="T185" s="34"/>
      <c r="U185" s="43"/>
    </row>
    <row r="186" spans="19:21" ht="16.5" customHeight="1">
      <c r="S186" s="146"/>
      <c r="T186" s="34"/>
      <c r="U186" s="43"/>
    </row>
    <row r="187" spans="19:21" ht="16.5" customHeight="1">
      <c r="S187" s="146"/>
      <c r="T187" s="34"/>
      <c r="U187" s="43"/>
    </row>
    <row r="188" spans="19:21" ht="16.5" customHeight="1">
      <c r="S188" s="146"/>
      <c r="T188" s="34"/>
      <c r="U188" s="43"/>
    </row>
    <row r="189" spans="19:21" ht="16.5" customHeight="1">
      <c r="S189" s="146"/>
      <c r="T189" s="34"/>
      <c r="U189" s="43"/>
    </row>
    <row r="190" spans="19:21" ht="16.5" customHeight="1">
      <c r="S190" s="146"/>
      <c r="T190" s="34"/>
      <c r="U190" s="43"/>
    </row>
    <row r="191" spans="19:21" ht="16.5" customHeight="1">
      <c r="S191" s="146"/>
      <c r="T191" s="34"/>
      <c r="U191" s="43"/>
    </row>
    <row r="192" spans="19:21" ht="16.5" customHeight="1">
      <c r="S192" s="146"/>
      <c r="T192" s="34"/>
      <c r="U192" s="43"/>
    </row>
    <row r="193" spans="19:21" ht="16.5" customHeight="1">
      <c r="S193" s="146"/>
      <c r="T193" s="34"/>
      <c r="U193" s="43"/>
    </row>
    <row r="194" spans="19:21" ht="16.5" customHeight="1">
      <c r="S194" s="146"/>
      <c r="T194" s="34"/>
      <c r="U194" s="43"/>
    </row>
    <row r="195" spans="19:21" ht="16.5" customHeight="1">
      <c r="S195" s="146"/>
      <c r="T195" s="34"/>
      <c r="U195" s="43"/>
    </row>
    <row r="196" spans="19:21" ht="16.5" customHeight="1">
      <c r="S196" s="146"/>
      <c r="T196" s="34"/>
      <c r="U196" s="43"/>
    </row>
    <row r="197" spans="19:21" ht="16.5" customHeight="1">
      <c r="S197" s="146"/>
      <c r="T197" s="34"/>
      <c r="U197" s="43"/>
    </row>
    <row r="198" spans="19:21" ht="16.5" customHeight="1">
      <c r="S198" s="146"/>
      <c r="T198" s="34"/>
      <c r="U198" s="43"/>
    </row>
    <row r="199" spans="19:21" ht="16.5" customHeight="1">
      <c r="S199" s="146"/>
      <c r="T199" s="34"/>
      <c r="U199" s="43"/>
    </row>
    <row r="200" spans="19:21" ht="16.5" customHeight="1">
      <c r="S200" s="146"/>
      <c r="T200" s="34"/>
      <c r="U200" s="43"/>
    </row>
    <row r="201" spans="19:21" ht="16.5" customHeight="1">
      <c r="S201" s="146"/>
      <c r="T201" s="34"/>
      <c r="U201" s="43"/>
    </row>
    <row r="202" spans="19:21" ht="16.5" customHeight="1">
      <c r="S202" s="146"/>
      <c r="T202" s="34"/>
      <c r="U202" s="43"/>
    </row>
    <row r="203" spans="19:21" ht="16.5" customHeight="1">
      <c r="S203" s="146"/>
      <c r="T203" s="34"/>
      <c r="U203" s="43"/>
    </row>
    <row r="204" spans="19:21" ht="16.5" customHeight="1">
      <c r="S204" s="146"/>
      <c r="T204" s="34"/>
      <c r="U204" s="43"/>
    </row>
    <row r="205" spans="19:21" ht="16.5" customHeight="1">
      <c r="S205" s="146"/>
      <c r="T205" s="34"/>
      <c r="U205" s="43"/>
    </row>
    <row r="206" spans="19:21" ht="16.5" customHeight="1">
      <c r="S206" s="146"/>
      <c r="T206" s="34"/>
      <c r="U206" s="43"/>
    </row>
    <row r="207" spans="19:21" ht="16.5" customHeight="1">
      <c r="S207" s="146"/>
      <c r="T207" s="34"/>
      <c r="U207" s="43"/>
    </row>
    <row r="208" spans="19:21" ht="16.5" customHeight="1">
      <c r="S208" s="146"/>
      <c r="T208" s="34"/>
      <c r="U208" s="43"/>
    </row>
    <row r="209" spans="19:21" ht="16.5" customHeight="1">
      <c r="S209" s="146"/>
      <c r="T209" s="34"/>
      <c r="U209" s="43"/>
    </row>
    <row r="210" spans="19:21" ht="16.5" customHeight="1">
      <c r="S210" s="146"/>
      <c r="T210" s="34"/>
      <c r="U210" s="43"/>
    </row>
    <row r="211" spans="19:21" ht="16.5" customHeight="1">
      <c r="S211" s="146"/>
      <c r="T211" s="34"/>
      <c r="U211" s="43"/>
    </row>
    <row r="212" spans="19:21" ht="16.5" customHeight="1">
      <c r="S212" s="146"/>
      <c r="T212" s="34"/>
      <c r="U212" s="43"/>
    </row>
    <row r="213" spans="19:21" ht="16.5" customHeight="1">
      <c r="S213" s="146"/>
      <c r="T213" s="34"/>
      <c r="U213" s="43"/>
    </row>
    <row r="214" spans="19:21" ht="16.5" customHeight="1">
      <c r="S214" s="146"/>
      <c r="T214" s="34"/>
      <c r="U214" s="43"/>
    </row>
    <row r="215" spans="19:21" ht="16.5" customHeight="1">
      <c r="S215" s="146"/>
      <c r="T215" s="34"/>
      <c r="U215" s="43"/>
    </row>
    <row r="216" spans="19:21" ht="16.5" customHeight="1">
      <c r="S216" s="146"/>
      <c r="T216" s="34"/>
      <c r="U216" s="43"/>
    </row>
    <row r="217" spans="19:21" ht="16.5" customHeight="1">
      <c r="S217" s="146"/>
      <c r="T217" s="34"/>
      <c r="U217" s="43"/>
    </row>
    <row r="218" spans="19:21" ht="16.5" customHeight="1">
      <c r="S218" s="146"/>
      <c r="T218" s="34"/>
      <c r="U218" s="43"/>
    </row>
    <row r="219" spans="19:21" ht="16.5" customHeight="1">
      <c r="S219" s="146"/>
      <c r="T219" s="34"/>
      <c r="U219" s="43"/>
    </row>
    <row r="220" spans="19:21" ht="16.5" customHeight="1">
      <c r="S220" s="146"/>
      <c r="T220" s="34"/>
      <c r="U220" s="43"/>
    </row>
    <row r="221" spans="19:21" ht="16.5" customHeight="1">
      <c r="S221" s="146"/>
      <c r="T221" s="34"/>
      <c r="U221" s="43"/>
    </row>
    <row r="222" spans="19:21" ht="16.5" customHeight="1">
      <c r="S222" s="146"/>
      <c r="T222" s="34"/>
      <c r="U222" s="43"/>
    </row>
    <row r="223" spans="19:21" ht="16.5" customHeight="1">
      <c r="S223" s="146"/>
      <c r="T223" s="34"/>
      <c r="U223" s="43"/>
    </row>
    <row r="224" spans="19:21" ht="16.5" customHeight="1">
      <c r="S224" s="146"/>
      <c r="T224" s="34"/>
      <c r="U224" s="43"/>
    </row>
    <row r="225" spans="19:21" ht="16.5" customHeight="1">
      <c r="S225" s="146"/>
      <c r="T225" s="34"/>
      <c r="U225" s="43"/>
    </row>
    <row r="226" spans="19:21" ht="16.5" customHeight="1">
      <c r="S226" s="146"/>
      <c r="T226" s="34"/>
      <c r="U226" s="43"/>
    </row>
    <row r="227" spans="19:21" ht="16.5" customHeight="1">
      <c r="S227" s="146"/>
      <c r="T227" s="34"/>
      <c r="U227" s="43"/>
    </row>
    <row r="228" spans="19:21" ht="16.5" customHeight="1">
      <c r="S228" s="146"/>
      <c r="T228" s="34"/>
      <c r="U228" s="43"/>
    </row>
    <row r="229" spans="19:21" ht="16.5" customHeight="1">
      <c r="S229" s="146"/>
      <c r="T229" s="34"/>
      <c r="U229" s="43"/>
    </row>
    <row r="230" spans="19:21" ht="16.5" customHeight="1">
      <c r="S230" s="146"/>
      <c r="T230" s="34"/>
      <c r="U230" s="43"/>
    </row>
    <row r="231" spans="19:21" ht="16.5" customHeight="1">
      <c r="S231" s="146"/>
      <c r="T231" s="34"/>
      <c r="U231" s="43"/>
    </row>
    <row r="232" spans="19:21" ht="16.5" customHeight="1">
      <c r="S232" s="146"/>
      <c r="T232" s="34"/>
      <c r="U232" s="43"/>
    </row>
    <row r="233" spans="19:21" ht="16.5" customHeight="1">
      <c r="S233" s="146"/>
      <c r="T233" s="34"/>
      <c r="U233" s="43"/>
    </row>
    <row r="234" spans="19:21" ht="16.5" customHeight="1">
      <c r="S234" s="146"/>
      <c r="T234" s="34"/>
      <c r="U234" s="43"/>
    </row>
    <row r="235" spans="19:21" ht="16.5" customHeight="1">
      <c r="S235" s="146"/>
      <c r="T235" s="34"/>
      <c r="U235" s="43"/>
    </row>
    <row r="236" spans="19:21" ht="16.5" customHeight="1">
      <c r="S236" s="146"/>
      <c r="T236" s="34"/>
      <c r="U236" s="43"/>
    </row>
    <row r="237" spans="19:21" ht="16.5" customHeight="1">
      <c r="S237" s="146"/>
      <c r="T237" s="34"/>
      <c r="U237" s="43"/>
    </row>
    <row r="238" spans="19:21" ht="16.5" customHeight="1">
      <c r="S238" s="146"/>
      <c r="T238" s="34"/>
      <c r="U238" s="43"/>
    </row>
    <row r="239" spans="19:21" ht="16.5" customHeight="1">
      <c r="S239" s="146"/>
      <c r="T239" s="34"/>
      <c r="U239" s="43"/>
    </row>
    <row r="240" spans="19:21" ht="16.5" customHeight="1">
      <c r="S240" s="146"/>
      <c r="T240" s="34"/>
      <c r="U240" s="43"/>
    </row>
    <row r="241" spans="19:21" ht="16.5" customHeight="1">
      <c r="S241" s="146"/>
      <c r="T241" s="34"/>
      <c r="U241" s="43"/>
    </row>
    <row r="242" spans="19:21" ht="16.5" customHeight="1">
      <c r="S242" s="146"/>
      <c r="T242" s="34"/>
      <c r="U242" s="43"/>
    </row>
    <row r="243" spans="19:21" ht="16.5" customHeight="1">
      <c r="S243" s="146"/>
      <c r="T243" s="34"/>
      <c r="U243" s="43"/>
    </row>
    <row r="244" spans="19:21" ht="16.5" customHeight="1">
      <c r="S244" s="146"/>
      <c r="T244" s="34"/>
      <c r="U244" s="43"/>
    </row>
    <row r="245" spans="19:21" ht="16.5" customHeight="1">
      <c r="S245" s="146"/>
      <c r="T245" s="34"/>
      <c r="U245" s="43"/>
    </row>
    <row r="246" spans="19:21" ht="16.5" customHeight="1">
      <c r="S246" s="146"/>
      <c r="T246" s="34"/>
      <c r="U246" s="43"/>
    </row>
    <row r="247" spans="19:21" ht="16.5" customHeight="1">
      <c r="S247" s="146"/>
      <c r="T247" s="34"/>
      <c r="U247" s="43"/>
    </row>
    <row r="248" spans="19:21" ht="16.5" customHeight="1">
      <c r="S248" s="146"/>
      <c r="T248" s="34"/>
      <c r="U248" s="43"/>
    </row>
    <row r="249" spans="19:21" ht="16.5" customHeight="1">
      <c r="S249" s="146"/>
      <c r="T249" s="34"/>
      <c r="U249" s="43"/>
    </row>
    <row r="250" spans="19:21" ht="16.5" customHeight="1">
      <c r="S250" s="146"/>
      <c r="T250" s="34"/>
      <c r="U250" s="43"/>
    </row>
    <row r="251" spans="19:21" ht="16.5" customHeight="1">
      <c r="S251" s="146"/>
      <c r="T251" s="34"/>
      <c r="U251" s="43"/>
    </row>
    <row r="252" spans="19:21" ht="16.5" customHeight="1">
      <c r="S252" s="146"/>
      <c r="T252" s="34"/>
      <c r="U252" s="43"/>
    </row>
    <row r="253" spans="19:21" ht="16.5" customHeight="1">
      <c r="S253" s="146"/>
      <c r="T253" s="34"/>
      <c r="U253" s="43"/>
    </row>
    <row r="254" spans="19:21" ht="16.5" customHeight="1">
      <c r="S254" s="146"/>
      <c r="T254" s="34"/>
      <c r="U254" s="43"/>
    </row>
    <row r="255" spans="19:21" ht="16.5" customHeight="1">
      <c r="S255" s="146"/>
      <c r="T255" s="34"/>
      <c r="U255" s="43"/>
    </row>
    <row r="256" spans="19:21" ht="16.5" customHeight="1">
      <c r="S256" s="146"/>
      <c r="T256" s="34"/>
      <c r="U256" s="43"/>
    </row>
    <row r="257" spans="19:21" ht="16.5" customHeight="1">
      <c r="S257" s="146"/>
      <c r="T257" s="34"/>
      <c r="U257" s="43"/>
    </row>
    <row r="258" spans="19:21" ht="16.5" customHeight="1">
      <c r="S258" s="146"/>
      <c r="T258" s="34"/>
      <c r="U258" s="43"/>
    </row>
    <row r="259" spans="19:21" ht="16.5" customHeight="1">
      <c r="S259" s="146"/>
      <c r="T259" s="34"/>
      <c r="U259" s="43"/>
    </row>
    <row r="260" spans="19:21" ht="16.5" customHeight="1">
      <c r="S260" s="146"/>
      <c r="T260" s="34"/>
      <c r="U260" s="43"/>
    </row>
    <row r="261" spans="19:21" ht="16.5" customHeight="1">
      <c r="S261" s="146"/>
      <c r="T261" s="34"/>
      <c r="U261" s="43"/>
    </row>
    <row r="262" spans="19:21" ht="16.5" customHeight="1">
      <c r="S262" s="146"/>
      <c r="T262" s="34"/>
      <c r="U262" s="43"/>
    </row>
    <row r="263" spans="19:21" ht="16.5" customHeight="1">
      <c r="S263" s="146"/>
      <c r="T263" s="34"/>
      <c r="U263" s="43"/>
    </row>
    <row r="264" spans="19:21" ht="16.5" customHeight="1">
      <c r="S264" s="146"/>
      <c r="T264" s="34"/>
      <c r="U264" s="43"/>
    </row>
    <row r="265" spans="19:21" ht="16.5" customHeight="1">
      <c r="S265" s="146"/>
      <c r="T265" s="34"/>
      <c r="U265" s="43"/>
    </row>
    <row r="266" spans="19:21" ht="16.5" customHeight="1">
      <c r="S266" s="146"/>
      <c r="T266" s="34"/>
      <c r="U266" s="43"/>
    </row>
    <row r="267" spans="19:21" ht="16.5" customHeight="1">
      <c r="S267" s="146"/>
      <c r="T267" s="34"/>
      <c r="U267" s="43"/>
    </row>
    <row r="268" spans="19:21" ht="16.5" customHeight="1">
      <c r="S268" s="146"/>
      <c r="T268" s="34"/>
      <c r="U268" s="43"/>
    </row>
    <row r="269" spans="19:21" ht="16.5" customHeight="1">
      <c r="S269" s="146"/>
      <c r="T269" s="34"/>
      <c r="U269" s="43"/>
    </row>
    <row r="270" spans="19:21" ht="16.5" customHeight="1">
      <c r="S270" s="146"/>
      <c r="T270" s="34"/>
      <c r="U270" s="43"/>
    </row>
    <row r="271" spans="19:21" ht="16.5" customHeight="1">
      <c r="S271" s="146"/>
      <c r="T271" s="34"/>
      <c r="U271" s="43"/>
    </row>
    <row r="272" spans="19:21" ht="16.5" customHeight="1">
      <c r="S272" s="146"/>
      <c r="T272" s="34"/>
      <c r="U272" s="43"/>
    </row>
    <row r="273" spans="19:21" ht="16.5" customHeight="1">
      <c r="S273" s="146"/>
      <c r="T273" s="34"/>
      <c r="U273" s="43"/>
    </row>
    <row r="274" spans="19:21" ht="16.5" customHeight="1">
      <c r="S274" s="146"/>
      <c r="T274" s="34"/>
      <c r="U274" s="43"/>
    </row>
    <row r="275" spans="19:21" ht="16.5" customHeight="1">
      <c r="S275" s="146"/>
      <c r="T275" s="34"/>
      <c r="U275" s="43"/>
    </row>
    <row r="276" spans="19:21" ht="16.5" customHeight="1">
      <c r="S276" s="146"/>
      <c r="T276" s="34"/>
      <c r="U276" s="43"/>
    </row>
    <row r="277" spans="19:21" ht="16.5" customHeight="1">
      <c r="S277" s="146"/>
      <c r="T277" s="34"/>
      <c r="U277" s="43"/>
    </row>
    <row r="278" spans="19:21" ht="16.5" customHeight="1">
      <c r="S278" s="146"/>
      <c r="T278" s="34"/>
      <c r="U278" s="43"/>
    </row>
    <row r="279" spans="19:21" ht="16.5" customHeight="1">
      <c r="S279" s="146"/>
      <c r="T279" s="34"/>
      <c r="U279" s="43"/>
    </row>
    <row r="280" spans="19:21" ht="16.5" customHeight="1">
      <c r="S280" s="146"/>
      <c r="T280" s="34"/>
      <c r="U280" s="43"/>
    </row>
    <row r="281" spans="19:21" ht="16.5" customHeight="1">
      <c r="S281" s="146"/>
      <c r="T281" s="34"/>
      <c r="U281" s="43"/>
    </row>
    <row r="282" spans="19:21" ht="16.5" customHeight="1">
      <c r="S282" s="146"/>
      <c r="T282" s="34"/>
      <c r="U282" s="43"/>
    </row>
    <row r="283" spans="19:21" ht="16.5" customHeight="1">
      <c r="S283" s="146"/>
      <c r="T283" s="34"/>
      <c r="U283" s="43"/>
    </row>
    <row r="284" spans="19:21" ht="16.5" customHeight="1">
      <c r="S284" s="146"/>
      <c r="T284" s="34"/>
      <c r="U284" s="43"/>
    </row>
    <row r="285" spans="19:21" ht="16.5" customHeight="1">
      <c r="S285" s="146"/>
      <c r="T285" s="34"/>
      <c r="U285" s="43"/>
    </row>
    <row r="286" spans="19:21" ht="16.5" customHeight="1">
      <c r="S286" s="146"/>
      <c r="T286" s="34"/>
      <c r="U286" s="43"/>
    </row>
    <row r="287" spans="19:21" ht="16.5" customHeight="1">
      <c r="S287" s="146"/>
      <c r="T287" s="34"/>
      <c r="U287" s="43"/>
    </row>
    <row r="288" spans="19:21" ht="16.5" customHeight="1">
      <c r="S288" s="146"/>
      <c r="T288" s="34"/>
      <c r="U288" s="43"/>
    </row>
    <row r="289" spans="19:21" ht="16.5" customHeight="1">
      <c r="S289" s="146"/>
      <c r="T289" s="34"/>
      <c r="U289" s="43"/>
    </row>
    <row r="290" spans="19:21" ht="16.5" customHeight="1">
      <c r="S290" s="146"/>
      <c r="T290" s="34"/>
      <c r="U290" s="43"/>
    </row>
    <row r="291" spans="19:21" ht="16.5" customHeight="1">
      <c r="S291" s="146"/>
      <c r="T291" s="34"/>
      <c r="U291" s="43"/>
    </row>
    <row r="292" spans="19:21" ht="16.5" customHeight="1">
      <c r="S292" s="146"/>
      <c r="T292" s="34"/>
      <c r="U292" s="43"/>
    </row>
    <row r="293" spans="19:21" ht="16.5" customHeight="1">
      <c r="S293" s="146"/>
      <c r="T293" s="34"/>
      <c r="U293" s="43"/>
    </row>
    <row r="294" spans="19:21" ht="16.5" customHeight="1">
      <c r="S294" s="146"/>
      <c r="T294" s="34"/>
      <c r="U294" s="43"/>
    </row>
    <row r="295" spans="19:21" ht="16.5" customHeight="1">
      <c r="S295" s="146"/>
      <c r="T295" s="34"/>
      <c r="U295" s="43"/>
    </row>
    <row r="296" spans="19:21" ht="16.5" customHeight="1">
      <c r="S296" s="146"/>
      <c r="T296" s="34"/>
      <c r="U296" s="43"/>
    </row>
    <row r="297" spans="19:21" ht="16.5" customHeight="1">
      <c r="S297" s="146"/>
      <c r="T297" s="34"/>
      <c r="U297" s="43"/>
    </row>
    <row r="298" spans="19:21" ht="16.5" customHeight="1">
      <c r="S298" s="146"/>
      <c r="T298" s="34"/>
      <c r="U298" s="43"/>
    </row>
    <row r="299" spans="19:21" ht="16.5" customHeight="1">
      <c r="S299" s="146"/>
      <c r="T299" s="34"/>
      <c r="U299" s="43"/>
    </row>
    <row r="300" spans="19:21" ht="16.5" customHeight="1">
      <c r="S300" s="146"/>
      <c r="T300" s="34"/>
      <c r="U300" s="43"/>
    </row>
    <row r="301" spans="19:21" ht="16.5" customHeight="1">
      <c r="S301" s="146"/>
      <c r="T301" s="34"/>
      <c r="U301" s="43"/>
    </row>
    <row r="302" spans="19:21" ht="16.5" customHeight="1">
      <c r="S302" s="146"/>
      <c r="T302" s="34"/>
      <c r="U302" s="43"/>
    </row>
    <row r="303" spans="19:21" ht="16.5" customHeight="1">
      <c r="S303" s="146"/>
      <c r="T303" s="34"/>
      <c r="U303" s="43"/>
    </row>
  </sheetData>
  <phoneticPr fontId="2" type="noConversion"/>
  <dataValidations count="1">
    <dataValidation type="list" allowBlank="1" showInputMessage="1" showErrorMessage="1" sqref="R3:R7 R15:R18" xr:uid="{F4DBB28F-A84C-4472-8573-19F5A793648F}">
      <formula1>"STS304, MOB99"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7C25AB-F258-4B6C-9D50-F59DDBF082A1}">
          <x14:formula1>
            <xm:f>공급업체코드!$D$3:$D$47</xm:f>
          </x14:formula1>
          <xm:sqref>E3:E82</xm:sqref>
        </x14:dataValidation>
        <x14:dataValidation type="list" allowBlank="1" showInputMessage="1" showErrorMessage="1" xr:uid="{6F55AF25-51D2-4429-81A8-A42C19DB076E}">
          <x14:formula1>
            <xm:f>기계코드!$F$5:$F$43</xm:f>
          </x14:formula1>
          <xm:sqref>C19:C82</xm:sqref>
        </x14:dataValidation>
        <x14:dataValidation type="list" allowBlank="1" showInputMessage="1" showErrorMessage="1" xr:uid="{FFA7B292-330E-4066-A2CB-69605995B032}">
          <x14:formula1>
            <xm:f>기계코드!$F$82:$F$83</xm:f>
          </x14:formula1>
          <xm:sqref>C3:C18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D528-71D2-4B47-9D8C-B38160F1177E}">
  <dimension ref="A1:AI614"/>
  <sheetViews>
    <sheetView zoomScale="70" zoomScaleNormal="70" workbookViewId="0">
      <pane xSplit="1" ySplit="2" topLeftCell="B331" activePane="bottomRight" state="frozen"/>
      <selection pane="bottomRight" activeCell="E345" sqref="E345"/>
      <selection pane="bottomLeft"/>
      <selection pane="topRight"/>
    </sheetView>
  </sheetViews>
  <sheetFormatPr defaultRowHeight="16.5"/>
  <cols>
    <col min="1" max="1" width="27.625" customWidth="1"/>
    <col min="2" max="2" width="35.25" bestFit="1" customWidth="1"/>
    <col min="3" max="3" width="17.75" bestFit="1" customWidth="1"/>
    <col min="4" max="4" width="16.125" customWidth="1"/>
    <col min="5" max="5" width="21.25" bestFit="1" customWidth="1"/>
    <col min="6" max="6" width="13.875" bestFit="1" customWidth="1"/>
    <col min="7" max="7" width="14.5" style="18" customWidth="1"/>
    <col min="8" max="8" width="22.5" bestFit="1" customWidth="1"/>
    <col min="9" max="9" width="22.875" customWidth="1"/>
    <col min="10" max="10" width="26.75" customWidth="1"/>
    <col min="11" max="11" width="20" bestFit="1" customWidth="1"/>
    <col min="12" max="12" width="13.125" customWidth="1"/>
    <col min="13" max="13" width="14.125" customWidth="1"/>
    <col min="14" max="14" width="15.25" customWidth="1"/>
    <col min="15" max="15" width="19.75" bestFit="1" customWidth="1"/>
    <col min="16" max="16" width="20.875" bestFit="1" customWidth="1"/>
    <col min="17" max="17" width="24.75" bestFit="1" customWidth="1"/>
    <col min="18" max="18" width="16.125" style="18" customWidth="1"/>
    <col min="19" max="19" width="16.125" style="261" customWidth="1"/>
    <col min="20" max="20" width="25.75" style="10" bestFit="1" customWidth="1"/>
    <col min="21" max="21" width="16.125" style="260" customWidth="1"/>
    <col min="22" max="22" width="18.25" bestFit="1" customWidth="1"/>
    <col min="23" max="23" width="21.25" bestFit="1" customWidth="1"/>
    <col min="24" max="24" width="17.25" style="156" customWidth="1"/>
    <col min="25" max="25" width="10.5" customWidth="1"/>
    <col min="26" max="26" width="27.625" bestFit="1" customWidth="1"/>
    <col min="27" max="27" width="20.625" style="113" customWidth="1"/>
    <col min="28" max="28" width="9" customWidth="1"/>
    <col min="29" max="29" width="12.375" customWidth="1"/>
    <col min="30" max="30" width="11.375" bestFit="1" customWidth="1"/>
    <col min="33" max="33" width="22.125" bestFit="1" customWidth="1"/>
    <col min="34" max="34" width="36.375" bestFit="1" customWidth="1"/>
    <col min="35" max="35" width="15.375" bestFit="1" customWidth="1"/>
  </cols>
  <sheetData>
    <row r="1" spans="1:35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1422</v>
      </c>
      <c r="I1" s="10" t="s">
        <v>2012</v>
      </c>
      <c r="J1" s="10" t="s">
        <v>1806</v>
      </c>
      <c r="K1" s="10" t="s">
        <v>1432</v>
      </c>
      <c r="L1" s="10" t="s">
        <v>1318</v>
      </c>
      <c r="M1" s="10" t="s">
        <v>1319</v>
      </c>
      <c r="N1" s="10" t="s">
        <v>1320</v>
      </c>
      <c r="O1" s="10" t="s">
        <v>1321</v>
      </c>
      <c r="P1" s="10" t="s">
        <v>1322</v>
      </c>
      <c r="Q1" s="10" t="s">
        <v>1323</v>
      </c>
      <c r="R1" s="17" t="s">
        <v>1324</v>
      </c>
      <c r="S1" s="131" t="s">
        <v>1290</v>
      </c>
      <c r="T1" s="131" t="s">
        <v>1291</v>
      </c>
      <c r="U1" s="131" t="s">
        <v>1292</v>
      </c>
      <c r="V1" s="10" t="s">
        <v>1293</v>
      </c>
      <c r="W1" s="130" t="s">
        <v>1294</v>
      </c>
      <c r="X1" s="61" t="s">
        <v>1295</v>
      </c>
      <c r="Y1" s="10" t="s">
        <v>1296</v>
      </c>
      <c r="Z1" s="10" t="s">
        <v>1297</v>
      </c>
      <c r="AA1" s="249" t="s">
        <v>1298</v>
      </c>
    </row>
    <row r="2" spans="1:35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62" t="s">
        <v>1440</v>
      </c>
      <c r="I2" s="9" t="s">
        <v>1441</v>
      </c>
      <c r="J2" s="9" t="s">
        <v>1820</v>
      </c>
      <c r="K2" s="56" t="s">
        <v>1450</v>
      </c>
      <c r="L2" s="5" t="s">
        <v>1371</v>
      </c>
      <c r="M2" s="5" t="s">
        <v>1328</v>
      </c>
      <c r="N2" s="53" t="s">
        <v>1329</v>
      </c>
      <c r="O2" s="5" t="s">
        <v>1330</v>
      </c>
      <c r="P2" s="5" t="s">
        <v>1331</v>
      </c>
      <c r="Q2" s="57" t="s">
        <v>1332</v>
      </c>
      <c r="R2" s="14" t="s">
        <v>1349</v>
      </c>
      <c r="S2" s="5" t="s">
        <v>1305</v>
      </c>
      <c r="T2" s="5" t="s">
        <v>1306</v>
      </c>
      <c r="U2" s="5" t="s">
        <v>1307</v>
      </c>
      <c r="V2" s="19" t="s">
        <v>1308</v>
      </c>
      <c r="W2" s="250" t="s">
        <v>1309</v>
      </c>
      <c r="X2" s="241" t="s">
        <v>1310</v>
      </c>
      <c r="Y2" s="54" t="s">
        <v>1311</v>
      </c>
      <c r="Z2" s="3" t="s">
        <v>10</v>
      </c>
      <c r="AA2" s="242" t="s">
        <v>1312</v>
      </c>
      <c r="AG2" s="41"/>
      <c r="AH2" s="41"/>
      <c r="AI2" s="41"/>
    </row>
    <row r="3" spans="1:35">
      <c r="A3" s="317" t="s">
        <v>2013</v>
      </c>
      <c r="B3" s="1" t="str">
        <f>D3&amp;"_"&amp;F3&amp;"_"&amp;I3&amp;"_"&amp;J3</f>
        <v>M_AEB0101_VM_BKT_4_6000</v>
      </c>
      <c r="C3" s="7" t="s">
        <v>2014</v>
      </c>
      <c r="D3" s="7" t="str" cm="1">
        <f t="array" ref="D3">INDEX(기계코드!$D$4:$D$1022,MATCH(1,(C3=기계코드!$F$4:$F$1022)*1,0))</f>
        <v>M_AEB0101</v>
      </c>
      <c r="E3" s="7" t="s">
        <v>1128</v>
      </c>
      <c r="F3" s="7" t="str" cm="1">
        <f t="array" ref="F3">INDEX(공급업체코드!$B$3:$B$1000,MATCH(1,(E3=공급업체코드!$D$3:$D$1000)*1,0))</f>
        <v>VM_BKT</v>
      </c>
      <c r="G3" s="43" t="s">
        <v>2015</v>
      </c>
      <c r="H3" s="63"/>
      <c r="I3" s="64">
        <v>4</v>
      </c>
      <c r="J3" s="64">
        <v>6000</v>
      </c>
      <c r="K3" s="64">
        <v>100</v>
      </c>
      <c r="L3" s="70">
        <v>7.5</v>
      </c>
      <c r="M3" s="7" t="s">
        <v>990</v>
      </c>
      <c r="N3" s="7">
        <v>380</v>
      </c>
      <c r="O3" s="151">
        <v>0.91700000000000004</v>
      </c>
      <c r="P3" s="7">
        <v>0.9</v>
      </c>
      <c r="Q3" s="7">
        <v>80</v>
      </c>
      <c r="R3" s="65">
        <v>270</v>
      </c>
      <c r="S3" s="256" t="s">
        <v>1390</v>
      </c>
      <c r="T3" s="232"/>
      <c r="U3" s="257" t="s">
        <v>1375</v>
      </c>
      <c r="V3" s="63">
        <v>47000000</v>
      </c>
      <c r="W3" s="63"/>
      <c r="X3" s="156" t="s">
        <v>1315</v>
      </c>
      <c r="Y3" s="1" t="b">
        <v>1</v>
      </c>
      <c r="AA3" s="133"/>
      <c r="AG3" s="41"/>
      <c r="AH3" s="41"/>
      <c r="AI3" s="41"/>
    </row>
    <row r="4" spans="1:35">
      <c r="A4" s="203"/>
      <c r="B4" s="1" t="str">
        <f t="shared" ref="B4:B67" si="0">D4&amp;"_"&amp;F4&amp;"_"&amp;I4&amp;"_"&amp;J4</f>
        <v>M_AEB0101_VM_BKT_18_3000</v>
      </c>
      <c r="C4" s="7" t="s">
        <v>2014</v>
      </c>
      <c r="D4" s="7" t="str" cm="1">
        <f t="array" ref="D4">INDEX(기계코드!$D$4:$D$1022,MATCH(1,(C4=기계코드!$F$4:$F$1022)*1,0))</f>
        <v>M_AEB0101</v>
      </c>
      <c r="E4" s="7" t="s">
        <v>1128</v>
      </c>
      <c r="F4" s="7" t="str" cm="1">
        <f t="array" ref="F4">INDEX(공급업체코드!$B$3:$B$1000,MATCH(1,(E4=공급업체코드!$D$3:$D$1000)*1,0))</f>
        <v>VM_BKT</v>
      </c>
      <c r="G4" s="43" t="s">
        <v>2016</v>
      </c>
      <c r="H4" s="63"/>
      <c r="I4" s="64">
        <v>18</v>
      </c>
      <c r="J4" s="64">
        <v>3000</v>
      </c>
      <c r="K4" s="64">
        <v>100</v>
      </c>
      <c r="L4" s="70">
        <v>15</v>
      </c>
      <c r="M4" s="7" t="s">
        <v>990</v>
      </c>
      <c r="N4" s="7">
        <v>380</v>
      </c>
      <c r="O4" s="151">
        <v>0.93</v>
      </c>
      <c r="P4" s="7">
        <v>0.9</v>
      </c>
      <c r="Q4" s="7">
        <v>80</v>
      </c>
      <c r="R4" s="65">
        <v>380</v>
      </c>
      <c r="S4" s="258" t="s">
        <v>1390</v>
      </c>
      <c r="T4" s="233"/>
      <c r="U4" s="259" t="s">
        <v>1375</v>
      </c>
      <c r="V4" s="63">
        <v>58000000</v>
      </c>
      <c r="W4" s="63"/>
      <c r="X4" s="156" t="s">
        <v>1315</v>
      </c>
      <c r="Y4" s="1" t="b">
        <v>1</v>
      </c>
      <c r="AA4" s="133"/>
      <c r="AG4" s="41"/>
      <c r="AH4" s="41"/>
      <c r="AI4" s="41"/>
    </row>
    <row r="5" spans="1:35">
      <c r="A5" s="203"/>
      <c r="B5" s="1" t="str">
        <f t="shared" si="0"/>
        <v>M_AEB0101_VM_BKT_16_4000</v>
      </c>
      <c r="C5" s="7" t="s">
        <v>2014</v>
      </c>
      <c r="D5" s="7" t="str" cm="1">
        <f t="array" ref="D5">INDEX(기계코드!$D$4:$D$1022,MATCH(1,(C5=기계코드!$F$4:$F$1022)*1,0))</f>
        <v>M_AEB0101</v>
      </c>
      <c r="E5" s="7" t="s">
        <v>1128</v>
      </c>
      <c r="F5" s="7" t="str" cm="1">
        <f t="array" ref="F5">INDEX(공급업체코드!$B$3:$B$1000,MATCH(1,(E5=공급업체코드!$D$3:$D$1000)*1,0))</f>
        <v>VM_BKT</v>
      </c>
      <c r="G5" s="43" t="s">
        <v>2016</v>
      </c>
      <c r="H5" s="63"/>
      <c r="I5" s="64">
        <v>16</v>
      </c>
      <c r="J5" s="64">
        <v>4000</v>
      </c>
      <c r="K5" s="64">
        <v>100</v>
      </c>
      <c r="L5" s="70">
        <v>15</v>
      </c>
      <c r="M5" s="7" t="s">
        <v>990</v>
      </c>
      <c r="N5" s="7">
        <v>380</v>
      </c>
      <c r="O5" s="151">
        <v>0.93</v>
      </c>
      <c r="P5" s="7">
        <v>0.9</v>
      </c>
      <c r="Q5" s="7">
        <v>80</v>
      </c>
      <c r="R5" s="65">
        <v>380</v>
      </c>
      <c r="S5" s="258" t="s">
        <v>1390</v>
      </c>
      <c r="T5" s="233"/>
      <c r="U5" s="259" t="s">
        <v>1375</v>
      </c>
      <c r="V5" s="63">
        <v>58000000</v>
      </c>
      <c r="W5" s="63"/>
      <c r="X5" s="156" t="s">
        <v>1315</v>
      </c>
      <c r="Y5" s="1" t="b">
        <v>1</v>
      </c>
      <c r="AA5" s="133"/>
      <c r="AG5" s="41"/>
      <c r="AH5" s="41"/>
      <c r="AI5" s="41"/>
    </row>
    <row r="6" spans="1:35">
      <c r="A6" s="203"/>
      <c r="B6" s="1" t="str">
        <f t="shared" si="0"/>
        <v>M_AEB0101_VM_BKT_12_6000</v>
      </c>
      <c r="C6" s="7" t="s">
        <v>2014</v>
      </c>
      <c r="D6" s="7" t="str" cm="1">
        <f t="array" ref="D6">INDEX(기계코드!$D$4:$D$1022,MATCH(1,(C6=기계코드!$F$4:$F$1022)*1,0))</f>
        <v>M_AEB0101</v>
      </c>
      <c r="E6" s="7" t="s">
        <v>1128</v>
      </c>
      <c r="F6" s="7" t="str" cm="1">
        <f t="array" ref="F6">INDEX(공급업체코드!$B$3:$B$1000,MATCH(1,(E6=공급업체코드!$D$3:$D$1000)*1,0))</f>
        <v>VM_BKT</v>
      </c>
      <c r="G6" s="43" t="s">
        <v>2016</v>
      </c>
      <c r="H6" s="63"/>
      <c r="I6" s="64">
        <v>12</v>
      </c>
      <c r="J6" s="64">
        <v>6000</v>
      </c>
      <c r="K6" s="64">
        <v>100</v>
      </c>
      <c r="L6" s="70">
        <v>15</v>
      </c>
      <c r="M6" s="7" t="s">
        <v>990</v>
      </c>
      <c r="N6" s="7">
        <v>380</v>
      </c>
      <c r="O6" s="151">
        <v>0.93</v>
      </c>
      <c r="P6" s="7">
        <v>0.9</v>
      </c>
      <c r="Q6" s="7">
        <v>80</v>
      </c>
      <c r="R6" s="65">
        <v>380</v>
      </c>
      <c r="S6" s="258" t="s">
        <v>1390</v>
      </c>
      <c r="T6" s="233"/>
      <c r="U6" s="259" t="s">
        <v>1375</v>
      </c>
      <c r="V6" s="63">
        <v>58000000</v>
      </c>
      <c r="W6" s="63"/>
      <c r="X6" s="156" t="s">
        <v>1315</v>
      </c>
      <c r="Y6" s="1" t="b">
        <v>1</v>
      </c>
      <c r="AA6" s="133"/>
      <c r="AG6" s="41"/>
      <c r="AH6" s="41"/>
      <c r="AI6" s="41"/>
    </row>
    <row r="7" spans="1:35">
      <c r="A7" s="203"/>
      <c r="B7" s="1" t="str">
        <f t="shared" si="0"/>
        <v>M_AEB0101_VM_BKT_26_3000</v>
      </c>
      <c r="C7" s="7" t="s">
        <v>2014</v>
      </c>
      <c r="D7" s="7" t="str" cm="1">
        <f t="array" ref="D7">INDEX(기계코드!$D$4:$D$1022,MATCH(1,(C7=기계코드!$F$4:$F$1022)*1,0))</f>
        <v>M_AEB0101</v>
      </c>
      <c r="E7" s="7" t="s">
        <v>1128</v>
      </c>
      <c r="F7" s="7" t="str" cm="1">
        <f t="array" ref="F7">INDEX(공급업체코드!$B$3:$B$1000,MATCH(1,(E7=공급업체코드!$D$3:$D$1000)*1,0))</f>
        <v>VM_BKT</v>
      </c>
      <c r="G7" s="43" t="s">
        <v>2017</v>
      </c>
      <c r="H7" s="63"/>
      <c r="I7" s="64">
        <v>26</v>
      </c>
      <c r="J7" s="64">
        <v>3000</v>
      </c>
      <c r="K7" s="64">
        <v>150</v>
      </c>
      <c r="L7" s="70">
        <v>22</v>
      </c>
      <c r="M7" s="7" t="s">
        <v>990</v>
      </c>
      <c r="N7" s="7">
        <v>380</v>
      </c>
      <c r="O7" s="151">
        <v>0.93599999999999994</v>
      </c>
      <c r="P7" s="7">
        <v>0.9</v>
      </c>
      <c r="Q7" s="7">
        <v>80</v>
      </c>
      <c r="R7" s="65">
        <v>380</v>
      </c>
      <c r="S7" s="258" t="s">
        <v>1390</v>
      </c>
      <c r="T7" s="233"/>
      <c r="U7" s="259" t="s">
        <v>1375</v>
      </c>
      <c r="V7" s="63">
        <v>62000000</v>
      </c>
      <c r="W7" s="63"/>
      <c r="X7" s="156" t="s">
        <v>1315</v>
      </c>
      <c r="Y7" s="1" t="b">
        <v>1</v>
      </c>
      <c r="AG7" s="41"/>
      <c r="AH7" s="41"/>
      <c r="AI7" s="41"/>
    </row>
    <row r="8" spans="1:35">
      <c r="A8" s="203"/>
      <c r="B8" s="1" t="str">
        <f t="shared" si="0"/>
        <v>M_AEB0101_VM_BKT_23_4000</v>
      </c>
      <c r="C8" s="7" t="s">
        <v>2014</v>
      </c>
      <c r="D8" s="7" t="str" cm="1">
        <f t="array" ref="D8">INDEX(기계코드!$D$4:$D$1022,MATCH(1,(C8=기계코드!$F$4:$F$1022)*1,0))</f>
        <v>M_AEB0101</v>
      </c>
      <c r="E8" s="7" t="s">
        <v>1128</v>
      </c>
      <c r="F8" s="7" t="str" cm="1">
        <f t="array" ref="F8">INDEX(공급업체코드!$B$3:$B$1000,MATCH(1,(E8=공급업체코드!$D$3:$D$1000)*1,0))</f>
        <v>VM_BKT</v>
      </c>
      <c r="G8" s="43" t="s">
        <v>2017</v>
      </c>
      <c r="H8" s="63"/>
      <c r="I8" s="64">
        <v>23</v>
      </c>
      <c r="J8" s="64">
        <v>4000</v>
      </c>
      <c r="K8" s="64">
        <v>150</v>
      </c>
      <c r="L8" s="70">
        <v>22</v>
      </c>
      <c r="M8" s="7" t="s">
        <v>990</v>
      </c>
      <c r="N8" s="7">
        <v>380</v>
      </c>
      <c r="O8" s="151">
        <v>0.93599999999999994</v>
      </c>
      <c r="P8" s="7">
        <v>0.9</v>
      </c>
      <c r="Q8" s="7">
        <v>80</v>
      </c>
      <c r="R8" s="65">
        <v>380</v>
      </c>
      <c r="S8" s="258" t="s">
        <v>1390</v>
      </c>
      <c r="T8" s="233"/>
      <c r="U8" s="259" t="s">
        <v>1375</v>
      </c>
      <c r="V8" s="63">
        <v>62000000</v>
      </c>
      <c r="W8" s="63"/>
      <c r="X8" s="156" t="s">
        <v>1315</v>
      </c>
      <c r="Y8" s="1" t="b">
        <v>1</v>
      </c>
      <c r="AG8" s="41"/>
      <c r="AH8" s="41"/>
      <c r="AI8" s="41"/>
    </row>
    <row r="9" spans="1:35">
      <c r="A9" s="203"/>
      <c r="B9" s="1" t="str">
        <f t="shared" si="0"/>
        <v>M_AEB0101_VM_BKT_20_5000</v>
      </c>
      <c r="C9" s="7" t="s">
        <v>2014</v>
      </c>
      <c r="D9" s="7" t="str" cm="1">
        <f t="array" ref="D9">INDEX(기계코드!$D$4:$D$1022,MATCH(1,(C9=기계코드!$F$4:$F$1022)*1,0))</f>
        <v>M_AEB0101</v>
      </c>
      <c r="E9" s="7" t="s">
        <v>1128</v>
      </c>
      <c r="F9" s="7" t="str" cm="1">
        <f t="array" ref="F9">INDEX(공급업체코드!$B$3:$B$1000,MATCH(1,(E9=공급업체코드!$D$3:$D$1000)*1,0))</f>
        <v>VM_BKT</v>
      </c>
      <c r="G9" s="43" t="s">
        <v>2017</v>
      </c>
      <c r="H9" s="63"/>
      <c r="I9" s="64">
        <v>20</v>
      </c>
      <c r="J9" s="64">
        <v>5000</v>
      </c>
      <c r="K9" s="64">
        <v>150</v>
      </c>
      <c r="L9" s="70">
        <v>22</v>
      </c>
      <c r="M9" s="7" t="s">
        <v>990</v>
      </c>
      <c r="N9" s="7">
        <v>380</v>
      </c>
      <c r="O9" s="151">
        <v>0.93599999999999994</v>
      </c>
      <c r="P9" s="7">
        <v>0.9</v>
      </c>
      <c r="Q9" s="7">
        <v>80</v>
      </c>
      <c r="R9" s="65">
        <v>380</v>
      </c>
      <c r="S9" s="258" t="s">
        <v>1390</v>
      </c>
      <c r="T9" s="233"/>
      <c r="U9" s="259" t="s">
        <v>1375</v>
      </c>
      <c r="V9" s="63">
        <v>62000000</v>
      </c>
      <c r="W9" s="63"/>
      <c r="X9" s="156" t="s">
        <v>1315</v>
      </c>
      <c r="Y9" s="1" t="b">
        <v>1</v>
      </c>
      <c r="AG9" s="40"/>
      <c r="AH9" s="40"/>
      <c r="AI9" s="41"/>
    </row>
    <row r="10" spans="1:35">
      <c r="A10" s="203"/>
      <c r="B10" s="1" t="str">
        <f t="shared" si="0"/>
        <v>M_AEB0101_VM_BKT_18_6000</v>
      </c>
      <c r="C10" s="7" t="s">
        <v>2014</v>
      </c>
      <c r="D10" s="7" t="str" cm="1">
        <f t="array" ref="D10">INDEX(기계코드!$D$4:$D$1022,MATCH(1,(C10=기계코드!$F$4:$F$1022)*1,0))</f>
        <v>M_AEB0101</v>
      </c>
      <c r="E10" s="7" t="s">
        <v>1128</v>
      </c>
      <c r="F10" s="7" t="str" cm="1">
        <f t="array" ref="F10">INDEX(공급업체코드!$B$3:$B$1000,MATCH(1,(E10=공급업체코드!$D$3:$D$1000)*1,0))</f>
        <v>VM_BKT</v>
      </c>
      <c r="G10" s="43" t="s">
        <v>2017</v>
      </c>
      <c r="H10" s="63"/>
      <c r="I10" s="64">
        <v>18</v>
      </c>
      <c r="J10" s="64">
        <v>6000</v>
      </c>
      <c r="K10" s="64">
        <v>150</v>
      </c>
      <c r="L10" s="70">
        <v>22</v>
      </c>
      <c r="M10" s="7" t="s">
        <v>990</v>
      </c>
      <c r="N10" s="7">
        <v>380</v>
      </c>
      <c r="O10" s="151">
        <v>0.93599999999999994</v>
      </c>
      <c r="P10" s="7">
        <v>0.9</v>
      </c>
      <c r="Q10" s="7">
        <v>80</v>
      </c>
      <c r="R10" s="65">
        <v>380</v>
      </c>
      <c r="S10" s="258" t="s">
        <v>1390</v>
      </c>
      <c r="T10" s="233"/>
      <c r="U10" s="259" t="s">
        <v>1375</v>
      </c>
      <c r="V10" s="63">
        <v>62000000</v>
      </c>
      <c r="W10" s="63"/>
      <c r="X10" s="156" t="s">
        <v>1315</v>
      </c>
      <c r="Y10" s="1" t="b">
        <v>1</v>
      </c>
      <c r="AG10" s="40"/>
      <c r="AH10" s="40"/>
      <c r="AI10" s="40"/>
    </row>
    <row r="11" spans="1:35">
      <c r="A11" s="203"/>
      <c r="B11" s="1" t="str">
        <f t="shared" si="0"/>
        <v>M_AEB0101_VM_BKT_14_7000</v>
      </c>
      <c r="C11" s="7" t="s">
        <v>2014</v>
      </c>
      <c r="D11" s="7" t="str" cm="1">
        <f t="array" ref="D11">INDEX(기계코드!$D$4:$D$1022,MATCH(1,(C11=기계코드!$F$4:$F$1022)*1,0))</f>
        <v>M_AEB0101</v>
      </c>
      <c r="E11" s="7" t="s">
        <v>1128</v>
      </c>
      <c r="F11" s="7" t="str" cm="1">
        <f t="array" ref="F11">INDEX(공급업체코드!$B$3:$B$1000,MATCH(1,(E11=공급업체코드!$D$3:$D$1000)*1,0))</f>
        <v>VM_BKT</v>
      </c>
      <c r="G11" s="43" t="s">
        <v>2018</v>
      </c>
      <c r="H11" s="63"/>
      <c r="I11" s="64">
        <v>14</v>
      </c>
      <c r="J11" s="64">
        <v>7000</v>
      </c>
      <c r="K11" s="64">
        <v>150</v>
      </c>
      <c r="L11" s="70">
        <v>22</v>
      </c>
      <c r="M11" s="7" t="s">
        <v>990</v>
      </c>
      <c r="N11" s="7">
        <v>380</v>
      </c>
      <c r="O11" s="151">
        <v>0.93599999999999994</v>
      </c>
      <c r="P11" s="7">
        <v>0.9</v>
      </c>
      <c r="Q11" s="7">
        <v>80</v>
      </c>
      <c r="R11" s="65">
        <v>380</v>
      </c>
      <c r="S11" s="258" t="s">
        <v>1390</v>
      </c>
      <c r="T11" s="265"/>
      <c r="U11" s="259" t="s">
        <v>1375</v>
      </c>
      <c r="V11" s="63">
        <v>62000000</v>
      </c>
      <c r="W11" s="63"/>
      <c r="X11" s="156" t="s">
        <v>1315</v>
      </c>
      <c r="Y11" s="1" t="b">
        <v>1</v>
      </c>
      <c r="AG11" s="40"/>
      <c r="AH11" s="40"/>
      <c r="AI11" s="41"/>
    </row>
    <row r="12" spans="1:35">
      <c r="A12" s="247"/>
      <c r="B12" s="1" t="str">
        <f t="shared" si="0"/>
        <v>M_AEB0101_VM_BKT_36_3000</v>
      </c>
      <c r="C12" s="7" t="s">
        <v>2014</v>
      </c>
      <c r="D12" s="7" t="str" cm="1">
        <f t="array" ref="D12">INDEX(기계코드!$D$4:$D$1022,MATCH(1,(C12=기계코드!$F$4:$F$1022)*1,0))</f>
        <v>M_AEB0101</v>
      </c>
      <c r="E12" s="7" t="s">
        <v>1128</v>
      </c>
      <c r="F12" s="7" t="str" cm="1">
        <f t="array" ref="F12">INDEX(공급업체코드!$B$3:$B$1000,MATCH(1,(E12=공급업체코드!$D$3:$D$1000)*1,0))</f>
        <v>VM_BKT</v>
      </c>
      <c r="G12" s="43" t="s">
        <v>2019</v>
      </c>
      <c r="H12" s="63"/>
      <c r="I12" s="64">
        <v>36</v>
      </c>
      <c r="J12" s="64">
        <v>3000</v>
      </c>
      <c r="K12" s="64">
        <v>150</v>
      </c>
      <c r="L12" s="70">
        <v>30</v>
      </c>
      <c r="M12" s="7" t="s">
        <v>990</v>
      </c>
      <c r="N12" s="7">
        <v>380</v>
      </c>
      <c r="O12" s="151">
        <v>0.94099999999999995</v>
      </c>
      <c r="P12" s="7">
        <v>0.9</v>
      </c>
      <c r="Q12" s="7">
        <v>80</v>
      </c>
      <c r="R12" s="65">
        <v>380</v>
      </c>
      <c r="S12" s="258" t="s">
        <v>1390</v>
      </c>
      <c r="T12" s="265"/>
      <c r="U12" s="259" t="s">
        <v>1375</v>
      </c>
      <c r="V12" s="63">
        <v>67000000</v>
      </c>
      <c r="W12" s="63"/>
      <c r="X12" s="156" t="s">
        <v>1315</v>
      </c>
      <c r="Y12" s="1" t="b">
        <v>1</v>
      </c>
      <c r="AG12" s="41"/>
      <c r="AH12" s="41"/>
      <c r="AI12" s="41"/>
    </row>
    <row r="13" spans="1:35">
      <c r="A13" s="247"/>
      <c r="B13" s="1" t="str">
        <f t="shared" si="0"/>
        <v>M_AEB0101_VM_BKT_34_4000</v>
      </c>
      <c r="C13" s="7" t="s">
        <v>2014</v>
      </c>
      <c r="D13" s="7" t="str" cm="1">
        <f t="array" ref="D13">INDEX(기계코드!$D$4:$D$1022,MATCH(1,(C13=기계코드!$F$4:$F$1022)*1,0))</f>
        <v>M_AEB0101</v>
      </c>
      <c r="E13" s="7" t="s">
        <v>1128</v>
      </c>
      <c r="F13" s="7" t="str" cm="1">
        <f t="array" ref="F13">INDEX(공급업체코드!$B$3:$B$1000,MATCH(1,(E13=공급업체코드!$D$3:$D$1000)*1,0))</f>
        <v>VM_BKT</v>
      </c>
      <c r="G13" s="43" t="s">
        <v>2019</v>
      </c>
      <c r="H13" s="63"/>
      <c r="I13" s="64">
        <v>34</v>
      </c>
      <c r="J13" s="64">
        <v>4000</v>
      </c>
      <c r="K13" s="64">
        <v>150</v>
      </c>
      <c r="L13" s="70">
        <v>30</v>
      </c>
      <c r="M13" s="7" t="s">
        <v>990</v>
      </c>
      <c r="N13" s="7">
        <v>380</v>
      </c>
      <c r="O13" s="151">
        <v>0.94099999999999995</v>
      </c>
      <c r="P13" s="7">
        <v>0.9</v>
      </c>
      <c r="Q13" s="7">
        <v>80</v>
      </c>
      <c r="R13" s="65">
        <v>380</v>
      </c>
      <c r="S13" s="258" t="s">
        <v>1390</v>
      </c>
      <c r="T13" s="265"/>
      <c r="U13" s="259" t="s">
        <v>1375</v>
      </c>
      <c r="V13" s="63">
        <v>67000000</v>
      </c>
      <c r="W13" s="63"/>
      <c r="X13" s="156" t="s">
        <v>1315</v>
      </c>
      <c r="Y13" s="1" t="b">
        <v>1</v>
      </c>
      <c r="AG13" s="40"/>
      <c r="AH13" s="40"/>
      <c r="AI13" s="41"/>
    </row>
    <row r="14" spans="1:35">
      <c r="A14" s="247"/>
      <c r="B14" s="1" t="str">
        <f t="shared" si="0"/>
        <v>M_AEB0101_VM_BKT_32_5000</v>
      </c>
      <c r="C14" s="7" t="s">
        <v>2014</v>
      </c>
      <c r="D14" s="7" t="str" cm="1">
        <f t="array" ref="D14">INDEX(기계코드!$D$4:$D$1022,MATCH(1,(C14=기계코드!$F$4:$F$1022)*1,0))</f>
        <v>M_AEB0101</v>
      </c>
      <c r="E14" s="7" t="s">
        <v>1128</v>
      </c>
      <c r="F14" s="7" t="str" cm="1">
        <f t="array" ref="F14">INDEX(공급업체코드!$B$3:$B$1000,MATCH(1,(E14=공급업체코드!$D$3:$D$1000)*1,0))</f>
        <v>VM_BKT</v>
      </c>
      <c r="G14" s="43" t="s">
        <v>2019</v>
      </c>
      <c r="H14" s="63"/>
      <c r="I14" s="64">
        <v>32</v>
      </c>
      <c r="J14" s="64">
        <v>5000</v>
      </c>
      <c r="K14" s="64">
        <v>150</v>
      </c>
      <c r="L14" s="70">
        <v>30</v>
      </c>
      <c r="M14" s="7" t="s">
        <v>990</v>
      </c>
      <c r="N14" s="7">
        <v>380</v>
      </c>
      <c r="O14" s="151">
        <v>0.94099999999999995</v>
      </c>
      <c r="P14" s="7">
        <v>0.9</v>
      </c>
      <c r="Q14" s="7">
        <v>80</v>
      </c>
      <c r="R14" s="65">
        <v>380</v>
      </c>
      <c r="S14" s="258" t="s">
        <v>1390</v>
      </c>
      <c r="T14" s="265"/>
      <c r="U14" s="259" t="s">
        <v>1375</v>
      </c>
      <c r="V14" s="63">
        <v>67000000</v>
      </c>
      <c r="W14" s="63"/>
      <c r="X14" s="156" t="s">
        <v>1315</v>
      </c>
      <c r="Y14" s="1" t="b">
        <v>1</v>
      </c>
      <c r="AG14" s="41"/>
      <c r="AH14" s="41"/>
      <c r="AI14" s="41"/>
    </row>
    <row r="15" spans="1:35">
      <c r="A15" s="247"/>
      <c r="B15" s="1" t="str">
        <f>D15&amp;"_"&amp;F15&amp;"_"&amp;I15&amp;"_"&amp;J15</f>
        <v>M_AEB0101_VM_BKT_27_6000</v>
      </c>
      <c r="C15" s="7" t="s">
        <v>2014</v>
      </c>
      <c r="D15" s="7" t="str" cm="1">
        <f t="array" ref="D15">INDEX(기계코드!$D$4:$D$1022,MATCH(1,(C15=기계코드!$F$4:$F$1022)*1,0))</f>
        <v>M_AEB0101</v>
      </c>
      <c r="E15" s="7" t="s">
        <v>1128</v>
      </c>
      <c r="F15" s="7" t="str" cm="1">
        <f t="array" ref="F15">INDEX(공급업체코드!$B$3:$B$1000,MATCH(1,(E15=공급업체코드!$D$3:$D$1000)*1,0))</f>
        <v>VM_BKT</v>
      </c>
      <c r="G15" s="43" t="s">
        <v>2019</v>
      </c>
      <c r="H15" s="63"/>
      <c r="I15" s="64">
        <v>27</v>
      </c>
      <c r="J15" s="64">
        <v>6000</v>
      </c>
      <c r="K15" s="64">
        <v>150</v>
      </c>
      <c r="L15" s="70">
        <v>30</v>
      </c>
      <c r="M15" s="7" t="s">
        <v>990</v>
      </c>
      <c r="N15" s="7">
        <v>380</v>
      </c>
      <c r="O15" s="151">
        <v>0.94099999999999995</v>
      </c>
      <c r="P15" s="7">
        <v>0.9</v>
      </c>
      <c r="Q15" s="7">
        <v>80</v>
      </c>
      <c r="R15" s="65">
        <v>380</v>
      </c>
      <c r="S15" s="258" t="s">
        <v>1390</v>
      </c>
      <c r="T15" s="265"/>
      <c r="U15" s="259" t="s">
        <v>1375</v>
      </c>
      <c r="V15" s="63">
        <v>67000000</v>
      </c>
      <c r="W15" s="63"/>
      <c r="X15" s="156" t="s">
        <v>1315</v>
      </c>
      <c r="Y15" s="1" t="b">
        <v>1</v>
      </c>
      <c r="AG15" s="41"/>
      <c r="AH15" s="41"/>
      <c r="AI15" s="41"/>
    </row>
    <row r="16" spans="1:35">
      <c r="A16" s="247"/>
      <c r="B16" s="1" t="str">
        <f t="shared" si="0"/>
        <v>M_AEB0101_VM_BKT_19_7000</v>
      </c>
      <c r="C16" s="7" t="s">
        <v>2014</v>
      </c>
      <c r="D16" s="7" t="str" cm="1">
        <f t="array" ref="D16">INDEX(기계코드!$D$4:$D$1022,MATCH(1,(C16=기계코드!$F$4:$F$1022)*1,0))</f>
        <v>M_AEB0101</v>
      </c>
      <c r="E16" s="7" t="s">
        <v>1128</v>
      </c>
      <c r="F16" s="7" t="str" cm="1">
        <f t="array" ref="F16">INDEX(공급업체코드!$B$3:$B$1000,MATCH(1,(E16=공급업체코드!$D$3:$D$1000)*1,0))</f>
        <v>VM_BKT</v>
      </c>
      <c r="G16" s="43" t="s">
        <v>2020</v>
      </c>
      <c r="H16" s="63"/>
      <c r="I16" s="64">
        <v>19</v>
      </c>
      <c r="J16" s="64">
        <v>7000</v>
      </c>
      <c r="K16" s="64">
        <v>150</v>
      </c>
      <c r="L16" s="70">
        <v>30</v>
      </c>
      <c r="M16" s="7" t="s">
        <v>990</v>
      </c>
      <c r="N16" s="7">
        <v>380</v>
      </c>
      <c r="O16" s="151">
        <v>0.94099999999999995</v>
      </c>
      <c r="P16" s="7">
        <v>0.9</v>
      </c>
      <c r="Q16" s="7">
        <v>80</v>
      </c>
      <c r="R16" s="65">
        <v>380</v>
      </c>
      <c r="S16" s="258" t="s">
        <v>1390</v>
      </c>
      <c r="T16" s="265"/>
      <c r="U16" s="259" t="s">
        <v>1375</v>
      </c>
      <c r="V16" s="63">
        <v>67000000</v>
      </c>
      <c r="W16" s="63"/>
      <c r="X16" s="156" t="s">
        <v>1315</v>
      </c>
      <c r="Y16" s="1" t="b">
        <v>1</v>
      </c>
      <c r="AG16" s="40"/>
      <c r="AH16" s="40"/>
      <c r="AI16" s="41"/>
    </row>
    <row r="17" spans="1:35">
      <c r="A17" s="247"/>
      <c r="B17" s="1" t="str">
        <f t="shared" si="0"/>
        <v>M_AEB0101_VM_BKT_19_8000</v>
      </c>
      <c r="C17" s="7" t="s">
        <v>2014</v>
      </c>
      <c r="D17" s="7" t="str" cm="1">
        <f t="array" ref="D17">INDEX(기계코드!$D$4:$D$1022,MATCH(1,(C17=기계코드!$F$4:$F$1022)*1,0))</f>
        <v>M_AEB0101</v>
      </c>
      <c r="E17" s="7" t="s">
        <v>1128</v>
      </c>
      <c r="F17" s="7" t="str" cm="1">
        <f t="array" ref="F17">INDEX(공급업체코드!$B$3:$B$1000,MATCH(1,(E17=공급업체코드!$D$3:$D$1000)*1,0))</f>
        <v>VM_BKT</v>
      </c>
      <c r="G17" s="43" t="s">
        <v>2020</v>
      </c>
      <c r="H17" s="63"/>
      <c r="I17" s="64">
        <v>19</v>
      </c>
      <c r="J17" s="64">
        <v>8000</v>
      </c>
      <c r="K17" s="64">
        <v>150</v>
      </c>
      <c r="L17" s="70">
        <v>30</v>
      </c>
      <c r="M17" s="7" t="s">
        <v>990</v>
      </c>
      <c r="N17" s="7">
        <v>380</v>
      </c>
      <c r="O17" s="151">
        <v>0.94099999999999995</v>
      </c>
      <c r="P17" s="7">
        <v>0.9</v>
      </c>
      <c r="Q17" s="7">
        <v>80</v>
      </c>
      <c r="R17" s="65">
        <v>380</v>
      </c>
      <c r="S17" s="258" t="s">
        <v>1390</v>
      </c>
      <c r="T17" s="265"/>
      <c r="U17" s="259" t="s">
        <v>1375</v>
      </c>
      <c r="V17" s="63">
        <v>67000000</v>
      </c>
      <c r="W17" s="63"/>
      <c r="X17" s="156" t="s">
        <v>1315</v>
      </c>
      <c r="Y17" s="1" t="b">
        <v>1</v>
      </c>
      <c r="AG17" s="41"/>
      <c r="AH17" s="41"/>
      <c r="AI17" s="41"/>
    </row>
    <row r="18" spans="1:35">
      <c r="A18" s="247"/>
      <c r="B18" s="1" t="str">
        <f t="shared" si="0"/>
        <v>M_AEB0101_VM_BKT_16_9000</v>
      </c>
      <c r="C18" s="7" t="s">
        <v>2014</v>
      </c>
      <c r="D18" s="7" t="str" cm="1">
        <f t="array" ref="D18">INDEX(기계코드!$D$4:$D$1022,MATCH(1,(C18=기계코드!$F$4:$F$1022)*1,0))</f>
        <v>M_AEB0101</v>
      </c>
      <c r="E18" s="7" t="s">
        <v>1128</v>
      </c>
      <c r="F18" s="7" t="str" cm="1">
        <f t="array" ref="F18">INDEX(공급업체코드!$B$3:$B$1000,MATCH(1,(E18=공급업체코드!$D$3:$D$1000)*1,0))</f>
        <v>VM_BKT</v>
      </c>
      <c r="G18" s="43" t="s">
        <v>2021</v>
      </c>
      <c r="H18" s="63"/>
      <c r="I18" s="64">
        <v>16</v>
      </c>
      <c r="J18" s="64">
        <v>9000</v>
      </c>
      <c r="K18" s="64">
        <v>150</v>
      </c>
      <c r="L18" s="70">
        <v>30</v>
      </c>
      <c r="M18" s="7" t="s">
        <v>990</v>
      </c>
      <c r="N18" s="7">
        <v>380</v>
      </c>
      <c r="O18" s="151">
        <v>0.94099999999999995</v>
      </c>
      <c r="P18" s="7">
        <v>0.9</v>
      </c>
      <c r="Q18" s="7">
        <v>80</v>
      </c>
      <c r="R18" s="65">
        <v>380</v>
      </c>
      <c r="S18" s="258" t="s">
        <v>1390</v>
      </c>
      <c r="T18" s="265"/>
      <c r="U18" s="259" t="s">
        <v>1375</v>
      </c>
      <c r="V18" s="63">
        <v>67000000</v>
      </c>
      <c r="W18" s="63"/>
      <c r="X18" s="156" t="s">
        <v>1315</v>
      </c>
      <c r="Y18" s="1" t="b">
        <v>1</v>
      </c>
      <c r="AG18" s="41"/>
      <c r="AH18" s="41"/>
      <c r="AI18" s="41"/>
    </row>
    <row r="19" spans="1:35">
      <c r="A19" s="203"/>
      <c r="B19" s="1" t="str">
        <f t="shared" si="0"/>
        <v>M_AEB0101_VM_BKT_47_3000</v>
      </c>
      <c r="C19" s="7" t="s">
        <v>2014</v>
      </c>
      <c r="D19" s="7" t="str" cm="1">
        <f t="array" ref="D19">INDEX(기계코드!$D$4:$D$1022,MATCH(1,(C19=기계코드!$F$4:$F$1022)*1,0))</f>
        <v>M_AEB0101</v>
      </c>
      <c r="E19" s="7" t="s">
        <v>1128</v>
      </c>
      <c r="F19" s="7" t="str" cm="1">
        <f t="array" ref="F19">INDEX(공급업체코드!$B$3:$B$1000,MATCH(1,(E19=공급업체코드!$D$3:$D$1000)*1,0))</f>
        <v>VM_BKT</v>
      </c>
      <c r="G19" s="43" t="s">
        <v>2022</v>
      </c>
      <c r="H19" s="63"/>
      <c r="I19" s="64">
        <v>47</v>
      </c>
      <c r="J19" s="64">
        <v>3000</v>
      </c>
      <c r="K19" s="64">
        <v>200</v>
      </c>
      <c r="L19" s="70">
        <v>37</v>
      </c>
      <c r="M19" s="7" t="s">
        <v>990</v>
      </c>
      <c r="N19" s="7">
        <v>380</v>
      </c>
      <c r="O19" s="151">
        <v>0.94499999999999995</v>
      </c>
      <c r="P19" s="7">
        <v>0.9</v>
      </c>
      <c r="Q19" s="7">
        <v>80</v>
      </c>
      <c r="R19" s="65">
        <v>630</v>
      </c>
      <c r="S19" s="258" t="s">
        <v>1390</v>
      </c>
      <c r="T19" s="265"/>
      <c r="U19" s="259" t="s">
        <v>1375</v>
      </c>
      <c r="V19" s="63">
        <v>69000000</v>
      </c>
      <c r="W19" s="63"/>
      <c r="X19" s="156" t="s">
        <v>1315</v>
      </c>
      <c r="Y19" s="1" t="b">
        <v>1</v>
      </c>
      <c r="AG19" s="40"/>
      <c r="AH19" s="40"/>
      <c r="AI19" s="41"/>
    </row>
    <row r="20" spans="1:35">
      <c r="A20" s="203"/>
      <c r="B20" s="1" t="str">
        <f t="shared" si="0"/>
        <v>M_AEB0101_VM_BKT_43_4000</v>
      </c>
      <c r="C20" s="7" t="s">
        <v>2014</v>
      </c>
      <c r="D20" s="7" t="str" cm="1">
        <f t="array" ref="D20">INDEX(기계코드!$D$4:$D$1022,MATCH(1,(C20=기계코드!$F$4:$F$1022)*1,0))</f>
        <v>M_AEB0101</v>
      </c>
      <c r="E20" s="7" t="s">
        <v>1128</v>
      </c>
      <c r="F20" s="7" t="str" cm="1">
        <f t="array" ref="F20">INDEX(공급업체코드!$B$3:$B$1000,MATCH(1,(E20=공급업체코드!$D$3:$D$1000)*1,0))</f>
        <v>VM_BKT</v>
      </c>
      <c r="G20" s="43" t="s">
        <v>2022</v>
      </c>
      <c r="H20" s="63"/>
      <c r="I20" s="64">
        <v>43</v>
      </c>
      <c r="J20" s="64">
        <v>4000</v>
      </c>
      <c r="K20" s="64">
        <v>200</v>
      </c>
      <c r="L20" s="70">
        <v>37</v>
      </c>
      <c r="M20" s="7" t="s">
        <v>990</v>
      </c>
      <c r="N20" s="7">
        <v>380</v>
      </c>
      <c r="O20" s="151">
        <v>0.94499999999999995</v>
      </c>
      <c r="P20" s="7">
        <v>0.9</v>
      </c>
      <c r="Q20" s="7">
        <v>80</v>
      </c>
      <c r="R20" s="65">
        <v>630</v>
      </c>
      <c r="S20" s="258" t="s">
        <v>1390</v>
      </c>
      <c r="T20" s="265"/>
      <c r="U20" s="259" t="s">
        <v>1375</v>
      </c>
      <c r="V20" s="63">
        <v>69000000</v>
      </c>
      <c r="W20" s="63"/>
      <c r="X20" s="156" t="s">
        <v>1315</v>
      </c>
      <c r="Y20" s="1" t="b">
        <v>1</v>
      </c>
      <c r="AG20" s="41"/>
      <c r="AH20" s="41"/>
      <c r="AI20" s="41"/>
    </row>
    <row r="21" spans="1:35">
      <c r="A21" s="203"/>
      <c r="B21" s="1" t="str">
        <f t="shared" si="0"/>
        <v>M_AEB0101_VM_BKT_38_5000</v>
      </c>
      <c r="C21" s="7" t="s">
        <v>2014</v>
      </c>
      <c r="D21" s="7" t="str" cm="1">
        <f t="array" ref="D21">INDEX(기계코드!$D$4:$D$1022,MATCH(1,(C21=기계코드!$F$4:$F$1022)*1,0))</f>
        <v>M_AEB0101</v>
      </c>
      <c r="E21" s="7" t="s">
        <v>1128</v>
      </c>
      <c r="F21" s="7" t="str" cm="1">
        <f t="array" ref="F21">INDEX(공급업체코드!$B$3:$B$1000,MATCH(1,(E21=공급업체코드!$D$3:$D$1000)*1,0))</f>
        <v>VM_BKT</v>
      </c>
      <c r="G21" s="43" t="s">
        <v>2023</v>
      </c>
      <c r="H21" s="63"/>
      <c r="I21" s="64">
        <v>38</v>
      </c>
      <c r="J21" s="64">
        <v>5000</v>
      </c>
      <c r="K21" s="64">
        <v>150</v>
      </c>
      <c r="L21" s="70">
        <v>37</v>
      </c>
      <c r="M21" s="7" t="s">
        <v>990</v>
      </c>
      <c r="N21" s="7">
        <v>380</v>
      </c>
      <c r="O21" s="151">
        <v>0.94499999999999995</v>
      </c>
      <c r="P21" s="7">
        <v>0.9</v>
      </c>
      <c r="Q21" s="7">
        <v>80</v>
      </c>
      <c r="R21" s="65">
        <v>380</v>
      </c>
      <c r="S21" s="258" t="s">
        <v>1390</v>
      </c>
      <c r="T21" s="265"/>
      <c r="U21" s="259" t="s">
        <v>1375</v>
      </c>
      <c r="V21" s="63">
        <v>69000000</v>
      </c>
      <c r="W21" s="63"/>
      <c r="X21" s="156" t="s">
        <v>1315</v>
      </c>
      <c r="Y21" s="1" t="b">
        <v>1</v>
      </c>
      <c r="AG21" s="40"/>
      <c r="AH21" s="40"/>
      <c r="AI21" s="41"/>
    </row>
    <row r="22" spans="1:35">
      <c r="A22" s="203"/>
      <c r="B22" s="1" t="str">
        <f t="shared" si="0"/>
        <v>M_AEB0101_VM_BKT_33_6000</v>
      </c>
      <c r="C22" s="7" t="s">
        <v>2014</v>
      </c>
      <c r="D22" s="7" t="str" cm="1">
        <f t="array" ref="D22">INDEX(기계코드!$D$4:$D$1022,MATCH(1,(C22=기계코드!$F$4:$F$1022)*1,0))</f>
        <v>M_AEB0101</v>
      </c>
      <c r="E22" s="7" t="s">
        <v>1128</v>
      </c>
      <c r="F22" s="7" t="str" cm="1">
        <f t="array" ref="F22">INDEX(공급업체코드!$B$3:$B$1000,MATCH(1,(E22=공급업체코드!$D$3:$D$1000)*1,0))</f>
        <v>VM_BKT</v>
      </c>
      <c r="G22" s="43" t="s">
        <v>2023</v>
      </c>
      <c r="H22" s="63"/>
      <c r="I22" s="64">
        <v>33</v>
      </c>
      <c r="J22" s="64">
        <v>6000</v>
      </c>
      <c r="K22" s="64">
        <v>150</v>
      </c>
      <c r="L22" s="70">
        <v>37</v>
      </c>
      <c r="M22" s="7" t="s">
        <v>990</v>
      </c>
      <c r="N22" s="7">
        <v>380</v>
      </c>
      <c r="O22" s="151">
        <v>0.94499999999999995</v>
      </c>
      <c r="P22" s="7">
        <v>0.9</v>
      </c>
      <c r="Q22" s="7">
        <v>80</v>
      </c>
      <c r="R22" s="65">
        <v>380</v>
      </c>
      <c r="S22" s="258" t="s">
        <v>1390</v>
      </c>
      <c r="T22" s="265"/>
      <c r="U22" s="259" t="s">
        <v>1375</v>
      </c>
      <c r="V22" s="63">
        <v>69000000</v>
      </c>
      <c r="W22" s="63"/>
      <c r="X22" s="156" t="s">
        <v>1315</v>
      </c>
      <c r="Y22" s="1" t="b">
        <v>1</v>
      </c>
      <c r="AG22" s="40"/>
      <c r="AH22" s="40"/>
      <c r="AI22" s="40"/>
    </row>
    <row r="23" spans="1:35">
      <c r="A23" s="203"/>
      <c r="B23" s="1" t="str">
        <f t="shared" si="0"/>
        <v>M_AEB0101_VM_BKT_26_7000</v>
      </c>
      <c r="C23" s="7" t="s">
        <v>2014</v>
      </c>
      <c r="D23" s="7" t="str" cm="1">
        <f t="array" ref="D23">INDEX(기계코드!$D$4:$D$1022,MATCH(1,(C23=기계코드!$F$4:$F$1022)*1,0))</f>
        <v>M_AEB0101</v>
      </c>
      <c r="E23" s="7" t="s">
        <v>1128</v>
      </c>
      <c r="F23" s="7" t="str" cm="1">
        <f t="array" ref="F23">INDEX(공급업체코드!$B$3:$B$1000,MATCH(1,(E23=공급업체코드!$D$3:$D$1000)*1,0))</f>
        <v>VM_BKT</v>
      </c>
      <c r="G23" s="43" t="s">
        <v>2024</v>
      </c>
      <c r="H23" s="63"/>
      <c r="I23" s="64">
        <v>26</v>
      </c>
      <c r="J23" s="64">
        <v>7000</v>
      </c>
      <c r="K23" s="64">
        <v>150</v>
      </c>
      <c r="L23" s="70">
        <v>37</v>
      </c>
      <c r="M23" s="7" t="s">
        <v>990</v>
      </c>
      <c r="N23" s="7">
        <v>380</v>
      </c>
      <c r="O23" s="151">
        <v>0.94499999999999995</v>
      </c>
      <c r="P23" s="7">
        <v>0.9</v>
      </c>
      <c r="Q23" s="7">
        <v>80</v>
      </c>
      <c r="R23" s="65">
        <v>380</v>
      </c>
      <c r="S23" s="258" t="s">
        <v>1390</v>
      </c>
      <c r="T23" s="265"/>
      <c r="U23" s="259" t="s">
        <v>1375</v>
      </c>
      <c r="V23" s="63">
        <v>69000000</v>
      </c>
      <c r="W23" s="63"/>
      <c r="X23" s="156" t="s">
        <v>1315</v>
      </c>
      <c r="Y23" s="1" t="b">
        <v>1</v>
      </c>
      <c r="AG23" s="40"/>
      <c r="AH23" s="40"/>
      <c r="AI23" s="41"/>
    </row>
    <row r="24" spans="1:35">
      <c r="A24" s="203"/>
      <c r="B24" s="1" t="str">
        <f t="shared" si="0"/>
        <v>M_AEB0101_VM_BKT_23_8000</v>
      </c>
      <c r="C24" s="7" t="s">
        <v>2014</v>
      </c>
      <c r="D24" s="7" t="str" cm="1">
        <f t="array" ref="D24">INDEX(기계코드!$D$4:$D$1022,MATCH(1,(C24=기계코드!$F$4:$F$1022)*1,0))</f>
        <v>M_AEB0101</v>
      </c>
      <c r="E24" s="7" t="s">
        <v>1128</v>
      </c>
      <c r="F24" s="7" t="str" cm="1">
        <f t="array" ref="F24">INDEX(공급업체코드!$B$3:$B$1000,MATCH(1,(E24=공급업체코드!$D$3:$D$1000)*1,0))</f>
        <v>VM_BKT</v>
      </c>
      <c r="G24" s="43" t="s">
        <v>2024</v>
      </c>
      <c r="H24" s="63"/>
      <c r="I24" s="64">
        <v>23</v>
      </c>
      <c r="J24" s="64">
        <v>8000</v>
      </c>
      <c r="K24" s="64">
        <v>150</v>
      </c>
      <c r="L24" s="70">
        <v>37</v>
      </c>
      <c r="M24" s="7" t="s">
        <v>990</v>
      </c>
      <c r="N24" s="7">
        <v>380</v>
      </c>
      <c r="O24" s="151">
        <v>0.94499999999999995</v>
      </c>
      <c r="P24" s="7">
        <v>0.9</v>
      </c>
      <c r="Q24" s="7">
        <v>80</v>
      </c>
      <c r="R24" s="65">
        <v>380</v>
      </c>
      <c r="S24" s="258" t="s">
        <v>1390</v>
      </c>
      <c r="T24" s="265"/>
      <c r="U24" s="259" t="s">
        <v>1375</v>
      </c>
      <c r="V24" s="63">
        <v>69000000</v>
      </c>
      <c r="W24" s="63"/>
      <c r="X24" s="156" t="s">
        <v>1315</v>
      </c>
      <c r="Y24" s="1" t="b">
        <v>1</v>
      </c>
      <c r="AG24" s="41"/>
      <c r="AH24" s="41"/>
      <c r="AI24" s="41"/>
    </row>
    <row r="25" spans="1:35">
      <c r="A25" s="203"/>
      <c r="B25" s="1" t="str">
        <f t="shared" si="0"/>
        <v>M_AEB0101_VM_BKT_21_9000</v>
      </c>
      <c r="C25" s="7" t="s">
        <v>2014</v>
      </c>
      <c r="D25" s="7" t="str" cm="1">
        <f t="array" ref="D25">INDEX(기계코드!$D$4:$D$1022,MATCH(1,(C25=기계코드!$F$4:$F$1022)*1,0))</f>
        <v>M_AEB0101</v>
      </c>
      <c r="E25" s="7" t="s">
        <v>1128</v>
      </c>
      <c r="F25" s="7" t="str" cm="1">
        <f t="array" ref="F25">INDEX(공급업체코드!$B$3:$B$1000,MATCH(1,(E25=공급업체코드!$D$3:$D$1000)*1,0))</f>
        <v>VM_BKT</v>
      </c>
      <c r="G25" s="43" t="s">
        <v>2025</v>
      </c>
      <c r="H25" s="63"/>
      <c r="I25" s="64">
        <v>21</v>
      </c>
      <c r="J25" s="64">
        <v>9000</v>
      </c>
      <c r="K25" s="64">
        <v>150</v>
      </c>
      <c r="L25" s="70">
        <v>37</v>
      </c>
      <c r="M25" s="7" t="s">
        <v>990</v>
      </c>
      <c r="N25" s="7">
        <v>380</v>
      </c>
      <c r="O25" s="151">
        <v>0.94499999999999995</v>
      </c>
      <c r="P25" s="7">
        <v>0.9</v>
      </c>
      <c r="Q25" s="7">
        <v>80</v>
      </c>
      <c r="R25" s="65">
        <v>380</v>
      </c>
      <c r="S25" s="258" t="s">
        <v>1390</v>
      </c>
      <c r="T25" s="265"/>
      <c r="U25" s="259" t="s">
        <v>1375</v>
      </c>
      <c r="V25" s="63">
        <v>69000000</v>
      </c>
      <c r="W25" s="63"/>
      <c r="X25" s="156" t="s">
        <v>1315</v>
      </c>
      <c r="Y25" s="1" t="b">
        <v>1</v>
      </c>
      <c r="AG25" s="41"/>
      <c r="AH25" s="41"/>
      <c r="AI25" s="41"/>
    </row>
    <row r="26" spans="1:35">
      <c r="A26" s="203"/>
      <c r="B26" s="1" t="str">
        <f t="shared" si="0"/>
        <v>M_AEB0101_VM_BKT_19_10000</v>
      </c>
      <c r="C26" s="7" t="s">
        <v>2014</v>
      </c>
      <c r="D26" s="7" t="str" cm="1">
        <f t="array" ref="D26">INDEX(기계코드!$D$4:$D$1022,MATCH(1,(C26=기계코드!$F$4:$F$1022)*1,0))</f>
        <v>M_AEB0101</v>
      </c>
      <c r="E26" s="7" t="s">
        <v>1128</v>
      </c>
      <c r="F26" s="7" t="str" cm="1">
        <f t="array" ref="F26">INDEX(공급업체코드!$B$3:$B$1000,MATCH(1,(E26=공급업체코드!$D$3:$D$1000)*1,0))</f>
        <v>VM_BKT</v>
      </c>
      <c r="G26" s="43" t="s">
        <v>2025</v>
      </c>
      <c r="H26" s="63"/>
      <c r="I26" s="64">
        <v>19</v>
      </c>
      <c r="J26" s="64">
        <v>10000</v>
      </c>
      <c r="K26" s="64">
        <v>150</v>
      </c>
      <c r="L26" s="70">
        <v>37</v>
      </c>
      <c r="M26" s="7" t="s">
        <v>990</v>
      </c>
      <c r="N26" s="7">
        <v>380</v>
      </c>
      <c r="O26" s="151">
        <v>0.94499999999999995</v>
      </c>
      <c r="P26" s="7">
        <v>0.9</v>
      </c>
      <c r="Q26" s="7">
        <v>80</v>
      </c>
      <c r="R26" s="65">
        <v>380</v>
      </c>
      <c r="S26" s="258" t="s">
        <v>1390</v>
      </c>
      <c r="T26" s="265"/>
      <c r="U26" s="259" t="s">
        <v>1375</v>
      </c>
      <c r="V26" s="63">
        <v>69000000</v>
      </c>
      <c r="W26" s="63"/>
      <c r="X26" s="156" t="s">
        <v>1315</v>
      </c>
      <c r="Y26" s="1" t="b">
        <v>1</v>
      </c>
      <c r="AG26" s="41"/>
      <c r="AH26" s="41"/>
      <c r="AI26" s="41"/>
    </row>
    <row r="27" spans="1:35">
      <c r="A27" s="203"/>
      <c r="B27" s="1" t="str">
        <f t="shared" si="0"/>
        <v>M_AEB0101_VM_BKT_76_3000</v>
      </c>
      <c r="C27" s="7" t="s">
        <v>2014</v>
      </c>
      <c r="D27" s="7" t="str" cm="1">
        <f t="array" ref="D27">INDEX(기계코드!$D$4:$D$1022,MATCH(1,(C27=기계코드!$F$4:$F$1022)*1,0))</f>
        <v>M_AEB0101</v>
      </c>
      <c r="E27" s="7" t="s">
        <v>1128</v>
      </c>
      <c r="F27" s="7" t="str" cm="1">
        <f t="array" ref="F27">INDEX(공급업체코드!$B$3:$B$1000,MATCH(1,(E27=공급업체코드!$D$3:$D$1000)*1,0))</f>
        <v>VM_BKT</v>
      </c>
      <c r="G27" s="43" t="s">
        <v>2026</v>
      </c>
      <c r="H27" s="63"/>
      <c r="I27" s="64">
        <v>76</v>
      </c>
      <c r="J27" s="64">
        <v>3000</v>
      </c>
      <c r="K27" s="64">
        <v>200</v>
      </c>
      <c r="L27" s="70">
        <v>56</v>
      </c>
      <c r="M27" s="7" t="s">
        <v>990</v>
      </c>
      <c r="N27" s="7">
        <v>380</v>
      </c>
      <c r="O27" s="151">
        <v>0.95400000000000007</v>
      </c>
      <c r="P27" s="7">
        <v>0.9</v>
      </c>
      <c r="Q27" s="7">
        <v>80</v>
      </c>
      <c r="R27" s="65">
        <v>630</v>
      </c>
      <c r="S27" s="258" t="s">
        <v>1390</v>
      </c>
      <c r="T27" s="265"/>
      <c r="U27" s="259" t="s">
        <v>1375</v>
      </c>
      <c r="V27" s="63">
        <v>82000000</v>
      </c>
      <c r="W27" s="63"/>
      <c r="X27" s="156" t="s">
        <v>1315</v>
      </c>
      <c r="Y27" s="1" t="b">
        <v>1</v>
      </c>
      <c r="AG27" s="40"/>
      <c r="AH27" s="40"/>
      <c r="AI27" s="41"/>
    </row>
    <row r="28" spans="1:35">
      <c r="A28" s="203"/>
      <c r="B28" s="1" t="str">
        <f t="shared" si="0"/>
        <v>M_AEB0101_VM_BKT_68_4000</v>
      </c>
      <c r="C28" s="7" t="s">
        <v>2014</v>
      </c>
      <c r="D28" s="7" t="str" cm="1">
        <f t="array" ref="D28">INDEX(기계코드!$D$4:$D$1022,MATCH(1,(C28=기계코드!$F$4:$F$1022)*1,0))</f>
        <v>M_AEB0101</v>
      </c>
      <c r="E28" s="7" t="s">
        <v>1128</v>
      </c>
      <c r="F28" s="7" t="str" cm="1">
        <f t="array" ref="F28">INDEX(공급업체코드!$B$3:$B$1000,MATCH(1,(E28=공급업체코드!$D$3:$D$1000)*1,0))</f>
        <v>VM_BKT</v>
      </c>
      <c r="G28" s="43" t="s">
        <v>2026</v>
      </c>
      <c r="H28" s="63"/>
      <c r="I28" s="64">
        <v>68</v>
      </c>
      <c r="J28" s="64">
        <v>4000</v>
      </c>
      <c r="K28" s="64">
        <v>200</v>
      </c>
      <c r="L28" s="70">
        <v>56</v>
      </c>
      <c r="M28" s="7" t="s">
        <v>990</v>
      </c>
      <c r="N28" s="7">
        <v>380</v>
      </c>
      <c r="O28" s="151">
        <v>0.95400000000000007</v>
      </c>
      <c r="P28" s="7">
        <v>0.9</v>
      </c>
      <c r="Q28" s="7">
        <v>80</v>
      </c>
      <c r="R28" s="65">
        <v>630</v>
      </c>
      <c r="S28" s="258" t="s">
        <v>1390</v>
      </c>
      <c r="T28" s="265"/>
      <c r="U28" s="259" t="s">
        <v>1375</v>
      </c>
      <c r="V28" s="63">
        <v>82000000</v>
      </c>
      <c r="W28" s="63"/>
      <c r="X28" s="156" t="s">
        <v>1315</v>
      </c>
      <c r="Y28" s="1" t="b">
        <v>1</v>
      </c>
      <c r="AG28" s="41"/>
      <c r="AH28" s="41"/>
      <c r="AI28" s="41"/>
    </row>
    <row r="29" spans="1:35">
      <c r="A29" s="203"/>
      <c r="B29" s="1" t="str">
        <f t="shared" si="0"/>
        <v>M_AEB0101_VM_BKT_55_5000</v>
      </c>
      <c r="C29" s="7" t="s">
        <v>2014</v>
      </c>
      <c r="D29" s="7" t="str" cm="1">
        <f t="array" ref="D29">INDEX(기계코드!$D$4:$D$1022,MATCH(1,(C29=기계코드!$F$4:$F$1022)*1,0))</f>
        <v>M_AEB0101</v>
      </c>
      <c r="E29" s="7" t="s">
        <v>1128</v>
      </c>
      <c r="F29" s="7" t="str" cm="1">
        <f t="array" ref="F29">INDEX(공급업체코드!$B$3:$B$1000,MATCH(1,(E29=공급업체코드!$D$3:$D$1000)*1,0))</f>
        <v>VM_BKT</v>
      </c>
      <c r="G29" s="43" t="s">
        <v>2027</v>
      </c>
      <c r="H29" s="63"/>
      <c r="I29" s="64">
        <v>55</v>
      </c>
      <c r="J29" s="64">
        <v>5000</v>
      </c>
      <c r="K29" s="64">
        <v>200</v>
      </c>
      <c r="L29" s="70">
        <v>56</v>
      </c>
      <c r="M29" s="7" t="s">
        <v>990</v>
      </c>
      <c r="N29" s="7">
        <v>380</v>
      </c>
      <c r="O29" s="151">
        <v>0.95400000000000007</v>
      </c>
      <c r="P29" s="7">
        <v>0.9</v>
      </c>
      <c r="Q29" s="7">
        <v>80</v>
      </c>
      <c r="R29" s="65">
        <v>630</v>
      </c>
      <c r="S29" s="258" t="s">
        <v>1390</v>
      </c>
      <c r="T29" s="265"/>
      <c r="U29" s="259" t="s">
        <v>1375</v>
      </c>
      <c r="V29" s="63">
        <v>82000000</v>
      </c>
      <c r="W29" s="63"/>
      <c r="X29" s="156" t="s">
        <v>1315</v>
      </c>
      <c r="Y29" s="1" t="b">
        <v>1</v>
      </c>
      <c r="AG29" s="41"/>
      <c r="AH29" s="41"/>
      <c r="AI29" s="41"/>
    </row>
    <row r="30" spans="1:35">
      <c r="A30" s="203"/>
      <c r="B30" s="1" t="str">
        <f t="shared" si="0"/>
        <v>M_AEB0101_VM_BKT_49_6000</v>
      </c>
      <c r="C30" s="7" t="s">
        <v>2014</v>
      </c>
      <c r="D30" s="7" t="str" cm="1">
        <f t="array" ref="D30">INDEX(기계코드!$D$4:$D$1022,MATCH(1,(C30=기계코드!$F$4:$F$1022)*1,0))</f>
        <v>M_AEB0101</v>
      </c>
      <c r="E30" s="7" t="s">
        <v>1128</v>
      </c>
      <c r="F30" s="7" t="str" cm="1">
        <f t="array" ref="F30">INDEX(공급업체코드!$B$3:$B$1000,MATCH(1,(E30=공급업체코드!$D$3:$D$1000)*1,0))</f>
        <v>VM_BKT</v>
      </c>
      <c r="G30" s="43" t="s">
        <v>2027</v>
      </c>
      <c r="H30" s="63"/>
      <c r="I30" s="64">
        <v>49</v>
      </c>
      <c r="J30" s="64">
        <v>6000</v>
      </c>
      <c r="K30" s="64">
        <v>200</v>
      </c>
      <c r="L30" s="70">
        <v>56</v>
      </c>
      <c r="M30" s="7" t="s">
        <v>990</v>
      </c>
      <c r="N30" s="7">
        <v>380</v>
      </c>
      <c r="O30" s="151">
        <v>0.95400000000000007</v>
      </c>
      <c r="P30" s="7">
        <v>0.9</v>
      </c>
      <c r="Q30" s="7">
        <v>80</v>
      </c>
      <c r="R30" s="65">
        <v>630</v>
      </c>
      <c r="S30" s="258" t="s">
        <v>1390</v>
      </c>
      <c r="T30" s="265"/>
      <c r="U30" s="259" t="s">
        <v>1375</v>
      </c>
      <c r="V30" s="63">
        <v>82000000</v>
      </c>
      <c r="W30" s="63"/>
      <c r="X30" s="156" t="s">
        <v>1315</v>
      </c>
      <c r="Y30" s="1" t="b">
        <v>1</v>
      </c>
      <c r="AG30" s="41"/>
      <c r="AH30" s="41"/>
      <c r="AI30" s="41"/>
    </row>
    <row r="31" spans="1:35">
      <c r="A31" s="203"/>
      <c r="B31" s="1" t="str">
        <f t="shared" si="0"/>
        <v>M_AEB0101_VM_BKT_44_7000</v>
      </c>
      <c r="C31" s="7" t="s">
        <v>2014</v>
      </c>
      <c r="D31" s="7" t="str" cm="1">
        <f t="array" ref="D31">INDEX(기계코드!$D$4:$D$1022,MATCH(1,(C31=기계코드!$F$4:$F$1022)*1,0))</f>
        <v>M_AEB0101</v>
      </c>
      <c r="E31" s="7" t="s">
        <v>1128</v>
      </c>
      <c r="F31" s="7" t="str" cm="1">
        <f t="array" ref="F31">INDEX(공급업체코드!$B$3:$B$1000,MATCH(1,(E31=공급업체코드!$D$3:$D$1000)*1,0))</f>
        <v>VM_BKT</v>
      </c>
      <c r="G31" s="43" t="s">
        <v>2028</v>
      </c>
      <c r="H31" s="63"/>
      <c r="I31" s="64">
        <v>44</v>
      </c>
      <c r="J31" s="64">
        <v>7000</v>
      </c>
      <c r="K31" s="64">
        <v>200</v>
      </c>
      <c r="L31" s="70">
        <v>56</v>
      </c>
      <c r="M31" s="7" t="s">
        <v>990</v>
      </c>
      <c r="N31" s="7">
        <v>380</v>
      </c>
      <c r="O31" s="151">
        <v>0.95400000000000007</v>
      </c>
      <c r="P31" s="7">
        <v>0.9</v>
      </c>
      <c r="Q31" s="7">
        <v>80</v>
      </c>
      <c r="R31" s="65">
        <v>630</v>
      </c>
      <c r="S31" s="258" t="s">
        <v>1390</v>
      </c>
      <c r="T31" s="265"/>
      <c r="U31" s="259" t="s">
        <v>1375</v>
      </c>
      <c r="V31" s="63">
        <v>82000000</v>
      </c>
      <c r="W31" s="63"/>
      <c r="X31" s="156" t="s">
        <v>1315</v>
      </c>
      <c r="Y31" s="1" t="b">
        <v>1</v>
      </c>
      <c r="AG31" s="40"/>
      <c r="AH31" s="40"/>
      <c r="AI31" s="41"/>
    </row>
    <row r="32" spans="1:35">
      <c r="A32" s="203"/>
      <c r="B32" s="1" t="str">
        <f t="shared" si="0"/>
        <v>M_AEB0101_VM_BKT_40_8000</v>
      </c>
      <c r="C32" s="7" t="s">
        <v>2014</v>
      </c>
      <c r="D32" s="7" t="str" cm="1">
        <f t="array" ref="D32">INDEX(기계코드!$D$4:$D$1022,MATCH(1,(C32=기계코드!$F$4:$F$1022)*1,0))</f>
        <v>M_AEB0101</v>
      </c>
      <c r="E32" s="7" t="s">
        <v>1128</v>
      </c>
      <c r="F32" s="7" t="str" cm="1">
        <f t="array" ref="F32">INDEX(공급업체코드!$B$3:$B$1000,MATCH(1,(E32=공급업체코드!$D$3:$D$1000)*1,0))</f>
        <v>VM_BKT</v>
      </c>
      <c r="G32" s="43" t="s">
        <v>2028</v>
      </c>
      <c r="H32" s="63"/>
      <c r="I32" s="64">
        <v>40</v>
      </c>
      <c r="J32" s="64">
        <v>8000</v>
      </c>
      <c r="K32" s="64">
        <v>200</v>
      </c>
      <c r="L32" s="70">
        <v>56</v>
      </c>
      <c r="M32" s="7" t="s">
        <v>990</v>
      </c>
      <c r="N32" s="7">
        <v>380</v>
      </c>
      <c r="O32" s="151">
        <v>0.95400000000000007</v>
      </c>
      <c r="P32" s="7">
        <v>0.9</v>
      </c>
      <c r="Q32" s="7">
        <v>80</v>
      </c>
      <c r="R32" s="65">
        <v>630</v>
      </c>
      <c r="S32" s="258" t="s">
        <v>1390</v>
      </c>
      <c r="T32" s="265"/>
      <c r="U32" s="259" t="s">
        <v>1375</v>
      </c>
      <c r="V32" s="63">
        <v>82000000</v>
      </c>
      <c r="W32" s="63"/>
      <c r="X32" s="156" t="s">
        <v>1315</v>
      </c>
      <c r="Y32" s="1" t="b">
        <v>1</v>
      </c>
      <c r="AG32" s="41"/>
      <c r="AH32" s="41"/>
      <c r="AI32" s="41"/>
    </row>
    <row r="33" spans="1:35">
      <c r="A33" s="203"/>
      <c r="B33" s="1" t="str">
        <f t="shared" si="0"/>
        <v>M_AEB0101_VM_BKT_37_9000</v>
      </c>
      <c r="C33" s="7" t="s">
        <v>2014</v>
      </c>
      <c r="D33" s="7" t="str" cm="1">
        <f t="array" ref="D33">INDEX(기계코드!$D$4:$D$1022,MATCH(1,(C33=기계코드!$F$4:$F$1022)*1,0))</f>
        <v>M_AEB0101</v>
      </c>
      <c r="E33" s="7" t="s">
        <v>1128</v>
      </c>
      <c r="F33" s="7" t="str" cm="1">
        <f t="array" ref="F33">INDEX(공급업체코드!$B$3:$B$1000,MATCH(1,(E33=공급업체코드!$D$3:$D$1000)*1,0))</f>
        <v>VM_BKT</v>
      </c>
      <c r="G33" s="43" t="s">
        <v>2029</v>
      </c>
      <c r="H33" s="63"/>
      <c r="I33" s="64">
        <v>37</v>
      </c>
      <c r="J33" s="64">
        <v>9000</v>
      </c>
      <c r="K33" s="64">
        <v>200</v>
      </c>
      <c r="L33" s="70">
        <v>56</v>
      </c>
      <c r="M33" s="7" t="s">
        <v>990</v>
      </c>
      <c r="N33" s="7">
        <v>380</v>
      </c>
      <c r="O33" s="151">
        <v>0.95400000000000007</v>
      </c>
      <c r="P33" s="7">
        <v>0.9</v>
      </c>
      <c r="Q33" s="7">
        <v>80</v>
      </c>
      <c r="R33" s="65">
        <v>630</v>
      </c>
      <c r="S33" s="258" t="s">
        <v>1390</v>
      </c>
      <c r="T33" s="265"/>
      <c r="U33" s="259" t="s">
        <v>1375</v>
      </c>
      <c r="V33" s="63">
        <v>82000000</v>
      </c>
      <c r="W33" s="63"/>
      <c r="X33" s="156" t="s">
        <v>1315</v>
      </c>
      <c r="Y33" s="1" t="b">
        <v>1</v>
      </c>
      <c r="AG33" s="41"/>
      <c r="AH33" s="41"/>
      <c r="AI33" s="41"/>
    </row>
    <row r="34" spans="1:35">
      <c r="A34" s="203"/>
      <c r="B34" s="1" t="str">
        <f t="shared" si="0"/>
        <v>M_AEB0101_VM_BKT_31_10000</v>
      </c>
      <c r="C34" s="7" t="s">
        <v>2014</v>
      </c>
      <c r="D34" s="7" t="str" cm="1">
        <f t="array" ref="D34">INDEX(기계코드!$D$4:$D$1022,MATCH(1,(C34=기계코드!$F$4:$F$1022)*1,0))</f>
        <v>M_AEB0101</v>
      </c>
      <c r="E34" s="7" t="s">
        <v>1128</v>
      </c>
      <c r="F34" s="7" t="str" cm="1">
        <f t="array" ref="F34">INDEX(공급업체코드!$B$3:$B$1000,MATCH(1,(E34=공급업체코드!$D$3:$D$1000)*1,0))</f>
        <v>VM_BKT</v>
      </c>
      <c r="G34" s="43" t="s">
        <v>2029</v>
      </c>
      <c r="H34" s="63"/>
      <c r="I34" s="64">
        <v>31</v>
      </c>
      <c r="J34" s="64">
        <v>10000</v>
      </c>
      <c r="K34" s="64">
        <v>200</v>
      </c>
      <c r="L34" s="70">
        <v>56</v>
      </c>
      <c r="M34" s="7" t="s">
        <v>990</v>
      </c>
      <c r="N34" s="7">
        <v>380</v>
      </c>
      <c r="O34" s="151">
        <v>0.95400000000000007</v>
      </c>
      <c r="P34" s="7">
        <v>0.9</v>
      </c>
      <c r="Q34" s="7">
        <v>80</v>
      </c>
      <c r="R34" s="65">
        <v>630</v>
      </c>
      <c r="S34" s="258" t="s">
        <v>1390</v>
      </c>
      <c r="T34" s="265"/>
      <c r="U34" s="259" t="s">
        <v>1375</v>
      </c>
      <c r="V34" s="63">
        <v>82000000</v>
      </c>
      <c r="W34" s="63"/>
      <c r="X34" s="156" t="s">
        <v>1315</v>
      </c>
      <c r="Y34" s="1" t="b">
        <v>1</v>
      </c>
      <c r="AG34" s="41"/>
      <c r="AH34" s="41"/>
      <c r="AI34" s="41"/>
    </row>
    <row r="35" spans="1:35">
      <c r="A35" s="203"/>
      <c r="B35" s="1" t="str">
        <f t="shared" si="0"/>
        <v>M_AEB0101_VM_BKT_27_11000</v>
      </c>
      <c r="C35" s="7" t="s">
        <v>2014</v>
      </c>
      <c r="D35" s="7" t="str" cm="1">
        <f t="array" ref="D35">INDEX(기계코드!$D$4:$D$1022,MATCH(1,(C35=기계코드!$F$4:$F$1022)*1,0))</f>
        <v>M_AEB0101</v>
      </c>
      <c r="E35" s="7" t="s">
        <v>1128</v>
      </c>
      <c r="F35" s="7" t="str" cm="1">
        <f t="array" ref="F35">INDEX(공급업체코드!$B$3:$B$1000,MATCH(1,(E35=공급업체코드!$D$3:$D$1000)*1,0))</f>
        <v>VM_BKT</v>
      </c>
      <c r="G35" s="43" t="s">
        <v>2030</v>
      </c>
      <c r="H35" s="63"/>
      <c r="I35" s="64">
        <v>27</v>
      </c>
      <c r="J35" s="64">
        <v>11000</v>
      </c>
      <c r="K35" s="64">
        <v>150</v>
      </c>
      <c r="L35" s="70">
        <v>56</v>
      </c>
      <c r="M35" s="7" t="s">
        <v>990</v>
      </c>
      <c r="N35" s="7">
        <v>380</v>
      </c>
      <c r="O35" s="151">
        <v>0.95400000000000007</v>
      </c>
      <c r="P35" s="7">
        <v>0.9</v>
      </c>
      <c r="Q35" s="7">
        <v>80</v>
      </c>
      <c r="R35" s="65">
        <v>700</v>
      </c>
      <c r="S35" s="258" t="s">
        <v>1390</v>
      </c>
      <c r="T35" s="265"/>
      <c r="U35" s="259" t="s">
        <v>1375</v>
      </c>
      <c r="V35" s="63">
        <v>82000000</v>
      </c>
      <c r="W35" s="63"/>
      <c r="X35" s="156" t="s">
        <v>1315</v>
      </c>
      <c r="Y35" s="1" t="b">
        <v>1</v>
      </c>
      <c r="AG35" s="40"/>
      <c r="AH35" s="40"/>
      <c r="AI35" s="41"/>
    </row>
    <row r="36" spans="1:35">
      <c r="A36" s="203"/>
      <c r="B36" s="1" t="str">
        <f t="shared" si="0"/>
        <v>M_AEB0101_VM_BKT_25_12000</v>
      </c>
      <c r="C36" s="7" t="s">
        <v>2014</v>
      </c>
      <c r="D36" s="7" t="str" cm="1">
        <f t="array" ref="D36">INDEX(기계코드!$D$4:$D$1022,MATCH(1,(C36=기계코드!$F$4:$F$1022)*1,0))</f>
        <v>M_AEB0101</v>
      </c>
      <c r="E36" s="7" t="s">
        <v>1128</v>
      </c>
      <c r="F36" s="7" t="str" cm="1">
        <f t="array" ref="F36">INDEX(공급업체코드!$B$3:$B$1000,MATCH(1,(E36=공급업체코드!$D$3:$D$1000)*1,0))</f>
        <v>VM_BKT</v>
      </c>
      <c r="G36" s="43" t="s">
        <v>2030</v>
      </c>
      <c r="H36" s="63"/>
      <c r="I36" s="64">
        <v>25</v>
      </c>
      <c r="J36" s="64">
        <v>12000</v>
      </c>
      <c r="K36" s="64">
        <v>150</v>
      </c>
      <c r="L36" s="70">
        <v>56</v>
      </c>
      <c r="M36" s="7" t="s">
        <v>990</v>
      </c>
      <c r="N36" s="7">
        <v>380</v>
      </c>
      <c r="O36" s="151">
        <v>0.95400000000000007</v>
      </c>
      <c r="P36" s="7">
        <v>0.9</v>
      </c>
      <c r="Q36" s="7">
        <v>80</v>
      </c>
      <c r="R36" s="65">
        <v>700</v>
      </c>
      <c r="S36" s="258" t="s">
        <v>1390</v>
      </c>
      <c r="T36" s="265"/>
      <c r="U36" s="259" t="s">
        <v>1375</v>
      </c>
      <c r="V36" s="63">
        <v>82000000</v>
      </c>
      <c r="W36" s="63"/>
      <c r="X36" s="156" t="s">
        <v>1315</v>
      </c>
      <c r="Y36" s="1" t="b">
        <v>1</v>
      </c>
      <c r="AG36" s="41"/>
      <c r="AH36" s="41"/>
      <c r="AI36" s="41"/>
    </row>
    <row r="37" spans="1:35">
      <c r="A37" s="203"/>
      <c r="B37" s="1" t="str">
        <f t="shared" si="0"/>
        <v>M_AEB0101_VM_BKT_23_13000</v>
      </c>
      <c r="C37" s="7" t="s">
        <v>2014</v>
      </c>
      <c r="D37" s="7" t="str" cm="1">
        <f t="array" ref="D37">INDEX(기계코드!$D$4:$D$1022,MATCH(1,(C37=기계코드!$F$4:$F$1022)*1,0))</f>
        <v>M_AEB0101</v>
      </c>
      <c r="E37" s="7" t="s">
        <v>1128</v>
      </c>
      <c r="F37" s="7" t="str" cm="1">
        <f t="array" ref="F37">INDEX(공급업체코드!$B$3:$B$1000,MATCH(1,(E37=공급업체코드!$D$3:$D$1000)*1,0))</f>
        <v>VM_BKT</v>
      </c>
      <c r="G37" s="43" t="s">
        <v>2030</v>
      </c>
      <c r="H37" s="63"/>
      <c r="I37" s="64">
        <v>23</v>
      </c>
      <c r="J37" s="64">
        <v>13000</v>
      </c>
      <c r="K37" s="64">
        <v>150</v>
      </c>
      <c r="L37" s="70">
        <v>56</v>
      </c>
      <c r="M37" s="7" t="s">
        <v>990</v>
      </c>
      <c r="N37" s="7">
        <v>380</v>
      </c>
      <c r="O37" s="151">
        <v>0.95400000000000007</v>
      </c>
      <c r="P37" s="7">
        <v>0.9</v>
      </c>
      <c r="Q37" s="7">
        <v>80</v>
      </c>
      <c r="R37" s="65">
        <v>700</v>
      </c>
      <c r="S37" s="258" t="s">
        <v>1390</v>
      </c>
      <c r="T37" s="265"/>
      <c r="U37" s="259" t="s">
        <v>1375</v>
      </c>
      <c r="V37" s="63">
        <v>82000000</v>
      </c>
      <c r="W37" s="63"/>
      <c r="X37" s="156" t="s">
        <v>1315</v>
      </c>
      <c r="Y37" s="1" t="b">
        <v>1</v>
      </c>
      <c r="AG37" s="41"/>
      <c r="AH37" s="41"/>
      <c r="AI37" s="41"/>
    </row>
    <row r="38" spans="1:35">
      <c r="A38" s="203"/>
      <c r="B38" s="1" t="str">
        <f t="shared" si="0"/>
        <v>M_AEB0101_VM_BKT_20_15000</v>
      </c>
      <c r="C38" s="7" t="s">
        <v>2014</v>
      </c>
      <c r="D38" s="7" t="str" cm="1">
        <f t="array" ref="D38">INDEX(기계코드!$D$4:$D$1022,MATCH(1,(C38=기계코드!$F$4:$F$1022)*1,0))</f>
        <v>M_AEB0101</v>
      </c>
      <c r="E38" s="7" t="s">
        <v>1128</v>
      </c>
      <c r="F38" s="7" t="str" cm="1">
        <f t="array" ref="F38">INDEX(공급업체코드!$B$3:$B$1000,MATCH(1,(E38=공급업체코드!$D$3:$D$1000)*1,0))</f>
        <v>VM_BKT</v>
      </c>
      <c r="G38" s="43" t="s">
        <v>2030</v>
      </c>
      <c r="H38" s="63"/>
      <c r="I38" s="64">
        <v>20</v>
      </c>
      <c r="J38" s="64">
        <v>15000</v>
      </c>
      <c r="K38" s="64">
        <v>150</v>
      </c>
      <c r="L38" s="70">
        <v>56</v>
      </c>
      <c r="M38" s="7" t="s">
        <v>990</v>
      </c>
      <c r="N38" s="7">
        <v>380</v>
      </c>
      <c r="O38" s="151">
        <v>0.95400000000000007</v>
      </c>
      <c r="P38" s="7">
        <v>0.9</v>
      </c>
      <c r="Q38" s="7">
        <v>80</v>
      </c>
      <c r="R38" s="65">
        <v>700</v>
      </c>
      <c r="S38" s="258" t="s">
        <v>1390</v>
      </c>
      <c r="T38" s="265"/>
      <c r="U38" s="259" t="s">
        <v>1375</v>
      </c>
      <c r="V38" s="63">
        <v>82000000</v>
      </c>
      <c r="W38" s="63"/>
      <c r="X38" s="156" t="s">
        <v>1315</v>
      </c>
      <c r="Y38" s="1" t="b">
        <v>1</v>
      </c>
      <c r="AG38" s="40"/>
      <c r="AH38" s="40"/>
      <c r="AI38" s="41"/>
    </row>
    <row r="39" spans="1:35">
      <c r="A39" s="203"/>
      <c r="B39" s="1" t="str">
        <f t="shared" si="0"/>
        <v>M_AEB0101_VM_BKT_107_3000</v>
      </c>
      <c r="C39" s="7" t="s">
        <v>2014</v>
      </c>
      <c r="D39" s="7" t="str" cm="1">
        <f t="array" ref="D39">INDEX(기계코드!$D$4:$D$1022,MATCH(1,(C39=기계코드!$F$4:$F$1022)*1,0))</f>
        <v>M_AEB0101</v>
      </c>
      <c r="E39" s="7" t="s">
        <v>1128</v>
      </c>
      <c r="F39" s="7" t="str" cm="1">
        <f t="array" ref="F39">INDEX(공급업체코드!$B$3:$B$1000,MATCH(1,(E39=공급업체코드!$D$3:$D$1000)*1,0))</f>
        <v>VM_BKT</v>
      </c>
      <c r="G39" s="43" t="s">
        <v>2031</v>
      </c>
      <c r="H39" s="63"/>
      <c r="I39" s="64">
        <v>107</v>
      </c>
      <c r="J39" s="64">
        <v>3000</v>
      </c>
      <c r="K39" s="64">
        <v>250</v>
      </c>
      <c r="L39" s="70">
        <v>75</v>
      </c>
      <c r="M39" s="7" t="s">
        <v>990</v>
      </c>
      <c r="N39" s="7">
        <v>380</v>
      </c>
      <c r="O39" s="151">
        <v>0.95400000000000007</v>
      </c>
      <c r="P39" s="7">
        <v>0.9</v>
      </c>
      <c r="Q39" s="7">
        <v>80</v>
      </c>
      <c r="R39" s="65">
        <v>900</v>
      </c>
      <c r="S39" s="258" t="s">
        <v>1390</v>
      </c>
      <c r="T39" s="265"/>
      <c r="U39" s="259" t="s">
        <v>1375</v>
      </c>
      <c r="V39" s="63">
        <v>96000000</v>
      </c>
      <c r="W39" s="63"/>
      <c r="X39" s="156" t="s">
        <v>1315</v>
      </c>
      <c r="Y39" s="1" t="b">
        <v>1</v>
      </c>
      <c r="AG39" s="41"/>
      <c r="AH39" s="41"/>
      <c r="AI39" s="41"/>
    </row>
    <row r="40" spans="1:35">
      <c r="A40" s="203"/>
      <c r="B40" s="1" t="str">
        <f t="shared" si="0"/>
        <v>M_AEB0101_VM_BKT_86_4000</v>
      </c>
      <c r="C40" s="7" t="s">
        <v>2014</v>
      </c>
      <c r="D40" s="7" t="str" cm="1">
        <f t="array" ref="D40">INDEX(기계코드!$D$4:$D$1022,MATCH(1,(C40=기계코드!$F$4:$F$1022)*1,0))</f>
        <v>M_AEB0101</v>
      </c>
      <c r="E40" s="7" t="s">
        <v>1128</v>
      </c>
      <c r="F40" s="7" t="str" cm="1">
        <f t="array" ref="F40">INDEX(공급업체코드!$B$3:$B$1000,MATCH(1,(E40=공급업체코드!$D$3:$D$1000)*1,0))</f>
        <v>VM_BKT</v>
      </c>
      <c r="G40" s="43" t="s">
        <v>2031</v>
      </c>
      <c r="H40" s="63"/>
      <c r="I40" s="64">
        <v>86</v>
      </c>
      <c r="J40" s="64">
        <v>4000</v>
      </c>
      <c r="K40" s="64">
        <v>250</v>
      </c>
      <c r="L40" s="70">
        <v>75</v>
      </c>
      <c r="M40" s="7" t="s">
        <v>990</v>
      </c>
      <c r="N40" s="7">
        <v>380</v>
      </c>
      <c r="O40" s="151">
        <v>0.95400000000000007</v>
      </c>
      <c r="P40" s="7">
        <v>0.9</v>
      </c>
      <c r="Q40" s="7">
        <v>80</v>
      </c>
      <c r="R40" s="65">
        <v>900</v>
      </c>
      <c r="S40" s="258" t="s">
        <v>1390</v>
      </c>
      <c r="T40" s="265"/>
      <c r="U40" s="259" t="s">
        <v>1375</v>
      </c>
      <c r="V40" s="63">
        <v>96000000</v>
      </c>
      <c r="W40" s="63"/>
      <c r="X40" s="156" t="s">
        <v>1315</v>
      </c>
      <c r="Y40" s="1" t="b">
        <v>1</v>
      </c>
      <c r="AG40" s="40"/>
      <c r="AH40" s="40"/>
      <c r="AI40" s="40"/>
    </row>
    <row r="41" spans="1:35">
      <c r="A41" s="203"/>
      <c r="B41" s="1" t="str">
        <f t="shared" si="0"/>
        <v>M_AEB0101_VM_BKT_74_5000</v>
      </c>
      <c r="C41" s="7" t="s">
        <v>2014</v>
      </c>
      <c r="D41" s="7" t="str" cm="1">
        <f t="array" ref="D41">INDEX(기계코드!$D$4:$D$1022,MATCH(1,(C41=기계코드!$F$4:$F$1022)*1,0))</f>
        <v>M_AEB0101</v>
      </c>
      <c r="E41" s="7" t="s">
        <v>1128</v>
      </c>
      <c r="F41" s="7" t="str" cm="1">
        <f t="array" ref="F41">INDEX(공급업체코드!$B$3:$B$1000,MATCH(1,(E41=공급업체코드!$D$3:$D$1000)*1,0))</f>
        <v>VM_BKT</v>
      </c>
      <c r="G41" s="43" t="s">
        <v>2032</v>
      </c>
      <c r="H41" s="63"/>
      <c r="I41" s="64">
        <v>74</v>
      </c>
      <c r="J41" s="64">
        <v>5000</v>
      </c>
      <c r="K41" s="64">
        <v>200</v>
      </c>
      <c r="L41" s="70">
        <v>75</v>
      </c>
      <c r="M41" s="7" t="s">
        <v>990</v>
      </c>
      <c r="N41" s="7">
        <v>380</v>
      </c>
      <c r="O41" s="151">
        <v>0.95400000000000007</v>
      </c>
      <c r="P41" s="7">
        <v>0.9</v>
      </c>
      <c r="Q41" s="7">
        <v>80</v>
      </c>
      <c r="R41" s="65">
        <v>700</v>
      </c>
      <c r="S41" s="258" t="s">
        <v>1390</v>
      </c>
      <c r="T41" s="265"/>
      <c r="U41" s="259" t="s">
        <v>1375</v>
      </c>
      <c r="V41" s="63">
        <v>96000000</v>
      </c>
      <c r="W41" s="63"/>
      <c r="X41" s="156" t="s">
        <v>1315</v>
      </c>
      <c r="Y41" s="1" t="b">
        <v>1</v>
      </c>
      <c r="AG41" s="41"/>
      <c r="AH41" s="41"/>
      <c r="AI41" s="41"/>
    </row>
    <row r="42" spans="1:35">
      <c r="A42" s="203"/>
      <c r="B42" s="1" t="str">
        <f t="shared" si="0"/>
        <v>M_AEB0101_VM_BKT_66_6000</v>
      </c>
      <c r="C42" s="7" t="s">
        <v>2014</v>
      </c>
      <c r="D42" s="7" t="str" cm="1">
        <f t="array" ref="D42">INDEX(기계코드!$D$4:$D$1022,MATCH(1,(C42=기계코드!$F$4:$F$1022)*1,0))</f>
        <v>M_AEB0101</v>
      </c>
      <c r="E42" s="7" t="s">
        <v>1128</v>
      </c>
      <c r="F42" s="7" t="str" cm="1">
        <f t="array" ref="F42">INDEX(공급업체코드!$B$3:$B$1000,MATCH(1,(E42=공급업체코드!$D$3:$D$1000)*1,0))</f>
        <v>VM_BKT</v>
      </c>
      <c r="G42" s="43" t="s">
        <v>2032</v>
      </c>
      <c r="H42" s="63"/>
      <c r="I42" s="64">
        <v>66</v>
      </c>
      <c r="J42" s="64">
        <v>6000</v>
      </c>
      <c r="K42" s="64">
        <v>200</v>
      </c>
      <c r="L42" s="70">
        <v>75</v>
      </c>
      <c r="M42" s="7" t="s">
        <v>990</v>
      </c>
      <c r="N42" s="7">
        <v>380</v>
      </c>
      <c r="O42" s="151">
        <v>0.95400000000000007</v>
      </c>
      <c r="P42" s="7">
        <v>0.9</v>
      </c>
      <c r="Q42" s="7">
        <v>80</v>
      </c>
      <c r="R42" s="65">
        <v>700</v>
      </c>
      <c r="S42" s="258" t="s">
        <v>1390</v>
      </c>
      <c r="T42" s="265"/>
      <c r="U42" s="259" t="s">
        <v>1375</v>
      </c>
      <c r="V42" s="63">
        <v>96000000</v>
      </c>
      <c r="W42" s="63"/>
      <c r="X42" s="156" t="s">
        <v>1315</v>
      </c>
      <c r="Y42" s="1" t="b">
        <v>1</v>
      </c>
      <c r="AG42" s="41"/>
      <c r="AH42" s="41"/>
      <c r="AI42" s="41"/>
    </row>
    <row r="43" spans="1:35">
      <c r="A43" s="203"/>
      <c r="B43" s="1" t="str">
        <f t="shared" si="0"/>
        <v>M_AEB0101_VM_BKT_58_7000</v>
      </c>
      <c r="C43" s="7" t="s">
        <v>2014</v>
      </c>
      <c r="D43" s="7" t="str" cm="1">
        <f t="array" ref="D43">INDEX(기계코드!$D$4:$D$1022,MATCH(1,(C43=기계코드!$F$4:$F$1022)*1,0))</f>
        <v>M_AEB0101</v>
      </c>
      <c r="E43" s="7" t="s">
        <v>1128</v>
      </c>
      <c r="F43" s="7" t="str" cm="1">
        <f t="array" ref="F43">INDEX(공급업체코드!$B$3:$B$1000,MATCH(1,(E43=공급업체코드!$D$3:$D$1000)*1,0))</f>
        <v>VM_BKT</v>
      </c>
      <c r="G43" s="43" t="s">
        <v>2033</v>
      </c>
      <c r="H43" s="63"/>
      <c r="I43" s="64">
        <v>58</v>
      </c>
      <c r="J43" s="64">
        <v>7000</v>
      </c>
      <c r="K43" s="64">
        <v>200</v>
      </c>
      <c r="L43" s="70">
        <v>75</v>
      </c>
      <c r="M43" s="7" t="s">
        <v>990</v>
      </c>
      <c r="N43" s="7">
        <v>380</v>
      </c>
      <c r="O43" s="151">
        <v>0.95400000000000007</v>
      </c>
      <c r="P43" s="7">
        <v>0.9</v>
      </c>
      <c r="Q43" s="7">
        <v>80</v>
      </c>
      <c r="R43" s="65">
        <v>700</v>
      </c>
      <c r="S43" s="258" t="s">
        <v>1390</v>
      </c>
      <c r="T43" s="265"/>
      <c r="U43" s="259" t="s">
        <v>1375</v>
      </c>
      <c r="V43" s="63">
        <v>96000000</v>
      </c>
      <c r="W43" s="63"/>
      <c r="X43" s="156" t="s">
        <v>1315</v>
      </c>
      <c r="Y43" s="1" t="b">
        <v>1</v>
      </c>
      <c r="AG43" s="41"/>
      <c r="AH43" s="41"/>
      <c r="AI43" s="41"/>
    </row>
    <row r="44" spans="1:35">
      <c r="A44" s="203"/>
      <c r="B44" s="1" t="str">
        <f t="shared" si="0"/>
        <v>M_AEB0101_VM_BKT_54_8000</v>
      </c>
      <c r="C44" s="7" t="s">
        <v>2014</v>
      </c>
      <c r="D44" s="7" t="str" cm="1">
        <f t="array" ref="D44">INDEX(기계코드!$D$4:$D$1022,MATCH(1,(C44=기계코드!$F$4:$F$1022)*1,0))</f>
        <v>M_AEB0101</v>
      </c>
      <c r="E44" s="7" t="s">
        <v>1128</v>
      </c>
      <c r="F44" s="7" t="str" cm="1">
        <f t="array" ref="F44">INDEX(공급업체코드!$B$3:$B$1000,MATCH(1,(E44=공급업체코드!$D$3:$D$1000)*1,0))</f>
        <v>VM_BKT</v>
      </c>
      <c r="G44" s="43" t="s">
        <v>2033</v>
      </c>
      <c r="H44" s="63"/>
      <c r="I44" s="64">
        <v>54</v>
      </c>
      <c r="J44" s="64">
        <v>8000</v>
      </c>
      <c r="K44" s="64">
        <v>200</v>
      </c>
      <c r="L44" s="70">
        <v>75</v>
      </c>
      <c r="M44" s="7" t="s">
        <v>990</v>
      </c>
      <c r="N44" s="7">
        <v>380</v>
      </c>
      <c r="O44" s="151">
        <v>0.95400000000000007</v>
      </c>
      <c r="P44" s="7">
        <v>0.9</v>
      </c>
      <c r="Q44" s="7">
        <v>80</v>
      </c>
      <c r="R44" s="65">
        <v>700</v>
      </c>
      <c r="S44" s="258" t="s">
        <v>1390</v>
      </c>
      <c r="T44" s="265"/>
      <c r="U44" s="259" t="s">
        <v>1375</v>
      </c>
      <c r="V44" s="63">
        <v>96000000</v>
      </c>
      <c r="W44" s="63"/>
      <c r="X44" s="156" t="s">
        <v>1315</v>
      </c>
      <c r="Y44" s="1" t="b">
        <v>1</v>
      </c>
      <c r="AG44" s="41"/>
      <c r="AH44" s="41"/>
      <c r="AI44" s="41"/>
    </row>
    <row r="45" spans="1:35">
      <c r="A45" s="203"/>
      <c r="B45" s="1" t="str">
        <f t="shared" si="0"/>
        <v>M_AEB0101_VM_BKT_50_9000</v>
      </c>
      <c r="C45" s="7" t="s">
        <v>2014</v>
      </c>
      <c r="D45" s="7" t="str" cm="1">
        <f t="array" ref="D45">INDEX(기계코드!$D$4:$D$1022,MATCH(1,(C45=기계코드!$F$4:$F$1022)*1,0))</f>
        <v>M_AEB0101</v>
      </c>
      <c r="E45" s="7" t="s">
        <v>1128</v>
      </c>
      <c r="F45" s="7" t="str" cm="1">
        <f t="array" ref="F45">INDEX(공급업체코드!$B$3:$B$1000,MATCH(1,(E45=공급업체코드!$D$3:$D$1000)*1,0))</f>
        <v>VM_BKT</v>
      </c>
      <c r="G45" s="43" t="s">
        <v>2034</v>
      </c>
      <c r="H45" s="63"/>
      <c r="I45" s="64">
        <v>50</v>
      </c>
      <c r="J45" s="64">
        <v>9000</v>
      </c>
      <c r="K45" s="64">
        <v>200</v>
      </c>
      <c r="L45" s="70">
        <v>75</v>
      </c>
      <c r="M45" s="7" t="s">
        <v>990</v>
      </c>
      <c r="N45" s="7">
        <v>380</v>
      </c>
      <c r="O45" s="151">
        <v>0.95400000000000007</v>
      </c>
      <c r="P45" s="7">
        <v>0.9</v>
      </c>
      <c r="Q45" s="7">
        <v>80</v>
      </c>
      <c r="R45" s="65">
        <v>700</v>
      </c>
      <c r="S45" s="258" t="s">
        <v>1390</v>
      </c>
      <c r="T45" s="265"/>
      <c r="U45" s="259" t="s">
        <v>1375</v>
      </c>
      <c r="V45" s="63">
        <v>96000000</v>
      </c>
      <c r="W45" s="63"/>
      <c r="X45" s="156" t="s">
        <v>1315</v>
      </c>
      <c r="Y45" s="1" t="b">
        <v>1</v>
      </c>
    </row>
    <row r="46" spans="1:35">
      <c r="A46" s="203"/>
      <c r="B46" s="1" t="str">
        <f t="shared" si="0"/>
        <v>M_AEB0101_VM_BKT_42_10000</v>
      </c>
      <c r="C46" s="7" t="s">
        <v>2014</v>
      </c>
      <c r="D46" s="7" t="str" cm="1">
        <f t="array" ref="D46">INDEX(기계코드!$D$4:$D$1022,MATCH(1,(C46=기계코드!$F$4:$F$1022)*1,0))</f>
        <v>M_AEB0101</v>
      </c>
      <c r="E46" s="7" t="s">
        <v>1128</v>
      </c>
      <c r="F46" s="7" t="str" cm="1">
        <f t="array" ref="F46">INDEX(공급업체코드!$B$3:$B$1000,MATCH(1,(E46=공급업체코드!$D$3:$D$1000)*1,0))</f>
        <v>VM_BKT</v>
      </c>
      <c r="G46" s="43" t="s">
        <v>2034</v>
      </c>
      <c r="H46" s="63"/>
      <c r="I46" s="64">
        <v>42</v>
      </c>
      <c r="J46" s="64">
        <v>10000</v>
      </c>
      <c r="K46" s="64">
        <v>200</v>
      </c>
      <c r="L46" s="70">
        <v>75</v>
      </c>
      <c r="M46" s="7" t="s">
        <v>990</v>
      </c>
      <c r="N46" s="7">
        <v>380</v>
      </c>
      <c r="O46" s="151">
        <v>0.95400000000000007</v>
      </c>
      <c r="P46" s="7">
        <v>0.9</v>
      </c>
      <c r="Q46" s="7">
        <v>80</v>
      </c>
      <c r="R46" s="65">
        <v>700</v>
      </c>
      <c r="S46" s="258" t="s">
        <v>1390</v>
      </c>
      <c r="T46" s="265"/>
      <c r="U46" s="259" t="s">
        <v>1375</v>
      </c>
      <c r="V46" s="63">
        <v>96000000</v>
      </c>
      <c r="W46" s="63"/>
      <c r="X46" s="156" t="s">
        <v>1315</v>
      </c>
      <c r="Y46" s="1" t="b">
        <v>1</v>
      </c>
    </row>
    <row r="47" spans="1:35">
      <c r="A47" s="203"/>
      <c r="B47" s="1" t="str">
        <f t="shared" si="0"/>
        <v>M_AEB0101_VM_BKT_38_11000</v>
      </c>
      <c r="C47" s="7" t="s">
        <v>2014</v>
      </c>
      <c r="D47" s="7" t="str" cm="1">
        <f t="array" ref="D47">INDEX(기계코드!$D$4:$D$1022,MATCH(1,(C47=기계코드!$F$4:$F$1022)*1,0))</f>
        <v>M_AEB0101</v>
      </c>
      <c r="E47" s="7" t="s">
        <v>1128</v>
      </c>
      <c r="F47" s="7" t="str" cm="1">
        <f t="array" ref="F47">INDEX(공급업체코드!$B$3:$B$1000,MATCH(1,(E47=공급업체코드!$D$3:$D$1000)*1,0))</f>
        <v>VM_BKT</v>
      </c>
      <c r="G47" s="43" t="s">
        <v>2035</v>
      </c>
      <c r="H47" s="63"/>
      <c r="I47" s="64">
        <v>38</v>
      </c>
      <c r="J47" s="64">
        <v>11000</v>
      </c>
      <c r="K47" s="64">
        <v>200</v>
      </c>
      <c r="L47" s="70">
        <v>75</v>
      </c>
      <c r="M47" s="7" t="s">
        <v>990</v>
      </c>
      <c r="N47" s="7">
        <v>380</v>
      </c>
      <c r="O47" s="151">
        <v>0.95400000000000007</v>
      </c>
      <c r="P47" s="7">
        <v>0.9</v>
      </c>
      <c r="Q47" s="7">
        <v>80</v>
      </c>
      <c r="R47" s="65">
        <v>780</v>
      </c>
      <c r="S47" s="258" t="s">
        <v>1390</v>
      </c>
      <c r="T47" s="265"/>
      <c r="U47" s="259" t="s">
        <v>1375</v>
      </c>
      <c r="V47" s="63">
        <v>96000000</v>
      </c>
      <c r="W47" s="63"/>
      <c r="X47" s="156" t="s">
        <v>1315</v>
      </c>
      <c r="Y47" s="1" t="b">
        <v>1</v>
      </c>
    </row>
    <row r="48" spans="1:35">
      <c r="A48" s="203"/>
      <c r="B48" s="1" t="str">
        <f t="shared" si="0"/>
        <v>M_AEB0101_VM_BKT_37_12000</v>
      </c>
      <c r="C48" s="7" t="s">
        <v>2014</v>
      </c>
      <c r="D48" s="7" t="str" cm="1">
        <f t="array" ref="D48">INDEX(기계코드!$D$4:$D$1022,MATCH(1,(C48=기계코드!$F$4:$F$1022)*1,0))</f>
        <v>M_AEB0101</v>
      </c>
      <c r="E48" s="7" t="s">
        <v>1128</v>
      </c>
      <c r="F48" s="7" t="str" cm="1">
        <f t="array" ref="F48">INDEX(공급업체코드!$B$3:$B$1000,MATCH(1,(E48=공급업체코드!$D$3:$D$1000)*1,0))</f>
        <v>VM_BKT</v>
      </c>
      <c r="G48" s="43" t="s">
        <v>2035</v>
      </c>
      <c r="H48" s="63"/>
      <c r="I48" s="64">
        <v>37</v>
      </c>
      <c r="J48" s="64">
        <v>12000</v>
      </c>
      <c r="K48" s="64">
        <v>200</v>
      </c>
      <c r="L48" s="70">
        <v>75</v>
      </c>
      <c r="M48" s="7" t="s">
        <v>990</v>
      </c>
      <c r="N48" s="7">
        <v>380</v>
      </c>
      <c r="O48" s="151">
        <v>0.95400000000000007</v>
      </c>
      <c r="P48" s="7">
        <v>0.9</v>
      </c>
      <c r="Q48" s="7">
        <v>80</v>
      </c>
      <c r="R48" s="65">
        <v>780</v>
      </c>
      <c r="S48" s="258" t="s">
        <v>1390</v>
      </c>
      <c r="T48" s="265"/>
      <c r="U48" s="259" t="s">
        <v>1375</v>
      </c>
      <c r="V48" s="63">
        <v>96000000</v>
      </c>
      <c r="W48" s="63"/>
      <c r="X48" s="156" t="s">
        <v>1315</v>
      </c>
      <c r="Y48" s="1" t="b">
        <v>1</v>
      </c>
    </row>
    <row r="49" spans="1:25">
      <c r="A49" s="203"/>
      <c r="B49" s="1" t="str">
        <f t="shared" si="0"/>
        <v>M_AEB0101_VM_BKT_35_13000</v>
      </c>
      <c r="C49" s="7" t="s">
        <v>2014</v>
      </c>
      <c r="D49" s="7" t="str" cm="1">
        <f t="array" ref="D49">INDEX(기계코드!$D$4:$D$1022,MATCH(1,(C49=기계코드!$F$4:$F$1022)*1,0))</f>
        <v>M_AEB0101</v>
      </c>
      <c r="E49" s="7" t="s">
        <v>1128</v>
      </c>
      <c r="F49" s="7" t="str" cm="1">
        <f t="array" ref="F49">INDEX(공급업체코드!$B$3:$B$1000,MATCH(1,(E49=공급업체코드!$D$3:$D$1000)*1,0))</f>
        <v>VM_BKT</v>
      </c>
      <c r="G49" s="43" t="s">
        <v>2035</v>
      </c>
      <c r="H49" s="63"/>
      <c r="I49" s="64">
        <v>35</v>
      </c>
      <c r="J49" s="64">
        <v>13000</v>
      </c>
      <c r="K49" s="64">
        <v>200</v>
      </c>
      <c r="L49" s="70">
        <v>75</v>
      </c>
      <c r="M49" s="7" t="s">
        <v>990</v>
      </c>
      <c r="N49" s="7">
        <v>380</v>
      </c>
      <c r="O49" s="151">
        <v>0.95400000000000007</v>
      </c>
      <c r="P49" s="7">
        <v>0.9</v>
      </c>
      <c r="Q49" s="7">
        <v>80</v>
      </c>
      <c r="R49" s="65">
        <v>780</v>
      </c>
      <c r="S49" s="258" t="s">
        <v>1390</v>
      </c>
      <c r="T49" s="265"/>
      <c r="U49" s="259" t="s">
        <v>1375</v>
      </c>
      <c r="V49" s="63">
        <v>96000000</v>
      </c>
      <c r="W49" s="63"/>
      <c r="X49" s="156" t="s">
        <v>1315</v>
      </c>
      <c r="Y49" s="1" t="b">
        <v>1</v>
      </c>
    </row>
    <row r="50" spans="1:25">
      <c r="A50" s="203"/>
      <c r="B50" s="1" t="str">
        <f t="shared" si="0"/>
        <v>M_AEB0101_VM_BKT_32_15000</v>
      </c>
      <c r="C50" s="7" t="s">
        <v>2014</v>
      </c>
      <c r="D50" s="7" t="str" cm="1">
        <f t="array" ref="D50">INDEX(기계코드!$D$4:$D$1022,MATCH(1,(C50=기계코드!$F$4:$F$1022)*1,0))</f>
        <v>M_AEB0101</v>
      </c>
      <c r="E50" s="7" t="s">
        <v>1128</v>
      </c>
      <c r="F50" s="7" t="str" cm="1">
        <f t="array" ref="F50">INDEX(공급업체코드!$B$3:$B$1000,MATCH(1,(E50=공급업체코드!$D$3:$D$1000)*1,0))</f>
        <v>VM_BKT</v>
      </c>
      <c r="G50" s="43" t="s">
        <v>2035</v>
      </c>
      <c r="H50" s="63"/>
      <c r="I50" s="64">
        <v>32</v>
      </c>
      <c r="J50" s="64">
        <v>15000</v>
      </c>
      <c r="K50" s="64">
        <v>150</v>
      </c>
      <c r="L50" s="70">
        <v>75</v>
      </c>
      <c r="M50" s="7" t="s">
        <v>990</v>
      </c>
      <c r="N50" s="7">
        <v>380</v>
      </c>
      <c r="O50" s="151">
        <v>0.95400000000000007</v>
      </c>
      <c r="P50" s="7">
        <v>0.9</v>
      </c>
      <c r="Q50" s="7">
        <v>80</v>
      </c>
      <c r="R50" s="65">
        <v>780</v>
      </c>
      <c r="S50" s="258" t="s">
        <v>1390</v>
      </c>
      <c r="T50" s="265"/>
      <c r="U50" s="259" t="s">
        <v>1375</v>
      </c>
      <c r="V50" s="63">
        <v>96000000</v>
      </c>
      <c r="W50" s="63"/>
      <c r="X50" s="156" t="s">
        <v>1315</v>
      </c>
      <c r="Y50" s="1" t="b">
        <v>1</v>
      </c>
    </row>
    <row r="51" spans="1:25">
      <c r="A51" s="203"/>
      <c r="B51" s="1" t="str">
        <f t="shared" si="0"/>
        <v>M_AEB0101_VM_BKT_130_3000</v>
      </c>
      <c r="C51" s="7" t="s">
        <v>2014</v>
      </c>
      <c r="D51" s="7" t="str" cm="1">
        <f t="array" ref="D51">INDEX(기계코드!$D$4:$D$1022,MATCH(1,(C51=기계코드!$F$4:$F$1022)*1,0))</f>
        <v>M_AEB0101</v>
      </c>
      <c r="E51" s="7" t="s">
        <v>1128</v>
      </c>
      <c r="F51" s="7" t="str" cm="1">
        <f t="array" ref="F51">INDEX(공급업체코드!$B$3:$B$1000,MATCH(1,(E51=공급업체코드!$D$3:$D$1000)*1,0))</f>
        <v>VM_BKT</v>
      </c>
      <c r="G51" s="43" t="s">
        <v>2036</v>
      </c>
      <c r="H51" s="63"/>
      <c r="I51" s="64">
        <v>130</v>
      </c>
      <c r="J51" s="64">
        <v>3000</v>
      </c>
      <c r="K51" s="64">
        <v>250</v>
      </c>
      <c r="L51" s="70">
        <v>112</v>
      </c>
      <c r="M51" s="7" t="s">
        <v>990</v>
      </c>
      <c r="N51" s="7">
        <v>380</v>
      </c>
      <c r="O51" s="151">
        <v>0.95799999999999996</v>
      </c>
      <c r="P51" s="7">
        <v>0.9</v>
      </c>
      <c r="Q51" s="7">
        <v>80</v>
      </c>
      <c r="R51" s="65">
        <v>900</v>
      </c>
      <c r="S51" s="258" t="s">
        <v>1390</v>
      </c>
      <c r="T51" s="265"/>
      <c r="U51" s="259" t="s">
        <v>1375</v>
      </c>
      <c r="V51" s="63">
        <v>119000000</v>
      </c>
      <c r="W51" s="63"/>
      <c r="X51" s="156" t="s">
        <v>1315</v>
      </c>
      <c r="Y51" s="1" t="b">
        <v>1</v>
      </c>
    </row>
    <row r="52" spans="1:25">
      <c r="A52" s="203"/>
      <c r="B52" s="1" t="str">
        <f t="shared" si="0"/>
        <v>M_AEB0101_VM_BKT_122_4000</v>
      </c>
      <c r="C52" s="7" t="s">
        <v>2014</v>
      </c>
      <c r="D52" s="7" t="str" cm="1">
        <f t="array" ref="D52">INDEX(기계코드!$D$4:$D$1022,MATCH(1,(C52=기계코드!$F$4:$F$1022)*1,0))</f>
        <v>M_AEB0101</v>
      </c>
      <c r="E52" s="7" t="s">
        <v>1128</v>
      </c>
      <c r="F52" s="7" t="str" cm="1">
        <f t="array" ref="F52">INDEX(공급업체코드!$B$3:$B$1000,MATCH(1,(E52=공급업체코드!$D$3:$D$1000)*1,0))</f>
        <v>VM_BKT</v>
      </c>
      <c r="G52" s="43" t="s">
        <v>2036</v>
      </c>
      <c r="H52" s="63"/>
      <c r="I52" s="64">
        <v>122</v>
      </c>
      <c r="J52" s="64">
        <v>4000</v>
      </c>
      <c r="K52" s="64">
        <v>250</v>
      </c>
      <c r="L52" s="70">
        <v>112</v>
      </c>
      <c r="M52" s="7" t="s">
        <v>990</v>
      </c>
      <c r="N52" s="7">
        <v>380</v>
      </c>
      <c r="O52" s="151">
        <v>0.95799999999999996</v>
      </c>
      <c r="P52" s="7">
        <v>0.9</v>
      </c>
      <c r="Q52" s="7">
        <v>80</v>
      </c>
      <c r="R52" s="65">
        <v>900</v>
      </c>
      <c r="S52" s="258" t="s">
        <v>1390</v>
      </c>
      <c r="T52" s="265"/>
      <c r="U52" s="259" t="s">
        <v>1375</v>
      </c>
      <c r="V52" s="63">
        <v>119000000</v>
      </c>
      <c r="W52" s="63"/>
      <c r="X52" s="156" t="s">
        <v>1315</v>
      </c>
      <c r="Y52" s="1" t="b">
        <v>1</v>
      </c>
    </row>
    <row r="53" spans="1:25">
      <c r="A53" s="203"/>
      <c r="B53" s="1" t="str">
        <f t="shared" si="0"/>
        <v>M_AEB0101_VM_BKT_113_5000</v>
      </c>
      <c r="C53" s="7" t="s">
        <v>2014</v>
      </c>
      <c r="D53" s="7" t="str" cm="1">
        <f t="array" ref="D53">INDEX(기계코드!$D$4:$D$1022,MATCH(1,(C53=기계코드!$F$4:$F$1022)*1,0))</f>
        <v>M_AEB0101</v>
      </c>
      <c r="E53" s="7" t="s">
        <v>1128</v>
      </c>
      <c r="F53" s="7" t="str" cm="1">
        <f t="array" ref="F53">INDEX(공급업체코드!$B$3:$B$1000,MATCH(1,(E53=공급업체코드!$D$3:$D$1000)*1,0))</f>
        <v>VM_BKT</v>
      </c>
      <c r="G53" s="43" t="s">
        <v>2037</v>
      </c>
      <c r="H53" s="63"/>
      <c r="I53" s="64">
        <v>113</v>
      </c>
      <c r="J53" s="64">
        <v>5000</v>
      </c>
      <c r="K53" s="64">
        <v>250</v>
      </c>
      <c r="L53" s="70">
        <v>112</v>
      </c>
      <c r="M53" s="7" t="s">
        <v>990</v>
      </c>
      <c r="N53" s="7">
        <v>380</v>
      </c>
      <c r="O53" s="151">
        <v>0.95799999999999996</v>
      </c>
      <c r="P53" s="7">
        <v>0.9</v>
      </c>
      <c r="Q53" s="7">
        <v>80</v>
      </c>
      <c r="R53" s="65">
        <v>900</v>
      </c>
      <c r="S53" s="258" t="s">
        <v>1390</v>
      </c>
      <c r="T53" s="265"/>
      <c r="U53" s="259" t="s">
        <v>1375</v>
      </c>
      <c r="V53" s="63">
        <v>119000000</v>
      </c>
      <c r="W53" s="63"/>
      <c r="X53" s="156" t="s">
        <v>1315</v>
      </c>
      <c r="Y53" s="1" t="b">
        <v>1</v>
      </c>
    </row>
    <row r="54" spans="1:25">
      <c r="A54" s="203"/>
      <c r="B54" s="1" t="str">
        <f t="shared" si="0"/>
        <v>M_AEB0101_VM_BKT_104_6000</v>
      </c>
      <c r="C54" s="7" t="s">
        <v>2014</v>
      </c>
      <c r="D54" s="7" t="str" cm="1">
        <f t="array" ref="D54">INDEX(기계코드!$D$4:$D$1022,MATCH(1,(C54=기계코드!$F$4:$F$1022)*1,0))</f>
        <v>M_AEB0101</v>
      </c>
      <c r="E54" s="7" t="s">
        <v>1128</v>
      </c>
      <c r="F54" s="7" t="str" cm="1">
        <f t="array" ref="F54">INDEX(공급업체코드!$B$3:$B$1000,MATCH(1,(E54=공급업체코드!$D$3:$D$1000)*1,0))</f>
        <v>VM_BKT</v>
      </c>
      <c r="G54" s="43" t="s">
        <v>2037</v>
      </c>
      <c r="H54" s="63"/>
      <c r="I54" s="64">
        <v>104</v>
      </c>
      <c r="J54" s="64">
        <v>6000</v>
      </c>
      <c r="K54" s="64">
        <v>250</v>
      </c>
      <c r="L54" s="70">
        <v>112</v>
      </c>
      <c r="M54" s="7" t="s">
        <v>990</v>
      </c>
      <c r="N54" s="7">
        <v>380</v>
      </c>
      <c r="O54" s="151">
        <v>0.95799999999999996</v>
      </c>
      <c r="P54" s="7">
        <v>0.9</v>
      </c>
      <c r="Q54" s="7">
        <v>80</v>
      </c>
      <c r="R54" s="65">
        <v>900</v>
      </c>
      <c r="S54" s="258" t="s">
        <v>1390</v>
      </c>
      <c r="T54" s="265"/>
      <c r="U54" s="259" t="s">
        <v>1375</v>
      </c>
      <c r="V54" s="63">
        <v>119000000</v>
      </c>
      <c r="W54" s="63"/>
      <c r="X54" s="156" t="s">
        <v>1315</v>
      </c>
      <c r="Y54" s="1" t="b">
        <v>1</v>
      </c>
    </row>
    <row r="55" spans="1:25">
      <c r="A55" s="203"/>
      <c r="B55" s="1" t="str">
        <f t="shared" si="0"/>
        <v>M_AEB0101_VM_BKT_92_7000</v>
      </c>
      <c r="C55" s="7" t="s">
        <v>2014</v>
      </c>
      <c r="D55" s="7" t="str" cm="1">
        <f t="array" ref="D55">INDEX(기계코드!$D$4:$D$1022,MATCH(1,(C55=기계코드!$F$4:$F$1022)*1,0))</f>
        <v>M_AEB0101</v>
      </c>
      <c r="E55" s="7" t="s">
        <v>1128</v>
      </c>
      <c r="F55" s="7" t="str" cm="1">
        <f t="array" ref="F55">INDEX(공급업체코드!$B$3:$B$1000,MATCH(1,(E55=공급업체코드!$D$3:$D$1000)*1,0))</f>
        <v>VM_BKT</v>
      </c>
      <c r="G55" s="43" t="s">
        <v>2038</v>
      </c>
      <c r="H55" s="63"/>
      <c r="I55" s="64">
        <v>92</v>
      </c>
      <c r="J55" s="64">
        <v>7000</v>
      </c>
      <c r="K55" s="64">
        <v>250</v>
      </c>
      <c r="L55" s="70">
        <v>112</v>
      </c>
      <c r="M55" s="7" t="s">
        <v>990</v>
      </c>
      <c r="N55" s="7">
        <v>380</v>
      </c>
      <c r="O55" s="151">
        <v>0.95799999999999996</v>
      </c>
      <c r="P55" s="7">
        <v>0.9</v>
      </c>
      <c r="Q55" s="7">
        <v>80</v>
      </c>
      <c r="R55" s="65">
        <v>900</v>
      </c>
      <c r="S55" s="258" t="s">
        <v>1390</v>
      </c>
      <c r="T55" s="265"/>
      <c r="U55" s="259" t="s">
        <v>1375</v>
      </c>
      <c r="V55" s="63">
        <v>119000000</v>
      </c>
      <c r="W55" s="63"/>
      <c r="X55" s="156" t="s">
        <v>1315</v>
      </c>
      <c r="Y55" s="1" t="b">
        <v>1</v>
      </c>
    </row>
    <row r="56" spans="1:25">
      <c r="A56" s="203"/>
      <c r="B56" s="1" t="str">
        <f t="shared" si="0"/>
        <v>M_AEB0101_VM_BKT_82_8000</v>
      </c>
      <c r="C56" s="7" t="s">
        <v>2014</v>
      </c>
      <c r="D56" s="7" t="str" cm="1">
        <f t="array" ref="D56">INDEX(기계코드!$D$4:$D$1022,MATCH(1,(C56=기계코드!$F$4:$F$1022)*1,0))</f>
        <v>M_AEB0101</v>
      </c>
      <c r="E56" s="7" t="s">
        <v>1128</v>
      </c>
      <c r="F56" s="7" t="str" cm="1">
        <f t="array" ref="F56">INDEX(공급업체코드!$B$3:$B$1000,MATCH(1,(E56=공급업체코드!$D$3:$D$1000)*1,0))</f>
        <v>VM_BKT</v>
      </c>
      <c r="G56" s="43" t="s">
        <v>2039</v>
      </c>
      <c r="H56" s="63"/>
      <c r="I56" s="64">
        <v>82</v>
      </c>
      <c r="J56" s="64">
        <v>8000</v>
      </c>
      <c r="K56" s="64">
        <v>250</v>
      </c>
      <c r="L56" s="70">
        <v>112</v>
      </c>
      <c r="M56" s="7" t="s">
        <v>990</v>
      </c>
      <c r="N56" s="7">
        <v>380</v>
      </c>
      <c r="O56" s="151">
        <v>0.95799999999999996</v>
      </c>
      <c r="P56" s="7">
        <v>0.9</v>
      </c>
      <c r="Q56" s="7">
        <v>80</v>
      </c>
      <c r="R56" s="65">
        <v>900</v>
      </c>
      <c r="S56" s="258" t="s">
        <v>1390</v>
      </c>
      <c r="T56" s="265"/>
      <c r="U56" s="259" t="s">
        <v>1375</v>
      </c>
      <c r="V56" s="63">
        <v>119000000</v>
      </c>
      <c r="W56" s="63"/>
      <c r="X56" s="156" t="s">
        <v>1315</v>
      </c>
      <c r="Y56" s="1" t="b">
        <v>1</v>
      </c>
    </row>
    <row r="57" spans="1:25">
      <c r="A57" s="203"/>
      <c r="B57" s="1" t="str">
        <f t="shared" si="0"/>
        <v>M_AEB0101_VM_BKT_69_9000</v>
      </c>
      <c r="C57" s="7" t="s">
        <v>2014</v>
      </c>
      <c r="D57" s="7" t="str" cm="1">
        <f t="array" ref="D57">INDEX(기계코드!$D$4:$D$1022,MATCH(1,(C57=기계코드!$F$4:$F$1022)*1,0))</f>
        <v>M_AEB0101</v>
      </c>
      <c r="E57" s="7" t="s">
        <v>1128</v>
      </c>
      <c r="F57" s="7" t="str" cm="1">
        <f t="array" ref="F57">INDEX(공급업체코드!$B$3:$B$1000,MATCH(1,(E57=공급업체코드!$D$3:$D$1000)*1,0))</f>
        <v>VM_BKT</v>
      </c>
      <c r="G57" s="43" t="s">
        <v>2040</v>
      </c>
      <c r="H57" s="63"/>
      <c r="I57" s="64">
        <v>69</v>
      </c>
      <c r="J57" s="64">
        <v>9000</v>
      </c>
      <c r="K57" s="64">
        <v>250</v>
      </c>
      <c r="L57" s="70">
        <v>112</v>
      </c>
      <c r="M57" s="7" t="s">
        <v>990</v>
      </c>
      <c r="N57" s="7">
        <v>380</v>
      </c>
      <c r="O57" s="151">
        <v>0.95799999999999996</v>
      </c>
      <c r="P57" s="7">
        <v>0.9</v>
      </c>
      <c r="Q57" s="7">
        <v>80</v>
      </c>
      <c r="R57" s="65">
        <v>900</v>
      </c>
      <c r="S57" s="258" t="s">
        <v>1390</v>
      </c>
      <c r="T57" s="265"/>
      <c r="U57" s="259" t="s">
        <v>1375</v>
      </c>
      <c r="V57" s="63">
        <v>119000000</v>
      </c>
      <c r="W57" s="63"/>
      <c r="X57" s="156" t="s">
        <v>1315</v>
      </c>
      <c r="Y57" s="1" t="b">
        <v>1</v>
      </c>
    </row>
    <row r="58" spans="1:25">
      <c r="A58" s="203"/>
      <c r="B58" s="1" t="str">
        <f t="shared" si="0"/>
        <v>M_AEB0101_VM_BKT_62_10000</v>
      </c>
      <c r="C58" s="7" t="s">
        <v>2014</v>
      </c>
      <c r="D58" s="7" t="str" cm="1">
        <f t="array" ref="D58">INDEX(기계코드!$D$4:$D$1022,MATCH(1,(C58=기계코드!$F$4:$F$1022)*1,0))</f>
        <v>M_AEB0101</v>
      </c>
      <c r="E58" s="7" t="s">
        <v>1128</v>
      </c>
      <c r="F58" s="7" t="str" cm="1">
        <f t="array" ref="F58">INDEX(공급업체코드!$B$3:$B$1000,MATCH(1,(E58=공급업체코드!$D$3:$D$1000)*1,0))</f>
        <v>VM_BKT</v>
      </c>
      <c r="G58" s="43" t="s">
        <v>2040</v>
      </c>
      <c r="H58" s="63"/>
      <c r="I58" s="64">
        <v>62</v>
      </c>
      <c r="J58" s="64">
        <v>10000</v>
      </c>
      <c r="K58" s="64">
        <v>250</v>
      </c>
      <c r="L58" s="70">
        <v>112</v>
      </c>
      <c r="M58" s="7" t="s">
        <v>990</v>
      </c>
      <c r="N58" s="7">
        <v>380</v>
      </c>
      <c r="O58" s="151">
        <v>0.95799999999999996</v>
      </c>
      <c r="P58" s="7">
        <v>0.9</v>
      </c>
      <c r="Q58" s="7">
        <v>80</v>
      </c>
      <c r="R58" s="65">
        <v>900</v>
      </c>
      <c r="S58" s="258" t="s">
        <v>1390</v>
      </c>
      <c r="T58" s="265"/>
      <c r="U58" s="259" t="s">
        <v>1375</v>
      </c>
      <c r="V58" s="63">
        <v>119000000</v>
      </c>
      <c r="W58" s="63"/>
      <c r="X58" s="156" t="s">
        <v>1315</v>
      </c>
      <c r="Y58" s="1" t="b">
        <v>1</v>
      </c>
    </row>
    <row r="59" spans="1:25">
      <c r="A59" s="203"/>
      <c r="B59" s="1" t="str">
        <f t="shared" si="0"/>
        <v>M_AEB0101_VM_BKT_57_11000</v>
      </c>
      <c r="C59" s="7" t="s">
        <v>2014</v>
      </c>
      <c r="D59" s="7" t="str" cm="1">
        <f t="array" ref="D59">INDEX(기계코드!$D$4:$D$1022,MATCH(1,(C59=기계코드!$F$4:$F$1022)*1,0))</f>
        <v>M_AEB0101</v>
      </c>
      <c r="E59" s="7" t="s">
        <v>1128</v>
      </c>
      <c r="F59" s="7" t="str" cm="1">
        <f t="array" ref="F59">INDEX(공급업체코드!$B$3:$B$1000,MATCH(1,(E59=공급업체코드!$D$3:$D$1000)*1,0))</f>
        <v>VM_BKT</v>
      </c>
      <c r="G59" s="43" t="s">
        <v>2041</v>
      </c>
      <c r="H59" s="63"/>
      <c r="I59" s="64">
        <v>57</v>
      </c>
      <c r="J59" s="64">
        <v>11000</v>
      </c>
      <c r="K59" s="64">
        <v>200</v>
      </c>
      <c r="L59" s="70">
        <v>112</v>
      </c>
      <c r="M59" s="7" t="s">
        <v>990</v>
      </c>
      <c r="N59" s="7">
        <v>380</v>
      </c>
      <c r="O59" s="151">
        <v>0.95799999999999996</v>
      </c>
      <c r="P59" s="7">
        <v>0.9</v>
      </c>
      <c r="Q59" s="7">
        <v>80</v>
      </c>
      <c r="R59" s="65">
        <v>900</v>
      </c>
      <c r="S59" s="258" t="s">
        <v>1390</v>
      </c>
      <c r="T59" s="265"/>
      <c r="U59" s="259" t="s">
        <v>1375</v>
      </c>
      <c r="V59" s="63">
        <v>119000000</v>
      </c>
      <c r="W59" s="63"/>
      <c r="X59" s="156" t="s">
        <v>1315</v>
      </c>
      <c r="Y59" s="1" t="b">
        <v>1</v>
      </c>
    </row>
    <row r="60" spans="1:25">
      <c r="A60" s="203"/>
      <c r="B60" s="1" t="str">
        <f t="shared" si="0"/>
        <v>M_AEB0101_VM_BKT_56_12000</v>
      </c>
      <c r="C60" s="7" t="s">
        <v>2014</v>
      </c>
      <c r="D60" s="7" t="str" cm="1">
        <f t="array" ref="D60">INDEX(기계코드!$D$4:$D$1022,MATCH(1,(C60=기계코드!$F$4:$F$1022)*1,0))</f>
        <v>M_AEB0101</v>
      </c>
      <c r="E60" s="7" t="s">
        <v>1128</v>
      </c>
      <c r="F60" s="7" t="str" cm="1">
        <f t="array" ref="F60">INDEX(공급업체코드!$B$3:$B$1000,MATCH(1,(E60=공급업체코드!$D$3:$D$1000)*1,0))</f>
        <v>VM_BKT</v>
      </c>
      <c r="G60" s="43" t="s">
        <v>2041</v>
      </c>
      <c r="H60" s="63"/>
      <c r="I60" s="64">
        <v>56</v>
      </c>
      <c r="J60" s="64">
        <v>12000</v>
      </c>
      <c r="K60" s="64">
        <v>200</v>
      </c>
      <c r="L60" s="70">
        <v>112</v>
      </c>
      <c r="M60" s="7" t="s">
        <v>990</v>
      </c>
      <c r="N60" s="7">
        <v>380</v>
      </c>
      <c r="O60" s="151">
        <v>0.95799999999999996</v>
      </c>
      <c r="P60" s="7">
        <v>0.9</v>
      </c>
      <c r="Q60" s="7">
        <v>80</v>
      </c>
      <c r="R60" s="65">
        <v>900</v>
      </c>
      <c r="S60" s="258" t="s">
        <v>1390</v>
      </c>
      <c r="T60" s="265"/>
      <c r="U60" s="259" t="s">
        <v>1375</v>
      </c>
      <c r="V60" s="63">
        <v>119000000</v>
      </c>
      <c r="W60" s="63"/>
      <c r="X60" s="156" t="s">
        <v>1315</v>
      </c>
      <c r="Y60" s="1" t="b">
        <v>1</v>
      </c>
    </row>
    <row r="61" spans="1:25">
      <c r="A61" s="203"/>
      <c r="B61" s="1" t="str">
        <f t="shared" si="0"/>
        <v>M_AEB0101_VM_BKT_174_3000</v>
      </c>
      <c r="C61" s="7" t="s">
        <v>2014</v>
      </c>
      <c r="D61" s="7" t="str" cm="1">
        <f t="array" ref="D61">INDEX(기계코드!$D$4:$D$1022,MATCH(1,(C61=기계코드!$F$4:$F$1022)*1,0))</f>
        <v>M_AEB0101</v>
      </c>
      <c r="E61" s="7" t="s">
        <v>1128</v>
      </c>
      <c r="F61" s="7" t="str" cm="1">
        <f t="array" ref="F61">INDEX(공급업체코드!$B$3:$B$1000,MATCH(1,(E61=공급업체코드!$D$3:$D$1000)*1,0))</f>
        <v>VM_BKT</v>
      </c>
      <c r="G61" s="43" t="s">
        <v>2042</v>
      </c>
      <c r="H61" s="63"/>
      <c r="I61" s="64">
        <v>174</v>
      </c>
      <c r="J61" s="64">
        <v>3000</v>
      </c>
      <c r="K61" s="64">
        <v>250</v>
      </c>
      <c r="L61" s="70">
        <v>149</v>
      </c>
      <c r="M61" s="7" t="s">
        <v>990</v>
      </c>
      <c r="N61" s="7">
        <v>380</v>
      </c>
      <c r="O61" s="151">
        <v>0.96200000000000008</v>
      </c>
      <c r="P61" s="7">
        <v>0.9</v>
      </c>
      <c r="Q61" s="7">
        <v>80</v>
      </c>
      <c r="R61" s="65">
        <v>1400</v>
      </c>
      <c r="S61" s="258" t="s">
        <v>1390</v>
      </c>
      <c r="T61" s="265"/>
      <c r="U61" s="259" t="s">
        <v>1375</v>
      </c>
      <c r="V61" s="63">
        <v>157000000</v>
      </c>
      <c r="W61" s="63"/>
      <c r="X61" s="156" t="s">
        <v>1315</v>
      </c>
      <c r="Y61" s="1" t="b">
        <v>1</v>
      </c>
    </row>
    <row r="62" spans="1:25">
      <c r="A62" s="203"/>
      <c r="B62" s="1" t="str">
        <f t="shared" si="0"/>
        <v>M_AEB0101_VM_BKT_164_4000</v>
      </c>
      <c r="C62" s="7" t="s">
        <v>2014</v>
      </c>
      <c r="D62" s="7" t="str" cm="1">
        <f t="array" ref="D62">INDEX(기계코드!$D$4:$D$1022,MATCH(1,(C62=기계코드!$F$4:$F$1022)*1,0))</f>
        <v>M_AEB0101</v>
      </c>
      <c r="E62" s="7" t="s">
        <v>1128</v>
      </c>
      <c r="F62" s="7" t="str" cm="1">
        <f t="array" ref="F62">INDEX(공급업체코드!$B$3:$B$1000,MATCH(1,(E62=공급업체코드!$D$3:$D$1000)*1,0))</f>
        <v>VM_BKT</v>
      </c>
      <c r="G62" s="43" t="s">
        <v>2042</v>
      </c>
      <c r="H62" s="63"/>
      <c r="I62" s="64">
        <v>164</v>
      </c>
      <c r="J62" s="64">
        <v>4000</v>
      </c>
      <c r="K62" s="64">
        <v>250</v>
      </c>
      <c r="L62" s="70">
        <v>149</v>
      </c>
      <c r="M62" s="7" t="s">
        <v>990</v>
      </c>
      <c r="N62" s="7">
        <v>380</v>
      </c>
      <c r="O62" s="151">
        <v>0.96200000000000008</v>
      </c>
      <c r="P62" s="7">
        <v>0.9</v>
      </c>
      <c r="Q62" s="7">
        <v>80</v>
      </c>
      <c r="R62" s="65">
        <v>1400</v>
      </c>
      <c r="S62" s="258" t="s">
        <v>1390</v>
      </c>
      <c r="T62" s="265"/>
      <c r="U62" s="259" t="s">
        <v>1375</v>
      </c>
      <c r="V62" s="63">
        <v>157000000</v>
      </c>
      <c r="W62" s="63"/>
      <c r="X62" s="156" t="s">
        <v>1315</v>
      </c>
      <c r="Y62" s="1" t="b">
        <v>1</v>
      </c>
    </row>
    <row r="63" spans="1:25">
      <c r="A63" s="203"/>
      <c r="B63" s="1" t="str">
        <f t="shared" si="0"/>
        <v>M_AEB0101_VM_BKT_148_5000</v>
      </c>
      <c r="C63" s="7" t="s">
        <v>2014</v>
      </c>
      <c r="D63" s="7" t="str" cm="1">
        <f t="array" ref="D63">INDEX(기계코드!$D$4:$D$1022,MATCH(1,(C63=기계코드!$F$4:$F$1022)*1,0))</f>
        <v>M_AEB0101</v>
      </c>
      <c r="E63" s="7" t="s">
        <v>1128</v>
      </c>
      <c r="F63" s="7" t="str" cm="1">
        <f t="array" ref="F63">INDEX(공급업체코드!$B$3:$B$1000,MATCH(1,(E63=공급업체코드!$D$3:$D$1000)*1,0))</f>
        <v>VM_BKT</v>
      </c>
      <c r="G63" s="43" t="s">
        <v>2043</v>
      </c>
      <c r="H63" s="63"/>
      <c r="I63" s="64">
        <v>148</v>
      </c>
      <c r="J63" s="64">
        <v>5000</v>
      </c>
      <c r="K63" s="64">
        <v>250</v>
      </c>
      <c r="L63" s="70">
        <v>149</v>
      </c>
      <c r="M63" s="7" t="s">
        <v>990</v>
      </c>
      <c r="N63" s="7">
        <v>380</v>
      </c>
      <c r="O63" s="151">
        <v>0.96200000000000008</v>
      </c>
      <c r="P63" s="7">
        <v>0.9</v>
      </c>
      <c r="Q63" s="7">
        <v>80</v>
      </c>
      <c r="R63" s="65">
        <v>970</v>
      </c>
      <c r="S63" s="258" t="s">
        <v>1390</v>
      </c>
      <c r="T63" s="265"/>
      <c r="U63" s="259" t="s">
        <v>1375</v>
      </c>
      <c r="V63" s="63">
        <v>157000000</v>
      </c>
      <c r="W63" s="63"/>
      <c r="X63" s="156" t="s">
        <v>1315</v>
      </c>
      <c r="Y63" s="1" t="b">
        <v>1</v>
      </c>
    </row>
    <row r="64" spans="1:25">
      <c r="A64" s="203"/>
      <c r="B64" s="1" t="str">
        <f t="shared" si="0"/>
        <v>M_AEB0101_VM_BKT_132_6000</v>
      </c>
      <c r="C64" s="7" t="s">
        <v>2014</v>
      </c>
      <c r="D64" s="7" t="str" cm="1">
        <f t="array" ref="D64">INDEX(기계코드!$D$4:$D$1022,MATCH(1,(C64=기계코드!$F$4:$F$1022)*1,0))</f>
        <v>M_AEB0101</v>
      </c>
      <c r="E64" s="7" t="s">
        <v>1128</v>
      </c>
      <c r="F64" s="7" t="str" cm="1">
        <f t="array" ref="F64">INDEX(공급업체코드!$B$3:$B$1000,MATCH(1,(E64=공급업체코드!$D$3:$D$1000)*1,0))</f>
        <v>VM_BKT</v>
      </c>
      <c r="G64" s="43" t="s">
        <v>2043</v>
      </c>
      <c r="H64" s="63"/>
      <c r="I64" s="64">
        <v>132</v>
      </c>
      <c r="J64" s="64">
        <v>6000</v>
      </c>
      <c r="K64" s="64">
        <v>250</v>
      </c>
      <c r="L64" s="70">
        <v>149</v>
      </c>
      <c r="M64" s="7" t="s">
        <v>990</v>
      </c>
      <c r="N64" s="7">
        <v>380</v>
      </c>
      <c r="O64" s="151">
        <v>0.96200000000000008</v>
      </c>
      <c r="P64" s="7">
        <v>0.9</v>
      </c>
      <c r="Q64" s="7">
        <v>80</v>
      </c>
      <c r="R64" s="65">
        <v>970</v>
      </c>
      <c r="S64" s="258" t="s">
        <v>1390</v>
      </c>
      <c r="T64" s="265"/>
      <c r="U64" s="259" t="s">
        <v>1375</v>
      </c>
      <c r="V64" s="63">
        <v>157000000</v>
      </c>
      <c r="W64" s="63"/>
      <c r="X64" s="156" t="s">
        <v>1315</v>
      </c>
      <c r="Y64" s="1" t="b">
        <v>1</v>
      </c>
    </row>
    <row r="65" spans="1:25">
      <c r="A65" s="203"/>
      <c r="B65" s="1" t="str">
        <f t="shared" si="0"/>
        <v>M_AEB0101_VM_BKT_116_7000</v>
      </c>
      <c r="C65" s="7" t="s">
        <v>2014</v>
      </c>
      <c r="D65" s="7" t="str" cm="1">
        <f t="array" ref="D65">INDEX(기계코드!$D$4:$D$1022,MATCH(1,(C65=기계코드!$F$4:$F$1022)*1,0))</f>
        <v>M_AEB0101</v>
      </c>
      <c r="E65" s="7" t="s">
        <v>1128</v>
      </c>
      <c r="F65" s="7" t="str" cm="1">
        <f t="array" ref="F65">INDEX(공급업체코드!$B$3:$B$1000,MATCH(1,(E65=공급업체코드!$D$3:$D$1000)*1,0))</f>
        <v>VM_BKT</v>
      </c>
      <c r="G65" s="43" t="s">
        <v>2044</v>
      </c>
      <c r="H65" s="63"/>
      <c r="I65" s="64">
        <v>116</v>
      </c>
      <c r="J65" s="64">
        <v>7000</v>
      </c>
      <c r="K65" s="64">
        <v>250</v>
      </c>
      <c r="L65" s="70">
        <v>149</v>
      </c>
      <c r="M65" s="7" t="s">
        <v>990</v>
      </c>
      <c r="N65" s="7">
        <v>380</v>
      </c>
      <c r="O65" s="151">
        <v>0.96200000000000008</v>
      </c>
      <c r="P65" s="7">
        <v>0.9</v>
      </c>
      <c r="Q65" s="7">
        <v>80</v>
      </c>
      <c r="R65" s="65">
        <v>970</v>
      </c>
      <c r="S65" s="258" t="s">
        <v>1390</v>
      </c>
      <c r="T65" s="265"/>
      <c r="U65" s="259" t="s">
        <v>1375</v>
      </c>
      <c r="V65" s="63">
        <v>157000000</v>
      </c>
      <c r="W65" s="63"/>
      <c r="X65" s="156" t="s">
        <v>1315</v>
      </c>
      <c r="Y65" s="1" t="b">
        <v>1</v>
      </c>
    </row>
    <row r="66" spans="1:25">
      <c r="A66" s="203"/>
      <c r="B66" s="1" t="str">
        <f t="shared" si="0"/>
        <v>M_AEB0101_VM_BKT_108_8000</v>
      </c>
      <c r="C66" s="7" t="s">
        <v>2014</v>
      </c>
      <c r="D66" s="7" t="str" cm="1">
        <f t="array" ref="D66">INDEX(기계코드!$D$4:$D$1022,MATCH(1,(C66=기계코드!$F$4:$F$1022)*1,0))</f>
        <v>M_AEB0101</v>
      </c>
      <c r="E66" s="7" t="s">
        <v>1128</v>
      </c>
      <c r="F66" s="7" t="str" cm="1">
        <f t="array" ref="F66">INDEX(공급업체코드!$B$3:$B$1000,MATCH(1,(E66=공급업체코드!$D$3:$D$1000)*1,0))</f>
        <v>VM_BKT</v>
      </c>
      <c r="G66" s="43" t="s">
        <v>2045</v>
      </c>
      <c r="H66" s="63"/>
      <c r="I66" s="64">
        <v>108</v>
      </c>
      <c r="J66" s="64">
        <v>8000</v>
      </c>
      <c r="K66" s="64">
        <v>250</v>
      </c>
      <c r="L66" s="70">
        <v>149</v>
      </c>
      <c r="M66" s="7" t="s">
        <v>990</v>
      </c>
      <c r="N66" s="7">
        <v>380</v>
      </c>
      <c r="O66" s="151">
        <v>0.96200000000000008</v>
      </c>
      <c r="P66" s="7">
        <v>0.9</v>
      </c>
      <c r="Q66" s="7">
        <v>80</v>
      </c>
      <c r="R66" s="65">
        <v>970</v>
      </c>
      <c r="S66" s="258" t="s">
        <v>1390</v>
      </c>
      <c r="T66" s="265"/>
      <c r="U66" s="259" t="s">
        <v>1375</v>
      </c>
      <c r="V66" s="63">
        <v>157000000</v>
      </c>
      <c r="W66" s="63"/>
      <c r="X66" s="156" t="s">
        <v>1315</v>
      </c>
      <c r="Y66" s="1" t="b">
        <v>1</v>
      </c>
    </row>
    <row r="67" spans="1:25">
      <c r="A67" s="203"/>
      <c r="B67" s="1" t="str">
        <f t="shared" si="0"/>
        <v>M_AEB0101_VM_BKT_92_9000</v>
      </c>
      <c r="C67" s="7" t="s">
        <v>2014</v>
      </c>
      <c r="D67" s="7" t="str" cm="1">
        <f t="array" ref="D67">INDEX(기계코드!$D$4:$D$1022,MATCH(1,(C67=기계코드!$F$4:$F$1022)*1,0))</f>
        <v>M_AEB0101</v>
      </c>
      <c r="E67" s="7" t="s">
        <v>1128</v>
      </c>
      <c r="F67" s="7" t="str" cm="1">
        <f t="array" ref="F67">INDEX(공급업체코드!$B$3:$B$1000,MATCH(1,(E67=공급업체코드!$D$3:$D$1000)*1,0))</f>
        <v>VM_BKT</v>
      </c>
      <c r="G67" s="43" t="s">
        <v>2046</v>
      </c>
      <c r="H67" s="63"/>
      <c r="I67" s="64">
        <v>92</v>
      </c>
      <c r="J67" s="64">
        <v>9000</v>
      </c>
      <c r="K67" s="64">
        <v>250</v>
      </c>
      <c r="L67" s="70">
        <v>149</v>
      </c>
      <c r="M67" s="7" t="s">
        <v>990</v>
      </c>
      <c r="N67" s="7">
        <v>380</v>
      </c>
      <c r="O67" s="151">
        <v>0.96200000000000008</v>
      </c>
      <c r="P67" s="7">
        <v>0.9</v>
      </c>
      <c r="Q67" s="7">
        <v>80</v>
      </c>
      <c r="R67" s="65">
        <v>970</v>
      </c>
      <c r="S67" s="258" t="s">
        <v>1390</v>
      </c>
      <c r="T67" s="265"/>
      <c r="U67" s="259" t="s">
        <v>1375</v>
      </c>
      <c r="V67" s="63">
        <v>157000000</v>
      </c>
      <c r="W67" s="63"/>
      <c r="X67" s="156" t="s">
        <v>1315</v>
      </c>
      <c r="Y67" s="1" t="b">
        <v>1</v>
      </c>
    </row>
    <row r="68" spans="1:25">
      <c r="A68" s="203"/>
      <c r="B68" s="1" t="str">
        <f t="shared" ref="B68:B131" si="1">D68&amp;"_"&amp;F68&amp;"_"&amp;I68&amp;"_"&amp;J68</f>
        <v>M_AEB0101_VM_BKT_86_10000</v>
      </c>
      <c r="C68" s="7" t="s">
        <v>2014</v>
      </c>
      <c r="D68" s="7" t="str" cm="1">
        <f t="array" ref="D68">INDEX(기계코드!$D$4:$D$1022,MATCH(1,(C68=기계코드!$F$4:$F$1022)*1,0))</f>
        <v>M_AEB0101</v>
      </c>
      <c r="E68" s="7" t="s">
        <v>1128</v>
      </c>
      <c r="F68" s="7" t="str" cm="1">
        <f t="array" ref="F68">INDEX(공급업체코드!$B$3:$B$1000,MATCH(1,(E68=공급업체코드!$D$3:$D$1000)*1,0))</f>
        <v>VM_BKT</v>
      </c>
      <c r="G68" s="43" t="s">
        <v>2046</v>
      </c>
      <c r="H68" s="63"/>
      <c r="I68" s="64">
        <v>86</v>
      </c>
      <c r="J68" s="64">
        <v>10000</v>
      </c>
      <c r="K68" s="64">
        <v>250</v>
      </c>
      <c r="L68" s="70">
        <v>149</v>
      </c>
      <c r="M68" s="7" t="s">
        <v>990</v>
      </c>
      <c r="N68" s="7">
        <v>380</v>
      </c>
      <c r="O68" s="151">
        <v>0.96200000000000008</v>
      </c>
      <c r="P68" s="7">
        <v>0.9</v>
      </c>
      <c r="Q68" s="7">
        <v>80</v>
      </c>
      <c r="R68" s="65">
        <v>970</v>
      </c>
      <c r="S68" s="258" t="s">
        <v>1390</v>
      </c>
      <c r="T68" s="265"/>
      <c r="U68" s="259" t="s">
        <v>1375</v>
      </c>
      <c r="V68" s="63">
        <v>157000000</v>
      </c>
      <c r="W68" s="63"/>
      <c r="X68" s="156" t="s">
        <v>1315</v>
      </c>
      <c r="Y68" s="1" t="b">
        <v>1</v>
      </c>
    </row>
    <row r="69" spans="1:25">
      <c r="A69" s="203"/>
      <c r="B69" s="1" t="str">
        <f t="shared" si="1"/>
        <v>M_AEB0101_VM_BKT_76_11000</v>
      </c>
      <c r="C69" s="7" t="s">
        <v>2014</v>
      </c>
      <c r="D69" s="7" t="str" cm="1">
        <f t="array" ref="D69">INDEX(기계코드!$D$4:$D$1022,MATCH(1,(C69=기계코드!$F$4:$F$1022)*1,0))</f>
        <v>M_AEB0101</v>
      </c>
      <c r="E69" s="7" t="s">
        <v>1128</v>
      </c>
      <c r="F69" s="7" t="str" cm="1">
        <f t="array" ref="F69">INDEX(공급업체코드!$B$3:$B$1000,MATCH(1,(E69=공급업체코드!$D$3:$D$1000)*1,0))</f>
        <v>VM_BKT</v>
      </c>
      <c r="G69" s="43" t="s">
        <v>2047</v>
      </c>
      <c r="H69" s="63"/>
      <c r="I69" s="64">
        <v>76</v>
      </c>
      <c r="J69" s="64">
        <v>11000</v>
      </c>
      <c r="K69" s="64">
        <v>200</v>
      </c>
      <c r="L69" s="70">
        <v>149</v>
      </c>
      <c r="M69" s="7" t="s">
        <v>990</v>
      </c>
      <c r="N69" s="7">
        <v>380</v>
      </c>
      <c r="O69" s="151">
        <v>0.96200000000000008</v>
      </c>
      <c r="P69" s="7">
        <v>0.9</v>
      </c>
      <c r="Q69" s="7">
        <v>80</v>
      </c>
      <c r="R69" s="65">
        <v>1250</v>
      </c>
      <c r="S69" s="258" t="s">
        <v>1390</v>
      </c>
      <c r="T69" s="265"/>
      <c r="U69" s="259" t="s">
        <v>1375</v>
      </c>
      <c r="V69" s="63">
        <v>157000000</v>
      </c>
      <c r="W69" s="63"/>
      <c r="X69" s="156" t="s">
        <v>1315</v>
      </c>
      <c r="Y69" s="1" t="b">
        <v>1</v>
      </c>
    </row>
    <row r="70" spans="1:25">
      <c r="A70" s="203"/>
      <c r="B70" s="1" t="str">
        <f t="shared" si="1"/>
        <v>M_AEB0101_VM_BKT_75_12000</v>
      </c>
      <c r="C70" s="7" t="s">
        <v>2014</v>
      </c>
      <c r="D70" s="7" t="str" cm="1">
        <f t="array" ref="D70">INDEX(기계코드!$D$4:$D$1022,MATCH(1,(C70=기계코드!$F$4:$F$1022)*1,0))</f>
        <v>M_AEB0101</v>
      </c>
      <c r="E70" s="7" t="s">
        <v>1128</v>
      </c>
      <c r="F70" s="7" t="str" cm="1">
        <f t="array" ref="F70">INDEX(공급업체코드!$B$3:$B$1000,MATCH(1,(E70=공급업체코드!$D$3:$D$1000)*1,0))</f>
        <v>VM_BKT</v>
      </c>
      <c r="G70" s="43" t="s">
        <v>2047</v>
      </c>
      <c r="H70" s="63"/>
      <c r="I70" s="64">
        <v>75</v>
      </c>
      <c r="J70" s="64">
        <v>12000</v>
      </c>
      <c r="K70" s="64">
        <v>200</v>
      </c>
      <c r="L70" s="70">
        <v>149</v>
      </c>
      <c r="M70" s="7" t="s">
        <v>990</v>
      </c>
      <c r="N70" s="7">
        <v>380</v>
      </c>
      <c r="O70" s="151">
        <v>0.96200000000000008</v>
      </c>
      <c r="P70" s="7">
        <v>0.9</v>
      </c>
      <c r="Q70" s="7">
        <v>80</v>
      </c>
      <c r="R70" s="65">
        <v>1250</v>
      </c>
      <c r="S70" s="258" t="s">
        <v>1390</v>
      </c>
      <c r="U70" s="259" t="s">
        <v>1375</v>
      </c>
      <c r="V70" s="63">
        <v>157000000</v>
      </c>
      <c r="W70" s="63"/>
      <c r="X70" s="156" t="s">
        <v>1315</v>
      </c>
      <c r="Y70" s="1" t="b">
        <v>1</v>
      </c>
    </row>
    <row r="71" spans="1:25">
      <c r="A71" s="203"/>
      <c r="B71" s="1" t="str">
        <f t="shared" si="1"/>
        <v>M_AEB0101_VM_BKT_70_13000</v>
      </c>
      <c r="C71" s="7" t="s">
        <v>2014</v>
      </c>
      <c r="D71" s="7" t="str" cm="1">
        <f t="array" ref="D71">INDEX(기계코드!$D$4:$D$1022,MATCH(1,(C71=기계코드!$F$4:$F$1022)*1,0))</f>
        <v>M_AEB0101</v>
      </c>
      <c r="E71" s="7" t="s">
        <v>1128</v>
      </c>
      <c r="F71" s="7" t="str" cm="1">
        <f t="array" ref="F71">INDEX(공급업체코드!$B$3:$B$1000,MATCH(1,(E71=공급업체코드!$D$3:$D$1000)*1,0))</f>
        <v>VM_BKT</v>
      </c>
      <c r="G71" s="43" t="s">
        <v>2047</v>
      </c>
      <c r="H71" s="63"/>
      <c r="I71" s="64">
        <v>70</v>
      </c>
      <c r="J71" s="64">
        <v>13000</v>
      </c>
      <c r="K71" s="64">
        <v>200</v>
      </c>
      <c r="L71" s="70">
        <v>149</v>
      </c>
      <c r="M71" s="7" t="s">
        <v>990</v>
      </c>
      <c r="N71" s="7">
        <v>380</v>
      </c>
      <c r="O71" s="151">
        <v>0.96200000000000008</v>
      </c>
      <c r="P71" s="7">
        <v>0.9</v>
      </c>
      <c r="Q71" s="7">
        <v>80</v>
      </c>
      <c r="R71" s="65">
        <v>1250</v>
      </c>
      <c r="S71" s="258" t="s">
        <v>1390</v>
      </c>
      <c r="U71" s="259" t="s">
        <v>1375</v>
      </c>
      <c r="V71" s="63">
        <v>157000000</v>
      </c>
      <c r="W71" s="63"/>
      <c r="X71" s="156" t="s">
        <v>1315</v>
      </c>
      <c r="Y71" s="1" t="b">
        <v>1</v>
      </c>
    </row>
    <row r="72" spans="1:25">
      <c r="A72" s="203"/>
      <c r="B72" s="1" t="str">
        <f t="shared" si="1"/>
        <v>M_AEB0101_VM_BKT_64_15000</v>
      </c>
      <c r="C72" s="7" t="s">
        <v>2014</v>
      </c>
      <c r="D72" s="7" t="str" cm="1">
        <f t="array" ref="D72">INDEX(기계코드!$D$4:$D$1022,MATCH(1,(C72=기계코드!$F$4:$F$1022)*1,0))</f>
        <v>M_AEB0101</v>
      </c>
      <c r="E72" s="7" t="s">
        <v>1128</v>
      </c>
      <c r="F72" s="7" t="str" cm="1">
        <f t="array" ref="F72">INDEX(공급업체코드!$B$3:$B$1000,MATCH(1,(E72=공급업체코드!$D$3:$D$1000)*1,0))</f>
        <v>VM_BKT</v>
      </c>
      <c r="G72" s="43" t="s">
        <v>2047</v>
      </c>
      <c r="H72" s="63"/>
      <c r="I72" s="64">
        <v>64</v>
      </c>
      <c r="J72" s="64">
        <v>15000</v>
      </c>
      <c r="K72" s="64">
        <v>200</v>
      </c>
      <c r="L72" s="70">
        <v>149</v>
      </c>
      <c r="M72" s="7" t="s">
        <v>990</v>
      </c>
      <c r="N72" s="7">
        <v>380</v>
      </c>
      <c r="O72" s="151">
        <v>0.96200000000000008</v>
      </c>
      <c r="P72" s="7">
        <v>0.9</v>
      </c>
      <c r="Q72" s="7">
        <v>80</v>
      </c>
      <c r="R72" s="65">
        <v>1250</v>
      </c>
      <c r="S72" s="258" t="s">
        <v>1390</v>
      </c>
      <c r="U72" s="259" t="s">
        <v>1375</v>
      </c>
      <c r="V72" s="63">
        <v>157000000</v>
      </c>
      <c r="W72" s="63"/>
      <c r="X72" s="156" t="s">
        <v>1315</v>
      </c>
      <c r="Y72" s="1" t="b">
        <v>1</v>
      </c>
    </row>
    <row r="73" spans="1:25">
      <c r="A73" s="203"/>
      <c r="B73" s="1" t="str">
        <f t="shared" si="1"/>
        <v>M_AEB0101_VM_BKT_243_3000</v>
      </c>
      <c r="C73" s="7" t="s">
        <v>2014</v>
      </c>
      <c r="D73" s="7" t="str" cm="1">
        <f t="array" ref="D73">INDEX(기계코드!$D$4:$D$1022,MATCH(1,(C73=기계코드!$F$4:$F$1022)*1,0))</f>
        <v>M_AEB0101</v>
      </c>
      <c r="E73" s="7" t="s">
        <v>1128</v>
      </c>
      <c r="F73" s="7" t="str" cm="1">
        <f t="array" ref="F73">INDEX(공급업체코드!$B$3:$B$1000,MATCH(1,(E73=공급업체코드!$D$3:$D$1000)*1,0))</f>
        <v>VM_BKT</v>
      </c>
      <c r="G73" s="43" t="s">
        <v>2048</v>
      </c>
      <c r="H73" s="63"/>
      <c r="I73" s="64">
        <v>243</v>
      </c>
      <c r="J73" s="64">
        <v>3000</v>
      </c>
      <c r="K73" s="64">
        <v>250</v>
      </c>
      <c r="L73" s="70">
        <v>187</v>
      </c>
      <c r="M73" s="7" t="s">
        <v>990</v>
      </c>
      <c r="N73" s="7">
        <v>380</v>
      </c>
      <c r="O73" s="151">
        <v>0.96200000000000008</v>
      </c>
      <c r="P73" s="7">
        <v>0.9</v>
      </c>
      <c r="Q73" s="7">
        <v>80</v>
      </c>
      <c r="R73" s="65">
        <v>1300</v>
      </c>
      <c r="S73" s="258" t="s">
        <v>1390</v>
      </c>
      <c r="U73" s="259" t="s">
        <v>1375</v>
      </c>
      <c r="V73" s="63">
        <v>174000000</v>
      </c>
      <c r="W73" s="63"/>
      <c r="X73" s="156" t="s">
        <v>1315</v>
      </c>
      <c r="Y73" s="1" t="b">
        <v>1</v>
      </c>
    </row>
    <row r="74" spans="1:25">
      <c r="A74" s="203"/>
      <c r="B74" s="1" t="str">
        <f t="shared" si="1"/>
        <v>M_AEB0101_VM_BKT_217_4000</v>
      </c>
      <c r="C74" s="7" t="s">
        <v>2014</v>
      </c>
      <c r="D74" s="7" t="str" cm="1">
        <f t="array" ref="D74">INDEX(기계코드!$D$4:$D$1022,MATCH(1,(C74=기계코드!$F$4:$F$1022)*1,0))</f>
        <v>M_AEB0101</v>
      </c>
      <c r="E74" s="7" t="s">
        <v>1128</v>
      </c>
      <c r="F74" s="7" t="str" cm="1">
        <f t="array" ref="F74">INDEX(공급업체코드!$B$3:$B$1000,MATCH(1,(E74=공급업체코드!$D$3:$D$1000)*1,0))</f>
        <v>VM_BKT</v>
      </c>
      <c r="G74" s="43" t="s">
        <v>2048</v>
      </c>
      <c r="H74" s="63"/>
      <c r="I74" s="64">
        <v>217</v>
      </c>
      <c r="J74" s="64">
        <v>4000</v>
      </c>
      <c r="K74" s="64">
        <v>250</v>
      </c>
      <c r="L74" s="70">
        <v>187</v>
      </c>
      <c r="M74" s="7" t="s">
        <v>990</v>
      </c>
      <c r="N74" s="7">
        <v>380</v>
      </c>
      <c r="O74" s="151">
        <v>0.96200000000000008</v>
      </c>
      <c r="P74" s="7">
        <v>0.9</v>
      </c>
      <c r="Q74" s="7">
        <v>80</v>
      </c>
      <c r="R74" s="65">
        <v>1300</v>
      </c>
      <c r="S74" s="258" t="s">
        <v>1390</v>
      </c>
      <c r="U74" s="259" t="s">
        <v>1375</v>
      </c>
      <c r="V74" s="63">
        <v>174000000</v>
      </c>
      <c r="W74" s="63"/>
      <c r="X74" s="156" t="s">
        <v>1315</v>
      </c>
      <c r="Y74" s="1" t="b">
        <v>1</v>
      </c>
    </row>
    <row r="75" spans="1:25">
      <c r="A75" s="203"/>
      <c r="B75" s="1" t="str">
        <f t="shared" si="1"/>
        <v>M_AEB0101_VM_BKT_195_5000</v>
      </c>
      <c r="C75" s="7" t="s">
        <v>2014</v>
      </c>
      <c r="D75" s="7" t="str" cm="1">
        <f t="array" ref="D75">INDEX(기계코드!$D$4:$D$1022,MATCH(1,(C75=기계코드!$F$4:$F$1022)*1,0))</f>
        <v>M_AEB0101</v>
      </c>
      <c r="E75" s="7" t="s">
        <v>1128</v>
      </c>
      <c r="F75" s="7" t="str" cm="1">
        <f t="array" ref="F75">INDEX(공급업체코드!$B$3:$B$1000,MATCH(1,(E75=공급업체코드!$D$3:$D$1000)*1,0))</f>
        <v>VM_BKT</v>
      </c>
      <c r="G75" s="43" t="s">
        <v>2048</v>
      </c>
      <c r="H75" s="63"/>
      <c r="I75" s="64">
        <v>195</v>
      </c>
      <c r="J75" s="64">
        <v>5000</v>
      </c>
      <c r="K75" s="64">
        <v>250</v>
      </c>
      <c r="L75" s="70">
        <v>187</v>
      </c>
      <c r="M75" s="7" t="s">
        <v>990</v>
      </c>
      <c r="N75" s="7">
        <v>380</v>
      </c>
      <c r="O75" s="151">
        <v>0.96200000000000008</v>
      </c>
      <c r="P75" s="7">
        <v>0.9</v>
      </c>
      <c r="Q75" s="7">
        <v>80</v>
      </c>
      <c r="R75" s="65">
        <v>1300</v>
      </c>
      <c r="S75" s="258" t="s">
        <v>1390</v>
      </c>
      <c r="U75" s="259" t="s">
        <v>1375</v>
      </c>
      <c r="V75" s="63">
        <v>174000000</v>
      </c>
      <c r="W75" s="63"/>
      <c r="X75" s="156" t="s">
        <v>1315</v>
      </c>
      <c r="Y75" s="1" t="b">
        <v>1</v>
      </c>
    </row>
    <row r="76" spans="1:25">
      <c r="A76" s="203"/>
      <c r="B76" s="1" t="str">
        <f t="shared" si="1"/>
        <v>M_AEB0101_VM_BKT_160_6000</v>
      </c>
      <c r="C76" s="7" t="s">
        <v>2014</v>
      </c>
      <c r="D76" s="7" t="str" cm="1">
        <f t="array" ref="D76">INDEX(기계코드!$D$4:$D$1022,MATCH(1,(C76=기계코드!$F$4:$F$1022)*1,0))</f>
        <v>M_AEB0101</v>
      </c>
      <c r="E76" s="7" t="s">
        <v>1128</v>
      </c>
      <c r="F76" s="7" t="str" cm="1">
        <f t="array" ref="F76">INDEX(공급업체코드!$B$3:$B$1000,MATCH(1,(E76=공급업체코드!$D$3:$D$1000)*1,0))</f>
        <v>VM_BKT</v>
      </c>
      <c r="G76" s="43" t="s">
        <v>2048</v>
      </c>
      <c r="H76" s="63"/>
      <c r="I76" s="64">
        <v>160</v>
      </c>
      <c r="J76" s="64">
        <v>6000</v>
      </c>
      <c r="K76" s="64">
        <v>250</v>
      </c>
      <c r="L76" s="70">
        <v>187</v>
      </c>
      <c r="M76" s="7" t="s">
        <v>990</v>
      </c>
      <c r="N76" s="7">
        <v>380</v>
      </c>
      <c r="O76" s="151">
        <v>0.96200000000000008</v>
      </c>
      <c r="P76" s="7">
        <v>0.9</v>
      </c>
      <c r="Q76" s="7">
        <v>80</v>
      </c>
      <c r="R76" s="65">
        <v>1300</v>
      </c>
      <c r="S76" s="258" t="s">
        <v>1390</v>
      </c>
      <c r="U76" s="259" t="s">
        <v>1375</v>
      </c>
      <c r="V76" s="63">
        <v>174000000</v>
      </c>
      <c r="W76" s="63"/>
      <c r="X76" s="156" t="s">
        <v>1315</v>
      </c>
      <c r="Y76" s="1" t="b">
        <v>1</v>
      </c>
    </row>
    <row r="77" spans="1:25">
      <c r="A77" s="203"/>
      <c r="B77" s="1" t="str">
        <f t="shared" si="1"/>
        <v>M_AEB0101_VM_BKT_145_7000</v>
      </c>
      <c r="C77" s="7" t="s">
        <v>2014</v>
      </c>
      <c r="D77" s="7" t="str" cm="1">
        <f t="array" ref="D77">INDEX(기계코드!$D$4:$D$1022,MATCH(1,(C77=기계코드!$F$4:$F$1022)*1,0))</f>
        <v>M_AEB0101</v>
      </c>
      <c r="E77" s="7" t="s">
        <v>1128</v>
      </c>
      <c r="F77" s="7" t="str" cm="1">
        <f t="array" ref="F77">INDEX(공급업체코드!$B$3:$B$1000,MATCH(1,(E77=공급업체코드!$D$3:$D$1000)*1,0))</f>
        <v>VM_BKT</v>
      </c>
      <c r="G77" s="43" t="s">
        <v>2049</v>
      </c>
      <c r="H77" s="63"/>
      <c r="I77" s="64">
        <v>145</v>
      </c>
      <c r="J77" s="64">
        <v>7000</v>
      </c>
      <c r="K77" s="64">
        <v>250</v>
      </c>
      <c r="L77" s="70">
        <v>187</v>
      </c>
      <c r="M77" s="7" t="s">
        <v>990</v>
      </c>
      <c r="N77" s="7">
        <v>380</v>
      </c>
      <c r="O77" s="151">
        <v>0.96200000000000008</v>
      </c>
      <c r="P77" s="7">
        <v>0.9</v>
      </c>
      <c r="Q77" s="7">
        <v>80</v>
      </c>
      <c r="R77" s="65">
        <v>1300</v>
      </c>
      <c r="S77" s="258" t="s">
        <v>1390</v>
      </c>
      <c r="U77" s="259" t="s">
        <v>1375</v>
      </c>
      <c r="V77" s="63">
        <v>174000000</v>
      </c>
      <c r="W77" s="63"/>
      <c r="X77" s="156" t="s">
        <v>1315</v>
      </c>
      <c r="Y77" s="1" t="b">
        <v>1</v>
      </c>
    </row>
    <row r="78" spans="1:25">
      <c r="A78" s="203"/>
      <c r="B78" s="1" t="str">
        <f t="shared" si="1"/>
        <v>M_AEB0101_VM_BKT_135_8000</v>
      </c>
      <c r="C78" s="7" t="s">
        <v>2014</v>
      </c>
      <c r="D78" s="7" t="str" cm="1">
        <f t="array" ref="D78">INDEX(기계코드!$D$4:$D$1022,MATCH(1,(C78=기계코드!$F$4:$F$1022)*1,0))</f>
        <v>M_AEB0101</v>
      </c>
      <c r="E78" s="7" t="s">
        <v>1128</v>
      </c>
      <c r="F78" s="7" t="str" cm="1">
        <f t="array" ref="F78">INDEX(공급업체코드!$B$3:$B$1000,MATCH(1,(E78=공급업체코드!$D$3:$D$1000)*1,0))</f>
        <v>VM_BKT</v>
      </c>
      <c r="G78" s="43" t="s">
        <v>2049</v>
      </c>
      <c r="H78" s="63"/>
      <c r="I78" s="64">
        <v>135</v>
      </c>
      <c r="J78" s="64">
        <v>8000</v>
      </c>
      <c r="K78" s="64">
        <v>250</v>
      </c>
      <c r="L78" s="70">
        <v>187</v>
      </c>
      <c r="M78" s="7" t="s">
        <v>990</v>
      </c>
      <c r="N78" s="7">
        <v>380</v>
      </c>
      <c r="O78" s="151">
        <v>0.96200000000000008</v>
      </c>
      <c r="P78" s="7">
        <v>0.9</v>
      </c>
      <c r="Q78" s="7">
        <v>80</v>
      </c>
      <c r="R78" s="65">
        <v>1300</v>
      </c>
      <c r="S78" s="258" t="s">
        <v>1390</v>
      </c>
      <c r="U78" s="259" t="s">
        <v>1375</v>
      </c>
      <c r="V78" s="63">
        <v>174000000</v>
      </c>
      <c r="W78" s="63"/>
      <c r="X78" s="156" t="s">
        <v>1315</v>
      </c>
      <c r="Y78" s="1" t="b">
        <v>1</v>
      </c>
    </row>
    <row r="79" spans="1:25">
      <c r="A79" s="203"/>
      <c r="B79" s="1" t="str">
        <f t="shared" si="1"/>
        <v>M_AEB0101_VM_BKT_114_9000</v>
      </c>
      <c r="C79" s="7" t="s">
        <v>2014</v>
      </c>
      <c r="D79" s="7" t="str" cm="1">
        <f t="array" ref="D79">INDEX(기계코드!$D$4:$D$1022,MATCH(1,(C79=기계코드!$F$4:$F$1022)*1,0))</f>
        <v>M_AEB0101</v>
      </c>
      <c r="E79" s="7" t="s">
        <v>1128</v>
      </c>
      <c r="F79" s="7" t="str" cm="1">
        <f t="array" ref="F79">INDEX(공급업체코드!$B$3:$B$1000,MATCH(1,(E79=공급업체코드!$D$3:$D$1000)*1,0))</f>
        <v>VM_BKT</v>
      </c>
      <c r="G79" s="43" t="s">
        <v>2050</v>
      </c>
      <c r="H79" s="63"/>
      <c r="I79" s="64">
        <v>114</v>
      </c>
      <c r="J79" s="64">
        <v>9000</v>
      </c>
      <c r="K79" s="64">
        <v>250</v>
      </c>
      <c r="L79" s="70">
        <v>187</v>
      </c>
      <c r="M79" s="7" t="s">
        <v>990</v>
      </c>
      <c r="N79" s="7">
        <v>380</v>
      </c>
      <c r="O79" s="151">
        <v>0.96200000000000008</v>
      </c>
      <c r="P79" s="7">
        <v>0.9</v>
      </c>
      <c r="Q79" s="7">
        <v>80</v>
      </c>
      <c r="R79" s="65">
        <v>1300</v>
      </c>
      <c r="S79" s="258" t="s">
        <v>1390</v>
      </c>
      <c r="U79" s="259" t="s">
        <v>1375</v>
      </c>
      <c r="V79" s="63">
        <v>174000000</v>
      </c>
      <c r="W79" s="63"/>
      <c r="X79" s="156" t="s">
        <v>1315</v>
      </c>
      <c r="Y79" s="1" t="b">
        <v>1</v>
      </c>
    </row>
    <row r="80" spans="1:25">
      <c r="A80" s="203"/>
      <c r="B80" s="1" t="str">
        <f t="shared" si="1"/>
        <v>M_AEB0101_VM_BKT_104_10000</v>
      </c>
      <c r="C80" s="7" t="s">
        <v>2014</v>
      </c>
      <c r="D80" s="7" t="str" cm="1">
        <f t="array" ref="D80">INDEX(기계코드!$D$4:$D$1022,MATCH(1,(C80=기계코드!$F$4:$F$1022)*1,0))</f>
        <v>M_AEB0101</v>
      </c>
      <c r="E80" s="7" t="s">
        <v>1128</v>
      </c>
      <c r="F80" s="7" t="str" cm="1">
        <f t="array" ref="F80">INDEX(공급업체코드!$B$3:$B$1000,MATCH(1,(E80=공급업체코드!$D$3:$D$1000)*1,0))</f>
        <v>VM_BKT</v>
      </c>
      <c r="G80" s="43" t="s">
        <v>2050</v>
      </c>
      <c r="H80" s="63"/>
      <c r="I80" s="64">
        <v>104</v>
      </c>
      <c r="J80" s="64">
        <v>10000</v>
      </c>
      <c r="K80" s="64">
        <v>250</v>
      </c>
      <c r="L80" s="70">
        <v>187</v>
      </c>
      <c r="M80" s="7" t="s">
        <v>990</v>
      </c>
      <c r="N80" s="7">
        <v>380</v>
      </c>
      <c r="O80" s="151">
        <v>0.96200000000000008</v>
      </c>
      <c r="P80" s="7">
        <v>0.9</v>
      </c>
      <c r="Q80" s="7">
        <v>80</v>
      </c>
      <c r="R80" s="65">
        <v>1300</v>
      </c>
      <c r="S80" s="258" t="s">
        <v>1390</v>
      </c>
      <c r="U80" s="259" t="s">
        <v>1375</v>
      </c>
      <c r="V80" s="63">
        <v>174000000</v>
      </c>
      <c r="W80" s="63"/>
      <c r="X80" s="156" t="s">
        <v>1315</v>
      </c>
      <c r="Y80" s="1" t="b">
        <v>1</v>
      </c>
    </row>
    <row r="81" spans="1:25">
      <c r="A81" s="203"/>
      <c r="B81" s="1" t="str">
        <f t="shared" si="1"/>
        <v>M_AEB0101_VM_BKT_95_11000</v>
      </c>
      <c r="C81" s="7" t="s">
        <v>2014</v>
      </c>
      <c r="D81" s="7" t="str" cm="1">
        <f t="array" ref="D81">INDEX(기계코드!$D$4:$D$1022,MATCH(1,(C81=기계코드!$F$4:$F$1022)*1,0))</f>
        <v>M_AEB0101</v>
      </c>
      <c r="E81" s="7" t="s">
        <v>1128</v>
      </c>
      <c r="F81" s="7" t="str" cm="1">
        <f t="array" ref="F81">INDEX(공급업체코드!$B$3:$B$1000,MATCH(1,(E81=공급업체코드!$D$3:$D$1000)*1,0))</f>
        <v>VM_BKT</v>
      </c>
      <c r="G81" s="43" t="s">
        <v>2051</v>
      </c>
      <c r="H81" s="63"/>
      <c r="I81" s="64">
        <v>95</v>
      </c>
      <c r="J81" s="64">
        <v>11000</v>
      </c>
      <c r="K81" s="64">
        <v>250</v>
      </c>
      <c r="L81" s="70">
        <v>187</v>
      </c>
      <c r="M81" s="7" t="s">
        <v>990</v>
      </c>
      <c r="N81" s="7">
        <v>380</v>
      </c>
      <c r="O81" s="151">
        <v>0.96200000000000008</v>
      </c>
      <c r="P81" s="7">
        <v>0.9</v>
      </c>
      <c r="Q81" s="7">
        <v>80</v>
      </c>
      <c r="R81" s="65">
        <v>1300</v>
      </c>
      <c r="S81" s="258" t="s">
        <v>1390</v>
      </c>
      <c r="U81" s="259" t="s">
        <v>1375</v>
      </c>
      <c r="V81" s="63">
        <v>174000000</v>
      </c>
      <c r="W81" s="63"/>
      <c r="X81" s="156" t="s">
        <v>1315</v>
      </c>
      <c r="Y81" s="1" t="b">
        <v>1</v>
      </c>
    </row>
    <row r="82" spans="1:25">
      <c r="A82" s="203"/>
      <c r="B82" s="1" t="str">
        <f t="shared" si="1"/>
        <v>M_AEB0101_VM_BKT_92_12000</v>
      </c>
      <c r="C82" s="7" t="s">
        <v>2014</v>
      </c>
      <c r="D82" s="7" t="str" cm="1">
        <f t="array" ref="D82">INDEX(기계코드!$D$4:$D$1022,MATCH(1,(C82=기계코드!$F$4:$F$1022)*1,0))</f>
        <v>M_AEB0101</v>
      </c>
      <c r="E82" s="7" t="s">
        <v>1128</v>
      </c>
      <c r="F82" s="7" t="str" cm="1">
        <f t="array" ref="F82">INDEX(공급업체코드!$B$3:$B$1000,MATCH(1,(E82=공급업체코드!$D$3:$D$1000)*1,0))</f>
        <v>VM_BKT</v>
      </c>
      <c r="G82" s="43" t="s">
        <v>2051</v>
      </c>
      <c r="H82" s="63"/>
      <c r="I82" s="64">
        <v>92</v>
      </c>
      <c r="J82" s="64">
        <v>12000</v>
      </c>
      <c r="K82" s="64">
        <v>250</v>
      </c>
      <c r="L82" s="70">
        <v>187</v>
      </c>
      <c r="M82" s="7" t="s">
        <v>990</v>
      </c>
      <c r="N82" s="7">
        <v>380</v>
      </c>
      <c r="O82" s="151">
        <v>0.96200000000000008</v>
      </c>
      <c r="P82" s="7">
        <v>0.9</v>
      </c>
      <c r="Q82" s="7">
        <v>80</v>
      </c>
      <c r="R82" s="65">
        <v>1300</v>
      </c>
      <c r="S82" s="258" t="s">
        <v>1390</v>
      </c>
      <c r="U82" s="259" t="s">
        <v>1375</v>
      </c>
      <c r="V82" s="63">
        <v>174000000</v>
      </c>
      <c r="W82" s="63"/>
      <c r="X82" s="156" t="s">
        <v>1315</v>
      </c>
      <c r="Y82" s="1" t="b">
        <v>1</v>
      </c>
    </row>
    <row r="83" spans="1:25">
      <c r="A83" s="203"/>
      <c r="B83" s="1" t="str">
        <f t="shared" si="1"/>
        <v>M_AEB0101_VM_BKT_258_3000</v>
      </c>
      <c r="C83" s="7" t="s">
        <v>2014</v>
      </c>
      <c r="D83" s="7" t="str" cm="1">
        <f t="array" ref="D83">INDEX(기계코드!$D$4:$D$1022,MATCH(1,(C83=기계코드!$F$4:$F$1022)*1,0))</f>
        <v>M_AEB0101</v>
      </c>
      <c r="E83" s="7" t="s">
        <v>1128</v>
      </c>
      <c r="F83" s="7" t="str" cm="1">
        <f t="array" ref="F83">INDEX(공급업체코드!$B$3:$B$1000,MATCH(1,(E83=공급업체코드!$D$3:$D$1000)*1,0))</f>
        <v>VM_BKT</v>
      </c>
      <c r="G83" s="43" t="s">
        <v>2052</v>
      </c>
      <c r="H83" s="63"/>
      <c r="I83" s="64">
        <v>258</v>
      </c>
      <c r="J83" s="64">
        <v>3000</v>
      </c>
      <c r="K83" s="64">
        <v>250</v>
      </c>
      <c r="L83" s="70">
        <v>224</v>
      </c>
      <c r="M83" s="7" t="s">
        <v>990</v>
      </c>
      <c r="N83" s="7">
        <v>380</v>
      </c>
      <c r="O83" s="151">
        <v>0.96200000000000008</v>
      </c>
      <c r="P83" s="7">
        <v>0.9</v>
      </c>
      <c r="Q83" s="7">
        <v>80</v>
      </c>
      <c r="R83" s="65">
        <v>1950</v>
      </c>
      <c r="S83" s="258" t="s">
        <v>1390</v>
      </c>
      <c r="U83" s="259" t="s">
        <v>1375</v>
      </c>
      <c r="V83" s="63">
        <v>194000000</v>
      </c>
      <c r="W83" s="63"/>
      <c r="X83" s="156" t="s">
        <v>1315</v>
      </c>
      <c r="Y83" s="1" t="b">
        <v>1</v>
      </c>
    </row>
    <row r="84" spans="1:25">
      <c r="A84" s="203"/>
      <c r="B84" s="1" t="str">
        <f t="shared" si="1"/>
        <v>M_AEB0101_VM_BKT_242_4000</v>
      </c>
      <c r="C84" s="7" t="s">
        <v>2014</v>
      </c>
      <c r="D84" s="7" t="str" cm="1">
        <f t="array" ref="D84">INDEX(기계코드!$D$4:$D$1022,MATCH(1,(C84=기계코드!$F$4:$F$1022)*1,0))</f>
        <v>M_AEB0101</v>
      </c>
      <c r="E84" s="7" t="s">
        <v>1128</v>
      </c>
      <c r="F84" s="7" t="str" cm="1">
        <f t="array" ref="F84">INDEX(공급업체코드!$B$3:$B$1000,MATCH(1,(E84=공급업체코드!$D$3:$D$1000)*1,0))</f>
        <v>VM_BKT</v>
      </c>
      <c r="G84" s="43" t="s">
        <v>2052</v>
      </c>
      <c r="H84" s="63"/>
      <c r="I84" s="64">
        <v>242</v>
      </c>
      <c r="J84" s="64">
        <v>4000</v>
      </c>
      <c r="K84" s="64">
        <v>250</v>
      </c>
      <c r="L84" s="70">
        <v>224</v>
      </c>
      <c r="M84" s="7" t="s">
        <v>990</v>
      </c>
      <c r="N84" s="7">
        <v>380</v>
      </c>
      <c r="O84" s="151">
        <v>0.96200000000000008</v>
      </c>
      <c r="P84" s="7">
        <v>0.9</v>
      </c>
      <c r="Q84" s="7">
        <v>80</v>
      </c>
      <c r="R84" s="65">
        <v>1950</v>
      </c>
      <c r="S84" s="258" t="s">
        <v>1390</v>
      </c>
      <c r="U84" s="259" t="s">
        <v>1375</v>
      </c>
      <c r="V84" s="63">
        <v>194000000</v>
      </c>
      <c r="W84" s="63"/>
      <c r="X84" s="156" t="s">
        <v>1315</v>
      </c>
      <c r="Y84" s="1" t="b">
        <v>1</v>
      </c>
    </row>
    <row r="85" spans="1:25">
      <c r="A85" s="203"/>
      <c r="B85" s="1" t="str">
        <f t="shared" si="1"/>
        <v>M_AEB0101_VM_BKT_225_5000</v>
      </c>
      <c r="C85" s="7" t="s">
        <v>2014</v>
      </c>
      <c r="D85" s="7" t="str" cm="1">
        <f t="array" ref="D85">INDEX(기계코드!$D$4:$D$1022,MATCH(1,(C85=기계코드!$F$4:$F$1022)*1,0))</f>
        <v>M_AEB0101</v>
      </c>
      <c r="E85" s="7" t="s">
        <v>1128</v>
      </c>
      <c r="F85" s="7" t="str" cm="1">
        <f t="array" ref="F85">INDEX(공급업체코드!$B$3:$B$1000,MATCH(1,(E85=공급업체코드!$D$3:$D$1000)*1,0))</f>
        <v>VM_BKT</v>
      </c>
      <c r="G85" s="43" t="s">
        <v>2053</v>
      </c>
      <c r="H85" s="63"/>
      <c r="I85" s="64">
        <v>225</v>
      </c>
      <c r="J85" s="64">
        <v>5000</v>
      </c>
      <c r="K85" s="64">
        <v>250</v>
      </c>
      <c r="L85" s="70">
        <v>224</v>
      </c>
      <c r="M85" s="7" t="s">
        <v>990</v>
      </c>
      <c r="N85" s="7">
        <v>380</v>
      </c>
      <c r="O85" s="151">
        <v>0.96200000000000008</v>
      </c>
      <c r="P85" s="7">
        <v>0.9</v>
      </c>
      <c r="Q85" s="7">
        <v>80</v>
      </c>
      <c r="R85" s="65">
        <v>1720</v>
      </c>
      <c r="S85" s="258" t="s">
        <v>1390</v>
      </c>
      <c r="U85" s="259" t="s">
        <v>1375</v>
      </c>
      <c r="V85" s="63">
        <v>194000000</v>
      </c>
      <c r="W85" s="63"/>
      <c r="X85" s="156" t="s">
        <v>1315</v>
      </c>
      <c r="Y85" s="1" t="b">
        <v>1</v>
      </c>
    </row>
    <row r="86" spans="1:25">
      <c r="A86" s="203"/>
      <c r="B86" s="1" t="str">
        <f t="shared" si="1"/>
        <v>M_AEB0101_VM_BKT_200_6000</v>
      </c>
      <c r="C86" s="7" t="s">
        <v>2014</v>
      </c>
      <c r="D86" s="7" t="str" cm="1">
        <f t="array" ref="D86">INDEX(기계코드!$D$4:$D$1022,MATCH(1,(C86=기계코드!$F$4:$F$1022)*1,0))</f>
        <v>M_AEB0101</v>
      </c>
      <c r="E86" s="7" t="s">
        <v>1128</v>
      </c>
      <c r="F86" s="7" t="str" cm="1">
        <f t="array" ref="F86">INDEX(공급업체코드!$B$3:$B$1000,MATCH(1,(E86=공급업체코드!$D$3:$D$1000)*1,0))</f>
        <v>VM_BKT</v>
      </c>
      <c r="G86" s="43" t="s">
        <v>2053</v>
      </c>
      <c r="H86" s="63"/>
      <c r="I86" s="64">
        <v>200</v>
      </c>
      <c r="J86" s="64">
        <v>6000</v>
      </c>
      <c r="K86" s="64">
        <v>250</v>
      </c>
      <c r="L86" s="70">
        <v>224</v>
      </c>
      <c r="M86" s="7" t="s">
        <v>990</v>
      </c>
      <c r="N86" s="7">
        <v>380</v>
      </c>
      <c r="O86" s="151">
        <v>0.96200000000000008</v>
      </c>
      <c r="P86" s="7">
        <v>0.9</v>
      </c>
      <c r="Q86" s="7">
        <v>80</v>
      </c>
      <c r="R86" s="65">
        <v>1720</v>
      </c>
      <c r="S86" s="258" t="s">
        <v>1390</v>
      </c>
      <c r="U86" s="259" t="s">
        <v>1375</v>
      </c>
      <c r="V86" s="63">
        <v>194000000</v>
      </c>
      <c r="W86" s="63"/>
      <c r="X86" s="156" t="s">
        <v>1315</v>
      </c>
      <c r="Y86" s="1" t="b">
        <v>1</v>
      </c>
    </row>
    <row r="87" spans="1:25">
      <c r="A87" s="203"/>
      <c r="B87" s="1" t="str">
        <f t="shared" si="1"/>
        <v>M_AEB0101_VM_BKT_180_7000</v>
      </c>
      <c r="C87" s="7" t="s">
        <v>2014</v>
      </c>
      <c r="D87" s="7" t="str" cm="1">
        <f t="array" ref="D87">INDEX(기계코드!$D$4:$D$1022,MATCH(1,(C87=기계코드!$F$4:$F$1022)*1,0))</f>
        <v>M_AEB0101</v>
      </c>
      <c r="E87" s="7" t="s">
        <v>1128</v>
      </c>
      <c r="F87" s="7" t="str" cm="1">
        <f t="array" ref="F87">INDEX(공급업체코드!$B$3:$B$1000,MATCH(1,(E87=공급업체코드!$D$3:$D$1000)*1,0))</f>
        <v>VM_BKT</v>
      </c>
      <c r="G87" s="43" t="s">
        <v>2054</v>
      </c>
      <c r="H87" s="63"/>
      <c r="I87" s="64">
        <v>180</v>
      </c>
      <c r="J87" s="64">
        <v>7000</v>
      </c>
      <c r="K87" s="64">
        <v>250</v>
      </c>
      <c r="L87" s="70">
        <v>224</v>
      </c>
      <c r="M87" s="7" t="s">
        <v>990</v>
      </c>
      <c r="N87" s="7">
        <v>380</v>
      </c>
      <c r="O87" s="151">
        <v>0.96200000000000008</v>
      </c>
      <c r="P87" s="7">
        <v>0.9</v>
      </c>
      <c r="Q87" s="7">
        <v>80</v>
      </c>
      <c r="R87" s="65">
        <v>1720</v>
      </c>
      <c r="S87" s="258" t="s">
        <v>1390</v>
      </c>
      <c r="U87" s="259" t="s">
        <v>1375</v>
      </c>
      <c r="V87" s="63">
        <v>194000000</v>
      </c>
      <c r="W87" s="63"/>
      <c r="X87" s="156" t="s">
        <v>1315</v>
      </c>
      <c r="Y87" s="1" t="b">
        <v>1</v>
      </c>
    </row>
    <row r="88" spans="1:25">
      <c r="A88" s="203"/>
      <c r="B88" s="1" t="str">
        <f t="shared" si="1"/>
        <v>M_AEB0101_VM_BKT_162_8000</v>
      </c>
      <c r="C88" s="7" t="s">
        <v>2014</v>
      </c>
      <c r="D88" s="7" t="str" cm="1">
        <f t="array" ref="D88">INDEX(기계코드!$D$4:$D$1022,MATCH(1,(C88=기계코드!$F$4:$F$1022)*1,0))</f>
        <v>M_AEB0101</v>
      </c>
      <c r="E88" s="7" t="s">
        <v>1128</v>
      </c>
      <c r="F88" s="7" t="str" cm="1">
        <f t="array" ref="F88">INDEX(공급업체코드!$B$3:$B$1000,MATCH(1,(E88=공급업체코드!$D$3:$D$1000)*1,0))</f>
        <v>VM_BKT</v>
      </c>
      <c r="G88" s="43" t="s">
        <v>2054</v>
      </c>
      <c r="H88" s="63"/>
      <c r="I88" s="64">
        <v>162</v>
      </c>
      <c r="J88" s="64">
        <v>8000</v>
      </c>
      <c r="K88" s="64">
        <v>250</v>
      </c>
      <c r="L88" s="70">
        <v>224</v>
      </c>
      <c r="M88" s="7" t="s">
        <v>990</v>
      </c>
      <c r="N88" s="7">
        <v>380</v>
      </c>
      <c r="O88" s="151">
        <v>0.96200000000000008</v>
      </c>
      <c r="P88" s="7">
        <v>0.9</v>
      </c>
      <c r="Q88" s="7">
        <v>80</v>
      </c>
      <c r="R88" s="65">
        <v>1720</v>
      </c>
      <c r="S88" s="258" t="s">
        <v>1390</v>
      </c>
      <c r="U88" s="259" t="s">
        <v>1375</v>
      </c>
      <c r="V88" s="63">
        <v>194000000</v>
      </c>
      <c r="W88" s="63"/>
      <c r="X88" s="156" t="s">
        <v>1315</v>
      </c>
      <c r="Y88" s="1" t="b">
        <v>1</v>
      </c>
    </row>
    <row r="89" spans="1:25">
      <c r="A89" s="203"/>
      <c r="B89" s="1" t="str">
        <f t="shared" si="1"/>
        <v>M_AEB0101_VM_BKT_137_9000</v>
      </c>
      <c r="C89" s="7" t="s">
        <v>2014</v>
      </c>
      <c r="D89" s="7" t="str" cm="1">
        <f t="array" ref="D89">INDEX(기계코드!$D$4:$D$1022,MATCH(1,(C89=기계코드!$F$4:$F$1022)*1,0))</f>
        <v>M_AEB0101</v>
      </c>
      <c r="E89" s="7" t="s">
        <v>1128</v>
      </c>
      <c r="F89" s="7" t="str" cm="1">
        <f t="array" ref="F89">INDEX(공급업체코드!$B$3:$B$1000,MATCH(1,(E89=공급업체코드!$D$3:$D$1000)*1,0))</f>
        <v>VM_BKT</v>
      </c>
      <c r="G89" s="43" t="s">
        <v>2055</v>
      </c>
      <c r="H89" s="63"/>
      <c r="I89" s="64">
        <v>137</v>
      </c>
      <c r="J89" s="64">
        <v>9000</v>
      </c>
      <c r="K89" s="64">
        <v>250</v>
      </c>
      <c r="L89" s="70">
        <v>224</v>
      </c>
      <c r="M89" s="7" t="s">
        <v>990</v>
      </c>
      <c r="N89" s="7">
        <v>380</v>
      </c>
      <c r="O89" s="151">
        <v>0.96200000000000008</v>
      </c>
      <c r="P89" s="7">
        <v>0.9</v>
      </c>
      <c r="Q89" s="7">
        <v>80</v>
      </c>
      <c r="R89" s="65">
        <v>1720</v>
      </c>
      <c r="S89" s="258" t="s">
        <v>1390</v>
      </c>
      <c r="U89" s="259" t="s">
        <v>1375</v>
      </c>
      <c r="V89" s="63">
        <v>194000000</v>
      </c>
      <c r="W89" s="63"/>
      <c r="X89" s="156" t="s">
        <v>1315</v>
      </c>
      <c r="Y89" s="1" t="b">
        <v>1</v>
      </c>
    </row>
    <row r="90" spans="1:25">
      <c r="A90" s="203"/>
      <c r="B90" s="1" t="str">
        <f t="shared" si="1"/>
        <v>M_AEB0101_VM_BKT_125_10000</v>
      </c>
      <c r="C90" s="7" t="s">
        <v>2014</v>
      </c>
      <c r="D90" s="7" t="str" cm="1">
        <f t="array" ref="D90">INDEX(기계코드!$D$4:$D$1022,MATCH(1,(C90=기계코드!$F$4:$F$1022)*1,0))</f>
        <v>M_AEB0101</v>
      </c>
      <c r="E90" s="7" t="s">
        <v>1128</v>
      </c>
      <c r="F90" s="7" t="str" cm="1">
        <f t="array" ref="F90">INDEX(공급업체코드!$B$3:$B$1000,MATCH(1,(E90=공급업체코드!$D$3:$D$1000)*1,0))</f>
        <v>VM_BKT</v>
      </c>
      <c r="G90" s="43" t="s">
        <v>2055</v>
      </c>
      <c r="H90" s="63"/>
      <c r="I90" s="64">
        <v>125</v>
      </c>
      <c r="J90" s="64">
        <v>10000</v>
      </c>
      <c r="K90" s="64">
        <v>250</v>
      </c>
      <c r="L90" s="70">
        <v>224</v>
      </c>
      <c r="M90" s="7" t="s">
        <v>990</v>
      </c>
      <c r="N90" s="7">
        <v>380</v>
      </c>
      <c r="O90" s="151">
        <v>0.96200000000000008</v>
      </c>
      <c r="P90" s="7">
        <v>0.9</v>
      </c>
      <c r="Q90" s="7">
        <v>80</v>
      </c>
      <c r="R90" s="65">
        <v>1720</v>
      </c>
      <c r="S90" s="258" t="s">
        <v>1390</v>
      </c>
      <c r="U90" s="259" t="s">
        <v>1375</v>
      </c>
      <c r="V90" s="63">
        <v>194000000</v>
      </c>
      <c r="W90" s="63"/>
      <c r="X90" s="156" t="s">
        <v>1315</v>
      </c>
      <c r="Y90" s="1" t="b">
        <v>1</v>
      </c>
    </row>
    <row r="91" spans="1:25">
      <c r="A91" s="203"/>
      <c r="B91" s="1" t="str">
        <f t="shared" si="1"/>
        <v>M_AEB0101_VM_BKT_114_11000</v>
      </c>
      <c r="C91" s="7" t="s">
        <v>2014</v>
      </c>
      <c r="D91" s="7" t="str" cm="1">
        <f t="array" ref="D91">INDEX(기계코드!$D$4:$D$1022,MATCH(1,(C91=기계코드!$F$4:$F$1022)*1,0))</f>
        <v>M_AEB0101</v>
      </c>
      <c r="E91" s="7" t="s">
        <v>1128</v>
      </c>
      <c r="F91" s="7" t="str" cm="1">
        <f t="array" ref="F91">INDEX(공급업체코드!$B$3:$B$1000,MATCH(1,(E91=공급업체코드!$D$3:$D$1000)*1,0))</f>
        <v>VM_BKT</v>
      </c>
      <c r="G91" s="43" t="s">
        <v>2056</v>
      </c>
      <c r="H91" s="63"/>
      <c r="I91" s="64">
        <v>114</v>
      </c>
      <c r="J91" s="64">
        <v>11000</v>
      </c>
      <c r="K91" s="64">
        <v>250</v>
      </c>
      <c r="L91" s="70">
        <v>224</v>
      </c>
      <c r="M91" s="7" t="s">
        <v>990</v>
      </c>
      <c r="N91" s="7">
        <v>380</v>
      </c>
      <c r="O91" s="151">
        <v>0.96200000000000008</v>
      </c>
      <c r="P91" s="7">
        <v>0.9</v>
      </c>
      <c r="Q91" s="7">
        <v>80</v>
      </c>
      <c r="R91" s="65">
        <v>1720</v>
      </c>
      <c r="S91" s="258" t="s">
        <v>1390</v>
      </c>
      <c r="U91" s="259" t="s">
        <v>1375</v>
      </c>
      <c r="V91" s="63">
        <v>194000000</v>
      </c>
      <c r="W91" s="63"/>
      <c r="X91" s="156" t="s">
        <v>1315</v>
      </c>
      <c r="Y91" s="1" t="b">
        <v>1</v>
      </c>
    </row>
    <row r="92" spans="1:25">
      <c r="A92" s="203"/>
      <c r="B92" s="1" t="str">
        <f t="shared" si="1"/>
        <v>M_AEB0101_VM_BKT_112_12000</v>
      </c>
      <c r="C92" s="7" t="s">
        <v>2014</v>
      </c>
      <c r="D92" s="7" t="str" cm="1">
        <f t="array" ref="D92">INDEX(기계코드!$D$4:$D$1022,MATCH(1,(C92=기계코드!$F$4:$F$1022)*1,0))</f>
        <v>M_AEB0101</v>
      </c>
      <c r="E92" s="7" t="s">
        <v>1128</v>
      </c>
      <c r="F92" s="7" t="str" cm="1">
        <f t="array" ref="F92">INDEX(공급업체코드!$B$3:$B$1000,MATCH(1,(E92=공급업체코드!$D$3:$D$1000)*1,0))</f>
        <v>VM_BKT</v>
      </c>
      <c r="G92" s="43" t="s">
        <v>2056</v>
      </c>
      <c r="H92" s="63"/>
      <c r="I92" s="64">
        <v>112</v>
      </c>
      <c r="J92" s="64">
        <v>12000</v>
      </c>
      <c r="K92" s="64">
        <v>250</v>
      </c>
      <c r="L92" s="70">
        <v>224</v>
      </c>
      <c r="M92" s="7" t="s">
        <v>990</v>
      </c>
      <c r="N92" s="7">
        <v>380</v>
      </c>
      <c r="O92" s="151">
        <v>0.96200000000000008</v>
      </c>
      <c r="P92" s="7">
        <v>0.9</v>
      </c>
      <c r="Q92" s="7">
        <v>80</v>
      </c>
      <c r="R92" s="65">
        <v>1720</v>
      </c>
      <c r="S92" s="258" t="s">
        <v>1390</v>
      </c>
      <c r="U92" s="259" t="s">
        <v>1375</v>
      </c>
      <c r="V92" s="63">
        <v>194000000</v>
      </c>
      <c r="W92" s="63"/>
      <c r="X92" s="156" t="s">
        <v>1315</v>
      </c>
      <c r="Y92" s="1" t="b">
        <v>1</v>
      </c>
    </row>
    <row r="93" spans="1:25">
      <c r="A93" s="203"/>
      <c r="B93" s="1" t="str">
        <f t="shared" si="1"/>
        <v>M_AEB0101_VM_BKT_106_13000</v>
      </c>
      <c r="C93" s="7" t="s">
        <v>2014</v>
      </c>
      <c r="D93" s="7" t="str" cm="1">
        <f t="array" ref="D93">INDEX(기계코드!$D$4:$D$1022,MATCH(1,(C93=기계코드!$F$4:$F$1022)*1,0))</f>
        <v>M_AEB0101</v>
      </c>
      <c r="E93" s="7" t="s">
        <v>1128</v>
      </c>
      <c r="F93" s="7" t="str" cm="1">
        <f t="array" ref="F93">INDEX(공급업체코드!$B$3:$B$1000,MATCH(1,(E93=공급업체코드!$D$3:$D$1000)*1,0))</f>
        <v>VM_BKT</v>
      </c>
      <c r="G93" s="43" t="s">
        <v>2057</v>
      </c>
      <c r="H93" s="63"/>
      <c r="I93" s="64">
        <v>106</v>
      </c>
      <c r="J93" s="64">
        <v>13000</v>
      </c>
      <c r="K93" s="64">
        <v>250</v>
      </c>
      <c r="L93" s="70">
        <v>224</v>
      </c>
      <c r="M93" s="7" t="s">
        <v>990</v>
      </c>
      <c r="N93" s="7">
        <v>380</v>
      </c>
      <c r="O93" s="151">
        <v>0.96200000000000008</v>
      </c>
      <c r="P93" s="7">
        <v>0.9</v>
      </c>
      <c r="Q93" s="7">
        <v>80</v>
      </c>
      <c r="R93" s="65">
        <v>1720</v>
      </c>
      <c r="S93" s="258" t="s">
        <v>1390</v>
      </c>
      <c r="U93" s="259" t="s">
        <v>1375</v>
      </c>
      <c r="V93" s="63">
        <v>194000000</v>
      </c>
      <c r="W93" s="63"/>
      <c r="X93" s="156" t="s">
        <v>1315</v>
      </c>
      <c r="Y93" s="1" t="b">
        <v>1</v>
      </c>
    </row>
    <row r="94" spans="1:25">
      <c r="A94" s="203"/>
      <c r="B94" s="1" t="str">
        <f t="shared" si="1"/>
        <v>M_AEB0101_VM_BKT_96_15000</v>
      </c>
      <c r="C94" s="7" t="s">
        <v>2014</v>
      </c>
      <c r="D94" s="7" t="str" cm="1">
        <f t="array" ref="D94">INDEX(기계코드!$D$4:$D$1022,MATCH(1,(C94=기계코드!$F$4:$F$1022)*1,0))</f>
        <v>M_AEB0101</v>
      </c>
      <c r="E94" s="7" t="s">
        <v>1128</v>
      </c>
      <c r="F94" s="7" t="str" cm="1">
        <f t="array" ref="F94">INDEX(공급업체코드!$B$3:$B$1000,MATCH(1,(E94=공급업체코드!$D$3:$D$1000)*1,0))</f>
        <v>VM_BKT</v>
      </c>
      <c r="G94" s="43" t="s">
        <v>2057</v>
      </c>
      <c r="H94" s="63"/>
      <c r="I94" s="64">
        <v>96</v>
      </c>
      <c r="J94" s="64">
        <v>15000</v>
      </c>
      <c r="K94" s="64">
        <v>250</v>
      </c>
      <c r="L94" s="70">
        <v>224</v>
      </c>
      <c r="M94" s="7" t="s">
        <v>990</v>
      </c>
      <c r="N94" s="7">
        <v>380</v>
      </c>
      <c r="O94" s="151">
        <v>0.96200000000000008</v>
      </c>
      <c r="P94" s="7">
        <v>0.9</v>
      </c>
      <c r="Q94" s="7">
        <v>80</v>
      </c>
      <c r="R94" s="65">
        <v>1720</v>
      </c>
      <c r="S94" s="258" t="s">
        <v>1390</v>
      </c>
      <c r="U94" s="259" t="s">
        <v>1375</v>
      </c>
      <c r="V94" s="63">
        <v>194000000</v>
      </c>
      <c r="W94" s="63"/>
      <c r="X94" s="156" t="s">
        <v>1315</v>
      </c>
      <c r="Y94" s="1" t="b">
        <v>1</v>
      </c>
    </row>
    <row r="95" spans="1:25">
      <c r="A95" s="203"/>
      <c r="B95" s="1" t="str">
        <f t="shared" si="1"/>
        <v>M_AEB0101_VM_BKT_348_3000</v>
      </c>
      <c r="C95" s="7" t="s">
        <v>2014</v>
      </c>
      <c r="D95" s="7" t="str" cm="1">
        <f t="array" ref="D95">INDEX(기계코드!$D$4:$D$1022,MATCH(1,(C95=기계코드!$F$4:$F$1022)*1,0))</f>
        <v>M_AEB0101</v>
      </c>
      <c r="E95" s="7" t="s">
        <v>1128</v>
      </c>
      <c r="F95" s="7" t="str" cm="1">
        <f t="array" ref="F95">INDEX(공급업체코드!$B$3:$B$1000,MATCH(1,(E95=공급업체코드!$D$3:$D$1000)*1,0))</f>
        <v>VM_BKT</v>
      </c>
      <c r="G95" s="43" t="s">
        <v>2058</v>
      </c>
      <c r="H95" s="63"/>
      <c r="I95" s="64">
        <v>348</v>
      </c>
      <c r="J95" s="64">
        <v>3000</v>
      </c>
      <c r="K95" s="64">
        <v>250</v>
      </c>
      <c r="L95" s="70">
        <v>298</v>
      </c>
      <c r="M95" s="7" t="s">
        <v>990</v>
      </c>
      <c r="N95" s="7">
        <v>380</v>
      </c>
      <c r="O95" s="151">
        <v>0.96200000000000008</v>
      </c>
      <c r="P95" s="7">
        <v>0.9</v>
      </c>
      <c r="Q95" s="7">
        <v>80</v>
      </c>
      <c r="R95" s="65">
        <v>2050</v>
      </c>
      <c r="S95" s="258" t="s">
        <v>1390</v>
      </c>
      <c r="U95" s="259" t="s">
        <v>1375</v>
      </c>
      <c r="V95" s="63">
        <v>250000000</v>
      </c>
      <c r="W95" s="63"/>
      <c r="X95" s="156" t="s">
        <v>1315</v>
      </c>
      <c r="Y95" s="1" t="b">
        <v>1</v>
      </c>
    </row>
    <row r="96" spans="1:25">
      <c r="A96" s="203"/>
      <c r="B96" s="1" t="str">
        <f t="shared" si="1"/>
        <v>M_AEB0101_VM_BKT_328_4000</v>
      </c>
      <c r="C96" s="7" t="s">
        <v>2014</v>
      </c>
      <c r="D96" s="7" t="str" cm="1">
        <f t="array" ref="D96">INDEX(기계코드!$D$4:$D$1022,MATCH(1,(C96=기계코드!$F$4:$F$1022)*1,0))</f>
        <v>M_AEB0101</v>
      </c>
      <c r="E96" s="7" t="s">
        <v>1128</v>
      </c>
      <c r="F96" s="7" t="str" cm="1">
        <f t="array" ref="F96">INDEX(공급업체코드!$B$3:$B$1000,MATCH(1,(E96=공급업체코드!$D$3:$D$1000)*1,0))</f>
        <v>VM_BKT</v>
      </c>
      <c r="G96" s="43" t="s">
        <v>2058</v>
      </c>
      <c r="H96" s="63"/>
      <c r="I96" s="64">
        <v>328</v>
      </c>
      <c r="J96" s="64">
        <v>4000</v>
      </c>
      <c r="K96" s="64">
        <v>250</v>
      </c>
      <c r="L96" s="70">
        <v>298</v>
      </c>
      <c r="M96" s="7" t="s">
        <v>990</v>
      </c>
      <c r="N96" s="7">
        <v>380</v>
      </c>
      <c r="O96" s="151">
        <v>0.96200000000000008</v>
      </c>
      <c r="P96" s="7">
        <v>0.9</v>
      </c>
      <c r="Q96" s="7">
        <v>80</v>
      </c>
      <c r="R96" s="65">
        <v>2050</v>
      </c>
      <c r="S96" s="258" t="s">
        <v>1390</v>
      </c>
      <c r="U96" s="259" t="s">
        <v>1375</v>
      </c>
      <c r="V96" s="63">
        <v>250000000</v>
      </c>
      <c r="W96" s="63"/>
      <c r="X96" s="156" t="s">
        <v>1315</v>
      </c>
      <c r="Y96" s="1" t="b">
        <v>1</v>
      </c>
    </row>
    <row r="97" spans="1:25">
      <c r="A97" s="203"/>
      <c r="B97" s="1" t="str">
        <f t="shared" si="1"/>
        <v>M_AEB0101_VM_BKT_296_5000</v>
      </c>
      <c r="C97" s="7" t="s">
        <v>2014</v>
      </c>
      <c r="D97" s="7" t="str" cm="1">
        <f t="array" ref="D97">INDEX(기계코드!$D$4:$D$1022,MATCH(1,(C97=기계코드!$F$4:$F$1022)*1,0))</f>
        <v>M_AEB0101</v>
      </c>
      <c r="E97" s="7" t="s">
        <v>1128</v>
      </c>
      <c r="F97" s="7" t="str" cm="1">
        <f t="array" ref="F97">INDEX(공급업체코드!$B$3:$B$1000,MATCH(1,(E97=공급업체코드!$D$3:$D$1000)*1,0))</f>
        <v>VM_BKT</v>
      </c>
      <c r="G97" s="133" t="s">
        <v>2058</v>
      </c>
      <c r="H97" s="63"/>
      <c r="I97" s="64">
        <v>296</v>
      </c>
      <c r="J97" s="64">
        <v>5000</v>
      </c>
      <c r="K97" s="64">
        <v>250</v>
      </c>
      <c r="L97" s="70">
        <v>298</v>
      </c>
      <c r="M97" s="7" t="s">
        <v>990</v>
      </c>
      <c r="N97" s="7">
        <v>380</v>
      </c>
      <c r="O97" s="151">
        <v>0.96200000000000008</v>
      </c>
      <c r="P97" s="7">
        <v>0.9</v>
      </c>
      <c r="Q97" s="7">
        <v>80</v>
      </c>
      <c r="R97" s="65">
        <v>2050</v>
      </c>
      <c r="S97" s="258" t="s">
        <v>1390</v>
      </c>
      <c r="U97" s="259" t="s">
        <v>1375</v>
      </c>
      <c r="V97" s="63">
        <v>250000000</v>
      </c>
      <c r="W97" s="63"/>
      <c r="X97" s="156" t="s">
        <v>1315</v>
      </c>
      <c r="Y97" s="1" t="b">
        <v>1</v>
      </c>
    </row>
    <row r="98" spans="1:25">
      <c r="A98" s="203"/>
      <c r="B98" s="1" t="str">
        <f t="shared" si="1"/>
        <v>M_AEB0101_VM_BKT_264_6000</v>
      </c>
      <c r="C98" s="7" t="s">
        <v>2014</v>
      </c>
      <c r="D98" s="7" t="str" cm="1">
        <f t="array" ref="D98">INDEX(기계코드!$D$4:$D$1022,MATCH(1,(C98=기계코드!$F$4:$F$1022)*1,0))</f>
        <v>M_AEB0101</v>
      </c>
      <c r="E98" s="7" t="s">
        <v>1128</v>
      </c>
      <c r="F98" s="7" t="str" cm="1">
        <f t="array" ref="F98">INDEX(공급업체코드!$B$3:$B$1000,MATCH(1,(E98=공급업체코드!$D$3:$D$1000)*1,0))</f>
        <v>VM_BKT</v>
      </c>
      <c r="G98" s="133" t="s">
        <v>2058</v>
      </c>
      <c r="H98" s="63"/>
      <c r="I98" s="64">
        <v>264</v>
      </c>
      <c r="J98" s="64">
        <v>6000</v>
      </c>
      <c r="K98" s="64">
        <v>250</v>
      </c>
      <c r="L98" s="70">
        <v>298</v>
      </c>
      <c r="M98" s="7" t="s">
        <v>990</v>
      </c>
      <c r="N98" s="7">
        <v>380</v>
      </c>
      <c r="O98" s="151">
        <v>0.96200000000000008</v>
      </c>
      <c r="P98" s="7">
        <v>0.9</v>
      </c>
      <c r="Q98" s="7">
        <v>80</v>
      </c>
      <c r="R98" s="65">
        <v>1950</v>
      </c>
      <c r="S98" s="258" t="s">
        <v>1390</v>
      </c>
      <c r="U98" s="259" t="s">
        <v>1375</v>
      </c>
      <c r="V98" s="63">
        <v>250000000</v>
      </c>
      <c r="W98" s="63"/>
      <c r="X98" s="156" t="s">
        <v>1315</v>
      </c>
      <c r="Y98" s="1" t="b">
        <v>1</v>
      </c>
    </row>
    <row r="99" spans="1:25">
      <c r="A99" s="203"/>
      <c r="B99" s="1" t="str">
        <f t="shared" si="1"/>
        <v>M_AEB0101_VM_BKT_232_7000</v>
      </c>
      <c r="C99" s="7" t="s">
        <v>2014</v>
      </c>
      <c r="D99" s="7" t="str" cm="1">
        <f t="array" ref="D99">INDEX(기계코드!$D$4:$D$1022,MATCH(1,(C99=기계코드!$F$4:$F$1022)*1,0))</f>
        <v>M_AEB0101</v>
      </c>
      <c r="E99" s="7" t="s">
        <v>1128</v>
      </c>
      <c r="F99" s="7" t="str" cm="1">
        <f t="array" ref="F99">INDEX(공급업체코드!$B$3:$B$1000,MATCH(1,(E99=공급업체코드!$D$3:$D$1000)*1,0))</f>
        <v>VM_BKT</v>
      </c>
      <c r="G99" s="133" t="s">
        <v>2059</v>
      </c>
      <c r="H99" s="63"/>
      <c r="I99" s="64">
        <v>232</v>
      </c>
      <c r="J99" s="64">
        <v>7000</v>
      </c>
      <c r="K99" s="64">
        <v>250</v>
      </c>
      <c r="L99" s="70">
        <v>298</v>
      </c>
      <c r="M99" s="7" t="s">
        <v>990</v>
      </c>
      <c r="N99" s="7">
        <v>380</v>
      </c>
      <c r="O99" s="151">
        <v>0.96200000000000008</v>
      </c>
      <c r="P99" s="7">
        <v>0.9</v>
      </c>
      <c r="Q99" s="7">
        <v>80</v>
      </c>
      <c r="R99" s="65">
        <v>1950</v>
      </c>
      <c r="S99" s="258" t="s">
        <v>1390</v>
      </c>
      <c r="U99" s="259" t="s">
        <v>1375</v>
      </c>
      <c r="V99" s="63">
        <v>250000000</v>
      </c>
      <c r="W99" s="63"/>
      <c r="X99" s="156" t="s">
        <v>1315</v>
      </c>
      <c r="Y99" s="1" t="b">
        <v>1</v>
      </c>
    </row>
    <row r="100" spans="1:25">
      <c r="A100" s="203"/>
      <c r="B100" s="1" t="str">
        <f t="shared" si="1"/>
        <v>M_AEB0101_VM_BKT_216_8000</v>
      </c>
      <c r="C100" s="7" t="s">
        <v>2014</v>
      </c>
      <c r="D100" s="7" t="str" cm="1">
        <f t="array" ref="D100">INDEX(기계코드!$D$4:$D$1022,MATCH(1,(C100=기계코드!$F$4:$F$1022)*1,0))</f>
        <v>M_AEB0101</v>
      </c>
      <c r="E100" s="7" t="s">
        <v>1128</v>
      </c>
      <c r="F100" s="7" t="str" cm="1">
        <f t="array" ref="F100">INDEX(공급업체코드!$B$3:$B$1000,MATCH(1,(E100=공급업체코드!$D$3:$D$1000)*1,0))</f>
        <v>VM_BKT</v>
      </c>
      <c r="G100" s="133" t="s">
        <v>2059</v>
      </c>
      <c r="H100" s="63"/>
      <c r="I100" s="64">
        <v>216</v>
      </c>
      <c r="J100" s="64">
        <v>8000</v>
      </c>
      <c r="K100" s="64">
        <v>250</v>
      </c>
      <c r="L100" s="70">
        <v>298</v>
      </c>
      <c r="M100" s="7" t="s">
        <v>990</v>
      </c>
      <c r="N100" s="7">
        <v>380</v>
      </c>
      <c r="O100" s="151">
        <v>0.96200000000000008</v>
      </c>
      <c r="P100" s="7">
        <v>0.9</v>
      </c>
      <c r="Q100" s="7">
        <v>80</v>
      </c>
      <c r="R100" s="65">
        <v>1950</v>
      </c>
      <c r="S100" s="258" t="s">
        <v>1390</v>
      </c>
      <c r="U100" s="259" t="s">
        <v>1375</v>
      </c>
      <c r="V100" s="63">
        <v>250000000</v>
      </c>
      <c r="W100" s="63"/>
      <c r="X100" s="156" t="s">
        <v>1315</v>
      </c>
      <c r="Y100" s="1" t="b">
        <v>1</v>
      </c>
    </row>
    <row r="101" spans="1:25">
      <c r="A101" s="203"/>
      <c r="B101" s="1" t="str">
        <f t="shared" si="1"/>
        <v>M_AEB0101_VM_BKT_184_9000</v>
      </c>
      <c r="C101" s="7" t="s">
        <v>2014</v>
      </c>
      <c r="D101" s="7" t="str" cm="1">
        <f t="array" ref="D101">INDEX(기계코드!$D$4:$D$1022,MATCH(1,(C101=기계코드!$F$4:$F$1022)*1,0))</f>
        <v>M_AEB0101</v>
      </c>
      <c r="E101" s="7" t="s">
        <v>1128</v>
      </c>
      <c r="F101" s="7" t="str" cm="1">
        <f t="array" ref="F101">INDEX(공급업체코드!$B$3:$B$1000,MATCH(1,(E101=공급업체코드!$D$3:$D$1000)*1,0))</f>
        <v>VM_BKT</v>
      </c>
      <c r="G101" s="133" t="s">
        <v>2060</v>
      </c>
      <c r="H101" s="63"/>
      <c r="I101" s="64">
        <v>184</v>
      </c>
      <c r="J101" s="64">
        <v>9000</v>
      </c>
      <c r="K101" s="64">
        <v>250</v>
      </c>
      <c r="L101" s="70">
        <v>298</v>
      </c>
      <c r="M101" s="7" t="s">
        <v>990</v>
      </c>
      <c r="N101" s="7">
        <v>380</v>
      </c>
      <c r="O101" s="151">
        <v>0.96200000000000008</v>
      </c>
      <c r="P101" s="7">
        <v>0.9</v>
      </c>
      <c r="Q101" s="7">
        <v>80</v>
      </c>
      <c r="R101" s="65">
        <v>1950</v>
      </c>
      <c r="S101" s="258" t="s">
        <v>1390</v>
      </c>
      <c r="U101" s="259" t="s">
        <v>1375</v>
      </c>
      <c r="V101" s="63">
        <v>250000000</v>
      </c>
      <c r="W101" s="63"/>
      <c r="X101" s="156" t="s">
        <v>1315</v>
      </c>
      <c r="Y101" s="1" t="b">
        <v>1</v>
      </c>
    </row>
    <row r="102" spans="1:25">
      <c r="A102" s="203"/>
      <c r="B102" s="1" t="str">
        <f t="shared" si="1"/>
        <v>M_AEB0101_VM_BKT_172_10000</v>
      </c>
      <c r="C102" s="7" t="s">
        <v>2014</v>
      </c>
      <c r="D102" s="7" t="str" cm="1">
        <f t="array" ref="D102">INDEX(기계코드!$D$4:$D$1022,MATCH(1,(C102=기계코드!$F$4:$F$1022)*1,0))</f>
        <v>M_AEB0101</v>
      </c>
      <c r="E102" s="7" t="s">
        <v>1128</v>
      </c>
      <c r="F102" s="7" t="str" cm="1">
        <f t="array" ref="F102">INDEX(공급업체코드!$B$3:$B$1000,MATCH(1,(E102=공급업체코드!$D$3:$D$1000)*1,0))</f>
        <v>VM_BKT</v>
      </c>
      <c r="G102" s="133" t="s">
        <v>2060</v>
      </c>
      <c r="H102" s="63"/>
      <c r="I102" s="64">
        <v>172</v>
      </c>
      <c r="J102" s="64">
        <v>10000</v>
      </c>
      <c r="K102" s="64">
        <v>250</v>
      </c>
      <c r="L102" s="70">
        <v>298</v>
      </c>
      <c r="M102" s="7" t="s">
        <v>990</v>
      </c>
      <c r="N102" s="7">
        <v>380</v>
      </c>
      <c r="O102" s="151">
        <v>0.96200000000000008</v>
      </c>
      <c r="P102" s="7">
        <v>0.9</v>
      </c>
      <c r="Q102" s="7">
        <v>80</v>
      </c>
      <c r="R102" s="65">
        <v>1950</v>
      </c>
      <c r="S102" s="258" t="s">
        <v>1390</v>
      </c>
      <c r="U102" s="259" t="s">
        <v>1375</v>
      </c>
      <c r="V102" s="63">
        <v>250000000</v>
      </c>
      <c r="W102" s="63"/>
      <c r="X102" s="156" t="s">
        <v>1315</v>
      </c>
      <c r="Y102" s="1" t="b">
        <v>1</v>
      </c>
    </row>
    <row r="103" spans="1:25">
      <c r="A103" s="203"/>
      <c r="B103" s="1" t="str">
        <f t="shared" si="1"/>
        <v>M_AEB0101_VM_BKT_160_11000</v>
      </c>
      <c r="C103" s="7" t="s">
        <v>2014</v>
      </c>
      <c r="D103" s="7" t="str" cm="1">
        <f t="array" ref="D103">INDEX(기계코드!$D$4:$D$1022,MATCH(1,(C103=기계코드!$F$4:$F$1022)*1,0))</f>
        <v>M_AEB0101</v>
      </c>
      <c r="E103" s="7" t="s">
        <v>1128</v>
      </c>
      <c r="F103" s="7" t="str" cm="1">
        <f t="array" ref="F103">INDEX(공급업체코드!$B$3:$B$1000,MATCH(1,(E103=공급업체코드!$D$3:$D$1000)*1,0))</f>
        <v>VM_BKT</v>
      </c>
      <c r="G103" s="133" t="s">
        <v>2061</v>
      </c>
      <c r="H103" s="63"/>
      <c r="I103" s="64">
        <v>160</v>
      </c>
      <c r="J103" s="64">
        <v>11000</v>
      </c>
      <c r="K103" s="64">
        <v>250</v>
      </c>
      <c r="L103" s="70">
        <v>298</v>
      </c>
      <c r="M103" s="7" t="s">
        <v>990</v>
      </c>
      <c r="N103" s="7">
        <v>380</v>
      </c>
      <c r="O103" s="151">
        <v>0.96200000000000008</v>
      </c>
      <c r="P103" s="7">
        <v>0.9</v>
      </c>
      <c r="Q103" s="7">
        <v>80</v>
      </c>
      <c r="R103" s="65">
        <v>1950</v>
      </c>
      <c r="S103" s="258" t="s">
        <v>1390</v>
      </c>
      <c r="U103" s="259" t="s">
        <v>1375</v>
      </c>
      <c r="V103" s="63">
        <v>250000000</v>
      </c>
      <c r="W103" s="63"/>
      <c r="X103" s="156" t="s">
        <v>1315</v>
      </c>
      <c r="Y103" s="1" t="b">
        <v>1</v>
      </c>
    </row>
    <row r="104" spans="1:25">
      <c r="A104" s="203"/>
      <c r="B104" s="1" t="str">
        <f t="shared" si="1"/>
        <v>M_AEB0101_VM_BKT_145_12000</v>
      </c>
      <c r="C104" s="7" t="s">
        <v>2014</v>
      </c>
      <c r="D104" s="7" t="str" cm="1">
        <f t="array" ref="D104">INDEX(기계코드!$D$4:$D$1022,MATCH(1,(C104=기계코드!$F$4:$F$1022)*1,0))</f>
        <v>M_AEB0101</v>
      </c>
      <c r="E104" s="7" t="s">
        <v>1128</v>
      </c>
      <c r="F104" s="7" t="str" cm="1">
        <f t="array" ref="F104">INDEX(공급업체코드!$B$3:$B$1000,MATCH(1,(E104=공급업체코드!$D$3:$D$1000)*1,0))</f>
        <v>VM_BKT</v>
      </c>
      <c r="G104" s="133" t="s">
        <v>2061</v>
      </c>
      <c r="H104" s="63"/>
      <c r="I104" s="64">
        <v>145</v>
      </c>
      <c r="J104" s="64">
        <v>12000</v>
      </c>
      <c r="K104" s="64">
        <v>250</v>
      </c>
      <c r="L104" s="70">
        <v>298</v>
      </c>
      <c r="M104" s="7" t="s">
        <v>990</v>
      </c>
      <c r="N104" s="7">
        <v>380</v>
      </c>
      <c r="O104" s="151">
        <v>0.96200000000000008</v>
      </c>
      <c r="P104" s="7">
        <v>0.9</v>
      </c>
      <c r="Q104" s="7">
        <v>80</v>
      </c>
      <c r="R104" s="119">
        <v>1950</v>
      </c>
      <c r="S104" s="258" t="s">
        <v>1390</v>
      </c>
      <c r="U104" s="259" t="s">
        <v>1375</v>
      </c>
      <c r="V104" s="63">
        <v>250000000</v>
      </c>
      <c r="W104" s="63"/>
      <c r="X104" s="156" t="s">
        <v>1315</v>
      </c>
      <c r="Y104" s="1" t="b">
        <v>1</v>
      </c>
    </row>
    <row r="105" spans="1:25">
      <c r="A105" s="203"/>
      <c r="B105" s="1" t="str">
        <f>D105&amp;"_"&amp;F105&amp;"_"&amp;I105&amp;"_"&amp;J105</f>
        <v>M_AEB0101_VM_BKT_486_3000</v>
      </c>
      <c r="C105" s="7" t="s">
        <v>2014</v>
      </c>
      <c r="D105" s="7" t="str" cm="1">
        <f t="array" ref="D105">INDEX(기계코드!$D$4:$D$1022,MATCH(1,(C105=기계코드!$F$4:$F$1022)*1,0))</f>
        <v>M_AEB0101</v>
      </c>
      <c r="E105" s="7" t="s">
        <v>1128</v>
      </c>
      <c r="F105" s="7" t="str" cm="1">
        <f t="array" ref="F105">INDEX(공급업체코드!$B$3:$B$1000,MATCH(1,(E105=공급업체코드!$D$3:$D$1000)*1,0))</f>
        <v>VM_BKT</v>
      </c>
      <c r="G105" s="158" t="s">
        <v>2062</v>
      </c>
      <c r="I105" s="159">
        <v>486</v>
      </c>
      <c r="J105" s="160">
        <v>3000</v>
      </c>
      <c r="K105" s="159">
        <v>250</v>
      </c>
      <c r="L105" s="159">
        <v>375</v>
      </c>
      <c r="M105" s="7" t="s">
        <v>990</v>
      </c>
      <c r="N105" s="7">
        <v>380</v>
      </c>
      <c r="O105" s="151">
        <v>0.96200000000000008</v>
      </c>
      <c r="P105" s="7">
        <v>0.9</v>
      </c>
      <c r="Q105" s="7">
        <v>80</v>
      </c>
      <c r="R105" s="161">
        <v>2300</v>
      </c>
      <c r="S105" s="258" t="s">
        <v>1390</v>
      </c>
      <c r="U105" s="259" t="s">
        <v>1375</v>
      </c>
      <c r="V105">
        <v>999</v>
      </c>
      <c r="X105" s="156" t="s">
        <v>1354</v>
      </c>
      <c r="Y105" t="b">
        <v>0</v>
      </c>
    </row>
    <row r="106" spans="1:25">
      <c r="A106" s="247"/>
      <c r="B106" s="1" t="str">
        <f t="shared" si="1"/>
        <v>M_AEB0101_VM_BKT_434_4000</v>
      </c>
      <c r="C106" s="7" t="s">
        <v>2014</v>
      </c>
      <c r="D106" s="7" t="str" cm="1">
        <f t="array" ref="D106">INDEX(기계코드!$D$4:$D$1022,MATCH(1,(C106=기계코드!$F$4:$F$1022)*1,0))</f>
        <v>M_AEB0101</v>
      </c>
      <c r="E106" s="7" t="s">
        <v>1128</v>
      </c>
      <c r="F106" s="7" t="str" cm="1">
        <f t="array" ref="F106">INDEX(공급업체코드!$B$3:$B$1000,MATCH(1,(E106=공급업체코드!$D$3:$D$1000)*1,0))</f>
        <v>VM_BKT</v>
      </c>
      <c r="G106" s="158" t="s">
        <v>2062</v>
      </c>
      <c r="I106" s="159">
        <v>434</v>
      </c>
      <c r="J106" s="160">
        <v>4000</v>
      </c>
      <c r="K106" s="159">
        <v>250</v>
      </c>
      <c r="L106" s="159">
        <v>375</v>
      </c>
      <c r="M106" s="7" t="s">
        <v>990</v>
      </c>
      <c r="N106" s="7">
        <v>380</v>
      </c>
      <c r="O106" s="151">
        <v>0.96200000000000008</v>
      </c>
      <c r="P106" s="7">
        <v>0.9</v>
      </c>
      <c r="Q106" s="7">
        <v>80</v>
      </c>
      <c r="R106" s="161">
        <v>2300</v>
      </c>
      <c r="S106" s="258" t="s">
        <v>1390</v>
      </c>
      <c r="U106" s="259" t="s">
        <v>1375</v>
      </c>
      <c r="V106">
        <v>999</v>
      </c>
      <c r="X106" s="156" t="s">
        <v>1354</v>
      </c>
      <c r="Y106" t="b">
        <v>0</v>
      </c>
    </row>
    <row r="107" spans="1:25">
      <c r="A107" s="247"/>
      <c r="B107" s="1" t="str">
        <f>D107&amp;"_"&amp;F107&amp;"_"&amp;I107&amp;"_"&amp;J107</f>
        <v>M_AEB0101_VM_BKT_390_5000</v>
      </c>
      <c r="C107" s="7" t="s">
        <v>2014</v>
      </c>
      <c r="D107" s="7" t="str" cm="1">
        <f t="array" ref="D107">INDEX(기계코드!$D$4:$D$1022,MATCH(1,(C107=기계코드!$F$4:$F$1022)*1,0))</f>
        <v>M_AEB0101</v>
      </c>
      <c r="E107" s="7" t="s">
        <v>1128</v>
      </c>
      <c r="F107" s="7" t="str" cm="1">
        <f t="array" ref="F107">INDEX(공급업체코드!$B$3:$B$1000,MATCH(1,(E107=공급업체코드!$D$3:$D$1000)*1,0))</f>
        <v>VM_BKT</v>
      </c>
      <c r="G107" s="158" t="s">
        <v>2062</v>
      </c>
      <c r="I107" s="159">
        <v>390</v>
      </c>
      <c r="J107" s="160">
        <v>5000</v>
      </c>
      <c r="K107" s="159">
        <v>250</v>
      </c>
      <c r="L107" s="159">
        <v>375</v>
      </c>
      <c r="M107" s="7" t="s">
        <v>990</v>
      </c>
      <c r="N107" s="7">
        <v>380</v>
      </c>
      <c r="O107" s="151">
        <v>0.96200000000000008</v>
      </c>
      <c r="P107" s="7">
        <v>0.9</v>
      </c>
      <c r="Q107" s="7">
        <v>80</v>
      </c>
      <c r="R107" s="161">
        <v>2300</v>
      </c>
      <c r="S107" s="258" t="s">
        <v>1390</v>
      </c>
      <c r="U107" s="259" t="s">
        <v>1375</v>
      </c>
      <c r="V107">
        <v>999</v>
      </c>
      <c r="X107" s="156" t="s">
        <v>1354</v>
      </c>
      <c r="Y107" t="b">
        <v>0</v>
      </c>
    </row>
    <row r="108" spans="1:25">
      <c r="A108" s="247"/>
      <c r="B108" s="1" t="str">
        <f t="shared" si="1"/>
        <v>M_AEB0101_VM_BKT_320_6000</v>
      </c>
      <c r="C108" s="7" t="s">
        <v>2014</v>
      </c>
      <c r="D108" s="7" t="str" cm="1">
        <f t="array" ref="D108">INDEX(기계코드!$D$4:$D$1022,MATCH(1,(C108=기계코드!$F$4:$F$1022)*1,0))</f>
        <v>M_AEB0101</v>
      </c>
      <c r="E108" s="7" t="s">
        <v>1128</v>
      </c>
      <c r="F108" s="7" t="str" cm="1">
        <f t="array" ref="F108">INDEX(공급업체코드!$B$3:$B$1000,MATCH(1,(E108=공급업체코드!$D$3:$D$1000)*1,0))</f>
        <v>VM_BKT</v>
      </c>
      <c r="G108" s="158" t="s">
        <v>2062</v>
      </c>
      <c r="I108" s="159">
        <v>320</v>
      </c>
      <c r="J108" s="160">
        <v>6000</v>
      </c>
      <c r="K108" s="159">
        <v>250</v>
      </c>
      <c r="L108" s="159">
        <v>375</v>
      </c>
      <c r="M108" s="7" t="s">
        <v>990</v>
      </c>
      <c r="N108" s="7">
        <v>380</v>
      </c>
      <c r="O108" s="151">
        <v>0.96200000000000008</v>
      </c>
      <c r="P108" s="7">
        <v>0.9</v>
      </c>
      <c r="Q108" s="7">
        <v>80</v>
      </c>
      <c r="R108" s="161">
        <v>2300</v>
      </c>
      <c r="S108" s="258" t="s">
        <v>1390</v>
      </c>
      <c r="U108" s="259" t="s">
        <v>1375</v>
      </c>
      <c r="V108">
        <v>999</v>
      </c>
      <c r="X108" s="156" t="s">
        <v>1354</v>
      </c>
      <c r="Y108" t="b">
        <v>0</v>
      </c>
    </row>
    <row r="109" spans="1:25">
      <c r="A109" s="247"/>
      <c r="B109" s="1" t="str">
        <f t="shared" si="1"/>
        <v>M_AEB0101_VM_BKT_290_7000</v>
      </c>
      <c r="C109" s="7" t="s">
        <v>2014</v>
      </c>
      <c r="D109" s="7" t="str" cm="1">
        <f t="array" ref="D109">INDEX(기계코드!$D$4:$D$1022,MATCH(1,(C109=기계코드!$F$4:$F$1022)*1,0))</f>
        <v>M_AEB0101</v>
      </c>
      <c r="E109" s="7" t="s">
        <v>1128</v>
      </c>
      <c r="F109" s="7" t="str" cm="1">
        <f t="array" ref="F109">INDEX(공급업체코드!$B$3:$B$1000,MATCH(1,(E109=공급업체코드!$D$3:$D$1000)*1,0))</f>
        <v>VM_BKT</v>
      </c>
      <c r="G109" s="158" t="s">
        <v>2063</v>
      </c>
      <c r="I109" s="159">
        <v>290</v>
      </c>
      <c r="J109" s="160">
        <v>7000</v>
      </c>
      <c r="K109" s="159">
        <v>250</v>
      </c>
      <c r="L109" s="159">
        <v>375</v>
      </c>
      <c r="M109" s="7" t="s">
        <v>990</v>
      </c>
      <c r="N109" s="7">
        <v>380</v>
      </c>
      <c r="O109" s="151">
        <v>0.96200000000000008</v>
      </c>
      <c r="P109" s="7">
        <v>0.9</v>
      </c>
      <c r="Q109" s="7">
        <v>80</v>
      </c>
      <c r="R109" s="161">
        <v>3300</v>
      </c>
      <c r="S109" s="258" t="s">
        <v>1390</v>
      </c>
      <c r="U109" s="259" t="s">
        <v>1375</v>
      </c>
      <c r="V109">
        <v>999</v>
      </c>
      <c r="X109" s="156" t="s">
        <v>1354</v>
      </c>
      <c r="Y109" t="b">
        <v>0</v>
      </c>
    </row>
    <row r="110" spans="1:25">
      <c r="A110" s="247"/>
      <c r="B110" s="1" t="str">
        <f t="shared" si="1"/>
        <v>M_AEB0101_VM_BKT_270_8000</v>
      </c>
      <c r="C110" s="7" t="s">
        <v>2014</v>
      </c>
      <c r="D110" s="7" t="str" cm="1">
        <f t="array" ref="D110">INDEX(기계코드!$D$4:$D$1022,MATCH(1,(C110=기계코드!$F$4:$F$1022)*1,0))</f>
        <v>M_AEB0101</v>
      </c>
      <c r="E110" s="7" t="s">
        <v>1128</v>
      </c>
      <c r="F110" s="7" t="str" cm="1">
        <f t="array" ref="F110">INDEX(공급업체코드!$B$3:$B$1000,MATCH(1,(E110=공급업체코드!$D$3:$D$1000)*1,0))</f>
        <v>VM_BKT</v>
      </c>
      <c r="G110" s="158" t="s">
        <v>2063</v>
      </c>
      <c r="I110" s="159">
        <v>270</v>
      </c>
      <c r="J110" s="160">
        <v>8000</v>
      </c>
      <c r="K110" s="159">
        <v>250</v>
      </c>
      <c r="L110" s="159">
        <v>375</v>
      </c>
      <c r="M110" s="7" t="s">
        <v>990</v>
      </c>
      <c r="N110" s="7">
        <v>380</v>
      </c>
      <c r="O110" s="151">
        <v>0.96200000000000008</v>
      </c>
      <c r="P110" s="7">
        <v>0.9</v>
      </c>
      <c r="Q110" s="7">
        <v>80</v>
      </c>
      <c r="R110" s="161">
        <v>3300</v>
      </c>
      <c r="S110" s="258" t="s">
        <v>1390</v>
      </c>
      <c r="U110" s="259" t="s">
        <v>1375</v>
      </c>
      <c r="V110">
        <v>999</v>
      </c>
      <c r="X110" s="156" t="s">
        <v>1354</v>
      </c>
      <c r="Y110" t="b">
        <v>0</v>
      </c>
    </row>
    <row r="111" spans="1:25">
      <c r="A111" s="247"/>
      <c r="B111" s="1" t="str">
        <f t="shared" si="1"/>
        <v>M_AEB0101_VM_BKT_228_9000</v>
      </c>
      <c r="C111" s="7" t="s">
        <v>2014</v>
      </c>
      <c r="D111" s="7" t="str" cm="1">
        <f t="array" ref="D111">INDEX(기계코드!$D$4:$D$1022,MATCH(1,(C111=기계코드!$F$4:$F$1022)*1,0))</f>
        <v>M_AEB0101</v>
      </c>
      <c r="E111" s="7" t="s">
        <v>1128</v>
      </c>
      <c r="F111" s="7" t="str" cm="1">
        <f t="array" ref="F111">INDEX(공급업체코드!$B$3:$B$1000,MATCH(1,(E111=공급업체코드!$D$3:$D$1000)*1,0))</f>
        <v>VM_BKT</v>
      </c>
      <c r="G111" s="158" t="s">
        <v>2064</v>
      </c>
      <c r="I111" s="159">
        <v>228</v>
      </c>
      <c r="J111" s="160">
        <v>9000</v>
      </c>
      <c r="K111" s="159">
        <v>250</v>
      </c>
      <c r="L111" s="159">
        <v>375</v>
      </c>
      <c r="M111" s="7" t="s">
        <v>990</v>
      </c>
      <c r="N111" s="7">
        <v>380</v>
      </c>
      <c r="O111" s="151">
        <v>0.96200000000000008</v>
      </c>
      <c r="P111" s="7">
        <v>0.9</v>
      </c>
      <c r="Q111" s="7">
        <v>80</v>
      </c>
      <c r="R111" s="161">
        <v>3300</v>
      </c>
      <c r="S111" s="258" t="s">
        <v>1390</v>
      </c>
      <c r="U111" s="259" t="s">
        <v>1375</v>
      </c>
      <c r="V111">
        <v>999</v>
      </c>
      <c r="X111" s="156" t="s">
        <v>1354</v>
      </c>
      <c r="Y111" t="b">
        <v>0</v>
      </c>
    </row>
    <row r="112" spans="1:25">
      <c r="A112" s="247"/>
      <c r="B112" s="1" t="str">
        <f t="shared" si="1"/>
        <v>M_AEB0101_VM_BKT_218_10000</v>
      </c>
      <c r="C112" s="7" t="s">
        <v>2014</v>
      </c>
      <c r="D112" s="7" t="str" cm="1">
        <f t="array" ref="D112">INDEX(기계코드!$D$4:$D$1022,MATCH(1,(C112=기계코드!$F$4:$F$1022)*1,0))</f>
        <v>M_AEB0101</v>
      </c>
      <c r="E112" s="7" t="s">
        <v>1128</v>
      </c>
      <c r="F112" s="7" t="str" cm="1">
        <f t="array" ref="F112">INDEX(공급업체코드!$B$3:$B$1000,MATCH(1,(E112=공급업체코드!$D$3:$D$1000)*1,0))</f>
        <v>VM_BKT</v>
      </c>
      <c r="G112" s="158" t="s">
        <v>2064</v>
      </c>
      <c r="I112" s="159">
        <v>218</v>
      </c>
      <c r="J112" s="160">
        <v>10000</v>
      </c>
      <c r="K112" s="159">
        <v>250</v>
      </c>
      <c r="L112" s="159">
        <v>375</v>
      </c>
      <c r="M112" s="7" t="s">
        <v>990</v>
      </c>
      <c r="N112" s="7">
        <v>380</v>
      </c>
      <c r="O112" s="151">
        <v>0.96200000000000008</v>
      </c>
      <c r="P112" s="7">
        <v>0.9</v>
      </c>
      <c r="Q112" s="7">
        <v>80</v>
      </c>
      <c r="R112" s="161">
        <v>3300</v>
      </c>
      <c r="S112" s="258" t="s">
        <v>1390</v>
      </c>
      <c r="U112" s="259" t="s">
        <v>1375</v>
      </c>
      <c r="V112">
        <v>999</v>
      </c>
      <c r="X112" s="156" t="s">
        <v>1354</v>
      </c>
      <c r="Y112" t="b">
        <v>0</v>
      </c>
    </row>
    <row r="113" spans="1:25">
      <c r="A113" s="247"/>
      <c r="B113" s="1" t="str">
        <f t="shared" si="1"/>
        <v>M_AEB0101_VM_BKT_516_3000</v>
      </c>
      <c r="C113" s="7" t="s">
        <v>2014</v>
      </c>
      <c r="D113" s="7" t="str" cm="1">
        <f t="array" ref="D113">INDEX(기계코드!$D$4:$D$1022,MATCH(1,(C113=기계코드!$F$4:$F$1022)*1,0))</f>
        <v>M_AEB0101</v>
      </c>
      <c r="E113" s="7" t="s">
        <v>1128</v>
      </c>
      <c r="F113" s="7" t="str" cm="1">
        <f t="array" ref="F113">INDEX(공급업체코드!$B$3:$B$1000,MATCH(1,(E113=공급업체코드!$D$3:$D$1000)*1,0))</f>
        <v>VM_BKT</v>
      </c>
      <c r="G113" s="158" t="s">
        <v>2065</v>
      </c>
      <c r="I113" s="159">
        <v>516</v>
      </c>
      <c r="J113" s="160">
        <v>3000</v>
      </c>
      <c r="K113" s="159">
        <v>250</v>
      </c>
      <c r="L113" s="159">
        <v>450</v>
      </c>
      <c r="M113" s="7" t="s">
        <v>990</v>
      </c>
      <c r="N113" s="7">
        <v>380</v>
      </c>
      <c r="O113" s="151">
        <v>0.96200000000000008</v>
      </c>
      <c r="P113" s="7">
        <v>0.9</v>
      </c>
      <c r="Q113" s="7">
        <v>80</v>
      </c>
      <c r="R113" s="161">
        <v>3650</v>
      </c>
      <c r="S113" s="258" t="s">
        <v>1390</v>
      </c>
      <c r="U113" s="259" t="s">
        <v>1375</v>
      </c>
      <c r="V113">
        <v>999</v>
      </c>
      <c r="X113" s="156" t="s">
        <v>1354</v>
      </c>
      <c r="Y113" t="b">
        <v>0</v>
      </c>
    </row>
    <row r="114" spans="1:25">
      <c r="A114" s="247"/>
      <c r="B114" s="1" t="str">
        <f t="shared" si="1"/>
        <v>M_AEB0101_VM_BKT_484_4000</v>
      </c>
      <c r="C114" s="7" t="s">
        <v>2014</v>
      </c>
      <c r="D114" s="7" t="str" cm="1">
        <f t="array" ref="D114">INDEX(기계코드!$D$4:$D$1022,MATCH(1,(C114=기계코드!$F$4:$F$1022)*1,0))</f>
        <v>M_AEB0101</v>
      </c>
      <c r="E114" s="7" t="s">
        <v>1128</v>
      </c>
      <c r="F114" s="7" t="str" cm="1">
        <f t="array" ref="F114">INDEX(공급업체코드!$B$3:$B$1000,MATCH(1,(E114=공급업체코드!$D$3:$D$1000)*1,0))</f>
        <v>VM_BKT</v>
      </c>
      <c r="G114" s="158" t="s">
        <v>2065</v>
      </c>
      <c r="I114" s="159">
        <v>484</v>
      </c>
      <c r="J114" s="160">
        <v>4000</v>
      </c>
      <c r="K114" s="159">
        <v>250</v>
      </c>
      <c r="L114" s="159">
        <v>450</v>
      </c>
      <c r="M114" s="7" t="s">
        <v>990</v>
      </c>
      <c r="N114" s="7">
        <v>380</v>
      </c>
      <c r="O114" s="151">
        <v>0.96200000000000008</v>
      </c>
      <c r="P114" s="7">
        <v>0.9</v>
      </c>
      <c r="Q114" s="7">
        <v>80</v>
      </c>
      <c r="R114" s="161">
        <v>3650</v>
      </c>
      <c r="S114" s="258" t="s">
        <v>1390</v>
      </c>
      <c r="U114" s="259" t="s">
        <v>1375</v>
      </c>
      <c r="V114">
        <v>999</v>
      </c>
      <c r="X114" s="156" t="s">
        <v>1354</v>
      </c>
      <c r="Y114" t="b">
        <v>0</v>
      </c>
    </row>
    <row r="115" spans="1:25">
      <c r="A115" s="247"/>
      <c r="B115" s="1" t="str">
        <f t="shared" si="1"/>
        <v>M_AEB0101_VM_BKT_450_5000</v>
      </c>
      <c r="C115" s="7" t="s">
        <v>2014</v>
      </c>
      <c r="D115" s="7" t="str" cm="1">
        <f t="array" ref="D115">INDEX(기계코드!$D$4:$D$1022,MATCH(1,(C115=기계코드!$F$4:$F$1022)*1,0))</f>
        <v>M_AEB0101</v>
      </c>
      <c r="E115" s="7" t="s">
        <v>1128</v>
      </c>
      <c r="F115" s="7" t="str" cm="1">
        <f t="array" ref="F115">INDEX(공급업체코드!$B$3:$B$1000,MATCH(1,(E115=공급업체코드!$D$3:$D$1000)*1,0))</f>
        <v>VM_BKT</v>
      </c>
      <c r="G115" s="158" t="s">
        <v>2065</v>
      </c>
      <c r="I115" s="159">
        <v>450</v>
      </c>
      <c r="J115" s="160">
        <v>5000</v>
      </c>
      <c r="K115" s="159">
        <v>250</v>
      </c>
      <c r="L115" s="159">
        <v>450</v>
      </c>
      <c r="M115" s="7" t="s">
        <v>990</v>
      </c>
      <c r="N115" s="7">
        <v>380</v>
      </c>
      <c r="O115" s="151">
        <v>0.96200000000000008</v>
      </c>
      <c r="P115" s="7">
        <v>0.9</v>
      </c>
      <c r="Q115" s="7">
        <v>80</v>
      </c>
      <c r="R115" s="161">
        <v>3650</v>
      </c>
      <c r="S115" s="258" t="s">
        <v>1390</v>
      </c>
      <c r="U115" s="259" t="s">
        <v>1375</v>
      </c>
      <c r="V115">
        <v>999</v>
      </c>
      <c r="X115" s="156" t="s">
        <v>1354</v>
      </c>
      <c r="Y115" t="b">
        <v>0</v>
      </c>
    </row>
    <row r="116" spans="1:25">
      <c r="A116" s="247"/>
      <c r="B116" s="1" t="str">
        <f t="shared" si="1"/>
        <v>M_AEB0101_VM_BKT_400_6000</v>
      </c>
      <c r="C116" s="7" t="s">
        <v>2014</v>
      </c>
      <c r="D116" s="7" t="str" cm="1">
        <f t="array" ref="D116">INDEX(기계코드!$D$4:$D$1022,MATCH(1,(C116=기계코드!$F$4:$F$1022)*1,0))</f>
        <v>M_AEB0101</v>
      </c>
      <c r="E116" s="7" t="s">
        <v>1128</v>
      </c>
      <c r="F116" s="7" t="str" cm="1">
        <f t="array" ref="F116">INDEX(공급업체코드!$B$3:$B$1000,MATCH(1,(E116=공급업체코드!$D$3:$D$1000)*1,0))</f>
        <v>VM_BKT</v>
      </c>
      <c r="G116" s="158" t="s">
        <v>2065</v>
      </c>
      <c r="I116" s="159">
        <v>400</v>
      </c>
      <c r="J116" s="160">
        <v>6000</v>
      </c>
      <c r="K116" s="159">
        <v>250</v>
      </c>
      <c r="L116" s="159">
        <v>450</v>
      </c>
      <c r="M116" s="7" t="s">
        <v>990</v>
      </c>
      <c r="N116" s="7">
        <v>380</v>
      </c>
      <c r="O116" s="151">
        <v>0.96200000000000008</v>
      </c>
      <c r="P116" s="7">
        <v>0.9</v>
      </c>
      <c r="Q116" s="7">
        <v>80</v>
      </c>
      <c r="R116" s="161">
        <v>3650</v>
      </c>
      <c r="S116" s="258" t="s">
        <v>1390</v>
      </c>
      <c r="U116" s="259" t="s">
        <v>1375</v>
      </c>
      <c r="V116">
        <v>999</v>
      </c>
      <c r="X116" s="156" t="s">
        <v>1354</v>
      </c>
      <c r="Y116" t="b">
        <v>0</v>
      </c>
    </row>
    <row r="117" spans="1:25">
      <c r="A117" s="247"/>
      <c r="B117" s="1" t="str">
        <f t="shared" si="1"/>
        <v>M_AEB0101_VM_BKT_360_7000</v>
      </c>
      <c r="C117" s="7" t="s">
        <v>2014</v>
      </c>
      <c r="D117" s="7" t="str" cm="1">
        <f t="array" ref="D117">INDEX(기계코드!$D$4:$D$1022,MATCH(1,(C117=기계코드!$F$4:$F$1022)*1,0))</f>
        <v>M_AEB0101</v>
      </c>
      <c r="E117" s="7" t="s">
        <v>1128</v>
      </c>
      <c r="F117" s="7" t="str" cm="1">
        <f t="array" ref="F117">INDEX(공급업체코드!$B$3:$B$1000,MATCH(1,(E117=공급업체코드!$D$3:$D$1000)*1,0))</f>
        <v>VM_BKT</v>
      </c>
      <c r="G117" s="158" t="s">
        <v>2066</v>
      </c>
      <c r="I117" s="159">
        <v>360</v>
      </c>
      <c r="J117" s="160">
        <v>7000</v>
      </c>
      <c r="K117" s="159">
        <v>250</v>
      </c>
      <c r="L117" s="159">
        <v>450</v>
      </c>
      <c r="M117" s="7" t="s">
        <v>990</v>
      </c>
      <c r="N117" s="7">
        <v>380</v>
      </c>
      <c r="O117" s="151">
        <v>0.96200000000000008</v>
      </c>
      <c r="P117" s="7">
        <v>0.9</v>
      </c>
      <c r="Q117" s="7">
        <v>80</v>
      </c>
      <c r="R117" s="161">
        <v>3650</v>
      </c>
      <c r="S117" s="258" t="s">
        <v>1390</v>
      </c>
      <c r="U117" s="259" t="s">
        <v>1375</v>
      </c>
      <c r="V117">
        <v>999</v>
      </c>
      <c r="X117" s="156" t="s">
        <v>1354</v>
      </c>
      <c r="Y117" t="b">
        <v>0</v>
      </c>
    </row>
    <row r="118" spans="1:25">
      <c r="A118" s="247"/>
      <c r="B118" s="1" t="str">
        <f>D118&amp;"_"&amp;F118&amp;"_"&amp;I118&amp;"_"&amp;J118</f>
        <v>M_AEB0101_VM_BKT_324_8000</v>
      </c>
      <c r="C118" s="7" t="s">
        <v>2014</v>
      </c>
      <c r="D118" s="7" t="str" cm="1">
        <f t="array" ref="D118">INDEX(기계코드!$D$4:$D$1022,MATCH(1,(C118=기계코드!$F$4:$F$1022)*1,0))</f>
        <v>M_AEB0101</v>
      </c>
      <c r="E118" s="7" t="s">
        <v>1128</v>
      </c>
      <c r="F118" s="7" t="str" cm="1">
        <f t="array" ref="F118">INDEX(공급업체코드!$B$3:$B$1000,MATCH(1,(E118=공급업체코드!$D$3:$D$1000)*1,0))</f>
        <v>VM_BKT</v>
      </c>
      <c r="G118" s="158" t="s">
        <v>2066</v>
      </c>
      <c r="I118" s="159">
        <v>324</v>
      </c>
      <c r="J118" s="160">
        <v>8000</v>
      </c>
      <c r="K118" s="159">
        <v>250</v>
      </c>
      <c r="L118" s="159">
        <v>450</v>
      </c>
      <c r="M118" s="7" t="s">
        <v>990</v>
      </c>
      <c r="N118" s="7">
        <v>380</v>
      </c>
      <c r="O118" s="151">
        <v>0.96200000000000008</v>
      </c>
      <c r="P118" s="7">
        <v>0.9</v>
      </c>
      <c r="Q118" s="7">
        <v>80</v>
      </c>
      <c r="R118" s="161">
        <v>3650</v>
      </c>
      <c r="S118" s="258" t="s">
        <v>1390</v>
      </c>
      <c r="U118" s="259" t="s">
        <v>1375</v>
      </c>
      <c r="V118">
        <v>999</v>
      </c>
      <c r="X118" s="156" t="s">
        <v>1354</v>
      </c>
      <c r="Y118" t="b">
        <v>0</v>
      </c>
    </row>
    <row r="119" spans="1:25">
      <c r="A119" s="247"/>
      <c r="B119" s="1" t="str">
        <f t="shared" si="1"/>
        <v>M_AEB0101_VM_BKT_274_9000</v>
      </c>
      <c r="C119" s="7" t="s">
        <v>2014</v>
      </c>
      <c r="D119" s="7" t="str" cm="1">
        <f t="array" ref="D119">INDEX(기계코드!$D$4:$D$1022,MATCH(1,(C119=기계코드!$F$4:$F$1022)*1,0))</f>
        <v>M_AEB0101</v>
      </c>
      <c r="E119" s="7" t="s">
        <v>1128</v>
      </c>
      <c r="F119" s="7" t="str" cm="1">
        <f t="array" ref="F119">INDEX(공급업체코드!$B$3:$B$1000,MATCH(1,(E119=공급업체코드!$D$3:$D$1000)*1,0))</f>
        <v>VM_BKT</v>
      </c>
      <c r="G119" s="158" t="s">
        <v>2067</v>
      </c>
      <c r="I119" s="159">
        <v>274</v>
      </c>
      <c r="J119" s="160">
        <v>9000</v>
      </c>
      <c r="K119" s="159">
        <v>250</v>
      </c>
      <c r="L119" s="159">
        <v>450</v>
      </c>
      <c r="M119" s="7" t="s">
        <v>990</v>
      </c>
      <c r="N119" s="7">
        <v>380</v>
      </c>
      <c r="O119" s="151">
        <v>0.96200000000000008</v>
      </c>
      <c r="P119" s="7">
        <v>0.9</v>
      </c>
      <c r="Q119" s="7">
        <v>80</v>
      </c>
      <c r="R119" s="161">
        <v>3650</v>
      </c>
      <c r="S119" s="258" t="s">
        <v>1390</v>
      </c>
      <c r="U119" s="259" t="s">
        <v>1375</v>
      </c>
      <c r="V119">
        <v>999</v>
      </c>
      <c r="X119" s="156" t="s">
        <v>1354</v>
      </c>
      <c r="Y119" t="b">
        <v>0</v>
      </c>
    </row>
    <row r="120" spans="1:25">
      <c r="A120" s="247"/>
      <c r="B120" s="1" t="str">
        <f t="shared" si="1"/>
        <v>M_AEB0101_VM_BKT_250_10000</v>
      </c>
      <c r="C120" s="7" t="s">
        <v>2014</v>
      </c>
      <c r="D120" s="7" t="str" cm="1">
        <f t="array" ref="D120">INDEX(기계코드!$D$4:$D$1022,MATCH(1,(C120=기계코드!$F$4:$F$1022)*1,0))</f>
        <v>M_AEB0101</v>
      </c>
      <c r="E120" s="7" t="s">
        <v>1128</v>
      </c>
      <c r="F120" s="7" t="str" cm="1">
        <f t="array" ref="F120">INDEX(공급업체코드!$B$3:$B$1000,MATCH(1,(E120=공급업체코드!$D$3:$D$1000)*1,0))</f>
        <v>VM_BKT</v>
      </c>
      <c r="G120" s="158" t="s">
        <v>2067</v>
      </c>
      <c r="I120" s="159">
        <v>250</v>
      </c>
      <c r="J120" s="160">
        <v>10000</v>
      </c>
      <c r="K120" s="159">
        <v>250</v>
      </c>
      <c r="L120" s="159">
        <v>450</v>
      </c>
      <c r="M120" s="7" t="s">
        <v>990</v>
      </c>
      <c r="N120" s="7">
        <v>380</v>
      </c>
      <c r="O120" s="151">
        <v>0.96200000000000008</v>
      </c>
      <c r="P120" s="7">
        <v>0.9</v>
      </c>
      <c r="Q120" s="7">
        <v>80</v>
      </c>
      <c r="R120" s="161">
        <v>3650</v>
      </c>
      <c r="S120" s="258" t="s">
        <v>1390</v>
      </c>
      <c r="U120" s="259" t="s">
        <v>1375</v>
      </c>
      <c r="V120">
        <v>999</v>
      </c>
      <c r="X120" s="156" t="s">
        <v>1354</v>
      </c>
      <c r="Y120" t="b">
        <v>0</v>
      </c>
    </row>
    <row r="121" spans="1:25">
      <c r="A121" s="247"/>
      <c r="B121" s="1" t="str">
        <f t="shared" si="1"/>
        <v>M_AEB0101_VM_BKT_228_11000</v>
      </c>
      <c r="C121" s="7" t="s">
        <v>2014</v>
      </c>
      <c r="D121" s="7" t="str" cm="1">
        <f t="array" ref="D121">INDEX(기계코드!$D$4:$D$1022,MATCH(1,(C121=기계코드!$F$4:$F$1022)*1,0))</f>
        <v>M_AEB0101</v>
      </c>
      <c r="E121" s="7" t="s">
        <v>1128</v>
      </c>
      <c r="F121" s="7" t="str" cm="1">
        <f t="array" ref="F121">INDEX(공급업체코드!$B$3:$B$1000,MATCH(1,(E121=공급업체코드!$D$3:$D$1000)*1,0))</f>
        <v>VM_BKT</v>
      </c>
      <c r="G121" s="158" t="s">
        <v>2068</v>
      </c>
      <c r="I121" s="159">
        <v>228</v>
      </c>
      <c r="J121" s="160">
        <v>11000</v>
      </c>
      <c r="K121" s="159">
        <v>250</v>
      </c>
      <c r="L121" s="159">
        <v>450</v>
      </c>
      <c r="M121" s="7" t="s">
        <v>990</v>
      </c>
      <c r="N121" s="7">
        <v>380</v>
      </c>
      <c r="O121" s="151">
        <v>0.96200000000000008</v>
      </c>
      <c r="P121" s="7">
        <v>0.9</v>
      </c>
      <c r="Q121" s="7">
        <v>80</v>
      </c>
      <c r="R121" s="161">
        <v>3650</v>
      </c>
      <c r="S121" s="258" t="s">
        <v>1390</v>
      </c>
      <c r="U121" s="259" t="s">
        <v>1375</v>
      </c>
      <c r="V121">
        <v>999</v>
      </c>
      <c r="X121" s="156" t="s">
        <v>1354</v>
      </c>
      <c r="Y121" t="b">
        <v>0</v>
      </c>
    </row>
    <row r="122" spans="1:25">
      <c r="A122" s="247"/>
      <c r="B122" s="1" t="str">
        <f t="shared" si="1"/>
        <v>M_AEB0101_VM_BKT_224_12000</v>
      </c>
      <c r="C122" s="7" t="s">
        <v>2014</v>
      </c>
      <c r="D122" s="7" t="str" cm="1">
        <f t="array" ref="D122">INDEX(기계코드!$D$4:$D$1022,MATCH(1,(C122=기계코드!$F$4:$F$1022)*1,0))</f>
        <v>M_AEB0101</v>
      </c>
      <c r="E122" s="7" t="s">
        <v>1128</v>
      </c>
      <c r="F122" s="7" t="str" cm="1">
        <f t="array" ref="F122">INDEX(공급업체코드!$B$3:$B$1000,MATCH(1,(E122=공급업체코드!$D$3:$D$1000)*1,0))</f>
        <v>VM_BKT</v>
      </c>
      <c r="G122" s="158" t="s">
        <v>2068</v>
      </c>
      <c r="I122" s="159">
        <v>224</v>
      </c>
      <c r="J122" s="160">
        <v>12000</v>
      </c>
      <c r="K122" s="159">
        <v>250</v>
      </c>
      <c r="L122" s="159">
        <v>450</v>
      </c>
      <c r="M122" s="7" t="s">
        <v>990</v>
      </c>
      <c r="N122" s="7">
        <v>380</v>
      </c>
      <c r="O122" s="151">
        <v>0.96200000000000008</v>
      </c>
      <c r="P122" s="7">
        <v>0.9</v>
      </c>
      <c r="Q122" s="7">
        <v>80</v>
      </c>
      <c r="R122" s="161">
        <v>3650</v>
      </c>
      <c r="S122" s="258" t="s">
        <v>1390</v>
      </c>
      <c r="U122" s="259" t="s">
        <v>1375</v>
      </c>
      <c r="V122">
        <v>999</v>
      </c>
      <c r="X122" s="156" t="s">
        <v>1354</v>
      </c>
      <c r="Y122" t="b">
        <v>0</v>
      </c>
    </row>
    <row r="123" spans="1:25">
      <c r="A123" s="247"/>
      <c r="B123" s="1" t="str">
        <f t="shared" si="1"/>
        <v>M_AEB0101_VM_BKT_696_3000</v>
      </c>
      <c r="C123" s="7" t="s">
        <v>2014</v>
      </c>
      <c r="D123" s="7" t="str" cm="1">
        <f t="array" ref="D123">INDEX(기계코드!$D$4:$D$1022,MATCH(1,(C123=기계코드!$F$4:$F$1022)*1,0))</f>
        <v>M_AEB0101</v>
      </c>
      <c r="E123" s="7" t="s">
        <v>1128</v>
      </c>
      <c r="F123" s="7" t="str" cm="1">
        <f t="array" ref="F123">INDEX(공급업체코드!$B$3:$B$1000,MATCH(1,(E123=공급업체코드!$D$3:$D$1000)*1,0))</f>
        <v>VM_BKT</v>
      </c>
      <c r="G123" s="158" t="s">
        <v>2069</v>
      </c>
      <c r="I123" s="159">
        <v>696</v>
      </c>
      <c r="J123" s="160">
        <v>3000</v>
      </c>
      <c r="K123" s="159">
        <v>250</v>
      </c>
      <c r="L123" s="159">
        <v>600</v>
      </c>
      <c r="M123" s="7" t="s">
        <v>990</v>
      </c>
      <c r="N123" s="7">
        <v>380</v>
      </c>
      <c r="O123" s="151">
        <v>0.96200000000000008</v>
      </c>
      <c r="P123" s="7">
        <v>0.9</v>
      </c>
      <c r="Q123" s="7">
        <v>80</v>
      </c>
      <c r="R123" s="161">
        <v>3800</v>
      </c>
      <c r="S123" s="258" t="s">
        <v>1390</v>
      </c>
      <c r="U123" s="259" t="s">
        <v>1375</v>
      </c>
      <c r="V123">
        <v>999</v>
      </c>
      <c r="X123" s="156" t="s">
        <v>1354</v>
      </c>
      <c r="Y123" t="b">
        <v>0</v>
      </c>
    </row>
    <row r="124" spans="1:25">
      <c r="A124" s="247"/>
      <c r="B124" s="1" t="str">
        <f t="shared" si="1"/>
        <v>M_AEB0101_VM_BKT_656_4000</v>
      </c>
      <c r="C124" s="7" t="s">
        <v>2014</v>
      </c>
      <c r="D124" s="7" t="str" cm="1">
        <f t="array" ref="D124">INDEX(기계코드!$D$4:$D$1022,MATCH(1,(C124=기계코드!$F$4:$F$1022)*1,0))</f>
        <v>M_AEB0101</v>
      </c>
      <c r="E124" s="7" t="s">
        <v>1128</v>
      </c>
      <c r="F124" s="7" t="str" cm="1">
        <f t="array" ref="F124">INDEX(공급업체코드!$B$3:$B$1000,MATCH(1,(E124=공급업체코드!$D$3:$D$1000)*1,0))</f>
        <v>VM_BKT</v>
      </c>
      <c r="G124" s="158" t="s">
        <v>2069</v>
      </c>
      <c r="I124" s="159">
        <v>656</v>
      </c>
      <c r="J124" s="160">
        <v>4000</v>
      </c>
      <c r="K124" s="159">
        <v>250</v>
      </c>
      <c r="L124" s="159">
        <v>600</v>
      </c>
      <c r="M124" s="7" t="s">
        <v>990</v>
      </c>
      <c r="N124" s="7">
        <v>380</v>
      </c>
      <c r="O124" s="151">
        <v>0.96200000000000008</v>
      </c>
      <c r="P124" s="7">
        <v>0.9</v>
      </c>
      <c r="Q124" s="7">
        <v>80</v>
      </c>
      <c r="R124" s="161">
        <v>3800</v>
      </c>
      <c r="S124" s="258" t="s">
        <v>1390</v>
      </c>
      <c r="U124" s="259" t="s">
        <v>1375</v>
      </c>
      <c r="V124">
        <v>999</v>
      </c>
      <c r="X124" s="156" t="s">
        <v>1354</v>
      </c>
      <c r="Y124" t="b">
        <v>0</v>
      </c>
    </row>
    <row r="125" spans="1:25">
      <c r="A125" s="247"/>
      <c r="B125" s="1" t="str">
        <f t="shared" si="1"/>
        <v>M_AEB0101_VM_BKT_592_5000</v>
      </c>
      <c r="C125" s="7" t="s">
        <v>2014</v>
      </c>
      <c r="D125" s="7" t="str" cm="1">
        <f t="array" ref="D125">INDEX(기계코드!$D$4:$D$1022,MATCH(1,(C125=기계코드!$F$4:$F$1022)*1,0))</f>
        <v>M_AEB0101</v>
      </c>
      <c r="E125" s="7" t="s">
        <v>1128</v>
      </c>
      <c r="F125" s="7" t="str" cm="1">
        <f t="array" ref="F125">INDEX(공급업체코드!$B$3:$B$1000,MATCH(1,(E125=공급업체코드!$D$3:$D$1000)*1,0))</f>
        <v>VM_BKT</v>
      </c>
      <c r="G125" s="158" t="s">
        <v>2069</v>
      </c>
      <c r="I125" s="159">
        <v>592</v>
      </c>
      <c r="J125" s="160">
        <v>5000</v>
      </c>
      <c r="K125" s="159">
        <v>250</v>
      </c>
      <c r="L125" s="159">
        <v>600</v>
      </c>
      <c r="M125" s="7" t="s">
        <v>990</v>
      </c>
      <c r="N125" s="7">
        <v>380</v>
      </c>
      <c r="O125" s="151">
        <v>0.96200000000000008</v>
      </c>
      <c r="P125" s="7">
        <v>0.9</v>
      </c>
      <c r="Q125" s="7">
        <v>80</v>
      </c>
      <c r="R125" s="161">
        <v>3800</v>
      </c>
      <c r="S125" s="258" t="s">
        <v>1390</v>
      </c>
      <c r="U125" s="259" t="s">
        <v>1375</v>
      </c>
      <c r="V125">
        <v>999</v>
      </c>
      <c r="X125" s="156" t="s">
        <v>1354</v>
      </c>
      <c r="Y125" t="b">
        <v>0</v>
      </c>
    </row>
    <row r="126" spans="1:25">
      <c r="A126" s="247"/>
      <c r="B126" s="1" t="str">
        <f t="shared" si="1"/>
        <v>M_AEB0101_VM_BKT_528_6000</v>
      </c>
      <c r="C126" s="7" t="s">
        <v>2014</v>
      </c>
      <c r="D126" s="7" t="str" cm="1">
        <f t="array" ref="D126">INDEX(기계코드!$D$4:$D$1022,MATCH(1,(C126=기계코드!$F$4:$F$1022)*1,0))</f>
        <v>M_AEB0101</v>
      </c>
      <c r="E126" s="7" t="s">
        <v>1128</v>
      </c>
      <c r="F126" s="7" t="str" cm="1">
        <f t="array" ref="F126">INDEX(공급업체코드!$B$3:$B$1000,MATCH(1,(E126=공급업체코드!$D$3:$D$1000)*1,0))</f>
        <v>VM_BKT</v>
      </c>
      <c r="G126" s="158" t="s">
        <v>2069</v>
      </c>
      <c r="I126" s="159">
        <v>528</v>
      </c>
      <c r="J126" s="160">
        <v>6000</v>
      </c>
      <c r="K126" s="159">
        <v>250</v>
      </c>
      <c r="L126" s="159">
        <v>600</v>
      </c>
      <c r="M126" s="7" t="s">
        <v>990</v>
      </c>
      <c r="N126" s="7">
        <v>380</v>
      </c>
      <c r="O126" s="151">
        <v>0.96200000000000008</v>
      </c>
      <c r="P126" s="7">
        <v>0.9</v>
      </c>
      <c r="Q126" s="7">
        <v>80</v>
      </c>
      <c r="R126" s="161">
        <v>3800</v>
      </c>
      <c r="S126" s="258" t="s">
        <v>1390</v>
      </c>
      <c r="U126" s="259" t="s">
        <v>1375</v>
      </c>
      <c r="V126">
        <v>999</v>
      </c>
      <c r="X126" s="156" t="s">
        <v>1354</v>
      </c>
      <c r="Y126" t="b">
        <v>0</v>
      </c>
    </row>
    <row r="127" spans="1:25">
      <c r="A127" s="247"/>
      <c r="B127" s="1" t="str">
        <f t="shared" si="1"/>
        <v>M_AEB0101_VM_BKT_464_7000</v>
      </c>
      <c r="C127" s="7" t="s">
        <v>2014</v>
      </c>
      <c r="D127" s="7" t="str" cm="1">
        <f t="array" ref="D127">INDEX(기계코드!$D$4:$D$1022,MATCH(1,(C127=기계코드!$F$4:$F$1022)*1,0))</f>
        <v>M_AEB0101</v>
      </c>
      <c r="E127" s="7" t="s">
        <v>1128</v>
      </c>
      <c r="F127" s="7" t="str" cm="1">
        <f t="array" ref="F127">INDEX(공급업체코드!$B$3:$B$1000,MATCH(1,(E127=공급업체코드!$D$3:$D$1000)*1,0))</f>
        <v>VM_BKT</v>
      </c>
      <c r="G127" s="158" t="s">
        <v>2070</v>
      </c>
      <c r="I127" s="159">
        <v>464</v>
      </c>
      <c r="J127" s="160">
        <v>7000</v>
      </c>
      <c r="K127" s="159">
        <v>250</v>
      </c>
      <c r="L127" s="159">
        <v>600</v>
      </c>
      <c r="M127" s="7" t="s">
        <v>990</v>
      </c>
      <c r="N127" s="7">
        <v>380</v>
      </c>
      <c r="O127" s="151">
        <v>0.96200000000000008</v>
      </c>
      <c r="P127" s="7">
        <v>0.9</v>
      </c>
      <c r="Q127" s="7">
        <v>80</v>
      </c>
      <c r="R127" s="161">
        <v>3800</v>
      </c>
      <c r="S127" s="258" t="s">
        <v>1390</v>
      </c>
      <c r="U127" s="259" t="s">
        <v>1375</v>
      </c>
      <c r="V127">
        <v>999</v>
      </c>
      <c r="X127" s="156" t="s">
        <v>1354</v>
      </c>
      <c r="Y127" t="b">
        <v>0</v>
      </c>
    </row>
    <row r="128" spans="1:25">
      <c r="A128" s="247"/>
      <c r="B128" s="1" t="str">
        <f t="shared" si="1"/>
        <v>M_AEB0101_VM_BKT_432_8000</v>
      </c>
      <c r="C128" s="7" t="s">
        <v>2014</v>
      </c>
      <c r="D128" s="7" t="str" cm="1">
        <f t="array" ref="D128">INDEX(기계코드!$D$4:$D$1022,MATCH(1,(C128=기계코드!$F$4:$F$1022)*1,0))</f>
        <v>M_AEB0101</v>
      </c>
      <c r="E128" s="7" t="s">
        <v>1128</v>
      </c>
      <c r="F128" s="7" t="str" cm="1">
        <f t="array" ref="F128">INDEX(공급업체코드!$B$3:$B$1000,MATCH(1,(E128=공급업체코드!$D$3:$D$1000)*1,0))</f>
        <v>VM_BKT</v>
      </c>
      <c r="G128" s="158" t="s">
        <v>2070</v>
      </c>
      <c r="I128" s="159">
        <v>432</v>
      </c>
      <c r="J128" s="160">
        <v>8000</v>
      </c>
      <c r="K128" s="159">
        <v>250</v>
      </c>
      <c r="L128" s="159">
        <v>600</v>
      </c>
      <c r="M128" s="7" t="s">
        <v>990</v>
      </c>
      <c r="N128" s="7">
        <v>380</v>
      </c>
      <c r="O128" s="151">
        <v>0.96200000000000008</v>
      </c>
      <c r="P128" s="7">
        <v>0.9</v>
      </c>
      <c r="Q128" s="7">
        <v>80</v>
      </c>
      <c r="R128" s="161">
        <v>3800</v>
      </c>
      <c r="S128" s="258" t="s">
        <v>1390</v>
      </c>
      <c r="U128" s="259" t="s">
        <v>1375</v>
      </c>
      <c r="V128">
        <v>999</v>
      </c>
      <c r="X128" s="156" t="s">
        <v>1354</v>
      </c>
      <c r="Y128" t="b">
        <v>0</v>
      </c>
    </row>
    <row r="129" spans="1:25">
      <c r="A129" s="247"/>
      <c r="B129" s="1" t="str">
        <f t="shared" si="1"/>
        <v>M_AEB0101_VM_BKT_368_9000</v>
      </c>
      <c r="C129" s="7" t="s">
        <v>2014</v>
      </c>
      <c r="D129" s="7" t="str" cm="1">
        <f t="array" ref="D129">INDEX(기계코드!$D$4:$D$1022,MATCH(1,(C129=기계코드!$F$4:$F$1022)*1,0))</f>
        <v>M_AEB0101</v>
      </c>
      <c r="E129" s="7" t="s">
        <v>1128</v>
      </c>
      <c r="F129" s="7" t="str" cm="1">
        <f t="array" ref="F129">INDEX(공급업체코드!$B$3:$B$1000,MATCH(1,(E129=공급업체코드!$D$3:$D$1000)*1,0))</f>
        <v>VM_BKT</v>
      </c>
      <c r="G129" s="158" t="s">
        <v>2071</v>
      </c>
      <c r="I129" s="159">
        <v>368</v>
      </c>
      <c r="J129" s="160">
        <v>9000</v>
      </c>
      <c r="K129" s="159">
        <v>250</v>
      </c>
      <c r="L129" s="159">
        <v>600</v>
      </c>
      <c r="M129" s="7" t="s">
        <v>990</v>
      </c>
      <c r="N129" s="7">
        <v>380</v>
      </c>
      <c r="O129" s="151">
        <v>0.96200000000000008</v>
      </c>
      <c r="P129" s="7">
        <v>0.9</v>
      </c>
      <c r="Q129" s="7">
        <v>80</v>
      </c>
      <c r="R129" s="161">
        <v>3800</v>
      </c>
      <c r="S129" s="258" t="s">
        <v>1390</v>
      </c>
      <c r="U129" s="259" t="s">
        <v>1375</v>
      </c>
      <c r="V129">
        <v>999</v>
      </c>
      <c r="X129" s="156" t="s">
        <v>1354</v>
      </c>
      <c r="Y129" t="b">
        <v>0</v>
      </c>
    </row>
    <row r="130" spans="1:25">
      <c r="A130" s="247"/>
      <c r="B130" s="1" t="str">
        <f t="shared" si="1"/>
        <v>M_AEB0101_VM_BKT_344_10000</v>
      </c>
      <c r="C130" t="s">
        <v>2014</v>
      </c>
      <c r="D130" s="7" t="str" cm="1">
        <f t="array" ref="D130">INDEX(기계코드!$D$4:$D$1022,MATCH(1,(C130=기계코드!$F$4:$F$1022)*1,0))</f>
        <v>M_AEB0101</v>
      </c>
      <c r="E130" s="7" t="s">
        <v>1128</v>
      </c>
      <c r="F130" s="7" t="str" cm="1">
        <f t="array" ref="F130">INDEX(공급업체코드!$B$3:$B$1000,MATCH(1,(E130=공급업체코드!$D$3:$D$1000)*1,0))</f>
        <v>VM_BKT</v>
      </c>
      <c r="G130" s="158" t="s">
        <v>2071</v>
      </c>
      <c r="I130" s="159">
        <v>344</v>
      </c>
      <c r="J130" s="160">
        <v>10000</v>
      </c>
      <c r="K130" s="159">
        <v>250</v>
      </c>
      <c r="L130" s="159">
        <v>600</v>
      </c>
      <c r="M130" s="7" t="s">
        <v>990</v>
      </c>
      <c r="N130" s="7">
        <v>380</v>
      </c>
      <c r="O130" s="151">
        <v>0.96200000000000008</v>
      </c>
      <c r="P130" s="7">
        <v>0.9</v>
      </c>
      <c r="Q130" s="7">
        <v>80</v>
      </c>
      <c r="R130" s="161">
        <v>3800</v>
      </c>
      <c r="S130" s="258" t="s">
        <v>1390</v>
      </c>
      <c r="U130" s="259" t="s">
        <v>1375</v>
      </c>
      <c r="V130">
        <v>999</v>
      </c>
      <c r="X130" s="156" t="s">
        <v>1354</v>
      </c>
      <c r="Y130" t="b">
        <v>0</v>
      </c>
    </row>
    <row r="131" spans="1:25">
      <c r="B131" s="1" t="str">
        <f t="shared" si="1"/>
        <v>M_AEB0402_VM_KF_MACH_0.99_4000</v>
      </c>
      <c r="C131" s="7" t="s">
        <v>2072</v>
      </c>
      <c r="D131" s="7" t="str" cm="1">
        <f t="array" ref="D131">INDEX(기계코드!$D$4:$D$1022,MATCH(1,(C131=기계코드!$F$4:$F$1022)*1,0))</f>
        <v>M_AEB0402</v>
      </c>
      <c r="E131" s="7" t="s">
        <v>2073</v>
      </c>
      <c r="F131" s="7" t="str" cm="1">
        <f t="array" ref="F131">INDEX(공급업체코드!$B$3:$B$1000,MATCH(1,(E131=공급업체코드!$D$3:$D$1000)*1,0))</f>
        <v>VM_KF_MACH</v>
      </c>
      <c r="G131" s="158" t="s">
        <v>2074</v>
      </c>
      <c r="I131" s="163">
        <v>0.99</v>
      </c>
      <c r="J131" s="160">
        <v>4000</v>
      </c>
      <c r="K131" s="164">
        <v>50</v>
      </c>
      <c r="L131" s="165">
        <v>2.016</v>
      </c>
      <c r="M131" s="7" t="s">
        <v>984</v>
      </c>
      <c r="N131" s="7">
        <v>380</v>
      </c>
      <c r="O131" s="151">
        <v>0.89500000000000002</v>
      </c>
      <c r="P131" s="7">
        <v>0.9</v>
      </c>
      <c r="Q131" s="7">
        <v>80</v>
      </c>
      <c r="R131" s="251">
        <v>11</v>
      </c>
      <c r="S131" s="258" t="s">
        <v>1390</v>
      </c>
      <c r="T131" s="10">
        <f>IF(R131&lt;500,1,IF(R131&lt;1000,2,IF(R131&lt;5000,3,4)))</f>
        <v>1</v>
      </c>
      <c r="U131" s="260" t="s">
        <v>1391</v>
      </c>
      <c r="V131">
        <v>3234000</v>
      </c>
      <c r="X131" s="157" t="s">
        <v>2075</v>
      </c>
      <c r="Y131" t="b">
        <v>1</v>
      </c>
    </row>
    <row r="132" spans="1:25">
      <c r="B132" s="1" t="str">
        <f t="shared" ref="B132:B195" si="2">D132&amp;"_"&amp;F132&amp;"_"&amp;I132&amp;"_"&amp;J132</f>
        <v>M_AEB0402_VM_KF_MACH_1.27_4000</v>
      </c>
      <c r="C132" s="7" t="s">
        <v>2072</v>
      </c>
      <c r="D132" s="7" t="str" cm="1">
        <f t="array" ref="D132">INDEX(기계코드!$D$4:$D$1022,MATCH(1,(C132=기계코드!$F$4:$F$1022)*1,0))</f>
        <v>M_AEB0402</v>
      </c>
      <c r="E132" s="7" t="s">
        <v>2073</v>
      </c>
      <c r="F132" s="7" t="str" cm="1">
        <f t="array" ref="F132">INDEX(공급업체코드!$B$3:$B$1000,MATCH(1,(E132=공급업체코드!$D$3:$D$1000)*1,0))</f>
        <v>VM_KF_MACH</v>
      </c>
      <c r="G132" s="158" t="s">
        <v>2074</v>
      </c>
      <c r="I132" s="166">
        <v>1.27</v>
      </c>
      <c r="J132" s="160">
        <v>4000</v>
      </c>
      <c r="K132" s="164">
        <v>50</v>
      </c>
      <c r="L132" s="165">
        <v>2.3279999999999998</v>
      </c>
      <c r="M132" s="7" t="s">
        <v>984</v>
      </c>
      <c r="N132" s="7">
        <v>380</v>
      </c>
      <c r="O132" s="151">
        <v>0.89500000000000002</v>
      </c>
      <c r="P132" s="7">
        <v>0.9</v>
      </c>
      <c r="Q132" s="7">
        <v>80</v>
      </c>
      <c r="R132" s="113">
        <v>11</v>
      </c>
      <c r="S132" s="258" t="s">
        <v>1390</v>
      </c>
      <c r="T132" s="10">
        <f t="shared" ref="T132:T195" si="3">IF(R132&lt;500,1,IF(R132&lt;1000,2,IF(R132&lt;5000,3,4)))</f>
        <v>1</v>
      </c>
      <c r="U132" s="260" t="s">
        <v>1391</v>
      </c>
      <c r="V132">
        <v>3234000</v>
      </c>
      <c r="X132" s="157" t="s">
        <v>2075</v>
      </c>
      <c r="Y132" t="b">
        <v>1</v>
      </c>
    </row>
    <row r="133" spans="1:25">
      <c r="B133" s="1" t="str">
        <f t="shared" si="2"/>
        <v>M_AEB0402_VM_KF_MACH_1.72_4000</v>
      </c>
      <c r="C133" s="7" t="s">
        <v>2072</v>
      </c>
      <c r="D133" s="7" t="str" cm="1">
        <f t="array" ref="D133">INDEX(기계코드!$D$4:$D$1022,MATCH(1,(C133=기계코드!$F$4:$F$1022)*1,0))</f>
        <v>M_AEB0402</v>
      </c>
      <c r="E133" s="7" t="s">
        <v>2073</v>
      </c>
      <c r="F133" s="7" t="str" cm="1">
        <f t="array" ref="F133">INDEX(공급업체코드!$B$3:$B$1000,MATCH(1,(E133=공급업체코드!$D$3:$D$1000)*1,0))</f>
        <v>VM_KF_MACH</v>
      </c>
      <c r="G133" s="158" t="s">
        <v>2074</v>
      </c>
      <c r="I133" s="166">
        <v>1.72</v>
      </c>
      <c r="J133" s="160">
        <v>4000</v>
      </c>
      <c r="K133" s="164">
        <v>50</v>
      </c>
      <c r="L133" s="165">
        <v>2.8919999999999999</v>
      </c>
      <c r="M133" s="7" t="s">
        <v>984</v>
      </c>
      <c r="N133" s="7">
        <v>380</v>
      </c>
      <c r="O133" s="151">
        <v>0.89500000000000002</v>
      </c>
      <c r="P133" s="7">
        <v>0.9</v>
      </c>
      <c r="Q133" s="7">
        <v>80</v>
      </c>
      <c r="R133" s="113">
        <v>11</v>
      </c>
      <c r="S133" s="258" t="s">
        <v>1390</v>
      </c>
      <c r="T133" s="10">
        <f t="shared" si="3"/>
        <v>1</v>
      </c>
      <c r="U133" s="260" t="s">
        <v>1391</v>
      </c>
      <c r="V133">
        <v>3234000</v>
      </c>
      <c r="X133" s="157" t="s">
        <v>2075</v>
      </c>
      <c r="Y133" t="b">
        <v>1</v>
      </c>
    </row>
    <row r="134" spans="1:25">
      <c r="B134" s="1" t="str">
        <f t="shared" si="2"/>
        <v>M_AEB0402_VM_KF_MACH_2.23_4000</v>
      </c>
      <c r="C134" s="7" t="s">
        <v>2072</v>
      </c>
      <c r="D134" s="7" t="str" cm="1">
        <f t="array" ref="D134">INDEX(기계코드!$D$4:$D$1022,MATCH(1,(C134=기계코드!$F$4:$F$1022)*1,0))</f>
        <v>M_AEB0402</v>
      </c>
      <c r="E134" s="7" t="s">
        <v>2073</v>
      </c>
      <c r="F134" s="7" t="str" cm="1">
        <f t="array" ref="F134">INDEX(공급업체코드!$B$3:$B$1000,MATCH(1,(E134=공급업체코드!$D$3:$D$1000)*1,0))</f>
        <v>VM_KF_MACH</v>
      </c>
      <c r="G134" s="158" t="s">
        <v>2074</v>
      </c>
      <c r="I134" s="166">
        <v>2.23</v>
      </c>
      <c r="J134" s="160">
        <v>4000</v>
      </c>
      <c r="K134" s="164">
        <v>50</v>
      </c>
      <c r="L134" s="165">
        <v>3.5760000000000001</v>
      </c>
      <c r="M134" s="7" t="s">
        <v>984</v>
      </c>
      <c r="N134" s="7">
        <v>380</v>
      </c>
      <c r="O134" s="151">
        <v>0.89500000000000002</v>
      </c>
      <c r="P134" s="7">
        <v>0.9</v>
      </c>
      <c r="Q134" s="7">
        <v>80</v>
      </c>
      <c r="R134" s="113">
        <v>11</v>
      </c>
      <c r="S134" s="258" t="s">
        <v>1390</v>
      </c>
      <c r="T134" s="10">
        <f t="shared" si="3"/>
        <v>1</v>
      </c>
      <c r="U134" s="260" t="s">
        <v>1391</v>
      </c>
      <c r="V134">
        <v>3234000</v>
      </c>
      <c r="X134" s="157" t="s">
        <v>2075</v>
      </c>
      <c r="Y134" t="b">
        <v>1</v>
      </c>
    </row>
    <row r="135" spans="1:25">
      <c r="B135" s="1" t="str">
        <f t="shared" si="2"/>
        <v>M_AEB0402_VM_KF_MACH_0.86_5000</v>
      </c>
      <c r="C135" s="7" t="s">
        <v>2072</v>
      </c>
      <c r="D135" s="7" t="str" cm="1">
        <f t="array" ref="D135">INDEX(기계코드!$D$4:$D$1022,MATCH(1,(C135=기계코드!$F$4:$F$1022)*1,0))</f>
        <v>M_AEB0402</v>
      </c>
      <c r="E135" s="7" t="s">
        <v>2073</v>
      </c>
      <c r="F135" s="7" t="str" cm="1">
        <f t="array" ref="F135">INDEX(공급업체코드!$B$3:$B$1000,MATCH(1,(E135=공급업체코드!$D$3:$D$1000)*1,0))</f>
        <v>VM_KF_MACH</v>
      </c>
      <c r="G135" s="158" t="s">
        <v>2074</v>
      </c>
      <c r="I135" s="166">
        <v>0.86</v>
      </c>
      <c r="J135" s="160">
        <v>5000</v>
      </c>
      <c r="K135" s="164">
        <v>50</v>
      </c>
      <c r="L135" s="165">
        <v>2.4239999999999999</v>
      </c>
      <c r="M135" s="7" t="s">
        <v>984</v>
      </c>
      <c r="N135" s="7">
        <v>380</v>
      </c>
      <c r="O135" s="151">
        <v>0.89500000000000002</v>
      </c>
      <c r="P135" s="7">
        <v>0.9</v>
      </c>
      <c r="Q135" s="7">
        <v>80</v>
      </c>
      <c r="R135" s="113">
        <v>11</v>
      </c>
      <c r="S135" s="258" t="s">
        <v>1390</v>
      </c>
      <c r="T135" s="10">
        <f t="shared" si="3"/>
        <v>1</v>
      </c>
      <c r="U135" s="260" t="s">
        <v>1391</v>
      </c>
      <c r="V135">
        <v>3234000</v>
      </c>
      <c r="X135" s="157" t="s">
        <v>2075</v>
      </c>
      <c r="Y135" t="b">
        <v>1</v>
      </c>
    </row>
    <row r="136" spans="1:25">
      <c r="B136" s="1" t="str">
        <f t="shared" si="2"/>
        <v>M_AEB0402_VM_KF_MACH_1.12_5000</v>
      </c>
      <c r="C136" s="7" t="s">
        <v>2072</v>
      </c>
      <c r="D136" s="7" t="str" cm="1">
        <f t="array" ref="D136">INDEX(기계코드!$D$4:$D$1022,MATCH(1,(C136=기계코드!$F$4:$F$1022)*1,0))</f>
        <v>M_AEB0402</v>
      </c>
      <c r="E136" s="7" t="s">
        <v>2073</v>
      </c>
      <c r="F136" s="7" t="str" cm="1">
        <f t="array" ref="F136">INDEX(공급업체코드!$B$3:$B$1000,MATCH(1,(E136=공급업체코드!$D$3:$D$1000)*1,0))</f>
        <v>VM_KF_MACH</v>
      </c>
      <c r="G136" s="158" t="s">
        <v>2074</v>
      </c>
      <c r="I136" s="166">
        <v>1.1200000000000001</v>
      </c>
      <c r="J136" s="160">
        <v>5000</v>
      </c>
      <c r="K136" s="164">
        <v>50</v>
      </c>
      <c r="L136" s="165">
        <v>2.7719999999999998</v>
      </c>
      <c r="M136" s="7" t="s">
        <v>984</v>
      </c>
      <c r="N136" s="7">
        <v>380</v>
      </c>
      <c r="O136" s="151">
        <v>0.89500000000000002</v>
      </c>
      <c r="P136" s="7">
        <v>0.9</v>
      </c>
      <c r="Q136" s="7">
        <v>80</v>
      </c>
      <c r="R136" s="113">
        <v>11</v>
      </c>
      <c r="S136" s="258" t="s">
        <v>1390</v>
      </c>
      <c r="T136" s="10">
        <f t="shared" si="3"/>
        <v>1</v>
      </c>
      <c r="U136" s="260" t="s">
        <v>1391</v>
      </c>
      <c r="V136">
        <v>3234000</v>
      </c>
      <c r="X136" s="157" t="s">
        <v>2075</v>
      </c>
      <c r="Y136" t="b">
        <v>1</v>
      </c>
    </row>
    <row r="137" spans="1:25">
      <c r="B137" s="1" t="str">
        <f t="shared" si="2"/>
        <v>M_AEB0402_VM_KF_MACH_1.57_5000</v>
      </c>
      <c r="C137" s="7" t="s">
        <v>2072</v>
      </c>
      <c r="D137" s="7" t="str" cm="1">
        <f t="array" ref="D137">INDEX(기계코드!$D$4:$D$1022,MATCH(1,(C137=기계코드!$F$4:$F$1022)*1,0))</f>
        <v>M_AEB0402</v>
      </c>
      <c r="E137" s="7" t="s">
        <v>2073</v>
      </c>
      <c r="F137" s="7" t="str" cm="1">
        <f t="array" ref="F137">INDEX(공급업체코드!$B$3:$B$1000,MATCH(1,(E137=공급업체코드!$D$3:$D$1000)*1,0))</f>
        <v>VM_KF_MACH</v>
      </c>
      <c r="G137" s="158" t="s">
        <v>2074</v>
      </c>
      <c r="I137" s="166">
        <v>1.57</v>
      </c>
      <c r="J137" s="160">
        <v>5000</v>
      </c>
      <c r="K137" s="164">
        <v>50</v>
      </c>
      <c r="L137" s="165">
        <v>3.456</v>
      </c>
      <c r="M137" s="7" t="s">
        <v>984</v>
      </c>
      <c r="N137" s="7">
        <v>380</v>
      </c>
      <c r="O137" s="151">
        <v>0.89500000000000002</v>
      </c>
      <c r="P137" s="7">
        <v>0.9</v>
      </c>
      <c r="Q137" s="7">
        <v>80</v>
      </c>
      <c r="R137" s="113">
        <v>11</v>
      </c>
      <c r="S137" s="258" t="s">
        <v>1390</v>
      </c>
      <c r="T137" s="10">
        <f t="shared" si="3"/>
        <v>1</v>
      </c>
      <c r="U137" s="260" t="s">
        <v>1391</v>
      </c>
      <c r="V137">
        <v>3234000</v>
      </c>
      <c r="X137" s="157" t="s">
        <v>2075</v>
      </c>
      <c r="Y137" t="b">
        <v>1</v>
      </c>
    </row>
    <row r="138" spans="1:25">
      <c r="B138" s="1" t="str">
        <f t="shared" si="2"/>
        <v>M_AEB0402_VM_KF_MACH_2.05_5000</v>
      </c>
      <c r="C138" s="7" t="s">
        <v>2072</v>
      </c>
      <c r="D138" s="7" t="str" cm="1">
        <f t="array" ref="D138">INDEX(기계코드!$D$4:$D$1022,MATCH(1,(C138=기계코드!$F$4:$F$1022)*1,0))</f>
        <v>M_AEB0402</v>
      </c>
      <c r="E138" s="7" t="s">
        <v>2073</v>
      </c>
      <c r="F138" s="7" t="str" cm="1">
        <f t="array" ref="F138">INDEX(공급업체코드!$B$3:$B$1000,MATCH(1,(E138=공급업체코드!$D$3:$D$1000)*1,0))</f>
        <v>VM_KF_MACH</v>
      </c>
      <c r="G138" s="158" t="s">
        <v>2074</v>
      </c>
      <c r="I138" s="166">
        <v>2.0499999999999998</v>
      </c>
      <c r="J138" s="160">
        <v>5000</v>
      </c>
      <c r="K138" s="164">
        <v>50</v>
      </c>
      <c r="L138" s="165">
        <v>4.2839999999999998</v>
      </c>
      <c r="M138" s="7" t="s">
        <v>984</v>
      </c>
      <c r="N138" s="7">
        <v>380</v>
      </c>
      <c r="O138" s="151">
        <v>0.91700000000000004</v>
      </c>
      <c r="P138" s="7">
        <v>0.9</v>
      </c>
      <c r="Q138" s="7">
        <v>80</v>
      </c>
      <c r="R138" s="113">
        <v>11</v>
      </c>
      <c r="S138" s="258" t="s">
        <v>1390</v>
      </c>
      <c r="T138" s="10">
        <f t="shared" si="3"/>
        <v>1</v>
      </c>
      <c r="U138" s="260" t="s">
        <v>1391</v>
      </c>
      <c r="V138">
        <v>3234000</v>
      </c>
      <c r="X138" s="157" t="s">
        <v>2075</v>
      </c>
      <c r="Y138" t="b">
        <v>1</v>
      </c>
    </row>
    <row r="139" spans="1:25">
      <c r="B139" s="1" t="str">
        <f t="shared" si="2"/>
        <v>M_AEB0402_VM_KF_MACH_0.72_6000</v>
      </c>
      <c r="C139" s="7" t="s">
        <v>2072</v>
      </c>
      <c r="D139" s="7" t="str" cm="1">
        <f t="array" ref="D139">INDEX(기계코드!$D$4:$D$1022,MATCH(1,(C139=기계코드!$F$4:$F$1022)*1,0))</f>
        <v>M_AEB0402</v>
      </c>
      <c r="E139" s="7" t="s">
        <v>2073</v>
      </c>
      <c r="F139" s="7" t="str" cm="1">
        <f t="array" ref="F139">INDEX(공급업체코드!$B$3:$B$1000,MATCH(1,(E139=공급업체코드!$D$3:$D$1000)*1,0))</f>
        <v>VM_KF_MACH</v>
      </c>
      <c r="G139" s="158" t="s">
        <v>2074</v>
      </c>
      <c r="I139" s="166">
        <v>0.72</v>
      </c>
      <c r="J139" s="160">
        <v>6000</v>
      </c>
      <c r="K139" s="164">
        <v>50</v>
      </c>
      <c r="L139" s="165">
        <v>2.7839999999999998</v>
      </c>
      <c r="M139" s="7" t="s">
        <v>984</v>
      </c>
      <c r="N139" s="7">
        <v>380</v>
      </c>
      <c r="O139" s="151">
        <v>0.89500000000000002</v>
      </c>
      <c r="P139" s="7">
        <v>0.9</v>
      </c>
      <c r="Q139" s="7">
        <v>80</v>
      </c>
      <c r="R139" s="113">
        <v>11</v>
      </c>
      <c r="S139" s="258" t="s">
        <v>1390</v>
      </c>
      <c r="T139" s="10">
        <f t="shared" si="3"/>
        <v>1</v>
      </c>
      <c r="U139" s="260" t="s">
        <v>1391</v>
      </c>
      <c r="V139">
        <v>3234000</v>
      </c>
      <c r="X139" s="157" t="s">
        <v>2075</v>
      </c>
      <c r="Y139" t="b">
        <v>1</v>
      </c>
    </row>
    <row r="140" spans="1:25">
      <c r="B140" s="1" t="str">
        <f t="shared" si="2"/>
        <v>M_AEB0402_VM_KF_MACH_1_6000</v>
      </c>
      <c r="C140" s="7" t="s">
        <v>2072</v>
      </c>
      <c r="D140" s="7" t="str" cm="1">
        <f t="array" ref="D140">INDEX(기계코드!$D$4:$D$1022,MATCH(1,(C140=기계코드!$F$4:$F$1022)*1,0))</f>
        <v>M_AEB0402</v>
      </c>
      <c r="E140" s="7" t="s">
        <v>2073</v>
      </c>
      <c r="F140" s="7" t="str" cm="1">
        <f t="array" ref="F140">INDEX(공급업체코드!$B$3:$B$1000,MATCH(1,(E140=공급업체코드!$D$3:$D$1000)*1,0))</f>
        <v>VM_KF_MACH</v>
      </c>
      <c r="G140" s="158" t="s">
        <v>2074</v>
      </c>
      <c r="I140" s="166">
        <v>1</v>
      </c>
      <c r="J140" s="160">
        <v>6000</v>
      </c>
      <c r="K140" s="164">
        <v>50</v>
      </c>
      <c r="L140" s="165">
        <v>3.2160000000000002</v>
      </c>
      <c r="M140" s="7" t="s">
        <v>984</v>
      </c>
      <c r="N140" s="7">
        <v>380</v>
      </c>
      <c r="O140" s="151">
        <v>0.89500000000000002</v>
      </c>
      <c r="P140" s="7">
        <v>0.9</v>
      </c>
      <c r="Q140" s="7">
        <v>80</v>
      </c>
      <c r="R140" s="113">
        <v>11</v>
      </c>
      <c r="S140" s="258" t="s">
        <v>1390</v>
      </c>
      <c r="T140" s="10">
        <f t="shared" si="3"/>
        <v>1</v>
      </c>
      <c r="U140" s="260" t="s">
        <v>1391</v>
      </c>
      <c r="V140">
        <v>3234000</v>
      </c>
      <c r="X140" s="157" t="s">
        <v>2075</v>
      </c>
      <c r="Y140" t="b">
        <v>1</v>
      </c>
    </row>
    <row r="141" spans="1:25">
      <c r="B141" s="1" t="str">
        <f t="shared" si="2"/>
        <v>M_AEB0402_VM_KF_MACH_1.45_6000</v>
      </c>
      <c r="C141" s="7" t="s">
        <v>2072</v>
      </c>
      <c r="D141" s="7" t="str" cm="1">
        <f t="array" ref="D141">INDEX(기계코드!$D$4:$D$1022,MATCH(1,(C141=기계코드!$F$4:$F$1022)*1,0))</f>
        <v>M_AEB0402</v>
      </c>
      <c r="E141" s="7" t="s">
        <v>2073</v>
      </c>
      <c r="F141" s="7" t="str" cm="1">
        <f t="array" ref="F141">INDEX(공급업체코드!$B$3:$B$1000,MATCH(1,(E141=공급업체코드!$D$3:$D$1000)*1,0))</f>
        <v>VM_KF_MACH</v>
      </c>
      <c r="G141" s="158" t="s">
        <v>2074</v>
      </c>
      <c r="I141" s="166">
        <v>1.45</v>
      </c>
      <c r="J141" s="160">
        <v>6000</v>
      </c>
      <c r="K141" s="164">
        <v>50</v>
      </c>
      <c r="L141" s="165">
        <v>4.008</v>
      </c>
      <c r="M141" s="7" t="s">
        <v>984</v>
      </c>
      <c r="N141" s="7">
        <v>380</v>
      </c>
      <c r="O141" s="151">
        <v>0.91700000000000004</v>
      </c>
      <c r="P141" s="7">
        <v>0.9</v>
      </c>
      <c r="Q141" s="7">
        <v>80</v>
      </c>
      <c r="R141" s="113">
        <v>11</v>
      </c>
      <c r="S141" s="258" t="s">
        <v>1390</v>
      </c>
      <c r="T141" s="10">
        <f t="shared" si="3"/>
        <v>1</v>
      </c>
      <c r="U141" s="260" t="s">
        <v>1391</v>
      </c>
      <c r="V141">
        <v>3234000</v>
      </c>
      <c r="X141" s="157" t="s">
        <v>2075</v>
      </c>
      <c r="Y141" t="b">
        <v>1</v>
      </c>
    </row>
    <row r="142" spans="1:25">
      <c r="B142" s="1" t="str">
        <f t="shared" si="2"/>
        <v>M_AEB0402_VM_KF_MACH_1.91_6000</v>
      </c>
      <c r="C142" s="7" t="s">
        <v>2072</v>
      </c>
      <c r="D142" s="7" t="str" cm="1">
        <f t="array" ref="D142">INDEX(기계코드!$D$4:$D$1022,MATCH(1,(C142=기계코드!$F$4:$F$1022)*1,0))</f>
        <v>M_AEB0402</v>
      </c>
      <c r="E142" s="7" t="s">
        <v>2073</v>
      </c>
      <c r="F142" s="7" t="str" cm="1">
        <f t="array" ref="F142">INDEX(공급업체코드!$B$3:$B$1000,MATCH(1,(E142=공급업체코드!$D$3:$D$1000)*1,0))</f>
        <v>VM_KF_MACH</v>
      </c>
      <c r="G142" s="158" t="s">
        <v>2074</v>
      </c>
      <c r="I142" s="166">
        <v>1.91</v>
      </c>
      <c r="J142" s="160">
        <v>6000</v>
      </c>
      <c r="K142" s="164">
        <v>50</v>
      </c>
      <c r="L142" s="165">
        <v>4.992</v>
      </c>
      <c r="M142" s="7" t="s">
        <v>984</v>
      </c>
      <c r="N142" s="7">
        <v>380</v>
      </c>
      <c r="O142" s="151">
        <v>0.91700000000000004</v>
      </c>
      <c r="P142" s="7">
        <v>0.9</v>
      </c>
      <c r="Q142" s="7">
        <v>80</v>
      </c>
      <c r="R142" s="113">
        <v>11</v>
      </c>
      <c r="S142" s="258" t="s">
        <v>1390</v>
      </c>
      <c r="T142" s="10">
        <f t="shared" si="3"/>
        <v>1</v>
      </c>
      <c r="U142" s="260" t="s">
        <v>1391</v>
      </c>
      <c r="V142">
        <v>3234000</v>
      </c>
      <c r="X142" s="157" t="s">
        <v>2075</v>
      </c>
      <c r="Y142" t="b">
        <v>1</v>
      </c>
    </row>
    <row r="143" spans="1:25">
      <c r="B143" s="1" t="str">
        <f t="shared" si="2"/>
        <v>M_AEB0402_VM_KF_MACH_1.27_4000</v>
      </c>
      <c r="C143" s="7" t="s">
        <v>2072</v>
      </c>
      <c r="D143" s="7" t="str" cm="1">
        <f t="array" ref="D143">INDEX(기계코드!$D$4:$D$1022,MATCH(1,(C143=기계코드!$F$4:$F$1022)*1,0))</f>
        <v>M_AEB0402</v>
      </c>
      <c r="E143" s="7" t="s">
        <v>2073</v>
      </c>
      <c r="F143" s="7" t="str" cm="1">
        <f t="array" ref="F143">INDEX(공급업체코드!$B$3:$B$1000,MATCH(1,(E143=공급업체코드!$D$3:$D$1000)*1,0))</f>
        <v>VM_KF_MACH</v>
      </c>
      <c r="G143" s="158" t="s">
        <v>2076</v>
      </c>
      <c r="I143" s="166">
        <v>1.27</v>
      </c>
      <c r="J143" s="160">
        <v>4000</v>
      </c>
      <c r="K143" s="159">
        <v>65</v>
      </c>
      <c r="L143" s="165">
        <v>2.472</v>
      </c>
      <c r="M143" s="7" t="s">
        <v>984</v>
      </c>
      <c r="N143" s="7">
        <v>380</v>
      </c>
      <c r="O143" s="151">
        <v>0.89500000000000002</v>
      </c>
      <c r="P143" s="7">
        <v>0.9</v>
      </c>
      <c r="Q143" s="7">
        <v>80</v>
      </c>
      <c r="R143" s="113">
        <v>11</v>
      </c>
      <c r="S143" s="258" t="s">
        <v>1390</v>
      </c>
      <c r="T143" s="10">
        <f t="shared" si="3"/>
        <v>1</v>
      </c>
      <c r="U143" s="260" t="s">
        <v>1391</v>
      </c>
      <c r="V143">
        <v>3234000</v>
      </c>
      <c r="X143" s="157" t="s">
        <v>2075</v>
      </c>
      <c r="Y143" t="b">
        <v>1</v>
      </c>
    </row>
    <row r="144" spans="1:25">
      <c r="B144" s="1" t="str">
        <f t="shared" si="2"/>
        <v>M_AEB0402_VM_KF_MACH_1.63_4000</v>
      </c>
      <c r="C144" s="7" t="s">
        <v>2072</v>
      </c>
      <c r="D144" s="7" t="str" cm="1">
        <f t="array" ref="D144">INDEX(기계코드!$D$4:$D$1022,MATCH(1,(C144=기계코드!$F$4:$F$1022)*1,0))</f>
        <v>M_AEB0402</v>
      </c>
      <c r="E144" s="7" t="s">
        <v>2073</v>
      </c>
      <c r="F144" s="7" t="str" cm="1">
        <f t="array" ref="F144">INDEX(공급업체코드!$B$3:$B$1000,MATCH(1,(E144=공급업체코드!$D$3:$D$1000)*1,0))</f>
        <v>VM_KF_MACH</v>
      </c>
      <c r="G144" s="158" t="s">
        <v>2076</v>
      </c>
      <c r="I144" s="166">
        <v>1.63</v>
      </c>
      <c r="J144" s="160">
        <v>4000</v>
      </c>
      <c r="K144" s="159">
        <v>65</v>
      </c>
      <c r="L144" s="165">
        <v>2.9279999999999999</v>
      </c>
      <c r="M144" s="7" t="s">
        <v>984</v>
      </c>
      <c r="N144" s="7">
        <v>380</v>
      </c>
      <c r="O144" s="151">
        <v>0.89500000000000002</v>
      </c>
      <c r="P144" s="7">
        <v>0.9</v>
      </c>
      <c r="Q144" s="7">
        <v>80</v>
      </c>
      <c r="R144" s="113">
        <v>11</v>
      </c>
      <c r="S144" s="258" t="s">
        <v>1390</v>
      </c>
      <c r="T144" s="10">
        <f t="shared" si="3"/>
        <v>1</v>
      </c>
      <c r="U144" s="260" t="s">
        <v>1391</v>
      </c>
      <c r="V144">
        <v>3234000</v>
      </c>
      <c r="X144" s="157" t="s">
        <v>2075</v>
      </c>
      <c r="Y144" t="b">
        <v>1</v>
      </c>
    </row>
    <row r="145" spans="2:25">
      <c r="B145" s="1" t="str">
        <f t="shared" si="2"/>
        <v>M_AEB0402_VM_KF_MACH_2.25_4000</v>
      </c>
      <c r="C145" s="7" t="s">
        <v>2072</v>
      </c>
      <c r="D145" s="7" t="str" cm="1">
        <f t="array" ref="D145">INDEX(기계코드!$D$4:$D$1022,MATCH(1,(C145=기계코드!$F$4:$F$1022)*1,0))</f>
        <v>M_AEB0402</v>
      </c>
      <c r="E145" s="7" t="s">
        <v>2073</v>
      </c>
      <c r="F145" s="7" t="str" cm="1">
        <f t="array" ref="F145">INDEX(공급업체코드!$B$3:$B$1000,MATCH(1,(E145=공급업체코드!$D$3:$D$1000)*1,0))</f>
        <v>VM_KF_MACH</v>
      </c>
      <c r="G145" s="158" t="s">
        <v>2076</v>
      </c>
      <c r="I145" s="166">
        <v>2.25</v>
      </c>
      <c r="J145" s="160">
        <v>4000</v>
      </c>
      <c r="K145" s="159">
        <v>65</v>
      </c>
      <c r="L145" s="165">
        <v>3.8279999999999998</v>
      </c>
      <c r="M145" s="7" t="s">
        <v>984</v>
      </c>
      <c r="N145" s="7">
        <v>380</v>
      </c>
      <c r="O145" s="151">
        <v>0.91700000000000004</v>
      </c>
      <c r="P145" s="7">
        <v>0.9</v>
      </c>
      <c r="Q145" s="7">
        <v>80</v>
      </c>
      <c r="R145" s="113">
        <v>11</v>
      </c>
      <c r="S145" s="258" t="s">
        <v>1390</v>
      </c>
      <c r="T145" s="10">
        <f t="shared" si="3"/>
        <v>1</v>
      </c>
      <c r="U145" s="260" t="s">
        <v>1391</v>
      </c>
      <c r="V145">
        <v>3234000</v>
      </c>
      <c r="X145" s="157" t="s">
        <v>2075</v>
      </c>
      <c r="Y145" t="b">
        <v>1</v>
      </c>
    </row>
    <row r="146" spans="2:25">
      <c r="B146" s="1" t="str">
        <f t="shared" si="2"/>
        <v>M_AEB0402_VM_KF_MACH_2.86_4000</v>
      </c>
      <c r="C146" s="7" t="s">
        <v>2072</v>
      </c>
      <c r="D146" s="7" t="str" cm="1">
        <f t="array" ref="D146">INDEX(기계코드!$D$4:$D$1022,MATCH(1,(C146=기계코드!$F$4:$F$1022)*1,0))</f>
        <v>M_AEB0402</v>
      </c>
      <c r="E146" s="7" t="s">
        <v>2073</v>
      </c>
      <c r="F146" s="7" t="str" cm="1">
        <f t="array" ref="F146">INDEX(공급업체코드!$B$3:$B$1000,MATCH(1,(E146=공급업체코드!$D$3:$D$1000)*1,0))</f>
        <v>VM_KF_MACH</v>
      </c>
      <c r="G146" s="158" t="s">
        <v>2076</v>
      </c>
      <c r="I146" s="166">
        <v>2.86</v>
      </c>
      <c r="J146" s="160">
        <v>4000</v>
      </c>
      <c r="K146" s="159">
        <v>65</v>
      </c>
      <c r="L146" s="165">
        <v>4.6440000000000001</v>
      </c>
      <c r="M146" s="7" t="s">
        <v>984</v>
      </c>
      <c r="N146" s="7">
        <v>380</v>
      </c>
      <c r="O146" s="151">
        <v>0.91700000000000004</v>
      </c>
      <c r="P146" s="7">
        <v>0.9</v>
      </c>
      <c r="Q146" s="7">
        <v>80</v>
      </c>
      <c r="R146" s="113">
        <v>11</v>
      </c>
      <c r="S146" s="258" t="s">
        <v>1390</v>
      </c>
      <c r="T146" s="10">
        <f t="shared" si="3"/>
        <v>1</v>
      </c>
      <c r="U146" s="260" t="s">
        <v>1391</v>
      </c>
      <c r="V146">
        <v>3234000</v>
      </c>
      <c r="X146" s="157" t="s">
        <v>2075</v>
      </c>
      <c r="Y146" t="b">
        <v>1</v>
      </c>
    </row>
    <row r="147" spans="2:25">
      <c r="B147" s="1" t="str">
        <f t="shared" si="2"/>
        <v>M_AEB0402_VM_KF_MACH_1.12_5000</v>
      </c>
      <c r="C147" s="7" t="s">
        <v>2072</v>
      </c>
      <c r="D147" s="7" t="str" cm="1">
        <f t="array" ref="D147">INDEX(기계코드!$D$4:$D$1022,MATCH(1,(C147=기계코드!$F$4:$F$1022)*1,0))</f>
        <v>M_AEB0402</v>
      </c>
      <c r="E147" s="7" t="s">
        <v>2073</v>
      </c>
      <c r="F147" s="7" t="str" cm="1">
        <f t="array" ref="F147">INDEX(공급업체코드!$B$3:$B$1000,MATCH(1,(E147=공급업체코드!$D$3:$D$1000)*1,0))</f>
        <v>VM_KF_MACH</v>
      </c>
      <c r="G147" s="158" t="s">
        <v>2076</v>
      </c>
      <c r="I147" s="166">
        <v>1.1200000000000001</v>
      </c>
      <c r="J147" s="160">
        <v>5000</v>
      </c>
      <c r="K147" s="159">
        <v>65</v>
      </c>
      <c r="L147" s="165">
        <v>2.8679999999999999</v>
      </c>
      <c r="M147" s="7" t="s">
        <v>984</v>
      </c>
      <c r="N147" s="7">
        <v>380</v>
      </c>
      <c r="O147" s="151">
        <v>0.89500000000000002</v>
      </c>
      <c r="P147" s="7">
        <v>0.9</v>
      </c>
      <c r="Q147" s="7">
        <v>80</v>
      </c>
      <c r="R147" s="113">
        <v>11</v>
      </c>
      <c r="S147" s="258" t="s">
        <v>1390</v>
      </c>
      <c r="T147" s="10">
        <f t="shared" si="3"/>
        <v>1</v>
      </c>
      <c r="U147" s="260" t="s">
        <v>1391</v>
      </c>
      <c r="V147">
        <v>3234000</v>
      </c>
      <c r="X147" s="157" t="s">
        <v>2075</v>
      </c>
      <c r="Y147" t="b">
        <v>1</v>
      </c>
    </row>
    <row r="148" spans="2:25">
      <c r="B148" s="1" t="str">
        <f t="shared" si="2"/>
        <v>M_AEB0402_VM_KF_MACH_1.46_5000</v>
      </c>
      <c r="C148" s="7" t="s">
        <v>2072</v>
      </c>
      <c r="D148" s="7" t="str" cm="1">
        <f t="array" ref="D148">INDEX(기계코드!$D$4:$D$1022,MATCH(1,(C148=기계코드!$F$4:$F$1022)*1,0))</f>
        <v>M_AEB0402</v>
      </c>
      <c r="E148" s="7" t="s">
        <v>2073</v>
      </c>
      <c r="F148" s="7" t="str" cm="1">
        <f t="array" ref="F148">INDEX(공급업체코드!$B$3:$B$1000,MATCH(1,(E148=공급업체코드!$D$3:$D$1000)*1,0))</f>
        <v>VM_KF_MACH</v>
      </c>
      <c r="G148" s="158" t="s">
        <v>2076</v>
      </c>
      <c r="I148" s="166">
        <v>1.46</v>
      </c>
      <c r="J148" s="160">
        <v>5000</v>
      </c>
      <c r="K148" s="159">
        <v>65</v>
      </c>
      <c r="L148" s="165">
        <v>3.4319999999999999</v>
      </c>
      <c r="M148" s="7" t="s">
        <v>984</v>
      </c>
      <c r="N148" s="7">
        <v>380</v>
      </c>
      <c r="O148" s="151">
        <v>0.89500000000000002</v>
      </c>
      <c r="P148" s="7">
        <v>0.9</v>
      </c>
      <c r="Q148" s="7">
        <v>80</v>
      </c>
      <c r="R148" s="113">
        <v>11</v>
      </c>
      <c r="S148" s="258" t="s">
        <v>1390</v>
      </c>
      <c r="T148" s="10">
        <f t="shared" si="3"/>
        <v>1</v>
      </c>
      <c r="U148" s="260" t="s">
        <v>1391</v>
      </c>
      <c r="V148">
        <v>3234000</v>
      </c>
      <c r="X148" s="157" t="s">
        <v>2075</v>
      </c>
      <c r="Y148" t="b">
        <v>1</v>
      </c>
    </row>
    <row r="149" spans="2:25">
      <c r="B149" s="1" t="str">
        <f t="shared" si="2"/>
        <v>M_AEB0402_VM_KF_MACH_2.7_5000</v>
      </c>
      <c r="C149" s="7" t="s">
        <v>2072</v>
      </c>
      <c r="D149" s="7" t="str" cm="1">
        <f t="array" ref="D149">INDEX(기계코드!$D$4:$D$1022,MATCH(1,(C149=기계코드!$F$4:$F$1022)*1,0))</f>
        <v>M_AEB0402</v>
      </c>
      <c r="E149" s="7" t="s">
        <v>2073</v>
      </c>
      <c r="F149" s="7" t="str" cm="1">
        <f t="array" ref="F149">INDEX(공급업체코드!$B$3:$B$1000,MATCH(1,(E149=공급업체코드!$D$3:$D$1000)*1,0))</f>
        <v>VM_KF_MACH</v>
      </c>
      <c r="G149" s="158" t="s">
        <v>2076</v>
      </c>
      <c r="I149" s="166">
        <v>2.7</v>
      </c>
      <c r="J149" s="160">
        <v>5000</v>
      </c>
      <c r="K149" s="159">
        <v>65</v>
      </c>
      <c r="L149" s="165">
        <v>4.62</v>
      </c>
      <c r="M149" s="7" t="s">
        <v>984</v>
      </c>
      <c r="N149" s="7">
        <v>380</v>
      </c>
      <c r="O149" s="151">
        <v>0.91700000000000004</v>
      </c>
      <c r="P149" s="7">
        <v>0.9</v>
      </c>
      <c r="Q149" s="7">
        <v>80</v>
      </c>
      <c r="R149" s="113">
        <v>11</v>
      </c>
      <c r="S149" s="258" t="s">
        <v>1390</v>
      </c>
      <c r="T149" s="10">
        <f t="shared" si="3"/>
        <v>1</v>
      </c>
      <c r="U149" s="260" t="s">
        <v>1391</v>
      </c>
      <c r="V149">
        <v>3234000</v>
      </c>
      <c r="X149" s="157" t="s">
        <v>2075</v>
      </c>
      <c r="Y149" t="b">
        <v>1</v>
      </c>
    </row>
    <row r="150" spans="2:25">
      <c r="B150" s="1" t="str">
        <f t="shared" si="2"/>
        <v>M_AEB0402_VM_KF_MACH_2.64_5000</v>
      </c>
      <c r="C150" s="7" t="s">
        <v>2072</v>
      </c>
      <c r="D150" s="7" t="str" cm="1">
        <f t="array" ref="D150">INDEX(기계코드!$D$4:$D$1022,MATCH(1,(C150=기계코드!$F$4:$F$1022)*1,0))</f>
        <v>M_AEB0402</v>
      </c>
      <c r="E150" s="7" t="s">
        <v>2073</v>
      </c>
      <c r="F150" s="7" t="str" cm="1">
        <f t="array" ref="F150">INDEX(공급업체코드!$B$3:$B$1000,MATCH(1,(E150=공급업체코드!$D$3:$D$1000)*1,0))</f>
        <v>VM_KF_MACH</v>
      </c>
      <c r="G150" s="158" t="s">
        <v>2076</v>
      </c>
      <c r="I150" s="166">
        <v>2.64</v>
      </c>
      <c r="J150" s="160">
        <v>5000</v>
      </c>
      <c r="K150" s="159">
        <v>65</v>
      </c>
      <c r="L150" s="165">
        <v>5.6159999999999997</v>
      </c>
      <c r="M150" s="7" t="s">
        <v>984</v>
      </c>
      <c r="N150" s="7">
        <v>380</v>
      </c>
      <c r="O150" s="151">
        <v>0.91700000000000004</v>
      </c>
      <c r="P150" s="7">
        <v>0.9</v>
      </c>
      <c r="Q150" s="7">
        <v>80</v>
      </c>
      <c r="R150" s="113">
        <v>11</v>
      </c>
      <c r="S150" s="258" t="s">
        <v>1390</v>
      </c>
      <c r="T150" s="10">
        <f t="shared" si="3"/>
        <v>1</v>
      </c>
      <c r="U150" s="260" t="s">
        <v>1391</v>
      </c>
      <c r="V150">
        <v>3234000</v>
      </c>
      <c r="X150" s="157" t="s">
        <v>2075</v>
      </c>
      <c r="Y150" t="b">
        <v>1</v>
      </c>
    </row>
    <row r="151" spans="2:25">
      <c r="B151" s="1" t="str">
        <f t="shared" si="2"/>
        <v>M_AEB0402_VM_KF_MACH_0.96_6000</v>
      </c>
      <c r="C151" s="7" t="s">
        <v>2072</v>
      </c>
      <c r="D151" s="7" t="str" cm="1">
        <f t="array" ref="D151">INDEX(기계코드!$D$4:$D$1022,MATCH(1,(C151=기계코드!$F$4:$F$1022)*1,0))</f>
        <v>M_AEB0402</v>
      </c>
      <c r="E151" s="7" t="s">
        <v>2073</v>
      </c>
      <c r="F151" s="7" t="str" cm="1">
        <f t="array" ref="F151">INDEX(공급업체코드!$B$3:$B$1000,MATCH(1,(E151=공급업체코드!$D$3:$D$1000)*1,0))</f>
        <v>VM_KF_MACH</v>
      </c>
      <c r="G151" s="158" t="s">
        <v>2076</v>
      </c>
      <c r="I151" s="166">
        <v>0.96</v>
      </c>
      <c r="J151" s="160">
        <v>6000</v>
      </c>
      <c r="K151" s="159">
        <v>65</v>
      </c>
      <c r="L151" s="165">
        <v>3.1559999999999997</v>
      </c>
      <c r="M151" s="7" t="s">
        <v>984</v>
      </c>
      <c r="N151" s="7">
        <v>380</v>
      </c>
      <c r="O151" s="151">
        <v>0.89500000000000002</v>
      </c>
      <c r="P151" s="7">
        <v>0.9</v>
      </c>
      <c r="Q151" s="7">
        <v>80</v>
      </c>
      <c r="R151" s="113">
        <v>11</v>
      </c>
      <c r="S151" s="258" t="s">
        <v>1390</v>
      </c>
      <c r="T151" s="10">
        <f t="shared" si="3"/>
        <v>1</v>
      </c>
      <c r="U151" s="260" t="s">
        <v>1391</v>
      </c>
      <c r="V151">
        <v>3234000</v>
      </c>
      <c r="X151" s="157" t="s">
        <v>2075</v>
      </c>
      <c r="Y151" t="b">
        <v>1</v>
      </c>
    </row>
    <row r="152" spans="2:25">
      <c r="B152" s="1" t="str">
        <f t="shared" si="2"/>
        <v>M_AEB0402_VM_KF_MACH_1.34_6000</v>
      </c>
      <c r="C152" s="7" t="s">
        <v>2072</v>
      </c>
      <c r="D152" s="7" t="str" cm="1">
        <f t="array" ref="D152">INDEX(기계코드!$D$4:$D$1022,MATCH(1,(C152=기계코드!$F$4:$F$1022)*1,0))</f>
        <v>M_AEB0402</v>
      </c>
      <c r="E152" s="7" t="s">
        <v>2073</v>
      </c>
      <c r="F152" s="7" t="str" cm="1">
        <f t="array" ref="F152">INDEX(공급업체코드!$B$3:$B$1000,MATCH(1,(E152=공급업체코드!$D$3:$D$1000)*1,0))</f>
        <v>VM_KF_MACH</v>
      </c>
      <c r="G152" s="158" t="s">
        <v>2076</v>
      </c>
      <c r="I152" s="166">
        <v>1.34</v>
      </c>
      <c r="J152" s="160">
        <v>6000</v>
      </c>
      <c r="K152" s="159">
        <v>65</v>
      </c>
      <c r="L152" s="165">
        <v>4.032</v>
      </c>
      <c r="M152" s="7" t="s">
        <v>984</v>
      </c>
      <c r="N152" s="7">
        <v>380</v>
      </c>
      <c r="O152" s="151">
        <v>0.91700000000000004</v>
      </c>
      <c r="P152" s="7">
        <v>0.9</v>
      </c>
      <c r="Q152" s="7">
        <v>80</v>
      </c>
      <c r="R152" s="113">
        <v>11</v>
      </c>
      <c r="S152" s="258" t="s">
        <v>1390</v>
      </c>
      <c r="T152" s="10">
        <f t="shared" si="3"/>
        <v>1</v>
      </c>
      <c r="U152" s="260" t="s">
        <v>1391</v>
      </c>
      <c r="V152">
        <v>3234000</v>
      </c>
      <c r="X152" s="157" t="s">
        <v>2075</v>
      </c>
      <c r="Y152" t="b">
        <v>1</v>
      </c>
    </row>
    <row r="153" spans="2:25">
      <c r="B153" s="1" t="str">
        <f t="shared" si="2"/>
        <v>M_AEB0402_VM_KF_MACH_1.92_6000</v>
      </c>
      <c r="C153" s="7" t="s">
        <v>2072</v>
      </c>
      <c r="D153" s="7" t="str" cm="1">
        <f t="array" ref="D153">INDEX(기계코드!$D$4:$D$1022,MATCH(1,(C153=기계코드!$F$4:$F$1022)*1,0))</f>
        <v>M_AEB0402</v>
      </c>
      <c r="E153" s="7" t="s">
        <v>2073</v>
      </c>
      <c r="F153" s="7" t="str" cm="1">
        <f t="array" ref="F153">INDEX(공급업체코드!$B$3:$B$1000,MATCH(1,(E153=공급업체코드!$D$3:$D$1000)*1,0))</f>
        <v>VM_KF_MACH</v>
      </c>
      <c r="G153" s="158" t="s">
        <v>2076</v>
      </c>
      <c r="I153" s="166">
        <v>1.92</v>
      </c>
      <c r="J153" s="160">
        <v>6000</v>
      </c>
      <c r="K153" s="159">
        <v>65</v>
      </c>
      <c r="L153" s="165">
        <v>5.52</v>
      </c>
      <c r="M153" s="7" t="s">
        <v>984</v>
      </c>
      <c r="N153" s="7">
        <v>380</v>
      </c>
      <c r="O153" s="151">
        <v>0.91700000000000004</v>
      </c>
      <c r="P153" s="7">
        <v>0.9</v>
      </c>
      <c r="Q153" s="7">
        <v>80</v>
      </c>
      <c r="R153" s="113">
        <v>11</v>
      </c>
      <c r="S153" s="258" t="s">
        <v>1390</v>
      </c>
      <c r="T153" s="10">
        <f t="shared" si="3"/>
        <v>1</v>
      </c>
      <c r="U153" s="260" t="s">
        <v>1391</v>
      </c>
      <c r="V153">
        <v>3234000</v>
      </c>
      <c r="X153" s="157" t="s">
        <v>2075</v>
      </c>
      <c r="Y153" t="b">
        <v>1</v>
      </c>
    </row>
    <row r="154" spans="2:25">
      <c r="B154" s="1" t="str">
        <f t="shared" si="2"/>
        <v>M_AEB0402_VM_KF_MACH_2.48_6000</v>
      </c>
      <c r="C154" s="7" t="s">
        <v>2072</v>
      </c>
      <c r="D154" s="7" t="str" cm="1">
        <f t="array" ref="D154">INDEX(기계코드!$D$4:$D$1022,MATCH(1,(C154=기계코드!$F$4:$F$1022)*1,0))</f>
        <v>M_AEB0402</v>
      </c>
      <c r="E154" s="7" t="s">
        <v>2073</v>
      </c>
      <c r="F154" s="7" t="str" cm="1">
        <f t="array" ref="F154">INDEX(공급업체코드!$B$3:$B$1000,MATCH(1,(E154=공급업체코드!$D$3:$D$1000)*1,0))</f>
        <v>VM_KF_MACH</v>
      </c>
      <c r="G154" s="158" t="s">
        <v>2076</v>
      </c>
      <c r="I154" s="166">
        <v>2.48</v>
      </c>
      <c r="J154" s="160">
        <v>6000</v>
      </c>
      <c r="K154" s="159">
        <v>65</v>
      </c>
      <c r="L154" s="165">
        <v>6.78</v>
      </c>
      <c r="M154" s="7" t="s">
        <v>984</v>
      </c>
      <c r="N154" s="7">
        <v>380</v>
      </c>
      <c r="O154" s="151">
        <v>0.91700000000000004</v>
      </c>
      <c r="P154" s="7">
        <v>0.9</v>
      </c>
      <c r="Q154" s="7">
        <v>80</v>
      </c>
      <c r="R154" s="113">
        <v>11</v>
      </c>
      <c r="S154" s="258" t="s">
        <v>1390</v>
      </c>
      <c r="T154" s="10">
        <f t="shared" si="3"/>
        <v>1</v>
      </c>
      <c r="U154" s="260" t="s">
        <v>1391</v>
      </c>
      <c r="V154">
        <v>3234000</v>
      </c>
      <c r="X154" s="157" t="s">
        <v>2075</v>
      </c>
      <c r="Y154" t="b">
        <v>1</v>
      </c>
    </row>
    <row r="155" spans="2:25">
      <c r="B155" s="1" t="str">
        <f t="shared" si="2"/>
        <v>M_AEB0402_VM_KF_MACH_2.67_4000</v>
      </c>
      <c r="C155" s="7" t="s">
        <v>2072</v>
      </c>
      <c r="D155" s="7" t="str" cm="1">
        <f t="array" ref="D155">INDEX(기계코드!$D$4:$D$1022,MATCH(1,(C155=기계코드!$F$4:$F$1022)*1,0))</f>
        <v>M_AEB0402</v>
      </c>
      <c r="E155" s="7" t="s">
        <v>2073</v>
      </c>
      <c r="F155" s="7" t="str" cm="1">
        <f t="array" ref="F155">INDEX(공급업체코드!$B$3:$B$1000,MATCH(1,(E155=공급업체코드!$D$3:$D$1000)*1,0))</f>
        <v>VM_KF_MACH</v>
      </c>
      <c r="G155" s="158" t="s">
        <v>2077</v>
      </c>
      <c r="I155" s="166">
        <v>2.67</v>
      </c>
      <c r="J155" s="160">
        <v>4000</v>
      </c>
      <c r="K155" s="159">
        <v>80</v>
      </c>
      <c r="L155" s="165">
        <v>3.972</v>
      </c>
      <c r="M155" s="7" t="s">
        <v>984</v>
      </c>
      <c r="N155" s="7">
        <v>380</v>
      </c>
      <c r="O155" s="151">
        <v>0.91700000000000004</v>
      </c>
      <c r="P155" s="7">
        <v>0.9</v>
      </c>
      <c r="Q155" s="7">
        <v>80</v>
      </c>
      <c r="R155" s="113">
        <v>11</v>
      </c>
      <c r="S155" s="258" t="s">
        <v>1390</v>
      </c>
      <c r="T155" s="10">
        <f t="shared" si="3"/>
        <v>1</v>
      </c>
      <c r="U155" s="260" t="s">
        <v>1391</v>
      </c>
      <c r="V155">
        <v>3234000</v>
      </c>
      <c r="X155" s="157" t="s">
        <v>2075</v>
      </c>
      <c r="Y155" t="b">
        <v>1</v>
      </c>
    </row>
    <row r="156" spans="2:25">
      <c r="B156" s="1" t="str">
        <f t="shared" si="2"/>
        <v>M_AEB0402_VM_KF_MACH_4.04_4000</v>
      </c>
      <c r="C156" s="7" t="s">
        <v>2072</v>
      </c>
      <c r="D156" s="7" t="str" cm="1">
        <f t="array" ref="D156">INDEX(기계코드!$D$4:$D$1022,MATCH(1,(C156=기계코드!$F$4:$F$1022)*1,0))</f>
        <v>M_AEB0402</v>
      </c>
      <c r="E156" s="7" t="s">
        <v>2073</v>
      </c>
      <c r="F156" s="7" t="str" cm="1">
        <f t="array" ref="F156">INDEX(공급업체코드!$B$3:$B$1000,MATCH(1,(E156=공급업체코드!$D$3:$D$1000)*1,0))</f>
        <v>VM_KF_MACH</v>
      </c>
      <c r="G156" s="158" t="s">
        <v>2077</v>
      </c>
      <c r="I156" s="166">
        <v>4.04</v>
      </c>
      <c r="J156" s="160">
        <v>4000</v>
      </c>
      <c r="K156" s="159">
        <v>80</v>
      </c>
      <c r="L156" s="165">
        <v>5.3999999999999995</v>
      </c>
      <c r="M156" s="7" t="s">
        <v>984</v>
      </c>
      <c r="N156" s="7">
        <v>380</v>
      </c>
      <c r="O156" s="151">
        <v>0.91700000000000004</v>
      </c>
      <c r="P156" s="7">
        <v>0.9</v>
      </c>
      <c r="Q156" s="7">
        <v>80</v>
      </c>
      <c r="R156" s="113">
        <v>11</v>
      </c>
      <c r="S156" s="258" t="s">
        <v>1390</v>
      </c>
      <c r="T156" s="10">
        <f t="shared" si="3"/>
        <v>1</v>
      </c>
      <c r="U156" s="260" t="s">
        <v>1391</v>
      </c>
      <c r="V156">
        <v>3234000</v>
      </c>
      <c r="X156" s="157" t="s">
        <v>2075</v>
      </c>
      <c r="Y156" t="b">
        <v>1</v>
      </c>
    </row>
    <row r="157" spans="2:25">
      <c r="B157" s="1" t="str">
        <f t="shared" si="2"/>
        <v>M_AEB0402_VM_KF_MACH_5.41_4000</v>
      </c>
      <c r="C157" s="7" t="s">
        <v>2072</v>
      </c>
      <c r="D157" s="7" t="str" cm="1">
        <f t="array" ref="D157">INDEX(기계코드!$D$4:$D$1022,MATCH(1,(C157=기계코드!$F$4:$F$1022)*1,0))</f>
        <v>M_AEB0402</v>
      </c>
      <c r="E157" s="7" t="s">
        <v>2073</v>
      </c>
      <c r="F157" s="7" t="str" cm="1">
        <f t="array" ref="F157">INDEX(공급업체코드!$B$3:$B$1000,MATCH(1,(E157=공급업체코드!$D$3:$D$1000)*1,0))</f>
        <v>VM_KF_MACH</v>
      </c>
      <c r="G157" s="158" t="s">
        <v>2077</v>
      </c>
      <c r="I157" s="166">
        <v>5.41</v>
      </c>
      <c r="J157" s="160">
        <v>4000</v>
      </c>
      <c r="K157" s="159">
        <v>80</v>
      </c>
      <c r="L157" s="165">
        <v>6.6599999999999993</v>
      </c>
      <c r="M157" s="7" t="s">
        <v>984</v>
      </c>
      <c r="N157" s="7">
        <v>380</v>
      </c>
      <c r="O157" s="151">
        <v>0.91700000000000004</v>
      </c>
      <c r="P157" s="7">
        <v>0.9</v>
      </c>
      <c r="Q157" s="7">
        <v>80</v>
      </c>
      <c r="R157" s="113">
        <v>11</v>
      </c>
      <c r="S157" s="258" t="s">
        <v>1390</v>
      </c>
      <c r="T157" s="10">
        <f t="shared" si="3"/>
        <v>1</v>
      </c>
      <c r="U157" s="260" t="s">
        <v>1391</v>
      </c>
      <c r="V157">
        <v>3234000</v>
      </c>
      <c r="X157" s="157" t="s">
        <v>2075</v>
      </c>
      <c r="Y157" t="b">
        <v>1</v>
      </c>
    </row>
    <row r="158" spans="2:25">
      <c r="B158" s="1" t="str">
        <f t="shared" si="2"/>
        <v>M_AEB0402_VM_KF_MACH_6.88_4000</v>
      </c>
      <c r="C158" s="7" t="s">
        <v>2072</v>
      </c>
      <c r="D158" s="7" t="str" cm="1">
        <f t="array" ref="D158">INDEX(기계코드!$D$4:$D$1022,MATCH(1,(C158=기계코드!$F$4:$F$1022)*1,0))</f>
        <v>M_AEB0402</v>
      </c>
      <c r="E158" s="7" t="s">
        <v>2073</v>
      </c>
      <c r="F158" s="7" t="str" cm="1">
        <f t="array" ref="F158">INDEX(공급업체코드!$B$3:$B$1000,MATCH(1,(E158=공급업체코드!$D$3:$D$1000)*1,0))</f>
        <v>VM_KF_MACH</v>
      </c>
      <c r="G158" s="158" t="s">
        <v>2077</v>
      </c>
      <c r="I158" s="166">
        <v>6.88</v>
      </c>
      <c r="J158" s="160">
        <v>4000</v>
      </c>
      <c r="K158" s="159">
        <v>80</v>
      </c>
      <c r="L158" s="165">
        <v>8.0519999999999996</v>
      </c>
      <c r="M158" s="7" t="s">
        <v>984</v>
      </c>
      <c r="N158" s="7">
        <v>380</v>
      </c>
      <c r="O158" s="151">
        <v>0.92400000000000004</v>
      </c>
      <c r="P158" s="7">
        <v>0.9</v>
      </c>
      <c r="Q158" s="7">
        <v>80</v>
      </c>
      <c r="R158" s="113">
        <v>11</v>
      </c>
      <c r="S158" s="258" t="s">
        <v>1390</v>
      </c>
      <c r="T158" s="10">
        <f t="shared" si="3"/>
        <v>1</v>
      </c>
      <c r="U158" s="260" t="s">
        <v>1391</v>
      </c>
      <c r="V158">
        <v>3234000</v>
      </c>
      <c r="X158" s="157" t="s">
        <v>2075</v>
      </c>
      <c r="Y158" t="b">
        <v>1</v>
      </c>
    </row>
    <row r="159" spans="2:25">
      <c r="B159" s="1" t="str">
        <f t="shared" si="2"/>
        <v>M_AEB0402_VM_KF_MACH_2.37_5000</v>
      </c>
      <c r="C159" s="7" t="s">
        <v>2072</v>
      </c>
      <c r="D159" s="7" t="str" cm="1">
        <f t="array" ref="D159">INDEX(기계코드!$D$4:$D$1022,MATCH(1,(C159=기계코드!$F$4:$F$1022)*1,0))</f>
        <v>M_AEB0402</v>
      </c>
      <c r="E159" s="7" t="s">
        <v>2073</v>
      </c>
      <c r="F159" s="7" t="str" cm="1">
        <f t="array" ref="F159">INDEX(공급업체코드!$B$3:$B$1000,MATCH(1,(E159=공급업체코드!$D$3:$D$1000)*1,0))</f>
        <v>VM_KF_MACH</v>
      </c>
      <c r="G159" s="158" t="s">
        <v>2077</v>
      </c>
      <c r="I159" s="166">
        <v>2.37</v>
      </c>
      <c r="J159" s="160">
        <v>5000</v>
      </c>
      <c r="K159" s="159">
        <v>80</v>
      </c>
      <c r="L159" s="165">
        <v>4.5119999999999996</v>
      </c>
      <c r="M159" s="7" t="s">
        <v>984</v>
      </c>
      <c r="N159" s="7">
        <v>380</v>
      </c>
      <c r="O159" s="151">
        <v>0.91700000000000004</v>
      </c>
      <c r="P159" s="7">
        <v>0.9</v>
      </c>
      <c r="Q159" s="7">
        <v>80</v>
      </c>
      <c r="R159" s="113">
        <v>11</v>
      </c>
      <c r="S159" s="258" t="s">
        <v>1390</v>
      </c>
      <c r="T159" s="10">
        <f t="shared" si="3"/>
        <v>1</v>
      </c>
      <c r="U159" s="260" t="s">
        <v>1391</v>
      </c>
      <c r="V159">
        <v>3234000</v>
      </c>
      <c r="X159" s="157" t="s">
        <v>2075</v>
      </c>
      <c r="Y159" t="b">
        <v>1</v>
      </c>
    </row>
    <row r="160" spans="2:25">
      <c r="B160" s="1" t="str">
        <f t="shared" si="2"/>
        <v>M_AEB0402_VM_KF_MACH_3.75_5000</v>
      </c>
      <c r="C160" s="7" t="s">
        <v>2072</v>
      </c>
      <c r="D160" s="7" t="str" cm="1">
        <f t="array" ref="D160">INDEX(기계코드!$D$4:$D$1022,MATCH(1,(C160=기계코드!$F$4:$F$1022)*1,0))</f>
        <v>M_AEB0402</v>
      </c>
      <c r="E160" s="7" t="s">
        <v>2073</v>
      </c>
      <c r="F160" s="7" t="str" cm="1">
        <f t="array" ref="F160">INDEX(공급업체코드!$B$3:$B$1000,MATCH(1,(E160=공급업체코드!$D$3:$D$1000)*1,0))</f>
        <v>VM_KF_MACH</v>
      </c>
      <c r="G160" s="158" t="s">
        <v>2077</v>
      </c>
      <c r="I160" s="166">
        <v>3.75</v>
      </c>
      <c r="J160" s="160">
        <v>5000</v>
      </c>
      <c r="K160" s="159">
        <v>80</v>
      </c>
      <c r="L160" s="165">
        <v>6.4320000000000004</v>
      </c>
      <c r="M160" s="7" t="s">
        <v>984</v>
      </c>
      <c r="N160" s="7">
        <v>380</v>
      </c>
      <c r="O160" s="151">
        <v>0.91700000000000004</v>
      </c>
      <c r="P160" s="7">
        <v>0.9</v>
      </c>
      <c r="Q160" s="7">
        <v>80</v>
      </c>
      <c r="R160" s="113">
        <v>11</v>
      </c>
      <c r="S160" s="258" t="s">
        <v>1390</v>
      </c>
      <c r="T160" s="10">
        <f t="shared" si="3"/>
        <v>1</v>
      </c>
      <c r="U160" s="260" t="s">
        <v>1391</v>
      </c>
      <c r="V160">
        <v>3234000</v>
      </c>
      <c r="X160" s="157" t="s">
        <v>2075</v>
      </c>
      <c r="Y160" t="b">
        <v>1</v>
      </c>
    </row>
    <row r="161" spans="2:25">
      <c r="B161" s="1" t="str">
        <f t="shared" si="2"/>
        <v>M_AEB0402_VM_KF_MACH_5.12_5000</v>
      </c>
      <c r="C161" s="7" t="s">
        <v>2072</v>
      </c>
      <c r="D161" s="7" t="str" cm="1">
        <f t="array" ref="D161">INDEX(기계코드!$D$4:$D$1022,MATCH(1,(C161=기계코드!$F$4:$F$1022)*1,0))</f>
        <v>M_AEB0402</v>
      </c>
      <c r="E161" s="7" t="s">
        <v>2073</v>
      </c>
      <c r="F161" s="7" t="str" cm="1">
        <f t="array" ref="F161">INDEX(공급업체코드!$B$3:$B$1000,MATCH(1,(E161=공급업체코드!$D$3:$D$1000)*1,0))</f>
        <v>VM_KF_MACH</v>
      </c>
      <c r="G161" s="158" t="s">
        <v>2077</v>
      </c>
      <c r="I161" s="166">
        <v>5.12</v>
      </c>
      <c r="J161" s="160">
        <v>5000</v>
      </c>
      <c r="K161" s="159">
        <v>80</v>
      </c>
      <c r="L161" s="165">
        <v>8.0760000000000005</v>
      </c>
      <c r="M161" s="7" t="s">
        <v>984</v>
      </c>
      <c r="N161" s="7">
        <v>380</v>
      </c>
      <c r="O161" s="151">
        <v>0.92400000000000004</v>
      </c>
      <c r="P161" s="7">
        <v>0.9</v>
      </c>
      <c r="Q161" s="7">
        <v>80</v>
      </c>
      <c r="R161" s="113">
        <v>11</v>
      </c>
      <c r="S161" s="258" t="s">
        <v>1390</v>
      </c>
      <c r="T161" s="10">
        <f t="shared" si="3"/>
        <v>1</v>
      </c>
      <c r="U161" s="260" t="s">
        <v>1391</v>
      </c>
      <c r="V161">
        <v>3234000</v>
      </c>
      <c r="X161" s="157" t="s">
        <v>2075</v>
      </c>
      <c r="Y161" t="b">
        <v>1</v>
      </c>
    </row>
    <row r="162" spans="2:25">
      <c r="B162" s="1" t="str">
        <f t="shared" si="2"/>
        <v>M_AEB0402_VM_KF_MACH_6.53_5000</v>
      </c>
      <c r="C162" s="7" t="s">
        <v>2072</v>
      </c>
      <c r="D162" s="7" t="str" cm="1">
        <f t="array" ref="D162">INDEX(기계코드!$D$4:$D$1022,MATCH(1,(C162=기계코드!$F$4:$F$1022)*1,0))</f>
        <v>M_AEB0402</v>
      </c>
      <c r="E162" s="7" t="s">
        <v>2073</v>
      </c>
      <c r="F162" s="7" t="str" cm="1">
        <f t="array" ref="F162">INDEX(공급업체코드!$B$3:$B$1000,MATCH(1,(E162=공급업체코드!$D$3:$D$1000)*1,0))</f>
        <v>VM_KF_MACH</v>
      </c>
      <c r="G162" s="158" t="s">
        <v>2077</v>
      </c>
      <c r="I162" s="166">
        <v>6.53</v>
      </c>
      <c r="J162" s="160">
        <v>5000</v>
      </c>
      <c r="K162" s="159">
        <v>80</v>
      </c>
      <c r="L162" s="165">
        <v>9.8040000000000003</v>
      </c>
      <c r="M162" s="7" t="s">
        <v>984</v>
      </c>
      <c r="N162" s="7">
        <v>380</v>
      </c>
      <c r="O162" s="151">
        <v>0.92400000000000004</v>
      </c>
      <c r="P162" s="7">
        <v>0.9</v>
      </c>
      <c r="Q162" s="7">
        <v>80</v>
      </c>
      <c r="R162" s="113">
        <v>11</v>
      </c>
      <c r="S162" s="258" t="s">
        <v>1390</v>
      </c>
      <c r="T162" s="10">
        <f t="shared" si="3"/>
        <v>1</v>
      </c>
      <c r="U162" s="260" t="s">
        <v>1391</v>
      </c>
      <c r="V162">
        <v>3234000</v>
      </c>
      <c r="X162" s="157" t="s">
        <v>2075</v>
      </c>
      <c r="Y162" t="b">
        <v>1</v>
      </c>
    </row>
    <row r="163" spans="2:25">
      <c r="B163" s="1" t="str">
        <f t="shared" si="2"/>
        <v>M_AEB0402_VM_KF_MACH_2.14_6000</v>
      </c>
      <c r="C163" s="7" t="s">
        <v>2072</v>
      </c>
      <c r="D163" s="7" t="str" cm="1">
        <f t="array" ref="D163">INDEX(기계코드!$D$4:$D$1022,MATCH(1,(C163=기계코드!$F$4:$F$1022)*1,0))</f>
        <v>M_AEB0402</v>
      </c>
      <c r="E163" s="7" t="s">
        <v>2073</v>
      </c>
      <c r="F163" s="7" t="str" cm="1">
        <f t="array" ref="F163">INDEX(공급업체코드!$B$3:$B$1000,MATCH(1,(E163=공급업체코드!$D$3:$D$1000)*1,0))</f>
        <v>VM_KF_MACH</v>
      </c>
      <c r="G163" s="158" t="s">
        <v>2077</v>
      </c>
      <c r="I163" s="166">
        <v>2.14</v>
      </c>
      <c r="J163" s="160">
        <v>6000</v>
      </c>
      <c r="K163" s="159">
        <v>80</v>
      </c>
      <c r="L163" s="165">
        <v>5.0280000000000005</v>
      </c>
      <c r="M163" s="7" t="s">
        <v>984</v>
      </c>
      <c r="N163" s="7">
        <v>380</v>
      </c>
      <c r="O163" s="151">
        <v>0.91700000000000004</v>
      </c>
      <c r="P163" s="7">
        <v>0.9</v>
      </c>
      <c r="Q163" s="7">
        <v>80</v>
      </c>
      <c r="R163" s="113">
        <v>11</v>
      </c>
      <c r="S163" s="258" t="s">
        <v>1390</v>
      </c>
      <c r="T163" s="10">
        <f t="shared" si="3"/>
        <v>1</v>
      </c>
      <c r="U163" s="260" t="s">
        <v>1391</v>
      </c>
      <c r="V163">
        <v>3234000</v>
      </c>
      <c r="X163" s="157" t="s">
        <v>2075</v>
      </c>
      <c r="Y163" t="b">
        <v>1</v>
      </c>
    </row>
    <row r="164" spans="2:25">
      <c r="B164" s="1" t="str">
        <f t="shared" si="2"/>
        <v>M_AEB0402_VM_KF_MACH_3.52_6000</v>
      </c>
      <c r="C164" s="7" t="s">
        <v>2072</v>
      </c>
      <c r="D164" s="7" t="str" cm="1">
        <f t="array" ref="D164">INDEX(기계코드!$D$4:$D$1022,MATCH(1,(C164=기계코드!$F$4:$F$1022)*1,0))</f>
        <v>M_AEB0402</v>
      </c>
      <c r="E164" s="7" t="s">
        <v>2073</v>
      </c>
      <c r="F164" s="7" t="str" cm="1">
        <f t="array" ref="F164">INDEX(공급업체코드!$B$3:$B$1000,MATCH(1,(E164=공급업체코드!$D$3:$D$1000)*1,0))</f>
        <v>VM_KF_MACH</v>
      </c>
      <c r="G164" s="158" t="s">
        <v>2077</v>
      </c>
      <c r="I164" s="166">
        <v>3.52</v>
      </c>
      <c r="J164" s="160">
        <v>6000</v>
      </c>
      <c r="K164" s="159">
        <v>80</v>
      </c>
      <c r="L164" s="165">
        <v>7.4399999999999995</v>
      </c>
      <c r="M164" s="7" t="s">
        <v>984</v>
      </c>
      <c r="N164" s="7">
        <v>380</v>
      </c>
      <c r="O164" s="151">
        <v>0.91700000000000004</v>
      </c>
      <c r="P164" s="7">
        <v>0.9</v>
      </c>
      <c r="Q164" s="7">
        <v>80</v>
      </c>
      <c r="R164" s="113">
        <v>11</v>
      </c>
      <c r="S164" s="258" t="s">
        <v>1390</v>
      </c>
      <c r="T164" s="10">
        <f t="shared" si="3"/>
        <v>1</v>
      </c>
      <c r="U164" s="260" t="s">
        <v>1391</v>
      </c>
      <c r="V164">
        <v>3234000</v>
      </c>
      <c r="X164" s="157" t="s">
        <v>2075</v>
      </c>
      <c r="Y164" t="b">
        <v>1</v>
      </c>
    </row>
    <row r="165" spans="2:25">
      <c r="B165" s="1" t="str">
        <f t="shared" si="2"/>
        <v>M_AEB0402_VM_KF_MACH_4.88_6000</v>
      </c>
      <c r="C165" s="7" t="s">
        <v>2072</v>
      </c>
      <c r="D165" s="7" t="str" cm="1">
        <f t="array" ref="D165">INDEX(기계코드!$D$4:$D$1022,MATCH(1,(C165=기계코드!$F$4:$F$1022)*1,0))</f>
        <v>M_AEB0402</v>
      </c>
      <c r="E165" s="7" t="s">
        <v>2073</v>
      </c>
      <c r="F165" s="7" t="str" cm="1">
        <f t="array" ref="F165">INDEX(공급업체코드!$B$3:$B$1000,MATCH(1,(E165=공급업체코드!$D$3:$D$1000)*1,0))</f>
        <v>VM_KF_MACH</v>
      </c>
      <c r="G165" s="158" t="s">
        <v>2077</v>
      </c>
      <c r="I165" s="166">
        <v>4.88</v>
      </c>
      <c r="J165" s="160">
        <v>6000</v>
      </c>
      <c r="K165" s="159">
        <v>80</v>
      </c>
      <c r="L165" s="165">
        <v>9.4919999999999991</v>
      </c>
      <c r="M165" s="7" t="s">
        <v>984</v>
      </c>
      <c r="N165" s="7">
        <v>380</v>
      </c>
      <c r="O165" s="151">
        <v>0.92400000000000004</v>
      </c>
      <c r="P165" s="7">
        <v>0.9</v>
      </c>
      <c r="Q165" s="7">
        <v>80</v>
      </c>
      <c r="R165" s="113">
        <v>11</v>
      </c>
      <c r="S165" s="258" t="s">
        <v>1390</v>
      </c>
      <c r="T165" s="10">
        <f t="shared" si="3"/>
        <v>1</v>
      </c>
      <c r="U165" s="260" t="s">
        <v>1391</v>
      </c>
      <c r="V165">
        <v>3234000</v>
      </c>
      <c r="X165" s="157" t="s">
        <v>2075</v>
      </c>
      <c r="Y165" t="b">
        <v>1</v>
      </c>
    </row>
    <row r="166" spans="2:25">
      <c r="B166" s="1" t="str">
        <f t="shared" si="2"/>
        <v>M_AEB0402_VM_KF_MACH_6.24_6000</v>
      </c>
      <c r="C166" s="7" t="s">
        <v>2072</v>
      </c>
      <c r="D166" s="7" t="str" cm="1">
        <f t="array" ref="D166">INDEX(기계코드!$D$4:$D$1022,MATCH(1,(C166=기계코드!$F$4:$F$1022)*1,0))</f>
        <v>M_AEB0402</v>
      </c>
      <c r="E166" s="7" t="s">
        <v>2073</v>
      </c>
      <c r="F166" s="7" t="str" cm="1">
        <f t="array" ref="F166">INDEX(공급업체코드!$B$3:$B$1000,MATCH(1,(E166=공급업체코드!$D$3:$D$1000)*1,0))</f>
        <v>VM_KF_MACH</v>
      </c>
      <c r="G166" s="158" t="s">
        <v>2077</v>
      </c>
      <c r="I166" s="166">
        <v>6.24</v>
      </c>
      <c r="J166" s="160">
        <v>6000</v>
      </c>
      <c r="K166" s="159">
        <v>80</v>
      </c>
      <c r="L166" s="165">
        <v>11.556000000000001</v>
      </c>
      <c r="M166" s="7" t="s">
        <v>984</v>
      </c>
      <c r="N166" s="7">
        <v>380</v>
      </c>
      <c r="O166" s="151">
        <v>0.93</v>
      </c>
      <c r="P166" s="7">
        <v>0.9</v>
      </c>
      <c r="Q166" s="7">
        <v>80</v>
      </c>
      <c r="R166" s="113">
        <v>11</v>
      </c>
      <c r="S166" s="258" t="s">
        <v>1390</v>
      </c>
      <c r="T166" s="10">
        <f t="shared" si="3"/>
        <v>1</v>
      </c>
      <c r="U166" s="260" t="s">
        <v>1391</v>
      </c>
      <c r="V166">
        <v>3234000</v>
      </c>
      <c r="X166" s="157" t="s">
        <v>2075</v>
      </c>
      <c r="Y166" t="b">
        <v>1</v>
      </c>
    </row>
    <row r="167" spans="2:25">
      <c r="B167" s="1" t="str">
        <f t="shared" si="2"/>
        <v>M_AEB0402_VM_KF_MACH_0.99_4000</v>
      </c>
      <c r="C167" s="7" t="s">
        <v>2072</v>
      </c>
      <c r="D167" s="7" t="str" cm="1">
        <f t="array" ref="D167">INDEX(기계코드!$D$4:$D$1022,MATCH(1,(C167=기계코드!$F$4:$F$1022)*1,0))</f>
        <v>M_AEB0402</v>
      </c>
      <c r="E167" s="7" t="s">
        <v>2073</v>
      </c>
      <c r="F167" s="7" t="str" cm="1">
        <f t="array" ref="F167">INDEX(공급업체코드!$B$3:$B$1000,MATCH(1,(E167=공급업체코드!$D$3:$D$1000)*1,0))</f>
        <v>VM_KF_MACH</v>
      </c>
      <c r="G167" s="158" t="s">
        <v>2078</v>
      </c>
      <c r="I167" s="163">
        <v>0.99</v>
      </c>
      <c r="J167" s="160">
        <v>4000</v>
      </c>
      <c r="K167" s="164">
        <v>50</v>
      </c>
      <c r="L167" s="165">
        <v>2.016</v>
      </c>
      <c r="M167" s="7" t="s">
        <v>984</v>
      </c>
      <c r="N167" s="7">
        <v>380</v>
      </c>
      <c r="O167" s="151">
        <v>0.89500000000000002</v>
      </c>
      <c r="P167" s="7">
        <v>0.9</v>
      </c>
      <c r="Q167" s="7">
        <v>80</v>
      </c>
      <c r="R167" s="113">
        <v>11</v>
      </c>
      <c r="S167" s="258" t="s">
        <v>1390</v>
      </c>
      <c r="T167" s="10">
        <f t="shared" si="3"/>
        <v>1</v>
      </c>
      <c r="U167" s="260" t="s">
        <v>1391</v>
      </c>
      <c r="V167">
        <v>3234000</v>
      </c>
      <c r="X167" s="157" t="s">
        <v>2075</v>
      </c>
      <c r="Y167" t="b">
        <v>1</v>
      </c>
    </row>
    <row r="168" spans="2:25">
      <c r="B168" s="1" t="str">
        <f t="shared" si="2"/>
        <v>M_AEB0402_VM_KF_MACH_1.27_4000</v>
      </c>
      <c r="C168" s="7" t="s">
        <v>2072</v>
      </c>
      <c r="D168" s="7" t="str" cm="1">
        <f t="array" ref="D168">INDEX(기계코드!$D$4:$D$1022,MATCH(1,(C168=기계코드!$F$4:$F$1022)*1,0))</f>
        <v>M_AEB0402</v>
      </c>
      <c r="E168" s="7" t="s">
        <v>2073</v>
      </c>
      <c r="F168" s="7" t="str" cm="1">
        <f t="array" ref="F168">INDEX(공급업체코드!$B$3:$B$1000,MATCH(1,(E168=공급업체코드!$D$3:$D$1000)*1,0))</f>
        <v>VM_KF_MACH</v>
      </c>
      <c r="G168" s="158" t="s">
        <v>2078</v>
      </c>
      <c r="I168" s="166">
        <v>1.27</v>
      </c>
      <c r="J168" s="160">
        <v>4000</v>
      </c>
      <c r="K168" s="164">
        <v>50</v>
      </c>
      <c r="L168" s="165">
        <v>2.3279999999999998</v>
      </c>
      <c r="M168" s="7" t="s">
        <v>984</v>
      </c>
      <c r="N168" s="7">
        <v>380</v>
      </c>
      <c r="O168" s="151">
        <v>0.89500000000000002</v>
      </c>
      <c r="P168" s="7">
        <v>0.9</v>
      </c>
      <c r="Q168" s="7">
        <v>80</v>
      </c>
      <c r="R168" s="113">
        <v>11</v>
      </c>
      <c r="S168" s="258" t="s">
        <v>1390</v>
      </c>
      <c r="T168" s="10">
        <f t="shared" si="3"/>
        <v>1</v>
      </c>
      <c r="U168" s="260" t="s">
        <v>1391</v>
      </c>
      <c r="V168">
        <v>3234000</v>
      </c>
      <c r="X168" s="157" t="s">
        <v>2075</v>
      </c>
      <c r="Y168" t="b">
        <v>1</v>
      </c>
    </row>
    <row r="169" spans="2:25">
      <c r="B169" s="1" t="str">
        <f t="shared" si="2"/>
        <v>M_AEB0402_VM_KF_MACH_1.72_4000</v>
      </c>
      <c r="C169" s="7" t="s">
        <v>2072</v>
      </c>
      <c r="D169" s="7" t="str" cm="1">
        <f t="array" ref="D169">INDEX(기계코드!$D$4:$D$1022,MATCH(1,(C169=기계코드!$F$4:$F$1022)*1,0))</f>
        <v>M_AEB0402</v>
      </c>
      <c r="E169" s="7" t="s">
        <v>2073</v>
      </c>
      <c r="F169" s="7" t="str" cm="1">
        <f t="array" ref="F169">INDEX(공급업체코드!$B$3:$B$1000,MATCH(1,(E169=공급업체코드!$D$3:$D$1000)*1,0))</f>
        <v>VM_KF_MACH</v>
      </c>
      <c r="G169" s="158" t="s">
        <v>2078</v>
      </c>
      <c r="I169" s="166">
        <v>1.72</v>
      </c>
      <c r="J169" s="160">
        <v>4000</v>
      </c>
      <c r="K169" s="164">
        <v>50</v>
      </c>
      <c r="L169" s="165">
        <v>2.8919999999999999</v>
      </c>
      <c r="M169" s="7" t="s">
        <v>984</v>
      </c>
      <c r="N169" s="7">
        <v>380</v>
      </c>
      <c r="O169" s="151">
        <v>0.89500000000000002</v>
      </c>
      <c r="P169" s="7">
        <v>0.9</v>
      </c>
      <c r="Q169" s="7">
        <v>80</v>
      </c>
      <c r="R169" s="113">
        <v>11</v>
      </c>
      <c r="S169" s="258" t="s">
        <v>1390</v>
      </c>
      <c r="T169" s="10">
        <f t="shared" si="3"/>
        <v>1</v>
      </c>
      <c r="U169" s="260" t="s">
        <v>1391</v>
      </c>
      <c r="V169">
        <v>3234000</v>
      </c>
      <c r="X169" s="157" t="s">
        <v>2075</v>
      </c>
      <c r="Y169" t="b">
        <v>1</v>
      </c>
    </row>
    <row r="170" spans="2:25">
      <c r="B170" s="1" t="str">
        <f t="shared" si="2"/>
        <v>M_AEB0402_VM_KF_MACH_2.23_4000</v>
      </c>
      <c r="C170" s="7" t="s">
        <v>2072</v>
      </c>
      <c r="D170" s="7" t="str" cm="1">
        <f t="array" ref="D170">INDEX(기계코드!$D$4:$D$1022,MATCH(1,(C170=기계코드!$F$4:$F$1022)*1,0))</f>
        <v>M_AEB0402</v>
      </c>
      <c r="E170" s="7" t="s">
        <v>2073</v>
      </c>
      <c r="F170" s="7" t="str" cm="1">
        <f t="array" ref="F170">INDEX(공급업체코드!$B$3:$B$1000,MATCH(1,(E170=공급업체코드!$D$3:$D$1000)*1,0))</f>
        <v>VM_KF_MACH</v>
      </c>
      <c r="G170" s="158" t="s">
        <v>2078</v>
      </c>
      <c r="I170" s="166">
        <v>2.23</v>
      </c>
      <c r="J170" s="160">
        <v>4000</v>
      </c>
      <c r="K170" s="164">
        <v>50</v>
      </c>
      <c r="L170" s="165">
        <v>3.5760000000000001</v>
      </c>
      <c r="M170" s="7" t="s">
        <v>984</v>
      </c>
      <c r="N170" s="7">
        <v>380</v>
      </c>
      <c r="O170" s="151">
        <v>0.89500000000000002</v>
      </c>
      <c r="P170" s="7">
        <v>0.9</v>
      </c>
      <c r="Q170" s="7">
        <v>80</v>
      </c>
      <c r="R170" s="113">
        <v>11</v>
      </c>
      <c r="S170" s="258" t="s">
        <v>1390</v>
      </c>
      <c r="T170" s="10">
        <f t="shared" si="3"/>
        <v>1</v>
      </c>
      <c r="U170" s="260" t="s">
        <v>1391</v>
      </c>
      <c r="V170">
        <v>3234000</v>
      </c>
      <c r="X170" s="157" t="s">
        <v>2075</v>
      </c>
      <c r="Y170" t="b">
        <v>1</v>
      </c>
    </row>
    <row r="171" spans="2:25">
      <c r="B171" s="1" t="str">
        <f t="shared" si="2"/>
        <v>M_AEB0402_VM_KF_MACH_0.86_5000</v>
      </c>
      <c r="C171" s="7" t="s">
        <v>2072</v>
      </c>
      <c r="D171" s="7" t="str" cm="1">
        <f t="array" ref="D171">INDEX(기계코드!$D$4:$D$1022,MATCH(1,(C171=기계코드!$F$4:$F$1022)*1,0))</f>
        <v>M_AEB0402</v>
      </c>
      <c r="E171" s="7" t="s">
        <v>2073</v>
      </c>
      <c r="F171" s="7" t="str" cm="1">
        <f t="array" ref="F171">INDEX(공급업체코드!$B$3:$B$1000,MATCH(1,(E171=공급업체코드!$D$3:$D$1000)*1,0))</f>
        <v>VM_KF_MACH</v>
      </c>
      <c r="G171" s="158" t="s">
        <v>2078</v>
      </c>
      <c r="I171" s="166">
        <v>0.86</v>
      </c>
      <c r="J171" s="160">
        <v>5000</v>
      </c>
      <c r="K171" s="164">
        <v>50</v>
      </c>
      <c r="L171" s="165">
        <v>2.4239999999999999</v>
      </c>
      <c r="M171" s="7" t="s">
        <v>984</v>
      </c>
      <c r="N171" s="7">
        <v>380</v>
      </c>
      <c r="O171" s="151">
        <v>0.89500000000000002</v>
      </c>
      <c r="P171" s="7">
        <v>0.9</v>
      </c>
      <c r="Q171" s="7">
        <v>80</v>
      </c>
      <c r="R171" s="113">
        <v>11</v>
      </c>
      <c r="S171" s="258" t="s">
        <v>1390</v>
      </c>
      <c r="T171" s="10">
        <f t="shared" si="3"/>
        <v>1</v>
      </c>
      <c r="U171" s="260" t="s">
        <v>1391</v>
      </c>
      <c r="V171">
        <v>3234000</v>
      </c>
      <c r="X171" s="157" t="s">
        <v>2075</v>
      </c>
      <c r="Y171" t="b">
        <v>1</v>
      </c>
    </row>
    <row r="172" spans="2:25">
      <c r="B172" s="1" t="str">
        <f t="shared" si="2"/>
        <v>M_AEB0402_VM_KF_MACH_1.12_5000</v>
      </c>
      <c r="C172" s="7" t="s">
        <v>2072</v>
      </c>
      <c r="D172" s="7" t="str" cm="1">
        <f t="array" ref="D172">INDEX(기계코드!$D$4:$D$1022,MATCH(1,(C172=기계코드!$F$4:$F$1022)*1,0))</f>
        <v>M_AEB0402</v>
      </c>
      <c r="E172" s="7" t="s">
        <v>2073</v>
      </c>
      <c r="F172" s="7" t="str" cm="1">
        <f t="array" ref="F172">INDEX(공급업체코드!$B$3:$B$1000,MATCH(1,(E172=공급업체코드!$D$3:$D$1000)*1,0))</f>
        <v>VM_KF_MACH</v>
      </c>
      <c r="G172" s="158" t="s">
        <v>2078</v>
      </c>
      <c r="I172" s="166">
        <v>1.1200000000000001</v>
      </c>
      <c r="J172" s="160">
        <v>5000</v>
      </c>
      <c r="K172" s="164">
        <v>50</v>
      </c>
      <c r="L172" s="165">
        <v>2.7719999999999998</v>
      </c>
      <c r="M172" s="7" t="s">
        <v>984</v>
      </c>
      <c r="N172" s="7">
        <v>380</v>
      </c>
      <c r="O172" s="151">
        <v>0.89500000000000002</v>
      </c>
      <c r="P172" s="7">
        <v>0.9</v>
      </c>
      <c r="Q172" s="7">
        <v>80</v>
      </c>
      <c r="R172" s="113">
        <v>11</v>
      </c>
      <c r="S172" s="258" t="s">
        <v>1390</v>
      </c>
      <c r="T172" s="10">
        <f t="shared" si="3"/>
        <v>1</v>
      </c>
      <c r="U172" s="260" t="s">
        <v>1391</v>
      </c>
      <c r="V172">
        <v>3234000</v>
      </c>
      <c r="X172" s="157" t="s">
        <v>2075</v>
      </c>
      <c r="Y172" t="b">
        <v>1</v>
      </c>
    </row>
    <row r="173" spans="2:25">
      <c r="B173" s="1" t="str">
        <f t="shared" si="2"/>
        <v>M_AEB0402_VM_KF_MACH_1.57_5000</v>
      </c>
      <c r="C173" s="7" t="s">
        <v>2072</v>
      </c>
      <c r="D173" s="7" t="str" cm="1">
        <f t="array" ref="D173">INDEX(기계코드!$D$4:$D$1022,MATCH(1,(C173=기계코드!$F$4:$F$1022)*1,0))</f>
        <v>M_AEB0402</v>
      </c>
      <c r="E173" s="7" t="s">
        <v>2073</v>
      </c>
      <c r="F173" s="7" t="str" cm="1">
        <f t="array" ref="F173">INDEX(공급업체코드!$B$3:$B$1000,MATCH(1,(E173=공급업체코드!$D$3:$D$1000)*1,0))</f>
        <v>VM_KF_MACH</v>
      </c>
      <c r="G173" s="158" t="s">
        <v>2078</v>
      </c>
      <c r="I173" s="166">
        <v>1.57</v>
      </c>
      <c r="J173" s="160">
        <v>5000</v>
      </c>
      <c r="K173" s="164">
        <v>50</v>
      </c>
      <c r="L173" s="165">
        <v>3.456</v>
      </c>
      <c r="M173" s="7" t="s">
        <v>984</v>
      </c>
      <c r="N173" s="7">
        <v>380</v>
      </c>
      <c r="O173" s="151">
        <v>0.89500000000000002</v>
      </c>
      <c r="P173" s="7">
        <v>0.9</v>
      </c>
      <c r="Q173" s="7">
        <v>80</v>
      </c>
      <c r="R173" s="113">
        <v>11</v>
      </c>
      <c r="S173" s="258" t="s">
        <v>1390</v>
      </c>
      <c r="T173" s="10">
        <f t="shared" si="3"/>
        <v>1</v>
      </c>
      <c r="U173" s="260" t="s">
        <v>1391</v>
      </c>
      <c r="V173">
        <v>3234000</v>
      </c>
      <c r="X173" s="157" t="s">
        <v>2075</v>
      </c>
      <c r="Y173" t="b">
        <v>1</v>
      </c>
    </row>
    <row r="174" spans="2:25">
      <c r="B174" s="1" t="str">
        <f t="shared" si="2"/>
        <v>M_AEB0402_VM_KF_MACH_2.05_5000</v>
      </c>
      <c r="C174" s="7" t="s">
        <v>2072</v>
      </c>
      <c r="D174" s="7" t="str" cm="1">
        <f t="array" ref="D174">INDEX(기계코드!$D$4:$D$1022,MATCH(1,(C174=기계코드!$F$4:$F$1022)*1,0))</f>
        <v>M_AEB0402</v>
      </c>
      <c r="E174" s="7" t="s">
        <v>2073</v>
      </c>
      <c r="F174" s="7" t="str" cm="1">
        <f t="array" ref="F174">INDEX(공급업체코드!$B$3:$B$1000,MATCH(1,(E174=공급업체코드!$D$3:$D$1000)*1,0))</f>
        <v>VM_KF_MACH</v>
      </c>
      <c r="G174" s="158" t="s">
        <v>2078</v>
      </c>
      <c r="I174" s="166">
        <v>2.0499999999999998</v>
      </c>
      <c r="J174" s="160">
        <v>5000</v>
      </c>
      <c r="K174" s="164">
        <v>50</v>
      </c>
      <c r="L174" s="165">
        <v>4.2839999999999998</v>
      </c>
      <c r="M174" s="7" t="s">
        <v>984</v>
      </c>
      <c r="N174" s="7">
        <v>380</v>
      </c>
      <c r="O174" s="151">
        <v>0.91700000000000004</v>
      </c>
      <c r="P174" s="7">
        <v>0.9</v>
      </c>
      <c r="Q174" s="7">
        <v>80</v>
      </c>
      <c r="R174" s="113">
        <v>11</v>
      </c>
      <c r="S174" s="258" t="s">
        <v>1390</v>
      </c>
      <c r="T174" s="10">
        <f t="shared" si="3"/>
        <v>1</v>
      </c>
      <c r="U174" s="260" t="s">
        <v>1391</v>
      </c>
      <c r="V174">
        <v>3234000</v>
      </c>
      <c r="X174" s="157" t="s">
        <v>2075</v>
      </c>
      <c r="Y174" t="b">
        <v>1</v>
      </c>
    </row>
    <row r="175" spans="2:25">
      <c r="B175" s="1" t="str">
        <f t="shared" si="2"/>
        <v>M_AEB0402_VM_KF_MACH_0.72_6000</v>
      </c>
      <c r="C175" s="7" t="s">
        <v>2072</v>
      </c>
      <c r="D175" s="7" t="str" cm="1">
        <f t="array" ref="D175">INDEX(기계코드!$D$4:$D$1022,MATCH(1,(C175=기계코드!$F$4:$F$1022)*1,0))</f>
        <v>M_AEB0402</v>
      </c>
      <c r="E175" s="7" t="s">
        <v>2073</v>
      </c>
      <c r="F175" s="7" t="str" cm="1">
        <f t="array" ref="F175">INDEX(공급업체코드!$B$3:$B$1000,MATCH(1,(E175=공급업체코드!$D$3:$D$1000)*1,0))</f>
        <v>VM_KF_MACH</v>
      </c>
      <c r="G175" s="158" t="s">
        <v>2078</v>
      </c>
      <c r="I175" s="166">
        <v>0.72</v>
      </c>
      <c r="J175" s="160">
        <v>6000</v>
      </c>
      <c r="K175" s="164">
        <v>50</v>
      </c>
      <c r="L175" s="165">
        <v>2.7839999999999998</v>
      </c>
      <c r="M175" s="7" t="s">
        <v>984</v>
      </c>
      <c r="N175" s="7">
        <v>380</v>
      </c>
      <c r="O175" s="151">
        <v>0.89500000000000002</v>
      </c>
      <c r="P175" s="7">
        <v>0.9</v>
      </c>
      <c r="Q175" s="7">
        <v>80</v>
      </c>
      <c r="R175" s="113">
        <v>11</v>
      </c>
      <c r="S175" s="258" t="s">
        <v>1390</v>
      </c>
      <c r="T175" s="10">
        <f t="shared" si="3"/>
        <v>1</v>
      </c>
      <c r="U175" s="260" t="s">
        <v>1391</v>
      </c>
      <c r="V175">
        <v>3234000</v>
      </c>
      <c r="X175" s="157" t="s">
        <v>2075</v>
      </c>
      <c r="Y175" t="b">
        <v>1</v>
      </c>
    </row>
    <row r="176" spans="2:25">
      <c r="B176" s="1" t="str">
        <f t="shared" si="2"/>
        <v>M_AEB0402_VM_KF_MACH_1_6000</v>
      </c>
      <c r="C176" s="7" t="s">
        <v>2072</v>
      </c>
      <c r="D176" s="7" t="str" cm="1">
        <f t="array" ref="D176">INDEX(기계코드!$D$4:$D$1022,MATCH(1,(C176=기계코드!$F$4:$F$1022)*1,0))</f>
        <v>M_AEB0402</v>
      </c>
      <c r="E176" s="7" t="s">
        <v>2073</v>
      </c>
      <c r="F176" s="7" t="str" cm="1">
        <f t="array" ref="F176">INDEX(공급업체코드!$B$3:$B$1000,MATCH(1,(E176=공급업체코드!$D$3:$D$1000)*1,0))</f>
        <v>VM_KF_MACH</v>
      </c>
      <c r="G176" s="158" t="s">
        <v>2078</v>
      </c>
      <c r="I176" s="166">
        <v>1</v>
      </c>
      <c r="J176" s="160">
        <v>6000</v>
      </c>
      <c r="K176" s="164">
        <v>50</v>
      </c>
      <c r="L176" s="165">
        <v>3.2160000000000002</v>
      </c>
      <c r="M176" s="7" t="s">
        <v>984</v>
      </c>
      <c r="N176" s="7">
        <v>380</v>
      </c>
      <c r="O176" s="151">
        <v>0.89500000000000002</v>
      </c>
      <c r="P176" s="7">
        <v>0.9</v>
      </c>
      <c r="Q176" s="7">
        <v>80</v>
      </c>
      <c r="R176" s="113">
        <v>11</v>
      </c>
      <c r="S176" s="258" t="s">
        <v>1390</v>
      </c>
      <c r="T176" s="10">
        <f t="shared" si="3"/>
        <v>1</v>
      </c>
      <c r="U176" s="260" t="s">
        <v>1391</v>
      </c>
      <c r="V176">
        <v>3234000</v>
      </c>
      <c r="X176" s="157" t="s">
        <v>2075</v>
      </c>
      <c r="Y176" t="b">
        <v>1</v>
      </c>
    </row>
    <row r="177" spans="2:25">
      <c r="B177" s="1" t="str">
        <f t="shared" si="2"/>
        <v>M_AEB0402_VM_KF_MACH_1.45_6000</v>
      </c>
      <c r="C177" s="7" t="s">
        <v>2072</v>
      </c>
      <c r="D177" s="7" t="str" cm="1">
        <f t="array" ref="D177">INDEX(기계코드!$D$4:$D$1022,MATCH(1,(C177=기계코드!$F$4:$F$1022)*1,0))</f>
        <v>M_AEB0402</v>
      </c>
      <c r="E177" s="7" t="s">
        <v>2073</v>
      </c>
      <c r="F177" s="7" t="str" cm="1">
        <f t="array" ref="F177">INDEX(공급업체코드!$B$3:$B$1000,MATCH(1,(E177=공급업체코드!$D$3:$D$1000)*1,0))</f>
        <v>VM_KF_MACH</v>
      </c>
      <c r="G177" s="158" t="s">
        <v>2078</v>
      </c>
      <c r="I177" s="166">
        <v>1.45</v>
      </c>
      <c r="J177" s="160">
        <v>6000</v>
      </c>
      <c r="K177" s="164">
        <v>50</v>
      </c>
      <c r="L177" s="165">
        <v>4.008</v>
      </c>
      <c r="M177" s="7" t="s">
        <v>984</v>
      </c>
      <c r="N177" s="7">
        <v>380</v>
      </c>
      <c r="O177" s="151">
        <v>0.91700000000000004</v>
      </c>
      <c r="P177" s="7">
        <v>0.9</v>
      </c>
      <c r="Q177" s="7">
        <v>80</v>
      </c>
      <c r="R177" s="113">
        <v>11</v>
      </c>
      <c r="S177" s="258" t="s">
        <v>1390</v>
      </c>
      <c r="T177" s="10">
        <f t="shared" si="3"/>
        <v>1</v>
      </c>
      <c r="U177" s="260" t="s">
        <v>1391</v>
      </c>
      <c r="V177">
        <v>3234000</v>
      </c>
      <c r="X177" s="157" t="s">
        <v>2075</v>
      </c>
      <c r="Y177" t="b">
        <v>1</v>
      </c>
    </row>
    <row r="178" spans="2:25">
      <c r="B178" s="1" t="str">
        <f t="shared" si="2"/>
        <v>M_AEB0402_VM_KF_MACH_1.91_6000</v>
      </c>
      <c r="C178" s="7" t="s">
        <v>2072</v>
      </c>
      <c r="D178" s="7" t="str" cm="1">
        <f t="array" ref="D178">INDEX(기계코드!$D$4:$D$1022,MATCH(1,(C178=기계코드!$F$4:$F$1022)*1,0))</f>
        <v>M_AEB0402</v>
      </c>
      <c r="E178" s="7" t="s">
        <v>2073</v>
      </c>
      <c r="F178" s="7" t="str" cm="1">
        <f t="array" ref="F178">INDEX(공급업체코드!$B$3:$B$1000,MATCH(1,(E178=공급업체코드!$D$3:$D$1000)*1,0))</f>
        <v>VM_KF_MACH</v>
      </c>
      <c r="G178" s="158" t="s">
        <v>2078</v>
      </c>
      <c r="I178" s="166">
        <v>1.91</v>
      </c>
      <c r="J178" s="160">
        <v>6000</v>
      </c>
      <c r="K178" s="164">
        <v>50</v>
      </c>
      <c r="L178" s="165">
        <v>4.992</v>
      </c>
      <c r="M178" s="7" t="s">
        <v>984</v>
      </c>
      <c r="N178" s="7">
        <v>380</v>
      </c>
      <c r="O178" s="151">
        <v>0.91700000000000004</v>
      </c>
      <c r="P178" s="7">
        <v>0.9</v>
      </c>
      <c r="Q178" s="7">
        <v>80</v>
      </c>
      <c r="R178" s="113">
        <v>11</v>
      </c>
      <c r="S178" s="258" t="s">
        <v>1390</v>
      </c>
      <c r="T178" s="10">
        <f t="shared" si="3"/>
        <v>1</v>
      </c>
      <c r="U178" s="260" t="s">
        <v>1391</v>
      </c>
      <c r="V178">
        <v>3234000</v>
      </c>
      <c r="X178" s="157" t="s">
        <v>2075</v>
      </c>
      <c r="Y178" t="b">
        <v>1</v>
      </c>
    </row>
    <row r="179" spans="2:25">
      <c r="B179" s="1" t="str">
        <f t="shared" si="2"/>
        <v>M_AEB0402_VM_KF_MACH_1.27_4000</v>
      </c>
      <c r="C179" s="7" t="s">
        <v>2072</v>
      </c>
      <c r="D179" s="7" t="str" cm="1">
        <f t="array" ref="D179">INDEX(기계코드!$D$4:$D$1022,MATCH(1,(C179=기계코드!$F$4:$F$1022)*1,0))</f>
        <v>M_AEB0402</v>
      </c>
      <c r="E179" s="7" t="s">
        <v>2073</v>
      </c>
      <c r="F179" s="7" t="str" cm="1">
        <f t="array" ref="F179">INDEX(공급업체코드!$B$3:$B$1000,MATCH(1,(E179=공급업체코드!$D$3:$D$1000)*1,0))</f>
        <v>VM_KF_MACH</v>
      </c>
      <c r="G179" s="158" t="s">
        <v>2079</v>
      </c>
      <c r="I179" s="166">
        <v>1.27</v>
      </c>
      <c r="J179" s="160">
        <v>4000</v>
      </c>
      <c r="K179" s="159">
        <v>65</v>
      </c>
      <c r="L179" s="165">
        <v>2.472</v>
      </c>
      <c r="M179" s="7" t="s">
        <v>984</v>
      </c>
      <c r="N179" s="7">
        <v>380</v>
      </c>
      <c r="O179" s="151">
        <v>0.89500000000000002</v>
      </c>
      <c r="P179" s="7">
        <v>0.9</v>
      </c>
      <c r="Q179" s="7">
        <v>80</v>
      </c>
      <c r="R179" s="113">
        <v>11</v>
      </c>
      <c r="S179" s="258" t="s">
        <v>1390</v>
      </c>
      <c r="T179" s="10">
        <f t="shared" si="3"/>
        <v>1</v>
      </c>
      <c r="U179" s="260" t="s">
        <v>1391</v>
      </c>
      <c r="V179">
        <v>3234000</v>
      </c>
      <c r="X179" s="157" t="s">
        <v>2075</v>
      </c>
      <c r="Y179" t="b">
        <v>1</v>
      </c>
    </row>
    <row r="180" spans="2:25">
      <c r="B180" s="1" t="str">
        <f t="shared" si="2"/>
        <v>M_AEB0402_VM_KF_MACH_1.63_4000</v>
      </c>
      <c r="C180" s="7" t="s">
        <v>2072</v>
      </c>
      <c r="D180" s="7" t="str" cm="1">
        <f t="array" ref="D180">INDEX(기계코드!$D$4:$D$1022,MATCH(1,(C180=기계코드!$F$4:$F$1022)*1,0))</f>
        <v>M_AEB0402</v>
      </c>
      <c r="E180" s="7" t="s">
        <v>2073</v>
      </c>
      <c r="F180" s="7" t="str" cm="1">
        <f t="array" ref="F180">INDEX(공급업체코드!$B$3:$B$1000,MATCH(1,(E180=공급업체코드!$D$3:$D$1000)*1,0))</f>
        <v>VM_KF_MACH</v>
      </c>
      <c r="G180" s="158" t="s">
        <v>2079</v>
      </c>
      <c r="I180" s="166">
        <v>1.63</v>
      </c>
      <c r="J180" s="160">
        <v>4000</v>
      </c>
      <c r="K180" s="159">
        <v>65</v>
      </c>
      <c r="L180" s="165">
        <v>2.9279999999999999</v>
      </c>
      <c r="M180" s="7" t="s">
        <v>984</v>
      </c>
      <c r="N180" s="7">
        <v>380</v>
      </c>
      <c r="O180" s="151">
        <v>0.89500000000000002</v>
      </c>
      <c r="P180" s="7">
        <v>0.9</v>
      </c>
      <c r="Q180" s="7">
        <v>80</v>
      </c>
      <c r="R180" s="113">
        <v>11</v>
      </c>
      <c r="S180" s="258" t="s">
        <v>1390</v>
      </c>
      <c r="T180" s="10">
        <f t="shared" si="3"/>
        <v>1</v>
      </c>
      <c r="U180" s="260" t="s">
        <v>1391</v>
      </c>
      <c r="V180">
        <v>3234000</v>
      </c>
      <c r="X180" s="157" t="s">
        <v>2075</v>
      </c>
      <c r="Y180" t="b">
        <v>1</v>
      </c>
    </row>
    <row r="181" spans="2:25">
      <c r="B181" s="1" t="str">
        <f t="shared" si="2"/>
        <v>M_AEB0402_VM_KF_MACH_2.25_4000</v>
      </c>
      <c r="C181" s="7" t="s">
        <v>2072</v>
      </c>
      <c r="D181" s="7" t="str" cm="1">
        <f t="array" ref="D181">INDEX(기계코드!$D$4:$D$1022,MATCH(1,(C181=기계코드!$F$4:$F$1022)*1,0))</f>
        <v>M_AEB0402</v>
      </c>
      <c r="E181" s="7" t="s">
        <v>2073</v>
      </c>
      <c r="F181" s="7" t="str" cm="1">
        <f t="array" ref="F181">INDEX(공급업체코드!$B$3:$B$1000,MATCH(1,(E181=공급업체코드!$D$3:$D$1000)*1,0))</f>
        <v>VM_KF_MACH</v>
      </c>
      <c r="G181" s="158" t="s">
        <v>2079</v>
      </c>
      <c r="I181" s="166">
        <v>2.25</v>
      </c>
      <c r="J181" s="160">
        <v>4000</v>
      </c>
      <c r="K181" s="159">
        <v>65</v>
      </c>
      <c r="L181" s="165">
        <v>3.8279999999999998</v>
      </c>
      <c r="M181" s="7" t="s">
        <v>984</v>
      </c>
      <c r="N181" s="7">
        <v>380</v>
      </c>
      <c r="O181" s="151">
        <v>0.91700000000000004</v>
      </c>
      <c r="P181" s="7">
        <v>0.9</v>
      </c>
      <c r="Q181" s="7">
        <v>80</v>
      </c>
      <c r="R181" s="113">
        <v>11</v>
      </c>
      <c r="S181" s="258" t="s">
        <v>1390</v>
      </c>
      <c r="T181" s="10">
        <f t="shared" si="3"/>
        <v>1</v>
      </c>
      <c r="U181" s="260" t="s">
        <v>1391</v>
      </c>
      <c r="V181">
        <v>3234000</v>
      </c>
      <c r="X181" s="157" t="s">
        <v>2075</v>
      </c>
      <c r="Y181" t="b">
        <v>1</v>
      </c>
    </row>
    <row r="182" spans="2:25">
      <c r="B182" s="1" t="str">
        <f t="shared" si="2"/>
        <v>M_AEB0402_VM_KF_MACH_2.86_4000</v>
      </c>
      <c r="C182" s="7" t="s">
        <v>2072</v>
      </c>
      <c r="D182" s="7" t="str" cm="1">
        <f t="array" ref="D182">INDEX(기계코드!$D$4:$D$1022,MATCH(1,(C182=기계코드!$F$4:$F$1022)*1,0))</f>
        <v>M_AEB0402</v>
      </c>
      <c r="E182" s="7" t="s">
        <v>2073</v>
      </c>
      <c r="F182" s="7" t="str" cm="1">
        <f t="array" ref="F182">INDEX(공급업체코드!$B$3:$B$1000,MATCH(1,(E182=공급업체코드!$D$3:$D$1000)*1,0))</f>
        <v>VM_KF_MACH</v>
      </c>
      <c r="G182" s="158" t="s">
        <v>2079</v>
      </c>
      <c r="I182" s="166">
        <v>2.86</v>
      </c>
      <c r="J182" s="160">
        <v>4000</v>
      </c>
      <c r="K182" s="159">
        <v>65</v>
      </c>
      <c r="L182" s="165">
        <v>4.6440000000000001</v>
      </c>
      <c r="M182" s="7" t="s">
        <v>984</v>
      </c>
      <c r="N182" s="7">
        <v>380</v>
      </c>
      <c r="O182" s="151">
        <v>0.91700000000000004</v>
      </c>
      <c r="P182" s="7">
        <v>0.9</v>
      </c>
      <c r="Q182" s="7">
        <v>80</v>
      </c>
      <c r="R182" s="113">
        <v>11</v>
      </c>
      <c r="S182" s="258" t="s">
        <v>1390</v>
      </c>
      <c r="T182" s="10">
        <f t="shared" si="3"/>
        <v>1</v>
      </c>
      <c r="U182" s="260" t="s">
        <v>1391</v>
      </c>
      <c r="V182">
        <v>3234000</v>
      </c>
      <c r="X182" s="157" t="s">
        <v>2075</v>
      </c>
      <c r="Y182" t="b">
        <v>1</v>
      </c>
    </row>
    <row r="183" spans="2:25">
      <c r="B183" s="1" t="str">
        <f t="shared" si="2"/>
        <v>M_AEB0402_VM_KF_MACH_1.12_5000</v>
      </c>
      <c r="C183" s="7" t="s">
        <v>2072</v>
      </c>
      <c r="D183" s="7" t="str" cm="1">
        <f t="array" ref="D183">INDEX(기계코드!$D$4:$D$1022,MATCH(1,(C183=기계코드!$F$4:$F$1022)*1,0))</f>
        <v>M_AEB0402</v>
      </c>
      <c r="E183" s="7" t="s">
        <v>2073</v>
      </c>
      <c r="F183" s="7" t="str" cm="1">
        <f t="array" ref="F183">INDEX(공급업체코드!$B$3:$B$1000,MATCH(1,(E183=공급업체코드!$D$3:$D$1000)*1,0))</f>
        <v>VM_KF_MACH</v>
      </c>
      <c r="G183" s="158" t="s">
        <v>2079</v>
      </c>
      <c r="I183" s="166">
        <v>1.1200000000000001</v>
      </c>
      <c r="J183" s="160">
        <v>5000</v>
      </c>
      <c r="K183" s="159">
        <v>65</v>
      </c>
      <c r="L183" s="165">
        <v>2.8679999999999999</v>
      </c>
      <c r="M183" s="7" t="s">
        <v>984</v>
      </c>
      <c r="N183" s="7">
        <v>380</v>
      </c>
      <c r="O183" s="151">
        <v>0.89500000000000002</v>
      </c>
      <c r="P183" s="7">
        <v>0.9</v>
      </c>
      <c r="Q183" s="7">
        <v>80</v>
      </c>
      <c r="R183" s="113">
        <v>11</v>
      </c>
      <c r="S183" s="258" t="s">
        <v>1390</v>
      </c>
      <c r="T183" s="10">
        <f t="shared" si="3"/>
        <v>1</v>
      </c>
      <c r="U183" s="260" t="s">
        <v>1391</v>
      </c>
      <c r="V183">
        <v>3234000</v>
      </c>
      <c r="X183" s="157" t="s">
        <v>2075</v>
      </c>
      <c r="Y183" t="b">
        <v>1</v>
      </c>
    </row>
    <row r="184" spans="2:25">
      <c r="B184" s="1" t="str">
        <f t="shared" si="2"/>
        <v>M_AEB0402_VM_KF_MACH_1.46_5000</v>
      </c>
      <c r="C184" s="7" t="s">
        <v>2072</v>
      </c>
      <c r="D184" s="7" t="str" cm="1">
        <f t="array" ref="D184">INDEX(기계코드!$D$4:$D$1022,MATCH(1,(C184=기계코드!$F$4:$F$1022)*1,0))</f>
        <v>M_AEB0402</v>
      </c>
      <c r="E184" s="7" t="s">
        <v>2073</v>
      </c>
      <c r="F184" s="7" t="str" cm="1">
        <f t="array" ref="F184">INDEX(공급업체코드!$B$3:$B$1000,MATCH(1,(E184=공급업체코드!$D$3:$D$1000)*1,0))</f>
        <v>VM_KF_MACH</v>
      </c>
      <c r="G184" s="158" t="s">
        <v>2079</v>
      </c>
      <c r="I184" s="166">
        <v>1.46</v>
      </c>
      <c r="J184" s="160">
        <v>5000</v>
      </c>
      <c r="K184" s="159">
        <v>65</v>
      </c>
      <c r="L184" s="165">
        <v>3.4319999999999999</v>
      </c>
      <c r="M184" s="7" t="s">
        <v>984</v>
      </c>
      <c r="N184" s="7">
        <v>380</v>
      </c>
      <c r="O184" s="151">
        <v>0.89500000000000002</v>
      </c>
      <c r="P184" s="7">
        <v>0.9</v>
      </c>
      <c r="Q184" s="7">
        <v>80</v>
      </c>
      <c r="R184" s="113">
        <v>11</v>
      </c>
      <c r="S184" s="258" t="s">
        <v>1390</v>
      </c>
      <c r="T184" s="10">
        <f t="shared" si="3"/>
        <v>1</v>
      </c>
      <c r="U184" s="260" t="s">
        <v>1391</v>
      </c>
      <c r="V184">
        <v>3234000</v>
      </c>
      <c r="X184" s="157" t="s">
        <v>2075</v>
      </c>
      <c r="Y184" t="b">
        <v>1</v>
      </c>
    </row>
    <row r="185" spans="2:25">
      <c r="B185" s="1" t="str">
        <f t="shared" si="2"/>
        <v>M_AEB0402_VM_KF_MACH_20.7_5000</v>
      </c>
      <c r="C185" s="7" t="s">
        <v>2072</v>
      </c>
      <c r="D185" s="7" t="str" cm="1">
        <f t="array" ref="D185">INDEX(기계코드!$D$4:$D$1022,MATCH(1,(C185=기계코드!$F$4:$F$1022)*1,0))</f>
        <v>M_AEB0402</v>
      </c>
      <c r="E185" s="7" t="s">
        <v>2073</v>
      </c>
      <c r="F185" s="7" t="str" cm="1">
        <f t="array" ref="F185">INDEX(공급업체코드!$B$3:$B$1000,MATCH(1,(E185=공급업체코드!$D$3:$D$1000)*1,0))</f>
        <v>VM_KF_MACH</v>
      </c>
      <c r="G185" s="158" t="s">
        <v>2079</v>
      </c>
      <c r="I185" s="166">
        <v>20.7</v>
      </c>
      <c r="J185" s="160">
        <v>5000</v>
      </c>
      <c r="K185" s="159">
        <v>65</v>
      </c>
      <c r="L185" s="165">
        <v>4.62</v>
      </c>
      <c r="M185" s="7" t="s">
        <v>984</v>
      </c>
      <c r="N185" s="7">
        <v>380</v>
      </c>
      <c r="O185" s="151">
        <v>0.91700000000000004</v>
      </c>
      <c r="P185" s="7">
        <v>0.9</v>
      </c>
      <c r="Q185" s="7">
        <v>80</v>
      </c>
      <c r="R185" s="113">
        <v>11</v>
      </c>
      <c r="S185" s="258" t="s">
        <v>1390</v>
      </c>
      <c r="T185" s="10">
        <f t="shared" si="3"/>
        <v>1</v>
      </c>
      <c r="U185" s="260" t="s">
        <v>1391</v>
      </c>
      <c r="V185">
        <v>3234000</v>
      </c>
      <c r="X185" s="157" t="s">
        <v>2075</v>
      </c>
      <c r="Y185" t="b">
        <v>1</v>
      </c>
    </row>
    <row r="186" spans="2:25">
      <c r="B186" s="1" t="str">
        <f t="shared" si="2"/>
        <v>M_AEB0402_VM_KF_MACH_2.64_5000</v>
      </c>
      <c r="C186" s="7" t="s">
        <v>2072</v>
      </c>
      <c r="D186" s="7" t="str" cm="1">
        <f t="array" ref="D186">INDEX(기계코드!$D$4:$D$1022,MATCH(1,(C186=기계코드!$F$4:$F$1022)*1,0))</f>
        <v>M_AEB0402</v>
      </c>
      <c r="E186" s="7" t="s">
        <v>2073</v>
      </c>
      <c r="F186" s="7" t="str" cm="1">
        <f t="array" ref="F186">INDEX(공급업체코드!$B$3:$B$1000,MATCH(1,(E186=공급업체코드!$D$3:$D$1000)*1,0))</f>
        <v>VM_KF_MACH</v>
      </c>
      <c r="G186" s="158" t="s">
        <v>2079</v>
      </c>
      <c r="I186" s="166">
        <v>2.64</v>
      </c>
      <c r="J186" s="160">
        <v>5000</v>
      </c>
      <c r="K186" s="159">
        <v>65</v>
      </c>
      <c r="L186" s="165">
        <v>5.6159999999999997</v>
      </c>
      <c r="M186" s="7" t="s">
        <v>984</v>
      </c>
      <c r="N186" s="7">
        <v>380</v>
      </c>
      <c r="O186" s="151">
        <v>0.91700000000000004</v>
      </c>
      <c r="P186" s="7">
        <v>0.9</v>
      </c>
      <c r="Q186" s="7">
        <v>80</v>
      </c>
      <c r="R186" s="113">
        <v>11</v>
      </c>
      <c r="S186" s="258" t="s">
        <v>1390</v>
      </c>
      <c r="T186" s="10">
        <f t="shared" si="3"/>
        <v>1</v>
      </c>
      <c r="U186" s="260" t="s">
        <v>1391</v>
      </c>
      <c r="V186">
        <v>3234000</v>
      </c>
      <c r="X186" s="157" t="s">
        <v>2075</v>
      </c>
      <c r="Y186" t="b">
        <v>1</v>
      </c>
    </row>
    <row r="187" spans="2:25">
      <c r="B187" s="1" t="str">
        <f t="shared" si="2"/>
        <v>M_AEB0402_VM_KF_MACH_0.96_6000</v>
      </c>
      <c r="C187" s="7" t="s">
        <v>2072</v>
      </c>
      <c r="D187" s="7" t="str" cm="1">
        <f t="array" ref="D187">INDEX(기계코드!$D$4:$D$1022,MATCH(1,(C187=기계코드!$F$4:$F$1022)*1,0))</f>
        <v>M_AEB0402</v>
      </c>
      <c r="E187" s="7" t="s">
        <v>2073</v>
      </c>
      <c r="F187" s="7" t="str" cm="1">
        <f t="array" ref="F187">INDEX(공급업체코드!$B$3:$B$1000,MATCH(1,(E187=공급업체코드!$D$3:$D$1000)*1,0))</f>
        <v>VM_KF_MACH</v>
      </c>
      <c r="G187" s="158" t="s">
        <v>2079</v>
      </c>
      <c r="I187" s="166">
        <v>0.96</v>
      </c>
      <c r="J187" s="160">
        <v>6000</v>
      </c>
      <c r="K187" s="159">
        <v>65</v>
      </c>
      <c r="L187" s="165">
        <v>3.1559999999999997</v>
      </c>
      <c r="M187" s="7" t="s">
        <v>984</v>
      </c>
      <c r="N187" s="7">
        <v>380</v>
      </c>
      <c r="O187" s="151">
        <v>0.89500000000000002</v>
      </c>
      <c r="P187" s="7">
        <v>0.9</v>
      </c>
      <c r="Q187" s="7">
        <v>80</v>
      </c>
      <c r="R187" s="113">
        <v>11</v>
      </c>
      <c r="S187" s="258" t="s">
        <v>1390</v>
      </c>
      <c r="T187" s="10">
        <f t="shared" si="3"/>
        <v>1</v>
      </c>
      <c r="U187" s="260" t="s">
        <v>1391</v>
      </c>
      <c r="V187">
        <v>3234000</v>
      </c>
      <c r="X187" s="157" t="s">
        <v>2075</v>
      </c>
      <c r="Y187" t="b">
        <v>1</v>
      </c>
    </row>
    <row r="188" spans="2:25">
      <c r="B188" s="1" t="str">
        <f t="shared" si="2"/>
        <v>M_AEB0402_VM_KF_MACH_1.34_6000</v>
      </c>
      <c r="C188" s="7" t="s">
        <v>2072</v>
      </c>
      <c r="D188" s="7" t="str" cm="1">
        <f t="array" ref="D188">INDEX(기계코드!$D$4:$D$1022,MATCH(1,(C188=기계코드!$F$4:$F$1022)*1,0))</f>
        <v>M_AEB0402</v>
      </c>
      <c r="E188" s="7" t="s">
        <v>2073</v>
      </c>
      <c r="F188" s="7" t="str" cm="1">
        <f t="array" ref="F188">INDEX(공급업체코드!$B$3:$B$1000,MATCH(1,(E188=공급업체코드!$D$3:$D$1000)*1,0))</f>
        <v>VM_KF_MACH</v>
      </c>
      <c r="G188" s="158" t="s">
        <v>2079</v>
      </c>
      <c r="I188" s="166">
        <v>1.34</v>
      </c>
      <c r="J188" s="160">
        <v>6000</v>
      </c>
      <c r="K188" s="159">
        <v>65</v>
      </c>
      <c r="L188" s="165">
        <v>4.032</v>
      </c>
      <c r="M188" s="7" t="s">
        <v>984</v>
      </c>
      <c r="N188" s="7">
        <v>380</v>
      </c>
      <c r="O188" s="151">
        <v>0.91700000000000004</v>
      </c>
      <c r="P188" s="7">
        <v>0.9</v>
      </c>
      <c r="Q188" s="7">
        <v>80</v>
      </c>
      <c r="R188" s="113">
        <v>11</v>
      </c>
      <c r="S188" s="258" t="s">
        <v>1390</v>
      </c>
      <c r="T188" s="10">
        <f t="shared" si="3"/>
        <v>1</v>
      </c>
      <c r="U188" s="260" t="s">
        <v>1391</v>
      </c>
      <c r="V188">
        <v>3234000</v>
      </c>
      <c r="X188" s="157" t="s">
        <v>2075</v>
      </c>
      <c r="Y188" t="b">
        <v>1</v>
      </c>
    </row>
    <row r="189" spans="2:25">
      <c r="B189" s="1" t="str">
        <f t="shared" si="2"/>
        <v>M_AEB0402_VM_KF_MACH_1.92_6000</v>
      </c>
      <c r="C189" s="7" t="s">
        <v>2072</v>
      </c>
      <c r="D189" s="7" t="str" cm="1">
        <f t="array" ref="D189">INDEX(기계코드!$D$4:$D$1022,MATCH(1,(C189=기계코드!$F$4:$F$1022)*1,0))</f>
        <v>M_AEB0402</v>
      </c>
      <c r="E189" s="7" t="s">
        <v>2073</v>
      </c>
      <c r="F189" s="7" t="str" cm="1">
        <f t="array" ref="F189">INDEX(공급업체코드!$B$3:$B$1000,MATCH(1,(E189=공급업체코드!$D$3:$D$1000)*1,0))</f>
        <v>VM_KF_MACH</v>
      </c>
      <c r="G189" s="158" t="s">
        <v>2079</v>
      </c>
      <c r="I189" s="166">
        <v>1.92</v>
      </c>
      <c r="J189" s="160">
        <v>6000</v>
      </c>
      <c r="K189" s="159">
        <v>65</v>
      </c>
      <c r="L189" s="165">
        <v>5.52</v>
      </c>
      <c r="M189" s="7" t="s">
        <v>984</v>
      </c>
      <c r="N189" s="7">
        <v>380</v>
      </c>
      <c r="O189" s="151">
        <v>0.91700000000000004</v>
      </c>
      <c r="P189" s="7">
        <v>0.9</v>
      </c>
      <c r="Q189" s="7">
        <v>80</v>
      </c>
      <c r="R189" s="113">
        <v>11</v>
      </c>
      <c r="S189" s="258" t="s">
        <v>1390</v>
      </c>
      <c r="T189" s="10">
        <f t="shared" si="3"/>
        <v>1</v>
      </c>
      <c r="U189" s="260" t="s">
        <v>1391</v>
      </c>
      <c r="V189">
        <v>3234000</v>
      </c>
      <c r="X189" s="157" t="s">
        <v>2075</v>
      </c>
      <c r="Y189" t="b">
        <v>1</v>
      </c>
    </row>
    <row r="190" spans="2:25">
      <c r="B190" s="1" t="str">
        <f t="shared" si="2"/>
        <v>M_AEB0402_VM_KF_MACH_2.48_6000</v>
      </c>
      <c r="C190" s="7" t="s">
        <v>2072</v>
      </c>
      <c r="D190" s="7" t="str" cm="1">
        <f t="array" ref="D190">INDEX(기계코드!$D$4:$D$1022,MATCH(1,(C190=기계코드!$F$4:$F$1022)*1,0))</f>
        <v>M_AEB0402</v>
      </c>
      <c r="E190" s="7" t="s">
        <v>2073</v>
      </c>
      <c r="F190" s="7" t="str" cm="1">
        <f t="array" ref="F190">INDEX(공급업체코드!$B$3:$B$1000,MATCH(1,(E190=공급업체코드!$D$3:$D$1000)*1,0))</f>
        <v>VM_KF_MACH</v>
      </c>
      <c r="G190" s="158" t="s">
        <v>2079</v>
      </c>
      <c r="I190" s="166">
        <v>2.48</v>
      </c>
      <c r="J190" s="160">
        <v>6000</v>
      </c>
      <c r="K190" s="159">
        <v>65</v>
      </c>
      <c r="L190" s="165">
        <v>6.78</v>
      </c>
      <c r="M190" s="7" t="s">
        <v>984</v>
      </c>
      <c r="N190" s="7">
        <v>380</v>
      </c>
      <c r="O190" s="151">
        <v>0.91700000000000004</v>
      </c>
      <c r="P190" s="7">
        <v>0.9</v>
      </c>
      <c r="Q190" s="7">
        <v>80</v>
      </c>
      <c r="R190" s="113">
        <v>11</v>
      </c>
      <c r="S190" s="258" t="s">
        <v>1390</v>
      </c>
      <c r="T190" s="10">
        <f t="shared" si="3"/>
        <v>1</v>
      </c>
      <c r="U190" s="260" t="s">
        <v>1391</v>
      </c>
      <c r="V190">
        <v>3234000</v>
      </c>
      <c r="X190" s="157" t="s">
        <v>2075</v>
      </c>
      <c r="Y190" t="b">
        <v>1</v>
      </c>
    </row>
    <row r="191" spans="2:25">
      <c r="B191" s="1" t="str">
        <f t="shared" si="2"/>
        <v>M_AEB0402_VM_KF_MACH_2.67_4000</v>
      </c>
      <c r="C191" s="7" t="s">
        <v>2072</v>
      </c>
      <c r="D191" s="7" t="str" cm="1">
        <f t="array" ref="D191">INDEX(기계코드!$D$4:$D$1022,MATCH(1,(C191=기계코드!$F$4:$F$1022)*1,0))</f>
        <v>M_AEB0402</v>
      </c>
      <c r="E191" s="7" t="s">
        <v>2073</v>
      </c>
      <c r="F191" s="7" t="str" cm="1">
        <f t="array" ref="F191">INDEX(공급업체코드!$B$3:$B$1000,MATCH(1,(E191=공급업체코드!$D$3:$D$1000)*1,0))</f>
        <v>VM_KF_MACH</v>
      </c>
      <c r="G191" s="158" t="s">
        <v>2080</v>
      </c>
      <c r="I191" s="166">
        <v>2.67</v>
      </c>
      <c r="J191" s="160">
        <v>4000</v>
      </c>
      <c r="K191" s="159">
        <v>80</v>
      </c>
      <c r="L191" s="165">
        <v>3.972</v>
      </c>
      <c r="M191" s="7" t="s">
        <v>984</v>
      </c>
      <c r="N191" s="7">
        <v>380</v>
      </c>
      <c r="O191" s="151">
        <v>0.91700000000000004</v>
      </c>
      <c r="P191" s="7">
        <v>0.9</v>
      </c>
      <c r="Q191" s="7">
        <v>80</v>
      </c>
      <c r="R191" s="113">
        <v>11</v>
      </c>
      <c r="S191" s="258" t="s">
        <v>1390</v>
      </c>
      <c r="T191" s="10">
        <f t="shared" si="3"/>
        <v>1</v>
      </c>
      <c r="U191" s="260" t="s">
        <v>1391</v>
      </c>
      <c r="V191">
        <v>3234000</v>
      </c>
      <c r="X191" s="157" t="s">
        <v>2075</v>
      </c>
      <c r="Y191" t="b">
        <v>1</v>
      </c>
    </row>
    <row r="192" spans="2:25">
      <c r="B192" s="1" t="str">
        <f t="shared" si="2"/>
        <v>M_AEB0402_VM_KF_MACH_4.04_4000</v>
      </c>
      <c r="C192" s="7" t="s">
        <v>2072</v>
      </c>
      <c r="D192" s="7" t="str" cm="1">
        <f t="array" ref="D192">INDEX(기계코드!$D$4:$D$1022,MATCH(1,(C192=기계코드!$F$4:$F$1022)*1,0))</f>
        <v>M_AEB0402</v>
      </c>
      <c r="E192" s="7" t="s">
        <v>2073</v>
      </c>
      <c r="F192" s="7" t="str" cm="1">
        <f t="array" ref="F192">INDEX(공급업체코드!$B$3:$B$1000,MATCH(1,(E192=공급업체코드!$D$3:$D$1000)*1,0))</f>
        <v>VM_KF_MACH</v>
      </c>
      <c r="G192" s="158" t="s">
        <v>2080</v>
      </c>
      <c r="I192" s="166">
        <v>4.04</v>
      </c>
      <c r="J192" s="160">
        <v>4000</v>
      </c>
      <c r="K192" s="159">
        <v>80</v>
      </c>
      <c r="L192" s="165">
        <v>5.3999999999999995</v>
      </c>
      <c r="M192" s="7" t="s">
        <v>984</v>
      </c>
      <c r="N192" s="7">
        <v>380</v>
      </c>
      <c r="O192" s="151">
        <v>0.91700000000000004</v>
      </c>
      <c r="P192" s="7">
        <v>0.9</v>
      </c>
      <c r="Q192" s="7">
        <v>80</v>
      </c>
      <c r="R192" s="113">
        <v>11</v>
      </c>
      <c r="S192" s="258" t="s">
        <v>1390</v>
      </c>
      <c r="T192" s="10">
        <f t="shared" si="3"/>
        <v>1</v>
      </c>
      <c r="U192" s="260" t="s">
        <v>1391</v>
      </c>
      <c r="V192">
        <v>3234000</v>
      </c>
      <c r="X192" s="157" t="s">
        <v>2075</v>
      </c>
      <c r="Y192" t="b">
        <v>1</v>
      </c>
    </row>
    <row r="193" spans="2:25">
      <c r="B193" s="1" t="str">
        <f t="shared" si="2"/>
        <v>M_AEB0402_VM_KF_MACH_5.41_4000</v>
      </c>
      <c r="C193" s="7" t="s">
        <v>2072</v>
      </c>
      <c r="D193" s="7" t="str" cm="1">
        <f t="array" ref="D193">INDEX(기계코드!$D$4:$D$1022,MATCH(1,(C193=기계코드!$F$4:$F$1022)*1,0))</f>
        <v>M_AEB0402</v>
      </c>
      <c r="E193" s="7" t="s">
        <v>2073</v>
      </c>
      <c r="F193" s="7" t="str" cm="1">
        <f t="array" ref="F193">INDEX(공급업체코드!$B$3:$B$1000,MATCH(1,(E193=공급업체코드!$D$3:$D$1000)*1,0))</f>
        <v>VM_KF_MACH</v>
      </c>
      <c r="G193" s="158" t="s">
        <v>2080</v>
      </c>
      <c r="I193" s="166">
        <v>5.41</v>
      </c>
      <c r="J193" s="160">
        <v>4000</v>
      </c>
      <c r="K193" s="159">
        <v>80</v>
      </c>
      <c r="L193" s="165">
        <v>6.6599999999999993</v>
      </c>
      <c r="M193" s="7" t="s">
        <v>984</v>
      </c>
      <c r="N193" s="7">
        <v>380</v>
      </c>
      <c r="O193" s="151">
        <v>0.91700000000000004</v>
      </c>
      <c r="P193" s="7">
        <v>0.9</v>
      </c>
      <c r="Q193" s="7">
        <v>80</v>
      </c>
      <c r="R193" s="113">
        <v>11</v>
      </c>
      <c r="S193" s="258" t="s">
        <v>1390</v>
      </c>
      <c r="T193" s="10">
        <f t="shared" si="3"/>
        <v>1</v>
      </c>
      <c r="U193" s="260" t="s">
        <v>1391</v>
      </c>
      <c r="V193">
        <v>3234000</v>
      </c>
      <c r="X193" s="157" t="s">
        <v>2075</v>
      </c>
      <c r="Y193" t="b">
        <v>1</v>
      </c>
    </row>
    <row r="194" spans="2:25">
      <c r="B194" s="1" t="str">
        <f t="shared" si="2"/>
        <v>M_AEB0402_VM_KF_MACH_6.88_4000</v>
      </c>
      <c r="C194" s="7" t="s">
        <v>2072</v>
      </c>
      <c r="D194" s="7" t="str" cm="1">
        <f t="array" ref="D194">INDEX(기계코드!$D$4:$D$1022,MATCH(1,(C194=기계코드!$F$4:$F$1022)*1,0))</f>
        <v>M_AEB0402</v>
      </c>
      <c r="E194" s="7" t="s">
        <v>2073</v>
      </c>
      <c r="F194" s="7" t="str" cm="1">
        <f t="array" ref="F194">INDEX(공급업체코드!$B$3:$B$1000,MATCH(1,(E194=공급업체코드!$D$3:$D$1000)*1,0))</f>
        <v>VM_KF_MACH</v>
      </c>
      <c r="G194" s="158" t="s">
        <v>2080</v>
      </c>
      <c r="I194" s="166">
        <v>6.88</v>
      </c>
      <c r="J194" s="160">
        <v>4000</v>
      </c>
      <c r="K194" s="159">
        <v>80</v>
      </c>
      <c r="L194" s="165">
        <v>8.0519999999999996</v>
      </c>
      <c r="M194" s="7" t="s">
        <v>984</v>
      </c>
      <c r="N194" s="7">
        <v>380</v>
      </c>
      <c r="O194" s="151">
        <v>0.92400000000000004</v>
      </c>
      <c r="P194" s="7">
        <v>0.9</v>
      </c>
      <c r="Q194" s="7">
        <v>80</v>
      </c>
      <c r="R194" s="113">
        <v>11</v>
      </c>
      <c r="S194" s="258" t="s">
        <v>1390</v>
      </c>
      <c r="T194" s="10">
        <f t="shared" si="3"/>
        <v>1</v>
      </c>
      <c r="U194" s="260" t="s">
        <v>1391</v>
      </c>
      <c r="V194">
        <v>3234000</v>
      </c>
      <c r="X194" s="157" t="s">
        <v>2075</v>
      </c>
      <c r="Y194" t="b">
        <v>1</v>
      </c>
    </row>
    <row r="195" spans="2:25">
      <c r="B195" s="1" t="str">
        <f t="shared" si="2"/>
        <v>M_AEB0402_VM_KF_MACH_2.37_5000</v>
      </c>
      <c r="C195" s="7" t="s">
        <v>2072</v>
      </c>
      <c r="D195" s="7" t="str" cm="1">
        <f t="array" ref="D195">INDEX(기계코드!$D$4:$D$1022,MATCH(1,(C195=기계코드!$F$4:$F$1022)*1,0))</f>
        <v>M_AEB0402</v>
      </c>
      <c r="E195" s="7" t="s">
        <v>2073</v>
      </c>
      <c r="F195" s="7" t="str" cm="1">
        <f t="array" ref="F195">INDEX(공급업체코드!$B$3:$B$1000,MATCH(1,(E195=공급업체코드!$D$3:$D$1000)*1,0))</f>
        <v>VM_KF_MACH</v>
      </c>
      <c r="G195" s="158" t="s">
        <v>2080</v>
      </c>
      <c r="I195" s="166">
        <v>2.37</v>
      </c>
      <c r="J195" s="160">
        <v>5000</v>
      </c>
      <c r="K195" s="159">
        <v>80</v>
      </c>
      <c r="L195" s="165">
        <v>4.5119999999999996</v>
      </c>
      <c r="M195" s="7" t="s">
        <v>984</v>
      </c>
      <c r="N195" s="7">
        <v>380</v>
      </c>
      <c r="O195" s="151">
        <v>0.91700000000000004</v>
      </c>
      <c r="P195" s="7">
        <v>0.9</v>
      </c>
      <c r="Q195" s="7">
        <v>80</v>
      </c>
      <c r="R195" s="113">
        <v>11</v>
      </c>
      <c r="S195" s="258" t="s">
        <v>1390</v>
      </c>
      <c r="T195" s="10">
        <f t="shared" si="3"/>
        <v>1</v>
      </c>
      <c r="U195" s="260" t="s">
        <v>1391</v>
      </c>
      <c r="V195">
        <v>3234000</v>
      </c>
      <c r="X195" s="157" t="s">
        <v>2075</v>
      </c>
      <c r="Y195" t="b">
        <v>1</v>
      </c>
    </row>
    <row r="196" spans="2:25">
      <c r="B196" s="1" t="str">
        <f t="shared" ref="B196:B259" si="4">D196&amp;"_"&amp;F196&amp;"_"&amp;I196&amp;"_"&amp;J196</f>
        <v>M_AEB0402_VM_KF_MACH_3.75_5000</v>
      </c>
      <c r="C196" s="7" t="s">
        <v>2072</v>
      </c>
      <c r="D196" s="7" t="str" cm="1">
        <f t="array" ref="D196">INDEX(기계코드!$D$4:$D$1022,MATCH(1,(C196=기계코드!$F$4:$F$1022)*1,0))</f>
        <v>M_AEB0402</v>
      </c>
      <c r="E196" s="7" t="s">
        <v>2073</v>
      </c>
      <c r="F196" s="7" t="str" cm="1">
        <f t="array" ref="F196">INDEX(공급업체코드!$B$3:$B$1000,MATCH(1,(E196=공급업체코드!$D$3:$D$1000)*1,0))</f>
        <v>VM_KF_MACH</v>
      </c>
      <c r="G196" s="158" t="s">
        <v>2080</v>
      </c>
      <c r="I196" s="166">
        <v>3.75</v>
      </c>
      <c r="J196" s="160">
        <v>5000</v>
      </c>
      <c r="K196" s="159">
        <v>80</v>
      </c>
      <c r="L196" s="165">
        <v>6.4320000000000004</v>
      </c>
      <c r="M196" s="7" t="s">
        <v>984</v>
      </c>
      <c r="N196" s="7">
        <v>380</v>
      </c>
      <c r="O196" s="151">
        <v>0.91700000000000004</v>
      </c>
      <c r="P196" s="7">
        <v>0.9</v>
      </c>
      <c r="Q196" s="7">
        <v>80</v>
      </c>
      <c r="R196" s="113">
        <v>11</v>
      </c>
      <c r="S196" s="258" t="s">
        <v>1390</v>
      </c>
      <c r="T196" s="10">
        <f t="shared" ref="T196:T259" si="5">IF(R196&lt;500,1,IF(R196&lt;1000,2,IF(R196&lt;5000,3,4)))</f>
        <v>1</v>
      </c>
      <c r="U196" s="260" t="s">
        <v>1391</v>
      </c>
      <c r="V196">
        <v>3234000</v>
      </c>
      <c r="X196" s="157" t="s">
        <v>2075</v>
      </c>
      <c r="Y196" t="b">
        <v>1</v>
      </c>
    </row>
    <row r="197" spans="2:25">
      <c r="B197" s="1" t="str">
        <f t="shared" si="4"/>
        <v>M_AEB0402_VM_KF_MACH_5.12_5000</v>
      </c>
      <c r="C197" s="7" t="s">
        <v>2072</v>
      </c>
      <c r="D197" s="7" t="str" cm="1">
        <f t="array" ref="D197">INDEX(기계코드!$D$4:$D$1022,MATCH(1,(C197=기계코드!$F$4:$F$1022)*1,0))</f>
        <v>M_AEB0402</v>
      </c>
      <c r="E197" s="7" t="s">
        <v>2073</v>
      </c>
      <c r="F197" s="7" t="str" cm="1">
        <f t="array" ref="F197">INDEX(공급업체코드!$B$3:$B$1000,MATCH(1,(E197=공급업체코드!$D$3:$D$1000)*1,0))</f>
        <v>VM_KF_MACH</v>
      </c>
      <c r="G197" s="158" t="s">
        <v>2080</v>
      </c>
      <c r="I197" s="166">
        <v>5.12</v>
      </c>
      <c r="J197" s="160">
        <v>5000</v>
      </c>
      <c r="K197" s="159">
        <v>80</v>
      </c>
      <c r="L197" s="165">
        <v>8.0760000000000005</v>
      </c>
      <c r="M197" s="7" t="s">
        <v>984</v>
      </c>
      <c r="N197" s="7">
        <v>380</v>
      </c>
      <c r="O197" s="151">
        <v>0.92400000000000004</v>
      </c>
      <c r="P197" s="7">
        <v>0.9</v>
      </c>
      <c r="Q197" s="7">
        <v>80</v>
      </c>
      <c r="R197" s="113">
        <v>11</v>
      </c>
      <c r="S197" s="258" t="s">
        <v>1390</v>
      </c>
      <c r="T197" s="10">
        <f t="shared" si="5"/>
        <v>1</v>
      </c>
      <c r="U197" s="260" t="s">
        <v>1391</v>
      </c>
      <c r="V197">
        <v>3234000</v>
      </c>
      <c r="X197" s="157" t="s">
        <v>2075</v>
      </c>
      <c r="Y197" t="b">
        <v>1</v>
      </c>
    </row>
    <row r="198" spans="2:25">
      <c r="B198" s="1" t="str">
        <f t="shared" si="4"/>
        <v>M_AEB0402_VM_KF_MACH_6.53_5000</v>
      </c>
      <c r="C198" s="7" t="s">
        <v>2072</v>
      </c>
      <c r="D198" s="7" t="str" cm="1">
        <f t="array" ref="D198">INDEX(기계코드!$D$4:$D$1022,MATCH(1,(C198=기계코드!$F$4:$F$1022)*1,0))</f>
        <v>M_AEB0402</v>
      </c>
      <c r="E198" s="7" t="s">
        <v>2073</v>
      </c>
      <c r="F198" s="7" t="str" cm="1">
        <f t="array" ref="F198">INDEX(공급업체코드!$B$3:$B$1000,MATCH(1,(E198=공급업체코드!$D$3:$D$1000)*1,0))</f>
        <v>VM_KF_MACH</v>
      </c>
      <c r="G198" s="158" t="s">
        <v>2080</v>
      </c>
      <c r="I198" s="166">
        <v>6.53</v>
      </c>
      <c r="J198" s="160">
        <v>5000</v>
      </c>
      <c r="K198" s="159">
        <v>80</v>
      </c>
      <c r="L198" s="165">
        <v>9.8040000000000003</v>
      </c>
      <c r="M198" s="7" t="s">
        <v>984</v>
      </c>
      <c r="N198" s="7">
        <v>380</v>
      </c>
      <c r="O198" s="151">
        <v>0.92400000000000004</v>
      </c>
      <c r="P198" s="7">
        <v>0.9</v>
      </c>
      <c r="Q198" s="7">
        <v>80</v>
      </c>
      <c r="R198" s="113">
        <v>11</v>
      </c>
      <c r="S198" s="258" t="s">
        <v>1390</v>
      </c>
      <c r="T198" s="10">
        <f t="shared" si="5"/>
        <v>1</v>
      </c>
      <c r="U198" s="260" t="s">
        <v>1391</v>
      </c>
      <c r="V198">
        <v>3234000</v>
      </c>
      <c r="X198" s="157" t="s">
        <v>2075</v>
      </c>
      <c r="Y198" t="b">
        <v>1</v>
      </c>
    </row>
    <row r="199" spans="2:25">
      <c r="B199" s="1" t="str">
        <f t="shared" si="4"/>
        <v>M_AEB0402_VM_KF_MACH_2.14_6000</v>
      </c>
      <c r="C199" s="7" t="s">
        <v>2072</v>
      </c>
      <c r="D199" s="7" t="str" cm="1">
        <f t="array" ref="D199">INDEX(기계코드!$D$4:$D$1022,MATCH(1,(C199=기계코드!$F$4:$F$1022)*1,0))</f>
        <v>M_AEB0402</v>
      </c>
      <c r="E199" s="7" t="s">
        <v>2073</v>
      </c>
      <c r="F199" s="7" t="str" cm="1">
        <f t="array" ref="F199">INDEX(공급업체코드!$B$3:$B$1000,MATCH(1,(E199=공급업체코드!$D$3:$D$1000)*1,0))</f>
        <v>VM_KF_MACH</v>
      </c>
      <c r="G199" s="158" t="s">
        <v>2080</v>
      </c>
      <c r="I199" s="166">
        <v>2.14</v>
      </c>
      <c r="J199" s="160">
        <v>6000</v>
      </c>
      <c r="K199" s="159">
        <v>80</v>
      </c>
      <c r="L199" s="165">
        <v>5.0280000000000005</v>
      </c>
      <c r="M199" s="7" t="s">
        <v>984</v>
      </c>
      <c r="N199" s="7">
        <v>380</v>
      </c>
      <c r="O199" s="151">
        <v>0.91700000000000004</v>
      </c>
      <c r="P199" s="7">
        <v>0.9</v>
      </c>
      <c r="Q199" s="7">
        <v>80</v>
      </c>
      <c r="R199" s="113">
        <v>11</v>
      </c>
      <c r="S199" s="258" t="s">
        <v>1390</v>
      </c>
      <c r="T199" s="10">
        <f t="shared" si="5"/>
        <v>1</v>
      </c>
      <c r="U199" s="260" t="s">
        <v>1391</v>
      </c>
      <c r="V199">
        <v>3234000</v>
      </c>
      <c r="X199" s="157" t="s">
        <v>2075</v>
      </c>
      <c r="Y199" t="b">
        <v>1</v>
      </c>
    </row>
    <row r="200" spans="2:25">
      <c r="B200" s="1" t="str">
        <f t="shared" si="4"/>
        <v>M_AEB0402_VM_KF_MACH_3.52_6000</v>
      </c>
      <c r="C200" s="7" t="s">
        <v>2072</v>
      </c>
      <c r="D200" s="7" t="str" cm="1">
        <f t="array" ref="D200">INDEX(기계코드!$D$4:$D$1022,MATCH(1,(C200=기계코드!$F$4:$F$1022)*1,0))</f>
        <v>M_AEB0402</v>
      </c>
      <c r="E200" s="7" t="s">
        <v>2073</v>
      </c>
      <c r="F200" s="7" t="str" cm="1">
        <f t="array" ref="F200">INDEX(공급업체코드!$B$3:$B$1000,MATCH(1,(E200=공급업체코드!$D$3:$D$1000)*1,0))</f>
        <v>VM_KF_MACH</v>
      </c>
      <c r="G200" s="158" t="s">
        <v>2080</v>
      </c>
      <c r="I200" s="166">
        <v>3.52</v>
      </c>
      <c r="J200" s="160">
        <v>6000</v>
      </c>
      <c r="K200" s="159">
        <v>80</v>
      </c>
      <c r="L200" s="165">
        <v>7.4399999999999995</v>
      </c>
      <c r="M200" s="7" t="s">
        <v>984</v>
      </c>
      <c r="N200" s="7">
        <v>380</v>
      </c>
      <c r="O200" s="151">
        <v>0.91700000000000004</v>
      </c>
      <c r="P200" s="7">
        <v>0.9</v>
      </c>
      <c r="Q200" s="7">
        <v>80</v>
      </c>
      <c r="R200" s="113">
        <v>11</v>
      </c>
      <c r="S200" s="258" t="s">
        <v>1390</v>
      </c>
      <c r="T200" s="10">
        <f t="shared" si="5"/>
        <v>1</v>
      </c>
      <c r="U200" s="260" t="s">
        <v>1391</v>
      </c>
      <c r="V200">
        <v>3234000</v>
      </c>
      <c r="X200" s="157" t="s">
        <v>2075</v>
      </c>
      <c r="Y200" t="b">
        <v>1</v>
      </c>
    </row>
    <row r="201" spans="2:25">
      <c r="B201" s="1" t="str">
        <f t="shared" si="4"/>
        <v>M_AEB0402_VM_KF_MACH_4.88_6000</v>
      </c>
      <c r="C201" s="7" t="s">
        <v>2072</v>
      </c>
      <c r="D201" s="7" t="str" cm="1">
        <f t="array" ref="D201">INDEX(기계코드!$D$4:$D$1022,MATCH(1,(C201=기계코드!$F$4:$F$1022)*1,0))</f>
        <v>M_AEB0402</v>
      </c>
      <c r="E201" s="7" t="s">
        <v>2073</v>
      </c>
      <c r="F201" s="7" t="str" cm="1">
        <f t="array" ref="F201">INDEX(공급업체코드!$B$3:$B$1000,MATCH(1,(E201=공급업체코드!$D$3:$D$1000)*1,0))</f>
        <v>VM_KF_MACH</v>
      </c>
      <c r="G201" s="158" t="s">
        <v>2080</v>
      </c>
      <c r="I201" s="166">
        <v>4.88</v>
      </c>
      <c r="J201" s="160">
        <v>6000</v>
      </c>
      <c r="K201" s="159">
        <v>80</v>
      </c>
      <c r="L201" s="165">
        <v>9.4919999999999991</v>
      </c>
      <c r="M201" s="7" t="s">
        <v>984</v>
      </c>
      <c r="N201" s="7">
        <v>380</v>
      </c>
      <c r="O201" s="151">
        <v>0.92400000000000004</v>
      </c>
      <c r="P201" s="7">
        <v>0.9</v>
      </c>
      <c r="Q201" s="7">
        <v>80</v>
      </c>
      <c r="R201" s="113">
        <v>11</v>
      </c>
      <c r="S201" s="258" t="s">
        <v>1390</v>
      </c>
      <c r="T201" s="10">
        <f t="shared" si="5"/>
        <v>1</v>
      </c>
      <c r="U201" s="260" t="s">
        <v>1391</v>
      </c>
      <c r="V201">
        <v>3234000</v>
      </c>
      <c r="X201" s="157" t="s">
        <v>2075</v>
      </c>
      <c r="Y201" t="b">
        <v>1</v>
      </c>
    </row>
    <row r="202" spans="2:25">
      <c r="B202" s="1" t="str">
        <f t="shared" si="4"/>
        <v>M_AEB0402_VM_KF_MACH_6.24_6000</v>
      </c>
      <c r="C202" s="7" t="s">
        <v>2072</v>
      </c>
      <c r="D202" s="7" t="str" cm="1">
        <f t="array" ref="D202">INDEX(기계코드!$D$4:$D$1022,MATCH(1,(C202=기계코드!$F$4:$F$1022)*1,0))</f>
        <v>M_AEB0402</v>
      </c>
      <c r="E202" s="7" t="s">
        <v>2073</v>
      </c>
      <c r="F202" s="7" t="str" cm="1">
        <f t="array" ref="F202">INDEX(공급업체코드!$B$3:$B$1000,MATCH(1,(E202=공급업체코드!$D$3:$D$1000)*1,0))</f>
        <v>VM_KF_MACH</v>
      </c>
      <c r="G202" s="158" t="s">
        <v>2080</v>
      </c>
      <c r="I202" s="166">
        <v>6.24</v>
      </c>
      <c r="J202" s="160">
        <v>6000</v>
      </c>
      <c r="K202" s="159">
        <v>80</v>
      </c>
      <c r="L202" s="165">
        <v>11.556000000000001</v>
      </c>
      <c r="M202" s="7" t="s">
        <v>984</v>
      </c>
      <c r="N202" s="7">
        <v>380</v>
      </c>
      <c r="O202" s="151">
        <v>0.93</v>
      </c>
      <c r="P202" s="7">
        <v>0.9</v>
      </c>
      <c r="Q202" s="7">
        <v>80</v>
      </c>
      <c r="R202" s="113">
        <v>11</v>
      </c>
      <c r="S202" s="258" t="s">
        <v>1390</v>
      </c>
      <c r="T202" s="10">
        <f t="shared" si="5"/>
        <v>1</v>
      </c>
      <c r="U202" s="260" t="s">
        <v>1391</v>
      </c>
      <c r="V202">
        <v>3234000</v>
      </c>
      <c r="X202" s="157" t="s">
        <v>2075</v>
      </c>
      <c r="Y202" t="b">
        <v>1</v>
      </c>
    </row>
    <row r="203" spans="2:25">
      <c r="B203" s="1" t="str">
        <f t="shared" si="4"/>
        <v>M_AEB0402_VM_KF_MACH_3.94_4000</v>
      </c>
      <c r="C203" s="7" t="s">
        <v>2072</v>
      </c>
      <c r="D203" s="7" t="str" cm="1">
        <f t="array" ref="D203">INDEX(기계코드!$D$4:$D$1022,MATCH(1,(C203=기계코드!$F$4:$F$1022)*1,0))</f>
        <v>M_AEB0402</v>
      </c>
      <c r="E203" s="7" t="s">
        <v>2073</v>
      </c>
      <c r="F203" s="7" t="str" cm="1">
        <f t="array" ref="F203">INDEX(공급업체코드!$B$3:$B$1000,MATCH(1,(E203=공급업체코드!$D$3:$D$1000)*1,0))</f>
        <v>VM_KF_MACH</v>
      </c>
      <c r="G203" s="158" t="s">
        <v>2081</v>
      </c>
      <c r="I203" s="166">
        <v>3.94</v>
      </c>
      <c r="J203" s="160">
        <v>4000</v>
      </c>
      <c r="K203" s="159">
        <v>100</v>
      </c>
      <c r="L203" s="165">
        <v>5.6760000000000002</v>
      </c>
      <c r="M203" s="7" t="s">
        <v>984</v>
      </c>
      <c r="N203" s="7">
        <v>380</v>
      </c>
      <c r="O203" s="151">
        <v>0.91700000000000004</v>
      </c>
      <c r="P203" s="7">
        <v>0.9</v>
      </c>
      <c r="Q203" s="7">
        <v>80</v>
      </c>
      <c r="R203" s="113">
        <v>11</v>
      </c>
      <c r="S203" s="258" t="s">
        <v>1390</v>
      </c>
      <c r="T203" s="10">
        <f t="shared" si="5"/>
        <v>1</v>
      </c>
      <c r="U203" s="260" t="s">
        <v>1391</v>
      </c>
      <c r="V203">
        <v>3637000</v>
      </c>
      <c r="X203" s="157" t="s">
        <v>2075</v>
      </c>
      <c r="Y203" t="b">
        <v>1</v>
      </c>
    </row>
    <row r="204" spans="2:25">
      <c r="B204" s="1" t="str">
        <f t="shared" si="4"/>
        <v>M_AEB0402_VM_KF_MACH_5.65_4000</v>
      </c>
      <c r="C204" s="7" t="s">
        <v>2072</v>
      </c>
      <c r="D204" s="7" t="str" cm="1">
        <f t="array" ref="D204">INDEX(기계코드!$D$4:$D$1022,MATCH(1,(C204=기계코드!$F$4:$F$1022)*1,0))</f>
        <v>M_AEB0402</v>
      </c>
      <c r="E204" s="7" t="s">
        <v>2073</v>
      </c>
      <c r="F204" s="7" t="str" cm="1">
        <f t="array" ref="F204">INDEX(공급업체코드!$B$3:$B$1000,MATCH(1,(E204=공급업체코드!$D$3:$D$1000)*1,0))</f>
        <v>VM_KF_MACH</v>
      </c>
      <c r="G204" s="158" t="s">
        <v>2081</v>
      </c>
      <c r="I204" s="166">
        <v>5.65</v>
      </c>
      <c r="J204" s="160">
        <v>4000</v>
      </c>
      <c r="K204" s="159">
        <v>100</v>
      </c>
      <c r="L204" s="165">
        <v>6.984</v>
      </c>
      <c r="M204" s="7" t="s">
        <v>984</v>
      </c>
      <c r="N204" s="7">
        <v>380</v>
      </c>
      <c r="O204" s="151">
        <v>0.91700000000000004</v>
      </c>
      <c r="P204" s="7">
        <v>0.9</v>
      </c>
      <c r="Q204" s="7">
        <v>80</v>
      </c>
      <c r="R204" s="113">
        <v>11</v>
      </c>
      <c r="S204" s="258" t="s">
        <v>1390</v>
      </c>
      <c r="T204" s="10">
        <f t="shared" si="5"/>
        <v>1</v>
      </c>
      <c r="U204" s="260" t="s">
        <v>1391</v>
      </c>
      <c r="V204">
        <v>3637000</v>
      </c>
      <c r="X204" s="157" t="s">
        <v>2075</v>
      </c>
      <c r="Y204" t="b">
        <v>1</v>
      </c>
    </row>
    <row r="205" spans="2:25">
      <c r="B205" s="1" t="str">
        <f t="shared" si="4"/>
        <v>M_AEB0402_VM_KF_MACH_7.35_4000</v>
      </c>
      <c r="C205" s="7" t="s">
        <v>2072</v>
      </c>
      <c r="D205" s="7" t="str" cm="1">
        <f t="array" ref="D205">INDEX(기계코드!$D$4:$D$1022,MATCH(1,(C205=기계코드!$F$4:$F$1022)*1,0))</f>
        <v>M_AEB0402</v>
      </c>
      <c r="E205" s="7" t="s">
        <v>2073</v>
      </c>
      <c r="F205" s="7" t="str" cm="1">
        <f t="array" ref="F205">INDEX(공급업체코드!$B$3:$B$1000,MATCH(1,(E205=공급업체코드!$D$3:$D$1000)*1,0))</f>
        <v>VM_KF_MACH</v>
      </c>
      <c r="G205" s="158" t="s">
        <v>2081</v>
      </c>
      <c r="I205" s="166">
        <v>7.35</v>
      </c>
      <c r="J205" s="160">
        <v>4000</v>
      </c>
      <c r="K205" s="159">
        <v>100</v>
      </c>
      <c r="L205" s="165">
        <v>8.5679999999999996</v>
      </c>
      <c r="M205" s="7" t="s">
        <v>984</v>
      </c>
      <c r="N205" s="7">
        <v>380</v>
      </c>
      <c r="O205" s="151">
        <v>0.92400000000000004</v>
      </c>
      <c r="P205" s="7">
        <v>0.9</v>
      </c>
      <c r="Q205" s="7">
        <v>80</v>
      </c>
      <c r="R205" s="113">
        <v>11</v>
      </c>
      <c r="S205" s="258" t="s">
        <v>1390</v>
      </c>
      <c r="T205" s="10">
        <f t="shared" si="5"/>
        <v>1</v>
      </c>
      <c r="U205" s="260" t="s">
        <v>1391</v>
      </c>
      <c r="V205">
        <v>3637000</v>
      </c>
      <c r="X205" s="157" t="s">
        <v>2075</v>
      </c>
      <c r="Y205" t="b">
        <v>1</v>
      </c>
    </row>
    <row r="206" spans="2:25">
      <c r="B206" s="1" t="str">
        <f t="shared" si="4"/>
        <v>M_AEB0402_VM_KF_MACH_9.3_4000</v>
      </c>
      <c r="C206" s="7" t="s">
        <v>2072</v>
      </c>
      <c r="D206" s="7" t="str" cm="1">
        <f t="array" ref="D206">INDEX(기계코드!$D$4:$D$1022,MATCH(1,(C206=기계코드!$F$4:$F$1022)*1,0))</f>
        <v>M_AEB0402</v>
      </c>
      <c r="E206" s="7" t="s">
        <v>2073</v>
      </c>
      <c r="F206" s="7" t="str" cm="1">
        <f t="array" ref="F206">INDEX(공급업체코드!$B$3:$B$1000,MATCH(1,(E206=공급업체코드!$D$3:$D$1000)*1,0))</f>
        <v>VM_KF_MACH</v>
      </c>
      <c r="G206" s="158" t="s">
        <v>2081</v>
      </c>
      <c r="I206" s="166">
        <v>9.3000000000000007</v>
      </c>
      <c r="J206" s="160">
        <v>4000</v>
      </c>
      <c r="K206" s="159">
        <v>100</v>
      </c>
      <c r="L206" s="165">
        <v>10.427999999999999</v>
      </c>
      <c r="M206" s="7" t="s">
        <v>984</v>
      </c>
      <c r="N206" s="7">
        <v>380</v>
      </c>
      <c r="O206" s="151">
        <v>0.92400000000000004</v>
      </c>
      <c r="P206" s="7">
        <v>0.9</v>
      </c>
      <c r="Q206" s="7">
        <v>80</v>
      </c>
      <c r="R206" s="113">
        <v>11</v>
      </c>
      <c r="S206" s="258" t="s">
        <v>1390</v>
      </c>
      <c r="T206" s="10">
        <f t="shared" si="5"/>
        <v>1</v>
      </c>
      <c r="U206" s="260" t="s">
        <v>1391</v>
      </c>
      <c r="V206">
        <v>3637000</v>
      </c>
      <c r="X206" s="157" t="s">
        <v>2075</v>
      </c>
      <c r="Y206" t="b">
        <v>1</v>
      </c>
    </row>
    <row r="207" spans="2:25">
      <c r="B207" s="1" t="str">
        <f t="shared" si="4"/>
        <v>M_AEB0402_VM_KF_MACH_3.67_5000</v>
      </c>
      <c r="C207" s="7" t="s">
        <v>2072</v>
      </c>
      <c r="D207" s="7" t="str" cm="1">
        <f t="array" ref="D207">INDEX(기계코드!$D$4:$D$1022,MATCH(1,(C207=기계코드!$F$4:$F$1022)*1,0))</f>
        <v>M_AEB0402</v>
      </c>
      <c r="E207" s="7" t="s">
        <v>2073</v>
      </c>
      <c r="F207" s="7" t="str" cm="1">
        <f t="array" ref="F207">INDEX(공급업체코드!$B$3:$B$1000,MATCH(1,(E207=공급업체코드!$D$3:$D$1000)*1,0))</f>
        <v>VM_KF_MACH</v>
      </c>
      <c r="G207" s="158" t="s">
        <v>2081</v>
      </c>
      <c r="I207" s="166">
        <v>3.67</v>
      </c>
      <c r="J207" s="160">
        <v>5000</v>
      </c>
      <c r="K207" s="159">
        <v>100</v>
      </c>
      <c r="L207" s="165">
        <v>6.8760000000000003</v>
      </c>
      <c r="M207" s="7" t="s">
        <v>984</v>
      </c>
      <c r="N207" s="7">
        <v>380</v>
      </c>
      <c r="O207" s="151">
        <v>0.91700000000000004</v>
      </c>
      <c r="P207" s="7">
        <v>0.9</v>
      </c>
      <c r="Q207" s="7">
        <v>80</v>
      </c>
      <c r="R207" s="113">
        <v>11</v>
      </c>
      <c r="S207" s="258" t="s">
        <v>1390</v>
      </c>
      <c r="T207" s="10">
        <f t="shared" si="5"/>
        <v>1</v>
      </c>
      <c r="U207" s="260" t="s">
        <v>1391</v>
      </c>
      <c r="V207">
        <v>3637000</v>
      </c>
      <c r="X207" s="157" t="s">
        <v>2075</v>
      </c>
      <c r="Y207" t="b">
        <v>1</v>
      </c>
    </row>
    <row r="208" spans="2:25">
      <c r="B208" s="1" t="str">
        <f t="shared" si="4"/>
        <v>M_AEB0402_VM_KF_MACH_5.37_5000</v>
      </c>
      <c r="C208" s="7" t="s">
        <v>2072</v>
      </c>
      <c r="D208" s="7" t="str" cm="1">
        <f t="array" ref="D208">INDEX(기계코드!$D$4:$D$1022,MATCH(1,(C208=기계코드!$F$4:$F$1022)*1,0))</f>
        <v>M_AEB0402</v>
      </c>
      <c r="E208" s="7" t="s">
        <v>2073</v>
      </c>
      <c r="F208" s="7" t="str" cm="1">
        <f t="array" ref="F208">INDEX(공급업체코드!$B$3:$B$1000,MATCH(1,(E208=공급업체코드!$D$3:$D$1000)*1,0))</f>
        <v>VM_KF_MACH</v>
      </c>
      <c r="G208" s="158" t="s">
        <v>2081</v>
      </c>
      <c r="I208" s="166">
        <v>5.37</v>
      </c>
      <c r="J208" s="160">
        <v>5000</v>
      </c>
      <c r="K208" s="159">
        <v>100</v>
      </c>
      <c r="L208" s="165">
        <v>8.5079999999999991</v>
      </c>
      <c r="M208" s="7" t="s">
        <v>984</v>
      </c>
      <c r="N208" s="7">
        <v>380</v>
      </c>
      <c r="O208" s="151">
        <v>0.92400000000000004</v>
      </c>
      <c r="P208" s="7">
        <v>0.9</v>
      </c>
      <c r="Q208" s="7">
        <v>80</v>
      </c>
      <c r="R208" s="113">
        <v>11</v>
      </c>
      <c r="S208" s="258" t="s">
        <v>1390</v>
      </c>
      <c r="T208" s="10">
        <f t="shared" si="5"/>
        <v>1</v>
      </c>
      <c r="U208" s="260" t="s">
        <v>1391</v>
      </c>
      <c r="V208">
        <v>3637000</v>
      </c>
      <c r="X208" s="157" t="s">
        <v>2075</v>
      </c>
      <c r="Y208" t="b">
        <v>1</v>
      </c>
    </row>
    <row r="209" spans="2:25">
      <c r="B209" s="1" t="str">
        <f t="shared" si="4"/>
        <v>M_AEB0402_VM_KF_MACH_7.07_5000</v>
      </c>
      <c r="C209" s="7" t="s">
        <v>2072</v>
      </c>
      <c r="D209" s="7" t="str" cm="1">
        <f t="array" ref="D209">INDEX(기계코드!$D$4:$D$1022,MATCH(1,(C209=기계코드!$F$4:$F$1022)*1,0))</f>
        <v>M_AEB0402</v>
      </c>
      <c r="E209" s="7" t="s">
        <v>2073</v>
      </c>
      <c r="F209" s="7" t="str" cm="1">
        <f t="array" ref="F209">INDEX(공급업체코드!$B$3:$B$1000,MATCH(1,(E209=공급업체코드!$D$3:$D$1000)*1,0))</f>
        <v>VM_KF_MACH</v>
      </c>
      <c r="G209" s="158" t="s">
        <v>2081</v>
      </c>
      <c r="I209" s="166">
        <v>7.07</v>
      </c>
      <c r="J209" s="160">
        <v>5000</v>
      </c>
      <c r="K209" s="159">
        <v>100</v>
      </c>
      <c r="L209" s="165">
        <v>10.368</v>
      </c>
      <c r="M209" s="7" t="s">
        <v>984</v>
      </c>
      <c r="N209" s="7">
        <v>380</v>
      </c>
      <c r="O209" s="151">
        <v>0.92400000000000004</v>
      </c>
      <c r="P209" s="7">
        <v>0.9</v>
      </c>
      <c r="Q209" s="7">
        <v>80</v>
      </c>
      <c r="R209" s="113">
        <v>11</v>
      </c>
      <c r="S209" s="258" t="s">
        <v>1390</v>
      </c>
      <c r="T209" s="10">
        <f t="shared" si="5"/>
        <v>1</v>
      </c>
      <c r="U209" s="260" t="s">
        <v>1391</v>
      </c>
      <c r="V209">
        <v>3637000</v>
      </c>
      <c r="X209" s="157" t="s">
        <v>2075</v>
      </c>
      <c r="Y209" t="b">
        <v>1</v>
      </c>
    </row>
    <row r="210" spans="2:25">
      <c r="B210" s="1" t="str">
        <f t="shared" si="4"/>
        <v>M_AEB0402_VM_KF_MACH_8.96_5000</v>
      </c>
      <c r="C210" s="7" t="s">
        <v>2072</v>
      </c>
      <c r="D210" s="7" t="str" cm="1">
        <f t="array" ref="D210">INDEX(기계코드!$D$4:$D$1022,MATCH(1,(C210=기계코드!$F$4:$F$1022)*1,0))</f>
        <v>M_AEB0402</v>
      </c>
      <c r="E210" s="7" t="s">
        <v>2073</v>
      </c>
      <c r="F210" s="7" t="str" cm="1">
        <f t="array" ref="F210">INDEX(공급업체코드!$B$3:$B$1000,MATCH(1,(E210=공급업체코드!$D$3:$D$1000)*1,0))</f>
        <v>VM_KF_MACH</v>
      </c>
      <c r="G210" s="158" t="s">
        <v>2081</v>
      </c>
      <c r="I210" s="166">
        <v>8.9600000000000009</v>
      </c>
      <c r="J210" s="160">
        <v>5000</v>
      </c>
      <c r="K210" s="159">
        <v>100</v>
      </c>
      <c r="L210" s="165">
        <v>12.516</v>
      </c>
      <c r="M210" s="7" t="s">
        <v>984</v>
      </c>
      <c r="N210" s="7">
        <v>380</v>
      </c>
      <c r="O210" s="151">
        <v>0.93</v>
      </c>
      <c r="P210" s="7">
        <v>0.9</v>
      </c>
      <c r="Q210" s="7">
        <v>80</v>
      </c>
      <c r="R210" s="113">
        <v>11</v>
      </c>
      <c r="S210" s="258" t="s">
        <v>1390</v>
      </c>
      <c r="T210" s="10">
        <f t="shared" si="5"/>
        <v>1</v>
      </c>
      <c r="U210" s="260" t="s">
        <v>1391</v>
      </c>
      <c r="V210">
        <v>3637000</v>
      </c>
      <c r="X210" s="157" t="s">
        <v>2075</v>
      </c>
      <c r="Y210" t="b">
        <v>1</v>
      </c>
    </row>
    <row r="211" spans="2:25">
      <c r="B211" s="1" t="str">
        <f t="shared" si="4"/>
        <v>M_AEB0402_VM_KF_MACH_3.43_6000</v>
      </c>
      <c r="C211" s="7" t="s">
        <v>2072</v>
      </c>
      <c r="D211" s="7" t="str" cm="1">
        <f t="array" ref="D211">INDEX(기계코드!$D$4:$D$1022,MATCH(1,(C211=기계코드!$F$4:$F$1022)*1,0))</f>
        <v>M_AEB0402</v>
      </c>
      <c r="E211" s="7" t="s">
        <v>2073</v>
      </c>
      <c r="F211" s="7" t="str" cm="1">
        <f t="array" ref="F211">INDEX(공급업체코드!$B$3:$B$1000,MATCH(1,(E211=공급업체코드!$D$3:$D$1000)*1,0))</f>
        <v>VM_KF_MACH</v>
      </c>
      <c r="G211" s="158" t="s">
        <v>2081</v>
      </c>
      <c r="I211" s="166">
        <v>3.43</v>
      </c>
      <c r="J211" s="160">
        <v>6000</v>
      </c>
      <c r="K211" s="159">
        <v>100</v>
      </c>
      <c r="L211" s="165">
        <v>8.0760000000000005</v>
      </c>
      <c r="M211" s="7" t="s">
        <v>984</v>
      </c>
      <c r="N211" s="7">
        <v>380</v>
      </c>
      <c r="O211" s="151">
        <v>0.92400000000000004</v>
      </c>
      <c r="P211" s="7">
        <v>0.9</v>
      </c>
      <c r="Q211" s="7">
        <v>80</v>
      </c>
      <c r="R211" s="113">
        <v>11</v>
      </c>
      <c r="S211" s="258" t="s">
        <v>1390</v>
      </c>
      <c r="T211" s="10">
        <f t="shared" si="5"/>
        <v>1</v>
      </c>
      <c r="U211" s="260" t="s">
        <v>1391</v>
      </c>
      <c r="V211">
        <v>4500000</v>
      </c>
      <c r="X211" s="157" t="s">
        <v>2075</v>
      </c>
      <c r="Y211" t="b">
        <v>1</v>
      </c>
    </row>
    <row r="212" spans="2:25">
      <c r="B212" s="1" t="str">
        <f t="shared" si="4"/>
        <v>M_AEB0402_VM_KF_MACH_5.13_6000</v>
      </c>
      <c r="C212" s="7" t="s">
        <v>2072</v>
      </c>
      <c r="D212" s="7" t="str" cm="1">
        <f t="array" ref="D212">INDEX(기계코드!$D$4:$D$1022,MATCH(1,(C212=기계코드!$F$4:$F$1022)*1,0))</f>
        <v>M_AEB0402</v>
      </c>
      <c r="E212" s="7" t="s">
        <v>2073</v>
      </c>
      <c r="F212" s="7" t="str" cm="1">
        <f t="array" ref="F212">INDEX(공급업체코드!$B$3:$B$1000,MATCH(1,(E212=공급업체코드!$D$3:$D$1000)*1,0))</f>
        <v>VM_KF_MACH</v>
      </c>
      <c r="G212" s="158" t="s">
        <v>2081</v>
      </c>
      <c r="I212" s="166">
        <v>5.13</v>
      </c>
      <c r="J212" s="160">
        <v>6000</v>
      </c>
      <c r="K212" s="159">
        <v>100</v>
      </c>
      <c r="L212" s="165">
        <v>10.031999999999998</v>
      </c>
      <c r="M212" s="7" t="s">
        <v>984</v>
      </c>
      <c r="N212" s="7">
        <v>380</v>
      </c>
      <c r="O212" s="151">
        <v>0.92400000000000004</v>
      </c>
      <c r="P212" s="7">
        <v>0.9</v>
      </c>
      <c r="Q212" s="7">
        <v>80</v>
      </c>
      <c r="R212" s="113">
        <v>11</v>
      </c>
      <c r="S212" s="258" t="s">
        <v>1390</v>
      </c>
      <c r="T212" s="10">
        <f t="shared" si="5"/>
        <v>1</v>
      </c>
      <c r="U212" s="260" t="s">
        <v>1391</v>
      </c>
      <c r="V212">
        <v>4500000</v>
      </c>
      <c r="X212" s="157" t="s">
        <v>2075</v>
      </c>
      <c r="Y212" t="b">
        <v>1</v>
      </c>
    </row>
    <row r="213" spans="2:25">
      <c r="B213" s="1" t="str">
        <f t="shared" si="4"/>
        <v>M_AEB0402_VM_KF_MACH_6.83_6000</v>
      </c>
      <c r="C213" s="7" t="s">
        <v>2072</v>
      </c>
      <c r="D213" s="7" t="str" cm="1">
        <f t="array" ref="D213">INDEX(기계코드!$D$4:$D$1022,MATCH(1,(C213=기계코드!$F$4:$F$1022)*1,0))</f>
        <v>M_AEB0402</v>
      </c>
      <c r="E213" s="7" t="s">
        <v>2073</v>
      </c>
      <c r="F213" s="7" t="str" cm="1">
        <f t="array" ref="F213">INDEX(공급업체코드!$B$3:$B$1000,MATCH(1,(E213=공급업체코드!$D$3:$D$1000)*1,0))</f>
        <v>VM_KF_MACH</v>
      </c>
      <c r="G213" s="158" t="s">
        <v>2081</v>
      </c>
      <c r="I213" s="166">
        <v>6.83</v>
      </c>
      <c r="J213" s="160">
        <v>6000</v>
      </c>
      <c r="K213" s="159">
        <v>100</v>
      </c>
      <c r="L213" s="165">
        <v>12.215999999999999</v>
      </c>
      <c r="M213" s="7" t="s">
        <v>984</v>
      </c>
      <c r="N213" s="7">
        <v>380</v>
      </c>
      <c r="O213" s="151">
        <v>0.93</v>
      </c>
      <c r="P213" s="7">
        <v>0.9</v>
      </c>
      <c r="Q213" s="7">
        <v>80</v>
      </c>
      <c r="R213" s="113">
        <v>11</v>
      </c>
      <c r="S213" s="258" t="s">
        <v>1390</v>
      </c>
      <c r="T213" s="10">
        <f t="shared" si="5"/>
        <v>1</v>
      </c>
      <c r="U213" s="260" t="s">
        <v>1391</v>
      </c>
      <c r="V213">
        <v>4500000</v>
      </c>
      <c r="X213" s="157" t="s">
        <v>2075</v>
      </c>
      <c r="Y213" t="b">
        <v>1</v>
      </c>
    </row>
    <row r="214" spans="2:25">
      <c r="B214" s="1" t="str">
        <f t="shared" si="4"/>
        <v>M_AEB0402_VM_KF_MACH_8.67_6000</v>
      </c>
      <c r="C214" s="7" t="s">
        <v>2072</v>
      </c>
      <c r="D214" s="7" t="str" cm="1">
        <f t="array" ref="D214">INDEX(기계코드!$D$4:$D$1022,MATCH(1,(C214=기계코드!$F$4:$F$1022)*1,0))</f>
        <v>M_AEB0402</v>
      </c>
      <c r="E214" s="7" t="s">
        <v>2073</v>
      </c>
      <c r="F214" s="7" t="str" cm="1">
        <f t="array" ref="F214">INDEX(공급업체코드!$B$3:$B$1000,MATCH(1,(E214=공급업체코드!$D$3:$D$1000)*1,0))</f>
        <v>VM_KF_MACH</v>
      </c>
      <c r="G214" s="158" t="s">
        <v>2081</v>
      </c>
      <c r="I214" s="166">
        <v>8.67</v>
      </c>
      <c r="J214" s="160">
        <v>6000</v>
      </c>
      <c r="K214" s="159">
        <v>100</v>
      </c>
      <c r="L214" s="165">
        <v>14.772</v>
      </c>
      <c r="M214" s="7" t="s">
        <v>984</v>
      </c>
      <c r="N214" s="7">
        <v>380</v>
      </c>
      <c r="O214" s="151">
        <v>0.93</v>
      </c>
      <c r="P214" s="7">
        <v>0.9</v>
      </c>
      <c r="Q214" s="7">
        <v>80</v>
      </c>
      <c r="R214" s="113">
        <v>11</v>
      </c>
      <c r="S214" s="258" t="s">
        <v>1390</v>
      </c>
      <c r="T214" s="10">
        <f t="shared" si="5"/>
        <v>1</v>
      </c>
      <c r="U214" s="260" t="s">
        <v>1391</v>
      </c>
      <c r="V214">
        <v>4500000</v>
      </c>
      <c r="X214" s="157" t="s">
        <v>2075</v>
      </c>
      <c r="Y214" t="b">
        <v>1</v>
      </c>
    </row>
    <row r="215" spans="2:25">
      <c r="B215" s="1" t="str">
        <f t="shared" si="4"/>
        <v>M_AEB0402_VM_KF_MACH_6.94_4000</v>
      </c>
      <c r="C215" s="7" t="s">
        <v>2072</v>
      </c>
      <c r="D215" s="7" t="str" cm="1">
        <f t="array" ref="D215">INDEX(기계코드!$D$4:$D$1022,MATCH(1,(C215=기계코드!$F$4:$F$1022)*1,0))</f>
        <v>M_AEB0402</v>
      </c>
      <c r="E215" s="7" t="s">
        <v>2073</v>
      </c>
      <c r="F215" s="7" t="str" cm="1">
        <f t="array" ref="F215">INDEX(공급업체코드!$B$3:$B$1000,MATCH(1,(E215=공급업체코드!$D$3:$D$1000)*1,0))</f>
        <v>VM_KF_MACH</v>
      </c>
      <c r="G215" s="158" t="s">
        <v>2082</v>
      </c>
      <c r="I215" s="166">
        <v>6.94</v>
      </c>
      <c r="J215" s="160">
        <v>4000</v>
      </c>
      <c r="K215" s="159">
        <v>125</v>
      </c>
      <c r="L215" s="165">
        <v>8.7959999999999994</v>
      </c>
      <c r="M215" s="7" t="s">
        <v>984</v>
      </c>
      <c r="N215" s="7">
        <v>380</v>
      </c>
      <c r="O215" s="151">
        <v>0.92400000000000004</v>
      </c>
      <c r="P215" s="7">
        <v>0.9</v>
      </c>
      <c r="Q215" s="7">
        <v>80</v>
      </c>
      <c r="R215" s="113">
        <v>11</v>
      </c>
      <c r="S215" s="258" t="s">
        <v>1390</v>
      </c>
      <c r="T215" s="10">
        <f t="shared" si="5"/>
        <v>1</v>
      </c>
      <c r="U215" s="260" t="s">
        <v>1391</v>
      </c>
      <c r="V215">
        <v>6932000</v>
      </c>
      <c r="X215" s="157" t="s">
        <v>2075</v>
      </c>
      <c r="Y215" t="b">
        <v>1</v>
      </c>
    </row>
    <row r="216" spans="2:25">
      <c r="B216" s="1" t="str">
        <f t="shared" si="4"/>
        <v>M_AEB0402_VM_KF_MACH_9.51_4000</v>
      </c>
      <c r="C216" s="7" t="s">
        <v>2072</v>
      </c>
      <c r="D216" s="7" t="str" cm="1">
        <f t="array" ref="D216">INDEX(기계코드!$D$4:$D$1022,MATCH(1,(C216=기계코드!$F$4:$F$1022)*1,0))</f>
        <v>M_AEB0402</v>
      </c>
      <c r="E216" s="7" t="s">
        <v>2073</v>
      </c>
      <c r="F216" s="7" t="str" cm="1">
        <f t="array" ref="F216">INDEX(공급업체코드!$B$3:$B$1000,MATCH(1,(E216=공급업체코드!$D$3:$D$1000)*1,0))</f>
        <v>VM_KF_MACH</v>
      </c>
      <c r="G216" s="158" t="s">
        <v>2082</v>
      </c>
      <c r="I216" s="166">
        <v>9.51</v>
      </c>
      <c r="J216" s="160">
        <v>4000</v>
      </c>
      <c r="K216" s="159">
        <v>125</v>
      </c>
      <c r="L216" s="165">
        <v>11.411999999999999</v>
      </c>
      <c r="M216" s="7" t="s">
        <v>984</v>
      </c>
      <c r="N216" s="7">
        <v>380</v>
      </c>
      <c r="O216" s="151">
        <v>0.93</v>
      </c>
      <c r="P216" s="7">
        <v>0.9</v>
      </c>
      <c r="Q216" s="7">
        <v>80</v>
      </c>
      <c r="R216" s="113">
        <v>11</v>
      </c>
      <c r="S216" s="258" t="s">
        <v>1390</v>
      </c>
      <c r="T216" s="10">
        <f t="shared" si="5"/>
        <v>1</v>
      </c>
      <c r="U216" s="260" t="s">
        <v>1391</v>
      </c>
      <c r="V216">
        <v>6932000</v>
      </c>
      <c r="X216" s="157" t="s">
        <v>2075</v>
      </c>
      <c r="Y216" t="b">
        <v>1</v>
      </c>
    </row>
    <row r="217" spans="2:25">
      <c r="B217" s="1" t="str">
        <f t="shared" si="4"/>
        <v>M_AEB0402_VM_KF_MACH_11.88_4000</v>
      </c>
      <c r="C217" s="7" t="s">
        <v>2072</v>
      </c>
      <c r="D217" s="7" t="str" cm="1">
        <f t="array" ref="D217">INDEX(기계코드!$D$4:$D$1022,MATCH(1,(C217=기계코드!$F$4:$F$1022)*1,0))</f>
        <v>M_AEB0402</v>
      </c>
      <c r="E217" s="7" t="s">
        <v>2073</v>
      </c>
      <c r="F217" s="7" t="str" cm="1">
        <f t="array" ref="F217">INDEX(공급업체코드!$B$3:$B$1000,MATCH(1,(E217=공급업체코드!$D$3:$D$1000)*1,0))</f>
        <v>VM_KF_MACH</v>
      </c>
      <c r="G217" s="158" t="s">
        <v>2082</v>
      </c>
      <c r="I217" s="166">
        <v>11.88</v>
      </c>
      <c r="J217" s="160">
        <v>4000</v>
      </c>
      <c r="K217" s="159">
        <v>125</v>
      </c>
      <c r="L217" s="165">
        <v>13.596</v>
      </c>
      <c r="M217" s="7" t="s">
        <v>984</v>
      </c>
      <c r="N217" s="7">
        <v>380</v>
      </c>
      <c r="O217" s="151">
        <v>0.93</v>
      </c>
      <c r="P217" s="7">
        <v>0.9</v>
      </c>
      <c r="Q217" s="7">
        <v>80</v>
      </c>
      <c r="R217" s="113">
        <v>11</v>
      </c>
      <c r="S217" s="258" t="s">
        <v>1390</v>
      </c>
      <c r="T217" s="10">
        <f t="shared" si="5"/>
        <v>1</v>
      </c>
      <c r="U217" s="260" t="s">
        <v>1391</v>
      </c>
      <c r="V217">
        <v>6932000</v>
      </c>
      <c r="X217" s="157" t="s">
        <v>2075</v>
      </c>
      <c r="Y217" t="b">
        <v>1</v>
      </c>
    </row>
    <row r="218" spans="2:25">
      <c r="B218" s="1" t="str">
        <f t="shared" si="4"/>
        <v>M_AEB0402_VM_KF_MACH_13.92_4000</v>
      </c>
      <c r="C218" s="7" t="s">
        <v>2072</v>
      </c>
      <c r="D218" s="7" t="str" cm="1">
        <f t="array" ref="D218">INDEX(기계코드!$D$4:$D$1022,MATCH(1,(C218=기계코드!$F$4:$F$1022)*1,0))</f>
        <v>M_AEB0402</v>
      </c>
      <c r="E218" s="7" t="s">
        <v>2073</v>
      </c>
      <c r="F218" s="7" t="str" cm="1">
        <f t="array" ref="F218">INDEX(공급업체코드!$B$3:$B$1000,MATCH(1,(E218=공급업체코드!$D$3:$D$1000)*1,0))</f>
        <v>VM_KF_MACH</v>
      </c>
      <c r="G218" s="158" t="s">
        <v>2082</v>
      </c>
      <c r="I218" s="166">
        <v>13.92</v>
      </c>
      <c r="J218" s="160">
        <v>4000</v>
      </c>
      <c r="K218" s="159">
        <v>125</v>
      </c>
      <c r="L218" s="165">
        <v>15.372</v>
      </c>
      <c r="M218" s="7" t="s">
        <v>984</v>
      </c>
      <c r="N218" s="7">
        <v>380</v>
      </c>
      <c r="O218" s="151">
        <v>0.93599999999999994</v>
      </c>
      <c r="P218" s="7">
        <v>0.9</v>
      </c>
      <c r="Q218" s="7">
        <v>80</v>
      </c>
      <c r="R218" s="113">
        <v>11</v>
      </c>
      <c r="S218" s="258" t="s">
        <v>1390</v>
      </c>
      <c r="T218" s="10">
        <f t="shared" si="5"/>
        <v>1</v>
      </c>
      <c r="U218" s="260" t="s">
        <v>1391</v>
      </c>
      <c r="V218">
        <v>6932000</v>
      </c>
      <c r="X218" s="157" t="s">
        <v>2075</v>
      </c>
      <c r="Y218" t="b">
        <v>1</v>
      </c>
    </row>
    <row r="219" spans="2:25">
      <c r="B219" s="1" t="str">
        <f t="shared" si="4"/>
        <v>M_AEB0402_VM_KF_MACH_6.7_5000</v>
      </c>
      <c r="C219" s="7" t="s">
        <v>2072</v>
      </c>
      <c r="D219" s="7" t="str" cm="1">
        <f t="array" ref="D219">INDEX(기계코드!$D$4:$D$1022,MATCH(1,(C219=기계코드!$F$4:$F$1022)*1,0))</f>
        <v>M_AEB0402</v>
      </c>
      <c r="E219" s="7" t="s">
        <v>2073</v>
      </c>
      <c r="F219" s="7" t="str" cm="1">
        <f t="array" ref="F219">INDEX(공급업체코드!$B$3:$B$1000,MATCH(1,(E219=공급업체코드!$D$3:$D$1000)*1,0))</f>
        <v>VM_KF_MACH</v>
      </c>
      <c r="G219" s="158" t="s">
        <v>2082</v>
      </c>
      <c r="I219" s="166">
        <v>6.7</v>
      </c>
      <c r="J219" s="160">
        <v>5000</v>
      </c>
      <c r="K219" s="159">
        <v>125</v>
      </c>
      <c r="L219" s="165">
        <v>10.703999999999999</v>
      </c>
      <c r="M219" s="7" t="s">
        <v>984</v>
      </c>
      <c r="N219" s="7">
        <v>380</v>
      </c>
      <c r="O219" s="151">
        <v>0.92400000000000004</v>
      </c>
      <c r="P219" s="7">
        <v>0.9</v>
      </c>
      <c r="Q219" s="7">
        <v>80</v>
      </c>
      <c r="R219" s="113">
        <v>11</v>
      </c>
      <c r="S219" s="258" t="s">
        <v>1390</v>
      </c>
      <c r="T219" s="10">
        <f t="shared" si="5"/>
        <v>1</v>
      </c>
      <c r="U219" s="260" t="s">
        <v>1391</v>
      </c>
      <c r="V219">
        <v>8695000</v>
      </c>
      <c r="X219" s="157" t="s">
        <v>2075</v>
      </c>
      <c r="Y219" t="b">
        <v>1</v>
      </c>
    </row>
    <row r="220" spans="2:25">
      <c r="B220" s="1" t="str">
        <f t="shared" si="4"/>
        <v>M_AEB0402_VM_KF_MACH_9.19_5000</v>
      </c>
      <c r="C220" s="7" t="s">
        <v>2072</v>
      </c>
      <c r="D220" s="7" t="str" cm="1">
        <f t="array" ref="D220">INDEX(기계코드!$D$4:$D$1022,MATCH(1,(C220=기계코드!$F$4:$F$1022)*1,0))</f>
        <v>M_AEB0402</v>
      </c>
      <c r="E220" s="7" t="s">
        <v>2073</v>
      </c>
      <c r="F220" s="7" t="str" cm="1">
        <f t="array" ref="F220">INDEX(공급업체코드!$B$3:$B$1000,MATCH(1,(E220=공급업체코드!$D$3:$D$1000)*1,0))</f>
        <v>VM_KF_MACH</v>
      </c>
      <c r="G220" s="158" t="s">
        <v>2082</v>
      </c>
      <c r="I220" s="166">
        <v>9.19</v>
      </c>
      <c r="J220" s="160">
        <v>5000</v>
      </c>
      <c r="K220" s="159">
        <v>125</v>
      </c>
      <c r="L220" s="165">
        <v>13.956000000000001</v>
      </c>
      <c r="M220" s="7" t="s">
        <v>984</v>
      </c>
      <c r="N220" s="7">
        <v>380</v>
      </c>
      <c r="O220" s="151">
        <v>0.93</v>
      </c>
      <c r="P220" s="7">
        <v>0.9</v>
      </c>
      <c r="Q220" s="7">
        <v>80</v>
      </c>
      <c r="R220" s="113">
        <v>11</v>
      </c>
      <c r="S220" s="258" t="s">
        <v>1390</v>
      </c>
      <c r="T220" s="10">
        <f t="shared" si="5"/>
        <v>1</v>
      </c>
      <c r="U220" s="260" t="s">
        <v>1391</v>
      </c>
      <c r="V220">
        <v>8695000</v>
      </c>
      <c r="X220" s="157" t="s">
        <v>2075</v>
      </c>
      <c r="Y220" t="b">
        <v>1</v>
      </c>
    </row>
    <row r="221" spans="2:25">
      <c r="B221" s="1" t="str">
        <f t="shared" si="4"/>
        <v>M_AEB0402_VM_KF_MACH_11.57_5000</v>
      </c>
      <c r="C221" s="7" t="s">
        <v>2072</v>
      </c>
      <c r="D221" s="7" t="str" cm="1">
        <f t="array" ref="D221">INDEX(기계코드!$D$4:$D$1022,MATCH(1,(C221=기계코드!$F$4:$F$1022)*1,0))</f>
        <v>M_AEB0402</v>
      </c>
      <c r="E221" s="7" t="s">
        <v>2073</v>
      </c>
      <c r="F221" s="7" t="str" cm="1">
        <f t="array" ref="F221">INDEX(공급업체코드!$B$3:$B$1000,MATCH(1,(E221=공급업체코드!$D$3:$D$1000)*1,0))</f>
        <v>VM_KF_MACH</v>
      </c>
      <c r="G221" s="158" t="s">
        <v>2082</v>
      </c>
      <c r="I221" s="166">
        <v>11.57</v>
      </c>
      <c r="J221" s="160">
        <v>5000</v>
      </c>
      <c r="K221" s="159">
        <v>125</v>
      </c>
      <c r="L221" s="165">
        <v>16.776</v>
      </c>
      <c r="M221" s="7" t="s">
        <v>984</v>
      </c>
      <c r="N221" s="7">
        <v>380</v>
      </c>
      <c r="O221" s="151">
        <v>0.93599999999999994</v>
      </c>
      <c r="P221" s="7">
        <v>0.9</v>
      </c>
      <c r="Q221" s="7">
        <v>80</v>
      </c>
      <c r="R221" s="113">
        <v>11</v>
      </c>
      <c r="S221" s="258" t="s">
        <v>1390</v>
      </c>
      <c r="T221" s="10">
        <f t="shared" si="5"/>
        <v>1</v>
      </c>
      <c r="U221" s="260" t="s">
        <v>1391</v>
      </c>
      <c r="V221">
        <v>8695000</v>
      </c>
      <c r="X221" s="157" t="s">
        <v>2075</v>
      </c>
      <c r="Y221" t="b">
        <v>1</v>
      </c>
    </row>
    <row r="222" spans="2:25">
      <c r="B222" s="1" t="str">
        <f t="shared" si="4"/>
        <v>M_AEB0402_VM_KF_MACH_13.62_5000</v>
      </c>
      <c r="C222" s="7" t="s">
        <v>2072</v>
      </c>
      <c r="D222" s="7" t="str" cm="1">
        <f t="array" ref="D222">INDEX(기계코드!$D$4:$D$1022,MATCH(1,(C222=기계코드!$F$4:$F$1022)*1,0))</f>
        <v>M_AEB0402</v>
      </c>
      <c r="E222" s="7" t="s">
        <v>2073</v>
      </c>
      <c r="F222" s="7" t="str" cm="1">
        <f t="array" ref="F222">INDEX(공급업체코드!$B$3:$B$1000,MATCH(1,(E222=공급업체코드!$D$3:$D$1000)*1,0))</f>
        <v>VM_KF_MACH</v>
      </c>
      <c r="G222" s="158" t="s">
        <v>2082</v>
      </c>
      <c r="I222" s="166">
        <v>13.62</v>
      </c>
      <c r="J222" s="160">
        <v>5000</v>
      </c>
      <c r="K222" s="159">
        <v>125</v>
      </c>
      <c r="L222" s="165">
        <v>19.056000000000001</v>
      </c>
      <c r="M222" s="7" t="s">
        <v>984</v>
      </c>
      <c r="N222" s="7">
        <v>380</v>
      </c>
      <c r="O222" s="151">
        <v>0.93599999999999994</v>
      </c>
      <c r="P222" s="7">
        <v>0.9</v>
      </c>
      <c r="Q222" s="7">
        <v>80</v>
      </c>
      <c r="R222" s="113">
        <v>11</v>
      </c>
      <c r="S222" s="258" t="s">
        <v>1390</v>
      </c>
      <c r="T222" s="10">
        <f t="shared" si="5"/>
        <v>1</v>
      </c>
      <c r="U222" s="260" t="s">
        <v>1391</v>
      </c>
      <c r="V222">
        <v>8695000</v>
      </c>
      <c r="X222" s="157" t="s">
        <v>2075</v>
      </c>
      <c r="Y222" t="b">
        <v>1</v>
      </c>
    </row>
    <row r="223" spans="2:25">
      <c r="B223" s="1" t="str">
        <f t="shared" si="4"/>
        <v>M_AEB0402_VM_KF_MACH_6.4_6000</v>
      </c>
      <c r="C223" s="7" t="s">
        <v>2072</v>
      </c>
      <c r="D223" s="7" t="str" cm="1">
        <f t="array" ref="D223">INDEX(기계코드!$D$4:$D$1022,MATCH(1,(C223=기계코드!$F$4:$F$1022)*1,0))</f>
        <v>M_AEB0402</v>
      </c>
      <c r="E223" s="7" t="s">
        <v>2073</v>
      </c>
      <c r="F223" s="7" t="str" cm="1">
        <f t="array" ref="F223">INDEX(공급업체코드!$B$3:$B$1000,MATCH(1,(E223=공급업체코드!$D$3:$D$1000)*1,0))</f>
        <v>VM_KF_MACH</v>
      </c>
      <c r="G223" s="158" t="s">
        <v>2082</v>
      </c>
      <c r="I223" s="166">
        <v>6.4</v>
      </c>
      <c r="J223" s="160">
        <v>6000</v>
      </c>
      <c r="K223" s="159">
        <v>125</v>
      </c>
      <c r="L223" s="165">
        <v>12.6</v>
      </c>
      <c r="M223" s="7" t="s">
        <v>984</v>
      </c>
      <c r="N223" s="7">
        <v>380</v>
      </c>
      <c r="O223" s="151">
        <v>0.93</v>
      </c>
      <c r="P223" s="7">
        <v>0.9</v>
      </c>
      <c r="Q223" s="7">
        <v>80</v>
      </c>
      <c r="R223" s="113">
        <v>11</v>
      </c>
      <c r="S223" s="258" t="s">
        <v>1390</v>
      </c>
      <c r="T223" s="10">
        <f t="shared" si="5"/>
        <v>1</v>
      </c>
      <c r="U223" s="260" t="s">
        <v>1391</v>
      </c>
      <c r="V223">
        <v>8695000</v>
      </c>
      <c r="X223" s="157" t="s">
        <v>2075</v>
      </c>
      <c r="Y223" t="b">
        <v>1</v>
      </c>
    </row>
    <row r="224" spans="2:25">
      <c r="B224" s="1" t="str">
        <f t="shared" si="4"/>
        <v>M_AEB0402_VM_KF_MACH_8.94_6000</v>
      </c>
      <c r="C224" s="7" t="s">
        <v>2072</v>
      </c>
      <c r="D224" s="7" t="str" cm="1">
        <f t="array" ref="D224">INDEX(기계코드!$D$4:$D$1022,MATCH(1,(C224=기계코드!$F$4:$F$1022)*1,0))</f>
        <v>M_AEB0402</v>
      </c>
      <c r="E224" s="7" t="s">
        <v>2073</v>
      </c>
      <c r="F224" s="7" t="str" cm="1">
        <f t="array" ref="F224">INDEX(공급업체코드!$B$3:$B$1000,MATCH(1,(E224=공급업체코드!$D$3:$D$1000)*1,0))</f>
        <v>VM_KF_MACH</v>
      </c>
      <c r="G224" s="158" t="s">
        <v>2082</v>
      </c>
      <c r="I224" s="166">
        <v>8.94</v>
      </c>
      <c r="J224" s="160">
        <v>6000</v>
      </c>
      <c r="K224" s="159">
        <v>125</v>
      </c>
      <c r="L224" s="165">
        <v>16.751999999999999</v>
      </c>
      <c r="M224" s="7" t="s">
        <v>984</v>
      </c>
      <c r="N224" s="7">
        <v>380</v>
      </c>
      <c r="O224" s="151">
        <v>0.93599999999999994</v>
      </c>
      <c r="P224" s="7">
        <v>0.9</v>
      </c>
      <c r="Q224" s="7">
        <v>80</v>
      </c>
      <c r="R224" s="113">
        <v>11</v>
      </c>
      <c r="S224" s="258" t="s">
        <v>1390</v>
      </c>
      <c r="T224" s="10">
        <f t="shared" si="5"/>
        <v>1</v>
      </c>
      <c r="U224" s="260" t="s">
        <v>1391</v>
      </c>
      <c r="V224">
        <v>8695000</v>
      </c>
      <c r="X224" s="157" t="s">
        <v>2075</v>
      </c>
      <c r="Y224" t="b">
        <v>1</v>
      </c>
    </row>
    <row r="225" spans="2:25">
      <c r="B225" s="1" t="str">
        <f t="shared" si="4"/>
        <v>M_AEB0402_VM_KF_MACH_11.32_6000</v>
      </c>
      <c r="C225" s="7" t="s">
        <v>2072</v>
      </c>
      <c r="D225" s="7" t="str" cm="1">
        <f t="array" ref="D225">INDEX(기계코드!$D$4:$D$1022,MATCH(1,(C225=기계코드!$F$4:$F$1022)*1,0))</f>
        <v>M_AEB0402</v>
      </c>
      <c r="E225" s="7" t="s">
        <v>2073</v>
      </c>
      <c r="F225" s="7" t="str" cm="1">
        <f t="array" ref="F225">INDEX(공급업체코드!$B$3:$B$1000,MATCH(1,(E225=공급업체코드!$D$3:$D$1000)*1,0))</f>
        <v>VM_KF_MACH</v>
      </c>
      <c r="G225" s="158" t="s">
        <v>2082</v>
      </c>
      <c r="I225" s="166">
        <v>11.32</v>
      </c>
      <c r="J225" s="160">
        <v>6000</v>
      </c>
      <c r="K225" s="159">
        <v>125</v>
      </c>
      <c r="L225" s="165">
        <v>19.956</v>
      </c>
      <c r="M225" s="7" t="s">
        <v>984</v>
      </c>
      <c r="N225" s="7">
        <v>380</v>
      </c>
      <c r="O225" s="151">
        <v>0.93599999999999994</v>
      </c>
      <c r="P225" s="7">
        <v>0.9</v>
      </c>
      <c r="Q225" s="7">
        <v>80</v>
      </c>
      <c r="R225" s="113">
        <v>11</v>
      </c>
      <c r="S225" s="258" t="s">
        <v>1390</v>
      </c>
      <c r="T225" s="10">
        <f t="shared" si="5"/>
        <v>1</v>
      </c>
      <c r="U225" s="260" t="s">
        <v>1391</v>
      </c>
      <c r="V225">
        <v>8695000</v>
      </c>
      <c r="X225" s="157" t="s">
        <v>2075</v>
      </c>
      <c r="Y225" t="b">
        <v>1</v>
      </c>
    </row>
    <row r="226" spans="2:25">
      <c r="B226" s="1" t="str">
        <f t="shared" si="4"/>
        <v>M_AEB0402_VM_KF_MACH_13.39_6000</v>
      </c>
      <c r="C226" s="7" t="s">
        <v>2072</v>
      </c>
      <c r="D226" s="7" t="str" cm="1">
        <f t="array" ref="D226">INDEX(기계코드!$D$4:$D$1022,MATCH(1,(C226=기계코드!$F$4:$F$1022)*1,0))</f>
        <v>M_AEB0402</v>
      </c>
      <c r="E226" s="7" t="s">
        <v>2073</v>
      </c>
      <c r="F226" s="7" t="str" cm="1">
        <f t="array" ref="F226">INDEX(공급업체코드!$B$3:$B$1000,MATCH(1,(E226=공급업체코드!$D$3:$D$1000)*1,0))</f>
        <v>VM_KF_MACH</v>
      </c>
      <c r="G226" s="158" t="s">
        <v>2082</v>
      </c>
      <c r="I226" s="166">
        <v>13.39</v>
      </c>
      <c r="J226" s="160">
        <v>6000</v>
      </c>
      <c r="K226" s="159">
        <v>125</v>
      </c>
      <c r="L226" s="165">
        <v>22.715999999999998</v>
      </c>
      <c r="M226" s="7" t="s">
        <v>984</v>
      </c>
      <c r="N226" s="7">
        <v>380</v>
      </c>
      <c r="O226" s="151">
        <v>0.94099999999999995</v>
      </c>
      <c r="P226" s="7">
        <v>0.9</v>
      </c>
      <c r="Q226" s="7">
        <v>80</v>
      </c>
      <c r="R226" s="113">
        <v>11</v>
      </c>
      <c r="S226" s="258" t="s">
        <v>1390</v>
      </c>
      <c r="T226" s="10">
        <f t="shared" si="5"/>
        <v>1</v>
      </c>
      <c r="U226" s="260" t="s">
        <v>1391</v>
      </c>
      <c r="V226">
        <v>8695000</v>
      </c>
      <c r="X226" s="157" t="s">
        <v>2075</v>
      </c>
      <c r="Y226" t="b">
        <v>1</v>
      </c>
    </row>
    <row r="227" spans="2:25">
      <c r="B227" s="1" t="str">
        <f t="shared" si="4"/>
        <v>M_AEB0402_VM_KF_MACH_11.22_4000</v>
      </c>
      <c r="C227" s="7" t="s">
        <v>2072</v>
      </c>
      <c r="D227" s="7" t="str" cm="1">
        <f t="array" ref="D227">INDEX(기계코드!$D$4:$D$1022,MATCH(1,(C227=기계코드!$F$4:$F$1022)*1,0))</f>
        <v>M_AEB0402</v>
      </c>
      <c r="E227" s="7" t="s">
        <v>2073</v>
      </c>
      <c r="F227" s="7" t="str" cm="1">
        <f t="array" ref="F227">INDEX(공급업체코드!$B$3:$B$1000,MATCH(1,(E227=공급업체코드!$D$3:$D$1000)*1,0))</f>
        <v>VM_KF_MACH</v>
      </c>
      <c r="G227" s="158" t="s">
        <v>2083</v>
      </c>
      <c r="I227" s="166">
        <v>11.22</v>
      </c>
      <c r="J227" s="160">
        <v>4000</v>
      </c>
      <c r="K227" s="159">
        <v>125</v>
      </c>
      <c r="L227" s="165">
        <v>13.223999999999998</v>
      </c>
      <c r="M227" s="7" t="s">
        <v>984</v>
      </c>
      <c r="N227" s="7">
        <v>380</v>
      </c>
      <c r="O227" s="151">
        <v>0.93</v>
      </c>
      <c r="P227" s="7">
        <v>0.9</v>
      </c>
      <c r="Q227" s="7">
        <v>80</v>
      </c>
      <c r="R227" s="113">
        <v>11</v>
      </c>
      <c r="S227" s="258" t="s">
        <v>1390</v>
      </c>
      <c r="T227" s="10">
        <f t="shared" si="5"/>
        <v>1</v>
      </c>
      <c r="U227" s="260" t="s">
        <v>1391</v>
      </c>
      <c r="V227">
        <v>8695000</v>
      </c>
      <c r="X227" s="157" t="s">
        <v>2075</v>
      </c>
      <c r="Y227" t="b">
        <v>1</v>
      </c>
    </row>
    <row r="228" spans="2:25">
      <c r="B228" s="1" t="str">
        <f t="shared" si="4"/>
        <v>M_AEB0402_VM_KF_MACH_15.21_4000</v>
      </c>
      <c r="C228" s="7" t="s">
        <v>2072</v>
      </c>
      <c r="D228" s="7" t="str" cm="1">
        <f t="array" ref="D228">INDEX(기계코드!$D$4:$D$1022,MATCH(1,(C228=기계코드!$F$4:$F$1022)*1,0))</f>
        <v>M_AEB0402</v>
      </c>
      <c r="E228" s="7" t="s">
        <v>2073</v>
      </c>
      <c r="F228" s="7" t="str" cm="1">
        <f t="array" ref="F228">INDEX(공급업체코드!$B$3:$B$1000,MATCH(1,(E228=공급업체코드!$D$3:$D$1000)*1,0))</f>
        <v>VM_KF_MACH</v>
      </c>
      <c r="G228" s="158" t="s">
        <v>2083</v>
      </c>
      <c r="I228" s="166">
        <v>15.21</v>
      </c>
      <c r="J228" s="160">
        <v>4000</v>
      </c>
      <c r="K228" s="159">
        <v>125</v>
      </c>
      <c r="L228" s="165">
        <v>16.776</v>
      </c>
      <c r="M228" s="7" t="s">
        <v>984</v>
      </c>
      <c r="N228" s="7">
        <v>380</v>
      </c>
      <c r="O228" s="151">
        <v>0.93599999999999994</v>
      </c>
      <c r="P228" s="7">
        <v>0.9</v>
      </c>
      <c r="Q228" s="7">
        <v>80</v>
      </c>
      <c r="R228" s="113">
        <v>11</v>
      </c>
      <c r="S228" s="258" t="s">
        <v>1390</v>
      </c>
      <c r="T228" s="10">
        <f t="shared" si="5"/>
        <v>1</v>
      </c>
      <c r="U228" s="260" t="s">
        <v>1391</v>
      </c>
      <c r="V228">
        <v>8695000</v>
      </c>
      <c r="X228" s="157" t="s">
        <v>2075</v>
      </c>
      <c r="Y228" t="b">
        <v>1</v>
      </c>
    </row>
    <row r="229" spans="2:25">
      <c r="B229" s="1" t="str">
        <f t="shared" si="4"/>
        <v>M_AEB0402_VM_KF_MACH_19_4000</v>
      </c>
      <c r="C229" s="7" t="s">
        <v>2072</v>
      </c>
      <c r="D229" s="7" t="str" cm="1">
        <f t="array" ref="D229">INDEX(기계코드!$D$4:$D$1022,MATCH(1,(C229=기계코드!$F$4:$F$1022)*1,0))</f>
        <v>M_AEB0402</v>
      </c>
      <c r="E229" s="7" t="s">
        <v>2073</v>
      </c>
      <c r="F229" s="7" t="str" cm="1">
        <f t="array" ref="F229">INDEX(공급업체코드!$B$3:$B$1000,MATCH(1,(E229=공급업체코드!$D$3:$D$1000)*1,0))</f>
        <v>VM_KF_MACH</v>
      </c>
      <c r="G229" s="158" t="s">
        <v>2083</v>
      </c>
      <c r="I229" s="166">
        <v>19</v>
      </c>
      <c r="J229" s="160">
        <v>4000</v>
      </c>
      <c r="K229" s="159">
        <v>125</v>
      </c>
      <c r="L229" s="165">
        <v>20.004000000000001</v>
      </c>
      <c r="M229" s="7" t="s">
        <v>984</v>
      </c>
      <c r="N229" s="7">
        <v>380</v>
      </c>
      <c r="O229" s="151">
        <v>0.93599999999999994</v>
      </c>
      <c r="P229" s="7">
        <v>0.9</v>
      </c>
      <c r="Q229" s="7">
        <v>80</v>
      </c>
      <c r="R229" s="113">
        <v>11</v>
      </c>
      <c r="S229" s="258" t="s">
        <v>1390</v>
      </c>
      <c r="T229" s="10">
        <f t="shared" si="5"/>
        <v>1</v>
      </c>
      <c r="U229" s="260" t="s">
        <v>1391</v>
      </c>
      <c r="V229">
        <v>8695000</v>
      </c>
      <c r="X229" s="157" t="s">
        <v>2075</v>
      </c>
      <c r="Y229" t="b">
        <v>1</v>
      </c>
    </row>
    <row r="230" spans="2:25">
      <c r="B230" s="1" t="str">
        <f t="shared" si="4"/>
        <v>M_AEB0402_VM_KF_MACH_22.02_4000</v>
      </c>
      <c r="C230" s="7" t="s">
        <v>2072</v>
      </c>
      <c r="D230" s="7" t="str" cm="1">
        <f t="array" ref="D230">INDEX(기계코드!$D$4:$D$1022,MATCH(1,(C230=기계코드!$F$4:$F$1022)*1,0))</f>
        <v>M_AEB0402</v>
      </c>
      <c r="E230" s="7" t="s">
        <v>2073</v>
      </c>
      <c r="F230" s="7" t="str" cm="1">
        <f t="array" ref="F230">INDEX(공급업체코드!$B$3:$B$1000,MATCH(1,(E230=공급업체코드!$D$3:$D$1000)*1,0))</f>
        <v>VM_KF_MACH</v>
      </c>
      <c r="G230" s="158" t="s">
        <v>2083</v>
      </c>
      <c r="I230" s="166">
        <v>22.02</v>
      </c>
      <c r="J230" s="160">
        <v>4000</v>
      </c>
      <c r="K230" s="159">
        <v>125</v>
      </c>
      <c r="L230" s="165">
        <v>22.62</v>
      </c>
      <c r="M230" s="7" t="s">
        <v>984</v>
      </c>
      <c r="N230" s="7">
        <v>380</v>
      </c>
      <c r="O230" s="151">
        <v>0.94099999999999995</v>
      </c>
      <c r="P230" s="7">
        <v>0.9</v>
      </c>
      <c r="Q230" s="7">
        <v>80</v>
      </c>
      <c r="R230" s="113">
        <v>11</v>
      </c>
      <c r="S230" s="258" t="s">
        <v>1390</v>
      </c>
      <c r="T230" s="10">
        <f t="shared" si="5"/>
        <v>1</v>
      </c>
      <c r="U230" s="260" t="s">
        <v>1391</v>
      </c>
      <c r="V230">
        <v>8695000</v>
      </c>
      <c r="X230" s="157" t="s">
        <v>2075</v>
      </c>
      <c r="Y230" t="b">
        <v>1</v>
      </c>
    </row>
    <row r="231" spans="2:25">
      <c r="B231" s="1" t="str">
        <f t="shared" si="4"/>
        <v>M_AEB0402_VM_KF_MACH_10.83_5000</v>
      </c>
      <c r="C231" s="7" t="s">
        <v>2072</v>
      </c>
      <c r="D231" s="7" t="str" cm="1">
        <f t="array" ref="D231">INDEX(기계코드!$D$4:$D$1022,MATCH(1,(C231=기계코드!$F$4:$F$1022)*1,0))</f>
        <v>M_AEB0402</v>
      </c>
      <c r="E231" s="7" t="s">
        <v>2073</v>
      </c>
      <c r="F231" s="7" t="str" cm="1">
        <f t="array" ref="F231">INDEX(공급업체코드!$B$3:$B$1000,MATCH(1,(E231=공급업체코드!$D$3:$D$1000)*1,0))</f>
        <v>VM_KF_MACH</v>
      </c>
      <c r="G231" s="158" t="s">
        <v>2083</v>
      </c>
      <c r="I231" s="166">
        <v>10.83</v>
      </c>
      <c r="J231" s="160">
        <v>5000</v>
      </c>
      <c r="K231" s="159">
        <v>125</v>
      </c>
      <c r="L231" s="165">
        <v>16.079999999999998</v>
      </c>
      <c r="M231" s="7" t="s">
        <v>984</v>
      </c>
      <c r="N231" s="7">
        <v>380</v>
      </c>
      <c r="O231" s="151">
        <v>0.93599999999999994</v>
      </c>
      <c r="P231" s="7">
        <v>0.9</v>
      </c>
      <c r="Q231" s="7">
        <v>80</v>
      </c>
      <c r="R231" s="113">
        <v>11</v>
      </c>
      <c r="S231" s="258" t="s">
        <v>1390</v>
      </c>
      <c r="T231" s="10">
        <f t="shared" si="5"/>
        <v>1</v>
      </c>
      <c r="U231" s="260" t="s">
        <v>1391</v>
      </c>
      <c r="V231">
        <v>8695000</v>
      </c>
      <c r="X231" s="157" t="s">
        <v>2075</v>
      </c>
      <c r="Y231" t="b">
        <v>1</v>
      </c>
    </row>
    <row r="232" spans="2:25">
      <c r="B232" s="1" t="str">
        <f t="shared" si="4"/>
        <v>M_AEB0402_VM_KF_MACH_14.7_5000</v>
      </c>
      <c r="C232" s="7" t="s">
        <v>2072</v>
      </c>
      <c r="D232" s="7" t="str" cm="1">
        <f t="array" ref="D232">INDEX(기계코드!$D$4:$D$1022,MATCH(1,(C232=기계코드!$F$4:$F$1022)*1,0))</f>
        <v>M_AEB0402</v>
      </c>
      <c r="E232" s="7" t="s">
        <v>2073</v>
      </c>
      <c r="F232" s="7" t="str" cm="1">
        <f t="array" ref="F232">INDEX(공급업체코드!$B$3:$B$1000,MATCH(1,(E232=공급업체코드!$D$3:$D$1000)*1,0))</f>
        <v>VM_KF_MACH</v>
      </c>
      <c r="G232" s="158" t="s">
        <v>2083</v>
      </c>
      <c r="I232" s="166">
        <v>14.7</v>
      </c>
      <c r="J232" s="160">
        <v>5000</v>
      </c>
      <c r="K232" s="159">
        <v>125</v>
      </c>
      <c r="L232" s="165">
        <v>20.532</v>
      </c>
      <c r="M232" s="7" t="s">
        <v>984</v>
      </c>
      <c r="N232" s="7">
        <v>380</v>
      </c>
      <c r="O232" s="151">
        <v>0.93599999999999994</v>
      </c>
      <c r="P232" s="7">
        <v>0.9</v>
      </c>
      <c r="Q232" s="7">
        <v>80</v>
      </c>
      <c r="R232" s="113">
        <v>11</v>
      </c>
      <c r="S232" s="258" t="s">
        <v>1390</v>
      </c>
      <c r="T232" s="10">
        <f t="shared" si="5"/>
        <v>1</v>
      </c>
      <c r="U232" s="260" t="s">
        <v>1391</v>
      </c>
      <c r="V232">
        <v>8695000</v>
      </c>
      <c r="X232" s="157" t="s">
        <v>2075</v>
      </c>
      <c r="Y232" t="b">
        <v>1</v>
      </c>
    </row>
    <row r="233" spans="2:25">
      <c r="B233" s="1" t="str">
        <f t="shared" si="4"/>
        <v>M_AEB0402_VM_KF_MACH_18.5_5000</v>
      </c>
      <c r="C233" s="7" t="s">
        <v>2072</v>
      </c>
      <c r="D233" s="7" t="str" cm="1">
        <f t="array" ref="D233">INDEX(기계코드!$D$4:$D$1022,MATCH(1,(C233=기계코드!$F$4:$F$1022)*1,0))</f>
        <v>M_AEB0402</v>
      </c>
      <c r="E233" s="7" t="s">
        <v>2073</v>
      </c>
      <c r="F233" s="7" t="str" cm="1">
        <f t="array" ref="F233">INDEX(공급업체코드!$B$3:$B$1000,MATCH(1,(E233=공급업체코드!$D$3:$D$1000)*1,0))</f>
        <v>VM_KF_MACH</v>
      </c>
      <c r="G233" s="158" t="s">
        <v>2083</v>
      </c>
      <c r="I233" s="166">
        <v>18.5</v>
      </c>
      <c r="J233" s="160">
        <v>5000</v>
      </c>
      <c r="K233" s="159">
        <v>125</v>
      </c>
      <c r="L233" s="165">
        <v>24.684000000000001</v>
      </c>
      <c r="M233" s="7" t="s">
        <v>984</v>
      </c>
      <c r="N233" s="7">
        <v>380</v>
      </c>
      <c r="O233" s="151">
        <v>0.94099999999999995</v>
      </c>
      <c r="P233" s="7">
        <v>0.9</v>
      </c>
      <c r="Q233" s="7">
        <v>80</v>
      </c>
      <c r="R233" s="113">
        <v>11</v>
      </c>
      <c r="S233" s="258" t="s">
        <v>1390</v>
      </c>
      <c r="T233" s="10">
        <f t="shared" si="5"/>
        <v>1</v>
      </c>
      <c r="U233" s="260" t="s">
        <v>1391</v>
      </c>
      <c r="V233">
        <v>8695000</v>
      </c>
      <c r="X233" s="157" t="s">
        <v>2075</v>
      </c>
      <c r="Y233" t="b">
        <v>1</v>
      </c>
    </row>
    <row r="234" spans="2:25">
      <c r="B234" s="1" t="str">
        <f t="shared" si="4"/>
        <v>M_AEB0402_VM_KF_MACH_21.55_5000</v>
      </c>
      <c r="C234" s="7" t="s">
        <v>2072</v>
      </c>
      <c r="D234" s="7" t="str" cm="1">
        <f t="array" ref="D234">INDEX(기계코드!$D$4:$D$1022,MATCH(1,(C234=기계코드!$F$4:$F$1022)*1,0))</f>
        <v>M_AEB0402</v>
      </c>
      <c r="E234" s="7" t="s">
        <v>2073</v>
      </c>
      <c r="F234" s="7" t="str" cm="1">
        <f t="array" ref="F234">INDEX(공급업체코드!$B$3:$B$1000,MATCH(1,(E234=공급업체코드!$D$3:$D$1000)*1,0))</f>
        <v>VM_KF_MACH</v>
      </c>
      <c r="G234" s="158" t="s">
        <v>2083</v>
      </c>
      <c r="I234" s="166">
        <v>21.55</v>
      </c>
      <c r="J234" s="160">
        <v>5000</v>
      </c>
      <c r="K234" s="159">
        <v>125</v>
      </c>
      <c r="L234" s="165">
        <v>28.044</v>
      </c>
      <c r="M234" s="7" t="s">
        <v>984</v>
      </c>
      <c r="N234" s="7">
        <v>380</v>
      </c>
      <c r="O234" s="151">
        <v>0.94099999999999995</v>
      </c>
      <c r="P234" s="7">
        <v>0.9</v>
      </c>
      <c r="Q234" s="7">
        <v>80</v>
      </c>
      <c r="R234" s="113">
        <v>11</v>
      </c>
      <c r="S234" s="258" t="s">
        <v>1390</v>
      </c>
      <c r="T234" s="10">
        <f t="shared" si="5"/>
        <v>1</v>
      </c>
      <c r="U234" s="260" t="s">
        <v>1391</v>
      </c>
      <c r="V234">
        <v>8695000</v>
      </c>
      <c r="X234" s="157" t="s">
        <v>2075</v>
      </c>
      <c r="Y234" t="b">
        <v>1</v>
      </c>
    </row>
    <row r="235" spans="2:25">
      <c r="B235" s="1" t="str">
        <f t="shared" si="4"/>
        <v>M_AEB0402_VM_KF_MACH_10.33_6000</v>
      </c>
      <c r="C235" s="7" t="s">
        <v>2072</v>
      </c>
      <c r="D235" s="7" t="str" cm="1">
        <f t="array" ref="D235">INDEX(기계코드!$D$4:$D$1022,MATCH(1,(C235=기계코드!$F$4:$F$1022)*1,0))</f>
        <v>M_AEB0402</v>
      </c>
      <c r="E235" s="7" t="s">
        <v>2073</v>
      </c>
      <c r="F235" s="7" t="str" cm="1">
        <f t="array" ref="F235">INDEX(공급업체코드!$B$3:$B$1000,MATCH(1,(E235=공급업체코드!$D$3:$D$1000)*1,0))</f>
        <v>VM_KF_MACH</v>
      </c>
      <c r="G235" s="158" t="s">
        <v>2083</v>
      </c>
      <c r="I235" s="166">
        <v>10.33</v>
      </c>
      <c r="J235" s="160">
        <v>6000</v>
      </c>
      <c r="K235" s="159">
        <v>125</v>
      </c>
      <c r="L235" s="165">
        <v>18.923999999999999</v>
      </c>
      <c r="M235" s="7" t="s">
        <v>984</v>
      </c>
      <c r="N235" s="7">
        <v>380</v>
      </c>
      <c r="O235" s="151">
        <v>0.93599999999999994</v>
      </c>
      <c r="P235" s="7">
        <v>0.9</v>
      </c>
      <c r="Q235" s="7">
        <v>80</v>
      </c>
      <c r="R235" s="113">
        <v>11</v>
      </c>
      <c r="S235" s="258" t="s">
        <v>1390</v>
      </c>
      <c r="T235" s="10">
        <f t="shared" si="5"/>
        <v>1</v>
      </c>
      <c r="U235" s="260" t="s">
        <v>1391</v>
      </c>
      <c r="V235">
        <v>8695000</v>
      </c>
      <c r="X235" s="157" t="s">
        <v>2075</v>
      </c>
      <c r="Y235" t="b">
        <v>1</v>
      </c>
    </row>
    <row r="236" spans="2:25">
      <c r="B236" s="1" t="str">
        <f t="shared" si="4"/>
        <v>M_AEB0402_VM_KF_MACH_14.29_6000</v>
      </c>
      <c r="C236" s="7" t="s">
        <v>2072</v>
      </c>
      <c r="D236" s="7" t="str" cm="1">
        <f t="array" ref="D236">INDEX(기계코드!$D$4:$D$1022,MATCH(1,(C236=기계코드!$F$4:$F$1022)*1,0))</f>
        <v>M_AEB0402</v>
      </c>
      <c r="E236" s="7" t="s">
        <v>2073</v>
      </c>
      <c r="F236" s="7" t="str" cm="1">
        <f t="array" ref="F236">INDEX(공급업체코드!$B$3:$B$1000,MATCH(1,(E236=공급업체코드!$D$3:$D$1000)*1,0))</f>
        <v>VM_KF_MACH</v>
      </c>
      <c r="G236" s="158" t="s">
        <v>2083</v>
      </c>
      <c r="I236" s="166">
        <v>14.29</v>
      </c>
      <c r="J236" s="160">
        <v>6000</v>
      </c>
      <c r="K236" s="159">
        <v>125</v>
      </c>
      <c r="L236" s="165">
        <v>24.635999999999999</v>
      </c>
      <c r="M236" s="7" t="s">
        <v>984</v>
      </c>
      <c r="N236" s="7">
        <v>380</v>
      </c>
      <c r="O236" s="151">
        <v>0.94099999999999995</v>
      </c>
      <c r="P236" s="7">
        <v>0.9</v>
      </c>
      <c r="Q236" s="7">
        <v>80</v>
      </c>
      <c r="R236" s="113">
        <v>11</v>
      </c>
      <c r="S236" s="258" t="s">
        <v>1390</v>
      </c>
      <c r="T236" s="10">
        <f t="shared" si="5"/>
        <v>1</v>
      </c>
      <c r="U236" s="260" t="s">
        <v>1391</v>
      </c>
      <c r="V236">
        <v>8695000</v>
      </c>
      <c r="X236" s="157" t="s">
        <v>2075</v>
      </c>
      <c r="Y236" t="b">
        <v>1</v>
      </c>
    </row>
    <row r="237" spans="2:25">
      <c r="B237" s="1" t="str">
        <f t="shared" si="4"/>
        <v>M_AEB0402_VM_KF_MACH_18.1_6000</v>
      </c>
      <c r="C237" s="7" t="s">
        <v>2072</v>
      </c>
      <c r="D237" s="7" t="str" cm="1">
        <f t="array" ref="D237">INDEX(기계코드!$D$4:$D$1022,MATCH(1,(C237=기계코드!$F$4:$F$1022)*1,0))</f>
        <v>M_AEB0402</v>
      </c>
      <c r="E237" s="7" t="s">
        <v>2073</v>
      </c>
      <c r="F237" s="7" t="str" cm="1">
        <f t="array" ref="F237">INDEX(공급업체코드!$B$3:$B$1000,MATCH(1,(E237=공급업체코드!$D$3:$D$1000)*1,0))</f>
        <v>VM_KF_MACH</v>
      </c>
      <c r="G237" s="158" t="s">
        <v>2083</v>
      </c>
      <c r="I237" s="166">
        <v>18.100000000000001</v>
      </c>
      <c r="J237" s="160">
        <v>6000</v>
      </c>
      <c r="K237" s="159">
        <v>125</v>
      </c>
      <c r="L237" s="165">
        <v>29.352</v>
      </c>
      <c r="M237" s="7" t="s">
        <v>984</v>
      </c>
      <c r="N237" s="7">
        <v>380</v>
      </c>
      <c r="O237" s="151">
        <v>0.94099999999999995</v>
      </c>
      <c r="P237" s="7">
        <v>0.9</v>
      </c>
      <c r="Q237" s="7">
        <v>80</v>
      </c>
      <c r="R237" s="113">
        <v>11</v>
      </c>
      <c r="S237" s="258" t="s">
        <v>1390</v>
      </c>
      <c r="T237" s="10">
        <f t="shared" si="5"/>
        <v>1</v>
      </c>
      <c r="U237" s="260" t="s">
        <v>1391</v>
      </c>
      <c r="V237">
        <v>8695000</v>
      </c>
      <c r="X237" s="157" t="s">
        <v>2075</v>
      </c>
      <c r="Y237" t="b">
        <v>1</v>
      </c>
    </row>
    <row r="238" spans="2:25">
      <c r="B238" s="1" t="str">
        <f t="shared" si="4"/>
        <v>M_AEB0402_VM_KF_MACH_21.18_6000</v>
      </c>
      <c r="C238" s="7" t="s">
        <v>2072</v>
      </c>
      <c r="D238" s="7" t="str" cm="1">
        <f t="array" ref="D238">INDEX(기계코드!$D$4:$D$1022,MATCH(1,(C238=기계코드!$F$4:$F$1022)*1,0))</f>
        <v>M_AEB0402</v>
      </c>
      <c r="E238" s="7" t="s">
        <v>2073</v>
      </c>
      <c r="F238" s="7" t="str" cm="1">
        <f t="array" ref="F238">INDEX(공급업체코드!$B$3:$B$1000,MATCH(1,(E238=공급업체코드!$D$3:$D$1000)*1,0))</f>
        <v>VM_KF_MACH</v>
      </c>
      <c r="G238" s="158" t="s">
        <v>2083</v>
      </c>
      <c r="I238" s="166">
        <v>21.18</v>
      </c>
      <c r="J238" s="160">
        <v>6000</v>
      </c>
      <c r="K238" s="159">
        <v>125</v>
      </c>
      <c r="L238" s="165">
        <v>33.515999999999998</v>
      </c>
      <c r="M238" s="7" t="s">
        <v>984</v>
      </c>
      <c r="N238" s="7">
        <v>380</v>
      </c>
      <c r="O238" s="151">
        <v>0.94499999999999995</v>
      </c>
      <c r="P238" s="7">
        <v>0.9</v>
      </c>
      <c r="Q238" s="7">
        <v>80</v>
      </c>
      <c r="R238" s="113">
        <v>11</v>
      </c>
      <c r="S238" s="258" t="s">
        <v>1390</v>
      </c>
      <c r="T238" s="10">
        <f t="shared" si="5"/>
        <v>1</v>
      </c>
      <c r="U238" s="260" t="s">
        <v>1391</v>
      </c>
      <c r="V238">
        <v>8695000</v>
      </c>
      <c r="X238" s="157" t="s">
        <v>2075</v>
      </c>
      <c r="Y238" t="b">
        <v>1</v>
      </c>
    </row>
    <row r="239" spans="2:25">
      <c r="B239" s="1" t="str">
        <f t="shared" si="4"/>
        <v>M_AEB0402_VM_KF_MACH_14.05_4000</v>
      </c>
      <c r="C239" s="7" t="s">
        <v>2072</v>
      </c>
      <c r="D239" s="7" t="str" cm="1">
        <f t="array" ref="D239">INDEX(기계코드!$D$4:$D$1022,MATCH(1,(C239=기계코드!$F$4:$F$1022)*1,0))</f>
        <v>M_AEB0402</v>
      </c>
      <c r="E239" s="7" t="s">
        <v>2073</v>
      </c>
      <c r="F239" s="7" t="str" cm="1">
        <f t="array" ref="F239">INDEX(공급업체코드!$B$3:$B$1000,MATCH(1,(E239=공급업체코드!$D$3:$D$1000)*1,0))</f>
        <v>VM_KF_MACH</v>
      </c>
      <c r="G239" s="158" t="s">
        <v>2084</v>
      </c>
      <c r="I239" s="166">
        <v>14.05</v>
      </c>
      <c r="J239" s="160">
        <v>4000</v>
      </c>
      <c r="K239" s="159">
        <v>150</v>
      </c>
      <c r="L239" s="165">
        <v>15.911999999999999</v>
      </c>
      <c r="M239" s="7" t="s">
        <v>984</v>
      </c>
      <c r="N239" s="7">
        <v>380</v>
      </c>
      <c r="O239" s="151">
        <v>0.93599999999999994</v>
      </c>
      <c r="P239" s="7">
        <v>0.9</v>
      </c>
      <c r="Q239" s="7">
        <v>80</v>
      </c>
      <c r="R239" s="113">
        <v>11</v>
      </c>
      <c r="S239" s="258" t="s">
        <v>1390</v>
      </c>
      <c r="T239" s="10">
        <f t="shared" si="5"/>
        <v>1</v>
      </c>
      <c r="U239" s="260" t="s">
        <v>1391</v>
      </c>
      <c r="V239">
        <v>9345000</v>
      </c>
      <c r="X239" s="157" t="s">
        <v>2075</v>
      </c>
      <c r="Y239" t="b">
        <v>1</v>
      </c>
    </row>
    <row r="240" spans="2:25">
      <c r="B240" s="1" t="str">
        <f t="shared" si="4"/>
        <v>M_AEB0402_VM_KF_MACH_18.58_4000</v>
      </c>
      <c r="C240" s="7" t="s">
        <v>2072</v>
      </c>
      <c r="D240" s="7" t="str" cm="1">
        <f t="array" ref="D240">INDEX(기계코드!$D$4:$D$1022,MATCH(1,(C240=기계코드!$F$4:$F$1022)*1,0))</f>
        <v>M_AEB0402</v>
      </c>
      <c r="E240" s="7" t="s">
        <v>2073</v>
      </c>
      <c r="F240" s="7" t="str" cm="1">
        <f t="array" ref="F240">INDEX(공급업체코드!$B$3:$B$1000,MATCH(1,(E240=공급업체코드!$D$3:$D$1000)*1,0))</f>
        <v>VM_KF_MACH</v>
      </c>
      <c r="G240" s="158" t="s">
        <v>2084</v>
      </c>
      <c r="I240" s="166">
        <v>18.579999999999998</v>
      </c>
      <c r="J240" s="160">
        <v>4000</v>
      </c>
      <c r="K240" s="159">
        <v>150</v>
      </c>
      <c r="L240" s="165">
        <v>20.291999999999998</v>
      </c>
      <c r="M240" s="7" t="s">
        <v>984</v>
      </c>
      <c r="N240" s="7">
        <v>380</v>
      </c>
      <c r="O240" s="151">
        <v>0.93599999999999994</v>
      </c>
      <c r="P240" s="7">
        <v>0.9</v>
      </c>
      <c r="Q240" s="7">
        <v>80</v>
      </c>
      <c r="R240" s="113">
        <v>11</v>
      </c>
      <c r="S240" s="258" t="s">
        <v>1390</v>
      </c>
      <c r="T240" s="10">
        <f t="shared" si="5"/>
        <v>1</v>
      </c>
      <c r="U240" s="260" t="s">
        <v>1391</v>
      </c>
      <c r="V240">
        <v>9345000</v>
      </c>
      <c r="X240" s="157" t="s">
        <v>2075</v>
      </c>
      <c r="Y240" t="b">
        <v>1</v>
      </c>
    </row>
    <row r="241" spans="2:25">
      <c r="B241" s="1" t="str">
        <f t="shared" si="4"/>
        <v>M_AEB0402_VM_KF_MACH_23.02_4000</v>
      </c>
      <c r="C241" s="7" t="s">
        <v>2072</v>
      </c>
      <c r="D241" s="7" t="str" cm="1">
        <f t="array" ref="D241">INDEX(기계코드!$D$4:$D$1022,MATCH(1,(C241=기계코드!$F$4:$F$1022)*1,0))</f>
        <v>M_AEB0402</v>
      </c>
      <c r="E241" s="7" t="s">
        <v>2073</v>
      </c>
      <c r="F241" s="7" t="str" cm="1">
        <f t="array" ref="F241">INDEX(공급업체코드!$B$3:$B$1000,MATCH(1,(E241=공급업체코드!$D$3:$D$1000)*1,0))</f>
        <v>VM_KF_MACH</v>
      </c>
      <c r="G241" s="158" t="s">
        <v>2084</v>
      </c>
      <c r="I241" s="166">
        <v>23.02</v>
      </c>
      <c r="J241" s="160">
        <v>4000</v>
      </c>
      <c r="K241" s="159">
        <v>150</v>
      </c>
      <c r="L241" s="165">
        <v>24.635999999999999</v>
      </c>
      <c r="M241" s="7" t="s">
        <v>984</v>
      </c>
      <c r="N241" s="7">
        <v>380</v>
      </c>
      <c r="O241" s="151">
        <v>0.94099999999999995</v>
      </c>
      <c r="P241" s="7">
        <v>0.9</v>
      </c>
      <c r="Q241" s="7">
        <v>80</v>
      </c>
      <c r="R241" s="113">
        <v>11</v>
      </c>
      <c r="S241" s="258" t="s">
        <v>1390</v>
      </c>
      <c r="T241" s="10">
        <f t="shared" si="5"/>
        <v>1</v>
      </c>
      <c r="U241" s="260" t="s">
        <v>1391</v>
      </c>
      <c r="V241">
        <v>9345000</v>
      </c>
      <c r="X241" s="157" t="s">
        <v>2075</v>
      </c>
      <c r="Y241" t="b">
        <v>1</v>
      </c>
    </row>
    <row r="242" spans="2:25">
      <c r="B242" s="1" t="str">
        <f t="shared" si="4"/>
        <v>M_AEB0402_VM_KF_MACH_26.61_4000</v>
      </c>
      <c r="C242" s="7" t="s">
        <v>2072</v>
      </c>
      <c r="D242" s="7" t="str" cm="1">
        <f t="array" ref="D242">INDEX(기계코드!$D$4:$D$1022,MATCH(1,(C242=기계코드!$F$4:$F$1022)*1,0))</f>
        <v>M_AEB0402</v>
      </c>
      <c r="E242" s="7" t="s">
        <v>2073</v>
      </c>
      <c r="F242" s="7" t="str" cm="1">
        <f t="array" ref="F242">INDEX(공급업체코드!$B$3:$B$1000,MATCH(1,(E242=공급업체코드!$D$3:$D$1000)*1,0))</f>
        <v>VM_KF_MACH</v>
      </c>
      <c r="G242" s="158" t="s">
        <v>2084</v>
      </c>
      <c r="I242" s="166">
        <v>26.61</v>
      </c>
      <c r="J242" s="160">
        <v>4000</v>
      </c>
      <c r="K242" s="159">
        <v>150</v>
      </c>
      <c r="L242" s="165">
        <v>27.648</v>
      </c>
      <c r="M242" s="7" t="s">
        <v>984</v>
      </c>
      <c r="N242" s="7">
        <v>380</v>
      </c>
      <c r="O242" s="151">
        <v>0.94099999999999995</v>
      </c>
      <c r="P242" s="7">
        <v>0.9</v>
      </c>
      <c r="Q242" s="7">
        <v>80</v>
      </c>
      <c r="R242" s="113">
        <v>11</v>
      </c>
      <c r="S242" s="258" t="s">
        <v>1390</v>
      </c>
      <c r="T242" s="10">
        <f t="shared" si="5"/>
        <v>1</v>
      </c>
      <c r="U242" s="260" t="s">
        <v>1391</v>
      </c>
      <c r="V242">
        <v>9345000</v>
      </c>
      <c r="X242" s="157" t="s">
        <v>2075</v>
      </c>
      <c r="Y242" t="b">
        <v>1</v>
      </c>
    </row>
    <row r="243" spans="2:25">
      <c r="B243" s="1" t="str">
        <f t="shared" si="4"/>
        <v>M_AEB0402_VM_KF_MACH_13.53_5000</v>
      </c>
      <c r="C243" s="7" t="s">
        <v>2072</v>
      </c>
      <c r="D243" s="7" t="str" cm="1">
        <f t="array" ref="D243">INDEX(기계코드!$D$4:$D$1022,MATCH(1,(C243=기계코드!$F$4:$F$1022)*1,0))</f>
        <v>M_AEB0402</v>
      </c>
      <c r="E243" s="7" t="s">
        <v>2073</v>
      </c>
      <c r="F243" s="7" t="str" cm="1">
        <f t="array" ref="F243">INDEX(공급업체코드!$B$3:$B$1000,MATCH(1,(E243=공급업체코드!$D$3:$D$1000)*1,0))</f>
        <v>VM_KF_MACH</v>
      </c>
      <c r="G243" s="158" t="s">
        <v>2084</v>
      </c>
      <c r="I243" s="166">
        <v>13.53</v>
      </c>
      <c r="J243" s="160">
        <v>5000</v>
      </c>
      <c r="K243" s="159">
        <v>150</v>
      </c>
      <c r="L243" s="165">
        <v>19.38</v>
      </c>
      <c r="M243" s="7" t="s">
        <v>984</v>
      </c>
      <c r="N243" s="7">
        <v>380</v>
      </c>
      <c r="O243" s="151">
        <v>0.93599999999999994</v>
      </c>
      <c r="P243" s="7">
        <v>0.9</v>
      </c>
      <c r="Q243" s="7">
        <v>80</v>
      </c>
      <c r="R243" s="113">
        <v>11</v>
      </c>
      <c r="S243" s="258" t="s">
        <v>1390</v>
      </c>
      <c r="T243" s="10">
        <f t="shared" si="5"/>
        <v>1</v>
      </c>
      <c r="U243" s="260" t="s">
        <v>1391</v>
      </c>
      <c r="V243">
        <v>11667000</v>
      </c>
      <c r="X243" s="157" t="s">
        <v>2075</v>
      </c>
      <c r="Y243" t="b">
        <v>1</v>
      </c>
    </row>
    <row r="244" spans="2:25">
      <c r="B244" s="1" t="str">
        <f t="shared" si="4"/>
        <v>M_AEB0402_VM_KF_MACH_18.07_5000</v>
      </c>
      <c r="C244" s="7" t="s">
        <v>2072</v>
      </c>
      <c r="D244" s="7" t="str" cm="1">
        <f t="array" ref="D244">INDEX(기계코드!$D$4:$D$1022,MATCH(1,(C244=기계코드!$F$4:$F$1022)*1,0))</f>
        <v>M_AEB0402</v>
      </c>
      <c r="E244" s="7" t="s">
        <v>2073</v>
      </c>
      <c r="F244" s="7" t="str" cm="1">
        <f t="array" ref="F244">INDEX(공급업체코드!$B$3:$B$1000,MATCH(1,(E244=공급업체코드!$D$3:$D$1000)*1,0))</f>
        <v>VM_KF_MACH</v>
      </c>
      <c r="G244" s="158" t="s">
        <v>2084</v>
      </c>
      <c r="I244" s="166">
        <v>18.07</v>
      </c>
      <c r="J244" s="160">
        <v>5000</v>
      </c>
      <c r="K244" s="159">
        <v>150</v>
      </c>
      <c r="L244" s="165">
        <v>24.936</v>
      </c>
      <c r="M244" s="7" t="s">
        <v>984</v>
      </c>
      <c r="N244" s="7">
        <v>380</v>
      </c>
      <c r="O244" s="151">
        <v>0.94099999999999995</v>
      </c>
      <c r="P244" s="7">
        <v>0.9</v>
      </c>
      <c r="Q244" s="7">
        <v>80</v>
      </c>
      <c r="R244" s="113">
        <v>11</v>
      </c>
      <c r="S244" s="258" t="s">
        <v>1390</v>
      </c>
      <c r="T244" s="10">
        <f t="shared" si="5"/>
        <v>1</v>
      </c>
      <c r="U244" s="260" t="s">
        <v>1391</v>
      </c>
      <c r="V244">
        <v>11667000</v>
      </c>
      <c r="X244" s="157" t="s">
        <v>2075</v>
      </c>
      <c r="Y244" t="b">
        <v>1</v>
      </c>
    </row>
    <row r="245" spans="2:25">
      <c r="B245" s="1" t="str">
        <f t="shared" si="4"/>
        <v>M_AEB0402_VM_KF_MACH_22.52_5000</v>
      </c>
      <c r="C245" s="7" t="s">
        <v>2072</v>
      </c>
      <c r="D245" s="7" t="str" cm="1">
        <f t="array" ref="D245">INDEX(기계코드!$D$4:$D$1022,MATCH(1,(C245=기계코드!$F$4:$F$1022)*1,0))</f>
        <v>M_AEB0402</v>
      </c>
      <c r="E245" s="7" t="s">
        <v>2073</v>
      </c>
      <c r="F245" s="7" t="str" cm="1">
        <f t="array" ref="F245">INDEX(공급업체코드!$B$3:$B$1000,MATCH(1,(E245=공급업체코드!$D$3:$D$1000)*1,0))</f>
        <v>VM_KF_MACH</v>
      </c>
      <c r="G245" s="158" t="s">
        <v>2084</v>
      </c>
      <c r="I245" s="166">
        <v>22.52</v>
      </c>
      <c r="J245" s="160">
        <v>5000</v>
      </c>
      <c r="K245" s="159">
        <v>150</v>
      </c>
      <c r="L245" s="165">
        <v>30.143999999999998</v>
      </c>
      <c r="M245" s="7" t="s">
        <v>984</v>
      </c>
      <c r="N245" s="7">
        <v>380</v>
      </c>
      <c r="O245" s="151">
        <v>0.94499999999999995</v>
      </c>
      <c r="P245" s="7">
        <v>0.9</v>
      </c>
      <c r="Q245" s="7">
        <v>80</v>
      </c>
      <c r="R245" s="113">
        <v>11</v>
      </c>
      <c r="S245" s="258" t="s">
        <v>1390</v>
      </c>
      <c r="T245" s="10">
        <f t="shared" si="5"/>
        <v>1</v>
      </c>
      <c r="U245" s="260" t="s">
        <v>1391</v>
      </c>
      <c r="V245">
        <v>11667000</v>
      </c>
      <c r="X245" s="157" t="s">
        <v>2075</v>
      </c>
      <c r="Y245" t="b">
        <v>1</v>
      </c>
    </row>
    <row r="246" spans="2:25">
      <c r="B246" s="1" t="str">
        <f t="shared" si="4"/>
        <v>M_AEB0402_VM_KF_MACH_26.1_5000</v>
      </c>
      <c r="C246" s="7" t="s">
        <v>2072</v>
      </c>
      <c r="D246" s="7" t="str" cm="1">
        <f t="array" ref="D246">INDEX(기계코드!$D$4:$D$1022,MATCH(1,(C246=기계코드!$F$4:$F$1022)*1,0))</f>
        <v>M_AEB0402</v>
      </c>
      <c r="E246" s="7" t="s">
        <v>2073</v>
      </c>
      <c r="F246" s="7" t="str" cm="1">
        <f t="array" ref="F246">INDEX(공급업체코드!$B$3:$B$1000,MATCH(1,(E246=공급업체코드!$D$3:$D$1000)*1,0))</f>
        <v>VM_KF_MACH</v>
      </c>
      <c r="G246" s="158" t="s">
        <v>2084</v>
      </c>
      <c r="I246" s="166">
        <v>26.1</v>
      </c>
      <c r="J246" s="160">
        <v>5000</v>
      </c>
      <c r="K246" s="159">
        <v>150</v>
      </c>
      <c r="L246" s="165">
        <v>33.923999999999999</v>
      </c>
      <c r="M246" s="7" t="s">
        <v>984</v>
      </c>
      <c r="N246" s="7">
        <v>380</v>
      </c>
      <c r="O246" s="151">
        <v>0.94499999999999995</v>
      </c>
      <c r="P246" s="7">
        <v>0.9</v>
      </c>
      <c r="Q246" s="7">
        <v>80</v>
      </c>
      <c r="R246" s="113">
        <v>11</v>
      </c>
      <c r="S246" s="258" t="s">
        <v>1390</v>
      </c>
      <c r="T246" s="10">
        <f t="shared" si="5"/>
        <v>1</v>
      </c>
      <c r="U246" s="260" t="s">
        <v>1391</v>
      </c>
      <c r="V246">
        <v>11667000</v>
      </c>
      <c r="X246" s="157" t="s">
        <v>2075</v>
      </c>
      <c r="Y246" t="b">
        <v>1</v>
      </c>
    </row>
    <row r="247" spans="2:25">
      <c r="B247" s="1" t="str">
        <f t="shared" si="4"/>
        <v>M_AEB0402_VM_KF_MACH_13.01_6000</v>
      </c>
      <c r="C247" s="7" t="s">
        <v>2072</v>
      </c>
      <c r="D247" s="7" t="str" cm="1">
        <f t="array" ref="D247">INDEX(기계코드!$D$4:$D$1022,MATCH(1,(C247=기계코드!$F$4:$F$1022)*1,0))</f>
        <v>M_AEB0402</v>
      </c>
      <c r="E247" s="7" t="s">
        <v>2073</v>
      </c>
      <c r="F247" s="7" t="str" cm="1">
        <f t="array" ref="F247">INDEX(공급업체코드!$B$3:$B$1000,MATCH(1,(E247=공급업체코드!$D$3:$D$1000)*1,0))</f>
        <v>VM_KF_MACH</v>
      </c>
      <c r="G247" s="158" t="s">
        <v>2084</v>
      </c>
      <c r="I247" s="166">
        <v>13.01</v>
      </c>
      <c r="J247" s="160">
        <v>6000</v>
      </c>
      <c r="K247" s="159">
        <v>150</v>
      </c>
      <c r="L247" s="165">
        <v>22.523999999999997</v>
      </c>
      <c r="M247" s="7" t="s">
        <v>984</v>
      </c>
      <c r="N247" s="7">
        <v>380</v>
      </c>
      <c r="O247" s="151">
        <v>0.94099999999999995</v>
      </c>
      <c r="P247" s="7">
        <v>0.9</v>
      </c>
      <c r="Q247" s="7">
        <v>80</v>
      </c>
      <c r="R247" s="113">
        <v>11</v>
      </c>
      <c r="S247" s="258" t="s">
        <v>1390</v>
      </c>
      <c r="T247" s="10">
        <f t="shared" si="5"/>
        <v>1</v>
      </c>
      <c r="U247" s="260" t="s">
        <v>1391</v>
      </c>
      <c r="V247">
        <v>11667000</v>
      </c>
      <c r="X247" s="157" t="s">
        <v>2075</v>
      </c>
      <c r="Y247" t="b">
        <v>1</v>
      </c>
    </row>
    <row r="248" spans="2:25">
      <c r="B248" s="1" t="str">
        <f t="shared" si="4"/>
        <v>M_AEB0402_VM_KF_MACH_17.45_6000</v>
      </c>
      <c r="C248" s="7" t="s">
        <v>2072</v>
      </c>
      <c r="D248" s="7" t="str" cm="1">
        <f t="array" ref="D248">INDEX(기계코드!$D$4:$D$1022,MATCH(1,(C248=기계코드!$F$4:$F$1022)*1,0))</f>
        <v>M_AEB0402</v>
      </c>
      <c r="E248" s="7" t="s">
        <v>2073</v>
      </c>
      <c r="F248" s="7" t="str" cm="1">
        <f t="array" ref="F248">INDEX(공급업체코드!$B$3:$B$1000,MATCH(1,(E248=공급업체코드!$D$3:$D$1000)*1,0))</f>
        <v>VM_KF_MACH</v>
      </c>
      <c r="G248" s="158" t="s">
        <v>2084</v>
      </c>
      <c r="I248" s="166">
        <v>17.45</v>
      </c>
      <c r="J248" s="160">
        <v>6000</v>
      </c>
      <c r="K248" s="159">
        <v>150</v>
      </c>
      <c r="L248" s="165">
        <v>29.16</v>
      </c>
      <c r="M248" s="7" t="s">
        <v>984</v>
      </c>
      <c r="N248" s="7">
        <v>380</v>
      </c>
      <c r="O248" s="151">
        <v>0.94099999999999995</v>
      </c>
      <c r="P248" s="7">
        <v>0.9</v>
      </c>
      <c r="Q248" s="7">
        <v>80</v>
      </c>
      <c r="R248" s="113">
        <v>11</v>
      </c>
      <c r="S248" s="258" t="s">
        <v>1390</v>
      </c>
      <c r="T248" s="10">
        <f t="shared" si="5"/>
        <v>1</v>
      </c>
      <c r="U248" s="260" t="s">
        <v>1391</v>
      </c>
      <c r="V248">
        <v>11667000</v>
      </c>
      <c r="X248" s="157" t="s">
        <v>2075</v>
      </c>
      <c r="Y248" t="b">
        <v>1</v>
      </c>
    </row>
    <row r="249" spans="2:25">
      <c r="B249" s="1" t="str">
        <f t="shared" si="4"/>
        <v>M_AEB0402_VM_KF_MACH_22.01_6000</v>
      </c>
      <c r="C249" s="7" t="s">
        <v>2072</v>
      </c>
      <c r="D249" s="7" t="str" cm="1">
        <f t="array" ref="D249">INDEX(기계코드!$D$4:$D$1022,MATCH(1,(C249=기계코드!$F$4:$F$1022)*1,0))</f>
        <v>M_AEB0402</v>
      </c>
      <c r="E249" s="7" t="s">
        <v>2073</v>
      </c>
      <c r="F249" s="7" t="str" cm="1">
        <f t="array" ref="F249">INDEX(공급업체코드!$B$3:$B$1000,MATCH(1,(E249=공급업체코드!$D$3:$D$1000)*1,0))</f>
        <v>VM_KF_MACH</v>
      </c>
      <c r="G249" s="158" t="s">
        <v>2084</v>
      </c>
      <c r="I249" s="166">
        <v>22.01</v>
      </c>
      <c r="J249" s="160">
        <v>6000</v>
      </c>
      <c r="K249" s="159">
        <v>150</v>
      </c>
      <c r="L249" s="165">
        <v>35.315999999999995</v>
      </c>
      <c r="M249" s="7" t="s">
        <v>984</v>
      </c>
      <c r="N249" s="7">
        <v>380</v>
      </c>
      <c r="O249" s="151">
        <v>0.94499999999999995</v>
      </c>
      <c r="P249" s="7">
        <v>0.9</v>
      </c>
      <c r="Q249" s="7">
        <v>80</v>
      </c>
      <c r="R249" s="113">
        <v>11</v>
      </c>
      <c r="S249" s="258" t="s">
        <v>1390</v>
      </c>
      <c r="T249" s="10">
        <f t="shared" si="5"/>
        <v>1</v>
      </c>
      <c r="U249" s="260" t="s">
        <v>1391</v>
      </c>
      <c r="V249">
        <v>11667000</v>
      </c>
      <c r="X249" s="157" t="s">
        <v>2075</v>
      </c>
      <c r="Y249" t="b">
        <v>1</v>
      </c>
    </row>
    <row r="250" spans="2:25">
      <c r="B250" s="1" t="str">
        <f t="shared" si="4"/>
        <v>M_AEB0402_VM_KF_MACH_25.64_6000</v>
      </c>
      <c r="C250" s="7" t="s">
        <v>2072</v>
      </c>
      <c r="D250" s="7" t="str" cm="1">
        <f t="array" ref="D250">INDEX(기계코드!$D$4:$D$1022,MATCH(1,(C250=기계코드!$F$4:$F$1022)*1,0))</f>
        <v>M_AEB0402</v>
      </c>
      <c r="E250" s="7" t="s">
        <v>2073</v>
      </c>
      <c r="F250" s="7" t="str" cm="1">
        <f t="array" ref="F250">INDEX(공급업체코드!$B$3:$B$1000,MATCH(1,(E250=공급업체코드!$D$3:$D$1000)*1,0))</f>
        <v>VM_KF_MACH</v>
      </c>
      <c r="G250" s="158" t="s">
        <v>2084</v>
      </c>
      <c r="I250" s="166">
        <v>25.64</v>
      </c>
      <c r="J250" s="160">
        <v>6000</v>
      </c>
      <c r="K250" s="159">
        <v>150</v>
      </c>
      <c r="L250" s="165">
        <v>39.948</v>
      </c>
      <c r="M250" s="7" t="s">
        <v>984</v>
      </c>
      <c r="N250" s="7">
        <v>380</v>
      </c>
      <c r="O250" s="151">
        <v>0.95</v>
      </c>
      <c r="P250" s="7">
        <v>0.9</v>
      </c>
      <c r="Q250" s="7">
        <v>80</v>
      </c>
      <c r="R250" s="113">
        <v>11</v>
      </c>
      <c r="S250" s="258" t="s">
        <v>1390</v>
      </c>
      <c r="T250" s="10">
        <f t="shared" si="5"/>
        <v>1</v>
      </c>
      <c r="U250" s="260" t="s">
        <v>1391</v>
      </c>
      <c r="V250">
        <v>11667000</v>
      </c>
      <c r="X250" s="157" t="s">
        <v>2075</v>
      </c>
      <c r="Y250" t="b">
        <v>1</v>
      </c>
    </row>
    <row r="251" spans="2:25">
      <c r="B251" s="1" t="str">
        <f t="shared" si="4"/>
        <v>M_AEB0402_VM_KF_MACH_19.39_4000</v>
      </c>
      <c r="C251" s="7" t="s">
        <v>2072</v>
      </c>
      <c r="D251" s="7" t="str" cm="1">
        <f t="array" ref="D251">INDEX(기계코드!$D$4:$D$1022,MATCH(1,(C251=기계코드!$F$4:$F$1022)*1,0))</f>
        <v>M_AEB0402</v>
      </c>
      <c r="E251" s="7" t="s">
        <v>2073</v>
      </c>
      <c r="F251" s="7" t="str" cm="1">
        <f t="array" ref="F251">INDEX(공급업체코드!$B$3:$B$1000,MATCH(1,(E251=공급업체코드!$D$3:$D$1000)*1,0))</f>
        <v>VM_KF_MACH</v>
      </c>
      <c r="G251" s="158" t="s">
        <v>2085</v>
      </c>
      <c r="I251" s="166">
        <v>19.39</v>
      </c>
      <c r="J251" s="160">
        <v>4000</v>
      </c>
      <c r="K251" s="159">
        <v>150</v>
      </c>
      <c r="L251" s="165">
        <v>22.091999999999999</v>
      </c>
      <c r="M251" s="7" t="s">
        <v>984</v>
      </c>
      <c r="N251" s="7">
        <v>380</v>
      </c>
      <c r="O251" s="151">
        <v>0.94099999999999995</v>
      </c>
      <c r="P251" s="7">
        <v>0.9</v>
      </c>
      <c r="Q251" s="7">
        <v>80</v>
      </c>
      <c r="R251" s="113">
        <v>11</v>
      </c>
      <c r="S251" s="258" t="s">
        <v>1390</v>
      </c>
      <c r="T251" s="10">
        <f t="shared" si="5"/>
        <v>1</v>
      </c>
      <c r="U251" s="260" t="s">
        <v>1391</v>
      </c>
      <c r="V251">
        <v>11667000</v>
      </c>
      <c r="X251" s="157" t="s">
        <v>2075</v>
      </c>
      <c r="Y251" t="b">
        <v>1</v>
      </c>
    </row>
    <row r="252" spans="2:25">
      <c r="B252" s="1" t="str">
        <f t="shared" si="4"/>
        <v>M_AEB0402_VM_KF_MACH_25.65_4000</v>
      </c>
      <c r="C252" s="7" t="s">
        <v>2072</v>
      </c>
      <c r="D252" s="7" t="str" cm="1">
        <f t="array" ref="D252">INDEX(기계코드!$D$4:$D$1022,MATCH(1,(C252=기계코드!$F$4:$F$1022)*1,0))</f>
        <v>M_AEB0402</v>
      </c>
      <c r="E252" s="7" t="s">
        <v>2073</v>
      </c>
      <c r="F252" s="7" t="str" cm="1">
        <f t="array" ref="F252">INDEX(공급업체코드!$B$3:$B$1000,MATCH(1,(E252=공급업체코드!$D$3:$D$1000)*1,0))</f>
        <v>VM_KF_MACH</v>
      </c>
      <c r="G252" s="158" t="s">
        <v>2085</v>
      </c>
      <c r="I252" s="166">
        <v>25.65</v>
      </c>
      <c r="J252" s="160">
        <v>4000</v>
      </c>
      <c r="K252" s="159">
        <v>150</v>
      </c>
      <c r="L252" s="165">
        <v>27.983999999999998</v>
      </c>
      <c r="M252" s="7" t="s">
        <v>984</v>
      </c>
      <c r="N252" s="7">
        <v>380</v>
      </c>
      <c r="O252" s="151">
        <v>0.94099999999999995</v>
      </c>
      <c r="P252" s="7">
        <v>0.9</v>
      </c>
      <c r="Q252" s="7">
        <v>80</v>
      </c>
      <c r="R252" s="113">
        <v>11</v>
      </c>
      <c r="S252" s="258" t="s">
        <v>1390</v>
      </c>
      <c r="T252" s="10">
        <f t="shared" si="5"/>
        <v>1</v>
      </c>
      <c r="U252" s="260" t="s">
        <v>1391</v>
      </c>
      <c r="V252">
        <v>11667000</v>
      </c>
      <c r="X252" s="157" t="s">
        <v>2075</v>
      </c>
      <c r="Y252" t="b">
        <v>1</v>
      </c>
    </row>
    <row r="253" spans="2:25">
      <c r="B253" s="1" t="str">
        <f t="shared" si="4"/>
        <v>M_AEB0402_VM_KF_MACH_32.1_4000</v>
      </c>
      <c r="C253" s="7" t="s">
        <v>2072</v>
      </c>
      <c r="D253" s="7" t="str" cm="1">
        <f t="array" ref="D253">INDEX(기계코드!$D$4:$D$1022,MATCH(1,(C253=기계코드!$F$4:$F$1022)*1,0))</f>
        <v>M_AEB0402</v>
      </c>
      <c r="E253" s="7" t="s">
        <v>2073</v>
      </c>
      <c r="F253" s="7" t="str" cm="1">
        <f t="array" ref="F253">INDEX(공급업체코드!$B$3:$B$1000,MATCH(1,(E253=공급업체코드!$D$3:$D$1000)*1,0))</f>
        <v>VM_KF_MACH</v>
      </c>
      <c r="G253" s="158" t="s">
        <v>2085</v>
      </c>
      <c r="I253" s="166">
        <v>32.1</v>
      </c>
      <c r="J253" s="160">
        <v>4000</v>
      </c>
      <c r="K253" s="159">
        <v>150</v>
      </c>
      <c r="L253" s="165">
        <v>34.055999999999997</v>
      </c>
      <c r="M253" s="7" t="s">
        <v>984</v>
      </c>
      <c r="N253" s="7">
        <v>380</v>
      </c>
      <c r="O253" s="151">
        <v>0.94499999999999995</v>
      </c>
      <c r="P253" s="7">
        <v>0.9</v>
      </c>
      <c r="Q253" s="7">
        <v>80</v>
      </c>
      <c r="R253" s="113">
        <v>11</v>
      </c>
      <c r="S253" s="258" t="s">
        <v>1390</v>
      </c>
      <c r="T253" s="10">
        <f t="shared" si="5"/>
        <v>1</v>
      </c>
      <c r="U253" s="260" t="s">
        <v>1391</v>
      </c>
      <c r="V253">
        <v>11667000</v>
      </c>
      <c r="X253" s="157" t="s">
        <v>2075</v>
      </c>
      <c r="Y253" t="b">
        <v>1</v>
      </c>
    </row>
    <row r="254" spans="2:25">
      <c r="B254" s="1" t="str">
        <f t="shared" si="4"/>
        <v>M_AEB0402_VM_KF_MACH_37.1_4000</v>
      </c>
      <c r="C254" s="7" t="s">
        <v>2072</v>
      </c>
      <c r="D254" s="7" t="str" cm="1">
        <f t="array" ref="D254">INDEX(기계코드!$D$4:$D$1022,MATCH(1,(C254=기계코드!$F$4:$F$1022)*1,0))</f>
        <v>M_AEB0402</v>
      </c>
      <c r="E254" s="7" t="s">
        <v>2073</v>
      </c>
      <c r="F254" s="7" t="str" cm="1">
        <f t="array" ref="F254">INDEX(공급업체코드!$B$3:$B$1000,MATCH(1,(E254=공급업체코드!$D$3:$D$1000)*1,0))</f>
        <v>VM_KF_MACH</v>
      </c>
      <c r="G254" s="158" t="s">
        <v>2085</v>
      </c>
      <c r="I254" s="166">
        <v>37.1</v>
      </c>
      <c r="J254" s="160">
        <v>4000</v>
      </c>
      <c r="K254" s="159">
        <v>150</v>
      </c>
      <c r="L254" s="165">
        <v>38.22</v>
      </c>
      <c r="M254" s="7" t="s">
        <v>984</v>
      </c>
      <c r="N254" s="7">
        <v>380</v>
      </c>
      <c r="O254" s="151">
        <v>0.95</v>
      </c>
      <c r="P254" s="7">
        <v>0.9</v>
      </c>
      <c r="Q254" s="7">
        <v>80</v>
      </c>
      <c r="R254" s="113">
        <v>11</v>
      </c>
      <c r="S254" s="258" t="s">
        <v>1390</v>
      </c>
      <c r="T254" s="10">
        <f t="shared" si="5"/>
        <v>1</v>
      </c>
      <c r="U254" s="260" t="s">
        <v>1391</v>
      </c>
      <c r="V254">
        <v>11667000</v>
      </c>
      <c r="X254" s="157" t="s">
        <v>2075</v>
      </c>
      <c r="Y254" t="b">
        <v>1</v>
      </c>
    </row>
    <row r="255" spans="2:25">
      <c r="B255" s="1" t="str">
        <f t="shared" si="4"/>
        <v>M_AEB0402_VM_KF_MACH_18.67_5000</v>
      </c>
      <c r="C255" s="7" t="s">
        <v>2072</v>
      </c>
      <c r="D255" s="7" t="str" cm="1">
        <f t="array" ref="D255">INDEX(기계코드!$D$4:$D$1022,MATCH(1,(C255=기계코드!$F$4:$F$1022)*1,0))</f>
        <v>M_AEB0402</v>
      </c>
      <c r="E255" s="7" t="s">
        <v>2073</v>
      </c>
      <c r="F255" s="7" t="str" cm="1">
        <f t="array" ref="F255">INDEX(공급업체코드!$B$3:$B$1000,MATCH(1,(E255=공급업체코드!$D$3:$D$1000)*1,0))</f>
        <v>VM_KF_MACH</v>
      </c>
      <c r="G255" s="158" t="s">
        <v>2085</v>
      </c>
      <c r="I255" s="166">
        <v>18.670000000000002</v>
      </c>
      <c r="J255" s="160">
        <v>5000</v>
      </c>
      <c r="K255" s="159">
        <v>150</v>
      </c>
      <c r="L255" s="165">
        <v>27.108000000000001</v>
      </c>
      <c r="M255" s="7" t="s">
        <v>984</v>
      </c>
      <c r="N255" s="7">
        <v>380</v>
      </c>
      <c r="O255" s="151">
        <v>0.94099999999999995</v>
      </c>
      <c r="P255" s="7">
        <v>0.9</v>
      </c>
      <c r="Q255" s="7">
        <v>80</v>
      </c>
      <c r="R255" s="113">
        <v>11</v>
      </c>
      <c r="S255" s="258" t="s">
        <v>1390</v>
      </c>
      <c r="T255" s="10">
        <f t="shared" si="5"/>
        <v>1</v>
      </c>
      <c r="U255" s="260" t="s">
        <v>1391</v>
      </c>
      <c r="V255">
        <v>11667000</v>
      </c>
      <c r="X255" s="157" t="s">
        <v>2075</v>
      </c>
      <c r="Y255" t="b">
        <v>1</v>
      </c>
    </row>
    <row r="256" spans="2:25">
      <c r="B256" s="1" t="str">
        <f t="shared" si="4"/>
        <v>M_AEB0402_VM_KF_MACH_24.94_5000</v>
      </c>
      <c r="C256" s="7" t="s">
        <v>2072</v>
      </c>
      <c r="D256" s="7" t="str" cm="1">
        <f t="array" ref="D256">INDEX(기계코드!$D$4:$D$1022,MATCH(1,(C256=기계코드!$F$4:$F$1022)*1,0))</f>
        <v>M_AEB0402</v>
      </c>
      <c r="E256" s="7" t="s">
        <v>2073</v>
      </c>
      <c r="F256" s="7" t="str" cm="1">
        <f t="array" ref="F256">INDEX(공급업체코드!$B$3:$B$1000,MATCH(1,(E256=공급업체코드!$D$3:$D$1000)*1,0))</f>
        <v>VM_KF_MACH</v>
      </c>
      <c r="G256" s="158" t="s">
        <v>2085</v>
      </c>
      <c r="I256" s="166">
        <v>24.94</v>
      </c>
      <c r="J256" s="160">
        <v>5000</v>
      </c>
      <c r="K256" s="159">
        <v>150</v>
      </c>
      <c r="L256" s="165">
        <v>34.32</v>
      </c>
      <c r="M256" s="7" t="s">
        <v>984</v>
      </c>
      <c r="N256" s="7">
        <v>380</v>
      </c>
      <c r="O256" s="151">
        <v>0.94499999999999995</v>
      </c>
      <c r="P256" s="7">
        <v>0.9</v>
      </c>
      <c r="Q256" s="7">
        <v>80</v>
      </c>
      <c r="R256" s="113">
        <v>11</v>
      </c>
      <c r="S256" s="258" t="s">
        <v>1390</v>
      </c>
      <c r="T256" s="10">
        <f t="shared" si="5"/>
        <v>1</v>
      </c>
      <c r="U256" s="260" t="s">
        <v>1391</v>
      </c>
      <c r="V256">
        <v>11667000</v>
      </c>
      <c r="X256" s="157" t="s">
        <v>2075</v>
      </c>
      <c r="Y256" t="b">
        <v>1</v>
      </c>
    </row>
    <row r="257" spans="2:25">
      <c r="B257" s="1" t="str">
        <f t="shared" si="4"/>
        <v>M_AEB0402_VM_KF_MACH_31.4_5000</v>
      </c>
      <c r="C257" s="7" t="s">
        <v>2072</v>
      </c>
      <c r="D257" s="7" t="str" cm="1">
        <f t="array" ref="D257">INDEX(기계코드!$D$4:$D$1022,MATCH(1,(C257=기계코드!$F$4:$F$1022)*1,0))</f>
        <v>M_AEB0402</v>
      </c>
      <c r="E257" s="7" t="s">
        <v>2073</v>
      </c>
      <c r="F257" s="7" t="str" cm="1">
        <f t="array" ref="F257">INDEX(공급업체코드!$B$3:$B$1000,MATCH(1,(E257=공급업체코드!$D$3:$D$1000)*1,0))</f>
        <v>VM_KF_MACH</v>
      </c>
      <c r="G257" s="158" t="s">
        <v>2085</v>
      </c>
      <c r="I257" s="166">
        <v>31.4</v>
      </c>
      <c r="J257" s="160">
        <v>5000</v>
      </c>
      <c r="K257" s="159">
        <v>150</v>
      </c>
      <c r="L257" s="165">
        <v>41.856000000000002</v>
      </c>
      <c r="M257" s="7" t="s">
        <v>984</v>
      </c>
      <c r="N257" s="7">
        <v>380</v>
      </c>
      <c r="O257" s="151">
        <v>0.95</v>
      </c>
      <c r="P257" s="7">
        <v>0.9</v>
      </c>
      <c r="Q257" s="7">
        <v>80</v>
      </c>
      <c r="R257" s="113">
        <v>11</v>
      </c>
      <c r="S257" s="258" t="s">
        <v>1390</v>
      </c>
      <c r="T257" s="10">
        <f t="shared" si="5"/>
        <v>1</v>
      </c>
      <c r="U257" s="260" t="s">
        <v>1391</v>
      </c>
      <c r="V257">
        <v>11667000</v>
      </c>
      <c r="X257" s="157" t="s">
        <v>2075</v>
      </c>
      <c r="Y257" t="b">
        <v>1</v>
      </c>
    </row>
    <row r="258" spans="2:25">
      <c r="B258" s="1" t="str">
        <f t="shared" si="4"/>
        <v>M_AEB0402_VM_KF_MACH_36.4_5000</v>
      </c>
      <c r="C258" s="7" t="s">
        <v>2072</v>
      </c>
      <c r="D258" s="7" t="str" cm="1">
        <f t="array" ref="D258">INDEX(기계코드!$D$4:$D$1022,MATCH(1,(C258=기계코드!$F$4:$F$1022)*1,0))</f>
        <v>M_AEB0402</v>
      </c>
      <c r="E258" s="7" t="s">
        <v>2073</v>
      </c>
      <c r="F258" s="7" t="str" cm="1">
        <f t="array" ref="F258">INDEX(공급업체코드!$B$3:$B$1000,MATCH(1,(E258=공급업체코드!$D$3:$D$1000)*1,0))</f>
        <v>VM_KF_MACH</v>
      </c>
      <c r="G258" s="158" t="s">
        <v>2085</v>
      </c>
      <c r="I258" s="166">
        <v>36.4</v>
      </c>
      <c r="J258" s="160">
        <v>5000</v>
      </c>
      <c r="K258" s="159">
        <v>150</v>
      </c>
      <c r="L258" s="165">
        <v>47.1</v>
      </c>
      <c r="M258" s="7" t="s">
        <v>984</v>
      </c>
      <c r="N258" s="7">
        <v>380</v>
      </c>
      <c r="O258" s="151">
        <v>0.95400000000000007</v>
      </c>
      <c r="P258" s="7">
        <v>0.9</v>
      </c>
      <c r="Q258" s="7">
        <v>80</v>
      </c>
      <c r="R258" s="113">
        <v>11</v>
      </c>
      <c r="S258" s="258" t="s">
        <v>1390</v>
      </c>
      <c r="T258" s="10">
        <f t="shared" si="5"/>
        <v>1</v>
      </c>
      <c r="U258" s="260" t="s">
        <v>1391</v>
      </c>
      <c r="V258">
        <v>11667000</v>
      </c>
      <c r="X258" s="157" t="s">
        <v>2075</v>
      </c>
      <c r="Y258" t="b">
        <v>1</v>
      </c>
    </row>
    <row r="259" spans="2:25">
      <c r="B259" s="1" t="str">
        <f t="shared" si="4"/>
        <v>M_AEB0402_VM_KF_MACH_17.96_6000</v>
      </c>
      <c r="C259" s="7" t="s">
        <v>2072</v>
      </c>
      <c r="D259" s="7" t="str" cm="1">
        <f t="array" ref="D259">INDEX(기계코드!$D$4:$D$1022,MATCH(1,(C259=기계코드!$F$4:$F$1022)*1,0))</f>
        <v>M_AEB0402</v>
      </c>
      <c r="E259" s="7" t="s">
        <v>2073</v>
      </c>
      <c r="F259" s="7" t="str" cm="1">
        <f t="array" ref="F259">INDEX(공급업체코드!$B$3:$B$1000,MATCH(1,(E259=공급업체코드!$D$3:$D$1000)*1,0))</f>
        <v>VM_KF_MACH</v>
      </c>
      <c r="G259" s="158" t="s">
        <v>2085</v>
      </c>
      <c r="I259" s="166">
        <v>17.96</v>
      </c>
      <c r="J259" s="160">
        <v>6000</v>
      </c>
      <c r="K259" s="159">
        <v>150</v>
      </c>
      <c r="L259" s="165">
        <v>32.064</v>
      </c>
      <c r="M259" s="7" t="s">
        <v>984</v>
      </c>
      <c r="N259" s="7">
        <v>380</v>
      </c>
      <c r="O259" s="151">
        <v>0.94499999999999995</v>
      </c>
      <c r="P259" s="7">
        <v>0.9</v>
      </c>
      <c r="Q259" s="7">
        <v>80</v>
      </c>
      <c r="R259" s="113">
        <v>11</v>
      </c>
      <c r="S259" s="258" t="s">
        <v>1390</v>
      </c>
      <c r="T259" s="10">
        <f t="shared" si="5"/>
        <v>1</v>
      </c>
      <c r="U259" s="260" t="s">
        <v>1391</v>
      </c>
      <c r="V259">
        <v>11667000</v>
      </c>
      <c r="X259" s="157" t="s">
        <v>2075</v>
      </c>
      <c r="Y259" t="b">
        <v>1</v>
      </c>
    </row>
    <row r="260" spans="2:25">
      <c r="B260" s="1" t="str">
        <f t="shared" ref="B260:B323" si="6">D260&amp;"_"&amp;F260&amp;"_"&amp;I260&amp;"_"&amp;J260</f>
        <v>M_AEB0402_VM_KF_MACH_24.33_6000</v>
      </c>
      <c r="C260" s="7" t="s">
        <v>2072</v>
      </c>
      <c r="D260" s="7" t="str" cm="1">
        <f t="array" ref="D260">INDEX(기계코드!$D$4:$D$1022,MATCH(1,(C260=기계코드!$F$4:$F$1022)*1,0))</f>
        <v>M_AEB0402</v>
      </c>
      <c r="E260" s="7" t="s">
        <v>2073</v>
      </c>
      <c r="F260" s="7" t="str" cm="1">
        <f t="array" ref="F260">INDEX(공급업체코드!$B$3:$B$1000,MATCH(1,(E260=공급업체코드!$D$3:$D$1000)*1,0))</f>
        <v>VM_KF_MACH</v>
      </c>
      <c r="G260" s="158" t="s">
        <v>2085</v>
      </c>
      <c r="I260" s="166">
        <v>24.33</v>
      </c>
      <c r="J260" s="160">
        <v>6000</v>
      </c>
      <c r="K260" s="159">
        <v>150</v>
      </c>
      <c r="L260" s="165">
        <v>40.872</v>
      </c>
      <c r="M260" s="7" t="s">
        <v>984</v>
      </c>
      <c r="N260" s="7">
        <v>380</v>
      </c>
      <c r="O260" s="151">
        <v>0.95</v>
      </c>
      <c r="P260" s="7">
        <v>0.9</v>
      </c>
      <c r="Q260" s="7">
        <v>80</v>
      </c>
      <c r="R260" s="113">
        <v>11</v>
      </c>
      <c r="S260" s="258" t="s">
        <v>1390</v>
      </c>
      <c r="T260" s="10">
        <f t="shared" ref="T260:T323" si="7">IF(R260&lt;500,1,IF(R260&lt;1000,2,IF(R260&lt;5000,3,4)))</f>
        <v>1</v>
      </c>
      <c r="U260" s="260" t="s">
        <v>1391</v>
      </c>
      <c r="V260">
        <v>11667000</v>
      </c>
      <c r="X260" s="157" t="s">
        <v>2075</v>
      </c>
      <c r="Y260" t="b">
        <v>1</v>
      </c>
    </row>
    <row r="261" spans="2:25">
      <c r="B261" s="1" t="str">
        <f t="shared" si="6"/>
        <v>M_AEB0402_VM_KF_MACH_30.7_6000</v>
      </c>
      <c r="C261" s="7" t="s">
        <v>2072</v>
      </c>
      <c r="D261" s="7" t="str" cm="1">
        <f t="array" ref="D261">INDEX(기계코드!$D$4:$D$1022,MATCH(1,(C261=기계코드!$F$4:$F$1022)*1,0))</f>
        <v>M_AEB0402</v>
      </c>
      <c r="E261" s="7" t="s">
        <v>2073</v>
      </c>
      <c r="F261" s="7" t="str" cm="1">
        <f t="array" ref="F261">INDEX(공급업체코드!$B$3:$B$1000,MATCH(1,(E261=공급업체코드!$D$3:$D$1000)*1,0))</f>
        <v>VM_KF_MACH</v>
      </c>
      <c r="G261" s="158" t="s">
        <v>2085</v>
      </c>
      <c r="I261" s="166">
        <v>30.7</v>
      </c>
      <c r="J261" s="160">
        <v>6000</v>
      </c>
      <c r="K261" s="159">
        <v>150</v>
      </c>
      <c r="L261" s="165">
        <v>49.547999999999995</v>
      </c>
      <c r="M261" s="7" t="s">
        <v>984</v>
      </c>
      <c r="N261" s="7">
        <v>380</v>
      </c>
      <c r="O261" s="151">
        <v>0.95400000000000007</v>
      </c>
      <c r="P261" s="7">
        <v>0.9</v>
      </c>
      <c r="Q261" s="7">
        <v>80</v>
      </c>
      <c r="R261" s="113">
        <v>11</v>
      </c>
      <c r="S261" s="258" t="s">
        <v>1390</v>
      </c>
      <c r="T261" s="10">
        <f t="shared" si="7"/>
        <v>1</v>
      </c>
      <c r="U261" s="260" t="s">
        <v>1391</v>
      </c>
      <c r="V261">
        <v>11667000</v>
      </c>
      <c r="X261" s="157" t="s">
        <v>2075</v>
      </c>
      <c r="Y261" t="b">
        <v>1</v>
      </c>
    </row>
    <row r="262" spans="2:25">
      <c r="B262" s="1" t="str">
        <f t="shared" si="6"/>
        <v>M_AEB0402_VM_KF_MACH_35.76_6000</v>
      </c>
      <c r="C262" s="7" t="s">
        <v>2072</v>
      </c>
      <c r="D262" s="7" t="str" cm="1">
        <f t="array" ref="D262">INDEX(기계코드!$D$4:$D$1022,MATCH(1,(C262=기계코드!$F$4:$F$1022)*1,0))</f>
        <v>M_AEB0402</v>
      </c>
      <c r="E262" s="7" t="s">
        <v>2073</v>
      </c>
      <c r="F262" s="7" t="str" cm="1">
        <f t="array" ref="F262">INDEX(공급업체코드!$B$3:$B$1000,MATCH(1,(E262=공급업체코드!$D$3:$D$1000)*1,0))</f>
        <v>VM_KF_MACH</v>
      </c>
      <c r="G262" s="158" t="s">
        <v>2085</v>
      </c>
      <c r="I262" s="166">
        <v>35.76</v>
      </c>
      <c r="J262" s="160">
        <v>6000</v>
      </c>
      <c r="K262" s="159">
        <v>150</v>
      </c>
      <c r="L262" s="165">
        <v>56.04</v>
      </c>
      <c r="M262" s="7" t="s">
        <v>984</v>
      </c>
      <c r="N262" s="7">
        <v>380</v>
      </c>
      <c r="O262" s="151">
        <v>0.95400000000000007</v>
      </c>
      <c r="P262" s="7">
        <v>0.9</v>
      </c>
      <c r="Q262" s="7">
        <v>80</v>
      </c>
      <c r="R262" s="113">
        <v>11</v>
      </c>
      <c r="S262" s="258" t="s">
        <v>1390</v>
      </c>
      <c r="T262" s="10">
        <f t="shared" si="7"/>
        <v>1</v>
      </c>
      <c r="U262" s="260" t="s">
        <v>1391</v>
      </c>
      <c r="V262">
        <v>11667000</v>
      </c>
      <c r="X262" s="157" t="s">
        <v>2075</v>
      </c>
      <c r="Y262" t="b">
        <v>1</v>
      </c>
    </row>
    <row r="263" spans="2:25">
      <c r="B263" s="1" t="str">
        <f t="shared" si="6"/>
        <v>M_AEB0402_VM_KF_MACH_19.68_4000</v>
      </c>
      <c r="C263" s="7" t="s">
        <v>2072</v>
      </c>
      <c r="D263" s="7" t="str" cm="1">
        <f t="array" ref="D263">INDEX(기계코드!$D$4:$D$1022,MATCH(1,(C263=기계코드!$F$4:$F$1022)*1,0))</f>
        <v>M_AEB0402</v>
      </c>
      <c r="E263" s="7" t="s">
        <v>2073</v>
      </c>
      <c r="F263" s="7" t="str" cm="1">
        <f t="array" ref="F263">INDEX(공급업체코드!$B$3:$B$1000,MATCH(1,(E263=공급업체코드!$D$3:$D$1000)*1,0))</f>
        <v>VM_KF_MACH</v>
      </c>
      <c r="G263" s="158" t="s">
        <v>2086</v>
      </c>
      <c r="I263" s="166">
        <v>19.68</v>
      </c>
      <c r="J263" s="160">
        <v>4000</v>
      </c>
      <c r="K263" s="159">
        <v>200</v>
      </c>
      <c r="L263" s="165">
        <v>22.595999999999997</v>
      </c>
      <c r="M263" s="7" t="s">
        <v>984</v>
      </c>
      <c r="N263" s="7">
        <v>380</v>
      </c>
      <c r="O263" s="151">
        <v>0.94099999999999995</v>
      </c>
      <c r="P263" s="7">
        <v>0.9</v>
      </c>
      <c r="Q263" s="7">
        <v>80</v>
      </c>
      <c r="R263" s="113">
        <v>11</v>
      </c>
      <c r="S263" s="258" t="s">
        <v>1390</v>
      </c>
      <c r="T263" s="10">
        <f t="shared" si="7"/>
        <v>1</v>
      </c>
      <c r="U263" s="260" t="s">
        <v>1391</v>
      </c>
      <c r="V263">
        <v>19768000</v>
      </c>
      <c r="X263" s="157" t="s">
        <v>2075</v>
      </c>
      <c r="Y263" t="b">
        <v>1</v>
      </c>
    </row>
    <row r="264" spans="2:25">
      <c r="B264" s="1" t="str">
        <f t="shared" si="6"/>
        <v>M_AEB0402_VM_KF_MACH_24.43_4000</v>
      </c>
      <c r="C264" s="7" t="s">
        <v>2072</v>
      </c>
      <c r="D264" s="7" t="str" cm="1">
        <f t="array" ref="D264">INDEX(기계코드!$D$4:$D$1022,MATCH(1,(C264=기계코드!$F$4:$F$1022)*1,0))</f>
        <v>M_AEB0402</v>
      </c>
      <c r="E264" s="7" t="s">
        <v>2073</v>
      </c>
      <c r="F264" s="7" t="str" cm="1">
        <f t="array" ref="F264">INDEX(공급업체코드!$B$3:$B$1000,MATCH(1,(E264=공급업체코드!$D$3:$D$1000)*1,0))</f>
        <v>VM_KF_MACH</v>
      </c>
      <c r="G264" s="158" t="s">
        <v>2086</v>
      </c>
      <c r="I264" s="166">
        <v>24.43</v>
      </c>
      <c r="J264" s="160">
        <v>4000</v>
      </c>
      <c r="K264" s="159">
        <v>200</v>
      </c>
      <c r="L264" s="165">
        <v>27.24</v>
      </c>
      <c r="M264" s="7" t="s">
        <v>984</v>
      </c>
      <c r="N264" s="7">
        <v>380</v>
      </c>
      <c r="O264" s="151">
        <v>0.94099999999999995</v>
      </c>
      <c r="P264" s="7">
        <v>0.9</v>
      </c>
      <c r="Q264" s="7">
        <v>80</v>
      </c>
      <c r="R264" s="113">
        <v>11</v>
      </c>
      <c r="S264" s="258" t="s">
        <v>1390</v>
      </c>
      <c r="T264" s="10">
        <f t="shared" si="7"/>
        <v>1</v>
      </c>
      <c r="U264" s="260" t="s">
        <v>1391</v>
      </c>
      <c r="V264">
        <v>19768000</v>
      </c>
      <c r="X264" s="157" t="s">
        <v>2075</v>
      </c>
      <c r="Y264" t="b">
        <v>1</v>
      </c>
    </row>
    <row r="265" spans="2:25">
      <c r="B265" s="1" t="str">
        <f t="shared" si="6"/>
        <v>M_AEB0402_VM_KF_MACH_31.93_4000</v>
      </c>
      <c r="C265" s="7" t="s">
        <v>2072</v>
      </c>
      <c r="D265" s="7" t="str" cm="1">
        <f t="array" ref="D265">INDEX(기계코드!$D$4:$D$1022,MATCH(1,(C265=기계코드!$F$4:$F$1022)*1,0))</f>
        <v>M_AEB0402</v>
      </c>
      <c r="E265" s="7" t="s">
        <v>2073</v>
      </c>
      <c r="F265" s="7" t="str" cm="1">
        <f t="array" ref="F265">INDEX(공급업체코드!$B$3:$B$1000,MATCH(1,(E265=공급업체코드!$D$3:$D$1000)*1,0))</f>
        <v>VM_KF_MACH</v>
      </c>
      <c r="G265" s="158" t="s">
        <v>2086</v>
      </c>
      <c r="I265" s="166">
        <v>31.93</v>
      </c>
      <c r="J265" s="160">
        <v>4000</v>
      </c>
      <c r="K265" s="159">
        <v>200</v>
      </c>
      <c r="L265" s="165">
        <v>34.271999999999998</v>
      </c>
      <c r="M265" s="7" t="s">
        <v>984</v>
      </c>
      <c r="N265" s="7">
        <v>380</v>
      </c>
      <c r="O265" s="151">
        <v>0.94499999999999995</v>
      </c>
      <c r="P265" s="7">
        <v>0.9</v>
      </c>
      <c r="Q265" s="7">
        <v>80</v>
      </c>
      <c r="R265" s="113">
        <v>11</v>
      </c>
      <c r="S265" s="258" t="s">
        <v>1390</v>
      </c>
      <c r="T265" s="10">
        <f t="shared" si="7"/>
        <v>1</v>
      </c>
      <c r="U265" s="260" t="s">
        <v>1391</v>
      </c>
      <c r="V265">
        <v>19768000</v>
      </c>
      <c r="X265" s="157" t="s">
        <v>2075</v>
      </c>
      <c r="Y265" t="b">
        <v>1</v>
      </c>
    </row>
    <row r="266" spans="2:25">
      <c r="B266" s="1" t="str">
        <f t="shared" si="6"/>
        <v>M_AEB0402_VM_KF_MACH_44.99_4000</v>
      </c>
      <c r="C266" s="7" t="s">
        <v>2072</v>
      </c>
      <c r="D266" s="7" t="str" cm="1">
        <f t="array" ref="D266">INDEX(기계코드!$D$4:$D$1022,MATCH(1,(C266=기계코드!$F$4:$F$1022)*1,0))</f>
        <v>M_AEB0402</v>
      </c>
      <c r="E266" s="7" t="s">
        <v>2073</v>
      </c>
      <c r="F266" s="7" t="str" cm="1">
        <f t="array" ref="F266">INDEX(공급업체코드!$B$3:$B$1000,MATCH(1,(E266=공급업체코드!$D$3:$D$1000)*1,0))</f>
        <v>VM_KF_MACH</v>
      </c>
      <c r="G266" s="158" t="s">
        <v>2086</v>
      </c>
      <c r="I266" s="166">
        <v>44.99</v>
      </c>
      <c r="J266" s="160">
        <v>4000</v>
      </c>
      <c r="K266" s="159">
        <v>200</v>
      </c>
      <c r="L266" s="165">
        <v>45.743999999999993</v>
      </c>
      <c r="M266" s="7" t="s">
        <v>984</v>
      </c>
      <c r="N266" s="7">
        <v>380</v>
      </c>
      <c r="O266" s="151">
        <v>0.95400000000000007</v>
      </c>
      <c r="P266" s="7">
        <v>0.9</v>
      </c>
      <c r="Q266" s="7">
        <v>80</v>
      </c>
      <c r="R266" s="113">
        <v>11</v>
      </c>
      <c r="S266" s="258" t="s">
        <v>1390</v>
      </c>
      <c r="T266" s="10">
        <f t="shared" si="7"/>
        <v>1</v>
      </c>
      <c r="U266" s="260" t="s">
        <v>1391</v>
      </c>
      <c r="V266">
        <v>19768000</v>
      </c>
      <c r="X266" s="157" t="s">
        <v>2075</v>
      </c>
      <c r="Y266" t="b">
        <v>1</v>
      </c>
    </row>
    <row r="267" spans="2:25">
      <c r="B267" s="1" t="str">
        <f t="shared" si="6"/>
        <v>M_AEB0402_VM_KF_MACH_19.08_5000</v>
      </c>
      <c r="C267" s="7" t="s">
        <v>2072</v>
      </c>
      <c r="D267" s="7" t="str" cm="1">
        <f t="array" ref="D267">INDEX(기계코드!$D$4:$D$1022,MATCH(1,(C267=기계코드!$F$4:$F$1022)*1,0))</f>
        <v>M_AEB0402</v>
      </c>
      <c r="E267" s="7" t="s">
        <v>2073</v>
      </c>
      <c r="F267" s="7" t="str" cm="1">
        <f t="array" ref="F267">INDEX(공급업체코드!$B$3:$B$1000,MATCH(1,(E267=공급업체코드!$D$3:$D$1000)*1,0))</f>
        <v>VM_KF_MACH</v>
      </c>
      <c r="G267" s="158" t="s">
        <v>2086</v>
      </c>
      <c r="I267" s="166">
        <v>19.079999999999998</v>
      </c>
      <c r="J267" s="160">
        <v>5000</v>
      </c>
      <c r="K267" s="159">
        <v>200</v>
      </c>
      <c r="L267" s="165">
        <v>27.407999999999998</v>
      </c>
      <c r="M267" s="7" t="s">
        <v>984</v>
      </c>
      <c r="N267" s="7">
        <v>380</v>
      </c>
      <c r="O267" s="151">
        <v>0.94099999999999995</v>
      </c>
      <c r="P267" s="7">
        <v>0.9</v>
      </c>
      <c r="Q267" s="7">
        <v>80</v>
      </c>
      <c r="R267" s="113">
        <v>11</v>
      </c>
      <c r="S267" s="258" t="s">
        <v>1390</v>
      </c>
      <c r="T267" s="10">
        <f t="shared" si="7"/>
        <v>1</v>
      </c>
      <c r="U267" s="260" t="s">
        <v>1391</v>
      </c>
      <c r="V267">
        <v>27719000</v>
      </c>
      <c r="X267" s="157" t="s">
        <v>2075</v>
      </c>
      <c r="Y267" t="b">
        <v>1</v>
      </c>
    </row>
    <row r="268" spans="2:25">
      <c r="B268" s="1" t="str">
        <f t="shared" si="6"/>
        <v>M_AEB0402_VM_KF_MACH_23.87_5000</v>
      </c>
      <c r="C268" s="7" t="s">
        <v>2072</v>
      </c>
      <c r="D268" s="7" t="str" cm="1">
        <f t="array" ref="D268">INDEX(기계코드!$D$4:$D$1022,MATCH(1,(C268=기계코드!$F$4:$F$1022)*1,0))</f>
        <v>M_AEB0402</v>
      </c>
      <c r="E268" s="7" t="s">
        <v>2073</v>
      </c>
      <c r="F268" s="7" t="str" cm="1">
        <f t="array" ref="F268">INDEX(공급업체코드!$B$3:$B$1000,MATCH(1,(E268=공급업체코드!$D$3:$D$1000)*1,0))</f>
        <v>VM_KF_MACH</v>
      </c>
      <c r="G268" s="158" t="s">
        <v>2086</v>
      </c>
      <c r="I268" s="166">
        <v>23.87</v>
      </c>
      <c r="J268" s="160">
        <v>5000</v>
      </c>
      <c r="K268" s="159">
        <v>200</v>
      </c>
      <c r="L268" s="165">
        <v>33.036000000000001</v>
      </c>
      <c r="M268" s="7" t="s">
        <v>984</v>
      </c>
      <c r="N268" s="7">
        <v>380</v>
      </c>
      <c r="O268" s="151">
        <v>0.94499999999999995</v>
      </c>
      <c r="P268" s="7">
        <v>0.9</v>
      </c>
      <c r="Q268" s="7">
        <v>80</v>
      </c>
      <c r="R268" s="113">
        <v>11</v>
      </c>
      <c r="S268" s="258" t="s">
        <v>1390</v>
      </c>
      <c r="T268" s="10">
        <f t="shared" si="7"/>
        <v>1</v>
      </c>
      <c r="U268" s="260" t="s">
        <v>1391</v>
      </c>
      <c r="V268">
        <v>27719000</v>
      </c>
      <c r="X268" s="157" t="s">
        <v>2075</v>
      </c>
      <c r="Y268" t="b">
        <v>1</v>
      </c>
    </row>
    <row r="269" spans="2:25">
      <c r="B269" s="1" t="str">
        <f t="shared" si="6"/>
        <v>M_AEB0402_VM_KF_MACH_31.24_5000</v>
      </c>
      <c r="C269" s="7" t="s">
        <v>2072</v>
      </c>
      <c r="D269" s="7" t="str" cm="1">
        <f t="array" ref="D269">INDEX(기계코드!$D$4:$D$1022,MATCH(1,(C269=기계코드!$F$4:$F$1022)*1,0))</f>
        <v>M_AEB0402</v>
      </c>
      <c r="E269" s="7" t="s">
        <v>2073</v>
      </c>
      <c r="F269" s="7" t="str" cm="1">
        <f t="array" ref="F269">INDEX(공급업체코드!$B$3:$B$1000,MATCH(1,(E269=공급업체코드!$D$3:$D$1000)*1,0))</f>
        <v>VM_KF_MACH</v>
      </c>
      <c r="G269" s="158" t="s">
        <v>2086</v>
      </c>
      <c r="I269" s="166">
        <v>31.24</v>
      </c>
      <c r="J269" s="160">
        <v>5000</v>
      </c>
      <c r="K269" s="159">
        <v>200</v>
      </c>
      <c r="L269" s="165">
        <v>41.64</v>
      </c>
      <c r="M269" s="7" t="s">
        <v>984</v>
      </c>
      <c r="N269" s="7">
        <v>380</v>
      </c>
      <c r="O269" s="151">
        <v>0.95</v>
      </c>
      <c r="P269" s="7">
        <v>0.9</v>
      </c>
      <c r="Q269" s="7">
        <v>80</v>
      </c>
      <c r="R269" s="113">
        <v>11</v>
      </c>
      <c r="S269" s="258" t="s">
        <v>1390</v>
      </c>
      <c r="T269" s="10">
        <f t="shared" si="7"/>
        <v>1</v>
      </c>
      <c r="U269" s="260" t="s">
        <v>1391</v>
      </c>
      <c r="V269">
        <v>27719000</v>
      </c>
      <c r="X269" s="157" t="s">
        <v>2075</v>
      </c>
      <c r="Y269" t="b">
        <v>1</v>
      </c>
    </row>
    <row r="270" spans="2:25">
      <c r="B270" s="1" t="str">
        <f t="shared" si="6"/>
        <v>M_AEB0402_VM_KF_MACH_44.42_5000</v>
      </c>
      <c r="C270" s="7" t="s">
        <v>2072</v>
      </c>
      <c r="D270" s="7" t="str" cm="1">
        <f t="array" ref="D270">INDEX(기계코드!$D$4:$D$1022,MATCH(1,(C270=기계코드!$F$4:$F$1022)*1,0))</f>
        <v>M_AEB0402</v>
      </c>
      <c r="E270" s="7" t="s">
        <v>2073</v>
      </c>
      <c r="F270" s="7" t="str" cm="1">
        <f t="array" ref="F270">INDEX(공급업체코드!$B$3:$B$1000,MATCH(1,(E270=공급업체코드!$D$3:$D$1000)*1,0))</f>
        <v>VM_KF_MACH</v>
      </c>
      <c r="G270" s="158" t="s">
        <v>2086</v>
      </c>
      <c r="I270" s="166">
        <v>44.42</v>
      </c>
      <c r="J270" s="160">
        <v>5000</v>
      </c>
      <c r="K270" s="159">
        <v>200</v>
      </c>
      <c r="L270" s="165">
        <v>55.884</v>
      </c>
      <c r="M270" s="7" t="s">
        <v>984</v>
      </c>
      <c r="N270" s="7">
        <v>380</v>
      </c>
      <c r="O270" s="151">
        <v>0.95400000000000007</v>
      </c>
      <c r="P270" s="7">
        <v>0.9</v>
      </c>
      <c r="Q270" s="7">
        <v>80</v>
      </c>
      <c r="R270" s="113">
        <v>11</v>
      </c>
      <c r="S270" s="258" t="s">
        <v>1390</v>
      </c>
      <c r="T270" s="10">
        <f t="shared" si="7"/>
        <v>1</v>
      </c>
      <c r="U270" s="260" t="s">
        <v>1391</v>
      </c>
      <c r="V270">
        <v>27719000</v>
      </c>
      <c r="X270" s="157" t="s">
        <v>2075</v>
      </c>
      <c r="Y270" t="b">
        <v>1</v>
      </c>
    </row>
    <row r="271" spans="2:25">
      <c r="B271" s="1" t="str">
        <f t="shared" si="6"/>
        <v>M_AEB0402_VM_KF_MACH_18.48_6000</v>
      </c>
      <c r="C271" s="7" t="s">
        <v>2072</v>
      </c>
      <c r="D271" s="7" t="str" cm="1">
        <f t="array" ref="D271">INDEX(기계코드!$D$4:$D$1022,MATCH(1,(C271=기계코드!$F$4:$F$1022)*1,0))</f>
        <v>M_AEB0402</v>
      </c>
      <c r="E271" s="7" t="s">
        <v>2073</v>
      </c>
      <c r="F271" s="7" t="str" cm="1">
        <f t="array" ref="F271">INDEX(공급업체코드!$B$3:$B$1000,MATCH(1,(E271=공급업체코드!$D$3:$D$1000)*1,0))</f>
        <v>VM_KF_MACH</v>
      </c>
      <c r="G271" s="158" t="s">
        <v>2086</v>
      </c>
      <c r="I271" s="166">
        <v>18.48</v>
      </c>
      <c r="J271" s="160">
        <v>6000</v>
      </c>
      <c r="K271" s="159">
        <v>200</v>
      </c>
      <c r="L271" s="165">
        <v>32.087999999999994</v>
      </c>
      <c r="M271" s="7" t="s">
        <v>984</v>
      </c>
      <c r="N271" s="7">
        <v>380</v>
      </c>
      <c r="O271" s="151">
        <v>0.94499999999999995</v>
      </c>
      <c r="P271" s="7">
        <v>0.9</v>
      </c>
      <c r="Q271" s="7">
        <v>80</v>
      </c>
      <c r="R271" s="113">
        <v>11</v>
      </c>
      <c r="S271" s="258" t="s">
        <v>1390</v>
      </c>
      <c r="T271" s="10">
        <f t="shared" si="7"/>
        <v>1</v>
      </c>
      <c r="U271" s="260" t="s">
        <v>1391</v>
      </c>
      <c r="V271">
        <v>27719000</v>
      </c>
      <c r="X271" s="157" t="s">
        <v>2075</v>
      </c>
      <c r="Y271" t="b">
        <v>1</v>
      </c>
    </row>
    <row r="272" spans="2:25">
      <c r="B272" s="1" t="str">
        <f t="shared" si="6"/>
        <v>M_AEB0402_VM_KF_MACH_23.44_6000</v>
      </c>
      <c r="C272" s="7" t="s">
        <v>2072</v>
      </c>
      <c r="D272" s="7" t="str" cm="1">
        <f t="array" ref="D272">INDEX(기계코드!$D$4:$D$1022,MATCH(1,(C272=기계코드!$F$4:$F$1022)*1,0))</f>
        <v>M_AEB0402</v>
      </c>
      <c r="E272" s="7" t="s">
        <v>2073</v>
      </c>
      <c r="F272" s="7" t="str" cm="1">
        <f t="array" ref="F272">INDEX(공급업체코드!$B$3:$B$1000,MATCH(1,(E272=공급업체코드!$D$3:$D$1000)*1,0))</f>
        <v>VM_KF_MACH</v>
      </c>
      <c r="G272" s="158" t="s">
        <v>2086</v>
      </c>
      <c r="I272" s="166">
        <v>23.44</v>
      </c>
      <c r="J272" s="160">
        <v>6000</v>
      </c>
      <c r="K272" s="159">
        <v>200</v>
      </c>
      <c r="L272" s="165">
        <v>38.675999999999995</v>
      </c>
      <c r="M272" s="7" t="s">
        <v>984</v>
      </c>
      <c r="N272" s="7">
        <v>380</v>
      </c>
      <c r="O272" s="151">
        <v>0.95</v>
      </c>
      <c r="P272" s="7">
        <v>0.9</v>
      </c>
      <c r="Q272" s="7">
        <v>80</v>
      </c>
      <c r="R272" s="113">
        <v>11</v>
      </c>
      <c r="S272" s="258" t="s">
        <v>1390</v>
      </c>
      <c r="T272" s="10">
        <f t="shared" si="7"/>
        <v>1</v>
      </c>
      <c r="U272" s="260" t="s">
        <v>1391</v>
      </c>
      <c r="V272">
        <v>27719000</v>
      </c>
      <c r="X272" s="157" t="s">
        <v>2075</v>
      </c>
      <c r="Y272" t="b">
        <v>1</v>
      </c>
    </row>
    <row r="273" spans="2:25">
      <c r="B273" s="1" t="str">
        <f t="shared" si="6"/>
        <v>M_AEB0402_VM_KF_MACH_30.84_6000</v>
      </c>
      <c r="C273" s="7" t="s">
        <v>2072</v>
      </c>
      <c r="D273" s="7" t="str" cm="1">
        <f t="array" ref="D273">INDEX(기계코드!$D$4:$D$1022,MATCH(1,(C273=기계코드!$F$4:$F$1022)*1,0))</f>
        <v>M_AEB0402</v>
      </c>
      <c r="E273" s="7" t="s">
        <v>2073</v>
      </c>
      <c r="F273" s="7" t="str" cm="1">
        <f t="array" ref="F273">INDEX(공급업체코드!$B$3:$B$1000,MATCH(1,(E273=공급업체코드!$D$3:$D$1000)*1,0))</f>
        <v>VM_KF_MACH</v>
      </c>
      <c r="G273" s="158" t="s">
        <v>2086</v>
      </c>
      <c r="I273" s="166">
        <v>30.84</v>
      </c>
      <c r="J273" s="160">
        <v>6000</v>
      </c>
      <c r="K273" s="159">
        <v>200</v>
      </c>
      <c r="L273" s="165">
        <v>49.175999999999995</v>
      </c>
      <c r="M273" s="7" t="s">
        <v>984</v>
      </c>
      <c r="N273" s="7">
        <v>380</v>
      </c>
      <c r="O273" s="151">
        <v>0.95400000000000007</v>
      </c>
      <c r="P273" s="7">
        <v>0.9</v>
      </c>
      <c r="Q273" s="7">
        <v>80</v>
      </c>
      <c r="R273" s="113">
        <v>11</v>
      </c>
      <c r="S273" s="258" t="s">
        <v>1390</v>
      </c>
      <c r="T273" s="10">
        <f t="shared" si="7"/>
        <v>1</v>
      </c>
      <c r="U273" s="260" t="s">
        <v>1391</v>
      </c>
      <c r="V273">
        <v>27719000</v>
      </c>
      <c r="X273" s="157" t="s">
        <v>2075</v>
      </c>
      <c r="Y273" t="b">
        <v>1</v>
      </c>
    </row>
    <row r="274" spans="2:25">
      <c r="B274" s="1" t="str">
        <f t="shared" si="6"/>
        <v>M_AEB0402_VM_KF_MACH_43.84_6000</v>
      </c>
      <c r="C274" s="7" t="s">
        <v>2072</v>
      </c>
      <c r="D274" s="7" t="str" cm="1">
        <f t="array" ref="D274">INDEX(기계코드!$D$4:$D$1022,MATCH(1,(C274=기계코드!$F$4:$F$1022)*1,0))</f>
        <v>M_AEB0402</v>
      </c>
      <c r="E274" s="7" t="s">
        <v>2073</v>
      </c>
      <c r="F274" s="7" t="str" cm="1">
        <f t="array" ref="F274">INDEX(공급업체코드!$B$3:$B$1000,MATCH(1,(E274=공급업체코드!$D$3:$D$1000)*1,0))</f>
        <v>VM_KF_MACH</v>
      </c>
      <c r="G274" s="158" t="s">
        <v>2086</v>
      </c>
      <c r="I274" s="166">
        <v>43.84</v>
      </c>
      <c r="J274" s="160">
        <v>6000</v>
      </c>
      <c r="K274" s="159">
        <v>200</v>
      </c>
      <c r="L274" s="165">
        <v>66.456000000000003</v>
      </c>
      <c r="M274" s="7" t="s">
        <v>984</v>
      </c>
      <c r="N274" s="7">
        <v>380</v>
      </c>
      <c r="O274" s="151">
        <v>0.95400000000000007</v>
      </c>
      <c r="P274" s="7">
        <v>0.9</v>
      </c>
      <c r="Q274" s="7">
        <v>80</v>
      </c>
      <c r="R274" s="113">
        <v>11</v>
      </c>
      <c r="S274" s="258" t="s">
        <v>1390</v>
      </c>
      <c r="T274" s="10">
        <f t="shared" si="7"/>
        <v>1</v>
      </c>
      <c r="U274" s="260" t="s">
        <v>1391</v>
      </c>
      <c r="V274">
        <v>27719000</v>
      </c>
      <c r="X274" s="157" t="s">
        <v>2075</v>
      </c>
      <c r="Y274" t="b">
        <v>1</v>
      </c>
    </row>
    <row r="275" spans="2:25">
      <c r="B275" s="1" t="str">
        <f t="shared" si="6"/>
        <v>M_AEB0402_VM_KF_MACH_1.94_7000</v>
      </c>
      <c r="C275" s="7" t="s">
        <v>2072</v>
      </c>
      <c r="D275" s="7" t="str" cm="1">
        <f t="array" ref="D275">INDEX(기계코드!$D$4:$D$1022,MATCH(1,(C275=기계코드!$F$4:$F$1022)*1,0))</f>
        <v>M_AEB0402</v>
      </c>
      <c r="E275" s="7" t="s">
        <v>2073</v>
      </c>
      <c r="F275" s="7" t="str" cm="1">
        <f t="array" ref="F275">INDEX(공급업체코드!$B$3:$B$1000,MATCH(1,(E275=공급업체코드!$D$3:$D$1000)*1,0))</f>
        <v>VM_KF_MACH</v>
      </c>
      <c r="G275" s="158" t="s">
        <v>2077</v>
      </c>
      <c r="I275" s="166">
        <v>1.94</v>
      </c>
      <c r="J275" s="160">
        <v>7000</v>
      </c>
      <c r="K275" s="159">
        <v>80</v>
      </c>
      <c r="L275" s="165">
        <v>6.5280000000000005</v>
      </c>
      <c r="M275" s="7" t="s">
        <v>984</v>
      </c>
      <c r="N275" s="7">
        <v>380</v>
      </c>
      <c r="O275" s="151">
        <v>0.91700000000000004</v>
      </c>
      <c r="P275" s="7">
        <v>0.9</v>
      </c>
      <c r="Q275" s="7">
        <v>80</v>
      </c>
      <c r="R275" s="113">
        <v>11</v>
      </c>
      <c r="S275" s="258" t="s">
        <v>1390</v>
      </c>
      <c r="T275" s="10">
        <f t="shared" si="7"/>
        <v>1</v>
      </c>
      <c r="U275" s="260" t="s">
        <v>1391</v>
      </c>
      <c r="V275">
        <v>4300000</v>
      </c>
      <c r="X275" s="157" t="s">
        <v>2075</v>
      </c>
      <c r="Y275" t="b">
        <v>1</v>
      </c>
    </row>
    <row r="276" spans="2:25">
      <c r="B276" s="1" t="str">
        <f t="shared" si="6"/>
        <v>M_AEB0402_VM_KF_MACH_2.62_7000</v>
      </c>
      <c r="C276" s="7" t="s">
        <v>2072</v>
      </c>
      <c r="D276" s="7" t="str" cm="1">
        <f t="array" ref="D276">INDEX(기계코드!$D$4:$D$1022,MATCH(1,(C276=기계코드!$F$4:$F$1022)*1,0))</f>
        <v>M_AEB0402</v>
      </c>
      <c r="E276" s="7" t="s">
        <v>2073</v>
      </c>
      <c r="F276" s="7" t="str" cm="1">
        <f t="array" ref="F276">INDEX(공급업체코드!$B$3:$B$1000,MATCH(1,(E276=공급업체코드!$D$3:$D$1000)*1,0))</f>
        <v>VM_KF_MACH</v>
      </c>
      <c r="G276" s="158" t="s">
        <v>2077</v>
      </c>
      <c r="I276" s="166">
        <v>2.62</v>
      </c>
      <c r="J276" s="160">
        <v>7000</v>
      </c>
      <c r="K276" s="159">
        <v>80</v>
      </c>
      <c r="L276" s="165">
        <v>7.992</v>
      </c>
      <c r="M276" s="7" t="s">
        <v>984</v>
      </c>
      <c r="N276" s="7">
        <v>380</v>
      </c>
      <c r="O276" s="151">
        <v>0.92400000000000004</v>
      </c>
      <c r="P276" s="7">
        <v>0.9</v>
      </c>
      <c r="Q276" s="7">
        <v>80</v>
      </c>
      <c r="R276" s="113">
        <v>11</v>
      </c>
      <c r="S276" s="258" t="s">
        <v>1390</v>
      </c>
      <c r="T276" s="10">
        <f t="shared" si="7"/>
        <v>1</v>
      </c>
      <c r="U276" s="260" t="s">
        <v>1391</v>
      </c>
      <c r="V276">
        <v>4300000</v>
      </c>
      <c r="X276" s="157" t="s">
        <v>2075</v>
      </c>
      <c r="Y276" t="b">
        <v>1</v>
      </c>
    </row>
    <row r="277" spans="2:25">
      <c r="B277" s="1" t="str">
        <f t="shared" si="6"/>
        <v>M_AEB0402_VM_KF_MACH_3.34_7000</v>
      </c>
      <c r="C277" s="7" t="s">
        <v>2072</v>
      </c>
      <c r="D277" s="7" t="str" cm="1">
        <f t="array" ref="D277">INDEX(기계코드!$D$4:$D$1022,MATCH(1,(C277=기계코드!$F$4:$F$1022)*1,0))</f>
        <v>M_AEB0402</v>
      </c>
      <c r="E277" s="7" t="s">
        <v>2073</v>
      </c>
      <c r="F277" s="7" t="str" cm="1">
        <f t="array" ref="F277">INDEX(공급업체코드!$B$3:$B$1000,MATCH(1,(E277=공급업체코드!$D$3:$D$1000)*1,0))</f>
        <v>VM_KF_MACH</v>
      </c>
      <c r="G277" s="158" t="s">
        <v>2077</v>
      </c>
      <c r="I277" s="166">
        <v>3.34</v>
      </c>
      <c r="J277" s="160">
        <v>7000</v>
      </c>
      <c r="K277" s="159">
        <v>80</v>
      </c>
      <c r="L277" s="165">
        <v>9.4439999999999991</v>
      </c>
      <c r="M277" s="7" t="s">
        <v>984</v>
      </c>
      <c r="N277" s="7">
        <v>380</v>
      </c>
      <c r="O277" s="151">
        <v>0.92400000000000004</v>
      </c>
      <c r="P277" s="7">
        <v>0.9</v>
      </c>
      <c r="Q277" s="7">
        <v>80</v>
      </c>
      <c r="R277" s="113">
        <v>11</v>
      </c>
      <c r="S277" s="258" t="s">
        <v>1390</v>
      </c>
      <c r="T277" s="10">
        <f t="shared" si="7"/>
        <v>1</v>
      </c>
      <c r="U277" s="260" t="s">
        <v>1391</v>
      </c>
      <c r="V277">
        <v>4300000</v>
      </c>
      <c r="X277" s="157" t="s">
        <v>2075</v>
      </c>
      <c r="Y277" t="b">
        <v>1</v>
      </c>
    </row>
    <row r="278" spans="2:25">
      <c r="B278" s="1" t="str">
        <f t="shared" si="6"/>
        <v>M_AEB0402_VM_KF_MACH_3.49_7000</v>
      </c>
      <c r="C278" s="7" t="s">
        <v>2072</v>
      </c>
      <c r="D278" s="7" t="str" cm="1">
        <f t="array" ref="D278">INDEX(기계코드!$D$4:$D$1022,MATCH(1,(C278=기계코드!$F$4:$F$1022)*1,0))</f>
        <v>M_AEB0402</v>
      </c>
      <c r="E278" s="7" t="s">
        <v>2073</v>
      </c>
      <c r="F278" s="7" t="str" cm="1">
        <f t="array" ref="F278">INDEX(공급업체코드!$B$3:$B$1000,MATCH(1,(E278=공급업체코드!$D$3:$D$1000)*1,0))</f>
        <v>VM_KF_MACH</v>
      </c>
      <c r="G278" s="158" t="s">
        <v>2077</v>
      </c>
      <c r="I278" s="166">
        <v>3.49</v>
      </c>
      <c r="J278" s="160">
        <v>7000</v>
      </c>
      <c r="K278" s="159">
        <v>80</v>
      </c>
      <c r="L278" s="165">
        <v>9.743999999999998</v>
      </c>
      <c r="M278" s="7" t="s">
        <v>984</v>
      </c>
      <c r="N278" s="7">
        <v>380</v>
      </c>
      <c r="O278" s="151">
        <v>0.92400000000000004</v>
      </c>
      <c r="P278" s="7">
        <v>0.9</v>
      </c>
      <c r="Q278" s="7">
        <v>80</v>
      </c>
      <c r="R278" s="113">
        <v>11</v>
      </c>
      <c r="S278" s="258" t="s">
        <v>1390</v>
      </c>
      <c r="T278" s="10">
        <f t="shared" si="7"/>
        <v>1</v>
      </c>
      <c r="U278" s="260" t="s">
        <v>1391</v>
      </c>
      <c r="V278">
        <v>4300000</v>
      </c>
      <c r="X278" s="157" t="s">
        <v>2075</v>
      </c>
      <c r="Y278" t="b">
        <v>1</v>
      </c>
    </row>
    <row r="279" spans="2:25">
      <c r="B279" s="1" t="str">
        <f t="shared" si="6"/>
        <v>M_AEB0402_VM_KF_MACH_4.7_7000</v>
      </c>
      <c r="C279" s="7" t="s">
        <v>2072</v>
      </c>
      <c r="D279" s="7" t="str" cm="1">
        <f t="array" ref="D279">INDEX(기계코드!$D$4:$D$1022,MATCH(1,(C279=기계코드!$F$4:$F$1022)*1,0))</f>
        <v>M_AEB0402</v>
      </c>
      <c r="E279" s="7" t="s">
        <v>2073</v>
      </c>
      <c r="F279" s="7" t="str" cm="1">
        <f t="array" ref="F279">INDEX(공급업체코드!$B$3:$B$1000,MATCH(1,(E279=공급업체코드!$D$3:$D$1000)*1,0))</f>
        <v>VM_KF_MACH</v>
      </c>
      <c r="G279" s="158" t="s">
        <v>2077</v>
      </c>
      <c r="I279" s="166">
        <v>4.7</v>
      </c>
      <c r="J279" s="160">
        <v>7000</v>
      </c>
      <c r="K279" s="159">
        <v>80</v>
      </c>
      <c r="L279" s="165">
        <v>11.664</v>
      </c>
      <c r="M279" s="7" t="s">
        <v>984</v>
      </c>
      <c r="N279" s="7">
        <v>380</v>
      </c>
      <c r="O279" s="151">
        <v>0.93</v>
      </c>
      <c r="P279" s="7">
        <v>0.9</v>
      </c>
      <c r="Q279" s="7">
        <v>80</v>
      </c>
      <c r="R279" s="113">
        <v>11</v>
      </c>
      <c r="S279" s="258" t="s">
        <v>1390</v>
      </c>
      <c r="T279" s="10">
        <f t="shared" si="7"/>
        <v>1</v>
      </c>
      <c r="U279" s="260" t="s">
        <v>1391</v>
      </c>
      <c r="V279">
        <v>4300000</v>
      </c>
      <c r="X279" s="157" t="s">
        <v>2075</v>
      </c>
      <c r="Y279" t="b">
        <v>1</v>
      </c>
    </row>
    <row r="280" spans="2:25">
      <c r="B280" s="1" t="str">
        <f t="shared" si="6"/>
        <v>M_AEB0402_VM_KF_MACH_5.74_7000</v>
      </c>
      <c r="C280" s="7" t="s">
        <v>2072</v>
      </c>
      <c r="D280" s="7" t="str" cm="1">
        <f t="array" ref="D280">INDEX(기계코드!$D$4:$D$1022,MATCH(1,(C280=기계코드!$F$4:$F$1022)*1,0))</f>
        <v>M_AEB0402</v>
      </c>
      <c r="E280" s="7" t="s">
        <v>2073</v>
      </c>
      <c r="F280" s="7" t="str" cm="1">
        <f t="array" ref="F280">INDEX(공급업체코드!$B$3:$B$1000,MATCH(1,(E280=공급업체코드!$D$3:$D$1000)*1,0))</f>
        <v>VM_KF_MACH</v>
      </c>
      <c r="G280" s="158" t="s">
        <v>2077</v>
      </c>
      <c r="I280" s="166">
        <v>5.74</v>
      </c>
      <c r="J280" s="160">
        <v>7000</v>
      </c>
      <c r="K280" s="159">
        <v>80</v>
      </c>
      <c r="L280" s="165">
        <v>13.068</v>
      </c>
      <c r="M280" s="7" t="s">
        <v>984</v>
      </c>
      <c r="N280" s="7">
        <v>380</v>
      </c>
      <c r="O280" s="151">
        <v>0.93</v>
      </c>
      <c r="P280" s="7">
        <v>0.9</v>
      </c>
      <c r="Q280" s="7">
        <v>80</v>
      </c>
      <c r="R280" s="113">
        <v>11</v>
      </c>
      <c r="S280" s="258" t="s">
        <v>1390</v>
      </c>
      <c r="T280" s="10">
        <f t="shared" si="7"/>
        <v>1</v>
      </c>
      <c r="U280" s="260" t="s">
        <v>1391</v>
      </c>
      <c r="V280">
        <v>4300000</v>
      </c>
      <c r="X280" s="157" t="s">
        <v>2075</v>
      </c>
      <c r="Y280" t="b">
        <v>1</v>
      </c>
    </row>
    <row r="281" spans="2:25">
      <c r="B281" s="1" t="str">
        <f t="shared" si="6"/>
        <v>M_AEB0402_VM_KF_MACH_1.76_8000</v>
      </c>
      <c r="C281" s="7" t="s">
        <v>2072</v>
      </c>
      <c r="D281" s="7" t="str" cm="1">
        <f t="array" ref="D281">INDEX(기계코드!$D$4:$D$1022,MATCH(1,(C281=기계코드!$F$4:$F$1022)*1,0))</f>
        <v>M_AEB0402</v>
      </c>
      <c r="E281" s="7" t="s">
        <v>2073</v>
      </c>
      <c r="F281" s="7" t="str" cm="1">
        <f t="array" ref="F281">INDEX(공급업체코드!$B$3:$B$1000,MATCH(1,(E281=공급업체코드!$D$3:$D$1000)*1,0))</f>
        <v>VM_KF_MACH</v>
      </c>
      <c r="G281" s="158" t="s">
        <v>2077</v>
      </c>
      <c r="I281" s="166">
        <v>1.76</v>
      </c>
      <c r="J281" s="160">
        <v>8000</v>
      </c>
      <c r="K281" s="159">
        <v>80</v>
      </c>
      <c r="L281" s="165">
        <v>7.2959999999999994</v>
      </c>
      <c r="M281" s="7" t="s">
        <v>984</v>
      </c>
      <c r="N281" s="7">
        <v>380</v>
      </c>
      <c r="O281" s="151">
        <v>0.91700000000000004</v>
      </c>
      <c r="P281" s="7">
        <v>0.9</v>
      </c>
      <c r="Q281" s="7">
        <v>80</v>
      </c>
      <c r="R281" s="113">
        <v>11</v>
      </c>
      <c r="S281" s="258" t="s">
        <v>1390</v>
      </c>
      <c r="T281" s="10">
        <f t="shared" si="7"/>
        <v>1</v>
      </c>
      <c r="U281" s="260" t="s">
        <v>1391</v>
      </c>
      <c r="V281">
        <v>4300000</v>
      </c>
      <c r="X281" s="157" t="s">
        <v>2075</v>
      </c>
      <c r="Y281" t="b">
        <v>1</v>
      </c>
    </row>
    <row r="282" spans="2:25">
      <c r="B282" s="1" t="str">
        <f t="shared" si="6"/>
        <v>M_AEB0402_VM_KF_MACH_2.44_8000</v>
      </c>
      <c r="C282" s="7" t="s">
        <v>2072</v>
      </c>
      <c r="D282" s="7" t="str" cm="1">
        <f t="array" ref="D282">INDEX(기계코드!$D$4:$D$1022,MATCH(1,(C282=기계코드!$F$4:$F$1022)*1,0))</f>
        <v>M_AEB0402</v>
      </c>
      <c r="E282" s="7" t="s">
        <v>2073</v>
      </c>
      <c r="F282" s="7" t="str" cm="1">
        <f t="array" ref="F282">INDEX(공급업체코드!$B$3:$B$1000,MATCH(1,(E282=공급업체코드!$D$3:$D$1000)*1,0))</f>
        <v>VM_KF_MACH</v>
      </c>
      <c r="G282" s="158" t="s">
        <v>2077</v>
      </c>
      <c r="I282" s="166">
        <v>2.44</v>
      </c>
      <c r="J282" s="160">
        <v>8000</v>
      </c>
      <c r="K282" s="159">
        <v>80</v>
      </c>
      <c r="L282" s="165">
        <v>9</v>
      </c>
      <c r="M282" s="7" t="s">
        <v>984</v>
      </c>
      <c r="N282" s="7">
        <v>380</v>
      </c>
      <c r="O282" s="151">
        <v>0.92400000000000004</v>
      </c>
      <c r="P282" s="7">
        <v>0.9</v>
      </c>
      <c r="Q282" s="7">
        <v>80</v>
      </c>
      <c r="R282" s="113">
        <v>11</v>
      </c>
      <c r="S282" s="258" t="s">
        <v>1390</v>
      </c>
      <c r="T282" s="10">
        <f t="shared" si="7"/>
        <v>1</v>
      </c>
      <c r="U282" s="260" t="s">
        <v>1391</v>
      </c>
      <c r="V282">
        <v>4300000</v>
      </c>
      <c r="X282" s="157" t="s">
        <v>2075</v>
      </c>
      <c r="Y282" t="b">
        <v>1</v>
      </c>
    </row>
    <row r="283" spans="2:25">
      <c r="B283" s="1" t="str">
        <f t="shared" si="6"/>
        <v>M_AEB0402_VM_KF_MACH_3.16_8000</v>
      </c>
      <c r="C283" s="7" t="s">
        <v>2072</v>
      </c>
      <c r="D283" s="7" t="str" cm="1">
        <f t="array" ref="D283">INDEX(기계코드!$D$4:$D$1022,MATCH(1,(C283=기계코드!$F$4:$F$1022)*1,0))</f>
        <v>M_AEB0402</v>
      </c>
      <c r="E283" s="7" t="s">
        <v>2073</v>
      </c>
      <c r="F283" s="7" t="str" cm="1">
        <f t="array" ref="F283">INDEX(공급업체코드!$B$3:$B$1000,MATCH(1,(E283=공급업체코드!$D$3:$D$1000)*1,0))</f>
        <v>VM_KF_MACH</v>
      </c>
      <c r="G283" s="158" t="s">
        <v>2077</v>
      </c>
      <c r="I283" s="166">
        <v>3.16</v>
      </c>
      <c r="J283" s="160">
        <v>8000</v>
      </c>
      <c r="K283" s="159">
        <v>80</v>
      </c>
      <c r="L283" s="165">
        <v>10.643999999999998</v>
      </c>
      <c r="M283" s="7" t="s">
        <v>984</v>
      </c>
      <c r="N283" s="7">
        <v>380</v>
      </c>
      <c r="O283" s="151">
        <v>0.92400000000000004</v>
      </c>
      <c r="P283" s="7">
        <v>0.9</v>
      </c>
      <c r="Q283" s="7">
        <v>80</v>
      </c>
      <c r="R283" s="113">
        <v>11</v>
      </c>
      <c r="S283" s="258" t="s">
        <v>1390</v>
      </c>
      <c r="T283" s="10">
        <f t="shared" si="7"/>
        <v>1</v>
      </c>
      <c r="U283" s="260" t="s">
        <v>1391</v>
      </c>
      <c r="V283">
        <v>4300000</v>
      </c>
      <c r="X283" s="157" t="s">
        <v>2075</v>
      </c>
      <c r="Y283" t="b">
        <v>1</v>
      </c>
    </row>
    <row r="284" spans="2:25">
      <c r="B284" s="1" t="str">
        <f t="shared" si="6"/>
        <v>M_AEB0402_VM_KF_MACH_3.31_8000</v>
      </c>
      <c r="C284" s="7" t="s">
        <v>2072</v>
      </c>
      <c r="D284" s="7" t="str" cm="1">
        <f t="array" ref="D284">INDEX(기계코드!$D$4:$D$1022,MATCH(1,(C284=기계코드!$F$4:$F$1022)*1,0))</f>
        <v>M_AEB0402</v>
      </c>
      <c r="E284" s="7" t="s">
        <v>2073</v>
      </c>
      <c r="F284" s="7" t="str" cm="1">
        <f t="array" ref="F284">INDEX(공급업체코드!$B$3:$B$1000,MATCH(1,(E284=공급업체코드!$D$3:$D$1000)*1,0))</f>
        <v>VM_KF_MACH</v>
      </c>
      <c r="G284" s="158" t="s">
        <v>2077</v>
      </c>
      <c r="I284" s="166">
        <v>3.31</v>
      </c>
      <c r="J284" s="160">
        <v>8000</v>
      </c>
      <c r="K284" s="159">
        <v>80</v>
      </c>
      <c r="L284" s="165">
        <v>10.98</v>
      </c>
      <c r="M284" s="7" t="s">
        <v>984</v>
      </c>
      <c r="N284" s="7">
        <v>380</v>
      </c>
      <c r="O284" s="151">
        <v>0.92400000000000004</v>
      </c>
      <c r="P284" s="7">
        <v>0.9</v>
      </c>
      <c r="Q284" s="7">
        <v>80</v>
      </c>
      <c r="R284" s="113">
        <v>11</v>
      </c>
      <c r="S284" s="258" t="s">
        <v>1390</v>
      </c>
      <c r="T284" s="10">
        <f t="shared" si="7"/>
        <v>1</v>
      </c>
      <c r="U284" s="260" t="s">
        <v>1391</v>
      </c>
      <c r="V284">
        <v>4300000</v>
      </c>
      <c r="X284" s="157" t="s">
        <v>2075</v>
      </c>
      <c r="Y284" t="b">
        <v>1</v>
      </c>
    </row>
    <row r="285" spans="2:25">
      <c r="B285" s="1" t="str">
        <f t="shared" si="6"/>
        <v>M_AEB0402_VM_KF_MACH_4.51_8000</v>
      </c>
      <c r="C285" s="7" t="s">
        <v>2072</v>
      </c>
      <c r="D285" s="7" t="str" cm="1">
        <f t="array" ref="D285">INDEX(기계코드!$D$4:$D$1022,MATCH(1,(C285=기계코드!$F$4:$F$1022)*1,0))</f>
        <v>M_AEB0402</v>
      </c>
      <c r="E285" s="7" t="s">
        <v>2073</v>
      </c>
      <c r="F285" s="7" t="str" cm="1">
        <f t="array" ref="F285">INDEX(공급업체코드!$B$3:$B$1000,MATCH(1,(E285=공급업체코드!$D$3:$D$1000)*1,0))</f>
        <v>VM_KF_MACH</v>
      </c>
      <c r="G285" s="158" t="s">
        <v>2077</v>
      </c>
      <c r="I285" s="166">
        <v>4.51</v>
      </c>
      <c r="J285" s="160">
        <v>8000</v>
      </c>
      <c r="K285" s="159">
        <v>80</v>
      </c>
      <c r="L285" s="165">
        <v>13.223999999999998</v>
      </c>
      <c r="M285" s="7" t="s">
        <v>984</v>
      </c>
      <c r="N285" s="7">
        <v>380</v>
      </c>
      <c r="O285" s="151">
        <v>0.93</v>
      </c>
      <c r="P285" s="7">
        <v>0.9</v>
      </c>
      <c r="Q285" s="7">
        <v>80</v>
      </c>
      <c r="R285" s="113">
        <v>11</v>
      </c>
      <c r="S285" s="258" t="s">
        <v>1390</v>
      </c>
      <c r="T285" s="10">
        <f t="shared" si="7"/>
        <v>1</v>
      </c>
      <c r="U285" s="260" t="s">
        <v>1391</v>
      </c>
      <c r="V285">
        <v>4300000</v>
      </c>
      <c r="X285" s="157" t="s">
        <v>2075</v>
      </c>
      <c r="Y285" t="b">
        <v>1</v>
      </c>
    </row>
    <row r="286" spans="2:25">
      <c r="B286" s="1" t="str">
        <f t="shared" si="6"/>
        <v>M_AEB0402_VM_KF_MACH_5.54_8000</v>
      </c>
      <c r="C286" s="7" t="s">
        <v>2072</v>
      </c>
      <c r="D286" s="7" t="str" cm="1">
        <f t="array" ref="D286">INDEX(기계코드!$D$4:$D$1022,MATCH(1,(C286=기계코드!$F$4:$F$1022)*1,0))</f>
        <v>M_AEB0402</v>
      </c>
      <c r="E286" s="7" t="s">
        <v>2073</v>
      </c>
      <c r="F286" s="7" t="str" cm="1">
        <f t="array" ref="F286">INDEX(공급업체코드!$B$3:$B$1000,MATCH(1,(E286=공급업체코드!$D$3:$D$1000)*1,0))</f>
        <v>VM_KF_MACH</v>
      </c>
      <c r="G286" s="158" t="s">
        <v>2077</v>
      </c>
      <c r="I286" s="166">
        <v>5.54</v>
      </c>
      <c r="J286" s="160">
        <v>8000</v>
      </c>
      <c r="K286" s="159">
        <v>80</v>
      </c>
      <c r="L286" s="165">
        <v>14.988</v>
      </c>
      <c r="M286" s="7" t="s">
        <v>984</v>
      </c>
      <c r="N286" s="7">
        <v>380</v>
      </c>
      <c r="O286" s="151">
        <v>0.93</v>
      </c>
      <c r="P286" s="7">
        <v>0.9</v>
      </c>
      <c r="Q286" s="7">
        <v>80</v>
      </c>
      <c r="R286" s="113">
        <v>11</v>
      </c>
      <c r="S286" s="258" t="s">
        <v>1390</v>
      </c>
      <c r="T286" s="10">
        <f t="shared" si="7"/>
        <v>1</v>
      </c>
      <c r="U286" s="260" t="s">
        <v>1391</v>
      </c>
      <c r="V286">
        <v>4300000</v>
      </c>
      <c r="X286" s="157" t="s">
        <v>2075</v>
      </c>
      <c r="Y286" t="b">
        <v>1</v>
      </c>
    </row>
    <row r="287" spans="2:25">
      <c r="B287" s="1" t="str">
        <f t="shared" si="6"/>
        <v>M_AEB0402_VM_KF_MACH_3.22_7000</v>
      </c>
      <c r="C287" s="7" t="s">
        <v>2072</v>
      </c>
      <c r="D287" s="7" t="str" cm="1">
        <f t="array" ref="D287">INDEX(기계코드!$D$4:$D$1022,MATCH(1,(C287=기계코드!$F$4:$F$1022)*1,0))</f>
        <v>M_AEB0402</v>
      </c>
      <c r="E287" s="7" t="s">
        <v>2073</v>
      </c>
      <c r="F287" s="7" t="str" cm="1">
        <f t="array" ref="F287">INDEX(공급업체코드!$B$3:$B$1000,MATCH(1,(E287=공급업체코드!$D$3:$D$1000)*1,0))</f>
        <v>VM_KF_MACH</v>
      </c>
      <c r="G287" s="158" t="s">
        <v>2087</v>
      </c>
      <c r="I287" s="166">
        <v>3.22</v>
      </c>
      <c r="J287" s="160">
        <v>7000</v>
      </c>
      <c r="K287" s="159">
        <v>100</v>
      </c>
      <c r="L287" s="165">
        <v>10.056000000000001</v>
      </c>
      <c r="M287" s="7" t="s">
        <v>984</v>
      </c>
      <c r="N287" s="7">
        <v>380</v>
      </c>
      <c r="O287" s="151">
        <v>0.92400000000000004</v>
      </c>
      <c r="P287" s="7">
        <v>0.9</v>
      </c>
      <c r="Q287" s="7">
        <v>80</v>
      </c>
      <c r="R287" s="113">
        <v>11</v>
      </c>
      <c r="S287" s="258" t="s">
        <v>1390</v>
      </c>
      <c r="T287" s="10">
        <f t="shared" si="7"/>
        <v>1</v>
      </c>
      <c r="U287" s="260" t="s">
        <v>1391</v>
      </c>
      <c r="V287">
        <v>4300000</v>
      </c>
      <c r="X287" s="157" t="s">
        <v>2075</v>
      </c>
      <c r="Y287" t="b">
        <v>1</v>
      </c>
    </row>
    <row r="288" spans="2:25">
      <c r="B288" s="1" t="str">
        <f t="shared" si="6"/>
        <v>M_AEB0402_VM_KF_MACH_4.9_7000</v>
      </c>
      <c r="C288" s="7" t="s">
        <v>2072</v>
      </c>
      <c r="D288" s="7" t="str" cm="1">
        <f t="array" ref="D288">INDEX(기계코드!$D$4:$D$1022,MATCH(1,(C288=기계코드!$F$4:$F$1022)*1,0))</f>
        <v>M_AEB0402</v>
      </c>
      <c r="E288" s="7" t="s">
        <v>2073</v>
      </c>
      <c r="F288" s="7" t="str" cm="1">
        <f t="array" ref="F288">INDEX(공급업체코드!$B$3:$B$1000,MATCH(1,(E288=공급업체코드!$D$3:$D$1000)*1,0))</f>
        <v>VM_KF_MACH</v>
      </c>
      <c r="G288" s="158" t="s">
        <v>2087</v>
      </c>
      <c r="I288" s="166">
        <v>4.9000000000000004</v>
      </c>
      <c r="J288" s="160">
        <v>7000</v>
      </c>
      <c r="K288" s="159">
        <v>100</v>
      </c>
      <c r="L288" s="165">
        <v>12.78</v>
      </c>
      <c r="M288" s="7" t="s">
        <v>984</v>
      </c>
      <c r="N288" s="7">
        <v>380</v>
      </c>
      <c r="O288" s="151">
        <v>0.93</v>
      </c>
      <c r="P288" s="7">
        <v>0.9</v>
      </c>
      <c r="Q288" s="7">
        <v>80</v>
      </c>
      <c r="R288" s="113">
        <v>11</v>
      </c>
      <c r="S288" s="258" t="s">
        <v>1390</v>
      </c>
      <c r="T288" s="10">
        <f t="shared" si="7"/>
        <v>1</v>
      </c>
      <c r="U288" s="260" t="s">
        <v>1391</v>
      </c>
      <c r="V288">
        <v>4300000</v>
      </c>
      <c r="X288" s="157" t="s">
        <v>2075</v>
      </c>
      <c r="Y288" t="b">
        <v>1</v>
      </c>
    </row>
    <row r="289" spans="2:25">
      <c r="B289" s="1" t="str">
        <f t="shared" si="6"/>
        <v>M_AEB0402_VM_KF_MACH_5.12_7000</v>
      </c>
      <c r="C289" s="7" t="s">
        <v>2072</v>
      </c>
      <c r="D289" s="7" t="str" cm="1">
        <f t="array" ref="D289">INDEX(기계코드!$D$4:$D$1022,MATCH(1,(C289=기계코드!$F$4:$F$1022)*1,0))</f>
        <v>M_AEB0402</v>
      </c>
      <c r="E289" s="7" t="s">
        <v>2073</v>
      </c>
      <c r="F289" s="7" t="str" cm="1">
        <f t="array" ref="F289">INDEX(공급업체코드!$B$3:$B$1000,MATCH(1,(E289=공급업체코드!$D$3:$D$1000)*1,0))</f>
        <v>VM_KF_MACH</v>
      </c>
      <c r="G289" s="158" t="s">
        <v>2087</v>
      </c>
      <c r="I289" s="166">
        <v>5.12</v>
      </c>
      <c r="J289" s="160">
        <v>7000</v>
      </c>
      <c r="K289" s="159">
        <v>100</v>
      </c>
      <c r="L289" s="165">
        <v>13.139999999999999</v>
      </c>
      <c r="M289" s="7" t="s">
        <v>984</v>
      </c>
      <c r="N289" s="7">
        <v>380</v>
      </c>
      <c r="O289" s="151">
        <v>0.93</v>
      </c>
      <c r="P289" s="7">
        <v>0.9</v>
      </c>
      <c r="Q289" s="7">
        <v>80</v>
      </c>
      <c r="R289" s="113">
        <v>11</v>
      </c>
      <c r="S289" s="258" t="s">
        <v>1390</v>
      </c>
      <c r="T289" s="10">
        <f t="shared" si="7"/>
        <v>1</v>
      </c>
      <c r="U289" s="260" t="s">
        <v>1391</v>
      </c>
      <c r="V289">
        <v>4300000</v>
      </c>
      <c r="X289" s="157" t="s">
        <v>2075</v>
      </c>
      <c r="Y289" t="b">
        <v>1</v>
      </c>
    </row>
    <row r="290" spans="2:25">
      <c r="B290" s="1" t="str">
        <f t="shared" si="6"/>
        <v>M_AEB0402_VM_KF_MACH_6.44_7000</v>
      </c>
      <c r="C290" s="7" t="s">
        <v>2072</v>
      </c>
      <c r="D290" s="7" t="str" cm="1">
        <f t="array" ref="D290">INDEX(기계코드!$D$4:$D$1022,MATCH(1,(C290=기계코드!$F$4:$F$1022)*1,0))</f>
        <v>M_AEB0402</v>
      </c>
      <c r="E290" s="7" t="s">
        <v>2073</v>
      </c>
      <c r="F290" s="7" t="str" cm="1">
        <f t="array" ref="F290">INDEX(공급업체코드!$B$3:$B$1000,MATCH(1,(E290=공급업체코드!$D$3:$D$1000)*1,0))</f>
        <v>VM_KF_MACH</v>
      </c>
      <c r="G290" s="158" t="s">
        <v>2087</v>
      </c>
      <c r="I290" s="166">
        <v>6.44</v>
      </c>
      <c r="J290" s="160">
        <v>7000</v>
      </c>
      <c r="K290" s="159">
        <v>100</v>
      </c>
      <c r="L290" s="165">
        <v>15.276</v>
      </c>
      <c r="M290" s="7" t="s">
        <v>984</v>
      </c>
      <c r="N290" s="7">
        <v>380</v>
      </c>
      <c r="O290" s="151">
        <v>0.93599999999999994</v>
      </c>
      <c r="P290" s="7">
        <v>0.9</v>
      </c>
      <c r="Q290" s="7">
        <v>80</v>
      </c>
      <c r="R290" s="113">
        <v>11</v>
      </c>
      <c r="S290" s="258" t="s">
        <v>1390</v>
      </c>
      <c r="T290" s="10">
        <f t="shared" si="7"/>
        <v>1</v>
      </c>
      <c r="U290" s="260" t="s">
        <v>1391</v>
      </c>
      <c r="V290">
        <v>4300000</v>
      </c>
      <c r="X290" s="157" t="s">
        <v>2075</v>
      </c>
      <c r="Y290" t="b">
        <v>1</v>
      </c>
    </row>
    <row r="291" spans="2:25">
      <c r="B291" s="1" t="str">
        <f t="shared" si="6"/>
        <v>M_AEB0402_VM_KF_MACH_7.89_7000</v>
      </c>
      <c r="C291" s="7" t="s">
        <v>2072</v>
      </c>
      <c r="D291" s="7" t="str" cm="1">
        <f t="array" ref="D291">INDEX(기계코드!$D$4:$D$1022,MATCH(1,(C291=기계코드!$F$4:$F$1022)*1,0))</f>
        <v>M_AEB0402</v>
      </c>
      <c r="E291" s="7" t="s">
        <v>2073</v>
      </c>
      <c r="F291" s="7" t="str" cm="1">
        <f t="array" ref="F291">INDEX(공급업체코드!$B$3:$B$1000,MATCH(1,(E291=공급업체코드!$D$3:$D$1000)*1,0))</f>
        <v>VM_KF_MACH</v>
      </c>
      <c r="G291" s="158" t="s">
        <v>2087</v>
      </c>
      <c r="I291" s="166">
        <v>7.89</v>
      </c>
      <c r="J291" s="160">
        <v>7000</v>
      </c>
      <c r="K291" s="159">
        <v>100</v>
      </c>
      <c r="L291" s="165">
        <v>17.135999999999999</v>
      </c>
      <c r="M291" s="7" t="s">
        <v>984</v>
      </c>
      <c r="N291" s="7">
        <v>380</v>
      </c>
      <c r="O291" s="151">
        <v>0.93599999999999994</v>
      </c>
      <c r="P291" s="7">
        <v>0.9</v>
      </c>
      <c r="Q291" s="7">
        <v>80</v>
      </c>
      <c r="R291" s="113">
        <v>11</v>
      </c>
      <c r="S291" s="258" t="s">
        <v>1390</v>
      </c>
      <c r="T291" s="10">
        <f t="shared" si="7"/>
        <v>1</v>
      </c>
      <c r="U291" s="260" t="s">
        <v>1391</v>
      </c>
      <c r="V291">
        <v>4300000</v>
      </c>
      <c r="X291" s="157" t="s">
        <v>2075</v>
      </c>
      <c r="Y291" t="b">
        <v>1</v>
      </c>
    </row>
    <row r="292" spans="2:25">
      <c r="B292" s="1" t="str">
        <f t="shared" si="6"/>
        <v>M_AEB0402_VM_KF_MACH_3.03_8000</v>
      </c>
      <c r="C292" s="7" t="s">
        <v>2072</v>
      </c>
      <c r="D292" s="7" t="str" cm="1">
        <f t="array" ref="D292">INDEX(기계코드!$D$4:$D$1022,MATCH(1,(C292=기계코드!$F$4:$F$1022)*1,0))</f>
        <v>M_AEB0402</v>
      </c>
      <c r="E292" s="7" t="s">
        <v>2073</v>
      </c>
      <c r="F292" s="7" t="str" cm="1">
        <f t="array" ref="F292">INDEX(공급업체코드!$B$3:$B$1000,MATCH(1,(E292=공급업체코드!$D$3:$D$1000)*1,0))</f>
        <v>VM_KF_MACH</v>
      </c>
      <c r="G292" s="158" t="s">
        <v>2087</v>
      </c>
      <c r="I292" s="166">
        <v>3.03</v>
      </c>
      <c r="J292" s="160">
        <v>8000</v>
      </c>
      <c r="K292" s="159">
        <v>100</v>
      </c>
      <c r="L292" s="165">
        <v>11.52</v>
      </c>
      <c r="M292" s="7" t="s">
        <v>984</v>
      </c>
      <c r="N292" s="7">
        <v>380</v>
      </c>
      <c r="O292" s="151">
        <v>0.93</v>
      </c>
      <c r="P292" s="7">
        <v>0.9</v>
      </c>
      <c r="Q292" s="7">
        <v>80</v>
      </c>
      <c r="R292" s="113">
        <v>11</v>
      </c>
      <c r="S292" s="258" t="s">
        <v>1390</v>
      </c>
      <c r="T292" s="10">
        <f t="shared" si="7"/>
        <v>1</v>
      </c>
      <c r="U292" s="260" t="s">
        <v>1391</v>
      </c>
      <c r="V292">
        <v>4300000</v>
      </c>
      <c r="X292" s="157" t="s">
        <v>2075</v>
      </c>
      <c r="Y292" t="b">
        <v>1</v>
      </c>
    </row>
    <row r="293" spans="2:25">
      <c r="B293" s="1" t="str">
        <f t="shared" si="6"/>
        <v>M_AEB0402_VM_KF_MACH_4.7_8000</v>
      </c>
      <c r="C293" s="7" t="s">
        <v>2072</v>
      </c>
      <c r="D293" s="7" t="str" cm="1">
        <f t="array" ref="D293">INDEX(기계코드!$D$4:$D$1022,MATCH(1,(C293=기계코드!$F$4:$F$1022)*1,0))</f>
        <v>M_AEB0402</v>
      </c>
      <c r="E293" s="7" t="s">
        <v>2073</v>
      </c>
      <c r="F293" s="7" t="str" cm="1">
        <f t="array" ref="F293">INDEX(공급업체코드!$B$3:$B$1000,MATCH(1,(E293=공급업체코드!$D$3:$D$1000)*1,0))</f>
        <v>VM_KF_MACH</v>
      </c>
      <c r="G293" s="158" t="s">
        <v>2087</v>
      </c>
      <c r="I293" s="166">
        <v>4.7</v>
      </c>
      <c r="J293" s="160">
        <v>8000</v>
      </c>
      <c r="K293" s="159">
        <v>100</v>
      </c>
      <c r="L293" s="165">
        <v>14.435999999999998</v>
      </c>
      <c r="M293" s="7" t="s">
        <v>984</v>
      </c>
      <c r="N293" s="7">
        <v>380</v>
      </c>
      <c r="O293" s="151">
        <v>0.93</v>
      </c>
      <c r="P293" s="7">
        <v>0.9</v>
      </c>
      <c r="Q293" s="7">
        <v>80</v>
      </c>
      <c r="R293" s="113">
        <v>11</v>
      </c>
      <c r="S293" s="258" t="s">
        <v>1390</v>
      </c>
      <c r="T293" s="10">
        <f t="shared" si="7"/>
        <v>1</v>
      </c>
      <c r="U293" s="260" t="s">
        <v>1391</v>
      </c>
      <c r="V293">
        <v>4300000</v>
      </c>
      <c r="X293" s="157" t="s">
        <v>2075</v>
      </c>
      <c r="Y293" t="b">
        <v>1</v>
      </c>
    </row>
    <row r="294" spans="2:25">
      <c r="B294" s="1" t="str">
        <f t="shared" si="6"/>
        <v>M_AEB0402_VM_KF_MACH_4.93_8000</v>
      </c>
      <c r="C294" s="7" t="s">
        <v>2072</v>
      </c>
      <c r="D294" s="7" t="str" cm="1">
        <f t="array" ref="D294">INDEX(기계코드!$D$4:$D$1022,MATCH(1,(C294=기계코드!$F$4:$F$1022)*1,0))</f>
        <v>M_AEB0402</v>
      </c>
      <c r="E294" s="7" t="s">
        <v>2073</v>
      </c>
      <c r="F294" s="7" t="str" cm="1">
        <f t="array" ref="F294">INDEX(공급업체코드!$B$3:$B$1000,MATCH(1,(E294=공급업체코드!$D$3:$D$1000)*1,0))</f>
        <v>VM_KF_MACH</v>
      </c>
      <c r="G294" s="158" t="s">
        <v>2087</v>
      </c>
      <c r="I294" s="166">
        <v>4.93</v>
      </c>
      <c r="J294" s="160">
        <v>8000</v>
      </c>
      <c r="K294" s="159">
        <v>100</v>
      </c>
      <c r="L294" s="165">
        <v>14.964</v>
      </c>
      <c r="M294" s="7" t="s">
        <v>984</v>
      </c>
      <c r="N294" s="7">
        <v>380</v>
      </c>
      <c r="O294" s="151">
        <v>0.93</v>
      </c>
      <c r="P294" s="7">
        <v>0.9</v>
      </c>
      <c r="Q294" s="7">
        <v>80</v>
      </c>
      <c r="R294" s="113">
        <v>11</v>
      </c>
      <c r="S294" s="258" t="s">
        <v>1390</v>
      </c>
      <c r="T294" s="10">
        <f t="shared" si="7"/>
        <v>1</v>
      </c>
      <c r="U294" s="260" t="s">
        <v>1391</v>
      </c>
      <c r="V294">
        <v>4300000</v>
      </c>
      <c r="X294" s="157" t="s">
        <v>2075</v>
      </c>
      <c r="Y294" t="b">
        <v>1</v>
      </c>
    </row>
    <row r="295" spans="2:25">
      <c r="B295" s="1" t="str">
        <f t="shared" si="6"/>
        <v>M_AEB0402_VM_KF_MACH_6.17_8000</v>
      </c>
      <c r="C295" s="7" t="s">
        <v>2072</v>
      </c>
      <c r="D295" s="7" t="str" cm="1">
        <f t="array" ref="D295">INDEX(기계코드!$D$4:$D$1022,MATCH(1,(C295=기계코드!$F$4:$F$1022)*1,0))</f>
        <v>M_AEB0402</v>
      </c>
      <c r="E295" s="7" t="s">
        <v>2073</v>
      </c>
      <c r="F295" s="7" t="str" cm="1">
        <f t="array" ref="F295">INDEX(공급업체코드!$B$3:$B$1000,MATCH(1,(E295=공급업체코드!$D$3:$D$1000)*1,0))</f>
        <v>VM_KF_MACH</v>
      </c>
      <c r="G295" s="158" t="s">
        <v>2087</v>
      </c>
      <c r="I295" s="166">
        <v>6.17</v>
      </c>
      <c r="J295" s="160">
        <v>8000</v>
      </c>
      <c r="K295" s="159">
        <v>100</v>
      </c>
      <c r="L295" s="165">
        <v>17.268000000000001</v>
      </c>
      <c r="M295" s="7" t="s">
        <v>984</v>
      </c>
      <c r="N295" s="7">
        <v>380</v>
      </c>
      <c r="O295" s="151">
        <v>0.93599999999999994</v>
      </c>
      <c r="P295" s="7">
        <v>0.9</v>
      </c>
      <c r="Q295" s="7">
        <v>80</v>
      </c>
      <c r="R295" s="113">
        <v>11</v>
      </c>
      <c r="S295" s="258" t="s">
        <v>1390</v>
      </c>
      <c r="T295" s="10">
        <f t="shared" si="7"/>
        <v>1</v>
      </c>
      <c r="U295" s="260" t="s">
        <v>1391</v>
      </c>
      <c r="V295">
        <v>4300000</v>
      </c>
      <c r="X295" s="157" t="s">
        <v>2075</v>
      </c>
      <c r="Y295" t="b">
        <v>1</v>
      </c>
    </row>
    <row r="296" spans="2:25">
      <c r="B296" s="1" t="str">
        <f t="shared" si="6"/>
        <v>M_AEB0402_VM_KF_MACH_7.6_8000</v>
      </c>
      <c r="C296" s="7" t="s">
        <v>2072</v>
      </c>
      <c r="D296" s="7" t="str" cm="1">
        <f t="array" ref="D296">INDEX(기계코드!$D$4:$D$1022,MATCH(1,(C296=기계코드!$F$4:$F$1022)*1,0))</f>
        <v>M_AEB0402</v>
      </c>
      <c r="E296" s="7" t="s">
        <v>2073</v>
      </c>
      <c r="F296" s="7" t="str" cm="1">
        <f t="array" ref="F296">INDEX(공급업체코드!$B$3:$B$1000,MATCH(1,(E296=공급업체코드!$D$3:$D$1000)*1,0))</f>
        <v>VM_KF_MACH</v>
      </c>
      <c r="G296" s="158" t="s">
        <v>2087</v>
      </c>
      <c r="I296" s="166">
        <v>7.6</v>
      </c>
      <c r="J296" s="160">
        <v>8000</v>
      </c>
      <c r="K296" s="159">
        <v>100</v>
      </c>
      <c r="L296" s="165">
        <v>19.260000000000002</v>
      </c>
      <c r="M296" s="7" t="s">
        <v>984</v>
      </c>
      <c r="N296" s="7">
        <v>380</v>
      </c>
      <c r="O296" s="151">
        <v>0.93599999999999994</v>
      </c>
      <c r="P296" s="7">
        <v>0.9</v>
      </c>
      <c r="Q296" s="7">
        <v>80</v>
      </c>
      <c r="R296" s="113">
        <v>11</v>
      </c>
      <c r="S296" s="258" t="s">
        <v>1390</v>
      </c>
      <c r="T296" s="10">
        <f t="shared" si="7"/>
        <v>1</v>
      </c>
      <c r="U296" s="260" t="s">
        <v>1391</v>
      </c>
      <c r="V296">
        <v>4300000</v>
      </c>
      <c r="X296" s="157" t="s">
        <v>2075</v>
      </c>
      <c r="Y296" t="b">
        <v>1</v>
      </c>
    </row>
    <row r="297" spans="2:25">
      <c r="B297" s="1" t="str">
        <f t="shared" si="6"/>
        <v>M_AEB0402_VM_KF_MACH_10.1_7000</v>
      </c>
      <c r="C297" s="7" t="s">
        <v>2072</v>
      </c>
      <c r="D297" s="7" t="str" cm="1">
        <f t="array" ref="D297">INDEX(기계코드!$D$4:$D$1022,MATCH(1,(C297=기계코드!$F$4:$F$1022)*1,0))</f>
        <v>M_AEB0402</v>
      </c>
      <c r="E297" s="7" t="s">
        <v>2073</v>
      </c>
      <c r="F297" s="7" t="str" cm="1">
        <f t="array" ref="F297">INDEX(공급업체코드!$B$3:$B$1000,MATCH(1,(E297=공급업체코드!$D$3:$D$1000)*1,0))</f>
        <v>VM_KF_MACH</v>
      </c>
      <c r="G297" s="158" t="s">
        <v>2088</v>
      </c>
      <c r="I297" s="166">
        <v>10.1</v>
      </c>
      <c r="J297" s="160">
        <v>7000</v>
      </c>
      <c r="K297" s="159">
        <v>125</v>
      </c>
      <c r="L297" s="165">
        <v>23.52</v>
      </c>
      <c r="M297" s="7" t="s">
        <v>984</v>
      </c>
      <c r="N297" s="7">
        <v>380</v>
      </c>
      <c r="O297" s="151">
        <v>0.94099999999999995</v>
      </c>
      <c r="P297" s="7">
        <v>0.9</v>
      </c>
      <c r="Q297" s="7">
        <v>80</v>
      </c>
      <c r="R297" s="113">
        <v>11</v>
      </c>
      <c r="S297" s="258" t="s">
        <v>1390</v>
      </c>
      <c r="T297" s="10">
        <f t="shared" si="7"/>
        <v>1</v>
      </c>
      <c r="U297" s="260" t="s">
        <v>1391</v>
      </c>
      <c r="V297">
        <v>8695000</v>
      </c>
      <c r="X297" s="157" t="s">
        <v>2075</v>
      </c>
      <c r="Y297" t="b">
        <v>1</v>
      </c>
    </row>
    <row r="298" spans="2:25">
      <c r="B298" s="1" t="str">
        <f t="shared" si="6"/>
        <v>M_AEB0402_VM_KF_MACH_14_7000</v>
      </c>
      <c r="C298" s="7" t="s">
        <v>2072</v>
      </c>
      <c r="D298" s="7" t="str" cm="1">
        <f t="array" ref="D298">INDEX(기계코드!$D$4:$D$1022,MATCH(1,(C298=기계코드!$F$4:$F$1022)*1,0))</f>
        <v>M_AEB0402</v>
      </c>
      <c r="E298" s="7" t="s">
        <v>2073</v>
      </c>
      <c r="F298" s="7" t="str" cm="1">
        <f t="array" ref="F298">INDEX(공급업체코드!$B$3:$B$1000,MATCH(1,(E298=공급업체코드!$D$3:$D$1000)*1,0))</f>
        <v>VM_KF_MACH</v>
      </c>
      <c r="G298" s="158" t="s">
        <v>2088</v>
      </c>
      <c r="I298" s="166">
        <v>14</v>
      </c>
      <c r="J298" s="160">
        <v>7000</v>
      </c>
      <c r="K298" s="159">
        <v>125</v>
      </c>
      <c r="L298" s="165">
        <v>29.759999999999998</v>
      </c>
      <c r="M298" s="7" t="s">
        <v>984</v>
      </c>
      <c r="N298" s="7">
        <v>380</v>
      </c>
      <c r="O298" s="151">
        <v>0.94099999999999995</v>
      </c>
      <c r="P298" s="7">
        <v>0.9</v>
      </c>
      <c r="Q298" s="7">
        <v>80</v>
      </c>
      <c r="R298" s="113">
        <v>11</v>
      </c>
      <c r="S298" s="258" t="s">
        <v>1390</v>
      </c>
      <c r="T298" s="10">
        <f t="shared" si="7"/>
        <v>1</v>
      </c>
      <c r="U298" s="260" t="s">
        <v>1391</v>
      </c>
      <c r="V298">
        <v>8695000</v>
      </c>
      <c r="X298" s="157" t="s">
        <v>2075</v>
      </c>
      <c r="Y298" t="b">
        <v>1</v>
      </c>
    </row>
    <row r="299" spans="2:25">
      <c r="B299" s="1" t="str">
        <f t="shared" si="6"/>
        <v>M_AEB0402_VM_KF_MACH_17.8_7000</v>
      </c>
      <c r="C299" s="7" t="s">
        <v>2072</v>
      </c>
      <c r="D299" s="7" t="str" cm="1">
        <f t="array" ref="D299">INDEX(기계코드!$D$4:$D$1022,MATCH(1,(C299=기계코드!$F$4:$F$1022)*1,0))</f>
        <v>M_AEB0402</v>
      </c>
      <c r="E299" s="7" t="s">
        <v>2073</v>
      </c>
      <c r="F299" s="7" t="str" cm="1">
        <f t="array" ref="F299">INDEX(공급업체코드!$B$3:$B$1000,MATCH(1,(E299=공급업체코드!$D$3:$D$1000)*1,0))</f>
        <v>VM_KF_MACH</v>
      </c>
      <c r="G299" s="158" t="s">
        <v>2088</v>
      </c>
      <c r="I299" s="166">
        <v>17.8</v>
      </c>
      <c r="J299" s="160">
        <v>7000</v>
      </c>
      <c r="K299" s="159">
        <v>125</v>
      </c>
      <c r="L299" s="165">
        <v>34.92</v>
      </c>
      <c r="M299" s="7" t="s">
        <v>984</v>
      </c>
      <c r="N299" s="7">
        <v>380</v>
      </c>
      <c r="O299" s="151">
        <v>0.94499999999999995</v>
      </c>
      <c r="P299" s="7">
        <v>0.9</v>
      </c>
      <c r="Q299" s="7">
        <v>80</v>
      </c>
      <c r="R299" s="113">
        <v>11</v>
      </c>
      <c r="S299" s="258" t="s">
        <v>1390</v>
      </c>
      <c r="T299" s="10">
        <f t="shared" si="7"/>
        <v>1</v>
      </c>
      <c r="U299" s="260" t="s">
        <v>1391</v>
      </c>
      <c r="V299">
        <v>8695000</v>
      </c>
      <c r="X299" s="157" t="s">
        <v>2075</v>
      </c>
      <c r="Y299" t="b">
        <v>1</v>
      </c>
    </row>
    <row r="300" spans="2:25">
      <c r="B300" s="1" t="str">
        <f t="shared" si="6"/>
        <v>M_AEB0402_VM_KF_MACH_20.8_7000</v>
      </c>
      <c r="C300" s="7" t="s">
        <v>2072</v>
      </c>
      <c r="D300" s="7" t="str" cm="1">
        <f t="array" ref="D300">INDEX(기계코드!$D$4:$D$1022,MATCH(1,(C300=기계코드!$F$4:$F$1022)*1,0))</f>
        <v>M_AEB0402</v>
      </c>
      <c r="E300" s="7" t="s">
        <v>2073</v>
      </c>
      <c r="F300" s="7" t="str" cm="1">
        <f t="array" ref="F300">INDEX(공급업체코드!$B$3:$B$1000,MATCH(1,(E300=공급업체코드!$D$3:$D$1000)*1,0))</f>
        <v>VM_KF_MACH</v>
      </c>
      <c r="G300" s="158" t="s">
        <v>2088</v>
      </c>
      <c r="I300" s="166">
        <v>20.8</v>
      </c>
      <c r="J300" s="160">
        <v>7000</v>
      </c>
      <c r="K300" s="159">
        <v>125</v>
      </c>
      <c r="L300" s="165">
        <v>38.879999999999995</v>
      </c>
      <c r="M300" s="7" t="s">
        <v>984</v>
      </c>
      <c r="N300" s="7">
        <v>380</v>
      </c>
      <c r="O300" s="151">
        <v>0.95</v>
      </c>
      <c r="P300" s="7">
        <v>0.9</v>
      </c>
      <c r="Q300" s="7">
        <v>80</v>
      </c>
      <c r="R300" s="113">
        <v>11</v>
      </c>
      <c r="S300" s="258" t="s">
        <v>1390</v>
      </c>
      <c r="T300" s="10">
        <f t="shared" si="7"/>
        <v>1</v>
      </c>
      <c r="U300" s="260" t="s">
        <v>1391</v>
      </c>
      <c r="V300">
        <v>8695000</v>
      </c>
      <c r="X300" s="157" t="s">
        <v>2075</v>
      </c>
      <c r="Y300" t="b">
        <v>1</v>
      </c>
    </row>
    <row r="301" spans="2:25">
      <c r="B301" s="1" t="str">
        <f t="shared" si="6"/>
        <v>M_AEB0402_VM_KF_MACH_9.8_8000</v>
      </c>
      <c r="C301" s="7" t="s">
        <v>2072</v>
      </c>
      <c r="D301" s="7" t="str" cm="1">
        <f t="array" ref="D301">INDEX(기계코드!$D$4:$D$1022,MATCH(1,(C301=기계코드!$F$4:$F$1022)*1,0))</f>
        <v>M_AEB0402</v>
      </c>
      <c r="E301" s="7" t="s">
        <v>2073</v>
      </c>
      <c r="F301" s="7" t="str" cm="1">
        <f t="array" ref="F301">INDEX(공급업체코드!$B$3:$B$1000,MATCH(1,(E301=공급업체코드!$D$3:$D$1000)*1,0))</f>
        <v>VM_KF_MACH</v>
      </c>
      <c r="G301" s="158" t="s">
        <v>2088</v>
      </c>
      <c r="I301" s="166">
        <v>9.8000000000000007</v>
      </c>
      <c r="J301" s="160">
        <v>8000</v>
      </c>
      <c r="K301" s="159">
        <v>125</v>
      </c>
      <c r="L301" s="165">
        <v>26.76</v>
      </c>
      <c r="M301" s="7" t="s">
        <v>984</v>
      </c>
      <c r="N301" s="7">
        <v>380</v>
      </c>
      <c r="O301" s="151">
        <v>0.94099999999999995</v>
      </c>
      <c r="P301" s="7">
        <v>0.9</v>
      </c>
      <c r="Q301" s="7">
        <v>80</v>
      </c>
      <c r="R301" s="113">
        <v>11</v>
      </c>
      <c r="S301" s="258" t="s">
        <v>1390</v>
      </c>
      <c r="T301" s="10">
        <f t="shared" si="7"/>
        <v>1</v>
      </c>
      <c r="U301" s="260" t="s">
        <v>1391</v>
      </c>
      <c r="V301">
        <v>11017000</v>
      </c>
      <c r="X301" s="157" t="s">
        <v>2075</v>
      </c>
      <c r="Y301" t="b">
        <v>1</v>
      </c>
    </row>
    <row r="302" spans="2:25">
      <c r="B302" s="1" t="str">
        <f t="shared" si="6"/>
        <v>M_AEB0402_VM_KF_MACH_13.7_8000</v>
      </c>
      <c r="C302" s="7" t="s">
        <v>2072</v>
      </c>
      <c r="D302" s="7" t="str" cm="1">
        <f t="array" ref="D302">INDEX(기계코드!$D$4:$D$1022,MATCH(1,(C302=기계코드!$F$4:$F$1022)*1,0))</f>
        <v>M_AEB0402</v>
      </c>
      <c r="E302" s="7" t="s">
        <v>2073</v>
      </c>
      <c r="F302" s="7" t="str" cm="1">
        <f t="array" ref="F302">INDEX(공급업체코드!$B$3:$B$1000,MATCH(1,(E302=공급업체코드!$D$3:$D$1000)*1,0))</f>
        <v>VM_KF_MACH</v>
      </c>
      <c r="G302" s="158" t="s">
        <v>2088</v>
      </c>
      <c r="I302" s="166">
        <v>13.7</v>
      </c>
      <c r="J302" s="160">
        <v>8000</v>
      </c>
      <c r="K302" s="159">
        <v>125</v>
      </c>
      <c r="L302" s="165">
        <v>33.96</v>
      </c>
      <c r="M302" s="7" t="s">
        <v>984</v>
      </c>
      <c r="N302" s="7">
        <v>380</v>
      </c>
      <c r="O302" s="151">
        <v>0.94499999999999995</v>
      </c>
      <c r="P302" s="7">
        <v>0.9</v>
      </c>
      <c r="Q302" s="7">
        <v>80</v>
      </c>
      <c r="R302" s="113">
        <v>11</v>
      </c>
      <c r="S302" s="258" t="s">
        <v>1390</v>
      </c>
      <c r="T302" s="10">
        <f t="shared" si="7"/>
        <v>1</v>
      </c>
      <c r="U302" s="260" t="s">
        <v>1391</v>
      </c>
      <c r="V302">
        <v>11017000</v>
      </c>
      <c r="X302" s="157" t="s">
        <v>2075</v>
      </c>
      <c r="Y302" t="b">
        <v>1</v>
      </c>
    </row>
    <row r="303" spans="2:25">
      <c r="B303" s="1" t="str">
        <f t="shared" si="6"/>
        <v>M_AEB0402_VM_KF_MACH_17.5_8000</v>
      </c>
      <c r="C303" s="7" t="s">
        <v>2072</v>
      </c>
      <c r="D303" s="7" t="str" cm="1">
        <f t="array" ref="D303">INDEX(기계코드!$D$4:$D$1022,MATCH(1,(C303=기계코드!$F$4:$F$1022)*1,0))</f>
        <v>M_AEB0402</v>
      </c>
      <c r="E303" s="7" t="s">
        <v>2073</v>
      </c>
      <c r="F303" s="7" t="str" cm="1">
        <f t="array" ref="F303">INDEX(공급업체코드!$B$3:$B$1000,MATCH(1,(E303=공급업체코드!$D$3:$D$1000)*1,0))</f>
        <v>VM_KF_MACH</v>
      </c>
      <c r="G303" s="158" t="s">
        <v>2088</v>
      </c>
      <c r="I303" s="166">
        <v>17.5</v>
      </c>
      <c r="J303" s="160">
        <v>8000</v>
      </c>
      <c r="K303" s="159">
        <v>125</v>
      </c>
      <c r="L303" s="165">
        <v>39.72</v>
      </c>
      <c r="M303" s="7" t="s">
        <v>984</v>
      </c>
      <c r="N303" s="7">
        <v>380</v>
      </c>
      <c r="O303" s="151">
        <v>0.95</v>
      </c>
      <c r="P303" s="7">
        <v>0.9</v>
      </c>
      <c r="Q303" s="7">
        <v>80</v>
      </c>
      <c r="R303" s="113">
        <v>11</v>
      </c>
      <c r="S303" s="258" t="s">
        <v>1390</v>
      </c>
      <c r="T303" s="10">
        <f t="shared" si="7"/>
        <v>1</v>
      </c>
      <c r="U303" s="260" t="s">
        <v>1391</v>
      </c>
      <c r="V303">
        <v>11017000</v>
      </c>
      <c r="X303" s="157" t="s">
        <v>2075</v>
      </c>
      <c r="Y303" t="b">
        <v>1</v>
      </c>
    </row>
    <row r="304" spans="2:25">
      <c r="B304" s="1" t="str">
        <f t="shared" si="6"/>
        <v>M_AEB0402_VM_KF_MACH_20.5_8000</v>
      </c>
      <c r="C304" s="7" t="s">
        <v>2072</v>
      </c>
      <c r="D304" s="7" t="str" cm="1">
        <f t="array" ref="D304">INDEX(기계코드!$D$4:$D$1022,MATCH(1,(C304=기계코드!$F$4:$F$1022)*1,0))</f>
        <v>M_AEB0402</v>
      </c>
      <c r="E304" s="7" t="s">
        <v>2073</v>
      </c>
      <c r="F304" s="7" t="str" cm="1">
        <f t="array" ref="F304">INDEX(공급업체코드!$B$3:$B$1000,MATCH(1,(E304=공급업체코드!$D$3:$D$1000)*1,0))</f>
        <v>VM_KF_MACH</v>
      </c>
      <c r="G304" s="158" t="s">
        <v>2088</v>
      </c>
      <c r="I304" s="166">
        <v>20.5</v>
      </c>
      <c r="J304" s="160">
        <v>8000</v>
      </c>
      <c r="K304" s="159">
        <v>125</v>
      </c>
      <c r="L304" s="165">
        <v>44.16</v>
      </c>
      <c r="M304" s="7" t="s">
        <v>984</v>
      </c>
      <c r="N304" s="7">
        <v>380</v>
      </c>
      <c r="O304" s="151">
        <v>0.95</v>
      </c>
      <c r="P304" s="7">
        <v>0.9</v>
      </c>
      <c r="Q304" s="7">
        <v>80</v>
      </c>
      <c r="R304" s="113">
        <v>11</v>
      </c>
      <c r="S304" s="258" t="s">
        <v>1390</v>
      </c>
      <c r="T304" s="10">
        <f t="shared" si="7"/>
        <v>1</v>
      </c>
      <c r="U304" s="260" t="s">
        <v>1391</v>
      </c>
      <c r="V304">
        <v>11017000</v>
      </c>
      <c r="X304" s="157" t="s">
        <v>2075</v>
      </c>
      <c r="Y304" t="b">
        <v>1</v>
      </c>
    </row>
    <row r="305" spans="2:25">
      <c r="B305" s="1" t="str">
        <f t="shared" si="6"/>
        <v>M_AEB0402_VM_KF_MACH_17.9_7000</v>
      </c>
      <c r="C305" s="7" t="s">
        <v>2072</v>
      </c>
      <c r="D305" s="7" t="str" cm="1">
        <f t="array" ref="D305">INDEX(기계코드!$D$4:$D$1022,MATCH(1,(C305=기계코드!$F$4:$F$1022)*1,0))</f>
        <v>M_AEB0402</v>
      </c>
      <c r="E305" s="7" t="s">
        <v>2073</v>
      </c>
      <c r="F305" s="7" t="str" cm="1">
        <f t="array" ref="F305">INDEX(공급업체코드!$B$3:$B$1000,MATCH(1,(E305=공급업체코드!$D$3:$D$1000)*1,0))</f>
        <v>VM_KF_MACH</v>
      </c>
      <c r="G305" s="158" t="s">
        <v>2089</v>
      </c>
      <c r="I305" s="166">
        <v>17.899999999999999</v>
      </c>
      <c r="J305" s="160">
        <v>7000</v>
      </c>
      <c r="K305" s="159">
        <v>150</v>
      </c>
      <c r="L305" s="165">
        <v>38.520000000000003</v>
      </c>
      <c r="M305" s="7" t="s">
        <v>984</v>
      </c>
      <c r="N305" s="7">
        <v>380</v>
      </c>
      <c r="O305" s="151">
        <v>0.95</v>
      </c>
      <c r="P305" s="7">
        <v>0.9</v>
      </c>
      <c r="Q305" s="7">
        <v>80</v>
      </c>
      <c r="R305" s="113">
        <v>11</v>
      </c>
      <c r="S305" s="258" t="s">
        <v>1390</v>
      </c>
      <c r="T305" s="10">
        <f t="shared" si="7"/>
        <v>1</v>
      </c>
      <c r="U305" s="260" t="s">
        <v>1391</v>
      </c>
      <c r="V305">
        <v>13468000</v>
      </c>
      <c r="X305" s="157" t="s">
        <v>2075</v>
      </c>
      <c r="Y305" t="b">
        <v>1</v>
      </c>
    </row>
    <row r="306" spans="2:25">
      <c r="B306" s="1" t="str">
        <f t="shared" si="6"/>
        <v>M_AEB0402_VM_KF_MACH_23.9_7000</v>
      </c>
      <c r="C306" s="7" t="s">
        <v>2072</v>
      </c>
      <c r="D306" s="7" t="str" cm="1">
        <f t="array" ref="D306">INDEX(기계코드!$D$4:$D$1022,MATCH(1,(C306=기계코드!$F$4:$F$1022)*1,0))</f>
        <v>M_AEB0402</v>
      </c>
      <c r="E306" s="7" t="s">
        <v>2073</v>
      </c>
      <c r="F306" s="7" t="str" cm="1">
        <f t="array" ref="F306">INDEX(공급업체코드!$B$3:$B$1000,MATCH(1,(E306=공급업체코드!$D$3:$D$1000)*1,0))</f>
        <v>VM_KF_MACH</v>
      </c>
      <c r="G306" s="158" t="s">
        <v>2089</v>
      </c>
      <c r="I306" s="166">
        <v>23.9</v>
      </c>
      <c r="J306" s="160">
        <v>7000</v>
      </c>
      <c r="K306" s="159">
        <v>150</v>
      </c>
      <c r="L306" s="165">
        <v>47.16</v>
      </c>
      <c r="M306" s="7" t="s">
        <v>984</v>
      </c>
      <c r="N306" s="7">
        <v>380</v>
      </c>
      <c r="O306" s="151">
        <v>0.95400000000000007</v>
      </c>
      <c r="P306" s="7">
        <v>0.9</v>
      </c>
      <c r="Q306" s="7">
        <v>80</v>
      </c>
      <c r="R306" s="113">
        <v>11</v>
      </c>
      <c r="S306" s="258" t="s">
        <v>1390</v>
      </c>
      <c r="T306" s="10">
        <f t="shared" si="7"/>
        <v>1</v>
      </c>
      <c r="U306" s="260" t="s">
        <v>1391</v>
      </c>
      <c r="V306">
        <v>13468000</v>
      </c>
      <c r="X306" s="157" t="s">
        <v>2075</v>
      </c>
      <c r="Y306" t="b">
        <v>1</v>
      </c>
    </row>
    <row r="307" spans="2:25">
      <c r="B307" s="1" t="str">
        <f t="shared" si="6"/>
        <v>M_AEB0402_VM_KF_MACH_30.2_7000</v>
      </c>
      <c r="C307" s="7" t="s">
        <v>2072</v>
      </c>
      <c r="D307" s="7" t="str" cm="1">
        <f t="array" ref="D307">INDEX(기계코드!$D$4:$D$1022,MATCH(1,(C307=기계코드!$F$4:$F$1022)*1,0))</f>
        <v>M_AEB0402</v>
      </c>
      <c r="E307" s="7" t="s">
        <v>2073</v>
      </c>
      <c r="F307" s="7" t="str" cm="1">
        <f t="array" ref="F307">INDEX(공급업체코드!$B$3:$B$1000,MATCH(1,(E307=공급업체코드!$D$3:$D$1000)*1,0))</f>
        <v>VM_KF_MACH</v>
      </c>
      <c r="G307" s="158" t="s">
        <v>2089</v>
      </c>
      <c r="I307" s="166">
        <v>30.2</v>
      </c>
      <c r="J307" s="160">
        <v>7000</v>
      </c>
      <c r="K307" s="159">
        <v>150</v>
      </c>
      <c r="L307" s="165">
        <v>55.559999999999995</v>
      </c>
      <c r="M307" s="7" t="s">
        <v>984</v>
      </c>
      <c r="N307" s="7">
        <v>380</v>
      </c>
      <c r="O307" s="151">
        <v>0.95400000000000007</v>
      </c>
      <c r="P307" s="7">
        <v>0.9</v>
      </c>
      <c r="Q307" s="7">
        <v>80</v>
      </c>
      <c r="R307" s="113">
        <v>11</v>
      </c>
      <c r="S307" s="258" t="s">
        <v>1390</v>
      </c>
      <c r="T307" s="10">
        <f t="shared" si="7"/>
        <v>1</v>
      </c>
      <c r="U307" s="260" t="s">
        <v>1391</v>
      </c>
      <c r="V307">
        <v>13468000</v>
      </c>
      <c r="X307" s="157" t="s">
        <v>2075</v>
      </c>
      <c r="Y307" t="b">
        <v>1</v>
      </c>
    </row>
    <row r="308" spans="2:25">
      <c r="B308" s="1" t="str">
        <f t="shared" si="6"/>
        <v>M_AEB0402_VM_KF_MACH_34.9_7000</v>
      </c>
      <c r="C308" s="7" t="s">
        <v>2072</v>
      </c>
      <c r="D308" s="7" t="str" cm="1">
        <f t="array" ref="D308">INDEX(기계코드!$D$4:$D$1022,MATCH(1,(C308=기계코드!$F$4:$F$1022)*1,0))</f>
        <v>M_AEB0402</v>
      </c>
      <c r="E308" s="7" t="s">
        <v>2073</v>
      </c>
      <c r="F308" s="7" t="str" cm="1">
        <f t="array" ref="F308">INDEX(공급업체코드!$B$3:$B$1000,MATCH(1,(E308=공급업체코드!$D$3:$D$1000)*1,0))</f>
        <v>VM_KF_MACH</v>
      </c>
      <c r="G308" s="158" t="s">
        <v>2089</v>
      </c>
      <c r="I308" s="166">
        <v>34.9</v>
      </c>
      <c r="J308" s="160">
        <v>7000</v>
      </c>
      <c r="K308" s="159">
        <v>150</v>
      </c>
      <c r="L308" s="165">
        <v>61.199999999999996</v>
      </c>
      <c r="M308" s="7" t="s">
        <v>984</v>
      </c>
      <c r="N308" s="7">
        <v>380</v>
      </c>
      <c r="O308" s="151">
        <v>0.95400000000000007</v>
      </c>
      <c r="P308" s="7">
        <v>0.9</v>
      </c>
      <c r="Q308" s="7">
        <v>80</v>
      </c>
      <c r="R308" s="113">
        <v>11</v>
      </c>
      <c r="S308" s="258" t="s">
        <v>1390</v>
      </c>
      <c r="T308" s="10">
        <f t="shared" si="7"/>
        <v>1</v>
      </c>
      <c r="U308" s="260" t="s">
        <v>1391</v>
      </c>
      <c r="V308">
        <v>13468000</v>
      </c>
      <c r="X308" s="157" t="s">
        <v>2075</v>
      </c>
      <c r="Y308" t="b">
        <v>1</v>
      </c>
    </row>
    <row r="309" spans="2:25">
      <c r="B309" s="1" t="str">
        <f t="shared" si="6"/>
        <v>M_AEB0402_VM_KF_MACH_17.3_8000</v>
      </c>
      <c r="C309" s="7" t="s">
        <v>2072</v>
      </c>
      <c r="D309" s="7" t="str" cm="1">
        <f t="array" ref="D309">INDEX(기계코드!$D$4:$D$1022,MATCH(1,(C309=기계코드!$F$4:$F$1022)*1,0))</f>
        <v>M_AEB0402</v>
      </c>
      <c r="E309" s="7" t="s">
        <v>2073</v>
      </c>
      <c r="F309" s="7" t="str" cm="1">
        <f t="array" ref="F309">INDEX(공급업체코드!$B$3:$B$1000,MATCH(1,(E309=공급업체코드!$D$3:$D$1000)*1,0))</f>
        <v>VM_KF_MACH</v>
      </c>
      <c r="G309" s="158" t="s">
        <v>2089</v>
      </c>
      <c r="I309" s="166">
        <v>17.3</v>
      </c>
      <c r="J309" s="160">
        <v>8000</v>
      </c>
      <c r="K309" s="159">
        <v>150</v>
      </c>
      <c r="L309" s="165">
        <v>43.559999999999995</v>
      </c>
      <c r="M309" s="7" t="s">
        <v>984</v>
      </c>
      <c r="N309" s="7">
        <v>380</v>
      </c>
      <c r="O309" s="151">
        <v>0.95</v>
      </c>
      <c r="P309" s="7">
        <v>0.9</v>
      </c>
      <c r="Q309" s="7">
        <v>80</v>
      </c>
      <c r="R309" s="113">
        <v>11</v>
      </c>
      <c r="S309" s="258" t="s">
        <v>1390</v>
      </c>
      <c r="T309" s="10">
        <f t="shared" si="7"/>
        <v>1</v>
      </c>
      <c r="U309" s="260" t="s">
        <v>1391</v>
      </c>
      <c r="V309">
        <v>17413000</v>
      </c>
      <c r="X309" s="157" t="s">
        <v>2075</v>
      </c>
      <c r="Y309" t="b">
        <v>1</v>
      </c>
    </row>
    <row r="310" spans="2:25">
      <c r="B310" s="1" t="str">
        <f t="shared" si="6"/>
        <v>M_AEB0402_VM_KF_MACH_23.3_8000</v>
      </c>
      <c r="C310" s="7" t="s">
        <v>2072</v>
      </c>
      <c r="D310" s="7" t="str" cm="1">
        <f t="array" ref="D310">INDEX(기계코드!$D$4:$D$1022,MATCH(1,(C310=기계코드!$F$4:$F$1022)*1,0))</f>
        <v>M_AEB0402</v>
      </c>
      <c r="E310" s="7" t="s">
        <v>2073</v>
      </c>
      <c r="F310" s="7" t="str" cm="1">
        <f t="array" ref="F310">INDEX(공급업체코드!$B$3:$B$1000,MATCH(1,(E310=공급업체코드!$D$3:$D$1000)*1,0))</f>
        <v>VM_KF_MACH</v>
      </c>
      <c r="G310" s="158" t="s">
        <v>2089</v>
      </c>
      <c r="I310" s="166">
        <v>23.3</v>
      </c>
      <c r="J310" s="160">
        <v>8000</v>
      </c>
      <c r="K310" s="159">
        <v>150</v>
      </c>
      <c r="L310" s="165">
        <v>53.279999999999994</v>
      </c>
      <c r="M310" s="7" t="s">
        <v>984</v>
      </c>
      <c r="N310" s="7">
        <v>380</v>
      </c>
      <c r="O310" s="151">
        <v>0.95400000000000007</v>
      </c>
      <c r="P310" s="7">
        <v>0.9</v>
      </c>
      <c r="Q310" s="7">
        <v>80</v>
      </c>
      <c r="R310" s="113">
        <v>11</v>
      </c>
      <c r="S310" s="258" t="s">
        <v>1390</v>
      </c>
      <c r="T310" s="10">
        <f t="shared" si="7"/>
        <v>1</v>
      </c>
      <c r="U310" s="260" t="s">
        <v>1391</v>
      </c>
      <c r="V310">
        <v>17413000</v>
      </c>
      <c r="X310" s="157" t="s">
        <v>2075</v>
      </c>
      <c r="Y310" t="b">
        <v>1</v>
      </c>
    </row>
    <row r="311" spans="2:25">
      <c r="B311" s="1" t="str">
        <f t="shared" si="6"/>
        <v>M_AEB0402_VM_KF_MACH_29.6_8000</v>
      </c>
      <c r="C311" s="7" t="s">
        <v>2072</v>
      </c>
      <c r="D311" s="7" t="str" cm="1">
        <f t="array" ref="D311">INDEX(기계코드!$D$4:$D$1022,MATCH(1,(C311=기계코드!$F$4:$F$1022)*1,0))</f>
        <v>M_AEB0402</v>
      </c>
      <c r="E311" s="7" t="s">
        <v>2073</v>
      </c>
      <c r="F311" s="7" t="str" cm="1">
        <f t="array" ref="F311">INDEX(공급업체코드!$B$3:$B$1000,MATCH(1,(E311=공급업체코드!$D$3:$D$1000)*1,0))</f>
        <v>VM_KF_MACH</v>
      </c>
      <c r="G311" s="158" t="s">
        <v>2089</v>
      </c>
      <c r="I311" s="166">
        <v>29.6</v>
      </c>
      <c r="J311" s="160">
        <v>8000</v>
      </c>
      <c r="K311" s="159">
        <v>150</v>
      </c>
      <c r="L311" s="165">
        <v>62.759999999999991</v>
      </c>
      <c r="M311" s="7" t="s">
        <v>984</v>
      </c>
      <c r="N311" s="7">
        <v>380</v>
      </c>
      <c r="O311" s="151">
        <v>0.95400000000000007</v>
      </c>
      <c r="P311" s="7">
        <v>0.9</v>
      </c>
      <c r="Q311" s="7">
        <v>80</v>
      </c>
      <c r="R311" s="113">
        <v>11</v>
      </c>
      <c r="S311" s="258" t="s">
        <v>1390</v>
      </c>
      <c r="T311" s="10">
        <f t="shared" si="7"/>
        <v>1</v>
      </c>
      <c r="U311" s="260" t="s">
        <v>1391</v>
      </c>
      <c r="V311">
        <v>17413000</v>
      </c>
      <c r="X311" s="157" t="s">
        <v>2075</v>
      </c>
      <c r="Y311" t="b">
        <v>1</v>
      </c>
    </row>
    <row r="312" spans="2:25">
      <c r="B312" s="1" t="str">
        <f t="shared" si="6"/>
        <v>M_AEB0402_VM_KF_MACH_34.4_8000</v>
      </c>
      <c r="C312" s="7" t="s">
        <v>2072</v>
      </c>
      <c r="D312" s="7" t="str" cm="1">
        <f t="array" ref="D312">INDEX(기계코드!$D$4:$D$1022,MATCH(1,(C312=기계코드!$F$4:$F$1022)*1,0))</f>
        <v>M_AEB0402</v>
      </c>
      <c r="E312" s="7" t="s">
        <v>2073</v>
      </c>
      <c r="F312" s="7" t="str" cm="1">
        <f t="array" ref="F312">INDEX(공급업체코드!$B$3:$B$1000,MATCH(1,(E312=공급업체코드!$D$3:$D$1000)*1,0))</f>
        <v>VM_KF_MACH</v>
      </c>
      <c r="G312" s="158" t="s">
        <v>2089</v>
      </c>
      <c r="I312" s="166">
        <v>34.4</v>
      </c>
      <c r="J312" s="160">
        <v>8000</v>
      </c>
      <c r="K312" s="159">
        <v>150</v>
      </c>
      <c r="L312" s="165">
        <v>69.239999999999995</v>
      </c>
      <c r="M312" s="7" t="s">
        <v>984</v>
      </c>
      <c r="N312" s="7">
        <v>380</v>
      </c>
      <c r="O312" s="151">
        <v>0.95400000000000007</v>
      </c>
      <c r="P312" s="7">
        <v>0.9</v>
      </c>
      <c r="Q312" s="7">
        <v>80</v>
      </c>
      <c r="R312" s="113">
        <v>11</v>
      </c>
      <c r="S312" s="258" t="s">
        <v>1390</v>
      </c>
      <c r="T312" s="10">
        <f t="shared" si="7"/>
        <v>1</v>
      </c>
      <c r="U312" s="260" t="s">
        <v>1391</v>
      </c>
      <c r="V312">
        <v>17413000</v>
      </c>
      <c r="X312" s="157" t="s">
        <v>2075</v>
      </c>
      <c r="Y312" t="b">
        <v>1</v>
      </c>
    </row>
    <row r="313" spans="2:25">
      <c r="B313" s="1" t="str">
        <f t="shared" si="6"/>
        <v>M_AEB0402_VM_KF_MACH_34.6_7000</v>
      </c>
      <c r="C313" s="7" t="s">
        <v>2072</v>
      </c>
      <c r="D313" s="7" t="str" cm="1">
        <f t="array" ref="D313">INDEX(기계코드!$D$4:$D$1022,MATCH(1,(C313=기계코드!$F$4:$F$1022)*1,0))</f>
        <v>M_AEB0402</v>
      </c>
      <c r="E313" s="7" t="s">
        <v>2073</v>
      </c>
      <c r="F313" s="7" t="str" cm="1">
        <f t="array" ref="F313">INDEX(공급업체코드!$B$3:$B$1000,MATCH(1,(E313=공급업체코드!$D$3:$D$1000)*1,0))</f>
        <v>VM_KF_MACH</v>
      </c>
      <c r="G313" s="158" t="s">
        <v>2090</v>
      </c>
      <c r="I313" s="166">
        <v>34.6</v>
      </c>
      <c r="J313" s="160">
        <v>7000</v>
      </c>
      <c r="K313" s="159">
        <v>200</v>
      </c>
      <c r="L313" s="165">
        <v>68.88</v>
      </c>
      <c r="M313" s="7" t="s">
        <v>984</v>
      </c>
      <c r="N313" s="7">
        <v>380</v>
      </c>
      <c r="O313" s="151">
        <v>0.95400000000000007</v>
      </c>
      <c r="P313" s="7">
        <v>0.9</v>
      </c>
      <c r="Q313" s="7">
        <v>80</v>
      </c>
      <c r="R313" s="113">
        <v>11</v>
      </c>
      <c r="S313" s="258" t="s">
        <v>1390</v>
      </c>
      <c r="T313" s="10">
        <f t="shared" si="7"/>
        <v>1</v>
      </c>
      <c r="U313" s="260" t="s">
        <v>1391</v>
      </c>
      <c r="V313">
        <v>34434000</v>
      </c>
      <c r="X313" s="157" t="s">
        <v>2075</v>
      </c>
      <c r="Y313" t="b">
        <v>1</v>
      </c>
    </row>
    <row r="314" spans="2:25">
      <c r="B314" s="1" t="str">
        <f t="shared" si="6"/>
        <v>M_AEB0402_VM_KF_MACH_39.2_7000</v>
      </c>
      <c r="C314" s="7" t="s">
        <v>2072</v>
      </c>
      <c r="D314" s="7" t="str" cm="1">
        <f t="array" ref="D314">INDEX(기계코드!$D$4:$D$1022,MATCH(1,(C314=기계코드!$F$4:$F$1022)*1,0))</f>
        <v>M_AEB0402</v>
      </c>
      <c r="E314" s="7" t="s">
        <v>2073</v>
      </c>
      <c r="F314" s="7" t="str" cm="1">
        <f t="array" ref="F314">INDEX(공급업체코드!$B$3:$B$1000,MATCH(1,(E314=공급업체코드!$D$3:$D$1000)*1,0))</f>
        <v>VM_KF_MACH</v>
      </c>
      <c r="G314" s="158" t="s">
        <v>2090</v>
      </c>
      <c r="I314" s="166">
        <v>39.200000000000003</v>
      </c>
      <c r="J314" s="160">
        <v>7000</v>
      </c>
      <c r="K314" s="159">
        <v>200</v>
      </c>
      <c r="L314" s="165">
        <v>75.959999999999994</v>
      </c>
      <c r="M314" s="7" t="s">
        <v>984</v>
      </c>
      <c r="N314" s="7">
        <v>380</v>
      </c>
      <c r="O314" s="151">
        <v>0.95400000000000007</v>
      </c>
      <c r="P314" s="7">
        <v>0.9</v>
      </c>
      <c r="Q314" s="7">
        <v>80</v>
      </c>
      <c r="R314" s="113">
        <v>11</v>
      </c>
      <c r="S314" s="258" t="s">
        <v>1390</v>
      </c>
      <c r="T314" s="10">
        <f t="shared" si="7"/>
        <v>1</v>
      </c>
      <c r="U314" s="260" t="s">
        <v>1391</v>
      </c>
      <c r="V314">
        <v>34434000</v>
      </c>
      <c r="X314" s="157" t="s">
        <v>2075</v>
      </c>
      <c r="Y314" t="b">
        <v>1</v>
      </c>
    </row>
    <row r="315" spans="2:25">
      <c r="B315" s="1" t="str">
        <f t="shared" si="6"/>
        <v>M_AEB0402_VM_KF_MACH_46.1_7000</v>
      </c>
      <c r="C315" s="7" t="s">
        <v>2072</v>
      </c>
      <c r="D315" s="7" t="str" cm="1">
        <f t="array" ref="D315">INDEX(기계코드!$D$4:$D$1022,MATCH(1,(C315=기계코드!$F$4:$F$1022)*1,0))</f>
        <v>M_AEB0402</v>
      </c>
      <c r="E315" s="7" t="s">
        <v>2073</v>
      </c>
      <c r="F315" s="7" t="str" cm="1">
        <f t="array" ref="F315">INDEX(공급업체코드!$B$3:$B$1000,MATCH(1,(E315=공급업체코드!$D$3:$D$1000)*1,0))</f>
        <v>VM_KF_MACH</v>
      </c>
      <c r="G315" s="158" t="s">
        <v>2090</v>
      </c>
      <c r="I315" s="166">
        <v>46.1</v>
      </c>
      <c r="J315" s="160">
        <v>7000</v>
      </c>
      <c r="K315" s="159">
        <v>200</v>
      </c>
      <c r="L315" s="165">
        <v>86.28</v>
      </c>
      <c r="M315" s="7" t="s">
        <v>984</v>
      </c>
      <c r="N315" s="7">
        <v>380</v>
      </c>
      <c r="O315" s="151">
        <v>0.95400000000000007</v>
      </c>
      <c r="P315" s="7">
        <v>0.9</v>
      </c>
      <c r="Q315" s="7">
        <v>80</v>
      </c>
      <c r="R315" s="113">
        <v>11</v>
      </c>
      <c r="S315" s="258" t="s">
        <v>1390</v>
      </c>
      <c r="T315" s="10">
        <f t="shared" si="7"/>
        <v>1</v>
      </c>
      <c r="U315" s="260" t="s">
        <v>1391</v>
      </c>
      <c r="V315">
        <v>34434000</v>
      </c>
      <c r="X315" s="157" t="s">
        <v>2075</v>
      </c>
      <c r="Y315" t="b">
        <v>1</v>
      </c>
    </row>
    <row r="316" spans="2:25">
      <c r="B316" s="1" t="str">
        <f t="shared" si="6"/>
        <v>M_AEB0402_VM_KF_MACH_49.8_7000</v>
      </c>
      <c r="C316" s="7" t="s">
        <v>2072</v>
      </c>
      <c r="D316" s="7" t="str" cm="1">
        <f t="array" ref="D316">INDEX(기계코드!$D$4:$D$1022,MATCH(1,(C316=기계코드!$F$4:$F$1022)*1,0))</f>
        <v>M_AEB0402</v>
      </c>
      <c r="E316" s="7" t="s">
        <v>2073</v>
      </c>
      <c r="F316" s="7" t="str" cm="1">
        <f t="array" ref="F316">INDEX(공급업체코드!$B$3:$B$1000,MATCH(1,(E316=공급업체코드!$D$3:$D$1000)*1,0))</f>
        <v>VM_KF_MACH</v>
      </c>
      <c r="G316" s="158" t="s">
        <v>2090</v>
      </c>
      <c r="I316" s="166">
        <v>49.8</v>
      </c>
      <c r="J316" s="160">
        <v>7000</v>
      </c>
      <c r="K316" s="159">
        <v>200</v>
      </c>
      <c r="L316" s="165">
        <v>92.399999999999991</v>
      </c>
      <c r="M316" s="7" t="s">
        <v>984</v>
      </c>
      <c r="N316" s="7">
        <v>380</v>
      </c>
      <c r="O316" s="151">
        <v>0.95799999999999996</v>
      </c>
      <c r="P316" s="7">
        <v>0.9</v>
      </c>
      <c r="Q316" s="7">
        <v>80</v>
      </c>
      <c r="R316" s="113">
        <v>11</v>
      </c>
      <c r="S316" s="258" t="s">
        <v>1390</v>
      </c>
      <c r="T316" s="10">
        <f t="shared" si="7"/>
        <v>1</v>
      </c>
      <c r="U316" s="260" t="s">
        <v>1391</v>
      </c>
      <c r="V316">
        <v>34434000</v>
      </c>
      <c r="X316" s="157" t="s">
        <v>2075</v>
      </c>
      <c r="Y316" t="b">
        <v>1</v>
      </c>
    </row>
    <row r="317" spans="2:25">
      <c r="B317" s="1" t="str">
        <f t="shared" si="6"/>
        <v>M_AEB0402_VM_KF_MACH_63.7_7000</v>
      </c>
      <c r="C317" s="7" t="s">
        <v>2072</v>
      </c>
      <c r="D317" s="7" t="str" cm="1">
        <f t="array" ref="D317">INDEX(기계코드!$D$4:$D$1022,MATCH(1,(C317=기계코드!$F$4:$F$1022)*1,0))</f>
        <v>M_AEB0402</v>
      </c>
      <c r="E317" s="7" t="s">
        <v>2073</v>
      </c>
      <c r="F317" s="7" t="str" cm="1">
        <f t="array" ref="F317">INDEX(공급업체코드!$B$3:$B$1000,MATCH(1,(E317=공급업체코드!$D$3:$D$1000)*1,0))</f>
        <v>VM_KF_MACH</v>
      </c>
      <c r="G317" s="158" t="s">
        <v>2090</v>
      </c>
      <c r="I317" s="166">
        <v>63.7</v>
      </c>
      <c r="J317" s="160">
        <v>7000</v>
      </c>
      <c r="K317" s="159">
        <v>200</v>
      </c>
      <c r="L317" s="165">
        <v>115.55999999999999</v>
      </c>
      <c r="M317" s="7" t="s">
        <v>984</v>
      </c>
      <c r="N317" s="7">
        <v>380</v>
      </c>
      <c r="O317" s="151">
        <v>0.95799999999999996</v>
      </c>
      <c r="P317" s="7">
        <v>0.9</v>
      </c>
      <c r="Q317" s="7">
        <v>80</v>
      </c>
      <c r="R317" s="113">
        <v>11</v>
      </c>
      <c r="S317" s="258" t="s">
        <v>1390</v>
      </c>
      <c r="T317" s="10">
        <f t="shared" si="7"/>
        <v>1</v>
      </c>
      <c r="U317" s="260" t="s">
        <v>1391</v>
      </c>
      <c r="V317">
        <v>34434000</v>
      </c>
      <c r="X317" s="157" t="s">
        <v>2075</v>
      </c>
      <c r="Y317" t="b">
        <v>1</v>
      </c>
    </row>
    <row r="318" spans="2:25">
      <c r="B318" s="1" t="str">
        <f t="shared" si="6"/>
        <v>M_AEB0402_VM_KF_MACH_77.8_7000</v>
      </c>
      <c r="C318" s="7" t="s">
        <v>2072</v>
      </c>
      <c r="D318" s="7" t="str" cm="1">
        <f t="array" ref="D318">INDEX(기계코드!$D$4:$D$1022,MATCH(1,(C318=기계코드!$F$4:$F$1022)*1,0))</f>
        <v>M_AEB0402</v>
      </c>
      <c r="E318" s="7" t="s">
        <v>2073</v>
      </c>
      <c r="F318" s="7" t="str" cm="1">
        <f t="array" ref="F318">INDEX(공급업체코드!$B$3:$B$1000,MATCH(1,(E318=공급업체코드!$D$3:$D$1000)*1,0))</f>
        <v>VM_KF_MACH</v>
      </c>
      <c r="G318" s="158" t="s">
        <v>2090</v>
      </c>
      <c r="I318" s="166">
        <v>77.8</v>
      </c>
      <c r="J318" s="160">
        <v>7000</v>
      </c>
      <c r="K318" s="159">
        <v>200</v>
      </c>
      <c r="L318" s="165">
        <v>138.11999999999998</v>
      </c>
      <c r="M318" s="7" t="s">
        <v>984</v>
      </c>
      <c r="N318" s="7">
        <v>380</v>
      </c>
      <c r="O318" s="151">
        <v>0.96200000000000008</v>
      </c>
      <c r="P318" s="7">
        <v>0.9</v>
      </c>
      <c r="Q318" s="7">
        <v>80</v>
      </c>
      <c r="R318" s="113">
        <v>11</v>
      </c>
      <c r="S318" s="258" t="s">
        <v>1390</v>
      </c>
      <c r="T318" s="10">
        <f t="shared" si="7"/>
        <v>1</v>
      </c>
      <c r="U318" s="260" t="s">
        <v>1391</v>
      </c>
      <c r="V318">
        <v>34434000</v>
      </c>
      <c r="X318" s="157" t="s">
        <v>2075</v>
      </c>
      <c r="Y318" t="b">
        <v>1</v>
      </c>
    </row>
    <row r="319" spans="2:25">
      <c r="B319" s="1" t="str">
        <f t="shared" si="6"/>
        <v>M_AEB0402_VM_KF_MACH_33.8_8000</v>
      </c>
      <c r="C319" s="7" t="s">
        <v>2072</v>
      </c>
      <c r="D319" s="7" t="str" cm="1">
        <f t="array" ref="D319">INDEX(기계코드!$D$4:$D$1022,MATCH(1,(C319=기계코드!$F$4:$F$1022)*1,0))</f>
        <v>M_AEB0402</v>
      </c>
      <c r="E319" s="7" t="s">
        <v>2073</v>
      </c>
      <c r="F319" s="7" t="str" cm="1">
        <f t="array" ref="F319">INDEX(공급업체코드!$B$3:$B$1000,MATCH(1,(E319=공급업체코드!$D$3:$D$1000)*1,0))</f>
        <v>VM_KF_MACH</v>
      </c>
      <c r="G319" s="158" t="s">
        <v>2090</v>
      </c>
      <c r="I319" s="166">
        <v>33.799999999999997</v>
      </c>
      <c r="J319" s="160">
        <v>8000</v>
      </c>
      <c r="K319" s="159">
        <v>200</v>
      </c>
      <c r="L319" s="165">
        <v>78.719999999999985</v>
      </c>
      <c r="M319" s="7" t="s">
        <v>984</v>
      </c>
      <c r="N319" s="7">
        <v>380</v>
      </c>
      <c r="O319" s="151">
        <v>0.95400000000000007</v>
      </c>
      <c r="P319" s="7">
        <v>0.9</v>
      </c>
      <c r="Q319" s="7">
        <v>80</v>
      </c>
      <c r="R319" s="113">
        <v>11</v>
      </c>
      <c r="S319" s="258" t="s">
        <v>1390</v>
      </c>
      <c r="T319" s="10">
        <f t="shared" si="7"/>
        <v>1</v>
      </c>
      <c r="U319" s="260" t="s">
        <v>1391</v>
      </c>
      <c r="V319">
        <v>34434000</v>
      </c>
      <c r="X319" s="157" t="s">
        <v>2075</v>
      </c>
      <c r="Y319" t="b">
        <v>1</v>
      </c>
    </row>
    <row r="320" spans="2:25">
      <c r="B320" s="1" t="str">
        <f t="shared" si="6"/>
        <v>M_AEB0402_VM_KF_MACH_38.5_8000</v>
      </c>
      <c r="C320" s="7" t="s">
        <v>2072</v>
      </c>
      <c r="D320" s="7" t="str" cm="1">
        <f t="array" ref="D320">INDEX(기계코드!$D$4:$D$1022,MATCH(1,(C320=기계코드!$F$4:$F$1022)*1,0))</f>
        <v>M_AEB0402</v>
      </c>
      <c r="E320" s="7" t="s">
        <v>2073</v>
      </c>
      <c r="F320" s="7" t="str" cm="1">
        <f t="array" ref="F320">INDEX(공급업체코드!$B$3:$B$1000,MATCH(1,(E320=공급업체코드!$D$3:$D$1000)*1,0))</f>
        <v>VM_KF_MACH</v>
      </c>
      <c r="G320" s="158" t="s">
        <v>2090</v>
      </c>
      <c r="I320" s="166">
        <v>38.5</v>
      </c>
      <c r="J320" s="160">
        <v>8000</v>
      </c>
      <c r="K320" s="159">
        <v>200</v>
      </c>
      <c r="L320" s="165">
        <v>86.759999999999991</v>
      </c>
      <c r="M320" s="7" t="s">
        <v>984</v>
      </c>
      <c r="N320" s="7">
        <v>380</v>
      </c>
      <c r="O320" s="151">
        <v>0.95400000000000007</v>
      </c>
      <c r="P320" s="7">
        <v>0.9</v>
      </c>
      <c r="Q320" s="7">
        <v>80</v>
      </c>
      <c r="R320" s="113">
        <v>11</v>
      </c>
      <c r="S320" s="258" t="s">
        <v>1390</v>
      </c>
      <c r="T320" s="10">
        <f t="shared" si="7"/>
        <v>1</v>
      </c>
      <c r="U320" s="260" t="s">
        <v>1391</v>
      </c>
      <c r="V320">
        <v>34434000</v>
      </c>
      <c r="X320" s="157" t="s">
        <v>2075</v>
      </c>
      <c r="Y320" t="b">
        <v>1</v>
      </c>
    </row>
    <row r="321" spans="2:25">
      <c r="B321" s="1" t="str">
        <f t="shared" si="6"/>
        <v>M_AEB0402_VM_KF_MACH_45.1_8000</v>
      </c>
      <c r="C321" s="7" t="s">
        <v>2072</v>
      </c>
      <c r="D321" s="7" t="str" cm="1">
        <f t="array" ref="D321">INDEX(기계코드!$D$4:$D$1022,MATCH(1,(C321=기계코드!$F$4:$F$1022)*1,0))</f>
        <v>M_AEB0402</v>
      </c>
      <c r="E321" s="7" t="s">
        <v>2073</v>
      </c>
      <c r="F321" s="7" t="str" cm="1">
        <f t="array" ref="F321">INDEX(공급업체코드!$B$3:$B$1000,MATCH(1,(E321=공급업체코드!$D$3:$D$1000)*1,0))</f>
        <v>VM_KF_MACH</v>
      </c>
      <c r="G321" s="158" t="s">
        <v>2090</v>
      </c>
      <c r="I321" s="166">
        <v>45.1</v>
      </c>
      <c r="J321" s="160">
        <v>8000</v>
      </c>
      <c r="K321" s="159">
        <v>200</v>
      </c>
      <c r="L321" s="165">
        <v>97.919999999999987</v>
      </c>
      <c r="M321" s="7" t="s">
        <v>984</v>
      </c>
      <c r="N321" s="7">
        <v>380</v>
      </c>
      <c r="O321" s="151">
        <v>0.95799999999999996</v>
      </c>
      <c r="P321" s="7">
        <v>0.9</v>
      </c>
      <c r="Q321" s="7">
        <v>80</v>
      </c>
      <c r="R321" s="113">
        <v>11</v>
      </c>
      <c r="S321" s="258" t="s">
        <v>1390</v>
      </c>
      <c r="T321" s="10">
        <f t="shared" si="7"/>
        <v>1</v>
      </c>
      <c r="U321" s="260" t="s">
        <v>1391</v>
      </c>
      <c r="V321">
        <v>34434000</v>
      </c>
      <c r="X321" s="157" t="s">
        <v>2075</v>
      </c>
      <c r="Y321" t="b">
        <v>1</v>
      </c>
    </row>
    <row r="322" spans="2:25">
      <c r="B322" s="1" t="str">
        <f t="shared" si="6"/>
        <v>M_AEB0402_VM_KF_MACH_48.8_8000</v>
      </c>
      <c r="C322" s="7" t="s">
        <v>2072</v>
      </c>
      <c r="D322" s="7" t="str" cm="1">
        <f t="array" ref="D322">INDEX(기계코드!$D$4:$D$1022,MATCH(1,(C322=기계코드!$F$4:$F$1022)*1,0))</f>
        <v>M_AEB0402</v>
      </c>
      <c r="E322" s="7" t="s">
        <v>2073</v>
      </c>
      <c r="F322" s="7" t="str" cm="1">
        <f t="array" ref="F322">INDEX(공급업체코드!$B$3:$B$1000,MATCH(1,(E322=공급업체코드!$D$3:$D$1000)*1,0))</f>
        <v>VM_KF_MACH</v>
      </c>
      <c r="G322" s="158" t="s">
        <v>2090</v>
      </c>
      <c r="I322" s="166">
        <v>48.8</v>
      </c>
      <c r="J322" s="160">
        <v>8000</v>
      </c>
      <c r="K322" s="159">
        <v>200</v>
      </c>
      <c r="L322" s="165">
        <v>105.11999999999999</v>
      </c>
      <c r="M322" s="7" t="s">
        <v>984</v>
      </c>
      <c r="N322" s="7">
        <v>380</v>
      </c>
      <c r="O322" s="151">
        <v>0.95799999999999996</v>
      </c>
      <c r="P322" s="7">
        <v>0.9</v>
      </c>
      <c r="Q322" s="7">
        <v>80</v>
      </c>
      <c r="R322" s="113">
        <v>11</v>
      </c>
      <c r="S322" s="258" t="s">
        <v>1390</v>
      </c>
      <c r="T322" s="10">
        <f t="shared" si="7"/>
        <v>1</v>
      </c>
      <c r="U322" s="260" t="s">
        <v>1391</v>
      </c>
      <c r="V322">
        <v>34434000</v>
      </c>
      <c r="X322" s="157" t="s">
        <v>2075</v>
      </c>
      <c r="Y322" t="b">
        <v>1</v>
      </c>
    </row>
    <row r="323" spans="2:25">
      <c r="B323" s="1" t="str">
        <f t="shared" si="6"/>
        <v>M_AEB0402_VM_KF_MACH_62.6_8000</v>
      </c>
      <c r="C323" s="7" t="s">
        <v>2072</v>
      </c>
      <c r="D323" s="7" t="str" cm="1">
        <f t="array" ref="D323">INDEX(기계코드!$D$4:$D$1022,MATCH(1,(C323=기계코드!$F$4:$F$1022)*1,0))</f>
        <v>M_AEB0402</v>
      </c>
      <c r="E323" s="7" t="s">
        <v>2073</v>
      </c>
      <c r="F323" s="7" t="str" cm="1">
        <f t="array" ref="F323">INDEX(공급업체코드!$B$3:$B$1000,MATCH(1,(E323=공급업체코드!$D$3:$D$1000)*1,0))</f>
        <v>VM_KF_MACH</v>
      </c>
      <c r="G323" s="158" t="s">
        <v>2090</v>
      </c>
      <c r="I323" s="166">
        <v>62.6</v>
      </c>
      <c r="J323" s="160">
        <v>8000</v>
      </c>
      <c r="K323" s="159">
        <v>200</v>
      </c>
      <c r="L323" s="165">
        <v>131.4</v>
      </c>
      <c r="M323" s="7" t="s">
        <v>984</v>
      </c>
      <c r="N323" s="7">
        <v>380</v>
      </c>
      <c r="O323" s="151">
        <v>0.95799999999999996</v>
      </c>
      <c r="P323" s="7">
        <v>0.9</v>
      </c>
      <c r="Q323" s="7">
        <v>80</v>
      </c>
      <c r="R323" s="113">
        <v>11</v>
      </c>
      <c r="S323" s="258" t="s">
        <v>1390</v>
      </c>
      <c r="T323" s="10">
        <f t="shared" si="7"/>
        <v>1</v>
      </c>
      <c r="U323" s="260" t="s">
        <v>1391</v>
      </c>
      <c r="V323">
        <v>34434000</v>
      </c>
      <c r="X323" s="157" t="s">
        <v>2075</v>
      </c>
      <c r="Y323" t="b">
        <v>1</v>
      </c>
    </row>
    <row r="324" spans="2:25">
      <c r="B324" s="1" t="str">
        <f t="shared" ref="B324:B387" si="8">D324&amp;"_"&amp;F324&amp;"_"&amp;I324&amp;"_"&amp;J324</f>
        <v>M_AEB0402_VM_KF_MACH_76.7_8000</v>
      </c>
      <c r="C324" s="7" t="s">
        <v>2072</v>
      </c>
      <c r="D324" s="7" t="str" cm="1">
        <f t="array" ref="D324">INDEX(기계코드!$D$4:$D$1022,MATCH(1,(C324=기계코드!$F$4:$F$1022)*1,0))</f>
        <v>M_AEB0402</v>
      </c>
      <c r="E324" s="7" t="s">
        <v>2073</v>
      </c>
      <c r="F324" s="7" t="str" cm="1">
        <f t="array" ref="F324">INDEX(공급업체코드!$B$3:$B$1000,MATCH(1,(E324=공급업체코드!$D$3:$D$1000)*1,0))</f>
        <v>VM_KF_MACH</v>
      </c>
      <c r="G324" s="158" t="s">
        <v>2090</v>
      </c>
      <c r="I324" s="166">
        <v>76.7</v>
      </c>
      <c r="J324" s="160">
        <v>8000</v>
      </c>
      <c r="K324" s="159">
        <v>200</v>
      </c>
      <c r="L324" s="165">
        <v>157.19999999999999</v>
      </c>
      <c r="M324" s="7" t="s">
        <v>984</v>
      </c>
      <c r="N324" s="7">
        <v>380</v>
      </c>
      <c r="O324" s="151">
        <v>0.96200000000000008</v>
      </c>
      <c r="P324" s="7">
        <v>0.9</v>
      </c>
      <c r="Q324" s="7">
        <v>80</v>
      </c>
      <c r="R324" s="113">
        <v>11</v>
      </c>
      <c r="S324" s="258" t="s">
        <v>1390</v>
      </c>
      <c r="T324" s="10">
        <f t="shared" ref="T324:T372" si="9">IF(R324&lt;500,1,IF(R324&lt;1000,2,IF(R324&lt;5000,3,4)))</f>
        <v>1</v>
      </c>
      <c r="U324" s="260" t="s">
        <v>1391</v>
      </c>
      <c r="V324">
        <v>34434000</v>
      </c>
      <c r="X324" s="157" t="s">
        <v>2075</v>
      </c>
      <c r="Y324" t="b">
        <v>1</v>
      </c>
    </row>
    <row r="325" spans="2:25">
      <c r="B325" s="1" t="str">
        <f t="shared" si="8"/>
        <v>M_AEB0402_VM_KF_MACH_74.8_7000</v>
      </c>
      <c r="C325" s="7" t="s">
        <v>2072</v>
      </c>
      <c r="D325" s="7" t="str" cm="1">
        <f t="array" ref="D325">INDEX(기계코드!$D$4:$D$1022,MATCH(1,(C325=기계코드!$F$4:$F$1022)*1,0))</f>
        <v>M_AEB0402</v>
      </c>
      <c r="E325" s="7" t="s">
        <v>2073</v>
      </c>
      <c r="F325" s="7" t="str" cm="1">
        <f t="array" ref="F325">INDEX(공급업체코드!$B$3:$B$1000,MATCH(1,(E325=공급업체코드!$D$3:$D$1000)*1,0))</f>
        <v>VM_KF_MACH</v>
      </c>
      <c r="G325" s="158" t="s">
        <v>2091</v>
      </c>
      <c r="I325" s="166">
        <v>74.8</v>
      </c>
      <c r="J325" s="160">
        <v>7000</v>
      </c>
      <c r="K325" s="159">
        <v>250</v>
      </c>
      <c r="L325" s="165">
        <v>139.56</v>
      </c>
      <c r="M325" s="7" t="s">
        <v>984</v>
      </c>
      <c r="N325" s="7">
        <v>380</v>
      </c>
      <c r="O325" s="151">
        <v>0.96200000000000008</v>
      </c>
      <c r="P325" s="7">
        <v>0.9</v>
      </c>
      <c r="Q325" s="7">
        <v>80</v>
      </c>
      <c r="R325" s="113">
        <v>11</v>
      </c>
      <c r="S325" s="258" t="s">
        <v>1390</v>
      </c>
      <c r="T325" s="10">
        <f t="shared" si="9"/>
        <v>1</v>
      </c>
      <c r="U325" s="260" t="s">
        <v>1391</v>
      </c>
      <c r="V325">
        <v>56389000</v>
      </c>
      <c r="X325" s="157" t="s">
        <v>2075</v>
      </c>
      <c r="Y325" t="b">
        <v>1</v>
      </c>
    </row>
    <row r="326" spans="2:25">
      <c r="B326" s="1" t="str">
        <f t="shared" si="8"/>
        <v>M_AEB0402_VM_KF_MACH_85.4_7000</v>
      </c>
      <c r="C326" s="7" t="s">
        <v>2072</v>
      </c>
      <c r="D326" s="7" t="str" cm="1">
        <f t="array" ref="D326">INDEX(기계코드!$D$4:$D$1022,MATCH(1,(C326=기계코드!$F$4:$F$1022)*1,0))</f>
        <v>M_AEB0402</v>
      </c>
      <c r="E326" s="7" t="s">
        <v>2073</v>
      </c>
      <c r="F326" s="7" t="str" cm="1">
        <f t="array" ref="F326">INDEX(공급업체코드!$B$3:$B$1000,MATCH(1,(E326=공급업체코드!$D$3:$D$1000)*1,0))</f>
        <v>VM_KF_MACH</v>
      </c>
      <c r="G326" s="158" t="s">
        <v>2091</v>
      </c>
      <c r="I326" s="166">
        <v>85.4</v>
      </c>
      <c r="J326" s="160">
        <v>7000</v>
      </c>
      <c r="K326" s="159">
        <v>250</v>
      </c>
      <c r="L326" s="165">
        <v>155.4</v>
      </c>
      <c r="M326" s="7" t="s">
        <v>984</v>
      </c>
      <c r="N326" s="7">
        <v>380</v>
      </c>
      <c r="O326" s="151">
        <v>0.96200000000000008</v>
      </c>
      <c r="P326" s="7">
        <v>0.9</v>
      </c>
      <c r="Q326" s="7">
        <v>80</v>
      </c>
      <c r="R326" s="113">
        <v>11</v>
      </c>
      <c r="S326" s="258" t="s">
        <v>1390</v>
      </c>
      <c r="T326" s="10">
        <f t="shared" si="9"/>
        <v>1</v>
      </c>
      <c r="U326" s="260" t="s">
        <v>1391</v>
      </c>
      <c r="V326">
        <v>56389000</v>
      </c>
      <c r="X326" s="157" t="s">
        <v>2075</v>
      </c>
      <c r="Y326" t="b">
        <v>1</v>
      </c>
    </row>
    <row r="327" spans="2:25">
      <c r="B327" s="1" t="str">
        <f t="shared" si="8"/>
        <v>M_AEB0402_VM_KF_MACH_102.2_7000</v>
      </c>
      <c r="C327" s="7" t="s">
        <v>2072</v>
      </c>
      <c r="D327" s="7" t="str" cm="1">
        <f t="array" ref="D327">INDEX(기계코드!$D$4:$D$1022,MATCH(1,(C327=기계코드!$F$4:$F$1022)*1,0))</f>
        <v>M_AEB0402</v>
      </c>
      <c r="E327" s="7" t="s">
        <v>2073</v>
      </c>
      <c r="F327" s="7" t="str" cm="1">
        <f t="array" ref="F327">INDEX(공급업체코드!$B$3:$B$1000,MATCH(1,(E327=공급업체코드!$D$3:$D$1000)*1,0))</f>
        <v>VM_KF_MACH</v>
      </c>
      <c r="G327" s="158" t="s">
        <v>2091</v>
      </c>
      <c r="I327" s="166">
        <v>102.2</v>
      </c>
      <c r="J327" s="160">
        <v>7000</v>
      </c>
      <c r="K327" s="159">
        <v>250</v>
      </c>
      <c r="L327" s="165">
        <v>181.79999999999998</v>
      </c>
      <c r="M327" s="7" t="s">
        <v>984</v>
      </c>
      <c r="N327" s="7">
        <v>380</v>
      </c>
      <c r="O327" s="151">
        <v>0.96200000000000008</v>
      </c>
      <c r="P327" s="7">
        <v>0.9</v>
      </c>
      <c r="Q327" s="7">
        <v>80</v>
      </c>
      <c r="R327" s="113">
        <v>11</v>
      </c>
      <c r="S327" s="258" t="s">
        <v>1390</v>
      </c>
      <c r="T327" s="10">
        <f t="shared" si="9"/>
        <v>1</v>
      </c>
      <c r="U327" s="260" t="s">
        <v>1391</v>
      </c>
      <c r="V327">
        <v>56389000</v>
      </c>
      <c r="X327" s="157" t="s">
        <v>2075</v>
      </c>
      <c r="Y327" t="b">
        <v>1</v>
      </c>
    </row>
    <row r="328" spans="2:25">
      <c r="B328" s="1" t="str">
        <f t="shared" si="8"/>
        <v>M_AEB0402_VM_KF_MACH_116.4_7000</v>
      </c>
      <c r="C328" s="7" t="s">
        <v>2072</v>
      </c>
      <c r="D328" s="7" t="str" cm="1">
        <f t="array" ref="D328">INDEX(기계코드!$D$4:$D$1022,MATCH(1,(C328=기계코드!$F$4:$F$1022)*1,0))</f>
        <v>M_AEB0402</v>
      </c>
      <c r="E328" s="7" t="s">
        <v>2073</v>
      </c>
      <c r="F328" s="7" t="str" cm="1">
        <f t="array" ref="F328">INDEX(공급업체코드!$B$3:$B$1000,MATCH(1,(E328=공급업체코드!$D$3:$D$1000)*1,0))</f>
        <v>VM_KF_MACH</v>
      </c>
      <c r="G328" s="158" t="s">
        <v>2091</v>
      </c>
      <c r="I328" s="166">
        <v>116.4</v>
      </c>
      <c r="J328" s="160">
        <v>7000</v>
      </c>
      <c r="K328" s="159">
        <v>250</v>
      </c>
      <c r="L328" s="165">
        <v>201.36</v>
      </c>
      <c r="M328" s="7" t="s">
        <v>984</v>
      </c>
      <c r="N328" s="7">
        <v>380</v>
      </c>
      <c r="O328" s="151">
        <v>0.96200000000000008</v>
      </c>
      <c r="P328" s="7">
        <v>0.9</v>
      </c>
      <c r="Q328" s="7">
        <v>80</v>
      </c>
      <c r="R328" s="113">
        <v>11</v>
      </c>
      <c r="S328" s="258" t="s">
        <v>1390</v>
      </c>
      <c r="T328" s="10">
        <f t="shared" si="9"/>
        <v>1</v>
      </c>
      <c r="U328" s="260" t="s">
        <v>1391</v>
      </c>
      <c r="V328">
        <v>56389000</v>
      </c>
      <c r="X328" s="157" t="s">
        <v>2075</v>
      </c>
      <c r="Y328" t="b">
        <v>1</v>
      </c>
    </row>
    <row r="329" spans="2:25">
      <c r="B329" s="1" t="str">
        <f t="shared" si="8"/>
        <v>M_AEB0402_VM_KF_MACH_73.5_8000</v>
      </c>
      <c r="C329" s="7" t="s">
        <v>2072</v>
      </c>
      <c r="D329" s="7" t="str" cm="1">
        <f t="array" ref="D329">INDEX(기계코드!$D$4:$D$1022,MATCH(1,(C329=기계코드!$F$4:$F$1022)*1,0))</f>
        <v>M_AEB0402</v>
      </c>
      <c r="E329" s="7" t="s">
        <v>2073</v>
      </c>
      <c r="F329" s="7" t="str" cm="1">
        <f t="array" ref="F329">INDEX(공급업체코드!$B$3:$B$1000,MATCH(1,(E329=공급업체코드!$D$3:$D$1000)*1,0))</f>
        <v>VM_KF_MACH</v>
      </c>
      <c r="G329" s="158" t="s">
        <v>2091</v>
      </c>
      <c r="I329" s="166">
        <v>73.5</v>
      </c>
      <c r="J329" s="160">
        <v>8000</v>
      </c>
      <c r="K329" s="159">
        <v>250</v>
      </c>
      <c r="L329" s="165">
        <v>158.4</v>
      </c>
      <c r="M329" s="7" t="s">
        <v>984</v>
      </c>
      <c r="N329" s="7">
        <v>380</v>
      </c>
      <c r="O329" s="151">
        <v>0.96200000000000008</v>
      </c>
      <c r="P329" s="7">
        <v>0.9</v>
      </c>
      <c r="Q329" s="7">
        <v>80</v>
      </c>
      <c r="R329" s="113">
        <v>11</v>
      </c>
      <c r="S329" s="258" t="s">
        <v>1390</v>
      </c>
      <c r="T329" s="10">
        <f t="shared" si="9"/>
        <v>1</v>
      </c>
      <c r="U329" s="260" t="s">
        <v>1391</v>
      </c>
      <c r="V329">
        <v>62268000</v>
      </c>
      <c r="X329" s="157" t="s">
        <v>2075</v>
      </c>
      <c r="Y329" t="b">
        <v>1</v>
      </c>
    </row>
    <row r="330" spans="2:25">
      <c r="B330" s="1" t="str">
        <f t="shared" si="8"/>
        <v>M_AEB0402_VM_KF_MACH_84.1_8000</v>
      </c>
      <c r="C330" s="7" t="s">
        <v>2072</v>
      </c>
      <c r="D330" s="7" t="str" cm="1">
        <f t="array" ref="D330">INDEX(기계코드!$D$4:$D$1022,MATCH(1,(C330=기계코드!$F$4:$F$1022)*1,0))</f>
        <v>M_AEB0402</v>
      </c>
      <c r="E330" s="7" t="s">
        <v>2073</v>
      </c>
      <c r="F330" s="7" t="str" cm="1">
        <f t="array" ref="F330">INDEX(공급업체코드!$B$3:$B$1000,MATCH(1,(E330=공급업체코드!$D$3:$D$1000)*1,0))</f>
        <v>VM_KF_MACH</v>
      </c>
      <c r="G330" s="158" t="s">
        <v>2091</v>
      </c>
      <c r="I330" s="166">
        <v>84.1</v>
      </c>
      <c r="J330" s="160">
        <v>8000</v>
      </c>
      <c r="K330" s="159">
        <v>250</v>
      </c>
      <c r="L330" s="165">
        <v>176.4</v>
      </c>
      <c r="M330" s="7" t="s">
        <v>984</v>
      </c>
      <c r="N330" s="7">
        <v>380</v>
      </c>
      <c r="O330" s="151">
        <v>0.96200000000000008</v>
      </c>
      <c r="P330" s="7">
        <v>0.9</v>
      </c>
      <c r="Q330" s="7">
        <v>80</v>
      </c>
      <c r="R330" s="113">
        <v>11</v>
      </c>
      <c r="S330" s="258" t="s">
        <v>1390</v>
      </c>
      <c r="T330" s="10">
        <f t="shared" si="9"/>
        <v>1</v>
      </c>
      <c r="U330" s="260" t="s">
        <v>1391</v>
      </c>
      <c r="V330">
        <v>62268000</v>
      </c>
      <c r="X330" s="157" t="s">
        <v>2075</v>
      </c>
      <c r="Y330" t="b">
        <v>1</v>
      </c>
    </row>
    <row r="331" spans="2:25">
      <c r="B331" s="1" t="str">
        <f t="shared" si="8"/>
        <v>M_AEB0402_VM_KF_MACH_100.7_8000</v>
      </c>
      <c r="C331" s="7" t="s">
        <v>2072</v>
      </c>
      <c r="D331" s="7" t="str" cm="1">
        <f t="array" ref="D331">INDEX(기계코드!$D$4:$D$1022,MATCH(1,(C331=기계코드!$F$4:$F$1022)*1,0))</f>
        <v>M_AEB0402</v>
      </c>
      <c r="E331" s="7" t="s">
        <v>2073</v>
      </c>
      <c r="F331" s="7" t="str" cm="1">
        <f t="array" ref="F331">INDEX(공급업체코드!$B$3:$B$1000,MATCH(1,(E331=공급업체코드!$D$3:$D$1000)*1,0))</f>
        <v>VM_KF_MACH</v>
      </c>
      <c r="G331" s="158" t="s">
        <v>2091</v>
      </c>
      <c r="I331" s="166">
        <v>100.7</v>
      </c>
      <c r="J331" s="160">
        <v>8000</v>
      </c>
      <c r="K331" s="159">
        <v>250</v>
      </c>
      <c r="L331" s="165">
        <v>205.32</v>
      </c>
      <c r="M331" s="7" t="s">
        <v>984</v>
      </c>
      <c r="N331" s="7">
        <v>380</v>
      </c>
      <c r="O331" s="151">
        <v>0.96200000000000008</v>
      </c>
      <c r="P331" s="7">
        <v>0.9</v>
      </c>
      <c r="Q331" s="7">
        <v>80</v>
      </c>
      <c r="R331" s="113">
        <v>11</v>
      </c>
      <c r="S331" s="258" t="s">
        <v>1390</v>
      </c>
      <c r="T331" s="10">
        <f t="shared" si="9"/>
        <v>1</v>
      </c>
      <c r="U331" s="260" t="s">
        <v>1391</v>
      </c>
      <c r="V331">
        <v>62268000</v>
      </c>
      <c r="X331" s="157" t="s">
        <v>2075</v>
      </c>
      <c r="Y331" t="b">
        <v>1</v>
      </c>
    </row>
    <row r="332" spans="2:25">
      <c r="B332" s="1" t="str">
        <f>D332&amp;"_"&amp;F332&amp;"_"&amp;I332&amp;"_"&amp;J332</f>
        <v>M_AEB0402_VM_KF_MACH_114.7_8000</v>
      </c>
      <c r="C332" s="7" t="s">
        <v>2072</v>
      </c>
      <c r="D332" s="7" t="str" cm="1">
        <f t="array" ref="D332">INDEX(기계코드!$D$4:$D$1022,MATCH(1,(C332=기계코드!$F$4:$F$1022)*1,0))</f>
        <v>M_AEB0402</v>
      </c>
      <c r="E332" s="7" t="s">
        <v>2073</v>
      </c>
      <c r="F332" s="7" t="str" cm="1">
        <f t="array" ref="F332">INDEX(공급업체코드!$B$3:$B$1000,MATCH(1,(E332=공급업체코드!$D$3:$D$1000)*1,0))</f>
        <v>VM_KF_MACH</v>
      </c>
      <c r="G332" s="158" t="s">
        <v>2091</v>
      </c>
      <c r="I332" s="166">
        <v>114.7</v>
      </c>
      <c r="J332" s="160">
        <v>8000</v>
      </c>
      <c r="K332" s="159">
        <v>250</v>
      </c>
      <c r="L332" s="165">
        <v>226.92</v>
      </c>
      <c r="M332" s="7" t="s">
        <v>984</v>
      </c>
      <c r="N332" s="7">
        <v>380</v>
      </c>
      <c r="O332" s="151">
        <v>0.96200000000000008</v>
      </c>
      <c r="P332" s="7">
        <v>0.9</v>
      </c>
      <c r="Q332" s="7">
        <v>80</v>
      </c>
      <c r="R332" s="113">
        <v>11</v>
      </c>
      <c r="S332" s="258" t="s">
        <v>1390</v>
      </c>
      <c r="T332" s="10">
        <f t="shared" si="9"/>
        <v>1</v>
      </c>
      <c r="U332" s="260" t="s">
        <v>1391</v>
      </c>
      <c r="V332">
        <v>62268000</v>
      </c>
      <c r="X332" s="157" t="s">
        <v>2075</v>
      </c>
      <c r="Y332" t="b">
        <v>1</v>
      </c>
    </row>
    <row r="333" spans="2:25">
      <c r="B333" s="1" t="str">
        <f t="shared" si="8"/>
        <v>M_AEB0402_VM_KF_MACH_89.5_7000</v>
      </c>
      <c r="C333" s="7" t="s">
        <v>2072</v>
      </c>
      <c r="D333" s="7" t="str" cm="1">
        <f t="array" ref="D333">INDEX(기계코드!$D$4:$D$1022,MATCH(1,(C333=기계코드!$F$4:$F$1022)*1,0))</f>
        <v>M_AEB0402</v>
      </c>
      <c r="E333" s="7" t="s">
        <v>2073</v>
      </c>
      <c r="F333" s="7" t="str" cm="1">
        <f t="array" ref="F333">INDEX(공급업체코드!$B$3:$B$1000,MATCH(1,(E333=공급업체코드!$D$3:$D$1000)*1,0))</f>
        <v>VM_KF_MACH</v>
      </c>
      <c r="G333" s="158" t="s">
        <v>2092</v>
      </c>
      <c r="I333" s="166">
        <v>89.5</v>
      </c>
      <c r="J333" s="160">
        <v>7000</v>
      </c>
      <c r="K333" s="159">
        <v>300</v>
      </c>
      <c r="L333" s="165">
        <v>170.28</v>
      </c>
      <c r="M333" s="7" t="s">
        <v>984</v>
      </c>
      <c r="N333" s="7">
        <v>380</v>
      </c>
      <c r="O333" s="151">
        <v>0.96200000000000008</v>
      </c>
      <c r="P333" s="7">
        <v>0.9</v>
      </c>
      <c r="Q333" s="7">
        <v>80</v>
      </c>
      <c r="R333" s="113">
        <v>11</v>
      </c>
      <c r="S333" s="258" t="s">
        <v>1390</v>
      </c>
      <c r="T333" s="10">
        <f t="shared" si="9"/>
        <v>1</v>
      </c>
      <c r="U333" s="260" t="s">
        <v>1391</v>
      </c>
      <c r="V333">
        <v>999</v>
      </c>
      <c r="X333" s="162" t="s">
        <v>2075</v>
      </c>
      <c r="Y333" t="b">
        <v>1</v>
      </c>
    </row>
    <row r="334" spans="2:25">
      <c r="B334" s="1" t="str">
        <f t="shared" si="8"/>
        <v>M_AEB0402_VM_KF_MACH_100.3_7000</v>
      </c>
      <c r="C334" s="7" t="s">
        <v>2072</v>
      </c>
      <c r="D334" s="7" t="str" cm="1">
        <f t="array" ref="D334">INDEX(기계코드!$D$4:$D$1022,MATCH(1,(C334=기계코드!$F$4:$F$1022)*1,0))</f>
        <v>M_AEB0402</v>
      </c>
      <c r="E334" s="7" t="s">
        <v>2073</v>
      </c>
      <c r="F334" s="7" t="str" cm="1">
        <f t="array" ref="F334">INDEX(공급업체코드!$B$3:$B$1000,MATCH(1,(E334=공급업체코드!$D$3:$D$1000)*1,0))</f>
        <v>VM_KF_MACH</v>
      </c>
      <c r="G334" s="158" t="s">
        <v>2092</v>
      </c>
      <c r="I334" s="166">
        <v>100.3</v>
      </c>
      <c r="J334" s="160">
        <v>7000</v>
      </c>
      <c r="K334" s="159">
        <v>300</v>
      </c>
      <c r="L334" s="165">
        <v>185.28</v>
      </c>
      <c r="M334" s="7" t="s">
        <v>984</v>
      </c>
      <c r="N334" s="7">
        <v>380</v>
      </c>
      <c r="O334" s="151">
        <v>0.96200000000000008</v>
      </c>
      <c r="P334" s="7">
        <v>0.9</v>
      </c>
      <c r="Q334" s="7">
        <v>80</v>
      </c>
      <c r="R334" s="113">
        <v>11</v>
      </c>
      <c r="S334" s="258" t="s">
        <v>1390</v>
      </c>
      <c r="T334" s="10">
        <f t="shared" si="9"/>
        <v>1</v>
      </c>
      <c r="U334" s="260" t="s">
        <v>1391</v>
      </c>
      <c r="V334">
        <v>999</v>
      </c>
      <c r="X334" s="162" t="s">
        <v>2075</v>
      </c>
      <c r="Y334" t="b">
        <v>1</v>
      </c>
    </row>
    <row r="335" spans="2:25">
      <c r="B335" s="1" t="str">
        <f t="shared" si="8"/>
        <v>M_AEB0402_VM_KF_MACH_112.5_7000</v>
      </c>
      <c r="C335" s="7" t="s">
        <v>2072</v>
      </c>
      <c r="D335" s="7" t="str" cm="1">
        <f t="array" ref="D335">INDEX(기계코드!$D$4:$D$1022,MATCH(1,(C335=기계코드!$F$4:$F$1022)*1,0))</f>
        <v>M_AEB0402</v>
      </c>
      <c r="E335" s="7" t="s">
        <v>2073</v>
      </c>
      <c r="F335" s="7" t="str" cm="1">
        <f t="array" ref="F335">INDEX(공급업체코드!$B$3:$B$1000,MATCH(1,(E335=공급업체코드!$D$3:$D$1000)*1,0))</f>
        <v>VM_KF_MACH</v>
      </c>
      <c r="G335" s="158" t="s">
        <v>2092</v>
      </c>
      <c r="I335" s="166">
        <v>112.5</v>
      </c>
      <c r="J335" s="160">
        <v>7000</v>
      </c>
      <c r="K335" s="159">
        <v>300</v>
      </c>
      <c r="L335" s="165">
        <v>202.56</v>
      </c>
      <c r="M335" s="7" t="s">
        <v>984</v>
      </c>
      <c r="N335" s="7">
        <v>380</v>
      </c>
      <c r="O335" s="151">
        <v>0.96200000000000008</v>
      </c>
      <c r="P335" s="7">
        <v>0.9</v>
      </c>
      <c r="Q335" s="7">
        <v>80</v>
      </c>
      <c r="R335" s="113">
        <v>11</v>
      </c>
      <c r="S335" s="258" t="s">
        <v>1390</v>
      </c>
      <c r="T335" s="10">
        <f t="shared" si="9"/>
        <v>1</v>
      </c>
      <c r="U335" s="260" t="s">
        <v>1391</v>
      </c>
      <c r="V335">
        <v>999</v>
      </c>
      <c r="X335" s="162" t="s">
        <v>2075</v>
      </c>
      <c r="Y335" t="b">
        <v>1</v>
      </c>
    </row>
    <row r="336" spans="2:25">
      <c r="B336" s="1" t="str">
        <f t="shared" si="8"/>
        <v>M_AEB0402_VM_KF_MACH_128.3_7000</v>
      </c>
      <c r="C336" s="7" t="s">
        <v>2072</v>
      </c>
      <c r="D336" s="7" t="str" cm="1">
        <f t="array" ref="D336">INDEX(기계코드!$D$4:$D$1022,MATCH(1,(C336=기계코드!$F$4:$F$1022)*1,0))</f>
        <v>M_AEB0402</v>
      </c>
      <c r="E336" s="7" t="s">
        <v>2073</v>
      </c>
      <c r="F336" s="7" t="str" cm="1">
        <f t="array" ref="F336">INDEX(공급업체코드!$B$3:$B$1000,MATCH(1,(E336=공급업체코드!$D$3:$D$1000)*1,0))</f>
        <v>VM_KF_MACH</v>
      </c>
      <c r="G336" s="158" t="s">
        <v>2092</v>
      </c>
      <c r="I336" s="166">
        <v>128.30000000000001</v>
      </c>
      <c r="J336" s="160">
        <v>7000</v>
      </c>
      <c r="K336" s="159">
        <v>300</v>
      </c>
      <c r="L336" s="165">
        <v>223.68</v>
      </c>
      <c r="M336" s="7" t="s">
        <v>984</v>
      </c>
      <c r="N336" s="7">
        <v>380</v>
      </c>
      <c r="O336" s="151">
        <v>0.96200000000000008</v>
      </c>
      <c r="P336" s="7">
        <v>0.9</v>
      </c>
      <c r="Q336" s="7">
        <v>80</v>
      </c>
      <c r="R336" s="113">
        <v>11</v>
      </c>
      <c r="S336" s="258" t="s">
        <v>1390</v>
      </c>
      <c r="T336" s="10">
        <f t="shared" si="9"/>
        <v>1</v>
      </c>
      <c r="U336" s="260" t="s">
        <v>1391</v>
      </c>
      <c r="V336">
        <v>999</v>
      </c>
      <c r="X336" s="162" t="s">
        <v>2075</v>
      </c>
      <c r="Y336" t="b">
        <v>1</v>
      </c>
    </row>
    <row r="337" spans="2:25">
      <c r="B337" s="1" t="str">
        <f t="shared" si="8"/>
        <v>M_AEB0402_VM_KF_MACH_155.1_7000</v>
      </c>
      <c r="C337" s="7" t="s">
        <v>2072</v>
      </c>
      <c r="D337" s="7" t="str" cm="1">
        <f t="array" ref="D337">INDEX(기계코드!$D$4:$D$1022,MATCH(1,(C337=기계코드!$F$4:$F$1022)*1,0))</f>
        <v>M_AEB0402</v>
      </c>
      <c r="E337" s="7" t="s">
        <v>2073</v>
      </c>
      <c r="F337" s="7" t="str" cm="1">
        <f t="array" ref="F337">INDEX(공급업체코드!$B$3:$B$1000,MATCH(1,(E337=공급업체코드!$D$3:$D$1000)*1,0))</f>
        <v>VM_KF_MACH</v>
      </c>
      <c r="G337" s="158" t="s">
        <v>2092</v>
      </c>
      <c r="I337" s="166">
        <v>155.1</v>
      </c>
      <c r="J337" s="160">
        <v>7000</v>
      </c>
      <c r="K337" s="159">
        <v>300</v>
      </c>
      <c r="L337" s="165">
        <v>259.44</v>
      </c>
      <c r="M337" s="7" t="s">
        <v>984</v>
      </c>
      <c r="N337" s="7">
        <v>380</v>
      </c>
      <c r="O337" s="151">
        <v>0.96200000000000008</v>
      </c>
      <c r="P337" s="7">
        <v>0.9</v>
      </c>
      <c r="Q337" s="7">
        <v>80</v>
      </c>
      <c r="R337" s="113">
        <v>11</v>
      </c>
      <c r="S337" s="258" t="s">
        <v>1390</v>
      </c>
      <c r="T337" s="10">
        <f t="shared" si="9"/>
        <v>1</v>
      </c>
      <c r="U337" s="260" t="s">
        <v>1391</v>
      </c>
      <c r="V337">
        <v>999</v>
      </c>
      <c r="X337" s="162" t="s">
        <v>2075</v>
      </c>
      <c r="Y337" t="b">
        <v>1</v>
      </c>
    </row>
    <row r="338" spans="2:25">
      <c r="B338" s="1" t="str">
        <f t="shared" si="8"/>
        <v>M_AEB0402_VM_KF_MACH_87.8_8000</v>
      </c>
      <c r="C338" s="7" t="s">
        <v>2072</v>
      </c>
      <c r="D338" s="7" t="str" cm="1">
        <f t="array" ref="D338">INDEX(기계코드!$D$4:$D$1022,MATCH(1,(C338=기계코드!$F$4:$F$1022)*1,0))</f>
        <v>M_AEB0402</v>
      </c>
      <c r="E338" s="7" t="s">
        <v>2073</v>
      </c>
      <c r="F338" s="7" t="str" cm="1">
        <f t="array" ref="F338">INDEX(공급업체코드!$B$3:$B$1000,MATCH(1,(E338=공급업체코드!$D$3:$D$1000)*1,0))</f>
        <v>VM_KF_MACH</v>
      </c>
      <c r="G338" s="158" t="s">
        <v>2092</v>
      </c>
      <c r="I338" s="166">
        <v>87.8</v>
      </c>
      <c r="J338" s="160">
        <v>8000</v>
      </c>
      <c r="K338" s="159">
        <v>300</v>
      </c>
      <c r="L338" s="165">
        <v>193.68</v>
      </c>
      <c r="M338" s="7" t="s">
        <v>984</v>
      </c>
      <c r="N338" s="7">
        <v>380</v>
      </c>
      <c r="O338" s="151">
        <v>0.96200000000000008</v>
      </c>
      <c r="P338" s="7">
        <v>0.9</v>
      </c>
      <c r="Q338" s="7">
        <v>80</v>
      </c>
      <c r="R338" s="113">
        <v>11</v>
      </c>
      <c r="S338" s="258" t="s">
        <v>1390</v>
      </c>
      <c r="T338" s="10">
        <f t="shared" si="9"/>
        <v>1</v>
      </c>
      <c r="U338" s="260" t="s">
        <v>1391</v>
      </c>
      <c r="V338">
        <v>999</v>
      </c>
      <c r="X338" s="162" t="s">
        <v>2075</v>
      </c>
      <c r="Y338" t="b">
        <v>1</v>
      </c>
    </row>
    <row r="339" spans="2:25">
      <c r="B339" s="1" t="str">
        <f t="shared" si="8"/>
        <v>M_AEB0402_VM_KF_MACH_98.7_8000</v>
      </c>
      <c r="C339" s="7" t="s">
        <v>2072</v>
      </c>
      <c r="D339" s="7" t="str" cm="1">
        <f t="array" ref="D339">INDEX(기계코드!$D$4:$D$1022,MATCH(1,(C339=기계코드!$F$4:$F$1022)*1,0))</f>
        <v>M_AEB0402</v>
      </c>
      <c r="E339" s="7" t="s">
        <v>2073</v>
      </c>
      <c r="F339" s="7" t="str" cm="1">
        <f t="array" ref="F339">INDEX(공급업체코드!$B$3:$B$1000,MATCH(1,(E339=공급업체코드!$D$3:$D$1000)*1,0))</f>
        <v>VM_KF_MACH</v>
      </c>
      <c r="G339" s="158" t="s">
        <v>2092</v>
      </c>
      <c r="I339" s="166">
        <v>98.7</v>
      </c>
      <c r="J339" s="160">
        <v>8000</v>
      </c>
      <c r="K339" s="159">
        <v>300</v>
      </c>
      <c r="L339" s="165">
        <v>210.83999999999997</v>
      </c>
      <c r="M339" s="7" t="s">
        <v>984</v>
      </c>
      <c r="N339" s="7">
        <v>380</v>
      </c>
      <c r="O339" s="151">
        <v>0.96200000000000008</v>
      </c>
      <c r="P339" s="7">
        <v>0.9</v>
      </c>
      <c r="Q339" s="7">
        <v>80</v>
      </c>
      <c r="R339" s="113">
        <v>11</v>
      </c>
      <c r="S339" s="258" t="s">
        <v>1390</v>
      </c>
      <c r="T339" s="10">
        <f t="shared" si="9"/>
        <v>1</v>
      </c>
      <c r="U339" s="260" t="s">
        <v>1391</v>
      </c>
      <c r="V339">
        <v>999</v>
      </c>
      <c r="X339" s="162" t="s">
        <v>2075</v>
      </c>
      <c r="Y339" t="b">
        <v>1</v>
      </c>
    </row>
    <row r="340" spans="2:25">
      <c r="B340" s="1" t="str">
        <f t="shared" si="8"/>
        <v>M_AEB0402_VM_KF_MACH_111.1_8000</v>
      </c>
      <c r="C340" s="7" t="s">
        <v>2072</v>
      </c>
      <c r="D340" s="7" t="str" cm="1">
        <f t="array" ref="D340">INDEX(기계코드!$D$4:$D$1022,MATCH(1,(C340=기계코드!$F$4:$F$1022)*1,0))</f>
        <v>M_AEB0402</v>
      </c>
      <c r="E340" s="7" t="s">
        <v>2073</v>
      </c>
      <c r="F340" s="7" t="str" cm="1">
        <f t="array" ref="F340">INDEX(공급업체코드!$B$3:$B$1000,MATCH(1,(E340=공급업체코드!$D$3:$D$1000)*1,0))</f>
        <v>VM_KF_MACH</v>
      </c>
      <c r="G340" s="158" t="s">
        <v>2092</v>
      </c>
      <c r="I340" s="166">
        <v>111.1</v>
      </c>
      <c r="J340" s="160">
        <v>8000</v>
      </c>
      <c r="K340" s="159">
        <v>300</v>
      </c>
      <c r="L340" s="165">
        <v>230.64</v>
      </c>
      <c r="M340" s="7" t="s">
        <v>984</v>
      </c>
      <c r="N340" s="7">
        <v>380</v>
      </c>
      <c r="O340" s="151">
        <v>0.96200000000000008</v>
      </c>
      <c r="P340" s="7">
        <v>0.9</v>
      </c>
      <c r="Q340" s="7">
        <v>80</v>
      </c>
      <c r="R340" s="113">
        <v>11</v>
      </c>
      <c r="S340" s="258" t="s">
        <v>1390</v>
      </c>
      <c r="T340" s="10">
        <f t="shared" si="9"/>
        <v>1</v>
      </c>
      <c r="U340" s="260" t="s">
        <v>1391</v>
      </c>
      <c r="V340">
        <v>999</v>
      </c>
      <c r="X340" s="162" t="s">
        <v>2075</v>
      </c>
      <c r="Y340" t="b">
        <v>1</v>
      </c>
    </row>
    <row r="341" spans="2:25">
      <c r="B341" s="1" t="str">
        <f t="shared" si="8"/>
        <v>M_AEB0402_VM_KF_MACH_126.6_8000</v>
      </c>
      <c r="C341" s="7" t="s">
        <v>2072</v>
      </c>
      <c r="D341" s="7" t="str" cm="1">
        <f t="array" ref="D341">INDEX(기계코드!$D$4:$D$1022,MATCH(1,(C341=기계코드!$F$4:$F$1022)*1,0))</f>
        <v>M_AEB0402</v>
      </c>
      <c r="E341" s="7" t="s">
        <v>2073</v>
      </c>
      <c r="F341" s="7" t="str" cm="1">
        <f t="array" ref="F341">INDEX(공급업체코드!$B$3:$B$1000,MATCH(1,(E341=공급업체코드!$D$3:$D$1000)*1,0))</f>
        <v>VM_KF_MACH</v>
      </c>
      <c r="G341" s="158" t="s">
        <v>2092</v>
      </c>
      <c r="I341" s="166">
        <v>126.6</v>
      </c>
      <c r="J341" s="160">
        <v>8000</v>
      </c>
      <c r="K341" s="159">
        <v>300</v>
      </c>
      <c r="L341" s="165">
        <v>255.71999999999997</v>
      </c>
      <c r="M341" s="7" t="s">
        <v>984</v>
      </c>
      <c r="N341" s="7">
        <v>380</v>
      </c>
      <c r="O341" s="151">
        <v>0.96200000000000008</v>
      </c>
      <c r="P341" s="7">
        <v>0.9</v>
      </c>
      <c r="Q341" s="7">
        <v>80</v>
      </c>
      <c r="R341" s="113">
        <v>11</v>
      </c>
      <c r="S341" s="258" t="s">
        <v>1390</v>
      </c>
      <c r="T341" s="10">
        <f t="shared" si="9"/>
        <v>1</v>
      </c>
      <c r="U341" s="260" t="s">
        <v>1391</v>
      </c>
      <c r="V341">
        <v>999</v>
      </c>
      <c r="X341" s="162" t="s">
        <v>2075</v>
      </c>
      <c r="Y341" t="b">
        <v>1</v>
      </c>
    </row>
    <row r="342" spans="2:25">
      <c r="B342" s="1" t="str">
        <f t="shared" si="8"/>
        <v>M_AEB0402_VM_KF_MACH_153.5_8000</v>
      </c>
      <c r="C342" s="7" t="s">
        <v>2072</v>
      </c>
      <c r="D342" s="7" t="str" cm="1">
        <f t="array" ref="D342">INDEX(기계코드!$D$4:$D$1022,MATCH(1,(C342=기계코드!$F$4:$F$1022)*1,0))</f>
        <v>M_AEB0402</v>
      </c>
      <c r="E342" s="7" t="s">
        <v>2073</v>
      </c>
      <c r="F342" s="7" t="str" cm="1">
        <f t="array" ref="F342">INDEX(공급업체코드!$B$3:$B$1000,MATCH(1,(E342=공급업체코드!$D$3:$D$1000)*1,0))</f>
        <v>VM_KF_MACH</v>
      </c>
      <c r="G342" s="158" t="s">
        <v>2092</v>
      </c>
      <c r="I342" s="166">
        <v>153.5</v>
      </c>
      <c r="J342" s="160">
        <v>8000</v>
      </c>
      <c r="K342" s="159">
        <v>300</v>
      </c>
      <c r="L342" s="165">
        <v>295.68</v>
      </c>
      <c r="M342" s="7" t="s">
        <v>984</v>
      </c>
      <c r="N342" s="7">
        <v>380</v>
      </c>
      <c r="O342" s="151">
        <v>0.96200000000000008</v>
      </c>
      <c r="P342" s="7">
        <v>0.9</v>
      </c>
      <c r="Q342" s="7">
        <v>80</v>
      </c>
      <c r="R342" s="113">
        <v>11</v>
      </c>
      <c r="S342" s="258" t="s">
        <v>1390</v>
      </c>
      <c r="T342" s="10">
        <f t="shared" si="9"/>
        <v>1</v>
      </c>
      <c r="U342" s="260" t="s">
        <v>1391</v>
      </c>
      <c r="V342">
        <v>999</v>
      </c>
      <c r="X342" s="162" t="s">
        <v>2075</v>
      </c>
      <c r="Y342" t="b">
        <v>1</v>
      </c>
    </row>
    <row r="343" spans="2:25">
      <c r="B343" s="1" t="str">
        <f t="shared" si="8"/>
        <v>M_AEB0402_VM_KF_MACH_153.2_7000</v>
      </c>
      <c r="C343" s="7" t="s">
        <v>2072</v>
      </c>
      <c r="D343" s="7" t="str" cm="1">
        <f t="array" ref="D343">INDEX(기계코드!$D$4:$D$1022,MATCH(1,(C343=기계코드!$F$4:$F$1022)*1,0))</f>
        <v>M_AEB0402</v>
      </c>
      <c r="E343" s="7" t="s">
        <v>2073</v>
      </c>
      <c r="F343" s="7" t="str" cm="1">
        <f t="array" ref="F343">INDEX(공급업체코드!$B$3:$B$1000,MATCH(1,(E343=공급업체코드!$D$3:$D$1000)*1,0))</f>
        <v>VM_KF_MACH</v>
      </c>
      <c r="G343" s="158" t="s">
        <v>2093</v>
      </c>
      <c r="I343" s="166">
        <v>153.19999999999999</v>
      </c>
      <c r="J343" s="160">
        <v>7000</v>
      </c>
      <c r="K343" s="64">
        <v>350</v>
      </c>
      <c r="L343" s="165">
        <v>284.52</v>
      </c>
      <c r="M343" s="7" t="s">
        <v>984</v>
      </c>
      <c r="N343" s="7">
        <v>380</v>
      </c>
      <c r="O343" s="151">
        <v>0.96200000000000008</v>
      </c>
      <c r="P343" s="7">
        <v>0.9</v>
      </c>
      <c r="Q343" s="7">
        <v>80</v>
      </c>
      <c r="R343" s="113">
        <v>11</v>
      </c>
      <c r="S343" s="258" t="s">
        <v>1390</v>
      </c>
      <c r="T343" s="10">
        <f t="shared" si="9"/>
        <v>1</v>
      </c>
      <c r="U343" s="260" t="s">
        <v>1391</v>
      </c>
      <c r="V343">
        <v>999</v>
      </c>
      <c r="X343" s="162" t="s">
        <v>2075</v>
      </c>
      <c r="Y343" t="b">
        <v>1</v>
      </c>
    </row>
    <row r="344" spans="2:25">
      <c r="B344" s="1" t="str">
        <f t="shared" si="8"/>
        <v>M_AEB0402_VM_KF_MACH_177.4_7000</v>
      </c>
      <c r="C344" s="7" t="s">
        <v>2072</v>
      </c>
      <c r="D344" s="7" t="str" cm="1">
        <f t="array" ref="D344">INDEX(기계코드!$D$4:$D$1022,MATCH(1,(C344=기계코드!$F$4:$F$1022)*1,0))</f>
        <v>M_AEB0402</v>
      </c>
      <c r="E344" s="7" t="s">
        <v>2073</v>
      </c>
      <c r="F344" s="7" t="str" cm="1">
        <f t="array" ref="F344">INDEX(공급업체코드!$B$3:$B$1000,MATCH(1,(E344=공급업체코드!$D$3:$D$1000)*1,0))</f>
        <v>VM_KF_MACH</v>
      </c>
      <c r="G344" s="158" t="s">
        <v>2093</v>
      </c>
      <c r="I344" s="166">
        <v>177.4</v>
      </c>
      <c r="J344" s="160">
        <v>7000</v>
      </c>
      <c r="K344" s="64">
        <v>350</v>
      </c>
      <c r="L344" s="165">
        <v>314.03999999999996</v>
      </c>
      <c r="M344" s="7" t="s">
        <v>984</v>
      </c>
      <c r="N344" s="7">
        <v>380</v>
      </c>
      <c r="O344" s="151">
        <v>0.96200000000000008</v>
      </c>
      <c r="P344" s="7">
        <v>0.9</v>
      </c>
      <c r="Q344" s="7">
        <v>80</v>
      </c>
      <c r="R344" s="113">
        <v>11</v>
      </c>
      <c r="S344" s="258" t="s">
        <v>1390</v>
      </c>
      <c r="T344" s="10">
        <f t="shared" si="9"/>
        <v>1</v>
      </c>
      <c r="U344" s="260" t="s">
        <v>1391</v>
      </c>
      <c r="V344">
        <v>999</v>
      </c>
      <c r="X344" s="162" t="s">
        <v>2075</v>
      </c>
      <c r="Y344" t="b">
        <v>1</v>
      </c>
    </row>
    <row r="345" spans="2:25">
      <c r="B345" s="1" t="str">
        <f t="shared" si="8"/>
        <v>M_AEB0402_VM_KF_MACH_198.3_7000</v>
      </c>
      <c r="C345" s="7" t="s">
        <v>2072</v>
      </c>
      <c r="D345" s="7" t="str" cm="1">
        <f t="array" ref="D345">INDEX(기계코드!$D$4:$D$1022,MATCH(1,(C345=기계코드!$F$4:$F$1022)*1,0))</f>
        <v>M_AEB0402</v>
      </c>
      <c r="E345" s="7" t="s">
        <v>2073</v>
      </c>
      <c r="F345" s="7" t="str" cm="1">
        <f t="array" ref="F345">INDEX(공급업체코드!$B$3:$B$1000,MATCH(1,(E345=공급업체코드!$D$3:$D$1000)*1,0))</f>
        <v>VM_KF_MACH</v>
      </c>
      <c r="G345" s="158" t="s">
        <v>2093</v>
      </c>
      <c r="I345" s="166">
        <v>198.3</v>
      </c>
      <c r="J345" s="160">
        <v>7000</v>
      </c>
      <c r="K345" s="64">
        <v>350</v>
      </c>
      <c r="L345" s="165">
        <v>341.64</v>
      </c>
      <c r="M345" s="7" t="s">
        <v>984</v>
      </c>
      <c r="N345" s="7">
        <v>380</v>
      </c>
      <c r="O345" s="151">
        <v>0.96200000000000008</v>
      </c>
      <c r="P345" s="7">
        <v>0.9</v>
      </c>
      <c r="Q345" s="7">
        <v>80</v>
      </c>
      <c r="R345" s="113">
        <v>11</v>
      </c>
      <c r="S345" s="258" t="s">
        <v>1390</v>
      </c>
      <c r="T345" s="10">
        <f t="shared" si="9"/>
        <v>1</v>
      </c>
      <c r="U345" s="260" t="s">
        <v>1391</v>
      </c>
      <c r="V345">
        <v>999</v>
      </c>
      <c r="X345" s="162" t="s">
        <v>2075</v>
      </c>
      <c r="Y345" t="b">
        <v>1</v>
      </c>
    </row>
    <row r="346" spans="2:25">
      <c r="B346" s="1" t="str">
        <f t="shared" si="8"/>
        <v>M_AEB0402_VM_KF_MACH_217_7000</v>
      </c>
      <c r="C346" s="7" t="s">
        <v>2072</v>
      </c>
      <c r="D346" s="7" t="str" cm="1">
        <f t="array" ref="D346">INDEX(기계코드!$D$4:$D$1022,MATCH(1,(C346=기계코드!$F$4:$F$1022)*1,0))</f>
        <v>M_AEB0402</v>
      </c>
      <c r="E346" s="7" t="s">
        <v>2073</v>
      </c>
      <c r="F346" s="7" t="str" cm="1">
        <f t="array" ref="F346">INDEX(공급업체코드!$B$3:$B$1000,MATCH(1,(E346=공급업체코드!$D$3:$D$1000)*1,0))</f>
        <v>VM_KF_MACH</v>
      </c>
      <c r="G346" s="158" t="s">
        <v>2093</v>
      </c>
      <c r="I346" s="166">
        <v>217</v>
      </c>
      <c r="J346" s="160">
        <v>7000</v>
      </c>
      <c r="K346" s="64">
        <v>350</v>
      </c>
      <c r="L346" s="165">
        <v>364.67999999999995</v>
      </c>
      <c r="M346" s="7" t="s">
        <v>984</v>
      </c>
      <c r="N346" s="7">
        <v>380</v>
      </c>
      <c r="O346" s="151">
        <v>0.96200000000000008</v>
      </c>
      <c r="P346" s="7">
        <v>0.9</v>
      </c>
      <c r="Q346" s="7">
        <v>80</v>
      </c>
      <c r="R346" s="113">
        <v>11</v>
      </c>
      <c r="S346" s="258" t="s">
        <v>1390</v>
      </c>
      <c r="T346" s="10">
        <f t="shared" si="9"/>
        <v>1</v>
      </c>
      <c r="U346" s="260" t="s">
        <v>1391</v>
      </c>
      <c r="V346">
        <v>999</v>
      </c>
      <c r="X346" s="162" t="s">
        <v>2075</v>
      </c>
      <c r="Y346" t="b">
        <v>1</v>
      </c>
    </row>
    <row r="347" spans="2:25">
      <c r="B347" s="1" t="str">
        <f t="shared" si="8"/>
        <v>M_AEB0402_VM_KF_MACH_236.3_7000</v>
      </c>
      <c r="C347" s="7" t="s">
        <v>2072</v>
      </c>
      <c r="D347" s="7" t="str" cm="1">
        <f t="array" ref="D347">INDEX(기계코드!$D$4:$D$1022,MATCH(1,(C347=기계코드!$F$4:$F$1022)*1,0))</f>
        <v>M_AEB0402</v>
      </c>
      <c r="E347" s="7" t="s">
        <v>2073</v>
      </c>
      <c r="F347" s="7" t="str" cm="1">
        <f t="array" ref="F347">INDEX(공급업체코드!$B$3:$B$1000,MATCH(1,(E347=공급업체코드!$D$3:$D$1000)*1,0))</f>
        <v>VM_KF_MACH</v>
      </c>
      <c r="G347" s="158" t="s">
        <v>2093</v>
      </c>
      <c r="I347" s="166">
        <v>236.3</v>
      </c>
      <c r="J347" s="160">
        <v>7000</v>
      </c>
      <c r="K347" s="64">
        <v>350</v>
      </c>
      <c r="L347" s="165">
        <v>385.56</v>
      </c>
      <c r="M347" s="7" t="s">
        <v>984</v>
      </c>
      <c r="N347" s="7">
        <v>380</v>
      </c>
      <c r="O347" s="151">
        <v>0.96200000000000008</v>
      </c>
      <c r="P347" s="7">
        <v>0.9</v>
      </c>
      <c r="Q347" s="7">
        <v>80</v>
      </c>
      <c r="R347" s="113">
        <v>11</v>
      </c>
      <c r="S347" s="258" t="s">
        <v>1390</v>
      </c>
      <c r="T347" s="10">
        <f t="shared" si="9"/>
        <v>1</v>
      </c>
      <c r="U347" s="260" t="s">
        <v>1391</v>
      </c>
      <c r="V347">
        <v>999</v>
      </c>
      <c r="X347" s="162" t="s">
        <v>2075</v>
      </c>
      <c r="Y347" t="b">
        <v>1</v>
      </c>
    </row>
    <row r="348" spans="2:25">
      <c r="B348" s="1" t="str">
        <f t="shared" si="8"/>
        <v>M_AEB0402_VM_KF_MACH_150.5_8000</v>
      </c>
      <c r="C348" s="7" t="s">
        <v>2072</v>
      </c>
      <c r="D348" s="7" t="str" cm="1">
        <f t="array" ref="D348">INDEX(기계코드!$D$4:$D$1022,MATCH(1,(C348=기계코드!$F$4:$F$1022)*1,0))</f>
        <v>M_AEB0402</v>
      </c>
      <c r="E348" s="7" t="s">
        <v>2073</v>
      </c>
      <c r="F348" s="7" t="str" cm="1">
        <f t="array" ref="F348">INDEX(공급업체코드!$B$3:$B$1000,MATCH(1,(E348=공급업체코드!$D$3:$D$1000)*1,0))</f>
        <v>VM_KF_MACH</v>
      </c>
      <c r="G348" s="158" t="s">
        <v>2093</v>
      </c>
      <c r="I348" s="166">
        <v>150.5</v>
      </c>
      <c r="J348" s="160">
        <v>8000</v>
      </c>
      <c r="K348" s="64">
        <v>350</v>
      </c>
      <c r="L348" s="165">
        <v>323.03999999999996</v>
      </c>
      <c r="M348" s="7" t="s">
        <v>984</v>
      </c>
      <c r="N348" s="7">
        <v>380</v>
      </c>
      <c r="O348" s="151">
        <v>0.96200000000000008</v>
      </c>
      <c r="P348" s="7">
        <v>0.9</v>
      </c>
      <c r="Q348" s="7">
        <v>80</v>
      </c>
      <c r="R348" s="113">
        <v>11</v>
      </c>
      <c r="S348" s="258" t="s">
        <v>1390</v>
      </c>
      <c r="T348" s="10">
        <f t="shared" si="9"/>
        <v>1</v>
      </c>
      <c r="U348" s="260" t="s">
        <v>1391</v>
      </c>
      <c r="V348">
        <v>999</v>
      </c>
      <c r="X348" s="162" t="s">
        <v>2075</v>
      </c>
      <c r="Y348" t="b">
        <v>1</v>
      </c>
    </row>
    <row r="349" spans="2:25">
      <c r="B349" s="1" t="str">
        <f t="shared" si="8"/>
        <v>M_AEB0402_VM_KF_MACH_175.1_8000</v>
      </c>
      <c r="C349" s="7" t="s">
        <v>2072</v>
      </c>
      <c r="D349" s="7" t="str" cm="1">
        <f t="array" ref="D349">INDEX(기계코드!$D$4:$D$1022,MATCH(1,(C349=기계코드!$F$4:$F$1022)*1,0))</f>
        <v>M_AEB0402</v>
      </c>
      <c r="E349" s="7" t="s">
        <v>2073</v>
      </c>
      <c r="F349" s="7" t="str" cm="1">
        <f t="array" ref="F349">INDEX(공급업체코드!$B$3:$B$1000,MATCH(1,(E349=공급업체코드!$D$3:$D$1000)*1,0))</f>
        <v>VM_KF_MACH</v>
      </c>
      <c r="G349" s="158" t="s">
        <v>2093</v>
      </c>
      <c r="I349" s="166">
        <v>175.1</v>
      </c>
      <c r="J349" s="160">
        <v>8000</v>
      </c>
      <c r="K349" s="64">
        <v>350</v>
      </c>
      <c r="L349" s="165">
        <v>357.96</v>
      </c>
      <c r="M349" s="7" t="s">
        <v>984</v>
      </c>
      <c r="N349" s="7">
        <v>380</v>
      </c>
      <c r="O349" s="151">
        <v>0.96200000000000008</v>
      </c>
      <c r="P349" s="7">
        <v>0.9</v>
      </c>
      <c r="Q349" s="7">
        <v>80</v>
      </c>
      <c r="R349" s="113">
        <v>11</v>
      </c>
      <c r="S349" s="258" t="s">
        <v>1390</v>
      </c>
      <c r="T349" s="10">
        <f t="shared" si="9"/>
        <v>1</v>
      </c>
      <c r="U349" s="260" t="s">
        <v>1391</v>
      </c>
      <c r="V349">
        <v>999</v>
      </c>
      <c r="X349" s="162" t="s">
        <v>2075</v>
      </c>
      <c r="Y349" t="b">
        <v>1</v>
      </c>
    </row>
    <row r="350" spans="2:25">
      <c r="B350" s="1" t="str">
        <f t="shared" si="8"/>
        <v>M_AEB0402_VM_KF_MACH_195.3_8000</v>
      </c>
      <c r="C350" s="7" t="s">
        <v>2072</v>
      </c>
      <c r="D350" s="7" t="str" cm="1">
        <f t="array" ref="D350">INDEX(기계코드!$D$4:$D$1022,MATCH(1,(C350=기계코드!$F$4:$F$1022)*1,0))</f>
        <v>M_AEB0402</v>
      </c>
      <c r="E350" s="7" t="s">
        <v>2073</v>
      </c>
      <c r="F350" s="7" t="str" cm="1">
        <f t="array" ref="F350">INDEX(공급업체코드!$B$3:$B$1000,MATCH(1,(E350=공급업체코드!$D$3:$D$1000)*1,0))</f>
        <v>VM_KF_MACH</v>
      </c>
      <c r="G350" s="158" t="s">
        <v>2093</v>
      </c>
      <c r="I350" s="166">
        <v>195.3</v>
      </c>
      <c r="J350" s="160">
        <v>8000</v>
      </c>
      <c r="K350" s="64">
        <v>350</v>
      </c>
      <c r="L350" s="165">
        <v>386.64</v>
      </c>
      <c r="M350" s="7" t="s">
        <v>984</v>
      </c>
      <c r="N350" s="7">
        <v>380</v>
      </c>
      <c r="O350" s="151">
        <v>0.96200000000000008</v>
      </c>
      <c r="P350" s="7">
        <v>0.9</v>
      </c>
      <c r="Q350" s="7">
        <v>80</v>
      </c>
      <c r="R350" s="113">
        <v>11</v>
      </c>
      <c r="S350" s="258" t="s">
        <v>1390</v>
      </c>
      <c r="T350" s="10">
        <f t="shared" si="9"/>
        <v>1</v>
      </c>
      <c r="U350" s="260" t="s">
        <v>1391</v>
      </c>
      <c r="V350">
        <v>999</v>
      </c>
      <c r="X350" s="162" t="s">
        <v>2075</v>
      </c>
      <c r="Y350" t="b">
        <v>1</v>
      </c>
    </row>
    <row r="351" spans="2:25">
      <c r="B351" s="1" t="str">
        <f t="shared" si="8"/>
        <v>M_AEB0402_VM_KF_MACH_214.3_8000</v>
      </c>
      <c r="C351" s="7" t="s">
        <v>2072</v>
      </c>
      <c r="D351" s="7" t="str" cm="1">
        <f t="array" ref="D351">INDEX(기계코드!$D$4:$D$1022,MATCH(1,(C351=기계코드!$F$4:$F$1022)*1,0))</f>
        <v>M_AEB0402</v>
      </c>
      <c r="E351" s="7" t="s">
        <v>2073</v>
      </c>
      <c r="F351" s="7" t="str" cm="1">
        <f t="array" ref="F351">INDEX(공급업체코드!$B$3:$B$1000,MATCH(1,(E351=공급업체코드!$D$3:$D$1000)*1,0))</f>
        <v>VM_KF_MACH</v>
      </c>
      <c r="G351" s="158" t="s">
        <v>2093</v>
      </c>
      <c r="I351" s="166">
        <v>214.3</v>
      </c>
      <c r="J351" s="160">
        <v>8000</v>
      </c>
      <c r="K351" s="64">
        <v>350</v>
      </c>
      <c r="L351" s="165">
        <v>413.4</v>
      </c>
      <c r="M351" s="7" t="s">
        <v>984</v>
      </c>
      <c r="N351" s="7">
        <v>380</v>
      </c>
      <c r="O351" s="151">
        <v>0.96200000000000008</v>
      </c>
      <c r="P351" s="7">
        <v>0.9</v>
      </c>
      <c r="Q351" s="7">
        <v>80</v>
      </c>
      <c r="R351" s="113">
        <v>11</v>
      </c>
      <c r="S351" s="258" t="s">
        <v>1390</v>
      </c>
      <c r="T351" s="10">
        <f t="shared" si="9"/>
        <v>1</v>
      </c>
      <c r="U351" s="260" t="s">
        <v>1391</v>
      </c>
      <c r="V351">
        <v>999</v>
      </c>
      <c r="X351" s="162" t="s">
        <v>2075</v>
      </c>
      <c r="Y351" t="b">
        <v>1</v>
      </c>
    </row>
    <row r="352" spans="2:25">
      <c r="B352" s="1" t="str">
        <f t="shared" si="8"/>
        <v>M_AEB0402_VM_KF_MACH_233.7_8000</v>
      </c>
      <c r="C352" s="7" t="s">
        <v>2072</v>
      </c>
      <c r="D352" s="7" t="str" cm="1">
        <f t="array" ref="D352">INDEX(기계코드!$D$4:$D$1022,MATCH(1,(C352=기계코드!$F$4:$F$1022)*1,0))</f>
        <v>M_AEB0402</v>
      </c>
      <c r="E352" s="7" t="s">
        <v>2073</v>
      </c>
      <c r="F352" s="7" t="str" cm="1">
        <f t="array" ref="F352">INDEX(공급업체코드!$B$3:$B$1000,MATCH(1,(E352=공급업체코드!$D$3:$D$1000)*1,0))</f>
        <v>VM_KF_MACH</v>
      </c>
      <c r="G352" s="158" t="s">
        <v>2093</v>
      </c>
      <c r="I352" s="166">
        <v>233.7</v>
      </c>
      <c r="J352" s="160">
        <v>8000</v>
      </c>
      <c r="K352" s="64">
        <v>350</v>
      </c>
      <c r="L352" s="165">
        <v>438</v>
      </c>
      <c r="M352" s="7" t="s">
        <v>984</v>
      </c>
      <c r="N352" s="7">
        <v>380</v>
      </c>
      <c r="O352" s="151">
        <v>0.96200000000000008</v>
      </c>
      <c r="P352" s="7">
        <v>0.9</v>
      </c>
      <c r="Q352" s="7">
        <v>80</v>
      </c>
      <c r="R352" s="113">
        <v>11</v>
      </c>
      <c r="S352" s="258" t="s">
        <v>1390</v>
      </c>
      <c r="T352" s="10">
        <f t="shared" si="9"/>
        <v>1</v>
      </c>
      <c r="U352" s="260" t="s">
        <v>1391</v>
      </c>
      <c r="V352">
        <v>999</v>
      </c>
      <c r="X352" s="162" t="s">
        <v>2075</v>
      </c>
      <c r="Y352" t="b">
        <v>1</v>
      </c>
    </row>
    <row r="353" spans="2:25">
      <c r="B353" s="1" t="str">
        <f t="shared" si="8"/>
        <v>M_AEB0402_VM_KF_MACH_170_7000</v>
      </c>
      <c r="C353" s="7" t="s">
        <v>2072</v>
      </c>
      <c r="D353" s="7" t="str" cm="1">
        <f t="array" ref="D353">INDEX(기계코드!$D$4:$D$1022,MATCH(1,(C353=기계코드!$F$4:$F$1022)*1,0))</f>
        <v>M_AEB0402</v>
      </c>
      <c r="E353" s="7" t="s">
        <v>2073</v>
      </c>
      <c r="F353" s="7" t="str" cm="1">
        <f t="array" ref="F353">INDEX(공급업체코드!$B$3:$B$1000,MATCH(1,(E353=공급업체코드!$D$3:$D$1000)*1,0))</f>
        <v>VM_KF_MACH</v>
      </c>
      <c r="G353" s="158" t="s">
        <v>2094</v>
      </c>
      <c r="I353" s="166">
        <v>170</v>
      </c>
      <c r="J353" s="160">
        <v>7000</v>
      </c>
      <c r="K353" s="64">
        <v>400</v>
      </c>
      <c r="L353" s="165">
        <v>305.16000000000003</v>
      </c>
      <c r="M353" s="7" t="s">
        <v>984</v>
      </c>
      <c r="N353" s="7">
        <v>380</v>
      </c>
      <c r="O353" s="151">
        <v>0.96200000000000008</v>
      </c>
      <c r="P353" s="7">
        <v>0.9</v>
      </c>
      <c r="Q353" s="7">
        <v>80</v>
      </c>
      <c r="R353" s="113">
        <v>11</v>
      </c>
      <c r="S353" s="258" t="s">
        <v>1390</v>
      </c>
      <c r="T353" s="10">
        <f t="shared" si="9"/>
        <v>1</v>
      </c>
      <c r="U353" s="260" t="s">
        <v>1391</v>
      </c>
      <c r="V353">
        <v>999</v>
      </c>
      <c r="X353" s="162" t="s">
        <v>2075</v>
      </c>
      <c r="Y353" t="b">
        <v>1</v>
      </c>
    </row>
    <row r="354" spans="2:25">
      <c r="B354" s="1" t="str">
        <f t="shared" si="8"/>
        <v>M_AEB0402_VM_KF_MACH_198.1_7000</v>
      </c>
      <c r="C354" s="7" t="s">
        <v>2072</v>
      </c>
      <c r="D354" s="7" t="str" cm="1">
        <f t="array" ref="D354">INDEX(기계코드!$D$4:$D$1022,MATCH(1,(C354=기계코드!$F$4:$F$1022)*1,0))</f>
        <v>M_AEB0402</v>
      </c>
      <c r="E354" s="7" t="s">
        <v>2073</v>
      </c>
      <c r="F354" s="7" t="str" cm="1">
        <f t="array" ref="F354">INDEX(공급업체코드!$B$3:$B$1000,MATCH(1,(E354=공급업체코드!$D$3:$D$1000)*1,0))</f>
        <v>VM_KF_MACH</v>
      </c>
      <c r="G354" s="158" t="s">
        <v>2094</v>
      </c>
      <c r="I354" s="166">
        <v>198.1</v>
      </c>
      <c r="J354" s="160">
        <v>7000</v>
      </c>
      <c r="K354" s="64">
        <v>400</v>
      </c>
      <c r="L354" s="165">
        <v>346.56</v>
      </c>
      <c r="M354" s="7" t="s">
        <v>984</v>
      </c>
      <c r="N354" s="7">
        <v>380</v>
      </c>
      <c r="O354" s="151">
        <v>0.96200000000000008</v>
      </c>
      <c r="P354" s="7">
        <v>0.9</v>
      </c>
      <c r="Q354" s="7">
        <v>80</v>
      </c>
      <c r="R354" s="113">
        <v>11</v>
      </c>
      <c r="S354" s="258" t="s">
        <v>1390</v>
      </c>
      <c r="T354" s="10">
        <f t="shared" si="9"/>
        <v>1</v>
      </c>
      <c r="U354" s="260" t="s">
        <v>1391</v>
      </c>
      <c r="V354">
        <v>999</v>
      </c>
      <c r="X354" s="162" t="s">
        <v>2075</v>
      </c>
      <c r="Y354" t="b">
        <v>1</v>
      </c>
    </row>
    <row r="355" spans="2:25">
      <c r="B355" s="1" t="str">
        <f t="shared" si="8"/>
        <v>M_AEB0402_VM_KF_MACH_219.3_7000</v>
      </c>
      <c r="C355" s="7" t="s">
        <v>2072</v>
      </c>
      <c r="D355" s="7" t="str" cm="1">
        <f t="array" ref="D355">INDEX(기계코드!$D$4:$D$1022,MATCH(1,(C355=기계코드!$F$4:$F$1022)*1,0))</f>
        <v>M_AEB0402</v>
      </c>
      <c r="E355" s="7" t="s">
        <v>2073</v>
      </c>
      <c r="F355" s="7" t="str" cm="1">
        <f t="array" ref="F355">INDEX(공급업체코드!$B$3:$B$1000,MATCH(1,(E355=공급업체코드!$D$3:$D$1000)*1,0))</f>
        <v>VM_KF_MACH</v>
      </c>
      <c r="G355" s="158" t="s">
        <v>2094</v>
      </c>
      <c r="I355" s="166">
        <v>219.3</v>
      </c>
      <c r="J355" s="160">
        <v>7000</v>
      </c>
      <c r="K355" s="64">
        <v>400</v>
      </c>
      <c r="L355" s="165">
        <v>375.12</v>
      </c>
      <c r="M355" s="7" t="s">
        <v>984</v>
      </c>
      <c r="N355" s="7">
        <v>380</v>
      </c>
      <c r="O355" s="151">
        <v>0.96200000000000008</v>
      </c>
      <c r="P355" s="7">
        <v>0.9</v>
      </c>
      <c r="Q355" s="7">
        <v>80</v>
      </c>
      <c r="R355" s="113">
        <v>11</v>
      </c>
      <c r="S355" s="258" t="s">
        <v>1390</v>
      </c>
      <c r="T355" s="10">
        <f t="shared" si="9"/>
        <v>1</v>
      </c>
      <c r="U355" s="260" t="s">
        <v>1391</v>
      </c>
      <c r="V355">
        <v>999</v>
      </c>
      <c r="X355" s="162" t="s">
        <v>2075</v>
      </c>
      <c r="Y355" t="b">
        <v>1</v>
      </c>
    </row>
    <row r="356" spans="2:25">
      <c r="B356" s="1" t="str">
        <f t="shared" si="8"/>
        <v>M_AEB0402_VM_KF_MACH_240.2_7000</v>
      </c>
      <c r="C356" s="7" t="s">
        <v>2072</v>
      </c>
      <c r="D356" s="7" t="str" cm="1">
        <f t="array" ref="D356">INDEX(기계코드!$D$4:$D$1022,MATCH(1,(C356=기계코드!$F$4:$F$1022)*1,0))</f>
        <v>M_AEB0402</v>
      </c>
      <c r="E356" s="7" t="s">
        <v>2073</v>
      </c>
      <c r="F356" s="7" t="str" cm="1">
        <f t="array" ref="F356">INDEX(공급업체코드!$B$3:$B$1000,MATCH(1,(E356=공급업체코드!$D$3:$D$1000)*1,0))</f>
        <v>VM_KF_MACH</v>
      </c>
      <c r="G356" s="158" t="s">
        <v>2094</v>
      </c>
      <c r="I356" s="166">
        <v>240.2</v>
      </c>
      <c r="J356" s="160">
        <v>7000</v>
      </c>
      <c r="K356" s="64">
        <v>400</v>
      </c>
      <c r="L356" s="165">
        <v>401.03999999999996</v>
      </c>
      <c r="M356" s="7" t="s">
        <v>984</v>
      </c>
      <c r="N356" s="7">
        <v>380</v>
      </c>
      <c r="O356" s="151">
        <v>0.96200000000000008</v>
      </c>
      <c r="P356" s="7">
        <v>0.9</v>
      </c>
      <c r="Q356" s="7">
        <v>80</v>
      </c>
      <c r="R356" s="113">
        <v>11</v>
      </c>
      <c r="S356" s="258" t="s">
        <v>1390</v>
      </c>
      <c r="T356" s="10">
        <f t="shared" si="9"/>
        <v>1</v>
      </c>
      <c r="U356" s="260" t="s">
        <v>1391</v>
      </c>
      <c r="V356">
        <v>999</v>
      </c>
      <c r="X356" s="162" t="s">
        <v>2075</v>
      </c>
      <c r="Y356" t="b">
        <v>1</v>
      </c>
    </row>
    <row r="357" spans="2:25">
      <c r="B357" s="1" t="str">
        <f t="shared" si="8"/>
        <v>M_AEB0402_VM_KF_MACH_260.6_7000</v>
      </c>
      <c r="C357" s="7" t="s">
        <v>2072</v>
      </c>
      <c r="D357" s="7" t="str" cm="1">
        <f t="array" ref="D357">INDEX(기계코드!$D$4:$D$1022,MATCH(1,(C357=기계코드!$F$4:$F$1022)*1,0))</f>
        <v>M_AEB0402</v>
      </c>
      <c r="E357" s="7" t="s">
        <v>2073</v>
      </c>
      <c r="F357" s="7" t="str" cm="1">
        <f t="array" ref="F357">INDEX(공급업체코드!$B$3:$B$1000,MATCH(1,(E357=공급업체코드!$D$3:$D$1000)*1,0))</f>
        <v>VM_KF_MACH</v>
      </c>
      <c r="G357" s="158" t="s">
        <v>2094</v>
      </c>
      <c r="I357" s="166">
        <v>260.60000000000002</v>
      </c>
      <c r="J357" s="160">
        <v>7000</v>
      </c>
      <c r="K357" s="64">
        <v>400</v>
      </c>
      <c r="L357" s="165">
        <v>424.08</v>
      </c>
      <c r="M357" s="7" t="s">
        <v>984</v>
      </c>
      <c r="N357" s="7">
        <v>380</v>
      </c>
      <c r="O357" s="151">
        <v>0.96200000000000008</v>
      </c>
      <c r="P357" s="7">
        <v>0.9</v>
      </c>
      <c r="Q357" s="7">
        <v>80</v>
      </c>
      <c r="R357" s="113">
        <v>11</v>
      </c>
      <c r="S357" s="258" t="s">
        <v>1390</v>
      </c>
      <c r="T357" s="10">
        <f t="shared" si="9"/>
        <v>1</v>
      </c>
      <c r="U357" s="260" t="s">
        <v>1391</v>
      </c>
      <c r="V357">
        <v>999</v>
      </c>
      <c r="X357" s="162" t="s">
        <v>2075</v>
      </c>
      <c r="Y357" t="b">
        <v>1</v>
      </c>
    </row>
    <row r="358" spans="2:25">
      <c r="B358" s="1" t="str">
        <f t="shared" si="8"/>
        <v>M_AEB0402_VM_KF_MACH_166.9_8000</v>
      </c>
      <c r="C358" s="7" t="s">
        <v>2072</v>
      </c>
      <c r="D358" s="7" t="str" cm="1">
        <f t="array" ref="D358">INDEX(기계코드!$D$4:$D$1022,MATCH(1,(C358=기계코드!$F$4:$F$1022)*1,0))</f>
        <v>M_AEB0402</v>
      </c>
      <c r="E358" s="7" t="s">
        <v>2073</v>
      </c>
      <c r="F358" s="7" t="str" cm="1">
        <f t="array" ref="F358">INDEX(공급업체코드!$B$3:$B$1000,MATCH(1,(E358=공급업체코드!$D$3:$D$1000)*1,0))</f>
        <v>VM_KF_MACH</v>
      </c>
      <c r="G358" s="158" t="s">
        <v>2094</v>
      </c>
      <c r="I358" s="166">
        <v>166.9</v>
      </c>
      <c r="J358" s="160">
        <v>8000</v>
      </c>
      <c r="K358" s="64">
        <v>400</v>
      </c>
      <c r="L358" s="165">
        <v>345.84</v>
      </c>
      <c r="M358" s="7" t="s">
        <v>984</v>
      </c>
      <c r="N358" s="7">
        <v>380</v>
      </c>
      <c r="O358" s="151">
        <v>0.96200000000000008</v>
      </c>
      <c r="P358" s="7">
        <v>0.9</v>
      </c>
      <c r="Q358" s="7">
        <v>80</v>
      </c>
      <c r="R358" s="113">
        <v>11</v>
      </c>
      <c r="S358" s="258" t="s">
        <v>1390</v>
      </c>
      <c r="T358" s="10">
        <f t="shared" si="9"/>
        <v>1</v>
      </c>
      <c r="U358" s="260" t="s">
        <v>1391</v>
      </c>
      <c r="V358">
        <v>999</v>
      </c>
      <c r="X358" s="162" t="s">
        <v>2075</v>
      </c>
      <c r="Y358" t="b">
        <v>1</v>
      </c>
    </row>
    <row r="359" spans="2:25">
      <c r="B359" s="1" t="str">
        <f t="shared" si="8"/>
        <v>M_AEB0402_VM_KF_MACH_194.8_8000</v>
      </c>
      <c r="C359" s="7" t="s">
        <v>2072</v>
      </c>
      <c r="D359" s="7" t="str" cm="1">
        <f t="array" ref="D359">INDEX(기계코드!$D$4:$D$1022,MATCH(1,(C359=기계코드!$F$4:$F$1022)*1,0))</f>
        <v>M_AEB0402</v>
      </c>
      <c r="E359" s="7" t="s">
        <v>2073</v>
      </c>
      <c r="F359" s="7" t="str" cm="1">
        <f t="array" ref="F359">INDEX(공급업체코드!$B$3:$B$1000,MATCH(1,(E359=공급업체코드!$D$3:$D$1000)*1,0))</f>
        <v>VM_KF_MACH</v>
      </c>
      <c r="G359" s="158" t="s">
        <v>2094</v>
      </c>
      <c r="I359" s="166">
        <v>194.8</v>
      </c>
      <c r="J359" s="160">
        <v>8000</v>
      </c>
      <c r="K359" s="64">
        <v>400</v>
      </c>
      <c r="L359" s="165">
        <v>390.96</v>
      </c>
      <c r="M359" s="7" t="s">
        <v>984</v>
      </c>
      <c r="N359" s="7">
        <v>380</v>
      </c>
      <c r="O359" s="151">
        <v>0.96200000000000008</v>
      </c>
      <c r="P359" s="7">
        <v>0.9</v>
      </c>
      <c r="Q359" s="7">
        <v>80</v>
      </c>
      <c r="R359" s="113">
        <v>11</v>
      </c>
      <c r="S359" s="258" t="s">
        <v>1390</v>
      </c>
      <c r="T359" s="10">
        <f t="shared" si="9"/>
        <v>1</v>
      </c>
      <c r="U359" s="260" t="s">
        <v>1391</v>
      </c>
      <c r="V359">
        <v>999</v>
      </c>
      <c r="X359" s="162" t="s">
        <v>2075</v>
      </c>
      <c r="Y359" t="b">
        <v>1</v>
      </c>
    </row>
    <row r="360" spans="2:25">
      <c r="B360" s="1" t="str">
        <f t="shared" si="8"/>
        <v>M_AEB0402_VM_KF_MACH_215.5_8000</v>
      </c>
      <c r="C360" s="7" t="s">
        <v>2072</v>
      </c>
      <c r="D360" s="7" t="str" cm="1">
        <f t="array" ref="D360">INDEX(기계코드!$D$4:$D$1022,MATCH(1,(C360=기계코드!$F$4:$F$1022)*1,0))</f>
        <v>M_AEB0402</v>
      </c>
      <c r="E360" s="7" t="s">
        <v>2073</v>
      </c>
      <c r="F360" s="7" t="str" cm="1">
        <f t="array" ref="F360">INDEX(공급업체코드!$B$3:$B$1000,MATCH(1,(E360=공급업체코드!$D$3:$D$1000)*1,0))</f>
        <v>VM_KF_MACH</v>
      </c>
      <c r="G360" s="158" t="s">
        <v>2094</v>
      </c>
      <c r="I360" s="166">
        <v>215.5</v>
      </c>
      <c r="J360" s="160">
        <v>8000</v>
      </c>
      <c r="K360" s="64">
        <v>400</v>
      </c>
      <c r="L360" s="165">
        <v>422.4</v>
      </c>
      <c r="M360" s="7" t="s">
        <v>984</v>
      </c>
      <c r="N360" s="7">
        <v>380</v>
      </c>
      <c r="O360" s="151">
        <v>0.96200000000000008</v>
      </c>
      <c r="P360" s="7">
        <v>0.9</v>
      </c>
      <c r="Q360" s="7">
        <v>80</v>
      </c>
      <c r="R360" s="113">
        <v>11</v>
      </c>
      <c r="S360" s="258" t="s">
        <v>1390</v>
      </c>
      <c r="T360" s="10">
        <f t="shared" si="9"/>
        <v>1</v>
      </c>
      <c r="U360" s="260" t="s">
        <v>1391</v>
      </c>
      <c r="V360">
        <v>999</v>
      </c>
      <c r="X360" s="162" t="s">
        <v>2075</v>
      </c>
      <c r="Y360" t="b">
        <v>1</v>
      </c>
    </row>
    <row r="361" spans="2:25">
      <c r="B361" s="1" t="str">
        <f t="shared" si="8"/>
        <v>M_AEB0402_VM_KF_MACH_236.5_8000</v>
      </c>
      <c r="C361" s="7" t="s">
        <v>2072</v>
      </c>
      <c r="D361" s="7" t="str" cm="1">
        <f t="array" ref="D361">INDEX(기계코드!$D$4:$D$1022,MATCH(1,(C361=기계코드!$F$4:$F$1022)*1,0))</f>
        <v>M_AEB0402</v>
      </c>
      <c r="E361" s="7" t="s">
        <v>2073</v>
      </c>
      <c r="F361" s="7" t="str" cm="1">
        <f t="array" ref="F361">INDEX(공급업체코드!$B$3:$B$1000,MATCH(1,(E361=공급업체코드!$D$3:$D$1000)*1,0))</f>
        <v>VM_KF_MACH</v>
      </c>
      <c r="G361" s="158" t="s">
        <v>2094</v>
      </c>
      <c r="I361" s="166">
        <v>236.5</v>
      </c>
      <c r="J361" s="160">
        <v>8000</v>
      </c>
      <c r="K361" s="64">
        <v>400</v>
      </c>
      <c r="L361" s="165">
        <v>452.64</v>
      </c>
      <c r="M361" s="7" t="s">
        <v>984</v>
      </c>
      <c r="N361" s="7">
        <v>380</v>
      </c>
      <c r="O361" s="151">
        <v>0.96200000000000008</v>
      </c>
      <c r="P361" s="7">
        <v>0.9</v>
      </c>
      <c r="Q361" s="7">
        <v>80</v>
      </c>
      <c r="R361" s="113">
        <v>11</v>
      </c>
      <c r="S361" s="258" t="s">
        <v>1390</v>
      </c>
      <c r="T361" s="10">
        <f t="shared" si="9"/>
        <v>1</v>
      </c>
      <c r="U361" s="260" t="s">
        <v>1391</v>
      </c>
      <c r="V361">
        <v>999</v>
      </c>
      <c r="X361" s="162" t="s">
        <v>2075</v>
      </c>
      <c r="Y361" t="b">
        <v>1</v>
      </c>
    </row>
    <row r="362" spans="2:25">
      <c r="B362" s="1" t="str">
        <f t="shared" si="8"/>
        <v>M_AEB0402_VM_KF_MACH_257.5_8000</v>
      </c>
      <c r="C362" s="7" t="s">
        <v>2072</v>
      </c>
      <c r="D362" s="7" t="str" cm="1">
        <f t="array" ref="D362">INDEX(기계코드!$D$4:$D$1022,MATCH(1,(C362=기계코드!$F$4:$F$1022)*1,0))</f>
        <v>M_AEB0402</v>
      </c>
      <c r="E362" s="7" t="s">
        <v>2073</v>
      </c>
      <c r="F362" s="7" t="str" cm="1">
        <f t="array" ref="F362">INDEX(공급업체코드!$B$3:$B$1000,MATCH(1,(E362=공급업체코드!$D$3:$D$1000)*1,0))</f>
        <v>VM_KF_MACH</v>
      </c>
      <c r="G362" s="158" t="s">
        <v>2094</v>
      </c>
      <c r="I362" s="166">
        <v>257.5</v>
      </c>
      <c r="J362" s="160">
        <v>8000</v>
      </c>
      <c r="K362" s="64">
        <v>400</v>
      </c>
      <c r="L362" s="165">
        <v>480.23999999999995</v>
      </c>
      <c r="M362" s="7" t="s">
        <v>984</v>
      </c>
      <c r="N362" s="7">
        <v>380</v>
      </c>
      <c r="O362" s="151">
        <v>0.96200000000000008</v>
      </c>
      <c r="P362" s="7">
        <v>0.9</v>
      </c>
      <c r="Q362" s="7">
        <v>80</v>
      </c>
      <c r="R362" s="113">
        <v>11</v>
      </c>
      <c r="S362" s="258" t="s">
        <v>1390</v>
      </c>
      <c r="T362" s="10">
        <f t="shared" si="9"/>
        <v>1</v>
      </c>
      <c r="U362" s="260" t="s">
        <v>1391</v>
      </c>
      <c r="V362">
        <v>999</v>
      </c>
      <c r="X362" s="162" t="s">
        <v>2075</v>
      </c>
      <c r="Y362" t="b">
        <v>1</v>
      </c>
    </row>
    <row r="363" spans="2:25">
      <c r="B363" s="1" t="str">
        <f t="shared" si="8"/>
        <v>M_AEB0402_VM_KF_MACH_257.9_7000</v>
      </c>
      <c r="C363" s="7" t="s">
        <v>2072</v>
      </c>
      <c r="D363" s="7" t="str" cm="1">
        <f t="array" ref="D363">INDEX(기계코드!$D$4:$D$1022,MATCH(1,(C363=기계코드!$F$4:$F$1022)*1,0))</f>
        <v>M_AEB0402</v>
      </c>
      <c r="E363" s="7" t="s">
        <v>2073</v>
      </c>
      <c r="F363" s="7" t="str" cm="1">
        <f t="array" ref="F363">INDEX(공급업체코드!$B$3:$B$1000,MATCH(1,(E363=공급업체코드!$D$3:$D$1000)*1,0))</f>
        <v>VM_KF_MACH</v>
      </c>
      <c r="G363" s="158" t="s">
        <v>2095</v>
      </c>
      <c r="I363" s="166">
        <v>257.89999999999998</v>
      </c>
      <c r="J363" s="160">
        <v>7000</v>
      </c>
      <c r="K363" s="64">
        <v>500</v>
      </c>
      <c r="L363" s="165">
        <v>455.76</v>
      </c>
      <c r="M363" s="7" t="s">
        <v>984</v>
      </c>
      <c r="N363" s="7">
        <v>380</v>
      </c>
      <c r="O363" s="151">
        <v>0.96200000000000008</v>
      </c>
      <c r="P363" s="7">
        <v>0.9</v>
      </c>
      <c r="Q363" s="7">
        <v>80</v>
      </c>
      <c r="R363" s="113">
        <v>11</v>
      </c>
      <c r="S363" s="258" t="s">
        <v>1390</v>
      </c>
      <c r="T363" s="10">
        <f t="shared" si="9"/>
        <v>1</v>
      </c>
      <c r="U363" s="260" t="s">
        <v>1391</v>
      </c>
      <c r="V363">
        <v>999</v>
      </c>
      <c r="X363" s="162" t="s">
        <v>2075</v>
      </c>
      <c r="Y363" t="b">
        <v>1</v>
      </c>
    </row>
    <row r="364" spans="2:25">
      <c r="B364" s="1" t="str">
        <f t="shared" si="8"/>
        <v>M_AEB0402_VM_KF_MACH_273.3_7000</v>
      </c>
      <c r="C364" s="7" t="s">
        <v>2072</v>
      </c>
      <c r="D364" s="7" t="str" cm="1">
        <f t="array" ref="D364">INDEX(기계코드!$D$4:$D$1022,MATCH(1,(C364=기계코드!$F$4:$F$1022)*1,0))</f>
        <v>M_AEB0402</v>
      </c>
      <c r="E364" s="7" t="s">
        <v>2073</v>
      </c>
      <c r="F364" s="7" t="str" cm="1">
        <f t="array" ref="F364">INDEX(공급업체코드!$B$3:$B$1000,MATCH(1,(E364=공급업체코드!$D$3:$D$1000)*1,0))</f>
        <v>VM_KF_MACH</v>
      </c>
      <c r="G364" s="158" t="s">
        <v>2095</v>
      </c>
      <c r="I364" s="166">
        <v>273.3</v>
      </c>
      <c r="J364" s="160">
        <v>7000</v>
      </c>
      <c r="K364" s="64">
        <v>500</v>
      </c>
      <c r="L364" s="165">
        <v>479.15999999999997</v>
      </c>
      <c r="M364" s="7" t="s">
        <v>984</v>
      </c>
      <c r="N364" s="7">
        <v>380</v>
      </c>
      <c r="O364" s="151">
        <v>0.96200000000000008</v>
      </c>
      <c r="P364" s="7">
        <v>0.9</v>
      </c>
      <c r="Q364" s="7">
        <v>80</v>
      </c>
      <c r="R364" s="113">
        <v>11</v>
      </c>
      <c r="S364" s="258" t="s">
        <v>1390</v>
      </c>
      <c r="T364" s="10">
        <f t="shared" si="9"/>
        <v>1</v>
      </c>
      <c r="U364" s="260" t="s">
        <v>1391</v>
      </c>
      <c r="V364">
        <v>999</v>
      </c>
      <c r="X364" s="162" t="s">
        <v>2075</v>
      </c>
      <c r="Y364" t="b">
        <v>1</v>
      </c>
    </row>
    <row r="365" spans="2:25">
      <c r="B365" s="1" t="str">
        <f t="shared" si="8"/>
        <v>M_AEB0402_VM_KF_MACH_301.9_7000</v>
      </c>
      <c r="C365" s="7" t="s">
        <v>2072</v>
      </c>
      <c r="D365" s="7" t="str" cm="1">
        <f t="array" ref="D365">INDEX(기계코드!$D$4:$D$1022,MATCH(1,(C365=기계코드!$F$4:$F$1022)*1,0))</f>
        <v>M_AEB0402</v>
      </c>
      <c r="E365" s="7" t="s">
        <v>2073</v>
      </c>
      <c r="F365" s="7" t="str" cm="1">
        <f t="array" ref="F365">INDEX(공급업체코드!$B$3:$B$1000,MATCH(1,(E365=공급업체코드!$D$3:$D$1000)*1,0))</f>
        <v>VM_KF_MACH</v>
      </c>
      <c r="G365" s="158" t="s">
        <v>2095</v>
      </c>
      <c r="I365" s="166">
        <v>301.89999999999998</v>
      </c>
      <c r="J365" s="160">
        <v>7000</v>
      </c>
      <c r="K365" s="64">
        <v>500</v>
      </c>
      <c r="L365" s="165">
        <v>515.16</v>
      </c>
      <c r="M365" s="7" t="s">
        <v>984</v>
      </c>
      <c r="N365" s="7">
        <v>380</v>
      </c>
      <c r="O365" s="151">
        <v>0.96200000000000008</v>
      </c>
      <c r="P365" s="7">
        <v>0.9</v>
      </c>
      <c r="Q365" s="7">
        <v>80</v>
      </c>
      <c r="R365" s="113">
        <v>11</v>
      </c>
      <c r="S365" s="258" t="s">
        <v>1390</v>
      </c>
      <c r="T365" s="10">
        <f t="shared" si="9"/>
        <v>1</v>
      </c>
      <c r="U365" s="260" t="s">
        <v>1391</v>
      </c>
      <c r="V365">
        <v>999</v>
      </c>
      <c r="X365" s="162" t="s">
        <v>2075</v>
      </c>
      <c r="Y365" t="b">
        <v>1</v>
      </c>
    </row>
    <row r="366" spans="2:25">
      <c r="B366" s="1" t="str">
        <f t="shared" si="8"/>
        <v>M_AEB0402_VM_KF_MACH_330.7_7000</v>
      </c>
      <c r="C366" s="7" t="s">
        <v>2072</v>
      </c>
      <c r="D366" s="7" t="str" cm="1">
        <f t="array" ref="D366">INDEX(기계코드!$D$4:$D$1022,MATCH(1,(C366=기계코드!$F$4:$F$1022)*1,0))</f>
        <v>M_AEB0402</v>
      </c>
      <c r="E366" s="7" t="s">
        <v>2073</v>
      </c>
      <c r="F366" s="7" t="str" cm="1">
        <f t="array" ref="F366">INDEX(공급업체코드!$B$3:$B$1000,MATCH(1,(E366=공급업체코드!$D$3:$D$1000)*1,0))</f>
        <v>VM_KF_MACH</v>
      </c>
      <c r="G366" s="158" t="s">
        <v>2095</v>
      </c>
      <c r="I366" s="166">
        <v>330.7</v>
      </c>
      <c r="J366" s="160">
        <v>7000</v>
      </c>
      <c r="K366" s="64">
        <v>500</v>
      </c>
      <c r="L366" s="165">
        <v>550.91999999999996</v>
      </c>
      <c r="M366" s="7" t="s">
        <v>984</v>
      </c>
      <c r="N366" s="7">
        <v>380</v>
      </c>
      <c r="O366" s="151">
        <v>0.96200000000000008</v>
      </c>
      <c r="P366" s="7">
        <v>0.9</v>
      </c>
      <c r="Q366" s="7">
        <v>80</v>
      </c>
      <c r="R366" s="113">
        <v>11</v>
      </c>
      <c r="S366" s="258" t="s">
        <v>1390</v>
      </c>
      <c r="T366" s="10">
        <f t="shared" si="9"/>
        <v>1</v>
      </c>
      <c r="U366" s="260" t="s">
        <v>1391</v>
      </c>
      <c r="V366">
        <v>999</v>
      </c>
      <c r="X366" s="162" t="s">
        <v>2075</v>
      </c>
      <c r="Y366" t="b">
        <v>1</v>
      </c>
    </row>
    <row r="367" spans="2:25">
      <c r="B367" s="1" t="str">
        <f t="shared" si="8"/>
        <v>M_AEB0402_VM_KF_MACH_361.6_7000</v>
      </c>
      <c r="C367" s="7" t="s">
        <v>2072</v>
      </c>
      <c r="D367" s="7" t="str" cm="1">
        <f t="array" ref="D367">INDEX(기계코드!$D$4:$D$1022,MATCH(1,(C367=기계코드!$F$4:$F$1022)*1,0))</f>
        <v>M_AEB0402</v>
      </c>
      <c r="E367" s="7" t="s">
        <v>2073</v>
      </c>
      <c r="F367" s="7" t="str" cm="1">
        <f t="array" ref="F367">INDEX(공급업체코드!$B$3:$B$1000,MATCH(1,(E367=공급업체코드!$D$3:$D$1000)*1,0))</f>
        <v>VM_KF_MACH</v>
      </c>
      <c r="G367" s="158" t="s">
        <v>2095</v>
      </c>
      <c r="I367" s="166">
        <v>361.6</v>
      </c>
      <c r="J367" s="160">
        <v>7000</v>
      </c>
      <c r="K367" s="64">
        <v>500</v>
      </c>
      <c r="L367" s="165">
        <v>585.12</v>
      </c>
      <c r="M367" s="7" t="s">
        <v>984</v>
      </c>
      <c r="N367" s="7">
        <v>380</v>
      </c>
      <c r="O367" s="151">
        <v>0.96200000000000008</v>
      </c>
      <c r="P367" s="7">
        <v>0.9</v>
      </c>
      <c r="Q367" s="7">
        <v>80</v>
      </c>
      <c r="R367" s="113">
        <v>11</v>
      </c>
      <c r="S367" s="258" t="s">
        <v>1390</v>
      </c>
      <c r="T367" s="10">
        <f t="shared" si="9"/>
        <v>1</v>
      </c>
      <c r="U367" s="260" t="s">
        <v>1391</v>
      </c>
      <c r="V367">
        <v>999</v>
      </c>
      <c r="X367" s="162" t="s">
        <v>2075</v>
      </c>
      <c r="Y367" t="b">
        <v>1</v>
      </c>
    </row>
    <row r="368" spans="2:25">
      <c r="B368" s="1" t="str">
        <f t="shared" si="8"/>
        <v>M_AEB0402_VM_KF_MACH_252.9_8000</v>
      </c>
      <c r="C368" s="7" t="s">
        <v>2072</v>
      </c>
      <c r="D368" s="7" t="str" cm="1">
        <f t="array" ref="D368">INDEX(기계코드!$D$4:$D$1022,MATCH(1,(C368=기계코드!$F$4:$F$1022)*1,0))</f>
        <v>M_AEB0402</v>
      </c>
      <c r="E368" s="7" t="s">
        <v>2073</v>
      </c>
      <c r="F368" s="7" t="str" cm="1">
        <f t="array" ref="F368">INDEX(공급업체코드!$B$3:$B$1000,MATCH(1,(E368=공급업체코드!$D$3:$D$1000)*1,0))</f>
        <v>VM_KF_MACH</v>
      </c>
      <c r="G368" s="158" t="s">
        <v>2095</v>
      </c>
      <c r="I368" s="166">
        <v>252.9</v>
      </c>
      <c r="J368" s="160">
        <v>8000</v>
      </c>
      <c r="K368" s="64">
        <v>500</v>
      </c>
      <c r="L368" s="165">
        <v>515.76</v>
      </c>
      <c r="M368" s="7" t="s">
        <v>984</v>
      </c>
      <c r="N368" s="7">
        <v>380</v>
      </c>
      <c r="O368" s="151">
        <v>0.96200000000000008</v>
      </c>
      <c r="P368" s="7">
        <v>0.9</v>
      </c>
      <c r="Q368" s="7">
        <v>80</v>
      </c>
      <c r="R368" s="113">
        <v>11</v>
      </c>
      <c r="S368" s="258" t="s">
        <v>1390</v>
      </c>
      <c r="T368" s="10">
        <f t="shared" si="9"/>
        <v>1</v>
      </c>
      <c r="U368" s="260" t="s">
        <v>1391</v>
      </c>
      <c r="V368">
        <v>999</v>
      </c>
      <c r="X368" s="162" t="s">
        <v>2075</v>
      </c>
      <c r="Y368" t="b">
        <v>1</v>
      </c>
    </row>
    <row r="369" spans="1:25">
      <c r="B369" s="1" t="str">
        <f t="shared" si="8"/>
        <v>M_AEB0402_VM_KF_MACH_268.5_8000</v>
      </c>
      <c r="C369" s="7" t="s">
        <v>2072</v>
      </c>
      <c r="D369" s="7" t="str" cm="1">
        <f t="array" ref="D369">INDEX(기계코드!$D$4:$D$1022,MATCH(1,(C369=기계코드!$F$4:$F$1022)*1,0))</f>
        <v>M_AEB0402</v>
      </c>
      <c r="E369" s="7" t="s">
        <v>2073</v>
      </c>
      <c r="F369" s="7" t="str" cm="1">
        <f t="array" ref="F369">INDEX(공급업체코드!$B$3:$B$1000,MATCH(1,(E369=공급업체코드!$D$3:$D$1000)*1,0))</f>
        <v>VM_KF_MACH</v>
      </c>
      <c r="G369" s="158" t="s">
        <v>2095</v>
      </c>
      <c r="I369" s="166">
        <v>268.5</v>
      </c>
      <c r="J369" s="160">
        <v>8000</v>
      </c>
      <c r="K369" s="64">
        <v>500</v>
      </c>
      <c r="L369" s="165">
        <v>543.12</v>
      </c>
      <c r="M369" s="7" t="s">
        <v>984</v>
      </c>
      <c r="N369" s="7">
        <v>380</v>
      </c>
      <c r="O369" s="151">
        <v>0.96200000000000008</v>
      </c>
      <c r="P369" s="7">
        <v>0.9</v>
      </c>
      <c r="Q369" s="7">
        <v>80</v>
      </c>
      <c r="R369" s="113">
        <v>11</v>
      </c>
      <c r="S369" s="258" t="s">
        <v>1390</v>
      </c>
      <c r="T369" s="10">
        <f t="shared" si="9"/>
        <v>1</v>
      </c>
      <c r="U369" s="260" t="s">
        <v>1391</v>
      </c>
      <c r="V369">
        <v>999</v>
      </c>
      <c r="X369" s="162" t="s">
        <v>2075</v>
      </c>
      <c r="Y369" t="b">
        <v>1</v>
      </c>
    </row>
    <row r="370" spans="1:25">
      <c r="B370" s="1" t="str">
        <f t="shared" si="8"/>
        <v>M_AEB0402_VM_KF_MACH_297.5_8000</v>
      </c>
      <c r="C370" s="7" t="s">
        <v>2072</v>
      </c>
      <c r="D370" s="7" t="str" cm="1">
        <f t="array" ref="D370">INDEX(기계코드!$D$4:$D$1022,MATCH(1,(C370=기계코드!$F$4:$F$1022)*1,0))</f>
        <v>M_AEB0402</v>
      </c>
      <c r="E370" s="7" t="s">
        <v>2073</v>
      </c>
      <c r="F370" s="7" t="str" cm="1">
        <f t="array" ref="F370">INDEX(공급업체코드!$B$3:$B$1000,MATCH(1,(E370=공급업체코드!$D$3:$D$1000)*1,0))</f>
        <v>VM_KF_MACH</v>
      </c>
      <c r="G370" s="158" t="s">
        <v>2095</v>
      </c>
      <c r="I370" s="166">
        <v>297.5</v>
      </c>
      <c r="J370" s="160">
        <v>8000</v>
      </c>
      <c r="K370" s="64">
        <v>500</v>
      </c>
      <c r="L370" s="165">
        <v>584.04</v>
      </c>
      <c r="M370" s="7" t="s">
        <v>984</v>
      </c>
      <c r="N370" s="7">
        <v>380</v>
      </c>
      <c r="O370" s="151">
        <v>0.96200000000000008</v>
      </c>
      <c r="P370" s="7">
        <v>0.9</v>
      </c>
      <c r="Q370" s="7">
        <v>80</v>
      </c>
      <c r="R370" s="113">
        <v>11</v>
      </c>
      <c r="S370" s="258" t="s">
        <v>1390</v>
      </c>
      <c r="T370" s="10">
        <f t="shared" si="9"/>
        <v>1</v>
      </c>
      <c r="U370" s="260" t="s">
        <v>1391</v>
      </c>
      <c r="V370">
        <v>999</v>
      </c>
      <c r="X370" s="162" t="s">
        <v>2075</v>
      </c>
      <c r="Y370" t="b">
        <v>1</v>
      </c>
    </row>
    <row r="371" spans="1:25">
      <c r="B371" s="1" t="str">
        <f t="shared" si="8"/>
        <v>M_AEB0402_VM_KF_MACH_325.6_8000</v>
      </c>
      <c r="C371" s="7" t="s">
        <v>2072</v>
      </c>
      <c r="D371" s="7" t="str" cm="1">
        <f t="array" ref="D371">INDEX(기계코드!$D$4:$D$1022,MATCH(1,(C371=기계코드!$F$4:$F$1022)*1,0))</f>
        <v>M_AEB0402</v>
      </c>
      <c r="E371" s="7" t="s">
        <v>2073</v>
      </c>
      <c r="F371" s="7" t="str" cm="1">
        <f t="array" ref="F371">INDEX(공급업체코드!$B$3:$B$1000,MATCH(1,(E371=공급업체코드!$D$3:$D$1000)*1,0))</f>
        <v>VM_KF_MACH</v>
      </c>
      <c r="G371" s="158" t="s">
        <v>2095</v>
      </c>
      <c r="I371" s="166">
        <v>325.60000000000002</v>
      </c>
      <c r="J371" s="160">
        <v>8000</v>
      </c>
      <c r="K371" s="64">
        <v>500</v>
      </c>
      <c r="L371" s="165">
        <v>623.52</v>
      </c>
      <c r="M371" s="7" t="s">
        <v>984</v>
      </c>
      <c r="N371" s="7">
        <v>380</v>
      </c>
      <c r="O371" s="151">
        <v>0.96200000000000008</v>
      </c>
      <c r="P371" s="7">
        <v>0.9</v>
      </c>
      <c r="Q371" s="7">
        <v>80</v>
      </c>
      <c r="R371" s="113">
        <v>11</v>
      </c>
      <c r="S371" s="258" t="s">
        <v>1390</v>
      </c>
      <c r="T371" s="10">
        <f t="shared" si="9"/>
        <v>1</v>
      </c>
      <c r="U371" s="260" t="s">
        <v>1391</v>
      </c>
      <c r="V371">
        <v>999</v>
      </c>
      <c r="X371" s="162" t="s">
        <v>2075</v>
      </c>
      <c r="Y371" t="b">
        <v>1</v>
      </c>
    </row>
    <row r="372" spans="1:25">
      <c r="B372" s="1" t="str">
        <f t="shared" si="8"/>
        <v>M_AEB0402_VM_KF_MACH_356.1_8000</v>
      </c>
      <c r="C372" s="7" t="s">
        <v>2072</v>
      </c>
      <c r="D372" s="7" t="str" cm="1">
        <f t="array" ref="D372">INDEX(기계코드!$D$4:$D$1022,MATCH(1,(C372=기계코드!$F$4:$F$1022)*1,0))</f>
        <v>M_AEB0402</v>
      </c>
      <c r="E372" s="7" t="s">
        <v>2073</v>
      </c>
      <c r="F372" s="7" t="str" cm="1">
        <f t="array" ref="F372">INDEX(공급업체코드!$B$3:$B$1000,MATCH(1,(E372=공급업체코드!$D$3:$D$1000)*1,0))</f>
        <v>VM_KF_MACH</v>
      </c>
      <c r="G372" s="158" t="s">
        <v>2095</v>
      </c>
      <c r="I372" s="166">
        <v>356.1</v>
      </c>
      <c r="J372" s="160">
        <v>8000</v>
      </c>
      <c r="K372" s="64">
        <v>500</v>
      </c>
      <c r="L372" s="165">
        <v>662.88</v>
      </c>
      <c r="M372" s="7" t="s">
        <v>984</v>
      </c>
      <c r="N372" s="7">
        <v>380</v>
      </c>
      <c r="O372" s="151">
        <v>0.96200000000000008</v>
      </c>
      <c r="P372" s="7">
        <v>0.9</v>
      </c>
      <c r="Q372" s="7">
        <v>80</v>
      </c>
      <c r="R372" s="113">
        <v>11</v>
      </c>
      <c r="S372" s="258" t="s">
        <v>1390</v>
      </c>
      <c r="T372" s="10">
        <f t="shared" si="9"/>
        <v>1</v>
      </c>
      <c r="U372" s="260" t="s">
        <v>1391</v>
      </c>
      <c r="V372">
        <v>999</v>
      </c>
      <c r="X372" s="162" t="s">
        <v>2075</v>
      </c>
      <c r="Y372" t="b">
        <v>1</v>
      </c>
    </row>
    <row r="373" spans="1:25">
      <c r="A373" s="229" t="s">
        <v>2096</v>
      </c>
      <c r="B373" s="1" t="str">
        <f t="shared" si="8"/>
        <v>M_AEB0401_VM_KF_MACH_0.99_4000</v>
      </c>
      <c r="C373" s="7" t="s">
        <v>2097</v>
      </c>
      <c r="D373" s="7" t="str" cm="1">
        <f t="array" ref="D373">INDEX(기계코드!$D$4:$D$1022,MATCH(1,(C373=기계코드!$F$4:$F$1022)*1,0))</f>
        <v>M_AEB0401</v>
      </c>
      <c r="E373" s="7" t="s">
        <v>2073</v>
      </c>
      <c r="F373" s="7" t="str" cm="1">
        <f t="array" ref="F373">INDEX(공급업체코드!$B$3:$B$1000,MATCH(1,(E373=공급업체코드!$D$3:$D$1000)*1,0))</f>
        <v>VM_KF_MACH</v>
      </c>
      <c r="G373" s="158" t="s">
        <v>2074</v>
      </c>
      <c r="I373" s="163">
        <v>0.99</v>
      </c>
      <c r="J373" s="160">
        <v>4000</v>
      </c>
      <c r="K373" s="164">
        <v>50</v>
      </c>
      <c r="L373" s="165">
        <v>2.016</v>
      </c>
      <c r="M373" s="7" t="s">
        <v>981</v>
      </c>
      <c r="N373" s="7">
        <v>380</v>
      </c>
      <c r="O373" s="151">
        <v>0.89500000000000002</v>
      </c>
      <c r="P373" s="7">
        <v>0.9</v>
      </c>
      <c r="Q373" s="7">
        <v>80</v>
      </c>
      <c r="R373" s="251">
        <v>11</v>
      </c>
      <c r="S373" s="258" t="s">
        <v>1390</v>
      </c>
      <c r="T373" s="10">
        <f>IF(R373&lt;500,1,IF(R373&lt;1000,2,IF(R373&lt;5000,3,4)))</f>
        <v>1</v>
      </c>
      <c r="U373" s="260" t="s">
        <v>1391</v>
      </c>
      <c r="V373">
        <v>999</v>
      </c>
      <c r="X373" s="157" t="s">
        <v>2075</v>
      </c>
      <c r="Y373" t="b">
        <v>1</v>
      </c>
    </row>
    <row r="374" spans="1:25">
      <c r="A374" s="229" t="s">
        <v>2098</v>
      </c>
      <c r="B374" s="1" t="str">
        <f t="shared" si="8"/>
        <v>M_AEB0401_VM_KF_MACH_1.27_4000</v>
      </c>
      <c r="C374" s="7" t="s">
        <v>2097</v>
      </c>
      <c r="D374" s="7" t="str" cm="1">
        <f t="array" ref="D374">INDEX(기계코드!$D$4:$D$1022,MATCH(1,(C374=기계코드!$F$4:$F$1022)*1,0))</f>
        <v>M_AEB0401</v>
      </c>
      <c r="E374" s="7" t="s">
        <v>2073</v>
      </c>
      <c r="F374" s="7" t="str" cm="1">
        <f t="array" ref="F374">INDEX(공급업체코드!$B$3:$B$1000,MATCH(1,(E374=공급업체코드!$D$3:$D$1000)*1,0))</f>
        <v>VM_KF_MACH</v>
      </c>
      <c r="G374" s="158" t="s">
        <v>2074</v>
      </c>
      <c r="I374" s="166">
        <v>1.27</v>
      </c>
      <c r="J374" s="160">
        <v>4000</v>
      </c>
      <c r="K374" s="164">
        <v>50</v>
      </c>
      <c r="L374" s="165">
        <v>2.3279999999999998</v>
      </c>
      <c r="M374" s="7" t="s">
        <v>981</v>
      </c>
      <c r="N374" s="7">
        <v>380</v>
      </c>
      <c r="O374" s="151">
        <v>0.89500000000000002</v>
      </c>
      <c r="P374" s="7">
        <v>0.9</v>
      </c>
      <c r="Q374" s="7">
        <v>80</v>
      </c>
      <c r="R374" s="113">
        <v>11</v>
      </c>
      <c r="S374" s="258" t="s">
        <v>1390</v>
      </c>
      <c r="T374" s="10">
        <f t="shared" ref="T374:T437" si="10">IF(R374&lt;500,1,IF(R374&lt;1000,2,IF(R374&lt;5000,3,4)))</f>
        <v>1</v>
      </c>
      <c r="U374" s="260" t="s">
        <v>1391</v>
      </c>
      <c r="V374">
        <v>999</v>
      </c>
      <c r="X374" s="157" t="s">
        <v>2075</v>
      </c>
      <c r="Y374" t="b">
        <v>1</v>
      </c>
    </row>
    <row r="375" spans="1:25">
      <c r="A375" s="229" t="s">
        <v>2098</v>
      </c>
      <c r="B375" s="1" t="str">
        <f t="shared" si="8"/>
        <v>M_AEB0401_VM_KF_MACH_1.72_4000</v>
      </c>
      <c r="C375" s="7" t="s">
        <v>2097</v>
      </c>
      <c r="D375" s="7" t="str" cm="1">
        <f t="array" ref="D375">INDEX(기계코드!$D$4:$D$1022,MATCH(1,(C375=기계코드!$F$4:$F$1022)*1,0))</f>
        <v>M_AEB0401</v>
      </c>
      <c r="E375" s="7" t="s">
        <v>2073</v>
      </c>
      <c r="F375" s="7" t="str" cm="1">
        <f t="array" ref="F375">INDEX(공급업체코드!$B$3:$B$1000,MATCH(1,(E375=공급업체코드!$D$3:$D$1000)*1,0))</f>
        <v>VM_KF_MACH</v>
      </c>
      <c r="G375" s="158" t="s">
        <v>2074</v>
      </c>
      <c r="I375" s="166">
        <v>1.72</v>
      </c>
      <c r="J375" s="160">
        <v>4000</v>
      </c>
      <c r="K375" s="164">
        <v>50</v>
      </c>
      <c r="L375" s="165">
        <v>2.8919999999999999</v>
      </c>
      <c r="M375" s="7" t="s">
        <v>981</v>
      </c>
      <c r="N375" s="7">
        <v>380</v>
      </c>
      <c r="O375" s="151">
        <v>0.89500000000000002</v>
      </c>
      <c r="P375" s="7">
        <v>0.9</v>
      </c>
      <c r="Q375" s="7">
        <v>80</v>
      </c>
      <c r="R375" s="113">
        <v>11</v>
      </c>
      <c r="S375" s="258" t="s">
        <v>1390</v>
      </c>
      <c r="T375" s="10">
        <f t="shared" si="10"/>
        <v>1</v>
      </c>
      <c r="U375" s="260" t="s">
        <v>1391</v>
      </c>
      <c r="V375">
        <v>999</v>
      </c>
      <c r="X375" s="157" t="s">
        <v>2075</v>
      </c>
      <c r="Y375" t="b">
        <v>1</v>
      </c>
    </row>
    <row r="376" spans="1:25">
      <c r="A376" s="229" t="s">
        <v>2098</v>
      </c>
      <c r="B376" s="1" t="str">
        <f t="shared" si="8"/>
        <v>M_AEB0401_VM_KF_MACH_2.23_4000</v>
      </c>
      <c r="C376" s="7" t="s">
        <v>2097</v>
      </c>
      <c r="D376" s="7" t="str" cm="1">
        <f t="array" ref="D376">INDEX(기계코드!$D$4:$D$1022,MATCH(1,(C376=기계코드!$F$4:$F$1022)*1,0))</f>
        <v>M_AEB0401</v>
      </c>
      <c r="E376" s="7" t="s">
        <v>2073</v>
      </c>
      <c r="F376" s="7" t="str" cm="1">
        <f t="array" ref="F376">INDEX(공급업체코드!$B$3:$B$1000,MATCH(1,(E376=공급업체코드!$D$3:$D$1000)*1,0))</f>
        <v>VM_KF_MACH</v>
      </c>
      <c r="G376" s="158" t="s">
        <v>2074</v>
      </c>
      <c r="I376" s="166">
        <v>2.23</v>
      </c>
      <c r="J376" s="160">
        <v>4000</v>
      </c>
      <c r="K376" s="164">
        <v>50</v>
      </c>
      <c r="L376" s="165">
        <v>3.5760000000000001</v>
      </c>
      <c r="M376" s="7" t="s">
        <v>981</v>
      </c>
      <c r="N376" s="7">
        <v>380</v>
      </c>
      <c r="O376" s="151">
        <v>0.89500000000000002</v>
      </c>
      <c r="P376" s="7">
        <v>0.9</v>
      </c>
      <c r="Q376" s="7">
        <v>80</v>
      </c>
      <c r="R376" s="113">
        <v>11</v>
      </c>
      <c r="S376" s="258" t="s">
        <v>1390</v>
      </c>
      <c r="T376" s="10">
        <f t="shared" si="10"/>
        <v>1</v>
      </c>
      <c r="U376" s="260" t="s">
        <v>1391</v>
      </c>
      <c r="V376">
        <v>999</v>
      </c>
      <c r="X376" s="157" t="s">
        <v>2075</v>
      </c>
      <c r="Y376" t="b">
        <v>1</v>
      </c>
    </row>
    <row r="377" spans="1:25">
      <c r="A377" s="229" t="s">
        <v>2098</v>
      </c>
      <c r="B377" s="1" t="str">
        <f t="shared" si="8"/>
        <v>M_AEB0401_VM_KF_MACH_0.86_5000</v>
      </c>
      <c r="C377" s="7" t="s">
        <v>2097</v>
      </c>
      <c r="D377" s="7" t="str" cm="1">
        <f t="array" ref="D377">INDEX(기계코드!$D$4:$D$1022,MATCH(1,(C377=기계코드!$F$4:$F$1022)*1,0))</f>
        <v>M_AEB0401</v>
      </c>
      <c r="E377" s="7" t="s">
        <v>2073</v>
      </c>
      <c r="F377" s="7" t="str" cm="1">
        <f t="array" ref="F377">INDEX(공급업체코드!$B$3:$B$1000,MATCH(1,(E377=공급업체코드!$D$3:$D$1000)*1,0))</f>
        <v>VM_KF_MACH</v>
      </c>
      <c r="G377" s="158" t="s">
        <v>2074</v>
      </c>
      <c r="I377" s="166">
        <v>0.86</v>
      </c>
      <c r="J377" s="160">
        <v>5000</v>
      </c>
      <c r="K377" s="164">
        <v>50</v>
      </c>
      <c r="L377" s="165">
        <v>2.4239999999999999</v>
      </c>
      <c r="M377" s="7" t="s">
        <v>981</v>
      </c>
      <c r="N377" s="7">
        <v>380</v>
      </c>
      <c r="O377" s="151">
        <v>0.89500000000000002</v>
      </c>
      <c r="P377" s="7">
        <v>0.9</v>
      </c>
      <c r="Q377" s="7">
        <v>80</v>
      </c>
      <c r="R377" s="113">
        <v>11</v>
      </c>
      <c r="S377" s="258" t="s">
        <v>1390</v>
      </c>
      <c r="T377" s="10">
        <f t="shared" si="10"/>
        <v>1</v>
      </c>
      <c r="U377" s="260" t="s">
        <v>1391</v>
      </c>
      <c r="V377">
        <v>999</v>
      </c>
      <c r="X377" s="157" t="s">
        <v>2075</v>
      </c>
      <c r="Y377" t="b">
        <v>1</v>
      </c>
    </row>
    <row r="378" spans="1:25">
      <c r="A378" s="229" t="s">
        <v>2098</v>
      </c>
      <c r="B378" s="1" t="str">
        <f t="shared" si="8"/>
        <v>M_AEB0401_VM_KF_MACH_1.12_5000</v>
      </c>
      <c r="C378" s="7" t="s">
        <v>2097</v>
      </c>
      <c r="D378" s="7" t="str" cm="1">
        <f t="array" ref="D378">INDEX(기계코드!$D$4:$D$1022,MATCH(1,(C378=기계코드!$F$4:$F$1022)*1,0))</f>
        <v>M_AEB0401</v>
      </c>
      <c r="E378" s="7" t="s">
        <v>2073</v>
      </c>
      <c r="F378" s="7" t="str" cm="1">
        <f t="array" ref="F378">INDEX(공급업체코드!$B$3:$B$1000,MATCH(1,(E378=공급업체코드!$D$3:$D$1000)*1,0))</f>
        <v>VM_KF_MACH</v>
      </c>
      <c r="G378" s="158" t="s">
        <v>2074</v>
      </c>
      <c r="I378" s="166">
        <v>1.1200000000000001</v>
      </c>
      <c r="J378" s="160">
        <v>5000</v>
      </c>
      <c r="K378" s="164">
        <v>50</v>
      </c>
      <c r="L378" s="165">
        <v>2.7719999999999998</v>
      </c>
      <c r="M378" s="7" t="s">
        <v>981</v>
      </c>
      <c r="N378" s="7">
        <v>380</v>
      </c>
      <c r="O378" s="151">
        <v>0.89500000000000002</v>
      </c>
      <c r="P378" s="7">
        <v>0.9</v>
      </c>
      <c r="Q378" s="7">
        <v>80</v>
      </c>
      <c r="R378" s="113">
        <v>11</v>
      </c>
      <c r="S378" s="258" t="s">
        <v>1390</v>
      </c>
      <c r="T378" s="10">
        <f t="shared" si="10"/>
        <v>1</v>
      </c>
      <c r="U378" s="260" t="s">
        <v>1391</v>
      </c>
      <c r="V378">
        <v>999</v>
      </c>
      <c r="X378" s="157" t="s">
        <v>2075</v>
      </c>
      <c r="Y378" t="b">
        <v>1</v>
      </c>
    </row>
    <row r="379" spans="1:25">
      <c r="A379" s="229" t="s">
        <v>2098</v>
      </c>
      <c r="B379" s="1" t="str">
        <f t="shared" si="8"/>
        <v>M_AEB0401_VM_KF_MACH_1.57_5000</v>
      </c>
      <c r="C379" s="7" t="s">
        <v>2097</v>
      </c>
      <c r="D379" s="7" t="str" cm="1">
        <f t="array" ref="D379">INDEX(기계코드!$D$4:$D$1022,MATCH(1,(C379=기계코드!$F$4:$F$1022)*1,0))</f>
        <v>M_AEB0401</v>
      </c>
      <c r="E379" s="7" t="s">
        <v>2073</v>
      </c>
      <c r="F379" s="7" t="str" cm="1">
        <f t="array" ref="F379">INDEX(공급업체코드!$B$3:$B$1000,MATCH(1,(E379=공급업체코드!$D$3:$D$1000)*1,0))</f>
        <v>VM_KF_MACH</v>
      </c>
      <c r="G379" s="158" t="s">
        <v>2074</v>
      </c>
      <c r="I379" s="166">
        <v>1.57</v>
      </c>
      <c r="J379" s="160">
        <v>5000</v>
      </c>
      <c r="K379" s="164">
        <v>50</v>
      </c>
      <c r="L379" s="165">
        <v>3.456</v>
      </c>
      <c r="M379" s="7" t="s">
        <v>981</v>
      </c>
      <c r="N379" s="7">
        <v>380</v>
      </c>
      <c r="O379" s="151">
        <v>0.89500000000000002</v>
      </c>
      <c r="P379" s="7">
        <v>0.9</v>
      </c>
      <c r="Q379" s="7">
        <v>80</v>
      </c>
      <c r="R379" s="113">
        <v>11</v>
      </c>
      <c r="S379" s="258" t="s">
        <v>1390</v>
      </c>
      <c r="T379" s="10">
        <f t="shared" si="10"/>
        <v>1</v>
      </c>
      <c r="U379" s="260" t="s">
        <v>1391</v>
      </c>
      <c r="V379">
        <v>999</v>
      </c>
      <c r="X379" s="157" t="s">
        <v>2075</v>
      </c>
      <c r="Y379" t="b">
        <v>1</v>
      </c>
    </row>
    <row r="380" spans="1:25">
      <c r="A380" s="229" t="s">
        <v>2098</v>
      </c>
      <c r="B380" s="1" t="str">
        <f t="shared" si="8"/>
        <v>M_AEB0401_VM_KF_MACH_2.05_5000</v>
      </c>
      <c r="C380" s="7" t="s">
        <v>2097</v>
      </c>
      <c r="D380" s="7" t="str" cm="1">
        <f t="array" ref="D380">INDEX(기계코드!$D$4:$D$1022,MATCH(1,(C380=기계코드!$F$4:$F$1022)*1,0))</f>
        <v>M_AEB0401</v>
      </c>
      <c r="E380" s="7" t="s">
        <v>2073</v>
      </c>
      <c r="F380" s="7" t="str" cm="1">
        <f t="array" ref="F380">INDEX(공급업체코드!$B$3:$B$1000,MATCH(1,(E380=공급업체코드!$D$3:$D$1000)*1,0))</f>
        <v>VM_KF_MACH</v>
      </c>
      <c r="G380" s="158" t="s">
        <v>2074</v>
      </c>
      <c r="I380" s="166">
        <v>2.0499999999999998</v>
      </c>
      <c r="J380" s="160">
        <v>5000</v>
      </c>
      <c r="K380" s="164">
        <v>50</v>
      </c>
      <c r="L380" s="165">
        <v>4.2839999999999998</v>
      </c>
      <c r="M380" s="7" t="s">
        <v>981</v>
      </c>
      <c r="N380" s="7">
        <v>380</v>
      </c>
      <c r="O380" s="151">
        <v>0.91700000000000004</v>
      </c>
      <c r="P380" s="7">
        <v>0.9</v>
      </c>
      <c r="Q380" s="7">
        <v>80</v>
      </c>
      <c r="R380" s="113">
        <v>11</v>
      </c>
      <c r="S380" s="258" t="s">
        <v>1390</v>
      </c>
      <c r="T380" s="10">
        <f t="shared" si="10"/>
        <v>1</v>
      </c>
      <c r="U380" s="260" t="s">
        <v>1391</v>
      </c>
      <c r="V380">
        <v>999</v>
      </c>
      <c r="X380" s="157" t="s">
        <v>2075</v>
      </c>
      <c r="Y380" t="b">
        <v>1</v>
      </c>
    </row>
    <row r="381" spans="1:25">
      <c r="A381" s="229" t="s">
        <v>2098</v>
      </c>
      <c r="B381" s="1" t="str">
        <f t="shared" si="8"/>
        <v>M_AEB0401_VM_KF_MACH_0.72_6000</v>
      </c>
      <c r="C381" s="7" t="s">
        <v>2097</v>
      </c>
      <c r="D381" s="7" t="str" cm="1">
        <f t="array" ref="D381">INDEX(기계코드!$D$4:$D$1022,MATCH(1,(C381=기계코드!$F$4:$F$1022)*1,0))</f>
        <v>M_AEB0401</v>
      </c>
      <c r="E381" s="7" t="s">
        <v>2073</v>
      </c>
      <c r="F381" s="7" t="str" cm="1">
        <f t="array" ref="F381">INDEX(공급업체코드!$B$3:$B$1000,MATCH(1,(E381=공급업체코드!$D$3:$D$1000)*1,0))</f>
        <v>VM_KF_MACH</v>
      </c>
      <c r="G381" s="158" t="s">
        <v>2074</v>
      </c>
      <c r="I381" s="166">
        <v>0.72</v>
      </c>
      <c r="J381" s="160">
        <v>6000</v>
      </c>
      <c r="K381" s="164">
        <v>50</v>
      </c>
      <c r="L381" s="165">
        <v>2.7839999999999998</v>
      </c>
      <c r="M381" s="7" t="s">
        <v>981</v>
      </c>
      <c r="N381" s="7">
        <v>380</v>
      </c>
      <c r="O381" s="151">
        <v>0.89500000000000002</v>
      </c>
      <c r="P381" s="7">
        <v>0.9</v>
      </c>
      <c r="Q381" s="7">
        <v>80</v>
      </c>
      <c r="R381" s="113">
        <v>11</v>
      </c>
      <c r="S381" s="258" t="s">
        <v>1390</v>
      </c>
      <c r="T381" s="10">
        <f t="shared" si="10"/>
        <v>1</v>
      </c>
      <c r="U381" s="260" t="s">
        <v>1391</v>
      </c>
      <c r="V381">
        <v>999</v>
      </c>
      <c r="X381" s="157" t="s">
        <v>2075</v>
      </c>
      <c r="Y381" t="b">
        <v>1</v>
      </c>
    </row>
    <row r="382" spans="1:25">
      <c r="A382" s="229" t="s">
        <v>2098</v>
      </c>
      <c r="B382" s="1" t="str">
        <f t="shared" si="8"/>
        <v>M_AEB0401_VM_KF_MACH_1_6000</v>
      </c>
      <c r="C382" s="7" t="s">
        <v>2097</v>
      </c>
      <c r="D382" s="7" t="str" cm="1">
        <f t="array" ref="D382">INDEX(기계코드!$D$4:$D$1022,MATCH(1,(C382=기계코드!$F$4:$F$1022)*1,0))</f>
        <v>M_AEB0401</v>
      </c>
      <c r="E382" s="7" t="s">
        <v>2073</v>
      </c>
      <c r="F382" s="7" t="str" cm="1">
        <f t="array" ref="F382">INDEX(공급업체코드!$B$3:$B$1000,MATCH(1,(E382=공급업체코드!$D$3:$D$1000)*1,0))</f>
        <v>VM_KF_MACH</v>
      </c>
      <c r="G382" s="158" t="s">
        <v>2074</v>
      </c>
      <c r="I382" s="166">
        <v>1</v>
      </c>
      <c r="J382" s="160">
        <v>6000</v>
      </c>
      <c r="K382" s="164">
        <v>50</v>
      </c>
      <c r="L382" s="165">
        <v>3.2160000000000002</v>
      </c>
      <c r="M382" s="7" t="s">
        <v>981</v>
      </c>
      <c r="N382" s="7">
        <v>380</v>
      </c>
      <c r="O382" s="151">
        <v>0.89500000000000002</v>
      </c>
      <c r="P382" s="7">
        <v>0.9</v>
      </c>
      <c r="Q382" s="7">
        <v>80</v>
      </c>
      <c r="R382" s="113">
        <v>11</v>
      </c>
      <c r="S382" s="258" t="s">
        <v>1390</v>
      </c>
      <c r="T382" s="10">
        <f t="shared" si="10"/>
        <v>1</v>
      </c>
      <c r="U382" s="260" t="s">
        <v>1391</v>
      </c>
      <c r="V382">
        <v>999</v>
      </c>
      <c r="X382" s="157" t="s">
        <v>2075</v>
      </c>
      <c r="Y382" t="b">
        <v>1</v>
      </c>
    </row>
    <row r="383" spans="1:25">
      <c r="A383" s="229" t="s">
        <v>2098</v>
      </c>
      <c r="B383" s="1" t="str">
        <f t="shared" si="8"/>
        <v>M_AEB0401_VM_KF_MACH_1.45_6000</v>
      </c>
      <c r="C383" s="7" t="s">
        <v>2097</v>
      </c>
      <c r="D383" s="7" t="str" cm="1">
        <f t="array" ref="D383">INDEX(기계코드!$D$4:$D$1022,MATCH(1,(C383=기계코드!$F$4:$F$1022)*1,0))</f>
        <v>M_AEB0401</v>
      </c>
      <c r="E383" s="7" t="s">
        <v>2073</v>
      </c>
      <c r="F383" s="7" t="str" cm="1">
        <f t="array" ref="F383">INDEX(공급업체코드!$B$3:$B$1000,MATCH(1,(E383=공급업체코드!$D$3:$D$1000)*1,0))</f>
        <v>VM_KF_MACH</v>
      </c>
      <c r="G383" s="158" t="s">
        <v>2074</v>
      </c>
      <c r="I383" s="166">
        <v>1.45</v>
      </c>
      <c r="J383" s="160">
        <v>6000</v>
      </c>
      <c r="K383" s="164">
        <v>50</v>
      </c>
      <c r="L383" s="165">
        <v>4.008</v>
      </c>
      <c r="M383" s="7" t="s">
        <v>981</v>
      </c>
      <c r="N383" s="7">
        <v>380</v>
      </c>
      <c r="O383" s="151">
        <v>0.91700000000000004</v>
      </c>
      <c r="P383" s="7">
        <v>0.9</v>
      </c>
      <c r="Q383" s="7">
        <v>80</v>
      </c>
      <c r="R383" s="113">
        <v>11</v>
      </c>
      <c r="S383" s="258" t="s">
        <v>1390</v>
      </c>
      <c r="T383" s="10">
        <f t="shared" si="10"/>
        <v>1</v>
      </c>
      <c r="U383" s="260" t="s">
        <v>1391</v>
      </c>
      <c r="V383">
        <v>999</v>
      </c>
      <c r="X383" s="157" t="s">
        <v>2075</v>
      </c>
      <c r="Y383" t="b">
        <v>1</v>
      </c>
    </row>
    <row r="384" spans="1:25">
      <c r="A384" s="229" t="s">
        <v>2098</v>
      </c>
      <c r="B384" s="1" t="str">
        <f t="shared" si="8"/>
        <v>M_AEB0401_VM_KF_MACH_1.91_6000</v>
      </c>
      <c r="C384" s="7" t="s">
        <v>2097</v>
      </c>
      <c r="D384" s="7" t="str" cm="1">
        <f t="array" ref="D384">INDEX(기계코드!$D$4:$D$1022,MATCH(1,(C384=기계코드!$F$4:$F$1022)*1,0))</f>
        <v>M_AEB0401</v>
      </c>
      <c r="E384" s="7" t="s">
        <v>2073</v>
      </c>
      <c r="F384" s="7" t="str" cm="1">
        <f t="array" ref="F384">INDEX(공급업체코드!$B$3:$B$1000,MATCH(1,(E384=공급업체코드!$D$3:$D$1000)*1,0))</f>
        <v>VM_KF_MACH</v>
      </c>
      <c r="G384" s="158" t="s">
        <v>2074</v>
      </c>
      <c r="I384" s="166">
        <v>1.91</v>
      </c>
      <c r="J384" s="160">
        <v>6000</v>
      </c>
      <c r="K384" s="164">
        <v>50</v>
      </c>
      <c r="L384" s="165">
        <v>4.992</v>
      </c>
      <c r="M384" s="7" t="s">
        <v>981</v>
      </c>
      <c r="N384" s="7">
        <v>380</v>
      </c>
      <c r="O384" s="151">
        <v>0.91700000000000004</v>
      </c>
      <c r="P384" s="7">
        <v>0.9</v>
      </c>
      <c r="Q384" s="7">
        <v>80</v>
      </c>
      <c r="R384" s="113">
        <v>11</v>
      </c>
      <c r="S384" s="258" t="s">
        <v>1390</v>
      </c>
      <c r="T384" s="10">
        <f t="shared" si="10"/>
        <v>1</v>
      </c>
      <c r="U384" s="260" t="s">
        <v>1391</v>
      </c>
      <c r="V384">
        <v>999</v>
      </c>
      <c r="X384" s="157" t="s">
        <v>2075</v>
      </c>
      <c r="Y384" t="b">
        <v>1</v>
      </c>
    </row>
    <row r="385" spans="1:25">
      <c r="A385" s="229" t="s">
        <v>2098</v>
      </c>
      <c r="B385" s="1" t="str">
        <f t="shared" si="8"/>
        <v>M_AEB0401_VM_KF_MACH_1.27_4000</v>
      </c>
      <c r="C385" s="7" t="s">
        <v>2097</v>
      </c>
      <c r="D385" s="7" t="str" cm="1">
        <f t="array" ref="D385">INDEX(기계코드!$D$4:$D$1022,MATCH(1,(C385=기계코드!$F$4:$F$1022)*1,0))</f>
        <v>M_AEB0401</v>
      </c>
      <c r="E385" s="7" t="s">
        <v>2073</v>
      </c>
      <c r="F385" s="7" t="str" cm="1">
        <f t="array" ref="F385">INDEX(공급업체코드!$B$3:$B$1000,MATCH(1,(E385=공급업체코드!$D$3:$D$1000)*1,0))</f>
        <v>VM_KF_MACH</v>
      </c>
      <c r="G385" s="158" t="s">
        <v>2076</v>
      </c>
      <c r="I385" s="166">
        <v>1.27</v>
      </c>
      <c r="J385" s="160">
        <v>4000</v>
      </c>
      <c r="K385" s="159">
        <v>65</v>
      </c>
      <c r="L385" s="165">
        <v>2.472</v>
      </c>
      <c r="M385" s="7" t="s">
        <v>981</v>
      </c>
      <c r="N385" s="7">
        <v>380</v>
      </c>
      <c r="O385" s="151">
        <v>0.89500000000000002</v>
      </c>
      <c r="P385" s="7">
        <v>0.9</v>
      </c>
      <c r="Q385" s="7">
        <v>80</v>
      </c>
      <c r="R385" s="113">
        <v>11</v>
      </c>
      <c r="S385" s="258" t="s">
        <v>1390</v>
      </c>
      <c r="T385" s="10">
        <f t="shared" si="10"/>
        <v>1</v>
      </c>
      <c r="U385" s="260" t="s">
        <v>1391</v>
      </c>
      <c r="V385">
        <v>999</v>
      </c>
      <c r="X385" s="157" t="s">
        <v>2075</v>
      </c>
      <c r="Y385" t="b">
        <v>1</v>
      </c>
    </row>
    <row r="386" spans="1:25">
      <c r="A386" s="229" t="s">
        <v>2098</v>
      </c>
      <c r="B386" s="1" t="str">
        <f t="shared" si="8"/>
        <v>M_AEB0401_VM_KF_MACH_1.63_4000</v>
      </c>
      <c r="C386" s="7" t="s">
        <v>2097</v>
      </c>
      <c r="D386" s="7" t="str" cm="1">
        <f t="array" ref="D386">INDEX(기계코드!$D$4:$D$1022,MATCH(1,(C386=기계코드!$F$4:$F$1022)*1,0))</f>
        <v>M_AEB0401</v>
      </c>
      <c r="E386" s="7" t="s">
        <v>2073</v>
      </c>
      <c r="F386" s="7" t="str" cm="1">
        <f t="array" ref="F386">INDEX(공급업체코드!$B$3:$B$1000,MATCH(1,(E386=공급업체코드!$D$3:$D$1000)*1,0))</f>
        <v>VM_KF_MACH</v>
      </c>
      <c r="G386" s="158" t="s">
        <v>2076</v>
      </c>
      <c r="I386" s="166">
        <v>1.63</v>
      </c>
      <c r="J386" s="160">
        <v>4000</v>
      </c>
      <c r="K386" s="159">
        <v>65</v>
      </c>
      <c r="L386" s="165">
        <v>2.9279999999999999</v>
      </c>
      <c r="M386" s="7" t="s">
        <v>981</v>
      </c>
      <c r="N386" s="7">
        <v>380</v>
      </c>
      <c r="O386" s="151">
        <v>0.89500000000000002</v>
      </c>
      <c r="P386" s="7">
        <v>0.9</v>
      </c>
      <c r="Q386" s="7">
        <v>80</v>
      </c>
      <c r="R386" s="113">
        <v>11</v>
      </c>
      <c r="S386" s="258" t="s">
        <v>1390</v>
      </c>
      <c r="T386" s="10">
        <f t="shared" si="10"/>
        <v>1</v>
      </c>
      <c r="U386" s="260" t="s">
        <v>1391</v>
      </c>
      <c r="V386">
        <v>999</v>
      </c>
      <c r="X386" s="157" t="s">
        <v>2075</v>
      </c>
      <c r="Y386" t="b">
        <v>1</v>
      </c>
    </row>
    <row r="387" spans="1:25">
      <c r="A387" s="229" t="s">
        <v>2098</v>
      </c>
      <c r="B387" s="1" t="str">
        <f t="shared" si="8"/>
        <v>M_AEB0401_VM_KF_MACH_2.25_4000</v>
      </c>
      <c r="C387" s="7" t="s">
        <v>2097</v>
      </c>
      <c r="D387" s="7" t="str" cm="1">
        <f t="array" ref="D387">INDEX(기계코드!$D$4:$D$1022,MATCH(1,(C387=기계코드!$F$4:$F$1022)*1,0))</f>
        <v>M_AEB0401</v>
      </c>
      <c r="E387" s="7" t="s">
        <v>2073</v>
      </c>
      <c r="F387" s="7" t="str" cm="1">
        <f t="array" ref="F387">INDEX(공급업체코드!$B$3:$B$1000,MATCH(1,(E387=공급업체코드!$D$3:$D$1000)*1,0))</f>
        <v>VM_KF_MACH</v>
      </c>
      <c r="G387" s="158" t="s">
        <v>2076</v>
      </c>
      <c r="I387" s="166">
        <v>2.25</v>
      </c>
      <c r="J387" s="160">
        <v>4000</v>
      </c>
      <c r="K387" s="159">
        <v>65</v>
      </c>
      <c r="L387" s="165">
        <v>3.8279999999999998</v>
      </c>
      <c r="M387" s="7" t="s">
        <v>981</v>
      </c>
      <c r="N387" s="7">
        <v>380</v>
      </c>
      <c r="O387" s="151">
        <v>0.91700000000000004</v>
      </c>
      <c r="P387" s="7">
        <v>0.9</v>
      </c>
      <c r="Q387" s="7">
        <v>80</v>
      </c>
      <c r="R387" s="113">
        <v>11</v>
      </c>
      <c r="S387" s="258" t="s">
        <v>1390</v>
      </c>
      <c r="T387" s="10">
        <f t="shared" si="10"/>
        <v>1</v>
      </c>
      <c r="U387" s="260" t="s">
        <v>1391</v>
      </c>
      <c r="V387">
        <v>999</v>
      </c>
      <c r="X387" s="157" t="s">
        <v>2075</v>
      </c>
      <c r="Y387" t="b">
        <v>1</v>
      </c>
    </row>
    <row r="388" spans="1:25">
      <c r="A388" s="229" t="s">
        <v>2098</v>
      </c>
      <c r="B388" s="1" t="str">
        <f t="shared" ref="B388:B451" si="11">D388&amp;"_"&amp;F388&amp;"_"&amp;I388&amp;"_"&amp;J388</f>
        <v>M_AEB0401_VM_KF_MACH_2.86_4000</v>
      </c>
      <c r="C388" s="7" t="s">
        <v>2097</v>
      </c>
      <c r="D388" s="7" t="str" cm="1">
        <f t="array" ref="D388">INDEX(기계코드!$D$4:$D$1022,MATCH(1,(C388=기계코드!$F$4:$F$1022)*1,0))</f>
        <v>M_AEB0401</v>
      </c>
      <c r="E388" s="7" t="s">
        <v>2073</v>
      </c>
      <c r="F388" s="7" t="str" cm="1">
        <f t="array" ref="F388">INDEX(공급업체코드!$B$3:$B$1000,MATCH(1,(E388=공급업체코드!$D$3:$D$1000)*1,0))</f>
        <v>VM_KF_MACH</v>
      </c>
      <c r="G388" s="158" t="s">
        <v>2076</v>
      </c>
      <c r="I388" s="166">
        <v>2.86</v>
      </c>
      <c r="J388" s="160">
        <v>4000</v>
      </c>
      <c r="K388" s="159">
        <v>65</v>
      </c>
      <c r="L388" s="165">
        <v>4.6440000000000001</v>
      </c>
      <c r="M388" s="7" t="s">
        <v>981</v>
      </c>
      <c r="N388" s="7">
        <v>380</v>
      </c>
      <c r="O388" s="151">
        <v>0.91700000000000004</v>
      </c>
      <c r="P388" s="7">
        <v>0.9</v>
      </c>
      <c r="Q388" s="7">
        <v>80</v>
      </c>
      <c r="R388" s="113">
        <v>11</v>
      </c>
      <c r="S388" s="258" t="s">
        <v>1390</v>
      </c>
      <c r="T388" s="10">
        <f t="shared" si="10"/>
        <v>1</v>
      </c>
      <c r="U388" s="260" t="s">
        <v>1391</v>
      </c>
      <c r="V388">
        <v>999</v>
      </c>
      <c r="X388" s="157" t="s">
        <v>2075</v>
      </c>
      <c r="Y388" t="b">
        <v>1</v>
      </c>
    </row>
    <row r="389" spans="1:25">
      <c r="A389" s="229" t="s">
        <v>2098</v>
      </c>
      <c r="B389" s="1" t="str">
        <f t="shared" si="11"/>
        <v>M_AEB0401_VM_KF_MACH_1.12_5000</v>
      </c>
      <c r="C389" s="7" t="s">
        <v>2097</v>
      </c>
      <c r="D389" s="7" t="str" cm="1">
        <f t="array" ref="D389">INDEX(기계코드!$D$4:$D$1022,MATCH(1,(C389=기계코드!$F$4:$F$1022)*1,0))</f>
        <v>M_AEB0401</v>
      </c>
      <c r="E389" s="7" t="s">
        <v>2073</v>
      </c>
      <c r="F389" s="7" t="str" cm="1">
        <f t="array" ref="F389">INDEX(공급업체코드!$B$3:$B$1000,MATCH(1,(E389=공급업체코드!$D$3:$D$1000)*1,0))</f>
        <v>VM_KF_MACH</v>
      </c>
      <c r="G389" s="158" t="s">
        <v>2076</v>
      </c>
      <c r="I389" s="166">
        <v>1.1200000000000001</v>
      </c>
      <c r="J389" s="160">
        <v>5000</v>
      </c>
      <c r="K389" s="159">
        <v>65</v>
      </c>
      <c r="L389" s="165">
        <v>2.8679999999999999</v>
      </c>
      <c r="M389" s="7" t="s">
        <v>981</v>
      </c>
      <c r="N389" s="7">
        <v>380</v>
      </c>
      <c r="O389" s="151">
        <v>0.89500000000000002</v>
      </c>
      <c r="P389" s="7">
        <v>0.9</v>
      </c>
      <c r="Q389" s="7">
        <v>80</v>
      </c>
      <c r="R389" s="113">
        <v>11</v>
      </c>
      <c r="S389" s="258" t="s">
        <v>1390</v>
      </c>
      <c r="T389" s="10">
        <f t="shared" si="10"/>
        <v>1</v>
      </c>
      <c r="U389" s="260" t="s">
        <v>1391</v>
      </c>
      <c r="V389">
        <v>999</v>
      </c>
      <c r="X389" s="157" t="s">
        <v>2075</v>
      </c>
      <c r="Y389" t="b">
        <v>1</v>
      </c>
    </row>
    <row r="390" spans="1:25">
      <c r="A390" s="229" t="s">
        <v>2098</v>
      </c>
      <c r="B390" s="1" t="str">
        <f t="shared" si="11"/>
        <v>M_AEB0401_VM_KF_MACH_1.46_5000</v>
      </c>
      <c r="C390" s="7" t="s">
        <v>2097</v>
      </c>
      <c r="D390" s="7" t="str" cm="1">
        <f t="array" ref="D390">INDEX(기계코드!$D$4:$D$1022,MATCH(1,(C390=기계코드!$F$4:$F$1022)*1,0))</f>
        <v>M_AEB0401</v>
      </c>
      <c r="E390" s="7" t="s">
        <v>2073</v>
      </c>
      <c r="F390" s="7" t="str" cm="1">
        <f t="array" ref="F390">INDEX(공급업체코드!$B$3:$B$1000,MATCH(1,(E390=공급업체코드!$D$3:$D$1000)*1,0))</f>
        <v>VM_KF_MACH</v>
      </c>
      <c r="G390" s="158" t="s">
        <v>2076</v>
      </c>
      <c r="I390" s="166">
        <v>1.46</v>
      </c>
      <c r="J390" s="160">
        <v>5000</v>
      </c>
      <c r="K390" s="159">
        <v>65</v>
      </c>
      <c r="L390" s="165">
        <v>3.4319999999999999</v>
      </c>
      <c r="M390" s="7" t="s">
        <v>981</v>
      </c>
      <c r="N390" s="7">
        <v>380</v>
      </c>
      <c r="O390" s="151">
        <v>0.89500000000000002</v>
      </c>
      <c r="P390" s="7">
        <v>0.9</v>
      </c>
      <c r="Q390" s="7">
        <v>80</v>
      </c>
      <c r="R390" s="113">
        <v>11</v>
      </c>
      <c r="S390" s="258" t="s">
        <v>1390</v>
      </c>
      <c r="T390" s="10">
        <f t="shared" si="10"/>
        <v>1</v>
      </c>
      <c r="U390" s="260" t="s">
        <v>1391</v>
      </c>
      <c r="V390">
        <v>999</v>
      </c>
      <c r="X390" s="157" t="s">
        <v>2075</v>
      </c>
      <c r="Y390" t="b">
        <v>1</v>
      </c>
    </row>
    <row r="391" spans="1:25">
      <c r="A391" s="229" t="s">
        <v>2098</v>
      </c>
      <c r="B391" s="1" t="str">
        <f t="shared" si="11"/>
        <v>M_AEB0401_VM_KF_MACH_2.7_5000</v>
      </c>
      <c r="C391" s="7" t="s">
        <v>2097</v>
      </c>
      <c r="D391" s="7" t="str" cm="1">
        <f t="array" ref="D391">INDEX(기계코드!$D$4:$D$1022,MATCH(1,(C391=기계코드!$F$4:$F$1022)*1,0))</f>
        <v>M_AEB0401</v>
      </c>
      <c r="E391" s="7" t="s">
        <v>2073</v>
      </c>
      <c r="F391" s="7" t="str" cm="1">
        <f t="array" ref="F391">INDEX(공급업체코드!$B$3:$B$1000,MATCH(1,(E391=공급업체코드!$D$3:$D$1000)*1,0))</f>
        <v>VM_KF_MACH</v>
      </c>
      <c r="G391" s="158" t="s">
        <v>2076</v>
      </c>
      <c r="I391" s="166">
        <v>2.7</v>
      </c>
      <c r="J391" s="160">
        <v>5000</v>
      </c>
      <c r="K391" s="159">
        <v>65</v>
      </c>
      <c r="L391" s="165">
        <v>4.62</v>
      </c>
      <c r="M391" s="7" t="s">
        <v>981</v>
      </c>
      <c r="N391" s="7">
        <v>380</v>
      </c>
      <c r="O391" s="151">
        <v>0.91700000000000004</v>
      </c>
      <c r="P391" s="7">
        <v>0.9</v>
      </c>
      <c r="Q391" s="7">
        <v>80</v>
      </c>
      <c r="R391" s="113">
        <v>11</v>
      </c>
      <c r="S391" s="258" t="s">
        <v>1390</v>
      </c>
      <c r="T391" s="10">
        <f t="shared" si="10"/>
        <v>1</v>
      </c>
      <c r="U391" s="260" t="s">
        <v>1391</v>
      </c>
      <c r="V391">
        <v>999</v>
      </c>
      <c r="X391" s="157" t="s">
        <v>2075</v>
      </c>
      <c r="Y391" t="b">
        <v>1</v>
      </c>
    </row>
    <row r="392" spans="1:25">
      <c r="A392" s="229" t="s">
        <v>2098</v>
      </c>
      <c r="B392" s="1" t="str">
        <f t="shared" si="11"/>
        <v>M_AEB0401_VM_KF_MACH_2.64_5000</v>
      </c>
      <c r="C392" s="7" t="s">
        <v>2097</v>
      </c>
      <c r="D392" s="7" t="str" cm="1">
        <f t="array" ref="D392">INDEX(기계코드!$D$4:$D$1022,MATCH(1,(C392=기계코드!$F$4:$F$1022)*1,0))</f>
        <v>M_AEB0401</v>
      </c>
      <c r="E392" s="7" t="s">
        <v>2073</v>
      </c>
      <c r="F392" s="7" t="str" cm="1">
        <f t="array" ref="F392">INDEX(공급업체코드!$B$3:$B$1000,MATCH(1,(E392=공급업체코드!$D$3:$D$1000)*1,0))</f>
        <v>VM_KF_MACH</v>
      </c>
      <c r="G392" s="158" t="s">
        <v>2076</v>
      </c>
      <c r="I392" s="166">
        <v>2.64</v>
      </c>
      <c r="J392" s="160">
        <v>5000</v>
      </c>
      <c r="K392" s="159">
        <v>65</v>
      </c>
      <c r="L392" s="165">
        <v>5.6159999999999997</v>
      </c>
      <c r="M392" s="7" t="s">
        <v>981</v>
      </c>
      <c r="N392" s="7">
        <v>380</v>
      </c>
      <c r="O392" s="151">
        <v>0.91700000000000004</v>
      </c>
      <c r="P392" s="7">
        <v>0.9</v>
      </c>
      <c r="Q392" s="7">
        <v>80</v>
      </c>
      <c r="R392" s="113">
        <v>11</v>
      </c>
      <c r="S392" s="258" t="s">
        <v>1390</v>
      </c>
      <c r="T392" s="10">
        <f t="shared" si="10"/>
        <v>1</v>
      </c>
      <c r="U392" s="260" t="s">
        <v>1391</v>
      </c>
      <c r="V392">
        <v>999</v>
      </c>
      <c r="X392" s="157" t="s">
        <v>2075</v>
      </c>
      <c r="Y392" t="b">
        <v>1</v>
      </c>
    </row>
    <row r="393" spans="1:25">
      <c r="A393" s="229" t="s">
        <v>2098</v>
      </c>
      <c r="B393" s="1" t="str">
        <f t="shared" si="11"/>
        <v>M_AEB0401_VM_KF_MACH_0.96_6000</v>
      </c>
      <c r="C393" s="7" t="s">
        <v>2097</v>
      </c>
      <c r="D393" s="7" t="str" cm="1">
        <f t="array" ref="D393">INDEX(기계코드!$D$4:$D$1022,MATCH(1,(C393=기계코드!$F$4:$F$1022)*1,0))</f>
        <v>M_AEB0401</v>
      </c>
      <c r="E393" s="7" t="s">
        <v>2073</v>
      </c>
      <c r="F393" s="7" t="str" cm="1">
        <f t="array" ref="F393">INDEX(공급업체코드!$B$3:$B$1000,MATCH(1,(E393=공급업체코드!$D$3:$D$1000)*1,0))</f>
        <v>VM_KF_MACH</v>
      </c>
      <c r="G393" s="158" t="s">
        <v>2076</v>
      </c>
      <c r="I393" s="166">
        <v>0.96</v>
      </c>
      <c r="J393" s="160">
        <v>6000</v>
      </c>
      <c r="K393" s="159">
        <v>65</v>
      </c>
      <c r="L393" s="165">
        <v>3.1559999999999997</v>
      </c>
      <c r="M393" s="7" t="s">
        <v>981</v>
      </c>
      <c r="N393" s="7">
        <v>380</v>
      </c>
      <c r="O393" s="151">
        <v>0.89500000000000002</v>
      </c>
      <c r="P393" s="7">
        <v>0.9</v>
      </c>
      <c r="Q393" s="7">
        <v>80</v>
      </c>
      <c r="R393" s="113">
        <v>11</v>
      </c>
      <c r="S393" s="258" t="s">
        <v>1390</v>
      </c>
      <c r="T393" s="10">
        <f t="shared" si="10"/>
        <v>1</v>
      </c>
      <c r="U393" s="260" t="s">
        <v>1391</v>
      </c>
      <c r="V393">
        <v>999</v>
      </c>
      <c r="X393" s="157" t="s">
        <v>2075</v>
      </c>
      <c r="Y393" t="b">
        <v>1</v>
      </c>
    </row>
    <row r="394" spans="1:25">
      <c r="A394" s="229" t="s">
        <v>2098</v>
      </c>
      <c r="B394" s="1" t="str">
        <f t="shared" si="11"/>
        <v>M_AEB0401_VM_KF_MACH_1.34_6000</v>
      </c>
      <c r="C394" s="7" t="s">
        <v>2097</v>
      </c>
      <c r="D394" s="7" t="str" cm="1">
        <f t="array" ref="D394">INDEX(기계코드!$D$4:$D$1022,MATCH(1,(C394=기계코드!$F$4:$F$1022)*1,0))</f>
        <v>M_AEB0401</v>
      </c>
      <c r="E394" s="7" t="s">
        <v>2073</v>
      </c>
      <c r="F394" s="7" t="str" cm="1">
        <f t="array" ref="F394">INDEX(공급업체코드!$B$3:$B$1000,MATCH(1,(E394=공급업체코드!$D$3:$D$1000)*1,0))</f>
        <v>VM_KF_MACH</v>
      </c>
      <c r="G394" s="158" t="s">
        <v>2076</v>
      </c>
      <c r="I394" s="166">
        <v>1.34</v>
      </c>
      <c r="J394" s="160">
        <v>6000</v>
      </c>
      <c r="K394" s="159">
        <v>65</v>
      </c>
      <c r="L394" s="165">
        <v>4.032</v>
      </c>
      <c r="M394" s="7" t="s">
        <v>981</v>
      </c>
      <c r="N394" s="7">
        <v>380</v>
      </c>
      <c r="O394" s="151">
        <v>0.91700000000000004</v>
      </c>
      <c r="P394" s="7">
        <v>0.9</v>
      </c>
      <c r="Q394" s="7">
        <v>80</v>
      </c>
      <c r="R394" s="113">
        <v>11</v>
      </c>
      <c r="S394" s="258" t="s">
        <v>1390</v>
      </c>
      <c r="T394" s="10">
        <f t="shared" si="10"/>
        <v>1</v>
      </c>
      <c r="U394" s="260" t="s">
        <v>1391</v>
      </c>
      <c r="V394">
        <v>999</v>
      </c>
      <c r="X394" s="157" t="s">
        <v>2075</v>
      </c>
      <c r="Y394" t="b">
        <v>1</v>
      </c>
    </row>
    <row r="395" spans="1:25">
      <c r="A395" s="229" t="s">
        <v>2098</v>
      </c>
      <c r="B395" s="1" t="str">
        <f t="shared" si="11"/>
        <v>M_AEB0401_VM_KF_MACH_1.92_6000</v>
      </c>
      <c r="C395" s="7" t="s">
        <v>2097</v>
      </c>
      <c r="D395" s="7" t="str" cm="1">
        <f t="array" ref="D395">INDEX(기계코드!$D$4:$D$1022,MATCH(1,(C395=기계코드!$F$4:$F$1022)*1,0))</f>
        <v>M_AEB0401</v>
      </c>
      <c r="E395" s="7" t="s">
        <v>2073</v>
      </c>
      <c r="F395" s="7" t="str" cm="1">
        <f t="array" ref="F395">INDEX(공급업체코드!$B$3:$B$1000,MATCH(1,(E395=공급업체코드!$D$3:$D$1000)*1,0))</f>
        <v>VM_KF_MACH</v>
      </c>
      <c r="G395" s="158" t="s">
        <v>2076</v>
      </c>
      <c r="I395" s="166">
        <v>1.92</v>
      </c>
      <c r="J395" s="160">
        <v>6000</v>
      </c>
      <c r="K395" s="159">
        <v>65</v>
      </c>
      <c r="L395" s="165">
        <v>5.52</v>
      </c>
      <c r="M395" s="7" t="s">
        <v>981</v>
      </c>
      <c r="N395" s="7">
        <v>380</v>
      </c>
      <c r="O395" s="151">
        <v>0.91700000000000004</v>
      </c>
      <c r="P395" s="7">
        <v>0.9</v>
      </c>
      <c r="Q395" s="7">
        <v>80</v>
      </c>
      <c r="R395" s="113">
        <v>11</v>
      </c>
      <c r="S395" s="258" t="s">
        <v>1390</v>
      </c>
      <c r="T395" s="10">
        <f t="shared" si="10"/>
        <v>1</v>
      </c>
      <c r="U395" s="260" t="s">
        <v>1391</v>
      </c>
      <c r="V395">
        <v>999</v>
      </c>
      <c r="X395" s="157" t="s">
        <v>2075</v>
      </c>
      <c r="Y395" t="b">
        <v>1</v>
      </c>
    </row>
    <row r="396" spans="1:25">
      <c r="A396" s="229" t="s">
        <v>2098</v>
      </c>
      <c r="B396" s="1" t="str">
        <f t="shared" si="11"/>
        <v>M_AEB0401_VM_KF_MACH_2.48_6000</v>
      </c>
      <c r="C396" s="7" t="s">
        <v>2097</v>
      </c>
      <c r="D396" s="7" t="str" cm="1">
        <f t="array" ref="D396">INDEX(기계코드!$D$4:$D$1022,MATCH(1,(C396=기계코드!$F$4:$F$1022)*1,0))</f>
        <v>M_AEB0401</v>
      </c>
      <c r="E396" s="7" t="s">
        <v>2073</v>
      </c>
      <c r="F396" s="7" t="str" cm="1">
        <f t="array" ref="F396">INDEX(공급업체코드!$B$3:$B$1000,MATCH(1,(E396=공급업체코드!$D$3:$D$1000)*1,0))</f>
        <v>VM_KF_MACH</v>
      </c>
      <c r="G396" s="158" t="s">
        <v>2076</v>
      </c>
      <c r="I396" s="166">
        <v>2.48</v>
      </c>
      <c r="J396" s="160">
        <v>6000</v>
      </c>
      <c r="K396" s="159">
        <v>65</v>
      </c>
      <c r="L396" s="165">
        <v>6.78</v>
      </c>
      <c r="M396" s="7" t="s">
        <v>981</v>
      </c>
      <c r="N396" s="7">
        <v>380</v>
      </c>
      <c r="O396" s="151">
        <v>0.91700000000000004</v>
      </c>
      <c r="P396" s="7">
        <v>0.9</v>
      </c>
      <c r="Q396" s="7">
        <v>80</v>
      </c>
      <c r="R396" s="113">
        <v>11</v>
      </c>
      <c r="S396" s="258" t="s">
        <v>1390</v>
      </c>
      <c r="T396" s="10">
        <f t="shared" si="10"/>
        <v>1</v>
      </c>
      <c r="U396" s="260" t="s">
        <v>1391</v>
      </c>
      <c r="V396">
        <v>999</v>
      </c>
      <c r="X396" s="157" t="s">
        <v>2075</v>
      </c>
      <c r="Y396" t="b">
        <v>1</v>
      </c>
    </row>
    <row r="397" spans="1:25">
      <c r="A397" s="229" t="s">
        <v>2098</v>
      </c>
      <c r="B397" s="1" t="str">
        <f t="shared" si="11"/>
        <v>M_AEB0401_VM_KF_MACH_2.67_4000</v>
      </c>
      <c r="C397" s="7" t="s">
        <v>2097</v>
      </c>
      <c r="D397" s="7" t="str" cm="1">
        <f t="array" ref="D397">INDEX(기계코드!$D$4:$D$1022,MATCH(1,(C397=기계코드!$F$4:$F$1022)*1,0))</f>
        <v>M_AEB0401</v>
      </c>
      <c r="E397" s="7" t="s">
        <v>2073</v>
      </c>
      <c r="F397" s="7" t="str" cm="1">
        <f t="array" ref="F397">INDEX(공급업체코드!$B$3:$B$1000,MATCH(1,(E397=공급업체코드!$D$3:$D$1000)*1,0))</f>
        <v>VM_KF_MACH</v>
      </c>
      <c r="G397" s="158" t="s">
        <v>2077</v>
      </c>
      <c r="I397" s="166">
        <v>2.67</v>
      </c>
      <c r="J397" s="160">
        <v>4000</v>
      </c>
      <c r="K397" s="159">
        <v>80</v>
      </c>
      <c r="L397" s="165">
        <v>3.972</v>
      </c>
      <c r="M397" s="7" t="s">
        <v>981</v>
      </c>
      <c r="N397" s="7">
        <v>380</v>
      </c>
      <c r="O397" s="151">
        <v>0.91700000000000004</v>
      </c>
      <c r="P397" s="7">
        <v>0.9</v>
      </c>
      <c r="Q397" s="7">
        <v>80</v>
      </c>
      <c r="R397" s="113">
        <v>11</v>
      </c>
      <c r="S397" s="258" t="s">
        <v>1390</v>
      </c>
      <c r="T397" s="10">
        <f t="shared" si="10"/>
        <v>1</v>
      </c>
      <c r="U397" s="260" t="s">
        <v>1391</v>
      </c>
      <c r="V397">
        <v>999</v>
      </c>
      <c r="X397" s="157" t="s">
        <v>2075</v>
      </c>
      <c r="Y397" t="b">
        <v>1</v>
      </c>
    </row>
    <row r="398" spans="1:25">
      <c r="A398" s="229" t="s">
        <v>2098</v>
      </c>
      <c r="B398" s="1" t="str">
        <f t="shared" si="11"/>
        <v>M_AEB0401_VM_KF_MACH_4.04_4000</v>
      </c>
      <c r="C398" s="7" t="s">
        <v>2097</v>
      </c>
      <c r="D398" s="7" t="str" cm="1">
        <f t="array" ref="D398">INDEX(기계코드!$D$4:$D$1022,MATCH(1,(C398=기계코드!$F$4:$F$1022)*1,0))</f>
        <v>M_AEB0401</v>
      </c>
      <c r="E398" s="7" t="s">
        <v>2073</v>
      </c>
      <c r="F398" s="7" t="str" cm="1">
        <f t="array" ref="F398">INDEX(공급업체코드!$B$3:$B$1000,MATCH(1,(E398=공급업체코드!$D$3:$D$1000)*1,0))</f>
        <v>VM_KF_MACH</v>
      </c>
      <c r="G398" s="158" t="s">
        <v>2077</v>
      </c>
      <c r="I398" s="166">
        <v>4.04</v>
      </c>
      <c r="J398" s="160">
        <v>4000</v>
      </c>
      <c r="K398" s="159">
        <v>80</v>
      </c>
      <c r="L398" s="165">
        <v>5.3999999999999995</v>
      </c>
      <c r="M398" s="7" t="s">
        <v>981</v>
      </c>
      <c r="N398" s="7">
        <v>380</v>
      </c>
      <c r="O398" s="151">
        <v>0.91700000000000004</v>
      </c>
      <c r="P398" s="7">
        <v>0.9</v>
      </c>
      <c r="Q398" s="7">
        <v>80</v>
      </c>
      <c r="R398" s="113">
        <v>11</v>
      </c>
      <c r="S398" s="258" t="s">
        <v>1390</v>
      </c>
      <c r="T398" s="10">
        <f t="shared" si="10"/>
        <v>1</v>
      </c>
      <c r="U398" s="260" t="s">
        <v>1391</v>
      </c>
      <c r="V398">
        <v>999</v>
      </c>
      <c r="X398" s="157" t="s">
        <v>2075</v>
      </c>
      <c r="Y398" t="b">
        <v>1</v>
      </c>
    </row>
    <row r="399" spans="1:25">
      <c r="A399" s="229" t="s">
        <v>2098</v>
      </c>
      <c r="B399" s="1" t="str">
        <f t="shared" si="11"/>
        <v>M_AEB0401_VM_KF_MACH_5.41_4000</v>
      </c>
      <c r="C399" s="7" t="s">
        <v>2097</v>
      </c>
      <c r="D399" s="7" t="str" cm="1">
        <f t="array" ref="D399">INDEX(기계코드!$D$4:$D$1022,MATCH(1,(C399=기계코드!$F$4:$F$1022)*1,0))</f>
        <v>M_AEB0401</v>
      </c>
      <c r="E399" s="7" t="s">
        <v>2073</v>
      </c>
      <c r="F399" s="7" t="str" cm="1">
        <f t="array" ref="F399">INDEX(공급업체코드!$B$3:$B$1000,MATCH(1,(E399=공급업체코드!$D$3:$D$1000)*1,0))</f>
        <v>VM_KF_MACH</v>
      </c>
      <c r="G399" s="158" t="s">
        <v>2077</v>
      </c>
      <c r="I399" s="166">
        <v>5.41</v>
      </c>
      <c r="J399" s="160">
        <v>4000</v>
      </c>
      <c r="K399" s="159">
        <v>80</v>
      </c>
      <c r="L399" s="165">
        <v>6.6599999999999993</v>
      </c>
      <c r="M399" s="7" t="s">
        <v>981</v>
      </c>
      <c r="N399" s="7">
        <v>380</v>
      </c>
      <c r="O399" s="151">
        <v>0.91700000000000004</v>
      </c>
      <c r="P399" s="7">
        <v>0.9</v>
      </c>
      <c r="Q399" s="7">
        <v>80</v>
      </c>
      <c r="R399" s="113">
        <v>11</v>
      </c>
      <c r="S399" s="258" t="s">
        <v>1390</v>
      </c>
      <c r="T399" s="10">
        <f t="shared" si="10"/>
        <v>1</v>
      </c>
      <c r="U399" s="260" t="s">
        <v>1391</v>
      </c>
      <c r="V399">
        <v>999</v>
      </c>
      <c r="X399" s="157" t="s">
        <v>2075</v>
      </c>
      <c r="Y399" t="b">
        <v>1</v>
      </c>
    </row>
    <row r="400" spans="1:25">
      <c r="A400" s="229" t="s">
        <v>2098</v>
      </c>
      <c r="B400" s="1" t="str">
        <f t="shared" si="11"/>
        <v>M_AEB0401_VM_KF_MACH_6.88_4000</v>
      </c>
      <c r="C400" s="7" t="s">
        <v>2097</v>
      </c>
      <c r="D400" s="7" t="str" cm="1">
        <f t="array" ref="D400">INDEX(기계코드!$D$4:$D$1022,MATCH(1,(C400=기계코드!$F$4:$F$1022)*1,0))</f>
        <v>M_AEB0401</v>
      </c>
      <c r="E400" s="7" t="s">
        <v>2073</v>
      </c>
      <c r="F400" s="7" t="str" cm="1">
        <f t="array" ref="F400">INDEX(공급업체코드!$B$3:$B$1000,MATCH(1,(E400=공급업체코드!$D$3:$D$1000)*1,0))</f>
        <v>VM_KF_MACH</v>
      </c>
      <c r="G400" s="158" t="s">
        <v>2077</v>
      </c>
      <c r="I400" s="166">
        <v>6.88</v>
      </c>
      <c r="J400" s="160">
        <v>4000</v>
      </c>
      <c r="K400" s="159">
        <v>80</v>
      </c>
      <c r="L400" s="165">
        <v>8.0519999999999996</v>
      </c>
      <c r="M400" s="7" t="s">
        <v>981</v>
      </c>
      <c r="N400" s="7">
        <v>380</v>
      </c>
      <c r="O400" s="151">
        <v>0.92400000000000004</v>
      </c>
      <c r="P400" s="7">
        <v>0.9</v>
      </c>
      <c r="Q400" s="7">
        <v>80</v>
      </c>
      <c r="R400" s="113">
        <v>11</v>
      </c>
      <c r="S400" s="258" t="s">
        <v>1390</v>
      </c>
      <c r="T400" s="10">
        <f t="shared" si="10"/>
        <v>1</v>
      </c>
      <c r="U400" s="260" t="s">
        <v>1391</v>
      </c>
      <c r="V400">
        <v>999</v>
      </c>
      <c r="X400" s="157" t="s">
        <v>2075</v>
      </c>
      <c r="Y400" t="b">
        <v>1</v>
      </c>
    </row>
    <row r="401" spans="1:25">
      <c r="A401" s="229" t="s">
        <v>2098</v>
      </c>
      <c r="B401" s="1" t="str">
        <f t="shared" si="11"/>
        <v>M_AEB0401_VM_KF_MACH_2.37_5000</v>
      </c>
      <c r="C401" s="7" t="s">
        <v>2097</v>
      </c>
      <c r="D401" s="7" t="str" cm="1">
        <f t="array" ref="D401">INDEX(기계코드!$D$4:$D$1022,MATCH(1,(C401=기계코드!$F$4:$F$1022)*1,0))</f>
        <v>M_AEB0401</v>
      </c>
      <c r="E401" s="7" t="s">
        <v>2073</v>
      </c>
      <c r="F401" s="7" t="str" cm="1">
        <f t="array" ref="F401">INDEX(공급업체코드!$B$3:$B$1000,MATCH(1,(E401=공급업체코드!$D$3:$D$1000)*1,0))</f>
        <v>VM_KF_MACH</v>
      </c>
      <c r="G401" s="158" t="s">
        <v>2077</v>
      </c>
      <c r="I401" s="166">
        <v>2.37</v>
      </c>
      <c r="J401" s="160">
        <v>5000</v>
      </c>
      <c r="K401" s="159">
        <v>80</v>
      </c>
      <c r="L401" s="165">
        <v>4.5119999999999996</v>
      </c>
      <c r="M401" s="7" t="s">
        <v>981</v>
      </c>
      <c r="N401" s="7">
        <v>380</v>
      </c>
      <c r="O401" s="151">
        <v>0.91700000000000004</v>
      </c>
      <c r="P401" s="7">
        <v>0.9</v>
      </c>
      <c r="Q401" s="7">
        <v>80</v>
      </c>
      <c r="R401" s="113">
        <v>11</v>
      </c>
      <c r="S401" s="258" t="s">
        <v>1390</v>
      </c>
      <c r="T401" s="10">
        <f t="shared" si="10"/>
        <v>1</v>
      </c>
      <c r="U401" s="260" t="s">
        <v>1391</v>
      </c>
      <c r="V401">
        <v>999</v>
      </c>
      <c r="X401" s="157" t="s">
        <v>2075</v>
      </c>
      <c r="Y401" t="b">
        <v>1</v>
      </c>
    </row>
    <row r="402" spans="1:25">
      <c r="A402" s="229" t="s">
        <v>2098</v>
      </c>
      <c r="B402" s="1" t="str">
        <f t="shared" si="11"/>
        <v>M_AEB0401_VM_KF_MACH_3.75_5000</v>
      </c>
      <c r="C402" s="7" t="s">
        <v>2097</v>
      </c>
      <c r="D402" s="7" t="str" cm="1">
        <f t="array" ref="D402">INDEX(기계코드!$D$4:$D$1022,MATCH(1,(C402=기계코드!$F$4:$F$1022)*1,0))</f>
        <v>M_AEB0401</v>
      </c>
      <c r="E402" s="7" t="s">
        <v>2073</v>
      </c>
      <c r="F402" s="7" t="str" cm="1">
        <f t="array" ref="F402">INDEX(공급업체코드!$B$3:$B$1000,MATCH(1,(E402=공급업체코드!$D$3:$D$1000)*1,0))</f>
        <v>VM_KF_MACH</v>
      </c>
      <c r="G402" s="158" t="s">
        <v>2077</v>
      </c>
      <c r="I402" s="166">
        <v>3.75</v>
      </c>
      <c r="J402" s="160">
        <v>5000</v>
      </c>
      <c r="K402" s="159">
        <v>80</v>
      </c>
      <c r="L402" s="165">
        <v>6.4320000000000004</v>
      </c>
      <c r="M402" s="7" t="s">
        <v>981</v>
      </c>
      <c r="N402" s="7">
        <v>380</v>
      </c>
      <c r="O402" s="151">
        <v>0.91700000000000004</v>
      </c>
      <c r="P402" s="7">
        <v>0.9</v>
      </c>
      <c r="Q402" s="7">
        <v>80</v>
      </c>
      <c r="R402" s="113">
        <v>11</v>
      </c>
      <c r="S402" s="258" t="s">
        <v>1390</v>
      </c>
      <c r="T402" s="10">
        <f t="shared" si="10"/>
        <v>1</v>
      </c>
      <c r="U402" s="260" t="s">
        <v>1391</v>
      </c>
      <c r="V402">
        <v>999</v>
      </c>
      <c r="X402" s="157" t="s">
        <v>2075</v>
      </c>
      <c r="Y402" t="b">
        <v>1</v>
      </c>
    </row>
    <row r="403" spans="1:25">
      <c r="A403" s="229" t="s">
        <v>2098</v>
      </c>
      <c r="B403" s="1" t="str">
        <f t="shared" si="11"/>
        <v>M_AEB0401_VM_KF_MACH_5.12_5000</v>
      </c>
      <c r="C403" s="7" t="s">
        <v>2097</v>
      </c>
      <c r="D403" s="7" t="str" cm="1">
        <f t="array" ref="D403">INDEX(기계코드!$D$4:$D$1022,MATCH(1,(C403=기계코드!$F$4:$F$1022)*1,0))</f>
        <v>M_AEB0401</v>
      </c>
      <c r="E403" s="7" t="s">
        <v>2073</v>
      </c>
      <c r="F403" s="7" t="str" cm="1">
        <f t="array" ref="F403">INDEX(공급업체코드!$B$3:$B$1000,MATCH(1,(E403=공급업체코드!$D$3:$D$1000)*1,0))</f>
        <v>VM_KF_MACH</v>
      </c>
      <c r="G403" s="158" t="s">
        <v>2077</v>
      </c>
      <c r="I403" s="166">
        <v>5.12</v>
      </c>
      <c r="J403" s="160">
        <v>5000</v>
      </c>
      <c r="K403" s="159">
        <v>80</v>
      </c>
      <c r="L403" s="165">
        <v>8.0760000000000005</v>
      </c>
      <c r="M403" s="7" t="s">
        <v>981</v>
      </c>
      <c r="N403" s="7">
        <v>380</v>
      </c>
      <c r="O403" s="151">
        <v>0.92400000000000004</v>
      </c>
      <c r="P403" s="7">
        <v>0.9</v>
      </c>
      <c r="Q403" s="7">
        <v>80</v>
      </c>
      <c r="R403" s="113">
        <v>11</v>
      </c>
      <c r="S403" s="258" t="s">
        <v>1390</v>
      </c>
      <c r="T403" s="10">
        <f t="shared" si="10"/>
        <v>1</v>
      </c>
      <c r="U403" s="260" t="s">
        <v>1391</v>
      </c>
      <c r="V403">
        <v>999</v>
      </c>
      <c r="X403" s="157" t="s">
        <v>2075</v>
      </c>
      <c r="Y403" t="b">
        <v>1</v>
      </c>
    </row>
    <row r="404" spans="1:25">
      <c r="A404" s="229" t="s">
        <v>2098</v>
      </c>
      <c r="B404" s="1" t="str">
        <f t="shared" si="11"/>
        <v>M_AEB0401_VM_KF_MACH_6.53_5000</v>
      </c>
      <c r="C404" s="7" t="s">
        <v>2097</v>
      </c>
      <c r="D404" s="7" t="str" cm="1">
        <f t="array" ref="D404">INDEX(기계코드!$D$4:$D$1022,MATCH(1,(C404=기계코드!$F$4:$F$1022)*1,0))</f>
        <v>M_AEB0401</v>
      </c>
      <c r="E404" s="7" t="s">
        <v>2073</v>
      </c>
      <c r="F404" s="7" t="str" cm="1">
        <f t="array" ref="F404">INDEX(공급업체코드!$B$3:$B$1000,MATCH(1,(E404=공급업체코드!$D$3:$D$1000)*1,0))</f>
        <v>VM_KF_MACH</v>
      </c>
      <c r="G404" s="158" t="s">
        <v>2077</v>
      </c>
      <c r="I404" s="166">
        <v>6.53</v>
      </c>
      <c r="J404" s="160">
        <v>5000</v>
      </c>
      <c r="K404" s="159">
        <v>80</v>
      </c>
      <c r="L404" s="165">
        <v>9.8040000000000003</v>
      </c>
      <c r="M404" s="7" t="s">
        <v>981</v>
      </c>
      <c r="N404" s="7">
        <v>380</v>
      </c>
      <c r="O404" s="151">
        <v>0.92400000000000004</v>
      </c>
      <c r="P404" s="7">
        <v>0.9</v>
      </c>
      <c r="Q404" s="7">
        <v>80</v>
      </c>
      <c r="R404" s="113">
        <v>11</v>
      </c>
      <c r="S404" s="258" t="s">
        <v>1390</v>
      </c>
      <c r="T404" s="10">
        <f t="shared" si="10"/>
        <v>1</v>
      </c>
      <c r="U404" s="260" t="s">
        <v>1391</v>
      </c>
      <c r="V404">
        <v>999</v>
      </c>
      <c r="X404" s="157" t="s">
        <v>2075</v>
      </c>
      <c r="Y404" t="b">
        <v>1</v>
      </c>
    </row>
    <row r="405" spans="1:25">
      <c r="A405" s="229" t="s">
        <v>2098</v>
      </c>
      <c r="B405" s="1" t="str">
        <f t="shared" si="11"/>
        <v>M_AEB0401_VM_KF_MACH_2.14_6000</v>
      </c>
      <c r="C405" s="7" t="s">
        <v>2097</v>
      </c>
      <c r="D405" s="7" t="str" cm="1">
        <f t="array" ref="D405">INDEX(기계코드!$D$4:$D$1022,MATCH(1,(C405=기계코드!$F$4:$F$1022)*1,0))</f>
        <v>M_AEB0401</v>
      </c>
      <c r="E405" s="7" t="s">
        <v>2073</v>
      </c>
      <c r="F405" s="7" t="str" cm="1">
        <f t="array" ref="F405">INDEX(공급업체코드!$B$3:$B$1000,MATCH(1,(E405=공급업체코드!$D$3:$D$1000)*1,0))</f>
        <v>VM_KF_MACH</v>
      </c>
      <c r="G405" s="158" t="s">
        <v>2077</v>
      </c>
      <c r="I405" s="166">
        <v>2.14</v>
      </c>
      <c r="J405" s="160">
        <v>6000</v>
      </c>
      <c r="K405" s="159">
        <v>80</v>
      </c>
      <c r="L405" s="165">
        <v>5.0280000000000005</v>
      </c>
      <c r="M405" s="7" t="s">
        <v>981</v>
      </c>
      <c r="N405" s="7">
        <v>380</v>
      </c>
      <c r="O405" s="151">
        <v>0.91700000000000004</v>
      </c>
      <c r="P405" s="7">
        <v>0.9</v>
      </c>
      <c r="Q405" s="7">
        <v>80</v>
      </c>
      <c r="R405" s="113">
        <v>11</v>
      </c>
      <c r="S405" s="258" t="s">
        <v>1390</v>
      </c>
      <c r="T405" s="10">
        <f t="shared" si="10"/>
        <v>1</v>
      </c>
      <c r="U405" s="260" t="s">
        <v>1391</v>
      </c>
      <c r="V405">
        <v>999</v>
      </c>
      <c r="X405" s="157" t="s">
        <v>2075</v>
      </c>
      <c r="Y405" t="b">
        <v>1</v>
      </c>
    </row>
    <row r="406" spans="1:25">
      <c r="A406" s="229" t="s">
        <v>2098</v>
      </c>
      <c r="B406" s="1" t="str">
        <f t="shared" si="11"/>
        <v>M_AEB0401_VM_KF_MACH_3.52_6000</v>
      </c>
      <c r="C406" s="7" t="s">
        <v>2097</v>
      </c>
      <c r="D406" s="7" t="str" cm="1">
        <f t="array" ref="D406">INDEX(기계코드!$D$4:$D$1022,MATCH(1,(C406=기계코드!$F$4:$F$1022)*1,0))</f>
        <v>M_AEB0401</v>
      </c>
      <c r="E406" s="7" t="s">
        <v>2073</v>
      </c>
      <c r="F406" s="7" t="str" cm="1">
        <f t="array" ref="F406">INDEX(공급업체코드!$B$3:$B$1000,MATCH(1,(E406=공급업체코드!$D$3:$D$1000)*1,0))</f>
        <v>VM_KF_MACH</v>
      </c>
      <c r="G406" s="158" t="s">
        <v>2077</v>
      </c>
      <c r="I406" s="166">
        <v>3.52</v>
      </c>
      <c r="J406" s="160">
        <v>6000</v>
      </c>
      <c r="K406" s="159">
        <v>80</v>
      </c>
      <c r="L406" s="165">
        <v>7.4399999999999995</v>
      </c>
      <c r="M406" s="7" t="s">
        <v>981</v>
      </c>
      <c r="N406" s="7">
        <v>380</v>
      </c>
      <c r="O406" s="151">
        <v>0.91700000000000004</v>
      </c>
      <c r="P406" s="7">
        <v>0.9</v>
      </c>
      <c r="Q406" s="7">
        <v>80</v>
      </c>
      <c r="R406" s="113">
        <v>11</v>
      </c>
      <c r="S406" s="258" t="s">
        <v>1390</v>
      </c>
      <c r="T406" s="10">
        <f t="shared" si="10"/>
        <v>1</v>
      </c>
      <c r="U406" s="260" t="s">
        <v>1391</v>
      </c>
      <c r="V406">
        <v>999</v>
      </c>
      <c r="X406" s="157" t="s">
        <v>2075</v>
      </c>
      <c r="Y406" t="b">
        <v>1</v>
      </c>
    </row>
    <row r="407" spans="1:25">
      <c r="A407" s="229" t="s">
        <v>2098</v>
      </c>
      <c r="B407" s="1" t="str">
        <f t="shared" si="11"/>
        <v>M_AEB0401_VM_KF_MACH_4.88_6000</v>
      </c>
      <c r="C407" s="7" t="s">
        <v>2097</v>
      </c>
      <c r="D407" s="7" t="str" cm="1">
        <f t="array" ref="D407">INDEX(기계코드!$D$4:$D$1022,MATCH(1,(C407=기계코드!$F$4:$F$1022)*1,0))</f>
        <v>M_AEB0401</v>
      </c>
      <c r="E407" s="7" t="s">
        <v>2073</v>
      </c>
      <c r="F407" s="7" t="str" cm="1">
        <f t="array" ref="F407">INDEX(공급업체코드!$B$3:$B$1000,MATCH(1,(E407=공급업체코드!$D$3:$D$1000)*1,0))</f>
        <v>VM_KF_MACH</v>
      </c>
      <c r="G407" s="158" t="s">
        <v>2077</v>
      </c>
      <c r="I407" s="166">
        <v>4.88</v>
      </c>
      <c r="J407" s="160">
        <v>6000</v>
      </c>
      <c r="K407" s="159">
        <v>80</v>
      </c>
      <c r="L407" s="165">
        <v>9.4919999999999991</v>
      </c>
      <c r="M407" s="7" t="s">
        <v>981</v>
      </c>
      <c r="N407" s="7">
        <v>380</v>
      </c>
      <c r="O407" s="151">
        <v>0.92400000000000004</v>
      </c>
      <c r="P407" s="7">
        <v>0.9</v>
      </c>
      <c r="Q407" s="7">
        <v>80</v>
      </c>
      <c r="R407" s="113">
        <v>11</v>
      </c>
      <c r="S407" s="258" t="s">
        <v>1390</v>
      </c>
      <c r="T407" s="10">
        <f t="shared" si="10"/>
        <v>1</v>
      </c>
      <c r="U407" s="260" t="s">
        <v>1391</v>
      </c>
      <c r="V407">
        <v>999</v>
      </c>
      <c r="X407" s="157" t="s">
        <v>2075</v>
      </c>
      <c r="Y407" t="b">
        <v>1</v>
      </c>
    </row>
    <row r="408" spans="1:25">
      <c r="A408" s="229" t="s">
        <v>2098</v>
      </c>
      <c r="B408" s="1" t="str">
        <f t="shared" si="11"/>
        <v>M_AEB0401_VM_KF_MACH_6.24_6000</v>
      </c>
      <c r="C408" s="7" t="s">
        <v>2097</v>
      </c>
      <c r="D408" s="7" t="str" cm="1">
        <f t="array" ref="D408">INDEX(기계코드!$D$4:$D$1022,MATCH(1,(C408=기계코드!$F$4:$F$1022)*1,0))</f>
        <v>M_AEB0401</v>
      </c>
      <c r="E408" s="7" t="s">
        <v>2073</v>
      </c>
      <c r="F408" s="7" t="str" cm="1">
        <f t="array" ref="F408">INDEX(공급업체코드!$B$3:$B$1000,MATCH(1,(E408=공급업체코드!$D$3:$D$1000)*1,0))</f>
        <v>VM_KF_MACH</v>
      </c>
      <c r="G408" s="158" t="s">
        <v>2077</v>
      </c>
      <c r="I408" s="166">
        <v>6.24</v>
      </c>
      <c r="J408" s="160">
        <v>6000</v>
      </c>
      <c r="K408" s="159">
        <v>80</v>
      </c>
      <c r="L408" s="165">
        <v>11.556000000000001</v>
      </c>
      <c r="M408" s="7" t="s">
        <v>981</v>
      </c>
      <c r="N408" s="7">
        <v>380</v>
      </c>
      <c r="O408" s="151">
        <v>0.93</v>
      </c>
      <c r="P408" s="7">
        <v>0.9</v>
      </c>
      <c r="Q408" s="7">
        <v>80</v>
      </c>
      <c r="R408" s="113">
        <v>11</v>
      </c>
      <c r="S408" s="258" t="s">
        <v>1390</v>
      </c>
      <c r="T408" s="10">
        <f t="shared" si="10"/>
        <v>1</v>
      </c>
      <c r="U408" s="260" t="s">
        <v>1391</v>
      </c>
      <c r="V408">
        <v>999</v>
      </c>
      <c r="X408" s="157" t="s">
        <v>2075</v>
      </c>
      <c r="Y408" t="b">
        <v>1</v>
      </c>
    </row>
    <row r="409" spans="1:25">
      <c r="A409" s="229" t="s">
        <v>2098</v>
      </c>
      <c r="B409" s="1" t="str">
        <f t="shared" si="11"/>
        <v>M_AEB0401_VM_KF_MACH_0.99_4000</v>
      </c>
      <c r="C409" s="7" t="s">
        <v>2097</v>
      </c>
      <c r="D409" s="7" t="str" cm="1">
        <f t="array" ref="D409">INDEX(기계코드!$D$4:$D$1022,MATCH(1,(C409=기계코드!$F$4:$F$1022)*1,0))</f>
        <v>M_AEB0401</v>
      </c>
      <c r="E409" s="7" t="s">
        <v>2073</v>
      </c>
      <c r="F409" s="7" t="str" cm="1">
        <f t="array" ref="F409">INDEX(공급업체코드!$B$3:$B$1000,MATCH(1,(E409=공급업체코드!$D$3:$D$1000)*1,0))</f>
        <v>VM_KF_MACH</v>
      </c>
      <c r="G409" s="158" t="s">
        <v>2078</v>
      </c>
      <c r="I409" s="163">
        <v>0.99</v>
      </c>
      <c r="J409" s="160">
        <v>4000</v>
      </c>
      <c r="K409" s="164">
        <v>50</v>
      </c>
      <c r="L409" s="165">
        <v>2.016</v>
      </c>
      <c r="M409" s="7" t="s">
        <v>981</v>
      </c>
      <c r="N409" s="7">
        <v>380</v>
      </c>
      <c r="O409" s="151">
        <v>0.89500000000000002</v>
      </c>
      <c r="P409" s="7">
        <v>0.9</v>
      </c>
      <c r="Q409" s="7">
        <v>80</v>
      </c>
      <c r="R409" s="113">
        <v>11</v>
      </c>
      <c r="S409" s="258" t="s">
        <v>1390</v>
      </c>
      <c r="T409" s="10">
        <f t="shared" si="10"/>
        <v>1</v>
      </c>
      <c r="U409" s="260" t="s">
        <v>1391</v>
      </c>
      <c r="V409">
        <v>999</v>
      </c>
      <c r="X409" s="157" t="s">
        <v>2075</v>
      </c>
      <c r="Y409" t="b">
        <v>1</v>
      </c>
    </row>
    <row r="410" spans="1:25">
      <c r="A410" s="229" t="s">
        <v>2098</v>
      </c>
      <c r="B410" s="1" t="str">
        <f t="shared" si="11"/>
        <v>M_AEB0401_VM_KF_MACH_1.27_4000</v>
      </c>
      <c r="C410" s="7" t="s">
        <v>2097</v>
      </c>
      <c r="D410" s="7" t="str" cm="1">
        <f t="array" ref="D410">INDEX(기계코드!$D$4:$D$1022,MATCH(1,(C410=기계코드!$F$4:$F$1022)*1,0))</f>
        <v>M_AEB0401</v>
      </c>
      <c r="E410" s="7" t="s">
        <v>2073</v>
      </c>
      <c r="F410" s="7" t="str" cm="1">
        <f t="array" ref="F410">INDEX(공급업체코드!$B$3:$B$1000,MATCH(1,(E410=공급업체코드!$D$3:$D$1000)*1,0))</f>
        <v>VM_KF_MACH</v>
      </c>
      <c r="G410" s="158" t="s">
        <v>2078</v>
      </c>
      <c r="I410" s="166">
        <v>1.27</v>
      </c>
      <c r="J410" s="160">
        <v>4000</v>
      </c>
      <c r="K410" s="164">
        <v>50</v>
      </c>
      <c r="L410" s="165">
        <v>2.3279999999999998</v>
      </c>
      <c r="M410" s="7" t="s">
        <v>981</v>
      </c>
      <c r="N410" s="7">
        <v>380</v>
      </c>
      <c r="O410" s="151">
        <v>0.89500000000000002</v>
      </c>
      <c r="P410" s="7">
        <v>0.9</v>
      </c>
      <c r="Q410" s="7">
        <v>80</v>
      </c>
      <c r="R410" s="113">
        <v>11</v>
      </c>
      <c r="S410" s="258" t="s">
        <v>1390</v>
      </c>
      <c r="T410" s="10">
        <f t="shared" si="10"/>
        <v>1</v>
      </c>
      <c r="U410" s="260" t="s">
        <v>1391</v>
      </c>
      <c r="V410">
        <v>999</v>
      </c>
      <c r="X410" s="157" t="s">
        <v>2075</v>
      </c>
      <c r="Y410" t="b">
        <v>1</v>
      </c>
    </row>
    <row r="411" spans="1:25">
      <c r="A411" s="229" t="s">
        <v>2098</v>
      </c>
      <c r="B411" s="1" t="str">
        <f t="shared" si="11"/>
        <v>M_AEB0401_VM_KF_MACH_1.72_4000</v>
      </c>
      <c r="C411" s="7" t="s">
        <v>2097</v>
      </c>
      <c r="D411" s="7" t="str" cm="1">
        <f t="array" ref="D411">INDEX(기계코드!$D$4:$D$1022,MATCH(1,(C411=기계코드!$F$4:$F$1022)*1,0))</f>
        <v>M_AEB0401</v>
      </c>
      <c r="E411" s="7" t="s">
        <v>2073</v>
      </c>
      <c r="F411" s="7" t="str" cm="1">
        <f t="array" ref="F411">INDEX(공급업체코드!$B$3:$B$1000,MATCH(1,(E411=공급업체코드!$D$3:$D$1000)*1,0))</f>
        <v>VM_KF_MACH</v>
      </c>
      <c r="G411" s="158" t="s">
        <v>2078</v>
      </c>
      <c r="I411" s="166">
        <v>1.72</v>
      </c>
      <c r="J411" s="160">
        <v>4000</v>
      </c>
      <c r="K411" s="164">
        <v>50</v>
      </c>
      <c r="L411" s="165">
        <v>2.8919999999999999</v>
      </c>
      <c r="M411" s="7" t="s">
        <v>981</v>
      </c>
      <c r="N411" s="7">
        <v>380</v>
      </c>
      <c r="O411" s="151">
        <v>0.89500000000000002</v>
      </c>
      <c r="P411" s="7">
        <v>0.9</v>
      </c>
      <c r="Q411" s="7">
        <v>80</v>
      </c>
      <c r="R411" s="113">
        <v>11</v>
      </c>
      <c r="S411" s="258" t="s">
        <v>1390</v>
      </c>
      <c r="T411" s="10">
        <f t="shared" si="10"/>
        <v>1</v>
      </c>
      <c r="U411" s="260" t="s">
        <v>1391</v>
      </c>
      <c r="V411">
        <v>999</v>
      </c>
      <c r="X411" s="157" t="s">
        <v>2075</v>
      </c>
      <c r="Y411" t="b">
        <v>1</v>
      </c>
    </row>
    <row r="412" spans="1:25">
      <c r="A412" s="229" t="s">
        <v>2098</v>
      </c>
      <c r="B412" s="1" t="str">
        <f t="shared" si="11"/>
        <v>M_AEB0401_VM_KF_MACH_2.23_4000</v>
      </c>
      <c r="C412" s="7" t="s">
        <v>2097</v>
      </c>
      <c r="D412" s="7" t="str" cm="1">
        <f t="array" ref="D412">INDEX(기계코드!$D$4:$D$1022,MATCH(1,(C412=기계코드!$F$4:$F$1022)*1,0))</f>
        <v>M_AEB0401</v>
      </c>
      <c r="E412" s="7" t="s">
        <v>2073</v>
      </c>
      <c r="F412" s="7" t="str" cm="1">
        <f t="array" ref="F412">INDEX(공급업체코드!$B$3:$B$1000,MATCH(1,(E412=공급업체코드!$D$3:$D$1000)*1,0))</f>
        <v>VM_KF_MACH</v>
      </c>
      <c r="G412" s="158" t="s">
        <v>2078</v>
      </c>
      <c r="I412" s="166">
        <v>2.23</v>
      </c>
      <c r="J412" s="160">
        <v>4000</v>
      </c>
      <c r="K412" s="164">
        <v>50</v>
      </c>
      <c r="L412" s="165">
        <v>3.5760000000000001</v>
      </c>
      <c r="M412" s="7" t="s">
        <v>981</v>
      </c>
      <c r="N412" s="7">
        <v>380</v>
      </c>
      <c r="O412" s="151">
        <v>0.89500000000000002</v>
      </c>
      <c r="P412" s="7">
        <v>0.9</v>
      </c>
      <c r="Q412" s="7">
        <v>80</v>
      </c>
      <c r="R412" s="113">
        <v>11</v>
      </c>
      <c r="S412" s="258" t="s">
        <v>1390</v>
      </c>
      <c r="T412" s="10">
        <f t="shared" si="10"/>
        <v>1</v>
      </c>
      <c r="U412" s="260" t="s">
        <v>1391</v>
      </c>
      <c r="V412">
        <v>999</v>
      </c>
      <c r="X412" s="157" t="s">
        <v>2075</v>
      </c>
      <c r="Y412" t="b">
        <v>1</v>
      </c>
    </row>
    <row r="413" spans="1:25">
      <c r="A413" s="229" t="s">
        <v>2098</v>
      </c>
      <c r="B413" s="1" t="str">
        <f t="shared" si="11"/>
        <v>M_AEB0401_VM_KF_MACH_0.86_5000</v>
      </c>
      <c r="C413" s="7" t="s">
        <v>2097</v>
      </c>
      <c r="D413" s="7" t="str" cm="1">
        <f t="array" ref="D413">INDEX(기계코드!$D$4:$D$1022,MATCH(1,(C413=기계코드!$F$4:$F$1022)*1,0))</f>
        <v>M_AEB0401</v>
      </c>
      <c r="E413" s="7" t="s">
        <v>2073</v>
      </c>
      <c r="F413" s="7" t="str" cm="1">
        <f t="array" ref="F413">INDEX(공급업체코드!$B$3:$B$1000,MATCH(1,(E413=공급업체코드!$D$3:$D$1000)*1,0))</f>
        <v>VM_KF_MACH</v>
      </c>
      <c r="G413" s="158" t="s">
        <v>2078</v>
      </c>
      <c r="I413" s="166">
        <v>0.86</v>
      </c>
      <c r="J413" s="160">
        <v>5000</v>
      </c>
      <c r="K413" s="164">
        <v>50</v>
      </c>
      <c r="L413" s="165">
        <v>2.4239999999999999</v>
      </c>
      <c r="M413" s="7" t="s">
        <v>981</v>
      </c>
      <c r="N413" s="7">
        <v>380</v>
      </c>
      <c r="O413" s="151">
        <v>0.89500000000000002</v>
      </c>
      <c r="P413" s="7">
        <v>0.9</v>
      </c>
      <c r="Q413" s="7">
        <v>80</v>
      </c>
      <c r="R413" s="113">
        <v>11</v>
      </c>
      <c r="S413" s="258" t="s">
        <v>1390</v>
      </c>
      <c r="T413" s="10">
        <f t="shared" si="10"/>
        <v>1</v>
      </c>
      <c r="U413" s="260" t="s">
        <v>1391</v>
      </c>
      <c r="V413">
        <v>999</v>
      </c>
      <c r="X413" s="157" t="s">
        <v>2075</v>
      </c>
      <c r="Y413" t="b">
        <v>1</v>
      </c>
    </row>
    <row r="414" spans="1:25">
      <c r="A414" s="229" t="s">
        <v>2098</v>
      </c>
      <c r="B414" s="1" t="str">
        <f t="shared" si="11"/>
        <v>M_AEB0401_VM_KF_MACH_1.12_5000</v>
      </c>
      <c r="C414" s="7" t="s">
        <v>2097</v>
      </c>
      <c r="D414" s="7" t="str" cm="1">
        <f t="array" ref="D414">INDEX(기계코드!$D$4:$D$1022,MATCH(1,(C414=기계코드!$F$4:$F$1022)*1,0))</f>
        <v>M_AEB0401</v>
      </c>
      <c r="E414" s="7" t="s">
        <v>2073</v>
      </c>
      <c r="F414" s="7" t="str" cm="1">
        <f t="array" ref="F414">INDEX(공급업체코드!$B$3:$B$1000,MATCH(1,(E414=공급업체코드!$D$3:$D$1000)*1,0))</f>
        <v>VM_KF_MACH</v>
      </c>
      <c r="G414" s="158" t="s">
        <v>2078</v>
      </c>
      <c r="I414" s="166">
        <v>1.1200000000000001</v>
      </c>
      <c r="J414" s="160">
        <v>5000</v>
      </c>
      <c r="K414" s="164">
        <v>50</v>
      </c>
      <c r="L414" s="165">
        <v>2.7719999999999998</v>
      </c>
      <c r="M414" s="7" t="s">
        <v>981</v>
      </c>
      <c r="N414" s="7">
        <v>380</v>
      </c>
      <c r="O414" s="151">
        <v>0.89500000000000002</v>
      </c>
      <c r="P414" s="7">
        <v>0.9</v>
      </c>
      <c r="Q414" s="7">
        <v>80</v>
      </c>
      <c r="R414" s="113">
        <v>11</v>
      </c>
      <c r="S414" s="258" t="s">
        <v>1390</v>
      </c>
      <c r="T414" s="10">
        <f t="shared" si="10"/>
        <v>1</v>
      </c>
      <c r="U414" s="260" t="s">
        <v>1391</v>
      </c>
      <c r="V414">
        <v>999</v>
      </c>
      <c r="X414" s="157" t="s">
        <v>2075</v>
      </c>
      <c r="Y414" t="b">
        <v>1</v>
      </c>
    </row>
    <row r="415" spans="1:25">
      <c r="A415" s="229" t="s">
        <v>2098</v>
      </c>
      <c r="B415" s="1" t="str">
        <f t="shared" si="11"/>
        <v>M_AEB0401_VM_KF_MACH_1.57_5000</v>
      </c>
      <c r="C415" s="7" t="s">
        <v>2097</v>
      </c>
      <c r="D415" s="7" t="str" cm="1">
        <f t="array" ref="D415">INDEX(기계코드!$D$4:$D$1022,MATCH(1,(C415=기계코드!$F$4:$F$1022)*1,0))</f>
        <v>M_AEB0401</v>
      </c>
      <c r="E415" s="7" t="s">
        <v>2073</v>
      </c>
      <c r="F415" s="7" t="str" cm="1">
        <f t="array" ref="F415">INDEX(공급업체코드!$B$3:$B$1000,MATCH(1,(E415=공급업체코드!$D$3:$D$1000)*1,0))</f>
        <v>VM_KF_MACH</v>
      </c>
      <c r="G415" s="158" t="s">
        <v>2078</v>
      </c>
      <c r="I415" s="166">
        <v>1.57</v>
      </c>
      <c r="J415" s="160">
        <v>5000</v>
      </c>
      <c r="K415" s="164">
        <v>50</v>
      </c>
      <c r="L415" s="165">
        <v>3.456</v>
      </c>
      <c r="M415" s="7" t="s">
        <v>981</v>
      </c>
      <c r="N415" s="7">
        <v>380</v>
      </c>
      <c r="O415" s="151">
        <v>0.89500000000000002</v>
      </c>
      <c r="P415" s="7">
        <v>0.9</v>
      </c>
      <c r="Q415" s="7">
        <v>80</v>
      </c>
      <c r="R415" s="113">
        <v>11</v>
      </c>
      <c r="S415" s="258" t="s">
        <v>1390</v>
      </c>
      <c r="T415" s="10">
        <f t="shared" si="10"/>
        <v>1</v>
      </c>
      <c r="U415" s="260" t="s">
        <v>1391</v>
      </c>
      <c r="V415">
        <v>999</v>
      </c>
      <c r="X415" s="157" t="s">
        <v>2075</v>
      </c>
      <c r="Y415" t="b">
        <v>1</v>
      </c>
    </row>
    <row r="416" spans="1:25">
      <c r="A416" s="229" t="s">
        <v>2098</v>
      </c>
      <c r="B416" s="1" t="str">
        <f t="shared" si="11"/>
        <v>M_AEB0401_VM_KF_MACH_2.05_5000</v>
      </c>
      <c r="C416" s="7" t="s">
        <v>2097</v>
      </c>
      <c r="D416" s="7" t="str" cm="1">
        <f t="array" ref="D416">INDEX(기계코드!$D$4:$D$1022,MATCH(1,(C416=기계코드!$F$4:$F$1022)*1,0))</f>
        <v>M_AEB0401</v>
      </c>
      <c r="E416" s="7" t="s">
        <v>2073</v>
      </c>
      <c r="F416" s="7" t="str" cm="1">
        <f t="array" ref="F416">INDEX(공급업체코드!$B$3:$B$1000,MATCH(1,(E416=공급업체코드!$D$3:$D$1000)*1,0))</f>
        <v>VM_KF_MACH</v>
      </c>
      <c r="G416" s="158" t="s">
        <v>2078</v>
      </c>
      <c r="I416" s="166">
        <v>2.0499999999999998</v>
      </c>
      <c r="J416" s="160">
        <v>5000</v>
      </c>
      <c r="K416" s="164">
        <v>50</v>
      </c>
      <c r="L416" s="165">
        <v>4.2839999999999998</v>
      </c>
      <c r="M416" s="7" t="s">
        <v>981</v>
      </c>
      <c r="N416" s="7">
        <v>380</v>
      </c>
      <c r="O416" s="151">
        <v>0.91700000000000004</v>
      </c>
      <c r="P416" s="7">
        <v>0.9</v>
      </c>
      <c r="Q416" s="7">
        <v>80</v>
      </c>
      <c r="R416" s="113">
        <v>11</v>
      </c>
      <c r="S416" s="258" t="s">
        <v>1390</v>
      </c>
      <c r="T416" s="10">
        <f t="shared" si="10"/>
        <v>1</v>
      </c>
      <c r="U416" s="260" t="s">
        <v>1391</v>
      </c>
      <c r="V416">
        <v>999</v>
      </c>
      <c r="X416" s="157" t="s">
        <v>2075</v>
      </c>
      <c r="Y416" t="b">
        <v>1</v>
      </c>
    </row>
    <row r="417" spans="1:25">
      <c r="A417" s="229" t="s">
        <v>2098</v>
      </c>
      <c r="B417" s="1" t="str">
        <f t="shared" si="11"/>
        <v>M_AEB0401_VM_KF_MACH_0.72_6000</v>
      </c>
      <c r="C417" s="7" t="s">
        <v>2097</v>
      </c>
      <c r="D417" s="7" t="str" cm="1">
        <f t="array" ref="D417">INDEX(기계코드!$D$4:$D$1022,MATCH(1,(C417=기계코드!$F$4:$F$1022)*1,0))</f>
        <v>M_AEB0401</v>
      </c>
      <c r="E417" s="7" t="s">
        <v>2073</v>
      </c>
      <c r="F417" s="7" t="str" cm="1">
        <f t="array" ref="F417">INDEX(공급업체코드!$B$3:$B$1000,MATCH(1,(E417=공급업체코드!$D$3:$D$1000)*1,0))</f>
        <v>VM_KF_MACH</v>
      </c>
      <c r="G417" s="158" t="s">
        <v>2078</v>
      </c>
      <c r="I417" s="166">
        <v>0.72</v>
      </c>
      <c r="J417" s="160">
        <v>6000</v>
      </c>
      <c r="K417" s="164">
        <v>50</v>
      </c>
      <c r="L417" s="165">
        <v>2.7839999999999998</v>
      </c>
      <c r="M417" s="7" t="s">
        <v>981</v>
      </c>
      <c r="N417" s="7">
        <v>380</v>
      </c>
      <c r="O417" s="151">
        <v>0.89500000000000002</v>
      </c>
      <c r="P417" s="7">
        <v>0.9</v>
      </c>
      <c r="Q417" s="7">
        <v>80</v>
      </c>
      <c r="R417" s="113">
        <v>11</v>
      </c>
      <c r="S417" s="258" t="s">
        <v>1390</v>
      </c>
      <c r="T417" s="10">
        <f t="shared" si="10"/>
        <v>1</v>
      </c>
      <c r="U417" s="260" t="s">
        <v>1391</v>
      </c>
      <c r="V417">
        <v>999</v>
      </c>
      <c r="X417" s="157" t="s">
        <v>2075</v>
      </c>
      <c r="Y417" t="b">
        <v>1</v>
      </c>
    </row>
    <row r="418" spans="1:25">
      <c r="A418" s="229" t="s">
        <v>2098</v>
      </c>
      <c r="B418" s="1" t="str">
        <f t="shared" si="11"/>
        <v>M_AEB0401_VM_KF_MACH_1_6000</v>
      </c>
      <c r="C418" s="7" t="s">
        <v>2097</v>
      </c>
      <c r="D418" s="7" t="str" cm="1">
        <f t="array" ref="D418">INDEX(기계코드!$D$4:$D$1022,MATCH(1,(C418=기계코드!$F$4:$F$1022)*1,0))</f>
        <v>M_AEB0401</v>
      </c>
      <c r="E418" s="7" t="s">
        <v>2073</v>
      </c>
      <c r="F418" s="7" t="str" cm="1">
        <f t="array" ref="F418">INDEX(공급업체코드!$B$3:$B$1000,MATCH(1,(E418=공급업체코드!$D$3:$D$1000)*1,0))</f>
        <v>VM_KF_MACH</v>
      </c>
      <c r="G418" s="158" t="s">
        <v>2078</v>
      </c>
      <c r="I418" s="166">
        <v>1</v>
      </c>
      <c r="J418" s="160">
        <v>6000</v>
      </c>
      <c r="K418" s="164">
        <v>50</v>
      </c>
      <c r="L418" s="165">
        <v>3.2160000000000002</v>
      </c>
      <c r="M418" s="7" t="s">
        <v>981</v>
      </c>
      <c r="N418" s="7">
        <v>380</v>
      </c>
      <c r="O418" s="151">
        <v>0.89500000000000002</v>
      </c>
      <c r="P418" s="7">
        <v>0.9</v>
      </c>
      <c r="Q418" s="7">
        <v>80</v>
      </c>
      <c r="R418" s="113">
        <v>11</v>
      </c>
      <c r="S418" s="258" t="s">
        <v>1390</v>
      </c>
      <c r="T418" s="10">
        <f t="shared" si="10"/>
        <v>1</v>
      </c>
      <c r="U418" s="260" t="s">
        <v>1391</v>
      </c>
      <c r="V418">
        <v>999</v>
      </c>
      <c r="X418" s="157" t="s">
        <v>2075</v>
      </c>
      <c r="Y418" t="b">
        <v>1</v>
      </c>
    </row>
    <row r="419" spans="1:25">
      <c r="A419" s="229" t="s">
        <v>2098</v>
      </c>
      <c r="B419" s="1" t="str">
        <f t="shared" si="11"/>
        <v>M_AEB0401_VM_KF_MACH_1.45_6000</v>
      </c>
      <c r="C419" s="7" t="s">
        <v>2097</v>
      </c>
      <c r="D419" s="7" t="str" cm="1">
        <f t="array" ref="D419">INDEX(기계코드!$D$4:$D$1022,MATCH(1,(C419=기계코드!$F$4:$F$1022)*1,0))</f>
        <v>M_AEB0401</v>
      </c>
      <c r="E419" s="7" t="s">
        <v>2073</v>
      </c>
      <c r="F419" s="7" t="str" cm="1">
        <f t="array" ref="F419">INDEX(공급업체코드!$B$3:$B$1000,MATCH(1,(E419=공급업체코드!$D$3:$D$1000)*1,0))</f>
        <v>VM_KF_MACH</v>
      </c>
      <c r="G419" s="158" t="s">
        <v>2078</v>
      </c>
      <c r="I419" s="166">
        <v>1.45</v>
      </c>
      <c r="J419" s="160">
        <v>6000</v>
      </c>
      <c r="K419" s="164">
        <v>50</v>
      </c>
      <c r="L419" s="165">
        <v>4.008</v>
      </c>
      <c r="M419" s="7" t="s">
        <v>981</v>
      </c>
      <c r="N419" s="7">
        <v>380</v>
      </c>
      <c r="O419" s="151">
        <v>0.91700000000000004</v>
      </c>
      <c r="P419" s="7">
        <v>0.9</v>
      </c>
      <c r="Q419" s="7">
        <v>80</v>
      </c>
      <c r="R419" s="113">
        <v>11</v>
      </c>
      <c r="S419" s="258" t="s">
        <v>1390</v>
      </c>
      <c r="T419" s="10">
        <f t="shared" si="10"/>
        <v>1</v>
      </c>
      <c r="U419" s="260" t="s">
        <v>1391</v>
      </c>
      <c r="V419">
        <v>999</v>
      </c>
      <c r="X419" s="157" t="s">
        <v>2075</v>
      </c>
      <c r="Y419" t="b">
        <v>1</v>
      </c>
    </row>
    <row r="420" spans="1:25">
      <c r="A420" s="229" t="s">
        <v>2098</v>
      </c>
      <c r="B420" s="1" t="str">
        <f t="shared" si="11"/>
        <v>M_AEB0401_VM_KF_MACH_1.91_6000</v>
      </c>
      <c r="C420" s="7" t="s">
        <v>2097</v>
      </c>
      <c r="D420" s="7" t="str" cm="1">
        <f t="array" ref="D420">INDEX(기계코드!$D$4:$D$1022,MATCH(1,(C420=기계코드!$F$4:$F$1022)*1,0))</f>
        <v>M_AEB0401</v>
      </c>
      <c r="E420" s="7" t="s">
        <v>2073</v>
      </c>
      <c r="F420" s="7" t="str" cm="1">
        <f t="array" ref="F420">INDEX(공급업체코드!$B$3:$B$1000,MATCH(1,(E420=공급업체코드!$D$3:$D$1000)*1,0))</f>
        <v>VM_KF_MACH</v>
      </c>
      <c r="G420" s="158" t="s">
        <v>2078</v>
      </c>
      <c r="I420" s="166">
        <v>1.91</v>
      </c>
      <c r="J420" s="160">
        <v>6000</v>
      </c>
      <c r="K420" s="164">
        <v>50</v>
      </c>
      <c r="L420" s="165">
        <v>4.992</v>
      </c>
      <c r="M420" s="7" t="s">
        <v>981</v>
      </c>
      <c r="N420" s="7">
        <v>380</v>
      </c>
      <c r="O420" s="151">
        <v>0.91700000000000004</v>
      </c>
      <c r="P420" s="7">
        <v>0.9</v>
      </c>
      <c r="Q420" s="7">
        <v>80</v>
      </c>
      <c r="R420" s="113">
        <v>11</v>
      </c>
      <c r="S420" s="258" t="s">
        <v>1390</v>
      </c>
      <c r="T420" s="10">
        <f t="shared" si="10"/>
        <v>1</v>
      </c>
      <c r="U420" s="260" t="s">
        <v>1391</v>
      </c>
      <c r="V420">
        <v>999</v>
      </c>
      <c r="X420" s="157" t="s">
        <v>2075</v>
      </c>
      <c r="Y420" t="b">
        <v>1</v>
      </c>
    </row>
    <row r="421" spans="1:25">
      <c r="A421" s="229" t="s">
        <v>2098</v>
      </c>
      <c r="B421" s="1" t="str">
        <f t="shared" si="11"/>
        <v>M_AEB0401_VM_KF_MACH_1.27_4000</v>
      </c>
      <c r="C421" s="7" t="s">
        <v>2097</v>
      </c>
      <c r="D421" s="7" t="str" cm="1">
        <f t="array" ref="D421">INDEX(기계코드!$D$4:$D$1022,MATCH(1,(C421=기계코드!$F$4:$F$1022)*1,0))</f>
        <v>M_AEB0401</v>
      </c>
      <c r="E421" s="7" t="s">
        <v>2073</v>
      </c>
      <c r="F421" s="7" t="str" cm="1">
        <f t="array" ref="F421">INDEX(공급업체코드!$B$3:$B$1000,MATCH(1,(E421=공급업체코드!$D$3:$D$1000)*1,0))</f>
        <v>VM_KF_MACH</v>
      </c>
      <c r="G421" s="158" t="s">
        <v>2079</v>
      </c>
      <c r="I421" s="166">
        <v>1.27</v>
      </c>
      <c r="J421" s="160">
        <v>4000</v>
      </c>
      <c r="K421" s="159">
        <v>65</v>
      </c>
      <c r="L421" s="165">
        <v>2.472</v>
      </c>
      <c r="M421" s="7" t="s">
        <v>981</v>
      </c>
      <c r="N421" s="7">
        <v>380</v>
      </c>
      <c r="O421" s="151">
        <v>0.89500000000000002</v>
      </c>
      <c r="P421" s="7">
        <v>0.9</v>
      </c>
      <c r="Q421" s="7">
        <v>80</v>
      </c>
      <c r="R421" s="113">
        <v>11</v>
      </c>
      <c r="S421" s="258" t="s">
        <v>1390</v>
      </c>
      <c r="T421" s="10">
        <f t="shared" si="10"/>
        <v>1</v>
      </c>
      <c r="U421" s="260" t="s">
        <v>1391</v>
      </c>
      <c r="V421">
        <v>999</v>
      </c>
      <c r="X421" s="157" t="s">
        <v>2075</v>
      </c>
      <c r="Y421" t="b">
        <v>1</v>
      </c>
    </row>
    <row r="422" spans="1:25">
      <c r="A422" s="229" t="s">
        <v>2098</v>
      </c>
      <c r="B422" s="1" t="str">
        <f t="shared" si="11"/>
        <v>M_AEB0401_VM_KF_MACH_1.63_4000</v>
      </c>
      <c r="C422" s="7" t="s">
        <v>2097</v>
      </c>
      <c r="D422" s="7" t="str" cm="1">
        <f t="array" ref="D422">INDEX(기계코드!$D$4:$D$1022,MATCH(1,(C422=기계코드!$F$4:$F$1022)*1,0))</f>
        <v>M_AEB0401</v>
      </c>
      <c r="E422" s="7" t="s">
        <v>2073</v>
      </c>
      <c r="F422" s="7" t="str" cm="1">
        <f t="array" ref="F422">INDEX(공급업체코드!$B$3:$B$1000,MATCH(1,(E422=공급업체코드!$D$3:$D$1000)*1,0))</f>
        <v>VM_KF_MACH</v>
      </c>
      <c r="G422" s="158" t="s">
        <v>2079</v>
      </c>
      <c r="I422" s="166">
        <v>1.63</v>
      </c>
      <c r="J422" s="160">
        <v>4000</v>
      </c>
      <c r="K422" s="159">
        <v>65</v>
      </c>
      <c r="L422" s="165">
        <v>2.9279999999999999</v>
      </c>
      <c r="M422" s="7" t="s">
        <v>981</v>
      </c>
      <c r="N422" s="7">
        <v>380</v>
      </c>
      <c r="O422" s="151">
        <v>0.89500000000000002</v>
      </c>
      <c r="P422" s="7">
        <v>0.9</v>
      </c>
      <c r="Q422" s="7">
        <v>80</v>
      </c>
      <c r="R422" s="113">
        <v>11</v>
      </c>
      <c r="S422" s="258" t="s">
        <v>1390</v>
      </c>
      <c r="T422" s="10">
        <f t="shared" si="10"/>
        <v>1</v>
      </c>
      <c r="U422" s="260" t="s">
        <v>1391</v>
      </c>
      <c r="V422">
        <v>999</v>
      </c>
      <c r="X422" s="157" t="s">
        <v>2075</v>
      </c>
      <c r="Y422" t="b">
        <v>1</v>
      </c>
    </row>
    <row r="423" spans="1:25">
      <c r="A423" s="229" t="s">
        <v>2098</v>
      </c>
      <c r="B423" s="1" t="str">
        <f t="shared" si="11"/>
        <v>M_AEB0401_VM_KF_MACH_2.25_4000</v>
      </c>
      <c r="C423" s="7" t="s">
        <v>2097</v>
      </c>
      <c r="D423" s="7" t="str" cm="1">
        <f t="array" ref="D423">INDEX(기계코드!$D$4:$D$1022,MATCH(1,(C423=기계코드!$F$4:$F$1022)*1,0))</f>
        <v>M_AEB0401</v>
      </c>
      <c r="E423" s="7" t="s">
        <v>2073</v>
      </c>
      <c r="F423" s="7" t="str" cm="1">
        <f t="array" ref="F423">INDEX(공급업체코드!$B$3:$B$1000,MATCH(1,(E423=공급업체코드!$D$3:$D$1000)*1,0))</f>
        <v>VM_KF_MACH</v>
      </c>
      <c r="G423" s="158" t="s">
        <v>2079</v>
      </c>
      <c r="I423" s="166">
        <v>2.25</v>
      </c>
      <c r="J423" s="160">
        <v>4000</v>
      </c>
      <c r="K423" s="159">
        <v>65</v>
      </c>
      <c r="L423" s="165">
        <v>3.8279999999999998</v>
      </c>
      <c r="M423" s="7" t="s">
        <v>981</v>
      </c>
      <c r="N423" s="7">
        <v>380</v>
      </c>
      <c r="O423" s="151">
        <v>0.91700000000000004</v>
      </c>
      <c r="P423" s="7">
        <v>0.9</v>
      </c>
      <c r="Q423" s="7">
        <v>80</v>
      </c>
      <c r="R423" s="113">
        <v>11</v>
      </c>
      <c r="S423" s="258" t="s">
        <v>1390</v>
      </c>
      <c r="T423" s="10">
        <f t="shared" si="10"/>
        <v>1</v>
      </c>
      <c r="U423" s="260" t="s">
        <v>1391</v>
      </c>
      <c r="V423">
        <v>999</v>
      </c>
      <c r="X423" s="157" t="s">
        <v>2075</v>
      </c>
      <c r="Y423" t="b">
        <v>1</v>
      </c>
    </row>
    <row r="424" spans="1:25">
      <c r="A424" s="229" t="s">
        <v>2098</v>
      </c>
      <c r="B424" s="1" t="str">
        <f t="shared" si="11"/>
        <v>M_AEB0401_VM_KF_MACH_2.86_4000</v>
      </c>
      <c r="C424" s="7" t="s">
        <v>2097</v>
      </c>
      <c r="D424" s="7" t="str" cm="1">
        <f t="array" ref="D424">INDEX(기계코드!$D$4:$D$1022,MATCH(1,(C424=기계코드!$F$4:$F$1022)*1,0))</f>
        <v>M_AEB0401</v>
      </c>
      <c r="E424" s="7" t="s">
        <v>2073</v>
      </c>
      <c r="F424" s="7" t="str" cm="1">
        <f t="array" ref="F424">INDEX(공급업체코드!$B$3:$B$1000,MATCH(1,(E424=공급업체코드!$D$3:$D$1000)*1,0))</f>
        <v>VM_KF_MACH</v>
      </c>
      <c r="G424" s="158" t="s">
        <v>2079</v>
      </c>
      <c r="I424" s="166">
        <v>2.86</v>
      </c>
      <c r="J424" s="160">
        <v>4000</v>
      </c>
      <c r="K424" s="159">
        <v>65</v>
      </c>
      <c r="L424" s="165">
        <v>4.6440000000000001</v>
      </c>
      <c r="M424" s="7" t="s">
        <v>981</v>
      </c>
      <c r="N424" s="7">
        <v>380</v>
      </c>
      <c r="O424" s="151">
        <v>0.91700000000000004</v>
      </c>
      <c r="P424" s="7">
        <v>0.9</v>
      </c>
      <c r="Q424" s="7">
        <v>80</v>
      </c>
      <c r="R424" s="113">
        <v>11</v>
      </c>
      <c r="S424" s="258" t="s">
        <v>1390</v>
      </c>
      <c r="T424" s="10">
        <f t="shared" si="10"/>
        <v>1</v>
      </c>
      <c r="U424" s="260" t="s">
        <v>1391</v>
      </c>
      <c r="V424">
        <v>999</v>
      </c>
      <c r="X424" s="157" t="s">
        <v>2075</v>
      </c>
      <c r="Y424" t="b">
        <v>1</v>
      </c>
    </row>
    <row r="425" spans="1:25">
      <c r="A425" s="229" t="s">
        <v>2098</v>
      </c>
      <c r="B425" s="1" t="str">
        <f t="shared" si="11"/>
        <v>M_AEB0401_VM_KF_MACH_1.12_5000</v>
      </c>
      <c r="C425" s="7" t="s">
        <v>2097</v>
      </c>
      <c r="D425" s="7" t="str" cm="1">
        <f t="array" ref="D425">INDEX(기계코드!$D$4:$D$1022,MATCH(1,(C425=기계코드!$F$4:$F$1022)*1,0))</f>
        <v>M_AEB0401</v>
      </c>
      <c r="E425" s="7" t="s">
        <v>2073</v>
      </c>
      <c r="F425" s="7" t="str" cm="1">
        <f t="array" ref="F425">INDEX(공급업체코드!$B$3:$B$1000,MATCH(1,(E425=공급업체코드!$D$3:$D$1000)*1,0))</f>
        <v>VM_KF_MACH</v>
      </c>
      <c r="G425" s="158" t="s">
        <v>2079</v>
      </c>
      <c r="I425" s="166">
        <v>1.1200000000000001</v>
      </c>
      <c r="J425" s="160">
        <v>5000</v>
      </c>
      <c r="K425" s="159">
        <v>65</v>
      </c>
      <c r="L425" s="165">
        <v>2.8679999999999999</v>
      </c>
      <c r="M425" s="7" t="s">
        <v>981</v>
      </c>
      <c r="N425" s="7">
        <v>380</v>
      </c>
      <c r="O425" s="151">
        <v>0.89500000000000002</v>
      </c>
      <c r="P425" s="7">
        <v>0.9</v>
      </c>
      <c r="Q425" s="7">
        <v>80</v>
      </c>
      <c r="R425" s="113">
        <v>11</v>
      </c>
      <c r="S425" s="258" t="s">
        <v>1390</v>
      </c>
      <c r="T425" s="10">
        <f t="shared" si="10"/>
        <v>1</v>
      </c>
      <c r="U425" s="260" t="s">
        <v>1391</v>
      </c>
      <c r="V425">
        <v>999</v>
      </c>
      <c r="X425" s="157" t="s">
        <v>2075</v>
      </c>
      <c r="Y425" t="b">
        <v>1</v>
      </c>
    </row>
    <row r="426" spans="1:25">
      <c r="A426" s="229" t="s">
        <v>2098</v>
      </c>
      <c r="B426" s="1" t="str">
        <f t="shared" si="11"/>
        <v>M_AEB0401_VM_KF_MACH_1.46_5000</v>
      </c>
      <c r="C426" s="7" t="s">
        <v>2097</v>
      </c>
      <c r="D426" s="7" t="str" cm="1">
        <f t="array" ref="D426">INDEX(기계코드!$D$4:$D$1022,MATCH(1,(C426=기계코드!$F$4:$F$1022)*1,0))</f>
        <v>M_AEB0401</v>
      </c>
      <c r="E426" s="7" t="s">
        <v>2073</v>
      </c>
      <c r="F426" s="7" t="str" cm="1">
        <f t="array" ref="F426">INDEX(공급업체코드!$B$3:$B$1000,MATCH(1,(E426=공급업체코드!$D$3:$D$1000)*1,0))</f>
        <v>VM_KF_MACH</v>
      </c>
      <c r="G426" s="158" t="s">
        <v>2079</v>
      </c>
      <c r="I426" s="166">
        <v>1.46</v>
      </c>
      <c r="J426" s="160">
        <v>5000</v>
      </c>
      <c r="K426" s="159">
        <v>65</v>
      </c>
      <c r="L426" s="165">
        <v>3.4319999999999999</v>
      </c>
      <c r="M426" s="7" t="s">
        <v>981</v>
      </c>
      <c r="N426" s="7">
        <v>380</v>
      </c>
      <c r="O426" s="151">
        <v>0.89500000000000002</v>
      </c>
      <c r="P426" s="7">
        <v>0.9</v>
      </c>
      <c r="Q426" s="7">
        <v>80</v>
      </c>
      <c r="R426" s="113">
        <v>11</v>
      </c>
      <c r="S426" s="258" t="s">
        <v>1390</v>
      </c>
      <c r="T426" s="10">
        <f t="shared" si="10"/>
        <v>1</v>
      </c>
      <c r="U426" s="260" t="s">
        <v>1391</v>
      </c>
      <c r="V426">
        <v>999</v>
      </c>
      <c r="X426" s="157" t="s">
        <v>2075</v>
      </c>
      <c r="Y426" t="b">
        <v>1</v>
      </c>
    </row>
    <row r="427" spans="1:25">
      <c r="A427" s="229" t="s">
        <v>2098</v>
      </c>
      <c r="B427" s="1" t="str">
        <f t="shared" si="11"/>
        <v>M_AEB0401_VM_KF_MACH_20.7_5000</v>
      </c>
      <c r="C427" s="7" t="s">
        <v>2097</v>
      </c>
      <c r="D427" s="7" t="str" cm="1">
        <f t="array" ref="D427">INDEX(기계코드!$D$4:$D$1022,MATCH(1,(C427=기계코드!$F$4:$F$1022)*1,0))</f>
        <v>M_AEB0401</v>
      </c>
      <c r="E427" s="7" t="s">
        <v>2073</v>
      </c>
      <c r="F427" s="7" t="str" cm="1">
        <f t="array" ref="F427">INDEX(공급업체코드!$B$3:$B$1000,MATCH(1,(E427=공급업체코드!$D$3:$D$1000)*1,0))</f>
        <v>VM_KF_MACH</v>
      </c>
      <c r="G427" s="158" t="s">
        <v>2079</v>
      </c>
      <c r="I427" s="166">
        <v>20.7</v>
      </c>
      <c r="J427" s="160">
        <v>5000</v>
      </c>
      <c r="K427" s="159">
        <v>65</v>
      </c>
      <c r="L427" s="165">
        <v>4.62</v>
      </c>
      <c r="M427" s="7" t="s">
        <v>981</v>
      </c>
      <c r="N427" s="7">
        <v>380</v>
      </c>
      <c r="O427" s="151">
        <v>0.91700000000000004</v>
      </c>
      <c r="P427" s="7">
        <v>0.9</v>
      </c>
      <c r="Q427" s="7">
        <v>80</v>
      </c>
      <c r="R427" s="113">
        <v>11</v>
      </c>
      <c r="S427" s="258" t="s">
        <v>1390</v>
      </c>
      <c r="T427" s="10">
        <f t="shared" si="10"/>
        <v>1</v>
      </c>
      <c r="U427" s="260" t="s">
        <v>1391</v>
      </c>
      <c r="V427">
        <v>999</v>
      </c>
      <c r="X427" s="157" t="s">
        <v>2075</v>
      </c>
      <c r="Y427" t="b">
        <v>1</v>
      </c>
    </row>
    <row r="428" spans="1:25">
      <c r="A428" s="229" t="s">
        <v>2098</v>
      </c>
      <c r="B428" s="1" t="str">
        <f t="shared" si="11"/>
        <v>M_AEB0401_VM_KF_MACH_2.64_5000</v>
      </c>
      <c r="C428" s="7" t="s">
        <v>2097</v>
      </c>
      <c r="D428" s="7" t="str" cm="1">
        <f t="array" ref="D428">INDEX(기계코드!$D$4:$D$1022,MATCH(1,(C428=기계코드!$F$4:$F$1022)*1,0))</f>
        <v>M_AEB0401</v>
      </c>
      <c r="E428" s="7" t="s">
        <v>2073</v>
      </c>
      <c r="F428" s="7" t="str" cm="1">
        <f t="array" ref="F428">INDEX(공급업체코드!$B$3:$B$1000,MATCH(1,(E428=공급업체코드!$D$3:$D$1000)*1,0))</f>
        <v>VM_KF_MACH</v>
      </c>
      <c r="G428" s="158" t="s">
        <v>2079</v>
      </c>
      <c r="I428" s="166">
        <v>2.64</v>
      </c>
      <c r="J428" s="160">
        <v>5000</v>
      </c>
      <c r="K428" s="159">
        <v>65</v>
      </c>
      <c r="L428" s="165">
        <v>5.6159999999999997</v>
      </c>
      <c r="M428" s="7" t="s">
        <v>981</v>
      </c>
      <c r="N428" s="7">
        <v>380</v>
      </c>
      <c r="O428" s="151">
        <v>0.91700000000000004</v>
      </c>
      <c r="P428" s="7">
        <v>0.9</v>
      </c>
      <c r="Q428" s="7">
        <v>80</v>
      </c>
      <c r="R428" s="113">
        <v>11</v>
      </c>
      <c r="S428" s="258" t="s">
        <v>1390</v>
      </c>
      <c r="T428" s="10">
        <f t="shared" si="10"/>
        <v>1</v>
      </c>
      <c r="U428" s="260" t="s">
        <v>1391</v>
      </c>
      <c r="V428">
        <v>999</v>
      </c>
      <c r="X428" s="157" t="s">
        <v>2075</v>
      </c>
      <c r="Y428" t="b">
        <v>1</v>
      </c>
    </row>
    <row r="429" spans="1:25">
      <c r="A429" s="229" t="s">
        <v>2098</v>
      </c>
      <c r="B429" s="1" t="str">
        <f t="shared" si="11"/>
        <v>M_AEB0401_VM_KF_MACH_0.96_6000</v>
      </c>
      <c r="C429" s="7" t="s">
        <v>2097</v>
      </c>
      <c r="D429" s="7" t="str" cm="1">
        <f t="array" ref="D429">INDEX(기계코드!$D$4:$D$1022,MATCH(1,(C429=기계코드!$F$4:$F$1022)*1,0))</f>
        <v>M_AEB0401</v>
      </c>
      <c r="E429" s="7" t="s">
        <v>2073</v>
      </c>
      <c r="F429" s="7" t="str" cm="1">
        <f t="array" ref="F429">INDEX(공급업체코드!$B$3:$B$1000,MATCH(1,(E429=공급업체코드!$D$3:$D$1000)*1,0))</f>
        <v>VM_KF_MACH</v>
      </c>
      <c r="G429" s="158" t="s">
        <v>2079</v>
      </c>
      <c r="I429" s="166">
        <v>0.96</v>
      </c>
      <c r="J429" s="160">
        <v>6000</v>
      </c>
      <c r="K429" s="159">
        <v>65</v>
      </c>
      <c r="L429" s="165">
        <v>3.1559999999999997</v>
      </c>
      <c r="M429" s="7" t="s">
        <v>981</v>
      </c>
      <c r="N429" s="7">
        <v>380</v>
      </c>
      <c r="O429" s="151">
        <v>0.89500000000000002</v>
      </c>
      <c r="P429" s="7">
        <v>0.9</v>
      </c>
      <c r="Q429" s="7">
        <v>80</v>
      </c>
      <c r="R429" s="113">
        <v>11</v>
      </c>
      <c r="S429" s="258" t="s">
        <v>1390</v>
      </c>
      <c r="T429" s="10">
        <f t="shared" si="10"/>
        <v>1</v>
      </c>
      <c r="U429" s="260" t="s">
        <v>1391</v>
      </c>
      <c r="V429">
        <v>999</v>
      </c>
      <c r="X429" s="157" t="s">
        <v>2075</v>
      </c>
      <c r="Y429" t="b">
        <v>1</v>
      </c>
    </row>
    <row r="430" spans="1:25">
      <c r="A430" s="229" t="s">
        <v>2098</v>
      </c>
      <c r="B430" s="1" t="str">
        <f t="shared" si="11"/>
        <v>M_AEB0401_VM_KF_MACH_1.34_6000</v>
      </c>
      <c r="C430" s="7" t="s">
        <v>2097</v>
      </c>
      <c r="D430" s="7" t="str" cm="1">
        <f t="array" ref="D430">INDEX(기계코드!$D$4:$D$1022,MATCH(1,(C430=기계코드!$F$4:$F$1022)*1,0))</f>
        <v>M_AEB0401</v>
      </c>
      <c r="E430" s="7" t="s">
        <v>2073</v>
      </c>
      <c r="F430" s="7" t="str" cm="1">
        <f t="array" ref="F430">INDEX(공급업체코드!$B$3:$B$1000,MATCH(1,(E430=공급업체코드!$D$3:$D$1000)*1,0))</f>
        <v>VM_KF_MACH</v>
      </c>
      <c r="G430" s="158" t="s">
        <v>2079</v>
      </c>
      <c r="I430" s="166">
        <v>1.34</v>
      </c>
      <c r="J430" s="160">
        <v>6000</v>
      </c>
      <c r="K430" s="159">
        <v>65</v>
      </c>
      <c r="L430" s="165">
        <v>4.032</v>
      </c>
      <c r="M430" s="7" t="s">
        <v>981</v>
      </c>
      <c r="N430" s="7">
        <v>380</v>
      </c>
      <c r="O430" s="151">
        <v>0.91700000000000004</v>
      </c>
      <c r="P430" s="7">
        <v>0.9</v>
      </c>
      <c r="Q430" s="7">
        <v>80</v>
      </c>
      <c r="R430" s="113">
        <v>11</v>
      </c>
      <c r="S430" s="258" t="s">
        <v>1390</v>
      </c>
      <c r="T430" s="10">
        <f t="shared" si="10"/>
        <v>1</v>
      </c>
      <c r="U430" s="260" t="s">
        <v>1391</v>
      </c>
      <c r="V430">
        <v>999</v>
      </c>
      <c r="X430" s="157" t="s">
        <v>2075</v>
      </c>
      <c r="Y430" t="b">
        <v>1</v>
      </c>
    </row>
    <row r="431" spans="1:25">
      <c r="A431" s="229" t="s">
        <v>2098</v>
      </c>
      <c r="B431" s="1" t="str">
        <f t="shared" si="11"/>
        <v>M_AEB0401_VM_KF_MACH_1.92_6000</v>
      </c>
      <c r="C431" s="7" t="s">
        <v>2097</v>
      </c>
      <c r="D431" s="7" t="str" cm="1">
        <f t="array" ref="D431">INDEX(기계코드!$D$4:$D$1022,MATCH(1,(C431=기계코드!$F$4:$F$1022)*1,0))</f>
        <v>M_AEB0401</v>
      </c>
      <c r="E431" s="7" t="s">
        <v>2073</v>
      </c>
      <c r="F431" s="7" t="str" cm="1">
        <f t="array" ref="F431">INDEX(공급업체코드!$B$3:$B$1000,MATCH(1,(E431=공급업체코드!$D$3:$D$1000)*1,0))</f>
        <v>VM_KF_MACH</v>
      </c>
      <c r="G431" s="158" t="s">
        <v>2079</v>
      </c>
      <c r="I431" s="166">
        <v>1.92</v>
      </c>
      <c r="J431" s="160">
        <v>6000</v>
      </c>
      <c r="K431" s="159">
        <v>65</v>
      </c>
      <c r="L431" s="165">
        <v>5.52</v>
      </c>
      <c r="M431" s="7" t="s">
        <v>981</v>
      </c>
      <c r="N431" s="7">
        <v>380</v>
      </c>
      <c r="O431" s="151">
        <v>0.91700000000000004</v>
      </c>
      <c r="P431" s="7">
        <v>0.9</v>
      </c>
      <c r="Q431" s="7">
        <v>80</v>
      </c>
      <c r="R431" s="113">
        <v>11</v>
      </c>
      <c r="S431" s="258" t="s">
        <v>1390</v>
      </c>
      <c r="T431" s="10">
        <f t="shared" si="10"/>
        <v>1</v>
      </c>
      <c r="U431" s="260" t="s">
        <v>1391</v>
      </c>
      <c r="V431">
        <v>999</v>
      </c>
      <c r="X431" s="157" t="s">
        <v>2075</v>
      </c>
      <c r="Y431" t="b">
        <v>1</v>
      </c>
    </row>
    <row r="432" spans="1:25">
      <c r="A432" s="229" t="s">
        <v>2098</v>
      </c>
      <c r="B432" s="1" t="str">
        <f t="shared" si="11"/>
        <v>M_AEB0401_VM_KF_MACH_2.48_6000</v>
      </c>
      <c r="C432" s="7" t="s">
        <v>2097</v>
      </c>
      <c r="D432" s="7" t="str" cm="1">
        <f t="array" ref="D432">INDEX(기계코드!$D$4:$D$1022,MATCH(1,(C432=기계코드!$F$4:$F$1022)*1,0))</f>
        <v>M_AEB0401</v>
      </c>
      <c r="E432" s="7" t="s">
        <v>2073</v>
      </c>
      <c r="F432" s="7" t="str" cm="1">
        <f t="array" ref="F432">INDEX(공급업체코드!$B$3:$B$1000,MATCH(1,(E432=공급업체코드!$D$3:$D$1000)*1,0))</f>
        <v>VM_KF_MACH</v>
      </c>
      <c r="G432" s="158" t="s">
        <v>2079</v>
      </c>
      <c r="I432" s="166">
        <v>2.48</v>
      </c>
      <c r="J432" s="160">
        <v>6000</v>
      </c>
      <c r="K432" s="159">
        <v>65</v>
      </c>
      <c r="L432" s="165">
        <v>6.78</v>
      </c>
      <c r="M432" s="7" t="s">
        <v>981</v>
      </c>
      <c r="N432" s="7">
        <v>380</v>
      </c>
      <c r="O432" s="151">
        <v>0.91700000000000004</v>
      </c>
      <c r="P432" s="7">
        <v>0.9</v>
      </c>
      <c r="Q432" s="7">
        <v>80</v>
      </c>
      <c r="R432" s="113">
        <v>11</v>
      </c>
      <c r="S432" s="258" t="s">
        <v>1390</v>
      </c>
      <c r="T432" s="10">
        <f t="shared" si="10"/>
        <v>1</v>
      </c>
      <c r="U432" s="260" t="s">
        <v>1391</v>
      </c>
      <c r="V432">
        <v>999</v>
      </c>
      <c r="X432" s="157" t="s">
        <v>2075</v>
      </c>
      <c r="Y432" t="b">
        <v>1</v>
      </c>
    </row>
    <row r="433" spans="1:25">
      <c r="A433" s="229" t="s">
        <v>2098</v>
      </c>
      <c r="B433" s="1" t="str">
        <f t="shared" si="11"/>
        <v>M_AEB0401_VM_KF_MACH_2.67_4000</v>
      </c>
      <c r="C433" s="7" t="s">
        <v>2097</v>
      </c>
      <c r="D433" s="7" t="str" cm="1">
        <f t="array" ref="D433">INDEX(기계코드!$D$4:$D$1022,MATCH(1,(C433=기계코드!$F$4:$F$1022)*1,0))</f>
        <v>M_AEB0401</v>
      </c>
      <c r="E433" s="7" t="s">
        <v>2073</v>
      </c>
      <c r="F433" s="7" t="str" cm="1">
        <f t="array" ref="F433">INDEX(공급업체코드!$B$3:$B$1000,MATCH(1,(E433=공급업체코드!$D$3:$D$1000)*1,0))</f>
        <v>VM_KF_MACH</v>
      </c>
      <c r="G433" s="158" t="s">
        <v>2080</v>
      </c>
      <c r="I433" s="166">
        <v>2.67</v>
      </c>
      <c r="J433" s="160">
        <v>4000</v>
      </c>
      <c r="K433" s="159">
        <v>80</v>
      </c>
      <c r="L433" s="165">
        <v>3.972</v>
      </c>
      <c r="M433" s="7" t="s">
        <v>981</v>
      </c>
      <c r="N433" s="7">
        <v>380</v>
      </c>
      <c r="O433" s="151">
        <v>0.91700000000000004</v>
      </c>
      <c r="P433" s="7">
        <v>0.9</v>
      </c>
      <c r="Q433" s="7">
        <v>80</v>
      </c>
      <c r="R433" s="113">
        <v>11</v>
      </c>
      <c r="S433" s="258" t="s">
        <v>1390</v>
      </c>
      <c r="T433" s="10">
        <f t="shared" si="10"/>
        <v>1</v>
      </c>
      <c r="U433" s="260" t="s">
        <v>1391</v>
      </c>
      <c r="V433">
        <v>999</v>
      </c>
      <c r="X433" s="157" t="s">
        <v>2075</v>
      </c>
      <c r="Y433" t="b">
        <v>1</v>
      </c>
    </row>
    <row r="434" spans="1:25">
      <c r="A434" s="229" t="s">
        <v>2098</v>
      </c>
      <c r="B434" s="1" t="str">
        <f t="shared" si="11"/>
        <v>M_AEB0401_VM_KF_MACH_4.04_4000</v>
      </c>
      <c r="C434" s="7" t="s">
        <v>2097</v>
      </c>
      <c r="D434" s="7" t="str" cm="1">
        <f t="array" ref="D434">INDEX(기계코드!$D$4:$D$1022,MATCH(1,(C434=기계코드!$F$4:$F$1022)*1,0))</f>
        <v>M_AEB0401</v>
      </c>
      <c r="E434" s="7" t="s">
        <v>2073</v>
      </c>
      <c r="F434" s="7" t="str" cm="1">
        <f t="array" ref="F434">INDEX(공급업체코드!$B$3:$B$1000,MATCH(1,(E434=공급업체코드!$D$3:$D$1000)*1,0))</f>
        <v>VM_KF_MACH</v>
      </c>
      <c r="G434" s="158" t="s">
        <v>2080</v>
      </c>
      <c r="I434" s="166">
        <v>4.04</v>
      </c>
      <c r="J434" s="160">
        <v>4000</v>
      </c>
      <c r="K434" s="159">
        <v>80</v>
      </c>
      <c r="L434" s="165">
        <v>5.3999999999999995</v>
      </c>
      <c r="M434" s="7" t="s">
        <v>981</v>
      </c>
      <c r="N434" s="7">
        <v>380</v>
      </c>
      <c r="O434" s="151">
        <v>0.91700000000000004</v>
      </c>
      <c r="P434" s="7">
        <v>0.9</v>
      </c>
      <c r="Q434" s="7">
        <v>80</v>
      </c>
      <c r="R434" s="113">
        <v>11</v>
      </c>
      <c r="S434" s="258" t="s">
        <v>1390</v>
      </c>
      <c r="T434" s="10">
        <f t="shared" si="10"/>
        <v>1</v>
      </c>
      <c r="U434" s="260" t="s">
        <v>1391</v>
      </c>
      <c r="V434">
        <v>999</v>
      </c>
      <c r="X434" s="157" t="s">
        <v>2075</v>
      </c>
      <c r="Y434" t="b">
        <v>1</v>
      </c>
    </row>
    <row r="435" spans="1:25">
      <c r="A435" s="229" t="s">
        <v>2098</v>
      </c>
      <c r="B435" s="1" t="str">
        <f t="shared" si="11"/>
        <v>M_AEB0401_VM_KF_MACH_5.41_4000</v>
      </c>
      <c r="C435" s="7" t="s">
        <v>2097</v>
      </c>
      <c r="D435" s="7" t="str" cm="1">
        <f t="array" ref="D435">INDEX(기계코드!$D$4:$D$1022,MATCH(1,(C435=기계코드!$F$4:$F$1022)*1,0))</f>
        <v>M_AEB0401</v>
      </c>
      <c r="E435" s="7" t="s">
        <v>2073</v>
      </c>
      <c r="F435" s="7" t="str" cm="1">
        <f t="array" ref="F435">INDEX(공급업체코드!$B$3:$B$1000,MATCH(1,(E435=공급업체코드!$D$3:$D$1000)*1,0))</f>
        <v>VM_KF_MACH</v>
      </c>
      <c r="G435" s="158" t="s">
        <v>2080</v>
      </c>
      <c r="I435" s="166">
        <v>5.41</v>
      </c>
      <c r="J435" s="160">
        <v>4000</v>
      </c>
      <c r="K435" s="159">
        <v>80</v>
      </c>
      <c r="L435" s="165">
        <v>6.6599999999999993</v>
      </c>
      <c r="M435" s="7" t="s">
        <v>981</v>
      </c>
      <c r="N435" s="7">
        <v>380</v>
      </c>
      <c r="O435" s="151">
        <v>0.91700000000000004</v>
      </c>
      <c r="P435" s="7">
        <v>0.9</v>
      </c>
      <c r="Q435" s="7">
        <v>80</v>
      </c>
      <c r="R435" s="113">
        <v>11</v>
      </c>
      <c r="S435" s="258" t="s">
        <v>1390</v>
      </c>
      <c r="T435" s="10">
        <f t="shared" si="10"/>
        <v>1</v>
      </c>
      <c r="U435" s="260" t="s">
        <v>1391</v>
      </c>
      <c r="V435">
        <v>999</v>
      </c>
      <c r="X435" s="157" t="s">
        <v>2075</v>
      </c>
      <c r="Y435" t="b">
        <v>1</v>
      </c>
    </row>
    <row r="436" spans="1:25">
      <c r="A436" s="229" t="s">
        <v>2098</v>
      </c>
      <c r="B436" s="1" t="str">
        <f t="shared" si="11"/>
        <v>M_AEB0401_VM_KF_MACH_6.88_4000</v>
      </c>
      <c r="C436" s="7" t="s">
        <v>2097</v>
      </c>
      <c r="D436" s="7" t="str" cm="1">
        <f t="array" ref="D436">INDEX(기계코드!$D$4:$D$1022,MATCH(1,(C436=기계코드!$F$4:$F$1022)*1,0))</f>
        <v>M_AEB0401</v>
      </c>
      <c r="E436" s="7" t="s">
        <v>2073</v>
      </c>
      <c r="F436" s="7" t="str" cm="1">
        <f t="array" ref="F436">INDEX(공급업체코드!$B$3:$B$1000,MATCH(1,(E436=공급업체코드!$D$3:$D$1000)*1,0))</f>
        <v>VM_KF_MACH</v>
      </c>
      <c r="G436" s="158" t="s">
        <v>2080</v>
      </c>
      <c r="I436" s="166">
        <v>6.88</v>
      </c>
      <c r="J436" s="160">
        <v>4000</v>
      </c>
      <c r="K436" s="159">
        <v>80</v>
      </c>
      <c r="L436" s="165">
        <v>8.0519999999999996</v>
      </c>
      <c r="M436" s="7" t="s">
        <v>981</v>
      </c>
      <c r="N436" s="7">
        <v>380</v>
      </c>
      <c r="O436" s="151">
        <v>0.92400000000000004</v>
      </c>
      <c r="P436" s="7">
        <v>0.9</v>
      </c>
      <c r="Q436" s="7">
        <v>80</v>
      </c>
      <c r="R436" s="113">
        <v>11</v>
      </c>
      <c r="S436" s="258" t="s">
        <v>1390</v>
      </c>
      <c r="T436" s="10">
        <f t="shared" si="10"/>
        <v>1</v>
      </c>
      <c r="U436" s="260" t="s">
        <v>1391</v>
      </c>
      <c r="V436">
        <v>999</v>
      </c>
      <c r="X436" s="157" t="s">
        <v>2075</v>
      </c>
      <c r="Y436" t="b">
        <v>1</v>
      </c>
    </row>
    <row r="437" spans="1:25">
      <c r="A437" s="229" t="s">
        <v>2098</v>
      </c>
      <c r="B437" s="1" t="str">
        <f t="shared" si="11"/>
        <v>M_AEB0401_VM_KF_MACH_2.37_5000</v>
      </c>
      <c r="C437" s="7" t="s">
        <v>2097</v>
      </c>
      <c r="D437" s="7" t="str" cm="1">
        <f t="array" ref="D437">INDEX(기계코드!$D$4:$D$1022,MATCH(1,(C437=기계코드!$F$4:$F$1022)*1,0))</f>
        <v>M_AEB0401</v>
      </c>
      <c r="E437" s="7" t="s">
        <v>2073</v>
      </c>
      <c r="F437" s="7" t="str" cm="1">
        <f t="array" ref="F437">INDEX(공급업체코드!$B$3:$B$1000,MATCH(1,(E437=공급업체코드!$D$3:$D$1000)*1,0))</f>
        <v>VM_KF_MACH</v>
      </c>
      <c r="G437" s="158" t="s">
        <v>2080</v>
      </c>
      <c r="I437" s="166">
        <v>2.37</v>
      </c>
      <c r="J437" s="160">
        <v>5000</v>
      </c>
      <c r="K437" s="159">
        <v>80</v>
      </c>
      <c r="L437" s="165">
        <v>4.5119999999999996</v>
      </c>
      <c r="M437" s="7" t="s">
        <v>981</v>
      </c>
      <c r="N437" s="7">
        <v>380</v>
      </c>
      <c r="O437" s="151">
        <v>0.91700000000000004</v>
      </c>
      <c r="P437" s="7">
        <v>0.9</v>
      </c>
      <c r="Q437" s="7">
        <v>80</v>
      </c>
      <c r="R437" s="113">
        <v>11</v>
      </c>
      <c r="S437" s="258" t="s">
        <v>1390</v>
      </c>
      <c r="T437" s="10">
        <f t="shared" si="10"/>
        <v>1</v>
      </c>
      <c r="U437" s="260" t="s">
        <v>1391</v>
      </c>
      <c r="V437">
        <v>999</v>
      </c>
      <c r="X437" s="157" t="s">
        <v>2075</v>
      </c>
      <c r="Y437" t="b">
        <v>1</v>
      </c>
    </row>
    <row r="438" spans="1:25">
      <c r="A438" s="229" t="s">
        <v>2098</v>
      </c>
      <c r="B438" s="1" t="str">
        <f t="shared" si="11"/>
        <v>M_AEB0401_VM_KF_MACH_3.75_5000</v>
      </c>
      <c r="C438" s="7" t="s">
        <v>2097</v>
      </c>
      <c r="D438" s="7" t="str" cm="1">
        <f t="array" ref="D438">INDEX(기계코드!$D$4:$D$1022,MATCH(1,(C438=기계코드!$F$4:$F$1022)*1,0))</f>
        <v>M_AEB0401</v>
      </c>
      <c r="E438" s="7" t="s">
        <v>2073</v>
      </c>
      <c r="F438" s="7" t="str" cm="1">
        <f t="array" ref="F438">INDEX(공급업체코드!$B$3:$B$1000,MATCH(1,(E438=공급업체코드!$D$3:$D$1000)*1,0))</f>
        <v>VM_KF_MACH</v>
      </c>
      <c r="G438" s="158" t="s">
        <v>2080</v>
      </c>
      <c r="I438" s="166">
        <v>3.75</v>
      </c>
      <c r="J438" s="160">
        <v>5000</v>
      </c>
      <c r="K438" s="159">
        <v>80</v>
      </c>
      <c r="L438" s="165">
        <v>6.4320000000000004</v>
      </c>
      <c r="M438" s="7" t="s">
        <v>981</v>
      </c>
      <c r="N438" s="7">
        <v>380</v>
      </c>
      <c r="O438" s="151">
        <v>0.91700000000000004</v>
      </c>
      <c r="P438" s="7">
        <v>0.9</v>
      </c>
      <c r="Q438" s="7">
        <v>80</v>
      </c>
      <c r="R438" s="113">
        <v>11</v>
      </c>
      <c r="S438" s="258" t="s">
        <v>1390</v>
      </c>
      <c r="T438" s="10">
        <f t="shared" ref="T438:T501" si="12">IF(R438&lt;500,1,IF(R438&lt;1000,2,IF(R438&lt;5000,3,4)))</f>
        <v>1</v>
      </c>
      <c r="U438" s="260" t="s">
        <v>1391</v>
      </c>
      <c r="V438">
        <v>999</v>
      </c>
      <c r="X438" s="157" t="s">
        <v>2075</v>
      </c>
      <c r="Y438" t="b">
        <v>1</v>
      </c>
    </row>
    <row r="439" spans="1:25">
      <c r="A439" s="229" t="s">
        <v>2098</v>
      </c>
      <c r="B439" s="1" t="str">
        <f t="shared" si="11"/>
        <v>M_AEB0401_VM_KF_MACH_5.12_5000</v>
      </c>
      <c r="C439" s="7" t="s">
        <v>2097</v>
      </c>
      <c r="D439" s="7" t="str" cm="1">
        <f t="array" ref="D439">INDEX(기계코드!$D$4:$D$1022,MATCH(1,(C439=기계코드!$F$4:$F$1022)*1,0))</f>
        <v>M_AEB0401</v>
      </c>
      <c r="E439" s="7" t="s">
        <v>2073</v>
      </c>
      <c r="F439" s="7" t="str" cm="1">
        <f t="array" ref="F439">INDEX(공급업체코드!$B$3:$B$1000,MATCH(1,(E439=공급업체코드!$D$3:$D$1000)*1,0))</f>
        <v>VM_KF_MACH</v>
      </c>
      <c r="G439" s="158" t="s">
        <v>2080</v>
      </c>
      <c r="I439" s="166">
        <v>5.12</v>
      </c>
      <c r="J439" s="160">
        <v>5000</v>
      </c>
      <c r="K439" s="159">
        <v>80</v>
      </c>
      <c r="L439" s="165">
        <v>8.0760000000000005</v>
      </c>
      <c r="M439" s="7" t="s">
        <v>981</v>
      </c>
      <c r="N439" s="7">
        <v>380</v>
      </c>
      <c r="O439" s="151">
        <v>0.92400000000000004</v>
      </c>
      <c r="P439" s="7">
        <v>0.9</v>
      </c>
      <c r="Q439" s="7">
        <v>80</v>
      </c>
      <c r="R439" s="113">
        <v>11</v>
      </c>
      <c r="S439" s="258" t="s">
        <v>1390</v>
      </c>
      <c r="T439" s="10">
        <f t="shared" si="12"/>
        <v>1</v>
      </c>
      <c r="U439" s="260" t="s">
        <v>1391</v>
      </c>
      <c r="V439">
        <v>999</v>
      </c>
      <c r="X439" s="157" t="s">
        <v>2075</v>
      </c>
      <c r="Y439" t="b">
        <v>1</v>
      </c>
    </row>
    <row r="440" spans="1:25">
      <c r="A440" s="229" t="s">
        <v>2098</v>
      </c>
      <c r="B440" s="1" t="str">
        <f t="shared" si="11"/>
        <v>M_AEB0401_VM_KF_MACH_6.53_5000</v>
      </c>
      <c r="C440" s="7" t="s">
        <v>2097</v>
      </c>
      <c r="D440" s="7" t="str" cm="1">
        <f t="array" ref="D440">INDEX(기계코드!$D$4:$D$1022,MATCH(1,(C440=기계코드!$F$4:$F$1022)*1,0))</f>
        <v>M_AEB0401</v>
      </c>
      <c r="E440" s="7" t="s">
        <v>2073</v>
      </c>
      <c r="F440" s="7" t="str" cm="1">
        <f t="array" ref="F440">INDEX(공급업체코드!$B$3:$B$1000,MATCH(1,(E440=공급업체코드!$D$3:$D$1000)*1,0))</f>
        <v>VM_KF_MACH</v>
      </c>
      <c r="G440" s="158" t="s">
        <v>2080</v>
      </c>
      <c r="I440" s="166">
        <v>6.53</v>
      </c>
      <c r="J440" s="160">
        <v>5000</v>
      </c>
      <c r="K440" s="159">
        <v>80</v>
      </c>
      <c r="L440" s="165">
        <v>9.8040000000000003</v>
      </c>
      <c r="M440" s="7" t="s">
        <v>981</v>
      </c>
      <c r="N440" s="7">
        <v>380</v>
      </c>
      <c r="O440" s="151">
        <v>0.92400000000000004</v>
      </c>
      <c r="P440" s="7">
        <v>0.9</v>
      </c>
      <c r="Q440" s="7">
        <v>80</v>
      </c>
      <c r="R440" s="113">
        <v>11</v>
      </c>
      <c r="S440" s="258" t="s">
        <v>1390</v>
      </c>
      <c r="T440" s="10">
        <f t="shared" si="12"/>
        <v>1</v>
      </c>
      <c r="U440" s="260" t="s">
        <v>1391</v>
      </c>
      <c r="V440">
        <v>999</v>
      </c>
      <c r="X440" s="157" t="s">
        <v>2075</v>
      </c>
      <c r="Y440" t="b">
        <v>1</v>
      </c>
    </row>
    <row r="441" spans="1:25">
      <c r="A441" s="229" t="s">
        <v>2098</v>
      </c>
      <c r="B441" s="1" t="str">
        <f t="shared" si="11"/>
        <v>M_AEB0401_VM_KF_MACH_2.14_6000</v>
      </c>
      <c r="C441" s="7" t="s">
        <v>2097</v>
      </c>
      <c r="D441" s="7" t="str" cm="1">
        <f t="array" ref="D441">INDEX(기계코드!$D$4:$D$1022,MATCH(1,(C441=기계코드!$F$4:$F$1022)*1,0))</f>
        <v>M_AEB0401</v>
      </c>
      <c r="E441" s="7" t="s">
        <v>2073</v>
      </c>
      <c r="F441" s="7" t="str" cm="1">
        <f t="array" ref="F441">INDEX(공급업체코드!$B$3:$B$1000,MATCH(1,(E441=공급업체코드!$D$3:$D$1000)*1,0))</f>
        <v>VM_KF_MACH</v>
      </c>
      <c r="G441" s="158" t="s">
        <v>2080</v>
      </c>
      <c r="I441" s="166">
        <v>2.14</v>
      </c>
      <c r="J441" s="160">
        <v>6000</v>
      </c>
      <c r="K441" s="159">
        <v>80</v>
      </c>
      <c r="L441" s="165">
        <v>5.0280000000000005</v>
      </c>
      <c r="M441" s="7" t="s">
        <v>981</v>
      </c>
      <c r="N441" s="7">
        <v>380</v>
      </c>
      <c r="O441" s="151">
        <v>0.91700000000000004</v>
      </c>
      <c r="P441" s="7">
        <v>0.9</v>
      </c>
      <c r="Q441" s="7">
        <v>80</v>
      </c>
      <c r="R441" s="113">
        <v>11</v>
      </c>
      <c r="S441" s="258" t="s">
        <v>1390</v>
      </c>
      <c r="T441" s="10">
        <f t="shared" si="12"/>
        <v>1</v>
      </c>
      <c r="U441" s="260" t="s">
        <v>1391</v>
      </c>
      <c r="V441">
        <v>999</v>
      </c>
      <c r="X441" s="157" t="s">
        <v>2075</v>
      </c>
      <c r="Y441" t="b">
        <v>1</v>
      </c>
    </row>
    <row r="442" spans="1:25">
      <c r="A442" s="229" t="s">
        <v>2098</v>
      </c>
      <c r="B442" s="1" t="str">
        <f t="shared" si="11"/>
        <v>M_AEB0401_VM_KF_MACH_3.52_6000</v>
      </c>
      <c r="C442" s="7" t="s">
        <v>2097</v>
      </c>
      <c r="D442" s="7" t="str" cm="1">
        <f t="array" ref="D442">INDEX(기계코드!$D$4:$D$1022,MATCH(1,(C442=기계코드!$F$4:$F$1022)*1,0))</f>
        <v>M_AEB0401</v>
      </c>
      <c r="E442" s="7" t="s">
        <v>2073</v>
      </c>
      <c r="F442" s="7" t="str" cm="1">
        <f t="array" ref="F442">INDEX(공급업체코드!$B$3:$B$1000,MATCH(1,(E442=공급업체코드!$D$3:$D$1000)*1,0))</f>
        <v>VM_KF_MACH</v>
      </c>
      <c r="G442" s="158" t="s">
        <v>2080</v>
      </c>
      <c r="I442" s="166">
        <v>3.52</v>
      </c>
      <c r="J442" s="160">
        <v>6000</v>
      </c>
      <c r="K442" s="159">
        <v>80</v>
      </c>
      <c r="L442" s="165">
        <v>7.4399999999999995</v>
      </c>
      <c r="M442" s="7" t="s">
        <v>981</v>
      </c>
      <c r="N442" s="7">
        <v>380</v>
      </c>
      <c r="O442" s="151">
        <v>0.91700000000000004</v>
      </c>
      <c r="P442" s="7">
        <v>0.9</v>
      </c>
      <c r="Q442" s="7">
        <v>80</v>
      </c>
      <c r="R442" s="113">
        <v>11</v>
      </c>
      <c r="S442" s="258" t="s">
        <v>1390</v>
      </c>
      <c r="T442" s="10">
        <f t="shared" si="12"/>
        <v>1</v>
      </c>
      <c r="U442" s="260" t="s">
        <v>1391</v>
      </c>
      <c r="V442">
        <v>999</v>
      </c>
      <c r="X442" s="157" t="s">
        <v>2075</v>
      </c>
      <c r="Y442" t="b">
        <v>1</v>
      </c>
    </row>
    <row r="443" spans="1:25">
      <c r="A443" s="229" t="s">
        <v>2098</v>
      </c>
      <c r="B443" s="1" t="str">
        <f t="shared" si="11"/>
        <v>M_AEB0401_VM_KF_MACH_4.88_6000</v>
      </c>
      <c r="C443" s="7" t="s">
        <v>2097</v>
      </c>
      <c r="D443" s="7" t="str" cm="1">
        <f t="array" ref="D443">INDEX(기계코드!$D$4:$D$1022,MATCH(1,(C443=기계코드!$F$4:$F$1022)*1,0))</f>
        <v>M_AEB0401</v>
      </c>
      <c r="E443" s="7" t="s">
        <v>2073</v>
      </c>
      <c r="F443" s="7" t="str" cm="1">
        <f t="array" ref="F443">INDEX(공급업체코드!$B$3:$B$1000,MATCH(1,(E443=공급업체코드!$D$3:$D$1000)*1,0))</f>
        <v>VM_KF_MACH</v>
      </c>
      <c r="G443" s="158" t="s">
        <v>2080</v>
      </c>
      <c r="I443" s="166">
        <v>4.88</v>
      </c>
      <c r="J443" s="160">
        <v>6000</v>
      </c>
      <c r="K443" s="159">
        <v>80</v>
      </c>
      <c r="L443" s="165">
        <v>9.4919999999999991</v>
      </c>
      <c r="M443" s="7" t="s">
        <v>981</v>
      </c>
      <c r="N443" s="7">
        <v>380</v>
      </c>
      <c r="O443" s="151">
        <v>0.92400000000000004</v>
      </c>
      <c r="P443" s="7">
        <v>0.9</v>
      </c>
      <c r="Q443" s="7">
        <v>80</v>
      </c>
      <c r="R443" s="113">
        <v>11</v>
      </c>
      <c r="S443" s="258" t="s">
        <v>1390</v>
      </c>
      <c r="T443" s="10">
        <f t="shared" si="12"/>
        <v>1</v>
      </c>
      <c r="U443" s="260" t="s">
        <v>1391</v>
      </c>
      <c r="V443">
        <v>999</v>
      </c>
      <c r="X443" s="157" t="s">
        <v>2075</v>
      </c>
      <c r="Y443" t="b">
        <v>1</v>
      </c>
    </row>
    <row r="444" spans="1:25">
      <c r="A444" s="229" t="s">
        <v>2098</v>
      </c>
      <c r="B444" s="1" t="str">
        <f t="shared" si="11"/>
        <v>M_AEB0401_VM_KF_MACH_6.24_6000</v>
      </c>
      <c r="C444" s="7" t="s">
        <v>2097</v>
      </c>
      <c r="D444" s="7" t="str" cm="1">
        <f t="array" ref="D444">INDEX(기계코드!$D$4:$D$1022,MATCH(1,(C444=기계코드!$F$4:$F$1022)*1,0))</f>
        <v>M_AEB0401</v>
      </c>
      <c r="E444" s="7" t="s">
        <v>2073</v>
      </c>
      <c r="F444" s="7" t="str" cm="1">
        <f t="array" ref="F444">INDEX(공급업체코드!$B$3:$B$1000,MATCH(1,(E444=공급업체코드!$D$3:$D$1000)*1,0))</f>
        <v>VM_KF_MACH</v>
      </c>
      <c r="G444" s="158" t="s">
        <v>2080</v>
      </c>
      <c r="I444" s="166">
        <v>6.24</v>
      </c>
      <c r="J444" s="160">
        <v>6000</v>
      </c>
      <c r="K444" s="159">
        <v>80</v>
      </c>
      <c r="L444" s="165">
        <v>11.556000000000001</v>
      </c>
      <c r="M444" s="7" t="s">
        <v>981</v>
      </c>
      <c r="N444" s="7">
        <v>380</v>
      </c>
      <c r="O444" s="151">
        <v>0.93</v>
      </c>
      <c r="P444" s="7">
        <v>0.9</v>
      </c>
      <c r="Q444" s="7">
        <v>80</v>
      </c>
      <c r="R444" s="113">
        <v>11</v>
      </c>
      <c r="S444" s="258" t="s">
        <v>1390</v>
      </c>
      <c r="T444" s="10">
        <f t="shared" si="12"/>
        <v>1</v>
      </c>
      <c r="U444" s="260" t="s">
        <v>1391</v>
      </c>
      <c r="V444">
        <v>999</v>
      </c>
      <c r="X444" s="157" t="s">
        <v>2075</v>
      </c>
      <c r="Y444" t="b">
        <v>1</v>
      </c>
    </row>
    <row r="445" spans="1:25">
      <c r="A445" s="229" t="s">
        <v>2098</v>
      </c>
      <c r="B445" s="1" t="str">
        <f t="shared" si="11"/>
        <v>M_AEB0401_VM_KF_MACH_3.94_4000</v>
      </c>
      <c r="C445" s="7" t="s">
        <v>2097</v>
      </c>
      <c r="D445" s="7" t="str" cm="1">
        <f t="array" ref="D445">INDEX(기계코드!$D$4:$D$1022,MATCH(1,(C445=기계코드!$F$4:$F$1022)*1,0))</f>
        <v>M_AEB0401</v>
      </c>
      <c r="E445" s="7" t="s">
        <v>2073</v>
      </c>
      <c r="F445" s="7" t="str" cm="1">
        <f t="array" ref="F445">INDEX(공급업체코드!$B$3:$B$1000,MATCH(1,(E445=공급업체코드!$D$3:$D$1000)*1,0))</f>
        <v>VM_KF_MACH</v>
      </c>
      <c r="G445" s="158" t="s">
        <v>2081</v>
      </c>
      <c r="I445" s="166">
        <v>3.94</v>
      </c>
      <c r="J445" s="160">
        <v>4000</v>
      </c>
      <c r="K445" s="159">
        <v>100</v>
      </c>
      <c r="L445" s="165">
        <v>5.6760000000000002</v>
      </c>
      <c r="M445" s="7" t="s">
        <v>981</v>
      </c>
      <c r="N445" s="7">
        <v>380</v>
      </c>
      <c r="O445" s="151">
        <v>0.91700000000000004</v>
      </c>
      <c r="P445" s="7">
        <v>0.9</v>
      </c>
      <c r="Q445" s="7">
        <v>80</v>
      </c>
      <c r="R445" s="113">
        <v>11</v>
      </c>
      <c r="S445" s="258" t="s">
        <v>1390</v>
      </c>
      <c r="T445" s="10">
        <f t="shared" si="12"/>
        <v>1</v>
      </c>
      <c r="U445" s="260" t="s">
        <v>1391</v>
      </c>
      <c r="V445">
        <v>999</v>
      </c>
      <c r="X445" s="157" t="s">
        <v>2075</v>
      </c>
      <c r="Y445" t="b">
        <v>1</v>
      </c>
    </row>
    <row r="446" spans="1:25">
      <c r="A446" s="229" t="s">
        <v>2098</v>
      </c>
      <c r="B446" s="1" t="str">
        <f t="shared" si="11"/>
        <v>M_AEB0401_VM_KF_MACH_5.65_4000</v>
      </c>
      <c r="C446" s="7" t="s">
        <v>2097</v>
      </c>
      <c r="D446" s="7" t="str" cm="1">
        <f t="array" ref="D446">INDEX(기계코드!$D$4:$D$1022,MATCH(1,(C446=기계코드!$F$4:$F$1022)*1,0))</f>
        <v>M_AEB0401</v>
      </c>
      <c r="E446" s="7" t="s">
        <v>2073</v>
      </c>
      <c r="F446" s="7" t="str" cm="1">
        <f t="array" ref="F446">INDEX(공급업체코드!$B$3:$B$1000,MATCH(1,(E446=공급업체코드!$D$3:$D$1000)*1,0))</f>
        <v>VM_KF_MACH</v>
      </c>
      <c r="G446" s="158" t="s">
        <v>2081</v>
      </c>
      <c r="I446" s="166">
        <v>5.65</v>
      </c>
      <c r="J446" s="160">
        <v>4000</v>
      </c>
      <c r="K446" s="159">
        <v>100</v>
      </c>
      <c r="L446" s="165">
        <v>6.984</v>
      </c>
      <c r="M446" s="7" t="s">
        <v>981</v>
      </c>
      <c r="N446" s="7">
        <v>380</v>
      </c>
      <c r="O446" s="151">
        <v>0.91700000000000004</v>
      </c>
      <c r="P446" s="7">
        <v>0.9</v>
      </c>
      <c r="Q446" s="7">
        <v>80</v>
      </c>
      <c r="R446" s="113">
        <v>11</v>
      </c>
      <c r="S446" s="258" t="s">
        <v>1390</v>
      </c>
      <c r="T446" s="10">
        <f t="shared" si="12"/>
        <v>1</v>
      </c>
      <c r="U446" s="260" t="s">
        <v>1391</v>
      </c>
      <c r="V446">
        <v>999</v>
      </c>
      <c r="X446" s="157" t="s">
        <v>2075</v>
      </c>
      <c r="Y446" t="b">
        <v>1</v>
      </c>
    </row>
    <row r="447" spans="1:25">
      <c r="A447" s="229" t="s">
        <v>2098</v>
      </c>
      <c r="B447" s="1" t="str">
        <f t="shared" si="11"/>
        <v>M_AEB0401_VM_KF_MACH_7.35_4000</v>
      </c>
      <c r="C447" s="7" t="s">
        <v>2097</v>
      </c>
      <c r="D447" s="7" t="str" cm="1">
        <f t="array" ref="D447">INDEX(기계코드!$D$4:$D$1022,MATCH(1,(C447=기계코드!$F$4:$F$1022)*1,0))</f>
        <v>M_AEB0401</v>
      </c>
      <c r="E447" s="7" t="s">
        <v>2073</v>
      </c>
      <c r="F447" s="7" t="str" cm="1">
        <f t="array" ref="F447">INDEX(공급업체코드!$B$3:$B$1000,MATCH(1,(E447=공급업체코드!$D$3:$D$1000)*1,0))</f>
        <v>VM_KF_MACH</v>
      </c>
      <c r="G447" s="158" t="s">
        <v>2081</v>
      </c>
      <c r="I447" s="166">
        <v>7.35</v>
      </c>
      <c r="J447" s="160">
        <v>4000</v>
      </c>
      <c r="K447" s="159">
        <v>100</v>
      </c>
      <c r="L447" s="165">
        <v>8.5679999999999996</v>
      </c>
      <c r="M447" s="7" t="s">
        <v>981</v>
      </c>
      <c r="N447" s="7">
        <v>380</v>
      </c>
      <c r="O447" s="151">
        <v>0.92400000000000004</v>
      </c>
      <c r="P447" s="7">
        <v>0.9</v>
      </c>
      <c r="Q447" s="7">
        <v>80</v>
      </c>
      <c r="R447" s="113">
        <v>11</v>
      </c>
      <c r="S447" s="258" t="s">
        <v>1390</v>
      </c>
      <c r="T447" s="10">
        <f t="shared" si="12"/>
        <v>1</v>
      </c>
      <c r="U447" s="260" t="s">
        <v>1391</v>
      </c>
      <c r="V447">
        <v>999</v>
      </c>
      <c r="X447" s="157" t="s">
        <v>2075</v>
      </c>
      <c r="Y447" t="b">
        <v>1</v>
      </c>
    </row>
    <row r="448" spans="1:25">
      <c r="A448" s="229" t="s">
        <v>2098</v>
      </c>
      <c r="B448" s="1" t="str">
        <f t="shared" si="11"/>
        <v>M_AEB0401_VM_KF_MACH_9.3_4000</v>
      </c>
      <c r="C448" s="7" t="s">
        <v>2097</v>
      </c>
      <c r="D448" s="7" t="str" cm="1">
        <f t="array" ref="D448">INDEX(기계코드!$D$4:$D$1022,MATCH(1,(C448=기계코드!$F$4:$F$1022)*1,0))</f>
        <v>M_AEB0401</v>
      </c>
      <c r="E448" s="7" t="s">
        <v>2073</v>
      </c>
      <c r="F448" s="7" t="str" cm="1">
        <f t="array" ref="F448">INDEX(공급업체코드!$B$3:$B$1000,MATCH(1,(E448=공급업체코드!$D$3:$D$1000)*1,0))</f>
        <v>VM_KF_MACH</v>
      </c>
      <c r="G448" s="158" t="s">
        <v>2081</v>
      </c>
      <c r="I448" s="166">
        <v>9.3000000000000007</v>
      </c>
      <c r="J448" s="160">
        <v>4000</v>
      </c>
      <c r="K448" s="159">
        <v>100</v>
      </c>
      <c r="L448" s="165">
        <v>10.427999999999999</v>
      </c>
      <c r="M448" s="7" t="s">
        <v>981</v>
      </c>
      <c r="N448" s="7">
        <v>380</v>
      </c>
      <c r="O448" s="151">
        <v>0.92400000000000004</v>
      </c>
      <c r="P448" s="7">
        <v>0.9</v>
      </c>
      <c r="Q448" s="7">
        <v>80</v>
      </c>
      <c r="R448" s="113">
        <v>11</v>
      </c>
      <c r="S448" s="258" t="s">
        <v>1390</v>
      </c>
      <c r="T448" s="10">
        <f t="shared" si="12"/>
        <v>1</v>
      </c>
      <c r="U448" s="260" t="s">
        <v>1391</v>
      </c>
      <c r="V448">
        <v>999</v>
      </c>
      <c r="X448" s="157" t="s">
        <v>2075</v>
      </c>
      <c r="Y448" t="b">
        <v>1</v>
      </c>
    </row>
    <row r="449" spans="1:25">
      <c r="A449" s="229" t="s">
        <v>2098</v>
      </c>
      <c r="B449" s="1" t="str">
        <f t="shared" si="11"/>
        <v>M_AEB0401_VM_KF_MACH_3.67_5000</v>
      </c>
      <c r="C449" s="7" t="s">
        <v>2097</v>
      </c>
      <c r="D449" s="7" t="str" cm="1">
        <f t="array" ref="D449">INDEX(기계코드!$D$4:$D$1022,MATCH(1,(C449=기계코드!$F$4:$F$1022)*1,0))</f>
        <v>M_AEB0401</v>
      </c>
      <c r="E449" s="7" t="s">
        <v>2073</v>
      </c>
      <c r="F449" s="7" t="str" cm="1">
        <f t="array" ref="F449">INDEX(공급업체코드!$B$3:$B$1000,MATCH(1,(E449=공급업체코드!$D$3:$D$1000)*1,0))</f>
        <v>VM_KF_MACH</v>
      </c>
      <c r="G449" s="158" t="s">
        <v>2081</v>
      </c>
      <c r="I449" s="166">
        <v>3.67</v>
      </c>
      <c r="J449" s="160">
        <v>5000</v>
      </c>
      <c r="K449" s="159">
        <v>100</v>
      </c>
      <c r="L449" s="165">
        <v>6.8760000000000003</v>
      </c>
      <c r="M449" s="7" t="s">
        <v>981</v>
      </c>
      <c r="N449" s="7">
        <v>380</v>
      </c>
      <c r="O449" s="151">
        <v>0.91700000000000004</v>
      </c>
      <c r="P449" s="7">
        <v>0.9</v>
      </c>
      <c r="Q449" s="7">
        <v>80</v>
      </c>
      <c r="R449" s="113">
        <v>11</v>
      </c>
      <c r="S449" s="258" t="s">
        <v>1390</v>
      </c>
      <c r="T449" s="10">
        <f t="shared" si="12"/>
        <v>1</v>
      </c>
      <c r="U449" s="260" t="s">
        <v>1391</v>
      </c>
      <c r="V449">
        <v>999</v>
      </c>
      <c r="X449" s="157" t="s">
        <v>2075</v>
      </c>
      <c r="Y449" t="b">
        <v>1</v>
      </c>
    </row>
    <row r="450" spans="1:25">
      <c r="A450" s="229" t="s">
        <v>2098</v>
      </c>
      <c r="B450" s="1" t="str">
        <f t="shared" si="11"/>
        <v>M_AEB0401_VM_KF_MACH_5.37_5000</v>
      </c>
      <c r="C450" s="7" t="s">
        <v>2097</v>
      </c>
      <c r="D450" s="7" t="str" cm="1">
        <f t="array" ref="D450">INDEX(기계코드!$D$4:$D$1022,MATCH(1,(C450=기계코드!$F$4:$F$1022)*1,0))</f>
        <v>M_AEB0401</v>
      </c>
      <c r="E450" s="7" t="s">
        <v>2073</v>
      </c>
      <c r="F450" s="7" t="str" cm="1">
        <f t="array" ref="F450">INDEX(공급업체코드!$B$3:$B$1000,MATCH(1,(E450=공급업체코드!$D$3:$D$1000)*1,0))</f>
        <v>VM_KF_MACH</v>
      </c>
      <c r="G450" s="158" t="s">
        <v>2081</v>
      </c>
      <c r="I450" s="166">
        <v>5.37</v>
      </c>
      <c r="J450" s="160">
        <v>5000</v>
      </c>
      <c r="K450" s="159">
        <v>100</v>
      </c>
      <c r="L450" s="165">
        <v>8.5079999999999991</v>
      </c>
      <c r="M450" s="7" t="s">
        <v>981</v>
      </c>
      <c r="N450" s="7">
        <v>380</v>
      </c>
      <c r="O450" s="151">
        <v>0.92400000000000004</v>
      </c>
      <c r="P450" s="7">
        <v>0.9</v>
      </c>
      <c r="Q450" s="7">
        <v>80</v>
      </c>
      <c r="R450" s="113">
        <v>11</v>
      </c>
      <c r="S450" s="258" t="s">
        <v>1390</v>
      </c>
      <c r="T450" s="10">
        <f t="shared" si="12"/>
        <v>1</v>
      </c>
      <c r="U450" s="260" t="s">
        <v>1391</v>
      </c>
      <c r="V450">
        <v>999</v>
      </c>
      <c r="X450" s="157" t="s">
        <v>2075</v>
      </c>
      <c r="Y450" t="b">
        <v>1</v>
      </c>
    </row>
    <row r="451" spans="1:25">
      <c r="A451" s="229" t="s">
        <v>2098</v>
      </c>
      <c r="B451" s="1" t="str">
        <f t="shared" si="11"/>
        <v>M_AEB0401_VM_KF_MACH_7.07_5000</v>
      </c>
      <c r="C451" s="7" t="s">
        <v>2097</v>
      </c>
      <c r="D451" s="7" t="str" cm="1">
        <f t="array" ref="D451">INDEX(기계코드!$D$4:$D$1022,MATCH(1,(C451=기계코드!$F$4:$F$1022)*1,0))</f>
        <v>M_AEB0401</v>
      </c>
      <c r="E451" s="7" t="s">
        <v>2073</v>
      </c>
      <c r="F451" s="7" t="str" cm="1">
        <f t="array" ref="F451">INDEX(공급업체코드!$B$3:$B$1000,MATCH(1,(E451=공급업체코드!$D$3:$D$1000)*1,0))</f>
        <v>VM_KF_MACH</v>
      </c>
      <c r="G451" s="158" t="s">
        <v>2081</v>
      </c>
      <c r="I451" s="166">
        <v>7.07</v>
      </c>
      <c r="J451" s="160">
        <v>5000</v>
      </c>
      <c r="K451" s="159">
        <v>100</v>
      </c>
      <c r="L451" s="165">
        <v>10.368</v>
      </c>
      <c r="M451" s="7" t="s">
        <v>981</v>
      </c>
      <c r="N451" s="7">
        <v>380</v>
      </c>
      <c r="O451" s="151">
        <v>0.92400000000000004</v>
      </c>
      <c r="P451" s="7">
        <v>0.9</v>
      </c>
      <c r="Q451" s="7">
        <v>80</v>
      </c>
      <c r="R451" s="113">
        <v>11</v>
      </c>
      <c r="S451" s="258" t="s">
        <v>1390</v>
      </c>
      <c r="T451" s="10">
        <f t="shared" si="12"/>
        <v>1</v>
      </c>
      <c r="U451" s="260" t="s">
        <v>1391</v>
      </c>
      <c r="V451">
        <v>999</v>
      </c>
      <c r="X451" s="157" t="s">
        <v>2075</v>
      </c>
      <c r="Y451" t="b">
        <v>1</v>
      </c>
    </row>
    <row r="452" spans="1:25">
      <c r="A452" s="229" t="s">
        <v>2098</v>
      </c>
      <c r="B452" s="1" t="str">
        <f t="shared" ref="B452:B515" si="13">D452&amp;"_"&amp;F452&amp;"_"&amp;I452&amp;"_"&amp;J452</f>
        <v>M_AEB0401_VM_KF_MACH_8.96_5000</v>
      </c>
      <c r="C452" s="7" t="s">
        <v>2097</v>
      </c>
      <c r="D452" s="7" t="str" cm="1">
        <f t="array" ref="D452">INDEX(기계코드!$D$4:$D$1022,MATCH(1,(C452=기계코드!$F$4:$F$1022)*1,0))</f>
        <v>M_AEB0401</v>
      </c>
      <c r="E452" s="7" t="s">
        <v>2073</v>
      </c>
      <c r="F452" s="7" t="str" cm="1">
        <f t="array" ref="F452">INDEX(공급업체코드!$B$3:$B$1000,MATCH(1,(E452=공급업체코드!$D$3:$D$1000)*1,0))</f>
        <v>VM_KF_MACH</v>
      </c>
      <c r="G452" s="158" t="s">
        <v>2081</v>
      </c>
      <c r="I452" s="166">
        <v>8.9600000000000009</v>
      </c>
      <c r="J452" s="160">
        <v>5000</v>
      </c>
      <c r="K452" s="159">
        <v>100</v>
      </c>
      <c r="L452" s="165">
        <v>12.516</v>
      </c>
      <c r="M452" s="7" t="s">
        <v>981</v>
      </c>
      <c r="N452" s="7">
        <v>380</v>
      </c>
      <c r="O452" s="151">
        <v>0.93</v>
      </c>
      <c r="P452" s="7">
        <v>0.9</v>
      </c>
      <c r="Q452" s="7">
        <v>80</v>
      </c>
      <c r="R452" s="113">
        <v>11</v>
      </c>
      <c r="S452" s="258" t="s">
        <v>1390</v>
      </c>
      <c r="T452" s="10">
        <f t="shared" si="12"/>
        <v>1</v>
      </c>
      <c r="U452" s="260" t="s">
        <v>1391</v>
      </c>
      <c r="V452">
        <v>999</v>
      </c>
      <c r="X452" s="157" t="s">
        <v>2075</v>
      </c>
      <c r="Y452" t="b">
        <v>1</v>
      </c>
    </row>
    <row r="453" spans="1:25">
      <c r="A453" s="229" t="s">
        <v>2098</v>
      </c>
      <c r="B453" s="1" t="str">
        <f t="shared" si="13"/>
        <v>M_AEB0401_VM_KF_MACH_3.43_6000</v>
      </c>
      <c r="C453" s="7" t="s">
        <v>2097</v>
      </c>
      <c r="D453" s="7" t="str" cm="1">
        <f t="array" ref="D453">INDEX(기계코드!$D$4:$D$1022,MATCH(1,(C453=기계코드!$F$4:$F$1022)*1,0))</f>
        <v>M_AEB0401</v>
      </c>
      <c r="E453" s="7" t="s">
        <v>2073</v>
      </c>
      <c r="F453" s="7" t="str" cm="1">
        <f t="array" ref="F453">INDEX(공급업체코드!$B$3:$B$1000,MATCH(1,(E453=공급업체코드!$D$3:$D$1000)*1,0))</f>
        <v>VM_KF_MACH</v>
      </c>
      <c r="G453" s="158" t="s">
        <v>2081</v>
      </c>
      <c r="I453" s="166">
        <v>3.43</v>
      </c>
      <c r="J453" s="160">
        <v>6000</v>
      </c>
      <c r="K453" s="159">
        <v>100</v>
      </c>
      <c r="L453" s="165">
        <v>8.0760000000000005</v>
      </c>
      <c r="M453" s="7" t="s">
        <v>981</v>
      </c>
      <c r="N453" s="7">
        <v>380</v>
      </c>
      <c r="O453" s="151">
        <v>0.92400000000000004</v>
      </c>
      <c r="P453" s="7">
        <v>0.9</v>
      </c>
      <c r="Q453" s="7">
        <v>80</v>
      </c>
      <c r="R453" s="113">
        <v>11</v>
      </c>
      <c r="S453" s="258" t="s">
        <v>1390</v>
      </c>
      <c r="T453" s="10">
        <f t="shared" si="12"/>
        <v>1</v>
      </c>
      <c r="U453" s="260" t="s">
        <v>1391</v>
      </c>
      <c r="V453">
        <v>999</v>
      </c>
      <c r="X453" s="157" t="s">
        <v>2075</v>
      </c>
      <c r="Y453" t="b">
        <v>1</v>
      </c>
    </row>
    <row r="454" spans="1:25">
      <c r="A454" s="229" t="s">
        <v>2098</v>
      </c>
      <c r="B454" s="1" t="str">
        <f t="shared" si="13"/>
        <v>M_AEB0401_VM_KF_MACH_5.13_6000</v>
      </c>
      <c r="C454" s="7" t="s">
        <v>2097</v>
      </c>
      <c r="D454" s="7" t="str" cm="1">
        <f t="array" ref="D454">INDEX(기계코드!$D$4:$D$1022,MATCH(1,(C454=기계코드!$F$4:$F$1022)*1,0))</f>
        <v>M_AEB0401</v>
      </c>
      <c r="E454" s="7" t="s">
        <v>2073</v>
      </c>
      <c r="F454" s="7" t="str" cm="1">
        <f t="array" ref="F454">INDEX(공급업체코드!$B$3:$B$1000,MATCH(1,(E454=공급업체코드!$D$3:$D$1000)*1,0))</f>
        <v>VM_KF_MACH</v>
      </c>
      <c r="G454" s="158" t="s">
        <v>2081</v>
      </c>
      <c r="I454" s="166">
        <v>5.13</v>
      </c>
      <c r="J454" s="160">
        <v>6000</v>
      </c>
      <c r="K454" s="159">
        <v>100</v>
      </c>
      <c r="L454" s="165">
        <v>10.031999999999998</v>
      </c>
      <c r="M454" s="7" t="s">
        <v>981</v>
      </c>
      <c r="N454" s="7">
        <v>380</v>
      </c>
      <c r="O454" s="151">
        <v>0.92400000000000004</v>
      </c>
      <c r="P454" s="7">
        <v>0.9</v>
      </c>
      <c r="Q454" s="7">
        <v>80</v>
      </c>
      <c r="R454" s="113">
        <v>11</v>
      </c>
      <c r="S454" s="258" t="s">
        <v>1390</v>
      </c>
      <c r="T454" s="10">
        <f t="shared" si="12"/>
        <v>1</v>
      </c>
      <c r="U454" s="260" t="s">
        <v>1391</v>
      </c>
      <c r="V454">
        <v>999</v>
      </c>
      <c r="X454" s="157" t="s">
        <v>2075</v>
      </c>
      <c r="Y454" t="b">
        <v>1</v>
      </c>
    </row>
    <row r="455" spans="1:25">
      <c r="A455" s="229" t="s">
        <v>2098</v>
      </c>
      <c r="B455" s="1" t="str">
        <f t="shared" si="13"/>
        <v>M_AEB0401_VM_KF_MACH_6.83_6000</v>
      </c>
      <c r="C455" s="7" t="s">
        <v>2097</v>
      </c>
      <c r="D455" s="7" t="str" cm="1">
        <f t="array" ref="D455">INDEX(기계코드!$D$4:$D$1022,MATCH(1,(C455=기계코드!$F$4:$F$1022)*1,0))</f>
        <v>M_AEB0401</v>
      </c>
      <c r="E455" s="7" t="s">
        <v>2073</v>
      </c>
      <c r="F455" s="7" t="str" cm="1">
        <f t="array" ref="F455">INDEX(공급업체코드!$B$3:$B$1000,MATCH(1,(E455=공급업체코드!$D$3:$D$1000)*1,0))</f>
        <v>VM_KF_MACH</v>
      </c>
      <c r="G455" s="158" t="s">
        <v>2081</v>
      </c>
      <c r="I455" s="166">
        <v>6.83</v>
      </c>
      <c r="J455" s="160">
        <v>6000</v>
      </c>
      <c r="K455" s="159">
        <v>100</v>
      </c>
      <c r="L455" s="165">
        <v>12.215999999999999</v>
      </c>
      <c r="M455" s="7" t="s">
        <v>981</v>
      </c>
      <c r="N455" s="7">
        <v>380</v>
      </c>
      <c r="O455" s="151">
        <v>0.93</v>
      </c>
      <c r="P455" s="7">
        <v>0.9</v>
      </c>
      <c r="Q455" s="7">
        <v>80</v>
      </c>
      <c r="R455" s="113">
        <v>11</v>
      </c>
      <c r="S455" s="258" t="s">
        <v>1390</v>
      </c>
      <c r="T455" s="10">
        <f t="shared" si="12"/>
        <v>1</v>
      </c>
      <c r="U455" s="260" t="s">
        <v>1391</v>
      </c>
      <c r="V455">
        <v>999</v>
      </c>
      <c r="X455" s="157" t="s">
        <v>2075</v>
      </c>
      <c r="Y455" t="b">
        <v>1</v>
      </c>
    </row>
    <row r="456" spans="1:25">
      <c r="A456" s="229" t="s">
        <v>2098</v>
      </c>
      <c r="B456" s="1" t="str">
        <f t="shared" si="13"/>
        <v>M_AEB0401_VM_KF_MACH_8.67_6000</v>
      </c>
      <c r="C456" s="7" t="s">
        <v>2097</v>
      </c>
      <c r="D456" s="7" t="str" cm="1">
        <f t="array" ref="D456">INDEX(기계코드!$D$4:$D$1022,MATCH(1,(C456=기계코드!$F$4:$F$1022)*1,0))</f>
        <v>M_AEB0401</v>
      </c>
      <c r="E456" s="7" t="s">
        <v>2073</v>
      </c>
      <c r="F456" s="7" t="str" cm="1">
        <f t="array" ref="F456">INDEX(공급업체코드!$B$3:$B$1000,MATCH(1,(E456=공급업체코드!$D$3:$D$1000)*1,0))</f>
        <v>VM_KF_MACH</v>
      </c>
      <c r="G456" s="158" t="s">
        <v>2081</v>
      </c>
      <c r="I456" s="166">
        <v>8.67</v>
      </c>
      <c r="J456" s="160">
        <v>6000</v>
      </c>
      <c r="K456" s="159">
        <v>100</v>
      </c>
      <c r="L456" s="165">
        <v>14.772</v>
      </c>
      <c r="M456" s="7" t="s">
        <v>981</v>
      </c>
      <c r="N456" s="7">
        <v>380</v>
      </c>
      <c r="O456" s="151">
        <v>0.93</v>
      </c>
      <c r="P456" s="7">
        <v>0.9</v>
      </c>
      <c r="Q456" s="7">
        <v>80</v>
      </c>
      <c r="R456" s="113">
        <v>11</v>
      </c>
      <c r="S456" s="258" t="s">
        <v>1390</v>
      </c>
      <c r="T456" s="10">
        <f t="shared" si="12"/>
        <v>1</v>
      </c>
      <c r="U456" s="260" t="s">
        <v>1391</v>
      </c>
      <c r="V456">
        <v>999</v>
      </c>
      <c r="X456" s="157" t="s">
        <v>2075</v>
      </c>
      <c r="Y456" t="b">
        <v>1</v>
      </c>
    </row>
    <row r="457" spans="1:25">
      <c r="A457" s="229" t="s">
        <v>2098</v>
      </c>
      <c r="B457" s="1" t="str">
        <f t="shared" si="13"/>
        <v>M_AEB0401_VM_KF_MACH_6.94_4000</v>
      </c>
      <c r="C457" s="7" t="s">
        <v>2097</v>
      </c>
      <c r="D457" s="7" t="str" cm="1">
        <f t="array" ref="D457">INDEX(기계코드!$D$4:$D$1022,MATCH(1,(C457=기계코드!$F$4:$F$1022)*1,0))</f>
        <v>M_AEB0401</v>
      </c>
      <c r="E457" s="7" t="s">
        <v>2073</v>
      </c>
      <c r="F457" s="7" t="str" cm="1">
        <f t="array" ref="F457">INDEX(공급업체코드!$B$3:$B$1000,MATCH(1,(E457=공급업체코드!$D$3:$D$1000)*1,0))</f>
        <v>VM_KF_MACH</v>
      </c>
      <c r="G457" s="158" t="s">
        <v>2082</v>
      </c>
      <c r="I457" s="166">
        <v>6.94</v>
      </c>
      <c r="J457" s="160">
        <v>4000</v>
      </c>
      <c r="K457" s="159">
        <v>125</v>
      </c>
      <c r="L457" s="165">
        <v>8.7959999999999994</v>
      </c>
      <c r="M457" s="7" t="s">
        <v>981</v>
      </c>
      <c r="N457" s="7">
        <v>380</v>
      </c>
      <c r="O457" s="151">
        <v>0.92400000000000004</v>
      </c>
      <c r="P457" s="7">
        <v>0.9</v>
      </c>
      <c r="Q457" s="7">
        <v>80</v>
      </c>
      <c r="R457" s="113">
        <v>11</v>
      </c>
      <c r="S457" s="258" t="s">
        <v>1390</v>
      </c>
      <c r="T457" s="10">
        <f t="shared" si="12"/>
        <v>1</v>
      </c>
      <c r="U457" s="260" t="s">
        <v>1391</v>
      </c>
      <c r="V457">
        <v>999</v>
      </c>
      <c r="X457" s="157" t="s">
        <v>2075</v>
      </c>
      <c r="Y457" t="b">
        <v>1</v>
      </c>
    </row>
    <row r="458" spans="1:25">
      <c r="A458" s="229" t="s">
        <v>2098</v>
      </c>
      <c r="B458" s="1" t="str">
        <f t="shared" si="13"/>
        <v>M_AEB0401_VM_KF_MACH_9.51_4000</v>
      </c>
      <c r="C458" s="7" t="s">
        <v>2097</v>
      </c>
      <c r="D458" s="7" t="str" cm="1">
        <f t="array" ref="D458">INDEX(기계코드!$D$4:$D$1022,MATCH(1,(C458=기계코드!$F$4:$F$1022)*1,0))</f>
        <v>M_AEB0401</v>
      </c>
      <c r="E458" s="7" t="s">
        <v>2073</v>
      </c>
      <c r="F458" s="7" t="str" cm="1">
        <f t="array" ref="F458">INDEX(공급업체코드!$B$3:$B$1000,MATCH(1,(E458=공급업체코드!$D$3:$D$1000)*1,0))</f>
        <v>VM_KF_MACH</v>
      </c>
      <c r="G458" s="158" t="s">
        <v>2082</v>
      </c>
      <c r="I458" s="166">
        <v>9.51</v>
      </c>
      <c r="J458" s="160">
        <v>4000</v>
      </c>
      <c r="K458" s="159">
        <v>125</v>
      </c>
      <c r="L458" s="165">
        <v>11.411999999999999</v>
      </c>
      <c r="M458" s="7" t="s">
        <v>981</v>
      </c>
      <c r="N458" s="7">
        <v>380</v>
      </c>
      <c r="O458" s="151">
        <v>0.93</v>
      </c>
      <c r="P458" s="7">
        <v>0.9</v>
      </c>
      <c r="Q458" s="7">
        <v>80</v>
      </c>
      <c r="R458" s="113">
        <v>11</v>
      </c>
      <c r="S458" s="258" t="s">
        <v>1390</v>
      </c>
      <c r="T458" s="10">
        <f t="shared" si="12"/>
        <v>1</v>
      </c>
      <c r="U458" s="260" t="s">
        <v>1391</v>
      </c>
      <c r="V458">
        <v>999</v>
      </c>
      <c r="X458" s="157" t="s">
        <v>2075</v>
      </c>
      <c r="Y458" t="b">
        <v>1</v>
      </c>
    </row>
    <row r="459" spans="1:25">
      <c r="A459" s="229" t="s">
        <v>2098</v>
      </c>
      <c r="B459" s="1" t="str">
        <f t="shared" si="13"/>
        <v>M_AEB0401_VM_KF_MACH_11.88_4000</v>
      </c>
      <c r="C459" s="7" t="s">
        <v>2097</v>
      </c>
      <c r="D459" s="7" t="str" cm="1">
        <f t="array" ref="D459">INDEX(기계코드!$D$4:$D$1022,MATCH(1,(C459=기계코드!$F$4:$F$1022)*1,0))</f>
        <v>M_AEB0401</v>
      </c>
      <c r="E459" s="7" t="s">
        <v>2073</v>
      </c>
      <c r="F459" s="7" t="str" cm="1">
        <f t="array" ref="F459">INDEX(공급업체코드!$B$3:$B$1000,MATCH(1,(E459=공급업체코드!$D$3:$D$1000)*1,0))</f>
        <v>VM_KF_MACH</v>
      </c>
      <c r="G459" s="158" t="s">
        <v>2082</v>
      </c>
      <c r="I459" s="166">
        <v>11.88</v>
      </c>
      <c r="J459" s="160">
        <v>4000</v>
      </c>
      <c r="K459" s="159">
        <v>125</v>
      </c>
      <c r="L459" s="165">
        <v>13.596</v>
      </c>
      <c r="M459" s="7" t="s">
        <v>981</v>
      </c>
      <c r="N459" s="7">
        <v>380</v>
      </c>
      <c r="O459" s="151">
        <v>0.93</v>
      </c>
      <c r="P459" s="7">
        <v>0.9</v>
      </c>
      <c r="Q459" s="7">
        <v>80</v>
      </c>
      <c r="R459" s="113">
        <v>11</v>
      </c>
      <c r="S459" s="258" t="s">
        <v>1390</v>
      </c>
      <c r="T459" s="10">
        <f t="shared" si="12"/>
        <v>1</v>
      </c>
      <c r="U459" s="260" t="s">
        <v>1391</v>
      </c>
      <c r="V459">
        <v>999</v>
      </c>
      <c r="X459" s="157" t="s">
        <v>2075</v>
      </c>
      <c r="Y459" t="b">
        <v>1</v>
      </c>
    </row>
    <row r="460" spans="1:25">
      <c r="A460" s="229" t="s">
        <v>2098</v>
      </c>
      <c r="B460" s="1" t="str">
        <f t="shared" si="13"/>
        <v>M_AEB0401_VM_KF_MACH_13.92_4000</v>
      </c>
      <c r="C460" s="7" t="s">
        <v>2097</v>
      </c>
      <c r="D460" s="7" t="str" cm="1">
        <f t="array" ref="D460">INDEX(기계코드!$D$4:$D$1022,MATCH(1,(C460=기계코드!$F$4:$F$1022)*1,0))</f>
        <v>M_AEB0401</v>
      </c>
      <c r="E460" s="7" t="s">
        <v>2073</v>
      </c>
      <c r="F460" s="7" t="str" cm="1">
        <f t="array" ref="F460">INDEX(공급업체코드!$B$3:$B$1000,MATCH(1,(E460=공급업체코드!$D$3:$D$1000)*1,0))</f>
        <v>VM_KF_MACH</v>
      </c>
      <c r="G460" s="158" t="s">
        <v>2082</v>
      </c>
      <c r="I460" s="166">
        <v>13.92</v>
      </c>
      <c r="J460" s="160">
        <v>4000</v>
      </c>
      <c r="K460" s="159">
        <v>125</v>
      </c>
      <c r="L460" s="165">
        <v>15.372</v>
      </c>
      <c r="M460" s="7" t="s">
        <v>981</v>
      </c>
      <c r="N460" s="7">
        <v>380</v>
      </c>
      <c r="O460" s="151">
        <v>0.93599999999999994</v>
      </c>
      <c r="P460" s="7">
        <v>0.9</v>
      </c>
      <c r="Q460" s="7">
        <v>80</v>
      </c>
      <c r="R460" s="113">
        <v>11</v>
      </c>
      <c r="S460" s="258" t="s">
        <v>1390</v>
      </c>
      <c r="T460" s="10">
        <f t="shared" si="12"/>
        <v>1</v>
      </c>
      <c r="U460" s="260" t="s">
        <v>1391</v>
      </c>
      <c r="V460">
        <v>999</v>
      </c>
      <c r="X460" s="157" t="s">
        <v>2075</v>
      </c>
      <c r="Y460" t="b">
        <v>1</v>
      </c>
    </row>
    <row r="461" spans="1:25">
      <c r="A461" s="229" t="s">
        <v>2098</v>
      </c>
      <c r="B461" s="1" t="str">
        <f t="shared" si="13"/>
        <v>M_AEB0401_VM_KF_MACH_6.7_5000</v>
      </c>
      <c r="C461" s="7" t="s">
        <v>2097</v>
      </c>
      <c r="D461" s="7" t="str" cm="1">
        <f t="array" ref="D461">INDEX(기계코드!$D$4:$D$1022,MATCH(1,(C461=기계코드!$F$4:$F$1022)*1,0))</f>
        <v>M_AEB0401</v>
      </c>
      <c r="E461" s="7" t="s">
        <v>2073</v>
      </c>
      <c r="F461" s="7" t="str" cm="1">
        <f t="array" ref="F461">INDEX(공급업체코드!$B$3:$B$1000,MATCH(1,(E461=공급업체코드!$D$3:$D$1000)*1,0))</f>
        <v>VM_KF_MACH</v>
      </c>
      <c r="G461" s="158" t="s">
        <v>2082</v>
      </c>
      <c r="I461" s="166">
        <v>6.7</v>
      </c>
      <c r="J461" s="160">
        <v>5000</v>
      </c>
      <c r="K461" s="159">
        <v>125</v>
      </c>
      <c r="L461" s="165">
        <v>10.703999999999999</v>
      </c>
      <c r="M461" s="7" t="s">
        <v>981</v>
      </c>
      <c r="N461" s="7">
        <v>380</v>
      </c>
      <c r="O461" s="151">
        <v>0.92400000000000004</v>
      </c>
      <c r="P461" s="7">
        <v>0.9</v>
      </c>
      <c r="Q461" s="7">
        <v>80</v>
      </c>
      <c r="R461" s="113">
        <v>11</v>
      </c>
      <c r="S461" s="258" t="s">
        <v>1390</v>
      </c>
      <c r="T461" s="10">
        <f t="shared" si="12"/>
        <v>1</v>
      </c>
      <c r="U461" s="260" t="s">
        <v>1391</v>
      </c>
      <c r="V461">
        <v>999</v>
      </c>
      <c r="X461" s="157" t="s">
        <v>2075</v>
      </c>
      <c r="Y461" t="b">
        <v>1</v>
      </c>
    </row>
    <row r="462" spans="1:25">
      <c r="A462" s="229" t="s">
        <v>2098</v>
      </c>
      <c r="B462" s="1" t="str">
        <f t="shared" si="13"/>
        <v>M_AEB0401_VM_KF_MACH_9.19_5000</v>
      </c>
      <c r="C462" s="7" t="s">
        <v>2097</v>
      </c>
      <c r="D462" s="7" t="str" cm="1">
        <f t="array" ref="D462">INDEX(기계코드!$D$4:$D$1022,MATCH(1,(C462=기계코드!$F$4:$F$1022)*1,0))</f>
        <v>M_AEB0401</v>
      </c>
      <c r="E462" s="7" t="s">
        <v>2073</v>
      </c>
      <c r="F462" s="7" t="str" cm="1">
        <f t="array" ref="F462">INDEX(공급업체코드!$B$3:$B$1000,MATCH(1,(E462=공급업체코드!$D$3:$D$1000)*1,0))</f>
        <v>VM_KF_MACH</v>
      </c>
      <c r="G462" s="158" t="s">
        <v>2082</v>
      </c>
      <c r="I462" s="166">
        <v>9.19</v>
      </c>
      <c r="J462" s="160">
        <v>5000</v>
      </c>
      <c r="K462" s="159">
        <v>125</v>
      </c>
      <c r="L462" s="165">
        <v>13.956000000000001</v>
      </c>
      <c r="M462" s="7" t="s">
        <v>981</v>
      </c>
      <c r="N462" s="7">
        <v>380</v>
      </c>
      <c r="O462" s="151">
        <v>0.93</v>
      </c>
      <c r="P462" s="7">
        <v>0.9</v>
      </c>
      <c r="Q462" s="7">
        <v>80</v>
      </c>
      <c r="R462" s="113">
        <v>11</v>
      </c>
      <c r="S462" s="258" t="s">
        <v>1390</v>
      </c>
      <c r="T462" s="10">
        <f t="shared" si="12"/>
        <v>1</v>
      </c>
      <c r="U462" s="260" t="s">
        <v>1391</v>
      </c>
      <c r="V462">
        <v>999</v>
      </c>
      <c r="X462" s="157" t="s">
        <v>2075</v>
      </c>
      <c r="Y462" t="b">
        <v>1</v>
      </c>
    </row>
    <row r="463" spans="1:25">
      <c r="A463" s="229" t="s">
        <v>2098</v>
      </c>
      <c r="B463" s="1" t="str">
        <f t="shared" si="13"/>
        <v>M_AEB0401_VM_KF_MACH_11.57_5000</v>
      </c>
      <c r="C463" s="7" t="s">
        <v>2097</v>
      </c>
      <c r="D463" s="7" t="str" cm="1">
        <f t="array" ref="D463">INDEX(기계코드!$D$4:$D$1022,MATCH(1,(C463=기계코드!$F$4:$F$1022)*1,0))</f>
        <v>M_AEB0401</v>
      </c>
      <c r="E463" s="7" t="s">
        <v>2073</v>
      </c>
      <c r="F463" s="7" t="str" cm="1">
        <f t="array" ref="F463">INDEX(공급업체코드!$B$3:$B$1000,MATCH(1,(E463=공급업체코드!$D$3:$D$1000)*1,0))</f>
        <v>VM_KF_MACH</v>
      </c>
      <c r="G463" s="158" t="s">
        <v>2082</v>
      </c>
      <c r="I463" s="166">
        <v>11.57</v>
      </c>
      <c r="J463" s="160">
        <v>5000</v>
      </c>
      <c r="K463" s="159">
        <v>125</v>
      </c>
      <c r="L463" s="165">
        <v>16.776</v>
      </c>
      <c r="M463" s="7" t="s">
        <v>987</v>
      </c>
      <c r="N463" s="7">
        <v>380</v>
      </c>
      <c r="O463" s="151">
        <v>0.93599999999999994</v>
      </c>
      <c r="P463" s="7">
        <v>0.9</v>
      </c>
      <c r="Q463" s="7">
        <v>80</v>
      </c>
      <c r="R463" s="113">
        <v>11</v>
      </c>
      <c r="S463" s="258" t="s">
        <v>1390</v>
      </c>
      <c r="T463" s="10">
        <f t="shared" si="12"/>
        <v>1</v>
      </c>
      <c r="U463" s="260" t="s">
        <v>1391</v>
      </c>
      <c r="V463">
        <v>999</v>
      </c>
      <c r="X463" s="157" t="s">
        <v>2075</v>
      </c>
      <c r="Y463" t="b">
        <v>1</v>
      </c>
    </row>
    <row r="464" spans="1:25">
      <c r="A464" s="229" t="s">
        <v>2098</v>
      </c>
      <c r="B464" s="1" t="str">
        <f t="shared" si="13"/>
        <v>M_AEB0401_VM_KF_MACH_13.62_5000</v>
      </c>
      <c r="C464" s="7" t="s">
        <v>2097</v>
      </c>
      <c r="D464" s="7" t="str" cm="1">
        <f t="array" ref="D464">INDEX(기계코드!$D$4:$D$1022,MATCH(1,(C464=기계코드!$F$4:$F$1022)*1,0))</f>
        <v>M_AEB0401</v>
      </c>
      <c r="E464" s="7" t="s">
        <v>2073</v>
      </c>
      <c r="F464" s="7" t="str" cm="1">
        <f t="array" ref="F464">INDEX(공급업체코드!$B$3:$B$1000,MATCH(1,(E464=공급업체코드!$D$3:$D$1000)*1,0))</f>
        <v>VM_KF_MACH</v>
      </c>
      <c r="G464" s="158" t="s">
        <v>2082</v>
      </c>
      <c r="I464" s="166">
        <v>13.62</v>
      </c>
      <c r="J464" s="160">
        <v>5000</v>
      </c>
      <c r="K464" s="159">
        <v>125</v>
      </c>
      <c r="L464" s="165">
        <v>19.056000000000001</v>
      </c>
      <c r="M464" s="7" t="s">
        <v>987</v>
      </c>
      <c r="N464" s="7">
        <v>380</v>
      </c>
      <c r="O464" s="151">
        <v>0.93599999999999994</v>
      </c>
      <c r="P464" s="7">
        <v>0.9</v>
      </c>
      <c r="Q464" s="7">
        <v>80</v>
      </c>
      <c r="R464" s="113">
        <v>11</v>
      </c>
      <c r="S464" s="258" t="s">
        <v>1390</v>
      </c>
      <c r="T464" s="10">
        <f t="shared" si="12"/>
        <v>1</v>
      </c>
      <c r="U464" s="260" t="s">
        <v>1391</v>
      </c>
      <c r="V464">
        <v>999</v>
      </c>
      <c r="X464" s="157" t="s">
        <v>2075</v>
      </c>
      <c r="Y464" t="b">
        <v>1</v>
      </c>
    </row>
    <row r="465" spans="1:25">
      <c r="A465" s="229" t="s">
        <v>2098</v>
      </c>
      <c r="B465" s="1" t="str">
        <f t="shared" si="13"/>
        <v>M_AEB0401_VM_KF_MACH_6.4_6000</v>
      </c>
      <c r="C465" s="7" t="s">
        <v>2097</v>
      </c>
      <c r="D465" s="7" t="str" cm="1">
        <f t="array" ref="D465">INDEX(기계코드!$D$4:$D$1022,MATCH(1,(C465=기계코드!$F$4:$F$1022)*1,0))</f>
        <v>M_AEB0401</v>
      </c>
      <c r="E465" s="7" t="s">
        <v>2073</v>
      </c>
      <c r="F465" s="7" t="str" cm="1">
        <f t="array" ref="F465">INDEX(공급업체코드!$B$3:$B$1000,MATCH(1,(E465=공급업체코드!$D$3:$D$1000)*1,0))</f>
        <v>VM_KF_MACH</v>
      </c>
      <c r="G465" s="158" t="s">
        <v>2082</v>
      </c>
      <c r="I465" s="166">
        <v>6.4</v>
      </c>
      <c r="J465" s="160">
        <v>6000</v>
      </c>
      <c r="K465" s="159">
        <v>125</v>
      </c>
      <c r="L465" s="165">
        <v>12.6</v>
      </c>
      <c r="M465" s="7" t="s">
        <v>981</v>
      </c>
      <c r="N465" s="7">
        <v>380</v>
      </c>
      <c r="O465" s="151">
        <v>0.93</v>
      </c>
      <c r="P465" s="7">
        <v>0.9</v>
      </c>
      <c r="Q465" s="7">
        <v>80</v>
      </c>
      <c r="R465" s="113">
        <v>11</v>
      </c>
      <c r="S465" s="258" t="s">
        <v>1390</v>
      </c>
      <c r="T465" s="10">
        <f t="shared" si="12"/>
        <v>1</v>
      </c>
      <c r="U465" s="260" t="s">
        <v>1391</v>
      </c>
      <c r="V465">
        <v>999</v>
      </c>
      <c r="X465" s="157" t="s">
        <v>2075</v>
      </c>
      <c r="Y465" t="b">
        <v>1</v>
      </c>
    </row>
    <row r="466" spans="1:25">
      <c r="A466" s="229" t="s">
        <v>2098</v>
      </c>
      <c r="B466" s="1" t="str">
        <f t="shared" si="13"/>
        <v>M_AEB0401_VM_KF_MACH_8.94_6000</v>
      </c>
      <c r="C466" s="7" t="s">
        <v>2097</v>
      </c>
      <c r="D466" s="7" t="str" cm="1">
        <f t="array" ref="D466">INDEX(기계코드!$D$4:$D$1022,MATCH(1,(C466=기계코드!$F$4:$F$1022)*1,0))</f>
        <v>M_AEB0401</v>
      </c>
      <c r="E466" s="7" t="s">
        <v>2073</v>
      </c>
      <c r="F466" s="7" t="str" cm="1">
        <f t="array" ref="F466">INDEX(공급업체코드!$B$3:$B$1000,MATCH(1,(E466=공급업체코드!$D$3:$D$1000)*1,0))</f>
        <v>VM_KF_MACH</v>
      </c>
      <c r="G466" s="158" t="s">
        <v>2082</v>
      </c>
      <c r="I466" s="166">
        <v>8.94</v>
      </c>
      <c r="J466" s="160">
        <v>6000</v>
      </c>
      <c r="K466" s="159">
        <v>125</v>
      </c>
      <c r="L466" s="165">
        <v>16.751999999999999</v>
      </c>
      <c r="M466" s="7" t="s">
        <v>987</v>
      </c>
      <c r="N466" s="7">
        <v>380</v>
      </c>
      <c r="O466" s="151">
        <v>0.93599999999999994</v>
      </c>
      <c r="P466" s="7">
        <v>0.9</v>
      </c>
      <c r="Q466" s="7">
        <v>80</v>
      </c>
      <c r="R466" s="113">
        <v>11</v>
      </c>
      <c r="S466" s="258" t="s">
        <v>1390</v>
      </c>
      <c r="T466" s="10">
        <f t="shared" si="12"/>
        <v>1</v>
      </c>
      <c r="U466" s="260" t="s">
        <v>1391</v>
      </c>
      <c r="V466">
        <v>999</v>
      </c>
      <c r="X466" s="157" t="s">
        <v>2075</v>
      </c>
      <c r="Y466" t="b">
        <v>1</v>
      </c>
    </row>
    <row r="467" spans="1:25">
      <c r="A467" s="229" t="s">
        <v>2098</v>
      </c>
      <c r="B467" s="1" t="str">
        <f t="shared" si="13"/>
        <v>M_AEB0401_VM_KF_MACH_11.32_6000</v>
      </c>
      <c r="C467" s="7" t="s">
        <v>2097</v>
      </c>
      <c r="D467" s="7" t="str" cm="1">
        <f t="array" ref="D467">INDEX(기계코드!$D$4:$D$1022,MATCH(1,(C467=기계코드!$F$4:$F$1022)*1,0))</f>
        <v>M_AEB0401</v>
      </c>
      <c r="E467" s="7" t="s">
        <v>2073</v>
      </c>
      <c r="F467" s="7" t="str" cm="1">
        <f t="array" ref="F467">INDEX(공급업체코드!$B$3:$B$1000,MATCH(1,(E467=공급업체코드!$D$3:$D$1000)*1,0))</f>
        <v>VM_KF_MACH</v>
      </c>
      <c r="G467" s="158" t="s">
        <v>2082</v>
      </c>
      <c r="I467" s="166">
        <v>11.32</v>
      </c>
      <c r="J467" s="160">
        <v>6000</v>
      </c>
      <c r="K467" s="159">
        <v>125</v>
      </c>
      <c r="L467" s="165">
        <v>19.956</v>
      </c>
      <c r="M467" s="7" t="s">
        <v>987</v>
      </c>
      <c r="N467" s="7">
        <v>380</v>
      </c>
      <c r="O467" s="151">
        <v>0.93599999999999994</v>
      </c>
      <c r="P467" s="7">
        <v>0.9</v>
      </c>
      <c r="Q467" s="7">
        <v>80</v>
      </c>
      <c r="R467" s="113">
        <v>11</v>
      </c>
      <c r="S467" s="258" t="s">
        <v>1390</v>
      </c>
      <c r="T467" s="10">
        <f t="shared" si="12"/>
        <v>1</v>
      </c>
      <c r="U467" s="260" t="s">
        <v>1391</v>
      </c>
      <c r="V467">
        <v>999</v>
      </c>
      <c r="X467" s="157" t="s">
        <v>2075</v>
      </c>
      <c r="Y467" t="b">
        <v>1</v>
      </c>
    </row>
    <row r="468" spans="1:25">
      <c r="A468" s="229" t="s">
        <v>2098</v>
      </c>
      <c r="B468" s="1" t="str">
        <f t="shared" si="13"/>
        <v>M_AEB0401_VM_KF_MACH_13.39_6000</v>
      </c>
      <c r="C468" s="7" t="s">
        <v>2097</v>
      </c>
      <c r="D468" s="7" t="str" cm="1">
        <f t="array" ref="D468">INDEX(기계코드!$D$4:$D$1022,MATCH(1,(C468=기계코드!$F$4:$F$1022)*1,0))</f>
        <v>M_AEB0401</v>
      </c>
      <c r="E468" s="7" t="s">
        <v>2073</v>
      </c>
      <c r="F468" s="7" t="str" cm="1">
        <f t="array" ref="F468">INDEX(공급업체코드!$B$3:$B$1000,MATCH(1,(E468=공급업체코드!$D$3:$D$1000)*1,0))</f>
        <v>VM_KF_MACH</v>
      </c>
      <c r="G468" s="158" t="s">
        <v>2082</v>
      </c>
      <c r="I468" s="166">
        <v>13.39</v>
      </c>
      <c r="J468" s="160">
        <v>6000</v>
      </c>
      <c r="K468" s="159">
        <v>125</v>
      </c>
      <c r="L468" s="165">
        <v>22.715999999999998</v>
      </c>
      <c r="M468" s="7" t="s">
        <v>987</v>
      </c>
      <c r="N468" s="7">
        <v>380</v>
      </c>
      <c r="O468" s="151">
        <v>0.94099999999999995</v>
      </c>
      <c r="P468" s="7">
        <v>0.9</v>
      </c>
      <c r="Q468" s="7">
        <v>80</v>
      </c>
      <c r="R468" s="113">
        <v>11</v>
      </c>
      <c r="S468" s="258" t="s">
        <v>1390</v>
      </c>
      <c r="T468" s="10">
        <f t="shared" si="12"/>
        <v>1</v>
      </c>
      <c r="U468" s="260" t="s">
        <v>1391</v>
      </c>
      <c r="V468">
        <v>999</v>
      </c>
      <c r="X468" s="157" t="s">
        <v>2075</v>
      </c>
      <c r="Y468" t="b">
        <v>1</v>
      </c>
    </row>
    <row r="469" spans="1:25">
      <c r="A469" s="229" t="s">
        <v>2098</v>
      </c>
      <c r="B469" s="1" t="str">
        <f t="shared" si="13"/>
        <v>M_AEB0401_VM_KF_MACH_11.22_4000</v>
      </c>
      <c r="C469" s="7" t="s">
        <v>2097</v>
      </c>
      <c r="D469" s="7" t="str" cm="1">
        <f t="array" ref="D469">INDEX(기계코드!$D$4:$D$1022,MATCH(1,(C469=기계코드!$F$4:$F$1022)*1,0))</f>
        <v>M_AEB0401</v>
      </c>
      <c r="E469" s="7" t="s">
        <v>2073</v>
      </c>
      <c r="F469" s="7" t="str" cm="1">
        <f t="array" ref="F469">INDEX(공급업체코드!$B$3:$B$1000,MATCH(1,(E469=공급업체코드!$D$3:$D$1000)*1,0))</f>
        <v>VM_KF_MACH</v>
      </c>
      <c r="G469" s="158" t="s">
        <v>2083</v>
      </c>
      <c r="I469" s="166">
        <v>11.22</v>
      </c>
      <c r="J469" s="160">
        <v>4000</v>
      </c>
      <c r="K469" s="159">
        <v>125</v>
      </c>
      <c r="L469" s="165">
        <v>13.223999999999998</v>
      </c>
      <c r="M469" s="7" t="s">
        <v>981</v>
      </c>
      <c r="N469" s="7">
        <v>380</v>
      </c>
      <c r="O469" s="151">
        <v>0.93</v>
      </c>
      <c r="P469" s="7">
        <v>0.9</v>
      </c>
      <c r="Q469" s="7">
        <v>80</v>
      </c>
      <c r="R469" s="113">
        <v>11</v>
      </c>
      <c r="S469" s="258" t="s">
        <v>1390</v>
      </c>
      <c r="T469" s="10">
        <f t="shared" si="12"/>
        <v>1</v>
      </c>
      <c r="U469" s="260" t="s">
        <v>1391</v>
      </c>
      <c r="V469">
        <v>999</v>
      </c>
      <c r="X469" s="157" t="s">
        <v>2075</v>
      </c>
      <c r="Y469" t="b">
        <v>1</v>
      </c>
    </row>
    <row r="470" spans="1:25">
      <c r="A470" s="229" t="s">
        <v>2098</v>
      </c>
      <c r="B470" s="1" t="str">
        <f t="shared" si="13"/>
        <v>M_AEB0401_VM_KF_MACH_15.21_4000</v>
      </c>
      <c r="C470" s="7" t="s">
        <v>2097</v>
      </c>
      <c r="D470" s="7" t="str" cm="1">
        <f t="array" ref="D470">INDEX(기계코드!$D$4:$D$1022,MATCH(1,(C470=기계코드!$F$4:$F$1022)*1,0))</f>
        <v>M_AEB0401</v>
      </c>
      <c r="E470" s="7" t="s">
        <v>2073</v>
      </c>
      <c r="F470" s="7" t="str" cm="1">
        <f t="array" ref="F470">INDEX(공급업체코드!$B$3:$B$1000,MATCH(1,(E470=공급업체코드!$D$3:$D$1000)*1,0))</f>
        <v>VM_KF_MACH</v>
      </c>
      <c r="G470" s="158" t="s">
        <v>2083</v>
      </c>
      <c r="I470" s="166">
        <v>15.21</v>
      </c>
      <c r="J470" s="160">
        <v>4000</v>
      </c>
      <c r="K470" s="159">
        <v>125</v>
      </c>
      <c r="L470" s="165">
        <v>16.776</v>
      </c>
      <c r="M470" s="7" t="s">
        <v>987</v>
      </c>
      <c r="N470" s="7">
        <v>380</v>
      </c>
      <c r="O470" s="151">
        <v>0.93599999999999994</v>
      </c>
      <c r="P470" s="7">
        <v>0.9</v>
      </c>
      <c r="Q470" s="7">
        <v>80</v>
      </c>
      <c r="R470" s="113">
        <v>11</v>
      </c>
      <c r="S470" s="258" t="s">
        <v>1390</v>
      </c>
      <c r="T470" s="10">
        <f t="shared" si="12"/>
        <v>1</v>
      </c>
      <c r="U470" s="260" t="s">
        <v>1391</v>
      </c>
      <c r="V470">
        <v>999</v>
      </c>
      <c r="X470" s="157" t="s">
        <v>2075</v>
      </c>
      <c r="Y470" t="b">
        <v>1</v>
      </c>
    </row>
    <row r="471" spans="1:25">
      <c r="A471" s="229" t="s">
        <v>2098</v>
      </c>
      <c r="B471" s="1" t="str">
        <f t="shared" si="13"/>
        <v>M_AEB0401_VM_KF_MACH_19_4000</v>
      </c>
      <c r="C471" s="7" t="s">
        <v>2097</v>
      </c>
      <c r="D471" s="7" t="str" cm="1">
        <f t="array" ref="D471">INDEX(기계코드!$D$4:$D$1022,MATCH(1,(C471=기계코드!$F$4:$F$1022)*1,0))</f>
        <v>M_AEB0401</v>
      </c>
      <c r="E471" s="7" t="s">
        <v>2073</v>
      </c>
      <c r="F471" s="7" t="str" cm="1">
        <f t="array" ref="F471">INDEX(공급업체코드!$B$3:$B$1000,MATCH(1,(E471=공급업체코드!$D$3:$D$1000)*1,0))</f>
        <v>VM_KF_MACH</v>
      </c>
      <c r="G471" s="158" t="s">
        <v>2083</v>
      </c>
      <c r="I471" s="166">
        <v>19</v>
      </c>
      <c r="J471" s="160">
        <v>4000</v>
      </c>
      <c r="K471" s="159">
        <v>125</v>
      </c>
      <c r="L471" s="165">
        <v>20.004000000000001</v>
      </c>
      <c r="M471" s="7" t="s">
        <v>987</v>
      </c>
      <c r="N471" s="7">
        <v>380</v>
      </c>
      <c r="O471" s="151">
        <v>0.93599999999999994</v>
      </c>
      <c r="P471" s="7">
        <v>0.9</v>
      </c>
      <c r="Q471" s="7">
        <v>80</v>
      </c>
      <c r="R471" s="113">
        <v>11</v>
      </c>
      <c r="S471" s="258" t="s">
        <v>1390</v>
      </c>
      <c r="T471" s="10">
        <f t="shared" si="12"/>
        <v>1</v>
      </c>
      <c r="U471" s="260" t="s">
        <v>1391</v>
      </c>
      <c r="V471">
        <v>999</v>
      </c>
      <c r="X471" s="157" t="s">
        <v>2075</v>
      </c>
      <c r="Y471" t="b">
        <v>1</v>
      </c>
    </row>
    <row r="472" spans="1:25">
      <c r="A472" s="229" t="s">
        <v>2098</v>
      </c>
      <c r="B472" s="1" t="str">
        <f t="shared" si="13"/>
        <v>M_AEB0401_VM_KF_MACH_22.02_4000</v>
      </c>
      <c r="C472" s="7" t="s">
        <v>2097</v>
      </c>
      <c r="D472" s="7" t="str" cm="1">
        <f t="array" ref="D472">INDEX(기계코드!$D$4:$D$1022,MATCH(1,(C472=기계코드!$F$4:$F$1022)*1,0))</f>
        <v>M_AEB0401</v>
      </c>
      <c r="E472" s="7" t="s">
        <v>2073</v>
      </c>
      <c r="F472" s="7" t="str" cm="1">
        <f t="array" ref="F472">INDEX(공급업체코드!$B$3:$B$1000,MATCH(1,(E472=공급업체코드!$D$3:$D$1000)*1,0))</f>
        <v>VM_KF_MACH</v>
      </c>
      <c r="G472" s="158" t="s">
        <v>2083</v>
      </c>
      <c r="I472" s="166">
        <v>22.02</v>
      </c>
      <c r="J472" s="160">
        <v>4000</v>
      </c>
      <c r="K472" s="159">
        <v>125</v>
      </c>
      <c r="L472" s="165">
        <v>22.62</v>
      </c>
      <c r="M472" s="7" t="s">
        <v>987</v>
      </c>
      <c r="N472" s="7">
        <v>380</v>
      </c>
      <c r="O472" s="151">
        <v>0.94099999999999995</v>
      </c>
      <c r="P472" s="7">
        <v>0.9</v>
      </c>
      <c r="Q472" s="7">
        <v>80</v>
      </c>
      <c r="R472" s="113">
        <v>11</v>
      </c>
      <c r="S472" s="258" t="s">
        <v>1390</v>
      </c>
      <c r="T472" s="10">
        <f t="shared" si="12"/>
        <v>1</v>
      </c>
      <c r="U472" s="260" t="s">
        <v>1391</v>
      </c>
      <c r="V472">
        <v>999</v>
      </c>
      <c r="X472" s="157" t="s">
        <v>2075</v>
      </c>
      <c r="Y472" t="b">
        <v>1</v>
      </c>
    </row>
    <row r="473" spans="1:25">
      <c r="A473" s="229" t="s">
        <v>2098</v>
      </c>
      <c r="B473" s="1" t="str">
        <f t="shared" si="13"/>
        <v>M_AEB0401_VM_KF_MACH_10.83_5000</v>
      </c>
      <c r="C473" s="7" t="s">
        <v>2097</v>
      </c>
      <c r="D473" s="7" t="str" cm="1">
        <f t="array" ref="D473">INDEX(기계코드!$D$4:$D$1022,MATCH(1,(C473=기계코드!$F$4:$F$1022)*1,0))</f>
        <v>M_AEB0401</v>
      </c>
      <c r="E473" s="7" t="s">
        <v>2073</v>
      </c>
      <c r="F473" s="7" t="str" cm="1">
        <f t="array" ref="F473">INDEX(공급업체코드!$B$3:$B$1000,MATCH(1,(E473=공급업체코드!$D$3:$D$1000)*1,0))</f>
        <v>VM_KF_MACH</v>
      </c>
      <c r="G473" s="158" t="s">
        <v>2083</v>
      </c>
      <c r="I473" s="166">
        <v>10.83</v>
      </c>
      <c r="J473" s="160">
        <v>5000</v>
      </c>
      <c r="K473" s="159">
        <v>125</v>
      </c>
      <c r="L473" s="165">
        <v>16.079999999999998</v>
      </c>
      <c r="M473" s="7" t="s">
        <v>987</v>
      </c>
      <c r="N473" s="7">
        <v>380</v>
      </c>
      <c r="O473" s="151">
        <v>0.93599999999999994</v>
      </c>
      <c r="P473" s="7">
        <v>0.9</v>
      </c>
      <c r="Q473" s="7">
        <v>80</v>
      </c>
      <c r="R473" s="113">
        <v>11</v>
      </c>
      <c r="S473" s="258" t="s">
        <v>1390</v>
      </c>
      <c r="T473" s="10">
        <f t="shared" si="12"/>
        <v>1</v>
      </c>
      <c r="U473" s="260" t="s">
        <v>1391</v>
      </c>
      <c r="V473">
        <v>999</v>
      </c>
      <c r="X473" s="157" t="s">
        <v>2075</v>
      </c>
      <c r="Y473" t="b">
        <v>1</v>
      </c>
    </row>
    <row r="474" spans="1:25">
      <c r="A474" s="229" t="s">
        <v>2098</v>
      </c>
      <c r="B474" s="1" t="str">
        <f t="shared" si="13"/>
        <v>M_AEB0401_VM_KF_MACH_14.7_5000</v>
      </c>
      <c r="C474" s="7" t="s">
        <v>2097</v>
      </c>
      <c r="D474" s="7" t="str" cm="1">
        <f t="array" ref="D474">INDEX(기계코드!$D$4:$D$1022,MATCH(1,(C474=기계코드!$F$4:$F$1022)*1,0))</f>
        <v>M_AEB0401</v>
      </c>
      <c r="E474" s="7" t="s">
        <v>2073</v>
      </c>
      <c r="F474" s="7" t="str" cm="1">
        <f t="array" ref="F474">INDEX(공급업체코드!$B$3:$B$1000,MATCH(1,(E474=공급업체코드!$D$3:$D$1000)*1,0))</f>
        <v>VM_KF_MACH</v>
      </c>
      <c r="G474" s="158" t="s">
        <v>2083</v>
      </c>
      <c r="I474" s="166">
        <v>14.7</v>
      </c>
      <c r="J474" s="160">
        <v>5000</v>
      </c>
      <c r="K474" s="159">
        <v>125</v>
      </c>
      <c r="L474" s="165">
        <v>20.532</v>
      </c>
      <c r="M474" s="7" t="s">
        <v>987</v>
      </c>
      <c r="N474" s="7">
        <v>380</v>
      </c>
      <c r="O474" s="151">
        <v>0.93599999999999994</v>
      </c>
      <c r="P474" s="7">
        <v>0.9</v>
      </c>
      <c r="Q474" s="7">
        <v>80</v>
      </c>
      <c r="R474" s="113">
        <v>11</v>
      </c>
      <c r="S474" s="258" t="s">
        <v>1390</v>
      </c>
      <c r="T474" s="10">
        <f t="shared" si="12"/>
        <v>1</v>
      </c>
      <c r="U474" s="260" t="s">
        <v>1391</v>
      </c>
      <c r="V474">
        <v>999</v>
      </c>
      <c r="X474" s="157" t="s">
        <v>2075</v>
      </c>
      <c r="Y474" t="b">
        <v>1</v>
      </c>
    </row>
    <row r="475" spans="1:25">
      <c r="A475" s="229" t="s">
        <v>2098</v>
      </c>
      <c r="B475" s="1" t="str">
        <f t="shared" si="13"/>
        <v>M_AEB0401_VM_KF_MACH_18.5_5000</v>
      </c>
      <c r="C475" s="7" t="s">
        <v>2097</v>
      </c>
      <c r="D475" s="7" t="str" cm="1">
        <f t="array" ref="D475">INDEX(기계코드!$D$4:$D$1022,MATCH(1,(C475=기계코드!$F$4:$F$1022)*1,0))</f>
        <v>M_AEB0401</v>
      </c>
      <c r="E475" s="7" t="s">
        <v>2073</v>
      </c>
      <c r="F475" s="7" t="str" cm="1">
        <f t="array" ref="F475">INDEX(공급업체코드!$B$3:$B$1000,MATCH(1,(E475=공급업체코드!$D$3:$D$1000)*1,0))</f>
        <v>VM_KF_MACH</v>
      </c>
      <c r="G475" s="158" t="s">
        <v>2083</v>
      </c>
      <c r="I475" s="166">
        <v>18.5</v>
      </c>
      <c r="J475" s="160">
        <v>5000</v>
      </c>
      <c r="K475" s="159">
        <v>125</v>
      </c>
      <c r="L475" s="165">
        <v>24.684000000000001</v>
      </c>
      <c r="M475" s="7" t="s">
        <v>987</v>
      </c>
      <c r="N475" s="7">
        <v>380</v>
      </c>
      <c r="O475" s="151">
        <v>0.94099999999999995</v>
      </c>
      <c r="P475" s="7">
        <v>0.9</v>
      </c>
      <c r="Q475" s="7">
        <v>80</v>
      </c>
      <c r="R475" s="113">
        <v>11</v>
      </c>
      <c r="S475" s="258" t="s">
        <v>1390</v>
      </c>
      <c r="T475" s="10">
        <f t="shared" si="12"/>
        <v>1</v>
      </c>
      <c r="U475" s="260" t="s">
        <v>1391</v>
      </c>
      <c r="V475">
        <v>999</v>
      </c>
      <c r="X475" s="157" t="s">
        <v>2075</v>
      </c>
      <c r="Y475" t="b">
        <v>1</v>
      </c>
    </row>
    <row r="476" spans="1:25">
      <c r="A476" s="229" t="s">
        <v>2098</v>
      </c>
      <c r="B476" s="1" t="str">
        <f t="shared" si="13"/>
        <v>M_AEB0401_VM_KF_MACH_21.55_5000</v>
      </c>
      <c r="C476" s="7" t="s">
        <v>2097</v>
      </c>
      <c r="D476" s="7" t="str" cm="1">
        <f t="array" ref="D476">INDEX(기계코드!$D$4:$D$1022,MATCH(1,(C476=기계코드!$F$4:$F$1022)*1,0))</f>
        <v>M_AEB0401</v>
      </c>
      <c r="E476" s="7" t="s">
        <v>2073</v>
      </c>
      <c r="F476" s="7" t="str" cm="1">
        <f t="array" ref="F476">INDEX(공급업체코드!$B$3:$B$1000,MATCH(1,(E476=공급업체코드!$D$3:$D$1000)*1,0))</f>
        <v>VM_KF_MACH</v>
      </c>
      <c r="G476" s="158" t="s">
        <v>2083</v>
      </c>
      <c r="I476" s="166">
        <v>21.55</v>
      </c>
      <c r="J476" s="160">
        <v>5000</v>
      </c>
      <c r="K476" s="159">
        <v>125</v>
      </c>
      <c r="L476" s="165">
        <v>28.044</v>
      </c>
      <c r="M476" s="7" t="s">
        <v>987</v>
      </c>
      <c r="N476" s="7">
        <v>380</v>
      </c>
      <c r="O476" s="151">
        <v>0.94099999999999995</v>
      </c>
      <c r="P476" s="7">
        <v>0.9</v>
      </c>
      <c r="Q476" s="7">
        <v>80</v>
      </c>
      <c r="R476" s="113">
        <v>11</v>
      </c>
      <c r="S476" s="258" t="s">
        <v>1390</v>
      </c>
      <c r="T476" s="10">
        <f t="shared" si="12"/>
        <v>1</v>
      </c>
      <c r="U476" s="260" t="s">
        <v>1391</v>
      </c>
      <c r="V476">
        <v>999</v>
      </c>
      <c r="X476" s="157" t="s">
        <v>2075</v>
      </c>
      <c r="Y476" t="b">
        <v>1</v>
      </c>
    </row>
    <row r="477" spans="1:25">
      <c r="A477" s="229" t="s">
        <v>2098</v>
      </c>
      <c r="B477" s="1" t="str">
        <f t="shared" si="13"/>
        <v>M_AEB0401_VM_KF_MACH_10.33_6000</v>
      </c>
      <c r="C477" s="7" t="s">
        <v>2097</v>
      </c>
      <c r="D477" s="7" t="str" cm="1">
        <f t="array" ref="D477">INDEX(기계코드!$D$4:$D$1022,MATCH(1,(C477=기계코드!$F$4:$F$1022)*1,0))</f>
        <v>M_AEB0401</v>
      </c>
      <c r="E477" s="7" t="s">
        <v>2073</v>
      </c>
      <c r="F477" s="7" t="str" cm="1">
        <f t="array" ref="F477">INDEX(공급업체코드!$B$3:$B$1000,MATCH(1,(E477=공급업체코드!$D$3:$D$1000)*1,0))</f>
        <v>VM_KF_MACH</v>
      </c>
      <c r="G477" s="158" t="s">
        <v>2083</v>
      </c>
      <c r="I477" s="166">
        <v>10.33</v>
      </c>
      <c r="J477" s="160">
        <v>6000</v>
      </c>
      <c r="K477" s="159">
        <v>125</v>
      </c>
      <c r="L477" s="165">
        <v>18.923999999999999</v>
      </c>
      <c r="M477" s="7" t="s">
        <v>987</v>
      </c>
      <c r="N477" s="7">
        <v>380</v>
      </c>
      <c r="O477" s="151">
        <v>0.93599999999999994</v>
      </c>
      <c r="P477" s="7">
        <v>0.9</v>
      </c>
      <c r="Q477" s="7">
        <v>80</v>
      </c>
      <c r="R477" s="113">
        <v>11</v>
      </c>
      <c r="S477" s="258" t="s">
        <v>1390</v>
      </c>
      <c r="T477" s="10">
        <f t="shared" si="12"/>
        <v>1</v>
      </c>
      <c r="U477" s="260" t="s">
        <v>1391</v>
      </c>
      <c r="V477">
        <v>999</v>
      </c>
      <c r="X477" s="157" t="s">
        <v>2075</v>
      </c>
      <c r="Y477" t="b">
        <v>1</v>
      </c>
    </row>
    <row r="478" spans="1:25">
      <c r="A478" s="229" t="s">
        <v>2098</v>
      </c>
      <c r="B478" s="1" t="str">
        <f t="shared" si="13"/>
        <v>M_AEB0401_VM_KF_MACH_14.29_6000</v>
      </c>
      <c r="C478" s="7" t="s">
        <v>2097</v>
      </c>
      <c r="D478" s="7" t="str" cm="1">
        <f t="array" ref="D478">INDEX(기계코드!$D$4:$D$1022,MATCH(1,(C478=기계코드!$F$4:$F$1022)*1,0))</f>
        <v>M_AEB0401</v>
      </c>
      <c r="E478" s="7" t="s">
        <v>2073</v>
      </c>
      <c r="F478" s="7" t="str" cm="1">
        <f t="array" ref="F478">INDEX(공급업체코드!$B$3:$B$1000,MATCH(1,(E478=공급업체코드!$D$3:$D$1000)*1,0))</f>
        <v>VM_KF_MACH</v>
      </c>
      <c r="G478" s="158" t="s">
        <v>2083</v>
      </c>
      <c r="I478" s="166">
        <v>14.29</v>
      </c>
      <c r="J478" s="160">
        <v>6000</v>
      </c>
      <c r="K478" s="159">
        <v>125</v>
      </c>
      <c r="L478" s="165">
        <v>24.635999999999999</v>
      </c>
      <c r="M478" s="7" t="s">
        <v>987</v>
      </c>
      <c r="N478" s="7">
        <v>380</v>
      </c>
      <c r="O478" s="151">
        <v>0.94099999999999995</v>
      </c>
      <c r="P478" s="7">
        <v>0.9</v>
      </c>
      <c r="Q478" s="7">
        <v>80</v>
      </c>
      <c r="R478" s="113">
        <v>11</v>
      </c>
      <c r="S478" s="258" t="s">
        <v>1390</v>
      </c>
      <c r="T478" s="10">
        <f t="shared" si="12"/>
        <v>1</v>
      </c>
      <c r="U478" s="260" t="s">
        <v>1391</v>
      </c>
      <c r="V478">
        <v>999</v>
      </c>
      <c r="X478" s="157" t="s">
        <v>2075</v>
      </c>
      <c r="Y478" t="b">
        <v>1</v>
      </c>
    </row>
    <row r="479" spans="1:25">
      <c r="A479" s="229" t="s">
        <v>2098</v>
      </c>
      <c r="B479" s="1" t="str">
        <f t="shared" si="13"/>
        <v>M_AEB0401_VM_KF_MACH_18.1_6000</v>
      </c>
      <c r="C479" s="7" t="s">
        <v>2097</v>
      </c>
      <c r="D479" s="7" t="str" cm="1">
        <f t="array" ref="D479">INDEX(기계코드!$D$4:$D$1022,MATCH(1,(C479=기계코드!$F$4:$F$1022)*1,0))</f>
        <v>M_AEB0401</v>
      </c>
      <c r="E479" s="7" t="s">
        <v>2073</v>
      </c>
      <c r="F479" s="7" t="str" cm="1">
        <f t="array" ref="F479">INDEX(공급업체코드!$B$3:$B$1000,MATCH(1,(E479=공급업체코드!$D$3:$D$1000)*1,0))</f>
        <v>VM_KF_MACH</v>
      </c>
      <c r="G479" s="158" t="s">
        <v>2083</v>
      </c>
      <c r="I479" s="166">
        <v>18.100000000000001</v>
      </c>
      <c r="J479" s="160">
        <v>6000</v>
      </c>
      <c r="K479" s="159">
        <v>125</v>
      </c>
      <c r="L479" s="165">
        <v>29.352</v>
      </c>
      <c r="M479" s="7" t="s">
        <v>987</v>
      </c>
      <c r="N479" s="7">
        <v>380</v>
      </c>
      <c r="O479" s="151">
        <v>0.94099999999999995</v>
      </c>
      <c r="P479" s="7">
        <v>0.9</v>
      </c>
      <c r="Q479" s="7">
        <v>80</v>
      </c>
      <c r="R479" s="113">
        <v>11</v>
      </c>
      <c r="S479" s="258" t="s">
        <v>1390</v>
      </c>
      <c r="T479" s="10">
        <f t="shared" si="12"/>
        <v>1</v>
      </c>
      <c r="U479" s="260" t="s">
        <v>1391</v>
      </c>
      <c r="V479">
        <v>999</v>
      </c>
      <c r="X479" s="157" t="s">
        <v>2075</v>
      </c>
      <c r="Y479" t="b">
        <v>1</v>
      </c>
    </row>
    <row r="480" spans="1:25">
      <c r="A480" s="229" t="s">
        <v>2098</v>
      </c>
      <c r="B480" s="1" t="str">
        <f t="shared" si="13"/>
        <v>M_AEB0401_VM_KF_MACH_21.18_6000</v>
      </c>
      <c r="C480" s="7" t="s">
        <v>2097</v>
      </c>
      <c r="D480" s="7" t="str" cm="1">
        <f t="array" ref="D480">INDEX(기계코드!$D$4:$D$1022,MATCH(1,(C480=기계코드!$F$4:$F$1022)*1,0))</f>
        <v>M_AEB0401</v>
      </c>
      <c r="E480" s="7" t="s">
        <v>2073</v>
      </c>
      <c r="F480" s="7" t="str" cm="1">
        <f t="array" ref="F480">INDEX(공급업체코드!$B$3:$B$1000,MATCH(1,(E480=공급업체코드!$D$3:$D$1000)*1,0))</f>
        <v>VM_KF_MACH</v>
      </c>
      <c r="G480" s="158" t="s">
        <v>2083</v>
      </c>
      <c r="I480" s="166">
        <v>21.18</v>
      </c>
      <c r="J480" s="160">
        <v>6000</v>
      </c>
      <c r="K480" s="159">
        <v>125</v>
      </c>
      <c r="L480" s="165">
        <v>33.515999999999998</v>
      </c>
      <c r="M480" s="7" t="s">
        <v>987</v>
      </c>
      <c r="N480" s="7">
        <v>380</v>
      </c>
      <c r="O480" s="151">
        <v>0.94499999999999995</v>
      </c>
      <c r="P480" s="7">
        <v>0.9</v>
      </c>
      <c r="Q480" s="7">
        <v>80</v>
      </c>
      <c r="R480" s="113">
        <v>11</v>
      </c>
      <c r="S480" s="258" t="s">
        <v>1390</v>
      </c>
      <c r="T480" s="10">
        <f t="shared" si="12"/>
        <v>1</v>
      </c>
      <c r="U480" s="260" t="s">
        <v>1391</v>
      </c>
      <c r="V480">
        <v>999</v>
      </c>
      <c r="X480" s="157" t="s">
        <v>2075</v>
      </c>
      <c r="Y480" t="b">
        <v>1</v>
      </c>
    </row>
    <row r="481" spans="1:25">
      <c r="A481" s="229" t="s">
        <v>2098</v>
      </c>
      <c r="B481" s="1" t="str">
        <f t="shared" si="13"/>
        <v>M_AEB0401_VM_KF_MACH_14.05_4000</v>
      </c>
      <c r="C481" s="7" t="s">
        <v>2097</v>
      </c>
      <c r="D481" s="7" t="str" cm="1">
        <f t="array" ref="D481">INDEX(기계코드!$D$4:$D$1022,MATCH(1,(C481=기계코드!$F$4:$F$1022)*1,0))</f>
        <v>M_AEB0401</v>
      </c>
      <c r="E481" s="7" t="s">
        <v>2073</v>
      </c>
      <c r="F481" s="7" t="str" cm="1">
        <f t="array" ref="F481">INDEX(공급업체코드!$B$3:$B$1000,MATCH(1,(E481=공급업체코드!$D$3:$D$1000)*1,0))</f>
        <v>VM_KF_MACH</v>
      </c>
      <c r="G481" s="158" t="s">
        <v>2084</v>
      </c>
      <c r="I481" s="166">
        <v>14.05</v>
      </c>
      <c r="J481" s="160">
        <v>4000</v>
      </c>
      <c r="K481" s="159">
        <v>150</v>
      </c>
      <c r="L481" s="165">
        <v>15.911999999999999</v>
      </c>
      <c r="M481" s="7" t="s">
        <v>987</v>
      </c>
      <c r="N481" s="7">
        <v>380</v>
      </c>
      <c r="O481" s="151">
        <v>0.93599999999999994</v>
      </c>
      <c r="P481" s="7">
        <v>0.9</v>
      </c>
      <c r="Q481" s="7">
        <v>80</v>
      </c>
      <c r="R481" s="113">
        <v>11</v>
      </c>
      <c r="S481" s="258" t="s">
        <v>1390</v>
      </c>
      <c r="T481" s="10">
        <f t="shared" si="12"/>
        <v>1</v>
      </c>
      <c r="U481" s="260" t="s">
        <v>1391</v>
      </c>
      <c r="V481">
        <v>999</v>
      </c>
      <c r="X481" s="157" t="s">
        <v>2075</v>
      </c>
      <c r="Y481" t="b">
        <v>1</v>
      </c>
    </row>
    <row r="482" spans="1:25">
      <c r="A482" s="229" t="s">
        <v>2098</v>
      </c>
      <c r="B482" s="1" t="str">
        <f t="shared" si="13"/>
        <v>M_AEB0401_VM_KF_MACH_18.58_4000</v>
      </c>
      <c r="C482" s="7" t="s">
        <v>2097</v>
      </c>
      <c r="D482" s="7" t="str" cm="1">
        <f t="array" ref="D482">INDEX(기계코드!$D$4:$D$1022,MATCH(1,(C482=기계코드!$F$4:$F$1022)*1,0))</f>
        <v>M_AEB0401</v>
      </c>
      <c r="E482" s="7" t="s">
        <v>2073</v>
      </c>
      <c r="F482" s="7" t="str" cm="1">
        <f t="array" ref="F482">INDEX(공급업체코드!$B$3:$B$1000,MATCH(1,(E482=공급업체코드!$D$3:$D$1000)*1,0))</f>
        <v>VM_KF_MACH</v>
      </c>
      <c r="G482" s="158" t="s">
        <v>2084</v>
      </c>
      <c r="I482" s="166">
        <v>18.579999999999998</v>
      </c>
      <c r="J482" s="160">
        <v>4000</v>
      </c>
      <c r="K482" s="159">
        <v>150</v>
      </c>
      <c r="L482" s="165">
        <v>20.291999999999998</v>
      </c>
      <c r="M482" s="7" t="s">
        <v>987</v>
      </c>
      <c r="N482" s="7">
        <v>380</v>
      </c>
      <c r="O482" s="151">
        <v>0.93599999999999994</v>
      </c>
      <c r="P482" s="7">
        <v>0.9</v>
      </c>
      <c r="Q482" s="7">
        <v>80</v>
      </c>
      <c r="R482" s="113">
        <v>11</v>
      </c>
      <c r="S482" s="258" t="s">
        <v>1390</v>
      </c>
      <c r="T482" s="10">
        <f t="shared" si="12"/>
        <v>1</v>
      </c>
      <c r="U482" s="260" t="s">
        <v>1391</v>
      </c>
      <c r="V482">
        <v>999</v>
      </c>
      <c r="X482" s="157" t="s">
        <v>2075</v>
      </c>
      <c r="Y482" t="b">
        <v>1</v>
      </c>
    </row>
    <row r="483" spans="1:25">
      <c r="A483" s="229" t="s">
        <v>2098</v>
      </c>
      <c r="B483" s="1" t="str">
        <f t="shared" si="13"/>
        <v>M_AEB0401_VM_KF_MACH_23.02_4000</v>
      </c>
      <c r="C483" s="7" t="s">
        <v>2097</v>
      </c>
      <c r="D483" s="7" t="str" cm="1">
        <f t="array" ref="D483">INDEX(기계코드!$D$4:$D$1022,MATCH(1,(C483=기계코드!$F$4:$F$1022)*1,0))</f>
        <v>M_AEB0401</v>
      </c>
      <c r="E483" s="7" t="s">
        <v>2073</v>
      </c>
      <c r="F483" s="7" t="str" cm="1">
        <f t="array" ref="F483">INDEX(공급업체코드!$B$3:$B$1000,MATCH(1,(E483=공급업체코드!$D$3:$D$1000)*1,0))</f>
        <v>VM_KF_MACH</v>
      </c>
      <c r="G483" s="158" t="s">
        <v>2084</v>
      </c>
      <c r="I483" s="166">
        <v>23.02</v>
      </c>
      <c r="J483" s="160">
        <v>4000</v>
      </c>
      <c r="K483" s="159">
        <v>150</v>
      </c>
      <c r="L483" s="165">
        <v>24.635999999999999</v>
      </c>
      <c r="M483" s="7" t="s">
        <v>987</v>
      </c>
      <c r="N483" s="7">
        <v>380</v>
      </c>
      <c r="O483" s="151">
        <v>0.94099999999999995</v>
      </c>
      <c r="P483" s="7">
        <v>0.9</v>
      </c>
      <c r="Q483" s="7">
        <v>80</v>
      </c>
      <c r="R483" s="113">
        <v>11</v>
      </c>
      <c r="S483" s="258" t="s">
        <v>1390</v>
      </c>
      <c r="T483" s="10">
        <f t="shared" si="12"/>
        <v>1</v>
      </c>
      <c r="U483" s="260" t="s">
        <v>1391</v>
      </c>
      <c r="V483">
        <v>999</v>
      </c>
      <c r="X483" s="157" t="s">
        <v>2075</v>
      </c>
      <c r="Y483" t="b">
        <v>1</v>
      </c>
    </row>
    <row r="484" spans="1:25">
      <c r="A484" s="229" t="s">
        <v>2098</v>
      </c>
      <c r="B484" s="1" t="str">
        <f t="shared" si="13"/>
        <v>M_AEB0401_VM_KF_MACH_26.61_4000</v>
      </c>
      <c r="C484" s="7" t="s">
        <v>2097</v>
      </c>
      <c r="D484" s="7" t="str" cm="1">
        <f t="array" ref="D484">INDEX(기계코드!$D$4:$D$1022,MATCH(1,(C484=기계코드!$F$4:$F$1022)*1,0))</f>
        <v>M_AEB0401</v>
      </c>
      <c r="E484" s="7" t="s">
        <v>2073</v>
      </c>
      <c r="F484" s="7" t="str" cm="1">
        <f t="array" ref="F484">INDEX(공급업체코드!$B$3:$B$1000,MATCH(1,(E484=공급업체코드!$D$3:$D$1000)*1,0))</f>
        <v>VM_KF_MACH</v>
      </c>
      <c r="G484" s="158" t="s">
        <v>2084</v>
      </c>
      <c r="I484" s="166">
        <v>26.61</v>
      </c>
      <c r="J484" s="160">
        <v>4000</v>
      </c>
      <c r="K484" s="159">
        <v>150</v>
      </c>
      <c r="L484" s="165">
        <v>27.648</v>
      </c>
      <c r="M484" s="7" t="s">
        <v>987</v>
      </c>
      <c r="N484" s="7">
        <v>380</v>
      </c>
      <c r="O484" s="151">
        <v>0.94099999999999995</v>
      </c>
      <c r="P484" s="7">
        <v>0.9</v>
      </c>
      <c r="Q484" s="7">
        <v>80</v>
      </c>
      <c r="R484" s="113">
        <v>11</v>
      </c>
      <c r="S484" s="258" t="s">
        <v>1390</v>
      </c>
      <c r="T484" s="10">
        <f t="shared" si="12"/>
        <v>1</v>
      </c>
      <c r="U484" s="260" t="s">
        <v>1391</v>
      </c>
      <c r="V484">
        <v>999</v>
      </c>
      <c r="X484" s="157" t="s">
        <v>2075</v>
      </c>
      <c r="Y484" t="b">
        <v>1</v>
      </c>
    </row>
    <row r="485" spans="1:25">
      <c r="A485" s="229" t="s">
        <v>2098</v>
      </c>
      <c r="B485" s="1" t="str">
        <f t="shared" si="13"/>
        <v>M_AEB0401_VM_KF_MACH_13.53_5000</v>
      </c>
      <c r="C485" s="7" t="s">
        <v>2097</v>
      </c>
      <c r="D485" s="7" t="str" cm="1">
        <f t="array" ref="D485">INDEX(기계코드!$D$4:$D$1022,MATCH(1,(C485=기계코드!$F$4:$F$1022)*1,0))</f>
        <v>M_AEB0401</v>
      </c>
      <c r="E485" s="7" t="s">
        <v>2073</v>
      </c>
      <c r="F485" s="7" t="str" cm="1">
        <f t="array" ref="F485">INDEX(공급업체코드!$B$3:$B$1000,MATCH(1,(E485=공급업체코드!$D$3:$D$1000)*1,0))</f>
        <v>VM_KF_MACH</v>
      </c>
      <c r="G485" s="158" t="s">
        <v>2084</v>
      </c>
      <c r="I485" s="166">
        <v>13.53</v>
      </c>
      <c r="J485" s="160">
        <v>5000</v>
      </c>
      <c r="K485" s="159">
        <v>150</v>
      </c>
      <c r="L485" s="165">
        <v>19.38</v>
      </c>
      <c r="M485" s="7" t="s">
        <v>987</v>
      </c>
      <c r="N485" s="7">
        <v>380</v>
      </c>
      <c r="O485" s="151">
        <v>0.93599999999999994</v>
      </c>
      <c r="P485" s="7">
        <v>0.9</v>
      </c>
      <c r="Q485" s="7">
        <v>80</v>
      </c>
      <c r="R485" s="113">
        <v>11</v>
      </c>
      <c r="S485" s="258" t="s">
        <v>1390</v>
      </c>
      <c r="T485" s="10">
        <f t="shared" si="12"/>
        <v>1</v>
      </c>
      <c r="U485" s="260" t="s">
        <v>1391</v>
      </c>
      <c r="V485">
        <v>999</v>
      </c>
      <c r="X485" s="157" t="s">
        <v>2075</v>
      </c>
      <c r="Y485" t="b">
        <v>1</v>
      </c>
    </row>
    <row r="486" spans="1:25">
      <c r="A486" s="229" t="s">
        <v>2098</v>
      </c>
      <c r="B486" s="1" t="str">
        <f t="shared" si="13"/>
        <v>M_AEB0401_VM_KF_MACH_18.07_5000</v>
      </c>
      <c r="C486" s="7" t="s">
        <v>2097</v>
      </c>
      <c r="D486" s="7" t="str" cm="1">
        <f t="array" ref="D486">INDEX(기계코드!$D$4:$D$1022,MATCH(1,(C486=기계코드!$F$4:$F$1022)*1,0))</f>
        <v>M_AEB0401</v>
      </c>
      <c r="E486" s="7" t="s">
        <v>2073</v>
      </c>
      <c r="F486" s="7" t="str" cm="1">
        <f t="array" ref="F486">INDEX(공급업체코드!$B$3:$B$1000,MATCH(1,(E486=공급업체코드!$D$3:$D$1000)*1,0))</f>
        <v>VM_KF_MACH</v>
      </c>
      <c r="G486" s="158" t="s">
        <v>2084</v>
      </c>
      <c r="I486" s="166">
        <v>18.07</v>
      </c>
      <c r="J486" s="160">
        <v>5000</v>
      </c>
      <c r="K486" s="159">
        <v>150</v>
      </c>
      <c r="L486" s="165">
        <v>24.936</v>
      </c>
      <c r="M486" s="7" t="s">
        <v>987</v>
      </c>
      <c r="N486" s="7">
        <v>380</v>
      </c>
      <c r="O486" s="151">
        <v>0.94099999999999995</v>
      </c>
      <c r="P486" s="7">
        <v>0.9</v>
      </c>
      <c r="Q486" s="7">
        <v>80</v>
      </c>
      <c r="R486" s="113">
        <v>11</v>
      </c>
      <c r="S486" s="258" t="s">
        <v>1390</v>
      </c>
      <c r="T486" s="10">
        <f t="shared" si="12"/>
        <v>1</v>
      </c>
      <c r="U486" s="260" t="s">
        <v>1391</v>
      </c>
      <c r="V486">
        <v>999</v>
      </c>
      <c r="X486" s="157" t="s">
        <v>2075</v>
      </c>
      <c r="Y486" t="b">
        <v>1</v>
      </c>
    </row>
    <row r="487" spans="1:25">
      <c r="A487" s="229" t="s">
        <v>2098</v>
      </c>
      <c r="B487" s="1" t="str">
        <f t="shared" si="13"/>
        <v>M_AEB0401_VM_KF_MACH_22.52_5000</v>
      </c>
      <c r="C487" s="7" t="s">
        <v>2097</v>
      </c>
      <c r="D487" s="7" t="str" cm="1">
        <f t="array" ref="D487">INDEX(기계코드!$D$4:$D$1022,MATCH(1,(C487=기계코드!$F$4:$F$1022)*1,0))</f>
        <v>M_AEB0401</v>
      </c>
      <c r="E487" s="7" t="s">
        <v>2073</v>
      </c>
      <c r="F487" s="7" t="str" cm="1">
        <f t="array" ref="F487">INDEX(공급업체코드!$B$3:$B$1000,MATCH(1,(E487=공급업체코드!$D$3:$D$1000)*1,0))</f>
        <v>VM_KF_MACH</v>
      </c>
      <c r="G487" s="158" t="s">
        <v>2084</v>
      </c>
      <c r="I487" s="166">
        <v>22.52</v>
      </c>
      <c r="J487" s="160">
        <v>5000</v>
      </c>
      <c r="K487" s="159">
        <v>150</v>
      </c>
      <c r="L487" s="165">
        <v>30.143999999999998</v>
      </c>
      <c r="M487" s="7" t="s">
        <v>987</v>
      </c>
      <c r="N487" s="7">
        <v>380</v>
      </c>
      <c r="O487" s="151">
        <v>0.94499999999999995</v>
      </c>
      <c r="P487" s="7">
        <v>0.9</v>
      </c>
      <c r="Q487" s="7">
        <v>80</v>
      </c>
      <c r="R487" s="113">
        <v>11</v>
      </c>
      <c r="S487" s="258" t="s">
        <v>1390</v>
      </c>
      <c r="T487" s="10">
        <f t="shared" si="12"/>
        <v>1</v>
      </c>
      <c r="U487" s="260" t="s">
        <v>1391</v>
      </c>
      <c r="V487">
        <v>999</v>
      </c>
      <c r="X487" s="157" t="s">
        <v>2075</v>
      </c>
      <c r="Y487" t="b">
        <v>1</v>
      </c>
    </row>
    <row r="488" spans="1:25">
      <c r="A488" s="229" t="s">
        <v>2098</v>
      </c>
      <c r="B488" s="1" t="str">
        <f t="shared" si="13"/>
        <v>M_AEB0401_VM_KF_MACH_26.1_5000</v>
      </c>
      <c r="C488" s="7" t="s">
        <v>2097</v>
      </c>
      <c r="D488" s="7" t="str" cm="1">
        <f t="array" ref="D488">INDEX(기계코드!$D$4:$D$1022,MATCH(1,(C488=기계코드!$F$4:$F$1022)*1,0))</f>
        <v>M_AEB0401</v>
      </c>
      <c r="E488" s="7" t="s">
        <v>2073</v>
      </c>
      <c r="F488" s="7" t="str" cm="1">
        <f t="array" ref="F488">INDEX(공급업체코드!$B$3:$B$1000,MATCH(1,(E488=공급업체코드!$D$3:$D$1000)*1,0))</f>
        <v>VM_KF_MACH</v>
      </c>
      <c r="G488" s="158" t="s">
        <v>2084</v>
      </c>
      <c r="I488" s="166">
        <v>26.1</v>
      </c>
      <c r="J488" s="160">
        <v>5000</v>
      </c>
      <c r="K488" s="159">
        <v>150</v>
      </c>
      <c r="L488" s="165">
        <v>33.923999999999999</v>
      </c>
      <c r="M488" s="7" t="s">
        <v>987</v>
      </c>
      <c r="N488" s="7">
        <v>380</v>
      </c>
      <c r="O488" s="151">
        <v>0.94499999999999995</v>
      </c>
      <c r="P488" s="7">
        <v>0.9</v>
      </c>
      <c r="Q488" s="7">
        <v>80</v>
      </c>
      <c r="R488" s="113">
        <v>11</v>
      </c>
      <c r="S488" s="258" t="s">
        <v>1390</v>
      </c>
      <c r="T488" s="10">
        <f t="shared" si="12"/>
        <v>1</v>
      </c>
      <c r="U488" s="260" t="s">
        <v>1391</v>
      </c>
      <c r="V488">
        <v>999</v>
      </c>
      <c r="X488" s="157" t="s">
        <v>2075</v>
      </c>
      <c r="Y488" t="b">
        <v>1</v>
      </c>
    </row>
    <row r="489" spans="1:25">
      <c r="A489" s="229" t="s">
        <v>2098</v>
      </c>
      <c r="B489" s="1" t="str">
        <f t="shared" si="13"/>
        <v>M_AEB0401_VM_KF_MACH_13.01_6000</v>
      </c>
      <c r="C489" s="7" t="s">
        <v>2097</v>
      </c>
      <c r="D489" s="7" t="str" cm="1">
        <f t="array" ref="D489">INDEX(기계코드!$D$4:$D$1022,MATCH(1,(C489=기계코드!$F$4:$F$1022)*1,0))</f>
        <v>M_AEB0401</v>
      </c>
      <c r="E489" s="7" t="s">
        <v>2073</v>
      </c>
      <c r="F489" s="7" t="str" cm="1">
        <f t="array" ref="F489">INDEX(공급업체코드!$B$3:$B$1000,MATCH(1,(E489=공급업체코드!$D$3:$D$1000)*1,0))</f>
        <v>VM_KF_MACH</v>
      </c>
      <c r="G489" s="158" t="s">
        <v>2084</v>
      </c>
      <c r="I489" s="166">
        <v>13.01</v>
      </c>
      <c r="J489" s="160">
        <v>6000</v>
      </c>
      <c r="K489" s="159">
        <v>150</v>
      </c>
      <c r="L489" s="165">
        <v>22.523999999999997</v>
      </c>
      <c r="M489" s="7" t="s">
        <v>987</v>
      </c>
      <c r="N489" s="7">
        <v>380</v>
      </c>
      <c r="O489" s="151">
        <v>0.94099999999999995</v>
      </c>
      <c r="P489" s="7">
        <v>0.9</v>
      </c>
      <c r="Q489" s="7">
        <v>80</v>
      </c>
      <c r="R489" s="113">
        <v>11</v>
      </c>
      <c r="S489" s="258" t="s">
        <v>1390</v>
      </c>
      <c r="T489" s="10">
        <f t="shared" si="12"/>
        <v>1</v>
      </c>
      <c r="U489" s="260" t="s">
        <v>1391</v>
      </c>
      <c r="V489">
        <v>999</v>
      </c>
      <c r="X489" s="157" t="s">
        <v>2075</v>
      </c>
      <c r="Y489" t="b">
        <v>1</v>
      </c>
    </row>
    <row r="490" spans="1:25">
      <c r="A490" s="229" t="s">
        <v>2098</v>
      </c>
      <c r="B490" s="1" t="str">
        <f t="shared" si="13"/>
        <v>M_AEB0401_VM_KF_MACH_17.45_6000</v>
      </c>
      <c r="C490" s="7" t="s">
        <v>2097</v>
      </c>
      <c r="D490" s="7" t="str" cm="1">
        <f t="array" ref="D490">INDEX(기계코드!$D$4:$D$1022,MATCH(1,(C490=기계코드!$F$4:$F$1022)*1,0))</f>
        <v>M_AEB0401</v>
      </c>
      <c r="E490" s="7" t="s">
        <v>2073</v>
      </c>
      <c r="F490" s="7" t="str" cm="1">
        <f t="array" ref="F490">INDEX(공급업체코드!$B$3:$B$1000,MATCH(1,(E490=공급업체코드!$D$3:$D$1000)*1,0))</f>
        <v>VM_KF_MACH</v>
      </c>
      <c r="G490" s="158" t="s">
        <v>2084</v>
      </c>
      <c r="I490" s="166">
        <v>17.45</v>
      </c>
      <c r="J490" s="160">
        <v>6000</v>
      </c>
      <c r="K490" s="159">
        <v>150</v>
      </c>
      <c r="L490" s="165">
        <v>29.16</v>
      </c>
      <c r="M490" s="7" t="s">
        <v>987</v>
      </c>
      <c r="N490" s="7">
        <v>380</v>
      </c>
      <c r="O490" s="151">
        <v>0.94099999999999995</v>
      </c>
      <c r="P490" s="7">
        <v>0.9</v>
      </c>
      <c r="Q490" s="7">
        <v>80</v>
      </c>
      <c r="R490" s="113">
        <v>11</v>
      </c>
      <c r="S490" s="258" t="s">
        <v>1390</v>
      </c>
      <c r="T490" s="10">
        <f t="shared" si="12"/>
        <v>1</v>
      </c>
      <c r="U490" s="260" t="s">
        <v>1391</v>
      </c>
      <c r="V490">
        <v>999</v>
      </c>
      <c r="X490" s="157" t="s">
        <v>2075</v>
      </c>
      <c r="Y490" t="b">
        <v>1</v>
      </c>
    </row>
    <row r="491" spans="1:25">
      <c r="A491" s="229" t="s">
        <v>2098</v>
      </c>
      <c r="B491" s="1" t="str">
        <f t="shared" si="13"/>
        <v>M_AEB0401_VM_KF_MACH_22.01_6000</v>
      </c>
      <c r="C491" s="7" t="s">
        <v>2097</v>
      </c>
      <c r="D491" s="7" t="str" cm="1">
        <f t="array" ref="D491">INDEX(기계코드!$D$4:$D$1022,MATCH(1,(C491=기계코드!$F$4:$F$1022)*1,0))</f>
        <v>M_AEB0401</v>
      </c>
      <c r="E491" s="7" t="s">
        <v>2073</v>
      </c>
      <c r="F491" s="7" t="str" cm="1">
        <f t="array" ref="F491">INDEX(공급업체코드!$B$3:$B$1000,MATCH(1,(E491=공급업체코드!$D$3:$D$1000)*1,0))</f>
        <v>VM_KF_MACH</v>
      </c>
      <c r="G491" s="158" t="s">
        <v>2084</v>
      </c>
      <c r="I491" s="166">
        <v>22.01</v>
      </c>
      <c r="J491" s="160">
        <v>6000</v>
      </c>
      <c r="K491" s="159">
        <v>150</v>
      </c>
      <c r="L491" s="165">
        <v>35.315999999999995</v>
      </c>
      <c r="M491" s="7" t="s">
        <v>987</v>
      </c>
      <c r="N491" s="7">
        <v>380</v>
      </c>
      <c r="O491" s="151">
        <v>0.94499999999999995</v>
      </c>
      <c r="P491" s="7">
        <v>0.9</v>
      </c>
      <c r="Q491" s="7">
        <v>80</v>
      </c>
      <c r="R491" s="113">
        <v>11</v>
      </c>
      <c r="S491" s="258" t="s">
        <v>1390</v>
      </c>
      <c r="T491" s="10">
        <f t="shared" si="12"/>
        <v>1</v>
      </c>
      <c r="U491" s="260" t="s">
        <v>1391</v>
      </c>
      <c r="V491">
        <v>999</v>
      </c>
      <c r="X491" s="157" t="s">
        <v>2075</v>
      </c>
      <c r="Y491" t="b">
        <v>1</v>
      </c>
    </row>
    <row r="492" spans="1:25">
      <c r="A492" s="229" t="s">
        <v>2098</v>
      </c>
      <c r="B492" s="1" t="str">
        <f t="shared" si="13"/>
        <v>M_AEB0401_VM_KF_MACH_25.64_6000</v>
      </c>
      <c r="C492" s="7" t="s">
        <v>2097</v>
      </c>
      <c r="D492" s="7" t="str" cm="1">
        <f t="array" ref="D492">INDEX(기계코드!$D$4:$D$1022,MATCH(1,(C492=기계코드!$F$4:$F$1022)*1,0))</f>
        <v>M_AEB0401</v>
      </c>
      <c r="E492" s="7" t="s">
        <v>2073</v>
      </c>
      <c r="F492" s="7" t="str" cm="1">
        <f t="array" ref="F492">INDEX(공급업체코드!$B$3:$B$1000,MATCH(1,(E492=공급업체코드!$D$3:$D$1000)*1,0))</f>
        <v>VM_KF_MACH</v>
      </c>
      <c r="G492" s="158" t="s">
        <v>2084</v>
      </c>
      <c r="I492" s="166">
        <v>25.64</v>
      </c>
      <c r="J492" s="160">
        <v>6000</v>
      </c>
      <c r="K492" s="159">
        <v>150</v>
      </c>
      <c r="L492" s="165">
        <v>39.948</v>
      </c>
      <c r="M492" s="7" t="s">
        <v>987</v>
      </c>
      <c r="N492" s="7">
        <v>380</v>
      </c>
      <c r="O492" s="151">
        <v>0.95</v>
      </c>
      <c r="P492" s="7">
        <v>0.9</v>
      </c>
      <c r="Q492" s="7">
        <v>80</v>
      </c>
      <c r="R492" s="113">
        <v>11</v>
      </c>
      <c r="S492" s="258" t="s">
        <v>1390</v>
      </c>
      <c r="T492" s="10">
        <f t="shared" si="12"/>
        <v>1</v>
      </c>
      <c r="U492" s="260" t="s">
        <v>1391</v>
      </c>
      <c r="V492">
        <v>999</v>
      </c>
      <c r="X492" s="157" t="s">
        <v>2075</v>
      </c>
      <c r="Y492" t="b">
        <v>1</v>
      </c>
    </row>
    <row r="493" spans="1:25">
      <c r="A493" s="229" t="s">
        <v>2098</v>
      </c>
      <c r="B493" s="1" t="str">
        <f t="shared" si="13"/>
        <v>M_AEB0401_VM_KF_MACH_19.39_4000</v>
      </c>
      <c r="C493" s="7" t="s">
        <v>2097</v>
      </c>
      <c r="D493" s="7" t="str" cm="1">
        <f t="array" ref="D493">INDEX(기계코드!$D$4:$D$1022,MATCH(1,(C493=기계코드!$F$4:$F$1022)*1,0))</f>
        <v>M_AEB0401</v>
      </c>
      <c r="E493" s="7" t="s">
        <v>2073</v>
      </c>
      <c r="F493" s="7" t="str" cm="1">
        <f t="array" ref="F493">INDEX(공급업체코드!$B$3:$B$1000,MATCH(1,(E493=공급업체코드!$D$3:$D$1000)*1,0))</f>
        <v>VM_KF_MACH</v>
      </c>
      <c r="G493" s="158" t="s">
        <v>2085</v>
      </c>
      <c r="I493" s="166">
        <v>19.39</v>
      </c>
      <c r="J493" s="160">
        <v>4000</v>
      </c>
      <c r="K493" s="159">
        <v>150</v>
      </c>
      <c r="L493" s="165">
        <v>22.091999999999999</v>
      </c>
      <c r="M493" s="7" t="s">
        <v>987</v>
      </c>
      <c r="N493" s="7">
        <v>380</v>
      </c>
      <c r="O493" s="151">
        <v>0.94099999999999995</v>
      </c>
      <c r="P493" s="7">
        <v>0.9</v>
      </c>
      <c r="Q493" s="7">
        <v>80</v>
      </c>
      <c r="R493" s="113">
        <v>11</v>
      </c>
      <c r="S493" s="258" t="s">
        <v>1390</v>
      </c>
      <c r="T493" s="10">
        <f t="shared" si="12"/>
        <v>1</v>
      </c>
      <c r="U493" s="260" t="s">
        <v>1391</v>
      </c>
      <c r="V493">
        <v>999</v>
      </c>
      <c r="X493" s="157" t="s">
        <v>2075</v>
      </c>
      <c r="Y493" t="b">
        <v>1</v>
      </c>
    </row>
    <row r="494" spans="1:25">
      <c r="A494" s="229" t="s">
        <v>2098</v>
      </c>
      <c r="B494" s="1" t="str">
        <f t="shared" si="13"/>
        <v>M_AEB0401_VM_KF_MACH_25.65_4000</v>
      </c>
      <c r="C494" s="7" t="s">
        <v>2097</v>
      </c>
      <c r="D494" s="7" t="str" cm="1">
        <f t="array" ref="D494">INDEX(기계코드!$D$4:$D$1022,MATCH(1,(C494=기계코드!$F$4:$F$1022)*1,0))</f>
        <v>M_AEB0401</v>
      </c>
      <c r="E494" s="7" t="s">
        <v>2073</v>
      </c>
      <c r="F494" s="7" t="str" cm="1">
        <f t="array" ref="F494">INDEX(공급업체코드!$B$3:$B$1000,MATCH(1,(E494=공급업체코드!$D$3:$D$1000)*1,0))</f>
        <v>VM_KF_MACH</v>
      </c>
      <c r="G494" s="158" t="s">
        <v>2085</v>
      </c>
      <c r="I494" s="166">
        <v>25.65</v>
      </c>
      <c r="J494" s="160">
        <v>4000</v>
      </c>
      <c r="K494" s="159">
        <v>150</v>
      </c>
      <c r="L494" s="165">
        <v>27.983999999999998</v>
      </c>
      <c r="M494" s="7" t="s">
        <v>987</v>
      </c>
      <c r="N494" s="7">
        <v>380</v>
      </c>
      <c r="O494" s="151">
        <v>0.94099999999999995</v>
      </c>
      <c r="P494" s="7">
        <v>0.9</v>
      </c>
      <c r="Q494" s="7">
        <v>80</v>
      </c>
      <c r="R494" s="113">
        <v>11</v>
      </c>
      <c r="S494" s="258" t="s">
        <v>1390</v>
      </c>
      <c r="T494" s="10">
        <f t="shared" si="12"/>
        <v>1</v>
      </c>
      <c r="U494" s="260" t="s">
        <v>1391</v>
      </c>
      <c r="V494">
        <v>999</v>
      </c>
      <c r="X494" s="157" t="s">
        <v>2075</v>
      </c>
      <c r="Y494" t="b">
        <v>1</v>
      </c>
    </row>
    <row r="495" spans="1:25">
      <c r="A495" s="229" t="s">
        <v>2098</v>
      </c>
      <c r="B495" s="1" t="str">
        <f t="shared" si="13"/>
        <v>M_AEB0401_VM_KF_MACH_32.1_4000</v>
      </c>
      <c r="C495" s="7" t="s">
        <v>2097</v>
      </c>
      <c r="D495" s="7" t="str" cm="1">
        <f t="array" ref="D495">INDEX(기계코드!$D$4:$D$1022,MATCH(1,(C495=기계코드!$F$4:$F$1022)*1,0))</f>
        <v>M_AEB0401</v>
      </c>
      <c r="E495" s="7" t="s">
        <v>2073</v>
      </c>
      <c r="F495" s="7" t="str" cm="1">
        <f t="array" ref="F495">INDEX(공급업체코드!$B$3:$B$1000,MATCH(1,(E495=공급업체코드!$D$3:$D$1000)*1,0))</f>
        <v>VM_KF_MACH</v>
      </c>
      <c r="G495" s="158" t="s">
        <v>2085</v>
      </c>
      <c r="I495" s="166">
        <v>32.1</v>
      </c>
      <c r="J495" s="160">
        <v>4000</v>
      </c>
      <c r="K495" s="159">
        <v>150</v>
      </c>
      <c r="L495" s="165">
        <v>34.055999999999997</v>
      </c>
      <c r="M495" s="7" t="s">
        <v>987</v>
      </c>
      <c r="N495" s="7">
        <v>380</v>
      </c>
      <c r="O495" s="151">
        <v>0.94499999999999995</v>
      </c>
      <c r="P495" s="7">
        <v>0.9</v>
      </c>
      <c r="Q495" s="7">
        <v>80</v>
      </c>
      <c r="R495" s="113">
        <v>11</v>
      </c>
      <c r="S495" s="258" t="s">
        <v>1390</v>
      </c>
      <c r="T495" s="10">
        <f t="shared" si="12"/>
        <v>1</v>
      </c>
      <c r="U495" s="260" t="s">
        <v>1391</v>
      </c>
      <c r="V495">
        <v>999</v>
      </c>
      <c r="X495" s="157" t="s">
        <v>2075</v>
      </c>
      <c r="Y495" t="b">
        <v>1</v>
      </c>
    </row>
    <row r="496" spans="1:25">
      <c r="A496" s="229" t="s">
        <v>2098</v>
      </c>
      <c r="B496" s="1" t="str">
        <f t="shared" si="13"/>
        <v>M_AEB0401_VM_KF_MACH_37.1_4000</v>
      </c>
      <c r="C496" s="7" t="s">
        <v>2097</v>
      </c>
      <c r="D496" s="7" t="str" cm="1">
        <f t="array" ref="D496">INDEX(기계코드!$D$4:$D$1022,MATCH(1,(C496=기계코드!$F$4:$F$1022)*1,0))</f>
        <v>M_AEB0401</v>
      </c>
      <c r="E496" s="7" t="s">
        <v>2073</v>
      </c>
      <c r="F496" s="7" t="str" cm="1">
        <f t="array" ref="F496">INDEX(공급업체코드!$B$3:$B$1000,MATCH(1,(E496=공급업체코드!$D$3:$D$1000)*1,0))</f>
        <v>VM_KF_MACH</v>
      </c>
      <c r="G496" s="158" t="s">
        <v>2085</v>
      </c>
      <c r="I496" s="166">
        <v>37.1</v>
      </c>
      <c r="J496" s="160">
        <v>4000</v>
      </c>
      <c r="K496" s="159">
        <v>150</v>
      </c>
      <c r="L496" s="165">
        <v>38.22</v>
      </c>
      <c r="M496" s="7" t="s">
        <v>987</v>
      </c>
      <c r="N496" s="7">
        <v>380</v>
      </c>
      <c r="O496" s="151">
        <v>0.95</v>
      </c>
      <c r="P496" s="7">
        <v>0.9</v>
      </c>
      <c r="Q496" s="7">
        <v>80</v>
      </c>
      <c r="R496" s="113">
        <v>11</v>
      </c>
      <c r="S496" s="258" t="s">
        <v>1390</v>
      </c>
      <c r="T496" s="10">
        <f t="shared" si="12"/>
        <v>1</v>
      </c>
      <c r="U496" s="260" t="s">
        <v>1391</v>
      </c>
      <c r="V496">
        <v>999</v>
      </c>
      <c r="X496" s="157" t="s">
        <v>2075</v>
      </c>
      <c r="Y496" t="b">
        <v>1</v>
      </c>
    </row>
    <row r="497" spans="1:25">
      <c r="A497" s="229" t="s">
        <v>2098</v>
      </c>
      <c r="B497" s="1" t="str">
        <f t="shared" si="13"/>
        <v>M_AEB0401_VM_KF_MACH_18.67_5000</v>
      </c>
      <c r="C497" s="7" t="s">
        <v>2097</v>
      </c>
      <c r="D497" s="7" t="str" cm="1">
        <f t="array" ref="D497">INDEX(기계코드!$D$4:$D$1022,MATCH(1,(C497=기계코드!$F$4:$F$1022)*1,0))</f>
        <v>M_AEB0401</v>
      </c>
      <c r="E497" s="7" t="s">
        <v>2073</v>
      </c>
      <c r="F497" s="7" t="str" cm="1">
        <f t="array" ref="F497">INDEX(공급업체코드!$B$3:$B$1000,MATCH(1,(E497=공급업체코드!$D$3:$D$1000)*1,0))</f>
        <v>VM_KF_MACH</v>
      </c>
      <c r="G497" s="158" t="s">
        <v>2085</v>
      </c>
      <c r="I497" s="166">
        <v>18.670000000000002</v>
      </c>
      <c r="J497" s="160">
        <v>5000</v>
      </c>
      <c r="K497" s="159">
        <v>150</v>
      </c>
      <c r="L497" s="165">
        <v>27.108000000000001</v>
      </c>
      <c r="M497" s="7" t="s">
        <v>987</v>
      </c>
      <c r="N497" s="7">
        <v>380</v>
      </c>
      <c r="O497" s="151">
        <v>0.94099999999999995</v>
      </c>
      <c r="P497" s="7">
        <v>0.9</v>
      </c>
      <c r="Q497" s="7">
        <v>80</v>
      </c>
      <c r="R497" s="113">
        <v>11</v>
      </c>
      <c r="S497" s="258" t="s">
        <v>1390</v>
      </c>
      <c r="T497" s="10">
        <f t="shared" si="12"/>
        <v>1</v>
      </c>
      <c r="U497" s="260" t="s">
        <v>1391</v>
      </c>
      <c r="V497">
        <v>999</v>
      </c>
      <c r="X497" s="157" t="s">
        <v>2075</v>
      </c>
      <c r="Y497" t="b">
        <v>1</v>
      </c>
    </row>
    <row r="498" spans="1:25">
      <c r="A498" s="229" t="s">
        <v>2098</v>
      </c>
      <c r="B498" s="1" t="str">
        <f t="shared" si="13"/>
        <v>M_AEB0401_VM_KF_MACH_24.94_5000</v>
      </c>
      <c r="C498" s="7" t="s">
        <v>2097</v>
      </c>
      <c r="D498" s="7" t="str" cm="1">
        <f t="array" ref="D498">INDEX(기계코드!$D$4:$D$1022,MATCH(1,(C498=기계코드!$F$4:$F$1022)*1,0))</f>
        <v>M_AEB0401</v>
      </c>
      <c r="E498" s="7" t="s">
        <v>2073</v>
      </c>
      <c r="F498" s="7" t="str" cm="1">
        <f t="array" ref="F498">INDEX(공급업체코드!$B$3:$B$1000,MATCH(1,(E498=공급업체코드!$D$3:$D$1000)*1,0))</f>
        <v>VM_KF_MACH</v>
      </c>
      <c r="G498" s="158" t="s">
        <v>2085</v>
      </c>
      <c r="I498" s="166">
        <v>24.94</v>
      </c>
      <c r="J498" s="160">
        <v>5000</v>
      </c>
      <c r="K498" s="159">
        <v>150</v>
      </c>
      <c r="L498" s="165">
        <v>34.32</v>
      </c>
      <c r="M498" s="7" t="s">
        <v>987</v>
      </c>
      <c r="N498" s="7">
        <v>380</v>
      </c>
      <c r="O498" s="151">
        <v>0.94499999999999995</v>
      </c>
      <c r="P498" s="7">
        <v>0.9</v>
      </c>
      <c r="Q498" s="7">
        <v>80</v>
      </c>
      <c r="R498" s="113">
        <v>11</v>
      </c>
      <c r="S498" s="258" t="s">
        <v>1390</v>
      </c>
      <c r="T498" s="10">
        <f t="shared" si="12"/>
        <v>1</v>
      </c>
      <c r="U498" s="260" t="s">
        <v>1391</v>
      </c>
      <c r="V498">
        <v>999</v>
      </c>
      <c r="X498" s="157" t="s">
        <v>2075</v>
      </c>
      <c r="Y498" t="b">
        <v>1</v>
      </c>
    </row>
    <row r="499" spans="1:25">
      <c r="A499" s="229" t="s">
        <v>2098</v>
      </c>
      <c r="B499" s="1" t="str">
        <f t="shared" si="13"/>
        <v>M_AEB0401_VM_KF_MACH_31.4_5000</v>
      </c>
      <c r="C499" s="7" t="s">
        <v>2097</v>
      </c>
      <c r="D499" s="7" t="str" cm="1">
        <f t="array" ref="D499">INDEX(기계코드!$D$4:$D$1022,MATCH(1,(C499=기계코드!$F$4:$F$1022)*1,0))</f>
        <v>M_AEB0401</v>
      </c>
      <c r="E499" s="7" t="s">
        <v>2073</v>
      </c>
      <c r="F499" s="7" t="str" cm="1">
        <f t="array" ref="F499">INDEX(공급업체코드!$B$3:$B$1000,MATCH(1,(E499=공급업체코드!$D$3:$D$1000)*1,0))</f>
        <v>VM_KF_MACH</v>
      </c>
      <c r="G499" s="158" t="s">
        <v>2085</v>
      </c>
      <c r="I499" s="166">
        <v>31.4</v>
      </c>
      <c r="J499" s="160">
        <v>5000</v>
      </c>
      <c r="K499" s="159">
        <v>150</v>
      </c>
      <c r="L499" s="165">
        <v>41.856000000000002</v>
      </c>
      <c r="M499" s="7" t="s">
        <v>987</v>
      </c>
      <c r="N499" s="7">
        <v>380</v>
      </c>
      <c r="O499" s="151">
        <v>0.95</v>
      </c>
      <c r="P499" s="7">
        <v>0.9</v>
      </c>
      <c r="Q499" s="7">
        <v>80</v>
      </c>
      <c r="R499" s="113">
        <v>11</v>
      </c>
      <c r="S499" s="258" t="s">
        <v>1390</v>
      </c>
      <c r="T499" s="10">
        <f t="shared" si="12"/>
        <v>1</v>
      </c>
      <c r="U499" s="260" t="s">
        <v>1391</v>
      </c>
      <c r="V499">
        <v>999</v>
      </c>
      <c r="X499" s="157" t="s">
        <v>2075</v>
      </c>
      <c r="Y499" t="b">
        <v>1</v>
      </c>
    </row>
    <row r="500" spans="1:25">
      <c r="A500" s="229" t="s">
        <v>2098</v>
      </c>
      <c r="B500" s="1" t="str">
        <f t="shared" si="13"/>
        <v>M_AEB0401_VM_KF_MACH_36.4_5000</v>
      </c>
      <c r="C500" s="7" t="s">
        <v>2097</v>
      </c>
      <c r="D500" s="7" t="str" cm="1">
        <f t="array" ref="D500">INDEX(기계코드!$D$4:$D$1022,MATCH(1,(C500=기계코드!$F$4:$F$1022)*1,0))</f>
        <v>M_AEB0401</v>
      </c>
      <c r="E500" s="7" t="s">
        <v>2073</v>
      </c>
      <c r="F500" s="7" t="str" cm="1">
        <f t="array" ref="F500">INDEX(공급업체코드!$B$3:$B$1000,MATCH(1,(E500=공급업체코드!$D$3:$D$1000)*1,0))</f>
        <v>VM_KF_MACH</v>
      </c>
      <c r="G500" s="158" t="s">
        <v>2085</v>
      </c>
      <c r="I500" s="166">
        <v>36.4</v>
      </c>
      <c r="J500" s="160">
        <v>5000</v>
      </c>
      <c r="K500" s="159">
        <v>150</v>
      </c>
      <c r="L500" s="165">
        <v>47.1</v>
      </c>
      <c r="M500" s="7" t="s">
        <v>987</v>
      </c>
      <c r="N500" s="7">
        <v>380</v>
      </c>
      <c r="O500" s="151">
        <v>0.95400000000000007</v>
      </c>
      <c r="P500" s="7">
        <v>0.9</v>
      </c>
      <c r="Q500" s="7">
        <v>80</v>
      </c>
      <c r="R500" s="113">
        <v>11</v>
      </c>
      <c r="S500" s="258" t="s">
        <v>1390</v>
      </c>
      <c r="T500" s="10">
        <f t="shared" si="12"/>
        <v>1</v>
      </c>
      <c r="U500" s="260" t="s">
        <v>1391</v>
      </c>
      <c r="V500">
        <v>999</v>
      </c>
      <c r="X500" s="157" t="s">
        <v>2075</v>
      </c>
      <c r="Y500" t="b">
        <v>1</v>
      </c>
    </row>
    <row r="501" spans="1:25">
      <c r="A501" s="229" t="s">
        <v>2098</v>
      </c>
      <c r="B501" s="1" t="str">
        <f t="shared" si="13"/>
        <v>M_AEB0401_VM_KF_MACH_17.96_6000</v>
      </c>
      <c r="C501" s="7" t="s">
        <v>2097</v>
      </c>
      <c r="D501" s="7" t="str" cm="1">
        <f t="array" ref="D501">INDEX(기계코드!$D$4:$D$1022,MATCH(1,(C501=기계코드!$F$4:$F$1022)*1,0))</f>
        <v>M_AEB0401</v>
      </c>
      <c r="E501" s="7" t="s">
        <v>2073</v>
      </c>
      <c r="F501" s="7" t="str" cm="1">
        <f t="array" ref="F501">INDEX(공급업체코드!$B$3:$B$1000,MATCH(1,(E501=공급업체코드!$D$3:$D$1000)*1,0))</f>
        <v>VM_KF_MACH</v>
      </c>
      <c r="G501" s="158" t="s">
        <v>2085</v>
      </c>
      <c r="I501" s="166">
        <v>17.96</v>
      </c>
      <c r="J501" s="160">
        <v>6000</v>
      </c>
      <c r="K501" s="159">
        <v>150</v>
      </c>
      <c r="L501" s="165">
        <v>32.064</v>
      </c>
      <c r="M501" s="7" t="s">
        <v>987</v>
      </c>
      <c r="N501" s="7">
        <v>380</v>
      </c>
      <c r="O501" s="151">
        <v>0.94499999999999995</v>
      </c>
      <c r="P501" s="7">
        <v>0.9</v>
      </c>
      <c r="Q501" s="7">
        <v>80</v>
      </c>
      <c r="R501" s="113">
        <v>11</v>
      </c>
      <c r="S501" s="258" t="s">
        <v>1390</v>
      </c>
      <c r="T501" s="10">
        <f t="shared" si="12"/>
        <v>1</v>
      </c>
      <c r="U501" s="260" t="s">
        <v>1391</v>
      </c>
      <c r="V501">
        <v>999</v>
      </c>
      <c r="X501" s="157" t="s">
        <v>2075</v>
      </c>
      <c r="Y501" t="b">
        <v>1</v>
      </c>
    </row>
    <row r="502" spans="1:25">
      <c r="A502" s="229" t="s">
        <v>2098</v>
      </c>
      <c r="B502" s="1" t="str">
        <f t="shared" si="13"/>
        <v>M_AEB0401_VM_KF_MACH_24.33_6000</v>
      </c>
      <c r="C502" s="7" t="s">
        <v>2097</v>
      </c>
      <c r="D502" s="7" t="str" cm="1">
        <f t="array" ref="D502">INDEX(기계코드!$D$4:$D$1022,MATCH(1,(C502=기계코드!$F$4:$F$1022)*1,0))</f>
        <v>M_AEB0401</v>
      </c>
      <c r="E502" s="7" t="s">
        <v>2073</v>
      </c>
      <c r="F502" s="7" t="str" cm="1">
        <f t="array" ref="F502">INDEX(공급업체코드!$B$3:$B$1000,MATCH(1,(E502=공급업체코드!$D$3:$D$1000)*1,0))</f>
        <v>VM_KF_MACH</v>
      </c>
      <c r="G502" s="158" t="s">
        <v>2085</v>
      </c>
      <c r="I502" s="166">
        <v>24.33</v>
      </c>
      <c r="J502" s="160">
        <v>6000</v>
      </c>
      <c r="K502" s="159">
        <v>150</v>
      </c>
      <c r="L502" s="165">
        <v>40.872</v>
      </c>
      <c r="M502" s="7" t="s">
        <v>987</v>
      </c>
      <c r="N502" s="7">
        <v>380</v>
      </c>
      <c r="O502" s="151">
        <v>0.95</v>
      </c>
      <c r="P502" s="7">
        <v>0.9</v>
      </c>
      <c r="Q502" s="7">
        <v>80</v>
      </c>
      <c r="R502" s="113">
        <v>11</v>
      </c>
      <c r="S502" s="258" t="s">
        <v>1390</v>
      </c>
      <c r="T502" s="10">
        <f t="shared" ref="T502:T565" si="14">IF(R502&lt;500,1,IF(R502&lt;1000,2,IF(R502&lt;5000,3,4)))</f>
        <v>1</v>
      </c>
      <c r="U502" s="260" t="s">
        <v>1391</v>
      </c>
      <c r="V502">
        <v>999</v>
      </c>
      <c r="X502" s="157" t="s">
        <v>2075</v>
      </c>
      <c r="Y502" t="b">
        <v>1</v>
      </c>
    </row>
    <row r="503" spans="1:25">
      <c r="A503" s="229" t="s">
        <v>2098</v>
      </c>
      <c r="B503" s="1" t="str">
        <f t="shared" si="13"/>
        <v>M_AEB0401_VM_KF_MACH_30.7_6000</v>
      </c>
      <c r="C503" s="7" t="s">
        <v>2097</v>
      </c>
      <c r="D503" s="7" t="str" cm="1">
        <f t="array" ref="D503">INDEX(기계코드!$D$4:$D$1022,MATCH(1,(C503=기계코드!$F$4:$F$1022)*1,0))</f>
        <v>M_AEB0401</v>
      </c>
      <c r="E503" s="7" t="s">
        <v>2073</v>
      </c>
      <c r="F503" s="7" t="str" cm="1">
        <f t="array" ref="F503">INDEX(공급업체코드!$B$3:$B$1000,MATCH(1,(E503=공급업체코드!$D$3:$D$1000)*1,0))</f>
        <v>VM_KF_MACH</v>
      </c>
      <c r="G503" s="158" t="s">
        <v>2085</v>
      </c>
      <c r="I503" s="166">
        <v>30.7</v>
      </c>
      <c r="J503" s="160">
        <v>6000</v>
      </c>
      <c r="K503" s="159">
        <v>150</v>
      </c>
      <c r="L503" s="165">
        <v>49.547999999999995</v>
      </c>
      <c r="M503" s="7" t="s">
        <v>987</v>
      </c>
      <c r="N503" s="7">
        <v>380</v>
      </c>
      <c r="O503" s="151">
        <v>0.95400000000000007</v>
      </c>
      <c r="P503" s="7">
        <v>0.9</v>
      </c>
      <c r="Q503" s="7">
        <v>80</v>
      </c>
      <c r="R503" s="113">
        <v>11</v>
      </c>
      <c r="S503" s="258" t="s">
        <v>1390</v>
      </c>
      <c r="T503" s="10">
        <f t="shared" si="14"/>
        <v>1</v>
      </c>
      <c r="U503" s="260" t="s">
        <v>1391</v>
      </c>
      <c r="V503">
        <v>999</v>
      </c>
      <c r="X503" s="157" t="s">
        <v>2075</v>
      </c>
      <c r="Y503" t="b">
        <v>1</v>
      </c>
    </row>
    <row r="504" spans="1:25">
      <c r="A504" s="229" t="s">
        <v>2098</v>
      </c>
      <c r="B504" s="1" t="str">
        <f t="shared" si="13"/>
        <v>M_AEB0401_VM_KF_MACH_35.76_6000</v>
      </c>
      <c r="C504" s="7" t="s">
        <v>2097</v>
      </c>
      <c r="D504" s="7" t="str" cm="1">
        <f t="array" ref="D504">INDEX(기계코드!$D$4:$D$1022,MATCH(1,(C504=기계코드!$F$4:$F$1022)*1,0))</f>
        <v>M_AEB0401</v>
      </c>
      <c r="E504" s="7" t="s">
        <v>2073</v>
      </c>
      <c r="F504" s="7" t="str" cm="1">
        <f t="array" ref="F504">INDEX(공급업체코드!$B$3:$B$1000,MATCH(1,(E504=공급업체코드!$D$3:$D$1000)*1,0))</f>
        <v>VM_KF_MACH</v>
      </c>
      <c r="G504" s="158" t="s">
        <v>2085</v>
      </c>
      <c r="I504" s="166">
        <v>35.76</v>
      </c>
      <c r="J504" s="160">
        <v>6000</v>
      </c>
      <c r="K504" s="159">
        <v>150</v>
      </c>
      <c r="L504" s="165">
        <v>56.04</v>
      </c>
      <c r="M504" s="7" t="s">
        <v>987</v>
      </c>
      <c r="N504" s="7">
        <v>380</v>
      </c>
      <c r="O504" s="151">
        <v>0.95400000000000007</v>
      </c>
      <c r="P504" s="7">
        <v>0.9</v>
      </c>
      <c r="Q504" s="7">
        <v>80</v>
      </c>
      <c r="R504" s="113">
        <v>11</v>
      </c>
      <c r="S504" s="258" t="s">
        <v>1390</v>
      </c>
      <c r="T504" s="10">
        <f t="shared" si="14"/>
        <v>1</v>
      </c>
      <c r="U504" s="260" t="s">
        <v>1391</v>
      </c>
      <c r="V504">
        <v>999</v>
      </c>
      <c r="X504" s="157" t="s">
        <v>2075</v>
      </c>
      <c r="Y504" t="b">
        <v>1</v>
      </c>
    </row>
    <row r="505" spans="1:25">
      <c r="A505" s="229" t="s">
        <v>2098</v>
      </c>
      <c r="B505" s="1" t="str">
        <f t="shared" si="13"/>
        <v>M_AEB0401_VM_KF_MACH_19.68_4000</v>
      </c>
      <c r="C505" s="7" t="s">
        <v>2097</v>
      </c>
      <c r="D505" s="7" t="str" cm="1">
        <f t="array" ref="D505">INDEX(기계코드!$D$4:$D$1022,MATCH(1,(C505=기계코드!$F$4:$F$1022)*1,0))</f>
        <v>M_AEB0401</v>
      </c>
      <c r="E505" s="7" t="s">
        <v>2073</v>
      </c>
      <c r="F505" s="7" t="str" cm="1">
        <f t="array" ref="F505">INDEX(공급업체코드!$B$3:$B$1000,MATCH(1,(E505=공급업체코드!$D$3:$D$1000)*1,0))</f>
        <v>VM_KF_MACH</v>
      </c>
      <c r="G505" s="158" t="s">
        <v>2086</v>
      </c>
      <c r="I505" s="166">
        <v>19.68</v>
      </c>
      <c r="J505" s="160">
        <v>4000</v>
      </c>
      <c r="K505" s="159">
        <v>200</v>
      </c>
      <c r="L505" s="165">
        <v>22.595999999999997</v>
      </c>
      <c r="M505" s="7" t="s">
        <v>987</v>
      </c>
      <c r="N505" s="7">
        <v>380</v>
      </c>
      <c r="O505" s="151">
        <v>0.94099999999999995</v>
      </c>
      <c r="P505" s="7">
        <v>0.9</v>
      </c>
      <c r="Q505" s="7">
        <v>80</v>
      </c>
      <c r="R505" s="113">
        <v>11</v>
      </c>
      <c r="S505" s="258" t="s">
        <v>1390</v>
      </c>
      <c r="T505" s="10">
        <f t="shared" si="14"/>
        <v>1</v>
      </c>
      <c r="U505" s="260" t="s">
        <v>1391</v>
      </c>
      <c r="V505">
        <v>999</v>
      </c>
      <c r="X505" s="157" t="s">
        <v>2075</v>
      </c>
      <c r="Y505" t="b">
        <v>1</v>
      </c>
    </row>
    <row r="506" spans="1:25">
      <c r="A506" s="229" t="s">
        <v>2098</v>
      </c>
      <c r="B506" s="1" t="str">
        <f t="shared" si="13"/>
        <v>M_AEB0401_VM_KF_MACH_24.43_4000</v>
      </c>
      <c r="C506" s="7" t="s">
        <v>2097</v>
      </c>
      <c r="D506" s="7" t="str" cm="1">
        <f t="array" ref="D506">INDEX(기계코드!$D$4:$D$1022,MATCH(1,(C506=기계코드!$F$4:$F$1022)*1,0))</f>
        <v>M_AEB0401</v>
      </c>
      <c r="E506" s="7" t="s">
        <v>2073</v>
      </c>
      <c r="F506" s="7" t="str" cm="1">
        <f t="array" ref="F506">INDEX(공급업체코드!$B$3:$B$1000,MATCH(1,(E506=공급업체코드!$D$3:$D$1000)*1,0))</f>
        <v>VM_KF_MACH</v>
      </c>
      <c r="G506" s="158" t="s">
        <v>2086</v>
      </c>
      <c r="I506" s="166">
        <v>24.43</v>
      </c>
      <c r="J506" s="160">
        <v>4000</v>
      </c>
      <c r="K506" s="159">
        <v>200</v>
      </c>
      <c r="L506" s="165">
        <v>27.24</v>
      </c>
      <c r="M506" s="7" t="s">
        <v>987</v>
      </c>
      <c r="N506" s="7">
        <v>380</v>
      </c>
      <c r="O506" s="151">
        <v>0.94099999999999995</v>
      </c>
      <c r="P506" s="7">
        <v>0.9</v>
      </c>
      <c r="Q506" s="7">
        <v>80</v>
      </c>
      <c r="R506" s="113">
        <v>11</v>
      </c>
      <c r="S506" s="258" t="s">
        <v>1390</v>
      </c>
      <c r="T506" s="10">
        <f t="shared" si="14"/>
        <v>1</v>
      </c>
      <c r="U506" s="260" t="s">
        <v>1391</v>
      </c>
      <c r="V506">
        <v>999</v>
      </c>
      <c r="X506" s="157" t="s">
        <v>2075</v>
      </c>
      <c r="Y506" t="b">
        <v>1</v>
      </c>
    </row>
    <row r="507" spans="1:25">
      <c r="A507" s="229" t="s">
        <v>2098</v>
      </c>
      <c r="B507" s="1" t="str">
        <f t="shared" si="13"/>
        <v>M_AEB0401_VM_KF_MACH_31.93_4000</v>
      </c>
      <c r="C507" s="7" t="s">
        <v>2097</v>
      </c>
      <c r="D507" s="7" t="str" cm="1">
        <f t="array" ref="D507">INDEX(기계코드!$D$4:$D$1022,MATCH(1,(C507=기계코드!$F$4:$F$1022)*1,0))</f>
        <v>M_AEB0401</v>
      </c>
      <c r="E507" s="7" t="s">
        <v>2073</v>
      </c>
      <c r="F507" s="7" t="str" cm="1">
        <f t="array" ref="F507">INDEX(공급업체코드!$B$3:$B$1000,MATCH(1,(E507=공급업체코드!$D$3:$D$1000)*1,0))</f>
        <v>VM_KF_MACH</v>
      </c>
      <c r="G507" s="158" t="s">
        <v>2086</v>
      </c>
      <c r="I507" s="166">
        <v>31.93</v>
      </c>
      <c r="J507" s="160">
        <v>4000</v>
      </c>
      <c r="K507" s="159">
        <v>200</v>
      </c>
      <c r="L507" s="165">
        <v>34.271999999999998</v>
      </c>
      <c r="M507" s="7" t="s">
        <v>987</v>
      </c>
      <c r="N507" s="7">
        <v>380</v>
      </c>
      <c r="O507" s="151">
        <v>0.94499999999999995</v>
      </c>
      <c r="P507" s="7">
        <v>0.9</v>
      </c>
      <c r="Q507" s="7">
        <v>80</v>
      </c>
      <c r="R507" s="113">
        <v>11</v>
      </c>
      <c r="S507" s="258" t="s">
        <v>1390</v>
      </c>
      <c r="T507" s="10">
        <f t="shared" si="14"/>
        <v>1</v>
      </c>
      <c r="U507" s="260" t="s">
        <v>1391</v>
      </c>
      <c r="V507">
        <v>999</v>
      </c>
      <c r="X507" s="157" t="s">
        <v>2075</v>
      </c>
      <c r="Y507" t="b">
        <v>1</v>
      </c>
    </row>
    <row r="508" spans="1:25">
      <c r="A508" s="229" t="s">
        <v>2098</v>
      </c>
      <c r="B508" s="1" t="str">
        <f t="shared" si="13"/>
        <v>M_AEB0401_VM_KF_MACH_44.99_4000</v>
      </c>
      <c r="C508" s="7" t="s">
        <v>2097</v>
      </c>
      <c r="D508" s="7" t="str" cm="1">
        <f t="array" ref="D508">INDEX(기계코드!$D$4:$D$1022,MATCH(1,(C508=기계코드!$F$4:$F$1022)*1,0))</f>
        <v>M_AEB0401</v>
      </c>
      <c r="E508" s="7" t="s">
        <v>2073</v>
      </c>
      <c r="F508" s="7" t="str" cm="1">
        <f t="array" ref="F508">INDEX(공급업체코드!$B$3:$B$1000,MATCH(1,(E508=공급업체코드!$D$3:$D$1000)*1,0))</f>
        <v>VM_KF_MACH</v>
      </c>
      <c r="G508" s="158" t="s">
        <v>2086</v>
      </c>
      <c r="I508" s="166">
        <v>44.99</v>
      </c>
      <c r="J508" s="160">
        <v>4000</v>
      </c>
      <c r="K508" s="159">
        <v>200</v>
      </c>
      <c r="L508" s="165">
        <v>45.743999999999993</v>
      </c>
      <c r="M508" s="7" t="s">
        <v>987</v>
      </c>
      <c r="N508" s="7">
        <v>380</v>
      </c>
      <c r="O508" s="151">
        <v>0.95400000000000007</v>
      </c>
      <c r="P508" s="7">
        <v>0.9</v>
      </c>
      <c r="Q508" s="7">
        <v>80</v>
      </c>
      <c r="R508" s="113">
        <v>11</v>
      </c>
      <c r="S508" s="258" t="s">
        <v>1390</v>
      </c>
      <c r="T508" s="10">
        <f t="shared" si="14"/>
        <v>1</v>
      </c>
      <c r="U508" s="260" t="s">
        <v>1391</v>
      </c>
      <c r="V508">
        <v>999</v>
      </c>
      <c r="X508" s="157" t="s">
        <v>2075</v>
      </c>
      <c r="Y508" t="b">
        <v>1</v>
      </c>
    </row>
    <row r="509" spans="1:25">
      <c r="A509" s="229" t="s">
        <v>2098</v>
      </c>
      <c r="B509" s="1" t="str">
        <f t="shared" si="13"/>
        <v>M_AEB0401_VM_KF_MACH_19.08_5000</v>
      </c>
      <c r="C509" s="7" t="s">
        <v>2097</v>
      </c>
      <c r="D509" s="7" t="str" cm="1">
        <f t="array" ref="D509">INDEX(기계코드!$D$4:$D$1022,MATCH(1,(C509=기계코드!$F$4:$F$1022)*1,0))</f>
        <v>M_AEB0401</v>
      </c>
      <c r="E509" s="7" t="s">
        <v>2073</v>
      </c>
      <c r="F509" s="7" t="str" cm="1">
        <f t="array" ref="F509">INDEX(공급업체코드!$B$3:$B$1000,MATCH(1,(E509=공급업체코드!$D$3:$D$1000)*1,0))</f>
        <v>VM_KF_MACH</v>
      </c>
      <c r="G509" s="158" t="s">
        <v>2086</v>
      </c>
      <c r="I509" s="166">
        <v>19.079999999999998</v>
      </c>
      <c r="J509" s="160">
        <v>5000</v>
      </c>
      <c r="K509" s="159">
        <v>200</v>
      </c>
      <c r="L509" s="165">
        <v>27.407999999999998</v>
      </c>
      <c r="M509" s="7" t="s">
        <v>987</v>
      </c>
      <c r="N509" s="7">
        <v>380</v>
      </c>
      <c r="O509" s="151">
        <v>0.94099999999999995</v>
      </c>
      <c r="P509" s="7">
        <v>0.9</v>
      </c>
      <c r="Q509" s="7">
        <v>80</v>
      </c>
      <c r="R509" s="113">
        <v>11</v>
      </c>
      <c r="S509" s="258" t="s">
        <v>1390</v>
      </c>
      <c r="T509" s="10">
        <f t="shared" si="14"/>
        <v>1</v>
      </c>
      <c r="U509" s="260" t="s">
        <v>1391</v>
      </c>
      <c r="V509">
        <v>999</v>
      </c>
      <c r="X509" s="157" t="s">
        <v>2075</v>
      </c>
      <c r="Y509" t="b">
        <v>1</v>
      </c>
    </row>
    <row r="510" spans="1:25">
      <c r="A510" s="229" t="s">
        <v>2098</v>
      </c>
      <c r="B510" s="1" t="str">
        <f t="shared" si="13"/>
        <v>M_AEB0401_VM_KF_MACH_23.87_5000</v>
      </c>
      <c r="C510" s="7" t="s">
        <v>2097</v>
      </c>
      <c r="D510" s="7" t="str" cm="1">
        <f t="array" ref="D510">INDEX(기계코드!$D$4:$D$1022,MATCH(1,(C510=기계코드!$F$4:$F$1022)*1,0))</f>
        <v>M_AEB0401</v>
      </c>
      <c r="E510" s="7" t="s">
        <v>2073</v>
      </c>
      <c r="F510" s="7" t="str" cm="1">
        <f t="array" ref="F510">INDEX(공급업체코드!$B$3:$B$1000,MATCH(1,(E510=공급업체코드!$D$3:$D$1000)*1,0))</f>
        <v>VM_KF_MACH</v>
      </c>
      <c r="G510" s="158" t="s">
        <v>2086</v>
      </c>
      <c r="I510" s="166">
        <v>23.87</v>
      </c>
      <c r="J510" s="160">
        <v>5000</v>
      </c>
      <c r="K510" s="159">
        <v>200</v>
      </c>
      <c r="L510" s="165">
        <v>33.036000000000001</v>
      </c>
      <c r="M510" s="7" t="s">
        <v>987</v>
      </c>
      <c r="N510" s="7">
        <v>380</v>
      </c>
      <c r="O510" s="151">
        <v>0.94499999999999995</v>
      </c>
      <c r="P510" s="7">
        <v>0.9</v>
      </c>
      <c r="Q510" s="7">
        <v>80</v>
      </c>
      <c r="R510" s="113">
        <v>11</v>
      </c>
      <c r="S510" s="258" t="s">
        <v>1390</v>
      </c>
      <c r="T510" s="10">
        <f t="shared" si="14"/>
        <v>1</v>
      </c>
      <c r="U510" s="260" t="s">
        <v>1391</v>
      </c>
      <c r="V510">
        <v>999</v>
      </c>
      <c r="X510" s="157" t="s">
        <v>2075</v>
      </c>
      <c r="Y510" t="b">
        <v>1</v>
      </c>
    </row>
    <row r="511" spans="1:25">
      <c r="A511" s="229" t="s">
        <v>2098</v>
      </c>
      <c r="B511" s="1" t="str">
        <f t="shared" si="13"/>
        <v>M_AEB0401_VM_KF_MACH_31.24_5000</v>
      </c>
      <c r="C511" s="7" t="s">
        <v>2097</v>
      </c>
      <c r="D511" s="7" t="str" cm="1">
        <f t="array" ref="D511">INDEX(기계코드!$D$4:$D$1022,MATCH(1,(C511=기계코드!$F$4:$F$1022)*1,0))</f>
        <v>M_AEB0401</v>
      </c>
      <c r="E511" s="7" t="s">
        <v>2073</v>
      </c>
      <c r="F511" s="7" t="str" cm="1">
        <f t="array" ref="F511">INDEX(공급업체코드!$B$3:$B$1000,MATCH(1,(E511=공급업체코드!$D$3:$D$1000)*1,0))</f>
        <v>VM_KF_MACH</v>
      </c>
      <c r="G511" s="158" t="s">
        <v>2086</v>
      </c>
      <c r="I511" s="166">
        <v>31.24</v>
      </c>
      <c r="J511" s="160">
        <v>5000</v>
      </c>
      <c r="K511" s="159">
        <v>200</v>
      </c>
      <c r="L511" s="165">
        <v>41.64</v>
      </c>
      <c r="M511" s="7" t="s">
        <v>987</v>
      </c>
      <c r="N511" s="7">
        <v>380</v>
      </c>
      <c r="O511" s="151">
        <v>0.95</v>
      </c>
      <c r="P511" s="7">
        <v>0.9</v>
      </c>
      <c r="Q511" s="7">
        <v>80</v>
      </c>
      <c r="R511" s="113">
        <v>11</v>
      </c>
      <c r="S511" s="258" t="s">
        <v>1390</v>
      </c>
      <c r="T511" s="10">
        <f t="shared" si="14"/>
        <v>1</v>
      </c>
      <c r="U511" s="260" t="s">
        <v>1391</v>
      </c>
      <c r="V511">
        <v>999</v>
      </c>
      <c r="X511" s="157" t="s">
        <v>2075</v>
      </c>
      <c r="Y511" t="b">
        <v>1</v>
      </c>
    </row>
    <row r="512" spans="1:25">
      <c r="A512" s="229" t="s">
        <v>2098</v>
      </c>
      <c r="B512" s="1" t="str">
        <f t="shared" si="13"/>
        <v>M_AEB0401_VM_KF_MACH_44.42_5000</v>
      </c>
      <c r="C512" s="7" t="s">
        <v>2097</v>
      </c>
      <c r="D512" s="7" t="str" cm="1">
        <f t="array" ref="D512">INDEX(기계코드!$D$4:$D$1022,MATCH(1,(C512=기계코드!$F$4:$F$1022)*1,0))</f>
        <v>M_AEB0401</v>
      </c>
      <c r="E512" s="7" t="s">
        <v>2073</v>
      </c>
      <c r="F512" s="7" t="str" cm="1">
        <f t="array" ref="F512">INDEX(공급업체코드!$B$3:$B$1000,MATCH(1,(E512=공급업체코드!$D$3:$D$1000)*1,0))</f>
        <v>VM_KF_MACH</v>
      </c>
      <c r="G512" s="158" t="s">
        <v>2086</v>
      </c>
      <c r="I512" s="166">
        <v>44.42</v>
      </c>
      <c r="J512" s="160">
        <v>5000</v>
      </c>
      <c r="K512" s="159">
        <v>200</v>
      </c>
      <c r="L512" s="165">
        <v>55.884</v>
      </c>
      <c r="M512" s="7" t="s">
        <v>987</v>
      </c>
      <c r="N512" s="7">
        <v>380</v>
      </c>
      <c r="O512" s="151">
        <v>0.95400000000000007</v>
      </c>
      <c r="P512" s="7">
        <v>0.9</v>
      </c>
      <c r="Q512" s="7">
        <v>80</v>
      </c>
      <c r="R512" s="113">
        <v>11</v>
      </c>
      <c r="S512" s="258" t="s">
        <v>1390</v>
      </c>
      <c r="T512" s="10">
        <f t="shared" si="14"/>
        <v>1</v>
      </c>
      <c r="U512" s="260" t="s">
        <v>1391</v>
      </c>
      <c r="V512">
        <v>999</v>
      </c>
      <c r="X512" s="157" t="s">
        <v>2075</v>
      </c>
      <c r="Y512" t="b">
        <v>1</v>
      </c>
    </row>
    <row r="513" spans="1:25">
      <c r="A513" s="229" t="s">
        <v>2098</v>
      </c>
      <c r="B513" s="1" t="str">
        <f t="shared" si="13"/>
        <v>M_AEB0401_VM_KF_MACH_18.48_6000</v>
      </c>
      <c r="C513" s="7" t="s">
        <v>2097</v>
      </c>
      <c r="D513" s="7" t="str" cm="1">
        <f t="array" ref="D513">INDEX(기계코드!$D$4:$D$1022,MATCH(1,(C513=기계코드!$F$4:$F$1022)*1,0))</f>
        <v>M_AEB0401</v>
      </c>
      <c r="E513" s="7" t="s">
        <v>2073</v>
      </c>
      <c r="F513" s="7" t="str" cm="1">
        <f t="array" ref="F513">INDEX(공급업체코드!$B$3:$B$1000,MATCH(1,(E513=공급업체코드!$D$3:$D$1000)*1,0))</f>
        <v>VM_KF_MACH</v>
      </c>
      <c r="G513" s="158" t="s">
        <v>2086</v>
      </c>
      <c r="I513" s="166">
        <v>18.48</v>
      </c>
      <c r="J513" s="160">
        <v>6000</v>
      </c>
      <c r="K513" s="159">
        <v>200</v>
      </c>
      <c r="L513" s="165">
        <v>32.087999999999994</v>
      </c>
      <c r="M513" s="7" t="s">
        <v>987</v>
      </c>
      <c r="N513" s="7">
        <v>380</v>
      </c>
      <c r="O513" s="151">
        <v>0.94499999999999995</v>
      </c>
      <c r="P513" s="7">
        <v>0.9</v>
      </c>
      <c r="Q513" s="7">
        <v>80</v>
      </c>
      <c r="R513" s="113">
        <v>11</v>
      </c>
      <c r="S513" s="258" t="s">
        <v>1390</v>
      </c>
      <c r="T513" s="10">
        <f t="shared" si="14"/>
        <v>1</v>
      </c>
      <c r="U513" s="260" t="s">
        <v>1391</v>
      </c>
      <c r="V513">
        <v>999</v>
      </c>
      <c r="X513" s="157" t="s">
        <v>2075</v>
      </c>
      <c r="Y513" t="b">
        <v>1</v>
      </c>
    </row>
    <row r="514" spans="1:25">
      <c r="A514" s="229" t="s">
        <v>2098</v>
      </c>
      <c r="B514" s="1" t="str">
        <f t="shared" si="13"/>
        <v>M_AEB0401_VM_KF_MACH_23.44_6000</v>
      </c>
      <c r="C514" s="7" t="s">
        <v>2097</v>
      </c>
      <c r="D514" s="7" t="str" cm="1">
        <f t="array" ref="D514">INDEX(기계코드!$D$4:$D$1022,MATCH(1,(C514=기계코드!$F$4:$F$1022)*1,0))</f>
        <v>M_AEB0401</v>
      </c>
      <c r="E514" s="7" t="s">
        <v>2073</v>
      </c>
      <c r="F514" s="7" t="str" cm="1">
        <f t="array" ref="F514">INDEX(공급업체코드!$B$3:$B$1000,MATCH(1,(E514=공급업체코드!$D$3:$D$1000)*1,0))</f>
        <v>VM_KF_MACH</v>
      </c>
      <c r="G514" s="158" t="s">
        <v>2086</v>
      </c>
      <c r="I514" s="166">
        <v>23.44</v>
      </c>
      <c r="J514" s="160">
        <v>6000</v>
      </c>
      <c r="K514" s="159">
        <v>200</v>
      </c>
      <c r="L514" s="165">
        <v>38.675999999999995</v>
      </c>
      <c r="M514" s="7" t="s">
        <v>987</v>
      </c>
      <c r="N514" s="7">
        <v>380</v>
      </c>
      <c r="O514" s="151">
        <v>0.95</v>
      </c>
      <c r="P514" s="7">
        <v>0.9</v>
      </c>
      <c r="Q514" s="7">
        <v>80</v>
      </c>
      <c r="R514" s="113">
        <v>11</v>
      </c>
      <c r="S514" s="258" t="s">
        <v>1390</v>
      </c>
      <c r="T514" s="10">
        <f t="shared" si="14"/>
        <v>1</v>
      </c>
      <c r="U514" s="260" t="s">
        <v>1391</v>
      </c>
      <c r="V514">
        <v>999</v>
      </c>
      <c r="X514" s="157" t="s">
        <v>2075</v>
      </c>
      <c r="Y514" t="b">
        <v>1</v>
      </c>
    </row>
    <row r="515" spans="1:25">
      <c r="A515" s="229" t="s">
        <v>2098</v>
      </c>
      <c r="B515" s="1" t="str">
        <f t="shared" si="13"/>
        <v>M_AEB0401_VM_KF_MACH_30.84_6000</v>
      </c>
      <c r="C515" s="7" t="s">
        <v>2097</v>
      </c>
      <c r="D515" s="7" t="str" cm="1">
        <f t="array" ref="D515">INDEX(기계코드!$D$4:$D$1022,MATCH(1,(C515=기계코드!$F$4:$F$1022)*1,0))</f>
        <v>M_AEB0401</v>
      </c>
      <c r="E515" s="7" t="s">
        <v>2073</v>
      </c>
      <c r="F515" s="7" t="str" cm="1">
        <f t="array" ref="F515">INDEX(공급업체코드!$B$3:$B$1000,MATCH(1,(E515=공급업체코드!$D$3:$D$1000)*1,0))</f>
        <v>VM_KF_MACH</v>
      </c>
      <c r="G515" s="158" t="s">
        <v>2086</v>
      </c>
      <c r="I515" s="166">
        <v>30.84</v>
      </c>
      <c r="J515" s="160">
        <v>6000</v>
      </c>
      <c r="K515" s="159">
        <v>200</v>
      </c>
      <c r="L515" s="165">
        <v>49.175999999999995</v>
      </c>
      <c r="M515" s="7" t="s">
        <v>987</v>
      </c>
      <c r="N515" s="7">
        <v>380</v>
      </c>
      <c r="O515" s="151">
        <v>0.95400000000000007</v>
      </c>
      <c r="P515" s="7">
        <v>0.9</v>
      </c>
      <c r="Q515" s="7">
        <v>80</v>
      </c>
      <c r="R515" s="113">
        <v>11</v>
      </c>
      <c r="S515" s="258" t="s">
        <v>1390</v>
      </c>
      <c r="T515" s="10">
        <f t="shared" si="14"/>
        <v>1</v>
      </c>
      <c r="U515" s="260" t="s">
        <v>1391</v>
      </c>
      <c r="V515">
        <v>999</v>
      </c>
      <c r="X515" s="157" t="s">
        <v>2075</v>
      </c>
      <c r="Y515" t="b">
        <v>1</v>
      </c>
    </row>
    <row r="516" spans="1:25">
      <c r="A516" s="229" t="s">
        <v>2098</v>
      </c>
      <c r="B516" s="1" t="str">
        <f t="shared" ref="B516:B579" si="15">D516&amp;"_"&amp;F516&amp;"_"&amp;I516&amp;"_"&amp;J516</f>
        <v>M_AEB0401_VM_KF_MACH_43.84_6000</v>
      </c>
      <c r="C516" s="7" t="s">
        <v>2097</v>
      </c>
      <c r="D516" s="7" t="str" cm="1">
        <f t="array" ref="D516">INDEX(기계코드!$D$4:$D$1022,MATCH(1,(C516=기계코드!$F$4:$F$1022)*1,0))</f>
        <v>M_AEB0401</v>
      </c>
      <c r="E516" s="7" t="s">
        <v>2073</v>
      </c>
      <c r="F516" s="7" t="str" cm="1">
        <f t="array" ref="F516">INDEX(공급업체코드!$B$3:$B$1000,MATCH(1,(E516=공급업체코드!$D$3:$D$1000)*1,0))</f>
        <v>VM_KF_MACH</v>
      </c>
      <c r="G516" s="158" t="s">
        <v>2086</v>
      </c>
      <c r="I516" s="166">
        <v>43.84</v>
      </c>
      <c r="J516" s="160">
        <v>6000</v>
      </c>
      <c r="K516" s="159">
        <v>200</v>
      </c>
      <c r="L516" s="165">
        <v>66.456000000000003</v>
      </c>
      <c r="M516" s="7" t="s">
        <v>987</v>
      </c>
      <c r="N516" s="7">
        <v>380</v>
      </c>
      <c r="O516" s="151">
        <v>0.95400000000000007</v>
      </c>
      <c r="P516" s="7">
        <v>0.9</v>
      </c>
      <c r="Q516" s="7">
        <v>80</v>
      </c>
      <c r="R516" s="113">
        <v>11</v>
      </c>
      <c r="S516" s="258" t="s">
        <v>1390</v>
      </c>
      <c r="T516" s="10">
        <f t="shared" si="14"/>
        <v>1</v>
      </c>
      <c r="U516" s="260" t="s">
        <v>1391</v>
      </c>
      <c r="V516">
        <v>999</v>
      </c>
      <c r="X516" s="157" t="s">
        <v>2075</v>
      </c>
      <c r="Y516" t="b">
        <v>1</v>
      </c>
    </row>
    <row r="517" spans="1:25">
      <c r="A517" s="229" t="s">
        <v>2098</v>
      </c>
      <c r="B517" s="1" t="str">
        <f t="shared" si="15"/>
        <v>M_AEB0401_VM_KF_MACH_1.94_7000</v>
      </c>
      <c r="C517" s="7" t="s">
        <v>2097</v>
      </c>
      <c r="D517" s="7" t="str" cm="1">
        <f t="array" ref="D517">INDEX(기계코드!$D$4:$D$1022,MATCH(1,(C517=기계코드!$F$4:$F$1022)*1,0))</f>
        <v>M_AEB0401</v>
      </c>
      <c r="E517" s="7" t="s">
        <v>2073</v>
      </c>
      <c r="F517" s="7" t="str" cm="1">
        <f t="array" ref="F517">INDEX(공급업체코드!$B$3:$B$1000,MATCH(1,(E517=공급업체코드!$D$3:$D$1000)*1,0))</f>
        <v>VM_KF_MACH</v>
      </c>
      <c r="G517" s="158" t="s">
        <v>2077</v>
      </c>
      <c r="I517" s="166">
        <v>1.94</v>
      </c>
      <c r="J517" s="160">
        <v>7000</v>
      </c>
      <c r="K517" s="159">
        <v>80</v>
      </c>
      <c r="L517" s="165">
        <v>6.5280000000000005</v>
      </c>
      <c r="M517" s="7" t="s">
        <v>981</v>
      </c>
      <c r="N517" s="7">
        <v>380</v>
      </c>
      <c r="O517" s="151">
        <v>0.91700000000000004</v>
      </c>
      <c r="P517" s="7">
        <v>0.9</v>
      </c>
      <c r="Q517" s="7">
        <v>80</v>
      </c>
      <c r="R517" s="113">
        <v>11</v>
      </c>
      <c r="S517" s="258" t="s">
        <v>1390</v>
      </c>
      <c r="T517" s="10">
        <f t="shared" si="14"/>
        <v>1</v>
      </c>
      <c r="U517" s="260" t="s">
        <v>1391</v>
      </c>
      <c r="V517">
        <v>999</v>
      </c>
      <c r="X517" s="157" t="s">
        <v>2075</v>
      </c>
      <c r="Y517" t="b">
        <v>1</v>
      </c>
    </row>
    <row r="518" spans="1:25">
      <c r="A518" s="229" t="s">
        <v>2098</v>
      </c>
      <c r="B518" s="1" t="str">
        <f t="shared" si="15"/>
        <v>M_AEB0401_VM_KF_MACH_2.62_7000</v>
      </c>
      <c r="C518" s="7" t="s">
        <v>2097</v>
      </c>
      <c r="D518" s="7" t="str" cm="1">
        <f t="array" ref="D518">INDEX(기계코드!$D$4:$D$1022,MATCH(1,(C518=기계코드!$F$4:$F$1022)*1,0))</f>
        <v>M_AEB0401</v>
      </c>
      <c r="E518" s="7" t="s">
        <v>2073</v>
      </c>
      <c r="F518" s="7" t="str" cm="1">
        <f t="array" ref="F518">INDEX(공급업체코드!$B$3:$B$1000,MATCH(1,(E518=공급업체코드!$D$3:$D$1000)*1,0))</f>
        <v>VM_KF_MACH</v>
      </c>
      <c r="G518" s="158" t="s">
        <v>2077</v>
      </c>
      <c r="I518" s="166">
        <v>2.62</v>
      </c>
      <c r="J518" s="160">
        <v>7000</v>
      </c>
      <c r="K518" s="159">
        <v>80</v>
      </c>
      <c r="L518" s="165">
        <v>7.992</v>
      </c>
      <c r="M518" s="7" t="s">
        <v>981</v>
      </c>
      <c r="N518" s="7">
        <v>380</v>
      </c>
      <c r="O518" s="151">
        <v>0.92400000000000004</v>
      </c>
      <c r="P518" s="7">
        <v>0.9</v>
      </c>
      <c r="Q518" s="7">
        <v>80</v>
      </c>
      <c r="R518" s="113">
        <v>11</v>
      </c>
      <c r="S518" s="258" t="s">
        <v>1390</v>
      </c>
      <c r="T518" s="10">
        <f t="shared" si="14"/>
        <v>1</v>
      </c>
      <c r="U518" s="260" t="s">
        <v>1391</v>
      </c>
      <c r="V518">
        <v>999</v>
      </c>
      <c r="X518" s="157" t="s">
        <v>2075</v>
      </c>
      <c r="Y518" t="b">
        <v>1</v>
      </c>
    </row>
    <row r="519" spans="1:25">
      <c r="A519" s="229" t="s">
        <v>2098</v>
      </c>
      <c r="B519" s="1" t="str">
        <f t="shared" si="15"/>
        <v>M_AEB0401_VM_KF_MACH_3.34_7000</v>
      </c>
      <c r="C519" s="7" t="s">
        <v>2097</v>
      </c>
      <c r="D519" s="7" t="str" cm="1">
        <f t="array" ref="D519">INDEX(기계코드!$D$4:$D$1022,MATCH(1,(C519=기계코드!$F$4:$F$1022)*1,0))</f>
        <v>M_AEB0401</v>
      </c>
      <c r="E519" s="7" t="s">
        <v>2073</v>
      </c>
      <c r="F519" s="7" t="str" cm="1">
        <f t="array" ref="F519">INDEX(공급업체코드!$B$3:$B$1000,MATCH(1,(E519=공급업체코드!$D$3:$D$1000)*1,0))</f>
        <v>VM_KF_MACH</v>
      </c>
      <c r="G519" s="158" t="s">
        <v>2077</v>
      </c>
      <c r="I519" s="166">
        <v>3.34</v>
      </c>
      <c r="J519" s="160">
        <v>7000</v>
      </c>
      <c r="K519" s="159">
        <v>80</v>
      </c>
      <c r="L519" s="165">
        <v>9.4439999999999991</v>
      </c>
      <c r="M519" s="7" t="s">
        <v>981</v>
      </c>
      <c r="N519" s="7">
        <v>380</v>
      </c>
      <c r="O519" s="151">
        <v>0.92400000000000004</v>
      </c>
      <c r="P519" s="7">
        <v>0.9</v>
      </c>
      <c r="Q519" s="7">
        <v>80</v>
      </c>
      <c r="R519" s="113">
        <v>11</v>
      </c>
      <c r="S519" s="258" t="s">
        <v>1390</v>
      </c>
      <c r="T519" s="10">
        <f t="shared" si="14"/>
        <v>1</v>
      </c>
      <c r="U519" s="260" t="s">
        <v>1391</v>
      </c>
      <c r="V519">
        <v>999</v>
      </c>
      <c r="X519" s="157" t="s">
        <v>2075</v>
      </c>
      <c r="Y519" t="b">
        <v>1</v>
      </c>
    </row>
    <row r="520" spans="1:25">
      <c r="A520" s="229" t="s">
        <v>2098</v>
      </c>
      <c r="B520" s="1" t="str">
        <f t="shared" si="15"/>
        <v>M_AEB0401_VM_KF_MACH_3.49_7000</v>
      </c>
      <c r="C520" s="7" t="s">
        <v>2097</v>
      </c>
      <c r="D520" s="7" t="str" cm="1">
        <f t="array" ref="D520">INDEX(기계코드!$D$4:$D$1022,MATCH(1,(C520=기계코드!$F$4:$F$1022)*1,0))</f>
        <v>M_AEB0401</v>
      </c>
      <c r="E520" s="7" t="s">
        <v>2073</v>
      </c>
      <c r="F520" s="7" t="str" cm="1">
        <f t="array" ref="F520">INDEX(공급업체코드!$B$3:$B$1000,MATCH(1,(E520=공급업체코드!$D$3:$D$1000)*1,0))</f>
        <v>VM_KF_MACH</v>
      </c>
      <c r="G520" s="158" t="s">
        <v>2077</v>
      </c>
      <c r="I520" s="166">
        <v>3.49</v>
      </c>
      <c r="J520" s="160">
        <v>7000</v>
      </c>
      <c r="K520" s="159">
        <v>80</v>
      </c>
      <c r="L520" s="165">
        <v>9.743999999999998</v>
      </c>
      <c r="M520" s="7" t="s">
        <v>981</v>
      </c>
      <c r="N520" s="7">
        <v>380</v>
      </c>
      <c r="O520" s="151">
        <v>0.92400000000000004</v>
      </c>
      <c r="P520" s="7">
        <v>0.9</v>
      </c>
      <c r="Q520" s="7">
        <v>80</v>
      </c>
      <c r="R520" s="113">
        <v>11</v>
      </c>
      <c r="S520" s="258" t="s">
        <v>1390</v>
      </c>
      <c r="T520" s="10">
        <f t="shared" si="14"/>
        <v>1</v>
      </c>
      <c r="U520" s="260" t="s">
        <v>1391</v>
      </c>
      <c r="V520">
        <v>999</v>
      </c>
      <c r="X520" s="157" t="s">
        <v>2075</v>
      </c>
      <c r="Y520" t="b">
        <v>1</v>
      </c>
    </row>
    <row r="521" spans="1:25">
      <c r="A521" s="229" t="s">
        <v>2098</v>
      </c>
      <c r="B521" s="1" t="str">
        <f t="shared" si="15"/>
        <v>M_AEB0401_VM_KF_MACH_4.7_7000</v>
      </c>
      <c r="C521" s="7" t="s">
        <v>2097</v>
      </c>
      <c r="D521" s="7" t="str" cm="1">
        <f t="array" ref="D521">INDEX(기계코드!$D$4:$D$1022,MATCH(1,(C521=기계코드!$F$4:$F$1022)*1,0))</f>
        <v>M_AEB0401</v>
      </c>
      <c r="E521" s="7" t="s">
        <v>2073</v>
      </c>
      <c r="F521" s="7" t="str" cm="1">
        <f t="array" ref="F521">INDEX(공급업체코드!$B$3:$B$1000,MATCH(1,(E521=공급업체코드!$D$3:$D$1000)*1,0))</f>
        <v>VM_KF_MACH</v>
      </c>
      <c r="G521" s="158" t="s">
        <v>2077</v>
      </c>
      <c r="I521" s="166">
        <v>4.7</v>
      </c>
      <c r="J521" s="160">
        <v>7000</v>
      </c>
      <c r="K521" s="159">
        <v>80</v>
      </c>
      <c r="L521" s="165">
        <v>11.664</v>
      </c>
      <c r="M521" s="7" t="s">
        <v>981</v>
      </c>
      <c r="N521" s="7">
        <v>380</v>
      </c>
      <c r="O521" s="151">
        <v>0.93</v>
      </c>
      <c r="P521" s="7">
        <v>0.9</v>
      </c>
      <c r="Q521" s="7">
        <v>80</v>
      </c>
      <c r="R521" s="113">
        <v>11</v>
      </c>
      <c r="S521" s="258" t="s">
        <v>1390</v>
      </c>
      <c r="T521" s="10">
        <f t="shared" si="14"/>
        <v>1</v>
      </c>
      <c r="U521" s="260" t="s">
        <v>1391</v>
      </c>
      <c r="V521">
        <v>999</v>
      </c>
      <c r="X521" s="157" t="s">
        <v>2075</v>
      </c>
      <c r="Y521" t="b">
        <v>1</v>
      </c>
    </row>
    <row r="522" spans="1:25">
      <c r="A522" s="229" t="s">
        <v>2098</v>
      </c>
      <c r="B522" s="1" t="str">
        <f t="shared" si="15"/>
        <v>M_AEB0401_VM_KF_MACH_5.74_7000</v>
      </c>
      <c r="C522" s="7" t="s">
        <v>2097</v>
      </c>
      <c r="D522" s="7" t="str" cm="1">
        <f t="array" ref="D522">INDEX(기계코드!$D$4:$D$1022,MATCH(1,(C522=기계코드!$F$4:$F$1022)*1,0))</f>
        <v>M_AEB0401</v>
      </c>
      <c r="E522" s="7" t="s">
        <v>2073</v>
      </c>
      <c r="F522" s="7" t="str" cm="1">
        <f t="array" ref="F522">INDEX(공급업체코드!$B$3:$B$1000,MATCH(1,(E522=공급업체코드!$D$3:$D$1000)*1,0))</f>
        <v>VM_KF_MACH</v>
      </c>
      <c r="G522" s="158" t="s">
        <v>2077</v>
      </c>
      <c r="I522" s="166">
        <v>5.74</v>
      </c>
      <c r="J522" s="160">
        <v>7000</v>
      </c>
      <c r="K522" s="159">
        <v>80</v>
      </c>
      <c r="L522" s="165">
        <v>13.068</v>
      </c>
      <c r="M522" s="7" t="s">
        <v>981</v>
      </c>
      <c r="N522" s="7">
        <v>380</v>
      </c>
      <c r="O522" s="151">
        <v>0.93</v>
      </c>
      <c r="P522" s="7">
        <v>0.9</v>
      </c>
      <c r="Q522" s="7">
        <v>80</v>
      </c>
      <c r="R522" s="113">
        <v>11</v>
      </c>
      <c r="S522" s="258" t="s">
        <v>1390</v>
      </c>
      <c r="T522" s="10">
        <f t="shared" si="14"/>
        <v>1</v>
      </c>
      <c r="U522" s="260" t="s">
        <v>1391</v>
      </c>
      <c r="V522">
        <v>999</v>
      </c>
      <c r="X522" s="157" t="s">
        <v>2075</v>
      </c>
      <c r="Y522" t="b">
        <v>1</v>
      </c>
    </row>
    <row r="523" spans="1:25">
      <c r="A523" s="229" t="s">
        <v>2098</v>
      </c>
      <c r="B523" s="1" t="str">
        <f t="shared" si="15"/>
        <v>M_AEB0401_VM_KF_MACH_1.76_8000</v>
      </c>
      <c r="C523" s="7" t="s">
        <v>2097</v>
      </c>
      <c r="D523" s="7" t="str" cm="1">
        <f t="array" ref="D523">INDEX(기계코드!$D$4:$D$1022,MATCH(1,(C523=기계코드!$F$4:$F$1022)*1,0))</f>
        <v>M_AEB0401</v>
      </c>
      <c r="E523" s="7" t="s">
        <v>2073</v>
      </c>
      <c r="F523" s="7" t="str" cm="1">
        <f t="array" ref="F523">INDEX(공급업체코드!$B$3:$B$1000,MATCH(1,(E523=공급업체코드!$D$3:$D$1000)*1,0))</f>
        <v>VM_KF_MACH</v>
      </c>
      <c r="G523" s="158" t="s">
        <v>2077</v>
      </c>
      <c r="I523" s="166">
        <v>1.76</v>
      </c>
      <c r="J523" s="160">
        <v>8000</v>
      </c>
      <c r="K523" s="159">
        <v>80</v>
      </c>
      <c r="L523" s="165">
        <v>7.2959999999999994</v>
      </c>
      <c r="M523" s="7" t="s">
        <v>981</v>
      </c>
      <c r="N523" s="7">
        <v>380</v>
      </c>
      <c r="O523" s="151">
        <v>0.91700000000000004</v>
      </c>
      <c r="P523" s="7">
        <v>0.9</v>
      </c>
      <c r="Q523" s="7">
        <v>80</v>
      </c>
      <c r="R523" s="113">
        <v>11</v>
      </c>
      <c r="S523" s="258" t="s">
        <v>1390</v>
      </c>
      <c r="T523" s="10">
        <f t="shared" si="14"/>
        <v>1</v>
      </c>
      <c r="U523" s="260" t="s">
        <v>1391</v>
      </c>
      <c r="V523">
        <v>999</v>
      </c>
      <c r="X523" s="157" t="s">
        <v>2075</v>
      </c>
      <c r="Y523" t="b">
        <v>1</v>
      </c>
    </row>
    <row r="524" spans="1:25">
      <c r="A524" s="229" t="s">
        <v>2098</v>
      </c>
      <c r="B524" s="1" t="str">
        <f t="shared" si="15"/>
        <v>M_AEB0401_VM_KF_MACH_2.44_8000</v>
      </c>
      <c r="C524" s="7" t="s">
        <v>2097</v>
      </c>
      <c r="D524" s="7" t="str" cm="1">
        <f t="array" ref="D524">INDEX(기계코드!$D$4:$D$1022,MATCH(1,(C524=기계코드!$F$4:$F$1022)*1,0))</f>
        <v>M_AEB0401</v>
      </c>
      <c r="E524" s="7" t="s">
        <v>2073</v>
      </c>
      <c r="F524" s="7" t="str" cm="1">
        <f t="array" ref="F524">INDEX(공급업체코드!$B$3:$B$1000,MATCH(1,(E524=공급업체코드!$D$3:$D$1000)*1,0))</f>
        <v>VM_KF_MACH</v>
      </c>
      <c r="G524" s="158" t="s">
        <v>2077</v>
      </c>
      <c r="I524" s="166">
        <v>2.44</v>
      </c>
      <c r="J524" s="160">
        <v>8000</v>
      </c>
      <c r="K524" s="159">
        <v>80</v>
      </c>
      <c r="L524" s="165">
        <v>9</v>
      </c>
      <c r="M524" s="7" t="s">
        <v>981</v>
      </c>
      <c r="N524" s="7">
        <v>380</v>
      </c>
      <c r="O524" s="151">
        <v>0.92400000000000004</v>
      </c>
      <c r="P524" s="7">
        <v>0.9</v>
      </c>
      <c r="Q524" s="7">
        <v>80</v>
      </c>
      <c r="R524" s="113">
        <v>11</v>
      </c>
      <c r="S524" s="258" t="s">
        <v>1390</v>
      </c>
      <c r="T524" s="10">
        <f t="shared" si="14"/>
        <v>1</v>
      </c>
      <c r="U524" s="260" t="s">
        <v>1391</v>
      </c>
      <c r="V524">
        <v>999</v>
      </c>
      <c r="X524" s="157" t="s">
        <v>2075</v>
      </c>
      <c r="Y524" t="b">
        <v>1</v>
      </c>
    </row>
    <row r="525" spans="1:25">
      <c r="A525" s="229" t="s">
        <v>2098</v>
      </c>
      <c r="B525" s="1" t="str">
        <f t="shared" si="15"/>
        <v>M_AEB0401_VM_KF_MACH_3.16_8000</v>
      </c>
      <c r="C525" s="7" t="s">
        <v>2097</v>
      </c>
      <c r="D525" s="7" t="str" cm="1">
        <f t="array" ref="D525">INDEX(기계코드!$D$4:$D$1022,MATCH(1,(C525=기계코드!$F$4:$F$1022)*1,0))</f>
        <v>M_AEB0401</v>
      </c>
      <c r="E525" s="7" t="s">
        <v>2073</v>
      </c>
      <c r="F525" s="7" t="str" cm="1">
        <f t="array" ref="F525">INDEX(공급업체코드!$B$3:$B$1000,MATCH(1,(E525=공급업체코드!$D$3:$D$1000)*1,0))</f>
        <v>VM_KF_MACH</v>
      </c>
      <c r="G525" s="158" t="s">
        <v>2077</v>
      </c>
      <c r="I525" s="166">
        <v>3.16</v>
      </c>
      <c r="J525" s="160">
        <v>8000</v>
      </c>
      <c r="K525" s="159">
        <v>80</v>
      </c>
      <c r="L525" s="165">
        <v>10.643999999999998</v>
      </c>
      <c r="M525" s="7" t="s">
        <v>981</v>
      </c>
      <c r="N525" s="7">
        <v>380</v>
      </c>
      <c r="O525" s="151">
        <v>0.92400000000000004</v>
      </c>
      <c r="P525" s="7">
        <v>0.9</v>
      </c>
      <c r="Q525" s="7">
        <v>80</v>
      </c>
      <c r="R525" s="113">
        <v>11</v>
      </c>
      <c r="S525" s="258" t="s">
        <v>1390</v>
      </c>
      <c r="T525" s="10">
        <f t="shared" si="14"/>
        <v>1</v>
      </c>
      <c r="U525" s="260" t="s">
        <v>1391</v>
      </c>
      <c r="V525">
        <v>999</v>
      </c>
      <c r="X525" s="157" t="s">
        <v>2075</v>
      </c>
      <c r="Y525" t="b">
        <v>1</v>
      </c>
    </row>
    <row r="526" spans="1:25">
      <c r="A526" s="229" t="s">
        <v>2098</v>
      </c>
      <c r="B526" s="1" t="str">
        <f t="shared" si="15"/>
        <v>M_AEB0401_VM_KF_MACH_3.31_8000</v>
      </c>
      <c r="C526" s="7" t="s">
        <v>2097</v>
      </c>
      <c r="D526" s="7" t="str" cm="1">
        <f t="array" ref="D526">INDEX(기계코드!$D$4:$D$1022,MATCH(1,(C526=기계코드!$F$4:$F$1022)*1,0))</f>
        <v>M_AEB0401</v>
      </c>
      <c r="E526" s="7" t="s">
        <v>2073</v>
      </c>
      <c r="F526" s="7" t="str" cm="1">
        <f t="array" ref="F526">INDEX(공급업체코드!$B$3:$B$1000,MATCH(1,(E526=공급업체코드!$D$3:$D$1000)*1,0))</f>
        <v>VM_KF_MACH</v>
      </c>
      <c r="G526" s="158" t="s">
        <v>2077</v>
      </c>
      <c r="I526" s="166">
        <v>3.31</v>
      </c>
      <c r="J526" s="160">
        <v>8000</v>
      </c>
      <c r="K526" s="159">
        <v>80</v>
      </c>
      <c r="L526" s="165">
        <v>10.98</v>
      </c>
      <c r="M526" s="7" t="s">
        <v>981</v>
      </c>
      <c r="N526" s="7">
        <v>380</v>
      </c>
      <c r="O526" s="151">
        <v>0.92400000000000004</v>
      </c>
      <c r="P526" s="7">
        <v>0.9</v>
      </c>
      <c r="Q526" s="7">
        <v>80</v>
      </c>
      <c r="R526" s="113">
        <v>11</v>
      </c>
      <c r="S526" s="258" t="s">
        <v>1390</v>
      </c>
      <c r="T526" s="10">
        <f t="shared" si="14"/>
        <v>1</v>
      </c>
      <c r="U526" s="260" t="s">
        <v>1391</v>
      </c>
      <c r="V526">
        <v>999</v>
      </c>
      <c r="X526" s="157" t="s">
        <v>2075</v>
      </c>
      <c r="Y526" t="b">
        <v>1</v>
      </c>
    </row>
    <row r="527" spans="1:25">
      <c r="A527" s="229" t="s">
        <v>2098</v>
      </c>
      <c r="B527" s="1" t="str">
        <f t="shared" si="15"/>
        <v>M_AEB0401_VM_KF_MACH_4.51_8000</v>
      </c>
      <c r="C527" s="7" t="s">
        <v>2097</v>
      </c>
      <c r="D527" s="7" t="str" cm="1">
        <f t="array" ref="D527">INDEX(기계코드!$D$4:$D$1022,MATCH(1,(C527=기계코드!$F$4:$F$1022)*1,0))</f>
        <v>M_AEB0401</v>
      </c>
      <c r="E527" s="7" t="s">
        <v>2073</v>
      </c>
      <c r="F527" s="7" t="str" cm="1">
        <f t="array" ref="F527">INDEX(공급업체코드!$B$3:$B$1000,MATCH(1,(E527=공급업체코드!$D$3:$D$1000)*1,0))</f>
        <v>VM_KF_MACH</v>
      </c>
      <c r="G527" s="158" t="s">
        <v>2077</v>
      </c>
      <c r="I527" s="166">
        <v>4.51</v>
      </c>
      <c r="J527" s="160">
        <v>8000</v>
      </c>
      <c r="K527" s="159">
        <v>80</v>
      </c>
      <c r="L527" s="165">
        <v>13.223999999999998</v>
      </c>
      <c r="M527" s="7" t="s">
        <v>981</v>
      </c>
      <c r="N527" s="7">
        <v>380</v>
      </c>
      <c r="O527" s="151">
        <v>0.93</v>
      </c>
      <c r="P527" s="7">
        <v>0.9</v>
      </c>
      <c r="Q527" s="7">
        <v>80</v>
      </c>
      <c r="R527" s="113">
        <v>11</v>
      </c>
      <c r="S527" s="258" t="s">
        <v>1390</v>
      </c>
      <c r="T527" s="10">
        <f t="shared" si="14"/>
        <v>1</v>
      </c>
      <c r="U527" s="260" t="s">
        <v>1391</v>
      </c>
      <c r="V527">
        <v>999</v>
      </c>
      <c r="X527" s="157" t="s">
        <v>2075</v>
      </c>
      <c r="Y527" t="b">
        <v>1</v>
      </c>
    </row>
    <row r="528" spans="1:25">
      <c r="A528" s="229" t="s">
        <v>2098</v>
      </c>
      <c r="B528" s="1" t="str">
        <f t="shared" si="15"/>
        <v>M_AEB0401_VM_KF_MACH_5.54_8000</v>
      </c>
      <c r="C528" s="7" t="s">
        <v>2097</v>
      </c>
      <c r="D528" s="7" t="str" cm="1">
        <f t="array" ref="D528">INDEX(기계코드!$D$4:$D$1022,MATCH(1,(C528=기계코드!$F$4:$F$1022)*1,0))</f>
        <v>M_AEB0401</v>
      </c>
      <c r="E528" s="7" t="s">
        <v>2073</v>
      </c>
      <c r="F528" s="7" t="str" cm="1">
        <f t="array" ref="F528">INDEX(공급업체코드!$B$3:$B$1000,MATCH(1,(E528=공급업체코드!$D$3:$D$1000)*1,0))</f>
        <v>VM_KF_MACH</v>
      </c>
      <c r="G528" s="158" t="s">
        <v>2077</v>
      </c>
      <c r="I528" s="166">
        <v>5.54</v>
      </c>
      <c r="J528" s="160">
        <v>8000</v>
      </c>
      <c r="K528" s="159">
        <v>80</v>
      </c>
      <c r="L528" s="165">
        <v>14.988</v>
      </c>
      <c r="M528" s="7" t="s">
        <v>987</v>
      </c>
      <c r="N528" s="7">
        <v>380</v>
      </c>
      <c r="O528" s="151">
        <v>0.93</v>
      </c>
      <c r="P528" s="7">
        <v>0.9</v>
      </c>
      <c r="Q528" s="7">
        <v>80</v>
      </c>
      <c r="R528" s="113">
        <v>11</v>
      </c>
      <c r="S528" s="258" t="s">
        <v>1390</v>
      </c>
      <c r="T528" s="10">
        <f t="shared" si="14"/>
        <v>1</v>
      </c>
      <c r="U528" s="260" t="s">
        <v>1391</v>
      </c>
      <c r="V528">
        <v>999</v>
      </c>
      <c r="X528" s="157" t="s">
        <v>2075</v>
      </c>
      <c r="Y528" t="b">
        <v>1</v>
      </c>
    </row>
    <row r="529" spans="1:25">
      <c r="A529" s="229" t="s">
        <v>2098</v>
      </c>
      <c r="B529" s="1" t="str">
        <f t="shared" si="15"/>
        <v>M_AEB0401_VM_KF_MACH_3.22_7000</v>
      </c>
      <c r="C529" s="7" t="s">
        <v>2097</v>
      </c>
      <c r="D529" s="7" t="str" cm="1">
        <f t="array" ref="D529">INDEX(기계코드!$D$4:$D$1022,MATCH(1,(C529=기계코드!$F$4:$F$1022)*1,0))</f>
        <v>M_AEB0401</v>
      </c>
      <c r="E529" s="7" t="s">
        <v>2073</v>
      </c>
      <c r="F529" s="7" t="str" cm="1">
        <f t="array" ref="F529">INDEX(공급업체코드!$B$3:$B$1000,MATCH(1,(E529=공급업체코드!$D$3:$D$1000)*1,0))</f>
        <v>VM_KF_MACH</v>
      </c>
      <c r="G529" s="158" t="s">
        <v>2087</v>
      </c>
      <c r="I529" s="166">
        <v>3.22</v>
      </c>
      <c r="J529" s="160">
        <v>7000</v>
      </c>
      <c r="K529" s="159">
        <v>100</v>
      </c>
      <c r="L529" s="165">
        <v>10.056000000000001</v>
      </c>
      <c r="M529" s="7" t="s">
        <v>981</v>
      </c>
      <c r="N529" s="7">
        <v>380</v>
      </c>
      <c r="O529" s="151">
        <v>0.92400000000000004</v>
      </c>
      <c r="P529" s="7">
        <v>0.9</v>
      </c>
      <c r="Q529" s="7">
        <v>80</v>
      </c>
      <c r="R529" s="113">
        <v>11</v>
      </c>
      <c r="S529" s="258" t="s">
        <v>1390</v>
      </c>
      <c r="T529" s="10">
        <f t="shared" si="14"/>
        <v>1</v>
      </c>
      <c r="U529" s="260" t="s">
        <v>1391</v>
      </c>
      <c r="V529">
        <v>999</v>
      </c>
      <c r="X529" s="157" t="s">
        <v>2075</v>
      </c>
      <c r="Y529" t="b">
        <v>1</v>
      </c>
    </row>
    <row r="530" spans="1:25">
      <c r="A530" s="229" t="s">
        <v>2098</v>
      </c>
      <c r="B530" s="1" t="str">
        <f t="shared" si="15"/>
        <v>M_AEB0401_VM_KF_MACH_4.9_7000</v>
      </c>
      <c r="C530" s="7" t="s">
        <v>2097</v>
      </c>
      <c r="D530" s="7" t="str" cm="1">
        <f t="array" ref="D530">INDEX(기계코드!$D$4:$D$1022,MATCH(1,(C530=기계코드!$F$4:$F$1022)*1,0))</f>
        <v>M_AEB0401</v>
      </c>
      <c r="E530" s="7" t="s">
        <v>2073</v>
      </c>
      <c r="F530" s="7" t="str" cm="1">
        <f t="array" ref="F530">INDEX(공급업체코드!$B$3:$B$1000,MATCH(1,(E530=공급업체코드!$D$3:$D$1000)*1,0))</f>
        <v>VM_KF_MACH</v>
      </c>
      <c r="G530" s="158" t="s">
        <v>2087</v>
      </c>
      <c r="I530" s="166">
        <v>4.9000000000000004</v>
      </c>
      <c r="J530" s="160">
        <v>7000</v>
      </c>
      <c r="K530" s="159">
        <v>100</v>
      </c>
      <c r="L530" s="165">
        <v>12.78</v>
      </c>
      <c r="M530" s="7" t="s">
        <v>981</v>
      </c>
      <c r="N530" s="7">
        <v>380</v>
      </c>
      <c r="O530" s="151">
        <v>0.93</v>
      </c>
      <c r="P530" s="7">
        <v>0.9</v>
      </c>
      <c r="Q530" s="7">
        <v>80</v>
      </c>
      <c r="R530" s="113">
        <v>11</v>
      </c>
      <c r="S530" s="258" t="s">
        <v>1390</v>
      </c>
      <c r="T530" s="10">
        <f t="shared" si="14"/>
        <v>1</v>
      </c>
      <c r="U530" s="260" t="s">
        <v>1391</v>
      </c>
      <c r="V530">
        <v>999</v>
      </c>
      <c r="X530" s="157" t="s">
        <v>2075</v>
      </c>
      <c r="Y530" t="b">
        <v>1</v>
      </c>
    </row>
    <row r="531" spans="1:25">
      <c r="A531" s="229" t="s">
        <v>2098</v>
      </c>
      <c r="B531" s="1" t="str">
        <f t="shared" si="15"/>
        <v>M_AEB0401_VM_KF_MACH_5.12_7000</v>
      </c>
      <c r="C531" s="7" t="s">
        <v>2097</v>
      </c>
      <c r="D531" s="7" t="str" cm="1">
        <f t="array" ref="D531">INDEX(기계코드!$D$4:$D$1022,MATCH(1,(C531=기계코드!$F$4:$F$1022)*1,0))</f>
        <v>M_AEB0401</v>
      </c>
      <c r="E531" s="7" t="s">
        <v>2073</v>
      </c>
      <c r="F531" s="7" t="str" cm="1">
        <f t="array" ref="F531">INDEX(공급업체코드!$B$3:$B$1000,MATCH(1,(E531=공급업체코드!$D$3:$D$1000)*1,0))</f>
        <v>VM_KF_MACH</v>
      </c>
      <c r="G531" s="158" t="s">
        <v>2087</v>
      </c>
      <c r="I531" s="166">
        <v>5.12</v>
      </c>
      <c r="J531" s="160">
        <v>7000</v>
      </c>
      <c r="K531" s="159">
        <v>100</v>
      </c>
      <c r="L531" s="165">
        <v>13.139999999999999</v>
      </c>
      <c r="M531" s="7" t="s">
        <v>981</v>
      </c>
      <c r="N531" s="7">
        <v>380</v>
      </c>
      <c r="O531" s="151">
        <v>0.93</v>
      </c>
      <c r="P531" s="7">
        <v>0.9</v>
      </c>
      <c r="Q531" s="7">
        <v>80</v>
      </c>
      <c r="R531" s="113">
        <v>11</v>
      </c>
      <c r="S531" s="258" t="s">
        <v>1390</v>
      </c>
      <c r="T531" s="10">
        <f t="shared" si="14"/>
        <v>1</v>
      </c>
      <c r="U531" s="260" t="s">
        <v>1391</v>
      </c>
      <c r="V531">
        <v>999</v>
      </c>
      <c r="X531" s="157" t="s">
        <v>2075</v>
      </c>
      <c r="Y531" t="b">
        <v>1</v>
      </c>
    </row>
    <row r="532" spans="1:25">
      <c r="A532" s="229" t="s">
        <v>2098</v>
      </c>
      <c r="B532" s="1" t="str">
        <f t="shared" si="15"/>
        <v>M_AEB0401_VM_KF_MACH_6.44_7000</v>
      </c>
      <c r="C532" s="7" t="s">
        <v>2097</v>
      </c>
      <c r="D532" s="7" t="str" cm="1">
        <f t="array" ref="D532">INDEX(기계코드!$D$4:$D$1022,MATCH(1,(C532=기계코드!$F$4:$F$1022)*1,0))</f>
        <v>M_AEB0401</v>
      </c>
      <c r="E532" s="7" t="s">
        <v>2073</v>
      </c>
      <c r="F532" s="7" t="str" cm="1">
        <f t="array" ref="F532">INDEX(공급업체코드!$B$3:$B$1000,MATCH(1,(E532=공급업체코드!$D$3:$D$1000)*1,0))</f>
        <v>VM_KF_MACH</v>
      </c>
      <c r="G532" s="158" t="s">
        <v>2087</v>
      </c>
      <c r="I532" s="166">
        <v>6.44</v>
      </c>
      <c r="J532" s="160">
        <v>7000</v>
      </c>
      <c r="K532" s="159">
        <v>100</v>
      </c>
      <c r="L532" s="165">
        <v>15.276</v>
      </c>
      <c r="M532" s="7" t="s">
        <v>987</v>
      </c>
      <c r="N532" s="7">
        <v>380</v>
      </c>
      <c r="O532" s="151">
        <v>0.93599999999999994</v>
      </c>
      <c r="P532" s="7">
        <v>0.9</v>
      </c>
      <c r="Q532" s="7">
        <v>80</v>
      </c>
      <c r="R532" s="113">
        <v>11</v>
      </c>
      <c r="S532" s="258" t="s">
        <v>1390</v>
      </c>
      <c r="T532" s="10">
        <f t="shared" si="14"/>
        <v>1</v>
      </c>
      <c r="U532" s="260" t="s">
        <v>1391</v>
      </c>
      <c r="V532">
        <v>999</v>
      </c>
      <c r="X532" s="157" t="s">
        <v>2075</v>
      </c>
      <c r="Y532" t="b">
        <v>1</v>
      </c>
    </row>
    <row r="533" spans="1:25">
      <c r="A533" s="229" t="s">
        <v>2098</v>
      </c>
      <c r="B533" s="1" t="str">
        <f t="shared" si="15"/>
        <v>M_AEB0401_VM_KF_MACH_7.89_7000</v>
      </c>
      <c r="C533" s="7" t="s">
        <v>2097</v>
      </c>
      <c r="D533" s="7" t="str" cm="1">
        <f t="array" ref="D533">INDEX(기계코드!$D$4:$D$1022,MATCH(1,(C533=기계코드!$F$4:$F$1022)*1,0))</f>
        <v>M_AEB0401</v>
      </c>
      <c r="E533" s="7" t="s">
        <v>2073</v>
      </c>
      <c r="F533" s="7" t="str" cm="1">
        <f t="array" ref="F533">INDEX(공급업체코드!$B$3:$B$1000,MATCH(1,(E533=공급업체코드!$D$3:$D$1000)*1,0))</f>
        <v>VM_KF_MACH</v>
      </c>
      <c r="G533" s="158" t="s">
        <v>2087</v>
      </c>
      <c r="I533" s="166">
        <v>7.89</v>
      </c>
      <c r="J533" s="160">
        <v>7000</v>
      </c>
      <c r="K533" s="159">
        <v>100</v>
      </c>
      <c r="L533" s="165">
        <v>17.135999999999999</v>
      </c>
      <c r="M533" s="7" t="s">
        <v>981</v>
      </c>
      <c r="N533" s="7">
        <v>380</v>
      </c>
      <c r="O533" s="151">
        <v>0.93599999999999994</v>
      </c>
      <c r="P533" s="7">
        <v>0.9</v>
      </c>
      <c r="Q533" s="7">
        <v>80</v>
      </c>
      <c r="R533" s="113">
        <v>11</v>
      </c>
      <c r="S533" s="258" t="s">
        <v>1390</v>
      </c>
      <c r="T533" s="10">
        <f t="shared" si="14"/>
        <v>1</v>
      </c>
      <c r="U533" s="260" t="s">
        <v>1391</v>
      </c>
      <c r="V533">
        <v>999</v>
      </c>
      <c r="X533" s="157" t="s">
        <v>2075</v>
      </c>
      <c r="Y533" t="b">
        <v>1</v>
      </c>
    </row>
    <row r="534" spans="1:25">
      <c r="A534" s="229" t="s">
        <v>2098</v>
      </c>
      <c r="B534" s="1" t="str">
        <f t="shared" si="15"/>
        <v>M_AEB0401_VM_KF_MACH_3.03_8000</v>
      </c>
      <c r="C534" s="7" t="s">
        <v>2097</v>
      </c>
      <c r="D534" s="7" t="str" cm="1">
        <f t="array" ref="D534">INDEX(기계코드!$D$4:$D$1022,MATCH(1,(C534=기계코드!$F$4:$F$1022)*1,0))</f>
        <v>M_AEB0401</v>
      </c>
      <c r="E534" s="7" t="s">
        <v>2073</v>
      </c>
      <c r="F534" s="7" t="str" cm="1">
        <f t="array" ref="F534">INDEX(공급업체코드!$B$3:$B$1000,MATCH(1,(E534=공급업체코드!$D$3:$D$1000)*1,0))</f>
        <v>VM_KF_MACH</v>
      </c>
      <c r="G534" s="158" t="s">
        <v>2087</v>
      </c>
      <c r="I534" s="166">
        <v>3.03</v>
      </c>
      <c r="J534" s="160">
        <v>8000</v>
      </c>
      <c r="K534" s="159">
        <v>100</v>
      </c>
      <c r="L534" s="165">
        <v>11.52</v>
      </c>
      <c r="M534" s="7" t="s">
        <v>981</v>
      </c>
      <c r="N534" s="7">
        <v>380</v>
      </c>
      <c r="O534" s="151">
        <v>0.93</v>
      </c>
      <c r="P534" s="7">
        <v>0.9</v>
      </c>
      <c r="Q534" s="7">
        <v>80</v>
      </c>
      <c r="R534" s="113">
        <v>11</v>
      </c>
      <c r="S534" s="258" t="s">
        <v>1390</v>
      </c>
      <c r="T534" s="10">
        <f t="shared" si="14"/>
        <v>1</v>
      </c>
      <c r="U534" s="260" t="s">
        <v>1391</v>
      </c>
      <c r="V534">
        <v>999</v>
      </c>
      <c r="X534" s="157" t="s">
        <v>2075</v>
      </c>
      <c r="Y534" t="b">
        <v>1</v>
      </c>
    </row>
    <row r="535" spans="1:25">
      <c r="A535" s="229" t="s">
        <v>2098</v>
      </c>
      <c r="B535" s="1" t="str">
        <f t="shared" si="15"/>
        <v>M_AEB0401_VM_KF_MACH_4.7_8000</v>
      </c>
      <c r="C535" s="7" t="s">
        <v>2097</v>
      </c>
      <c r="D535" s="7" t="str" cm="1">
        <f t="array" ref="D535">INDEX(기계코드!$D$4:$D$1022,MATCH(1,(C535=기계코드!$F$4:$F$1022)*1,0))</f>
        <v>M_AEB0401</v>
      </c>
      <c r="E535" s="7" t="s">
        <v>2073</v>
      </c>
      <c r="F535" s="7" t="str" cm="1">
        <f t="array" ref="F535">INDEX(공급업체코드!$B$3:$B$1000,MATCH(1,(E535=공급업체코드!$D$3:$D$1000)*1,0))</f>
        <v>VM_KF_MACH</v>
      </c>
      <c r="G535" s="158" t="s">
        <v>2087</v>
      </c>
      <c r="I535" s="166">
        <v>4.7</v>
      </c>
      <c r="J535" s="160">
        <v>8000</v>
      </c>
      <c r="K535" s="159">
        <v>100</v>
      </c>
      <c r="L535" s="165">
        <v>14.435999999999998</v>
      </c>
      <c r="M535" s="7" t="s">
        <v>981</v>
      </c>
      <c r="N535" s="7">
        <v>380</v>
      </c>
      <c r="O535" s="151">
        <v>0.93</v>
      </c>
      <c r="P535" s="7">
        <v>0.9</v>
      </c>
      <c r="Q535" s="7">
        <v>80</v>
      </c>
      <c r="R535" s="113">
        <v>11</v>
      </c>
      <c r="S535" s="258" t="s">
        <v>1390</v>
      </c>
      <c r="T535" s="10">
        <f t="shared" si="14"/>
        <v>1</v>
      </c>
      <c r="U535" s="260" t="s">
        <v>1391</v>
      </c>
      <c r="V535">
        <v>999</v>
      </c>
      <c r="X535" s="157" t="s">
        <v>2075</v>
      </c>
      <c r="Y535" t="b">
        <v>1</v>
      </c>
    </row>
    <row r="536" spans="1:25">
      <c r="A536" s="229" t="s">
        <v>2098</v>
      </c>
      <c r="B536" s="1" t="str">
        <f t="shared" si="15"/>
        <v>M_AEB0401_VM_KF_MACH_4.93_8000</v>
      </c>
      <c r="C536" s="7" t="s">
        <v>2097</v>
      </c>
      <c r="D536" s="7" t="str" cm="1">
        <f t="array" ref="D536">INDEX(기계코드!$D$4:$D$1022,MATCH(1,(C536=기계코드!$F$4:$F$1022)*1,0))</f>
        <v>M_AEB0401</v>
      </c>
      <c r="E536" s="7" t="s">
        <v>2073</v>
      </c>
      <c r="F536" s="7" t="str" cm="1">
        <f t="array" ref="F536">INDEX(공급업체코드!$B$3:$B$1000,MATCH(1,(E536=공급업체코드!$D$3:$D$1000)*1,0))</f>
        <v>VM_KF_MACH</v>
      </c>
      <c r="G536" s="158" t="s">
        <v>2087</v>
      </c>
      <c r="I536" s="166">
        <v>4.93</v>
      </c>
      <c r="J536" s="160">
        <v>8000</v>
      </c>
      <c r="K536" s="159">
        <v>100</v>
      </c>
      <c r="L536" s="165">
        <v>14.964</v>
      </c>
      <c r="M536" s="7" t="s">
        <v>987</v>
      </c>
      <c r="N536" s="7">
        <v>380</v>
      </c>
      <c r="O536" s="151">
        <v>0.93</v>
      </c>
      <c r="P536" s="7">
        <v>0.9</v>
      </c>
      <c r="Q536" s="7">
        <v>80</v>
      </c>
      <c r="R536" s="113">
        <v>11</v>
      </c>
      <c r="S536" s="258" t="s">
        <v>1390</v>
      </c>
      <c r="T536" s="10">
        <f t="shared" si="14"/>
        <v>1</v>
      </c>
      <c r="U536" s="260" t="s">
        <v>1391</v>
      </c>
      <c r="V536">
        <v>999</v>
      </c>
      <c r="X536" s="157" t="s">
        <v>2075</v>
      </c>
      <c r="Y536" t="b">
        <v>1</v>
      </c>
    </row>
    <row r="537" spans="1:25">
      <c r="A537" s="229" t="s">
        <v>2098</v>
      </c>
      <c r="B537" s="1" t="str">
        <f t="shared" si="15"/>
        <v>M_AEB0401_VM_KF_MACH_6.17_8000</v>
      </c>
      <c r="C537" s="7" t="s">
        <v>2097</v>
      </c>
      <c r="D537" s="7" t="str" cm="1">
        <f t="array" ref="D537">INDEX(기계코드!$D$4:$D$1022,MATCH(1,(C537=기계코드!$F$4:$F$1022)*1,0))</f>
        <v>M_AEB0401</v>
      </c>
      <c r="E537" s="7" t="s">
        <v>2073</v>
      </c>
      <c r="F537" s="7" t="str" cm="1">
        <f t="array" ref="F537">INDEX(공급업체코드!$B$3:$B$1000,MATCH(1,(E537=공급업체코드!$D$3:$D$1000)*1,0))</f>
        <v>VM_KF_MACH</v>
      </c>
      <c r="G537" s="158" t="s">
        <v>2087</v>
      </c>
      <c r="I537" s="166">
        <v>6.17</v>
      </c>
      <c r="J537" s="160">
        <v>8000</v>
      </c>
      <c r="K537" s="159">
        <v>100</v>
      </c>
      <c r="L537" s="165">
        <v>17.268000000000001</v>
      </c>
      <c r="M537" s="7" t="s">
        <v>987</v>
      </c>
      <c r="N537" s="7">
        <v>380</v>
      </c>
      <c r="O537" s="151">
        <v>0.93599999999999994</v>
      </c>
      <c r="P537" s="7">
        <v>0.9</v>
      </c>
      <c r="Q537" s="7">
        <v>80</v>
      </c>
      <c r="R537" s="113">
        <v>11</v>
      </c>
      <c r="S537" s="258" t="s">
        <v>1390</v>
      </c>
      <c r="T537" s="10">
        <f t="shared" si="14"/>
        <v>1</v>
      </c>
      <c r="U537" s="260" t="s">
        <v>1391</v>
      </c>
      <c r="V537">
        <v>999</v>
      </c>
      <c r="X537" s="157" t="s">
        <v>2075</v>
      </c>
      <c r="Y537" t="b">
        <v>1</v>
      </c>
    </row>
    <row r="538" spans="1:25">
      <c r="A538" s="229" t="s">
        <v>2098</v>
      </c>
      <c r="B538" s="1" t="str">
        <f t="shared" si="15"/>
        <v>M_AEB0401_VM_KF_MACH_7.6_8000</v>
      </c>
      <c r="C538" s="7" t="s">
        <v>2097</v>
      </c>
      <c r="D538" s="7" t="str" cm="1">
        <f t="array" ref="D538">INDEX(기계코드!$D$4:$D$1022,MATCH(1,(C538=기계코드!$F$4:$F$1022)*1,0))</f>
        <v>M_AEB0401</v>
      </c>
      <c r="E538" s="7" t="s">
        <v>2073</v>
      </c>
      <c r="F538" s="7" t="str" cm="1">
        <f t="array" ref="F538">INDEX(공급업체코드!$B$3:$B$1000,MATCH(1,(E538=공급업체코드!$D$3:$D$1000)*1,0))</f>
        <v>VM_KF_MACH</v>
      </c>
      <c r="G538" s="158" t="s">
        <v>2087</v>
      </c>
      <c r="I538" s="166">
        <v>7.6</v>
      </c>
      <c r="J538" s="160">
        <v>8000</v>
      </c>
      <c r="K538" s="159">
        <v>100</v>
      </c>
      <c r="L538" s="165">
        <v>19.260000000000002</v>
      </c>
      <c r="M538" s="7" t="s">
        <v>987</v>
      </c>
      <c r="N538" s="7">
        <v>380</v>
      </c>
      <c r="O538" s="151">
        <v>0.93599999999999994</v>
      </c>
      <c r="P538" s="7">
        <v>0.9</v>
      </c>
      <c r="Q538" s="7">
        <v>80</v>
      </c>
      <c r="R538" s="113">
        <v>11</v>
      </c>
      <c r="S538" s="258" t="s">
        <v>1390</v>
      </c>
      <c r="T538" s="10">
        <f t="shared" si="14"/>
        <v>1</v>
      </c>
      <c r="U538" s="260" t="s">
        <v>1391</v>
      </c>
      <c r="V538">
        <v>999</v>
      </c>
      <c r="X538" s="157" t="s">
        <v>2075</v>
      </c>
      <c r="Y538" t="b">
        <v>1</v>
      </c>
    </row>
    <row r="539" spans="1:25">
      <c r="A539" s="229" t="s">
        <v>2098</v>
      </c>
      <c r="B539" s="1" t="str">
        <f t="shared" si="15"/>
        <v>M_AEB0401_VM_KF_MACH_10.1_7000</v>
      </c>
      <c r="C539" s="7" t="s">
        <v>2097</v>
      </c>
      <c r="D539" s="7" t="str" cm="1">
        <f t="array" ref="D539">INDEX(기계코드!$D$4:$D$1022,MATCH(1,(C539=기계코드!$F$4:$F$1022)*1,0))</f>
        <v>M_AEB0401</v>
      </c>
      <c r="E539" s="7" t="s">
        <v>2073</v>
      </c>
      <c r="F539" s="7" t="str" cm="1">
        <f t="array" ref="F539">INDEX(공급업체코드!$B$3:$B$1000,MATCH(1,(E539=공급업체코드!$D$3:$D$1000)*1,0))</f>
        <v>VM_KF_MACH</v>
      </c>
      <c r="G539" s="158" t="s">
        <v>2088</v>
      </c>
      <c r="I539" s="166">
        <v>10.1</v>
      </c>
      <c r="J539" s="160">
        <v>7000</v>
      </c>
      <c r="K539" s="159">
        <v>125</v>
      </c>
      <c r="L539" s="165">
        <v>23.52</v>
      </c>
      <c r="M539" s="7" t="s">
        <v>987</v>
      </c>
      <c r="N539" s="7">
        <v>380</v>
      </c>
      <c r="O539" s="151">
        <v>0.94099999999999995</v>
      </c>
      <c r="P539" s="7">
        <v>0.9</v>
      </c>
      <c r="Q539" s="7">
        <v>80</v>
      </c>
      <c r="R539" s="113">
        <v>11</v>
      </c>
      <c r="S539" s="258" t="s">
        <v>1390</v>
      </c>
      <c r="T539" s="10">
        <f t="shared" si="14"/>
        <v>1</v>
      </c>
      <c r="U539" s="260" t="s">
        <v>1391</v>
      </c>
      <c r="V539">
        <v>999</v>
      </c>
      <c r="X539" s="157" t="s">
        <v>2075</v>
      </c>
      <c r="Y539" t="b">
        <v>1</v>
      </c>
    </row>
    <row r="540" spans="1:25">
      <c r="A540" s="229" t="s">
        <v>2098</v>
      </c>
      <c r="B540" s="1" t="str">
        <f t="shared" si="15"/>
        <v>M_AEB0401_VM_KF_MACH_14_7000</v>
      </c>
      <c r="C540" s="7" t="s">
        <v>2097</v>
      </c>
      <c r="D540" s="7" t="str" cm="1">
        <f t="array" ref="D540">INDEX(기계코드!$D$4:$D$1022,MATCH(1,(C540=기계코드!$F$4:$F$1022)*1,0))</f>
        <v>M_AEB0401</v>
      </c>
      <c r="E540" s="7" t="s">
        <v>2073</v>
      </c>
      <c r="F540" s="7" t="str" cm="1">
        <f t="array" ref="F540">INDEX(공급업체코드!$B$3:$B$1000,MATCH(1,(E540=공급업체코드!$D$3:$D$1000)*1,0))</f>
        <v>VM_KF_MACH</v>
      </c>
      <c r="G540" s="158" t="s">
        <v>2088</v>
      </c>
      <c r="I540" s="166">
        <v>14</v>
      </c>
      <c r="J540" s="160">
        <v>7000</v>
      </c>
      <c r="K540" s="159">
        <v>125</v>
      </c>
      <c r="L540" s="165">
        <v>29.759999999999998</v>
      </c>
      <c r="M540" s="7" t="s">
        <v>987</v>
      </c>
      <c r="N540" s="7">
        <v>380</v>
      </c>
      <c r="O540" s="151">
        <v>0.94099999999999995</v>
      </c>
      <c r="P540" s="7">
        <v>0.9</v>
      </c>
      <c r="Q540" s="7">
        <v>80</v>
      </c>
      <c r="R540" s="113">
        <v>11</v>
      </c>
      <c r="S540" s="258" t="s">
        <v>1390</v>
      </c>
      <c r="T540" s="10">
        <f t="shared" si="14"/>
        <v>1</v>
      </c>
      <c r="U540" s="260" t="s">
        <v>1391</v>
      </c>
      <c r="V540">
        <v>999</v>
      </c>
      <c r="X540" s="157" t="s">
        <v>2075</v>
      </c>
      <c r="Y540" t="b">
        <v>1</v>
      </c>
    </row>
    <row r="541" spans="1:25">
      <c r="A541" s="229" t="s">
        <v>2098</v>
      </c>
      <c r="B541" s="1" t="str">
        <f t="shared" si="15"/>
        <v>M_AEB0401_VM_KF_MACH_17.8_7000</v>
      </c>
      <c r="C541" s="7" t="s">
        <v>2097</v>
      </c>
      <c r="D541" s="7" t="str" cm="1">
        <f t="array" ref="D541">INDEX(기계코드!$D$4:$D$1022,MATCH(1,(C541=기계코드!$F$4:$F$1022)*1,0))</f>
        <v>M_AEB0401</v>
      </c>
      <c r="E541" s="7" t="s">
        <v>2073</v>
      </c>
      <c r="F541" s="7" t="str" cm="1">
        <f t="array" ref="F541">INDEX(공급업체코드!$B$3:$B$1000,MATCH(1,(E541=공급업체코드!$D$3:$D$1000)*1,0))</f>
        <v>VM_KF_MACH</v>
      </c>
      <c r="G541" s="158" t="s">
        <v>2088</v>
      </c>
      <c r="I541" s="166">
        <v>17.8</v>
      </c>
      <c r="J541" s="160">
        <v>7000</v>
      </c>
      <c r="K541" s="159">
        <v>125</v>
      </c>
      <c r="L541" s="165">
        <v>34.92</v>
      </c>
      <c r="M541" s="7" t="s">
        <v>987</v>
      </c>
      <c r="N541" s="7">
        <v>380</v>
      </c>
      <c r="O541" s="151">
        <v>0.94499999999999995</v>
      </c>
      <c r="P541" s="7">
        <v>0.9</v>
      </c>
      <c r="Q541" s="7">
        <v>80</v>
      </c>
      <c r="R541" s="113">
        <v>11</v>
      </c>
      <c r="S541" s="258" t="s">
        <v>1390</v>
      </c>
      <c r="T541" s="10">
        <f t="shared" si="14"/>
        <v>1</v>
      </c>
      <c r="U541" s="260" t="s">
        <v>1391</v>
      </c>
      <c r="V541">
        <v>999</v>
      </c>
      <c r="X541" s="157" t="s">
        <v>2075</v>
      </c>
      <c r="Y541" t="b">
        <v>1</v>
      </c>
    </row>
    <row r="542" spans="1:25">
      <c r="A542" s="229" t="s">
        <v>2098</v>
      </c>
      <c r="B542" s="1" t="str">
        <f t="shared" si="15"/>
        <v>M_AEB0401_VM_KF_MACH_20.8_7000</v>
      </c>
      <c r="C542" s="7" t="s">
        <v>2097</v>
      </c>
      <c r="D542" s="7" t="str" cm="1">
        <f t="array" ref="D542">INDEX(기계코드!$D$4:$D$1022,MATCH(1,(C542=기계코드!$F$4:$F$1022)*1,0))</f>
        <v>M_AEB0401</v>
      </c>
      <c r="E542" s="7" t="s">
        <v>2073</v>
      </c>
      <c r="F542" s="7" t="str" cm="1">
        <f t="array" ref="F542">INDEX(공급업체코드!$B$3:$B$1000,MATCH(1,(E542=공급업체코드!$D$3:$D$1000)*1,0))</f>
        <v>VM_KF_MACH</v>
      </c>
      <c r="G542" s="158" t="s">
        <v>2088</v>
      </c>
      <c r="I542" s="166">
        <v>20.8</v>
      </c>
      <c r="J542" s="160">
        <v>7000</v>
      </c>
      <c r="K542" s="159">
        <v>125</v>
      </c>
      <c r="L542" s="165">
        <v>38.879999999999995</v>
      </c>
      <c r="M542" s="7" t="s">
        <v>987</v>
      </c>
      <c r="N542" s="7">
        <v>380</v>
      </c>
      <c r="O542" s="151">
        <v>0.95</v>
      </c>
      <c r="P542" s="7">
        <v>0.9</v>
      </c>
      <c r="Q542" s="7">
        <v>80</v>
      </c>
      <c r="R542" s="113">
        <v>11</v>
      </c>
      <c r="S542" s="258" t="s">
        <v>1390</v>
      </c>
      <c r="T542" s="10">
        <f t="shared" si="14"/>
        <v>1</v>
      </c>
      <c r="U542" s="260" t="s">
        <v>1391</v>
      </c>
      <c r="V542">
        <v>999</v>
      </c>
      <c r="X542" s="157" t="s">
        <v>2075</v>
      </c>
      <c r="Y542" t="b">
        <v>1</v>
      </c>
    </row>
    <row r="543" spans="1:25">
      <c r="A543" s="229" t="s">
        <v>2098</v>
      </c>
      <c r="B543" s="1" t="str">
        <f t="shared" si="15"/>
        <v>M_AEB0401_VM_KF_MACH_9.8_8000</v>
      </c>
      <c r="C543" s="7" t="s">
        <v>2097</v>
      </c>
      <c r="D543" s="7" t="str" cm="1">
        <f t="array" ref="D543">INDEX(기계코드!$D$4:$D$1022,MATCH(1,(C543=기계코드!$F$4:$F$1022)*1,0))</f>
        <v>M_AEB0401</v>
      </c>
      <c r="E543" s="7" t="s">
        <v>2073</v>
      </c>
      <c r="F543" s="7" t="str" cm="1">
        <f t="array" ref="F543">INDEX(공급업체코드!$B$3:$B$1000,MATCH(1,(E543=공급업체코드!$D$3:$D$1000)*1,0))</f>
        <v>VM_KF_MACH</v>
      </c>
      <c r="G543" s="158" t="s">
        <v>2088</v>
      </c>
      <c r="I543" s="166">
        <v>9.8000000000000007</v>
      </c>
      <c r="J543" s="160">
        <v>8000</v>
      </c>
      <c r="K543" s="159">
        <v>125</v>
      </c>
      <c r="L543" s="165">
        <v>26.76</v>
      </c>
      <c r="M543" s="7" t="s">
        <v>987</v>
      </c>
      <c r="N543" s="7">
        <v>380</v>
      </c>
      <c r="O543" s="151">
        <v>0.94099999999999995</v>
      </c>
      <c r="P543" s="7">
        <v>0.9</v>
      </c>
      <c r="Q543" s="7">
        <v>80</v>
      </c>
      <c r="R543" s="113">
        <v>11</v>
      </c>
      <c r="S543" s="258" t="s">
        <v>1390</v>
      </c>
      <c r="T543" s="10">
        <f t="shared" si="14"/>
        <v>1</v>
      </c>
      <c r="U543" s="260" t="s">
        <v>1391</v>
      </c>
      <c r="V543">
        <v>999</v>
      </c>
      <c r="X543" s="157" t="s">
        <v>2075</v>
      </c>
      <c r="Y543" t="b">
        <v>1</v>
      </c>
    </row>
    <row r="544" spans="1:25">
      <c r="A544" s="229" t="s">
        <v>2098</v>
      </c>
      <c r="B544" s="1" t="str">
        <f t="shared" si="15"/>
        <v>M_AEB0401_VM_KF_MACH_13.7_8000</v>
      </c>
      <c r="C544" s="7" t="s">
        <v>2097</v>
      </c>
      <c r="D544" s="7" t="str" cm="1">
        <f t="array" ref="D544">INDEX(기계코드!$D$4:$D$1022,MATCH(1,(C544=기계코드!$F$4:$F$1022)*1,0))</f>
        <v>M_AEB0401</v>
      </c>
      <c r="E544" s="7" t="s">
        <v>2073</v>
      </c>
      <c r="F544" s="7" t="str" cm="1">
        <f t="array" ref="F544">INDEX(공급업체코드!$B$3:$B$1000,MATCH(1,(E544=공급업체코드!$D$3:$D$1000)*1,0))</f>
        <v>VM_KF_MACH</v>
      </c>
      <c r="G544" s="158" t="s">
        <v>2088</v>
      </c>
      <c r="I544" s="166">
        <v>13.7</v>
      </c>
      <c r="J544" s="160">
        <v>8000</v>
      </c>
      <c r="K544" s="159">
        <v>125</v>
      </c>
      <c r="L544" s="165">
        <v>33.96</v>
      </c>
      <c r="M544" s="7" t="s">
        <v>987</v>
      </c>
      <c r="N544" s="7">
        <v>380</v>
      </c>
      <c r="O544" s="151">
        <v>0.94499999999999995</v>
      </c>
      <c r="P544" s="7">
        <v>0.9</v>
      </c>
      <c r="Q544" s="7">
        <v>80</v>
      </c>
      <c r="R544" s="113">
        <v>11</v>
      </c>
      <c r="S544" s="258" t="s">
        <v>1390</v>
      </c>
      <c r="T544" s="10">
        <f t="shared" si="14"/>
        <v>1</v>
      </c>
      <c r="U544" s="260" t="s">
        <v>1391</v>
      </c>
      <c r="V544">
        <v>999</v>
      </c>
      <c r="X544" s="157" t="s">
        <v>2075</v>
      </c>
      <c r="Y544" t="b">
        <v>1</v>
      </c>
    </row>
    <row r="545" spans="1:25">
      <c r="A545" s="229" t="s">
        <v>2098</v>
      </c>
      <c r="B545" s="1" t="str">
        <f t="shared" si="15"/>
        <v>M_AEB0401_VM_KF_MACH_17.5_8000</v>
      </c>
      <c r="C545" s="7" t="s">
        <v>2097</v>
      </c>
      <c r="D545" s="7" t="str" cm="1">
        <f t="array" ref="D545">INDEX(기계코드!$D$4:$D$1022,MATCH(1,(C545=기계코드!$F$4:$F$1022)*1,0))</f>
        <v>M_AEB0401</v>
      </c>
      <c r="E545" s="7" t="s">
        <v>2073</v>
      </c>
      <c r="F545" s="7" t="str" cm="1">
        <f t="array" ref="F545">INDEX(공급업체코드!$B$3:$B$1000,MATCH(1,(E545=공급업체코드!$D$3:$D$1000)*1,0))</f>
        <v>VM_KF_MACH</v>
      </c>
      <c r="G545" s="158" t="s">
        <v>2088</v>
      </c>
      <c r="I545" s="166">
        <v>17.5</v>
      </c>
      <c r="J545" s="160">
        <v>8000</v>
      </c>
      <c r="K545" s="159">
        <v>125</v>
      </c>
      <c r="L545" s="165">
        <v>39.72</v>
      </c>
      <c r="M545" s="7" t="s">
        <v>987</v>
      </c>
      <c r="N545" s="7">
        <v>380</v>
      </c>
      <c r="O545" s="151">
        <v>0.95</v>
      </c>
      <c r="P545" s="7">
        <v>0.9</v>
      </c>
      <c r="Q545" s="7">
        <v>80</v>
      </c>
      <c r="R545" s="113">
        <v>11</v>
      </c>
      <c r="S545" s="258" t="s">
        <v>1390</v>
      </c>
      <c r="T545" s="10">
        <f t="shared" si="14"/>
        <v>1</v>
      </c>
      <c r="U545" s="260" t="s">
        <v>1391</v>
      </c>
      <c r="V545">
        <v>999</v>
      </c>
      <c r="X545" s="157" t="s">
        <v>2075</v>
      </c>
      <c r="Y545" t="b">
        <v>1</v>
      </c>
    </row>
    <row r="546" spans="1:25">
      <c r="A546" s="229" t="s">
        <v>2098</v>
      </c>
      <c r="B546" s="1" t="str">
        <f t="shared" si="15"/>
        <v>M_AEB0401_VM_KF_MACH_20.5_8000</v>
      </c>
      <c r="C546" s="7" t="s">
        <v>2097</v>
      </c>
      <c r="D546" s="7" t="str" cm="1">
        <f t="array" ref="D546">INDEX(기계코드!$D$4:$D$1022,MATCH(1,(C546=기계코드!$F$4:$F$1022)*1,0))</f>
        <v>M_AEB0401</v>
      </c>
      <c r="E546" s="7" t="s">
        <v>2073</v>
      </c>
      <c r="F546" s="7" t="str" cm="1">
        <f t="array" ref="F546">INDEX(공급업체코드!$B$3:$B$1000,MATCH(1,(E546=공급업체코드!$D$3:$D$1000)*1,0))</f>
        <v>VM_KF_MACH</v>
      </c>
      <c r="G546" s="158" t="s">
        <v>2088</v>
      </c>
      <c r="I546" s="166">
        <v>20.5</v>
      </c>
      <c r="J546" s="160">
        <v>8000</v>
      </c>
      <c r="K546" s="159">
        <v>125</v>
      </c>
      <c r="L546" s="165">
        <v>44.16</v>
      </c>
      <c r="M546" s="7" t="s">
        <v>987</v>
      </c>
      <c r="N546" s="7">
        <v>380</v>
      </c>
      <c r="O546" s="151">
        <v>0.95</v>
      </c>
      <c r="P546" s="7">
        <v>0.9</v>
      </c>
      <c r="Q546" s="7">
        <v>80</v>
      </c>
      <c r="R546" s="113">
        <v>11</v>
      </c>
      <c r="S546" s="258" t="s">
        <v>1390</v>
      </c>
      <c r="T546" s="10">
        <f t="shared" si="14"/>
        <v>1</v>
      </c>
      <c r="U546" s="260" t="s">
        <v>1391</v>
      </c>
      <c r="V546">
        <v>999</v>
      </c>
      <c r="X546" s="157" t="s">
        <v>2075</v>
      </c>
      <c r="Y546" t="b">
        <v>1</v>
      </c>
    </row>
    <row r="547" spans="1:25">
      <c r="A547" s="229" t="s">
        <v>2098</v>
      </c>
      <c r="B547" s="1" t="str">
        <f t="shared" si="15"/>
        <v>M_AEB0401_VM_KF_MACH_17.9_7000</v>
      </c>
      <c r="C547" s="7" t="s">
        <v>2097</v>
      </c>
      <c r="D547" s="7" t="str" cm="1">
        <f t="array" ref="D547">INDEX(기계코드!$D$4:$D$1022,MATCH(1,(C547=기계코드!$F$4:$F$1022)*1,0))</f>
        <v>M_AEB0401</v>
      </c>
      <c r="E547" s="7" t="s">
        <v>2073</v>
      </c>
      <c r="F547" s="7" t="str" cm="1">
        <f t="array" ref="F547">INDEX(공급업체코드!$B$3:$B$1000,MATCH(1,(E547=공급업체코드!$D$3:$D$1000)*1,0))</f>
        <v>VM_KF_MACH</v>
      </c>
      <c r="G547" s="158" t="s">
        <v>2089</v>
      </c>
      <c r="I547" s="166">
        <v>17.899999999999999</v>
      </c>
      <c r="J547" s="160">
        <v>7000</v>
      </c>
      <c r="K547" s="159">
        <v>150</v>
      </c>
      <c r="L547" s="165">
        <v>38.520000000000003</v>
      </c>
      <c r="M547" s="7" t="s">
        <v>987</v>
      </c>
      <c r="N547" s="7">
        <v>380</v>
      </c>
      <c r="O547" s="151">
        <v>0.95</v>
      </c>
      <c r="P547" s="7">
        <v>0.9</v>
      </c>
      <c r="Q547" s="7">
        <v>80</v>
      </c>
      <c r="R547" s="113">
        <v>11</v>
      </c>
      <c r="S547" s="258" t="s">
        <v>1390</v>
      </c>
      <c r="T547" s="10">
        <f t="shared" si="14"/>
        <v>1</v>
      </c>
      <c r="U547" s="260" t="s">
        <v>1391</v>
      </c>
      <c r="V547">
        <v>999</v>
      </c>
      <c r="X547" s="157" t="s">
        <v>2075</v>
      </c>
      <c r="Y547" t="b">
        <v>1</v>
      </c>
    </row>
    <row r="548" spans="1:25">
      <c r="A548" s="229" t="s">
        <v>2098</v>
      </c>
      <c r="B548" s="1" t="str">
        <f t="shared" si="15"/>
        <v>M_AEB0401_VM_KF_MACH_23.9_7000</v>
      </c>
      <c r="C548" s="7" t="s">
        <v>2097</v>
      </c>
      <c r="D548" s="7" t="str" cm="1">
        <f t="array" ref="D548">INDEX(기계코드!$D$4:$D$1022,MATCH(1,(C548=기계코드!$F$4:$F$1022)*1,0))</f>
        <v>M_AEB0401</v>
      </c>
      <c r="E548" s="7" t="s">
        <v>2073</v>
      </c>
      <c r="F548" s="7" t="str" cm="1">
        <f t="array" ref="F548">INDEX(공급업체코드!$B$3:$B$1000,MATCH(1,(E548=공급업체코드!$D$3:$D$1000)*1,0))</f>
        <v>VM_KF_MACH</v>
      </c>
      <c r="G548" s="158" t="s">
        <v>2089</v>
      </c>
      <c r="I548" s="166">
        <v>23.9</v>
      </c>
      <c r="J548" s="160">
        <v>7000</v>
      </c>
      <c r="K548" s="159">
        <v>150</v>
      </c>
      <c r="L548" s="165">
        <v>47.16</v>
      </c>
      <c r="M548" s="7" t="s">
        <v>987</v>
      </c>
      <c r="N548" s="7">
        <v>380</v>
      </c>
      <c r="O548" s="151">
        <v>0.95400000000000007</v>
      </c>
      <c r="P548" s="7">
        <v>0.9</v>
      </c>
      <c r="Q548" s="7">
        <v>80</v>
      </c>
      <c r="R548" s="113">
        <v>11</v>
      </c>
      <c r="S548" s="258" t="s">
        <v>1390</v>
      </c>
      <c r="T548" s="10">
        <f t="shared" si="14"/>
        <v>1</v>
      </c>
      <c r="U548" s="260" t="s">
        <v>1391</v>
      </c>
      <c r="V548">
        <v>999</v>
      </c>
      <c r="X548" s="157" t="s">
        <v>2075</v>
      </c>
      <c r="Y548" t="b">
        <v>1</v>
      </c>
    </row>
    <row r="549" spans="1:25">
      <c r="A549" s="229" t="s">
        <v>2098</v>
      </c>
      <c r="B549" s="1" t="str">
        <f t="shared" si="15"/>
        <v>M_AEB0401_VM_KF_MACH_30.2_7000</v>
      </c>
      <c r="C549" s="7" t="s">
        <v>2097</v>
      </c>
      <c r="D549" s="7" t="str" cm="1">
        <f t="array" ref="D549">INDEX(기계코드!$D$4:$D$1022,MATCH(1,(C549=기계코드!$F$4:$F$1022)*1,0))</f>
        <v>M_AEB0401</v>
      </c>
      <c r="E549" s="7" t="s">
        <v>2073</v>
      </c>
      <c r="F549" s="7" t="str" cm="1">
        <f t="array" ref="F549">INDEX(공급업체코드!$B$3:$B$1000,MATCH(1,(E549=공급업체코드!$D$3:$D$1000)*1,0))</f>
        <v>VM_KF_MACH</v>
      </c>
      <c r="G549" s="158" t="s">
        <v>2089</v>
      </c>
      <c r="I549" s="166">
        <v>30.2</v>
      </c>
      <c r="J549" s="160">
        <v>7000</v>
      </c>
      <c r="K549" s="159">
        <v>150</v>
      </c>
      <c r="L549" s="165">
        <v>55.559999999999995</v>
      </c>
      <c r="M549" s="7" t="s">
        <v>987</v>
      </c>
      <c r="N549" s="7">
        <v>380</v>
      </c>
      <c r="O549" s="151">
        <v>0.95400000000000007</v>
      </c>
      <c r="P549" s="7">
        <v>0.9</v>
      </c>
      <c r="Q549" s="7">
        <v>80</v>
      </c>
      <c r="R549" s="113">
        <v>11</v>
      </c>
      <c r="S549" s="258" t="s">
        <v>1390</v>
      </c>
      <c r="T549" s="10">
        <f t="shared" si="14"/>
        <v>1</v>
      </c>
      <c r="U549" s="260" t="s">
        <v>1391</v>
      </c>
      <c r="V549">
        <v>999</v>
      </c>
      <c r="X549" s="157" t="s">
        <v>2075</v>
      </c>
      <c r="Y549" t="b">
        <v>1</v>
      </c>
    </row>
    <row r="550" spans="1:25">
      <c r="A550" s="229" t="s">
        <v>2098</v>
      </c>
      <c r="B550" s="1" t="str">
        <f t="shared" si="15"/>
        <v>M_AEB0401_VM_KF_MACH_34.9_7000</v>
      </c>
      <c r="C550" s="7" t="s">
        <v>2097</v>
      </c>
      <c r="D550" s="7" t="str" cm="1">
        <f t="array" ref="D550">INDEX(기계코드!$D$4:$D$1022,MATCH(1,(C550=기계코드!$F$4:$F$1022)*1,0))</f>
        <v>M_AEB0401</v>
      </c>
      <c r="E550" s="7" t="s">
        <v>2073</v>
      </c>
      <c r="F550" s="7" t="str" cm="1">
        <f t="array" ref="F550">INDEX(공급업체코드!$B$3:$B$1000,MATCH(1,(E550=공급업체코드!$D$3:$D$1000)*1,0))</f>
        <v>VM_KF_MACH</v>
      </c>
      <c r="G550" s="158" t="s">
        <v>2089</v>
      </c>
      <c r="I550" s="166">
        <v>34.9</v>
      </c>
      <c r="J550" s="160">
        <v>7000</v>
      </c>
      <c r="K550" s="159">
        <v>150</v>
      </c>
      <c r="L550" s="165">
        <v>61.199999999999996</v>
      </c>
      <c r="M550" s="7" t="s">
        <v>987</v>
      </c>
      <c r="N550" s="7">
        <v>380</v>
      </c>
      <c r="O550" s="151">
        <v>0.95400000000000007</v>
      </c>
      <c r="P550" s="7">
        <v>0.9</v>
      </c>
      <c r="Q550" s="7">
        <v>80</v>
      </c>
      <c r="R550" s="113">
        <v>11</v>
      </c>
      <c r="S550" s="258" t="s">
        <v>1390</v>
      </c>
      <c r="T550" s="10">
        <f t="shared" si="14"/>
        <v>1</v>
      </c>
      <c r="U550" s="260" t="s">
        <v>1391</v>
      </c>
      <c r="V550">
        <v>999</v>
      </c>
      <c r="X550" s="157" t="s">
        <v>2075</v>
      </c>
      <c r="Y550" t="b">
        <v>1</v>
      </c>
    </row>
    <row r="551" spans="1:25">
      <c r="A551" s="229" t="s">
        <v>2098</v>
      </c>
      <c r="B551" s="1" t="str">
        <f t="shared" si="15"/>
        <v>M_AEB0401_VM_KF_MACH_17.3_8000</v>
      </c>
      <c r="C551" s="7" t="s">
        <v>2097</v>
      </c>
      <c r="D551" s="7" t="str" cm="1">
        <f t="array" ref="D551">INDEX(기계코드!$D$4:$D$1022,MATCH(1,(C551=기계코드!$F$4:$F$1022)*1,0))</f>
        <v>M_AEB0401</v>
      </c>
      <c r="E551" s="7" t="s">
        <v>2073</v>
      </c>
      <c r="F551" s="7" t="str" cm="1">
        <f t="array" ref="F551">INDEX(공급업체코드!$B$3:$B$1000,MATCH(1,(E551=공급업체코드!$D$3:$D$1000)*1,0))</f>
        <v>VM_KF_MACH</v>
      </c>
      <c r="G551" s="158" t="s">
        <v>2089</v>
      </c>
      <c r="I551" s="166">
        <v>17.3</v>
      </c>
      <c r="J551" s="160">
        <v>8000</v>
      </c>
      <c r="K551" s="159">
        <v>150</v>
      </c>
      <c r="L551" s="165">
        <v>43.559999999999995</v>
      </c>
      <c r="M551" s="7" t="s">
        <v>987</v>
      </c>
      <c r="N551" s="7">
        <v>380</v>
      </c>
      <c r="O551" s="151">
        <v>0.95</v>
      </c>
      <c r="P551" s="7">
        <v>0.9</v>
      </c>
      <c r="Q551" s="7">
        <v>80</v>
      </c>
      <c r="R551" s="113">
        <v>11</v>
      </c>
      <c r="S551" s="258" t="s">
        <v>1390</v>
      </c>
      <c r="T551" s="10">
        <f t="shared" si="14"/>
        <v>1</v>
      </c>
      <c r="U551" s="260" t="s">
        <v>1391</v>
      </c>
      <c r="V551">
        <v>999</v>
      </c>
      <c r="X551" s="157" t="s">
        <v>2075</v>
      </c>
      <c r="Y551" t="b">
        <v>1</v>
      </c>
    </row>
    <row r="552" spans="1:25">
      <c r="A552" s="229" t="s">
        <v>2098</v>
      </c>
      <c r="B552" s="1" t="str">
        <f t="shared" si="15"/>
        <v>M_AEB0401_VM_KF_MACH_23.3_8000</v>
      </c>
      <c r="C552" s="7" t="s">
        <v>2097</v>
      </c>
      <c r="D552" s="7" t="str" cm="1">
        <f t="array" ref="D552">INDEX(기계코드!$D$4:$D$1022,MATCH(1,(C552=기계코드!$F$4:$F$1022)*1,0))</f>
        <v>M_AEB0401</v>
      </c>
      <c r="E552" s="7" t="s">
        <v>2073</v>
      </c>
      <c r="F552" s="7" t="str" cm="1">
        <f t="array" ref="F552">INDEX(공급업체코드!$B$3:$B$1000,MATCH(1,(E552=공급업체코드!$D$3:$D$1000)*1,0))</f>
        <v>VM_KF_MACH</v>
      </c>
      <c r="G552" s="158" t="s">
        <v>2089</v>
      </c>
      <c r="I552" s="166">
        <v>23.3</v>
      </c>
      <c r="J552" s="160">
        <v>8000</v>
      </c>
      <c r="K552" s="159">
        <v>150</v>
      </c>
      <c r="L552" s="165">
        <v>53.279999999999994</v>
      </c>
      <c r="M552" s="7" t="s">
        <v>987</v>
      </c>
      <c r="N552" s="7">
        <v>380</v>
      </c>
      <c r="O552" s="151">
        <v>0.95400000000000007</v>
      </c>
      <c r="P552" s="7">
        <v>0.9</v>
      </c>
      <c r="Q552" s="7">
        <v>80</v>
      </c>
      <c r="R552" s="113">
        <v>11</v>
      </c>
      <c r="S552" s="258" t="s">
        <v>1390</v>
      </c>
      <c r="T552" s="10">
        <f t="shared" si="14"/>
        <v>1</v>
      </c>
      <c r="U552" s="260" t="s">
        <v>1391</v>
      </c>
      <c r="V552">
        <v>999</v>
      </c>
      <c r="X552" s="157" t="s">
        <v>2075</v>
      </c>
      <c r="Y552" t="b">
        <v>1</v>
      </c>
    </row>
    <row r="553" spans="1:25">
      <c r="A553" s="229" t="s">
        <v>2098</v>
      </c>
      <c r="B553" s="1" t="str">
        <f t="shared" si="15"/>
        <v>M_AEB0401_VM_KF_MACH_29.6_8000</v>
      </c>
      <c r="C553" s="7" t="s">
        <v>2097</v>
      </c>
      <c r="D553" s="7" t="str" cm="1">
        <f t="array" ref="D553">INDEX(기계코드!$D$4:$D$1022,MATCH(1,(C553=기계코드!$F$4:$F$1022)*1,0))</f>
        <v>M_AEB0401</v>
      </c>
      <c r="E553" s="7" t="s">
        <v>2073</v>
      </c>
      <c r="F553" s="7" t="str" cm="1">
        <f t="array" ref="F553">INDEX(공급업체코드!$B$3:$B$1000,MATCH(1,(E553=공급업체코드!$D$3:$D$1000)*1,0))</f>
        <v>VM_KF_MACH</v>
      </c>
      <c r="G553" s="158" t="s">
        <v>2089</v>
      </c>
      <c r="I553" s="166">
        <v>29.6</v>
      </c>
      <c r="J553" s="160">
        <v>8000</v>
      </c>
      <c r="K553" s="159">
        <v>150</v>
      </c>
      <c r="L553" s="165">
        <v>62.759999999999991</v>
      </c>
      <c r="M553" s="7" t="s">
        <v>987</v>
      </c>
      <c r="N553" s="7">
        <v>380</v>
      </c>
      <c r="O553" s="151">
        <v>0.95400000000000007</v>
      </c>
      <c r="P553" s="7">
        <v>0.9</v>
      </c>
      <c r="Q553" s="7">
        <v>80</v>
      </c>
      <c r="R553" s="113">
        <v>11</v>
      </c>
      <c r="S553" s="258" t="s">
        <v>1390</v>
      </c>
      <c r="T553" s="10">
        <f t="shared" si="14"/>
        <v>1</v>
      </c>
      <c r="U553" s="260" t="s">
        <v>1391</v>
      </c>
      <c r="V553">
        <v>999</v>
      </c>
      <c r="X553" s="157" t="s">
        <v>2075</v>
      </c>
      <c r="Y553" t="b">
        <v>1</v>
      </c>
    </row>
    <row r="554" spans="1:25">
      <c r="A554" s="229" t="s">
        <v>2098</v>
      </c>
      <c r="B554" s="1" t="str">
        <f t="shared" si="15"/>
        <v>M_AEB0401_VM_KF_MACH_34.4_8000</v>
      </c>
      <c r="C554" s="7" t="s">
        <v>2097</v>
      </c>
      <c r="D554" s="7" t="str" cm="1">
        <f t="array" ref="D554">INDEX(기계코드!$D$4:$D$1022,MATCH(1,(C554=기계코드!$F$4:$F$1022)*1,0))</f>
        <v>M_AEB0401</v>
      </c>
      <c r="E554" s="7" t="s">
        <v>2073</v>
      </c>
      <c r="F554" s="7" t="str" cm="1">
        <f t="array" ref="F554">INDEX(공급업체코드!$B$3:$B$1000,MATCH(1,(E554=공급업체코드!$D$3:$D$1000)*1,0))</f>
        <v>VM_KF_MACH</v>
      </c>
      <c r="G554" s="158" t="s">
        <v>2089</v>
      </c>
      <c r="I554" s="166">
        <v>34.4</v>
      </c>
      <c r="J554" s="160">
        <v>8000</v>
      </c>
      <c r="K554" s="159">
        <v>150</v>
      </c>
      <c r="L554" s="165">
        <v>69.239999999999995</v>
      </c>
      <c r="M554" s="7" t="s">
        <v>987</v>
      </c>
      <c r="N554" s="7">
        <v>380</v>
      </c>
      <c r="O554" s="151">
        <v>0.95400000000000007</v>
      </c>
      <c r="P554" s="7">
        <v>0.9</v>
      </c>
      <c r="Q554" s="7">
        <v>80</v>
      </c>
      <c r="R554" s="113">
        <v>11</v>
      </c>
      <c r="S554" s="258" t="s">
        <v>1390</v>
      </c>
      <c r="T554" s="10">
        <f t="shared" si="14"/>
        <v>1</v>
      </c>
      <c r="U554" s="260" t="s">
        <v>1391</v>
      </c>
      <c r="V554">
        <v>999</v>
      </c>
      <c r="X554" s="157" t="s">
        <v>2075</v>
      </c>
      <c r="Y554" t="b">
        <v>1</v>
      </c>
    </row>
    <row r="555" spans="1:25">
      <c r="A555" s="229" t="s">
        <v>2098</v>
      </c>
      <c r="B555" s="1" t="str">
        <f t="shared" si="15"/>
        <v>M_AEB0401_VM_KF_MACH_34.6_7000</v>
      </c>
      <c r="C555" s="7" t="s">
        <v>2097</v>
      </c>
      <c r="D555" s="7" t="str" cm="1">
        <f t="array" ref="D555">INDEX(기계코드!$D$4:$D$1022,MATCH(1,(C555=기계코드!$F$4:$F$1022)*1,0))</f>
        <v>M_AEB0401</v>
      </c>
      <c r="E555" s="7" t="s">
        <v>2073</v>
      </c>
      <c r="F555" s="7" t="str" cm="1">
        <f t="array" ref="F555">INDEX(공급업체코드!$B$3:$B$1000,MATCH(1,(E555=공급업체코드!$D$3:$D$1000)*1,0))</f>
        <v>VM_KF_MACH</v>
      </c>
      <c r="G555" s="158" t="s">
        <v>2090</v>
      </c>
      <c r="I555" s="166">
        <v>34.6</v>
      </c>
      <c r="J555" s="160">
        <v>7000</v>
      </c>
      <c r="K555" s="159">
        <v>200</v>
      </c>
      <c r="L555" s="165">
        <v>68.88</v>
      </c>
      <c r="M555" s="7" t="s">
        <v>987</v>
      </c>
      <c r="N555" s="7">
        <v>380</v>
      </c>
      <c r="O555" s="151">
        <v>0.95400000000000007</v>
      </c>
      <c r="P555" s="7">
        <v>0.9</v>
      </c>
      <c r="Q555" s="7">
        <v>80</v>
      </c>
      <c r="R555" s="113">
        <v>11</v>
      </c>
      <c r="S555" s="258" t="s">
        <v>1390</v>
      </c>
      <c r="T555" s="10">
        <f t="shared" si="14"/>
        <v>1</v>
      </c>
      <c r="U555" s="260" t="s">
        <v>1391</v>
      </c>
      <c r="V555">
        <v>999</v>
      </c>
      <c r="X555" s="157" t="s">
        <v>2075</v>
      </c>
      <c r="Y555" t="b">
        <v>1</v>
      </c>
    </row>
    <row r="556" spans="1:25">
      <c r="A556" s="229" t="s">
        <v>2098</v>
      </c>
      <c r="B556" s="1" t="str">
        <f t="shared" si="15"/>
        <v>M_AEB0401_VM_KF_MACH_39.2_7000</v>
      </c>
      <c r="C556" s="7" t="s">
        <v>2097</v>
      </c>
      <c r="D556" s="7" t="str" cm="1">
        <f t="array" ref="D556">INDEX(기계코드!$D$4:$D$1022,MATCH(1,(C556=기계코드!$F$4:$F$1022)*1,0))</f>
        <v>M_AEB0401</v>
      </c>
      <c r="E556" s="7" t="s">
        <v>2073</v>
      </c>
      <c r="F556" s="7" t="str" cm="1">
        <f t="array" ref="F556">INDEX(공급업체코드!$B$3:$B$1000,MATCH(1,(E556=공급업체코드!$D$3:$D$1000)*1,0))</f>
        <v>VM_KF_MACH</v>
      </c>
      <c r="G556" s="158" t="s">
        <v>2090</v>
      </c>
      <c r="I556" s="166">
        <v>39.200000000000003</v>
      </c>
      <c r="J556" s="160">
        <v>7000</v>
      </c>
      <c r="K556" s="159">
        <v>200</v>
      </c>
      <c r="L556" s="165">
        <v>75.959999999999994</v>
      </c>
      <c r="M556" s="7" t="s">
        <v>987</v>
      </c>
      <c r="N556" s="7">
        <v>380</v>
      </c>
      <c r="O556" s="151">
        <v>0.95400000000000007</v>
      </c>
      <c r="P556" s="7">
        <v>0.9</v>
      </c>
      <c r="Q556" s="7">
        <v>80</v>
      </c>
      <c r="R556" s="113">
        <v>11</v>
      </c>
      <c r="S556" s="258" t="s">
        <v>1390</v>
      </c>
      <c r="T556" s="10">
        <f t="shared" si="14"/>
        <v>1</v>
      </c>
      <c r="U556" s="260" t="s">
        <v>1391</v>
      </c>
      <c r="V556">
        <v>999</v>
      </c>
      <c r="X556" s="157" t="s">
        <v>2075</v>
      </c>
      <c r="Y556" t="b">
        <v>1</v>
      </c>
    </row>
    <row r="557" spans="1:25">
      <c r="A557" s="229" t="s">
        <v>2098</v>
      </c>
      <c r="B557" s="1" t="str">
        <f t="shared" si="15"/>
        <v>M_AEB0401_VM_KF_MACH_46.1_7000</v>
      </c>
      <c r="C557" s="7" t="s">
        <v>2097</v>
      </c>
      <c r="D557" s="7" t="str" cm="1">
        <f t="array" ref="D557">INDEX(기계코드!$D$4:$D$1022,MATCH(1,(C557=기계코드!$F$4:$F$1022)*1,0))</f>
        <v>M_AEB0401</v>
      </c>
      <c r="E557" s="7" t="s">
        <v>2073</v>
      </c>
      <c r="F557" s="7" t="str" cm="1">
        <f t="array" ref="F557">INDEX(공급업체코드!$B$3:$B$1000,MATCH(1,(E557=공급업체코드!$D$3:$D$1000)*1,0))</f>
        <v>VM_KF_MACH</v>
      </c>
      <c r="G557" s="158" t="s">
        <v>2090</v>
      </c>
      <c r="I557" s="166">
        <v>46.1</v>
      </c>
      <c r="J557" s="160">
        <v>7000</v>
      </c>
      <c r="K557" s="159">
        <v>200</v>
      </c>
      <c r="L557" s="165">
        <v>86.28</v>
      </c>
      <c r="M557" s="7" t="s">
        <v>987</v>
      </c>
      <c r="N557" s="7">
        <v>380</v>
      </c>
      <c r="O557" s="151">
        <v>0.95400000000000007</v>
      </c>
      <c r="P557" s="7">
        <v>0.9</v>
      </c>
      <c r="Q557" s="7">
        <v>80</v>
      </c>
      <c r="R557" s="113">
        <v>11</v>
      </c>
      <c r="S557" s="258" t="s">
        <v>1390</v>
      </c>
      <c r="T557" s="10">
        <f t="shared" si="14"/>
        <v>1</v>
      </c>
      <c r="U557" s="260" t="s">
        <v>1391</v>
      </c>
      <c r="V557">
        <v>999</v>
      </c>
      <c r="X557" s="157" t="s">
        <v>2075</v>
      </c>
      <c r="Y557" t="b">
        <v>1</v>
      </c>
    </row>
    <row r="558" spans="1:25">
      <c r="A558" s="229" t="s">
        <v>2098</v>
      </c>
      <c r="B558" s="1" t="str">
        <f t="shared" si="15"/>
        <v>M_AEB0401_VM_KF_MACH_49.8_7000</v>
      </c>
      <c r="C558" s="7" t="s">
        <v>2097</v>
      </c>
      <c r="D558" s="7" t="str" cm="1">
        <f t="array" ref="D558">INDEX(기계코드!$D$4:$D$1022,MATCH(1,(C558=기계코드!$F$4:$F$1022)*1,0))</f>
        <v>M_AEB0401</v>
      </c>
      <c r="E558" s="7" t="s">
        <v>2073</v>
      </c>
      <c r="F558" s="7" t="str" cm="1">
        <f t="array" ref="F558">INDEX(공급업체코드!$B$3:$B$1000,MATCH(1,(E558=공급업체코드!$D$3:$D$1000)*1,0))</f>
        <v>VM_KF_MACH</v>
      </c>
      <c r="G558" s="158" t="s">
        <v>2090</v>
      </c>
      <c r="I558" s="166">
        <v>49.8</v>
      </c>
      <c r="J558" s="160">
        <v>7000</v>
      </c>
      <c r="K558" s="159">
        <v>200</v>
      </c>
      <c r="L558" s="165">
        <v>92.399999999999991</v>
      </c>
      <c r="M558" s="7" t="s">
        <v>987</v>
      </c>
      <c r="N558" s="7">
        <v>380</v>
      </c>
      <c r="O558" s="151">
        <v>0.95799999999999996</v>
      </c>
      <c r="P558" s="7">
        <v>0.9</v>
      </c>
      <c r="Q558" s="7">
        <v>80</v>
      </c>
      <c r="R558" s="113">
        <v>11</v>
      </c>
      <c r="S558" s="258" t="s">
        <v>1390</v>
      </c>
      <c r="T558" s="10">
        <f t="shared" si="14"/>
        <v>1</v>
      </c>
      <c r="U558" s="260" t="s">
        <v>1391</v>
      </c>
      <c r="V558">
        <v>999</v>
      </c>
      <c r="X558" s="157" t="s">
        <v>2075</v>
      </c>
      <c r="Y558" t="b">
        <v>1</v>
      </c>
    </row>
    <row r="559" spans="1:25">
      <c r="A559" s="229" t="s">
        <v>2098</v>
      </c>
      <c r="B559" s="1" t="str">
        <f t="shared" si="15"/>
        <v>M_AEB0401_VM_KF_MACH_63.7_7000</v>
      </c>
      <c r="C559" s="7" t="s">
        <v>2097</v>
      </c>
      <c r="D559" s="7" t="str" cm="1">
        <f t="array" ref="D559">INDEX(기계코드!$D$4:$D$1022,MATCH(1,(C559=기계코드!$F$4:$F$1022)*1,0))</f>
        <v>M_AEB0401</v>
      </c>
      <c r="E559" s="7" t="s">
        <v>2073</v>
      </c>
      <c r="F559" s="7" t="str" cm="1">
        <f t="array" ref="F559">INDEX(공급업체코드!$B$3:$B$1000,MATCH(1,(E559=공급업체코드!$D$3:$D$1000)*1,0))</f>
        <v>VM_KF_MACH</v>
      </c>
      <c r="G559" s="158" t="s">
        <v>2090</v>
      </c>
      <c r="I559" s="166">
        <v>63.7</v>
      </c>
      <c r="J559" s="160">
        <v>7000</v>
      </c>
      <c r="K559" s="159">
        <v>200</v>
      </c>
      <c r="L559" s="165">
        <v>115.55999999999999</v>
      </c>
      <c r="M559" s="7" t="s">
        <v>987</v>
      </c>
      <c r="N559" s="7">
        <v>380</v>
      </c>
      <c r="O559" s="151">
        <v>0.95799999999999996</v>
      </c>
      <c r="P559" s="7">
        <v>0.9</v>
      </c>
      <c r="Q559" s="7">
        <v>80</v>
      </c>
      <c r="R559" s="113">
        <v>11</v>
      </c>
      <c r="S559" s="258" t="s">
        <v>1390</v>
      </c>
      <c r="T559" s="10">
        <f t="shared" si="14"/>
        <v>1</v>
      </c>
      <c r="U559" s="260" t="s">
        <v>1391</v>
      </c>
      <c r="V559">
        <v>999</v>
      </c>
      <c r="X559" s="157" t="s">
        <v>2075</v>
      </c>
      <c r="Y559" t="b">
        <v>1</v>
      </c>
    </row>
    <row r="560" spans="1:25">
      <c r="A560" s="229" t="s">
        <v>2098</v>
      </c>
      <c r="B560" s="1" t="str">
        <f t="shared" si="15"/>
        <v>M_AEB0401_VM_KF_MACH_77.8_7000</v>
      </c>
      <c r="C560" s="7" t="s">
        <v>2097</v>
      </c>
      <c r="D560" s="7" t="str" cm="1">
        <f t="array" ref="D560">INDEX(기계코드!$D$4:$D$1022,MATCH(1,(C560=기계코드!$F$4:$F$1022)*1,0))</f>
        <v>M_AEB0401</v>
      </c>
      <c r="E560" s="7" t="s">
        <v>2073</v>
      </c>
      <c r="F560" s="7" t="str" cm="1">
        <f t="array" ref="F560">INDEX(공급업체코드!$B$3:$B$1000,MATCH(1,(E560=공급업체코드!$D$3:$D$1000)*1,0))</f>
        <v>VM_KF_MACH</v>
      </c>
      <c r="G560" s="158" t="s">
        <v>2090</v>
      </c>
      <c r="I560" s="166">
        <v>77.8</v>
      </c>
      <c r="J560" s="160">
        <v>7000</v>
      </c>
      <c r="K560" s="159">
        <v>200</v>
      </c>
      <c r="L560" s="165">
        <v>138.11999999999998</v>
      </c>
      <c r="M560" s="7" t="s">
        <v>987</v>
      </c>
      <c r="N560" s="7">
        <v>380</v>
      </c>
      <c r="O560" s="151">
        <v>0.96200000000000008</v>
      </c>
      <c r="P560" s="7">
        <v>0.9</v>
      </c>
      <c r="Q560" s="7">
        <v>80</v>
      </c>
      <c r="R560" s="113">
        <v>11</v>
      </c>
      <c r="S560" s="258" t="s">
        <v>1390</v>
      </c>
      <c r="T560" s="10">
        <f t="shared" si="14"/>
        <v>1</v>
      </c>
      <c r="U560" s="260" t="s">
        <v>1391</v>
      </c>
      <c r="V560">
        <v>999</v>
      </c>
      <c r="X560" s="157" t="s">
        <v>2075</v>
      </c>
      <c r="Y560" t="b">
        <v>1</v>
      </c>
    </row>
    <row r="561" spans="1:25">
      <c r="A561" s="229" t="s">
        <v>2098</v>
      </c>
      <c r="B561" s="1" t="str">
        <f t="shared" si="15"/>
        <v>M_AEB0401_VM_KF_MACH_33.8_8000</v>
      </c>
      <c r="C561" s="7" t="s">
        <v>2097</v>
      </c>
      <c r="D561" s="7" t="str" cm="1">
        <f t="array" ref="D561">INDEX(기계코드!$D$4:$D$1022,MATCH(1,(C561=기계코드!$F$4:$F$1022)*1,0))</f>
        <v>M_AEB0401</v>
      </c>
      <c r="E561" s="7" t="s">
        <v>2073</v>
      </c>
      <c r="F561" s="7" t="str" cm="1">
        <f t="array" ref="F561">INDEX(공급업체코드!$B$3:$B$1000,MATCH(1,(E561=공급업체코드!$D$3:$D$1000)*1,0))</f>
        <v>VM_KF_MACH</v>
      </c>
      <c r="G561" s="158" t="s">
        <v>2090</v>
      </c>
      <c r="I561" s="166">
        <v>33.799999999999997</v>
      </c>
      <c r="J561" s="160">
        <v>8000</v>
      </c>
      <c r="K561" s="159">
        <v>200</v>
      </c>
      <c r="L561" s="165">
        <v>78.719999999999985</v>
      </c>
      <c r="M561" s="7" t="s">
        <v>987</v>
      </c>
      <c r="N561" s="7">
        <v>380</v>
      </c>
      <c r="O561" s="151">
        <v>0.95400000000000007</v>
      </c>
      <c r="P561" s="7">
        <v>0.9</v>
      </c>
      <c r="Q561" s="7">
        <v>80</v>
      </c>
      <c r="R561" s="113">
        <v>11</v>
      </c>
      <c r="S561" s="258" t="s">
        <v>1390</v>
      </c>
      <c r="T561" s="10">
        <f t="shared" si="14"/>
        <v>1</v>
      </c>
      <c r="U561" s="260" t="s">
        <v>1391</v>
      </c>
      <c r="V561">
        <v>999</v>
      </c>
      <c r="X561" s="157" t="s">
        <v>2075</v>
      </c>
      <c r="Y561" t="b">
        <v>1</v>
      </c>
    </row>
    <row r="562" spans="1:25">
      <c r="A562" s="229" t="s">
        <v>2098</v>
      </c>
      <c r="B562" s="1" t="str">
        <f t="shared" si="15"/>
        <v>M_AEB0401_VM_KF_MACH_38.5_8000</v>
      </c>
      <c r="C562" s="7" t="s">
        <v>2097</v>
      </c>
      <c r="D562" s="7" t="str" cm="1">
        <f t="array" ref="D562">INDEX(기계코드!$D$4:$D$1022,MATCH(1,(C562=기계코드!$F$4:$F$1022)*1,0))</f>
        <v>M_AEB0401</v>
      </c>
      <c r="E562" s="7" t="s">
        <v>2073</v>
      </c>
      <c r="F562" s="7" t="str" cm="1">
        <f t="array" ref="F562">INDEX(공급업체코드!$B$3:$B$1000,MATCH(1,(E562=공급업체코드!$D$3:$D$1000)*1,0))</f>
        <v>VM_KF_MACH</v>
      </c>
      <c r="G562" s="158" t="s">
        <v>2090</v>
      </c>
      <c r="I562" s="166">
        <v>38.5</v>
      </c>
      <c r="J562" s="160">
        <v>8000</v>
      </c>
      <c r="K562" s="159">
        <v>200</v>
      </c>
      <c r="L562" s="165">
        <v>86.759999999999991</v>
      </c>
      <c r="M562" s="7" t="s">
        <v>987</v>
      </c>
      <c r="N562" s="7">
        <v>380</v>
      </c>
      <c r="O562" s="151">
        <v>0.95400000000000007</v>
      </c>
      <c r="P562" s="7">
        <v>0.9</v>
      </c>
      <c r="Q562" s="7">
        <v>80</v>
      </c>
      <c r="R562" s="113">
        <v>11</v>
      </c>
      <c r="S562" s="258" t="s">
        <v>1390</v>
      </c>
      <c r="T562" s="10">
        <f t="shared" si="14"/>
        <v>1</v>
      </c>
      <c r="U562" s="260" t="s">
        <v>1391</v>
      </c>
      <c r="V562">
        <v>999</v>
      </c>
      <c r="X562" s="157" t="s">
        <v>2075</v>
      </c>
      <c r="Y562" t="b">
        <v>1</v>
      </c>
    </row>
    <row r="563" spans="1:25">
      <c r="A563" s="229" t="s">
        <v>2098</v>
      </c>
      <c r="B563" s="1" t="str">
        <f t="shared" si="15"/>
        <v>M_AEB0401_VM_KF_MACH_45.1_8000</v>
      </c>
      <c r="C563" s="7" t="s">
        <v>2097</v>
      </c>
      <c r="D563" s="7" t="str" cm="1">
        <f t="array" ref="D563">INDEX(기계코드!$D$4:$D$1022,MATCH(1,(C563=기계코드!$F$4:$F$1022)*1,0))</f>
        <v>M_AEB0401</v>
      </c>
      <c r="E563" s="7" t="s">
        <v>2073</v>
      </c>
      <c r="F563" s="7" t="str" cm="1">
        <f t="array" ref="F563">INDEX(공급업체코드!$B$3:$B$1000,MATCH(1,(E563=공급업체코드!$D$3:$D$1000)*1,0))</f>
        <v>VM_KF_MACH</v>
      </c>
      <c r="G563" s="158" t="s">
        <v>2090</v>
      </c>
      <c r="I563" s="166">
        <v>45.1</v>
      </c>
      <c r="J563" s="160">
        <v>8000</v>
      </c>
      <c r="K563" s="159">
        <v>200</v>
      </c>
      <c r="L563" s="165">
        <v>97.919999999999987</v>
      </c>
      <c r="M563" s="7" t="s">
        <v>987</v>
      </c>
      <c r="N563" s="7">
        <v>380</v>
      </c>
      <c r="O563" s="151">
        <v>0.95799999999999996</v>
      </c>
      <c r="P563" s="7">
        <v>0.9</v>
      </c>
      <c r="Q563" s="7">
        <v>80</v>
      </c>
      <c r="R563" s="113">
        <v>11</v>
      </c>
      <c r="S563" s="258" t="s">
        <v>1390</v>
      </c>
      <c r="T563" s="10">
        <f t="shared" si="14"/>
        <v>1</v>
      </c>
      <c r="U563" s="260" t="s">
        <v>1391</v>
      </c>
      <c r="V563">
        <v>999</v>
      </c>
      <c r="X563" s="157" t="s">
        <v>2075</v>
      </c>
      <c r="Y563" t="b">
        <v>1</v>
      </c>
    </row>
    <row r="564" spans="1:25">
      <c r="A564" s="229" t="s">
        <v>2098</v>
      </c>
      <c r="B564" s="1" t="str">
        <f t="shared" si="15"/>
        <v>M_AEB0401_VM_KF_MACH_48.8_8000</v>
      </c>
      <c r="C564" s="7" t="s">
        <v>2097</v>
      </c>
      <c r="D564" s="7" t="str" cm="1">
        <f t="array" ref="D564">INDEX(기계코드!$D$4:$D$1022,MATCH(1,(C564=기계코드!$F$4:$F$1022)*1,0))</f>
        <v>M_AEB0401</v>
      </c>
      <c r="E564" s="7" t="s">
        <v>2073</v>
      </c>
      <c r="F564" s="7" t="str" cm="1">
        <f t="array" ref="F564">INDEX(공급업체코드!$B$3:$B$1000,MATCH(1,(E564=공급업체코드!$D$3:$D$1000)*1,0))</f>
        <v>VM_KF_MACH</v>
      </c>
      <c r="G564" s="158" t="s">
        <v>2090</v>
      </c>
      <c r="I564" s="166">
        <v>48.8</v>
      </c>
      <c r="J564" s="160">
        <v>8000</v>
      </c>
      <c r="K564" s="159">
        <v>200</v>
      </c>
      <c r="L564" s="165">
        <v>105.11999999999999</v>
      </c>
      <c r="M564" s="7" t="s">
        <v>987</v>
      </c>
      <c r="N564" s="7">
        <v>380</v>
      </c>
      <c r="O564" s="151">
        <v>0.95799999999999996</v>
      </c>
      <c r="P564" s="7">
        <v>0.9</v>
      </c>
      <c r="Q564" s="7">
        <v>80</v>
      </c>
      <c r="R564" s="113">
        <v>11</v>
      </c>
      <c r="S564" s="258" t="s">
        <v>1390</v>
      </c>
      <c r="T564" s="10">
        <f t="shared" si="14"/>
        <v>1</v>
      </c>
      <c r="U564" s="260" t="s">
        <v>1391</v>
      </c>
      <c r="V564">
        <v>999</v>
      </c>
      <c r="X564" s="157" t="s">
        <v>2075</v>
      </c>
      <c r="Y564" t="b">
        <v>1</v>
      </c>
    </row>
    <row r="565" spans="1:25">
      <c r="A565" s="229" t="s">
        <v>2098</v>
      </c>
      <c r="B565" s="1" t="str">
        <f t="shared" si="15"/>
        <v>M_AEB0401_VM_KF_MACH_62.6_8000</v>
      </c>
      <c r="C565" s="7" t="s">
        <v>2097</v>
      </c>
      <c r="D565" s="7" t="str" cm="1">
        <f t="array" ref="D565">INDEX(기계코드!$D$4:$D$1022,MATCH(1,(C565=기계코드!$F$4:$F$1022)*1,0))</f>
        <v>M_AEB0401</v>
      </c>
      <c r="E565" s="7" t="s">
        <v>2073</v>
      </c>
      <c r="F565" s="7" t="str" cm="1">
        <f t="array" ref="F565">INDEX(공급업체코드!$B$3:$B$1000,MATCH(1,(E565=공급업체코드!$D$3:$D$1000)*1,0))</f>
        <v>VM_KF_MACH</v>
      </c>
      <c r="G565" s="158" t="s">
        <v>2090</v>
      </c>
      <c r="I565" s="166">
        <v>62.6</v>
      </c>
      <c r="J565" s="160">
        <v>8000</v>
      </c>
      <c r="K565" s="159">
        <v>200</v>
      </c>
      <c r="L565" s="165">
        <v>131.4</v>
      </c>
      <c r="M565" s="7" t="s">
        <v>987</v>
      </c>
      <c r="N565" s="7">
        <v>380</v>
      </c>
      <c r="O565" s="151">
        <v>0.95799999999999996</v>
      </c>
      <c r="P565" s="7">
        <v>0.9</v>
      </c>
      <c r="Q565" s="7">
        <v>80</v>
      </c>
      <c r="R565" s="113">
        <v>11</v>
      </c>
      <c r="S565" s="258" t="s">
        <v>1390</v>
      </c>
      <c r="T565" s="10">
        <f t="shared" si="14"/>
        <v>1</v>
      </c>
      <c r="U565" s="260" t="s">
        <v>1391</v>
      </c>
      <c r="V565">
        <v>999</v>
      </c>
      <c r="X565" s="157" t="s">
        <v>2075</v>
      </c>
      <c r="Y565" t="b">
        <v>1</v>
      </c>
    </row>
    <row r="566" spans="1:25">
      <c r="A566" s="229" t="s">
        <v>2098</v>
      </c>
      <c r="B566" s="1" t="str">
        <f t="shared" si="15"/>
        <v>M_AEB0401_VM_KF_MACH_76.7_8000</v>
      </c>
      <c r="C566" s="7" t="s">
        <v>2097</v>
      </c>
      <c r="D566" s="7" t="str" cm="1">
        <f t="array" ref="D566">INDEX(기계코드!$D$4:$D$1022,MATCH(1,(C566=기계코드!$F$4:$F$1022)*1,0))</f>
        <v>M_AEB0401</v>
      </c>
      <c r="E566" s="7" t="s">
        <v>2073</v>
      </c>
      <c r="F566" s="7" t="str" cm="1">
        <f t="array" ref="F566">INDEX(공급업체코드!$B$3:$B$1000,MATCH(1,(E566=공급업체코드!$D$3:$D$1000)*1,0))</f>
        <v>VM_KF_MACH</v>
      </c>
      <c r="G566" s="158" t="s">
        <v>2090</v>
      </c>
      <c r="I566" s="166">
        <v>76.7</v>
      </c>
      <c r="J566" s="160">
        <v>8000</v>
      </c>
      <c r="K566" s="159">
        <v>200</v>
      </c>
      <c r="L566" s="165">
        <v>157.19999999999999</v>
      </c>
      <c r="M566" s="7" t="s">
        <v>987</v>
      </c>
      <c r="N566" s="7">
        <v>380</v>
      </c>
      <c r="O566" s="151">
        <v>0.96200000000000008</v>
      </c>
      <c r="P566" s="7">
        <v>0.9</v>
      </c>
      <c r="Q566" s="7">
        <v>80</v>
      </c>
      <c r="R566" s="113">
        <v>11</v>
      </c>
      <c r="S566" s="258" t="s">
        <v>1390</v>
      </c>
      <c r="T566" s="10">
        <f t="shared" ref="T566:T614" si="16">IF(R566&lt;500,1,IF(R566&lt;1000,2,IF(R566&lt;5000,3,4)))</f>
        <v>1</v>
      </c>
      <c r="U566" s="260" t="s">
        <v>1391</v>
      </c>
      <c r="V566">
        <v>999</v>
      </c>
      <c r="X566" s="157" t="s">
        <v>2075</v>
      </c>
      <c r="Y566" t="b">
        <v>1</v>
      </c>
    </row>
    <row r="567" spans="1:25">
      <c r="A567" s="229" t="s">
        <v>2098</v>
      </c>
      <c r="B567" s="1" t="str">
        <f t="shared" si="15"/>
        <v>M_AEB0401_VM_KF_MACH_74.8_7000</v>
      </c>
      <c r="C567" s="7" t="s">
        <v>2097</v>
      </c>
      <c r="D567" s="7" t="str" cm="1">
        <f t="array" ref="D567">INDEX(기계코드!$D$4:$D$1022,MATCH(1,(C567=기계코드!$F$4:$F$1022)*1,0))</f>
        <v>M_AEB0401</v>
      </c>
      <c r="E567" s="7" t="s">
        <v>2073</v>
      </c>
      <c r="F567" s="7" t="str" cm="1">
        <f t="array" ref="F567">INDEX(공급업체코드!$B$3:$B$1000,MATCH(1,(E567=공급업체코드!$D$3:$D$1000)*1,0))</f>
        <v>VM_KF_MACH</v>
      </c>
      <c r="G567" s="158" t="s">
        <v>2091</v>
      </c>
      <c r="I567" s="166">
        <v>74.8</v>
      </c>
      <c r="J567" s="160">
        <v>7000</v>
      </c>
      <c r="K567" s="159">
        <v>250</v>
      </c>
      <c r="L567" s="165">
        <v>139.56</v>
      </c>
      <c r="M567" s="7" t="s">
        <v>987</v>
      </c>
      <c r="N567" s="7">
        <v>380</v>
      </c>
      <c r="O567" s="151">
        <v>0.96200000000000008</v>
      </c>
      <c r="P567" s="7">
        <v>0.9</v>
      </c>
      <c r="Q567" s="7">
        <v>80</v>
      </c>
      <c r="R567" s="113">
        <v>11</v>
      </c>
      <c r="S567" s="258" t="s">
        <v>1390</v>
      </c>
      <c r="T567" s="10">
        <f t="shared" si="16"/>
        <v>1</v>
      </c>
      <c r="U567" s="260" t="s">
        <v>1391</v>
      </c>
      <c r="V567">
        <v>999</v>
      </c>
      <c r="X567" s="157" t="s">
        <v>2075</v>
      </c>
      <c r="Y567" t="b">
        <v>1</v>
      </c>
    </row>
    <row r="568" spans="1:25">
      <c r="A568" s="229" t="s">
        <v>2098</v>
      </c>
      <c r="B568" s="1" t="str">
        <f t="shared" si="15"/>
        <v>M_AEB0401_VM_KF_MACH_85.4_7000</v>
      </c>
      <c r="C568" s="7" t="s">
        <v>2097</v>
      </c>
      <c r="D568" s="7" t="str" cm="1">
        <f t="array" ref="D568">INDEX(기계코드!$D$4:$D$1022,MATCH(1,(C568=기계코드!$F$4:$F$1022)*1,0))</f>
        <v>M_AEB0401</v>
      </c>
      <c r="E568" s="7" t="s">
        <v>2073</v>
      </c>
      <c r="F568" s="7" t="str" cm="1">
        <f t="array" ref="F568">INDEX(공급업체코드!$B$3:$B$1000,MATCH(1,(E568=공급업체코드!$D$3:$D$1000)*1,0))</f>
        <v>VM_KF_MACH</v>
      </c>
      <c r="G568" s="158" t="s">
        <v>2091</v>
      </c>
      <c r="I568" s="166">
        <v>85.4</v>
      </c>
      <c r="J568" s="160">
        <v>7000</v>
      </c>
      <c r="K568" s="159">
        <v>250</v>
      </c>
      <c r="L568" s="165">
        <v>155.4</v>
      </c>
      <c r="M568" s="7" t="s">
        <v>987</v>
      </c>
      <c r="N568" s="7">
        <v>380</v>
      </c>
      <c r="O568" s="151">
        <v>0.96200000000000008</v>
      </c>
      <c r="P568" s="7">
        <v>0.9</v>
      </c>
      <c r="Q568" s="7">
        <v>80</v>
      </c>
      <c r="R568" s="113">
        <v>11</v>
      </c>
      <c r="S568" s="258" t="s">
        <v>1390</v>
      </c>
      <c r="T568" s="10">
        <f t="shared" si="16"/>
        <v>1</v>
      </c>
      <c r="U568" s="260" t="s">
        <v>1391</v>
      </c>
      <c r="V568">
        <v>999</v>
      </c>
      <c r="X568" s="157" t="s">
        <v>2075</v>
      </c>
      <c r="Y568" t="b">
        <v>1</v>
      </c>
    </row>
    <row r="569" spans="1:25">
      <c r="A569" s="229" t="s">
        <v>2098</v>
      </c>
      <c r="B569" s="1" t="str">
        <f t="shared" si="15"/>
        <v>M_AEB0401_VM_KF_MACH_102.2_7000</v>
      </c>
      <c r="C569" s="7" t="s">
        <v>2097</v>
      </c>
      <c r="D569" s="7" t="str" cm="1">
        <f t="array" ref="D569">INDEX(기계코드!$D$4:$D$1022,MATCH(1,(C569=기계코드!$F$4:$F$1022)*1,0))</f>
        <v>M_AEB0401</v>
      </c>
      <c r="E569" s="7" t="s">
        <v>2073</v>
      </c>
      <c r="F569" s="7" t="str" cm="1">
        <f t="array" ref="F569">INDEX(공급업체코드!$B$3:$B$1000,MATCH(1,(E569=공급업체코드!$D$3:$D$1000)*1,0))</f>
        <v>VM_KF_MACH</v>
      </c>
      <c r="G569" s="158" t="s">
        <v>2091</v>
      </c>
      <c r="I569" s="166">
        <v>102.2</v>
      </c>
      <c r="J569" s="160">
        <v>7000</v>
      </c>
      <c r="K569" s="159">
        <v>250</v>
      </c>
      <c r="L569" s="165">
        <v>181.79999999999998</v>
      </c>
      <c r="M569" s="7" t="s">
        <v>987</v>
      </c>
      <c r="N569" s="7">
        <v>380</v>
      </c>
      <c r="O569" s="151">
        <v>0.96200000000000008</v>
      </c>
      <c r="P569" s="7">
        <v>0.9</v>
      </c>
      <c r="Q569" s="7">
        <v>80</v>
      </c>
      <c r="R569" s="113">
        <v>11</v>
      </c>
      <c r="S569" s="258" t="s">
        <v>1390</v>
      </c>
      <c r="T569" s="10">
        <f t="shared" si="16"/>
        <v>1</v>
      </c>
      <c r="U569" s="260" t="s">
        <v>1391</v>
      </c>
      <c r="V569">
        <v>999</v>
      </c>
      <c r="X569" s="157" t="s">
        <v>2075</v>
      </c>
      <c r="Y569" t="b">
        <v>1</v>
      </c>
    </row>
    <row r="570" spans="1:25">
      <c r="A570" s="229" t="s">
        <v>2098</v>
      </c>
      <c r="B570" s="1" t="str">
        <f t="shared" si="15"/>
        <v>M_AEB0401_VM_KF_MACH_116.4_7000</v>
      </c>
      <c r="C570" s="7" t="s">
        <v>2097</v>
      </c>
      <c r="D570" s="7" t="str" cm="1">
        <f t="array" ref="D570">INDEX(기계코드!$D$4:$D$1022,MATCH(1,(C570=기계코드!$F$4:$F$1022)*1,0))</f>
        <v>M_AEB0401</v>
      </c>
      <c r="E570" s="7" t="s">
        <v>2073</v>
      </c>
      <c r="F570" s="7" t="str" cm="1">
        <f t="array" ref="F570">INDEX(공급업체코드!$B$3:$B$1000,MATCH(1,(E570=공급업체코드!$D$3:$D$1000)*1,0))</f>
        <v>VM_KF_MACH</v>
      </c>
      <c r="G570" s="158" t="s">
        <v>2091</v>
      </c>
      <c r="I570" s="166">
        <v>116.4</v>
      </c>
      <c r="J570" s="160">
        <v>7000</v>
      </c>
      <c r="K570" s="159">
        <v>250</v>
      </c>
      <c r="L570" s="165">
        <v>201.36</v>
      </c>
      <c r="M570" s="7" t="s">
        <v>987</v>
      </c>
      <c r="N570" s="7">
        <v>380</v>
      </c>
      <c r="O570" s="151">
        <v>0.96200000000000008</v>
      </c>
      <c r="P570" s="7">
        <v>0.9</v>
      </c>
      <c r="Q570" s="7">
        <v>80</v>
      </c>
      <c r="R570" s="113">
        <v>11</v>
      </c>
      <c r="S570" s="258" t="s">
        <v>1390</v>
      </c>
      <c r="T570" s="10">
        <f t="shared" si="16"/>
        <v>1</v>
      </c>
      <c r="U570" s="260" t="s">
        <v>1391</v>
      </c>
      <c r="V570">
        <v>999</v>
      </c>
      <c r="X570" s="157" t="s">
        <v>2075</v>
      </c>
      <c r="Y570" t="b">
        <v>1</v>
      </c>
    </row>
    <row r="571" spans="1:25">
      <c r="A571" s="229" t="s">
        <v>2098</v>
      </c>
      <c r="B571" s="1" t="str">
        <f t="shared" si="15"/>
        <v>M_AEB0401_VM_KF_MACH_73.5_8000</v>
      </c>
      <c r="C571" s="7" t="s">
        <v>2097</v>
      </c>
      <c r="D571" s="7" t="str" cm="1">
        <f t="array" ref="D571">INDEX(기계코드!$D$4:$D$1022,MATCH(1,(C571=기계코드!$F$4:$F$1022)*1,0))</f>
        <v>M_AEB0401</v>
      </c>
      <c r="E571" s="7" t="s">
        <v>2073</v>
      </c>
      <c r="F571" s="7" t="str" cm="1">
        <f t="array" ref="F571">INDEX(공급업체코드!$B$3:$B$1000,MATCH(1,(E571=공급업체코드!$D$3:$D$1000)*1,0))</f>
        <v>VM_KF_MACH</v>
      </c>
      <c r="G571" s="158" t="s">
        <v>2091</v>
      </c>
      <c r="I571" s="166">
        <v>73.5</v>
      </c>
      <c r="J571" s="160">
        <v>8000</v>
      </c>
      <c r="K571" s="159">
        <v>250</v>
      </c>
      <c r="L571" s="165">
        <v>158.4</v>
      </c>
      <c r="M571" s="7" t="s">
        <v>987</v>
      </c>
      <c r="N571" s="7">
        <v>380</v>
      </c>
      <c r="O571" s="151">
        <v>0.96200000000000008</v>
      </c>
      <c r="P571" s="7">
        <v>0.9</v>
      </c>
      <c r="Q571" s="7">
        <v>80</v>
      </c>
      <c r="R571" s="113">
        <v>11</v>
      </c>
      <c r="S571" s="258" t="s">
        <v>1390</v>
      </c>
      <c r="T571" s="10">
        <f t="shared" si="16"/>
        <v>1</v>
      </c>
      <c r="U571" s="260" t="s">
        <v>1391</v>
      </c>
      <c r="V571">
        <v>999</v>
      </c>
      <c r="X571" s="157" t="s">
        <v>2075</v>
      </c>
      <c r="Y571" t="b">
        <v>1</v>
      </c>
    </row>
    <row r="572" spans="1:25">
      <c r="A572" s="229" t="s">
        <v>2098</v>
      </c>
      <c r="B572" s="1" t="str">
        <f t="shared" si="15"/>
        <v>M_AEB0401_VM_KF_MACH_84.1_8000</v>
      </c>
      <c r="C572" s="7" t="s">
        <v>2097</v>
      </c>
      <c r="D572" s="7" t="str" cm="1">
        <f t="array" ref="D572">INDEX(기계코드!$D$4:$D$1022,MATCH(1,(C572=기계코드!$F$4:$F$1022)*1,0))</f>
        <v>M_AEB0401</v>
      </c>
      <c r="E572" s="7" t="s">
        <v>2073</v>
      </c>
      <c r="F572" s="7" t="str" cm="1">
        <f t="array" ref="F572">INDEX(공급업체코드!$B$3:$B$1000,MATCH(1,(E572=공급업체코드!$D$3:$D$1000)*1,0))</f>
        <v>VM_KF_MACH</v>
      </c>
      <c r="G572" s="158" t="s">
        <v>2091</v>
      </c>
      <c r="I572" s="166">
        <v>84.1</v>
      </c>
      <c r="J572" s="160">
        <v>8000</v>
      </c>
      <c r="K572" s="159">
        <v>250</v>
      </c>
      <c r="L572" s="165">
        <v>176.4</v>
      </c>
      <c r="M572" s="7" t="s">
        <v>987</v>
      </c>
      <c r="N572" s="7">
        <v>380</v>
      </c>
      <c r="O572" s="151">
        <v>0.96200000000000008</v>
      </c>
      <c r="P572" s="7">
        <v>0.9</v>
      </c>
      <c r="Q572" s="7">
        <v>80</v>
      </c>
      <c r="R572" s="113">
        <v>11</v>
      </c>
      <c r="S572" s="258" t="s">
        <v>1390</v>
      </c>
      <c r="T572" s="10">
        <f t="shared" si="16"/>
        <v>1</v>
      </c>
      <c r="U572" s="260" t="s">
        <v>1391</v>
      </c>
      <c r="V572">
        <v>999</v>
      </c>
      <c r="X572" s="157" t="s">
        <v>2075</v>
      </c>
      <c r="Y572" t="b">
        <v>1</v>
      </c>
    </row>
    <row r="573" spans="1:25">
      <c r="A573" s="229" t="s">
        <v>2098</v>
      </c>
      <c r="B573" s="1" t="str">
        <f t="shared" si="15"/>
        <v>M_AEB0401_VM_KF_MACH_100.7_8000</v>
      </c>
      <c r="C573" s="7" t="s">
        <v>2097</v>
      </c>
      <c r="D573" s="7" t="str" cm="1">
        <f t="array" ref="D573">INDEX(기계코드!$D$4:$D$1022,MATCH(1,(C573=기계코드!$F$4:$F$1022)*1,0))</f>
        <v>M_AEB0401</v>
      </c>
      <c r="E573" s="7" t="s">
        <v>2073</v>
      </c>
      <c r="F573" s="7" t="str" cm="1">
        <f t="array" ref="F573">INDEX(공급업체코드!$B$3:$B$1000,MATCH(1,(E573=공급업체코드!$D$3:$D$1000)*1,0))</f>
        <v>VM_KF_MACH</v>
      </c>
      <c r="G573" s="158" t="s">
        <v>2091</v>
      </c>
      <c r="I573" s="166">
        <v>100.7</v>
      </c>
      <c r="J573" s="160">
        <v>8000</v>
      </c>
      <c r="K573" s="159">
        <v>250</v>
      </c>
      <c r="L573" s="165">
        <v>205.32</v>
      </c>
      <c r="M573" s="7" t="s">
        <v>987</v>
      </c>
      <c r="N573" s="7">
        <v>380</v>
      </c>
      <c r="O573" s="151">
        <v>0.96200000000000008</v>
      </c>
      <c r="P573" s="7">
        <v>0.9</v>
      </c>
      <c r="Q573" s="7">
        <v>80</v>
      </c>
      <c r="R573" s="113">
        <v>11</v>
      </c>
      <c r="S573" s="258" t="s">
        <v>1390</v>
      </c>
      <c r="T573" s="10">
        <f t="shared" si="16"/>
        <v>1</v>
      </c>
      <c r="U573" s="260" t="s">
        <v>1391</v>
      </c>
      <c r="V573">
        <v>999</v>
      </c>
      <c r="X573" s="157" t="s">
        <v>2075</v>
      </c>
      <c r="Y573" t="b">
        <v>1</v>
      </c>
    </row>
    <row r="574" spans="1:25">
      <c r="A574" s="229" t="s">
        <v>2098</v>
      </c>
      <c r="B574" s="1" t="str">
        <f>D574&amp;"_"&amp;F574&amp;"_"&amp;I574&amp;"_"&amp;J574</f>
        <v>M_AEB0401_VM_KF_MACH_114.7_8000</v>
      </c>
      <c r="C574" s="7" t="s">
        <v>2097</v>
      </c>
      <c r="D574" s="7" t="str" cm="1">
        <f t="array" ref="D574">INDEX(기계코드!$D$4:$D$1022,MATCH(1,(C574=기계코드!$F$4:$F$1022)*1,0))</f>
        <v>M_AEB0401</v>
      </c>
      <c r="E574" s="7" t="s">
        <v>2073</v>
      </c>
      <c r="F574" s="7" t="str" cm="1">
        <f t="array" ref="F574">INDEX(공급업체코드!$B$3:$B$1000,MATCH(1,(E574=공급업체코드!$D$3:$D$1000)*1,0))</f>
        <v>VM_KF_MACH</v>
      </c>
      <c r="G574" s="158" t="s">
        <v>2091</v>
      </c>
      <c r="I574" s="166">
        <v>114.7</v>
      </c>
      <c r="J574" s="160">
        <v>8000</v>
      </c>
      <c r="K574" s="159">
        <v>250</v>
      </c>
      <c r="L574" s="165">
        <v>226.92</v>
      </c>
      <c r="M574" s="7" t="s">
        <v>987</v>
      </c>
      <c r="N574" s="7">
        <v>380</v>
      </c>
      <c r="O574" s="151">
        <v>0.96200000000000008</v>
      </c>
      <c r="P574" s="7">
        <v>0.9</v>
      </c>
      <c r="Q574" s="7">
        <v>80</v>
      </c>
      <c r="R574" s="113">
        <v>11</v>
      </c>
      <c r="S574" s="258" t="s">
        <v>1390</v>
      </c>
      <c r="T574" s="10">
        <f t="shared" si="16"/>
        <v>1</v>
      </c>
      <c r="U574" s="260" t="s">
        <v>1391</v>
      </c>
      <c r="V574">
        <v>999</v>
      </c>
      <c r="X574" s="157" t="s">
        <v>2075</v>
      </c>
      <c r="Y574" t="b">
        <v>1</v>
      </c>
    </row>
    <row r="575" spans="1:25">
      <c r="A575" s="229" t="s">
        <v>2098</v>
      </c>
      <c r="B575" s="1" t="str">
        <f t="shared" ref="B575:B614" si="17">D575&amp;"_"&amp;F575&amp;"_"&amp;I575&amp;"_"&amp;J575</f>
        <v>M_AEB0401_VM_KF_MACH_89.5_7000</v>
      </c>
      <c r="C575" s="7" t="s">
        <v>2097</v>
      </c>
      <c r="D575" s="7" t="str" cm="1">
        <f t="array" ref="D575">INDEX(기계코드!$D$4:$D$1022,MATCH(1,(C575=기계코드!$F$4:$F$1022)*1,0))</f>
        <v>M_AEB0401</v>
      </c>
      <c r="E575" s="7" t="s">
        <v>2073</v>
      </c>
      <c r="F575" s="7" t="str" cm="1">
        <f t="array" ref="F575">INDEX(공급업체코드!$B$3:$B$1000,MATCH(1,(E575=공급업체코드!$D$3:$D$1000)*1,0))</f>
        <v>VM_KF_MACH</v>
      </c>
      <c r="G575" s="158" t="s">
        <v>2092</v>
      </c>
      <c r="I575" s="166">
        <v>89.5</v>
      </c>
      <c r="J575" s="160">
        <v>7000</v>
      </c>
      <c r="K575" s="159">
        <v>300</v>
      </c>
      <c r="L575" s="165">
        <v>170.28</v>
      </c>
      <c r="M575" s="7" t="s">
        <v>987</v>
      </c>
      <c r="N575" s="7">
        <v>380</v>
      </c>
      <c r="O575" s="151">
        <v>0.96200000000000008</v>
      </c>
      <c r="P575" s="7">
        <v>0.9</v>
      </c>
      <c r="Q575" s="7">
        <v>80</v>
      </c>
      <c r="R575" s="113">
        <v>11</v>
      </c>
      <c r="S575" s="258" t="s">
        <v>1390</v>
      </c>
      <c r="T575" s="10">
        <f t="shared" si="16"/>
        <v>1</v>
      </c>
      <c r="U575" s="260" t="s">
        <v>1391</v>
      </c>
      <c r="V575">
        <v>999</v>
      </c>
      <c r="X575" s="162" t="s">
        <v>2075</v>
      </c>
      <c r="Y575" t="b">
        <v>1</v>
      </c>
    </row>
    <row r="576" spans="1:25">
      <c r="A576" s="229" t="s">
        <v>2098</v>
      </c>
      <c r="B576" s="1" t="str">
        <f t="shared" si="17"/>
        <v>M_AEB0401_VM_KF_MACH_100.3_7000</v>
      </c>
      <c r="C576" s="7" t="s">
        <v>2097</v>
      </c>
      <c r="D576" s="7" t="str" cm="1">
        <f t="array" ref="D576">INDEX(기계코드!$D$4:$D$1022,MATCH(1,(C576=기계코드!$F$4:$F$1022)*1,0))</f>
        <v>M_AEB0401</v>
      </c>
      <c r="E576" s="7" t="s">
        <v>2073</v>
      </c>
      <c r="F576" s="7" t="str" cm="1">
        <f t="array" ref="F576">INDEX(공급업체코드!$B$3:$B$1000,MATCH(1,(E576=공급업체코드!$D$3:$D$1000)*1,0))</f>
        <v>VM_KF_MACH</v>
      </c>
      <c r="G576" s="158" t="s">
        <v>2092</v>
      </c>
      <c r="I576" s="166">
        <v>100.3</v>
      </c>
      <c r="J576" s="160">
        <v>7000</v>
      </c>
      <c r="K576" s="159">
        <v>300</v>
      </c>
      <c r="L576" s="165">
        <v>185.28</v>
      </c>
      <c r="M576" s="7" t="s">
        <v>987</v>
      </c>
      <c r="N576" s="7">
        <v>380</v>
      </c>
      <c r="O576" s="151">
        <v>0.96200000000000008</v>
      </c>
      <c r="P576" s="7">
        <v>0.9</v>
      </c>
      <c r="Q576" s="7">
        <v>80</v>
      </c>
      <c r="R576" s="113">
        <v>11</v>
      </c>
      <c r="S576" s="258" t="s">
        <v>1390</v>
      </c>
      <c r="T576" s="10">
        <f t="shared" si="16"/>
        <v>1</v>
      </c>
      <c r="U576" s="260" t="s">
        <v>1391</v>
      </c>
      <c r="V576">
        <v>999</v>
      </c>
      <c r="X576" s="162" t="s">
        <v>2075</v>
      </c>
      <c r="Y576" t="b">
        <v>1</v>
      </c>
    </row>
    <row r="577" spans="1:25">
      <c r="A577" s="229" t="s">
        <v>2098</v>
      </c>
      <c r="B577" s="1" t="str">
        <f t="shared" si="17"/>
        <v>M_AEB0401_VM_KF_MACH_112.5_7000</v>
      </c>
      <c r="C577" s="7" t="s">
        <v>2097</v>
      </c>
      <c r="D577" s="7" t="str" cm="1">
        <f t="array" ref="D577">INDEX(기계코드!$D$4:$D$1022,MATCH(1,(C577=기계코드!$F$4:$F$1022)*1,0))</f>
        <v>M_AEB0401</v>
      </c>
      <c r="E577" s="7" t="s">
        <v>2073</v>
      </c>
      <c r="F577" s="7" t="str" cm="1">
        <f t="array" ref="F577">INDEX(공급업체코드!$B$3:$B$1000,MATCH(1,(E577=공급업체코드!$D$3:$D$1000)*1,0))</f>
        <v>VM_KF_MACH</v>
      </c>
      <c r="G577" s="158" t="s">
        <v>2092</v>
      </c>
      <c r="I577" s="166">
        <v>112.5</v>
      </c>
      <c r="J577" s="160">
        <v>7000</v>
      </c>
      <c r="K577" s="159">
        <v>300</v>
      </c>
      <c r="L577" s="165">
        <v>202.56</v>
      </c>
      <c r="M577" s="7" t="s">
        <v>987</v>
      </c>
      <c r="N577" s="7">
        <v>380</v>
      </c>
      <c r="O577" s="151">
        <v>0.96200000000000008</v>
      </c>
      <c r="P577" s="7">
        <v>0.9</v>
      </c>
      <c r="Q577" s="7">
        <v>80</v>
      </c>
      <c r="R577" s="113">
        <v>11</v>
      </c>
      <c r="S577" s="258" t="s">
        <v>1390</v>
      </c>
      <c r="T577" s="10">
        <f t="shared" si="16"/>
        <v>1</v>
      </c>
      <c r="U577" s="260" t="s">
        <v>1391</v>
      </c>
      <c r="V577">
        <v>999</v>
      </c>
      <c r="X577" s="162" t="s">
        <v>2075</v>
      </c>
      <c r="Y577" t="b">
        <v>1</v>
      </c>
    </row>
    <row r="578" spans="1:25">
      <c r="A578" s="229" t="s">
        <v>2098</v>
      </c>
      <c r="B578" s="1" t="str">
        <f t="shared" si="17"/>
        <v>M_AEB0401_VM_KF_MACH_128.3_7000</v>
      </c>
      <c r="C578" s="7" t="s">
        <v>2097</v>
      </c>
      <c r="D578" s="7" t="str" cm="1">
        <f t="array" ref="D578">INDEX(기계코드!$D$4:$D$1022,MATCH(1,(C578=기계코드!$F$4:$F$1022)*1,0))</f>
        <v>M_AEB0401</v>
      </c>
      <c r="E578" s="7" t="s">
        <v>2073</v>
      </c>
      <c r="F578" s="7" t="str" cm="1">
        <f t="array" ref="F578">INDEX(공급업체코드!$B$3:$B$1000,MATCH(1,(E578=공급업체코드!$D$3:$D$1000)*1,0))</f>
        <v>VM_KF_MACH</v>
      </c>
      <c r="G578" s="158" t="s">
        <v>2092</v>
      </c>
      <c r="I578" s="166">
        <v>128.30000000000001</v>
      </c>
      <c r="J578" s="160">
        <v>7000</v>
      </c>
      <c r="K578" s="159">
        <v>300</v>
      </c>
      <c r="L578" s="165">
        <v>223.68</v>
      </c>
      <c r="M578" s="7" t="s">
        <v>987</v>
      </c>
      <c r="N578" s="7">
        <v>380</v>
      </c>
      <c r="O578" s="151">
        <v>0.96200000000000008</v>
      </c>
      <c r="P578" s="7">
        <v>0.9</v>
      </c>
      <c r="Q578" s="7">
        <v>80</v>
      </c>
      <c r="R578" s="113">
        <v>11</v>
      </c>
      <c r="S578" s="258" t="s">
        <v>1390</v>
      </c>
      <c r="T578" s="10">
        <f t="shared" si="16"/>
        <v>1</v>
      </c>
      <c r="U578" s="260" t="s">
        <v>1391</v>
      </c>
      <c r="V578">
        <v>999</v>
      </c>
      <c r="X578" s="162" t="s">
        <v>2075</v>
      </c>
      <c r="Y578" t="b">
        <v>1</v>
      </c>
    </row>
    <row r="579" spans="1:25">
      <c r="A579" s="229" t="s">
        <v>2098</v>
      </c>
      <c r="B579" s="1" t="str">
        <f t="shared" si="17"/>
        <v>M_AEB0401_VM_KF_MACH_155.1_7000</v>
      </c>
      <c r="C579" s="7" t="s">
        <v>2097</v>
      </c>
      <c r="D579" s="7" t="str" cm="1">
        <f t="array" ref="D579">INDEX(기계코드!$D$4:$D$1022,MATCH(1,(C579=기계코드!$F$4:$F$1022)*1,0))</f>
        <v>M_AEB0401</v>
      </c>
      <c r="E579" s="7" t="s">
        <v>2073</v>
      </c>
      <c r="F579" s="7" t="str" cm="1">
        <f t="array" ref="F579">INDEX(공급업체코드!$B$3:$B$1000,MATCH(1,(E579=공급업체코드!$D$3:$D$1000)*1,0))</f>
        <v>VM_KF_MACH</v>
      </c>
      <c r="G579" s="158" t="s">
        <v>2092</v>
      </c>
      <c r="I579" s="166">
        <v>155.1</v>
      </c>
      <c r="J579" s="160">
        <v>7000</v>
      </c>
      <c r="K579" s="159">
        <v>300</v>
      </c>
      <c r="L579" s="165">
        <v>259.44</v>
      </c>
      <c r="M579" s="7" t="s">
        <v>987</v>
      </c>
      <c r="N579" s="7">
        <v>380</v>
      </c>
      <c r="O579" s="151">
        <v>0.96200000000000008</v>
      </c>
      <c r="P579" s="7">
        <v>0.9</v>
      </c>
      <c r="Q579" s="7">
        <v>80</v>
      </c>
      <c r="R579" s="113">
        <v>11</v>
      </c>
      <c r="S579" s="258" t="s">
        <v>1390</v>
      </c>
      <c r="T579" s="10">
        <f t="shared" si="16"/>
        <v>1</v>
      </c>
      <c r="U579" s="260" t="s">
        <v>1391</v>
      </c>
      <c r="V579">
        <v>999</v>
      </c>
      <c r="X579" s="162" t="s">
        <v>2075</v>
      </c>
      <c r="Y579" t="b">
        <v>1</v>
      </c>
    </row>
    <row r="580" spans="1:25">
      <c r="A580" s="229" t="s">
        <v>2098</v>
      </c>
      <c r="B580" s="1" t="str">
        <f t="shared" si="17"/>
        <v>M_AEB0401_VM_KF_MACH_87.8_8000</v>
      </c>
      <c r="C580" s="7" t="s">
        <v>2097</v>
      </c>
      <c r="D580" s="7" t="str" cm="1">
        <f t="array" ref="D580">INDEX(기계코드!$D$4:$D$1022,MATCH(1,(C580=기계코드!$F$4:$F$1022)*1,0))</f>
        <v>M_AEB0401</v>
      </c>
      <c r="E580" s="7" t="s">
        <v>2073</v>
      </c>
      <c r="F580" s="7" t="str" cm="1">
        <f t="array" ref="F580">INDEX(공급업체코드!$B$3:$B$1000,MATCH(1,(E580=공급업체코드!$D$3:$D$1000)*1,0))</f>
        <v>VM_KF_MACH</v>
      </c>
      <c r="G580" s="158" t="s">
        <v>2092</v>
      </c>
      <c r="I580" s="166">
        <v>87.8</v>
      </c>
      <c r="J580" s="160">
        <v>8000</v>
      </c>
      <c r="K580" s="159">
        <v>300</v>
      </c>
      <c r="L580" s="165">
        <v>193.68</v>
      </c>
      <c r="M580" s="7" t="s">
        <v>987</v>
      </c>
      <c r="N580" s="7">
        <v>380</v>
      </c>
      <c r="O580" s="151">
        <v>0.96200000000000008</v>
      </c>
      <c r="P580" s="7">
        <v>0.9</v>
      </c>
      <c r="Q580" s="7">
        <v>80</v>
      </c>
      <c r="R580" s="113">
        <v>11</v>
      </c>
      <c r="S580" s="258" t="s">
        <v>1390</v>
      </c>
      <c r="T580" s="10">
        <f t="shared" si="16"/>
        <v>1</v>
      </c>
      <c r="U580" s="260" t="s">
        <v>1391</v>
      </c>
      <c r="V580">
        <v>999</v>
      </c>
      <c r="X580" s="162" t="s">
        <v>2075</v>
      </c>
      <c r="Y580" t="b">
        <v>1</v>
      </c>
    </row>
    <row r="581" spans="1:25">
      <c r="A581" s="229" t="s">
        <v>2098</v>
      </c>
      <c r="B581" s="1" t="str">
        <f t="shared" si="17"/>
        <v>M_AEB0401_VM_KF_MACH_98.7_8000</v>
      </c>
      <c r="C581" s="7" t="s">
        <v>2097</v>
      </c>
      <c r="D581" s="7" t="str" cm="1">
        <f t="array" ref="D581">INDEX(기계코드!$D$4:$D$1022,MATCH(1,(C581=기계코드!$F$4:$F$1022)*1,0))</f>
        <v>M_AEB0401</v>
      </c>
      <c r="E581" s="7" t="s">
        <v>2073</v>
      </c>
      <c r="F581" s="7" t="str" cm="1">
        <f t="array" ref="F581">INDEX(공급업체코드!$B$3:$B$1000,MATCH(1,(E581=공급업체코드!$D$3:$D$1000)*1,0))</f>
        <v>VM_KF_MACH</v>
      </c>
      <c r="G581" s="158" t="s">
        <v>2092</v>
      </c>
      <c r="I581" s="166">
        <v>98.7</v>
      </c>
      <c r="J581" s="160">
        <v>8000</v>
      </c>
      <c r="K581" s="159">
        <v>300</v>
      </c>
      <c r="L581" s="165">
        <v>210.83999999999997</v>
      </c>
      <c r="M581" s="7" t="s">
        <v>987</v>
      </c>
      <c r="N581" s="7">
        <v>380</v>
      </c>
      <c r="O581" s="151">
        <v>0.96200000000000008</v>
      </c>
      <c r="P581" s="7">
        <v>0.9</v>
      </c>
      <c r="Q581" s="7">
        <v>80</v>
      </c>
      <c r="R581" s="113">
        <v>11</v>
      </c>
      <c r="S581" s="258" t="s">
        <v>1390</v>
      </c>
      <c r="T581" s="10">
        <f t="shared" si="16"/>
        <v>1</v>
      </c>
      <c r="U581" s="260" t="s">
        <v>1391</v>
      </c>
      <c r="V581">
        <v>999</v>
      </c>
      <c r="X581" s="162" t="s">
        <v>2075</v>
      </c>
      <c r="Y581" t="b">
        <v>1</v>
      </c>
    </row>
    <row r="582" spans="1:25">
      <c r="A582" s="229" t="s">
        <v>2098</v>
      </c>
      <c r="B582" s="1" t="str">
        <f t="shared" si="17"/>
        <v>M_AEB0401_VM_KF_MACH_111.1_8000</v>
      </c>
      <c r="C582" s="7" t="s">
        <v>2097</v>
      </c>
      <c r="D582" s="7" t="str" cm="1">
        <f t="array" ref="D582">INDEX(기계코드!$D$4:$D$1022,MATCH(1,(C582=기계코드!$F$4:$F$1022)*1,0))</f>
        <v>M_AEB0401</v>
      </c>
      <c r="E582" s="7" t="s">
        <v>2073</v>
      </c>
      <c r="F582" s="7" t="str" cm="1">
        <f t="array" ref="F582">INDEX(공급업체코드!$B$3:$B$1000,MATCH(1,(E582=공급업체코드!$D$3:$D$1000)*1,0))</f>
        <v>VM_KF_MACH</v>
      </c>
      <c r="G582" s="158" t="s">
        <v>2092</v>
      </c>
      <c r="I582" s="166">
        <v>111.1</v>
      </c>
      <c r="J582" s="160">
        <v>8000</v>
      </c>
      <c r="K582" s="159">
        <v>300</v>
      </c>
      <c r="L582" s="165">
        <v>230.64</v>
      </c>
      <c r="M582" s="7" t="s">
        <v>987</v>
      </c>
      <c r="N582" s="7">
        <v>380</v>
      </c>
      <c r="O582" s="151">
        <v>0.96200000000000008</v>
      </c>
      <c r="P582" s="7">
        <v>0.9</v>
      </c>
      <c r="Q582" s="7">
        <v>80</v>
      </c>
      <c r="R582" s="113">
        <v>11</v>
      </c>
      <c r="S582" s="258" t="s">
        <v>1390</v>
      </c>
      <c r="T582" s="10">
        <f t="shared" si="16"/>
        <v>1</v>
      </c>
      <c r="U582" s="260" t="s">
        <v>1391</v>
      </c>
      <c r="V582">
        <v>999</v>
      </c>
      <c r="X582" s="162" t="s">
        <v>2075</v>
      </c>
      <c r="Y582" t="b">
        <v>1</v>
      </c>
    </row>
    <row r="583" spans="1:25">
      <c r="A583" s="229" t="s">
        <v>2098</v>
      </c>
      <c r="B583" s="1" t="str">
        <f t="shared" si="17"/>
        <v>M_AEB0401_VM_KF_MACH_126.6_8000</v>
      </c>
      <c r="C583" s="7" t="s">
        <v>2097</v>
      </c>
      <c r="D583" s="7" t="str" cm="1">
        <f t="array" ref="D583">INDEX(기계코드!$D$4:$D$1022,MATCH(1,(C583=기계코드!$F$4:$F$1022)*1,0))</f>
        <v>M_AEB0401</v>
      </c>
      <c r="E583" s="7" t="s">
        <v>2073</v>
      </c>
      <c r="F583" s="7" t="str" cm="1">
        <f t="array" ref="F583">INDEX(공급업체코드!$B$3:$B$1000,MATCH(1,(E583=공급업체코드!$D$3:$D$1000)*1,0))</f>
        <v>VM_KF_MACH</v>
      </c>
      <c r="G583" s="158" t="s">
        <v>2092</v>
      </c>
      <c r="I583" s="166">
        <v>126.6</v>
      </c>
      <c r="J583" s="160">
        <v>8000</v>
      </c>
      <c r="K583" s="159">
        <v>300</v>
      </c>
      <c r="L583" s="165">
        <v>255.71999999999997</v>
      </c>
      <c r="M583" s="7" t="s">
        <v>987</v>
      </c>
      <c r="N583" s="7">
        <v>380</v>
      </c>
      <c r="O583" s="151">
        <v>0.96200000000000008</v>
      </c>
      <c r="P583" s="7">
        <v>0.9</v>
      </c>
      <c r="Q583" s="7">
        <v>80</v>
      </c>
      <c r="R583" s="113">
        <v>11</v>
      </c>
      <c r="S583" s="258" t="s">
        <v>1390</v>
      </c>
      <c r="T583" s="10">
        <f t="shared" si="16"/>
        <v>1</v>
      </c>
      <c r="U583" s="260" t="s">
        <v>1391</v>
      </c>
      <c r="V583">
        <v>999</v>
      </c>
      <c r="X583" s="162" t="s">
        <v>2075</v>
      </c>
      <c r="Y583" t="b">
        <v>1</v>
      </c>
    </row>
    <row r="584" spans="1:25">
      <c r="A584" s="229" t="s">
        <v>2098</v>
      </c>
      <c r="B584" s="1" t="str">
        <f t="shared" si="17"/>
        <v>M_AEB0401_VM_KF_MACH_153.5_8000</v>
      </c>
      <c r="C584" s="7" t="s">
        <v>2097</v>
      </c>
      <c r="D584" s="7" t="str" cm="1">
        <f t="array" ref="D584">INDEX(기계코드!$D$4:$D$1022,MATCH(1,(C584=기계코드!$F$4:$F$1022)*1,0))</f>
        <v>M_AEB0401</v>
      </c>
      <c r="E584" s="7" t="s">
        <v>2073</v>
      </c>
      <c r="F584" s="7" t="str" cm="1">
        <f t="array" ref="F584">INDEX(공급업체코드!$B$3:$B$1000,MATCH(1,(E584=공급업체코드!$D$3:$D$1000)*1,0))</f>
        <v>VM_KF_MACH</v>
      </c>
      <c r="G584" s="158" t="s">
        <v>2092</v>
      </c>
      <c r="I584" s="166">
        <v>153.5</v>
      </c>
      <c r="J584" s="160">
        <v>8000</v>
      </c>
      <c r="K584" s="159">
        <v>300</v>
      </c>
      <c r="L584" s="165">
        <v>295.68</v>
      </c>
      <c r="M584" s="7" t="s">
        <v>987</v>
      </c>
      <c r="N584" s="7">
        <v>380</v>
      </c>
      <c r="O584" s="151">
        <v>0.96200000000000008</v>
      </c>
      <c r="P584" s="7">
        <v>0.9</v>
      </c>
      <c r="Q584" s="7">
        <v>80</v>
      </c>
      <c r="R584" s="113">
        <v>11</v>
      </c>
      <c r="S584" s="258" t="s">
        <v>1390</v>
      </c>
      <c r="T584" s="10">
        <f t="shared" si="16"/>
        <v>1</v>
      </c>
      <c r="U584" s="260" t="s">
        <v>1391</v>
      </c>
      <c r="V584">
        <v>999</v>
      </c>
      <c r="X584" s="162" t="s">
        <v>2075</v>
      </c>
      <c r="Y584" t="b">
        <v>1</v>
      </c>
    </row>
    <row r="585" spans="1:25">
      <c r="A585" s="229" t="s">
        <v>2098</v>
      </c>
      <c r="B585" s="1" t="str">
        <f t="shared" si="17"/>
        <v>M_AEB0401_VM_KF_MACH_153.2_7000</v>
      </c>
      <c r="C585" s="7" t="s">
        <v>2097</v>
      </c>
      <c r="D585" s="7" t="str" cm="1">
        <f t="array" ref="D585">INDEX(기계코드!$D$4:$D$1022,MATCH(1,(C585=기계코드!$F$4:$F$1022)*1,0))</f>
        <v>M_AEB0401</v>
      </c>
      <c r="E585" s="7" t="s">
        <v>2073</v>
      </c>
      <c r="F585" s="7" t="str" cm="1">
        <f t="array" ref="F585">INDEX(공급업체코드!$B$3:$B$1000,MATCH(1,(E585=공급업체코드!$D$3:$D$1000)*1,0))</f>
        <v>VM_KF_MACH</v>
      </c>
      <c r="G585" s="158" t="s">
        <v>2093</v>
      </c>
      <c r="I585" s="166">
        <v>153.19999999999999</v>
      </c>
      <c r="J585" s="160">
        <v>7000</v>
      </c>
      <c r="K585" s="64">
        <v>350</v>
      </c>
      <c r="L585" s="165">
        <v>284.52</v>
      </c>
      <c r="M585" s="7" t="s">
        <v>987</v>
      </c>
      <c r="N585" s="7">
        <v>380</v>
      </c>
      <c r="O585" s="151">
        <v>0.96200000000000008</v>
      </c>
      <c r="P585" s="7">
        <v>0.9</v>
      </c>
      <c r="Q585" s="7">
        <v>80</v>
      </c>
      <c r="R585" s="113">
        <v>11</v>
      </c>
      <c r="S585" s="258" t="s">
        <v>1390</v>
      </c>
      <c r="T585" s="10">
        <f t="shared" si="16"/>
        <v>1</v>
      </c>
      <c r="U585" s="260" t="s">
        <v>1391</v>
      </c>
      <c r="V585">
        <v>999</v>
      </c>
      <c r="X585" s="162" t="s">
        <v>2075</v>
      </c>
      <c r="Y585" t="b">
        <v>1</v>
      </c>
    </row>
    <row r="586" spans="1:25">
      <c r="A586" s="229" t="s">
        <v>2098</v>
      </c>
      <c r="B586" s="1" t="str">
        <f t="shared" si="17"/>
        <v>M_AEB0401_VM_KF_MACH_177.4_7000</v>
      </c>
      <c r="C586" s="7" t="s">
        <v>2097</v>
      </c>
      <c r="D586" s="7" t="str" cm="1">
        <f t="array" ref="D586">INDEX(기계코드!$D$4:$D$1022,MATCH(1,(C586=기계코드!$F$4:$F$1022)*1,0))</f>
        <v>M_AEB0401</v>
      </c>
      <c r="E586" s="7" t="s">
        <v>2073</v>
      </c>
      <c r="F586" s="7" t="str" cm="1">
        <f t="array" ref="F586">INDEX(공급업체코드!$B$3:$B$1000,MATCH(1,(E586=공급업체코드!$D$3:$D$1000)*1,0))</f>
        <v>VM_KF_MACH</v>
      </c>
      <c r="G586" s="158" t="s">
        <v>2093</v>
      </c>
      <c r="I586" s="166">
        <v>177.4</v>
      </c>
      <c r="J586" s="160">
        <v>7000</v>
      </c>
      <c r="K586" s="64">
        <v>350</v>
      </c>
      <c r="L586" s="165">
        <v>314.03999999999996</v>
      </c>
      <c r="M586" s="7" t="s">
        <v>987</v>
      </c>
      <c r="N586" s="7">
        <v>380</v>
      </c>
      <c r="O586" s="151">
        <v>0.96200000000000008</v>
      </c>
      <c r="P586" s="7">
        <v>0.9</v>
      </c>
      <c r="Q586" s="7">
        <v>80</v>
      </c>
      <c r="R586" s="113">
        <v>11</v>
      </c>
      <c r="S586" s="258" t="s">
        <v>1390</v>
      </c>
      <c r="T586" s="10">
        <f t="shared" si="16"/>
        <v>1</v>
      </c>
      <c r="U586" s="260" t="s">
        <v>1391</v>
      </c>
      <c r="V586">
        <v>999</v>
      </c>
      <c r="X586" s="162" t="s">
        <v>2075</v>
      </c>
      <c r="Y586" t="b">
        <v>1</v>
      </c>
    </row>
    <row r="587" spans="1:25">
      <c r="A587" s="229" t="s">
        <v>2098</v>
      </c>
      <c r="B587" s="1" t="str">
        <f t="shared" si="17"/>
        <v>M_AEB0401_VM_KF_MACH_198.3_7000</v>
      </c>
      <c r="C587" s="7" t="s">
        <v>2097</v>
      </c>
      <c r="D587" s="7" t="str" cm="1">
        <f t="array" ref="D587">INDEX(기계코드!$D$4:$D$1022,MATCH(1,(C587=기계코드!$F$4:$F$1022)*1,0))</f>
        <v>M_AEB0401</v>
      </c>
      <c r="E587" s="7" t="s">
        <v>2073</v>
      </c>
      <c r="F587" s="7" t="str" cm="1">
        <f t="array" ref="F587">INDEX(공급업체코드!$B$3:$B$1000,MATCH(1,(E587=공급업체코드!$D$3:$D$1000)*1,0))</f>
        <v>VM_KF_MACH</v>
      </c>
      <c r="G587" s="158" t="s">
        <v>2093</v>
      </c>
      <c r="I587" s="166">
        <v>198.3</v>
      </c>
      <c r="J587" s="160">
        <v>7000</v>
      </c>
      <c r="K587" s="64">
        <v>350</v>
      </c>
      <c r="L587" s="165">
        <v>341.64</v>
      </c>
      <c r="M587" s="7" t="s">
        <v>987</v>
      </c>
      <c r="N587" s="7">
        <v>380</v>
      </c>
      <c r="O587" s="151">
        <v>0.96200000000000008</v>
      </c>
      <c r="P587" s="7">
        <v>0.9</v>
      </c>
      <c r="Q587" s="7">
        <v>80</v>
      </c>
      <c r="R587" s="113">
        <v>11</v>
      </c>
      <c r="S587" s="258" t="s">
        <v>1390</v>
      </c>
      <c r="T587" s="10">
        <f t="shared" si="16"/>
        <v>1</v>
      </c>
      <c r="U587" s="260" t="s">
        <v>1391</v>
      </c>
      <c r="V587">
        <v>999</v>
      </c>
      <c r="X587" s="162" t="s">
        <v>2075</v>
      </c>
      <c r="Y587" t="b">
        <v>1</v>
      </c>
    </row>
    <row r="588" spans="1:25">
      <c r="A588" s="229" t="s">
        <v>2098</v>
      </c>
      <c r="B588" s="1" t="str">
        <f t="shared" si="17"/>
        <v>M_AEB0401_VM_KF_MACH_217_7000</v>
      </c>
      <c r="C588" s="7" t="s">
        <v>2097</v>
      </c>
      <c r="D588" s="7" t="str" cm="1">
        <f t="array" ref="D588">INDEX(기계코드!$D$4:$D$1022,MATCH(1,(C588=기계코드!$F$4:$F$1022)*1,0))</f>
        <v>M_AEB0401</v>
      </c>
      <c r="E588" s="7" t="s">
        <v>2073</v>
      </c>
      <c r="F588" s="7" t="str" cm="1">
        <f t="array" ref="F588">INDEX(공급업체코드!$B$3:$B$1000,MATCH(1,(E588=공급업체코드!$D$3:$D$1000)*1,0))</f>
        <v>VM_KF_MACH</v>
      </c>
      <c r="G588" s="158" t="s">
        <v>2093</v>
      </c>
      <c r="I588" s="166">
        <v>217</v>
      </c>
      <c r="J588" s="160">
        <v>7000</v>
      </c>
      <c r="K588" s="64">
        <v>350</v>
      </c>
      <c r="L588" s="165">
        <v>364.67999999999995</v>
      </c>
      <c r="M588" s="7" t="s">
        <v>987</v>
      </c>
      <c r="N588" s="7">
        <v>380</v>
      </c>
      <c r="O588" s="151">
        <v>0.96200000000000008</v>
      </c>
      <c r="P588" s="7">
        <v>0.9</v>
      </c>
      <c r="Q588" s="7">
        <v>80</v>
      </c>
      <c r="R588" s="113">
        <v>11</v>
      </c>
      <c r="S588" s="258" t="s">
        <v>1390</v>
      </c>
      <c r="T588" s="10">
        <f t="shared" si="16"/>
        <v>1</v>
      </c>
      <c r="U588" s="260" t="s">
        <v>1391</v>
      </c>
      <c r="V588">
        <v>999</v>
      </c>
      <c r="X588" s="162" t="s">
        <v>2075</v>
      </c>
      <c r="Y588" t="b">
        <v>1</v>
      </c>
    </row>
    <row r="589" spans="1:25">
      <c r="A589" s="229" t="s">
        <v>2098</v>
      </c>
      <c r="B589" s="1" t="str">
        <f t="shared" si="17"/>
        <v>M_AEB0401_VM_KF_MACH_236.3_7000</v>
      </c>
      <c r="C589" s="7" t="s">
        <v>2097</v>
      </c>
      <c r="D589" s="7" t="str" cm="1">
        <f t="array" ref="D589">INDEX(기계코드!$D$4:$D$1022,MATCH(1,(C589=기계코드!$F$4:$F$1022)*1,0))</f>
        <v>M_AEB0401</v>
      </c>
      <c r="E589" s="7" t="s">
        <v>2073</v>
      </c>
      <c r="F589" s="7" t="str" cm="1">
        <f t="array" ref="F589">INDEX(공급업체코드!$B$3:$B$1000,MATCH(1,(E589=공급업체코드!$D$3:$D$1000)*1,0))</f>
        <v>VM_KF_MACH</v>
      </c>
      <c r="G589" s="158" t="s">
        <v>2093</v>
      </c>
      <c r="I589" s="166">
        <v>236.3</v>
      </c>
      <c r="J589" s="160">
        <v>7000</v>
      </c>
      <c r="K589" s="64">
        <v>350</v>
      </c>
      <c r="L589" s="165">
        <v>385.56</v>
      </c>
      <c r="M589" s="7" t="s">
        <v>987</v>
      </c>
      <c r="N589" s="7">
        <v>380</v>
      </c>
      <c r="O589" s="151">
        <v>0.96200000000000008</v>
      </c>
      <c r="P589" s="7">
        <v>0.9</v>
      </c>
      <c r="Q589" s="7">
        <v>80</v>
      </c>
      <c r="R589" s="113">
        <v>11</v>
      </c>
      <c r="S589" s="258" t="s">
        <v>1390</v>
      </c>
      <c r="T589" s="10">
        <f t="shared" si="16"/>
        <v>1</v>
      </c>
      <c r="U589" s="260" t="s">
        <v>1391</v>
      </c>
      <c r="V589">
        <v>999</v>
      </c>
      <c r="X589" s="162" t="s">
        <v>2075</v>
      </c>
      <c r="Y589" t="b">
        <v>1</v>
      </c>
    </row>
    <row r="590" spans="1:25">
      <c r="A590" s="229" t="s">
        <v>2098</v>
      </c>
      <c r="B590" s="1" t="str">
        <f t="shared" si="17"/>
        <v>M_AEB0401_VM_KF_MACH_150.5_8000</v>
      </c>
      <c r="C590" s="7" t="s">
        <v>2097</v>
      </c>
      <c r="D590" s="7" t="str" cm="1">
        <f t="array" ref="D590">INDEX(기계코드!$D$4:$D$1022,MATCH(1,(C590=기계코드!$F$4:$F$1022)*1,0))</f>
        <v>M_AEB0401</v>
      </c>
      <c r="E590" s="7" t="s">
        <v>2073</v>
      </c>
      <c r="F590" s="7" t="str" cm="1">
        <f t="array" ref="F590">INDEX(공급업체코드!$B$3:$B$1000,MATCH(1,(E590=공급업체코드!$D$3:$D$1000)*1,0))</f>
        <v>VM_KF_MACH</v>
      </c>
      <c r="G590" s="158" t="s">
        <v>2093</v>
      </c>
      <c r="I590" s="166">
        <v>150.5</v>
      </c>
      <c r="J590" s="160">
        <v>8000</v>
      </c>
      <c r="K590" s="64">
        <v>350</v>
      </c>
      <c r="L590" s="165">
        <v>323.03999999999996</v>
      </c>
      <c r="M590" s="7" t="s">
        <v>987</v>
      </c>
      <c r="N590" s="7">
        <v>380</v>
      </c>
      <c r="O590" s="151">
        <v>0.96200000000000008</v>
      </c>
      <c r="P590" s="7">
        <v>0.9</v>
      </c>
      <c r="Q590" s="7">
        <v>80</v>
      </c>
      <c r="R590" s="113">
        <v>11</v>
      </c>
      <c r="S590" s="258" t="s">
        <v>1390</v>
      </c>
      <c r="T590" s="10">
        <f t="shared" si="16"/>
        <v>1</v>
      </c>
      <c r="U590" s="260" t="s">
        <v>1391</v>
      </c>
      <c r="V590">
        <v>999</v>
      </c>
      <c r="X590" s="162" t="s">
        <v>2075</v>
      </c>
      <c r="Y590" t="b">
        <v>1</v>
      </c>
    </row>
    <row r="591" spans="1:25">
      <c r="A591" s="229" t="s">
        <v>2098</v>
      </c>
      <c r="B591" s="1" t="str">
        <f t="shared" si="17"/>
        <v>M_AEB0401_VM_KF_MACH_175.1_8000</v>
      </c>
      <c r="C591" s="7" t="s">
        <v>2097</v>
      </c>
      <c r="D591" s="7" t="str" cm="1">
        <f t="array" ref="D591">INDEX(기계코드!$D$4:$D$1022,MATCH(1,(C591=기계코드!$F$4:$F$1022)*1,0))</f>
        <v>M_AEB0401</v>
      </c>
      <c r="E591" s="7" t="s">
        <v>2073</v>
      </c>
      <c r="F591" s="7" t="str" cm="1">
        <f t="array" ref="F591">INDEX(공급업체코드!$B$3:$B$1000,MATCH(1,(E591=공급업체코드!$D$3:$D$1000)*1,0))</f>
        <v>VM_KF_MACH</v>
      </c>
      <c r="G591" s="158" t="s">
        <v>2093</v>
      </c>
      <c r="I591" s="166">
        <v>175.1</v>
      </c>
      <c r="J591" s="160">
        <v>8000</v>
      </c>
      <c r="K591" s="64">
        <v>350</v>
      </c>
      <c r="L591" s="165">
        <v>357.96</v>
      </c>
      <c r="M591" s="7" t="s">
        <v>987</v>
      </c>
      <c r="N591" s="7">
        <v>380</v>
      </c>
      <c r="O591" s="151">
        <v>0.96200000000000008</v>
      </c>
      <c r="P591" s="7">
        <v>0.9</v>
      </c>
      <c r="Q591" s="7">
        <v>80</v>
      </c>
      <c r="R591" s="113">
        <v>11</v>
      </c>
      <c r="S591" s="258" t="s">
        <v>1390</v>
      </c>
      <c r="T591" s="10">
        <f t="shared" si="16"/>
        <v>1</v>
      </c>
      <c r="U591" s="260" t="s">
        <v>1391</v>
      </c>
      <c r="V591">
        <v>999</v>
      </c>
      <c r="X591" s="162" t="s">
        <v>2075</v>
      </c>
      <c r="Y591" t="b">
        <v>1</v>
      </c>
    </row>
    <row r="592" spans="1:25">
      <c r="A592" s="229" t="s">
        <v>2098</v>
      </c>
      <c r="B592" s="1" t="str">
        <f t="shared" si="17"/>
        <v>M_AEB0401_VM_KF_MACH_195.3_8000</v>
      </c>
      <c r="C592" s="7" t="s">
        <v>2097</v>
      </c>
      <c r="D592" s="7" t="str" cm="1">
        <f t="array" ref="D592">INDEX(기계코드!$D$4:$D$1022,MATCH(1,(C592=기계코드!$F$4:$F$1022)*1,0))</f>
        <v>M_AEB0401</v>
      </c>
      <c r="E592" s="7" t="s">
        <v>2073</v>
      </c>
      <c r="F592" s="7" t="str" cm="1">
        <f t="array" ref="F592">INDEX(공급업체코드!$B$3:$B$1000,MATCH(1,(E592=공급업체코드!$D$3:$D$1000)*1,0))</f>
        <v>VM_KF_MACH</v>
      </c>
      <c r="G592" s="158" t="s">
        <v>2093</v>
      </c>
      <c r="I592" s="166">
        <v>195.3</v>
      </c>
      <c r="J592" s="160">
        <v>8000</v>
      </c>
      <c r="K592" s="64">
        <v>350</v>
      </c>
      <c r="L592" s="165">
        <v>386.64</v>
      </c>
      <c r="M592" s="7" t="s">
        <v>987</v>
      </c>
      <c r="N592" s="7">
        <v>380</v>
      </c>
      <c r="O592" s="151">
        <v>0.96200000000000008</v>
      </c>
      <c r="P592" s="7">
        <v>0.9</v>
      </c>
      <c r="Q592" s="7">
        <v>80</v>
      </c>
      <c r="R592" s="113">
        <v>11</v>
      </c>
      <c r="S592" s="258" t="s">
        <v>1390</v>
      </c>
      <c r="T592" s="10">
        <f t="shared" si="16"/>
        <v>1</v>
      </c>
      <c r="U592" s="260" t="s">
        <v>1391</v>
      </c>
      <c r="V592">
        <v>999</v>
      </c>
      <c r="X592" s="162" t="s">
        <v>2075</v>
      </c>
      <c r="Y592" t="b">
        <v>1</v>
      </c>
    </row>
    <row r="593" spans="1:25">
      <c r="A593" s="229" t="s">
        <v>2098</v>
      </c>
      <c r="B593" s="1" t="str">
        <f t="shared" si="17"/>
        <v>M_AEB0401_VM_KF_MACH_214.3_8000</v>
      </c>
      <c r="C593" s="7" t="s">
        <v>2097</v>
      </c>
      <c r="D593" s="7" t="str" cm="1">
        <f t="array" ref="D593">INDEX(기계코드!$D$4:$D$1022,MATCH(1,(C593=기계코드!$F$4:$F$1022)*1,0))</f>
        <v>M_AEB0401</v>
      </c>
      <c r="E593" s="7" t="s">
        <v>2073</v>
      </c>
      <c r="F593" s="7" t="str" cm="1">
        <f t="array" ref="F593">INDEX(공급업체코드!$B$3:$B$1000,MATCH(1,(E593=공급업체코드!$D$3:$D$1000)*1,0))</f>
        <v>VM_KF_MACH</v>
      </c>
      <c r="G593" s="158" t="s">
        <v>2093</v>
      </c>
      <c r="I593" s="166">
        <v>214.3</v>
      </c>
      <c r="J593" s="160">
        <v>8000</v>
      </c>
      <c r="K593" s="64">
        <v>350</v>
      </c>
      <c r="L593" s="165">
        <v>413.4</v>
      </c>
      <c r="M593" s="7" t="s">
        <v>987</v>
      </c>
      <c r="N593" s="7">
        <v>380</v>
      </c>
      <c r="O593" s="151">
        <v>0.96200000000000008</v>
      </c>
      <c r="P593" s="7">
        <v>0.9</v>
      </c>
      <c r="Q593" s="7">
        <v>80</v>
      </c>
      <c r="R593" s="113">
        <v>11</v>
      </c>
      <c r="S593" s="258" t="s">
        <v>1390</v>
      </c>
      <c r="T593" s="10">
        <f t="shared" si="16"/>
        <v>1</v>
      </c>
      <c r="U593" s="260" t="s">
        <v>1391</v>
      </c>
      <c r="V593">
        <v>999</v>
      </c>
      <c r="X593" s="162" t="s">
        <v>2075</v>
      </c>
      <c r="Y593" t="b">
        <v>1</v>
      </c>
    </row>
    <row r="594" spans="1:25">
      <c r="A594" s="229" t="s">
        <v>2098</v>
      </c>
      <c r="B594" s="1" t="str">
        <f t="shared" si="17"/>
        <v>M_AEB0401_VM_KF_MACH_233.7_8000</v>
      </c>
      <c r="C594" s="7" t="s">
        <v>2097</v>
      </c>
      <c r="D594" s="7" t="str" cm="1">
        <f t="array" ref="D594">INDEX(기계코드!$D$4:$D$1022,MATCH(1,(C594=기계코드!$F$4:$F$1022)*1,0))</f>
        <v>M_AEB0401</v>
      </c>
      <c r="E594" s="7" t="s">
        <v>2073</v>
      </c>
      <c r="F594" s="7" t="str" cm="1">
        <f t="array" ref="F594">INDEX(공급업체코드!$B$3:$B$1000,MATCH(1,(E594=공급업체코드!$D$3:$D$1000)*1,0))</f>
        <v>VM_KF_MACH</v>
      </c>
      <c r="G594" s="158" t="s">
        <v>2093</v>
      </c>
      <c r="I594" s="166">
        <v>233.7</v>
      </c>
      <c r="J594" s="160">
        <v>8000</v>
      </c>
      <c r="K594" s="64">
        <v>350</v>
      </c>
      <c r="L594" s="165">
        <v>438</v>
      </c>
      <c r="M594" s="7" t="s">
        <v>987</v>
      </c>
      <c r="N594" s="7">
        <v>380</v>
      </c>
      <c r="O594" s="151">
        <v>0.96200000000000008</v>
      </c>
      <c r="P594" s="7">
        <v>0.9</v>
      </c>
      <c r="Q594" s="7">
        <v>80</v>
      </c>
      <c r="R594" s="113">
        <v>11</v>
      </c>
      <c r="S594" s="258" t="s">
        <v>1390</v>
      </c>
      <c r="T594" s="10">
        <f t="shared" si="16"/>
        <v>1</v>
      </c>
      <c r="U594" s="260" t="s">
        <v>1391</v>
      </c>
      <c r="V594">
        <v>999</v>
      </c>
      <c r="X594" s="162" t="s">
        <v>2075</v>
      </c>
      <c r="Y594" t="b">
        <v>1</v>
      </c>
    </row>
    <row r="595" spans="1:25">
      <c r="A595" s="229" t="s">
        <v>2098</v>
      </c>
      <c r="B595" s="1" t="str">
        <f t="shared" si="17"/>
        <v>M_AEB0401_VM_KF_MACH_170_7000</v>
      </c>
      <c r="C595" s="7" t="s">
        <v>2097</v>
      </c>
      <c r="D595" s="7" t="str" cm="1">
        <f t="array" ref="D595">INDEX(기계코드!$D$4:$D$1022,MATCH(1,(C595=기계코드!$F$4:$F$1022)*1,0))</f>
        <v>M_AEB0401</v>
      </c>
      <c r="E595" s="7" t="s">
        <v>2073</v>
      </c>
      <c r="F595" s="7" t="str" cm="1">
        <f t="array" ref="F595">INDEX(공급업체코드!$B$3:$B$1000,MATCH(1,(E595=공급업체코드!$D$3:$D$1000)*1,0))</f>
        <v>VM_KF_MACH</v>
      </c>
      <c r="G595" s="158" t="s">
        <v>2094</v>
      </c>
      <c r="I595" s="166">
        <v>170</v>
      </c>
      <c r="J595" s="160">
        <v>7000</v>
      </c>
      <c r="K595" s="64">
        <v>400</v>
      </c>
      <c r="L595" s="165">
        <v>305.16000000000003</v>
      </c>
      <c r="M595" s="7" t="s">
        <v>987</v>
      </c>
      <c r="N595" s="7">
        <v>380</v>
      </c>
      <c r="O595" s="151">
        <v>0.96200000000000008</v>
      </c>
      <c r="P595" s="7">
        <v>0.9</v>
      </c>
      <c r="Q595" s="7">
        <v>80</v>
      </c>
      <c r="R595" s="113">
        <v>11</v>
      </c>
      <c r="S595" s="258" t="s">
        <v>1390</v>
      </c>
      <c r="T595" s="10">
        <f t="shared" si="16"/>
        <v>1</v>
      </c>
      <c r="U595" s="260" t="s">
        <v>1391</v>
      </c>
      <c r="V595">
        <v>999</v>
      </c>
      <c r="X595" s="162" t="s">
        <v>2075</v>
      </c>
      <c r="Y595" t="b">
        <v>1</v>
      </c>
    </row>
    <row r="596" spans="1:25">
      <c r="A596" s="229" t="s">
        <v>2098</v>
      </c>
      <c r="B596" s="1" t="str">
        <f t="shared" si="17"/>
        <v>M_AEB0401_VM_KF_MACH_198.1_7000</v>
      </c>
      <c r="C596" s="7" t="s">
        <v>2097</v>
      </c>
      <c r="D596" s="7" t="str" cm="1">
        <f t="array" ref="D596">INDEX(기계코드!$D$4:$D$1022,MATCH(1,(C596=기계코드!$F$4:$F$1022)*1,0))</f>
        <v>M_AEB0401</v>
      </c>
      <c r="E596" s="7" t="s">
        <v>2073</v>
      </c>
      <c r="F596" s="7" t="str" cm="1">
        <f t="array" ref="F596">INDEX(공급업체코드!$B$3:$B$1000,MATCH(1,(E596=공급업체코드!$D$3:$D$1000)*1,0))</f>
        <v>VM_KF_MACH</v>
      </c>
      <c r="G596" s="158" t="s">
        <v>2094</v>
      </c>
      <c r="I596" s="166">
        <v>198.1</v>
      </c>
      <c r="J596" s="160">
        <v>7000</v>
      </c>
      <c r="K596" s="64">
        <v>400</v>
      </c>
      <c r="L596" s="165">
        <v>346.56</v>
      </c>
      <c r="M596" s="7" t="s">
        <v>987</v>
      </c>
      <c r="N596" s="7">
        <v>380</v>
      </c>
      <c r="O596" s="151">
        <v>0.96200000000000008</v>
      </c>
      <c r="P596" s="7">
        <v>0.9</v>
      </c>
      <c r="Q596" s="7">
        <v>80</v>
      </c>
      <c r="R596" s="113">
        <v>11</v>
      </c>
      <c r="S596" s="258" t="s">
        <v>1390</v>
      </c>
      <c r="T596" s="10">
        <f t="shared" si="16"/>
        <v>1</v>
      </c>
      <c r="U596" s="260" t="s">
        <v>1391</v>
      </c>
      <c r="V596">
        <v>999</v>
      </c>
      <c r="X596" s="162" t="s">
        <v>2075</v>
      </c>
      <c r="Y596" t="b">
        <v>1</v>
      </c>
    </row>
    <row r="597" spans="1:25">
      <c r="A597" s="229" t="s">
        <v>2098</v>
      </c>
      <c r="B597" s="1" t="str">
        <f t="shared" si="17"/>
        <v>M_AEB0401_VM_KF_MACH_219.3_7000</v>
      </c>
      <c r="C597" s="7" t="s">
        <v>2097</v>
      </c>
      <c r="D597" s="7" t="str" cm="1">
        <f t="array" ref="D597">INDEX(기계코드!$D$4:$D$1022,MATCH(1,(C597=기계코드!$F$4:$F$1022)*1,0))</f>
        <v>M_AEB0401</v>
      </c>
      <c r="E597" s="7" t="s">
        <v>2073</v>
      </c>
      <c r="F597" s="7" t="str" cm="1">
        <f t="array" ref="F597">INDEX(공급업체코드!$B$3:$B$1000,MATCH(1,(E597=공급업체코드!$D$3:$D$1000)*1,0))</f>
        <v>VM_KF_MACH</v>
      </c>
      <c r="G597" s="158" t="s">
        <v>2094</v>
      </c>
      <c r="I597" s="166">
        <v>219.3</v>
      </c>
      <c r="J597" s="160">
        <v>7000</v>
      </c>
      <c r="K597" s="64">
        <v>400</v>
      </c>
      <c r="L597" s="165">
        <v>375.12</v>
      </c>
      <c r="M597" s="7" t="s">
        <v>987</v>
      </c>
      <c r="N597" s="7">
        <v>380</v>
      </c>
      <c r="O597" s="151">
        <v>0.96200000000000008</v>
      </c>
      <c r="P597" s="7">
        <v>0.9</v>
      </c>
      <c r="Q597" s="7">
        <v>80</v>
      </c>
      <c r="R597" s="113">
        <v>11</v>
      </c>
      <c r="S597" s="258" t="s">
        <v>1390</v>
      </c>
      <c r="T597" s="10">
        <f t="shared" si="16"/>
        <v>1</v>
      </c>
      <c r="U597" s="260" t="s">
        <v>1391</v>
      </c>
      <c r="V597">
        <v>999</v>
      </c>
      <c r="X597" s="162" t="s">
        <v>2075</v>
      </c>
      <c r="Y597" t="b">
        <v>1</v>
      </c>
    </row>
    <row r="598" spans="1:25">
      <c r="A598" s="229" t="s">
        <v>2098</v>
      </c>
      <c r="B598" s="1" t="str">
        <f t="shared" si="17"/>
        <v>M_AEB0401_VM_KF_MACH_240.2_7000</v>
      </c>
      <c r="C598" s="7" t="s">
        <v>2097</v>
      </c>
      <c r="D598" s="7" t="str" cm="1">
        <f t="array" ref="D598">INDEX(기계코드!$D$4:$D$1022,MATCH(1,(C598=기계코드!$F$4:$F$1022)*1,0))</f>
        <v>M_AEB0401</v>
      </c>
      <c r="E598" s="7" t="s">
        <v>2073</v>
      </c>
      <c r="F598" s="7" t="str" cm="1">
        <f t="array" ref="F598">INDEX(공급업체코드!$B$3:$B$1000,MATCH(1,(E598=공급업체코드!$D$3:$D$1000)*1,0))</f>
        <v>VM_KF_MACH</v>
      </c>
      <c r="G598" s="158" t="s">
        <v>2094</v>
      </c>
      <c r="I598" s="166">
        <v>240.2</v>
      </c>
      <c r="J598" s="160">
        <v>7000</v>
      </c>
      <c r="K598" s="64">
        <v>400</v>
      </c>
      <c r="L598" s="165">
        <v>401.03999999999996</v>
      </c>
      <c r="M598" s="7" t="s">
        <v>987</v>
      </c>
      <c r="N598" s="7">
        <v>380</v>
      </c>
      <c r="O598" s="151">
        <v>0.96200000000000008</v>
      </c>
      <c r="P598" s="7">
        <v>0.9</v>
      </c>
      <c r="Q598" s="7">
        <v>80</v>
      </c>
      <c r="R598" s="113">
        <v>11</v>
      </c>
      <c r="S598" s="258" t="s">
        <v>1390</v>
      </c>
      <c r="T598" s="10">
        <f t="shared" si="16"/>
        <v>1</v>
      </c>
      <c r="U598" s="260" t="s">
        <v>1391</v>
      </c>
      <c r="V598">
        <v>999</v>
      </c>
      <c r="X598" s="162" t="s">
        <v>2075</v>
      </c>
      <c r="Y598" t="b">
        <v>1</v>
      </c>
    </row>
    <row r="599" spans="1:25">
      <c r="A599" s="229" t="s">
        <v>2098</v>
      </c>
      <c r="B599" s="1" t="str">
        <f t="shared" si="17"/>
        <v>M_AEB0401_VM_KF_MACH_260.6_7000</v>
      </c>
      <c r="C599" s="7" t="s">
        <v>2097</v>
      </c>
      <c r="D599" s="7" t="str" cm="1">
        <f t="array" ref="D599">INDEX(기계코드!$D$4:$D$1022,MATCH(1,(C599=기계코드!$F$4:$F$1022)*1,0))</f>
        <v>M_AEB0401</v>
      </c>
      <c r="E599" s="7" t="s">
        <v>2073</v>
      </c>
      <c r="F599" s="7" t="str" cm="1">
        <f t="array" ref="F599">INDEX(공급업체코드!$B$3:$B$1000,MATCH(1,(E599=공급업체코드!$D$3:$D$1000)*1,0))</f>
        <v>VM_KF_MACH</v>
      </c>
      <c r="G599" s="158" t="s">
        <v>2094</v>
      </c>
      <c r="I599" s="166">
        <v>260.60000000000002</v>
      </c>
      <c r="J599" s="160">
        <v>7000</v>
      </c>
      <c r="K599" s="64">
        <v>400</v>
      </c>
      <c r="L599" s="165">
        <v>424.08</v>
      </c>
      <c r="M599" s="7" t="s">
        <v>987</v>
      </c>
      <c r="N599" s="7">
        <v>380</v>
      </c>
      <c r="O599" s="151">
        <v>0.96200000000000008</v>
      </c>
      <c r="P599" s="7">
        <v>0.9</v>
      </c>
      <c r="Q599" s="7">
        <v>80</v>
      </c>
      <c r="R599" s="113">
        <v>11</v>
      </c>
      <c r="S599" s="258" t="s">
        <v>1390</v>
      </c>
      <c r="T599" s="10">
        <f t="shared" si="16"/>
        <v>1</v>
      </c>
      <c r="U599" s="260" t="s">
        <v>1391</v>
      </c>
      <c r="V599">
        <v>999</v>
      </c>
      <c r="X599" s="162" t="s">
        <v>2075</v>
      </c>
      <c r="Y599" t="b">
        <v>1</v>
      </c>
    </row>
    <row r="600" spans="1:25">
      <c r="A600" s="229" t="s">
        <v>2098</v>
      </c>
      <c r="B600" s="1" t="str">
        <f t="shared" si="17"/>
        <v>M_AEB0401_VM_KF_MACH_166.9_8000</v>
      </c>
      <c r="C600" s="7" t="s">
        <v>2097</v>
      </c>
      <c r="D600" s="7" t="str" cm="1">
        <f t="array" ref="D600">INDEX(기계코드!$D$4:$D$1022,MATCH(1,(C600=기계코드!$F$4:$F$1022)*1,0))</f>
        <v>M_AEB0401</v>
      </c>
      <c r="E600" s="7" t="s">
        <v>2073</v>
      </c>
      <c r="F600" s="7" t="str" cm="1">
        <f t="array" ref="F600">INDEX(공급업체코드!$B$3:$B$1000,MATCH(1,(E600=공급업체코드!$D$3:$D$1000)*1,0))</f>
        <v>VM_KF_MACH</v>
      </c>
      <c r="G600" s="158" t="s">
        <v>2094</v>
      </c>
      <c r="I600" s="166">
        <v>166.9</v>
      </c>
      <c r="J600" s="160">
        <v>8000</v>
      </c>
      <c r="K600" s="64">
        <v>400</v>
      </c>
      <c r="L600" s="165">
        <v>345.84</v>
      </c>
      <c r="M600" s="7" t="s">
        <v>987</v>
      </c>
      <c r="N600" s="7">
        <v>380</v>
      </c>
      <c r="O600" s="151">
        <v>0.96200000000000008</v>
      </c>
      <c r="P600" s="7">
        <v>0.9</v>
      </c>
      <c r="Q600" s="7">
        <v>80</v>
      </c>
      <c r="R600" s="113">
        <v>11</v>
      </c>
      <c r="S600" s="258" t="s">
        <v>1390</v>
      </c>
      <c r="T600" s="10">
        <f t="shared" si="16"/>
        <v>1</v>
      </c>
      <c r="U600" s="260" t="s">
        <v>1391</v>
      </c>
      <c r="V600">
        <v>999</v>
      </c>
      <c r="X600" s="162" t="s">
        <v>2075</v>
      </c>
      <c r="Y600" t="b">
        <v>1</v>
      </c>
    </row>
    <row r="601" spans="1:25">
      <c r="A601" s="229" t="s">
        <v>2098</v>
      </c>
      <c r="B601" s="1" t="str">
        <f t="shared" si="17"/>
        <v>M_AEB0401_VM_KF_MACH_194.8_8000</v>
      </c>
      <c r="C601" s="7" t="s">
        <v>2097</v>
      </c>
      <c r="D601" s="7" t="str" cm="1">
        <f t="array" ref="D601">INDEX(기계코드!$D$4:$D$1022,MATCH(1,(C601=기계코드!$F$4:$F$1022)*1,0))</f>
        <v>M_AEB0401</v>
      </c>
      <c r="E601" s="7" t="s">
        <v>2073</v>
      </c>
      <c r="F601" s="7" t="str" cm="1">
        <f t="array" ref="F601">INDEX(공급업체코드!$B$3:$B$1000,MATCH(1,(E601=공급업체코드!$D$3:$D$1000)*1,0))</f>
        <v>VM_KF_MACH</v>
      </c>
      <c r="G601" s="158" t="s">
        <v>2094</v>
      </c>
      <c r="I601" s="166">
        <v>194.8</v>
      </c>
      <c r="J601" s="160">
        <v>8000</v>
      </c>
      <c r="K601" s="64">
        <v>400</v>
      </c>
      <c r="L601" s="165">
        <v>390.96</v>
      </c>
      <c r="M601" s="7" t="s">
        <v>987</v>
      </c>
      <c r="N601" s="7">
        <v>380</v>
      </c>
      <c r="O601" s="151">
        <v>0.96200000000000008</v>
      </c>
      <c r="P601" s="7">
        <v>0.9</v>
      </c>
      <c r="Q601" s="7">
        <v>80</v>
      </c>
      <c r="R601" s="113">
        <v>11</v>
      </c>
      <c r="S601" s="258" t="s">
        <v>1390</v>
      </c>
      <c r="T601" s="10">
        <f t="shared" si="16"/>
        <v>1</v>
      </c>
      <c r="U601" s="260" t="s">
        <v>1391</v>
      </c>
      <c r="V601">
        <v>999</v>
      </c>
      <c r="X601" s="162" t="s">
        <v>2075</v>
      </c>
      <c r="Y601" t="b">
        <v>1</v>
      </c>
    </row>
    <row r="602" spans="1:25">
      <c r="A602" s="229" t="s">
        <v>2098</v>
      </c>
      <c r="B602" s="1" t="str">
        <f t="shared" si="17"/>
        <v>M_AEB0401_VM_KF_MACH_215.5_8000</v>
      </c>
      <c r="C602" s="7" t="s">
        <v>2097</v>
      </c>
      <c r="D602" s="7" t="str" cm="1">
        <f t="array" ref="D602">INDEX(기계코드!$D$4:$D$1022,MATCH(1,(C602=기계코드!$F$4:$F$1022)*1,0))</f>
        <v>M_AEB0401</v>
      </c>
      <c r="E602" s="7" t="s">
        <v>2073</v>
      </c>
      <c r="F602" s="7" t="str" cm="1">
        <f t="array" ref="F602">INDEX(공급업체코드!$B$3:$B$1000,MATCH(1,(E602=공급업체코드!$D$3:$D$1000)*1,0))</f>
        <v>VM_KF_MACH</v>
      </c>
      <c r="G602" s="158" t="s">
        <v>2094</v>
      </c>
      <c r="I602" s="166">
        <v>215.5</v>
      </c>
      <c r="J602" s="160">
        <v>8000</v>
      </c>
      <c r="K602" s="64">
        <v>400</v>
      </c>
      <c r="L602" s="165">
        <v>422.4</v>
      </c>
      <c r="M602" s="7" t="s">
        <v>987</v>
      </c>
      <c r="N602" s="7">
        <v>380</v>
      </c>
      <c r="O602" s="151">
        <v>0.96200000000000008</v>
      </c>
      <c r="P602" s="7">
        <v>0.9</v>
      </c>
      <c r="Q602" s="7">
        <v>80</v>
      </c>
      <c r="R602" s="113">
        <v>11</v>
      </c>
      <c r="S602" s="258" t="s">
        <v>1390</v>
      </c>
      <c r="T602" s="10">
        <f t="shared" si="16"/>
        <v>1</v>
      </c>
      <c r="U602" s="260" t="s">
        <v>1391</v>
      </c>
      <c r="V602">
        <v>999</v>
      </c>
      <c r="X602" s="162" t="s">
        <v>2075</v>
      </c>
      <c r="Y602" t="b">
        <v>1</v>
      </c>
    </row>
    <row r="603" spans="1:25">
      <c r="A603" s="229" t="s">
        <v>2098</v>
      </c>
      <c r="B603" s="1" t="str">
        <f t="shared" si="17"/>
        <v>M_AEB0401_VM_KF_MACH_236.5_8000</v>
      </c>
      <c r="C603" s="7" t="s">
        <v>2097</v>
      </c>
      <c r="D603" s="7" t="str" cm="1">
        <f t="array" ref="D603">INDEX(기계코드!$D$4:$D$1022,MATCH(1,(C603=기계코드!$F$4:$F$1022)*1,0))</f>
        <v>M_AEB0401</v>
      </c>
      <c r="E603" s="7" t="s">
        <v>2073</v>
      </c>
      <c r="F603" s="7" t="str" cm="1">
        <f t="array" ref="F603">INDEX(공급업체코드!$B$3:$B$1000,MATCH(1,(E603=공급업체코드!$D$3:$D$1000)*1,0))</f>
        <v>VM_KF_MACH</v>
      </c>
      <c r="G603" s="158" t="s">
        <v>2094</v>
      </c>
      <c r="I603" s="166">
        <v>236.5</v>
      </c>
      <c r="J603" s="160">
        <v>8000</v>
      </c>
      <c r="K603" s="64">
        <v>400</v>
      </c>
      <c r="L603" s="165">
        <v>452.64</v>
      </c>
      <c r="M603" s="7" t="s">
        <v>987</v>
      </c>
      <c r="N603" s="7">
        <v>380</v>
      </c>
      <c r="O603" s="151">
        <v>0.96200000000000008</v>
      </c>
      <c r="P603" s="7">
        <v>0.9</v>
      </c>
      <c r="Q603" s="7">
        <v>80</v>
      </c>
      <c r="R603" s="113">
        <v>11</v>
      </c>
      <c r="S603" s="258" t="s">
        <v>1390</v>
      </c>
      <c r="T603" s="10">
        <f t="shared" si="16"/>
        <v>1</v>
      </c>
      <c r="U603" s="260" t="s">
        <v>1391</v>
      </c>
      <c r="V603">
        <v>999</v>
      </c>
      <c r="X603" s="162" t="s">
        <v>2075</v>
      </c>
      <c r="Y603" t="b">
        <v>1</v>
      </c>
    </row>
    <row r="604" spans="1:25">
      <c r="A604" s="229" t="s">
        <v>2098</v>
      </c>
      <c r="B604" s="1" t="str">
        <f t="shared" si="17"/>
        <v>M_AEB0401_VM_KF_MACH_257.5_8000</v>
      </c>
      <c r="C604" s="7" t="s">
        <v>2097</v>
      </c>
      <c r="D604" s="7" t="str" cm="1">
        <f t="array" ref="D604">INDEX(기계코드!$D$4:$D$1022,MATCH(1,(C604=기계코드!$F$4:$F$1022)*1,0))</f>
        <v>M_AEB0401</v>
      </c>
      <c r="E604" s="7" t="s">
        <v>2073</v>
      </c>
      <c r="F604" s="7" t="str" cm="1">
        <f t="array" ref="F604">INDEX(공급업체코드!$B$3:$B$1000,MATCH(1,(E604=공급업체코드!$D$3:$D$1000)*1,0))</f>
        <v>VM_KF_MACH</v>
      </c>
      <c r="G604" s="158" t="s">
        <v>2094</v>
      </c>
      <c r="I604" s="166">
        <v>257.5</v>
      </c>
      <c r="J604" s="160">
        <v>8000</v>
      </c>
      <c r="K604" s="64">
        <v>400</v>
      </c>
      <c r="L604" s="165">
        <v>480.23999999999995</v>
      </c>
      <c r="M604" s="7" t="s">
        <v>987</v>
      </c>
      <c r="N604" s="7">
        <v>380</v>
      </c>
      <c r="O604" s="151">
        <v>0.96200000000000008</v>
      </c>
      <c r="P604" s="7">
        <v>0.9</v>
      </c>
      <c r="Q604" s="7">
        <v>80</v>
      </c>
      <c r="R604" s="113">
        <v>11</v>
      </c>
      <c r="S604" s="258" t="s">
        <v>1390</v>
      </c>
      <c r="T604" s="10">
        <f t="shared" si="16"/>
        <v>1</v>
      </c>
      <c r="U604" s="260" t="s">
        <v>1391</v>
      </c>
      <c r="V604">
        <v>999</v>
      </c>
      <c r="X604" s="162" t="s">
        <v>2075</v>
      </c>
      <c r="Y604" t="b">
        <v>1</v>
      </c>
    </row>
    <row r="605" spans="1:25">
      <c r="A605" s="229" t="s">
        <v>2098</v>
      </c>
      <c r="B605" s="1" t="str">
        <f t="shared" si="17"/>
        <v>M_AEB0401_VM_KF_MACH_257.9_7000</v>
      </c>
      <c r="C605" s="7" t="s">
        <v>2097</v>
      </c>
      <c r="D605" s="7" t="str" cm="1">
        <f t="array" ref="D605">INDEX(기계코드!$D$4:$D$1022,MATCH(1,(C605=기계코드!$F$4:$F$1022)*1,0))</f>
        <v>M_AEB0401</v>
      </c>
      <c r="E605" s="7" t="s">
        <v>2073</v>
      </c>
      <c r="F605" s="7" t="str" cm="1">
        <f t="array" ref="F605">INDEX(공급업체코드!$B$3:$B$1000,MATCH(1,(E605=공급업체코드!$D$3:$D$1000)*1,0))</f>
        <v>VM_KF_MACH</v>
      </c>
      <c r="G605" s="158" t="s">
        <v>2095</v>
      </c>
      <c r="I605" s="166">
        <v>257.89999999999998</v>
      </c>
      <c r="J605" s="160">
        <v>7000</v>
      </c>
      <c r="K605" s="64">
        <v>500</v>
      </c>
      <c r="L605" s="165">
        <v>455.76</v>
      </c>
      <c r="M605" s="7" t="s">
        <v>987</v>
      </c>
      <c r="N605" s="7">
        <v>380</v>
      </c>
      <c r="O605" s="151">
        <v>0.96200000000000008</v>
      </c>
      <c r="P605" s="7">
        <v>0.9</v>
      </c>
      <c r="Q605" s="7">
        <v>80</v>
      </c>
      <c r="R605" s="113">
        <v>11</v>
      </c>
      <c r="S605" s="258" t="s">
        <v>1390</v>
      </c>
      <c r="T605" s="10">
        <f t="shared" si="16"/>
        <v>1</v>
      </c>
      <c r="U605" s="260" t="s">
        <v>1391</v>
      </c>
      <c r="V605">
        <v>999</v>
      </c>
      <c r="X605" s="162" t="s">
        <v>2075</v>
      </c>
      <c r="Y605" t="b">
        <v>1</v>
      </c>
    </row>
    <row r="606" spans="1:25">
      <c r="A606" s="229" t="s">
        <v>2098</v>
      </c>
      <c r="B606" s="1" t="str">
        <f t="shared" si="17"/>
        <v>M_AEB0401_VM_KF_MACH_273.3_7000</v>
      </c>
      <c r="C606" s="7" t="s">
        <v>2097</v>
      </c>
      <c r="D606" s="7" t="str" cm="1">
        <f t="array" ref="D606">INDEX(기계코드!$D$4:$D$1022,MATCH(1,(C606=기계코드!$F$4:$F$1022)*1,0))</f>
        <v>M_AEB0401</v>
      </c>
      <c r="E606" s="7" t="s">
        <v>2073</v>
      </c>
      <c r="F606" s="7" t="str" cm="1">
        <f t="array" ref="F606">INDEX(공급업체코드!$B$3:$B$1000,MATCH(1,(E606=공급업체코드!$D$3:$D$1000)*1,0))</f>
        <v>VM_KF_MACH</v>
      </c>
      <c r="G606" s="158" t="s">
        <v>2095</v>
      </c>
      <c r="I606" s="166">
        <v>273.3</v>
      </c>
      <c r="J606" s="160">
        <v>7000</v>
      </c>
      <c r="K606" s="64">
        <v>500</v>
      </c>
      <c r="L606" s="165">
        <v>479.15999999999997</v>
      </c>
      <c r="M606" s="7" t="s">
        <v>987</v>
      </c>
      <c r="N606" s="7">
        <v>380</v>
      </c>
      <c r="O606" s="151">
        <v>0.96200000000000008</v>
      </c>
      <c r="P606" s="7">
        <v>0.9</v>
      </c>
      <c r="Q606" s="7">
        <v>80</v>
      </c>
      <c r="R606" s="113">
        <v>11</v>
      </c>
      <c r="S606" s="258" t="s">
        <v>1390</v>
      </c>
      <c r="T606" s="10">
        <f t="shared" si="16"/>
        <v>1</v>
      </c>
      <c r="U606" s="260" t="s">
        <v>1391</v>
      </c>
      <c r="V606">
        <v>999</v>
      </c>
      <c r="X606" s="162" t="s">
        <v>2075</v>
      </c>
      <c r="Y606" t="b">
        <v>1</v>
      </c>
    </row>
    <row r="607" spans="1:25">
      <c r="A607" s="229" t="s">
        <v>2098</v>
      </c>
      <c r="B607" s="1" t="str">
        <f t="shared" si="17"/>
        <v>M_AEB0401_VM_KF_MACH_301.9_7000</v>
      </c>
      <c r="C607" s="7" t="s">
        <v>2097</v>
      </c>
      <c r="D607" s="7" t="str" cm="1">
        <f t="array" ref="D607">INDEX(기계코드!$D$4:$D$1022,MATCH(1,(C607=기계코드!$F$4:$F$1022)*1,0))</f>
        <v>M_AEB0401</v>
      </c>
      <c r="E607" s="7" t="s">
        <v>2073</v>
      </c>
      <c r="F607" s="7" t="str" cm="1">
        <f t="array" ref="F607">INDEX(공급업체코드!$B$3:$B$1000,MATCH(1,(E607=공급업체코드!$D$3:$D$1000)*1,0))</f>
        <v>VM_KF_MACH</v>
      </c>
      <c r="G607" s="158" t="s">
        <v>2095</v>
      </c>
      <c r="I607" s="166">
        <v>301.89999999999998</v>
      </c>
      <c r="J607" s="160">
        <v>7000</v>
      </c>
      <c r="K607" s="64">
        <v>500</v>
      </c>
      <c r="L607" s="165">
        <v>515.16</v>
      </c>
      <c r="M607" s="7" t="s">
        <v>987</v>
      </c>
      <c r="N607" s="7">
        <v>380</v>
      </c>
      <c r="O607" s="151">
        <v>0.96200000000000008</v>
      </c>
      <c r="P607" s="7">
        <v>0.9</v>
      </c>
      <c r="Q607" s="7">
        <v>80</v>
      </c>
      <c r="R607" s="113">
        <v>11</v>
      </c>
      <c r="S607" s="258" t="s">
        <v>1390</v>
      </c>
      <c r="T607" s="10">
        <f t="shared" si="16"/>
        <v>1</v>
      </c>
      <c r="U607" s="260" t="s">
        <v>1391</v>
      </c>
      <c r="V607">
        <v>999</v>
      </c>
      <c r="X607" s="162" t="s">
        <v>2075</v>
      </c>
      <c r="Y607" t="b">
        <v>1</v>
      </c>
    </row>
    <row r="608" spans="1:25">
      <c r="A608" s="229" t="s">
        <v>2098</v>
      </c>
      <c r="B608" s="1" t="str">
        <f t="shared" si="17"/>
        <v>M_AEB0401_VM_KF_MACH_330.7_7000</v>
      </c>
      <c r="C608" s="7" t="s">
        <v>2097</v>
      </c>
      <c r="D608" s="7" t="str" cm="1">
        <f t="array" ref="D608">INDEX(기계코드!$D$4:$D$1022,MATCH(1,(C608=기계코드!$F$4:$F$1022)*1,0))</f>
        <v>M_AEB0401</v>
      </c>
      <c r="E608" s="7" t="s">
        <v>2073</v>
      </c>
      <c r="F608" s="7" t="str" cm="1">
        <f t="array" ref="F608">INDEX(공급업체코드!$B$3:$B$1000,MATCH(1,(E608=공급업체코드!$D$3:$D$1000)*1,0))</f>
        <v>VM_KF_MACH</v>
      </c>
      <c r="G608" s="158" t="s">
        <v>2095</v>
      </c>
      <c r="I608" s="166">
        <v>330.7</v>
      </c>
      <c r="J608" s="160">
        <v>7000</v>
      </c>
      <c r="K608" s="64">
        <v>500</v>
      </c>
      <c r="L608" s="165">
        <v>550.91999999999996</v>
      </c>
      <c r="M608" s="7" t="s">
        <v>987</v>
      </c>
      <c r="N608" s="7">
        <v>380</v>
      </c>
      <c r="O608" s="151">
        <v>0.96200000000000008</v>
      </c>
      <c r="P608" s="7">
        <v>0.9</v>
      </c>
      <c r="Q608" s="7">
        <v>80</v>
      </c>
      <c r="R608" s="113">
        <v>11</v>
      </c>
      <c r="S608" s="258" t="s">
        <v>1390</v>
      </c>
      <c r="T608" s="10">
        <f t="shared" si="16"/>
        <v>1</v>
      </c>
      <c r="U608" s="260" t="s">
        <v>1391</v>
      </c>
      <c r="V608">
        <v>999</v>
      </c>
      <c r="X608" s="162" t="s">
        <v>2075</v>
      </c>
      <c r="Y608" t="b">
        <v>1</v>
      </c>
    </row>
    <row r="609" spans="1:25">
      <c r="A609" s="229" t="s">
        <v>2098</v>
      </c>
      <c r="B609" s="1" t="str">
        <f t="shared" si="17"/>
        <v>M_AEB0401_VM_KF_MACH_361.6_7000</v>
      </c>
      <c r="C609" s="7" t="s">
        <v>2097</v>
      </c>
      <c r="D609" s="7" t="str" cm="1">
        <f t="array" ref="D609">INDEX(기계코드!$D$4:$D$1022,MATCH(1,(C609=기계코드!$F$4:$F$1022)*1,0))</f>
        <v>M_AEB0401</v>
      </c>
      <c r="E609" s="7" t="s">
        <v>2073</v>
      </c>
      <c r="F609" s="7" t="str" cm="1">
        <f t="array" ref="F609">INDEX(공급업체코드!$B$3:$B$1000,MATCH(1,(E609=공급업체코드!$D$3:$D$1000)*1,0))</f>
        <v>VM_KF_MACH</v>
      </c>
      <c r="G609" s="158" t="s">
        <v>2095</v>
      </c>
      <c r="I609" s="166">
        <v>361.6</v>
      </c>
      <c r="J609" s="160">
        <v>7000</v>
      </c>
      <c r="K609" s="64">
        <v>500</v>
      </c>
      <c r="L609" s="165">
        <v>585.12</v>
      </c>
      <c r="M609" s="7" t="s">
        <v>987</v>
      </c>
      <c r="N609" s="7">
        <v>380</v>
      </c>
      <c r="O609" s="151">
        <v>0.96200000000000008</v>
      </c>
      <c r="P609" s="7">
        <v>0.9</v>
      </c>
      <c r="Q609" s="7">
        <v>80</v>
      </c>
      <c r="R609" s="113">
        <v>11</v>
      </c>
      <c r="S609" s="258" t="s">
        <v>1390</v>
      </c>
      <c r="T609" s="10">
        <f t="shared" si="16"/>
        <v>1</v>
      </c>
      <c r="U609" s="260" t="s">
        <v>1391</v>
      </c>
      <c r="V609">
        <v>999</v>
      </c>
      <c r="X609" s="162" t="s">
        <v>2075</v>
      </c>
      <c r="Y609" t="b">
        <v>1</v>
      </c>
    </row>
    <row r="610" spans="1:25">
      <c r="A610" s="229" t="s">
        <v>2098</v>
      </c>
      <c r="B610" s="1" t="str">
        <f t="shared" si="17"/>
        <v>M_AEB0401_VM_KF_MACH_252.9_8000</v>
      </c>
      <c r="C610" s="7" t="s">
        <v>2097</v>
      </c>
      <c r="D610" s="7" t="str" cm="1">
        <f t="array" ref="D610">INDEX(기계코드!$D$4:$D$1022,MATCH(1,(C610=기계코드!$F$4:$F$1022)*1,0))</f>
        <v>M_AEB0401</v>
      </c>
      <c r="E610" s="7" t="s">
        <v>2073</v>
      </c>
      <c r="F610" s="7" t="str" cm="1">
        <f t="array" ref="F610">INDEX(공급업체코드!$B$3:$B$1000,MATCH(1,(E610=공급업체코드!$D$3:$D$1000)*1,0))</f>
        <v>VM_KF_MACH</v>
      </c>
      <c r="G610" s="158" t="s">
        <v>2095</v>
      </c>
      <c r="I610" s="166">
        <v>252.9</v>
      </c>
      <c r="J610" s="160">
        <v>8000</v>
      </c>
      <c r="K610" s="64">
        <v>500</v>
      </c>
      <c r="L610" s="165">
        <v>515.76</v>
      </c>
      <c r="M610" s="7" t="s">
        <v>987</v>
      </c>
      <c r="N610" s="7">
        <v>380</v>
      </c>
      <c r="O610" s="151">
        <v>0.96200000000000008</v>
      </c>
      <c r="P610" s="7">
        <v>0.9</v>
      </c>
      <c r="Q610" s="7">
        <v>80</v>
      </c>
      <c r="R610" s="113">
        <v>11</v>
      </c>
      <c r="S610" s="258" t="s">
        <v>1390</v>
      </c>
      <c r="T610" s="10">
        <f t="shared" si="16"/>
        <v>1</v>
      </c>
      <c r="U610" s="260" t="s">
        <v>1391</v>
      </c>
      <c r="V610">
        <v>999</v>
      </c>
      <c r="X610" s="162" t="s">
        <v>2075</v>
      </c>
      <c r="Y610" t="b">
        <v>1</v>
      </c>
    </row>
    <row r="611" spans="1:25">
      <c r="A611" s="229" t="s">
        <v>2098</v>
      </c>
      <c r="B611" s="1" t="str">
        <f t="shared" si="17"/>
        <v>M_AEB0401_VM_KF_MACH_268.5_8000</v>
      </c>
      <c r="C611" s="7" t="s">
        <v>2097</v>
      </c>
      <c r="D611" s="7" t="str" cm="1">
        <f t="array" ref="D611">INDEX(기계코드!$D$4:$D$1022,MATCH(1,(C611=기계코드!$F$4:$F$1022)*1,0))</f>
        <v>M_AEB0401</v>
      </c>
      <c r="E611" s="7" t="s">
        <v>2073</v>
      </c>
      <c r="F611" s="7" t="str" cm="1">
        <f t="array" ref="F611">INDEX(공급업체코드!$B$3:$B$1000,MATCH(1,(E611=공급업체코드!$D$3:$D$1000)*1,0))</f>
        <v>VM_KF_MACH</v>
      </c>
      <c r="G611" s="158" t="s">
        <v>2095</v>
      </c>
      <c r="I611" s="166">
        <v>268.5</v>
      </c>
      <c r="J611" s="160">
        <v>8000</v>
      </c>
      <c r="K611" s="64">
        <v>500</v>
      </c>
      <c r="L611" s="165">
        <v>543.12</v>
      </c>
      <c r="M611" s="7" t="s">
        <v>987</v>
      </c>
      <c r="N611" s="7">
        <v>380</v>
      </c>
      <c r="O611" s="151">
        <v>0.96200000000000008</v>
      </c>
      <c r="P611" s="7">
        <v>0.9</v>
      </c>
      <c r="Q611" s="7">
        <v>80</v>
      </c>
      <c r="R611" s="113">
        <v>11</v>
      </c>
      <c r="S611" s="258" t="s">
        <v>1390</v>
      </c>
      <c r="T611" s="10">
        <f t="shared" si="16"/>
        <v>1</v>
      </c>
      <c r="U611" s="260" t="s">
        <v>1391</v>
      </c>
      <c r="V611">
        <v>999</v>
      </c>
      <c r="X611" s="162" t="s">
        <v>2075</v>
      </c>
      <c r="Y611" t="b">
        <v>1</v>
      </c>
    </row>
    <row r="612" spans="1:25">
      <c r="A612" s="229" t="s">
        <v>2098</v>
      </c>
      <c r="B612" s="1" t="str">
        <f t="shared" si="17"/>
        <v>M_AEB0401_VM_KF_MACH_297.5_8000</v>
      </c>
      <c r="C612" s="7" t="s">
        <v>2097</v>
      </c>
      <c r="D612" s="7" t="str" cm="1">
        <f t="array" ref="D612">INDEX(기계코드!$D$4:$D$1022,MATCH(1,(C612=기계코드!$F$4:$F$1022)*1,0))</f>
        <v>M_AEB0401</v>
      </c>
      <c r="E612" s="7" t="s">
        <v>2073</v>
      </c>
      <c r="F612" s="7" t="str" cm="1">
        <f t="array" ref="F612">INDEX(공급업체코드!$B$3:$B$1000,MATCH(1,(E612=공급업체코드!$D$3:$D$1000)*1,0))</f>
        <v>VM_KF_MACH</v>
      </c>
      <c r="G612" s="158" t="s">
        <v>2095</v>
      </c>
      <c r="I612" s="166">
        <v>297.5</v>
      </c>
      <c r="J612" s="160">
        <v>8000</v>
      </c>
      <c r="K612" s="64">
        <v>500</v>
      </c>
      <c r="L612" s="165">
        <v>584.04</v>
      </c>
      <c r="M612" s="7" t="s">
        <v>987</v>
      </c>
      <c r="N612" s="7">
        <v>380</v>
      </c>
      <c r="O612" s="151">
        <v>0.96200000000000008</v>
      </c>
      <c r="P612" s="7">
        <v>0.9</v>
      </c>
      <c r="Q612" s="7">
        <v>80</v>
      </c>
      <c r="R612" s="113">
        <v>11</v>
      </c>
      <c r="S612" s="258" t="s">
        <v>1390</v>
      </c>
      <c r="T612" s="10">
        <f t="shared" si="16"/>
        <v>1</v>
      </c>
      <c r="U612" s="260" t="s">
        <v>1391</v>
      </c>
      <c r="V612">
        <v>999</v>
      </c>
      <c r="X612" s="162" t="s">
        <v>2075</v>
      </c>
      <c r="Y612" t="b">
        <v>1</v>
      </c>
    </row>
    <row r="613" spans="1:25">
      <c r="A613" s="229" t="s">
        <v>2098</v>
      </c>
      <c r="B613" s="1" t="str">
        <f t="shared" si="17"/>
        <v>M_AEB0401_VM_KF_MACH_325.6_8000</v>
      </c>
      <c r="C613" s="7" t="s">
        <v>2097</v>
      </c>
      <c r="D613" s="7" t="str" cm="1">
        <f t="array" ref="D613">INDEX(기계코드!$D$4:$D$1022,MATCH(1,(C613=기계코드!$F$4:$F$1022)*1,0))</f>
        <v>M_AEB0401</v>
      </c>
      <c r="E613" s="7" t="s">
        <v>2073</v>
      </c>
      <c r="F613" s="7" t="str" cm="1">
        <f t="array" ref="F613">INDEX(공급업체코드!$B$3:$B$1000,MATCH(1,(E613=공급업체코드!$D$3:$D$1000)*1,0))</f>
        <v>VM_KF_MACH</v>
      </c>
      <c r="G613" s="158" t="s">
        <v>2095</v>
      </c>
      <c r="I613" s="166">
        <v>325.60000000000002</v>
      </c>
      <c r="J613" s="160">
        <v>8000</v>
      </c>
      <c r="K613" s="64">
        <v>500</v>
      </c>
      <c r="L613" s="165">
        <v>623.52</v>
      </c>
      <c r="M613" s="7" t="s">
        <v>987</v>
      </c>
      <c r="N613" s="7">
        <v>380</v>
      </c>
      <c r="O613" s="151">
        <v>0.96200000000000008</v>
      </c>
      <c r="P613" s="7">
        <v>0.9</v>
      </c>
      <c r="Q613" s="7">
        <v>80</v>
      </c>
      <c r="R613" s="113">
        <v>11</v>
      </c>
      <c r="S613" s="258" t="s">
        <v>1390</v>
      </c>
      <c r="T613" s="10">
        <f t="shared" si="16"/>
        <v>1</v>
      </c>
      <c r="U613" s="260" t="s">
        <v>1391</v>
      </c>
      <c r="V613">
        <v>999</v>
      </c>
      <c r="X613" s="162" t="s">
        <v>2075</v>
      </c>
      <c r="Y613" t="b">
        <v>1</v>
      </c>
    </row>
    <row r="614" spans="1:25">
      <c r="A614" s="229" t="s">
        <v>2098</v>
      </c>
      <c r="B614" s="1" t="str">
        <f t="shared" si="17"/>
        <v>M_AEB0401_VM_KF_MACH_356.1_8000</v>
      </c>
      <c r="C614" s="7" t="s">
        <v>2097</v>
      </c>
      <c r="D614" s="7" t="str" cm="1">
        <f t="array" ref="D614">INDEX(기계코드!$D$4:$D$1022,MATCH(1,(C614=기계코드!$F$4:$F$1022)*1,0))</f>
        <v>M_AEB0401</v>
      </c>
      <c r="E614" s="7" t="s">
        <v>2073</v>
      </c>
      <c r="F614" s="7" t="str" cm="1">
        <f t="array" ref="F614">INDEX(공급업체코드!$B$3:$B$1000,MATCH(1,(E614=공급업체코드!$D$3:$D$1000)*1,0))</f>
        <v>VM_KF_MACH</v>
      </c>
      <c r="G614" s="158" t="s">
        <v>2095</v>
      </c>
      <c r="I614" s="166">
        <v>356.1</v>
      </c>
      <c r="J614" s="160">
        <v>8000</v>
      </c>
      <c r="K614" s="64">
        <v>500</v>
      </c>
      <c r="L614" s="165">
        <v>662.88</v>
      </c>
      <c r="M614" s="7" t="s">
        <v>987</v>
      </c>
      <c r="N614" s="7">
        <v>380</v>
      </c>
      <c r="O614" s="151">
        <v>0.96200000000000008</v>
      </c>
      <c r="P614" s="7">
        <v>0.9</v>
      </c>
      <c r="Q614" s="7">
        <v>80</v>
      </c>
      <c r="R614" s="113">
        <v>11</v>
      </c>
      <c r="S614" s="258" t="s">
        <v>1390</v>
      </c>
      <c r="T614" s="10">
        <f t="shared" si="16"/>
        <v>1</v>
      </c>
      <c r="U614" s="260" t="s">
        <v>1391</v>
      </c>
      <c r="V614">
        <v>999</v>
      </c>
      <c r="X614" s="162" t="s">
        <v>2075</v>
      </c>
      <c r="Y614" t="b">
        <v>1</v>
      </c>
    </row>
  </sheetData>
  <autoFilter ref="A1:AA614" xr:uid="{D22BD528-71D2-4B47-9D8C-B38160F1177E}"/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76456BFB-8199-4D21-A9EA-4A2B62F0A834}">
          <x14:formula1>
            <xm:f>기계코드!$F$85:$F$96</xm:f>
          </x14:formula1>
          <xm:sqref>C3:C129 C131:C614</xm:sqref>
        </x14:dataValidation>
        <x14:dataValidation type="list" allowBlank="1" showInputMessage="1" showErrorMessage="1" xr:uid="{4AA419B4-A8FC-489C-9269-61D36A718C3B}">
          <x14:formula1>
            <xm:f>공급업체코드!$D$3:$D$48</xm:f>
          </x14:formula1>
          <xm:sqref>E3:E130</xm:sqref>
        </x14:dataValidation>
        <x14:dataValidation type="list" allowBlank="1" showInputMessage="1" showErrorMessage="1" xr:uid="{B042C9B2-29FE-4EC9-8188-BA313B6E51C1}">
          <x14:formula1>
            <xm:f>공급업체코드!$D$3:$D$102</xm:f>
          </x14:formula1>
          <xm:sqref>E131:E614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6130-7F1B-4506-9E91-4AF1282DC06A}">
  <dimension ref="B1:AF86"/>
  <sheetViews>
    <sheetView zoomScale="70" zoomScaleNormal="70" workbookViewId="0">
      <pane ySplit="2" topLeftCell="A3" activePane="bottomLeft" state="frozen"/>
      <selection pane="bottomLeft" activeCell="C18" sqref="C18"/>
    </sheetView>
  </sheetViews>
  <sheetFormatPr defaultRowHeight="16.5"/>
  <cols>
    <col min="1" max="1" width="13.625" customWidth="1"/>
    <col min="2" max="2" width="33.625" customWidth="1"/>
    <col min="3" max="3" width="27.25" customWidth="1"/>
    <col min="4" max="4" width="16.125" customWidth="1"/>
    <col min="5" max="5" width="23.375" bestFit="1" customWidth="1"/>
    <col min="6" max="6" width="13.875" bestFit="1" customWidth="1"/>
    <col min="7" max="7" width="14.5" style="18" customWidth="1"/>
    <col min="8" max="8" width="26.5" bestFit="1" customWidth="1"/>
    <col min="9" max="11" width="16.75" customWidth="1"/>
    <col min="12" max="12" width="19.75" bestFit="1" customWidth="1"/>
    <col min="13" max="13" width="20.875" bestFit="1" customWidth="1"/>
    <col min="14" max="14" width="24.75" bestFit="1" customWidth="1"/>
    <col min="15" max="15" width="16.125" style="18" customWidth="1"/>
    <col min="16" max="16" width="16.125" style="261" customWidth="1"/>
    <col min="17" max="17" width="25.75" style="10" bestFit="1" customWidth="1"/>
    <col min="18" max="18" width="16.125" style="260" customWidth="1"/>
    <col min="19" max="19" width="16.125" customWidth="1"/>
    <col min="20" max="20" width="21.25" bestFit="1" customWidth="1"/>
    <col min="21" max="21" width="17.25" style="18" customWidth="1"/>
    <col min="22" max="22" width="10.5" customWidth="1"/>
    <col min="23" max="23" width="27.625" bestFit="1" customWidth="1"/>
    <col min="24" max="24" width="20.625" customWidth="1"/>
    <col min="26" max="26" width="12.375" customWidth="1"/>
    <col min="27" max="27" width="11.375" bestFit="1" customWidth="1"/>
    <col min="30" max="30" width="22.125" bestFit="1" customWidth="1"/>
    <col min="31" max="31" width="36.375" bestFit="1" customWidth="1"/>
    <col min="32" max="32" width="15.375" bestFit="1" customWidth="1"/>
  </cols>
  <sheetData>
    <row r="1" spans="2:32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2099</v>
      </c>
      <c r="I1" s="10" t="s">
        <v>1318</v>
      </c>
      <c r="J1" s="10" t="s">
        <v>1319</v>
      </c>
      <c r="K1" s="10" t="s">
        <v>1320</v>
      </c>
      <c r="L1" s="10" t="s">
        <v>1321</v>
      </c>
      <c r="M1" s="10" t="s">
        <v>1322</v>
      </c>
      <c r="N1" s="10" t="s">
        <v>1323</v>
      </c>
      <c r="O1" s="17" t="s">
        <v>1324</v>
      </c>
      <c r="P1" s="131" t="s">
        <v>1290</v>
      </c>
      <c r="Q1" s="131" t="s">
        <v>1291</v>
      </c>
      <c r="R1" s="131" t="s">
        <v>1292</v>
      </c>
      <c r="S1" s="10" t="s">
        <v>1293</v>
      </c>
      <c r="T1" s="17" t="s">
        <v>1294</v>
      </c>
      <c r="U1" s="61" t="s">
        <v>1295</v>
      </c>
      <c r="V1" s="10" t="s">
        <v>1296</v>
      </c>
      <c r="W1" s="10" t="s">
        <v>1297</v>
      </c>
      <c r="X1" s="249" t="s">
        <v>1298</v>
      </c>
    </row>
    <row r="2" spans="2:32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2100</v>
      </c>
      <c r="I2" s="5" t="s">
        <v>1371</v>
      </c>
      <c r="J2" s="5" t="s">
        <v>1328</v>
      </c>
      <c r="K2" s="53" t="s">
        <v>1329</v>
      </c>
      <c r="L2" s="5" t="s">
        <v>1330</v>
      </c>
      <c r="M2" s="5" t="s">
        <v>1331</v>
      </c>
      <c r="N2" s="57" t="s">
        <v>1332</v>
      </c>
      <c r="O2" s="14" t="s">
        <v>1349</v>
      </c>
      <c r="P2" s="5" t="s">
        <v>1305</v>
      </c>
      <c r="Q2" s="5" t="s">
        <v>1306</v>
      </c>
      <c r="R2" s="5" t="s">
        <v>1307</v>
      </c>
      <c r="S2" s="19" t="s">
        <v>1308</v>
      </c>
      <c r="T2" s="108" t="s">
        <v>1309</v>
      </c>
      <c r="U2" s="241" t="s">
        <v>1310</v>
      </c>
      <c r="V2" s="54" t="s">
        <v>1311</v>
      </c>
      <c r="W2" s="3" t="s">
        <v>10</v>
      </c>
      <c r="X2" s="242" t="s">
        <v>1312</v>
      </c>
      <c r="AD2" s="41"/>
      <c r="AE2" s="41"/>
      <c r="AF2" s="41"/>
    </row>
    <row r="3" spans="2:32">
      <c r="B3" s="1" t="str">
        <f>D3&amp;"_"&amp;F3&amp;"_"&amp;H3</f>
        <v>M_AQR05_VM_BKT_8.1</v>
      </c>
      <c r="C3" s="7" t="s">
        <v>400</v>
      </c>
      <c r="D3" s="7" t="str" cm="1">
        <f t="array" ref="D3">INDEX(기계코드!$D$4:$D$1022,MATCH(1,(C3=기계코드!$F$4:$F$1022)*1,0))</f>
        <v>M_AQR05</v>
      </c>
      <c r="E3" s="7" t="s">
        <v>1128</v>
      </c>
      <c r="F3" s="7" t="str" cm="1">
        <f t="array" ref="F3">INDEX(공급업체코드!$B$3:$B$1000,MATCH(1,(E3=공급업체코드!$D$3:$D$1000)*1,0))</f>
        <v>VM_BKT</v>
      </c>
      <c r="G3" s="60" t="s">
        <v>2101</v>
      </c>
      <c r="H3" s="71">
        <v>8.1</v>
      </c>
      <c r="I3" s="72">
        <v>2.2000000000000002</v>
      </c>
      <c r="J3" s="7" t="s">
        <v>981</v>
      </c>
      <c r="K3" s="7">
        <v>380</v>
      </c>
      <c r="L3" s="7">
        <v>0.89500000000000002</v>
      </c>
      <c r="M3" s="7">
        <v>0.9</v>
      </c>
      <c r="N3" s="34">
        <v>60</v>
      </c>
      <c r="O3" s="66">
        <v>410</v>
      </c>
      <c r="P3" s="256" t="s">
        <v>1390</v>
      </c>
      <c r="Q3" s="232"/>
      <c r="R3" s="257" t="s">
        <v>1375</v>
      </c>
      <c r="S3" s="63">
        <v>45000000</v>
      </c>
      <c r="T3" s="63"/>
      <c r="U3" s="65" t="s">
        <v>1315</v>
      </c>
      <c r="V3" s="1" t="b">
        <v>1</v>
      </c>
      <c r="W3" s="93" t="s">
        <v>2102</v>
      </c>
      <c r="X3" s="133"/>
      <c r="AD3" s="41"/>
      <c r="AE3" s="41"/>
      <c r="AF3" s="41"/>
    </row>
    <row r="4" spans="2:32">
      <c r="B4" s="1" t="str">
        <f t="shared" ref="B4:B10" si="0">D4&amp;"_"&amp;F4&amp;"_"&amp;H4</f>
        <v>M_AQR05_VM_BKT_13.8</v>
      </c>
      <c r="C4" s="7" t="s">
        <v>400</v>
      </c>
      <c r="D4" s="7" t="str" cm="1">
        <f t="array" ref="D4">INDEX(기계코드!$D$4:$D$1022,MATCH(1,(C4=기계코드!$F$4:$F$1022)*1,0))</f>
        <v>M_AQR05</v>
      </c>
      <c r="E4" s="7" t="s">
        <v>1128</v>
      </c>
      <c r="F4" s="7" t="str" cm="1">
        <f t="array" ref="F4">INDEX(공급업체코드!$B$3:$B$1000,MATCH(1,(E4=공급업체코드!$D$3:$D$1000)*1,0))</f>
        <v>VM_BKT</v>
      </c>
      <c r="G4" s="43" t="s">
        <v>2103</v>
      </c>
      <c r="H4" s="72">
        <v>13.8</v>
      </c>
      <c r="I4" s="72">
        <v>3.7</v>
      </c>
      <c r="J4" s="7" t="s">
        <v>981</v>
      </c>
      <c r="K4" s="7">
        <v>380</v>
      </c>
      <c r="L4" s="7">
        <v>0.89500000000000002</v>
      </c>
      <c r="M4" s="7">
        <v>0.9</v>
      </c>
      <c r="N4" s="34">
        <v>60</v>
      </c>
      <c r="O4" s="67">
        <v>410</v>
      </c>
      <c r="P4" s="258" t="s">
        <v>1390</v>
      </c>
      <c r="Q4" s="233"/>
      <c r="R4" s="259" t="s">
        <v>1375</v>
      </c>
      <c r="S4" s="63">
        <v>50400000</v>
      </c>
      <c r="T4" s="63"/>
      <c r="U4" s="65" t="s">
        <v>1315</v>
      </c>
      <c r="V4" s="1" t="b">
        <v>1</v>
      </c>
      <c r="W4" s="93" t="s">
        <v>2104</v>
      </c>
      <c r="X4" s="133"/>
      <c r="AD4" s="41"/>
      <c r="AE4" s="41"/>
      <c r="AF4" s="41"/>
    </row>
    <row r="5" spans="2:32">
      <c r="B5" s="1" t="str">
        <f t="shared" si="0"/>
        <v>M_AQR05_VM_BKT_21.5</v>
      </c>
      <c r="C5" s="7" t="s">
        <v>400</v>
      </c>
      <c r="D5" s="7" t="str" cm="1">
        <f t="array" ref="D5">INDEX(기계코드!$D$4:$D$1022,MATCH(1,(C5=기계코드!$F$4:$F$1022)*1,0))</f>
        <v>M_AQR05</v>
      </c>
      <c r="E5" s="7" t="s">
        <v>1128</v>
      </c>
      <c r="F5" s="7" t="str" cm="1">
        <f t="array" ref="F5">INDEX(공급업체코드!$B$3:$B$1000,MATCH(1,(E5=공급업체코드!$D$3:$D$1000)*1,0))</f>
        <v>VM_BKT</v>
      </c>
      <c r="G5" s="43" t="s">
        <v>2105</v>
      </c>
      <c r="H5" s="72">
        <v>21.5</v>
      </c>
      <c r="I5" s="72">
        <v>5.5</v>
      </c>
      <c r="J5" s="7" t="s">
        <v>981</v>
      </c>
      <c r="K5" s="7">
        <v>380</v>
      </c>
      <c r="L5" s="7">
        <v>0.91700000000000004</v>
      </c>
      <c r="M5" s="7">
        <v>0.9</v>
      </c>
      <c r="N5" s="34">
        <v>60</v>
      </c>
      <c r="O5" s="67">
        <v>650</v>
      </c>
      <c r="P5" s="258" t="s">
        <v>1390</v>
      </c>
      <c r="Q5" s="233"/>
      <c r="R5" s="259" t="s">
        <v>1375</v>
      </c>
      <c r="S5" s="63">
        <v>58400000</v>
      </c>
      <c r="T5" s="63"/>
      <c r="U5" s="65" t="s">
        <v>1315</v>
      </c>
      <c r="V5" s="1" t="b">
        <v>1</v>
      </c>
      <c r="W5" s="93" t="s">
        <v>2106</v>
      </c>
      <c r="X5" s="133"/>
      <c r="AD5" s="41"/>
      <c r="AE5" s="41"/>
      <c r="AF5" s="41"/>
    </row>
    <row r="6" spans="2:32">
      <c r="B6" s="1" t="str">
        <f t="shared" si="0"/>
        <v>M_AQR05_VM_BKT_32.5</v>
      </c>
      <c r="C6" s="7" t="s">
        <v>400</v>
      </c>
      <c r="D6" s="7" t="str" cm="1">
        <f t="array" ref="D6">INDEX(기계코드!$D$4:$D$1022,MATCH(1,(C6=기계코드!$F$4:$F$1022)*1,0))</f>
        <v>M_AQR05</v>
      </c>
      <c r="E6" s="7" t="s">
        <v>1128</v>
      </c>
      <c r="F6" s="7" t="str" cm="1">
        <f t="array" ref="F6">INDEX(공급업체코드!$B$3:$B$1000,MATCH(1,(E6=공급업체코드!$D$3:$D$1000)*1,0))</f>
        <v>VM_BKT</v>
      </c>
      <c r="G6" s="43" t="s">
        <v>2107</v>
      </c>
      <c r="H6" s="72">
        <v>32.5</v>
      </c>
      <c r="I6" s="72">
        <v>7.5</v>
      </c>
      <c r="J6" s="7" t="s">
        <v>981</v>
      </c>
      <c r="K6" s="7">
        <v>380</v>
      </c>
      <c r="L6" s="7">
        <v>0.91700000000000004</v>
      </c>
      <c r="M6" s="7">
        <v>0.9</v>
      </c>
      <c r="N6" s="34">
        <v>60</v>
      </c>
      <c r="O6" s="67">
        <v>870</v>
      </c>
      <c r="P6" s="258" t="s">
        <v>1390</v>
      </c>
      <c r="Q6" s="233"/>
      <c r="R6" s="259" t="s">
        <v>1375</v>
      </c>
      <c r="S6" s="63">
        <v>69100000</v>
      </c>
      <c r="T6" s="63"/>
      <c r="U6" s="65" t="s">
        <v>1315</v>
      </c>
      <c r="V6" s="1" t="b">
        <v>1</v>
      </c>
      <c r="W6" s="93" t="s">
        <v>2108</v>
      </c>
      <c r="X6" s="133"/>
      <c r="AD6" s="41"/>
      <c r="AE6" s="41"/>
      <c r="AF6" s="41"/>
    </row>
    <row r="7" spans="2:32">
      <c r="B7" s="1" t="str">
        <f t="shared" si="0"/>
        <v>M_AQR05_VM_BKT_45.5</v>
      </c>
      <c r="C7" s="7" t="s">
        <v>400</v>
      </c>
      <c r="D7" s="7" t="str" cm="1">
        <f t="array" ref="D7">INDEX(기계코드!$D$4:$D$1022,MATCH(1,(C7=기계코드!$F$4:$F$1022)*1,0))</f>
        <v>M_AQR05</v>
      </c>
      <c r="E7" s="7" t="s">
        <v>1128</v>
      </c>
      <c r="F7" s="7" t="str" cm="1">
        <f t="array" ref="F7">INDEX(공급업체코드!$B$3:$B$1000,MATCH(1,(E7=공급업체코드!$D$3:$D$1000)*1,0))</f>
        <v>VM_BKT</v>
      </c>
      <c r="G7" s="43" t="s">
        <v>2109</v>
      </c>
      <c r="H7" s="72">
        <v>45.5</v>
      </c>
      <c r="I7" s="72">
        <v>11</v>
      </c>
      <c r="J7" s="7" t="s">
        <v>981</v>
      </c>
      <c r="K7" s="7">
        <v>380</v>
      </c>
      <c r="L7" s="7">
        <v>0.92400000000000004</v>
      </c>
      <c r="M7" s="7">
        <v>0.9</v>
      </c>
      <c r="N7" s="34">
        <v>60</v>
      </c>
      <c r="O7" s="67">
        <v>1200</v>
      </c>
      <c r="P7" s="258" t="s">
        <v>1390</v>
      </c>
      <c r="Q7" s="233"/>
      <c r="R7" s="259" t="s">
        <v>1375</v>
      </c>
      <c r="S7" s="63">
        <v>93800000</v>
      </c>
      <c r="T7" s="63"/>
      <c r="U7" s="65" t="s">
        <v>1315</v>
      </c>
      <c r="V7" s="1" t="b">
        <v>1</v>
      </c>
      <c r="W7" s="93" t="s">
        <v>2110</v>
      </c>
      <c r="X7" s="113"/>
      <c r="AD7" s="41"/>
      <c r="AE7" s="41"/>
      <c r="AF7" s="41"/>
    </row>
    <row r="8" spans="2:32">
      <c r="B8" s="1" t="str">
        <f t="shared" si="0"/>
        <v>M_AQR05_VM_BKT_65</v>
      </c>
      <c r="C8" s="7" t="s">
        <v>400</v>
      </c>
      <c r="D8" s="7" t="str" cm="1">
        <f t="array" ref="D8">INDEX(기계코드!$D$4:$D$1022,MATCH(1,(C8=기계코드!$F$4:$F$1022)*1,0))</f>
        <v>M_AQR05</v>
      </c>
      <c r="E8" s="7" t="s">
        <v>1128</v>
      </c>
      <c r="F8" s="7" t="str" cm="1">
        <f t="array" ref="F8">INDEX(공급업체코드!$B$3:$B$1000,MATCH(1,(E8=공급업체코드!$D$3:$D$1000)*1,0))</f>
        <v>VM_BKT</v>
      </c>
      <c r="G8" s="43" t="s">
        <v>2111</v>
      </c>
      <c r="H8" s="72">
        <v>65</v>
      </c>
      <c r="I8" s="72">
        <v>15</v>
      </c>
      <c r="J8" s="7" t="s">
        <v>987</v>
      </c>
      <c r="K8" s="7">
        <v>380</v>
      </c>
      <c r="L8" s="7">
        <v>0.93</v>
      </c>
      <c r="M8" s="7">
        <v>0.9</v>
      </c>
      <c r="N8" s="34">
        <v>60</v>
      </c>
      <c r="O8" s="67">
        <v>2000</v>
      </c>
      <c r="P8" s="258" t="s">
        <v>1390</v>
      </c>
      <c r="Q8" s="233"/>
      <c r="R8" s="259" t="s">
        <v>1375</v>
      </c>
      <c r="S8" s="63">
        <v>112500000</v>
      </c>
      <c r="T8" s="63"/>
      <c r="U8" s="65" t="s">
        <v>1315</v>
      </c>
      <c r="V8" s="1" t="b">
        <v>1</v>
      </c>
      <c r="W8" s="93" t="s">
        <v>2112</v>
      </c>
      <c r="X8" s="113"/>
      <c r="AD8" s="41"/>
      <c r="AE8" s="41"/>
      <c r="AF8" s="41"/>
    </row>
    <row r="9" spans="2:32">
      <c r="B9" s="1" t="str">
        <f>D9&amp;"_"&amp;F9&amp;"_"&amp;H9</f>
        <v>M_AQR05_VM_BKT_92</v>
      </c>
      <c r="C9" s="7" t="s">
        <v>400</v>
      </c>
      <c r="D9" s="7" t="str" cm="1">
        <f t="array" ref="D9">INDEX(기계코드!$D$4:$D$1022,MATCH(1,(C9=기계코드!$F$4:$F$1022)*1,0))</f>
        <v>M_AQR05</v>
      </c>
      <c r="E9" s="7" t="s">
        <v>1128</v>
      </c>
      <c r="F9" s="7" t="str" cm="1">
        <f t="array" ref="F9">INDEX(공급업체코드!$B$3:$B$1000,MATCH(1,(E9=공급업체코드!$D$3:$D$1000)*1,0))</f>
        <v>VM_BKT</v>
      </c>
      <c r="G9" s="113" t="s">
        <v>2113</v>
      </c>
      <c r="H9" s="72">
        <v>92</v>
      </c>
      <c r="I9" s="72">
        <v>22</v>
      </c>
      <c r="J9" s="7" t="s">
        <v>987</v>
      </c>
      <c r="K9" s="7">
        <v>380</v>
      </c>
      <c r="L9" s="7">
        <v>0.93599999999999994</v>
      </c>
      <c r="M9" s="7">
        <v>0.9</v>
      </c>
      <c r="N9" s="34">
        <v>60</v>
      </c>
      <c r="O9" s="67">
        <v>3300</v>
      </c>
      <c r="P9" s="258" t="s">
        <v>1390</v>
      </c>
      <c r="Q9" s="233"/>
      <c r="R9" s="259" t="s">
        <v>1375</v>
      </c>
      <c r="S9" s="63">
        <v>145000000</v>
      </c>
      <c r="T9" s="63"/>
      <c r="U9" s="65" t="s">
        <v>1315</v>
      </c>
      <c r="V9" s="1" t="b">
        <v>1</v>
      </c>
      <c r="W9" s="93" t="s">
        <v>2114</v>
      </c>
      <c r="X9" s="113"/>
      <c r="AD9" s="40"/>
      <c r="AE9" s="40"/>
      <c r="AF9" s="41"/>
    </row>
    <row r="10" spans="2:32">
      <c r="B10" s="1" t="str">
        <f t="shared" si="0"/>
        <v>M_AQR05_VM_BKT_125</v>
      </c>
      <c r="C10" s="7" t="s">
        <v>400</v>
      </c>
      <c r="D10" s="7" t="str" cm="1">
        <f t="array" ref="D10">INDEX(기계코드!$D$4:$D$1022,MATCH(1,(C10=기계코드!$F$4:$F$1022)*1,0))</f>
        <v>M_AQR05</v>
      </c>
      <c r="E10" s="7" t="s">
        <v>1128</v>
      </c>
      <c r="F10" s="7" t="str" cm="1">
        <f t="array" ref="F10">INDEX(공급업체코드!$B$3:$B$1000,MATCH(1,(E10=공급업체코드!$D$3:$D$1000)*1,0))</f>
        <v>VM_BKT</v>
      </c>
      <c r="G10" s="113" t="s">
        <v>2115</v>
      </c>
      <c r="H10" s="70">
        <v>125</v>
      </c>
      <c r="I10" s="72">
        <v>30</v>
      </c>
      <c r="J10" s="7" t="s">
        <v>987</v>
      </c>
      <c r="K10" s="7">
        <v>380</v>
      </c>
      <c r="L10" s="7">
        <v>0.94099999999999995</v>
      </c>
      <c r="M10" s="7">
        <v>0.9</v>
      </c>
      <c r="N10" s="34">
        <v>60</v>
      </c>
      <c r="O10" s="67">
        <v>4500</v>
      </c>
      <c r="P10" s="258" t="s">
        <v>1390</v>
      </c>
      <c r="Q10" s="233"/>
      <c r="R10" s="259" t="s">
        <v>1375</v>
      </c>
      <c r="S10" s="63">
        <v>185000000</v>
      </c>
      <c r="T10" s="63"/>
      <c r="U10" s="65" t="s">
        <v>1315</v>
      </c>
      <c r="V10" s="1" t="b">
        <v>1</v>
      </c>
      <c r="W10" s="93" t="s">
        <v>2114</v>
      </c>
      <c r="X10" s="113"/>
      <c r="AD10" s="40"/>
      <c r="AE10" s="40"/>
      <c r="AF10" s="41"/>
    </row>
    <row r="11" spans="2:32">
      <c r="B11" s="1"/>
      <c r="C11" s="7"/>
      <c r="D11" s="7"/>
      <c r="E11" s="7"/>
      <c r="F11" s="7"/>
      <c r="H11" s="70"/>
      <c r="I11" s="70"/>
      <c r="O11" s="65"/>
      <c r="P11" s="266"/>
      <c r="Q11" s="265"/>
      <c r="R11" s="263"/>
      <c r="S11" s="64"/>
      <c r="T11" s="64"/>
      <c r="U11" s="65"/>
      <c r="V11" s="1"/>
      <c r="X11" s="113"/>
      <c r="AD11" s="41"/>
      <c r="AE11" s="41"/>
      <c r="AF11" s="41"/>
    </row>
    <row r="12" spans="2:32">
      <c r="B12" s="1"/>
      <c r="C12" s="7"/>
      <c r="D12" s="7"/>
      <c r="E12" s="7"/>
      <c r="F12" s="7"/>
      <c r="H12" s="70"/>
      <c r="I12" s="70"/>
      <c r="O12" s="65"/>
      <c r="P12" s="266"/>
      <c r="Q12" s="265"/>
      <c r="R12" s="263"/>
      <c r="S12" s="64"/>
      <c r="T12" s="64"/>
      <c r="U12" s="65"/>
      <c r="V12" s="1"/>
      <c r="X12" s="113"/>
      <c r="AD12" s="40"/>
      <c r="AE12" s="40"/>
      <c r="AF12" s="41"/>
    </row>
    <row r="13" spans="2:32">
      <c r="B13" s="1"/>
      <c r="C13" s="7"/>
      <c r="D13" s="7"/>
      <c r="E13" s="7"/>
      <c r="F13" s="7"/>
      <c r="H13" s="70"/>
      <c r="I13" s="70"/>
      <c r="O13" s="65"/>
      <c r="P13" s="266"/>
      <c r="Q13" s="265"/>
      <c r="R13" s="263"/>
      <c r="S13" s="64"/>
      <c r="T13" s="64"/>
      <c r="U13" s="65"/>
      <c r="V13" s="1"/>
      <c r="X13" s="113"/>
      <c r="AD13" s="40"/>
      <c r="AE13" s="40"/>
      <c r="AF13" s="40"/>
    </row>
    <row r="14" spans="2:32">
      <c r="B14" s="1"/>
      <c r="C14" s="7"/>
      <c r="D14" s="7"/>
      <c r="E14" s="7"/>
      <c r="F14" s="7"/>
      <c r="H14" s="70"/>
      <c r="I14" s="70"/>
      <c r="O14" s="65"/>
      <c r="P14" s="266"/>
      <c r="Q14" s="265"/>
      <c r="R14" s="263"/>
      <c r="S14" s="68"/>
      <c r="T14" s="68"/>
      <c r="U14" s="65"/>
      <c r="V14" s="1"/>
      <c r="X14" s="113"/>
      <c r="AD14" s="40"/>
      <c r="AE14" s="40"/>
      <c r="AF14" s="41"/>
    </row>
    <row r="15" spans="2:32">
      <c r="B15" s="1"/>
      <c r="C15" s="7"/>
      <c r="D15" s="7"/>
      <c r="E15" s="7"/>
      <c r="F15" s="7"/>
      <c r="H15" s="70"/>
      <c r="I15" s="70"/>
      <c r="O15" s="65"/>
      <c r="P15" s="266"/>
      <c r="Q15" s="265"/>
      <c r="R15" s="263"/>
      <c r="S15" s="64"/>
      <c r="T15" s="64"/>
      <c r="U15" s="65"/>
      <c r="V15" s="1"/>
      <c r="X15" s="113"/>
      <c r="AD15" s="41"/>
      <c r="AE15" s="41"/>
      <c r="AF15" s="41"/>
    </row>
    <row r="16" spans="2:32">
      <c r="B16" s="1"/>
      <c r="C16" s="7"/>
      <c r="D16" s="7"/>
      <c r="E16" s="7"/>
      <c r="F16" s="7"/>
      <c r="H16" s="70"/>
      <c r="I16" s="70"/>
      <c r="O16" s="65"/>
      <c r="P16" s="266"/>
      <c r="Q16" s="265"/>
      <c r="R16" s="263"/>
      <c r="S16" s="64"/>
      <c r="T16" s="64"/>
      <c r="U16" s="65"/>
      <c r="V16" s="1"/>
      <c r="X16" s="113"/>
      <c r="AD16" s="41"/>
      <c r="AE16" s="41"/>
      <c r="AF16" s="41"/>
    </row>
    <row r="17" spans="2:32">
      <c r="B17" s="1"/>
      <c r="C17" s="7"/>
      <c r="D17" s="7"/>
      <c r="E17" s="7"/>
      <c r="F17" s="7"/>
      <c r="H17" s="70"/>
      <c r="I17" s="70"/>
      <c r="O17" s="65"/>
      <c r="P17" s="266"/>
      <c r="Q17" s="265"/>
      <c r="R17" s="263"/>
      <c r="S17" s="64"/>
      <c r="T17" s="64"/>
      <c r="U17" s="65"/>
      <c r="V17" s="1"/>
      <c r="X17" s="113"/>
      <c r="AD17" s="41"/>
      <c r="AE17" s="41"/>
      <c r="AF17" s="41"/>
    </row>
    <row r="18" spans="2:32">
      <c r="B18" s="1"/>
      <c r="C18" s="7"/>
      <c r="D18" s="7"/>
      <c r="E18" s="7"/>
      <c r="F18" s="7"/>
      <c r="H18" s="70"/>
      <c r="I18" s="70"/>
      <c r="O18" s="65"/>
      <c r="P18" s="266"/>
      <c r="Q18" s="265"/>
      <c r="R18" s="263"/>
      <c r="S18" s="64"/>
      <c r="T18" s="64"/>
      <c r="U18" s="65"/>
      <c r="V18" s="1"/>
      <c r="X18" s="113"/>
      <c r="AD18" s="40"/>
      <c r="AE18" s="40"/>
      <c r="AF18" s="41"/>
    </row>
    <row r="19" spans="2:32">
      <c r="B19" s="1"/>
      <c r="C19" s="7"/>
      <c r="D19" s="7"/>
      <c r="E19" s="7"/>
      <c r="F19" s="7"/>
      <c r="H19" s="70"/>
      <c r="I19" s="70"/>
      <c r="O19" s="65"/>
      <c r="P19" s="266"/>
      <c r="Q19" s="265"/>
      <c r="R19" s="263"/>
      <c r="S19" s="64"/>
      <c r="T19" s="64"/>
      <c r="U19" s="65"/>
      <c r="V19" s="1"/>
      <c r="X19" s="113"/>
      <c r="AD19" s="41"/>
      <c r="AE19" s="41"/>
      <c r="AF19" s="41"/>
    </row>
    <row r="20" spans="2:32">
      <c r="B20" s="1"/>
      <c r="C20" s="7"/>
      <c r="D20" s="7"/>
      <c r="E20" s="7"/>
      <c r="F20" s="7"/>
      <c r="H20" s="70"/>
      <c r="I20" s="70"/>
      <c r="O20" s="65"/>
      <c r="P20" s="266"/>
      <c r="Q20" s="265"/>
      <c r="R20" s="263"/>
      <c r="S20" s="64"/>
      <c r="T20" s="64"/>
      <c r="U20" s="65"/>
      <c r="V20" s="1"/>
      <c r="X20" s="113"/>
      <c r="AD20" s="41"/>
      <c r="AE20" s="41"/>
      <c r="AF20" s="41"/>
    </row>
    <row r="21" spans="2:32">
      <c r="B21" s="1"/>
      <c r="C21" s="7"/>
      <c r="D21" s="7"/>
      <c r="E21" s="7"/>
      <c r="F21" s="7"/>
      <c r="H21" s="70"/>
      <c r="I21" s="70"/>
      <c r="O21" s="65"/>
      <c r="P21" s="266"/>
      <c r="Q21" s="265"/>
      <c r="R21" s="263"/>
      <c r="S21" s="64"/>
      <c r="T21" s="64"/>
      <c r="U21" s="65"/>
      <c r="V21" s="1"/>
      <c r="X21" s="113"/>
      <c r="AD21" s="41"/>
      <c r="AE21" s="41"/>
      <c r="AF21" s="41"/>
    </row>
    <row r="22" spans="2:32">
      <c r="B22" s="1"/>
      <c r="C22" s="7"/>
      <c r="D22" s="7"/>
      <c r="E22" s="7"/>
      <c r="F22" s="7"/>
      <c r="H22" s="70"/>
      <c r="I22" s="70"/>
      <c r="O22" s="65"/>
      <c r="P22" s="266"/>
      <c r="Q22" s="265"/>
      <c r="R22" s="263"/>
      <c r="S22" s="64"/>
      <c r="T22" s="64"/>
      <c r="U22" s="65"/>
      <c r="V22" s="1"/>
      <c r="X22" s="113"/>
      <c r="AD22" s="40"/>
      <c r="AE22" s="40"/>
      <c r="AF22" s="41"/>
    </row>
    <row r="23" spans="2:32">
      <c r="B23" s="1"/>
      <c r="C23" s="7"/>
      <c r="D23" s="7"/>
      <c r="E23" s="7"/>
      <c r="F23" s="7"/>
      <c r="H23" s="70"/>
      <c r="I23" s="70"/>
      <c r="O23" s="65"/>
      <c r="P23" s="266"/>
      <c r="Q23" s="265"/>
      <c r="R23" s="263"/>
      <c r="S23" s="64"/>
      <c r="T23" s="64"/>
      <c r="U23" s="65"/>
      <c r="V23" s="1"/>
      <c r="X23" s="113"/>
      <c r="AD23" s="41"/>
      <c r="AE23" s="41"/>
      <c r="AF23" s="41"/>
    </row>
    <row r="24" spans="2:32">
      <c r="B24" s="1"/>
      <c r="C24" s="7"/>
      <c r="D24" s="7"/>
      <c r="E24" s="7"/>
      <c r="F24" s="7"/>
      <c r="H24" s="70"/>
      <c r="I24" s="70"/>
      <c r="O24" s="65"/>
      <c r="P24" s="266"/>
      <c r="Q24" s="265"/>
      <c r="R24" s="263"/>
      <c r="S24" s="64"/>
      <c r="T24" s="64"/>
      <c r="U24" s="65"/>
      <c r="V24" s="1"/>
      <c r="X24" s="113"/>
      <c r="AD24" s="41"/>
      <c r="AE24" s="41"/>
      <c r="AF24" s="41"/>
    </row>
    <row r="25" spans="2:32">
      <c r="B25" s="1"/>
      <c r="C25" s="7"/>
      <c r="D25" s="7"/>
      <c r="E25" s="7"/>
      <c r="F25" s="7"/>
      <c r="H25" s="70"/>
      <c r="I25" s="70"/>
      <c r="O25" s="65"/>
      <c r="P25" s="266"/>
      <c r="Q25" s="265"/>
      <c r="R25" s="263"/>
      <c r="S25" s="64"/>
      <c r="T25" s="64"/>
      <c r="U25" s="65"/>
      <c r="V25" s="1"/>
      <c r="X25" s="113"/>
      <c r="AD25" s="41"/>
      <c r="AE25" s="41"/>
      <c r="AF25" s="41"/>
    </row>
    <row r="26" spans="2:32">
      <c r="B26" s="1"/>
      <c r="C26" s="7"/>
      <c r="D26" s="7"/>
      <c r="E26" s="7"/>
      <c r="F26" s="7"/>
      <c r="H26" s="70"/>
      <c r="I26" s="70"/>
      <c r="O26" s="65"/>
      <c r="P26" s="266"/>
      <c r="Q26" s="265"/>
      <c r="R26" s="263"/>
      <c r="S26" s="64"/>
      <c r="T26" s="64"/>
      <c r="U26" s="65"/>
      <c r="V26" s="1"/>
      <c r="X26" s="113"/>
      <c r="AD26" s="40"/>
      <c r="AE26" s="40"/>
      <c r="AF26" s="41"/>
    </row>
    <row r="27" spans="2:32">
      <c r="B27" s="1"/>
      <c r="C27" s="7"/>
      <c r="D27" s="7"/>
      <c r="E27" s="7"/>
      <c r="F27" s="7"/>
      <c r="H27" s="70"/>
      <c r="I27" s="70"/>
      <c r="O27" s="65"/>
      <c r="P27" s="266"/>
      <c r="Q27" s="265"/>
      <c r="R27" s="263"/>
      <c r="S27" s="64"/>
      <c r="T27" s="64"/>
      <c r="U27" s="65"/>
      <c r="V27" s="1"/>
      <c r="X27" s="113"/>
      <c r="AD27" s="41"/>
      <c r="AE27" s="41"/>
      <c r="AF27" s="41"/>
    </row>
    <row r="28" spans="2:32">
      <c r="B28" s="1"/>
      <c r="C28" s="7"/>
      <c r="D28" s="7"/>
      <c r="E28" s="7"/>
      <c r="F28" s="7"/>
      <c r="H28" s="70"/>
      <c r="I28" s="70"/>
      <c r="O28" s="65"/>
      <c r="P28" s="266"/>
      <c r="Q28" s="265"/>
      <c r="R28" s="263"/>
      <c r="S28" s="64"/>
      <c r="T28" s="64"/>
      <c r="U28" s="65"/>
      <c r="V28" s="1"/>
      <c r="X28" s="113"/>
      <c r="AD28" s="41"/>
      <c r="AE28" s="41"/>
      <c r="AF28" s="41"/>
    </row>
    <row r="29" spans="2:32">
      <c r="B29" s="1"/>
      <c r="C29" s="7"/>
      <c r="D29" s="7"/>
      <c r="E29" s="7"/>
      <c r="F29" s="7"/>
      <c r="H29" s="70"/>
      <c r="I29" s="70"/>
      <c r="O29" s="65"/>
      <c r="P29" s="266"/>
      <c r="Q29" s="265"/>
      <c r="R29" s="263"/>
      <c r="S29" s="64"/>
      <c r="T29" s="64"/>
      <c r="U29" s="65"/>
      <c r="V29" s="1"/>
      <c r="X29" s="113"/>
      <c r="AD29" s="40"/>
      <c r="AE29" s="40"/>
      <c r="AF29" s="41"/>
    </row>
    <row r="30" spans="2:32">
      <c r="B30" s="1"/>
      <c r="C30" s="7"/>
      <c r="D30" s="7"/>
      <c r="E30" s="7"/>
      <c r="F30" s="7"/>
      <c r="H30" s="70"/>
      <c r="I30" s="70"/>
      <c r="O30" s="65"/>
      <c r="P30" s="266"/>
      <c r="Q30" s="265"/>
      <c r="R30" s="263"/>
      <c r="S30" s="64"/>
      <c r="T30" s="64"/>
      <c r="U30" s="65"/>
      <c r="V30" s="1"/>
      <c r="X30" s="113"/>
      <c r="AD30" s="41"/>
      <c r="AE30" s="41"/>
      <c r="AF30" s="41"/>
    </row>
    <row r="31" spans="2:32">
      <c r="B31" s="1"/>
      <c r="C31" s="7"/>
      <c r="D31" s="7"/>
      <c r="E31" s="7"/>
      <c r="F31" s="7"/>
      <c r="H31" s="70"/>
      <c r="I31" s="70"/>
      <c r="O31" s="65"/>
      <c r="P31" s="266"/>
      <c r="Q31" s="265"/>
      <c r="R31" s="263"/>
      <c r="S31" s="64"/>
      <c r="T31" s="64"/>
      <c r="U31" s="65"/>
      <c r="V31" s="1"/>
      <c r="X31" s="113"/>
      <c r="AD31" s="40"/>
      <c r="AE31" s="40"/>
      <c r="AF31" s="40"/>
    </row>
    <row r="32" spans="2:32">
      <c r="B32" s="1"/>
      <c r="C32" s="7"/>
      <c r="D32" s="7"/>
      <c r="E32" s="7"/>
      <c r="F32" s="7"/>
      <c r="H32" s="70"/>
      <c r="I32" s="70"/>
      <c r="O32" s="65"/>
      <c r="P32" s="266"/>
      <c r="Q32" s="265"/>
      <c r="R32" s="263"/>
      <c r="S32" s="64"/>
      <c r="T32" s="64"/>
      <c r="U32" s="65"/>
      <c r="V32" s="1"/>
      <c r="X32" s="113"/>
      <c r="AD32" s="41"/>
      <c r="AE32" s="41"/>
      <c r="AF32" s="41"/>
    </row>
    <row r="33" spans="2:32">
      <c r="B33" s="1"/>
      <c r="C33" s="7"/>
      <c r="D33" s="7"/>
      <c r="E33" s="7"/>
      <c r="F33" s="7"/>
      <c r="H33" s="70"/>
      <c r="I33" s="70"/>
      <c r="O33" s="65"/>
      <c r="P33" s="266"/>
      <c r="Q33" s="265"/>
      <c r="R33" s="263"/>
      <c r="S33" s="64"/>
      <c r="T33" s="64"/>
      <c r="U33" s="65"/>
      <c r="V33" s="1"/>
      <c r="X33" s="113"/>
      <c r="AD33" s="41"/>
      <c r="AE33" s="41"/>
      <c r="AF33" s="41"/>
    </row>
    <row r="34" spans="2:32">
      <c r="B34" s="1"/>
      <c r="C34" s="7"/>
      <c r="D34" s="7"/>
      <c r="E34" s="7"/>
      <c r="F34" s="7"/>
      <c r="H34" s="70"/>
      <c r="I34" s="70"/>
      <c r="O34" s="65"/>
      <c r="P34" s="266"/>
      <c r="Q34" s="265"/>
      <c r="R34" s="263"/>
      <c r="S34" s="64"/>
      <c r="T34" s="64"/>
      <c r="U34" s="65"/>
      <c r="V34" s="1"/>
      <c r="X34" s="113"/>
      <c r="AD34" s="41"/>
      <c r="AE34" s="41"/>
      <c r="AF34" s="41"/>
    </row>
    <row r="35" spans="2:32">
      <c r="B35" s="1"/>
      <c r="C35" s="7"/>
      <c r="D35" s="7"/>
      <c r="E35" s="7"/>
      <c r="F35" s="7"/>
      <c r="H35" s="70"/>
      <c r="I35" s="70"/>
      <c r="O35" s="65"/>
      <c r="P35" s="266"/>
      <c r="Q35" s="265"/>
      <c r="R35" s="263"/>
      <c r="S35" s="64"/>
      <c r="T35" s="64"/>
      <c r="U35" s="65"/>
      <c r="V35" s="1"/>
      <c r="X35" s="113"/>
      <c r="AD35" s="41"/>
      <c r="AE35" s="41"/>
      <c r="AF35" s="41"/>
    </row>
    <row r="36" spans="2:32">
      <c r="B36" s="1"/>
      <c r="C36" s="7"/>
      <c r="D36" s="7"/>
      <c r="E36" s="7"/>
      <c r="F36" s="7"/>
      <c r="H36" s="70"/>
      <c r="I36" s="70"/>
      <c r="O36" s="65"/>
      <c r="P36" s="266"/>
      <c r="Q36" s="265"/>
      <c r="R36" s="263"/>
      <c r="S36" s="64"/>
      <c r="T36" s="64"/>
      <c r="U36" s="65"/>
      <c r="V36" s="1"/>
      <c r="X36" s="113"/>
    </row>
    <row r="37" spans="2:32">
      <c r="B37" s="1"/>
      <c r="C37" s="7"/>
      <c r="D37" s="7"/>
      <c r="E37" s="7"/>
      <c r="F37" s="7"/>
      <c r="H37" s="70"/>
      <c r="I37" s="70"/>
      <c r="O37" s="65"/>
      <c r="P37" s="266"/>
      <c r="Q37" s="265"/>
      <c r="R37" s="263"/>
      <c r="S37" s="64"/>
      <c r="T37" s="64"/>
      <c r="U37" s="65"/>
      <c r="V37" s="1"/>
      <c r="X37" s="113"/>
    </row>
    <row r="38" spans="2:32">
      <c r="B38" s="1"/>
      <c r="C38" s="7"/>
      <c r="D38" s="7"/>
      <c r="E38" s="7"/>
      <c r="F38" s="7"/>
      <c r="H38" s="70"/>
      <c r="I38" s="70"/>
      <c r="O38" s="65"/>
      <c r="P38" s="266"/>
      <c r="Q38" s="265"/>
      <c r="R38" s="263"/>
      <c r="S38" s="64"/>
      <c r="T38" s="64"/>
      <c r="U38" s="65"/>
      <c r="V38" s="1"/>
      <c r="X38" s="113"/>
    </row>
    <row r="39" spans="2:32">
      <c r="B39" s="1"/>
      <c r="C39" s="7"/>
      <c r="D39" s="7"/>
      <c r="E39" s="7"/>
      <c r="F39" s="7"/>
      <c r="H39" s="70"/>
      <c r="I39" s="70"/>
      <c r="O39" s="65"/>
      <c r="P39" s="266"/>
      <c r="Q39" s="265"/>
      <c r="R39" s="263"/>
      <c r="S39" s="64"/>
      <c r="T39" s="64"/>
      <c r="U39" s="65"/>
      <c r="V39" s="1"/>
      <c r="X39" s="113"/>
    </row>
    <row r="40" spans="2:32">
      <c r="B40" s="1"/>
      <c r="C40" s="7"/>
      <c r="D40" s="7"/>
      <c r="E40" s="7"/>
      <c r="F40" s="7"/>
      <c r="H40" s="70"/>
      <c r="I40" s="70"/>
      <c r="O40" s="65"/>
      <c r="P40" s="266"/>
      <c r="Q40" s="265"/>
      <c r="R40" s="263"/>
      <c r="S40" s="64"/>
      <c r="T40" s="64"/>
      <c r="U40" s="65"/>
      <c r="V40" s="1"/>
      <c r="X40" s="113"/>
    </row>
    <row r="41" spans="2:32">
      <c r="B41" s="1"/>
      <c r="C41" s="7"/>
      <c r="D41" s="7"/>
      <c r="E41" s="7"/>
      <c r="F41" s="7"/>
      <c r="O41" s="65"/>
      <c r="P41" s="266"/>
      <c r="Q41" s="265"/>
      <c r="R41" s="263"/>
      <c r="S41" s="64"/>
      <c r="T41" s="64"/>
      <c r="U41" s="65"/>
      <c r="V41" s="1"/>
      <c r="X41" s="113"/>
    </row>
    <row r="42" spans="2:32">
      <c r="B42" s="1"/>
      <c r="C42" s="7"/>
      <c r="D42" s="7"/>
      <c r="E42" s="7"/>
      <c r="F42" s="7"/>
      <c r="O42" s="65"/>
      <c r="P42" s="266"/>
      <c r="Q42" s="265"/>
      <c r="R42" s="263"/>
      <c r="S42" s="64"/>
      <c r="T42" s="64"/>
      <c r="U42" s="65"/>
      <c r="V42" s="1"/>
      <c r="X42" s="113"/>
    </row>
    <row r="43" spans="2:32">
      <c r="B43" s="1"/>
      <c r="C43" s="7"/>
      <c r="D43" s="7"/>
      <c r="E43" s="7"/>
      <c r="F43" s="7"/>
      <c r="O43" s="65"/>
      <c r="P43" s="266"/>
      <c r="Q43" s="265"/>
      <c r="R43" s="263"/>
      <c r="S43" s="64"/>
      <c r="T43" s="64"/>
      <c r="U43" s="65"/>
      <c r="V43" s="1"/>
      <c r="X43" s="113"/>
    </row>
    <row r="44" spans="2:32">
      <c r="B44" s="1"/>
      <c r="C44" s="7"/>
      <c r="D44" s="7"/>
      <c r="E44" s="7"/>
      <c r="F44" s="7"/>
      <c r="O44" s="65"/>
      <c r="P44" s="266"/>
      <c r="Q44" s="265"/>
      <c r="R44" s="263"/>
      <c r="S44" s="64"/>
      <c r="T44" s="64"/>
      <c r="U44" s="65"/>
      <c r="V44" s="1"/>
      <c r="X44" s="113"/>
    </row>
    <row r="45" spans="2:32">
      <c r="B45" s="1"/>
      <c r="C45" s="7"/>
      <c r="D45" s="7"/>
      <c r="E45" s="7"/>
      <c r="F45" s="7"/>
      <c r="O45" s="65"/>
      <c r="P45" s="266"/>
      <c r="Q45" s="265"/>
      <c r="R45" s="263"/>
      <c r="S45" s="64"/>
      <c r="T45" s="64"/>
      <c r="U45" s="65"/>
      <c r="V45" s="1"/>
      <c r="X45" s="113"/>
    </row>
    <row r="46" spans="2:32">
      <c r="B46" s="1"/>
      <c r="C46" s="7"/>
      <c r="D46" s="7"/>
      <c r="E46" s="7"/>
      <c r="F46" s="7"/>
      <c r="O46" s="65"/>
      <c r="P46" s="266"/>
      <c r="Q46" s="265"/>
      <c r="R46" s="263"/>
      <c r="S46" s="64"/>
      <c r="T46" s="64"/>
      <c r="U46" s="65"/>
      <c r="V46" s="1"/>
      <c r="X46" s="113"/>
    </row>
    <row r="47" spans="2:32">
      <c r="B47" s="1"/>
      <c r="C47" s="7"/>
      <c r="D47" s="7"/>
      <c r="E47" s="7"/>
      <c r="F47" s="7"/>
      <c r="O47" s="65"/>
      <c r="P47" s="266"/>
      <c r="Q47" s="265"/>
      <c r="R47" s="263"/>
      <c r="S47" s="64"/>
      <c r="T47" s="64"/>
      <c r="U47" s="65"/>
      <c r="V47" s="1"/>
      <c r="X47" s="113"/>
    </row>
    <row r="48" spans="2:32">
      <c r="B48" s="1"/>
      <c r="C48" s="7"/>
      <c r="D48" s="7"/>
      <c r="E48" s="7"/>
      <c r="F48" s="7"/>
      <c r="O48" s="65"/>
      <c r="P48" s="266"/>
      <c r="Q48" s="265"/>
      <c r="R48" s="263"/>
      <c r="S48" s="64"/>
      <c r="T48" s="64"/>
      <c r="U48" s="65"/>
      <c r="V48" s="1"/>
      <c r="X48" s="113"/>
    </row>
    <row r="49" spans="2:22">
      <c r="B49" s="1"/>
      <c r="C49" s="7"/>
      <c r="D49" s="7"/>
      <c r="E49" s="7"/>
      <c r="F49" s="7"/>
      <c r="O49" s="65"/>
      <c r="P49" s="266"/>
      <c r="Q49" s="265"/>
      <c r="R49" s="263"/>
      <c r="S49" s="64"/>
      <c r="T49" s="64"/>
      <c r="U49" s="65"/>
      <c r="V49" s="1"/>
    </row>
    <row r="50" spans="2:22">
      <c r="B50" s="1"/>
      <c r="C50" s="7"/>
      <c r="D50" s="7"/>
      <c r="E50" s="7"/>
      <c r="F50" s="7"/>
      <c r="O50" s="65"/>
      <c r="P50" s="266"/>
      <c r="Q50" s="265"/>
      <c r="R50" s="263"/>
      <c r="S50" s="64"/>
      <c r="T50" s="64"/>
      <c r="U50" s="65"/>
      <c r="V50" s="1"/>
    </row>
    <row r="51" spans="2:22">
      <c r="B51" s="1"/>
      <c r="C51" s="7"/>
      <c r="D51" s="7"/>
      <c r="E51" s="7"/>
      <c r="F51" s="7"/>
      <c r="O51" s="65"/>
      <c r="P51" s="266"/>
      <c r="Q51" s="265"/>
      <c r="R51" s="263"/>
      <c r="S51" s="64"/>
      <c r="T51" s="64"/>
      <c r="U51" s="65"/>
      <c r="V51" s="1"/>
    </row>
    <row r="52" spans="2:22">
      <c r="B52" s="1"/>
      <c r="C52" s="7"/>
      <c r="D52" s="7"/>
      <c r="E52" s="7"/>
      <c r="F52" s="7"/>
      <c r="O52" s="65"/>
      <c r="P52" s="266"/>
      <c r="Q52" s="265"/>
      <c r="R52" s="263"/>
      <c r="S52" s="64"/>
      <c r="T52" s="64"/>
      <c r="U52" s="65"/>
      <c r="V52" s="1"/>
    </row>
    <row r="53" spans="2:22">
      <c r="B53" s="1"/>
      <c r="C53" s="7"/>
      <c r="D53" s="7"/>
      <c r="E53" s="7"/>
      <c r="F53" s="7"/>
      <c r="O53" s="65"/>
      <c r="P53" s="266"/>
      <c r="Q53" s="265"/>
      <c r="R53" s="263"/>
      <c r="S53" s="64"/>
      <c r="T53" s="64"/>
      <c r="U53" s="65"/>
      <c r="V53" s="1"/>
    </row>
    <row r="54" spans="2:22">
      <c r="B54" s="1"/>
      <c r="C54" s="7"/>
      <c r="D54" s="7"/>
      <c r="E54" s="7"/>
      <c r="F54" s="7"/>
      <c r="O54" s="65"/>
      <c r="P54" s="266"/>
      <c r="Q54" s="265"/>
      <c r="R54" s="263"/>
      <c r="S54" s="64"/>
      <c r="T54" s="64"/>
      <c r="U54" s="65"/>
      <c r="V54" s="1"/>
    </row>
    <row r="55" spans="2:22">
      <c r="B55" s="1"/>
      <c r="C55" s="7"/>
      <c r="D55" s="7"/>
      <c r="E55" s="7"/>
      <c r="F55" s="7"/>
      <c r="O55" s="65"/>
      <c r="P55" s="266"/>
      <c r="Q55" s="265"/>
      <c r="R55" s="263"/>
      <c r="S55" s="64"/>
      <c r="T55" s="64"/>
      <c r="U55" s="65"/>
      <c r="V55" s="1"/>
    </row>
    <row r="56" spans="2:22">
      <c r="B56" s="1"/>
      <c r="C56" s="7"/>
      <c r="D56" s="7"/>
      <c r="E56" s="7"/>
      <c r="F56" s="7"/>
      <c r="O56" s="65"/>
      <c r="P56" s="266"/>
      <c r="Q56" s="265"/>
      <c r="R56" s="263"/>
      <c r="S56" s="64"/>
      <c r="T56" s="64"/>
      <c r="U56" s="65"/>
      <c r="V56" s="1"/>
    </row>
    <row r="57" spans="2:22">
      <c r="B57" s="1"/>
      <c r="C57" s="7"/>
      <c r="D57" s="7"/>
      <c r="E57" s="7"/>
      <c r="F57" s="7"/>
      <c r="O57" s="65"/>
      <c r="P57" s="266"/>
      <c r="Q57" s="265"/>
      <c r="R57" s="263"/>
      <c r="S57" s="64"/>
      <c r="T57" s="64"/>
      <c r="U57" s="65"/>
      <c r="V57" s="1"/>
    </row>
    <row r="58" spans="2:22">
      <c r="B58" s="1"/>
      <c r="C58" s="7"/>
      <c r="D58" s="7"/>
      <c r="E58" s="7"/>
      <c r="F58" s="7"/>
      <c r="O58" s="65"/>
      <c r="P58" s="266"/>
      <c r="Q58" s="265"/>
      <c r="R58" s="263"/>
      <c r="S58" s="64"/>
      <c r="T58" s="64"/>
      <c r="U58" s="65"/>
      <c r="V58" s="1"/>
    </row>
    <row r="59" spans="2:22">
      <c r="B59" s="1"/>
      <c r="C59" s="7"/>
      <c r="D59" s="7"/>
      <c r="E59" s="7"/>
      <c r="F59" s="7"/>
      <c r="O59" s="65"/>
      <c r="P59" s="266"/>
      <c r="Q59" s="265"/>
      <c r="R59" s="263"/>
      <c r="S59" s="64"/>
      <c r="T59" s="64"/>
      <c r="U59" s="65"/>
      <c r="V59" s="1"/>
    </row>
    <row r="60" spans="2:22">
      <c r="B60" s="1"/>
      <c r="C60" s="7"/>
      <c r="D60" s="7"/>
      <c r="E60" s="7"/>
      <c r="F60" s="7"/>
      <c r="O60" s="65"/>
      <c r="P60" s="266"/>
      <c r="Q60" s="265"/>
      <c r="R60" s="263"/>
      <c r="S60" s="64"/>
      <c r="T60" s="64"/>
      <c r="U60" s="65"/>
      <c r="V60" s="1"/>
    </row>
    <row r="61" spans="2:22">
      <c r="B61" s="1"/>
      <c r="C61" s="7"/>
      <c r="D61" s="7"/>
      <c r="E61" s="7"/>
      <c r="F61" s="7"/>
      <c r="O61" s="65"/>
      <c r="P61" s="266"/>
      <c r="Q61" s="265"/>
      <c r="R61" s="263"/>
      <c r="S61" s="64"/>
      <c r="T61" s="64"/>
      <c r="U61" s="65"/>
      <c r="V61" s="1"/>
    </row>
    <row r="62" spans="2:22">
      <c r="B62" s="1"/>
      <c r="C62" s="7"/>
      <c r="D62" s="7"/>
      <c r="E62" s="7"/>
      <c r="F62" s="7"/>
      <c r="O62" s="65"/>
      <c r="P62" s="266"/>
      <c r="Q62" s="265"/>
      <c r="R62" s="263"/>
      <c r="S62" s="64"/>
      <c r="T62" s="64"/>
      <c r="U62" s="65"/>
      <c r="V62" s="1"/>
    </row>
    <row r="63" spans="2:22">
      <c r="B63" s="1"/>
      <c r="C63" s="7"/>
      <c r="D63" s="7"/>
      <c r="E63" s="7"/>
      <c r="F63" s="7"/>
      <c r="O63" s="65"/>
      <c r="P63" s="266"/>
      <c r="Q63" s="265"/>
      <c r="R63" s="263"/>
      <c r="S63" s="64"/>
      <c r="T63" s="64"/>
      <c r="U63" s="65"/>
      <c r="V63" s="1"/>
    </row>
    <row r="64" spans="2:22">
      <c r="B64" s="1"/>
      <c r="C64" s="7"/>
      <c r="D64" s="7"/>
      <c r="E64" s="7"/>
      <c r="F64" s="7"/>
      <c r="O64" s="65"/>
      <c r="P64" s="266"/>
      <c r="Q64" s="265"/>
      <c r="R64" s="263"/>
      <c r="S64" s="64"/>
      <c r="T64" s="64"/>
      <c r="U64" s="65"/>
      <c r="V64" s="1"/>
    </row>
    <row r="65" spans="2:22">
      <c r="B65" s="1"/>
      <c r="C65" s="7"/>
      <c r="D65" s="7"/>
      <c r="E65" s="7"/>
      <c r="F65" s="7"/>
      <c r="O65" s="65"/>
      <c r="P65" s="266"/>
      <c r="Q65" s="265"/>
      <c r="R65" s="263"/>
      <c r="S65" s="64"/>
      <c r="T65" s="64"/>
      <c r="U65" s="65"/>
      <c r="V65" s="1"/>
    </row>
    <row r="66" spans="2:22">
      <c r="B66" s="1"/>
      <c r="C66" s="7"/>
      <c r="D66" s="7"/>
      <c r="E66" s="7"/>
      <c r="F66" s="7"/>
      <c r="O66" s="65"/>
      <c r="P66" s="266"/>
      <c r="Q66" s="265"/>
      <c r="R66" s="263"/>
      <c r="S66" s="64"/>
      <c r="T66" s="64"/>
      <c r="U66" s="65"/>
      <c r="V66" s="1"/>
    </row>
    <row r="67" spans="2:22">
      <c r="B67" s="1"/>
      <c r="C67" s="7"/>
      <c r="D67" s="7"/>
      <c r="E67" s="7"/>
      <c r="F67" s="7"/>
      <c r="O67" s="65"/>
      <c r="P67" s="266"/>
      <c r="Q67" s="265"/>
      <c r="R67" s="263"/>
      <c r="S67" s="64"/>
      <c r="T67" s="64"/>
      <c r="U67" s="65"/>
      <c r="V67" s="1"/>
    </row>
    <row r="68" spans="2:22">
      <c r="B68" s="1"/>
      <c r="C68" s="7"/>
      <c r="D68" s="7"/>
      <c r="E68" s="7"/>
      <c r="F68" s="7"/>
      <c r="O68" s="65"/>
      <c r="P68" s="266"/>
      <c r="Q68" s="265"/>
      <c r="R68" s="263"/>
      <c r="S68" s="64"/>
      <c r="T68" s="64"/>
      <c r="U68" s="65"/>
      <c r="V68" s="1"/>
    </row>
    <row r="69" spans="2:22">
      <c r="B69" s="1"/>
      <c r="C69" s="7"/>
      <c r="D69" s="7"/>
      <c r="E69" s="7"/>
      <c r="F69" s="7"/>
      <c r="O69" s="65"/>
      <c r="P69" s="266"/>
      <c r="Q69" s="265"/>
      <c r="R69" s="263"/>
      <c r="S69" s="64"/>
      <c r="T69" s="64"/>
      <c r="U69" s="65"/>
      <c r="V69" s="1"/>
    </row>
    <row r="70" spans="2:22">
      <c r="B70" s="1"/>
      <c r="C70" s="7"/>
      <c r="D70" s="7"/>
      <c r="E70" s="7"/>
      <c r="F70" s="7"/>
      <c r="S70" s="58"/>
      <c r="T70" s="58"/>
      <c r="V70" s="1"/>
    </row>
    <row r="71" spans="2:22">
      <c r="B71" s="1"/>
      <c r="C71" s="7"/>
      <c r="D71" s="7"/>
      <c r="E71" s="7"/>
      <c r="F71" s="7"/>
      <c r="S71" s="58"/>
      <c r="T71" s="58"/>
      <c r="V71" s="1"/>
    </row>
    <row r="72" spans="2:22">
      <c r="B72" s="1"/>
      <c r="C72" s="7"/>
      <c r="D72" s="7"/>
      <c r="E72" s="7"/>
      <c r="F72" s="7"/>
      <c r="S72" s="58"/>
      <c r="T72" s="58"/>
      <c r="V72" s="1"/>
    </row>
    <row r="73" spans="2:22">
      <c r="B73" s="1"/>
      <c r="C73" s="7"/>
      <c r="D73" s="7"/>
      <c r="E73" s="7"/>
      <c r="F73" s="7"/>
      <c r="S73" s="58"/>
      <c r="T73" s="58"/>
      <c r="V73" s="1"/>
    </row>
    <row r="74" spans="2:22">
      <c r="S74" s="58"/>
      <c r="T74" s="58"/>
    </row>
    <row r="75" spans="2:22">
      <c r="S75" s="58"/>
      <c r="T75" s="58"/>
    </row>
    <row r="76" spans="2:22">
      <c r="S76" s="58"/>
      <c r="T76" s="58"/>
    </row>
    <row r="77" spans="2:22">
      <c r="S77" s="58"/>
      <c r="T77" s="58"/>
    </row>
    <row r="78" spans="2:22">
      <c r="S78" s="58"/>
      <c r="T78" s="58"/>
    </row>
    <row r="79" spans="2:22">
      <c r="S79" s="58"/>
      <c r="T79" s="58"/>
    </row>
    <row r="80" spans="2:22">
      <c r="S80" s="58"/>
      <c r="T80" s="58"/>
    </row>
    <row r="81" spans="19:20">
      <c r="S81" s="58"/>
      <c r="T81" s="58"/>
    </row>
    <row r="82" spans="19:20">
      <c r="S82" s="58"/>
      <c r="T82" s="58"/>
    </row>
    <row r="83" spans="19:20">
      <c r="S83" s="58"/>
      <c r="T83" s="58"/>
    </row>
    <row r="84" spans="19:20">
      <c r="S84" s="58"/>
      <c r="T84" s="58"/>
    </row>
    <row r="85" spans="19:20">
      <c r="S85" s="58"/>
      <c r="T85" s="58"/>
    </row>
    <row r="86" spans="19:20">
      <c r="S86" s="58"/>
      <c r="T86" s="58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44D2449-D683-4B6C-9EB2-ADA4FF18C591}">
          <x14:formula1>
            <xm:f>공급업체코드!$D$3:$D$47</xm:f>
          </x14:formula1>
          <xm:sqref>E3:E73</xm:sqref>
        </x14:dataValidation>
        <x14:dataValidation type="list" allowBlank="1" showInputMessage="1" showErrorMessage="1" xr:uid="{56CEEDA4-5F61-4BFF-9E94-F77AA283522C}">
          <x14:formula1>
            <xm:f>기계코드!$F$5:$F$43</xm:f>
          </x14:formula1>
          <xm:sqref>C11:C73</xm:sqref>
        </x14:dataValidation>
        <x14:dataValidation type="list" allowBlank="1" showInputMessage="1" showErrorMessage="1" xr:uid="{73082C90-E8EE-4B39-B001-A0206ED26A50}">
          <x14:formula1>
            <xm:f>기계코드!$F$114:$F$119</xm:f>
          </x14:formula1>
          <xm:sqref>C3:C10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C56F-861C-4254-B69E-7F9649753B88}">
  <dimension ref="B1:AA86"/>
  <sheetViews>
    <sheetView zoomScale="70" zoomScaleNormal="70" workbookViewId="0">
      <pane ySplit="2" topLeftCell="A3" activePane="bottomLeft" state="frozen"/>
      <selection pane="bottomLeft" activeCell="H2" sqref="H2"/>
    </sheetView>
  </sheetViews>
  <sheetFormatPr defaultRowHeight="16.5"/>
  <cols>
    <col min="1" max="1" width="13.625" customWidth="1"/>
    <col min="2" max="2" width="37.75" customWidth="1"/>
    <col min="3" max="3" width="27.25" customWidth="1"/>
    <col min="4" max="5" width="16.125" customWidth="1"/>
    <col min="6" max="6" width="13.875" bestFit="1" customWidth="1"/>
    <col min="7" max="7" width="14.5" style="18" customWidth="1"/>
    <col min="8" max="8" width="20.25" customWidth="1"/>
    <col min="9" max="9" width="16.75" customWidth="1"/>
    <col min="10" max="10" width="16.125" style="18" customWidth="1"/>
    <col min="11" max="11" width="16.125" style="261" customWidth="1"/>
    <col min="12" max="12" width="25.75" style="10" bestFit="1" customWidth="1"/>
    <col min="13" max="13" width="16.125" style="260" customWidth="1"/>
    <col min="14" max="14" width="16.125" customWidth="1"/>
    <col min="15" max="15" width="21.25" bestFit="1" customWidth="1"/>
    <col min="16" max="16" width="17.25" style="18" customWidth="1"/>
    <col min="17" max="17" width="10.5" customWidth="1"/>
    <col min="18" max="18" width="27.625" bestFit="1" customWidth="1"/>
    <col min="19" max="19" width="20.625" customWidth="1"/>
    <col min="21" max="21" width="12.375" customWidth="1"/>
    <col min="22" max="22" width="11.375" bestFit="1" customWidth="1"/>
    <col min="25" max="25" width="22.125" bestFit="1" customWidth="1"/>
    <col min="26" max="26" width="36.375" bestFit="1" customWidth="1"/>
    <col min="27" max="27" width="15.375" bestFit="1" customWidth="1"/>
  </cols>
  <sheetData>
    <row r="1" spans="2:27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1992</v>
      </c>
      <c r="I1" s="10" t="s">
        <v>1725</v>
      </c>
      <c r="J1" s="17" t="s">
        <v>1324</v>
      </c>
      <c r="K1" s="131" t="s">
        <v>1290</v>
      </c>
      <c r="L1" s="131" t="s">
        <v>1291</v>
      </c>
      <c r="M1" s="131" t="s">
        <v>1292</v>
      </c>
      <c r="N1" s="10" t="s">
        <v>1293</v>
      </c>
      <c r="O1" s="17" t="s">
        <v>1294</v>
      </c>
      <c r="P1" s="61" t="s">
        <v>1295</v>
      </c>
      <c r="Q1" s="10" t="s">
        <v>1296</v>
      </c>
      <c r="R1" s="10" t="s">
        <v>1297</v>
      </c>
      <c r="S1" s="249" t="s">
        <v>1298</v>
      </c>
    </row>
    <row r="2" spans="2:27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1443</v>
      </c>
      <c r="I2" s="56" t="s">
        <v>1359</v>
      </c>
      <c r="J2" s="14" t="s">
        <v>1349</v>
      </c>
      <c r="K2" s="5" t="s">
        <v>1305</v>
      </c>
      <c r="L2" s="5" t="s">
        <v>1306</v>
      </c>
      <c r="M2" s="5" t="s">
        <v>1307</v>
      </c>
      <c r="N2" s="19" t="s">
        <v>1308</v>
      </c>
      <c r="O2" s="108" t="s">
        <v>1309</v>
      </c>
      <c r="P2" s="241" t="s">
        <v>1310</v>
      </c>
      <c r="Q2" s="54" t="s">
        <v>1311</v>
      </c>
      <c r="R2" s="3" t="s">
        <v>10</v>
      </c>
      <c r="S2" s="242" t="s">
        <v>1312</v>
      </c>
      <c r="Y2" s="41"/>
      <c r="Z2" s="41"/>
      <c r="AA2" s="41"/>
    </row>
    <row r="3" spans="2:27">
      <c r="B3" s="1" t="str">
        <f>D3&amp;"_"&amp;F3&amp;"_"&amp;H3</f>
        <v>M_FDC01_VM_BKT_15</v>
      </c>
      <c r="C3" s="7" t="s">
        <v>410</v>
      </c>
      <c r="D3" s="7" t="str" cm="1">
        <f t="array" ref="D3">INDEX(기계코드!$D$4:$D$1022,MATCH(1,(C3=기계코드!$F$4:$F$1022)*1,0))</f>
        <v>M_FDC01</v>
      </c>
      <c r="E3" s="7" t="s">
        <v>1128</v>
      </c>
      <c r="F3" s="7" t="str" cm="1">
        <f t="array" ref="F3">INDEX(공급업체코드!$B$3:$B$1000,MATCH(1,(E3=공급업체코드!$D$3:$D$1000)*1,0))</f>
        <v>VM_BKT</v>
      </c>
      <c r="G3" s="18" t="s">
        <v>2116</v>
      </c>
      <c r="H3" s="69">
        <v>15</v>
      </c>
      <c r="I3" s="69">
        <v>80</v>
      </c>
      <c r="J3" s="65"/>
      <c r="K3" s="267" t="s">
        <v>1421</v>
      </c>
      <c r="L3" s="268"/>
      <c r="M3" s="262" t="s">
        <v>1375</v>
      </c>
      <c r="N3" s="64">
        <v>48100000</v>
      </c>
      <c r="O3" s="64"/>
      <c r="P3" s="65" t="s">
        <v>1315</v>
      </c>
      <c r="Q3" s="1" t="b">
        <v>1</v>
      </c>
      <c r="S3" s="133"/>
      <c r="Y3" s="41"/>
      <c r="Z3" s="41"/>
      <c r="AA3" s="41"/>
    </row>
    <row r="4" spans="2:27">
      <c r="B4" s="1" t="str">
        <f t="shared" ref="B4:B8" si="0">D4&amp;"_"&amp;F4&amp;"_"&amp;H4</f>
        <v>M_FDC01_VM_BKT_20</v>
      </c>
      <c r="C4" s="7" t="s">
        <v>410</v>
      </c>
      <c r="D4" s="7" t="str" cm="1">
        <f t="array" ref="D4">INDEX(기계코드!$D$4:$D$1022,MATCH(1,(C4=기계코드!$F$4:$F$1022)*1,0))</f>
        <v>M_FDC01</v>
      </c>
      <c r="E4" s="7" t="s">
        <v>1128</v>
      </c>
      <c r="F4" s="7" t="str" cm="1">
        <f t="array" ref="F4">INDEX(공급업체코드!$B$3:$B$1000,MATCH(1,(E4=공급업체코드!$D$3:$D$1000)*1,0))</f>
        <v>VM_BKT</v>
      </c>
      <c r="G4" s="18" t="s">
        <v>2117</v>
      </c>
      <c r="H4" s="63">
        <v>20</v>
      </c>
      <c r="I4" s="63">
        <v>100</v>
      </c>
      <c r="J4" s="65"/>
      <c r="K4" s="266" t="s">
        <v>1421</v>
      </c>
      <c r="L4" s="265"/>
      <c r="M4" s="263" t="s">
        <v>1375</v>
      </c>
      <c r="N4" s="64">
        <v>48600000</v>
      </c>
      <c r="O4" s="64"/>
      <c r="P4" s="65" t="s">
        <v>1315</v>
      </c>
      <c r="Q4" s="1" t="b">
        <v>1</v>
      </c>
      <c r="S4" s="133"/>
      <c r="Y4" s="41"/>
      <c r="Z4" s="41"/>
      <c r="AA4" s="41"/>
    </row>
    <row r="5" spans="2:27">
      <c r="B5" s="1" t="str">
        <f>D5&amp;"_"&amp;F5&amp;"_"&amp;H5</f>
        <v>M_FDC01_VM_BKT_35</v>
      </c>
      <c r="C5" s="7" t="s">
        <v>410</v>
      </c>
      <c r="D5" s="7" t="str" cm="1">
        <f t="array" ref="D5">INDEX(기계코드!$D$4:$D$1022,MATCH(1,(C5=기계코드!$F$4:$F$1022)*1,0))</f>
        <v>M_FDC01</v>
      </c>
      <c r="E5" s="7" t="s">
        <v>1128</v>
      </c>
      <c r="F5" s="7" t="str" cm="1">
        <f t="array" ref="F5">INDEX(공급업체코드!$B$3:$B$1000,MATCH(1,(E5=공급업체코드!$D$3:$D$1000)*1,0))</f>
        <v>VM_BKT</v>
      </c>
      <c r="G5" s="18" t="s">
        <v>2118</v>
      </c>
      <c r="H5" s="63">
        <v>35</v>
      </c>
      <c r="I5" s="63">
        <v>125</v>
      </c>
      <c r="J5" s="65"/>
      <c r="K5" s="266" t="s">
        <v>1421</v>
      </c>
      <c r="L5" s="265"/>
      <c r="M5" s="263" t="s">
        <v>1375</v>
      </c>
      <c r="N5" s="64">
        <v>52200000</v>
      </c>
      <c r="O5" s="64"/>
      <c r="P5" s="65" t="s">
        <v>1315</v>
      </c>
      <c r="Q5" s="1" t="b">
        <v>1</v>
      </c>
      <c r="S5" s="133"/>
      <c r="Y5" s="41"/>
      <c r="Z5" s="41"/>
      <c r="AA5" s="41"/>
    </row>
    <row r="6" spans="2:27">
      <c r="B6" s="1" t="str">
        <f t="shared" si="0"/>
        <v>M_FDC01_VM_BKT_75</v>
      </c>
      <c r="C6" s="7" t="s">
        <v>410</v>
      </c>
      <c r="D6" s="7" t="str" cm="1">
        <f t="array" ref="D6">INDEX(기계코드!$D$4:$D$1022,MATCH(1,(C6=기계코드!$F$4:$F$1022)*1,0))</f>
        <v>M_FDC01</v>
      </c>
      <c r="E6" s="7" t="s">
        <v>1128</v>
      </c>
      <c r="F6" s="7" t="str" cm="1">
        <f t="array" ref="F6">INDEX(공급업체코드!$B$3:$B$1000,MATCH(1,(E6=공급업체코드!$D$3:$D$1000)*1,0))</f>
        <v>VM_BKT</v>
      </c>
      <c r="G6" s="18" t="s">
        <v>2119</v>
      </c>
      <c r="H6" s="63">
        <v>75</v>
      </c>
      <c r="I6" s="63">
        <v>150</v>
      </c>
      <c r="J6" s="65"/>
      <c r="K6" s="266" t="s">
        <v>1421</v>
      </c>
      <c r="L6" s="265"/>
      <c r="M6" s="263" t="s">
        <v>1375</v>
      </c>
      <c r="N6" s="64">
        <v>59800000</v>
      </c>
      <c r="O6" s="64"/>
      <c r="P6" s="65" t="s">
        <v>1315</v>
      </c>
      <c r="Q6" s="1" t="b">
        <v>1</v>
      </c>
      <c r="S6" s="133"/>
      <c r="Y6" s="41"/>
      <c r="Z6" s="41"/>
      <c r="AA6" s="41"/>
    </row>
    <row r="7" spans="2:27">
      <c r="B7" s="1" t="str">
        <f t="shared" si="0"/>
        <v>M_FDC01_VM_BKT_125</v>
      </c>
      <c r="C7" s="7" t="s">
        <v>410</v>
      </c>
      <c r="D7" s="7" t="str" cm="1">
        <f t="array" ref="D7">INDEX(기계코드!$D$4:$D$1022,MATCH(1,(C7=기계코드!$F$4:$F$1022)*1,0))</f>
        <v>M_FDC01</v>
      </c>
      <c r="E7" s="7" t="s">
        <v>1128</v>
      </c>
      <c r="F7" s="7" t="str" cm="1">
        <f t="array" ref="F7">INDEX(공급업체코드!$B$3:$B$1000,MATCH(1,(E7=공급업체코드!$D$3:$D$1000)*1,0))</f>
        <v>VM_BKT</v>
      </c>
      <c r="G7" s="18" t="s">
        <v>2120</v>
      </c>
      <c r="H7" s="63">
        <v>125</v>
      </c>
      <c r="I7" s="63">
        <v>200</v>
      </c>
      <c r="J7" s="65"/>
      <c r="K7" s="266" t="s">
        <v>1421</v>
      </c>
      <c r="L7" s="265"/>
      <c r="M7" s="263" t="s">
        <v>1375</v>
      </c>
      <c r="N7" s="64">
        <v>66000000</v>
      </c>
      <c r="O7" s="64"/>
      <c r="P7" s="65" t="s">
        <v>1315</v>
      </c>
      <c r="Q7" s="1" t="b">
        <v>1</v>
      </c>
      <c r="S7" s="113"/>
      <c r="Y7" s="41"/>
      <c r="Z7" s="41"/>
      <c r="AA7" s="41"/>
    </row>
    <row r="8" spans="2:27">
      <c r="B8" s="1" t="str">
        <f t="shared" si="0"/>
        <v>M_FDC01_VM_BKT_200</v>
      </c>
      <c r="C8" s="7" t="s">
        <v>410</v>
      </c>
      <c r="D8" s="7" t="str" cm="1">
        <f t="array" ref="D8">INDEX(기계코드!$D$4:$D$1022,MATCH(1,(C8=기계코드!$F$4:$F$1022)*1,0))</f>
        <v>M_FDC01</v>
      </c>
      <c r="E8" s="7" t="s">
        <v>1128</v>
      </c>
      <c r="F8" s="7" t="str" cm="1">
        <f t="array" ref="F8">INDEX(공급업체코드!$B$3:$B$1000,MATCH(1,(E8=공급업체코드!$D$3:$D$1000)*1,0))</f>
        <v>VM_BKT</v>
      </c>
      <c r="G8" s="18" t="s">
        <v>2121</v>
      </c>
      <c r="H8" s="63">
        <v>200</v>
      </c>
      <c r="I8" s="63">
        <v>250</v>
      </c>
      <c r="J8" s="65"/>
      <c r="K8" s="266" t="s">
        <v>1421</v>
      </c>
      <c r="L8" s="265"/>
      <c r="M8" s="263" t="s">
        <v>1375</v>
      </c>
      <c r="N8" s="64">
        <v>70200000</v>
      </c>
      <c r="O8" s="64"/>
      <c r="P8" s="65" t="s">
        <v>1315</v>
      </c>
      <c r="Q8" s="1" t="b">
        <v>1</v>
      </c>
      <c r="S8" s="113"/>
      <c r="Y8" s="41"/>
      <c r="Z8" s="41"/>
      <c r="AA8" s="41"/>
    </row>
    <row r="9" spans="2:27">
      <c r="B9" s="1" t="str">
        <f>D9&amp;"_"&amp;F9&amp;"_"&amp;H9</f>
        <v>M_FDC01_VM_BKT_290</v>
      </c>
      <c r="C9" s="7" t="s">
        <v>410</v>
      </c>
      <c r="D9" s="7" t="str" cm="1">
        <f t="array" ref="D9">INDEX(기계코드!$D$4:$D$1022,MATCH(1,(C9=기계코드!$F$4:$F$1022)*1,0))</f>
        <v>M_FDC01</v>
      </c>
      <c r="E9" s="7" t="s">
        <v>1128</v>
      </c>
      <c r="F9" s="7" t="str" cm="1">
        <f t="array" ref="F9">INDEX(공급업체코드!$B$3:$B$1000,MATCH(1,(E9=공급업체코드!$D$3:$D$1000)*1,0))</f>
        <v>VM_BKT</v>
      </c>
      <c r="G9" s="18" t="s">
        <v>2122</v>
      </c>
      <c r="H9" s="63">
        <v>290</v>
      </c>
      <c r="I9" s="63">
        <v>300</v>
      </c>
      <c r="J9" s="65"/>
      <c r="K9" s="266" t="s">
        <v>1421</v>
      </c>
      <c r="L9" s="265"/>
      <c r="M9" s="263" t="s">
        <v>1375</v>
      </c>
      <c r="N9" s="64">
        <v>74400000</v>
      </c>
      <c r="O9" s="64"/>
      <c r="P9" s="65" t="s">
        <v>1315</v>
      </c>
      <c r="Q9" s="1" t="b">
        <v>1</v>
      </c>
      <c r="S9" s="113"/>
      <c r="Y9" s="40"/>
      <c r="Z9" s="40"/>
      <c r="AA9" s="41"/>
    </row>
    <row r="10" spans="2:27">
      <c r="B10" s="1"/>
      <c r="C10" s="7"/>
      <c r="D10" s="7"/>
      <c r="E10" s="7"/>
      <c r="F10" s="7"/>
      <c r="H10" s="64"/>
      <c r="I10" s="64"/>
      <c r="J10" s="65"/>
      <c r="K10" s="266"/>
      <c r="L10" s="265"/>
      <c r="M10" s="263"/>
      <c r="N10" s="64"/>
      <c r="O10" s="64"/>
      <c r="P10" s="65"/>
      <c r="Q10" s="1"/>
      <c r="S10" s="113"/>
      <c r="Y10" s="40"/>
      <c r="Z10" s="40"/>
      <c r="AA10" s="41"/>
    </row>
    <row r="11" spans="2:27">
      <c r="B11" s="1"/>
      <c r="C11" s="7"/>
      <c r="D11" s="7"/>
      <c r="E11" s="7"/>
      <c r="F11" s="7"/>
      <c r="H11" s="64"/>
      <c r="I11" s="64"/>
      <c r="J11" s="65"/>
      <c r="K11" s="266"/>
      <c r="L11" s="265"/>
      <c r="M11" s="263"/>
      <c r="N11" s="64"/>
      <c r="O11" s="64"/>
      <c r="P11" s="65"/>
      <c r="Q11" s="1"/>
      <c r="S11" s="113"/>
      <c r="Y11" s="41"/>
      <c r="Z11" s="41"/>
      <c r="AA11" s="41"/>
    </row>
    <row r="12" spans="2:27">
      <c r="B12" s="1"/>
      <c r="C12" s="7"/>
      <c r="D12" s="7"/>
      <c r="E12" s="7"/>
      <c r="F12" s="7"/>
      <c r="H12" s="64"/>
      <c r="I12" s="64"/>
      <c r="J12" s="65"/>
      <c r="K12" s="266"/>
      <c r="L12" s="265"/>
      <c r="M12" s="263"/>
      <c r="N12" s="64"/>
      <c r="O12" s="64"/>
      <c r="P12" s="65"/>
      <c r="Q12" s="1"/>
      <c r="S12" s="113"/>
      <c r="Y12" s="40"/>
      <c r="Z12" s="40"/>
      <c r="AA12" s="41"/>
    </row>
    <row r="13" spans="2:27">
      <c r="B13" s="1"/>
      <c r="C13" s="7"/>
      <c r="D13" s="7"/>
      <c r="E13" s="7"/>
      <c r="F13" s="7"/>
      <c r="H13" s="64"/>
      <c r="I13" s="64"/>
      <c r="J13" s="65"/>
      <c r="K13" s="266"/>
      <c r="L13" s="265"/>
      <c r="M13" s="263"/>
      <c r="N13" s="64"/>
      <c r="O13" s="64"/>
      <c r="P13" s="65"/>
      <c r="Q13" s="1"/>
      <c r="S13" s="113"/>
      <c r="Y13" s="40"/>
      <c r="Z13" s="40"/>
      <c r="AA13" s="40"/>
    </row>
    <row r="14" spans="2:27">
      <c r="B14" s="1"/>
      <c r="C14" s="7"/>
      <c r="D14" s="7"/>
      <c r="E14" s="7"/>
      <c r="F14" s="7"/>
      <c r="H14" s="64"/>
      <c r="I14" s="64"/>
      <c r="J14" s="65"/>
      <c r="K14" s="266"/>
      <c r="L14" s="265"/>
      <c r="M14" s="263"/>
      <c r="N14" s="68"/>
      <c r="O14" s="68"/>
      <c r="P14" s="65"/>
      <c r="Q14" s="1"/>
      <c r="S14" s="113"/>
      <c r="Y14" s="40"/>
      <c r="Z14" s="40"/>
      <c r="AA14" s="41"/>
    </row>
    <row r="15" spans="2:27">
      <c r="B15" s="1"/>
      <c r="C15" s="7"/>
      <c r="D15" s="7"/>
      <c r="E15" s="7"/>
      <c r="F15" s="7"/>
      <c r="H15" s="64"/>
      <c r="I15" s="64"/>
      <c r="J15" s="65"/>
      <c r="K15" s="266"/>
      <c r="L15" s="265"/>
      <c r="M15" s="263"/>
      <c r="N15" s="64"/>
      <c r="O15" s="64"/>
      <c r="P15" s="65"/>
      <c r="Q15" s="1"/>
      <c r="S15" s="113"/>
      <c r="Y15" s="41"/>
      <c r="Z15" s="41"/>
      <c r="AA15" s="41"/>
    </row>
    <row r="16" spans="2:27">
      <c r="B16" s="1"/>
      <c r="C16" s="7"/>
      <c r="D16" s="7"/>
      <c r="E16" s="7"/>
      <c r="F16" s="7"/>
      <c r="H16" s="64"/>
      <c r="I16" s="64"/>
      <c r="J16" s="65"/>
      <c r="K16" s="266"/>
      <c r="L16" s="265"/>
      <c r="M16" s="263"/>
      <c r="N16" s="64"/>
      <c r="O16" s="64"/>
      <c r="P16" s="65"/>
      <c r="Q16" s="1"/>
      <c r="S16" s="113"/>
      <c r="Y16" s="41"/>
      <c r="Z16" s="41"/>
      <c r="AA16" s="41"/>
    </row>
    <row r="17" spans="2:27">
      <c r="B17" s="1"/>
      <c r="C17" s="7"/>
      <c r="D17" s="7"/>
      <c r="E17" s="7"/>
      <c r="F17" s="7"/>
      <c r="H17" s="64"/>
      <c r="I17" s="64"/>
      <c r="J17" s="65"/>
      <c r="K17" s="266"/>
      <c r="L17" s="265"/>
      <c r="M17" s="263"/>
      <c r="N17" s="64"/>
      <c r="O17" s="64"/>
      <c r="P17" s="65"/>
      <c r="Q17" s="1"/>
      <c r="S17" s="113"/>
      <c r="Y17" s="41"/>
      <c r="Z17" s="41"/>
      <c r="AA17" s="41"/>
    </row>
    <row r="18" spans="2:27">
      <c r="B18" s="1"/>
      <c r="C18" s="7"/>
      <c r="D18" s="7"/>
      <c r="E18" s="7"/>
      <c r="F18" s="7"/>
      <c r="H18" s="64"/>
      <c r="I18" s="64"/>
      <c r="J18" s="65"/>
      <c r="K18" s="266"/>
      <c r="L18" s="265"/>
      <c r="M18" s="263"/>
      <c r="N18" s="64"/>
      <c r="O18" s="64"/>
      <c r="P18" s="65"/>
      <c r="Q18" s="1"/>
      <c r="S18" s="113"/>
      <c r="Y18" s="40"/>
      <c r="Z18" s="40"/>
      <c r="AA18" s="41"/>
    </row>
    <row r="19" spans="2:27">
      <c r="B19" s="1"/>
      <c r="C19" s="7"/>
      <c r="D19" s="7"/>
      <c r="E19" s="7"/>
      <c r="F19" s="7"/>
      <c r="H19" s="64"/>
      <c r="I19" s="64"/>
      <c r="J19" s="65"/>
      <c r="K19" s="266"/>
      <c r="L19" s="265"/>
      <c r="M19" s="263"/>
      <c r="N19" s="64"/>
      <c r="O19" s="64"/>
      <c r="P19" s="65"/>
      <c r="Q19" s="1"/>
      <c r="S19" s="113"/>
      <c r="Y19" s="41"/>
      <c r="Z19" s="41"/>
      <c r="AA19" s="41"/>
    </row>
    <row r="20" spans="2:27">
      <c r="B20" s="1"/>
      <c r="C20" s="7"/>
      <c r="D20" s="7"/>
      <c r="E20" s="7"/>
      <c r="F20" s="7"/>
      <c r="H20" s="64"/>
      <c r="I20" s="64"/>
      <c r="J20" s="65"/>
      <c r="K20" s="266"/>
      <c r="L20" s="265"/>
      <c r="M20" s="263"/>
      <c r="N20" s="64"/>
      <c r="O20" s="64"/>
      <c r="P20" s="65"/>
      <c r="Q20" s="1"/>
      <c r="S20" s="113"/>
      <c r="Y20" s="41"/>
      <c r="Z20" s="41"/>
      <c r="AA20" s="41"/>
    </row>
    <row r="21" spans="2:27">
      <c r="B21" s="1"/>
      <c r="C21" s="7"/>
      <c r="D21" s="7"/>
      <c r="E21" s="7"/>
      <c r="F21" s="7"/>
      <c r="H21" s="64"/>
      <c r="I21" s="64"/>
      <c r="J21" s="65"/>
      <c r="K21" s="266"/>
      <c r="L21" s="265"/>
      <c r="M21" s="263"/>
      <c r="N21" s="64"/>
      <c r="O21" s="64"/>
      <c r="P21" s="65"/>
      <c r="Q21" s="1"/>
      <c r="S21" s="113"/>
      <c r="Y21" s="41"/>
      <c r="Z21" s="41"/>
      <c r="AA21" s="41"/>
    </row>
    <row r="22" spans="2:27">
      <c r="B22" s="1"/>
      <c r="C22" s="7"/>
      <c r="D22" s="7"/>
      <c r="E22" s="7"/>
      <c r="F22" s="7"/>
      <c r="H22" s="64"/>
      <c r="I22" s="64"/>
      <c r="J22" s="65"/>
      <c r="K22" s="266"/>
      <c r="L22" s="265"/>
      <c r="M22" s="263"/>
      <c r="N22" s="64"/>
      <c r="O22" s="64"/>
      <c r="P22" s="65"/>
      <c r="Q22" s="1"/>
      <c r="S22" s="113"/>
      <c r="Y22" s="40"/>
      <c r="Z22" s="40"/>
      <c r="AA22" s="41"/>
    </row>
    <row r="23" spans="2:27">
      <c r="B23" s="1"/>
      <c r="C23" s="7"/>
      <c r="D23" s="7"/>
      <c r="E23" s="7"/>
      <c r="F23" s="7"/>
      <c r="H23" s="64"/>
      <c r="I23" s="64"/>
      <c r="J23" s="65"/>
      <c r="K23" s="266"/>
      <c r="L23" s="265"/>
      <c r="M23" s="263"/>
      <c r="N23" s="64"/>
      <c r="O23" s="64"/>
      <c r="P23" s="65"/>
      <c r="Q23" s="1"/>
      <c r="S23" s="113"/>
      <c r="Y23" s="41"/>
      <c r="Z23" s="41"/>
      <c r="AA23" s="41"/>
    </row>
    <row r="24" spans="2:27">
      <c r="B24" s="1"/>
      <c r="C24" s="7"/>
      <c r="D24" s="7"/>
      <c r="E24" s="7"/>
      <c r="F24" s="7"/>
      <c r="H24" s="64"/>
      <c r="I24" s="64"/>
      <c r="J24" s="65"/>
      <c r="K24" s="266"/>
      <c r="L24" s="265"/>
      <c r="M24" s="263"/>
      <c r="N24" s="64"/>
      <c r="O24" s="64"/>
      <c r="P24" s="65"/>
      <c r="Q24" s="1"/>
      <c r="S24" s="113"/>
      <c r="Y24" s="41"/>
      <c r="Z24" s="41"/>
      <c r="AA24" s="41"/>
    </row>
    <row r="25" spans="2:27">
      <c r="B25" s="1"/>
      <c r="C25" s="7"/>
      <c r="D25" s="7"/>
      <c r="E25" s="7"/>
      <c r="F25" s="7"/>
      <c r="H25" s="64"/>
      <c r="I25" s="64"/>
      <c r="J25" s="65"/>
      <c r="K25" s="266"/>
      <c r="L25" s="265"/>
      <c r="M25" s="263"/>
      <c r="N25" s="64"/>
      <c r="O25" s="64"/>
      <c r="P25" s="65"/>
      <c r="Q25" s="1"/>
      <c r="S25" s="113"/>
      <c r="Y25" s="41"/>
      <c r="Z25" s="41"/>
      <c r="AA25" s="41"/>
    </row>
    <row r="26" spans="2:27">
      <c r="B26" s="1"/>
      <c r="C26" s="7"/>
      <c r="D26" s="7"/>
      <c r="E26" s="7"/>
      <c r="F26" s="7"/>
      <c r="N26" s="58"/>
      <c r="O26" s="58"/>
      <c r="Q26" s="1"/>
      <c r="S26" s="113"/>
      <c r="Y26" s="40"/>
      <c r="Z26" s="40"/>
      <c r="AA26" s="41"/>
    </row>
    <row r="27" spans="2:27">
      <c r="B27" s="1"/>
      <c r="C27" s="7"/>
      <c r="D27" s="7"/>
      <c r="E27" s="7"/>
      <c r="F27" s="7"/>
      <c r="N27" s="58"/>
      <c r="O27" s="58"/>
      <c r="Q27" s="1"/>
      <c r="S27" s="113"/>
      <c r="Y27" s="41"/>
      <c r="Z27" s="41"/>
      <c r="AA27" s="41"/>
    </row>
    <row r="28" spans="2:27">
      <c r="B28" s="1"/>
      <c r="C28" s="7"/>
      <c r="D28" s="7"/>
      <c r="E28" s="7"/>
      <c r="F28" s="7"/>
      <c r="N28" s="58"/>
      <c r="O28" s="58"/>
      <c r="Q28" s="1"/>
      <c r="S28" s="113"/>
      <c r="Y28" s="41"/>
      <c r="Z28" s="41"/>
      <c r="AA28" s="41"/>
    </row>
    <row r="29" spans="2:27">
      <c r="B29" s="1"/>
      <c r="C29" s="7"/>
      <c r="D29" s="7"/>
      <c r="E29" s="7"/>
      <c r="F29" s="7"/>
      <c r="N29" s="58"/>
      <c r="O29" s="58"/>
      <c r="Q29" s="1"/>
      <c r="S29" s="113"/>
      <c r="Y29" s="40"/>
      <c r="Z29" s="40"/>
      <c r="AA29" s="41"/>
    </row>
    <row r="30" spans="2:27">
      <c r="B30" s="1"/>
      <c r="C30" s="7"/>
      <c r="D30" s="7"/>
      <c r="E30" s="7"/>
      <c r="F30" s="7"/>
      <c r="N30" s="58"/>
      <c r="O30" s="58"/>
      <c r="Q30" s="1"/>
      <c r="S30" s="113"/>
      <c r="Y30" s="41"/>
      <c r="Z30" s="41"/>
      <c r="AA30" s="41"/>
    </row>
    <row r="31" spans="2:27">
      <c r="B31" s="1"/>
      <c r="C31" s="7"/>
      <c r="D31" s="7"/>
      <c r="E31" s="7"/>
      <c r="F31" s="7"/>
      <c r="N31" s="58"/>
      <c r="O31" s="58"/>
      <c r="Q31" s="1"/>
      <c r="S31" s="113"/>
      <c r="Y31" s="40"/>
      <c r="Z31" s="40"/>
      <c r="AA31" s="40"/>
    </row>
    <row r="32" spans="2:27">
      <c r="B32" s="1"/>
      <c r="C32" s="7"/>
      <c r="D32" s="7"/>
      <c r="E32" s="7"/>
      <c r="F32" s="7"/>
      <c r="N32" s="58"/>
      <c r="O32" s="58"/>
      <c r="Q32" s="1"/>
      <c r="S32" s="113"/>
      <c r="Y32" s="41"/>
      <c r="Z32" s="41"/>
      <c r="AA32" s="41"/>
    </row>
    <row r="33" spans="2:27">
      <c r="B33" s="1"/>
      <c r="C33" s="7"/>
      <c r="D33" s="7"/>
      <c r="E33" s="7"/>
      <c r="F33" s="7"/>
      <c r="N33" s="58"/>
      <c r="O33" s="58"/>
      <c r="Q33" s="1"/>
      <c r="S33" s="113"/>
      <c r="Y33" s="41"/>
      <c r="Z33" s="41"/>
      <c r="AA33" s="41"/>
    </row>
    <row r="34" spans="2:27">
      <c r="B34" s="1"/>
      <c r="C34" s="7"/>
      <c r="D34" s="7"/>
      <c r="E34" s="7"/>
      <c r="F34" s="7"/>
      <c r="N34" s="58"/>
      <c r="O34" s="58"/>
      <c r="Q34" s="1"/>
      <c r="S34" s="113"/>
      <c r="Y34" s="41"/>
      <c r="Z34" s="41"/>
      <c r="AA34" s="41"/>
    </row>
    <row r="35" spans="2:27">
      <c r="B35" s="1"/>
      <c r="C35" s="7"/>
      <c r="D35" s="7"/>
      <c r="E35" s="7"/>
      <c r="F35" s="7"/>
      <c r="N35" s="58"/>
      <c r="O35" s="58"/>
      <c r="Q35" s="1"/>
      <c r="S35" s="113"/>
      <c r="Y35" s="41"/>
      <c r="Z35" s="41"/>
      <c r="AA35" s="41"/>
    </row>
    <row r="36" spans="2:27">
      <c r="B36" s="1"/>
      <c r="C36" s="7"/>
      <c r="D36" s="7"/>
      <c r="E36" s="7"/>
      <c r="F36" s="7"/>
      <c r="N36" s="58"/>
      <c r="O36" s="58"/>
      <c r="Q36" s="1"/>
      <c r="S36" s="113"/>
    </row>
    <row r="37" spans="2:27">
      <c r="B37" s="1"/>
      <c r="C37" s="7"/>
      <c r="D37" s="7"/>
      <c r="E37" s="7"/>
      <c r="F37" s="7"/>
      <c r="N37" s="58"/>
      <c r="O37" s="58"/>
      <c r="Q37" s="1"/>
      <c r="S37" s="113"/>
    </row>
    <row r="38" spans="2:27">
      <c r="B38" s="1"/>
      <c r="C38" s="7"/>
      <c r="D38" s="7"/>
      <c r="E38" s="7"/>
      <c r="F38" s="7"/>
      <c r="N38" s="58"/>
      <c r="O38" s="58"/>
      <c r="Q38" s="1"/>
      <c r="S38" s="113"/>
    </row>
    <row r="39" spans="2:27">
      <c r="B39" s="1"/>
      <c r="C39" s="7"/>
      <c r="D39" s="7"/>
      <c r="E39" s="7"/>
      <c r="F39" s="7"/>
      <c r="N39" s="58"/>
      <c r="O39" s="58"/>
      <c r="Q39" s="1"/>
      <c r="S39" s="113"/>
    </row>
    <row r="40" spans="2:27">
      <c r="B40" s="1"/>
      <c r="C40" s="7"/>
      <c r="D40" s="7"/>
      <c r="E40" s="7"/>
      <c r="F40" s="7"/>
      <c r="N40" s="58"/>
      <c r="O40" s="58"/>
      <c r="Q40" s="1"/>
      <c r="S40" s="113"/>
    </row>
    <row r="41" spans="2:27">
      <c r="B41" s="1"/>
      <c r="C41" s="7"/>
      <c r="D41" s="7"/>
      <c r="E41" s="7"/>
      <c r="F41" s="7"/>
      <c r="N41" s="58"/>
      <c r="O41" s="58"/>
      <c r="Q41" s="1"/>
      <c r="S41" s="113"/>
    </row>
    <row r="42" spans="2:27">
      <c r="B42" s="1"/>
      <c r="C42" s="7"/>
      <c r="D42" s="7"/>
      <c r="E42" s="7"/>
      <c r="F42" s="7"/>
      <c r="N42" s="58"/>
      <c r="O42" s="58"/>
      <c r="Q42" s="1"/>
      <c r="S42" s="113"/>
    </row>
    <row r="43" spans="2:27">
      <c r="B43" s="1"/>
      <c r="C43" s="7"/>
      <c r="D43" s="7"/>
      <c r="E43" s="7"/>
      <c r="F43" s="7"/>
      <c r="N43" s="58"/>
      <c r="O43" s="58"/>
      <c r="Q43" s="1"/>
      <c r="S43" s="113"/>
    </row>
    <row r="44" spans="2:27">
      <c r="B44" s="1"/>
      <c r="C44" s="7"/>
      <c r="D44" s="7"/>
      <c r="E44" s="7"/>
      <c r="F44" s="7"/>
      <c r="N44" s="58"/>
      <c r="O44" s="58"/>
      <c r="Q44" s="1"/>
      <c r="S44" s="113"/>
    </row>
    <row r="45" spans="2:27">
      <c r="B45" s="1"/>
      <c r="C45" s="7"/>
      <c r="D45" s="7"/>
      <c r="E45" s="7"/>
      <c r="F45" s="7"/>
      <c r="N45" s="58"/>
      <c r="O45" s="58"/>
      <c r="Q45" s="1"/>
      <c r="S45" s="113"/>
    </row>
    <row r="46" spans="2:27">
      <c r="B46" s="1"/>
      <c r="C46" s="7"/>
      <c r="D46" s="7"/>
      <c r="E46" s="7"/>
      <c r="F46" s="7"/>
      <c r="N46" s="58"/>
      <c r="O46" s="58"/>
      <c r="Q46" s="1"/>
      <c r="S46" s="113"/>
    </row>
    <row r="47" spans="2:27">
      <c r="B47" s="1"/>
      <c r="C47" s="7"/>
      <c r="D47" s="7"/>
      <c r="E47" s="7"/>
      <c r="F47" s="7"/>
      <c r="N47" s="58"/>
      <c r="O47" s="58"/>
      <c r="Q47" s="1"/>
      <c r="S47" s="113"/>
    </row>
    <row r="48" spans="2:27">
      <c r="B48" s="1"/>
      <c r="C48" s="7"/>
      <c r="D48" s="7"/>
      <c r="E48" s="7"/>
      <c r="F48" s="7"/>
      <c r="N48" s="58"/>
      <c r="O48" s="58"/>
      <c r="Q48" s="1"/>
      <c r="S48" s="113"/>
    </row>
    <row r="49" spans="2:17">
      <c r="B49" s="1"/>
      <c r="C49" s="7"/>
      <c r="D49" s="7"/>
      <c r="E49" s="7"/>
      <c r="F49" s="7"/>
      <c r="N49" s="58"/>
      <c r="O49" s="58"/>
      <c r="Q49" s="1"/>
    </row>
    <row r="50" spans="2:17">
      <c r="B50" s="1"/>
      <c r="C50" s="7"/>
      <c r="D50" s="7"/>
      <c r="E50" s="7"/>
      <c r="F50" s="7"/>
      <c r="N50" s="58"/>
      <c r="O50" s="58"/>
      <c r="Q50" s="1"/>
    </row>
    <row r="51" spans="2:17">
      <c r="B51" s="1"/>
      <c r="C51" s="7"/>
      <c r="D51" s="7"/>
      <c r="E51" s="7"/>
      <c r="F51" s="7"/>
      <c r="N51" s="58"/>
      <c r="O51" s="58"/>
      <c r="Q51" s="1"/>
    </row>
    <row r="52" spans="2:17">
      <c r="B52" s="1"/>
      <c r="C52" s="7"/>
      <c r="D52" s="7"/>
      <c r="E52" s="7"/>
      <c r="F52" s="7"/>
      <c r="N52" s="58"/>
      <c r="O52" s="58"/>
      <c r="Q52" s="1"/>
    </row>
    <row r="53" spans="2:17">
      <c r="B53" s="1"/>
      <c r="C53" s="7"/>
      <c r="D53" s="7"/>
      <c r="E53" s="7"/>
      <c r="F53" s="7"/>
      <c r="N53" s="58"/>
      <c r="O53" s="58"/>
      <c r="Q53" s="1"/>
    </row>
    <row r="54" spans="2:17">
      <c r="B54" s="1"/>
      <c r="C54" s="7"/>
      <c r="D54" s="7"/>
      <c r="E54" s="7"/>
      <c r="F54" s="7"/>
      <c r="N54" s="58"/>
      <c r="O54" s="58"/>
      <c r="Q54" s="1"/>
    </row>
    <row r="55" spans="2:17">
      <c r="B55" s="1"/>
      <c r="C55" s="7"/>
      <c r="D55" s="7"/>
      <c r="E55" s="7"/>
      <c r="F55" s="7"/>
      <c r="N55" s="58"/>
      <c r="O55" s="58"/>
      <c r="Q55" s="1"/>
    </row>
    <row r="56" spans="2:17">
      <c r="B56" s="1"/>
      <c r="C56" s="7"/>
      <c r="D56" s="7"/>
      <c r="E56" s="7"/>
      <c r="F56" s="7"/>
      <c r="N56" s="58"/>
      <c r="O56" s="58"/>
      <c r="Q56" s="1"/>
    </row>
    <row r="57" spans="2:17">
      <c r="B57" s="1"/>
      <c r="C57" s="7"/>
      <c r="D57" s="7"/>
      <c r="E57" s="7"/>
      <c r="F57" s="7"/>
      <c r="N57" s="58"/>
      <c r="O57" s="58"/>
      <c r="Q57" s="1"/>
    </row>
    <row r="58" spans="2:17">
      <c r="B58" s="1"/>
      <c r="C58" s="7"/>
      <c r="D58" s="7"/>
      <c r="E58" s="7"/>
      <c r="F58" s="7"/>
      <c r="N58" s="58"/>
      <c r="O58" s="58"/>
      <c r="Q58" s="1"/>
    </row>
    <row r="59" spans="2:17">
      <c r="B59" s="1"/>
      <c r="C59" s="7"/>
      <c r="D59" s="7"/>
      <c r="E59" s="7"/>
      <c r="F59" s="7"/>
      <c r="N59" s="58"/>
      <c r="O59" s="58"/>
      <c r="Q59" s="1"/>
    </row>
    <row r="60" spans="2:17">
      <c r="B60" s="1"/>
      <c r="C60" s="7"/>
      <c r="D60" s="7"/>
      <c r="E60" s="7"/>
      <c r="F60" s="7"/>
      <c r="N60" s="58"/>
      <c r="O60" s="58"/>
      <c r="Q60" s="1"/>
    </row>
    <row r="61" spans="2:17">
      <c r="B61" s="1"/>
      <c r="C61" s="7"/>
      <c r="D61" s="7"/>
      <c r="E61" s="7"/>
      <c r="F61" s="7"/>
      <c r="N61" s="58"/>
      <c r="O61" s="58"/>
      <c r="Q61" s="1"/>
    </row>
    <row r="62" spans="2:17">
      <c r="B62" s="1"/>
      <c r="C62" s="7"/>
      <c r="D62" s="7"/>
      <c r="E62" s="7"/>
      <c r="F62" s="7"/>
      <c r="N62" s="58"/>
      <c r="O62" s="58"/>
      <c r="Q62" s="1"/>
    </row>
    <row r="63" spans="2:17">
      <c r="B63" s="1"/>
      <c r="C63" s="7"/>
      <c r="D63" s="7"/>
      <c r="E63" s="7"/>
      <c r="F63" s="7"/>
      <c r="N63" s="58"/>
      <c r="O63" s="58"/>
      <c r="Q63" s="1"/>
    </row>
    <row r="64" spans="2:17">
      <c r="B64" s="1"/>
      <c r="C64" s="7"/>
      <c r="D64" s="7"/>
      <c r="E64" s="7"/>
      <c r="F64" s="7"/>
      <c r="N64" s="58"/>
      <c r="O64" s="58"/>
      <c r="Q64" s="1"/>
    </row>
    <row r="65" spans="2:17">
      <c r="B65" s="1"/>
      <c r="C65" s="7"/>
      <c r="D65" s="7"/>
      <c r="E65" s="7"/>
      <c r="F65" s="7"/>
      <c r="N65" s="58"/>
      <c r="O65" s="58"/>
      <c r="Q65" s="1"/>
    </row>
    <row r="66" spans="2:17">
      <c r="B66" s="1"/>
      <c r="C66" s="7"/>
      <c r="D66" s="7"/>
      <c r="E66" s="7"/>
      <c r="F66" s="7"/>
      <c r="N66" s="58"/>
      <c r="O66" s="58"/>
      <c r="Q66" s="1"/>
    </row>
    <row r="67" spans="2:17">
      <c r="B67" s="1"/>
      <c r="C67" s="7"/>
      <c r="D67" s="7"/>
      <c r="E67" s="7"/>
      <c r="F67" s="7"/>
      <c r="N67" s="58"/>
      <c r="O67" s="58"/>
      <c r="Q67" s="1"/>
    </row>
    <row r="68" spans="2:17">
      <c r="B68" s="1"/>
      <c r="C68" s="7"/>
      <c r="D68" s="7"/>
      <c r="E68" s="7"/>
      <c r="F68" s="7"/>
      <c r="N68" s="58"/>
      <c r="O68" s="58"/>
      <c r="Q68" s="1"/>
    </row>
    <row r="69" spans="2:17">
      <c r="B69" s="1"/>
      <c r="C69" s="7"/>
      <c r="D69" s="7"/>
      <c r="E69" s="7"/>
      <c r="F69" s="7"/>
      <c r="N69" s="58"/>
      <c r="O69" s="58"/>
      <c r="Q69" s="1"/>
    </row>
    <row r="70" spans="2:17">
      <c r="B70" s="1"/>
      <c r="C70" s="7"/>
      <c r="D70" s="7"/>
      <c r="E70" s="7"/>
      <c r="F70" s="7"/>
      <c r="N70" s="58"/>
      <c r="O70" s="58"/>
      <c r="Q70" s="1"/>
    </row>
    <row r="71" spans="2:17">
      <c r="B71" s="1"/>
      <c r="C71" s="7"/>
      <c r="D71" s="7"/>
      <c r="E71" s="7"/>
      <c r="F71" s="7"/>
      <c r="N71" s="58"/>
      <c r="O71" s="58"/>
      <c r="Q71" s="1"/>
    </row>
    <row r="72" spans="2:17">
      <c r="B72" s="1"/>
      <c r="C72" s="7"/>
      <c r="D72" s="7"/>
      <c r="E72" s="7"/>
      <c r="F72" s="7"/>
      <c r="N72" s="58"/>
      <c r="O72" s="58"/>
      <c r="Q72" s="1"/>
    </row>
    <row r="73" spans="2:17">
      <c r="B73" s="1"/>
      <c r="C73" s="7"/>
      <c r="D73" s="7"/>
      <c r="E73" s="7"/>
      <c r="F73" s="7"/>
      <c r="N73" s="58"/>
      <c r="O73" s="58"/>
      <c r="Q73" s="1"/>
    </row>
    <row r="74" spans="2:17">
      <c r="N74" s="58"/>
      <c r="O74" s="58"/>
    </row>
    <row r="75" spans="2:17">
      <c r="N75" s="58"/>
      <c r="O75" s="58"/>
    </row>
    <row r="76" spans="2:17">
      <c r="N76" s="58"/>
      <c r="O76" s="58"/>
    </row>
    <row r="77" spans="2:17">
      <c r="N77" s="58"/>
      <c r="O77" s="58"/>
    </row>
    <row r="78" spans="2:17">
      <c r="N78" s="58"/>
      <c r="O78" s="58"/>
    </row>
    <row r="79" spans="2:17">
      <c r="N79" s="58"/>
      <c r="O79" s="58"/>
    </row>
    <row r="80" spans="2:17">
      <c r="N80" s="58"/>
      <c r="O80" s="58"/>
    </row>
    <row r="81" spans="14:15">
      <c r="N81" s="58"/>
      <c r="O81" s="58"/>
    </row>
    <row r="82" spans="14:15">
      <c r="N82" s="58"/>
      <c r="O82" s="58"/>
    </row>
    <row r="83" spans="14:15">
      <c r="N83" s="58"/>
      <c r="O83" s="58"/>
    </row>
    <row r="84" spans="14:15">
      <c r="N84" s="58"/>
      <c r="O84" s="58"/>
    </row>
    <row r="85" spans="14:15">
      <c r="N85" s="58"/>
      <c r="O85" s="58"/>
    </row>
    <row r="86" spans="14:15">
      <c r="N86" s="58"/>
      <c r="O86" s="58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D96CAFC-B00D-4003-BD40-5B11B4845578}">
          <x14:formula1>
            <xm:f>기계코드!$F$5:$F$43</xm:f>
          </x14:formula1>
          <xm:sqref>C10:C73</xm:sqref>
        </x14:dataValidation>
        <x14:dataValidation type="list" allowBlank="1" showInputMessage="1" showErrorMessage="1" xr:uid="{3EC64B43-8452-4747-AB6A-40ACAA6034D1}">
          <x14:formula1>
            <xm:f>기계코드!$F$121:$F$124</xm:f>
          </x14:formula1>
          <xm:sqref>C3:C9</xm:sqref>
        </x14:dataValidation>
        <x14:dataValidation type="list" allowBlank="1" showInputMessage="1" showErrorMessage="1" xr:uid="{899BE642-C395-4297-A070-5CB115DEA44D}">
          <x14:formula1>
            <xm:f>공급업체코드!$D$3:$D$47</xm:f>
          </x14:formula1>
          <xm:sqref>E3:E73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3C0C-DF28-4139-B4EB-3C481CEF8757}">
  <dimension ref="B1:AU383"/>
  <sheetViews>
    <sheetView zoomScale="70" zoomScaleNormal="70" workbookViewId="0">
      <pane ySplit="2" topLeftCell="A7" activePane="bottomLeft" state="frozen"/>
      <selection pane="bottomLeft" activeCell="H1" sqref="H1:H2"/>
    </sheetView>
  </sheetViews>
  <sheetFormatPr defaultRowHeight="16.5"/>
  <cols>
    <col min="1" max="1" width="16.875" customWidth="1"/>
    <col min="2" max="2" width="32.75" customWidth="1"/>
    <col min="3" max="3" width="43.625" bestFit="1" customWidth="1"/>
    <col min="4" max="4" width="16.125" customWidth="1"/>
    <col min="5" max="5" width="18.25" customWidth="1"/>
    <col min="6" max="6" width="13.875" bestFit="1" customWidth="1"/>
    <col min="7" max="7" width="16.25" style="18" customWidth="1"/>
    <col min="8" max="8" width="17.25" customWidth="1"/>
    <col min="9" max="9" width="16.375" bestFit="1" customWidth="1"/>
    <col min="10" max="11" width="16.75" customWidth="1"/>
    <col min="12" max="12" width="16.125" customWidth="1"/>
    <col min="13" max="21" width="16.75" customWidth="1"/>
    <col min="22" max="22" width="19.75" bestFit="1" customWidth="1"/>
    <col min="23" max="23" width="15.25" customWidth="1"/>
    <col min="24" max="24" width="17.625" customWidth="1"/>
    <col min="25" max="25" width="15.375" customWidth="1"/>
    <col min="26" max="26" width="16.75" customWidth="1"/>
    <col min="27" max="28" width="19.75" customWidth="1"/>
    <col min="29" max="29" width="25.625" bestFit="1" customWidth="1"/>
    <col min="30" max="30" width="16.125" style="18" customWidth="1"/>
    <col min="31" max="31" width="16.125" style="261" customWidth="1"/>
    <col min="32" max="32" width="25.75" style="10" bestFit="1" customWidth="1"/>
    <col min="33" max="33" width="16.125" style="260" customWidth="1"/>
    <col min="34" max="34" width="16.125" customWidth="1"/>
    <col min="35" max="35" width="21.25" bestFit="1" customWidth="1"/>
    <col min="36" max="36" width="17.25" style="18" customWidth="1"/>
    <col min="37" max="37" width="10.5" customWidth="1"/>
    <col min="38" max="38" width="27.625" bestFit="1" customWidth="1"/>
    <col min="39" max="39" width="20.625" customWidth="1"/>
    <col min="41" max="41" width="12.375" customWidth="1"/>
    <col min="42" max="42" width="11.375" bestFit="1" customWidth="1"/>
    <col min="45" max="45" width="22.125" bestFit="1" customWidth="1"/>
    <col min="46" max="46" width="36.375" bestFit="1" customWidth="1"/>
    <col min="47" max="47" width="15.375" bestFit="1" customWidth="1"/>
  </cols>
  <sheetData>
    <row r="1" spans="2:47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2123</v>
      </c>
      <c r="I1" s="10" t="s">
        <v>2124</v>
      </c>
      <c r="J1" s="10" t="s">
        <v>2125</v>
      </c>
      <c r="K1" s="10" t="s">
        <v>2126</v>
      </c>
      <c r="L1" s="10" t="s">
        <v>2127</v>
      </c>
      <c r="M1" s="10" t="s">
        <v>2128</v>
      </c>
      <c r="N1" s="10" t="s">
        <v>2129</v>
      </c>
      <c r="O1" s="10" t="s">
        <v>2130</v>
      </c>
      <c r="P1" s="10" t="s">
        <v>2131</v>
      </c>
      <c r="Q1" s="10" t="s">
        <v>2132</v>
      </c>
      <c r="R1" s="10" t="s">
        <v>2133</v>
      </c>
      <c r="S1" s="10" t="s">
        <v>2134</v>
      </c>
      <c r="T1" s="10" t="s">
        <v>2135</v>
      </c>
      <c r="U1" s="10" t="s">
        <v>2136</v>
      </c>
      <c r="V1" s="10" t="s">
        <v>2137</v>
      </c>
      <c r="W1" s="10" t="s">
        <v>2138</v>
      </c>
      <c r="X1" s="10" t="s">
        <v>1318</v>
      </c>
      <c r="Y1" s="10" t="s">
        <v>1319</v>
      </c>
      <c r="Z1" s="10" t="s">
        <v>1320</v>
      </c>
      <c r="AA1" s="10" t="s">
        <v>1321</v>
      </c>
      <c r="AB1" s="10" t="s">
        <v>1322</v>
      </c>
      <c r="AC1" s="10" t="s">
        <v>1323</v>
      </c>
      <c r="AD1" s="17" t="s">
        <v>1324</v>
      </c>
      <c r="AE1" s="131" t="s">
        <v>1290</v>
      </c>
      <c r="AF1" s="131" t="s">
        <v>1291</v>
      </c>
      <c r="AG1" s="131" t="s">
        <v>1292</v>
      </c>
      <c r="AH1" s="10" t="s">
        <v>1293</v>
      </c>
      <c r="AI1" s="17" t="s">
        <v>1294</v>
      </c>
      <c r="AJ1" s="61" t="s">
        <v>1295</v>
      </c>
      <c r="AK1" s="10" t="s">
        <v>1296</v>
      </c>
      <c r="AL1" s="10" t="s">
        <v>1297</v>
      </c>
      <c r="AM1" s="249" t="s">
        <v>1298</v>
      </c>
    </row>
    <row r="2" spans="2:47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00" t="s">
        <v>1302</v>
      </c>
      <c r="H2" s="115" t="s">
        <v>2139</v>
      </c>
      <c r="I2" s="85" t="s">
        <v>2140</v>
      </c>
      <c r="J2" s="85" t="s">
        <v>2141</v>
      </c>
      <c r="K2" s="85" t="s">
        <v>2142</v>
      </c>
      <c r="L2" s="85" t="s">
        <v>2143</v>
      </c>
      <c r="M2" s="85" t="s">
        <v>2144</v>
      </c>
      <c r="N2" s="85" t="s">
        <v>2145</v>
      </c>
      <c r="O2" s="85" t="s">
        <v>2146</v>
      </c>
      <c r="P2" s="85" t="s">
        <v>2147</v>
      </c>
      <c r="Q2" s="85" t="s">
        <v>2148</v>
      </c>
      <c r="R2" s="85" t="s">
        <v>2149</v>
      </c>
      <c r="S2" s="85" t="s">
        <v>2150</v>
      </c>
      <c r="T2" s="85" t="s">
        <v>2151</v>
      </c>
      <c r="U2" s="85" t="s">
        <v>2152</v>
      </c>
      <c r="V2" s="85" t="s">
        <v>2153</v>
      </c>
      <c r="W2" s="90" t="s">
        <v>2154</v>
      </c>
      <c r="X2" s="5" t="s">
        <v>1371</v>
      </c>
      <c r="Y2" s="5" t="s">
        <v>1328</v>
      </c>
      <c r="Z2" s="53" t="s">
        <v>1329</v>
      </c>
      <c r="AA2" s="5" t="s">
        <v>1330</v>
      </c>
      <c r="AB2" s="5" t="s">
        <v>1331</v>
      </c>
      <c r="AC2" s="57" t="s">
        <v>1332</v>
      </c>
      <c r="AD2" s="14" t="s">
        <v>1333</v>
      </c>
      <c r="AE2" s="5" t="s">
        <v>1305</v>
      </c>
      <c r="AF2" s="5" t="s">
        <v>1306</v>
      </c>
      <c r="AG2" s="5" t="s">
        <v>1307</v>
      </c>
      <c r="AH2" s="19" t="s">
        <v>1308</v>
      </c>
      <c r="AI2" s="108" t="s">
        <v>1309</v>
      </c>
      <c r="AJ2" s="241" t="s">
        <v>1310</v>
      </c>
      <c r="AK2" s="54" t="s">
        <v>1311</v>
      </c>
      <c r="AL2" s="3" t="s">
        <v>10</v>
      </c>
      <c r="AM2" s="242" t="s">
        <v>1312</v>
      </c>
      <c r="AS2" s="41"/>
      <c r="AT2" s="41"/>
      <c r="AU2" s="41"/>
    </row>
    <row r="3" spans="2:47">
      <c r="B3" s="1" t="str">
        <f t="shared" ref="B3:B27" si="0">D3&amp;"_"&amp;F3&amp;"_"&amp;H3</f>
        <v>M_DAF0201_VM_BKT_7</v>
      </c>
      <c r="C3" s="7" t="s">
        <v>433</v>
      </c>
      <c r="D3" s="7" t="str" cm="1">
        <f t="array" ref="D3">INDEX(기계코드!$D$4:$D$1022,MATCH(1,(C3=기계코드!$F$4:$F$1022)*1,0))</f>
        <v>M_DAF0201</v>
      </c>
      <c r="E3" s="7" t="s">
        <v>1128</v>
      </c>
      <c r="F3" s="7" t="str" cm="1">
        <f t="array" ref="F3">INDEX(공급업체코드!$B$3:$B$1000,MATCH(1,(E3=공급업체코드!$D$3:$D$1000)*1,0))</f>
        <v>VM_BKT</v>
      </c>
      <c r="G3" s="91" t="s">
        <v>2155</v>
      </c>
      <c r="H3" s="50">
        <v>7</v>
      </c>
      <c r="I3" s="86">
        <v>0.5</v>
      </c>
      <c r="J3" s="87">
        <v>0.5</v>
      </c>
      <c r="K3" s="87">
        <v>0.5</v>
      </c>
      <c r="L3" s="88">
        <v>0.8</v>
      </c>
      <c r="M3" s="88">
        <v>0.8</v>
      </c>
      <c r="N3" s="88">
        <v>1</v>
      </c>
      <c r="O3" s="88">
        <v>0.8</v>
      </c>
      <c r="P3" s="88">
        <v>1.1000000000000001</v>
      </c>
      <c r="Q3" s="88">
        <v>0.8</v>
      </c>
      <c r="R3" s="88">
        <v>1.8</v>
      </c>
      <c r="S3" s="88">
        <v>2.6</v>
      </c>
      <c r="T3" s="88">
        <v>1.7</v>
      </c>
      <c r="U3" s="88">
        <v>2.2000000000000002</v>
      </c>
      <c r="V3" s="88">
        <v>80</v>
      </c>
      <c r="W3" s="88">
        <v>1</v>
      </c>
      <c r="X3" s="88">
        <v>10.55</v>
      </c>
      <c r="Y3" s="7" t="s">
        <v>990</v>
      </c>
      <c r="Z3" s="7">
        <v>380</v>
      </c>
      <c r="AA3" s="151">
        <v>0.92400000000000004</v>
      </c>
      <c r="AB3" s="7">
        <v>0.9</v>
      </c>
      <c r="AC3" s="7">
        <v>80</v>
      </c>
      <c r="AD3" s="89"/>
      <c r="AE3" s="256" t="s">
        <v>1374</v>
      </c>
      <c r="AG3" s="257" t="s">
        <v>1375</v>
      </c>
      <c r="AH3" s="63">
        <v>392000000</v>
      </c>
      <c r="AI3" s="63"/>
      <c r="AJ3" s="65"/>
      <c r="AK3" s="1" t="b">
        <v>1</v>
      </c>
      <c r="AM3" s="133"/>
      <c r="AS3" s="41"/>
      <c r="AT3" s="41"/>
      <c r="AU3" s="41"/>
    </row>
    <row r="4" spans="2:47">
      <c r="B4" s="1" t="str">
        <f t="shared" si="0"/>
        <v>M_DAF0201_VM_BKT_10</v>
      </c>
      <c r="C4" s="7" t="s">
        <v>433</v>
      </c>
      <c r="D4" s="7" t="str" cm="1">
        <f t="array" ref="D4">INDEX(기계코드!$D$4:$D$1022,MATCH(1,(C4=기계코드!$F$4:$F$1022)*1,0))</f>
        <v>M_DAF0201</v>
      </c>
      <c r="E4" s="7" t="s">
        <v>1128</v>
      </c>
      <c r="F4" s="7" t="str" cm="1">
        <f t="array" ref="F4">INDEX(공급업체코드!$B$3:$B$1000,MATCH(1,(E4=공급업체코드!$D$3:$D$1000)*1,0))</f>
        <v>VM_BKT</v>
      </c>
      <c r="G4" s="43" t="s">
        <v>2156</v>
      </c>
      <c r="H4" s="34">
        <v>10</v>
      </c>
      <c r="I4" s="72">
        <v>0.5</v>
      </c>
      <c r="J4" s="72">
        <v>0.5</v>
      </c>
      <c r="K4" s="72">
        <v>0.8</v>
      </c>
      <c r="L4" s="34">
        <v>1.1000000000000001</v>
      </c>
      <c r="M4" s="34">
        <v>1</v>
      </c>
      <c r="N4" s="34">
        <v>1.1000000000000001</v>
      </c>
      <c r="O4" s="34">
        <v>0.8</v>
      </c>
      <c r="P4" s="34">
        <v>1.1000000000000001</v>
      </c>
      <c r="Q4" s="34">
        <v>1</v>
      </c>
      <c r="R4" s="34">
        <v>1.8</v>
      </c>
      <c r="S4" s="34">
        <v>2.6</v>
      </c>
      <c r="T4" s="34">
        <v>1.9</v>
      </c>
      <c r="U4" s="34">
        <v>2.4</v>
      </c>
      <c r="V4" s="34">
        <v>80</v>
      </c>
      <c r="W4" s="34">
        <v>1</v>
      </c>
      <c r="X4" s="34">
        <v>10.55</v>
      </c>
      <c r="Y4" s="7" t="s">
        <v>990</v>
      </c>
      <c r="Z4" s="7">
        <v>380</v>
      </c>
      <c r="AA4" s="151">
        <v>0.92400000000000004</v>
      </c>
      <c r="AB4" s="7">
        <v>0.9</v>
      </c>
      <c r="AC4" s="7">
        <v>80</v>
      </c>
      <c r="AD4" s="67"/>
      <c r="AE4" s="258" t="s">
        <v>1374</v>
      </c>
      <c r="AG4" s="259" t="s">
        <v>1375</v>
      </c>
      <c r="AH4" s="63">
        <v>415000000</v>
      </c>
      <c r="AI4" s="63"/>
      <c r="AJ4" s="65"/>
      <c r="AK4" s="1" t="b">
        <v>1</v>
      </c>
      <c r="AM4" s="133"/>
      <c r="AS4" s="41"/>
      <c r="AT4" s="41"/>
      <c r="AU4" s="41"/>
    </row>
    <row r="5" spans="2:47">
      <c r="B5" s="1" t="str">
        <f t="shared" si="0"/>
        <v>M_DAF0201_VM_BKT_15</v>
      </c>
      <c r="C5" s="7" t="s">
        <v>433</v>
      </c>
      <c r="D5" s="7" t="str" cm="1">
        <f t="array" ref="D5">INDEX(기계코드!$D$4:$D$1022,MATCH(1,(C5=기계코드!$F$4:$F$1022)*1,0))</f>
        <v>M_DAF0201</v>
      </c>
      <c r="E5" s="7" t="s">
        <v>1128</v>
      </c>
      <c r="F5" s="7" t="str" cm="1">
        <f t="array" ref="F5">INDEX(공급업체코드!$B$3:$B$1000,MATCH(1,(E5=공급업체코드!$D$3:$D$1000)*1,0))</f>
        <v>VM_BKT</v>
      </c>
      <c r="G5" s="43" t="s">
        <v>2157</v>
      </c>
      <c r="H5" s="34">
        <v>15</v>
      </c>
      <c r="I5" s="72">
        <v>0.6</v>
      </c>
      <c r="J5" s="72">
        <v>0.6</v>
      </c>
      <c r="K5" s="72">
        <v>0.8</v>
      </c>
      <c r="L5" s="34">
        <v>1.1000000000000001</v>
      </c>
      <c r="M5" s="34">
        <v>1.2</v>
      </c>
      <c r="N5" s="34">
        <v>1</v>
      </c>
      <c r="O5" s="34">
        <v>1.1000000000000001</v>
      </c>
      <c r="P5" s="34">
        <v>1.4</v>
      </c>
      <c r="Q5" s="34">
        <v>1.2</v>
      </c>
      <c r="R5" s="34">
        <v>2.2000000000000002</v>
      </c>
      <c r="S5" s="34">
        <v>3</v>
      </c>
      <c r="T5" s="34">
        <v>1.9</v>
      </c>
      <c r="U5" s="34">
        <v>2.4</v>
      </c>
      <c r="V5" s="34">
        <v>80</v>
      </c>
      <c r="W5" s="34">
        <v>1</v>
      </c>
      <c r="X5" s="34">
        <v>10.55</v>
      </c>
      <c r="Y5" s="7" t="s">
        <v>990</v>
      </c>
      <c r="Z5" s="7">
        <v>380</v>
      </c>
      <c r="AA5" s="151">
        <v>0.92400000000000004</v>
      </c>
      <c r="AB5" s="7">
        <v>0.9</v>
      </c>
      <c r="AC5" s="7">
        <v>80</v>
      </c>
      <c r="AD5" s="67"/>
      <c r="AE5" s="258" t="s">
        <v>1374</v>
      </c>
      <c r="AG5" s="259" t="s">
        <v>1375</v>
      </c>
      <c r="AH5" s="63">
        <v>439000000</v>
      </c>
      <c r="AI5" s="63"/>
      <c r="AJ5" s="65"/>
      <c r="AK5" s="1" t="b">
        <v>1</v>
      </c>
      <c r="AM5" s="133"/>
      <c r="AS5" s="41"/>
      <c r="AT5" s="41"/>
      <c r="AU5" s="41"/>
    </row>
    <row r="6" spans="2:47">
      <c r="B6" s="1" t="str">
        <f t="shared" si="0"/>
        <v>M_DAF0201_VM_BKT_20</v>
      </c>
      <c r="C6" s="7" t="s">
        <v>433</v>
      </c>
      <c r="D6" s="7" t="str" cm="1">
        <f t="array" ref="D6">INDEX(기계코드!$D$4:$D$1022,MATCH(1,(C6=기계코드!$F$4:$F$1022)*1,0))</f>
        <v>M_DAF0201</v>
      </c>
      <c r="E6" s="7" t="s">
        <v>1128</v>
      </c>
      <c r="F6" s="7" t="str" cm="1">
        <f t="array" ref="F6">INDEX(공급업체코드!$B$3:$B$1000,MATCH(1,(E6=공급업체코드!$D$3:$D$1000)*1,0))</f>
        <v>VM_BKT</v>
      </c>
      <c r="G6" s="43" t="s">
        <v>2158</v>
      </c>
      <c r="H6" s="34">
        <v>20</v>
      </c>
      <c r="I6" s="72">
        <v>0.7</v>
      </c>
      <c r="J6" s="72">
        <v>0.7</v>
      </c>
      <c r="K6" s="72">
        <v>0.8</v>
      </c>
      <c r="L6" s="34">
        <v>1.1000000000000001</v>
      </c>
      <c r="M6" s="34">
        <v>1.2</v>
      </c>
      <c r="N6" s="34">
        <v>1.2</v>
      </c>
      <c r="O6" s="34">
        <v>1.2</v>
      </c>
      <c r="P6" s="34">
        <v>1.5</v>
      </c>
      <c r="Q6" s="34">
        <v>1.4</v>
      </c>
      <c r="R6" s="34">
        <v>2.4</v>
      </c>
      <c r="S6" s="34">
        <v>3.4</v>
      </c>
      <c r="T6" s="34">
        <v>2</v>
      </c>
      <c r="U6" s="34">
        <v>2.5</v>
      </c>
      <c r="V6" s="34">
        <v>80</v>
      </c>
      <c r="W6" s="34">
        <v>1</v>
      </c>
      <c r="X6" s="34">
        <v>11.15</v>
      </c>
      <c r="Y6" s="7" t="s">
        <v>990</v>
      </c>
      <c r="Z6" s="7">
        <v>380</v>
      </c>
      <c r="AA6" s="151">
        <v>0.93</v>
      </c>
      <c r="AB6" s="7">
        <v>0.9</v>
      </c>
      <c r="AC6" s="7">
        <v>80</v>
      </c>
      <c r="AD6" s="67"/>
      <c r="AE6" s="258" t="s">
        <v>1374</v>
      </c>
      <c r="AG6" s="259" t="s">
        <v>1375</v>
      </c>
      <c r="AH6" s="63">
        <v>538000000</v>
      </c>
      <c r="AI6" s="63"/>
      <c r="AJ6" s="65"/>
      <c r="AK6" s="1" t="b">
        <v>1</v>
      </c>
      <c r="AM6" s="133"/>
      <c r="AS6" s="41"/>
      <c r="AT6" s="41"/>
      <c r="AU6" s="41"/>
    </row>
    <row r="7" spans="2:47">
      <c r="B7" s="1" t="str">
        <f t="shared" si="0"/>
        <v>M_DAF0201_VM_BKT_30</v>
      </c>
      <c r="C7" s="92" t="s">
        <v>433</v>
      </c>
      <c r="D7" s="7" t="str" cm="1">
        <f t="array" ref="D7">INDEX(기계코드!$D$4:$D$1022,MATCH(1,(C7=기계코드!$F$4:$F$1022)*1,0))</f>
        <v>M_DAF0201</v>
      </c>
      <c r="E7" s="7" t="s">
        <v>1128</v>
      </c>
      <c r="F7" s="7" t="str" cm="1">
        <f t="array" ref="F7">INDEX(공급업체코드!$B$3:$B$1000,MATCH(1,(E7=공급업체코드!$D$3:$D$1000)*1,0))</f>
        <v>VM_BKT</v>
      </c>
      <c r="G7" s="43" t="s">
        <v>2159</v>
      </c>
      <c r="H7" s="34">
        <v>30</v>
      </c>
      <c r="I7" s="72">
        <v>0.8</v>
      </c>
      <c r="J7" s="72">
        <v>0.8</v>
      </c>
      <c r="K7" s="72">
        <v>0.9</v>
      </c>
      <c r="L7" s="34">
        <v>1.2</v>
      </c>
      <c r="M7" s="34">
        <v>1.4</v>
      </c>
      <c r="N7" s="34">
        <v>1.4</v>
      </c>
      <c r="O7" s="34">
        <v>1.3</v>
      </c>
      <c r="P7" s="34">
        <v>1.6</v>
      </c>
      <c r="Q7" s="34">
        <v>1.6</v>
      </c>
      <c r="R7" s="34">
        <v>3.2</v>
      </c>
      <c r="S7" s="34">
        <v>4.2</v>
      </c>
      <c r="T7" s="34">
        <v>2</v>
      </c>
      <c r="U7" s="34">
        <v>2.5</v>
      </c>
      <c r="V7" s="34">
        <v>125</v>
      </c>
      <c r="W7" s="34">
        <v>1</v>
      </c>
      <c r="X7" s="34">
        <v>11.65</v>
      </c>
      <c r="Y7" s="7" t="s">
        <v>990</v>
      </c>
      <c r="Z7" s="7">
        <v>380</v>
      </c>
      <c r="AA7" s="151">
        <v>0.93</v>
      </c>
      <c r="AB7" s="7">
        <v>0.9</v>
      </c>
      <c r="AC7" s="7">
        <v>80</v>
      </c>
      <c r="AD7" s="67"/>
      <c r="AE7" s="258" t="s">
        <v>1374</v>
      </c>
      <c r="AG7" s="259" t="s">
        <v>1375</v>
      </c>
      <c r="AH7" s="63">
        <v>558000000</v>
      </c>
      <c r="AI7" s="63"/>
      <c r="AJ7" s="65" t="s">
        <v>1315</v>
      </c>
      <c r="AK7" s="1" t="b">
        <v>1</v>
      </c>
      <c r="AM7" s="113"/>
      <c r="AS7" s="41"/>
      <c r="AT7" s="41"/>
      <c r="AU7" s="41"/>
    </row>
    <row r="8" spans="2:47">
      <c r="B8" s="1" t="str">
        <f t="shared" si="0"/>
        <v>M_DAF0201_VM_BKT_50</v>
      </c>
      <c r="C8" s="7" t="s">
        <v>433</v>
      </c>
      <c r="D8" s="7" t="str" cm="1">
        <f t="array" ref="D8">INDEX(기계코드!$D$4:$D$1022,MATCH(1,(C8=기계코드!$F$4:$F$1022)*1,0))</f>
        <v>M_DAF0201</v>
      </c>
      <c r="E8" s="7" t="s">
        <v>1128</v>
      </c>
      <c r="F8" s="7" t="str" cm="1">
        <f t="array" ref="F8">INDEX(공급업체코드!$B$3:$B$1000,MATCH(1,(E8=공급업체코드!$D$3:$D$1000)*1,0))</f>
        <v>VM_BKT</v>
      </c>
      <c r="G8" s="43" t="s">
        <v>2160</v>
      </c>
      <c r="H8" s="34">
        <v>50</v>
      </c>
      <c r="I8" s="72">
        <v>1</v>
      </c>
      <c r="J8" s="72">
        <v>1</v>
      </c>
      <c r="K8" s="72">
        <v>1</v>
      </c>
      <c r="L8" s="34">
        <v>1.3</v>
      </c>
      <c r="M8" s="34">
        <v>1.6</v>
      </c>
      <c r="N8" s="34">
        <v>1.6</v>
      </c>
      <c r="O8" s="34">
        <v>1.7</v>
      </c>
      <c r="P8" s="34">
        <v>2</v>
      </c>
      <c r="Q8" s="34">
        <v>2</v>
      </c>
      <c r="R8" s="34">
        <v>3.8</v>
      </c>
      <c r="S8" s="34">
        <v>4.8</v>
      </c>
      <c r="T8" s="34">
        <v>2.2000000000000002</v>
      </c>
      <c r="U8" s="34">
        <v>2.7</v>
      </c>
      <c r="V8" s="34">
        <v>125</v>
      </c>
      <c r="W8" s="34">
        <v>2</v>
      </c>
      <c r="X8" s="34">
        <v>13.25</v>
      </c>
      <c r="Y8" s="7" t="s">
        <v>990</v>
      </c>
      <c r="Z8" s="7">
        <v>380</v>
      </c>
      <c r="AA8" s="151">
        <v>0.93</v>
      </c>
      <c r="AB8" s="7">
        <v>0.9</v>
      </c>
      <c r="AC8" s="7">
        <v>80</v>
      </c>
      <c r="AD8" s="67"/>
      <c r="AE8" s="258" t="s">
        <v>1374</v>
      </c>
      <c r="AG8" s="259" t="s">
        <v>1375</v>
      </c>
      <c r="AH8" s="63">
        <v>686000000</v>
      </c>
      <c r="AI8" s="63"/>
      <c r="AJ8" s="65" t="s">
        <v>1315</v>
      </c>
      <c r="AK8" s="1" t="b">
        <v>1</v>
      </c>
      <c r="AM8" s="113"/>
      <c r="AS8" s="41"/>
      <c r="AT8" s="41"/>
      <c r="AU8" s="41"/>
    </row>
    <row r="9" spans="2:47">
      <c r="B9" s="1" t="str">
        <f t="shared" si="0"/>
        <v>M_DAF0201_VM_BKT_75</v>
      </c>
      <c r="C9" s="7" t="s">
        <v>433</v>
      </c>
      <c r="D9" s="7" t="str" cm="1">
        <f t="array" ref="D9">INDEX(기계코드!$D$4:$D$1022,MATCH(1,(C9=기계코드!$F$4:$F$1022)*1,0))</f>
        <v>M_DAF0201</v>
      </c>
      <c r="E9" s="7" t="s">
        <v>1128</v>
      </c>
      <c r="F9" s="7" t="str" cm="1">
        <f t="array" ref="F9">INDEX(공급업체코드!$B$3:$B$1000,MATCH(1,(E9=공급업체코드!$D$3:$D$1000)*1,0))</f>
        <v>VM_BKT</v>
      </c>
      <c r="G9" s="43" t="s">
        <v>2161</v>
      </c>
      <c r="H9" s="34">
        <v>75</v>
      </c>
      <c r="I9" s="72">
        <v>1.1000000000000001</v>
      </c>
      <c r="J9" s="72">
        <v>1.1000000000000001</v>
      </c>
      <c r="K9" s="72">
        <v>1.2</v>
      </c>
      <c r="L9" s="34">
        <v>1.5</v>
      </c>
      <c r="M9" s="34">
        <v>1.8</v>
      </c>
      <c r="N9" s="34">
        <v>1.8</v>
      </c>
      <c r="O9" s="34">
        <v>2</v>
      </c>
      <c r="P9" s="34">
        <v>2.2999999999999998</v>
      </c>
      <c r="Q9" s="34">
        <v>2.4</v>
      </c>
      <c r="R9" s="34">
        <v>4.8</v>
      </c>
      <c r="S9" s="34">
        <v>5.8</v>
      </c>
      <c r="T9" s="34">
        <v>2.2999999999999998</v>
      </c>
      <c r="U9" s="34">
        <v>2.8</v>
      </c>
      <c r="V9" s="34">
        <v>125</v>
      </c>
      <c r="W9" s="34">
        <v>2</v>
      </c>
      <c r="X9" s="34">
        <v>13.75</v>
      </c>
      <c r="Y9" s="7" t="s">
        <v>990</v>
      </c>
      <c r="Z9" s="7">
        <v>380</v>
      </c>
      <c r="AA9" s="151">
        <v>0.93</v>
      </c>
      <c r="AB9" s="7">
        <v>0.9</v>
      </c>
      <c r="AC9" s="7">
        <v>80</v>
      </c>
      <c r="AD9" s="67"/>
      <c r="AE9" s="258" t="s">
        <v>1374</v>
      </c>
      <c r="AG9" s="259" t="s">
        <v>1375</v>
      </c>
      <c r="AH9" s="63">
        <v>760000000</v>
      </c>
      <c r="AI9" s="63"/>
      <c r="AJ9" s="65" t="s">
        <v>1315</v>
      </c>
      <c r="AK9" s="1" t="b">
        <v>1</v>
      </c>
      <c r="AM9" s="113"/>
      <c r="AS9" s="40"/>
      <c r="AT9" s="40"/>
      <c r="AU9" s="41"/>
    </row>
    <row r="10" spans="2:47">
      <c r="B10" s="1" t="str">
        <f t="shared" si="0"/>
        <v>M_DAF0201_VM_BKT_100</v>
      </c>
      <c r="C10" s="7" t="s">
        <v>433</v>
      </c>
      <c r="D10" s="7" t="str" cm="1">
        <f t="array" ref="D10">INDEX(기계코드!$D$4:$D$1022,MATCH(1,(C10=기계코드!$F$4:$F$1022)*1,0))</f>
        <v>M_DAF0201</v>
      </c>
      <c r="E10" s="7" t="s">
        <v>1128</v>
      </c>
      <c r="F10" s="7" t="str" cm="1">
        <f t="array" ref="F10">INDEX(공급업체코드!$B$3:$B$1000,MATCH(1,(E10=공급업체코드!$D$3:$D$1000)*1,0))</f>
        <v>VM_BKT</v>
      </c>
      <c r="G10" s="43" t="s">
        <v>2162</v>
      </c>
      <c r="H10" s="34">
        <v>100</v>
      </c>
      <c r="I10" s="70">
        <v>1.2</v>
      </c>
      <c r="J10" s="72">
        <v>1.2</v>
      </c>
      <c r="K10" s="72">
        <v>1.3</v>
      </c>
      <c r="L10" s="34">
        <v>1.6</v>
      </c>
      <c r="M10" s="34">
        <v>2</v>
      </c>
      <c r="N10" s="34">
        <v>2</v>
      </c>
      <c r="O10" s="34">
        <v>2.1</v>
      </c>
      <c r="P10" s="34">
        <v>2.4</v>
      </c>
      <c r="Q10" s="34">
        <v>2.8</v>
      </c>
      <c r="R10" s="34">
        <v>5.5</v>
      </c>
      <c r="S10" s="34">
        <v>6.6</v>
      </c>
      <c r="T10" s="34">
        <v>2.5</v>
      </c>
      <c r="U10" s="34">
        <v>3</v>
      </c>
      <c r="V10" s="34">
        <v>250</v>
      </c>
      <c r="W10" s="34">
        <v>2</v>
      </c>
      <c r="X10" s="34">
        <v>17.75</v>
      </c>
      <c r="Y10" s="7" t="s">
        <v>990</v>
      </c>
      <c r="Z10" s="7">
        <v>380</v>
      </c>
      <c r="AA10" s="151">
        <v>0.93599999999999994</v>
      </c>
      <c r="AB10" s="7">
        <v>0.9</v>
      </c>
      <c r="AC10" s="7">
        <v>80</v>
      </c>
      <c r="AD10" s="67"/>
      <c r="AE10" s="258" t="s">
        <v>1374</v>
      </c>
      <c r="AG10" s="259" t="s">
        <v>1375</v>
      </c>
      <c r="AH10" s="63">
        <v>976000000</v>
      </c>
      <c r="AI10" s="63"/>
      <c r="AJ10" s="65" t="s">
        <v>1315</v>
      </c>
      <c r="AK10" s="1" t="b">
        <v>1</v>
      </c>
      <c r="AM10" s="113"/>
      <c r="AS10" s="40"/>
      <c r="AT10" s="40"/>
      <c r="AU10" s="41"/>
    </row>
    <row r="11" spans="2:47">
      <c r="B11" s="1" t="str">
        <f t="shared" si="0"/>
        <v>M_DAF0201_VM_BKT_150</v>
      </c>
      <c r="C11" s="7" t="s">
        <v>433</v>
      </c>
      <c r="D11" s="7" t="str" cm="1">
        <f t="array" ref="D11">INDEX(기계코드!$D$4:$D$1022,MATCH(1,(C11=기계코드!$F$4:$F$1022)*1,0))</f>
        <v>M_DAF0201</v>
      </c>
      <c r="E11" s="7" t="s">
        <v>1128</v>
      </c>
      <c r="F11" s="7" t="str" cm="1">
        <f t="array" ref="F11">INDEX(공급업체코드!$B$3:$B$1000,MATCH(1,(E11=공급업체코드!$D$3:$D$1000)*1,0))</f>
        <v>VM_BKT</v>
      </c>
      <c r="G11" s="43" t="s">
        <v>2163</v>
      </c>
      <c r="H11" s="34">
        <v>150</v>
      </c>
      <c r="I11" s="70">
        <v>1.4</v>
      </c>
      <c r="J11" s="70">
        <v>1.4</v>
      </c>
      <c r="K11" s="70">
        <v>1.4</v>
      </c>
      <c r="L11">
        <v>1.7</v>
      </c>
      <c r="M11">
        <v>2.4</v>
      </c>
      <c r="N11">
        <v>2.4</v>
      </c>
      <c r="O11">
        <v>2.2999999999999998</v>
      </c>
      <c r="P11">
        <v>2.6</v>
      </c>
      <c r="Q11">
        <v>3.4</v>
      </c>
      <c r="R11">
        <v>6.8</v>
      </c>
      <c r="S11">
        <v>7.9</v>
      </c>
      <c r="T11">
        <v>2.8</v>
      </c>
      <c r="U11">
        <v>3.3</v>
      </c>
      <c r="V11">
        <v>250</v>
      </c>
      <c r="W11">
        <v>2</v>
      </c>
      <c r="X11">
        <v>18.45</v>
      </c>
      <c r="Y11" s="7" t="s">
        <v>990</v>
      </c>
      <c r="Z11" s="7">
        <v>380</v>
      </c>
      <c r="AA11" s="151">
        <v>0.93599999999999994</v>
      </c>
      <c r="AB11" s="7">
        <v>0.9</v>
      </c>
      <c r="AC11" s="7">
        <v>80</v>
      </c>
      <c r="AD11" s="65"/>
      <c r="AE11" s="258" t="s">
        <v>1374</v>
      </c>
      <c r="AG11" s="259" t="s">
        <v>1375</v>
      </c>
      <c r="AH11" s="64">
        <v>1187000000</v>
      </c>
      <c r="AI11" s="64"/>
      <c r="AJ11" s="65" t="s">
        <v>1315</v>
      </c>
      <c r="AK11" s="1" t="b">
        <v>1</v>
      </c>
      <c r="AM11" s="113"/>
      <c r="AS11" s="41"/>
      <c r="AT11" s="41"/>
      <c r="AU11" s="41"/>
    </row>
    <row r="12" spans="2:47">
      <c r="B12" s="1" t="str">
        <f t="shared" si="0"/>
        <v>M_DAF0201_VM_BKT_200</v>
      </c>
      <c r="C12" s="7" t="s">
        <v>433</v>
      </c>
      <c r="D12" s="7" t="str" cm="1">
        <f t="array" ref="D12">INDEX(기계코드!$D$4:$D$1022,MATCH(1,(C12=기계코드!$F$4:$F$1022)*1,0))</f>
        <v>M_DAF0201</v>
      </c>
      <c r="E12" s="7" t="s">
        <v>1128</v>
      </c>
      <c r="F12" s="7" t="str" cm="1">
        <f t="array" ref="F12">INDEX(공급업체코드!$B$3:$B$1000,MATCH(1,(E12=공급업체코드!$D$3:$D$1000)*1,0))</f>
        <v>VM_BKT</v>
      </c>
      <c r="G12" s="43" t="s">
        <v>2164</v>
      </c>
      <c r="H12" s="34">
        <v>200</v>
      </c>
      <c r="I12" s="70">
        <v>1.6</v>
      </c>
      <c r="J12" s="70">
        <v>1.6</v>
      </c>
      <c r="K12" s="70">
        <v>1.6</v>
      </c>
      <c r="L12">
        <v>1.9</v>
      </c>
      <c r="M12">
        <v>2.6</v>
      </c>
      <c r="N12">
        <v>2.6</v>
      </c>
      <c r="O12">
        <v>2.5</v>
      </c>
      <c r="P12">
        <v>2.8</v>
      </c>
      <c r="Q12">
        <v>3.8</v>
      </c>
      <c r="R12">
        <v>8</v>
      </c>
      <c r="S12">
        <v>9.1</v>
      </c>
      <c r="T12">
        <v>3.1</v>
      </c>
      <c r="U12">
        <v>3.6</v>
      </c>
      <c r="V12">
        <v>500</v>
      </c>
      <c r="W12">
        <v>2</v>
      </c>
      <c r="X12">
        <v>23.2</v>
      </c>
      <c r="Y12" s="7" t="s">
        <v>990</v>
      </c>
      <c r="Z12" s="7">
        <v>380</v>
      </c>
      <c r="AA12" s="151">
        <v>0.94099999999999995</v>
      </c>
      <c r="AB12" s="7">
        <v>0.9</v>
      </c>
      <c r="AC12" s="7">
        <v>80</v>
      </c>
      <c r="AD12" s="65"/>
      <c r="AE12" s="258" t="s">
        <v>1374</v>
      </c>
      <c r="AG12" s="259" t="s">
        <v>1375</v>
      </c>
      <c r="AH12" s="64">
        <v>1444000000</v>
      </c>
      <c r="AI12" s="64"/>
      <c r="AJ12" s="65" t="s">
        <v>1315</v>
      </c>
      <c r="AK12" s="1" t="b">
        <v>1</v>
      </c>
      <c r="AM12" s="113"/>
      <c r="AS12" s="40"/>
      <c r="AT12" s="40"/>
      <c r="AU12" s="41"/>
    </row>
    <row r="13" spans="2:47">
      <c r="B13" s="226" t="str">
        <f t="shared" si="0"/>
        <v>M_DAF020201_VM_BKT_7</v>
      </c>
      <c r="C13" s="7" t="s">
        <v>439</v>
      </c>
      <c r="D13" s="7" t="str" cm="1">
        <f t="array" ref="D13">INDEX(기계코드!$D$4:$D$1022,MATCH(1,(C13=기계코드!$F$4:$F$1022)*1,0))</f>
        <v>M_DAF020201</v>
      </c>
      <c r="E13" s="7" t="s">
        <v>1128</v>
      </c>
      <c r="F13" s="7" t="str" cm="1">
        <f t="array" ref="F13">INDEX(공급업체코드!$B$3:$B$1000,MATCH(1,(E13=공급업체코드!$D$3:$D$1000)*1,0))</f>
        <v>VM_BKT</v>
      </c>
      <c r="G13" s="43" t="s">
        <v>2165</v>
      </c>
      <c r="H13" s="34">
        <v>7</v>
      </c>
      <c r="I13" s="70">
        <v>0.5</v>
      </c>
      <c r="J13" s="70">
        <v>0.5</v>
      </c>
      <c r="K13" s="70">
        <v>0.5</v>
      </c>
      <c r="L13">
        <v>0.8</v>
      </c>
      <c r="M13">
        <v>1.1000000000000001</v>
      </c>
      <c r="N13">
        <v>1.1000000000000001</v>
      </c>
      <c r="O13">
        <v>1.1000000000000001</v>
      </c>
      <c r="P13">
        <v>1.4</v>
      </c>
      <c r="Q13">
        <v>1</v>
      </c>
      <c r="R13">
        <v>2</v>
      </c>
      <c r="S13">
        <v>2.8</v>
      </c>
      <c r="T13">
        <v>1.8</v>
      </c>
      <c r="U13">
        <v>2.2999999999999998</v>
      </c>
      <c r="V13">
        <v>125</v>
      </c>
      <c r="W13">
        <v>1</v>
      </c>
      <c r="X13">
        <v>10.55</v>
      </c>
      <c r="Y13" s="7" t="s">
        <v>990</v>
      </c>
      <c r="Z13" s="7">
        <v>380</v>
      </c>
      <c r="AA13" s="151">
        <v>0.92400000000000004</v>
      </c>
      <c r="AB13" s="7">
        <v>0.9</v>
      </c>
      <c r="AC13" s="7">
        <v>80</v>
      </c>
      <c r="AD13" s="65"/>
      <c r="AE13" s="258" t="s">
        <v>1374</v>
      </c>
      <c r="AG13" s="259" t="s">
        <v>1375</v>
      </c>
      <c r="AH13" s="64">
        <v>455000000</v>
      </c>
      <c r="AI13" s="64"/>
      <c r="AJ13" s="65" t="s">
        <v>1315</v>
      </c>
      <c r="AK13" s="1" t="b">
        <v>1</v>
      </c>
      <c r="AM13" s="113"/>
      <c r="AS13" s="40"/>
      <c r="AT13" s="40"/>
      <c r="AU13" s="40"/>
    </row>
    <row r="14" spans="2:47">
      <c r="B14" s="226" t="str">
        <f t="shared" si="0"/>
        <v>M_DAF020201_VM_BKT_10</v>
      </c>
      <c r="C14" s="7" t="s">
        <v>439</v>
      </c>
      <c r="D14" s="7" t="str" cm="1">
        <f t="array" ref="D14">INDEX(기계코드!$D$4:$D$1022,MATCH(1,(C14=기계코드!$F$4:$F$1022)*1,0))</f>
        <v>M_DAF020201</v>
      </c>
      <c r="E14" s="7" t="s">
        <v>1128</v>
      </c>
      <c r="F14" s="7" t="str" cm="1">
        <f t="array" ref="F14">INDEX(공급업체코드!$B$3:$B$1000,MATCH(1,(E14=공급업체코드!$D$3:$D$1000)*1,0))</f>
        <v>VM_BKT</v>
      </c>
      <c r="G14" s="43" t="s">
        <v>2166</v>
      </c>
      <c r="H14" s="34">
        <v>10</v>
      </c>
      <c r="I14" s="70">
        <v>0.5</v>
      </c>
      <c r="J14" s="70">
        <v>0.5</v>
      </c>
      <c r="K14" s="70">
        <v>0.8</v>
      </c>
      <c r="L14">
        <v>1.1000000000000001</v>
      </c>
      <c r="M14">
        <v>1.2</v>
      </c>
      <c r="N14">
        <v>1.2</v>
      </c>
      <c r="O14">
        <v>1.2</v>
      </c>
      <c r="P14">
        <v>1.5</v>
      </c>
      <c r="Q14">
        <v>1.2</v>
      </c>
      <c r="R14">
        <v>2.2000000000000002</v>
      </c>
      <c r="S14">
        <v>3</v>
      </c>
      <c r="T14">
        <v>1.9</v>
      </c>
      <c r="U14">
        <v>2.4</v>
      </c>
      <c r="V14">
        <v>125</v>
      </c>
      <c r="W14">
        <v>2</v>
      </c>
      <c r="X14">
        <v>10.55</v>
      </c>
      <c r="Y14" s="7" t="s">
        <v>990</v>
      </c>
      <c r="Z14" s="7">
        <v>380</v>
      </c>
      <c r="AA14" s="151">
        <v>0.92400000000000004</v>
      </c>
      <c r="AB14" s="7">
        <v>0.9</v>
      </c>
      <c r="AC14" s="7">
        <v>80</v>
      </c>
      <c r="AD14" s="65"/>
      <c r="AE14" s="258" t="s">
        <v>1374</v>
      </c>
      <c r="AG14" s="259" t="s">
        <v>1375</v>
      </c>
      <c r="AH14" s="68">
        <v>478000000</v>
      </c>
      <c r="AI14" s="68"/>
      <c r="AJ14" s="65" t="s">
        <v>1315</v>
      </c>
      <c r="AK14" s="1" t="b">
        <v>1</v>
      </c>
      <c r="AM14" s="113"/>
      <c r="AS14" s="40"/>
      <c r="AT14" s="40"/>
      <c r="AU14" s="41"/>
    </row>
    <row r="15" spans="2:47">
      <c r="B15" s="226" t="str">
        <f t="shared" si="0"/>
        <v>M_DAF020201_VM_BKT_15</v>
      </c>
      <c r="C15" s="7" t="s">
        <v>439</v>
      </c>
      <c r="D15" s="7" t="str" cm="1">
        <f t="array" ref="D15">INDEX(기계코드!$D$4:$D$1022,MATCH(1,(C15=기계코드!$F$4:$F$1022)*1,0))</f>
        <v>M_DAF020201</v>
      </c>
      <c r="E15" s="7" t="s">
        <v>1128</v>
      </c>
      <c r="F15" s="7" t="str" cm="1">
        <f t="array" ref="F15">INDEX(공급업체코드!$B$3:$B$1000,MATCH(1,(E15=공급업체코드!$D$3:$D$1000)*1,0))</f>
        <v>VM_BKT</v>
      </c>
      <c r="G15" s="43" t="s">
        <v>2167</v>
      </c>
      <c r="H15" s="34">
        <v>15</v>
      </c>
      <c r="I15" s="70">
        <v>0.6</v>
      </c>
      <c r="J15" s="70">
        <v>0.6</v>
      </c>
      <c r="K15" s="70">
        <v>0.8</v>
      </c>
      <c r="L15">
        <v>1.1000000000000001</v>
      </c>
      <c r="M15">
        <v>1.4</v>
      </c>
      <c r="N15">
        <v>1.4</v>
      </c>
      <c r="O15">
        <v>1.3</v>
      </c>
      <c r="P15">
        <v>1.6</v>
      </c>
      <c r="Q15">
        <v>1.4</v>
      </c>
      <c r="R15">
        <v>2.8</v>
      </c>
      <c r="S15">
        <v>3.8</v>
      </c>
      <c r="T15">
        <v>2</v>
      </c>
      <c r="U15">
        <v>2.5</v>
      </c>
      <c r="V15">
        <v>125</v>
      </c>
      <c r="W15">
        <v>2</v>
      </c>
      <c r="X15">
        <v>11.15</v>
      </c>
      <c r="Y15" s="7" t="s">
        <v>990</v>
      </c>
      <c r="Z15" s="7">
        <v>380</v>
      </c>
      <c r="AA15" s="151">
        <v>0.93</v>
      </c>
      <c r="AB15" s="7">
        <v>0.9</v>
      </c>
      <c r="AC15" s="7">
        <v>80</v>
      </c>
      <c r="AD15" s="65"/>
      <c r="AE15" s="258" t="s">
        <v>1374</v>
      </c>
      <c r="AG15" s="259" t="s">
        <v>1375</v>
      </c>
      <c r="AH15" s="64">
        <v>513000000</v>
      </c>
      <c r="AI15" s="64"/>
      <c r="AJ15" s="65" t="s">
        <v>1315</v>
      </c>
      <c r="AK15" s="1" t="b">
        <v>1</v>
      </c>
      <c r="AM15" s="113"/>
      <c r="AS15" s="41"/>
      <c r="AT15" s="41"/>
      <c r="AU15" s="41"/>
    </row>
    <row r="16" spans="2:47">
      <c r="B16" s="226" t="str">
        <f t="shared" si="0"/>
        <v>M_DAF020202_VM_BKT_20</v>
      </c>
      <c r="C16" s="7" t="s">
        <v>442</v>
      </c>
      <c r="D16" s="7" t="str" cm="1">
        <f t="array" ref="D16">INDEX(기계코드!$D$4:$D$1022,MATCH(1,(C16=기계코드!$F$4:$F$1022)*1,0))</f>
        <v>M_DAF020202</v>
      </c>
      <c r="E16" s="7" t="s">
        <v>1128</v>
      </c>
      <c r="F16" s="7" t="str" cm="1">
        <f t="array" ref="F16">INDEX(공급업체코드!$B$3:$B$1000,MATCH(1,(E16=공급업체코드!$D$3:$D$1000)*1,0))</f>
        <v>VM_BKT</v>
      </c>
      <c r="G16" s="43" t="s">
        <v>2168</v>
      </c>
      <c r="H16" s="34">
        <v>20</v>
      </c>
      <c r="I16" s="70">
        <v>0.7</v>
      </c>
      <c r="J16" s="70">
        <v>0.7</v>
      </c>
      <c r="K16" s="70">
        <v>0.8</v>
      </c>
      <c r="L16">
        <v>1.1000000000000001</v>
      </c>
      <c r="M16">
        <v>1.6</v>
      </c>
      <c r="N16">
        <v>1.6</v>
      </c>
      <c r="O16">
        <v>1.7</v>
      </c>
      <c r="P16">
        <v>2</v>
      </c>
      <c r="Q16">
        <v>1.6</v>
      </c>
      <c r="R16">
        <v>3.3</v>
      </c>
      <c r="S16">
        <v>4.3</v>
      </c>
      <c r="T16">
        <v>2</v>
      </c>
      <c r="U16">
        <v>2.5</v>
      </c>
      <c r="V16">
        <v>250</v>
      </c>
      <c r="W16">
        <v>2</v>
      </c>
      <c r="X16">
        <v>16.25</v>
      </c>
      <c r="Y16" s="7" t="s">
        <v>990</v>
      </c>
      <c r="Z16" s="7">
        <v>380</v>
      </c>
      <c r="AA16" s="151">
        <v>0.93599999999999994</v>
      </c>
      <c r="AB16" s="7">
        <v>0.9</v>
      </c>
      <c r="AC16" s="7">
        <v>80</v>
      </c>
      <c r="AD16" s="65"/>
      <c r="AE16" s="258" t="s">
        <v>1374</v>
      </c>
      <c r="AG16" s="259" t="s">
        <v>1375</v>
      </c>
      <c r="AH16" s="64">
        <v>596000000</v>
      </c>
      <c r="AI16" s="64"/>
      <c r="AJ16" s="65" t="s">
        <v>1315</v>
      </c>
      <c r="AK16" s="1" t="b">
        <v>1</v>
      </c>
      <c r="AM16" s="113"/>
      <c r="AS16" s="41"/>
      <c r="AT16" s="41"/>
      <c r="AU16" s="41"/>
    </row>
    <row r="17" spans="2:47">
      <c r="B17" s="226" t="str">
        <f t="shared" si="0"/>
        <v>M_DAF020202_VM_BKT_30</v>
      </c>
      <c r="C17" s="7" t="s">
        <v>442</v>
      </c>
      <c r="D17" s="7" t="str" cm="1">
        <f t="array" ref="D17">INDEX(기계코드!$D$4:$D$1022,MATCH(1,(C17=기계코드!$F$4:$F$1022)*1,0))</f>
        <v>M_DAF020202</v>
      </c>
      <c r="E17" s="7" t="s">
        <v>1128</v>
      </c>
      <c r="F17" s="7" t="str" cm="1">
        <f t="array" ref="F17">INDEX(공급업체코드!$B$3:$B$1000,MATCH(1,(E17=공급업체코드!$D$3:$D$1000)*1,0))</f>
        <v>VM_BKT</v>
      </c>
      <c r="G17" s="43" t="s">
        <v>2169</v>
      </c>
      <c r="H17" s="34">
        <v>30</v>
      </c>
      <c r="I17" s="70">
        <v>0.8</v>
      </c>
      <c r="J17" s="70">
        <v>0.8</v>
      </c>
      <c r="K17" s="70">
        <v>0.9</v>
      </c>
      <c r="L17">
        <v>1.2</v>
      </c>
      <c r="M17">
        <v>1.8</v>
      </c>
      <c r="N17">
        <v>1.8</v>
      </c>
      <c r="O17">
        <v>2</v>
      </c>
      <c r="P17">
        <v>2.2999999999999998</v>
      </c>
      <c r="Q17">
        <v>2</v>
      </c>
      <c r="R17">
        <v>3.8</v>
      </c>
      <c r="S17">
        <v>4.8</v>
      </c>
      <c r="T17">
        <v>2</v>
      </c>
      <c r="U17">
        <v>2.5</v>
      </c>
      <c r="V17">
        <v>250</v>
      </c>
      <c r="W17">
        <v>2</v>
      </c>
      <c r="X17">
        <v>16.75</v>
      </c>
      <c r="Y17" s="7" t="s">
        <v>990</v>
      </c>
      <c r="Z17" s="7">
        <v>380</v>
      </c>
      <c r="AA17" s="151">
        <v>0.93599999999999994</v>
      </c>
      <c r="AB17" s="7">
        <v>0.9</v>
      </c>
      <c r="AC17" s="7">
        <v>80</v>
      </c>
      <c r="AD17" s="65"/>
      <c r="AE17" s="258" t="s">
        <v>1374</v>
      </c>
      <c r="AG17" s="259" t="s">
        <v>1375</v>
      </c>
      <c r="AH17" s="64">
        <v>635000000</v>
      </c>
      <c r="AI17" s="64"/>
      <c r="AJ17" s="65" t="s">
        <v>1315</v>
      </c>
      <c r="AK17" s="1" t="b">
        <v>1</v>
      </c>
      <c r="AM17" s="113"/>
      <c r="AS17" s="41"/>
      <c r="AT17" s="41"/>
      <c r="AU17" s="41"/>
    </row>
    <row r="18" spans="2:47">
      <c r="B18" s="226" t="str">
        <f t="shared" si="0"/>
        <v>M_DAF020202_VM_BKT_50</v>
      </c>
      <c r="C18" s="7" t="s">
        <v>442</v>
      </c>
      <c r="D18" s="7" t="str" cm="1">
        <f t="array" ref="D18">INDEX(기계코드!$D$4:$D$1022,MATCH(1,(C18=기계코드!$F$4:$F$1022)*1,0))</f>
        <v>M_DAF020202</v>
      </c>
      <c r="E18" s="7" t="s">
        <v>1128</v>
      </c>
      <c r="F18" s="7" t="str" cm="1">
        <f t="array" ref="F18">INDEX(공급업체코드!$B$3:$B$1000,MATCH(1,(E18=공급업체코드!$D$3:$D$1000)*1,0))</f>
        <v>VM_BKT</v>
      </c>
      <c r="G18" s="43" t="s">
        <v>2170</v>
      </c>
      <c r="H18" s="34">
        <v>50</v>
      </c>
      <c r="I18" s="70">
        <v>1</v>
      </c>
      <c r="J18" s="70">
        <v>1</v>
      </c>
      <c r="K18" s="70">
        <v>1</v>
      </c>
      <c r="L18">
        <v>1.3</v>
      </c>
      <c r="M18">
        <v>2</v>
      </c>
      <c r="N18">
        <v>2</v>
      </c>
      <c r="O18">
        <v>2.1</v>
      </c>
      <c r="P18">
        <v>2.4</v>
      </c>
      <c r="Q18">
        <v>2.4</v>
      </c>
      <c r="R18">
        <v>4.8</v>
      </c>
      <c r="S18">
        <v>5.8</v>
      </c>
      <c r="T18">
        <v>2.2999999999999998</v>
      </c>
      <c r="U18">
        <v>2.8</v>
      </c>
      <c r="V18">
        <v>500</v>
      </c>
      <c r="W18">
        <v>2</v>
      </c>
      <c r="X18">
        <v>22</v>
      </c>
      <c r="Y18" s="7" t="s">
        <v>990</v>
      </c>
      <c r="Z18" s="7">
        <v>380</v>
      </c>
      <c r="AA18" s="151">
        <v>0.93599999999999994</v>
      </c>
      <c r="AB18" s="7">
        <v>0.9</v>
      </c>
      <c r="AC18" s="7">
        <v>80</v>
      </c>
      <c r="AD18" s="65"/>
      <c r="AE18" s="258" t="s">
        <v>1374</v>
      </c>
      <c r="AG18" s="259" t="s">
        <v>1375</v>
      </c>
      <c r="AH18" s="64">
        <v>748000000</v>
      </c>
      <c r="AI18" s="64"/>
      <c r="AJ18" s="65" t="s">
        <v>1315</v>
      </c>
      <c r="AK18" s="1" t="b">
        <v>1</v>
      </c>
      <c r="AM18" s="113"/>
      <c r="AS18" s="40"/>
      <c r="AT18" s="40"/>
      <c r="AU18" s="41"/>
    </row>
    <row r="19" spans="2:47">
      <c r="B19" s="226" t="str">
        <f t="shared" si="0"/>
        <v>M_DAF020202_VM_BKT_75</v>
      </c>
      <c r="C19" s="7" t="s">
        <v>442</v>
      </c>
      <c r="D19" s="7" t="str" cm="1">
        <f t="array" ref="D19">INDEX(기계코드!$D$4:$D$1022,MATCH(1,(C19=기계코드!$F$4:$F$1022)*1,0))</f>
        <v>M_DAF020202</v>
      </c>
      <c r="E19" s="7" t="s">
        <v>1128</v>
      </c>
      <c r="F19" s="7" t="str" cm="1">
        <f t="array" ref="F19">INDEX(공급업체코드!$B$3:$B$1000,MATCH(1,(E19=공급업체코드!$D$3:$D$1000)*1,0))</f>
        <v>VM_BKT</v>
      </c>
      <c r="G19" s="43" t="s">
        <v>2171</v>
      </c>
      <c r="H19" s="34">
        <v>75</v>
      </c>
      <c r="I19" s="70">
        <v>1.1000000000000001</v>
      </c>
      <c r="J19" s="70">
        <v>1.1000000000000001</v>
      </c>
      <c r="K19" s="70">
        <v>1.2</v>
      </c>
      <c r="L19">
        <v>1.5</v>
      </c>
      <c r="M19">
        <v>2.4</v>
      </c>
      <c r="N19">
        <v>2.4</v>
      </c>
      <c r="O19">
        <v>2.2999999999999998</v>
      </c>
      <c r="P19">
        <v>2.6</v>
      </c>
      <c r="Q19">
        <v>2.8</v>
      </c>
      <c r="R19">
        <v>6.2</v>
      </c>
      <c r="S19">
        <v>7.3</v>
      </c>
      <c r="T19">
        <v>2.2999999999999998</v>
      </c>
      <c r="U19">
        <v>2.8</v>
      </c>
      <c r="V19">
        <v>500</v>
      </c>
      <c r="W19">
        <v>3</v>
      </c>
      <c r="X19">
        <v>23.9</v>
      </c>
      <c r="Y19" s="7" t="s">
        <v>990</v>
      </c>
      <c r="Z19" s="7">
        <v>380</v>
      </c>
      <c r="AA19" s="151">
        <v>0.94099999999999995</v>
      </c>
      <c r="AB19" s="7">
        <v>0.9</v>
      </c>
      <c r="AC19" s="7">
        <v>80</v>
      </c>
      <c r="AD19" s="65"/>
      <c r="AE19" s="258" t="s">
        <v>1374</v>
      </c>
      <c r="AG19" s="259" t="s">
        <v>1375</v>
      </c>
      <c r="AH19" s="64">
        <v>967000000</v>
      </c>
      <c r="AI19" s="64"/>
      <c r="AJ19" s="65" t="s">
        <v>1315</v>
      </c>
      <c r="AK19" s="1" t="b">
        <v>1</v>
      </c>
      <c r="AM19" s="113"/>
      <c r="AS19" s="41"/>
      <c r="AT19" s="41"/>
      <c r="AU19" s="41"/>
    </row>
    <row r="20" spans="2:47">
      <c r="B20" s="226" t="str">
        <f t="shared" si="0"/>
        <v>M_DAF020203_VM_BKT_100</v>
      </c>
      <c r="C20" s="7" t="s">
        <v>445</v>
      </c>
      <c r="D20" s="7" t="str" cm="1">
        <f t="array" ref="D20">INDEX(기계코드!$D$4:$D$1022,MATCH(1,(C20=기계코드!$F$4:$F$1022)*1,0))</f>
        <v>M_DAF020203</v>
      </c>
      <c r="E20" s="7" t="s">
        <v>1128</v>
      </c>
      <c r="F20" s="7" t="str" cm="1">
        <f t="array" ref="F20">INDEX(공급업체코드!$B$3:$B$1000,MATCH(1,(E20=공급업체코드!$D$3:$D$1000)*1,0))</f>
        <v>VM_BKT</v>
      </c>
      <c r="G20" s="43" t="s">
        <v>2172</v>
      </c>
      <c r="H20" s="34">
        <v>100</v>
      </c>
      <c r="I20" s="70">
        <v>1.2</v>
      </c>
      <c r="J20" s="70">
        <v>1.2</v>
      </c>
      <c r="K20" s="70">
        <v>1.3</v>
      </c>
      <c r="L20">
        <v>1.6</v>
      </c>
      <c r="M20">
        <v>2.8</v>
      </c>
      <c r="N20">
        <v>2.8</v>
      </c>
      <c r="O20">
        <v>2.4</v>
      </c>
      <c r="P20">
        <v>2.7</v>
      </c>
      <c r="Q20">
        <v>3.4</v>
      </c>
      <c r="R20">
        <v>6.8</v>
      </c>
      <c r="S20">
        <v>7.9</v>
      </c>
      <c r="T20">
        <v>2.8</v>
      </c>
      <c r="U20">
        <v>3.3</v>
      </c>
      <c r="V20">
        <v>500</v>
      </c>
      <c r="W20">
        <v>4</v>
      </c>
      <c r="X20">
        <v>26.9</v>
      </c>
      <c r="Y20" s="7" t="s">
        <v>990</v>
      </c>
      <c r="Z20" s="7">
        <v>380</v>
      </c>
      <c r="AA20" s="151">
        <v>0.94099999999999995</v>
      </c>
      <c r="AB20" s="7">
        <v>0.9</v>
      </c>
      <c r="AC20" s="7">
        <v>80</v>
      </c>
      <c r="AD20" s="65"/>
      <c r="AE20" s="258" t="s">
        <v>1374</v>
      </c>
      <c r="AG20" s="259" t="s">
        <v>1375</v>
      </c>
      <c r="AH20" s="64">
        <v>1113000000</v>
      </c>
      <c r="AI20" s="64"/>
      <c r="AJ20" s="65" t="s">
        <v>1315</v>
      </c>
      <c r="AK20" s="1" t="b">
        <v>1</v>
      </c>
      <c r="AM20" s="113"/>
      <c r="AS20" s="41"/>
      <c r="AT20" s="41"/>
      <c r="AU20" s="41"/>
    </row>
    <row r="21" spans="2:47">
      <c r="B21" s="226" t="str">
        <f t="shared" si="0"/>
        <v>M_DAF020203_VM_BKT_150</v>
      </c>
      <c r="C21" s="7" t="s">
        <v>445</v>
      </c>
      <c r="D21" s="7" t="str" cm="1">
        <f t="array" ref="D21">INDEX(기계코드!$D$4:$D$1022,MATCH(1,(C21=기계코드!$F$4:$F$1022)*1,0))</f>
        <v>M_DAF020203</v>
      </c>
      <c r="E21" s="7" t="s">
        <v>1128</v>
      </c>
      <c r="F21" s="7" t="str" cm="1">
        <f t="array" ref="F21">INDEX(공급업체코드!$B$3:$B$1000,MATCH(1,(E21=공급업체코드!$D$3:$D$1000)*1,0))</f>
        <v>VM_BKT</v>
      </c>
      <c r="G21" s="43" t="s">
        <v>2173</v>
      </c>
      <c r="H21" s="34">
        <v>150</v>
      </c>
      <c r="I21" s="70">
        <v>1.4</v>
      </c>
      <c r="J21" s="70">
        <v>1.4</v>
      </c>
      <c r="K21" s="70">
        <v>1.4</v>
      </c>
      <c r="L21">
        <v>1.7</v>
      </c>
      <c r="M21">
        <v>3.2</v>
      </c>
      <c r="N21">
        <v>3.2</v>
      </c>
      <c r="O21">
        <v>2.5</v>
      </c>
      <c r="P21">
        <v>2.8</v>
      </c>
      <c r="Q21">
        <v>3.8</v>
      </c>
      <c r="R21">
        <v>8.3000000000000007</v>
      </c>
      <c r="S21">
        <v>9.4</v>
      </c>
      <c r="T21">
        <v>3.1</v>
      </c>
      <c r="U21">
        <v>3.6</v>
      </c>
      <c r="V21">
        <v>500</v>
      </c>
      <c r="W21">
        <v>5</v>
      </c>
      <c r="X21">
        <v>26.9</v>
      </c>
      <c r="Y21" s="7" t="s">
        <v>990</v>
      </c>
      <c r="Z21" s="7">
        <v>380</v>
      </c>
      <c r="AA21" s="151">
        <v>0.94099999999999995</v>
      </c>
      <c r="AB21" s="7">
        <v>0.9</v>
      </c>
      <c r="AC21" s="7">
        <v>80</v>
      </c>
      <c r="AD21" s="65"/>
      <c r="AE21" s="258" t="s">
        <v>1374</v>
      </c>
      <c r="AG21" s="259" t="s">
        <v>1375</v>
      </c>
      <c r="AH21" s="64">
        <v>1340000000</v>
      </c>
      <c r="AI21" s="64"/>
      <c r="AJ21" s="65" t="s">
        <v>1315</v>
      </c>
      <c r="AK21" s="1" t="b">
        <v>1</v>
      </c>
      <c r="AM21" s="113"/>
      <c r="AS21" s="41"/>
      <c r="AT21" s="41"/>
      <c r="AU21" s="41"/>
    </row>
    <row r="22" spans="2:47">
      <c r="B22" s="1" t="str">
        <f t="shared" si="0"/>
        <v>M_DAF0203_VM_BKT_30</v>
      </c>
      <c r="C22" s="7" t="s">
        <v>448</v>
      </c>
      <c r="D22" s="7" t="str" cm="1">
        <f t="array" ref="D22">INDEX(기계코드!$D$4:$D$1022,MATCH(1,(C22=기계코드!$F$4:$F$1022)*1,0))</f>
        <v>M_DAF0203</v>
      </c>
      <c r="E22" s="7" t="s">
        <v>1128</v>
      </c>
      <c r="F22" s="7" t="str" cm="1">
        <f t="array" ref="F22">INDEX(공급업체코드!$B$3:$B$1000,MATCH(1,(E22=공급업체코드!$D$3:$D$1000)*1,0))</f>
        <v>VM_BKT</v>
      </c>
      <c r="G22" s="43" t="s">
        <v>2174</v>
      </c>
      <c r="H22" s="34">
        <v>30</v>
      </c>
      <c r="I22" s="70">
        <v>0.9</v>
      </c>
      <c r="J22" s="70">
        <v>0.9</v>
      </c>
      <c r="K22" s="70">
        <v>0.9</v>
      </c>
      <c r="L22">
        <v>1.2</v>
      </c>
      <c r="M22">
        <v>1.9</v>
      </c>
      <c r="N22">
        <v>1.9</v>
      </c>
      <c r="O22">
        <v>2.5</v>
      </c>
      <c r="P22">
        <v>2.8</v>
      </c>
      <c r="Q22">
        <v>1.8</v>
      </c>
      <c r="R22">
        <v>1.8</v>
      </c>
      <c r="S22">
        <v>2.7</v>
      </c>
      <c r="T22">
        <v>2.8</v>
      </c>
      <c r="U22">
        <v>3.3</v>
      </c>
      <c r="V22">
        <v>125</v>
      </c>
      <c r="W22">
        <v>1</v>
      </c>
      <c r="X22">
        <v>11.35</v>
      </c>
      <c r="Y22" s="7" t="s">
        <v>990</v>
      </c>
      <c r="Z22" s="7">
        <v>380</v>
      </c>
      <c r="AA22" s="151">
        <v>0.93</v>
      </c>
      <c r="AB22" s="7">
        <v>0.9</v>
      </c>
      <c r="AC22" s="7">
        <v>80</v>
      </c>
      <c r="AD22" s="65"/>
      <c r="AE22" s="258" t="s">
        <v>1374</v>
      </c>
      <c r="AG22" s="259" t="s">
        <v>1375</v>
      </c>
      <c r="AH22" s="64">
        <v>575000000</v>
      </c>
      <c r="AI22" s="64"/>
      <c r="AJ22" s="65" t="s">
        <v>1315</v>
      </c>
      <c r="AK22" s="1" t="b">
        <v>1</v>
      </c>
      <c r="AM22" s="113"/>
      <c r="AS22" s="40"/>
      <c r="AT22" s="40"/>
      <c r="AU22" s="41"/>
    </row>
    <row r="23" spans="2:47">
      <c r="B23" s="1" t="str">
        <f t="shared" si="0"/>
        <v>M_DAF0203_VM_BKT_50</v>
      </c>
      <c r="C23" s="7" t="s">
        <v>448</v>
      </c>
      <c r="D23" s="7" t="str" cm="1">
        <f t="array" ref="D23">INDEX(기계코드!$D$4:$D$1022,MATCH(1,(C23=기계코드!$F$4:$F$1022)*1,0))</f>
        <v>M_DAF0203</v>
      </c>
      <c r="E23" s="7" t="s">
        <v>1128</v>
      </c>
      <c r="F23" s="7" t="str" cm="1">
        <f t="array" ref="F23">INDEX(공급업체코드!$B$3:$B$1000,MATCH(1,(E23=공급업체코드!$D$3:$D$1000)*1,0))</f>
        <v>VM_BKT</v>
      </c>
      <c r="G23" s="43" t="s">
        <v>2175</v>
      </c>
      <c r="H23" s="34">
        <v>50</v>
      </c>
      <c r="I23" s="70">
        <v>1</v>
      </c>
      <c r="J23" s="70">
        <v>1</v>
      </c>
      <c r="K23" s="70">
        <v>1</v>
      </c>
      <c r="L23">
        <v>1.3</v>
      </c>
      <c r="M23">
        <v>2.2000000000000002</v>
      </c>
      <c r="N23">
        <v>2.2000000000000002</v>
      </c>
      <c r="O23">
        <v>2.7</v>
      </c>
      <c r="P23">
        <v>3</v>
      </c>
      <c r="Q23">
        <v>2</v>
      </c>
      <c r="R23">
        <v>2.2000000000000002</v>
      </c>
      <c r="S23">
        <v>3.1</v>
      </c>
      <c r="T23">
        <v>2.9</v>
      </c>
      <c r="U23">
        <v>3.4</v>
      </c>
      <c r="V23">
        <v>125</v>
      </c>
      <c r="W23">
        <v>2</v>
      </c>
      <c r="X23">
        <v>12.35</v>
      </c>
      <c r="Y23" s="7" t="s">
        <v>990</v>
      </c>
      <c r="Z23" s="7">
        <v>380</v>
      </c>
      <c r="AA23" s="151">
        <v>0.93</v>
      </c>
      <c r="AB23" s="7">
        <v>0.9</v>
      </c>
      <c r="AC23" s="7">
        <v>80</v>
      </c>
      <c r="AD23" s="65"/>
      <c r="AE23" s="258" t="s">
        <v>1374</v>
      </c>
      <c r="AG23" s="259" t="s">
        <v>1375</v>
      </c>
      <c r="AH23" s="64">
        <v>685000000</v>
      </c>
      <c r="AI23" s="64"/>
      <c r="AJ23" s="65" t="s">
        <v>1315</v>
      </c>
      <c r="AK23" s="1" t="b">
        <v>1</v>
      </c>
      <c r="AM23" s="113"/>
      <c r="AS23" s="41"/>
      <c r="AT23" s="41"/>
      <c r="AU23" s="41"/>
    </row>
    <row r="24" spans="2:47">
      <c r="B24" s="1" t="str">
        <f t="shared" si="0"/>
        <v>M_DAF0203_VM_BKT_75</v>
      </c>
      <c r="C24" s="7" t="s">
        <v>448</v>
      </c>
      <c r="D24" s="7" t="str" cm="1">
        <f t="array" ref="D24">INDEX(기계코드!$D$4:$D$1022,MATCH(1,(C24=기계코드!$F$4:$F$1022)*1,0))</f>
        <v>M_DAF0203</v>
      </c>
      <c r="E24" s="7" t="s">
        <v>1128</v>
      </c>
      <c r="F24" s="7" t="str" cm="1">
        <f t="array" ref="F24">INDEX(공급업체코드!$B$3:$B$1000,MATCH(1,(E24=공급업체코드!$D$3:$D$1000)*1,0))</f>
        <v>VM_BKT</v>
      </c>
      <c r="G24" s="43" t="s">
        <v>2176</v>
      </c>
      <c r="H24" s="34">
        <v>75</v>
      </c>
      <c r="I24" s="70">
        <v>1.1000000000000001</v>
      </c>
      <c r="J24" s="70">
        <v>1.1000000000000001</v>
      </c>
      <c r="K24" s="70">
        <v>1.2</v>
      </c>
      <c r="L24">
        <v>1.5</v>
      </c>
      <c r="M24">
        <v>2.4</v>
      </c>
      <c r="N24">
        <v>2.9</v>
      </c>
      <c r="O24">
        <v>2.8</v>
      </c>
      <c r="P24">
        <v>3.1</v>
      </c>
      <c r="Q24">
        <v>2.4</v>
      </c>
      <c r="R24">
        <v>2.7</v>
      </c>
      <c r="S24">
        <v>3.6</v>
      </c>
      <c r="T24">
        <v>2.9</v>
      </c>
      <c r="U24">
        <v>3.4</v>
      </c>
      <c r="V24">
        <v>125</v>
      </c>
      <c r="W24">
        <v>2</v>
      </c>
      <c r="X24">
        <v>13.85</v>
      </c>
      <c r="Y24" s="7" t="s">
        <v>990</v>
      </c>
      <c r="Z24" s="7">
        <v>380</v>
      </c>
      <c r="AA24" s="151">
        <v>0.93</v>
      </c>
      <c r="AB24" s="7">
        <v>0.9</v>
      </c>
      <c r="AC24" s="7">
        <v>80</v>
      </c>
      <c r="AD24" s="65"/>
      <c r="AE24" s="258" t="s">
        <v>1374</v>
      </c>
      <c r="AG24" s="259" t="s">
        <v>1375</v>
      </c>
      <c r="AH24" s="64">
        <v>787000000</v>
      </c>
      <c r="AI24" s="64"/>
      <c r="AJ24" s="65" t="s">
        <v>1315</v>
      </c>
      <c r="AK24" s="1" t="b">
        <v>1</v>
      </c>
      <c r="AM24" s="113"/>
      <c r="AS24" s="41"/>
      <c r="AT24" s="41"/>
      <c r="AU24" s="41"/>
    </row>
    <row r="25" spans="2:47">
      <c r="B25" s="1" t="str">
        <f t="shared" si="0"/>
        <v>M_DAF0203_VM_BKT_100</v>
      </c>
      <c r="C25" s="7" t="s">
        <v>448</v>
      </c>
      <c r="D25" s="7" t="str" cm="1">
        <f t="array" ref="D25">INDEX(기계코드!$D$4:$D$1022,MATCH(1,(C25=기계코드!$F$4:$F$1022)*1,0))</f>
        <v>M_DAF0203</v>
      </c>
      <c r="E25" s="7" t="s">
        <v>1128</v>
      </c>
      <c r="F25" s="7" t="str" cm="1">
        <f t="array" ref="F25">INDEX(공급업체코드!$B$3:$B$1000,MATCH(1,(E25=공급업체코드!$D$3:$D$1000)*1,0))</f>
        <v>VM_BKT</v>
      </c>
      <c r="G25" s="43" t="s">
        <v>2177</v>
      </c>
      <c r="H25" s="34">
        <v>100</v>
      </c>
      <c r="I25" s="70">
        <v>1.2</v>
      </c>
      <c r="J25" s="70">
        <v>1.2</v>
      </c>
      <c r="K25" s="70">
        <v>1.3</v>
      </c>
      <c r="L25">
        <v>1.6</v>
      </c>
      <c r="M25">
        <v>3</v>
      </c>
      <c r="N25">
        <v>3</v>
      </c>
      <c r="O25">
        <v>2.8</v>
      </c>
      <c r="P25">
        <v>3.1</v>
      </c>
      <c r="Q25">
        <v>2.7</v>
      </c>
      <c r="R25">
        <v>3.9</v>
      </c>
      <c r="S25">
        <v>5</v>
      </c>
      <c r="T25">
        <v>3</v>
      </c>
      <c r="U25">
        <v>3.5</v>
      </c>
      <c r="V25">
        <v>250</v>
      </c>
      <c r="W25">
        <v>2</v>
      </c>
      <c r="X25">
        <v>17.95</v>
      </c>
      <c r="Y25" s="7" t="s">
        <v>990</v>
      </c>
      <c r="Z25" s="7">
        <v>380</v>
      </c>
      <c r="AA25" s="151">
        <v>0.93599999999999994</v>
      </c>
      <c r="AB25" s="7">
        <v>0.9</v>
      </c>
      <c r="AC25" s="7">
        <v>80</v>
      </c>
      <c r="AD25" s="65"/>
      <c r="AE25" s="258" t="s">
        <v>1374</v>
      </c>
      <c r="AG25" s="259" t="s">
        <v>1375</v>
      </c>
      <c r="AH25" s="64">
        <v>913000000</v>
      </c>
      <c r="AI25" s="64"/>
      <c r="AJ25" s="65" t="s">
        <v>1315</v>
      </c>
      <c r="AK25" s="1" t="b">
        <v>1</v>
      </c>
      <c r="AM25" s="113"/>
      <c r="AS25" s="41"/>
      <c r="AT25" s="41"/>
      <c r="AU25" s="41"/>
    </row>
    <row r="26" spans="2:47">
      <c r="B26" s="1" t="str">
        <f t="shared" si="0"/>
        <v>M_DAF0203_VM_BKT_150</v>
      </c>
      <c r="C26" s="7" t="s">
        <v>448</v>
      </c>
      <c r="D26" s="7" t="str" cm="1">
        <f t="array" ref="D26">INDEX(기계코드!$D$4:$D$1022,MATCH(1,(C26=기계코드!$F$4:$F$1022)*1,0))</f>
        <v>M_DAF0203</v>
      </c>
      <c r="E26" s="7" t="s">
        <v>1128</v>
      </c>
      <c r="F26" s="7" t="str" cm="1">
        <f t="array" ref="F26">INDEX(공급업체코드!$B$3:$B$1000,MATCH(1,(E26=공급업체코드!$D$3:$D$1000)*1,0))</f>
        <v>VM_BKT</v>
      </c>
      <c r="G26" s="43" t="s">
        <v>2178</v>
      </c>
      <c r="H26" s="34">
        <v>150</v>
      </c>
      <c r="I26" s="70">
        <v>1.4</v>
      </c>
      <c r="J26" s="70">
        <v>1.4</v>
      </c>
      <c r="K26" s="70">
        <v>1.4</v>
      </c>
      <c r="L26">
        <v>1.7</v>
      </c>
      <c r="M26">
        <v>3.6</v>
      </c>
      <c r="N26">
        <v>3.6</v>
      </c>
      <c r="O26">
        <v>3</v>
      </c>
      <c r="P26">
        <v>3.3</v>
      </c>
      <c r="Q26">
        <v>3</v>
      </c>
      <c r="R26">
        <v>4.3</v>
      </c>
      <c r="S26">
        <v>5.4</v>
      </c>
      <c r="T26">
        <v>3</v>
      </c>
      <c r="U26">
        <v>3.5</v>
      </c>
      <c r="V26">
        <v>250</v>
      </c>
      <c r="W26">
        <v>2</v>
      </c>
      <c r="X26">
        <v>18.45</v>
      </c>
      <c r="Y26" s="7" t="s">
        <v>990</v>
      </c>
      <c r="Z26" s="7">
        <v>380</v>
      </c>
      <c r="AA26" s="151">
        <v>0.93599999999999994</v>
      </c>
      <c r="AB26" s="7">
        <v>0.9</v>
      </c>
      <c r="AC26" s="7">
        <v>80</v>
      </c>
      <c r="AD26" s="65"/>
      <c r="AE26" s="258" t="s">
        <v>1374</v>
      </c>
      <c r="AG26" s="259" t="s">
        <v>1375</v>
      </c>
      <c r="AH26" s="64">
        <v>1202000000</v>
      </c>
      <c r="AI26" s="64"/>
      <c r="AJ26" s="65" t="s">
        <v>1315</v>
      </c>
      <c r="AK26" s="1" t="b">
        <v>1</v>
      </c>
      <c r="AM26" s="113"/>
      <c r="AS26" s="40"/>
      <c r="AT26" s="40"/>
      <c r="AU26" s="41"/>
    </row>
    <row r="27" spans="2:47">
      <c r="B27" s="1" t="str">
        <f t="shared" si="0"/>
        <v>M_DAF0203_VM_BKT_200</v>
      </c>
      <c r="C27" s="7" t="s">
        <v>448</v>
      </c>
      <c r="D27" s="7" t="str" cm="1">
        <f t="array" ref="D27">INDEX(기계코드!$D$4:$D$1022,MATCH(1,(C27=기계코드!$F$4:$F$1022)*1,0))</f>
        <v>M_DAF0203</v>
      </c>
      <c r="E27" s="7" t="s">
        <v>1128</v>
      </c>
      <c r="F27" s="7" t="str" cm="1">
        <f t="array" ref="F27">INDEX(공급업체코드!$B$3:$B$1000,MATCH(1,(E27=공급업체코드!$D$3:$D$1000)*1,0))</f>
        <v>VM_BKT</v>
      </c>
      <c r="G27" s="43" t="s">
        <v>2179</v>
      </c>
      <c r="H27" s="34">
        <v>200</v>
      </c>
      <c r="I27" s="70">
        <v>1.6</v>
      </c>
      <c r="J27" s="70">
        <v>1.6</v>
      </c>
      <c r="K27" s="70">
        <v>1.6</v>
      </c>
      <c r="L27">
        <v>1.9</v>
      </c>
      <c r="M27">
        <v>4</v>
      </c>
      <c r="N27">
        <v>4</v>
      </c>
      <c r="O27">
        <v>3.2</v>
      </c>
      <c r="P27">
        <v>3.5</v>
      </c>
      <c r="Q27">
        <v>3.3</v>
      </c>
      <c r="R27">
        <v>5.3</v>
      </c>
      <c r="S27">
        <v>6.4</v>
      </c>
      <c r="T27">
        <v>3</v>
      </c>
      <c r="U27">
        <v>3.5</v>
      </c>
      <c r="V27">
        <v>500</v>
      </c>
      <c r="W27">
        <v>2</v>
      </c>
      <c r="X27">
        <v>23.7</v>
      </c>
      <c r="Y27" s="7" t="s">
        <v>990</v>
      </c>
      <c r="Z27" s="7">
        <v>380</v>
      </c>
      <c r="AA27" s="151">
        <v>0.94099999999999995</v>
      </c>
      <c r="AB27" s="7">
        <v>0.9</v>
      </c>
      <c r="AC27" s="7">
        <v>80</v>
      </c>
      <c r="AD27" s="65"/>
      <c r="AE27" s="258" t="s">
        <v>1374</v>
      </c>
      <c r="AG27" s="259" t="s">
        <v>1375</v>
      </c>
      <c r="AH27" s="64">
        <v>1386000000</v>
      </c>
      <c r="AI27" s="64"/>
      <c r="AJ27" s="65" t="s">
        <v>1315</v>
      </c>
      <c r="AK27" s="1" t="b">
        <v>1</v>
      </c>
      <c r="AM27" s="113"/>
      <c r="AS27" s="41"/>
      <c r="AT27" s="41"/>
      <c r="AU27" s="41"/>
    </row>
    <row r="28" spans="2:47">
      <c r="B28" s="1"/>
      <c r="C28" s="7"/>
      <c r="D28" s="7"/>
      <c r="E28" s="7"/>
      <c r="F28" s="7"/>
      <c r="G28" s="43"/>
      <c r="H28" s="34"/>
      <c r="I28" s="70"/>
      <c r="J28" s="70"/>
      <c r="K28" s="70"/>
      <c r="AD28" s="65"/>
      <c r="AE28" s="258"/>
      <c r="AG28" s="259"/>
      <c r="AH28" s="64"/>
      <c r="AI28" s="64"/>
      <c r="AJ28" s="65"/>
      <c r="AK28" s="1"/>
      <c r="AM28" s="113"/>
      <c r="AS28" s="41"/>
      <c r="AT28" s="41"/>
      <c r="AU28" s="41"/>
    </row>
    <row r="29" spans="2:47">
      <c r="B29" s="1"/>
      <c r="C29" s="7"/>
      <c r="D29" s="7"/>
      <c r="E29" s="7"/>
      <c r="F29" s="7"/>
      <c r="G29" s="43"/>
      <c r="H29" s="34"/>
      <c r="I29" s="70"/>
      <c r="J29" s="70"/>
      <c r="K29" s="70"/>
      <c r="AD29" s="65"/>
      <c r="AE29" s="258"/>
      <c r="AG29" s="259"/>
      <c r="AH29" s="64"/>
      <c r="AI29" s="64"/>
      <c r="AJ29" s="65"/>
      <c r="AK29" s="1"/>
      <c r="AM29" s="113"/>
      <c r="AS29" s="40"/>
      <c r="AT29" s="40"/>
      <c r="AU29" s="41"/>
    </row>
    <row r="30" spans="2:47">
      <c r="B30" s="1"/>
      <c r="C30" s="7"/>
      <c r="D30" s="7"/>
      <c r="E30" s="7"/>
      <c r="F30" s="7"/>
      <c r="G30" s="43"/>
      <c r="H30" s="34"/>
      <c r="I30" s="70"/>
      <c r="J30" s="70"/>
      <c r="K30" s="70"/>
      <c r="AD30" s="65"/>
      <c r="AE30" s="258"/>
      <c r="AG30" s="259"/>
      <c r="AH30" s="64"/>
      <c r="AI30" s="64"/>
      <c r="AJ30" s="65"/>
      <c r="AK30" s="1"/>
      <c r="AM30" s="113"/>
      <c r="AS30" s="41"/>
      <c r="AT30" s="41"/>
      <c r="AU30" s="41"/>
    </row>
    <row r="31" spans="2:47">
      <c r="B31" s="1"/>
      <c r="C31" s="7"/>
      <c r="D31" s="7"/>
      <c r="E31" s="7"/>
      <c r="F31" s="7"/>
      <c r="G31" s="43"/>
      <c r="H31" s="34"/>
      <c r="I31" s="70"/>
      <c r="J31" s="70"/>
      <c r="K31" s="70"/>
      <c r="AD31" s="65"/>
      <c r="AE31" s="258"/>
      <c r="AG31" s="259"/>
      <c r="AH31" s="64"/>
      <c r="AI31" s="64"/>
      <c r="AJ31" s="65"/>
      <c r="AK31" s="1"/>
      <c r="AM31" s="113"/>
      <c r="AS31" s="40"/>
      <c r="AT31" s="40"/>
      <c r="AU31" s="40"/>
    </row>
    <row r="32" spans="2:47">
      <c r="B32" s="1"/>
      <c r="C32" s="7"/>
      <c r="D32" s="7"/>
      <c r="E32" s="7"/>
      <c r="F32" s="7"/>
      <c r="G32" s="43"/>
      <c r="H32" s="34"/>
      <c r="I32" s="70"/>
      <c r="J32" s="70"/>
      <c r="K32" s="70"/>
      <c r="AD32" s="65"/>
      <c r="AE32" s="258"/>
      <c r="AG32" s="259"/>
      <c r="AH32" s="64"/>
      <c r="AI32" s="64"/>
      <c r="AJ32" s="65"/>
      <c r="AK32" s="1"/>
      <c r="AM32" s="113"/>
      <c r="AS32" s="41"/>
      <c r="AT32" s="41"/>
      <c r="AU32" s="41"/>
    </row>
    <row r="33" spans="2:47">
      <c r="B33" s="1"/>
      <c r="C33" s="7"/>
      <c r="D33" s="7"/>
      <c r="E33" s="7"/>
      <c r="F33" s="7"/>
      <c r="G33" s="43"/>
      <c r="H33" s="34"/>
      <c r="I33" s="70"/>
      <c r="J33" s="70"/>
      <c r="K33" s="70"/>
      <c r="AD33" s="65"/>
      <c r="AE33" s="258"/>
      <c r="AG33" s="259"/>
      <c r="AH33" s="64"/>
      <c r="AI33" s="64"/>
      <c r="AJ33" s="65"/>
      <c r="AK33" s="1"/>
      <c r="AM33" s="113"/>
      <c r="AS33" s="41"/>
      <c r="AT33" s="41"/>
      <c r="AU33" s="41"/>
    </row>
    <row r="34" spans="2:47">
      <c r="B34" s="1"/>
      <c r="C34" s="7"/>
      <c r="D34" s="7"/>
      <c r="E34" s="7"/>
      <c r="F34" s="7"/>
      <c r="G34" s="43"/>
      <c r="H34" s="34"/>
      <c r="I34" s="70"/>
      <c r="J34" s="70"/>
      <c r="K34" s="70"/>
      <c r="AD34" s="65"/>
      <c r="AE34" s="258"/>
      <c r="AG34" s="259"/>
      <c r="AH34" s="64"/>
      <c r="AI34" s="64"/>
      <c r="AJ34" s="65"/>
      <c r="AK34" s="1"/>
      <c r="AM34" s="113"/>
      <c r="AS34" s="41"/>
      <c r="AT34" s="41"/>
      <c r="AU34" s="41"/>
    </row>
    <row r="35" spans="2:47">
      <c r="B35" s="1"/>
      <c r="C35" s="7"/>
      <c r="D35" s="7"/>
      <c r="E35" s="7"/>
      <c r="F35" s="7"/>
      <c r="G35" s="43"/>
      <c r="H35" s="34"/>
      <c r="I35" s="70"/>
      <c r="J35" s="70"/>
      <c r="K35" s="70"/>
      <c r="AD35" s="65"/>
      <c r="AE35" s="258"/>
      <c r="AG35" s="259"/>
      <c r="AH35" s="64"/>
      <c r="AI35" s="64"/>
      <c r="AJ35" s="65"/>
      <c r="AK35" s="1"/>
      <c r="AM35" s="113"/>
      <c r="AS35" s="41"/>
      <c r="AT35" s="41"/>
      <c r="AU35" s="41"/>
    </row>
    <row r="36" spans="2:47">
      <c r="B36" s="1"/>
      <c r="C36" s="7"/>
      <c r="D36" s="7"/>
      <c r="E36" s="7"/>
      <c r="F36" s="7"/>
      <c r="G36" s="43"/>
      <c r="H36" s="34"/>
      <c r="I36" s="70"/>
      <c r="J36" s="70"/>
      <c r="K36" s="70"/>
      <c r="AD36" s="65"/>
      <c r="AE36" s="258"/>
      <c r="AG36" s="259"/>
      <c r="AH36" s="64"/>
      <c r="AI36" s="64"/>
      <c r="AJ36" s="65"/>
      <c r="AK36" s="1"/>
      <c r="AM36" s="113"/>
    </row>
    <row r="37" spans="2:47">
      <c r="B37" s="1"/>
      <c r="C37" s="7"/>
      <c r="D37" s="7"/>
      <c r="E37" s="7"/>
      <c r="F37" s="7"/>
      <c r="G37" s="43"/>
      <c r="H37" s="34"/>
      <c r="I37" s="70"/>
      <c r="J37" s="70"/>
      <c r="K37" s="70"/>
      <c r="AD37" s="65"/>
      <c r="AE37" s="258"/>
      <c r="AG37" s="259"/>
      <c r="AH37" s="64"/>
      <c r="AI37" s="64"/>
      <c r="AJ37" s="65"/>
      <c r="AK37" s="1"/>
      <c r="AM37" s="113"/>
    </row>
    <row r="38" spans="2:47">
      <c r="B38" s="1"/>
      <c r="C38" s="7"/>
      <c r="D38" s="7"/>
      <c r="E38" s="7"/>
      <c r="F38" s="7"/>
      <c r="G38" s="43"/>
      <c r="H38" s="34"/>
      <c r="I38" s="70"/>
      <c r="J38" s="70"/>
      <c r="K38" s="70"/>
      <c r="AD38" s="65"/>
      <c r="AE38" s="258"/>
      <c r="AG38" s="259"/>
      <c r="AH38" s="64"/>
      <c r="AI38" s="64"/>
      <c r="AJ38" s="65"/>
      <c r="AK38" s="1"/>
      <c r="AM38" s="113"/>
    </row>
    <row r="39" spans="2:47">
      <c r="B39" s="1"/>
      <c r="C39" s="7"/>
      <c r="D39" s="7"/>
      <c r="E39" s="7"/>
      <c r="F39" s="7"/>
      <c r="G39" s="43"/>
      <c r="H39" s="34"/>
      <c r="I39" s="70"/>
      <c r="J39" s="70"/>
      <c r="K39" s="70"/>
      <c r="AD39" s="65"/>
      <c r="AE39" s="258"/>
      <c r="AG39" s="259"/>
      <c r="AH39" s="64"/>
      <c r="AI39" s="64"/>
      <c r="AJ39" s="65"/>
      <c r="AK39" s="1"/>
      <c r="AM39" s="113"/>
    </row>
    <row r="40" spans="2:47">
      <c r="B40" s="1"/>
      <c r="C40" s="7"/>
      <c r="D40" s="7"/>
      <c r="E40" s="7"/>
      <c r="F40" s="7"/>
      <c r="G40" s="43"/>
      <c r="H40" s="34"/>
      <c r="I40" s="70"/>
      <c r="J40" s="70"/>
      <c r="K40" s="70"/>
      <c r="AD40" s="65"/>
      <c r="AE40" s="258"/>
      <c r="AG40" s="259"/>
      <c r="AH40" s="64"/>
      <c r="AI40" s="64"/>
      <c r="AJ40" s="65"/>
      <c r="AK40" s="1"/>
      <c r="AM40" s="113"/>
    </row>
    <row r="41" spans="2:47">
      <c r="B41" s="1"/>
      <c r="C41" s="7"/>
      <c r="D41" s="7"/>
      <c r="E41" s="7"/>
      <c r="F41" s="7"/>
      <c r="G41" s="43"/>
      <c r="H41" s="34"/>
      <c r="AD41" s="65"/>
      <c r="AE41" s="258"/>
      <c r="AG41" s="259"/>
      <c r="AH41" s="64"/>
      <c r="AI41" s="64"/>
      <c r="AJ41" s="65"/>
      <c r="AK41" s="1"/>
      <c r="AM41" s="113"/>
    </row>
    <row r="42" spans="2:47">
      <c r="B42" s="1"/>
      <c r="C42" s="7"/>
      <c r="D42" s="7"/>
      <c r="E42" s="7"/>
      <c r="F42" s="7"/>
      <c r="G42" s="43"/>
      <c r="H42" s="34"/>
      <c r="AD42" s="65"/>
      <c r="AE42" s="258"/>
      <c r="AG42" s="259"/>
      <c r="AH42" s="64"/>
      <c r="AI42" s="64"/>
      <c r="AJ42" s="65"/>
      <c r="AK42" s="1"/>
      <c r="AM42" s="113"/>
    </row>
    <row r="43" spans="2:47">
      <c r="B43" s="1"/>
      <c r="C43" s="7"/>
      <c r="D43" s="7"/>
      <c r="E43" s="7"/>
      <c r="F43" s="7"/>
      <c r="G43" s="43"/>
      <c r="H43" s="34"/>
      <c r="AD43" s="65"/>
      <c r="AE43" s="258"/>
      <c r="AG43" s="259"/>
      <c r="AH43" s="64"/>
      <c r="AI43" s="64"/>
      <c r="AJ43" s="65"/>
      <c r="AK43" s="1"/>
      <c r="AM43" s="113"/>
    </row>
    <row r="44" spans="2:47">
      <c r="B44" s="1"/>
      <c r="C44" s="7"/>
      <c r="D44" s="7"/>
      <c r="E44" s="7"/>
      <c r="F44" s="7"/>
      <c r="G44" s="43"/>
      <c r="H44" s="34"/>
      <c r="AD44" s="65"/>
      <c r="AE44" s="258"/>
      <c r="AG44" s="259"/>
      <c r="AH44" s="64"/>
      <c r="AI44" s="64"/>
      <c r="AJ44" s="65"/>
      <c r="AK44" s="1"/>
      <c r="AM44" s="113"/>
    </row>
    <row r="45" spans="2:47">
      <c r="B45" s="1"/>
      <c r="C45" s="7"/>
      <c r="D45" s="7"/>
      <c r="E45" s="7"/>
      <c r="F45" s="7"/>
      <c r="G45" s="43"/>
      <c r="H45" s="34"/>
      <c r="AD45" s="65"/>
      <c r="AE45" s="258"/>
      <c r="AG45" s="259"/>
      <c r="AH45" s="64"/>
      <c r="AI45" s="64"/>
      <c r="AJ45" s="65"/>
      <c r="AK45" s="1"/>
      <c r="AM45" s="113"/>
    </row>
    <row r="46" spans="2:47">
      <c r="B46" s="1"/>
      <c r="C46" s="7"/>
      <c r="D46" s="7"/>
      <c r="E46" s="7"/>
      <c r="F46" s="7"/>
      <c r="G46" s="43"/>
      <c r="H46" s="34"/>
      <c r="AD46" s="65"/>
      <c r="AE46" s="258"/>
      <c r="AG46" s="259"/>
      <c r="AH46" s="64"/>
      <c r="AI46" s="64"/>
      <c r="AJ46" s="65"/>
      <c r="AK46" s="1"/>
      <c r="AM46" s="113"/>
    </row>
    <row r="47" spans="2:47">
      <c r="B47" s="1"/>
      <c r="C47" s="7"/>
      <c r="D47" s="7"/>
      <c r="E47" s="7"/>
      <c r="F47" s="7"/>
      <c r="G47" s="43"/>
      <c r="H47" s="34"/>
      <c r="AD47" s="65"/>
      <c r="AE47" s="258"/>
      <c r="AG47" s="259"/>
      <c r="AH47" s="64"/>
      <c r="AI47" s="64"/>
      <c r="AJ47" s="65"/>
      <c r="AK47" s="1"/>
      <c r="AM47" s="113"/>
    </row>
    <row r="48" spans="2:47">
      <c r="B48" s="1"/>
      <c r="C48" s="7"/>
      <c r="D48" s="7"/>
      <c r="E48" s="7"/>
      <c r="F48" s="7"/>
      <c r="G48" s="43"/>
      <c r="H48" s="34"/>
      <c r="AD48" s="65"/>
      <c r="AE48" s="258"/>
      <c r="AG48" s="259"/>
      <c r="AH48" s="64"/>
      <c r="AI48" s="64"/>
      <c r="AJ48" s="65"/>
      <c r="AK48" s="1"/>
      <c r="AM48" s="113"/>
    </row>
    <row r="49" spans="2:39">
      <c r="B49" s="1"/>
      <c r="C49" s="7"/>
      <c r="D49" s="7"/>
      <c r="E49" s="7"/>
      <c r="F49" s="7"/>
      <c r="G49" s="43"/>
      <c r="H49" s="34"/>
      <c r="AD49" s="65"/>
      <c r="AE49" s="258"/>
      <c r="AG49" s="259"/>
      <c r="AH49" s="64"/>
      <c r="AI49" s="64"/>
      <c r="AJ49" s="65"/>
      <c r="AK49" s="1"/>
      <c r="AM49" s="113"/>
    </row>
    <row r="50" spans="2:39">
      <c r="B50" s="1"/>
      <c r="C50" s="7"/>
      <c r="D50" s="7"/>
      <c r="E50" s="7"/>
      <c r="F50" s="7"/>
      <c r="G50" s="43"/>
      <c r="H50" s="34"/>
      <c r="AD50" s="65"/>
      <c r="AE50" s="258"/>
      <c r="AG50" s="259"/>
      <c r="AH50" s="64"/>
      <c r="AI50" s="64"/>
      <c r="AJ50" s="65"/>
      <c r="AK50" s="1"/>
      <c r="AM50" s="113"/>
    </row>
    <row r="51" spans="2:39">
      <c r="B51" s="1"/>
      <c r="C51" s="7"/>
      <c r="D51" s="7"/>
      <c r="E51" s="7"/>
      <c r="F51" s="7"/>
      <c r="G51" s="43"/>
      <c r="H51" s="34"/>
      <c r="AD51" s="65"/>
      <c r="AE51" s="258"/>
      <c r="AG51" s="259"/>
      <c r="AH51" s="64"/>
      <c r="AI51" s="64"/>
      <c r="AJ51" s="65"/>
      <c r="AK51" s="1"/>
      <c r="AM51" s="113"/>
    </row>
    <row r="52" spans="2:39">
      <c r="B52" s="1"/>
      <c r="C52" s="7"/>
      <c r="D52" s="7"/>
      <c r="E52" s="7"/>
      <c r="F52" s="7"/>
      <c r="G52" s="43"/>
      <c r="H52" s="34"/>
      <c r="AD52" s="65"/>
      <c r="AE52" s="258"/>
      <c r="AG52" s="259"/>
      <c r="AH52" s="64"/>
      <c r="AI52" s="64"/>
      <c r="AJ52" s="65"/>
      <c r="AK52" s="1"/>
      <c r="AM52" s="113"/>
    </row>
    <row r="53" spans="2:39">
      <c r="B53" s="1"/>
      <c r="C53" s="7"/>
      <c r="D53" s="7"/>
      <c r="E53" s="7"/>
      <c r="F53" s="7"/>
      <c r="G53" s="43"/>
      <c r="H53" s="34"/>
      <c r="AD53" s="65"/>
      <c r="AE53" s="258"/>
      <c r="AG53" s="259"/>
      <c r="AH53" s="64"/>
      <c r="AI53" s="64"/>
      <c r="AJ53" s="65"/>
      <c r="AK53" s="1"/>
      <c r="AM53" s="113"/>
    </row>
    <row r="54" spans="2:39">
      <c r="B54" s="1"/>
      <c r="C54" s="7"/>
      <c r="D54" s="7"/>
      <c r="E54" s="7"/>
      <c r="F54" s="7"/>
      <c r="G54" s="43"/>
      <c r="H54" s="34"/>
      <c r="AD54" s="65"/>
      <c r="AE54" s="258"/>
      <c r="AG54" s="259"/>
      <c r="AH54" s="64"/>
      <c r="AI54" s="64"/>
      <c r="AJ54" s="65"/>
      <c r="AK54" s="1"/>
      <c r="AM54" s="113"/>
    </row>
    <row r="55" spans="2:39">
      <c r="B55" s="1"/>
      <c r="C55" s="7"/>
      <c r="D55" s="7"/>
      <c r="E55" s="7"/>
      <c r="F55" s="7"/>
      <c r="G55" s="43"/>
      <c r="H55" s="34"/>
      <c r="AD55" s="65"/>
      <c r="AE55" s="258"/>
      <c r="AG55" s="259"/>
      <c r="AH55" s="64"/>
      <c r="AI55" s="64"/>
      <c r="AJ55" s="65"/>
      <c r="AK55" s="1"/>
      <c r="AM55" s="113"/>
    </row>
    <row r="56" spans="2:39">
      <c r="B56" s="1"/>
      <c r="C56" s="7"/>
      <c r="D56" s="7"/>
      <c r="E56" s="7"/>
      <c r="F56" s="7"/>
      <c r="G56" s="43"/>
      <c r="H56" s="34"/>
      <c r="AD56" s="65"/>
      <c r="AE56" s="258"/>
      <c r="AG56" s="259"/>
      <c r="AH56" s="64"/>
      <c r="AI56" s="64"/>
      <c r="AJ56" s="65"/>
      <c r="AK56" s="1"/>
      <c r="AM56" s="113"/>
    </row>
    <row r="57" spans="2:39">
      <c r="B57" s="1"/>
      <c r="C57" s="7"/>
      <c r="D57" s="7"/>
      <c r="E57" s="7"/>
      <c r="F57" s="7"/>
      <c r="G57" s="43"/>
      <c r="H57" s="34"/>
      <c r="AD57" s="65"/>
      <c r="AE57" s="258"/>
      <c r="AG57" s="259"/>
      <c r="AH57" s="64"/>
      <c r="AI57" s="64"/>
      <c r="AJ57" s="65"/>
      <c r="AK57" s="1"/>
      <c r="AM57" s="113"/>
    </row>
    <row r="58" spans="2:39">
      <c r="B58" s="1"/>
      <c r="C58" s="7"/>
      <c r="D58" s="7"/>
      <c r="E58" s="7"/>
      <c r="F58" s="7"/>
      <c r="G58" s="43"/>
      <c r="H58" s="34"/>
      <c r="AD58" s="65"/>
      <c r="AE58" s="258"/>
      <c r="AG58" s="259"/>
      <c r="AH58" s="64"/>
      <c r="AI58" s="64"/>
      <c r="AJ58" s="65"/>
      <c r="AK58" s="1"/>
      <c r="AM58" s="113"/>
    </row>
    <row r="59" spans="2:39">
      <c r="B59" s="1"/>
      <c r="C59" s="7"/>
      <c r="D59" s="7"/>
      <c r="E59" s="7"/>
      <c r="F59" s="7"/>
      <c r="G59" s="43"/>
      <c r="H59" s="34"/>
      <c r="AD59" s="65"/>
      <c r="AE59" s="258"/>
      <c r="AG59" s="259"/>
      <c r="AH59" s="64"/>
      <c r="AI59" s="64"/>
      <c r="AJ59" s="65"/>
      <c r="AK59" s="1"/>
      <c r="AM59" s="113"/>
    </row>
    <row r="60" spans="2:39">
      <c r="B60" s="1"/>
      <c r="C60" s="7"/>
      <c r="D60" s="7"/>
      <c r="E60" s="7"/>
      <c r="F60" s="7"/>
      <c r="G60" s="43"/>
      <c r="H60" s="34"/>
      <c r="AD60" s="65"/>
      <c r="AE60" s="258"/>
      <c r="AG60" s="259"/>
      <c r="AH60" s="64"/>
      <c r="AI60" s="64"/>
      <c r="AJ60" s="65"/>
      <c r="AK60" s="1"/>
      <c r="AM60" s="113"/>
    </row>
    <row r="61" spans="2:39">
      <c r="B61" s="1"/>
      <c r="C61" s="7"/>
      <c r="D61" s="7"/>
      <c r="E61" s="7"/>
      <c r="F61" s="7"/>
      <c r="G61" s="43"/>
      <c r="H61" s="34"/>
      <c r="AD61" s="65"/>
      <c r="AE61" s="258"/>
      <c r="AG61" s="259"/>
      <c r="AH61" s="64"/>
      <c r="AI61" s="64"/>
      <c r="AJ61" s="65"/>
      <c r="AK61" s="1"/>
      <c r="AM61" s="113"/>
    </row>
    <row r="62" spans="2:39">
      <c r="B62" s="1"/>
      <c r="C62" s="7"/>
      <c r="D62" s="7"/>
      <c r="E62" s="7"/>
      <c r="F62" s="7"/>
      <c r="G62" s="43"/>
      <c r="H62" s="34"/>
      <c r="AD62" s="65"/>
      <c r="AE62" s="258"/>
      <c r="AG62" s="259"/>
      <c r="AH62" s="64"/>
      <c r="AI62" s="64"/>
      <c r="AJ62" s="65"/>
      <c r="AK62" s="1"/>
      <c r="AM62" s="113"/>
    </row>
    <row r="63" spans="2:39">
      <c r="B63" s="1"/>
      <c r="C63" s="7"/>
      <c r="D63" s="7"/>
      <c r="E63" s="7"/>
      <c r="F63" s="7"/>
      <c r="G63" s="43"/>
      <c r="H63" s="34"/>
      <c r="AD63" s="65"/>
      <c r="AE63" s="258"/>
      <c r="AG63" s="259"/>
      <c r="AH63" s="64"/>
      <c r="AI63" s="64"/>
      <c r="AJ63" s="65"/>
      <c r="AK63" s="1"/>
      <c r="AM63" s="113"/>
    </row>
    <row r="64" spans="2:39">
      <c r="B64" s="1"/>
      <c r="C64" s="7"/>
      <c r="D64" s="7"/>
      <c r="E64" s="7"/>
      <c r="F64" s="7"/>
      <c r="G64" s="43"/>
      <c r="H64" s="34"/>
      <c r="AD64" s="65"/>
      <c r="AE64" s="258"/>
      <c r="AG64" s="259"/>
      <c r="AH64" s="64"/>
      <c r="AI64" s="64"/>
      <c r="AJ64" s="65"/>
      <c r="AK64" s="1"/>
      <c r="AM64" s="113"/>
    </row>
    <row r="65" spans="2:39">
      <c r="B65" s="1"/>
      <c r="C65" s="7"/>
      <c r="D65" s="7"/>
      <c r="E65" s="7"/>
      <c r="F65" s="7"/>
      <c r="G65" s="43"/>
      <c r="H65" s="34"/>
      <c r="AD65" s="65"/>
      <c r="AE65" s="258"/>
      <c r="AG65" s="259"/>
      <c r="AH65" s="64"/>
      <c r="AI65" s="64"/>
      <c r="AJ65" s="65"/>
      <c r="AK65" s="1"/>
      <c r="AM65" s="113"/>
    </row>
    <row r="66" spans="2:39">
      <c r="B66" s="1"/>
      <c r="C66" s="7"/>
      <c r="D66" s="7"/>
      <c r="E66" s="7"/>
      <c r="F66" s="7"/>
      <c r="G66" s="43"/>
      <c r="H66" s="34"/>
      <c r="AD66" s="65"/>
      <c r="AE66" s="258"/>
      <c r="AG66" s="259"/>
      <c r="AH66" s="64"/>
      <c r="AI66" s="64"/>
      <c r="AJ66" s="65"/>
      <c r="AK66" s="1"/>
      <c r="AM66" s="113"/>
    </row>
    <row r="67" spans="2:39">
      <c r="B67" s="1"/>
      <c r="C67" s="7"/>
      <c r="D67" s="7"/>
      <c r="E67" s="7"/>
      <c r="F67" s="7"/>
      <c r="G67" s="43"/>
      <c r="H67" s="34"/>
      <c r="AD67" s="65"/>
      <c r="AE67" s="258"/>
      <c r="AG67" s="259"/>
      <c r="AH67" s="64"/>
      <c r="AI67" s="64"/>
      <c r="AJ67" s="65"/>
      <c r="AK67" s="1"/>
      <c r="AM67" s="113"/>
    </row>
    <row r="68" spans="2:39">
      <c r="B68" s="1"/>
      <c r="C68" s="7"/>
      <c r="D68" s="7"/>
      <c r="E68" s="7"/>
      <c r="F68" s="7"/>
      <c r="G68" s="43"/>
      <c r="H68" s="34"/>
      <c r="AD68" s="65"/>
      <c r="AE68" s="258"/>
      <c r="AG68" s="259"/>
      <c r="AH68" s="64"/>
      <c r="AI68" s="64"/>
      <c r="AJ68" s="65"/>
      <c r="AK68" s="1"/>
      <c r="AM68" s="113"/>
    </row>
    <row r="69" spans="2:39">
      <c r="B69" s="1"/>
      <c r="C69" s="7"/>
      <c r="D69" s="7"/>
      <c r="E69" s="7"/>
      <c r="F69" s="7"/>
      <c r="G69" s="43"/>
      <c r="H69" s="34"/>
      <c r="AD69" s="65"/>
      <c r="AE69" s="258"/>
      <c r="AG69" s="259"/>
      <c r="AH69" s="64"/>
      <c r="AI69" s="64"/>
      <c r="AJ69" s="65"/>
      <c r="AK69" s="1"/>
      <c r="AM69" s="113"/>
    </row>
    <row r="70" spans="2:39">
      <c r="B70" s="1"/>
      <c r="C70" s="7"/>
      <c r="D70" s="7"/>
      <c r="E70" s="7"/>
      <c r="F70" s="7"/>
      <c r="G70" s="43"/>
      <c r="H70" s="34"/>
      <c r="AE70" s="258"/>
      <c r="AG70" s="259"/>
      <c r="AH70" s="58"/>
      <c r="AI70" s="58"/>
      <c r="AK70" s="1"/>
      <c r="AM70" s="113"/>
    </row>
    <row r="71" spans="2:39">
      <c r="B71" s="1"/>
      <c r="C71" s="7"/>
      <c r="D71" s="7"/>
      <c r="E71" s="7"/>
      <c r="F71" s="7"/>
      <c r="G71" s="43"/>
      <c r="H71" s="34"/>
      <c r="AE71" s="258"/>
      <c r="AG71" s="259"/>
      <c r="AH71" s="58"/>
      <c r="AI71" s="58"/>
      <c r="AK71" s="1"/>
      <c r="AM71" s="113"/>
    </row>
    <row r="72" spans="2:39">
      <c r="B72" s="1"/>
      <c r="C72" s="7"/>
      <c r="D72" s="7"/>
      <c r="E72" s="7"/>
      <c r="F72" s="7"/>
      <c r="G72" s="43"/>
      <c r="H72" s="34"/>
      <c r="AE72" s="258"/>
      <c r="AG72" s="259"/>
      <c r="AH72" s="58"/>
      <c r="AI72" s="58"/>
      <c r="AK72" s="1"/>
      <c r="AM72" s="113"/>
    </row>
    <row r="73" spans="2:39">
      <c r="B73" s="1"/>
      <c r="C73" s="7"/>
      <c r="D73" s="7"/>
      <c r="E73" s="7"/>
      <c r="F73" s="7"/>
      <c r="G73" s="43"/>
      <c r="H73" s="34"/>
      <c r="AE73" s="258"/>
      <c r="AG73" s="259"/>
      <c r="AH73" s="58"/>
      <c r="AI73" s="58"/>
      <c r="AK73" s="1"/>
      <c r="AM73" s="113"/>
    </row>
    <row r="74" spans="2:39">
      <c r="B74" s="1"/>
      <c r="C74" s="7"/>
      <c r="D74" s="7"/>
      <c r="E74" s="7"/>
      <c r="F74" s="7"/>
      <c r="G74" s="43"/>
      <c r="H74" s="34"/>
      <c r="AE74" s="258"/>
      <c r="AG74" s="259"/>
      <c r="AH74" s="58"/>
      <c r="AI74" s="58"/>
      <c r="AK74" s="1"/>
      <c r="AM74" s="113"/>
    </row>
    <row r="75" spans="2:39">
      <c r="B75" s="1"/>
      <c r="C75" s="7"/>
      <c r="D75" s="7"/>
      <c r="E75" s="7"/>
      <c r="F75" s="7"/>
      <c r="G75" s="43"/>
      <c r="H75" s="34"/>
      <c r="AE75" s="258"/>
      <c r="AG75" s="259"/>
      <c r="AH75" s="58"/>
      <c r="AI75" s="58"/>
      <c r="AK75" s="1"/>
      <c r="AM75" s="113"/>
    </row>
    <row r="76" spans="2:39">
      <c r="B76" s="1"/>
      <c r="C76" s="7"/>
      <c r="D76" s="7"/>
      <c r="E76" s="7"/>
      <c r="F76" s="7"/>
      <c r="G76" s="43"/>
      <c r="H76" s="34"/>
      <c r="AE76" s="258"/>
      <c r="AG76" s="259"/>
      <c r="AH76" s="58"/>
      <c r="AI76" s="58"/>
      <c r="AK76" s="1"/>
      <c r="AM76" s="113"/>
    </row>
    <row r="77" spans="2:39">
      <c r="B77" s="1"/>
      <c r="C77" s="7"/>
      <c r="D77" s="7"/>
      <c r="E77" s="7"/>
      <c r="F77" s="7"/>
      <c r="G77" s="43"/>
      <c r="H77" s="34"/>
      <c r="AE77" s="258"/>
      <c r="AG77" s="259"/>
      <c r="AH77" s="58"/>
      <c r="AI77" s="58"/>
      <c r="AK77" s="1"/>
      <c r="AM77" s="113"/>
    </row>
    <row r="78" spans="2:39">
      <c r="B78" s="1"/>
      <c r="C78" s="7"/>
      <c r="D78" s="7"/>
      <c r="E78" s="7"/>
      <c r="F78" s="7"/>
      <c r="G78" s="43"/>
      <c r="H78" s="34"/>
      <c r="AE78" s="258"/>
      <c r="AG78" s="259"/>
      <c r="AH78" s="58"/>
      <c r="AI78" s="58"/>
      <c r="AK78" s="1"/>
      <c r="AM78" s="113"/>
    </row>
    <row r="79" spans="2:39">
      <c r="B79" s="1"/>
      <c r="C79" s="7"/>
      <c r="D79" s="7"/>
      <c r="E79" s="7"/>
      <c r="F79" s="7"/>
      <c r="G79" s="43"/>
      <c r="H79" s="34"/>
      <c r="AE79" s="258"/>
      <c r="AG79" s="259"/>
      <c r="AH79" s="58"/>
      <c r="AI79" s="58"/>
      <c r="AK79" s="1"/>
      <c r="AM79" s="113"/>
    </row>
    <row r="80" spans="2:39">
      <c r="AE80" s="258"/>
      <c r="AG80" s="259"/>
      <c r="AH80" s="58"/>
      <c r="AI80" s="58"/>
      <c r="AM80" s="113"/>
    </row>
    <row r="81" spans="31:39">
      <c r="AE81" s="258"/>
      <c r="AG81" s="259"/>
      <c r="AH81" s="58"/>
      <c r="AI81" s="58"/>
      <c r="AM81" s="113"/>
    </row>
    <row r="82" spans="31:39">
      <c r="AE82" s="258"/>
      <c r="AG82" s="259"/>
      <c r="AH82" s="58"/>
      <c r="AI82" s="58"/>
      <c r="AM82" s="113"/>
    </row>
    <row r="83" spans="31:39">
      <c r="AE83" s="258"/>
      <c r="AG83" s="259"/>
      <c r="AH83" s="58"/>
      <c r="AI83" s="58"/>
      <c r="AM83" s="113"/>
    </row>
    <row r="84" spans="31:39">
      <c r="AE84" s="258"/>
      <c r="AG84" s="259"/>
      <c r="AH84" s="58"/>
      <c r="AI84" s="58"/>
      <c r="AM84" s="113"/>
    </row>
    <row r="85" spans="31:39">
      <c r="AE85" s="258"/>
      <c r="AG85" s="259"/>
      <c r="AH85" s="58"/>
      <c r="AI85" s="58"/>
      <c r="AM85" s="113"/>
    </row>
    <row r="86" spans="31:39">
      <c r="AE86" s="258"/>
      <c r="AG86" s="259"/>
      <c r="AH86" s="58"/>
      <c r="AI86" s="58"/>
      <c r="AM86" s="113"/>
    </row>
    <row r="87" spans="31:39">
      <c r="AE87" s="258"/>
      <c r="AG87" s="259"/>
      <c r="AM87" s="113"/>
    </row>
    <row r="88" spans="31:39">
      <c r="AE88" s="258"/>
      <c r="AG88" s="259"/>
      <c r="AM88" s="113"/>
    </row>
    <row r="89" spans="31:39">
      <c r="AE89" s="258"/>
      <c r="AG89" s="259"/>
      <c r="AM89" s="113"/>
    </row>
    <row r="90" spans="31:39">
      <c r="AE90" s="258"/>
      <c r="AG90" s="259"/>
      <c r="AM90" s="113"/>
    </row>
    <row r="91" spans="31:39">
      <c r="AE91" s="258"/>
      <c r="AG91" s="259"/>
      <c r="AM91" s="113"/>
    </row>
    <row r="92" spans="31:39">
      <c r="AE92" s="258"/>
      <c r="AG92" s="259"/>
      <c r="AM92" s="113"/>
    </row>
    <row r="93" spans="31:39">
      <c r="AE93" s="258"/>
      <c r="AG93" s="259"/>
      <c r="AM93" s="113"/>
    </row>
    <row r="94" spans="31:39">
      <c r="AE94" s="258"/>
      <c r="AG94" s="259"/>
      <c r="AM94" s="113"/>
    </row>
    <row r="95" spans="31:39">
      <c r="AE95" s="258"/>
      <c r="AG95" s="259"/>
      <c r="AM95" s="113"/>
    </row>
    <row r="96" spans="31:39">
      <c r="AE96" s="258"/>
      <c r="AG96" s="259"/>
      <c r="AM96" s="113"/>
    </row>
    <row r="97" spans="31:39">
      <c r="AE97" s="258"/>
      <c r="AG97" s="259"/>
      <c r="AM97" s="113"/>
    </row>
    <row r="98" spans="31:39">
      <c r="AE98" s="258"/>
      <c r="AG98" s="259"/>
      <c r="AM98" s="113"/>
    </row>
    <row r="99" spans="31:39">
      <c r="AE99" s="258"/>
      <c r="AG99" s="259"/>
      <c r="AM99" s="113"/>
    </row>
    <row r="100" spans="31:39">
      <c r="AE100" s="258"/>
      <c r="AG100" s="259"/>
      <c r="AM100" s="113"/>
    </row>
    <row r="101" spans="31:39">
      <c r="AE101" s="258"/>
      <c r="AG101" s="259"/>
      <c r="AM101" s="113"/>
    </row>
    <row r="102" spans="31:39">
      <c r="AE102" s="258"/>
      <c r="AG102" s="259"/>
      <c r="AM102" s="113"/>
    </row>
    <row r="103" spans="31:39">
      <c r="AE103" s="258"/>
      <c r="AG103" s="259"/>
      <c r="AM103" s="113"/>
    </row>
    <row r="104" spans="31:39">
      <c r="AE104" s="258"/>
      <c r="AG104" s="259"/>
      <c r="AM104" s="113"/>
    </row>
    <row r="105" spans="31:39">
      <c r="AE105" s="258"/>
      <c r="AG105" s="259"/>
      <c r="AM105" s="113"/>
    </row>
    <row r="106" spans="31:39">
      <c r="AE106" s="258"/>
      <c r="AG106" s="259"/>
      <c r="AM106" s="113"/>
    </row>
    <row r="107" spans="31:39">
      <c r="AE107" s="258"/>
      <c r="AG107" s="259"/>
      <c r="AM107" s="113"/>
    </row>
    <row r="108" spans="31:39">
      <c r="AE108" s="258"/>
      <c r="AG108" s="259"/>
      <c r="AM108" s="113"/>
    </row>
    <row r="109" spans="31:39">
      <c r="AE109" s="258"/>
      <c r="AG109" s="259"/>
      <c r="AM109" s="113"/>
    </row>
    <row r="110" spans="31:39">
      <c r="AE110" s="258"/>
      <c r="AG110" s="259"/>
      <c r="AM110" s="113"/>
    </row>
    <row r="111" spans="31:39">
      <c r="AE111" s="258"/>
      <c r="AG111" s="259"/>
      <c r="AM111" s="113"/>
    </row>
    <row r="112" spans="31:39">
      <c r="AE112" s="258"/>
      <c r="AG112" s="259"/>
      <c r="AM112" s="113"/>
    </row>
    <row r="113" spans="31:39">
      <c r="AE113" s="258"/>
      <c r="AG113" s="259"/>
      <c r="AM113" s="113"/>
    </row>
    <row r="114" spans="31:39">
      <c r="AE114" s="258"/>
      <c r="AG114" s="259"/>
      <c r="AM114" s="113"/>
    </row>
    <row r="115" spans="31:39">
      <c r="AE115" s="258"/>
      <c r="AG115" s="259"/>
      <c r="AM115" s="113"/>
    </row>
    <row r="116" spans="31:39">
      <c r="AE116" s="258"/>
      <c r="AG116" s="259"/>
      <c r="AM116" s="113"/>
    </row>
    <row r="117" spans="31:39">
      <c r="AE117" s="258"/>
      <c r="AG117" s="259"/>
      <c r="AM117" s="113"/>
    </row>
    <row r="118" spans="31:39">
      <c r="AE118" s="258"/>
      <c r="AG118" s="259"/>
      <c r="AM118" s="113"/>
    </row>
    <row r="119" spans="31:39">
      <c r="AE119" s="258"/>
      <c r="AG119" s="259"/>
      <c r="AM119" s="113"/>
    </row>
    <row r="120" spans="31:39">
      <c r="AE120" s="258"/>
      <c r="AG120" s="259"/>
      <c r="AM120" s="113"/>
    </row>
    <row r="121" spans="31:39">
      <c r="AE121" s="258"/>
      <c r="AG121" s="259"/>
      <c r="AM121" s="113"/>
    </row>
    <row r="122" spans="31:39">
      <c r="AE122" s="258"/>
      <c r="AG122" s="259"/>
      <c r="AM122" s="113"/>
    </row>
    <row r="123" spans="31:39">
      <c r="AE123" s="258"/>
      <c r="AG123" s="259"/>
      <c r="AM123" s="113"/>
    </row>
    <row r="124" spans="31:39">
      <c r="AE124" s="258"/>
      <c r="AG124" s="259"/>
      <c r="AM124" s="113"/>
    </row>
    <row r="125" spans="31:39">
      <c r="AE125" s="258"/>
      <c r="AG125" s="259"/>
      <c r="AM125" s="113"/>
    </row>
    <row r="126" spans="31:39">
      <c r="AE126" s="258"/>
      <c r="AG126" s="259"/>
      <c r="AM126" s="113"/>
    </row>
    <row r="127" spans="31:39">
      <c r="AE127" s="258"/>
      <c r="AG127" s="259"/>
      <c r="AM127" s="113"/>
    </row>
    <row r="128" spans="31:39">
      <c r="AE128" s="258"/>
      <c r="AG128" s="259"/>
      <c r="AM128" s="113"/>
    </row>
    <row r="129" spans="31:39">
      <c r="AE129" s="258"/>
      <c r="AG129" s="259"/>
      <c r="AM129" s="113"/>
    </row>
    <row r="130" spans="31:39">
      <c r="AE130" s="258"/>
      <c r="AG130" s="259"/>
      <c r="AM130" s="113"/>
    </row>
    <row r="131" spans="31:39">
      <c r="AE131" s="258"/>
      <c r="AM131" s="113"/>
    </row>
    <row r="132" spans="31:39">
      <c r="AE132" s="258"/>
      <c r="AM132" s="113"/>
    </row>
    <row r="133" spans="31:39">
      <c r="AE133" s="258"/>
      <c r="AM133" s="113"/>
    </row>
    <row r="134" spans="31:39">
      <c r="AE134" s="258"/>
      <c r="AM134" s="113"/>
    </row>
    <row r="135" spans="31:39">
      <c r="AE135" s="258"/>
      <c r="AM135" s="113"/>
    </row>
    <row r="136" spans="31:39">
      <c r="AE136" s="258"/>
      <c r="AM136" s="113"/>
    </row>
    <row r="137" spans="31:39">
      <c r="AE137" s="258"/>
      <c r="AM137" s="113"/>
    </row>
    <row r="138" spans="31:39">
      <c r="AE138" s="258"/>
      <c r="AM138" s="113"/>
    </row>
    <row r="139" spans="31:39">
      <c r="AE139" s="258"/>
      <c r="AM139" s="113"/>
    </row>
    <row r="140" spans="31:39">
      <c r="AE140" s="258"/>
      <c r="AM140" s="113"/>
    </row>
    <row r="141" spans="31:39">
      <c r="AE141" s="258"/>
      <c r="AM141" s="113"/>
    </row>
    <row r="142" spans="31:39">
      <c r="AE142" s="258"/>
      <c r="AM142" s="113"/>
    </row>
    <row r="143" spans="31:39">
      <c r="AE143" s="258"/>
      <c r="AM143" s="113"/>
    </row>
    <row r="144" spans="31:39">
      <c r="AE144" s="258"/>
      <c r="AM144" s="113"/>
    </row>
    <row r="145" spans="31:39">
      <c r="AE145" s="258"/>
      <c r="AM145" s="113"/>
    </row>
    <row r="146" spans="31:39">
      <c r="AE146" s="258"/>
      <c r="AM146" s="113"/>
    </row>
    <row r="147" spans="31:39">
      <c r="AE147" s="258"/>
      <c r="AM147" s="113"/>
    </row>
    <row r="148" spans="31:39">
      <c r="AE148" s="258"/>
      <c r="AM148" s="113"/>
    </row>
    <row r="149" spans="31:39">
      <c r="AE149" s="258"/>
      <c r="AM149" s="113"/>
    </row>
    <row r="150" spans="31:39">
      <c r="AE150" s="258"/>
      <c r="AM150" s="113"/>
    </row>
    <row r="151" spans="31:39">
      <c r="AE151" s="258"/>
      <c r="AM151" s="113"/>
    </row>
    <row r="152" spans="31:39">
      <c r="AE152" s="258"/>
      <c r="AM152" s="113"/>
    </row>
    <row r="153" spans="31:39">
      <c r="AE153" s="258"/>
      <c r="AM153" s="113"/>
    </row>
    <row r="154" spans="31:39">
      <c r="AE154" s="258"/>
      <c r="AM154" s="113"/>
    </row>
    <row r="155" spans="31:39">
      <c r="AE155" s="258"/>
      <c r="AM155" s="113"/>
    </row>
    <row r="156" spans="31:39">
      <c r="AE156" s="258"/>
      <c r="AM156" s="113"/>
    </row>
    <row r="157" spans="31:39">
      <c r="AE157" s="258"/>
      <c r="AM157" s="113"/>
    </row>
    <row r="158" spans="31:39">
      <c r="AE158" s="258"/>
      <c r="AM158" s="113"/>
    </row>
    <row r="159" spans="31:39">
      <c r="AE159" s="258"/>
      <c r="AM159" s="113"/>
    </row>
    <row r="160" spans="31:39">
      <c r="AE160" s="258"/>
      <c r="AM160" s="113"/>
    </row>
    <row r="161" spans="31:39">
      <c r="AE161" s="258"/>
      <c r="AM161" s="113"/>
    </row>
    <row r="162" spans="31:39">
      <c r="AE162" s="258"/>
      <c r="AM162" s="113"/>
    </row>
    <row r="163" spans="31:39">
      <c r="AE163" s="258"/>
      <c r="AM163" s="113"/>
    </row>
    <row r="164" spans="31:39">
      <c r="AE164" s="258"/>
      <c r="AM164" s="113"/>
    </row>
    <row r="165" spans="31:39">
      <c r="AE165" s="258"/>
      <c r="AM165" s="113"/>
    </row>
    <row r="166" spans="31:39">
      <c r="AE166" s="258"/>
      <c r="AM166" s="113"/>
    </row>
    <row r="167" spans="31:39">
      <c r="AE167" s="258"/>
      <c r="AM167" s="113"/>
    </row>
    <row r="168" spans="31:39">
      <c r="AE168" s="258"/>
      <c r="AM168" s="113"/>
    </row>
    <row r="169" spans="31:39">
      <c r="AE169" s="258"/>
      <c r="AM169" s="113"/>
    </row>
    <row r="170" spans="31:39">
      <c r="AE170" s="258"/>
      <c r="AM170" s="113"/>
    </row>
    <row r="171" spans="31:39">
      <c r="AE171" s="258"/>
      <c r="AM171" s="113"/>
    </row>
    <row r="172" spans="31:39">
      <c r="AE172" s="258"/>
      <c r="AM172" s="113"/>
    </row>
    <row r="173" spans="31:39">
      <c r="AE173" s="258"/>
      <c r="AM173" s="113"/>
    </row>
    <row r="174" spans="31:39">
      <c r="AE174" s="258"/>
      <c r="AM174" s="113"/>
    </row>
    <row r="175" spans="31:39">
      <c r="AE175" s="258"/>
      <c r="AM175" s="113"/>
    </row>
    <row r="176" spans="31:39">
      <c r="AE176" s="258"/>
      <c r="AM176" s="113"/>
    </row>
    <row r="177" spans="31:39">
      <c r="AE177" s="258"/>
      <c r="AM177" s="113"/>
    </row>
    <row r="178" spans="31:39">
      <c r="AE178" s="258"/>
      <c r="AM178" s="113"/>
    </row>
    <row r="179" spans="31:39">
      <c r="AE179" s="258"/>
      <c r="AM179" s="113"/>
    </row>
    <row r="180" spans="31:39">
      <c r="AE180" s="258"/>
      <c r="AM180" s="113"/>
    </row>
    <row r="181" spans="31:39">
      <c r="AE181" s="258"/>
      <c r="AM181" s="113"/>
    </row>
    <row r="182" spans="31:39">
      <c r="AE182" s="258"/>
      <c r="AM182" s="113"/>
    </row>
    <row r="183" spans="31:39">
      <c r="AE183" s="258"/>
      <c r="AM183" s="113"/>
    </row>
    <row r="184" spans="31:39">
      <c r="AE184" s="258"/>
      <c r="AM184" s="113"/>
    </row>
    <row r="185" spans="31:39">
      <c r="AE185" s="258"/>
      <c r="AM185" s="113"/>
    </row>
    <row r="186" spans="31:39">
      <c r="AE186" s="258"/>
      <c r="AM186" s="113"/>
    </row>
    <row r="187" spans="31:39">
      <c r="AE187" s="258"/>
      <c r="AM187" s="113"/>
    </row>
    <row r="188" spans="31:39">
      <c r="AE188" s="258"/>
      <c r="AM188" s="113"/>
    </row>
    <row r="189" spans="31:39">
      <c r="AE189" s="258"/>
      <c r="AM189" s="113"/>
    </row>
    <row r="190" spans="31:39">
      <c r="AE190" s="258"/>
      <c r="AM190" s="113"/>
    </row>
    <row r="191" spans="31:39">
      <c r="AE191" s="258"/>
      <c r="AM191" s="113"/>
    </row>
    <row r="192" spans="31:39">
      <c r="AE192" s="258"/>
      <c r="AM192" s="113"/>
    </row>
    <row r="193" spans="31:39">
      <c r="AE193" s="258"/>
      <c r="AM193" s="113"/>
    </row>
    <row r="194" spans="31:39">
      <c r="AE194" s="258"/>
      <c r="AM194" s="113"/>
    </row>
    <row r="195" spans="31:39">
      <c r="AE195" s="258"/>
      <c r="AM195" s="113"/>
    </row>
    <row r="196" spans="31:39">
      <c r="AE196" s="258"/>
      <c r="AM196" s="113"/>
    </row>
    <row r="197" spans="31:39">
      <c r="AE197" s="258"/>
      <c r="AM197" s="113"/>
    </row>
    <row r="198" spans="31:39">
      <c r="AE198" s="258"/>
      <c r="AM198" s="113"/>
    </row>
    <row r="199" spans="31:39">
      <c r="AE199" s="258"/>
      <c r="AM199" s="113"/>
    </row>
    <row r="200" spans="31:39">
      <c r="AE200" s="258"/>
      <c r="AM200" s="113"/>
    </row>
    <row r="201" spans="31:39">
      <c r="AE201" s="258"/>
      <c r="AM201" s="113"/>
    </row>
    <row r="202" spans="31:39">
      <c r="AE202" s="258"/>
      <c r="AM202" s="113"/>
    </row>
    <row r="203" spans="31:39">
      <c r="AE203" s="258"/>
      <c r="AM203" s="113"/>
    </row>
    <row r="204" spans="31:39">
      <c r="AE204" s="258"/>
      <c r="AM204" s="113"/>
    </row>
    <row r="205" spans="31:39">
      <c r="AE205" s="258"/>
      <c r="AM205" s="113"/>
    </row>
    <row r="206" spans="31:39">
      <c r="AE206" s="258"/>
      <c r="AM206" s="113"/>
    </row>
    <row r="207" spans="31:39">
      <c r="AE207" s="258"/>
      <c r="AM207" s="113"/>
    </row>
    <row r="208" spans="31:39">
      <c r="AE208" s="258"/>
      <c r="AM208" s="113"/>
    </row>
    <row r="209" spans="31:39">
      <c r="AE209" s="258"/>
      <c r="AM209" s="113"/>
    </row>
    <row r="210" spans="31:39">
      <c r="AE210" s="258"/>
      <c r="AM210" s="113"/>
    </row>
    <row r="211" spans="31:39">
      <c r="AE211" s="258"/>
      <c r="AM211" s="113"/>
    </row>
    <row r="212" spans="31:39">
      <c r="AE212" s="258"/>
      <c r="AM212" s="113"/>
    </row>
    <row r="213" spans="31:39">
      <c r="AE213" s="258"/>
      <c r="AM213" s="113"/>
    </row>
    <row r="214" spans="31:39">
      <c r="AE214" s="258"/>
      <c r="AM214" s="113"/>
    </row>
    <row r="215" spans="31:39">
      <c r="AE215" s="258"/>
      <c r="AM215" s="113"/>
    </row>
    <row r="216" spans="31:39">
      <c r="AE216" s="258"/>
      <c r="AM216" s="113"/>
    </row>
    <row r="217" spans="31:39">
      <c r="AE217" s="258"/>
      <c r="AM217" s="113"/>
    </row>
    <row r="218" spans="31:39">
      <c r="AE218" s="258"/>
      <c r="AM218" s="113"/>
    </row>
    <row r="219" spans="31:39">
      <c r="AE219" s="258"/>
      <c r="AM219" s="113"/>
    </row>
    <row r="220" spans="31:39">
      <c r="AE220" s="258"/>
      <c r="AM220" s="113"/>
    </row>
    <row r="221" spans="31:39">
      <c r="AE221" s="258"/>
      <c r="AM221" s="113"/>
    </row>
    <row r="222" spans="31:39">
      <c r="AE222" s="258"/>
      <c r="AM222" s="113"/>
    </row>
    <row r="223" spans="31:39">
      <c r="AE223" s="258"/>
      <c r="AM223" s="113"/>
    </row>
    <row r="224" spans="31:39">
      <c r="AE224" s="258"/>
      <c r="AM224" s="113"/>
    </row>
    <row r="225" spans="31:39">
      <c r="AE225" s="258"/>
      <c r="AM225" s="113"/>
    </row>
    <row r="226" spans="31:39">
      <c r="AE226" s="258"/>
      <c r="AM226" s="113"/>
    </row>
    <row r="227" spans="31:39">
      <c r="AE227" s="258"/>
      <c r="AM227" s="113"/>
    </row>
    <row r="228" spans="31:39">
      <c r="AE228" s="258"/>
      <c r="AM228" s="113"/>
    </row>
    <row r="229" spans="31:39">
      <c r="AE229" s="258"/>
      <c r="AM229" s="113"/>
    </row>
    <row r="230" spans="31:39">
      <c r="AE230" s="258"/>
      <c r="AM230" s="113"/>
    </row>
    <row r="231" spans="31:39">
      <c r="AE231" s="258"/>
      <c r="AM231" s="113"/>
    </row>
    <row r="232" spans="31:39">
      <c r="AE232" s="258"/>
      <c r="AM232" s="113"/>
    </row>
    <row r="233" spans="31:39">
      <c r="AE233" s="258"/>
      <c r="AM233" s="113"/>
    </row>
    <row r="234" spans="31:39">
      <c r="AE234" s="258"/>
      <c r="AM234" s="113"/>
    </row>
    <row r="235" spans="31:39">
      <c r="AE235" s="258"/>
      <c r="AM235" s="113"/>
    </row>
    <row r="236" spans="31:39">
      <c r="AE236" s="258"/>
      <c r="AM236" s="113"/>
    </row>
    <row r="237" spans="31:39">
      <c r="AE237" s="258"/>
      <c r="AM237" s="113"/>
    </row>
    <row r="238" spans="31:39">
      <c r="AE238" s="258"/>
      <c r="AM238" s="113"/>
    </row>
    <row r="239" spans="31:39">
      <c r="AE239" s="258"/>
      <c r="AM239" s="113"/>
    </row>
    <row r="240" spans="31:39">
      <c r="AE240" s="258"/>
      <c r="AM240" s="113"/>
    </row>
    <row r="241" spans="31:39">
      <c r="AE241" s="258"/>
      <c r="AM241" s="113"/>
    </row>
    <row r="242" spans="31:39">
      <c r="AE242" s="258"/>
      <c r="AM242" s="113"/>
    </row>
    <row r="243" spans="31:39">
      <c r="AE243" s="258"/>
      <c r="AM243" s="113"/>
    </row>
    <row r="244" spans="31:39">
      <c r="AE244" s="258"/>
      <c r="AM244" s="113"/>
    </row>
    <row r="245" spans="31:39">
      <c r="AE245" s="258"/>
      <c r="AM245" s="113"/>
    </row>
    <row r="246" spans="31:39">
      <c r="AE246" s="258"/>
      <c r="AM246" s="113"/>
    </row>
    <row r="247" spans="31:39">
      <c r="AE247" s="258"/>
      <c r="AM247" s="113"/>
    </row>
    <row r="248" spans="31:39">
      <c r="AE248" s="258"/>
      <c r="AM248" s="113"/>
    </row>
    <row r="249" spans="31:39">
      <c r="AE249" s="258"/>
      <c r="AM249" s="113"/>
    </row>
    <row r="250" spans="31:39">
      <c r="AE250" s="258"/>
      <c r="AM250" s="113"/>
    </row>
    <row r="251" spans="31:39">
      <c r="AE251" s="258"/>
      <c r="AM251" s="113"/>
    </row>
    <row r="252" spans="31:39">
      <c r="AE252" s="258"/>
      <c r="AM252" s="113"/>
    </row>
    <row r="253" spans="31:39">
      <c r="AE253" s="258"/>
      <c r="AM253" s="113"/>
    </row>
    <row r="254" spans="31:39">
      <c r="AE254" s="258"/>
      <c r="AM254" s="113"/>
    </row>
    <row r="255" spans="31:39">
      <c r="AE255" s="258"/>
      <c r="AM255" s="113"/>
    </row>
    <row r="256" spans="31:39">
      <c r="AE256" s="258"/>
      <c r="AM256" s="113"/>
    </row>
    <row r="257" spans="31:39">
      <c r="AE257" s="258"/>
      <c r="AM257" s="113"/>
    </row>
    <row r="258" spans="31:39">
      <c r="AE258" s="258"/>
      <c r="AM258" s="113"/>
    </row>
    <row r="259" spans="31:39">
      <c r="AE259" s="258"/>
      <c r="AM259" s="113"/>
    </row>
    <row r="260" spans="31:39">
      <c r="AE260" s="258"/>
      <c r="AM260" s="113"/>
    </row>
    <row r="261" spans="31:39">
      <c r="AE261" s="258"/>
      <c r="AM261" s="113"/>
    </row>
    <row r="262" spans="31:39">
      <c r="AE262" s="258"/>
      <c r="AM262" s="113"/>
    </row>
    <row r="263" spans="31:39">
      <c r="AE263" s="258"/>
      <c r="AM263" s="113"/>
    </row>
    <row r="264" spans="31:39">
      <c r="AE264" s="258"/>
      <c r="AM264" s="113"/>
    </row>
    <row r="265" spans="31:39">
      <c r="AE265" s="258"/>
      <c r="AM265" s="113"/>
    </row>
    <row r="266" spans="31:39">
      <c r="AE266" s="258"/>
      <c r="AM266" s="113"/>
    </row>
    <row r="267" spans="31:39">
      <c r="AE267" s="258"/>
      <c r="AM267" s="113"/>
    </row>
    <row r="268" spans="31:39">
      <c r="AE268" s="258"/>
      <c r="AM268" s="113"/>
    </row>
    <row r="269" spans="31:39">
      <c r="AE269" s="258"/>
      <c r="AM269" s="113"/>
    </row>
    <row r="270" spans="31:39">
      <c r="AE270" s="258"/>
      <c r="AM270" s="113"/>
    </row>
    <row r="271" spans="31:39">
      <c r="AE271" s="258"/>
      <c r="AM271" s="113"/>
    </row>
    <row r="272" spans="31:39">
      <c r="AE272" s="258"/>
      <c r="AM272" s="113"/>
    </row>
    <row r="273" spans="31:39">
      <c r="AE273" s="258"/>
      <c r="AM273" s="113"/>
    </row>
    <row r="274" spans="31:39">
      <c r="AE274" s="258"/>
      <c r="AM274" s="113"/>
    </row>
    <row r="275" spans="31:39">
      <c r="AE275" s="258"/>
      <c r="AM275" s="113"/>
    </row>
    <row r="276" spans="31:39">
      <c r="AE276" s="258"/>
      <c r="AM276" s="113"/>
    </row>
    <row r="277" spans="31:39">
      <c r="AE277" s="258"/>
      <c r="AM277" s="113"/>
    </row>
    <row r="278" spans="31:39">
      <c r="AE278" s="258"/>
      <c r="AM278" s="113"/>
    </row>
    <row r="279" spans="31:39">
      <c r="AE279" s="258"/>
      <c r="AM279" s="113"/>
    </row>
    <row r="280" spans="31:39">
      <c r="AE280" s="258"/>
      <c r="AM280" s="113"/>
    </row>
    <row r="281" spans="31:39">
      <c r="AE281" s="258"/>
      <c r="AM281" s="113"/>
    </row>
    <row r="282" spans="31:39">
      <c r="AE282" s="258"/>
      <c r="AM282" s="113"/>
    </row>
    <row r="283" spans="31:39">
      <c r="AE283" s="258"/>
      <c r="AM283" s="113"/>
    </row>
    <row r="284" spans="31:39">
      <c r="AE284" s="258"/>
      <c r="AM284" s="113"/>
    </row>
    <row r="285" spans="31:39">
      <c r="AE285" s="258"/>
      <c r="AM285" s="113"/>
    </row>
    <row r="286" spans="31:39">
      <c r="AE286" s="258"/>
      <c r="AM286" s="113"/>
    </row>
    <row r="287" spans="31:39">
      <c r="AE287" s="258"/>
      <c r="AM287" s="113"/>
    </row>
    <row r="288" spans="31:39">
      <c r="AE288" s="258"/>
      <c r="AM288" s="113"/>
    </row>
    <row r="289" spans="31:39">
      <c r="AE289" s="258"/>
      <c r="AM289" s="113"/>
    </row>
    <row r="290" spans="31:39">
      <c r="AE290" s="258"/>
      <c r="AM290" s="113"/>
    </row>
    <row r="291" spans="31:39">
      <c r="AE291" s="258"/>
      <c r="AM291" s="113"/>
    </row>
    <row r="292" spans="31:39">
      <c r="AE292" s="258"/>
      <c r="AM292" s="113"/>
    </row>
    <row r="293" spans="31:39">
      <c r="AE293" s="258"/>
      <c r="AM293" s="113"/>
    </row>
    <row r="294" spans="31:39">
      <c r="AE294" s="258"/>
      <c r="AM294" s="113"/>
    </row>
    <row r="295" spans="31:39">
      <c r="AE295" s="258"/>
      <c r="AM295" s="113"/>
    </row>
    <row r="296" spans="31:39">
      <c r="AE296" s="258"/>
      <c r="AM296" s="113"/>
    </row>
    <row r="297" spans="31:39">
      <c r="AE297" s="258"/>
      <c r="AM297" s="113"/>
    </row>
    <row r="298" spans="31:39">
      <c r="AE298" s="258"/>
      <c r="AM298" s="113"/>
    </row>
    <row r="299" spans="31:39">
      <c r="AE299" s="258"/>
      <c r="AM299" s="113"/>
    </row>
    <row r="300" spans="31:39">
      <c r="AE300" s="258"/>
      <c r="AM300" s="113"/>
    </row>
    <row r="301" spans="31:39">
      <c r="AE301" s="258"/>
      <c r="AM301" s="113"/>
    </row>
    <row r="302" spans="31:39">
      <c r="AE302" s="258"/>
      <c r="AM302" s="113"/>
    </row>
    <row r="303" spans="31:39">
      <c r="AE303" s="258"/>
      <c r="AM303" s="113"/>
    </row>
    <row r="304" spans="31:39">
      <c r="AE304" s="258"/>
      <c r="AM304" s="113"/>
    </row>
    <row r="305" spans="31:39">
      <c r="AE305" s="258"/>
      <c r="AM305" s="113"/>
    </row>
    <row r="306" spans="31:39">
      <c r="AE306" s="258"/>
      <c r="AM306" s="113"/>
    </row>
    <row r="307" spans="31:39">
      <c r="AE307" s="258"/>
      <c r="AM307" s="113"/>
    </row>
    <row r="308" spans="31:39">
      <c r="AE308" s="258"/>
      <c r="AM308" s="113"/>
    </row>
    <row r="309" spans="31:39">
      <c r="AE309" s="258"/>
      <c r="AM309" s="113"/>
    </row>
    <row r="310" spans="31:39">
      <c r="AE310" s="258"/>
      <c r="AM310" s="113"/>
    </row>
    <row r="311" spans="31:39">
      <c r="AE311" s="258"/>
      <c r="AM311" s="113"/>
    </row>
    <row r="312" spans="31:39">
      <c r="AE312" s="258"/>
      <c r="AM312" s="113"/>
    </row>
    <row r="313" spans="31:39">
      <c r="AE313" s="258"/>
      <c r="AM313" s="113"/>
    </row>
    <row r="314" spans="31:39">
      <c r="AE314" s="258"/>
      <c r="AM314" s="113"/>
    </row>
    <row r="315" spans="31:39">
      <c r="AE315" s="258"/>
      <c r="AM315" s="113"/>
    </row>
    <row r="316" spans="31:39">
      <c r="AE316" s="258"/>
      <c r="AM316" s="113"/>
    </row>
    <row r="317" spans="31:39">
      <c r="AE317" s="258"/>
      <c r="AM317" s="113"/>
    </row>
    <row r="318" spans="31:39">
      <c r="AE318" s="258"/>
      <c r="AM318" s="113"/>
    </row>
    <row r="319" spans="31:39">
      <c r="AE319" s="258"/>
      <c r="AM319" s="113"/>
    </row>
    <row r="320" spans="31:39">
      <c r="AE320" s="258"/>
      <c r="AM320" s="113"/>
    </row>
    <row r="321" spans="31:39">
      <c r="AE321" s="258"/>
      <c r="AM321" s="113"/>
    </row>
    <row r="322" spans="31:39">
      <c r="AE322" s="258"/>
      <c r="AM322" s="113"/>
    </row>
    <row r="323" spans="31:39">
      <c r="AE323" s="258"/>
      <c r="AM323" s="113"/>
    </row>
    <row r="324" spans="31:39">
      <c r="AE324" s="258"/>
      <c r="AM324" s="113"/>
    </row>
    <row r="325" spans="31:39">
      <c r="AE325" s="258"/>
      <c r="AM325" s="113"/>
    </row>
    <row r="326" spans="31:39">
      <c r="AE326" s="258"/>
      <c r="AM326" s="113"/>
    </row>
    <row r="327" spans="31:39">
      <c r="AE327" s="258"/>
      <c r="AM327" s="113"/>
    </row>
    <row r="328" spans="31:39">
      <c r="AE328" s="258"/>
      <c r="AM328" s="113"/>
    </row>
    <row r="329" spans="31:39">
      <c r="AE329" s="258"/>
      <c r="AM329" s="113"/>
    </row>
    <row r="330" spans="31:39">
      <c r="AE330" s="258"/>
      <c r="AM330" s="113"/>
    </row>
    <row r="331" spans="31:39">
      <c r="AE331" s="258"/>
      <c r="AM331" s="113"/>
    </row>
    <row r="332" spans="31:39">
      <c r="AE332" s="258"/>
      <c r="AM332" s="113"/>
    </row>
    <row r="333" spans="31:39">
      <c r="AE333" s="258"/>
      <c r="AM333" s="113"/>
    </row>
    <row r="334" spans="31:39">
      <c r="AE334" s="258"/>
      <c r="AM334" s="113"/>
    </row>
    <row r="335" spans="31:39">
      <c r="AE335" s="258"/>
      <c r="AM335" s="113"/>
    </row>
    <row r="336" spans="31:39">
      <c r="AE336" s="258"/>
      <c r="AM336" s="113"/>
    </row>
    <row r="337" spans="31:39">
      <c r="AE337" s="258"/>
      <c r="AM337" s="113"/>
    </row>
    <row r="338" spans="31:39">
      <c r="AE338" s="258"/>
      <c r="AM338" s="113"/>
    </row>
    <row r="339" spans="31:39">
      <c r="AE339" s="258"/>
      <c r="AM339" s="113"/>
    </row>
    <row r="340" spans="31:39">
      <c r="AE340" s="258"/>
      <c r="AM340" s="113"/>
    </row>
    <row r="341" spans="31:39">
      <c r="AE341" s="258"/>
      <c r="AM341" s="113"/>
    </row>
    <row r="342" spans="31:39">
      <c r="AE342" s="258"/>
      <c r="AM342" s="113"/>
    </row>
    <row r="343" spans="31:39">
      <c r="AE343" s="258"/>
      <c r="AM343" s="113"/>
    </row>
    <row r="344" spans="31:39">
      <c r="AE344" s="258"/>
      <c r="AM344" s="113"/>
    </row>
    <row r="345" spans="31:39">
      <c r="AE345" s="258"/>
      <c r="AM345" s="113"/>
    </row>
    <row r="346" spans="31:39">
      <c r="AE346" s="258"/>
      <c r="AM346" s="113"/>
    </row>
    <row r="347" spans="31:39">
      <c r="AE347" s="258"/>
      <c r="AM347" s="113"/>
    </row>
    <row r="348" spans="31:39">
      <c r="AE348" s="258"/>
      <c r="AM348" s="113"/>
    </row>
    <row r="349" spans="31:39">
      <c r="AE349" s="258"/>
      <c r="AM349" s="113"/>
    </row>
    <row r="350" spans="31:39">
      <c r="AE350" s="258"/>
      <c r="AM350" s="113"/>
    </row>
    <row r="351" spans="31:39">
      <c r="AE351" s="258"/>
      <c r="AM351" s="113"/>
    </row>
    <row r="352" spans="31:39">
      <c r="AE352" s="258"/>
      <c r="AM352" s="113"/>
    </row>
    <row r="353" spans="31:39">
      <c r="AE353" s="258"/>
      <c r="AM353" s="113"/>
    </row>
    <row r="354" spans="31:39">
      <c r="AE354" s="258"/>
      <c r="AM354" s="113"/>
    </row>
    <row r="355" spans="31:39">
      <c r="AE355" s="258"/>
      <c r="AM355" s="113"/>
    </row>
    <row r="356" spans="31:39">
      <c r="AE356" s="258"/>
      <c r="AM356" s="113"/>
    </row>
    <row r="357" spans="31:39">
      <c r="AE357" s="258"/>
      <c r="AM357" s="113"/>
    </row>
    <row r="358" spans="31:39">
      <c r="AE358" s="258"/>
      <c r="AM358" s="113"/>
    </row>
    <row r="359" spans="31:39">
      <c r="AE359" s="258"/>
      <c r="AM359" s="113"/>
    </row>
    <row r="360" spans="31:39">
      <c r="AE360" s="258"/>
      <c r="AM360" s="113"/>
    </row>
    <row r="361" spans="31:39">
      <c r="AE361" s="258"/>
      <c r="AM361" s="113"/>
    </row>
    <row r="362" spans="31:39">
      <c r="AE362" s="258"/>
      <c r="AM362" s="113"/>
    </row>
    <row r="363" spans="31:39">
      <c r="AE363" s="258"/>
      <c r="AM363" s="113"/>
    </row>
    <row r="364" spans="31:39">
      <c r="AE364" s="258"/>
      <c r="AM364" s="113"/>
    </row>
    <row r="365" spans="31:39">
      <c r="AE365" s="258"/>
      <c r="AM365" s="113"/>
    </row>
    <row r="366" spans="31:39">
      <c r="AE366" s="258"/>
      <c r="AM366" s="113"/>
    </row>
    <row r="367" spans="31:39">
      <c r="AE367" s="258"/>
      <c r="AM367" s="113"/>
    </row>
    <row r="368" spans="31:39">
      <c r="AE368" s="258"/>
      <c r="AM368" s="113"/>
    </row>
    <row r="369" spans="31:39">
      <c r="AE369" s="258"/>
      <c r="AM369" s="113"/>
    </row>
    <row r="370" spans="31:39">
      <c r="AE370" s="258"/>
      <c r="AM370" s="113"/>
    </row>
    <row r="371" spans="31:39">
      <c r="AE371" s="258"/>
      <c r="AM371" s="113"/>
    </row>
    <row r="372" spans="31:39">
      <c r="AE372" s="258"/>
      <c r="AM372" s="113"/>
    </row>
    <row r="373" spans="31:39">
      <c r="AM373" s="113"/>
    </row>
    <row r="374" spans="31:39">
      <c r="AM374" s="113"/>
    </row>
    <row r="375" spans="31:39">
      <c r="AM375" s="113"/>
    </row>
    <row r="376" spans="31:39">
      <c r="AM376" s="113"/>
    </row>
    <row r="377" spans="31:39">
      <c r="AM377" s="113"/>
    </row>
    <row r="378" spans="31:39">
      <c r="AM378" s="113"/>
    </row>
    <row r="379" spans="31:39">
      <c r="AM379" s="113"/>
    </row>
    <row r="380" spans="31:39">
      <c r="AM380" s="113"/>
    </row>
    <row r="381" spans="31:39">
      <c r="AM381" s="113"/>
    </row>
    <row r="382" spans="31:39">
      <c r="AM382" s="113"/>
    </row>
    <row r="383" spans="31:39">
      <c r="AM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7405DEA1-41B7-4651-8D97-2F8FB9BA450D}">
          <x14:formula1>
            <xm:f>공급업체코드!$D$3:$D$47</xm:f>
          </x14:formula1>
          <xm:sqref>E3:E79</xm:sqref>
        </x14:dataValidation>
        <x14:dataValidation type="list" allowBlank="1" showInputMessage="1" showErrorMessage="1" xr:uid="{04C451DC-42B7-4317-AF24-39A0F8A67172}">
          <x14:formula1>
            <xm:f>기계코드!$F$150:$F$155</xm:f>
          </x14:formula1>
          <xm:sqref>C28:C79</xm:sqref>
        </x14:dataValidation>
        <x14:dataValidation type="list" allowBlank="1" showInputMessage="1" showErrorMessage="1" xr:uid="{8F34ABC8-56A0-44E8-9149-1D22E2DEA517}">
          <x14:formula1>
            <xm:f>기계코드!$F$126:$F$135</xm:f>
          </x14:formula1>
          <xm:sqref>C3:C27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02DC-8EBD-4C74-A43D-C86BF669F0D7}">
  <dimension ref="A1:AG383"/>
  <sheetViews>
    <sheetView zoomScale="70" zoomScaleNormal="70" workbookViewId="0">
      <pane ySplit="2" topLeftCell="A3" activePane="bottomLeft" state="frozen"/>
      <selection pane="bottomLeft" activeCell="H1" sqref="H1:H2"/>
    </sheetView>
  </sheetViews>
  <sheetFormatPr defaultRowHeight="16.5" customHeight="1"/>
  <cols>
    <col min="1" max="1" width="13.625" customWidth="1"/>
    <col min="2" max="2" width="33.625" customWidth="1"/>
    <col min="3" max="3" width="27.25" customWidth="1"/>
    <col min="4" max="4" width="16.125" customWidth="1"/>
    <col min="5" max="5" width="23.375" bestFit="1" customWidth="1"/>
    <col min="6" max="6" width="13.875" bestFit="1" customWidth="1"/>
    <col min="7" max="7" width="14.5" style="18" customWidth="1"/>
    <col min="8" max="8" width="15.875" customWidth="1"/>
    <col min="9" max="9" width="13.125" customWidth="1"/>
    <col min="10" max="12" width="16.75" customWidth="1"/>
    <col min="13" max="13" width="19.75" bestFit="1" customWidth="1"/>
    <col min="14" max="14" width="20.875" bestFit="1" customWidth="1"/>
    <col min="15" max="15" width="24.75" bestFit="1" customWidth="1"/>
    <col min="16" max="16" width="16.125" style="18" customWidth="1"/>
    <col min="17" max="17" width="16.125" style="261" customWidth="1"/>
    <col min="18" max="18" width="25.75" style="10" bestFit="1" customWidth="1"/>
    <col min="19" max="19" width="16.125" style="260" customWidth="1"/>
    <col min="20" max="20" width="16.125" customWidth="1"/>
    <col min="21" max="21" width="21.25" bestFit="1" customWidth="1"/>
    <col min="22" max="22" width="33.875" style="18" customWidth="1"/>
    <col min="23" max="23" width="10.5" customWidth="1"/>
    <col min="24" max="24" width="27.625" bestFit="1" customWidth="1"/>
    <col min="25" max="25" width="20.625" customWidth="1"/>
    <col min="27" max="27" width="12.375" customWidth="1"/>
    <col min="28" max="28" width="11.375" bestFit="1" customWidth="1"/>
    <col min="31" max="31" width="22.125" bestFit="1" customWidth="1"/>
    <col min="32" max="32" width="36.375" bestFit="1" customWidth="1"/>
    <col min="33" max="33" width="15.375" bestFit="1" customWidth="1"/>
  </cols>
  <sheetData>
    <row r="1" spans="1:33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313" t="s">
        <v>2180</v>
      </c>
      <c r="I1" s="10" t="s">
        <v>2181</v>
      </c>
      <c r="J1" s="10" t="s">
        <v>1318</v>
      </c>
      <c r="K1" s="10" t="s">
        <v>1319</v>
      </c>
      <c r="L1" s="10" t="s">
        <v>1320</v>
      </c>
      <c r="M1" s="10" t="s">
        <v>1321</v>
      </c>
      <c r="N1" s="10" t="s">
        <v>1322</v>
      </c>
      <c r="O1" s="10" t="s">
        <v>1323</v>
      </c>
      <c r="P1" s="17" t="s">
        <v>1324</v>
      </c>
      <c r="Q1" s="131" t="s">
        <v>1290</v>
      </c>
      <c r="R1" s="131" t="s">
        <v>1291</v>
      </c>
      <c r="S1" s="131" t="s">
        <v>1292</v>
      </c>
      <c r="T1" s="10" t="s">
        <v>1293</v>
      </c>
      <c r="U1" s="17" t="s">
        <v>1294</v>
      </c>
      <c r="V1" s="61" t="s">
        <v>1295</v>
      </c>
      <c r="W1" s="10" t="s">
        <v>1296</v>
      </c>
      <c r="X1" s="10" t="s">
        <v>1297</v>
      </c>
      <c r="Y1" s="249" t="s">
        <v>1298</v>
      </c>
    </row>
    <row r="2" spans="1:33" s="1" customFormat="1">
      <c r="A2" s="315" t="s">
        <v>2182</v>
      </c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2183</v>
      </c>
      <c r="I2" s="56" t="s">
        <v>2184</v>
      </c>
      <c r="J2" s="5" t="s">
        <v>1371</v>
      </c>
      <c r="K2" s="5" t="s">
        <v>1328</v>
      </c>
      <c r="L2" s="53" t="s">
        <v>1329</v>
      </c>
      <c r="M2" s="5" t="s">
        <v>1330</v>
      </c>
      <c r="N2" s="5" t="s">
        <v>1331</v>
      </c>
      <c r="O2" s="57" t="s">
        <v>1332</v>
      </c>
      <c r="P2" s="14" t="s">
        <v>1349</v>
      </c>
      <c r="Q2" s="5" t="s">
        <v>1305</v>
      </c>
      <c r="R2" s="5" t="s">
        <v>1306</v>
      </c>
      <c r="S2" s="5" t="s">
        <v>1307</v>
      </c>
      <c r="T2" s="120" t="s">
        <v>1308</v>
      </c>
      <c r="U2" s="252" t="s">
        <v>1309</v>
      </c>
      <c r="V2" s="241" t="s">
        <v>1310</v>
      </c>
      <c r="W2" s="54" t="s">
        <v>1311</v>
      </c>
      <c r="X2" s="3" t="s">
        <v>10</v>
      </c>
      <c r="Y2" s="242" t="s">
        <v>1312</v>
      </c>
      <c r="AE2" s="41"/>
      <c r="AF2" s="41"/>
      <c r="AG2" s="41"/>
    </row>
    <row r="3" spans="1:33">
      <c r="A3" s="10">
        <v>200</v>
      </c>
      <c r="B3" s="1" t="str">
        <f>D3&amp;"_"&amp;F3&amp;"_"&amp;H3</f>
        <v>M_CVR0101_VM_KE_MACH_200</v>
      </c>
      <c r="C3" s="7" t="s">
        <v>567</v>
      </c>
      <c r="D3" s="7" t="str" cm="1">
        <f t="array" ref="D3">INDEX(기계코드!$D$4:$D$1022,MATCH(1,(C3=기계코드!$F$4:$F$1022)*1,0))</f>
        <v>M_CVR0101</v>
      </c>
      <c r="E3" s="7" t="s">
        <v>2185</v>
      </c>
      <c r="F3" s="7" t="str" cm="1">
        <f t="array" ref="F3">INDEX(공급업체코드!$B$3:$B$1000,MATCH(1,(E3=공급업체코드!$D$3:$D$1000)*1,0))</f>
        <v>VM_KE_MACH</v>
      </c>
      <c r="G3" s="60" t="s">
        <v>2186</v>
      </c>
      <c r="H3" s="71">
        <v>200</v>
      </c>
      <c r="I3" s="71">
        <v>2</v>
      </c>
      <c r="J3" s="72">
        <v>1.5</v>
      </c>
      <c r="K3" s="7" t="s">
        <v>981</v>
      </c>
      <c r="L3" s="7">
        <v>380</v>
      </c>
      <c r="M3" s="7">
        <v>86.5</v>
      </c>
      <c r="N3" s="7">
        <v>0.9</v>
      </c>
      <c r="O3" s="7">
        <v>60</v>
      </c>
      <c r="P3" s="66">
        <v>11</v>
      </c>
      <c r="Q3" s="256" t="s">
        <v>1390</v>
      </c>
      <c r="R3" s="10">
        <f t="shared" ref="R3:R7" si="0">IF(P3&lt;500,1,IF(P3&lt;1000,2,IF(P3&lt;5000,3,4)))</f>
        <v>1</v>
      </c>
      <c r="S3" s="257" t="s">
        <v>1391</v>
      </c>
      <c r="T3" s="63">
        <v>6500000</v>
      </c>
      <c r="U3" s="63"/>
      <c r="V3" s="18" t="s">
        <v>2187</v>
      </c>
      <c r="W3" s="1" t="b">
        <v>1</v>
      </c>
      <c r="Y3" s="133"/>
      <c r="AE3" s="41"/>
      <c r="AF3" s="41"/>
      <c r="AG3" s="41"/>
    </row>
    <row r="4" spans="1:33">
      <c r="A4" s="10">
        <v>250</v>
      </c>
      <c r="B4" s="1" t="str">
        <f t="shared" ref="B4:B7" si="1">D4&amp;"_"&amp;F4&amp;"_"&amp;H4</f>
        <v>M_CVR0101_VM_KE_MACH_250</v>
      </c>
      <c r="C4" s="7" t="s">
        <v>567</v>
      </c>
      <c r="D4" s="7" t="str" cm="1">
        <f t="array" ref="D4">INDEX(기계코드!$D$4:$D$1022,MATCH(1,(C4=기계코드!$F$4:$F$1022)*1,0))</f>
        <v>M_CVR0101</v>
      </c>
      <c r="E4" s="7" t="s">
        <v>2185</v>
      </c>
      <c r="F4" s="7" t="str" cm="1">
        <f t="array" ref="F4">INDEX(공급업체코드!$B$3:$B$1000,MATCH(1,(E4=공급업체코드!$D$3:$D$1000)*1,0))</f>
        <v>VM_KE_MACH</v>
      </c>
      <c r="G4" s="43" t="s">
        <v>2188</v>
      </c>
      <c r="H4" s="72">
        <v>250</v>
      </c>
      <c r="I4" s="72">
        <v>2</v>
      </c>
      <c r="J4" s="72">
        <v>1.5</v>
      </c>
      <c r="K4" s="7" t="s">
        <v>981</v>
      </c>
      <c r="L4" s="7">
        <v>380</v>
      </c>
      <c r="M4" s="7">
        <v>86.5</v>
      </c>
      <c r="N4" s="7">
        <v>0.9</v>
      </c>
      <c r="O4" s="7">
        <v>60</v>
      </c>
      <c r="P4" s="67">
        <v>11</v>
      </c>
      <c r="Q4" s="258" t="s">
        <v>1390</v>
      </c>
      <c r="R4" s="10">
        <f t="shared" si="0"/>
        <v>1</v>
      </c>
      <c r="S4" s="259" t="s">
        <v>1391</v>
      </c>
      <c r="T4" s="63">
        <v>8800000</v>
      </c>
      <c r="U4" s="63"/>
      <c r="V4" s="18" t="s">
        <v>2187</v>
      </c>
      <c r="W4" s="1" t="b">
        <v>1</v>
      </c>
      <c r="Y4" s="133"/>
      <c r="AE4" s="41"/>
      <c r="AF4" s="41"/>
      <c r="AG4" s="41"/>
    </row>
    <row r="5" spans="1:33">
      <c r="A5" s="10">
        <v>250</v>
      </c>
      <c r="B5" s="1" t="str">
        <f t="shared" si="1"/>
        <v>M_CVR0101_VM_DJI_MACH_250</v>
      </c>
      <c r="C5" s="7" t="s">
        <v>567</v>
      </c>
      <c r="D5" s="7" t="str" cm="1">
        <f t="array" ref="D5">INDEX(기계코드!$D$4:$D$1022,MATCH(1,(C5=기계코드!$F$4:$F$1022)*1,0))</f>
        <v>M_CVR0101</v>
      </c>
      <c r="E5" s="7" t="s">
        <v>2008</v>
      </c>
      <c r="F5" s="7" t="str" cm="1">
        <f t="array" ref="F5">INDEX(공급업체코드!$B$3:$B$1000,MATCH(1,(E5=공급업체코드!$D$3:$D$1000)*1,0))</f>
        <v>VM_DJI_MACH</v>
      </c>
      <c r="G5" s="43" t="s">
        <v>2189</v>
      </c>
      <c r="H5" s="72">
        <v>250</v>
      </c>
      <c r="I5" s="72">
        <v>5</v>
      </c>
      <c r="J5" s="72">
        <v>1.5</v>
      </c>
      <c r="K5" s="7" t="s">
        <v>981</v>
      </c>
      <c r="L5" s="7">
        <v>380</v>
      </c>
      <c r="M5" s="7">
        <v>86.5</v>
      </c>
      <c r="N5" s="7">
        <v>0.9</v>
      </c>
      <c r="O5" s="7">
        <v>60</v>
      </c>
      <c r="P5" s="67">
        <v>11</v>
      </c>
      <c r="Q5" s="258" t="s">
        <v>1390</v>
      </c>
      <c r="R5" s="10">
        <f t="shared" si="0"/>
        <v>1</v>
      </c>
      <c r="S5" s="259" t="s">
        <v>1391</v>
      </c>
      <c r="T5" s="63">
        <v>13000000</v>
      </c>
      <c r="U5" s="63"/>
      <c r="V5" s="18" t="s">
        <v>2190</v>
      </c>
      <c r="W5" s="1" t="b">
        <v>1</v>
      </c>
      <c r="Y5" s="133"/>
      <c r="AE5" s="41"/>
      <c r="AF5" s="41"/>
      <c r="AG5" s="41"/>
    </row>
    <row r="6" spans="1:33">
      <c r="A6" s="10">
        <v>300</v>
      </c>
      <c r="B6" s="1" t="str">
        <f t="shared" si="1"/>
        <v>M_CVR0101_VM_DJI_MACH_300</v>
      </c>
      <c r="C6" s="7" t="s">
        <v>567</v>
      </c>
      <c r="D6" s="7" t="str" cm="1">
        <f t="array" ref="D6">INDEX(기계코드!$D$4:$D$1022,MATCH(1,(C6=기계코드!$F$4:$F$1022)*1,0))</f>
        <v>M_CVR0101</v>
      </c>
      <c r="E6" s="7" t="s">
        <v>2008</v>
      </c>
      <c r="F6" s="7" t="str" cm="1">
        <f t="array" ref="F6">INDEX(공급업체코드!$B$3:$B$1000,MATCH(1,(E6=공급업체코드!$D$3:$D$1000)*1,0))</f>
        <v>VM_DJI_MACH</v>
      </c>
      <c r="G6" s="43" t="s">
        <v>2191</v>
      </c>
      <c r="H6" s="72">
        <v>300</v>
      </c>
      <c r="I6" s="72">
        <v>5</v>
      </c>
      <c r="J6" s="72">
        <v>2.2000000000000002</v>
      </c>
      <c r="K6" s="7" t="s">
        <v>981</v>
      </c>
      <c r="L6" s="7">
        <v>380</v>
      </c>
      <c r="M6" s="7">
        <v>89.5</v>
      </c>
      <c r="N6" s="7">
        <v>0.9</v>
      </c>
      <c r="O6" s="7">
        <v>60</v>
      </c>
      <c r="P6" s="67">
        <v>11</v>
      </c>
      <c r="Q6" s="258" t="s">
        <v>1390</v>
      </c>
      <c r="R6" s="10">
        <f t="shared" si="0"/>
        <v>1</v>
      </c>
      <c r="S6" s="259" t="s">
        <v>1391</v>
      </c>
      <c r="T6" s="63">
        <v>15000000</v>
      </c>
      <c r="U6" s="63"/>
      <c r="V6" s="18" t="s">
        <v>2190</v>
      </c>
      <c r="W6" s="1" t="b">
        <v>1</v>
      </c>
      <c r="Y6" s="133"/>
      <c r="AE6" s="41"/>
      <c r="AF6" s="41"/>
      <c r="AG6" s="41"/>
    </row>
    <row r="7" spans="1:33">
      <c r="A7" s="10">
        <v>350</v>
      </c>
      <c r="B7" s="1" t="str">
        <f t="shared" si="1"/>
        <v>M_CVR0101_VM_DJI_MACH_350</v>
      </c>
      <c r="C7" s="7" t="s">
        <v>567</v>
      </c>
      <c r="D7" s="7" t="str" cm="1">
        <f t="array" ref="D7">INDEX(기계코드!$D$4:$D$1022,MATCH(1,(C7=기계코드!$F$4:$F$1022)*1,0))</f>
        <v>M_CVR0101</v>
      </c>
      <c r="E7" s="7" t="s">
        <v>2008</v>
      </c>
      <c r="F7" s="7" t="str" cm="1">
        <f t="array" ref="F7">INDEX(공급업체코드!$B$3:$B$1000,MATCH(1,(E7=공급업체코드!$D$3:$D$1000)*1,0))</f>
        <v>VM_DJI_MACH</v>
      </c>
      <c r="G7" s="43" t="s">
        <v>2192</v>
      </c>
      <c r="H7" s="72">
        <v>350</v>
      </c>
      <c r="I7" s="72">
        <v>5</v>
      </c>
      <c r="J7" s="72">
        <v>2.2000000000000002</v>
      </c>
      <c r="K7" s="7" t="s">
        <v>981</v>
      </c>
      <c r="L7" s="7">
        <v>380</v>
      </c>
      <c r="M7" s="7">
        <v>89.5</v>
      </c>
      <c r="N7" s="7">
        <v>0.9</v>
      </c>
      <c r="O7" s="7">
        <v>60</v>
      </c>
      <c r="P7" s="67">
        <v>11</v>
      </c>
      <c r="Q7" s="258" t="s">
        <v>1390</v>
      </c>
      <c r="R7" s="10">
        <f t="shared" si="0"/>
        <v>1</v>
      </c>
      <c r="S7" s="259" t="s">
        <v>1391</v>
      </c>
      <c r="T7" s="63">
        <v>18000000</v>
      </c>
      <c r="U7" s="63"/>
      <c r="V7" s="18" t="s">
        <v>2190</v>
      </c>
      <c r="W7" s="1" t="b">
        <v>1</v>
      </c>
      <c r="Y7" s="113"/>
      <c r="AE7" s="41"/>
      <c r="AF7" s="41"/>
      <c r="AG7" s="41"/>
    </row>
    <row r="8" spans="1:33">
      <c r="B8" s="1"/>
      <c r="C8" s="7"/>
      <c r="D8" s="7"/>
      <c r="E8" s="7"/>
      <c r="F8" s="7"/>
      <c r="G8" s="43"/>
      <c r="H8" s="72"/>
      <c r="I8" s="72"/>
      <c r="J8" s="72"/>
      <c r="K8" s="34"/>
      <c r="L8" s="34"/>
      <c r="M8" s="34"/>
      <c r="N8" s="34"/>
      <c r="O8" s="34"/>
      <c r="P8" s="67"/>
      <c r="Q8" s="258"/>
      <c r="S8" s="259"/>
      <c r="T8" s="63"/>
      <c r="U8" s="63"/>
      <c r="V8" s="65"/>
      <c r="W8" s="1"/>
      <c r="Y8" s="113"/>
      <c r="AE8" s="41"/>
      <c r="AF8" s="41"/>
      <c r="AG8" s="41"/>
    </row>
    <row r="9" spans="1:33">
      <c r="B9" s="1"/>
      <c r="C9" s="7"/>
      <c r="D9" s="7"/>
      <c r="E9" s="7"/>
      <c r="F9" s="7"/>
      <c r="G9" s="43"/>
      <c r="H9" s="72"/>
      <c r="I9" s="72"/>
      <c r="J9" s="72"/>
      <c r="K9" s="34"/>
      <c r="L9" s="34"/>
      <c r="M9" s="34"/>
      <c r="N9" s="34"/>
      <c r="O9" s="34"/>
      <c r="P9" s="67"/>
      <c r="Q9" s="258"/>
      <c r="S9" s="259"/>
      <c r="T9" s="63"/>
      <c r="U9" s="63"/>
      <c r="V9" s="65"/>
      <c r="W9" s="1"/>
      <c r="Y9" s="113"/>
      <c r="AE9" s="40"/>
      <c r="AF9" s="40"/>
      <c r="AG9" s="41"/>
    </row>
    <row r="10" spans="1:33">
      <c r="B10" s="1"/>
      <c r="C10" s="7"/>
      <c r="D10" s="7"/>
      <c r="E10" s="7"/>
      <c r="F10" s="7"/>
      <c r="H10" s="70"/>
      <c r="I10" s="70"/>
      <c r="J10" s="70"/>
      <c r="P10" s="65"/>
      <c r="Q10" s="258"/>
      <c r="S10" s="259"/>
      <c r="T10" s="64"/>
      <c r="U10" s="64"/>
      <c r="V10" s="65"/>
      <c r="W10" s="1"/>
      <c r="Y10" s="113"/>
      <c r="AE10" s="41"/>
      <c r="AF10" s="41"/>
      <c r="AG10" s="41"/>
    </row>
    <row r="11" spans="1:33">
      <c r="B11" s="1"/>
      <c r="C11" s="7"/>
      <c r="D11" s="7"/>
      <c r="E11" s="7"/>
      <c r="F11" s="7"/>
      <c r="H11" s="70"/>
      <c r="I11" s="70"/>
      <c r="J11" s="70"/>
      <c r="P11" s="65"/>
      <c r="Q11" s="258"/>
      <c r="S11" s="259"/>
      <c r="T11" s="64"/>
      <c r="U11" s="64"/>
      <c r="V11" s="65"/>
      <c r="W11" s="1"/>
      <c r="Y11" s="113"/>
      <c r="AE11" s="40"/>
      <c r="AF11" s="40"/>
      <c r="AG11" s="41"/>
    </row>
    <row r="12" spans="1:33">
      <c r="B12" s="1"/>
      <c r="C12" s="7"/>
      <c r="D12" s="7"/>
      <c r="E12" s="7"/>
      <c r="F12" s="7"/>
      <c r="H12" s="70"/>
      <c r="I12" s="70"/>
      <c r="J12" s="70"/>
      <c r="P12" s="65"/>
      <c r="Q12" s="258"/>
      <c r="S12" s="259"/>
      <c r="T12" s="64"/>
      <c r="U12" s="64"/>
      <c r="V12" s="65"/>
      <c r="W12" s="1"/>
      <c r="Y12" s="113"/>
      <c r="AE12" s="40"/>
      <c r="AF12" s="40"/>
      <c r="AG12" s="40"/>
    </row>
    <row r="13" spans="1:33">
      <c r="B13" s="1"/>
      <c r="C13" s="7"/>
      <c r="D13" s="7"/>
      <c r="E13" s="7"/>
      <c r="F13" s="7"/>
      <c r="H13" s="70"/>
      <c r="I13" s="70"/>
      <c r="J13" s="70"/>
      <c r="P13" s="65"/>
      <c r="Q13" s="258"/>
      <c r="S13" s="259"/>
      <c r="T13" s="68"/>
      <c r="U13" s="68"/>
      <c r="V13" s="65"/>
      <c r="W13" s="1"/>
      <c r="Y13" s="113"/>
      <c r="AE13" s="40"/>
      <c r="AF13" s="40"/>
      <c r="AG13" s="41"/>
    </row>
    <row r="14" spans="1:33">
      <c r="B14" s="1"/>
      <c r="C14" s="7"/>
      <c r="D14" s="7"/>
      <c r="E14" s="7"/>
      <c r="F14" s="7"/>
      <c r="H14" s="70"/>
      <c r="I14" s="70"/>
      <c r="J14" s="70"/>
      <c r="P14" s="65"/>
      <c r="Q14" s="258"/>
      <c r="S14" s="259"/>
      <c r="T14" s="64"/>
      <c r="U14" s="64"/>
      <c r="V14" s="65"/>
      <c r="W14" s="1"/>
      <c r="Y14" s="113"/>
      <c r="AE14" s="41"/>
      <c r="AF14" s="41"/>
      <c r="AG14" s="41"/>
    </row>
    <row r="15" spans="1:33">
      <c r="B15" s="1"/>
      <c r="C15" s="7"/>
      <c r="D15" s="7"/>
      <c r="E15" s="7"/>
      <c r="F15" s="7"/>
      <c r="H15" s="70"/>
      <c r="I15" s="70"/>
      <c r="J15" s="70"/>
      <c r="P15" s="65"/>
      <c r="Q15" s="258"/>
      <c r="S15" s="259"/>
      <c r="T15" s="64"/>
      <c r="U15" s="64"/>
      <c r="V15" s="65"/>
      <c r="W15" s="1"/>
      <c r="Y15" s="113"/>
      <c r="AE15" s="41"/>
      <c r="AF15" s="41"/>
      <c r="AG15" s="41"/>
    </row>
    <row r="16" spans="1:33">
      <c r="B16" s="1"/>
      <c r="C16" s="7"/>
      <c r="D16" s="7"/>
      <c r="E16" s="7"/>
      <c r="F16" s="7"/>
      <c r="H16" s="70"/>
      <c r="I16" s="70"/>
      <c r="J16" s="70"/>
      <c r="P16" s="65"/>
      <c r="Q16" s="258"/>
      <c r="S16" s="259"/>
      <c r="T16" s="64"/>
      <c r="U16" s="64"/>
      <c r="V16" s="65"/>
      <c r="W16" s="1"/>
      <c r="Y16" s="113"/>
      <c r="AE16" s="41"/>
      <c r="AF16" s="41"/>
      <c r="AG16" s="41"/>
    </row>
    <row r="17" spans="2:33">
      <c r="B17" s="1"/>
      <c r="C17" s="7"/>
      <c r="D17" s="7"/>
      <c r="E17" s="7"/>
      <c r="F17" s="7"/>
      <c r="H17" s="70"/>
      <c r="I17" s="70"/>
      <c r="J17" s="70"/>
      <c r="P17" s="65"/>
      <c r="Q17" s="258"/>
      <c r="S17" s="259"/>
      <c r="T17" s="64"/>
      <c r="U17" s="64"/>
      <c r="V17" s="65"/>
      <c r="W17" s="1"/>
      <c r="Y17" s="113"/>
      <c r="AE17" s="40"/>
      <c r="AF17" s="40"/>
      <c r="AG17" s="41"/>
    </row>
    <row r="18" spans="2:33">
      <c r="B18" s="1"/>
      <c r="C18" s="7"/>
      <c r="D18" s="7"/>
      <c r="E18" s="7"/>
      <c r="F18" s="7"/>
      <c r="H18" s="70"/>
      <c r="I18" s="70"/>
      <c r="J18" s="70"/>
      <c r="P18" s="65"/>
      <c r="Q18" s="258"/>
      <c r="S18" s="259"/>
      <c r="T18" s="64"/>
      <c r="U18" s="64"/>
      <c r="V18" s="65"/>
      <c r="W18" s="1"/>
      <c r="Y18" s="113"/>
      <c r="AE18" s="41"/>
      <c r="AF18" s="41"/>
      <c r="AG18" s="41"/>
    </row>
    <row r="19" spans="2:33">
      <c r="B19" s="1"/>
      <c r="C19" s="7"/>
      <c r="D19" s="7"/>
      <c r="E19" s="7"/>
      <c r="F19" s="7"/>
      <c r="H19" s="70"/>
      <c r="I19" s="70"/>
      <c r="J19" s="70"/>
      <c r="P19" s="65"/>
      <c r="Q19" s="258"/>
      <c r="S19" s="259"/>
      <c r="T19" s="64"/>
      <c r="U19" s="64"/>
      <c r="V19" s="65"/>
      <c r="W19" s="1"/>
      <c r="Y19" s="113"/>
      <c r="AE19" s="41"/>
      <c r="AF19" s="41"/>
      <c r="AG19" s="41"/>
    </row>
    <row r="20" spans="2:33">
      <c r="B20" s="1"/>
      <c r="C20" s="7"/>
      <c r="D20" s="7"/>
      <c r="E20" s="7"/>
      <c r="F20" s="7"/>
      <c r="H20" s="70"/>
      <c r="I20" s="70"/>
      <c r="J20" s="70"/>
      <c r="P20" s="65"/>
      <c r="Q20" s="258"/>
      <c r="S20" s="259"/>
      <c r="T20" s="64"/>
      <c r="U20" s="64"/>
      <c r="V20" s="65"/>
      <c r="W20" s="1"/>
      <c r="Y20" s="113"/>
      <c r="AE20" s="41"/>
      <c r="AF20" s="41"/>
      <c r="AG20" s="41"/>
    </row>
    <row r="21" spans="2:33">
      <c r="B21" s="1"/>
      <c r="C21" s="7"/>
      <c r="D21" s="7"/>
      <c r="E21" s="7"/>
      <c r="F21" s="7"/>
      <c r="H21" s="70"/>
      <c r="I21" s="70"/>
      <c r="J21" s="70"/>
      <c r="P21" s="65"/>
      <c r="Q21" s="258"/>
      <c r="S21" s="259"/>
      <c r="T21" s="64"/>
      <c r="U21" s="64"/>
      <c r="V21" s="65"/>
      <c r="W21" s="1"/>
      <c r="Y21" s="113"/>
      <c r="AE21" s="41"/>
      <c r="AF21" s="41"/>
      <c r="AG21" s="41"/>
    </row>
    <row r="22" spans="2:33">
      <c r="B22" s="1"/>
      <c r="C22" s="7"/>
      <c r="D22" s="7"/>
      <c r="E22" s="7"/>
      <c r="F22" s="7"/>
      <c r="H22" s="70"/>
      <c r="I22" s="70"/>
      <c r="J22" s="70"/>
      <c r="P22" s="65"/>
      <c r="Q22" s="258"/>
      <c r="S22" s="259"/>
      <c r="T22" s="64"/>
      <c r="U22" s="64"/>
      <c r="V22" s="65"/>
      <c r="W22" s="1"/>
      <c r="Y22" s="113"/>
      <c r="AE22" s="40"/>
      <c r="AF22" s="40"/>
      <c r="AG22" s="41"/>
    </row>
    <row r="23" spans="2:33">
      <c r="B23" s="1"/>
      <c r="C23" s="7"/>
      <c r="D23" s="7"/>
      <c r="E23" s="7"/>
      <c r="F23" s="7"/>
      <c r="H23" s="70"/>
      <c r="I23" s="70"/>
      <c r="J23" s="70"/>
      <c r="P23" s="65"/>
      <c r="Q23" s="258"/>
      <c r="S23" s="259"/>
      <c r="T23" s="64"/>
      <c r="U23" s="64"/>
      <c r="V23" s="65"/>
      <c r="W23" s="1"/>
      <c r="Y23" s="113"/>
      <c r="AE23" s="41"/>
      <c r="AF23" s="41"/>
      <c r="AG23" s="41"/>
    </row>
    <row r="24" spans="2:33">
      <c r="B24" s="1"/>
      <c r="C24" s="7"/>
      <c r="D24" s="7"/>
      <c r="E24" s="7"/>
      <c r="F24" s="7"/>
      <c r="H24" s="70"/>
      <c r="I24" s="70"/>
      <c r="J24" s="70"/>
      <c r="P24" s="65"/>
      <c r="Q24" s="258"/>
      <c r="S24" s="259"/>
      <c r="T24" s="64"/>
      <c r="U24" s="64"/>
      <c r="V24" s="65"/>
      <c r="W24" s="1"/>
      <c r="Y24" s="113"/>
      <c r="AE24" s="41"/>
      <c r="AF24" s="41"/>
      <c r="AG24" s="41"/>
    </row>
    <row r="25" spans="2:33">
      <c r="B25" s="1"/>
      <c r="C25" s="7"/>
      <c r="D25" s="7"/>
      <c r="E25" s="7"/>
      <c r="F25" s="7"/>
      <c r="H25" s="70"/>
      <c r="I25" s="70"/>
      <c r="J25" s="70"/>
      <c r="P25" s="65"/>
      <c r="Q25" s="258"/>
      <c r="S25" s="259"/>
      <c r="T25" s="64"/>
      <c r="U25" s="64"/>
      <c r="V25" s="65"/>
      <c r="W25" s="1"/>
      <c r="Y25" s="113"/>
      <c r="AE25" s="41"/>
      <c r="AF25" s="41"/>
      <c r="AG25" s="41"/>
    </row>
    <row r="26" spans="2:33">
      <c r="B26" s="1"/>
      <c r="C26" s="7"/>
      <c r="D26" s="7"/>
      <c r="E26" s="7"/>
      <c r="F26" s="7"/>
      <c r="H26" s="70"/>
      <c r="I26" s="70"/>
      <c r="J26" s="70"/>
      <c r="P26" s="65"/>
      <c r="Q26" s="258"/>
      <c r="S26" s="259"/>
      <c r="T26" s="64"/>
      <c r="U26" s="64"/>
      <c r="V26" s="65"/>
      <c r="W26" s="1"/>
      <c r="Y26" s="113"/>
      <c r="AE26" s="40"/>
      <c r="AF26" s="40"/>
      <c r="AG26" s="41"/>
    </row>
    <row r="27" spans="2:33">
      <c r="B27" s="1"/>
      <c r="C27" s="7"/>
      <c r="D27" s="7"/>
      <c r="E27" s="7"/>
      <c r="F27" s="7"/>
      <c r="H27" s="70"/>
      <c r="I27" s="70"/>
      <c r="J27" s="70"/>
      <c r="P27" s="65"/>
      <c r="Q27" s="258"/>
      <c r="S27" s="259"/>
      <c r="T27" s="64"/>
      <c r="U27" s="64"/>
      <c r="V27" s="65"/>
      <c r="W27" s="1"/>
      <c r="Y27" s="113"/>
      <c r="AE27" s="41"/>
      <c r="AF27" s="41"/>
      <c r="AG27" s="41"/>
    </row>
    <row r="28" spans="2:33">
      <c r="B28" s="1"/>
      <c r="C28" s="7"/>
      <c r="D28" s="7"/>
      <c r="E28" s="7"/>
      <c r="F28" s="7"/>
      <c r="H28" s="70"/>
      <c r="I28" s="70"/>
      <c r="J28" s="70"/>
      <c r="P28" s="65"/>
      <c r="Q28" s="258"/>
      <c r="S28" s="259"/>
      <c r="T28" s="64"/>
      <c r="U28" s="64"/>
      <c r="V28" s="65"/>
      <c r="W28" s="1"/>
      <c r="Y28" s="113"/>
      <c r="AE28" s="41"/>
      <c r="AF28" s="41"/>
      <c r="AG28" s="41"/>
    </row>
    <row r="29" spans="2:33">
      <c r="B29" s="1"/>
      <c r="C29" s="7"/>
      <c r="D29" s="7"/>
      <c r="E29" s="7"/>
      <c r="F29" s="7"/>
      <c r="H29" s="70"/>
      <c r="I29" s="70"/>
      <c r="J29" s="70"/>
      <c r="P29" s="65"/>
      <c r="Q29" s="258"/>
      <c r="S29" s="259"/>
      <c r="T29" s="64"/>
      <c r="U29" s="64"/>
      <c r="V29" s="65"/>
      <c r="W29" s="1"/>
      <c r="Y29" s="113"/>
      <c r="AE29" s="40"/>
      <c r="AF29" s="40"/>
      <c r="AG29" s="41"/>
    </row>
    <row r="30" spans="2:33">
      <c r="B30" s="1"/>
      <c r="C30" s="7"/>
      <c r="D30" s="7"/>
      <c r="E30" s="7"/>
      <c r="F30" s="7"/>
      <c r="H30" s="70"/>
      <c r="I30" s="70"/>
      <c r="J30" s="70"/>
      <c r="P30" s="65"/>
      <c r="Q30" s="258"/>
      <c r="S30" s="259"/>
      <c r="T30" s="64"/>
      <c r="U30" s="64"/>
      <c r="V30" s="65"/>
      <c r="W30" s="1"/>
      <c r="Y30" s="113"/>
      <c r="AE30" s="41"/>
      <c r="AF30" s="41"/>
      <c r="AG30" s="41"/>
    </row>
    <row r="31" spans="2:33">
      <c r="B31" s="1"/>
      <c r="C31" s="7"/>
      <c r="D31" s="7"/>
      <c r="E31" s="7"/>
      <c r="F31" s="7"/>
      <c r="H31" s="70"/>
      <c r="I31" s="70"/>
      <c r="J31" s="70"/>
      <c r="P31" s="65"/>
      <c r="Q31" s="258"/>
      <c r="S31" s="259"/>
      <c r="T31" s="64"/>
      <c r="U31" s="64"/>
      <c r="V31" s="65"/>
      <c r="W31" s="1"/>
      <c r="Y31" s="113"/>
      <c r="AE31" s="40"/>
      <c r="AF31" s="40"/>
      <c r="AG31" s="40"/>
    </row>
    <row r="32" spans="2:33">
      <c r="B32" s="1"/>
      <c r="C32" s="7"/>
      <c r="D32" s="7"/>
      <c r="E32" s="7"/>
      <c r="F32" s="7"/>
      <c r="H32" s="70"/>
      <c r="I32" s="70"/>
      <c r="J32" s="70"/>
      <c r="P32" s="65"/>
      <c r="Q32" s="258"/>
      <c r="S32" s="259"/>
      <c r="T32" s="64"/>
      <c r="U32" s="64"/>
      <c r="V32" s="65"/>
      <c r="W32" s="1"/>
      <c r="Y32" s="113"/>
      <c r="AE32" s="41"/>
      <c r="AF32" s="41"/>
      <c r="AG32" s="41"/>
    </row>
    <row r="33" spans="2:33">
      <c r="B33" s="1"/>
      <c r="C33" s="7"/>
      <c r="D33" s="7"/>
      <c r="E33" s="7"/>
      <c r="F33" s="7"/>
      <c r="H33" s="70"/>
      <c r="I33" s="70"/>
      <c r="J33" s="70"/>
      <c r="P33" s="65"/>
      <c r="Q33" s="258"/>
      <c r="S33" s="259"/>
      <c r="T33" s="64"/>
      <c r="U33" s="64"/>
      <c r="V33" s="65"/>
      <c r="W33" s="1"/>
      <c r="Y33" s="113"/>
      <c r="AE33" s="41"/>
      <c r="AF33" s="41"/>
      <c r="AG33" s="41"/>
    </row>
    <row r="34" spans="2:33">
      <c r="B34" s="1"/>
      <c r="C34" s="7"/>
      <c r="D34" s="7"/>
      <c r="E34" s="7"/>
      <c r="F34" s="7"/>
      <c r="H34" s="70"/>
      <c r="I34" s="70"/>
      <c r="J34" s="70"/>
      <c r="P34" s="65"/>
      <c r="Q34" s="258"/>
      <c r="S34" s="259"/>
      <c r="T34" s="64"/>
      <c r="U34" s="64"/>
      <c r="V34" s="65"/>
      <c r="W34" s="1"/>
      <c r="Y34" s="113"/>
      <c r="AE34" s="41"/>
      <c r="AF34" s="41"/>
      <c r="AG34" s="41"/>
    </row>
    <row r="35" spans="2:33">
      <c r="B35" s="1"/>
      <c r="C35" s="7"/>
      <c r="D35" s="7"/>
      <c r="E35" s="7"/>
      <c r="F35" s="7"/>
      <c r="H35" s="70"/>
      <c r="I35" s="70"/>
      <c r="J35" s="70"/>
      <c r="P35" s="65"/>
      <c r="Q35" s="258"/>
      <c r="S35" s="259"/>
      <c r="T35" s="64"/>
      <c r="U35" s="64"/>
      <c r="V35" s="65"/>
      <c r="W35" s="1"/>
      <c r="Y35" s="113"/>
      <c r="AE35" s="41"/>
      <c r="AF35" s="41"/>
      <c r="AG35" s="41"/>
    </row>
    <row r="36" spans="2:33">
      <c r="B36" s="1"/>
      <c r="C36" s="7"/>
      <c r="D36" s="7"/>
      <c r="E36" s="7"/>
      <c r="F36" s="7"/>
      <c r="H36" s="70"/>
      <c r="I36" s="70"/>
      <c r="J36" s="70"/>
      <c r="P36" s="65"/>
      <c r="Q36" s="258"/>
      <c r="S36" s="259"/>
      <c r="T36" s="64"/>
      <c r="U36" s="64"/>
      <c r="V36" s="65"/>
      <c r="W36" s="1"/>
      <c r="Y36" s="113"/>
    </row>
    <row r="37" spans="2:33">
      <c r="B37" s="1"/>
      <c r="C37" s="7"/>
      <c r="D37" s="7"/>
      <c r="E37" s="7"/>
      <c r="F37" s="7"/>
      <c r="H37" s="70"/>
      <c r="I37" s="70"/>
      <c r="J37" s="70"/>
      <c r="P37" s="65"/>
      <c r="Q37" s="258"/>
      <c r="S37" s="259"/>
      <c r="T37" s="64"/>
      <c r="U37" s="64"/>
      <c r="V37" s="65"/>
      <c r="W37" s="1"/>
      <c r="Y37" s="113"/>
    </row>
    <row r="38" spans="2:33">
      <c r="B38" s="1"/>
      <c r="C38" s="7"/>
      <c r="D38" s="7"/>
      <c r="E38" s="7"/>
      <c r="F38" s="7"/>
      <c r="H38" s="70"/>
      <c r="I38" s="70"/>
      <c r="J38" s="70"/>
      <c r="P38" s="65"/>
      <c r="Q38" s="258"/>
      <c r="S38" s="259"/>
      <c r="T38" s="64"/>
      <c r="U38" s="64"/>
      <c r="V38" s="65"/>
      <c r="W38" s="1"/>
      <c r="Y38" s="113"/>
    </row>
    <row r="39" spans="2:33">
      <c r="B39" s="1"/>
      <c r="C39" s="7"/>
      <c r="D39" s="7"/>
      <c r="E39" s="7"/>
      <c r="F39" s="7"/>
      <c r="H39" s="70"/>
      <c r="I39" s="70"/>
      <c r="J39" s="70"/>
      <c r="P39" s="65"/>
      <c r="Q39" s="258"/>
      <c r="S39" s="259"/>
      <c r="T39" s="64"/>
      <c r="U39" s="64"/>
      <c r="V39" s="65"/>
      <c r="W39" s="1"/>
      <c r="Y39" s="113"/>
    </row>
    <row r="40" spans="2:33">
      <c r="B40" s="1"/>
      <c r="C40" s="7"/>
      <c r="D40" s="7"/>
      <c r="E40" s="7"/>
      <c r="F40" s="7"/>
      <c r="H40" s="70"/>
      <c r="I40" s="70"/>
      <c r="J40" s="70"/>
      <c r="P40" s="65"/>
      <c r="Q40" s="258"/>
      <c r="S40" s="259"/>
      <c r="T40" s="64"/>
      <c r="U40" s="64"/>
      <c r="V40" s="65"/>
      <c r="W40" s="1"/>
      <c r="Y40" s="113"/>
    </row>
    <row r="41" spans="2:33">
      <c r="B41" s="1"/>
      <c r="C41" s="7"/>
      <c r="D41" s="7"/>
      <c r="E41" s="7"/>
      <c r="F41" s="7"/>
      <c r="P41" s="65"/>
      <c r="Q41" s="258"/>
      <c r="S41" s="259"/>
      <c r="T41" s="64"/>
      <c r="U41" s="64"/>
      <c r="V41" s="65"/>
      <c r="W41" s="1"/>
      <c r="Y41" s="113"/>
    </row>
    <row r="42" spans="2:33">
      <c r="B42" s="1"/>
      <c r="C42" s="7"/>
      <c r="D42" s="7"/>
      <c r="E42" s="7"/>
      <c r="F42" s="7"/>
      <c r="P42" s="65"/>
      <c r="Q42" s="258"/>
      <c r="S42" s="259"/>
      <c r="T42" s="64"/>
      <c r="U42" s="64"/>
      <c r="V42" s="65"/>
      <c r="W42" s="1"/>
      <c r="Y42" s="113"/>
    </row>
    <row r="43" spans="2:33">
      <c r="B43" s="1"/>
      <c r="C43" s="7"/>
      <c r="D43" s="7"/>
      <c r="E43" s="7"/>
      <c r="F43" s="7"/>
      <c r="P43" s="65"/>
      <c r="Q43" s="258"/>
      <c r="S43" s="259"/>
      <c r="T43" s="64"/>
      <c r="U43" s="64"/>
      <c r="V43" s="65"/>
      <c r="W43" s="1"/>
      <c r="Y43" s="113"/>
    </row>
    <row r="44" spans="2:33">
      <c r="B44" s="1"/>
      <c r="C44" s="7"/>
      <c r="D44" s="7"/>
      <c r="E44" s="7"/>
      <c r="F44" s="7"/>
      <c r="P44" s="65"/>
      <c r="Q44" s="258"/>
      <c r="S44" s="259"/>
      <c r="T44" s="64"/>
      <c r="U44" s="64"/>
      <c r="V44" s="65"/>
      <c r="W44" s="1"/>
      <c r="Y44" s="113"/>
    </row>
    <row r="45" spans="2:33">
      <c r="B45" s="1"/>
      <c r="C45" s="7"/>
      <c r="D45" s="7"/>
      <c r="E45" s="7"/>
      <c r="F45" s="7"/>
      <c r="P45" s="65"/>
      <c r="Q45" s="258"/>
      <c r="S45" s="259"/>
      <c r="T45" s="64"/>
      <c r="U45" s="64"/>
      <c r="V45" s="65"/>
      <c r="W45" s="1"/>
      <c r="Y45" s="113"/>
    </row>
    <row r="46" spans="2:33">
      <c r="B46" s="1"/>
      <c r="C46" s="7"/>
      <c r="D46" s="7"/>
      <c r="E46" s="7"/>
      <c r="F46" s="7"/>
      <c r="P46" s="65"/>
      <c r="Q46" s="258"/>
      <c r="S46" s="259"/>
      <c r="T46" s="64"/>
      <c r="U46" s="64"/>
      <c r="V46" s="65"/>
      <c r="W46" s="1"/>
      <c r="Y46" s="113"/>
    </row>
    <row r="47" spans="2:33">
      <c r="B47" s="1"/>
      <c r="C47" s="7"/>
      <c r="D47" s="7"/>
      <c r="E47" s="7"/>
      <c r="F47" s="7"/>
      <c r="P47" s="65"/>
      <c r="Q47" s="258"/>
      <c r="S47" s="259"/>
      <c r="T47" s="64"/>
      <c r="U47" s="64"/>
      <c r="V47" s="65"/>
      <c r="W47" s="1"/>
      <c r="Y47" s="113"/>
    </row>
    <row r="48" spans="2:33">
      <c r="B48" s="1"/>
      <c r="C48" s="7"/>
      <c r="D48" s="7"/>
      <c r="E48" s="7"/>
      <c r="F48" s="7"/>
      <c r="P48" s="65"/>
      <c r="Q48" s="258"/>
      <c r="S48" s="259"/>
      <c r="T48" s="64"/>
      <c r="U48" s="64"/>
      <c r="V48" s="65"/>
      <c r="W48" s="1"/>
      <c r="Y48" s="113"/>
    </row>
    <row r="49" spans="2:25">
      <c r="B49" s="1"/>
      <c r="C49" s="7"/>
      <c r="D49" s="7"/>
      <c r="E49" s="7"/>
      <c r="F49" s="7"/>
      <c r="P49" s="65"/>
      <c r="Q49" s="258"/>
      <c r="S49" s="259"/>
      <c r="T49" s="64"/>
      <c r="U49" s="64"/>
      <c r="V49" s="65"/>
      <c r="W49" s="1"/>
      <c r="Y49" s="113"/>
    </row>
    <row r="50" spans="2:25">
      <c r="B50" s="1"/>
      <c r="C50" s="7"/>
      <c r="D50" s="7"/>
      <c r="E50" s="7"/>
      <c r="F50" s="7"/>
      <c r="P50" s="65"/>
      <c r="Q50" s="258"/>
      <c r="S50" s="259"/>
      <c r="T50" s="64"/>
      <c r="U50" s="64"/>
      <c r="V50" s="65"/>
      <c r="W50" s="1"/>
      <c r="Y50" s="113"/>
    </row>
    <row r="51" spans="2:25">
      <c r="B51" s="1"/>
      <c r="C51" s="7"/>
      <c r="D51" s="7"/>
      <c r="E51" s="7"/>
      <c r="F51" s="7"/>
      <c r="P51" s="65"/>
      <c r="Q51" s="258"/>
      <c r="S51" s="259"/>
      <c r="T51" s="64"/>
      <c r="U51" s="64"/>
      <c r="V51" s="65"/>
      <c r="W51" s="1"/>
      <c r="Y51" s="113"/>
    </row>
    <row r="52" spans="2:25">
      <c r="B52" s="1"/>
      <c r="C52" s="7"/>
      <c r="D52" s="7"/>
      <c r="E52" s="7"/>
      <c r="F52" s="7"/>
      <c r="P52" s="65"/>
      <c r="Q52" s="258"/>
      <c r="S52" s="259"/>
      <c r="T52" s="64"/>
      <c r="U52" s="64"/>
      <c r="V52" s="65"/>
      <c r="W52" s="1"/>
      <c r="Y52" s="113"/>
    </row>
    <row r="53" spans="2:25">
      <c r="B53" s="1"/>
      <c r="C53" s="7"/>
      <c r="D53" s="7"/>
      <c r="E53" s="7"/>
      <c r="F53" s="7"/>
      <c r="P53" s="65"/>
      <c r="Q53" s="258"/>
      <c r="S53" s="259"/>
      <c r="T53" s="64"/>
      <c r="U53" s="64"/>
      <c r="V53" s="65"/>
      <c r="W53" s="1"/>
      <c r="Y53" s="113"/>
    </row>
    <row r="54" spans="2:25">
      <c r="B54" s="1"/>
      <c r="C54" s="7"/>
      <c r="D54" s="7"/>
      <c r="E54" s="7"/>
      <c r="F54" s="7"/>
      <c r="P54" s="65"/>
      <c r="Q54" s="258"/>
      <c r="S54" s="259"/>
      <c r="T54" s="64"/>
      <c r="U54" s="64"/>
      <c r="V54" s="65"/>
      <c r="W54" s="1"/>
      <c r="Y54" s="113"/>
    </row>
    <row r="55" spans="2:25">
      <c r="B55" s="1"/>
      <c r="C55" s="7"/>
      <c r="D55" s="7"/>
      <c r="E55" s="7"/>
      <c r="F55" s="7"/>
      <c r="P55" s="65"/>
      <c r="Q55" s="258"/>
      <c r="S55" s="259"/>
      <c r="T55" s="64"/>
      <c r="U55" s="64"/>
      <c r="V55" s="65"/>
      <c r="W55" s="1"/>
      <c r="Y55" s="113"/>
    </row>
    <row r="56" spans="2:25">
      <c r="B56" s="1"/>
      <c r="C56" s="7"/>
      <c r="D56" s="7"/>
      <c r="E56" s="7"/>
      <c r="F56" s="7"/>
      <c r="P56" s="65"/>
      <c r="Q56" s="258"/>
      <c r="S56" s="259"/>
      <c r="T56" s="64"/>
      <c r="U56" s="64"/>
      <c r="V56" s="65"/>
      <c r="W56" s="1"/>
      <c r="Y56" s="113"/>
    </row>
    <row r="57" spans="2:25">
      <c r="B57" s="1"/>
      <c r="C57" s="7"/>
      <c r="D57" s="7"/>
      <c r="E57" s="7"/>
      <c r="F57" s="7"/>
      <c r="P57" s="65"/>
      <c r="Q57" s="258"/>
      <c r="S57" s="259"/>
      <c r="T57" s="64"/>
      <c r="U57" s="64"/>
      <c r="V57" s="65"/>
      <c r="W57" s="1"/>
      <c r="Y57" s="113"/>
    </row>
    <row r="58" spans="2:25">
      <c r="B58" s="1"/>
      <c r="C58" s="7"/>
      <c r="D58" s="7"/>
      <c r="E58" s="7"/>
      <c r="F58" s="7"/>
      <c r="P58" s="65"/>
      <c r="Q58" s="258"/>
      <c r="S58" s="259"/>
      <c r="T58" s="64"/>
      <c r="U58" s="64"/>
      <c r="V58" s="65"/>
      <c r="W58" s="1"/>
      <c r="Y58" s="113"/>
    </row>
    <row r="59" spans="2:25">
      <c r="B59" s="1"/>
      <c r="C59" s="7"/>
      <c r="D59" s="7"/>
      <c r="E59" s="7"/>
      <c r="F59" s="7"/>
      <c r="P59" s="65"/>
      <c r="Q59" s="258"/>
      <c r="S59" s="259"/>
      <c r="T59" s="64"/>
      <c r="U59" s="64"/>
      <c r="V59" s="65"/>
      <c r="W59" s="1"/>
      <c r="Y59" s="113"/>
    </row>
    <row r="60" spans="2:25">
      <c r="B60" s="1"/>
      <c r="C60" s="7"/>
      <c r="D60" s="7"/>
      <c r="E60" s="7"/>
      <c r="F60" s="7"/>
      <c r="P60" s="65"/>
      <c r="Q60" s="258"/>
      <c r="S60" s="259"/>
      <c r="T60" s="64"/>
      <c r="U60" s="64"/>
      <c r="V60" s="65"/>
      <c r="W60" s="1"/>
      <c r="Y60" s="113"/>
    </row>
    <row r="61" spans="2:25">
      <c r="B61" s="1"/>
      <c r="C61" s="7"/>
      <c r="D61" s="7"/>
      <c r="E61" s="7"/>
      <c r="F61" s="7"/>
      <c r="P61" s="65"/>
      <c r="Q61" s="258"/>
      <c r="S61" s="259"/>
      <c r="T61" s="64"/>
      <c r="U61" s="64"/>
      <c r="V61" s="65"/>
      <c r="W61" s="1"/>
      <c r="Y61" s="113"/>
    </row>
    <row r="62" spans="2:25">
      <c r="B62" s="1"/>
      <c r="C62" s="7"/>
      <c r="D62" s="7"/>
      <c r="E62" s="7"/>
      <c r="F62" s="7"/>
      <c r="P62" s="65"/>
      <c r="Q62" s="258"/>
      <c r="S62" s="259"/>
      <c r="T62" s="64"/>
      <c r="U62" s="64"/>
      <c r="V62" s="65"/>
      <c r="W62" s="1"/>
      <c r="Y62" s="113"/>
    </row>
    <row r="63" spans="2:25">
      <c r="B63" s="1"/>
      <c r="C63" s="7"/>
      <c r="D63" s="7"/>
      <c r="E63" s="7"/>
      <c r="F63" s="7"/>
      <c r="P63" s="65"/>
      <c r="Q63" s="258"/>
      <c r="S63" s="259"/>
      <c r="T63" s="64"/>
      <c r="U63" s="64"/>
      <c r="V63" s="65"/>
      <c r="W63" s="1"/>
      <c r="Y63" s="113"/>
    </row>
    <row r="64" spans="2:25">
      <c r="B64" s="1"/>
      <c r="C64" s="7"/>
      <c r="D64" s="7"/>
      <c r="E64" s="7"/>
      <c r="F64" s="7"/>
      <c r="P64" s="65"/>
      <c r="Q64" s="258"/>
      <c r="S64" s="259"/>
      <c r="T64" s="64"/>
      <c r="U64" s="64"/>
      <c r="V64" s="65"/>
      <c r="W64" s="1"/>
      <c r="Y64" s="113"/>
    </row>
    <row r="65" spans="2:25">
      <c r="B65" s="1"/>
      <c r="C65" s="7"/>
      <c r="D65" s="7"/>
      <c r="E65" s="7"/>
      <c r="F65" s="7"/>
      <c r="P65" s="65"/>
      <c r="Q65" s="258"/>
      <c r="S65" s="259"/>
      <c r="T65" s="64"/>
      <c r="U65" s="64"/>
      <c r="V65" s="65"/>
      <c r="W65" s="1"/>
      <c r="Y65" s="113"/>
    </row>
    <row r="66" spans="2:25">
      <c r="B66" s="1"/>
      <c r="C66" s="7"/>
      <c r="D66" s="7"/>
      <c r="E66" s="7"/>
      <c r="F66" s="7"/>
      <c r="P66" s="65"/>
      <c r="Q66" s="258"/>
      <c r="S66" s="259"/>
      <c r="T66" s="64"/>
      <c r="U66" s="64"/>
      <c r="V66" s="65"/>
      <c r="W66" s="1"/>
      <c r="Y66" s="113"/>
    </row>
    <row r="67" spans="2:25">
      <c r="B67" s="1"/>
      <c r="C67" s="7"/>
      <c r="D67" s="7"/>
      <c r="E67" s="7"/>
      <c r="F67" s="7"/>
      <c r="P67" s="65"/>
      <c r="Q67" s="258"/>
      <c r="S67" s="259"/>
      <c r="T67" s="64"/>
      <c r="U67" s="64"/>
      <c r="V67" s="65"/>
      <c r="W67" s="1"/>
      <c r="Y67" s="113"/>
    </row>
    <row r="68" spans="2:25">
      <c r="B68" s="1"/>
      <c r="C68" s="7"/>
      <c r="D68" s="7"/>
      <c r="E68" s="7"/>
      <c r="F68" s="7"/>
      <c r="P68" s="65"/>
      <c r="Q68" s="258"/>
      <c r="S68" s="259"/>
      <c r="T68" s="64"/>
      <c r="U68" s="64"/>
      <c r="V68" s="65"/>
      <c r="W68" s="1"/>
      <c r="Y68" s="113"/>
    </row>
    <row r="69" spans="2:25">
      <c r="B69" s="1"/>
      <c r="C69" s="7"/>
      <c r="D69" s="7"/>
      <c r="E69" s="7"/>
      <c r="F69" s="7"/>
      <c r="P69" s="65"/>
      <c r="Q69" s="258"/>
      <c r="S69" s="259"/>
      <c r="T69" s="64"/>
      <c r="U69" s="64"/>
      <c r="V69" s="65"/>
      <c r="W69" s="1"/>
      <c r="Y69" s="113"/>
    </row>
    <row r="70" spans="2:25">
      <c r="B70" s="1"/>
      <c r="C70" s="7"/>
      <c r="D70" s="7"/>
      <c r="E70" s="7"/>
      <c r="F70" s="7"/>
      <c r="Q70" s="258"/>
      <c r="S70" s="259"/>
      <c r="T70" s="58"/>
      <c r="U70" s="58"/>
      <c r="W70" s="1"/>
      <c r="Y70" s="113"/>
    </row>
    <row r="71" spans="2:25">
      <c r="B71" s="1"/>
      <c r="C71" s="7"/>
      <c r="D71" s="7"/>
      <c r="E71" s="7"/>
      <c r="F71" s="7"/>
      <c r="Q71" s="258"/>
      <c r="S71" s="259"/>
      <c r="T71" s="58"/>
      <c r="U71" s="58"/>
      <c r="W71" s="1"/>
      <c r="Y71" s="113"/>
    </row>
    <row r="72" spans="2:25">
      <c r="B72" s="1"/>
      <c r="C72" s="7"/>
      <c r="D72" s="7"/>
      <c r="E72" s="7"/>
      <c r="F72" s="7"/>
      <c r="Q72" s="258"/>
      <c r="S72" s="259"/>
      <c r="T72" s="58"/>
      <c r="U72" s="58"/>
      <c r="W72" s="1"/>
      <c r="Y72" s="113"/>
    </row>
    <row r="73" spans="2:25">
      <c r="B73" s="1"/>
      <c r="C73" s="7"/>
      <c r="D73" s="7"/>
      <c r="E73" s="7"/>
      <c r="F73" s="7"/>
      <c r="Q73" s="258"/>
      <c r="S73" s="259"/>
      <c r="T73" s="58"/>
      <c r="U73" s="58"/>
      <c r="W73" s="1"/>
      <c r="Y73" s="113"/>
    </row>
    <row r="74" spans="2:25">
      <c r="Q74" s="258"/>
      <c r="S74" s="259"/>
      <c r="T74" s="58"/>
      <c r="U74" s="58"/>
      <c r="Y74" s="113"/>
    </row>
    <row r="75" spans="2:25">
      <c r="Q75" s="258"/>
      <c r="S75" s="259"/>
      <c r="T75" s="58"/>
      <c r="U75" s="58"/>
      <c r="Y75" s="113"/>
    </row>
    <row r="76" spans="2:25">
      <c r="Q76" s="258"/>
      <c r="S76" s="259"/>
      <c r="T76" s="58"/>
      <c r="U76" s="58"/>
      <c r="Y76" s="113"/>
    </row>
    <row r="77" spans="2:25">
      <c r="Q77" s="258"/>
      <c r="S77" s="259"/>
      <c r="T77" s="58"/>
      <c r="U77" s="58"/>
      <c r="Y77" s="113"/>
    </row>
    <row r="78" spans="2:25">
      <c r="Q78" s="258"/>
      <c r="S78" s="259"/>
      <c r="T78" s="58"/>
      <c r="U78" s="58"/>
      <c r="Y78" s="113"/>
    </row>
    <row r="79" spans="2:25">
      <c r="Q79" s="258"/>
      <c r="S79" s="259"/>
      <c r="T79" s="58"/>
      <c r="U79" s="58"/>
      <c r="Y79" s="113"/>
    </row>
    <row r="80" spans="2:25">
      <c r="Q80" s="258"/>
      <c r="S80" s="259"/>
      <c r="T80" s="58"/>
      <c r="U80" s="58"/>
      <c r="Y80" s="113"/>
    </row>
    <row r="81" spans="2:33" s="18" customFormat="1">
      <c r="B81"/>
      <c r="C81"/>
      <c r="D81"/>
      <c r="E81"/>
      <c r="F81"/>
      <c r="H81"/>
      <c r="I81"/>
      <c r="J81"/>
      <c r="K81"/>
      <c r="L81"/>
      <c r="M81"/>
      <c r="N81"/>
      <c r="O81"/>
      <c r="Q81" s="258"/>
      <c r="R81" s="10"/>
      <c r="S81" s="259"/>
      <c r="T81" s="58"/>
      <c r="U81" s="58"/>
      <c r="W81"/>
      <c r="X81"/>
      <c r="Y81" s="113"/>
      <c r="Z81"/>
      <c r="AA81"/>
      <c r="AB81"/>
      <c r="AC81"/>
      <c r="AD81"/>
      <c r="AE81"/>
      <c r="AF81"/>
      <c r="AG81"/>
    </row>
    <row r="82" spans="2:33" s="18" customFormat="1">
      <c r="B82"/>
      <c r="C82"/>
      <c r="D82"/>
      <c r="E82"/>
      <c r="F82"/>
      <c r="H82"/>
      <c r="I82"/>
      <c r="J82"/>
      <c r="K82"/>
      <c r="L82"/>
      <c r="M82"/>
      <c r="N82"/>
      <c r="O82"/>
      <c r="Q82" s="258"/>
      <c r="R82" s="10"/>
      <c r="S82" s="259"/>
      <c r="T82" s="58"/>
      <c r="U82" s="58"/>
      <c r="W82"/>
      <c r="X82"/>
      <c r="Y82" s="113"/>
      <c r="Z82"/>
      <c r="AA82"/>
      <c r="AB82"/>
      <c r="AC82"/>
      <c r="AD82"/>
      <c r="AE82"/>
      <c r="AF82"/>
      <c r="AG82"/>
    </row>
    <row r="83" spans="2:33" s="18" customFormat="1">
      <c r="B83"/>
      <c r="C83"/>
      <c r="D83"/>
      <c r="E83"/>
      <c r="F83"/>
      <c r="H83"/>
      <c r="I83"/>
      <c r="J83"/>
      <c r="K83"/>
      <c r="L83"/>
      <c r="M83"/>
      <c r="N83"/>
      <c r="O83"/>
      <c r="Q83" s="258"/>
      <c r="R83" s="10"/>
      <c r="S83" s="259"/>
      <c r="T83" s="58"/>
      <c r="U83" s="58"/>
      <c r="W83"/>
      <c r="X83"/>
      <c r="Y83" s="113"/>
      <c r="Z83"/>
      <c r="AA83"/>
      <c r="AB83"/>
      <c r="AC83"/>
      <c r="AD83"/>
      <c r="AE83"/>
      <c r="AF83"/>
      <c r="AG83"/>
    </row>
    <row r="84" spans="2:33" s="18" customFormat="1">
      <c r="B84"/>
      <c r="C84"/>
      <c r="D84"/>
      <c r="E84"/>
      <c r="F84"/>
      <c r="H84"/>
      <c r="I84"/>
      <c r="J84"/>
      <c r="K84"/>
      <c r="L84"/>
      <c r="M84"/>
      <c r="N84"/>
      <c r="O84"/>
      <c r="Q84" s="258"/>
      <c r="R84" s="10"/>
      <c r="S84" s="259"/>
      <c r="T84" s="58"/>
      <c r="U84" s="58"/>
      <c r="W84"/>
      <c r="X84"/>
      <c r="Y84" s="113"/>
      <c r="Z84"/>
      <c r="AA84"/>
      <c r="AB84"/>
      <c r="AC84"/>
      <c r="AD84"/>
      <c r="AE84"/>
      <c r="AF84"/>
      <c r="AG84"/>
    </row>
    <row r="85" spans="2:33" s="18" customFormat="1">
      <c r="B85"/>
      <c r="C85"/>
      <c r="D85"/>
      <c r="E85"/>
      <c r="F85"/>
      <c r="H85"/>
      <c r="I85"/>
      <c r="J85"/>
      <c r="K85"/>
      <c r="L85"/>
      <c r="M85"/>
      <c r="N85"/>
      <c r="O85"/>
      <c r="Q85" s="258"/>
      <c r="R85" s="10"/>
      <c r="S85" s="259"/>
      <c r="T85" s="58"/>
      <c r="U85" s="58"/>
      <c r="W85"/>
      <c r="X85"/>
      <c r="Y85" s="113"/>
      <c r="Z85"/>
      <c r="AA85"/>
      <c r="AB85"/>
      <c r="AC85"/>
      <c r="AD85"/>
      <c r="AE85"/>
      <c r="AF85"/>
      <c r="AG85"/>
    </row>
    <row r="86" spans="2:33" s="18" customFormat="1">
      <c r="B86"/>
      <c r="C86"/>
      <c r="D86"/>
      <c r="E86"/>
      <c r="F86"/>
      <c r="H86"/>
      <c r="I86"/>
      <c r="J86"/>
      <c r="K86"/>
      <c r="L86"/>
      <c r="M86"/>
      <c r="N86"/>
      <c r="O86"/>
      <c r="Q86" s="258"/>
      <c r="R86" s="10"/>
      <c r="S86" s="259"/>
      <c r="T86" s="58"/>
      <c r="U86" s="58"/>
      <c r="W86"/>
      <c r="X86"/>
      <c r="Y86" s="113"/>
      <c r="Z86"/>
      <c r="AA86"/>
      <c r="AB86"/>
      <c r="AC86"/>
      <c r="AD86"/>
      <c r="AE86"/>
      <c r="AF86"/>
      <c r="AG86"/>
    </row>
    <row r="87" spans="2:33" ht="16.5" customHeight="1">
      <c r="Q87" s="258"/>
      <c r="S87" s="259"/>
      <c r="Y87" s="113"/>
    </row>
    <row r="88" spans="2:33" ht="16.5" customHeight="1">
      <c r="Q88" s="258"/>
      <c r="S88" s="259"/>
      <c r="Y88" s="113"/>
    </row>
    <row r="89" spans="2:33" ht="16.5" customHeight="1">
      <c r="Q89" s="258"/>
      <c r="S89" s="259"/>
      <c r="Y89" s="113"/>
    </row>
    <row r="90" spans="2:33" ht="16.5" customHeight="1">
      <c r="Q90" s="258"/>
      <c r="S90" s="259"/>
      <c r="Y90" s="113"/>
    </row>
    <row r="91" spans="2:33" ht="16.5" customHeight="1">
      <c r="Q91" s="258"/>
      <c r="S91" s="259"/>
      <c r="Y91" s="113"/>
    </row>
    <row r="92" spans="2:33" ht="16.5" customHeight="1">
      <c r="Q92" s="258"/>
      <c r="S92" s="259"/>
      <c r="Y92" s="113"/>
    </row>
    <row r="93" spans="2:33" ht="16.5" customHeight="1">
      <c r="Q93" s="258"/>
      <c r="S93" s="259"/>
      <c r="Y93" s="113"/>
    </row>
    <row r="94" spans="2:33" ht="16.5" customHeight="1">
      <c r="Q94" s="258"/>
      <c r="S94" s="259"/>
      <c r="Y94" s="113"/>
    </row>
    <row r="95" spans="2:33" ht="16.5" customHeight="1">
      <c r="Q95" s="258"/>
      <c r="S95" s="259"/>
      <c r="Y95" s="113"/>
    </row>
    <row r="96" spans="2:33" ht="16.5" customHeight="1">
      <c r="Q96" s="258"/>
      <c r="S96" s="259"/>
      <c r="Y96" s="113"/>
    </row>
    <row r="97" spans="17:25" ht="16.5" customHeight="1">
      <c r="Q97" s="258"/>
      <c r="S97" s="259"/>
      <c r="Y97" s="113"/>
    </row>
    <row r="98" spans="17:25" ht="16.5" customHeight="1">
      <c r="Q98" s="258"/>
      <c r="S98" s="259"/>
      <c r="Y98" s="113"/>
    </row>
    <row r="99" spans="17:25" ht="16.5" customHeight="1">
      <c r="Q99" s="258"/>
      <c r="S99" s="259"/>
      <c r="Y99" s="113"/>
    </row>
    <row r="100" spans="17:25" ht="16.5" customHeight="1">
      <c r="Q100" s="258"/>
      <c r="S100" s="259"/>
      <c r="Y100" s="113"/>
    </row>
    <row r="101" spans="17:25" ht="16.5" customHeight="1">
      <c r="Q101" s="258"/>
      <c r="S101" s="259"/>
      <c r="Y101" s="113"/>
    </row>
    <row r="102" spans="17:25" ht="16.5" customHeight="1">
      <c r="Q102" s="258"/>
      <c r="S102" s="259"/>
      <c r="Y102" s="113"/>
    </row>
    <row r="103" spans="17:25" ht="16.5" customHeight="1">
      <c r="Q103" s="258"/>
      <c r="S103" s="259"/>
      <c r="Y103" s="113"/>
    </row>
    <row r="104" spans="17:25" ht="16.5" customHeight="1">
      <c r="Q104" s="258"/>
      <c r="S104" s="259"/>
      <c r="Y104" s="113"/>
    </row>
    <row r="105" spans="17:25" ht="16.5" customHeight="1">
      <c r="Q105" s="258"/>
      <c r="S105" s="259"/>
      <c r="Y105" s="113"/>
    </row>
    <row r="106" spans="17:25" ht="16.5" customHeight="1">
      <c r="Q106" s="258"/>
      <c r="S106" s="259"/>
      <c r="Y106" s="113"/>
    </row>
    <row r="107" spans="17:25" ht="16.5" customHeight="1">
      <c r="Q107" s="258"/>
      <c r="S107" s="259"/>
      <c r="Y107" s="113"/>
    </row>
    <row r="108" spans="17:25" ht="16.5" customHeight="1">
      <c r="Q108" s="258"/>
      <c r="S108" s="259"/>
      <c r="Y108" s="113"/>
    </row>
    <row r="109" spans="17:25" ht="16.5" customHeight="1">
      <c r="Q109" s="258"/>
      <c r="S109" s="259"/>
      <c r="Y109" s="113"/>
    </row>
    <row r="110" spans="17:25" ht="16.5" customHeight="1">
      <c r="Q110" s="258"/>
      <c r="S110" s="259"/>
      <c r="Y110" s="113"/>
    </row>
    <row r="111" spans="17:25" ht="16.5" customHeight="1">
      <c r="Q111" s="258"/>
      <c r="S111" s="259"/>
      <c r="Y111" s="113"/>
    </row>
    <row r="112" spans="17:25" ht="16.5" customHeight="1">
      <c r="Q112" s="258"/>
      <c r="S112" s="259"/>
      <c r="Y112" s="113"/>
    </row>
    <row r="113" spans="17:25" ht="16.5" customHeight="1">
      <c r="Q113" s="258"/>
      <c r="S113" s="259"/>
      <c r="Y113" s="113"/>
    </row>
    <row r="114" spans="17:25" ht="16.5" customHeight="1">
      <c r="Q114" s="258"/>
      <c r="S114" s="259"/>
      <c r="Y114" s="113"/>
    </row>
    <row r="115" spans="17:25" ht="16.5" customHeight="1">
      <c r="Q115" s="258"/>
      <c r="S115" s="259"/>
      <c r="Y115" s="113"/>
    </row>
    <row r="116" spans="17:25" ht="16.5" customHeight="1">
      <c r="Q116" s="258"/>
      <c r="S116" s="259"/>
      <c r="Y116" s="113"/>
    </row>
    <row r="117" spans="17:25" ht="16.5" customHeight="1">
      <c r="Q117" s="258"/>
      <c r="S117" s="259"/>
      <c r="Y117" s="113"/>
    </row>
    <row r="118" spans="17:25" ht="16.5" customHeight="1">
      <c r="Q118" s="258"/>
      <c r="S118" s="259"/>
      <c r="Y118" s="113"/>
    </row>
    <row r="119" spans="17:25" ht="16.5" customHeight="1">
      <c r="Q119" s="258"/>
      <c r="S119" s="259"/>
      <c r="Y119" s="113"/>
    </row>
    <row r="120" spans="17:25" ht="16.5" customHeight="1">
      <c r="Q120" s="258"/>
      <c r="S120" s="259"/>
      <c r="Y120" s="113"/>
    </row>
    <row r="121" spans="17:25" ht="16.5" customHeight="1">
      <c r="Q121" s="258"/>
      <c r="S121" s="259"/>
      <c r="Y121" s="113"/>
    </row>
    <row r="122" spans="17:25" ht="16.5" customHeight="1">
      <c r="Q122" s="258"/>
      <c r="S122" s="259"/>
      <c r="Y122" s="113"/>
    </row>
    <row r="123" spans="17:25" ht="16.5" customHeight="1">
      <c r="Q123" s="258"/>
      <c r="S123" s="259"/>
      <c r="Y123" s="113"/>
    </row>
    <row r="124" spans="17:25" ht="16.5" customHeight="1">
      <c r="Q124" s="258"/>
      <c r="S124" s="259"/>
      <c r="Y124" s="113"/>
    </row>
    <row r="125" spans="17:25" ht="16.5" customHeight="1">
      <c r="Q125" s="258"/>
      <c r="S125" s="259"/>
      <c r="Y125" s="113"/>
    </row>
    <row r="126" spans="17:25" ht="16.5" customHeight="1">
      <c r="Q126" s="258"/>
      <c r="S126" s="259"/>
      <c r="Y126" s="113"/>
    </row>
    <row r="127" spans="17:25" ht="16.5" customHeight="1">
      <c r="Q127" s="258"/>
      <c r="S127" s="259"/>
      <c r="Y127" s="113"/>
    </row>
    <row r="128" spans="17:25" ht="16.5" customHeight="1">
      <c r="Q128" s="258"/>
      <c r="S128" s="259"/>
      <c r="Y128" s="113"/>
    </row>
    <row r="129" spans="17:25" ht="16.5" customHeight="1">
      <c r="Q129" s="258"/>
      <c r="S129" s="259"/>
      <c r="Y129" s="113"/>
    </row>
    <row r="130" spans="17:25" ht="16.5" customHeight="1">
      <c r="Q130" s="258"/>
      <c r="S130" s="259"/>
      <c r="Y130" s="113"/>
    </row>
    <row r="131" spans="17:25" ht="16.5" customHeight="1">
      <c r="Q131" s="258"/>
      <c r="Y131" s="113"/>
    </row>
    <row r="132" spans="17:25" ht="16.5" customHeight="1">
      <c r="Q132" s="258"/>
      <c r="Y132" s="113"/>
    </row>
    <row r="133" spans="17:25" ht="16.5" customHeight="1">
      <c r="Q133" s="258"/>
      <c r="Y133" s="113"/>
    </row>
    <row r="134" spans="17:25" ht="16.5" customHeight="1">
      <c r="Q134" s="258"/>
      <c r="Y134" s="113"/>
    </row>
    <row r="135" spans="17:25" ht="16.5" customHeight="1">
      <c r="Q135" s="258"/>
      <c r="Y135" s="113"/>
    </row>
    <row r="136" spans="17:25" ht="16.5" customHeight="1">
      <c r="Q136" s="258"/>
      <c r="Y136" s="113"/>
    </row>
    <row r="137" spans="17:25" ht="16.5" customHeight="1">
      <c r="Q137" s="258"/>
      <c r="Y137" s="113"/>
    </row>
    <row r="138" spans="17:25" ht="16.5" customHeight="1">
      <c r="Q138" s="258"/>
      <c r="Y138" s="113"/>
    </row>
    <row r="139" spans="17:25" ht="16.5" customHeight="1">
      <c r="Q139" s="258"/>
      <c r="Y139" s="113"/>
    </row>
    <row r="140" spans="17:25" ht="16.5" customHeight="1">
      <c r="Q140" s="258"/>
      <c r="Y140" s="113"/>
    </row>
    <row r="141" spans="17:25" ht="16.5" customHeight="1">
      <c r="Q141" s="258"/>
      <c r="Y141" s="113"/>
    </row>
    <row r="142" spans="17:25" ht="16.5" customHeight="1">
      <c r="Q142" s="258"/>
      <c r="Y142" s="113"/>
    </row>
    <row r="143" spans="17:25" ht="16.5" customHeight="1">
      <c r="Q143" s="258"/>
      <c r="Y143" s="113"/>
    </row>
    <row r="144" spans="17:25" ht="16.5" customHeight="1">
      <c r="Q144" s="258"/>
      <c r="Y144" s="113"/>
    </row>
    <row r="145" spans="17:25" ht="16.5" customHeight="1">
      <c r="Q145" s="258"/>
      <c r="Y145" s="113"/>
    </row>
    <row r="146" spans="17:25" ht="16.5" customHeight="1">
      <c r="Q146" s="258"/>
      <c r="Y146" s="113"/>
    </row>
    <row r="147" spans="17:25" ht="16.5" customHeight="1">
      <c r="Q147" s="258"/>
      <c r="Y147" s="113"/>
    </row>
    <row r="148" spans="17:25" ht="16.5" customHeight="1">
      <c r="Q148" s="258"/>
      <c r="Y148" s="113"/>
    </row>
    <row r="149" spans="17:25" ht="16.5" customHeight="1">
      <c r="Q149" s="258"/>
      <c r="Y149" s="113"/>
    </row>
    <row r="150" spans="17:25" ht="16.5" customHeight="1">
      <c r="Q150" s="258"/>
      <c r="Y150" s="113"/>
    </row>
    <row r="151" spans="17:25" ht="16.5" customHeight="1">
      <c r="Q151" s="258"/>
      <c r="Y151" s="113"/>
    </row>
    <row r="152" spans="17:25" ht="16.5" customHeight="1">
      <c r="Q152" s="258"/>
      <c r="Y152" s="113"/>
    </row>
    <row r="153" spans="17:25" ht="16.5" customHeight="1">
      <c r="Q153" s="258"/>
      <c r="Y153" s="113"/>
    </row>
    <row r="154" spans="17:25" ht="16.5" customHeight="1">
      <c r="Q154" s="258"/>
      <c r="Y154" s="113"/>
    </row>
    <row r="155" spans="17:25" ht="16.5" customHeight="1">
      <c r="Q155" s="258"/>
      <c r="Y155" s="113"/>
    </row>
    <row r="156" spans="17:25" ht="16.5" customHeight="1">
      <c r="Q156" s="258"/>
      <c r="Y156" s="113"/>
    </row>
    <row r="157" spans="17:25" ht="16.5" customHeight="1">
      <c r="Q157" s="258"/>
      <c r="Y157" s="113"/>
    </row>
    <row r="158" spans="17:25" ht="16.5" customHeight="1">
      <c r="Q158" s="258"/>
      <c r="Y158" s="113"/>
    </row>
    <row r="159" spans="17:25" ht="16.5" customHeight="1">
      <c r="Q159" s="258"/>
      <c r="Y159" s="113"/>
    </row>
    <row r="160" spans="17:25" ht="16.5" customHeight="1">
      <c r="Q160" s="258"/>
      <c r="Y160" s="113"/>
    </row>
    <row r="161" spans="17:25" ht="16.5" customHeight="1">
      <c r="Q161" s="258"/>
      <c r="Y161" s="113"/>
    </row>
    <row r="162" spans="17:25" ht="16.5" customHeight="1">
      <c r="Q162" s="258"/>
      <c r="Y162" s="113"/>
    </row>
    <row r="163" spans="17:25" ht="16.5" customHeight="1">
      <c r="Q163" s="258"/>
      <c r="Y163" s="113"/>
    </row>
    <row r="164" spans="17:25" ht="16.5" customHeight="1">
      <c r="Q164" s="258"/>
      <c r="Y164" s="113"/>
    </row>
    <row r="165" spans="17:25" ht="16.5" customHeight="1">
      <c r="Q165" s="258"/>
      <c r="Y165" s="113"/>
    </row>
    <row r="166" spans="17:25" ht="16.5" customHeight="1">
      <c r="Q166" s="258"/>
      <c r="Y166" s="113"/>
    </row>
    <row r="167" spans="17:25" ht="16.5" customHeight="1">
      <c r="Q167" s="258"/>
      <c r="Y167" s="113"/>
    </row>
    <row r="168" spans="17:25" ht="16.5" customHeight="1">
      <c r="Q168" s="258"/>
      <c r="Y168" s="113"/>
    </row>
    <row r="169" spans="17:25" ht="16.5" customHeight="1">
      <c r="Q169" s="258"/>
      <c r="Y169" s="113"/>
    </row>
    <row r="170" spans="17:25" ht="16.5" customHeight="1">
      <c r="Q170" s="258"/>
      <c r="Y170" s="113"/>
    </row>
    <row r="171" spans="17:25" ht="16.5" customHeight="1">
      <c r="Q171" s="258"/>
      <c r="Y171" s="113"/>
    </row>
    <row r="172" spans="17:25" ht="16.5" customHeight="1">
      <c r="Q172" s="258"/>
      <c r="Y172" s="113"/>
    </row>
    <row r="173" spans="17:25" ht="16.5" customHeight="1">
      <c r="Q173" s="258"/>
      <c r="Y173" s="113"/>
    </row>
    <row r="174" spans="17:25" ht="16.5" customHeight="1">
      <c r="Q174" s="258"/>
      <c r="Y174" s="113"/>
    </row>
    <row r="175" spans="17:25" ht="16.5" customHeight="1">
      <c r="Q175" s="258"/>
      <c r="Y175" s="113"/>
    </row>
    <row r="176" spans="17:25" ht="16.5" customHeight="1">
      <c r="Q176" s="258"/>
      <c r="Y176" s="113"/>
    </row>
    <row r="177" spans="17:25" ht="16.5" customHeight="1">
      <c r="Q177" s="258"/>
      <c r="Y177" s="113"/>
    </row>
    <row r="178" spans="17:25" ht="16.5" customHeight="1">
      <c r="Q178" s="258"/>
      <c r="Y178" s="113"/>
    </row>
    <row r="179" spans="17:25" ht="16.5" customHeight="1">
      <c r="Q179" s="258"/>
      <c r="Y179" s="113"/>
    </row>
    <row r="180" spans="17:25" ht="16.5" customHeight="1">
      <c r="Q180" s="258"/>
      <c r="Y180" s="113"/>
    </row>
    <row r="181" spans="17:25" ht="16.5" customHeight="1">
      <c r="Q181" s="258"/>
      <c r="Y181" s="113"/>
    </row>
    <row r="182" spans="17:25" ht="16.5" customHeight="1">
      <c r="Q182" s="258"/>
      <c r="Y182" s="113"/>
    </row>
    <row r="183" spans="17:25" ht="16.5" customHeight="1">
      <c r="Q183" s="258"/>
      <c r="Y183" s="113"/>
    </row>
    <row r="184" spans="17:25" ht="16.5" customHeight="1">
      <c r="Q184" s="258"/>
      <c r="Y184" s="113"/>
    </row>
    <row r="185" spans="17:25" ht="16.5" customHeight="1">
      <c r="Q185" s="258"/>
      <c r="Y185" s="113"/>
    </row>
    <row r="186" spans="17:25" ht="16.5" customHeight="1">
      <c r="Q186" s="258"/>
      <c r="Y186" s="113"/>
    </row>
    <row r="187" spans="17:25" ht="16.5" customHeight="1">
      <c r="Q187" s="258"/>
      <c r="Y187" s="113"/>
    </row>
    <row r="188" spans="17:25" ht="16.5" customHeight="1">
      <c r="Q188" s="258"/>
      <c r="Y188" s="113"/>
    </row>
    <row r="189" spans="17:25" ht="16.5" customHeight="1">
      <c r="Q189" s="258"/>
      <c r="Y189" s="113"/>
    </row>
    <row r="190" spans="17:25" ht="16.5" customHeight="1">
      <c r="Q190" s="258"/>
      <c r="Y190" s="113"/>
    </row>
    <row r="191" spans="17:25" ht="16.5" customHeight="1">
      <c r="Q191" s="258"/>
      <c r="Y191" s="113"/>
    </row>
    <row r="192" spans="17:25" ht="16.5" customHeight="1">
      <c r="Q192" s="258"/>
      <c r="Y192" s="113"/>
    </row>
    <row r="193" spans="17:25" ht="16.5" customHeight="1">
      <c r="Q193" s="258"/>
      <c r="Y193" s="113"/>
    </row>
    <row r="194" spans="17:25" ht="16.5" customHeight="1">
      <c r="Q194" s="258"/>
      <c r="Y194" s="113"/>
    </row>
    <row r="195" spans="17:25" ht="16.5" customHeight="1">
      <c r="Q195" s="258"/>
      <c r="Y195" s="113"/>
    </row>
    <row r="196" spans="17:25" ht="16.5" customHeight="1">
      <c r="Q196" s="258"/>
      <c r="Y196" s="113"/>
    </row>
    <row r="197" spans="17:25" ht="16.5" customHeight="1">
      <c r="Q197" s="258"/>
      <c r="Y197" s="113"/>
    </row>
    <row r="198" spans="17:25" ht="16.5" customHeight="1">
      <c r="Q198" s="258"/>
      <c r="Y198" s="113"/>
    </row>
    <row r="199" spans="17:25" ht="16.5" customHeight="1">
      <c r="Q199" s="258"/>
      <c r="Y199" s="113"/>
    </row>
    <row r="200" spans="17:25" ht="16.5" customHeight="1">
      <c r="Q200" s="258"/>
      <c r="Y200" s="113"/>
    </row>
    <row r="201" spans="17:25" ht="16.5" customHeight="1">
      <c r="Q201" s="258"/>
      <c r="Y201" s="113"/>
    </row>
    <row r="202" spans="17:25" ht="16.5" customHeight="1">
      <c r="Q202" s="258"/>
      <c r="Y202" s="113"/>
    </row>
    <row r="203" spans="17:25" ht="16.5" customHeight="1">
      <c r="Q203" s="258"/>
      <c r="Y203" s="113"/>
    </row>
    <row r="204" spans="17:25" ht="16.5" customHeight="1">
      <c r="Q204" s="258"/>
      <c r="Y204" s="113"/>
    </row>
    <row r="205" spans="17:25" ht="16.5" customHeight="1">
      <c r="Q205" s="258"/>
      <c r="Y205" s="113"/>
    </row>
    <row r="206" spans="17:25" ht="16.5" customHeight="1">
      <c r="Q206" s="258"/>
      <c r="Y206" s="113"/>
    </row>
    <row r="207" spans="17:25" ht="16.5" customHeight="1">
      <c r="Q207" s="258"/>
      <c r="Y207" s="113"/>
    </row>
    <row r="208" spans="17:25" ht="16.5" customHeight="1">
      <c r="Q208" s="258"/>
      <c r="Y208" s="113"/>
    </row>
    <row r="209" spans="17:25" ht="16.5" customHeight="1">
      <c r="Q209" s="258"/>
      <c r="Y209" s="113"/>
    </row>
    <row r="210" spans="17:25" ht="16.5" customHeight="1">
      <c r="Q210" s="258"/>
      <c r="Y210" s="113"/>
    </row>
    <row r="211" spans="17:25" ht="16.5" customHeight="1">
      <c r="Q211" s="258"/>
      <c r="Y211" s="113"/>
    </row>
    <row r="212" spans="17:25" ht="16.5" customHeight="1">
      <c r="Q212" s="258"/>
      <c r="Y212" s="113"/>
    </row>
    <row r="213" spans="17:25" ht="16.5" customHeight="1">
      <c r="Q213" s="258"/>
      <c r="Y213" s="113"/>
    </row>
    <row r="214" spans="17:25" ht="16.5" customHeight="1">
      <c r="Q214" s="258"/>
      <c r="Y214" s="113"/>
    </row>
    <row r="215" spans="17:25" ht="16.5" customHeight="1">
      <c r="Q215" s="258"/>
      <c r="Y215" s="113"/>
    </row>
    <row r="216" spans="17:25" ht="16.5" customHeight="1">
      <c r="Q216" s="258"/>
      <c r="Y216" s="113"/>
    </row>
    <row r="217" spans="17:25" ht="16.5" customHeight="1">
      <c r="Q217" s="258"/>
      <c r="Y217" s="113"/>
    </row>
    <row r="218" spans="17:25" ht="16.5" customHeight="1">
      <c r="Q218" s="258"/>
      <c r="Y218" s="113"/>
    </row>
    <row r="219" spans="17:25" ht="16.5" customHeight="1">
      <c r="Q219" s="258"/>
      <c r="Y219" s="113"/>
    </row>
    <row r="220" spans="17:25" ht="16.5" customHeight="1">
      <c r="Q220" s="258"/>
      <c r="Y220" s="113"/>
    </row>
    <row r="221" spans="17:25" ht="16.5" customHeight="1">
      <c r="Q221" s="258"/>
      <c r="Y221" s="113"/>
    </row>
    <row r="222" spans="17:25" ht="16.5" customHeight="1">
      <c r="Q222" s="258"/>
      <c r="Y222" s="113"/>
    </row>
    <row r="223" spans="17:25" ht="16.5" customHeight="1">
      <c r="Q223" s="258"/>
      <c r="Y223" s="113"/>
    </row>
    <row r="224" spans="17:25" ht="16.5" customHeight="1">
      <c r="Q224" s="258"/>
      <c r="Y224" s="113"/>
    </row>
    <row r="225" spans="17:25" ht="16.5" customHeight="1">
      <c r="Q225" s="258"/>
      <c r="Y225" s="113"/>
    </row>
    <row r="226" spans="17:25" ht="16.5" customHeight="1">
      <c r="Q226" s="258"/>
      <c r="Y226" s="113"/>
    </row>
    <row r="227" spans="17:25" ht="16.5" customHeight="1">
      <c r="Q227" s="258"/>
      <c r="Y227" s="113"/>
    </row>
    <row r="228" spans="17:25" ht="16.5" customHeight="1">
      <c r="Q228" s="258"/>
      <c r="Y228" s="113"/>
    </row>
    <row r="229" spans="17:25" ht="16.5" customHeight="1">
      <c r="Q229" s="258"/>
      <c r="Y229" s="113"/>
    </row>
    <row r="230" spans="17:25" ht="16.5" customHeight="1">
      <c r="Q230" s="258"/>
      <c r="Y230" s="113"/>
    </row>
    <row r="231" spans="17:25" ht="16.5" customHeight="1">
      <c r="Q231" s="258"/>
      <c r="Y231" s="113"/>
    </row>
    <row r="232" spans="17:25" ht="16.5" customHeight="1">
      <c r="Q232" s="258"/>
      <c r="Y232" s="113"/>
    </row>
    <row r="233" spans="17:25" ht="16.5" customHeight="1">
      <c r="Q233" s="258"/>
      <c r="Y233" s="113"/>
    </row>
    <row r="234" spans="17:25" ht="16.5" customHeight="1">
      <c r="Q234" s="258"/>
      <c r="Y234" s="113"/>
    </row>
    <row r="235" spans="17:25" ht="16.5" customHeight="1">
      <c r="Q235" s="258"/>
      <c r="Y235" s="113"/>
    </row>
    <row r="236" spans="17:25" ht="16.5" customHeight="1">
      <c r="Q236" s="258"/>
      <c r="Y236" s="113"/>
    </row>
    <row r="237" spans="17:25" ht="16.5" customHeight="1">
      <c r="Q237" s="258"/>
      <c r="Y237" s="113"/>
    </row>
    <row r="238" spans="17:25" ht="16.5" customHeight="1">
      <c r="Q238" s="258"/>
      <c r="Y238" s="113"/>
    </row>
    <row r="239" spans="17:25" ht="16.5" customHeight="1">
      <c r="Q239" s="258"/>
      <c r="Y239" s="113"/>
    </row>
    <row r="240" spans="17:25" ht="16.5" customHeight="1">
      <c r="Q240" s="258"/>
      <c r="Y240" s="113"/>
    </row>
    <row r="241" spans="17:25" ht="16.5" customHeight="1">
      <c r="Q241" s="258"/>
      <c r="Y241" s="113"/>
    </row>
    <row r="242" spans="17:25" ht="16.5" customHeight="1">
      <c r="Q242" s="258"/>
      <c r="Y242" s="113"/>
    </row>
    <row r="243" spans="17:25" ht="16.5" customHeight="1">
      <c r="Q243" s="258"/>
      <c r="Y243" s="113"/>
    </row>
    <row r="244" spans="17:25" ht="16.5" customHeight="1">
      <c r="Q244" s="258"/>
      <c r="Y244" s="113"/>
    </row>
    <row r="245" spans="17:25" ht="16.5" customHeight="1">
      <c r="Q245" s="258"/>
      <c r="Y245" s="113"/>
    </row>
    <row r="246" spans="17:25" ht="16.5" customHeight="1">
      <c r="Q246" s="258"/>
      <c r="Y246" s="113"/>
    </row>
    <row r="247" spans="17:25" ht="16.5" customHeight="1">
      <c r="Q247" s="258"/>
      <c r="Y247" s="113"/>
    </row>
    <row r="248" spans="17:25" ht="16.5" customHeight="1">
      <c r="Q248" s="258"/>
      <c r="Y248" s="113"/>
    </row>
    <row r="249" spans="17:25" ht="16.5" customHeight="1">
      <c r="Q249" s="258"/>
      <c r="Y249" s="113"/>
    </row>
    <row r="250" spans="17:25" ht="16.5" customHeight="1">
      <c r="Q250" s="258"/>
      <c r="Y250" s="113"/>
    </row>
    <row r="251" spans="17:25" ht="16.5" customHeight="1">
      <c r="Q251" s="258"/>
      <c r="Y251" s="113"/>
    </row>
    <row r="252" spans="17:25" ht="16.5" customHeight="1">
      <c r="Q252" s="258"/>
      <c r="Y252" s="113"/>
    </row>
    <row r="253" spans="17:25" ht="16.5" customHeight="1">
      <c r="Q253" s="258"/>
      <c r="Y253" s="113"/>
    </row>
    <row r="254" spans="17:25" ht="16.5" customHeight="1">
      <c r="Q254" s="258"/>
      <c r="Y254" s="113"/>
    </row>
    <row r="255" spans="17:25" ht="16.5" customHeight="1">
      <c r="Q255" s="258"/>
      <c r="Y255" s="113"/>
    </row>
    <row r="256" spans="17:25" ht="16.5" customHeight="1">
      <c r="Q256" s="258"/>
      <c r="Y256" s="113"/>
    </row>
    <row r="257" spans="17:25" ht="16.5" customHeight="1">
      <c r="Q257" s="258"/>
      <c r="Y257" s="113"/>
    </row>
    <row r="258" spans="17:25" ht="16.5" customHeight="1">
      <c r="Q258" s="258"/>
      <c r="Y258" s="113"/>
    </row>
    <row r="259" spans="17:25" ht="16.5" customHeight="1">
      <c r="Q259" s="258"/>
      <c r="Y259" s="113"/>
    </row>
    <row r="260" spans="17:25" ht="16.5" customHeight="1">
      <c r="Q260" s="258"/>
      <c r="Y260" s="113"/>
    </row>
    <row r="261" spans="17:25" ht="16.5" customHeight="1">
      <c r="Q261" s="258"/>
      <c r="Y261" s="113"/>
    </row>
    <row r="262" spans="17:25" ht="16.5" customHeight="1">
      <c r="Q262" s="258"/>
      <c r="Y262" s="113"/>
    </row>
    <row r="263" spans="17:25" ht="16.5" customHeight="1">
      <c r="Q263" s="258"/>
      <c r="Y263" s="113"/>
    </row>
    <row r="264" spans="17:25" ht="16.5" customHeight="1">
      <c r="Q264" s="258"/>
      <c r="Y264" s="113"/>
    </row>
    <row r="265" spans="17:25" ht="16.5" customHeight="1">
      <c r="Q265" s="258"/>
      <c r="Y265" s="113"/>
    </row>
    <row r="266" spans="17:25" ht="16.5" customHeight="1">
      <c r="Q266" s="258"/>
      <c r="Y266" s="113"/>
    </row>
    <row r="267" spans="17:25" ht="16.5" customHeight="1">
      <c r="Q267" s="258"/>
      <c r="Y267" s="113"/>
    </row>
    <row r="268" spans="17:25" ht="16.5" customHeight="1">
      <c r="Q268" s="258"/>
      <c r="Y268" s="113"/>
    </row>
    <row r="269" spans="17:25" ht="16.5" customHeight="1">
      <c r="Q269" s="258"/>
      <c r="Y269" s="113"/>
    </row>
    <row r="270" spans="17:25" ht="16.5" customHeight="1">
      <c r="Q270" s="258"/>
      <c r="Y270" s="113"/>
    </row>
    <row r="271" spans="17:25" ht="16.5" customHeight="1">
      <c r="Q271" s="258"/>
      <c r="Y271" s="113"/>
    </row>
    <row r="272" spans="17:25" ht="16.5" customHeight="1">
      <c r="Q272" s="258"/>
      <c r="Y272" s="113"/>
    </row>
    <row r="273" spans="17:25" ht="16.5" customHeight="1">
      <c r="Q273" s="258"/>
      <c r="Y273" s="113"/>
    </row>
    <row r="274" spans="17:25" ht="16.5" customHeight="1">
      <c r="Q274" s="258"/>
      <c r="Y274" s="113"/>
    </row>
    <row r="275" spans="17:25" ht="16.5" customHeight="1">
      <c r="Q275" s="258"/>
      <c r="Y275" s="113"/>
    </row>
    <row r="276" spans="17:25" ht="16.5" customHeight="1">
      <c r="Q276" s="258"/>
      <c r="Y276" s="113"/>
    </row>
    <row r="277" spans="17:25" ht="16.5" customHeight="1">
      <c r="Q277" s="258"/>
      <c r="Y277" s="113"/>
    </row>
    <row r="278" spans="17:25" ht="16.5" customHeight="1">
      <c r="Q278" s="258"/>
      <c r="Y278" s="113"/>
    </row>
    <row r="279" spans="17:25" ht="16.5" customHeight="1">
      <c r="Q279" s="258"/>
      <c r="Y279" s="113"/>
    </row>
    <row r="280" spans="17:25" ht="16.5" customHeight="1">
      <c r="Q280" s="258"/>
      <c r="Y280" s="113"/>
    </row>
    <row r="281" spans="17:25" ht="16.5" customHeight="1">
      <c r="Q281" s="258"/>
      <c r="Y281" s="113"/>
    </row>
    <row r="282" spans="17:25" ht="16.5" customHeight="1">
      <c r="Q282" s="258"/>
      <c r="Y282" s="113"/>
    </row>
    <row r="283" spans="17:25" ht="16.5" customHeight="1">
      <c r="Q283" s="258"/>
      <c r="Y283" s="113"/>
    </row>
    <row r="284" spans="17:25" ht="16.5" customHeight="1">
      <c r="Q284" s="258"/>
      <c r="Y284" s="113"/>
    </row>
    <row r="285" spans="17:25" ht="16.5" customHeight="1">
      <c r="Q285" s="258"/>
      <c r="Y285" s="113"/>
    </row>
    <row r="286" spans="17:25" ht="16.5" customHeight="1">
      <c r="Q286" s="258"/>
      <c r="Y286" s="113"/>
    </row>
    <row r="287" spans="17:25" ht="16.5" customHeight="1">
      <c r="Q287" s="258"/>
      <c r="Y287" s="113"/>
    </row>
    <row r="288" spans="17:25" ht="16.5" customHeight="1">
      <c r="Q288" s="258"/>
      <c r="Y288" s="113"/>
    </row>
    <row r="289" spans="17:25" ht="16.5" customHeight="1">
      <c r="Q289" s="258"/>
      <c r="Y289" s="113"/>
    </row>
    <row r="290" spans="17:25" ht="16.5" customHeight="1">
      <c r="Q290" s="258"/>
      <c r="Y290" s="113"/>
    </row>
    <row r="291" spans="17:25" ht="16.5" customHeight="1">
      <c r="Q291" s="258"/>
      <c r="Y291" s="113"/>
    </row>
    <row r="292" spans="17:25" ht="16.5" customHeight="1">
      <c r="Q292" s="258"/>
      <c r="Y292" s="113"/>
    </row>
    <row r="293" spans="17:25" ht="16.5" customHeight="1">
      <c r="Q293" s="258"/>
      <c r="Y293" s="113"/>
    </row>
    <row r="294" spans="17:25" ht="16.5" customHeight="1">
      <c r="Q294" s="258"/>
      <c r="Y294" s="113"/>
    </row>
    <row r="295" spans="17:25" ht="16.5" customHeight="1">
      <c r="Q295" s="258"/>
      <c r="Y295" s="113"/>
    </row>
    <row r="296" spans="17:25" ht="16.5" customHeight="1">
      <c r="Q296" s="258"/>
      <c r="Y296" s="113"/>
    </row>
    <row r="297" spans="17:25" ht="16.5" customHeight="1">
      <c r="Q297" s="258"/>
      <c r="Y297" s="113"/>
    </row>
    <row r="298" spans="17:25" ht="16.5" customHeight="1">
      <c r="Q298" s="258"/>
      <c r="Y298" s="113"/>
    </row>
    <row r="299" spans="17:25" ht="16.5" customHeight="1">
      <c r="Q299" s="258"/>
      <c r="Y299" s="113"/>
    </row>
    <row r="300" spans="17:25" ht="16.5" customHeight="1">
      <c r="Q300" s="258"/>
      <c r="Y300" s="113"/>
    </row>
    <row r="301" spans="17:25" ht="16.5" customHeight="1">
      <c r="Q301" s="258"/>
      <c r="Y301" s="113"/>
    </row>
    <row r="302" spans="17:25" ht="16.5" customHeight="1">
      <c r="Q302" s="258"/>
      <c r="Y302" s="113"/>
    </row>
    <row r="303" spans="17:25" ht="16.5" customHeight="1">
      <c r="Q303" s="258"/>
      <c r="Y303" s="113"/>
    </row>
    <row r="304" spans="17:25" ht="16.5" customHeight="1">
      <c r="Q304" s="258"/>
      <c r="Y304" s="113"/>
    </row>
    <row r="305" spans="17:25" ht="16.5" customHeight="1">
      <c r="Q305" s="258"/>
      <c r="Y305" s="113"/>
    </row>
    <row r="306" spans="17:25" ht="16.5" customHeight="1">
      <c r="Q306" s="258"/>
      <c r="Y306" s="113"/>
    </row>
    <row r="307" spans="17:25" ht="16.5" customHeight="1">
      <c r="Q307" s="258"/>
      <c r="Y307" s="113"/>
    </row>
    <row r="308" spans="17:25" ht="16.5" customHeight="1">
      <c r="Q308" s="258"/>
      <c r="Y308" s="113"/>
    </row>
    <row r="309" spans="17:25" ht="16.5" customHeight="1">
      <c r="Q309" s="258"/>
      <c r="Y309" s="113"/>
    </row>
    <row r="310" spans="17:25" ht="16.5" customHeight="1">
      <c r="Q310" s="258"/>
      <c r="Y310" s="113"/>
    </row>
    <row r="311" spans="17:25" ht="16.5" customHeight="1">
      <c r="Q311" s="258"/>
      <c r="Y311" s="113"/>
    </row>
    <row r="312" spans="17:25" ht="16.5" customHeight="1">
      <c r="Q312" s="258"/>
      <c r="Y312" s="113"/>
    </row>
    <row r="313" spans="17:25" ht="16.5" customHeight="1">
      <c r="Q313" s="258"/>
      <c r="Y313" s="113"/>
    </row>
    <row r="314" spans="17:25" ht="16.5" customHeight="1">
      <c r="Q314" s="258"/>
      <c r="Y314" s="113"/>
    </row>
    <row r="315" spans="17:25" ht="16.5" customHeight="1">
      <c r="Q315" s="258"/>
      <c r="Y315" s="113"/>
    </row>
    <row r="316" spans="17:25" ht="16.5" customHeight="1">
      <c r="Q316" s="258"/>
      <c r="Y316" s="113"/>
    </row>
    <row r="317" spans="17:25" ht="16.5" customHeight="1">
      <c r="Q317" s="258"/>
      <c r="Y317" s="113"/>
    </row>
    <row r="318" spans="17:25" ht="16.5" customHeight="1">
      <c r="Q318" s="258"/>
      <c r="Y318" s="113"/>
    </row>
    <row r="319" spans="17:25" ht="16.5" customHeight="1">
      <c r="Q319" s="258"/>
      <c r="Y319" s="113"/>
    </row>
    <row r="320" spans="17:25" ht="16.5" customHeight="1">
      <c r="Q320" s="258"/>
      <c r="Y320" s="113"/>
    </row>
    <row r="321" spans="17:25" ht="16.5" customHeight="1">
      <c r="Q321" s="258"/>
      <c r="Y321" s="113"/>
    </row>
    <row r="322" spans="17:25" ht="16.5" customHeight="1">
      <c r="Q322" s="258"/>
      <c r="Y322" s="113"/>
    </row>
    <row r="323" spans="17:25" ht="16.5" customHeight="1">
      <c r="Q323" s="258"/>
      <c r="Y323" s="113"/>
    </row>
    <row r="324" spans="17:25" ht="16.5" customHeight="1">
      <c r="Q324" s="258"/>
      <c r="Y324" s="113"/>
    </row>
    <row r="325" spans="17:25" ht="16.5" customHeight="1">
      <c r="Q325" s="258"/>
      <c r="Y325" s="113"/>
    </row>
    <row r="326" spans="17:25" ht="16.5" customHeight="1">
      <c r="Q326" s="258"/>
      <c r="Y326" s="113"/>
    </row>
    <row r="327" spans="17:25" ht="16.5" customHeight="1">
      <c r="Q327" s="258"/>
      <c r="Y327" s="113"/>
    </row>
    <row r="328" spans="17:25" ht="16.5" customHeight="1">
      <c r="Q328" s="258"/>
      <c r="Y328" s="113"/>
    </row>
    <row r="329" spans="17:25" ht="16.5" customHeight="1">
      <c r="Q329" s="258"/>
      <c r="Y329" s="113"/>
    </row>
    <row r="330" spans="17:25" ht="16.5" customHeight="1">
      <c r="Q330" s="258"/>
      <c r="Y330" s="113"/>
    </row>
    <row r="331" spans="17:25" ht="16.5" customHeight="1">
      <c r="Q331" s="258"/>
      <c r="Y331" s="113"/>
    </row>
    <row r="332" spans="17:25" ht="16.5" customHeight="1">
      <c r="Q332" s="258"/>
      <c r="Y332" s="113"/>
    </row>
    <row r="333" spans="17:25" ht="16.5" customHeight="1">
      <c r="Q333" s="258"/>
      <c r="Y333" s="113"/>
    </row>
    <row r="334" spans="17:25" ht="16.5" customHeight="1">
      <c r="Q334" s="258"/>
      <c r="Y334" s="113"/>
    </row>
    <row r="335" spans="17:25" ht="16.5" customHeight="1">
      <c r="Q335" s="258"/>
      <c r="Y335" s="113"/>
    </row>
    <row r="336" spans="17:25" ht="16.5" customHeight="1">
      <c r="Q336" s="258"/>
      <c r="Y336" s="113"/>
    </row>
    <row r="337" spans="17:25" ht="16.5" customHeight="1">
      <c r="Q337" s="258"/>
      <c r="Y337" s="113"/>
    </row>
    <row r="338" spans="17:25" ht="16.5" customHeight="1">
      <c r="Q338" s="258"/>
      <c r="Y338" s="113"/>
    </row>
    <row r="339" spans="17:25" ht="16.5" customHeight="1">
      <c r="Q339" s="258"/>
      <c r="Y339" s="113"/>
    </row>
    <row r="340" spans="17:25" ht="16.5" customHeight="1">
      <c r="Q340" s="258"/>
      <c r="Y340" s="113"/>
    </row>
    <row r="341" spans="17:25" ht="16.5" customHeight="1">
      <c r="Q341" s="258"/>
      <c r="Y341" s="113"/>
    </row>
    <row r="342" spans="17:25" ht="16.5" customHeight="1">
      <c r="Q342" s="258"/>
      <c r="Y342" s="113"/>
    </row>
    <row r="343" spans="17:25" ht="16.5" customHeight="1">
      <c r="Q343" s="258"/>
      <c r="Y343" s="113"/>
    </row>
    <row r="344" spans="17:25" ht="16.5" customHeight="1">
      <c r="Q344" s="258"/>
      <c r="Y344" s="113"/>
    </row>
    <row r="345" spans="17:25" ht="16.5" customHeight="1">
      <c r="Q345" s="258"/>
      <c r="Y345" s="113"/>
    </row>
    <row r="346" spans="17:25" ht="16.5" customHeight="1">
      <c r="Q346" s="258"/>
      <c r="Y346" s="113"/>
    </row>
    <row r="347" spans="17:25" ht="16.5" customHeight="1">
      <c r="Q347" s="258"/>
      <c r="Y347" s="113"/>
    </row>
    <row r="348" spans="17:25" ht="16.5" customHeight="1">
      <c r="Q348" s="258"/>
      <c r="Y348" s="113"/>
    </row>
    <row r="349" spans="17:25" ht="16.5" customHeight="1">
      <c r="Q349" s="258"/>
      <c r="Y349" s="113"/>
    </row>
    <row r="350" spans="17:25" ht="16.5" customHeight="1">
      <c r="Q350" s="258"/>
      <c r="Y350" s="113"/>
    </row>
    <row r="351" spans="17:25" ht="16.5" customHeight="1">
      <c r="Q351" s="258"/>
      <c r="Y351" s="113"/>
    </row>
    <row r="352" spans="17:25" ht="16.5" customHeight="1">
      <c r="Q352" s="258"/>
      <c r="Y352" s="113"/>
    </row>
    <row r="353" spans="17:25" ht="16.5" customHeight="1">
      <c r="Q353" s="258"/>
      <c r="Y353" s="113"/>
    </row>
    <row r="354" spans="17:25" ht="16.5" customHeight="1">
      <c r="Q354" s="258"/>
      <c r="Y354" s="113"/>
    </row>
    <row r="355" spans="17:25" ht="16.5" customHeight="1">
      <c r="Q355" s="258"/>
      <c r="Y355" s="113"/>
    </row>
    <row r="356" spans="17:25" ht="16.5" customHeight="1">
      <c r="Q356" s="258"/>
      <c r="Y356" s="113"/>
    </row>
    <row r="357" spans="17:25" ht="16.5" customHeight="1">
      <c r="Q357" s="258"/>
      <c r="Y357" s="113"/>
    </row>
    <row r="358" spans="17:25" ht="16.5" customHeight="1">
      <c r="Q358" s="258"/>
      <c r="Y358" s="113"/>
    </row>
    <row r="359" spans="17:25" ht="16.5" customHeight="1">
      <c r="Q359" s="258"/>
      <c r="Y359" s="113"/>
    </row>
    <row r="360" spans="17:25" ht="16.5" customHeight="1">
      <c r="Q360" s="258"/>
      <c r="Y360" s="113"/>
    </row>
    <row r="361" spans="17:25" ht="16.5" customHeight="1">
      <c r="Q361" s="258"/>
      <c r="Y361" s="113"/>
    </row>
    <row r="362" spans="17:25" ht="16.5" customHeight="1">
      <c r="Q362" s="258"/>
      <c r="Y362" s="113"/>
    </row>
    <row r="363" spans="17:25" ht="16.5" customHeight="1">
      <c r="Q363" s="258"/>
      <c r="Y363" s="113"/>
    </row>
    <row r="364" spans="17:25" ht="16.5" customHeight="1">
      <c r="Q364" s="258"/>
      <c r="Y364" s="113"/>
    </row>
    <row r="365" spans="17:25" ht="16.5" customHeight="1">
      <c r="Q365" s="258"/>
      <c r="Y365" s="113"/>
    </row>
    <row r="366" spans="17:25" ht="16.5" customHeight="1">
      <c r="Q366" s="258"/>
      <c r="Y366" s="113"/>
    </row>
    <row r="367" spans="17:25" ht="16.5" customHeight="1">
      <c r="Q367" s="258"/>
      <c r="Y367" s="113"/>
    </row>
    <row r="368" spans="17:25" ht="16.5" customHeight="1">
      <c r="Q368" s="258"/>
      <c r="Y368" s="113"/>
    </row>
    <row r="369" spans="17:25" ht="16.5" customHeight="1">
      <c r="Q369" s="258"/>
      <c r="Y369" s="113"/>
    </row>
    <row r="370" spans="17:25" ht="16.5" customHeight="1">
      <c r="Q370" s="258"/>
      <c r="Y370" s="113"/>
    </row>
    <row r="371" spans="17:25" ht="16.5" customHeight="1">
      <c r="Q371" s="258"/>
      <c r="Y371" s="113"/>
    </row>
    <row r="372" spans="17:25" ht="16.5" customHeight="1">
      <c r="Q372" s="258"/>
      <c r="Y372" s="113"/>
    </row>
    <row r="373" spans="17:25" ht="16.5" customHeight="1">
      <c r="Y373" s="113"/>
    </row>
    <row r="374" spans="17:25" ht="16.5" customHeight="1">
      <c r="Y374" s="113"/>
    </row>
    <row r="375" spans="17:25" ht="16.5" customHeight="1">
      <c r="Y375" s="113"/>
    </row>
    <row r="376" spans="17:25" ht="16.5" customHeight="1">
      <c r="Y376" s="113"/>
    </row>
    <row r="377" spans="17:25" ht="16.5" customHeight="1">
      <c r="Y377" s="113"/>
    </row>
    <row r="378" spans="17:25" ht="16.5" customHeight="1">
      <c r="Y378" s="113"/>
    </row>
    <row r="379" spans="17:25" ht="16.5" customHeight="1">
      <c r="Y379" s="113"/>
    </row>
    <row r="380" spans="17:25" ht="16.5" customHeight="1">
      <c r="Y380" s="113"/>
    </row>
    <row r="381" spans="17:25" ht="16.5" customHeight="1">
      <c r="Y381" s="113"/>
    </row>
    <row r="382" spans="17:25" ht="16.5" customHeight="1">
      <c r="Y382" s="113"/>
    </row>
    <row r="383" spans="17:25" ht="16.5" customHeight="1">
      <c r="Y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C9806A-87CF-40C6-9779-ABC47F50C47A}">
          <x14:formula1>
            <xm:f>기계코드!$F$5:$F$43</xm:f>
          </x14:formula1>
          <xm:sqref>C10:C73</xm:sqref>
        </x14:dataValidation>
        <x14:dataValidation type="list" allowBlank="1" showInputMessage="1" showErrorMessage="1" xr:uid="{C2A97EDD-7F8A-45B3-9E9B-83121D62887C}">
          <x14:formula1>
            <xm:f>공급업체코드!$D$3:$D$47</xm:f>
          </x14:formula1>
          <xm:sqref>E13:E73</xm:sqref>
        </x14:dataValidation>
        <x14:dataValidation type="list" allowBlank="1" showInputMessage="1" showErrorMessage="1" xr:uid="{65A3BA97-BD9D-4946-A1F2-5255150E50A2}">
          <x14:formula1>
            <xm:f>기계코드!$F$170:$F$175</xm:f>
          </x14:formula1>
          <xm:sqref>C3:C9</xm:sqref>
        </x14:dataValidation>
        <x14:dataValidation type="list" allowBlank="1" showInputMessage="1" showErrorMessage="1" xr:uid="{784C5F75-ACCA-4370-9787-08A2FCF6670A}">
          <x14:formula1>
            <xm:f>공급업체코드!$D$3:$D$45102</xm:f>
          </x14:formula1>
          <xm:sqref>E3:E12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B8E1-F670-4A88-B1CC-B8557182044E}">
  <dimension ref="B1:AF383"/>
  <sheetViews>
    <sheetView zoomScale="70" zoomScaleNormal="70" workbookViewId="0">
      <pane ySplit="2" topLeftCell="A3" activePane="bottomLeft" state="frozen"/>
      <selection pane="bottomLeft" activeCell="F14" sqref="F14"/>
    </sheetView>
  </sheetViews>
  <sheetFormatPr defaultRowHeight="16.5" customHeight="1"/>
  <cols>
    <col min="1" max="1" width="13.625" customWidth="1"/>
    <col min="2" max="2" width="33.625" customWidth="1"/>
    <col min="3" max="3" width="27.25" customWidth="1"/>
    <col min="4" max="4" width="16.125" customWidth="1"/>
    <col min="5" max="5" width="23.375" bestFit="1" customWidth="1"/>
    <col min="6" max="6" width="13.875" bestFit="1" customWidth="1"/>
    <col min="7" max="7" width="14.5" style="18" customWidth="1"/>
    <col min="8" max="8" width="15.875" customWidth="1"/>
    <col min="9" max="9" width="13.125" customWidth="1"/>
    <col min="10" max="10" width="13.25" customWidth="1"/>
    <col min="11" max="11" width="14.25" bestFit="1" customWidth="1"/>
    <col min="12" max="12" width="19.75" bestFit="1" customWidth="1"/>
    <col min="13" max="13" width="20.875" bestFit="1" customWidth="1"/>
    <col min="14" max="14" width="21.75" customWidth="1"/>
    <col min="15" max="15" width="15" style="18" bestFit="1" customWidth="1"/>
    <col min="16" max="16" width="16.125" style="261" customWidth="1"/>
    <col min="17" max="17" width="25.75" style="10" bestFit="1" customWidth="1"/>
    <col min="18" max="18" width="16.125" style="260" customWidth="1"/>
    <col min="19" max="19" width="16.125" customWidth="1"/>
    <col min="20" max="20" width="21.25" bestFit="1" customWidth="1"/>
    <col min="21" max="21" width="39.75" style="18" customWidth="1"/>
    <col min="22" max="22" width="10.5" customWidth="1"/>
    <col min="23" max="23" width="27.625" bestFit="1" customWidth="1"/>
    <col min="24" max="24" width="20.625" customWidth="1"/>
    <col min="26" max="26" width="12.375" customWidth="1"/>
    <col min="27" max="27" width="11.375" bestFit="1" customWidth="1"/>
    <col min="30" max="30" width="22.125" bestFit="1" customWidth="1"/>
    <col min="31" max="31" width="36.375" bestFit="1" customWidth="1"/>
    <col min="32" max="32" width="15.375" bestFit="1" customWidth="1"/>
  </cols>
  <sheetData>
    <row r="1" spans="2:32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2193</v>
      </c>
      <c r="I1" s="10" t="s">
        <v>1318</v>
      </c>
      <c r="J1" s="10" t="s">
        <v>1319</v>
      </c>
      <c r="K1" s="10" t="s">
        <v>1320</v>
      </c>
      <c r="L1" s="10" t="s">
        <v>1321</v>
      </c>
      <c r="M1" s="10" t="s">
        <v>1322</v>
      </c>
      <c r="N1" s="10" t="s">
        <v>1323</v>
      </c>
      <c r="O1" s="17" t="s">
        <v>1324</v>
      </c>
      <c r="P1" s="131" t="s">
        <v>1290</v>
      </c>
      <c r="Q1" s="131" t="s">
        <v>1291</v>
      </c>
      <c r="R1" s="131" t="s">
        <v>1292</v>
      </c>
      <c r="S1" s="10" t="s">
        <v>1293</v>
      </c>
      <c r="T1" s="17" t="s">
        <v>1294</v>
      </c>
      <c r="U1" s="61" t="s">
        <v>1295</v>
      </c>
      <c r="V1" s="10" t="s">
        <v>1296</v>
      </c>
      <c r="W1" s="10" t="s">
        <v>1297</v>
      </c>
      <c r="X1" s="249" t="s">
        <v>1298</v>
      </c>
    </row>
    <row r="2" spans="2:32" s="1" customFormat="1">
      <c r="B2" s="2" t="s">
        <v>1299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1303</v>
      </c>
      <c r="I2" s="5" t="s">
        <v>1371</v>
      </c>
      <c r="J2" s="5" t="s">
        <v>1328</v>
      </c>
      <c r="K2" s="53" t="s">
        <v>1329</v>
      </c>
      <c r="L2" s="5" t="s">
        <v>1330</v>
      </c>
      <c r="M2" s="5" t="s">
        <v>1331</v>
      </c>
      <c r="N2" s="57" t="s">
        <v>1332</v>
      </c>
      <c r="O2" s="14" t="s">
        <v>1349</v>
      </c>
      <c r="P2" s="5" t="s">
        <v>1305</v>
      </c>
      <c r="Q2" s="5" t="s">
        <v>1306</v>
      </c>
      <c r="R2" s="5" t="s">
        <v>1307</v>
      </c>
      <c r="S2" s="120" t="s">
        <v>1308</v>
      </c>
      <c r="T2" s="252" t="s">
        <v>1309</v>
      </c>
      <c r="U2" s="241" t="s">
        <v>1310</v>
      </c>
      <c r="V2" s="54" t="s">
        <v>1311</v>
      </c>
      <c r="W2" s="3" t="s">
        <v>10</v>
      </c>
      <c r="X2" s="242" t="s">
        <v>1312</v>
      </c>
      <c r="AD2" s="41"/>
      <c r="AE2" s="41"/>
      <c r="AF2" s="41"/>
    </row>
    <row r="3" spans="2:32">
      <c r="B3" s="1" t="str">
        <f>D3&amp;"_"&amp;F3&amp;"_"&amp;H3</f>
        <v>M_HPP01_VM_CB_ENG_5</v>
      </c>
      <c r="C3" s="7" t="s">
        <v>586</v>
      </c>
      <c r="D3" s="7" t="str" cm="1">
        <f t="array" ref="D3">INDEX(기계코드!$D$4:$D$1022,MATCH(1,(C3=기계코드!$F$4:$F$1022)*1,0))</f>
        <v>M_HPP01</v>
      </c>
      <c r="E3" s="7" t="s">
        <v>1235</v>
      </c>
      <c r="F3" s="7" t="str" cm="1">
        <f t="array" ref="F3">INDEX(공급업체코드!$B$3:$B$1000,MATCH(1,(E3=공급업체코드!$D$3:$D$1000)*1,0))</f>
        <v>VM_CB_ENG</v>
      </c>
      <c r="G3" s="60"/>
      <c r="H3" s="50">
        <v>5</v>
      </c>
      <c r="I3" s="72">
        <v>5.5</v>
      </c>
      <c r="J3" s="7" t="s">
        <v>990</v>
      </c>
      <c r="K3" s="7">
        <v>380</v>
      </c>
      <c r="L3" s="151">
        <v>0.91700000000000004</v>
      </c>
      <c r="M3" s="7">
        <v>0.9</v>
      </c>
      <c r="N3" s="7">
        <v>60</v>
      </c>
      <c r="O3" s="66">
        <v>600</v>
      </c>
      <c r="P3" s="256" t="s">
        <v>1390</v>
      </c>
      <c r="Q3" s="10">
        <f t="shared" ref="Q3:Q10" si="0">IF(O3&lt;500,1,IF(O3&lt;1000,2,IF(O3&lt;5000,3,4)))</f>
        <v>2</v>
      </c>
      <c r="R3" s="257" t="s">
        <v>1391</v>
      </c>
      <c r="S3" s="63">
        <v>65000000</v>
      </c>
      <c r="T3" s="63"/>
      <c r="U3" s="18" t="s">
        <v>2187</v>
      </c>
      <c r="V3" s="1" t="b">
        <v>1</v>
      </c>
      <c r="X3" s="133"/>
      <c r="AD3" s="41"/>
      <c r="AE3" s="41"/>
      <c r="AF3" s="41"/>
    </row>
    <row r="4" spans="2:32">
      <c r="B4" s="1" t="str">
        <f t="shared" ref="B4:B6" si="1">D4&amp;"_"&amp;F4&amp;"_"&amp;H4</f>
        <v>M_HPP01_VM_CB_ENG_10</v>
      </c>
      <c r="C4" s="7" t="s">
        <v>586</v>
      </c>
      <c r="D4" s="7" t="str" cm="1">
        <f t="array" ref="D4">INDEX(기계코드!$D$4:$D$1022,MATCH(1,(C4=기계코드!$F$4:$F$1022)*1,0))</f>
        <v>M_HPP01</v>
      </c>
      <c r="E4" s="7" t="s">
        <v>1235</v>
      </c>
      <c r="F4" s="7" t="str" cm="1">
        <f t="array" ref="F4">INDEX(공급업체코드!$B$3:$B$1000,MATCH(1,(E4=공급업체코드!$D$3:$D$1000)*1,0))</f>
        <v>VM_CB_ENG</v>
      </c>
      <c r="G4" s="43"/>
      <c r="H4" s="34">
        <v>10</v>
      </c>
      <c r="I4" s="72">
        <v>7.5</v>
      </c>
      <c r="J4" s="7" t="s">
        <v>990</v>
      </c>
      <c r="K4" s="7">
        <v>380</v>
      </c>
      <c r="L4" s="151">
        <v>0.91700000000000004</v>
      </c>
      <c r="M4" s="7">
        <v>0.9</v>
      </c>
      <c r="N4" s="7">
        <v>60</v>
      </c>
      <c r="O4" s="67">
        <v>11</v>
      </c>
      <c r="P4" s="258" t="s">
        <v>1390</v>
      </c>
      <c r="Q4" s="10">
        <f t="shared" si="0"/>
        <v>1</v>
      </c>
      <c r="R4" s="259" t="s">
        <v>1391</v>
      </c>
      <c r="S4" s="63">
        <v>75000000</v>
      </c>
      <c r="T4" s="63"/>
      <c r="U4" s="18" t="s">
        <v>2187</v>
      </c>
      <c r="V4" s="1" t="b">
        <v>1</v>
      </c>
      <c r="X4" s="133"/>
      <c r="AD4" s="41"/>
      <c r="AE4" s="41"/>
      <c r="AF4" s="41"/>
    </row>
    <row r="5" spans="2:32">
      <c r="B5" s="1" t="str">
        <f t="shared" si="1"/>
        <v>M_HPP01_VM_CB_ENG_20</v>
      </c>
      <c r="C5" s="7" t="s">
        <v>586</v>
      </c>
      <c r="D5" s="7" t="str" cm="1">
        <f t="array" ref="D5">INDEX(기계코드!$D$4:$D$1022,MATCH(1,(C5=기계코드!$F$4:$F$1022)*1,0))</f>
        <v>M_HPP01</v>
      </c>
      <c r="E5" s="7" t="s">
        <v>1235</v>
      </c>
      <c r="F5" s="7" t="str" cm="1">
        <f t="array" ref="F5">INDEX(공급업체코드!$B$3:$B$1000,MATCH(1,(E5=공급업체코드!$D$3:$D$1000)*1,0))</f>
        <v>VM_CB_ENG</v>
      </c>
      <c r="G5" s="43"/>
      <c r="H5" s="34">
        <v>20</v>
      </c>
      <c r="I5" s="72">
        <v>11</v>
      </c>
      <c r="J5" s="7" t="s">
        <v>990</v>
      </c>
      <c r="K5" s="7">
        <v>380</v>
      </c>
      <c r="L5" s="151">
        <v>0.92400000000000004</v>
      </c>
      <c r="M5" s="7">
        <v>0.9</v>
      </c>
      <c r="N5" s="7">
        <v>60</v>
      </c>
      <c r="O5" s="67">
        <v>11</v>
      </c>
      <c r="P5" s="258" t="s">
        <v>1390</v>
      </c>
      <c r="Q5" s="10">
        <f t="shared" si="0"/>
        <v>1</v>
      </c>
      <c r="R5" s="259" t="s">
        <v>1391</v>
      </c>
      <c r="S5" s="63">
        <v>95000000</v>
      </c>
      <c r="T5" s="63"/>
      <c r="U5" s="18" t="s">
        <v>2187</v>
      </c>
      <c r="V5" s="1" t="b">
        <v>1</v>
      </c>
      <c r="X5" s="133"/>
      <c r="AD5" s="41"/>
      <c r="AE5" s="41"/>
      <c r="AF5" s="41"/>
    </row>
    <row r="6" spans="2:32">
      <c r="B6" s="1" t="str">
        <f t="shared" si="1"/>
        <v>M_HPP01_VM_CB_ENG_30</v>
      </c>
      <c r="C6" s="7" t="s">
        <v>586</v>
      </c>
      <c r="D6" s="7" t="str" cm="1">
        <f t="array" ref="D6">INDEX(기계코드!$D$4:$D$1022,MATCH(1,(C6=기계코드!$F$4:$F$1022)*1,0))</f>
        <v>M_HPP01</v>
      </c>
      <c r="E6" s="7" t="s">
        <v>1235</v>
      </c>
      <c r="F6" s="7" t="str" cm="1">
        <f t="array" ref="F6">INDEX(공급업체코드!$B$3:$B$1000,MATCH(1,(E6=공급업체코드!$D$3:$D$1000)*1,0))</f>
        <v>VM_CB_ENG</v>
      </c>
      <c r="G6" s="43"/>
      <c r="H6" s="34">
        <v>30</v>
      </c>
      <c r="I6" s="72">
        <v>15</v>
      </c>
      <c r="J6" s="7" t="s">
        <v>990</v>
      </c>
      <c r="K6" s="7">
        <v>380</v>
      </c>
      <c r="L6" s="151">
        <v>0.93</v>
      </c>
      <c r="M6" s="7">
        <v>0.9</v>
      </c>
      <c r="N6" s="7">
        <v>60</v>
      </c>
      <c r="O6" s="67">
        <v>11</v>
      </c>
      <c r="P6" s="258" t="s">
        <v>1390</v>
      </c>
      <c r="Q6" s="10">
        <f t="shared" si="0"/>
        <v>1</v>
      </c>
      <c r="R6" s="259" t="s">
        <v>1391</v>
      </c>
      <c r="S6" s="63">
        <v>120000000</v>
      </c>
      <c r="T6" s="63"/>
      <c r="U6" s="18" t="s">
        <v>2187</v>
      </c>
      <c r="V6" s="1" t="b">
        <v>1</v>
      </c>
      <c r="X6" s="133"/>
      <c r="AD6" s="41"/>
      <c r="AE6" s="41"/>
      <c r="AF6" s="41"/>
    </row>
    <row r="7" spans="2:32">
      <c r="B7" s="1" t="str">
        <f>D7&amp;"_"&amp;F7&amp;"_"&amp;H7</f>
        <v>M_HPP02_VM_CB_ENG_5</v>
      </c>
      <c r="C7" s="7" t="s">
        <v>2194</v>
      </c>
      <c r="D7" s="7" t="str" cm="1">
        <f t="array" ref="D7">INDEX(기계코드!$D$4:$D$1022,MATCH(1,(C7=기계코드!$F$4:$F$1022)*1,0))</f>
        <v>M_HPP02</v>
      </c>
      <c r="E7" s="7" t="s">
        <v>1235</v>
      </c>
      <c r="F7" s="7" t="str" cm="1">
        <f t="array" ref="F7">INDEX(공급업체코드!$B$3:$B$1000,MATCH(1,(E7=공급업체코드!$D$3:$D$1000)*1,0))</f>
        <v>VM_CB_ENG</v>
      </c>
      <c r="G7" s="43"/>
      <c r="H7" s="50">
        <v>5</v>
      </c>
      <c r="I7" s="72">
        <v>5.5</v>
      </c>
      <c r="J7" s="7" t="s">
        <v>990</v>
      </c>
      <c r="K7" s="7">
        <v>380</v>
      </c>
      <c r="L7" s="151">
        <v>0.91700000000000004</v>
      </c>
      <c r="M7" s="7">
        <v>0.9</v>
      </c>
      <c r="N7" s="7">
        <v>60</v>
      </c>
      <c r="O7" s="67">
        <v>11</v>
      </c>
      <c r="P7" s="258" t="s">
        <v>1390</v>
      </c>
      <c r="Q7" s="10">
        <f t="shared" si="0"/>
        <v>1</v>
      </c>
      <c r="R7" s="259" t="s">
        <v>1391</v>
      </c>
      <c r="S7" s="63">
        <v>75000000</v>
      </c>
      <c r="T7" s="63"/>
      <c r="U7" s="18" t="s">
        <v>2187</v>
      </c>
      <c r="V7" s="1" t="b">
        <v>1</v>
      </c>
      <c r="X7" s="113"/>
      <c r="AD7" s="41"/>
      <c r="AE7" s="41"/>
      <c r="AF7" s="41"/>
    </row>
    <row r="8" spans="2:32">
      <c r="B8" s="1" t="str">
        <f t="shared" ref="B8:B10" si="2">D8&amp;"_"&amp;F8&amp;"_"&amp;H8</f>
        <v>M_HPP02_VM_CB_ENG_10</v>
      </c>
      <c r="C8" s="7" t="s">
        <v>2194</v>
      </c>
      <c r="D8" s="7" t="str" cm="1">
        <f t="array" ref="D8">INDEX(기계코드!$D$4:$D$1022,MATCH(1,(C8=기계코드!$F$4:$F$1022)*1,0))</f>
        <v>M_HPP02</v>
      </c>
      <c r="E8" s="7" t="s">
        <v>1235</v>
      </c>
      <c r="F8" s="7" t="str" cm="1">
        <f t="array" ref="F8">INDEX(공급업체코드!$B$3:$B$1000,MATCH(1,(E8=공급업체코드!$D$3:$D$1000)*1,0))</f>
        <v>VM_CB_ENG</v>
      </c>
      <c r="G8" s="43"/>
      <c r="H8" s="34">
        <v>10</v>
      </c>
      <c r="I8" s="72">
        <v>7.5</v>
      </c>
      <c r="J8" s="7" t="s">
        <v>990</v>
      </c>
      <c r="K8" s="7">
        <v>380</v>
      </c>
      <c r="L8" s="151">
        <v>0.91700000000000004</v>
      </c>
      <c r="M8" s="7">
        <v>0.9</v>
      </c>
      <c r="N8" s="7">
        <v>60</v>
      </c>
      <c r="O8" s="67">
        <v>11</v>
      </c>
      <c r="P8" s="258" t="s">
        <v>1390</v>
      </c>
      <c r="Q8" s="10">
        <f t="shared" si="0"/>
        <v>1</v>
      </c>
      <c r="R8" s="259" t="s">
        <v>1391</v>
      </c>
      <c r="S8" s="63">
        <v>85000000</v>
      </c>
      <c r="T8" s="63"/>
      <c r="U8" s="18" t="s">
        <v>2187</v>
      </c>
      <c r="V8" s="1" t="b">
        <v>1</v>
      </c>
      <c r="X8" s="113"/>
      <c r="AD8" s="41"/>
      <c r="AE8" s="41"/>
      <c r="AF8" s="41"/>
    </row>
    <row r="9" spans="2:32">
      <c r="B9" s="1" t="str">
        <f t="shared" si="2"/>
        <v>M_HPP02_VM_CB_ENG_20</v>
      </c>
      <c r="C9" s="7" t="s">
        <v>2194</v>
      </c>
      <c r="D9" s="7" t="str" cm="1">
        <f t="array" ref="D9">INDEX(기계코드!$D$4:$D$1022,MATCH(1,(C9=기계코드!$F$4:$F$1022)*1,0))</f>
        <v>M_HPP02</v>
      </c>
      <c r="E9" s="7" t="s">
        <v>1235</v>
      </c>
      <c r="F9" s="7" t="str" cm="1">
        <f t="array" ref="F9">INDEX(공급업체코드!$B$3:$B$1000,MATCH(1,(E9=공급업체코드!$D$3:$D$1000)*1,0))</f>
        <v>VM_CB_ENG</v>
      </c>
      <c r="G9" s="43"/>
      <c r="H9" s="34">
        <v>20</v>
      </c>
      <c r="I9" s="72">
        <v>11</v>
      </c>
      <c r="J9" s="7" t="s">
        <v>990</v>
      </c>
      <c r="K9" s="7">
        <v>380</v>
      </c>
      <c r="L9" s="151">
        <v>0.92400000000000004</v>
      </c>
      <c r="M9" s="7">
        <v>0.9</v>
      </c>
      <c r="N9" s="7">
        <v>60</v>
      </c>
      <c r="O9" s="67">
        <v>11</v>
      </c>
      <c r="P9" s="258" t="s">
        <v>1390</v>
      </c>
      <c r="Q9" s="10">
        <f t="shared" si="0"/>
        <v>1</v>
      </c>
      <c r="R9" s="259" t="s">
        <v>1391</v>
      </c>
      <c r="S9" s="63">
        <v>105000000</v>
      </c>
      <c r="T9" s="63"/>
      <c r="U9" s="18" t="s">
        <v>2187</v>
      </c>
      <c r="V9" s="1" t="b">
        <v>1</v>
      </c>
      <c r="X9" s="113"/>
      <c r="AD9" s="41"/>
      <c r="AE9" s="41"/>
      <c r="AF9" s="41"/>
    </row>
    <row r="10" spans="2:32">
      <c r="B10" s="1" t="str">
        <f t="shared" si="2"/>
        <v>M_HPP02_VM_CB_ENG_30</v>
      </c>
      <c r="C10" s="7" t="s">
        <v>2194</v>
      </c>
      <c r="D10" s="7" t="str" cm="1">
        <f t="array" ref="D10">INDEX(기계코드!$D$4:$D$1022,MATCH(1,(C10=기계코드!$F$4:$F$1022)*1,0))</f>
        <v>M_HPP02</v>
      </c>
      <c r="E10" s="7" t="s">
        <v>1235</v>
      </c>
      <c r="F10" s="7" t="str" cm="1">
        <f t="array" ref="F10">INDEX(공급업체코드!$B$3:$B$1000,MATCH(1,(E10=공급업체코드!$D$3:$D$1000)*1,0))</f>
        <v>VM_CB_ENG</v>
      </c>
      <c r="G10" s="43"/>
      <c r="H10" s="34">
        <v>30</v>
      </c>
      <c r="I10" s="72">
        <v>15</v>
      </c>
      <c r="J10" s="7" t="s">
        <v>990</v>
      </c>
      <c r="K10" s="7">
        <v>380</v>
      </c>
      <c r="L10" s="151">
        <v>0.93</v>
      </c>
      <c r="M10" s="7">
        <v>0.9</v>
      </c>
      <c r="N10" s="7">
        <v>60</v>
      </c>
      <c r="O10" s="67">
        <v>11</v>
      </c>
      <c r="P10" s="258" t="s">
        <v>1390</v>
      </c>
      <c r="Q10" s="10">
        <f t="shared" si="0"/>
        <v>1</v>
      </c>
      <c r="R10" s="259" t="s">
        <v>1391</v>
      </c>
      <c r="S10" s="63">
        <v>130000000</v>
      </c>
      <c r="T10" s="63"/>
      <c r="U10" s="18" t="s">
        <v>2187</v>
      </c>
      <c r="V10" s="1" t="b">
        <v>1</v>
      </c>
      <c r="X10" s="113"/>
      <c r="AD10" s="41"/>
      <c r="AE10" s="41"/>
      <c r="AF10" s="41"/>
    </row>
    <row r="11" spans="2:32">
      <c r="B11" s="1"/>
      <c r="C11" s="1"/>
      <c r="D11" s="7"/>
      <c r="E11" s="7"/>
      <c r="F11" s="7"/>
      <c r="G11" s="43"/>
      <c r="H11" s="34"/>
      <c r="I11" s="72"/>
      <c r="O11" s="67"/>
      <c r="P11" s="258"/>
      <c r="R11" s="259"/>
      <c r="S11" s="63"/>
      <c r="T11" s="63"/>
      <c r="U11" s="65"/>
      <c r="V11" s="1"/>
      <c r="X11" s="113"/>
      <c r="AD11" s="41"/>
      <c r="AE11" s="41"/>
      <c r="AF11" s="41"/>
    </row>
    <row r="12" spans="2:32">
      <c r="B12" s="1"/>
      <c r="C12" s="7"/>
      <c r="D12" s="7"/>
      <c r="E12" s="7"/>
      <c r="F12" s="7"/>
      <c r="G12" s="43"/>
      <c r="H12" s="34"/>
      <c r="I12" s="72"/>
      <c r="O12" s="67"/>
      <c r="P12" s="258"/>
      <c r="R12" s="259"/>
      <c r="S12" s="63"/>
      <c r="T12" s="63"/>
      <c r="U12" s="65"/>
      <c r="V12" s="1"/>
      <c r="X12" s="113"/>
      <c r="AD12" s="41"/>
      <c r="AE12" s="41"/>
      <c r="AF12" s="41"/>
    </row>
    <row r="13" spans="2:32">
      <c r="B13" s="1"/>
      <c r="C13" s="7"/>
      <c r="D13" s="7"/>
      <c r="E13" s="7"/>
      <c r="F13" s="7"/>
      <c r="H13" s="70"/>
      <c r="I13" s="70"/>
      <c r="O13" s="65"/>
      <c r="P13" s="258"/>
      <c r="R13" s="259"/>
      <c r="S13" s="68"/>
      <c r="T13" s="68"/>
      <c r="U13" s="65"/>
      <c r="V13" s="1"/>
      <c r="X13" s="113"/>
      <c r="AD13" s="40"/>
      <c r="AE13" s="40"/>
      <c r="AF13" s="41"/>
    </row>
    <row r="14" spans="2:32">
      <c r="B14" s="1"/>
      <c r="C14" s="7"/>
      <c r="D14" s="7"/>
      <c r="E14" s="7"/>
      <c r="F14" s="7"/>
      <c r="H14" s="70"/>
      <c r="I14" s="70"/>
      <c r="O14" s="65"/>
      <c r="P14" s="258"/>
      <c r="R14" s="259"/>
      <c r="S14" s="64"/>
      <c r="T14" s="64"/>
      <c r="U14" s="65"/>
      <c r="V14" s="1"/>
      <c r="X14" s="113"/>
      <c r="AD14" s="41"/>
      <c r="AE14" s="41"/>
      <c r="AF14" s="41"/>
    </row>
    <row r="15" spans="2:32">
      <c r="B15" s="1"/>
      <c r="C15" s="7"/>
      <c r="D15" s="7"/>
      <c r="E15" s="7"/>
      <c r="F15" s="7"/>
      <c r="H15" s="70"/>
      <c r="I15" s="70"/>
      <c r="O15" s="65"/>
      <c r="P15" s="258"/>
      <c r="R15" s="259"/>
      <c r="S15" s="64"/>
      <c r="T15" s="64"/>
      <c r="U15" s="65"/>
      <c r="V15" s="1"/>
      <c r="X15" s="113"/>
      <c r="AD15" s="41"/>
      <c r="AE15" s="41"/>
      <c r="AF15" s="41"/>
    </row>
    <row r="16" spans="2:32">
      <c r="B16" s="1"/>
      <c r="C16" s="7"/>
      <c r="D16" s="7"/>
      <c r="E16" s="7"/>
      <c r="F16" s="7"/>
      <c r="H16" s="70"/>
      <c r="I16" s="70"/>
      <c r="O16" s="65"/>
      <c r="P16" s="258"/>
      <c r="R16" s="259"/>
      <c r="S16" s="64"/>
      <c r="T16" s="64"/>
      <c r="U16" s="65"/>
      <c r="V16" s="1"/>
      <c r="X16" s="113"/>
      <c r="AD16" s="41"/>
      <c r="AE16" s="41"/>
      <c r="AF16" s="41"/>
    </row>
    <row r="17" spans="2:32">
      <c r="B17" s="1"/>
      <c r="C17" s="7"/>
      <c r="D17" s="7"/>
      <c r="E17" s="7"/>
      <c r="F17" s="7"/>
      <c r="H17" s="70"/>
      <c r="I17" s="70"/>
      <c r="O17" s="65"/>
      <c r="P17" s="258"/>
      <c r="R17" s="259"/>
      <c r="S17" s="64"/>
      <c r="T17" s="64"/>
      <c r="U17" s="65"/>
      <c r="V17" s="1"/>
      <c r="X17" s="113"/>
      <c r="AD17" s="40"/>
      <c r="AE17" s="40"/>
      <c r="AF17" s="41"/>
    </row>
    <row r="18" spans="2:32">
      <c r="B18" s="1"/>
      <c r="C18" s="7"/>
      <c r="D18" s="7"/>
      <c r="E18" s="7"/>
      <c r="F18" s="7"/>
      <c r="H18" s="70"/>
      <c r="I18" s="70"/>
      <c r="O18" s="65"/>
      <c r="P18" s="258"/>
      <c r="R18" s="259"/>
      <c r="S18" s="64"/>
      <c r="T18" s="64"/>
      <c r="U18" s="65"/>
      <c r="V18" s="1"/>
      <c r="X18" s="113"/>
      <c r="AD18" s="41"/>
      <c r="AE18" s="41"/>
      <c r="AF18" s="41"/>
    </row>
    <row r="19" spans="2:32">
      <c r="B19" s="1"/>
      <c r="C19" s="7"/>
      <c r="D19" s="7"/>
      <c r="E19" s="7"/>
      <c r="F19" s="7"/>
      <c r="H19" s="70"/>
      <c r="I19" s="70"/>
      <c r="O19" s="65"/>
      <c r="P19" s="258"/>
      <c r="R19" s="259"/>
      <c r="S19" s="64"/>
      <c r="T19" s="64"/>
      <c r="U19" s="65"/>
      <c r="V19" s="1"/>
      <c r="X19" s="113"/>
      <c r="AD19" s="41"/>
      <c r="AE19" s="41"/>
      <c r="AF19" s="41"/>
    </row>
    <row r="20" spans="2:32">
      <c r="B20" s="1"/>
      <c r="C20" s="7"/>
      <c r="D20" s="7"/>
      <c r="E20" s="7"/>
      <c r="F20" s="7"/>
      <c r="H20" s="70"/>
      <c r="I20" s="70"/>
      <c r="O20" s="65"/>
      <c r="P20" s="258"/>
      <c r="R20" s="259"/>
      <c r="S20" s="64"/>
      <c r="T20" s="64"/>
      <c r="U20" s="65"/>
      <c r="V20" s="1"/>
      <c r="X20" s="113"/>
      <c r="AD20" s="41"/>
      <c r="AE20" s="41"/>
      <c r="AF20" s="41"/>
    </row>
    <row r="21" spans="2:32">
      <c r="B21" s="1"/>
      <c r="C21" s="7"/>
      <c r="D21" s="7"/>
      <c r="E21" s="7"/>
      <c r="F21" s="7"/>
      <c r="H21" s="70"/>
      <c r="I21" s="70"/>
      <c r="O21" s="65"/>
      <c r="P21" s="258"/>
      <c r="R21" s="259"/>
      <c r="S21" s="64"/>
      <c r="T21" s="64"/>
      <c r="U21" s="65"/>
      <c r="V21" s="1"/>
      <c r="X21" s="113"/>
      <c r="AD21" s="40"/>
      <c r="AE21" s="40"/>
      <c r="AF21" s="41"/>
    </row>
    <row r="22" spans="2:32">
      <c r="B22" s="1"/>
      <c r="C22" s="7"/>
      <c r="D22" s="7"/>
      <c r="E22" s="7"/>
      <c r="F22" s="7"/>
      <c r="H22" s="70"/>
      <c r="I22" s="70"/>
      <c r="O22" s="65"/>
      <c r="P22" s="258"/>
      <c r="R22" s="259"/>
      <c r="S22" s="64"/>
      <c r="T22" s="64"/>
      <c r="U22" s="65"/>
      <c r="V22" s="1"/>
      <c r="X22" s="113"/>
      <c r="AD22" s="41"/>
      <c r="AE22" s="41"/>
      <c r="AF22" s="41"/>
    </row>
    <row r="23" spans="2:32">
      <c r="B23" s="1"/>
      <c r="C23" s="7"/>
      <c r="D23" s="7"/>
      <c r="E23" s="7"/>
      <c r="F23" s="7"/>
      <c r="H23" s="70"/>
      <c r="I23" s="70"/>
      <c r="O23" s="65"/>
      <c r="P23" s="258"/>
      <c r="R23" s="259"/>
      <c r="S23" s="64"/>
      <c r="T23" s="64"/>
      <c r="U23" s="65"/>
      <c r="V23" s="1"/>
      <c r="X23" s="113"/>
      <c r="AD23" s="41"/>
      <c r="AE23" s="41"/>
      <c r="AF23" s="41"/>
    </row>
    <row r="24" spans="2:32">
      <c r="B24" s="1"/>
      <c r="C24" s="7"/>
      <c r="D24" s="7"/>
      <c r="E24" s="7"/>
      <c r="F24" s="7"/>
      <c r="H24" s="70"/>
      <c r="I24" s="70"/>
      <c r="O24" s="65"/>
      <c r="P24" s="258"/>
      <c r="R24" s="259"/>
      <c r="S24" s="64"/>
      <c r="T24" s="64"/>
      <c r="U24" s="65"/>
      <c r="V24" s="1"/>
      <c r="X24" s="113"/>
      <c r="AD24" s="41"/>
      <c r="AE24" s="41"/>
      <c r="AF24" s="41"/>
    </row>
    <row r="25" spans="2:32">
      <c r="B25" s="1"/>
      <c r="C25" s="7"/>
      <c r="D25" s="7"/>
      <c r="E25" s="7"/>
      <c r="F25" s="7"/>
      <c r="H25" s="70"/>
      <c r="I25" s="70"/>
      <c r="O25" s="65"/>
      <c r="P25" s="258"/>
      <c r="R25" s="259"/>
      <c r="S25" s="64"/>
      <c r="T25" s="64"/>
      <c r="U25" s="65"/>
      <c r="V25" s="1"/>
      <c r="X25" s="113"/>
      <c r="AD25" s="40"/>
      <c r="AE25" s="40"/>
      <c r="AF25" s="41"/>
    </row>
    <row r="26" spans="2:32">
      <c r="B26" s="1"/>
      <c r="C26" s="7"/>
      <c r="D26" s="7"/>
      <c r="E26" s="7"/>
      <c r="F26" s="7"/>
      <c r="H26" s="70"/>
      <c r="I26" s="70"/>
      <c r="O26" s="65"/>
      <c r="P26" s="258"/>
      <c r="R26" s="259"/>
      <c r="S26" s="64"/>
      <c r="T26" s="64"/>
      <c r="U26" s="65"/>
      <c r="V26" s="1"/>
      <c r="X26" s="113"/>
      <c r="AD26" s="41"/>
      <c r="AE26" s="41"/>
      <c r="AF26" s="41"/>
    </row>
    <row r="27" spans="2:32">
      <c r="B27" s="1"/>
      <c r="C27" s="7"/>
      <c r="D27" s="7"/>
      <c r="E27" s="7"/>
      <c r="F27" s="7"/>
      <c r="H27" s="70"/>
      <c r="I27" s="70"/>
      <c r="O27" s="65"/>
      <c r="P27" s="258"/>
      <c r="R27" s="259"/>
      <c r="S27" s="64"/>
      <c r="T27" s="64"/>
      <c r="U27" s="65"/>
      <c r="V27" s="1"/>
      <c r="X27" s="113"/>
      <c r="AD27" s="41"/>
      <c r="AE27" s="41"/>
      <c r="AF27" s="41"/>
    </row>
    <row r="28" spans="2:32">
      <c r="B28" s="1"/>
      <c r="C28" s="7"/>
      <c r="D28" s="7"/>
      <c r="E28" s="7"/>
      <c r="F28" s="7"/>
      <c r="H28" s="70"/>
      <c r="I28" s="70"/>
      <c r="O28" s="65"/>
      <c r="P28" s="258"/>
      <c r="R28" s="259"/>
      <c r="S28" s="64"/>
      <c r="T28" s="64"/>
      <c r="U28" s="65"/>
      <c r="V28" s="1"/>
      <c r="X28" s="113"/>
      <c r="AD28" s="40"/>
      <c r="AE28" s="40"/>
      <c r="AF28" s="41"/>
    </row>
    <row r="29" spans="2:32">
      <c r="B29" s="1"/>
      <c r="C29" s="7"/>
      <c r="D29" s="7"/>
      <c r="E29" s="7"/>
      <c r="F29" s="7"/>
      <c r="H29" s="70"/>
      <c r="I29" s="70"/>
      <c r="O29" s="65"/>
      <c r="P29" s="258"/>
      <c r="R29" s="259"/>
      <c r="S29" s="64"/>
      <c r="T29" s="64"/>
      <c r="U29" s="65"/>
      <c r="V29" s="1"/>
      <c r="X29" s="113"/>
      <c r="AD29" s="41"/>
      <c r="AE29" s="41"/>
      <c r="AF29" s="41"/>
    </row>
    <row r="30" spans="2:32">
      <c r="B30" s="1"/>
      <c r="C30" s="7"/>
      <c r="D30" s="7"/>
      <c r="E30" s="7"/>
      <c r="F30" s="7"/>
      <c r="H30" s="70"/>
      <c r="I30" s="70"/>
      <c r="O30" s="65"/>
      <c r="P30" s="258"/>
      <c r="R30" s="259"/>
      <c r="S30" s="64"/>
      <c r="T30" s="64"/>
      <c r="U30" s="65"/>
      <c r="V30" s="1"/>
      <c r="X30" s="113"/>
      <c r="AD30" s="40"/>
      <c r="AE30" s="40"/>
      <c r="AF30" s="40"/>
    </row>
    <row r="31" spans="2:32">
      <c r="B31" s="1"/>
      <c r="C31" s="7"/>
      <c r="D31" s="7"/>
      <c r="E31" s="7"/>
      <c r="F31" s="7"/>
      <c r="H31" s="70"/>
      <c r="I31" s="70"/>
      <c r="O31" s="65"/>
      <c r="P31" s="258"/>
      <c r="R31" s="259"/>
      <c r="S31" s="64"/>
      <c r="T31" s="64"/>
      <c r="U31" s="65"/>
      <c r="V31" s="1"/>
      <c r="X31" s="113"/>
      <c r="AD31" s="41"/>
      <c r="AE31" s="41"/>
      <c r="AF31" s="41"/>
    </row>
    <row r="32" spans="2:32">
      <c r="B32" s="1"/>
      <c r="C32" s="7"/>
      <c r="D32" s="7"/>
      <c r="E32" s="7"/>
      <c r="F32" s="7"/>
      <c r="H32" s="70"/>
      <c r="I32" s="70"/>
      <c r="O32" s="65"/>
      <c r="P32" s="258"/>
      <c r="R32" s="259"/>
      <c r="S32" s="64"/>
      <c r="T32" s="64"/>
      <c r="U32" s="65"/>
      <c r="V32" s="1"/>
      <c r="X32" s="113"/>
      <c r="AD32" s="41"/>
      <c r="AE32" s="41"/>
      <c r="AF32" s="41"/>
    </row>
    <row r="33" spans="2:32">
      <c r="B33" s="1"/>
      <c r="C33" s="7"/>
      <c r="D33" s="7"/>
      <c r="E33" s="7"/>
      <c r="F33" s="7"/>
      <c r="H33" s="70"/>
      <c r="I33" s="70"/>
      <c r="O33" s="65"/>
      <c r="P33" s="258"/>
      <c r="R33" s="259"/>
      <c r="S33" s="64"/>
      <c r="T33" s="64"/>
      <c r="U33" s="65"/>
      <c r="V33" s="1"/>
      <c r="X33" s="113"/>
      <c r="AD33" s="41"/>
      <c r="AE33" s="41"/>
      <c r="AF33" s="41"/>
    </row>
    <row r="34" spans="2:32">
      <c r="B34" s="1"/>
      <c r="C34" s="7"/>
      <c r="D34" s="7"/>
      <c r="E34" s="7"/>
      <c r="F34" s="7"/>
      <c r="H34" s="70"/>
      <c r="I34" s="70"/>
      <c r="O34" s="65"/>
      <c r="P34" s="258"/>
      <c r="R34" s="259"/>
      <c r="S34" s="64"/>
      <c r="T34" s="64"/>
      <c r="U34" s="65"/>
      <c r="V34" s="1"/>
      <c r="X34" s="113"/>
      <c r="AD34" s="41"/>
      <c r="AE34" s="41"/>
      <c r="AF34" s="41"/>
    </row>
    <row r="35" spans="2:32">
      <c r="B35" s="1"/>
      <c r="C35" s="7"/>
      <c r="D35" s="7"/>
      <c r="E35" s="7"/>
      <c r="F35" s="7"/>
      <c r="H35" s="70"/>
      <c r="I35" s="70"/>
      <c r="O35" s="65"/>
      <c r="P35" s="258"/>
      <c r="R35" s="259"/>
      <c r="S35" s="64"/>
      <c r="T35" s="64"/>
      <c r="U35" s="65"/>
      <c r="V35" s="1"/>
      <c r="X35" s="113"/>
    </row>
    <row r="36" spans="2:32">
      <c r="B36" s="1"/>
      <c r="C36" s="7"/>
      <c r="D36" s="7"/>
      <c r="E36" s="7"/>
      <c r="F36" s="7"/>
      <c r="H36" s="70"/>
      <c r="I36" s="70"/>
      <c r="O36" s="65"/>
      <c r="P36" s="258"/>
      <c r="R36" s="259"/>
      <c r="S36" s="64"/>
      <c r="T36" s="64"/>
      <c r="U36" s="65"/>
      <c r="V36" s="1"/>
      <c r="X36" s="113"/>
    </row>
    <row r="37" spans="2:32">
      <c r="B37" s="1"/>
      <c r="C37" s="7"/>
      <c r="D37" s="7"/>
      <c r="E37" s="7"/>
      <c r="F37" s="7"/>
      <c r="H37" s="70"/>
      <c r="I37" s="70"/>
      <c r="O37" s="65"/>
      <c r="P37" s="258"/>
      <c r="R37" s="259"/>
      <c r="S37" s="64"/>
      <c r="T37" s="64"/>
      <c r="U37" s="65"/>
      <c r="V37" s="1"/>
      <c r="X37" s="113"/>
    </row>
    <row r="38" spans="2:32">
      <c r="B38" s="1"/>
      <c r="C38" s="7"/>
      <c r="D38" s="7"/>
      <c r="E38" s="7"/>
      <c r="F38" s="7"/>
      <c r="H38" s="70"/>
      <c r="I38" s="70"/>
      <c r="O38" s="65"/>
      <c r="P38" s="258"/>
      <c r="R38" s="259"/>
      <c r="S38" s="64"/>
      <c r="T38" s="64"/>
      <c r="U38" s="65"/>
      <c r="V38" s="1"/>
      <c r="X38" s="113"/>
    </row>
    <row r="39" spans="2:32">
      <c r="B39" s="1"/>
      <c r="C39" s="7"/>
      <c r="D39" s="7"/>
      <c r="E39" s="7"/>
      <c r="F39" s="7"/>
      <c r="H39" s="70"/>
      <c r="I39" s="70"/>
      <c r="O39" s="65"/>
      <c r="P39" s="258"/>
      <c r="R39" s="259"/>
      <c r="S39" s="64"/>
      <c r="T39" s="64"/>
      <c r="U39" s="65"/>
      <c r="V39" s="1"/>
      <c r="X39" s="113"/>
    </row>
    <row r="40" spans="2:32">
      <c r="B40" s="1"/>
      <c r="C40" s="7"/>
      <c r="D40" s="7"/>
      <c r="E40" s="7"/>
      <c r="F40" s="7"/>
      <c r="O40" s="65"/>
      <c r="P40" s="258"/>
      <c r="R40" s="259"/>
      <c r="S40" s="64"/>
      <c r="T40" s="64"/>
      <c r="U40" s="65"/>
      <c r="V40" s="1"/>
      <c r="X40" s="113"/>
    </row>
    <row r="41" spans="2:32">
      <c r="B41" s="1"/>
      <c r="C41" s="7"/>
      <c r="D41" s="7"/>
      <c r="E41" s="7"/>
      <c r="F41" s="7"/>
      <c r="O41" s="65"/>
      <c r="P41" s="258"/>
      <c r="R41" s="259"/>
      <c r="S41" s="64"/>
      <c r="T41" s="64"/>
      <c r="U41" s="65"/>
      <c r="V41" s="1"/>
      <c r="X41" s="113"/>
    </row>
    <row r="42" spans="2:32">
      <c r="B42" s="1"/>
      <c r="C42" s="7"/>
      <c r="D42" s="7"/>
      <c r="E42" s="7"/>
      <c r="F42" s="7"/>
      <c r="O42" s="65"/>
      <c r="P42" s="258"/>
      <c r="R42" s="259"/>
      <c r="S42" s="64"/>
      <c r="T42" s="64"/>
      <c r="U42" s="65"/>
      <c r="V42" s="1"/>
      <c r="X42" s="113"/>
    </row>
    <row r="43" spans="2:32">
      <c r="B43" s="1"/>
      <c r="C43" s="7"/>
      <c r="D43" s="7"/>
      <c r="E43" s="7"/>
      <c r="F43" s="7"/>
      <c r="O43" s="65"/>
      <c r="P43" s="258"/>
      <c r="R43" s="259"/>
      <c r="S43" s="64"/>
      <c r="T43" s="64"/>
      <c r="U43" s="65"/>
      <c r="V43" s="1"/>
      <c r="X43" s="113"/>
    </row>
    <row r="44" spans="2:32">
      <c r="B44" s="1"/>
      <c r="C44" s="7"/>
      <c r="D44" s="7"/>
      <c r="E44" s="7"/>
      <c r="F44" s="7"/>
      <c r="O44" s="65"/>
      <c r="P44" s="258"/>
      <c r="R44" s="259"/>
      <c r="S44" s="64"/>
      <c r="T44" s="64"/>
      <c r="U44" s="65"/>
      <c r="V44" s="1"/>
      <c r="X44" s="113"/>
    </row>
    <row r="45" spans="2:32">
      <c r="B45" s="1"/>
      <c r="C45" s="7"/>
      <c r="D45" s="7"/>
      <c r="E45" s="7"/>
      <c r="F45" s="7"/>
      <c r="O45" s="65"/>
      <c r="P45" s="258"/>
      <c r="R45" s="259"/>
      <c r="S45" s="64"/>
      <c r="T45" s="64"/>
      <c r="U45" s="65"/>
      <c r="V45" s="1"/>
      <c r="X45" s="113"/>
    </row>
    <row r="46" spans="2:32">
      <c r="B46" s="1"/>
      <c r="C46" s="7"/>
      <c r="D46" s="7"/>
      <c r="E46" s="7"/>
      <c r="F46" s="7"/>
      <c r="O46" s="65"/>
      <c r="P46" s="258"/>
      <c r="R46" s="259"/>
      <c r="S46" s="64"/>
      <c r="T46" s="64"/>
      <c r="U46" s="65"/>
      <c r="V46" s="1"/>
      <c r="X46" s="113"/>
    </row>
    <row r="47" spans="2:32">
      <c r="B47" s="1"/>
      <c r="C47" s="7"/>
      <c r="D47" s="7"/>
      <c r="E47" s="7"/>
      <c r="F47" s="7"/>
      <c r="O47" s="65"/>
      <c r="P47" s="258"/>
      <c r="R47" s="259"/>
      <c r="S47" s="64"/>
      <c r="T47" s="64"/>
      <c r="U47" s="65"/>
      <c r="V47" s="1"/>
      <c r="X47" s="113"/>
    </row>
    <row r="48" spans="2:32">
      <c r="B48" s="1"/>
      <c r="C48" s="7"/>
      <c r="D48" s="7"/>
      <c r="E48" s="7"/>
      <c r="F48" s="7"/>
      <c r="O48" s="65"/>
      <c r="P48" s="258"/>
      <c r="R48" s="259"/>
      <c r="S48" s="64"/>
      <c r="T48" s="64"/>
      <c r="U48" s="65"/>
      <c r="V48" s="1"/>
      <c r="X48" s="113"/>
    </row>
    <row r="49" spans="2:24">
      <c r="B49" s="1"/>
      <c r="C49" s="7"/>
      <c r="D49" s="7"/>
      <c r="E49" s="7"/>
      <c r="F49" s="7"/>
      <c r="O49" s="65"/>
      <c r="P49" s="258"/>
      <c r="R49" s="259"/>
      <c r="S49" s="64"/>
      <c r="T49" s="64"/>
      <c r="U49" s="65"/>
      <c r="V49" s="1"/>
      <c r="X49" s="113"/>
    </row>
    <row r="50" spans="2:24">
      <c r="B50" s="1"/>
      <c r="C50" s="7"/>
      <c r="D50" s="7"/>
      <c r="E50" s="7"/>
      <c r="F50" s="7"/>
      <c r="O50" s="65"/>
      <c r="P50" s="258"/>
      <c r="R50" s="259"/>
      <c r="S50" s="64"/>
      <c r="T50" s="64"/>
      <c r="U50" s="65"/>
      <c r="V50" s="1"/>
      <c r="X50" s="113"/>
    </row>
    <row r="51" spans="2:24">
      <c r="B51" s="1"/>
      <c r="C51" s="7"/>
      <c r="D51" s="7"/>
      <c r="E51" s="7"/>
      <c r="F51" s="7"/>
      <c r="O51" s="65"/>
      <c r="P51" s="258"/>
      <c r="R51" s="259"/>
      <c r="S51" s="64"/>
      <c r="T51" s="64"/>
      <c r="U51" s="65"/>
      <c r="V51" s="1"/>
      <c r="X51" s="113"/>
    </row>
    <row r="52" spans="2:24">
      <c r="B52" s="1"/>
      <c r="C52" s="7"/>
      <c r="D52" s="7"/>
      <c r="E52" s="7"/>
      <c r="F52" s="7"/>
      <c r="O52" s="65"/>
      <c r="P52" s="258"/>
      <c r="R52" s="259"/>
      <c r="S52" s="64"/>
      <c r="T52" s="64"/>
      <c r="U52" s="65"/>
      <c r="V52" s="1"/>
      <c r="X52" s="113"/>
    </row>
    <row r="53" spans="2:24">
      <c r="B53" s="1"/>
      <c r="C53" s="7"/>
      <c r="D53" s="7"/>
      <c r="E53" s="7"/>
      <c r="F53" s="7"/>
      <c r="O53" s="65"/>
      <c r="P53" s="258"/>
      <c r="R53" s="259"/>
      <c r="S53" s="64"/>
      <c r="T53" s="64"/>
      <c r="U53" s="65"/>
      <c r="V53" s="1"/>
      <c r="X53" s="113"/>
    </row>
    <row r="54" spans="2:24">
      <c r="B54" s="1"/>
      <c r="C54" s="7"/>
      <c r="D54" s="7"/>
      <c r="E54" s="7"/>
      <c r="F54" s="7"/>
      <c r="O54" s="65"/>
      <c r="P54" s="258"/>
      <c r="R54" s="259"/>
      <c r="S54" s="64"/>
      <c r="T54" s="64"/>
      <c r="U54" s="65"/>
      <c r="V54" s="1"/>
      <c r="X54" s="113"/>
    </row>
    <row r="55" spans="2:24">
      <c r="B55" s="1"/>
      <c r="C55" s="7"/>
      <c r="D55" s="7"/>
      <c r="E55" s="7"/>
      <c r="F55" s="7"/>
      <c r="O55" s="65"/>
      <c r="P55" s="258"/>
      <c r="R55" s="259"/>
      <c r="S55" s="64"/>
      <c r="T55" s="64"/>
      <c r="U55" s="65"/>
      <c r="V55" s="1"/>
      <c r="X55" s="113"/>
    </row>
    <row r="56" spans="2:24">
      <c r="B56" s="1"/>
      <c r="C56" s="7"/>
      <c r="D56" s="7"/>
      <c r="E56" s="7"/>
      <c r="F56" s="7"/>
      <c r="O56" s="65"/>
      <c r="P56" s="258"/>
      <c r="R56" s="259"/>
      <c r="S56" s="64"/>
      <c r="T56" s="64"/>
      <c r="U56" s="65"/>
      <c r="V56" s="1"/>
      <c r="X56" s="113"/>
    </row>
    <row r="57" spans="2:24">
      <c r="B57" s="1"/>
      <c r="C57" s="7"/>
      <c r="D57" s="7"/>
      <c r="E57" s="7"/>
      <c r="F57" s="7"/>
      <c r="O57" s="65"/>
      <c r="P57" s="258"/>
      <c r="R57" s="259"/>
      <c r="S57" s="64"/>
      <c r="T57" s="64"/>
      <c r="U57" s="65"/>
      <c r="V57" s="1"/>
      <c r="X57" s="113"/>
    </row>
    <row r="58" spans="2:24">
      <c r="B58" s="1"/>
      <c r="C58" s="7"/>
      <c r="D58" s="7"/>
      <c r="E58" s="7"/>
      <c r="F58" s="7"/>
      <c r="O58" s="65"/>
      <c r="P58" s="258"/>
      <c r="R58" s="259"/>
      <c r="S58" s="64"/>
      <c r="T58" s="64"/>
      <c r="U58" s="65"/>
      <c r="V58" s="1"/>
      <c r="X58" s="113"/>
    </row>
    <row r="59" spans="2:24">
      <c r="B59" s="1"/>
      <c r="C59" s="7"/>
      <c r="D59" s="7"/>
      <c r="E59" s="7"/>
      <c r="F59" s="7"/>
      <c r="O59" s="65"/>
      <c r="P59" s="258"/>
      <c r="R59" s="259"/>
      <c r="S59" s="64"/>
      <c r="T59" s="64"/>
      <c r="U59" s="65"/>
      <c r="V59" s="1"/>
      <c r="X59" s="113"/>
    </row>
    <row r="60" spans="2:24">
      <c r="B60" s="1"/>
      <c r="C60" s="7"/>
      <c r="D60" s="7"/>
      <c r="E60" s="7"/>
      <c r="F60" s="7"/>
      <c r="O60" s="65"/>
      <c r="P60" s="258"/>
      <c r="R60" s="259"/>
      <c r="S60" s="64"/>
      <c r="T60" s="64"/>
      <c r="U60" s="65"/>
      <c r="V60" s="1"/>
      <c r="X60" s="113"/>
    </row>
    <row r="61" spans="2:24">
      <c r="B61" s="1"/>
      <c r="C61" s="7"/>
      <c r="D61" s="7"/>
      <c r="E61" s="7"/>
      <c r="F61" s="7"/>
      <c r="O61" s="65"/>
      <c r="P61" s="258"/>
      <c r="R61" s="259"/>
      <c r="S61" s="64"/>
      <c r="T61" s="64"/>
      <c r="U61" s="65"/>
      <c r="V61" s="1"/>
      <c r="X61" s="113"/>
    </row>
    <row r="62" spans="2:24">
      <c r="B62" s="1"/>
      <c r="C62" s="7"/>
      <c r="D62" s="7"/>
      <c r="E62" s="7"/>
      <c r="F62" s="7"/>
      <c r="O62" s="65"/>
      <c r="P62" s="258"/>
      <c r="R62" s="259"/>
      <c r="S62" s="64"/>
      <c r="T62" s="64"/>
      <c r="U62" s="65"/>
      <c r="V62" s="1"/>
      <c r="X62" s="113"/>
    </row>
    <row r="63" spans="2:24">
      <c r="B63" s="1"/>
      <c r="C63" s="7"/>
      <c r="D63" s="7"/>
      <c r="E63" s="7"/>
      <c r="F63" s="7"/>
      <c r="O63" s="65"/>
      <c r="P63" s="258"/>
      <c r="R63" s="259"/>
      <c r="S63" s="64"/>
      <c r="T63" s="64"/>
      <c r="U63" s="65"/>
      <c r="V63" s="1"/>
      <c r="X63" s="113"/>
    </row>
    <row r="64" spans="2:24">
      <c r="B64" s="1"/>
      <c r="C64" s="7"/>
      <c r="D64" s="7"/>
      <c r="E64" s="7"/>
      <c r="F64" s="7"/>
      <c r="O64" s="65"/>
      <c r="P64" s="258"/>
      <c r="R64" s="259"/>
      <c r="S64" s="64"/>
      <c r="T64" s="64"/>
      <c r="U64" s="65"/>
      <c r="V64" s="1"/>
      <c r="X64" s="113"/>
    </row>
    <row r="65" spans="2:32">
      <c r="B65" s="1"/>
      <c r="C65" s="7"/>
      <c r="D65" s="7"/>
      <c r="E65" s="7"/>
      <c r="F65" s="7"/>
      <c r="O65" s="65"/>
      <c r="P65" s="258"/>
      <c r="R65" s="259"/>
      <c r="S65" s="64"/>
      <c r="T65" s="64"/>
      <c r="U65" s="65"/>
      <c r="V65" s="1"/>
      <c r="X65" s="113"/>
    </row>
    <row r="66" spans="2:32">
      <c r="B66" s="1"/>
      <c r="C66" s="7"/>
      <c r="D66" s="7"/>
      <c r="E66" s="7"/>
      <c r="F66" s="7"/>
      <c r="O66" s="65"/>
      <c r="P66" s="258"/>
      <c r="R66" s="259"/>
      <c r="S66" s="64"/>
      <c r="T66" s="64"/>
      <c r="U66" s="65"/>
      <c r="V66" s="1"/>
      <c r="X66" s="113"/>
    </row>
    <row r="67" spans="2:32">
      <c r="B67" s="1"/>
      <c r="C67" s="7"/>
      <c r="D67" s="7"/>
      <c r="E67" s="7"/>
      <c r="F67" s="7"/>
      <c r="O67" s="65"/>
      <c r="P67" s="258"/>
      <c r="R67" s="259"/>
      <c r="S67" s="64"/>
      <c r="T67" s="64"/>
      <c r="U67" s="65"/>
      <c r="V67" s="1"/>
      <c r="X67" s="113"/>
    </row>
    <row r="68" spans="2:32">
      <c r="B68" s="1"/>
      <c r="C68" s="7"/>
      <c r="D68" s="7"/>
      <c r="E68" s="7"/>
      <c r="F68" s="7"/>
      <c r="O68" s="65"/>
      <c r="P68" s="258"/>
      <c r="R68" s="259"/>
      <c r="S68" s="64"/>
      <c r="T68" s="64"/>
      <c r="U68" s="65"/>
      <c r="V68" s="1"/>
      <c r="X68" s="113"/>
    </row>
    <row r="69" spans="2:32">
      <c r="B69" s="1"/>
      <c r="C69" s="7"/>
      <c r="D69" s="7"/>
      <c r="E69" s="7"/>
      <c r="F69" s="7"/>
      <c r="P69" s="258"/>
      <c r="R69" s="259"/>
      <c r="S69" s="58"/>
      <c r="T69" s="58"/>
      <c r="V69" s="1"/>
      <c r="X69" s="113"/>
    </row>
    <row r="70" spans="2:32">
      <c r="B70" s="1"/>
      <c r="C70" s="7"/>
      <c r="D70" s="7"/>
      <c r="E70" s="7"/>
      <c r="F70" s="7"/>
      <c r="P70" s="258"/>
      <c r="R70" s="259"/>
      <c r="S70" s="58"/>
      <c r="T70" s="58"/>
      <c r="V70" s="1"/>
      <c r="X70" s="113"/>
    </row>
    <row r="71" spans="2:32">
      <c r="B71" s="1"/>
      <c r="C71" s="7"/>
      <c r="D71" s="7"/>
      <c r="E71" s="7"/>
      <c r="F71" s="7"/>
      <c r="P71" s="258"/>
      <c r="R71" s="259"/>
      <c r="S71" s="58"/>
      <c r="T71" s="58"/>
      <c r="V71" s="1"/>
      <c r="X71" s="113"/>
    </row>
    <row r="72" spans="2:32">
      <c r="B72" s="1"/>
      <c r="C72" s="7"/>
      <c r="D72" s="7"/>
      <c r="E72" s="7"/>
      <c r="F72" s="7"/>
      <c r="P72" s="258"/>
      <c r="R72" s="259"/>
      <c r="S72" s="58"/>
      <c r="T72" s="58"/>
      <c r="V72" s="1"/>
      <c r="X72" s="113"/>
    </row>
    <row r="73" spans="2:32">
      <c r="P73" s="258"/>
      <c r="R73" s="259"/>
      <c r="S73" s="58"/>
      <c r="T73" s="58"/>
      <c r="X73" s="113"/>
    </row>
    <row r="74" spans="2:32">
      <c r="P74" s="258"/>
      <c r="R74" s="259"/>
      <c r="S74" s="58"/>
      <c r="T74" s="58"/>
      <c r="X74" s="113"/>
    </row>
    <row r="75" spans="2:32">
      <c r="P75" s="258"/>
      <c r="R75" s="259"/>
      <c r="S75" s="58"/>
      <c r="T75" s="58"/>
      <c r="X75" s="113"/>
    </row>
    <row r="76" spans="2:32">
      <c r="P76" s="258"/>
      <c r="R76" s="259"/>
      <c r="S76" s="58"/>
      <c r="T76" s="58"/>
      <c r="X76" s="113"/>
    </row>
    <row r="77" spans="2:32">
      <c r="P77" s="258"/>
      <c r="R77" s="259"/>
      <c r="S77" s="58"/>
      <c r="T77" s="58"/>
      <c r="X77" s="113"/>
    </row>
    <row r="78" spans="2:32">
      <c r="P78" s="258"/>
      <c r="R78" s="259"/>
      <c r="S78" s="58"/>
      <c r="T78" s="58"/>
      <c r="X78" s="113"/>
    </row>
    <row r="79" spans="2:32">
      <c r="P79" s="258"/>
      <c r="R79" s="259"/>
      <c r="S79" s="58"/>
      <c r="T79" s="58"/>
      <c r="X79" s="113"/>
    </row>
    <row r="80" spans="2:32" s="18" customFormat="1">
      <c r="B80"/>
      <c r="C80"/>
      <c r="D80"/>
      <c r="E80"/>
      <c r="F80"/>
      <c r="H80"/>
      <c r="I80"/>
      <c r="J80"/>
      <c r="K80"/>
      <c r="L80"/>
      <c r="M80"/>
      <c r="N80"/>
      <c r="P80" s="258"/>
      <c r="Q80" s="10"/>
      <c r="R80" s="259"/>
      <c r="S80" s="58"/>
      <c r="T80" s="58"/>
      <c r="V80"/>
      <c r="W80"/>
      <c r="X80" s="113"/>
      <c r="Y80"/>
      <c r="Z80"/>
      <c r="AA80"/>
      <c r="AB80"/>
      <c r="AC80"/>
      <c r="AD80"/>
      <c r="AE80"/>
      <c r="AF80"/>
    </row>
    <row r="81" spans="2:32" s="18" customFormat="1">
      <c r="B81"/>
      <c r="C81"/>
      <c r="D81"/>
      <c r="E81"/>
      <c r="F81"/>
      <c r="H81"/>
      <c r="I81"/>
      <c r="J81"/>
      <c r="K81"/>
      <c r="L81"/>
      <c r="M81"/>
      <c r="N81"/>
      <c r="P81" s="258"/>
      <c r="Q81" s="10"/>
      <c r="R81" s="259"/>
      <c r="S81" s="58"/>
      <c r="T81" s="58"/>
      <c r="V81"/>
      <c r="W81"/>
      <c r="X81" s="113"/>
      <c r="Y81"/>
      <c r="Z81"/>
      <c r="AA81"/>
      <c r="AB81"/>
      <c r="AC81"/>
      <c r="AD81"/>
      <c r="AE81"/>
      <c r="AF81"/>
    </row>
    <row r="82" spans="2:32" s="18" customFormat="1">
      <c r="B82"/>
      <c r="C82"/>
      <c r="D82"/>
      <c r="E82"/>
      <c r="F82"/>
      <c r="H82"/>
      <c r="I82"/>
      <c r="J82"/>
      <c r="K82"/>
      <c r="L82"/>
      <c r="M82"/>
      <c r="N82"/>
      <c r="P82" s="258"/>
      <c r="Q82" s="10"/>
      <c r="R82" s="259"/>
      <c r="S82" s="58"/>
      <c r="T82" s="58"/>
      <c r="V82"/>
      <c r="W82"/>
      <c r="X82" s="113"/>
      <c r="Y82"/>
      <c r="Z82"/>
      <c r="AA82"/>
      <c r="AB82"/>
      <c r="AC82"/>
      <c r="AD82"/>
      <c r="AE82"/>
      <c r="AF82"/>
    </row>
    <row r="83" spans="2:32" s="18" customFormat="1">
      <c r="B83"/>
      <c r="C83"/>
      <c r="D83"/>
      <c r="E83"/>
      <c r="F83"/>
      <c r="H83"/>
      <c r="I83"/>
      <c r="J83"/>
      <c r="K83"/>
      <c r="L83"/>
      <c r="M83"/>
      <c r="N83"/>
      <c r="P83" s="258"/>
      <c r="Q83" s="10"/>
      <c r="R83" s="259"/>
      <c r="S83" s="58"/>
      <c r="T83" s="58"/>
      <c r="V83"/>
      <c r="W83"/>
      <c r="X83" s="113"/>
      <c r="Y83"/>
      <c r="Z83"/>
      <c r="AA83"/>
      <c r="AB83"/>
      <c r="AC83"/>
      <c r="AD83"/>
      <c r="AE83"/>
      <c r="AF83"/>
    </row>
    <row r="84" spans="2:32" s="18" customFormat="1">
      <c r="B84"/>
      <c r="C84"/>
      <c r="D84"/>
      <c r="E84"/>
      <c r="F84"/>
      <c r="H84"/>
      <c r="I84"/>
      <c r="J84"/>
      <c r="K84"/>
      <c r="L84"/>
      <c r="M84"/>
      <c r="N84"/>
      <c r="P84" s="258"/>
      <c r="Q84" s="10"/>
      <c r="R84" s="259"/>
      <c r="S84" s="58"/>
      <c r="T84" s="58"/>
      <c r="V84"/>
      <c r="W84"/>
      <c r="X84" s="113"/>
      <c r="Y84"/>
      <c r="Z84"/>
      <c r="AA84"/>
      <c r="AB84"/>
      <c r="AC84"/>
      <c r="AD84"/>
      <c r="AE84"/>
      <c r="AF84"/>
    </row>
    <row r="85" spans="2:32" s="18" customFormat="1">
      <c r="B85"/>
      <c r="C85"/>
      <c r="D85"/>
      <c r="E85"/>
      <c r="F85"/>
      <c r="H85"/>
      <c r="I85"/>
      <c r="J85"/>
      <c r="K85"/>
      <c r="L85"/>
      <c r="M85"/>
      <c r="N85"/>
      <c r="P85" s="258"/>
      <c r="Q85" s="10"/>
      <c r="R85" s="259"/>
      <c r="S85" s="58"/>
      <c r="T85" s="58"/>
      <c r="V85"/>
      <c r="W85"/>
      <c r="X85" s="113"/>
      <c r="Y85"/>
      <c r="Z85"/>
      <c r="AA85"/>
      <c r="AB85"/>
      <c r="AC85"/>
      <c r="AD85"/>
      <c r="AE85"/>
      <c r="AF85"/>
    </row>
    <row r="86" spans="2:32" ht="16.5" customHeight="1">
      <c r="P86" s="258"/>
      <c r="R86" s="259"/>
      <c r="X86" s="113"/>
    </row>
    <row r="87" spans="2:32" ht="16.5" customHeight="1">
      <c r="P87" s="258"/>
      <c r="R87" s="259"/>
      <c r="X87" s="113"/>
    </row>
    <row r="88" spans="2:32" ht="16.5" customHeight="1">
      <c r="P88" s="258"/>
      <c r="R88" s="259"/>
      <c r="X88" s="113"/>
    </row>
    <row r="89" spans="2:32" ht="16.5" customHeight="1">
      <c r="P89" s="258"/>
      <c r="R89" s="259"/>
      <c r="X89" s="113"/>
    </row>
    <row r="90" spans="2:32" ht="16.5" customHeight="1">
      <c r="P90" s="258"/>
      <c r="R90" s="259"/>
      <c r="X90" s="113"/>
    </row>
    <row r="91" spans="2:32" ht="16.5" customHeight="1">
      <c r="P91" s="258"/>
      <c r="R91" s="259"/>
      <c r="X91" s="113"/>
    </row>
    <row r="92" spans="2:32" ht="16.5" customHeight="1">
      <c r="P92" s="258"/>
      <c r="R92" s="259"/>
      <c r="X92" s="113"/>
    </row>
    <row r="93" spans="2:32" ht="16.5" customHeight="1">
      <c r="P93" s="258"/>
      <c r="R93" s="259"/>
      <c r="X93" s="113"/>
    </row>
    <row r="94" spans="2:32" ht="16.5" customHeight="1">
      <c r="P94" s="258"/>
      <c r="R94" s="259"/>
      <c r="X94" s="113"/>
    </row>
    <row r="95" spans="2:32" ht="16.5" customHeight="1">
      <c r="P95" s="258"/>
      <c r="R95" s="259"/>
      <c r="X95" s="113"/>
    </row>
    <row r="96" spans="2:32" ht="16.5" customHeight="1">
      <c r="P96" s="258"/>
      <c r="R96" s="259"/>
      <c r="X96" s="113"/>
    </row>
    <row r="97" spans="16:24" ht="16.5" customHeight="1">
      <c r="P97" s="258"/>
      <c r="R97" s="259"/>
      <c r="X97" s="113"/>
    </row>
    <row r="98" spans="16:24" ht="16.5" customHeight="1">
      <c r="P98" s="258"/>
      <c r="R98" s="259"/>
      <c r="X98" s="113"/>
    </row>
    <row r="99" spans="16:24" ht="16.5" customHeight="1">
      <c r="P99" s="258"/>
      <c r="R99" s="259"/>
      <c r="X99" s="113"/>
    </row>
    <row r="100" spans="16:24" ht="16.5" customHeight="1">
      <c r="P100" s="258"/>
      <c r="R100" s="259"/>
      <c r="X100" s="113"/>
    </row>
    <row r="101" spans="16:24" ht="16.5" customHeight="1">
      <c r="P101" s="258"/>
      <c r="R101" s="259"/>
      <c r="X101" s="113"/>
    </row>
    <row r="102" spans="16:24" ht="16.5" customHeight="1">
      <c r="P102" s="258"/>
      <c r="R102" s="259"/>
      <c r="X102" s="113"/>
    </row>
    <row r="103" spans="16:24" ht="16.5" customHeight="1">
      <c r="P103" s="258"/>
      <c r="R103" s="259"/>
      <c r="X103" s="113"/>
    </row>
    <row r="104" spans="16:24" ht="16.5" customHeight="1">
      <c r="P104" s="258"/>
      <c r="R104" s="259"/>
      <c r="X104" s="113"/>
    </row>
    <row r="105" spans="16:24" ht="16.5" customHeight="1">
      <c r="P105" s="258"/>
      <c r="R105" s="259"/>
      <c r="X105" s="113"/>
    </row>
    <row r="106" spans="16:24" ht="16.5" customHeight="1">
      <c r="P106" s="258"/>
      <c r="R106" s="259"/>
      <c r="X106" s="113"/>
    </row>
    <row r="107" spans="16:24" ht="16.5" customHeight="1">
      <c r="P107" s="258"/>
      <c r="R107" s="259"/>
      <c r="X107" s="113"/>
    </row>
    <row r="108" spans="16:24" ht="16.5" customHeight="1">
      <c r="P108" s="258"/>
      <c r="R108" s="259"/>
      <c r="X108" s="113"/>
    </row>
    <row r="109" spans="16:24" ht="16.5" customHeight="1">
      <c r="P109" s="258"/>
      <c r="R109" s="259"/>
      <c r="X109" s="113"/>
    </row>
    <row r="110" spans="16:24" ht="16.5" customHeight="1">
      <c r="P110" s="258"/>
      <c r="R110" s="259"/>
      <c r="X110" s="113"/>
    </row>
    <row r="111" spans="16:24" ht="16.5" customHeight="1">
      <c r="P111" s="258"/>
      <c r="R111" s="259"/>
      <c r="X111" s="113"/>
    </row>
    <row r="112" spans="16:24" ht="16.5" customHeight="1">
      <c r="P112" s="258"/>
      <c r="R112" s="259"/>
      <c r="X112" s="113"/>
    </row>
    <row r="113" spans="16:24" ht="16.5" customHeight="1">
      <c r="P113" s="258"/>
      <c r="R113" s="259"/>
      <c r="X113" s="113"/>
    </row>
    <row r="114" spans="16:24" ht="16.5" customHeight="1">
      <c r="P114" s="258"/>
      <c r="R114" s="259"/>
      <c r="X114" s="113"/>
    </row>
    <row r="115" spans="16:24" ht="16.5" customHeight="1">
      <c r="P115" s="258"/>
      <c r="R115" s="259"/>
      <c r="X115" s="113"/>
    </row>
    <row r="116" spans="16:24" ht="16.5" customHeight="1">
      <c r="P116" s="258"/>
      <c r="R116" s="259"/>
      <c r="X116" s="113"/>
    </row>
    <row r="117" spans="16:24" ht="16.5" customHeight="1">
      <c r="P117" s="258"/>
      <c r="R117" s="259"/>
      <c r="X117" s="113"/>
    </row>
    <row r="118" spans="16:24" ht="16.5" customHeight="1">
      <c r="P118" s="258"/>
      <c r="R118" s="259"/>
      <c r="X118" s="113"/>
    </row>
    <row r="119" spans="16:24" ht="16.5" customHeight="1">
      <c r="P119" s="258"/>
      <c r="R119" s="259"/>
      <c r="X119" s="113"/>
    </row>
    <row r="120" spans="16:24" ht="16.5" customHeight="1">
      <c r="P120" s="258"/>
      <c r="R120" s="259"/>
      <c r="X120" s="113"/>
    </row>
    <row r="121" spans="16:24" ht="16.5" customHeight="1">
      <c r="P121" s="258"/>
      <c r="R121" s="259"/>
      <c r="X121" s="113"/>
    </row>
    <row r="122" spans="16:24" ht="16.5" customHeight="1">
      <c r="P122" s="258"/>
      <c r="R122" s="259"/>
      <c r="X122" s="113"/>
    </row>
    <row r="123" spans="16:24" ht="16.5" customHeight="1">
      <c r="P123" s="258"/>
      <c r="R123" s="259"/>
      <c r="X123" s="113"/>
    </row>
    <row r="124" spans="16:24" ht="16.5" customHeight="1">
      <c r="P124" s="258"/>
      <c r="R124" s="259"/>
      <c r="X124" s="113"/>
    </row>
    <row r="125" spans="16:24" ht="16.5" customHeight="1">
      <c r="P125" s="258"/>
      <c r="R125" s="259"/>
      <c r="X125" s="113"/>
    </row>
    <row r="126" spans="16:24" ht="16.5" customHeight="1">
      <c r="P126" s="258"/>
      <c r="R126" s="259"/>
      <c r="X126" s="113"/>
    </row>
    <row r="127" spans="16:24" ht="16.5" customHeight="1">
      <c r="P127" s="258"/>
      <c r="R127" s="259"/>
      <c r="X127" s="113"/>
    </row>
    <row r="128" spans="16:24" ht="16.5" customHeight="1">
      <c r="P128" s="258"/>
      <c r="R128" s="259"/>
      <c r="X128" s="113"/>
    </row>
    <row r="129" spans="16:24" ht="16.5" customHeight="1">
      <c r="P129" s="258"/>
      <c r="R129" s="259"/>
      <c r="X129" s="113"/>
    </row>
    <row r="130" spans="16:24" ht="16.5" customHeight="1">
      <c r="P130" s="258"/>
      <c r="R130" s="259"/>
      <c r="X130" s="113"/>
    </row>
    <row r="131" spans="16:24" ht="16.5" customHeight="1">
      <c r="P131" s="258"/>
      <c r="X131" s="113"/>
    </row>
    <row r="132" spans="16:24" ht="16.5" customHeight="1">
      <c r="P132" s="258"/>
      <c r="X132" s="113"/>
    </row>
    <row r="133" spans="16:24" ht="16.5" customHeight="1">
      <c r="P133" s="258"/>
      <c r="X133" s="113"/>
    </row>
    <row r="134" spans="16:24" ht="16.5" customHeight="1">
      <c r="P134" s="258"/>
      <c r="X134" s="113"/>
    </row>
    <row r="135" spans="16:24" ht="16.5" customHeight="1">
      <c r="P135" s="258"/>
      <c r="X135" s="113"/>
    </row>
    <row r="136" spans="16:24" ht="16.5" customHeight="1">
      <c r="P136" s="258"/>
      <c r="X136" s="113"/>
    </row>
    <row r="137" spans="16:24" ht="16.5" customHeight="1">
      <c r="P137" s="258"/>
      <c r="X137" s="113"/>
    </row>
    <row r="138" spans="16:24" ht="16.5" customHeight="1">
      <c r="P138" s="258"/>
      <c r="X138" s="113"/>
    </row>
    <row r="139" spans="16:24" ht="16.5" customHeight="1">
      <c r="P139" s="258"/>
      <c r="X139" s="113"/>
    </row>
    <row r="140" spans="16:24" ht="16.5" customHeight="1">
      <c r="P140" s="258"/>
      <c r="X140" s="113"/>
    </row>
    <row r="141" spans="16:24" ht="16.5" customHeight="1">
      <c r="P141" s="258"/>
      <c r="X141" s="113"/>
    </row>
    <row r="142" spans="16:24" ht="16.5" customHeight="1">
      <c r="P142" s="258"/>
      <c r="X142" s="113"/>
    </row>
    <row r="143" spans="16:24" ht="16.5" customHeight="1">
      <c r="P143" s="258"/>
      <c r="X143" s="113"/>
    </row>
    <row r="144" spans="16:24" ht="16.5" customHeight="1">
      <c r="P144" s="258"/>
      <c r="X144" s="113"/>
    </row>
    <row r="145" spans="16:24" ht="16.5" customHeight="1">
      <c r="P145" s="258"/>
      <c r="X145" s="113"/>
    </row>
    <row r="146" spans="16:24" ht="16.5" customHeight="1">
      <c r="P146" s="258"/>
      <c r="X146" s="113"/>
    </row>
    <row r="147" spans="16:24" ht="16.5" customHeight="1">
      <c r="P147" s="258"/>
      <c r="X147" s="113"/>
    </row>
    <row r="148" spans="16:24" ht="16.5" customHeight="1">
      <c r="P148" s="258"/>
      <c r="X148" s="113"/>
    </row>
    <row r="149" spans="16:24" ht="16.5" customHeight="1">
      <c r="P149" s="258"/>
      <c r="X149" s="113"/>
    </row>
    <row r="150" spans="16:24" ht="16.5" customHeight="1">
      <c r="P150" s="258"/>
      <c r="X150" s="113"/>
    </row>
    <row r="151" spans="16:24" ht="16.5" customHeight="1">
      <c r="P151" s="258"/>
      <c r="X151" s="113"/>
    </row>
    <row r="152" spans="16:24" ht="16.5" customHeight="1">
      <c r="P152" s="258"/>
      <c r="X152" s="113"/>
    </row>
    <row r="153" spans="16:24" ht="16.5" customHeight="1">
      <c r="P153" s="258"/>
      <c r="X153" s="113"/>
    </row>
    <row r="154" spans="16:24" ht="16.5" customHeight="1">
      <c r="P154" s="258"/>
      <c r="X154" s="113"/>
    </row>
    <row r="155" spans="16:24" ht="16.5" customHeight="1">
      <c r="P155" s="258"/>
      <c r="X155" s="113"/>
    </row>
    <row r="156" spans="16:24" ht="16.5" customHeight="1">
      <c r="P156" s="258"/>
      <c r="X156" s="113"/>
    </row>
    <row r="157" spans="16:24" ht="16.5" customHeight="1">
      <c r="P157" s="258"/>
      <c r="X157" s="113"/>
    </row>
    <row r="158" spans="16:24" ht="16.5" customHeight="1">
      <c r="P158" s="258"/>
      <c r="X158" s="113"/>
    </row>
    <row r="159" spans="16:24" ht="16.5" customHeight="1">
      <c r="P159" s="258"/>
      <c r="X159" s="113"/>
    </row>
    <row r="160" spans="16:24" ht="16.5" customHeight="1">
      <c r="P160" s="258"/>
      <c r="X160" s="113"/>
    </row>
    <row r="161" spans="16:24" ht="16.5" customHeight="1">
      <c r="P161" s="258"/>
      <c r="X161" s="113"/>
    </row>
    <row r="162" spans="16:24" ht="16.5" customHeight="1">
      <c r="P162" s="258"/>
      <c r="X162" s="113"/>
    </row>
    <row r="163" spans="16:24" ht="16.5" customHeight="1">
      <c r="P163" s="258"/>
      <c r="X163" s="113"/>
    </row>
    <row r="164" spans="16:24" ht="16.5" customHeight="1">
      <c r="P164" s="258"/>
      <c r="X164" s="113"/>
    </row>
    <row r="165" spans="16:24" ht="16.5" customHeight="1">
      <c r="P165" s="258"/>
      <c r="X165" s="113"/>
    </row>
    <row r="166" spans="16:24" ht="16.5" customHeight="1">
      <c r="P166" s="258"/>
      <c r="X166" s="113"/>
    </row>
    <row r="167" spans="16:24" ht="16.5" customHeight="1">
      <c r="P167" s="258"/>
      <c r="X167" s="113"/>
    </row>
    <row r="168" spans="16:24" ht="16.5" customHeight="1">
      <c r="P168" s="258"/>
      <c r="X168" s="113"/>
    </row>
    <row r="169" spans="16:24" ht="16.5" customHeight="1">
      <c r="P169" s="258"/>
      <c r="X169" s="113"/>
    </row>
    <row r="170" spans="16:24" ht="16.5" customHeight="1">
      <c r="P170" s="258"/>
      <c r="X170" s="113"/>
    </row>
    <row r="171" spans="16:24" ht="16.5" customHeight="1">
      <c r="P171" s="258"/>
      <c r="X171" s="113"/>
    </row>
    <row r="172" spans="16:24" ht="16.5" customHeight="1">
      <c r="P172" s="258"/>
      <c r="X172" s="113"/>
    </row>
    <row r="173" spans="16:24" ht="16.5" customHeight="1">
      <c r="P173" s="258"/>
      <c r="X173" s="113"/>
    </row>
    <row r="174" spans="16:24" ht="16.5" customHeight="1">
      <c r="P174" s="258"/>
      <c r="X174" s="113"/>
    </row>
    <row r="175" spans="16:24" ht="16.5" customHeight="1">
      <c r="P175" s="258"/>
      <c r="X175" s="113"/>
    </row>
    <row r="176" spans="16:24" ht="16.5" customHeight="1">
      <c r="P176" s="258"/>
      <c r="X176" s="113"/>
    </row>
    <row r="177" spans="16:24" ht="16.5" customHeight="1">
      <c r="P177" s="258"/>
      <c r="X177" s="113"/>
    </row>
    <row r="178" spans="16:24" ht="16.5" customHeight="1">
      <c r="P178" s="258"/>
      <c r="X178" s="113"/>
    </row>
    <row r="179" spans="16:24" ht="16.5" customHeight="1">
      <c r="P179" s="258"/>
      <c r="X179" s="113"/>
    </row>
    <row r="180" spans="16:24" ht="16.5" customHeight="1">
      <c r="P180" s="258"/>
      <c r="X180" s="113"/>
    </row>
    <row r="181" spans="16:24" ht="16.5" customHeight="1">
      <c r="P181" s="258"/>
      <c r="X181" s="113"/>
    </row>
    <row r="182" spans="16:24" ht="16.5" customHeight="1">
      <c r="P182" s="258"/>
      <c r="X182" s="113"/>
    </row>
    <row r="183" spans="16:24" ht="16.5" customHeight="1">
      <c r="P183" s="258"/>
      <c r="X183" s="113"/>
    </row>
    <row r="184" spans="16:24" ht="16.5" customHeight="1">
      <c r="P184" s="258"/>
      <c r="X184" s="113"/>
    </row>
    <row r="185" spans="16:24" ht="16.5" customHeight="1">
      <c r="P185" s="258"/>
      <c r="X185" s="113"/>
    </row>
    <row r="186" spans="16:24" ht="16.5" customHeight="1">
      <c r="P186" s="258"/>
      <c r="X186" s="113"/>
    </row>
    <row r="187" spans="16:24" ht="16.5" customHeight="1">
      <c r="P187" s="258"/>
      <c r="X187" s="113"/>
    </row>
    <row r="188" spans="16:24" ht="16.5" customHeight="1">
      <c r="P188" s="258"/>
      <c r="X188" s="113"/>
    </row>
    <row r="189" spans="16:24" ht="16.5" customHeight="1">
      <c r="P189" s="258"/>
      <c r="X189" s="113"/>
    </row>
    <row r="190" spans="16:24" ht="16.5" customHeight="1">
      <c r="P190" s="258"/>
      <c r="X190" s="113"/>
    </row>
    <row r="191" spans="16:24" ht="16.5" customHeight="1">
      <c r="P191" s="258"/>
      <c r="X191" s="113"/>
    </row>
    <row r="192" spans="16:24" ht="16.5" customHeight="1">
      <c r="P192" s="258"/>
      <c r="X192" s="113"/>
    </row>
    <row r="193" spans="16:24" ht="16.5" customHeight="1">
      <c r="P193" s="258"/>
      <c r="X193" s="113"/>
    </row>
    <row r="194" spans="16:24" ht="16.5" customHeight="1">
      <c r="P194" s="258"/>
      <c r="X194" s="113"/>
    </row>
    <row r="195" spans="16:24" ht="16.5" customHeight="1">
      <c r="P195" s="258"/>
      <c r="X195" s="113"/>
    </row>
    <row r="196" spans="16:24" ht="16.5" customHeight="1">
      <c r="P196" s="258"/>
      <c r="X196" s="113"/>
    </row>
    <row r="197" spans="16:24" ht="16.5" customHeight="1">
      <c r="P197" s="258"/>
      <c r="X197" s="113"/>
    </row>
    <row r="198" spans="16:24" ht="16.5" customHeight="1">
      <c r="P198" s="258"/>
      <c r="X198" s="113"/>
    </row>
    <row r="199" spans="16:24" ht="16.5" customHeight="1">
      <c r="P199" s="258"/>
      <c r="X199" s="113"/>
    </row>
    <row r="200" spans="16:24" ht="16.5" customHeight="1">
      <c r="P200" s="258"/>
      <c r="X200" s="113"/>
    </row>
    <row r="201" spans="16:24" ht="16.5" customHeight="1">
      <c r="P201" s="258"/>
      <c r="X201" s="113"/>
    </row>
    <row r="202" spans="16:24" ht="16.5" customHeight="1">
      <c r="P202" s="258"/>
      <c r="X202" s="113"/>
    </row>
    <row r="203" spans="16:24" ht="16.5" customHeight="1">
      <c r="P203" s="258"/>
      <c r="X203" s="113"/>
    </row>
    <row r="204" spans="16:24" ht="16.5" customHeight="1">
      <c r="P204" s="258"/>
      <c r="X204" s="113"/>
    </row>
    <row r="205" spans="16:24" ht="16.5" customHeight="1">
      <c r="P205" s="258"/>
      <c r="X205" s="113"/>
    </row>
    <row r="206" spans="16:24" ht="16.5" customHeight="1">
      <c r="P206" s="258"/>
      <c r="X206" s="113"/>
    </row>
    <row r="207" spans="16:24" ht="16.5" customHeight="1">
      <c r="P207" s="258"/>
      <c r="X207" s="113"/>
    </row>
    <row r="208" spans="16:24" ht="16.5" customHeight="1">
      <c r="P208" s="258"/>
      <c r="X208" s="113"/>
    </row>
    <row r="209" spans="16:24" ht="16.5" customHeight="1">
      <c r="P209" s="258"/>
      <c r="X209" s="113"/>
    </row>
    <row r="210" spans="16:24" ht="16.5" customHeight="1">
      <c r="P210" s="258"/>
      <c r="X210" s="113"/>
    </row>
    <row r="211" spans="16:24" ht="16.5" customHeight="1">
      <c r="P211" s="258"/>
      <c r="X211" s="113"/>
    </row>
    <row r="212" spans="16:24" ht="16.5" customHeight="1">
      <c r="P212" s="258"/>
      <c r="X212" s="113"/>
    </row>
    <row r="213" spans="16:24" ht="16.5" customHeight="1">
      <c r="P213" s="258"/>
      <c r="X213" s="113"/>
    </row>
    <row r="214" spans="16:24" ht="16.5" customHeight="1">
      <c r="P214" s="258"/>
      <c r="X214" s="113"/>
    </row>
    <row r="215" spans="16:24" ht="16.5" customHeight="1">
      <c r="P215" s="258"/>
      <c r="X215" s="113"/>
    </row>
    <row r="216" spans="16:24" ht="16.5" customHeight="1">
      <c r="P216" s="258"/>
      <c r="X216" s="113"/>
    </row>
    <row r="217" spans="16:24" ht="16.5" customHeight="1">
      <c r="P217" s="258"/>
      <c r="X217" s="113"/>
    </row>
    <row r="218" spans="16:24" ht="16.5" customHeight="1">
      <c r="P218" s="258"/>
      <c r="X218" s="113"/>
    </row>
    <row r="219" spans="16:24" ht="16.5" customHeight="1">
      <c r="P219" s="258"/>
      <c r="X219" s="113"/>
    </row>
    <row r="220" spans="16:24" ht="16.5" customHeight="1">
      <c r="P220" s="258"/>
      <c r="X220" s="113"/>
    </row>
    <row r="221" spans="16:24" ht="16.5" customHeight="1">
      <c r="P221" s="258"/>
      <c r="X221" s="113"/>
    </row>
    <row r="222" spans="16:24" ht="16.5" customHeight="1">
      <c r="P222" s="258"/>
      <c r="X222" s="113"/>
    </row>
    <row r="223" spans="16:24" ht="16.5" customHeight="1">
      <c r="P223" s="258"/>
      <c r="X223" s="113"/>
    </row>
    <row r="224" spans="16:24" ht="16.5" customHeight="1">
      <c r="P224" s="258"/>
      <c r="X224" s="113"/>
    </row>
    <row r="225" spans="16:24" ht="16.5" customHeight="1">
      <c r="P225" s="258"/>
      <c r="X225" s="113"/>
    </row>
    <row r="226" spans="16:24" ht="16.5" customHeight="1">
      <c r="P226" s="258"/>
      <c r="X226" s="113"/>
    </row>
    <row r="227" spans="16:24" ht="16.5" customHeight="1">
      <c r="P227" s="258"/>
      <c r="X227" s="113"/>
    </row>
    <row r="228" spans="16:24" ht="16.5" customHeight="1">
      <c r="P228" s="258"/>
      <c r="X228" s="113"/>
    </row>
    <row r="229" spans="16:24" ht="16.5" customHeight="1">
      <c r="P229" s="258"/>
      <c r="X229" s="113"/>
    </row>
    <row r="230" spans="16:24" ht="16.5" customHeight="1">
      <c r="P230" s="258"/>
      <c r="X230" s="113"/>
    </row>
    <row r="231" spans="16:24" ht="16.5" customHeight="1">
      <c r="P231" s="258"/>
      <c r="X231" s="113"/>
    </row>
    <row r="232" spans="16:24" ht="16.5" customHeight="1">
      <c r="P232" s="258"/>
      <c r="X232" s="113"/>
    </row>
    <row r="233" spans="16:24" ht="16.5" customHeight="1">
      <c r="P233" s="258"/>
      <c r="X233" s="113"/>
    </row>
    <row r="234" spans="16:24" ht="16.5" customHeight="1">
      <c r="P234" s="258"/>
      <c r="X234" s="113"/>
    </row>
    <row r="235" spans="16:24" ht="16.5" customHeight="1">
      <c r="P235" s="258"/>
      <c r="X235" s="113"/>
    </row>
    <row r="236" spans="16:24" ht="16.5" customHeight="1">
      <c r="P236" s="258"/>
      <c r="X236" s="113"/>
    </row>
    <row r="237" spans="16:24" ht="16.5" customHeight="1">
      <c r="P237" s="258"/>
      <c r="X237" s="113"/>
    </row>
    <row r="238" spans="16:24" ht="16.5" customHeight="1">
      <c r="P238" s="258"/>
      <c r="X238" s="113"/>
    </row>
    <row r="239" spans="16:24" ht="16.5" customHeight="1">
      <c r="P239" s="258"/>
      <c r="X239" s="113"/>
    </row>
    <row r="240" spans="16:24" ht="16.5" customHeight="1">
      <c r="P240" s="258"/>
      <c r="X240" s="113"/>
    </row>
    <row r="241" spans="16:24" ht="16.5" customHeight="1">
      <c r="P241" s="258"/>
      <c r="X241" s="113"/>
    </row>
    <row r="242" spans="16:24" ht="16.5" customHeight="1">
      <c r="P242" s="258"/>
      <c r="X242" s="113"/>
    </row>
    <row r="243" spans="16:24" ht="16.5" customHeight="1">
      <c r="P243" s="258"/>
      <c r="X243" s="113"/>
    </row>
    <row r="244" spans="16:24" ht="16.5" customHeight="1">
      <c r="P244" s="258"/>
      <c r="X244" s="113"/>
    </row>
    <row r="245" spans="16:24" ht="16.5" customHeight="1">
      <c r="P245" s="258"/>
      <c r="X245" s="113"/>
    </row>
    <row r="246" spans="16:24" ht="16.5" customHeight="1">
      <c r="P246" s="258"/>
      <c r="X246" s="113"/>
    </row>
    <row r="247" spans="16:24" ht="16.5" customHeight="1">
      <c r="P247" s="258"/>
      <c r="X247" s="113"/>
    </row>
    <row r="248" spans="16:24" ht="16.5" customHeight="1">
      <c r="P248" s="258"/>
      <c r="X248" s="113"/>
    </row>
    <row r="249" spans="16:24" ht="16.5" customHeight="1">
      <c r="P249" s="258"/>
      <c r="X249" s="113"/>
    </row>
    <row r="250" spans="16:24" ht="16.5" customHeight="1">
      <c r="P250" s="258"/>
      <c r="X250" s="113"/>
    </row>
    <row r="251" spans="16:24" ht="16.5" customHeight="1">
      <c r="P251" s="258"/>
      <c r="X251" s="113"/>
    </row>
    <row r="252" spans="16:24" ht="16.5" customHeight="1">
      <c r="P252" s="258"/>
      <c r="X252" s="113"/>
    </row>
    <row r="253" spans="16:24" ht="16.5" customHeight="1">
      <c r="P253" s="258"/>
      <c r="X253" s="113"/>
    </row>
    <row r="254" spans="16:24" ht="16.5" customHeight="1">
      <c r="P254" s="258"/>
      <c r="X254" s="113"/>
    </row>
    <row r="255" spans="16:24" ht="16.5" customHeight="1">
      <c r="P255" s="258"/>
      <c r="X255" s="113"/>
    </row>
    <row r="256" spans="16:24" ht="16.5" customHeight="1">
      <c r="P256" s="258"/>
      <c r="X256" s="113"/>
    </row>
    <row r="257" spans="16:24" ht="16.5" customHeight="1">
      <c r="P257" s="258"/>
      <c r="X257" s="113"/>
    </row>
    <row r="258" spans="16:24" ht="16.5" customHeight="1">
      <c r="P258" s="258"/>
      <c r="X258" s="113"/>
    </row>
    <row r="259" spans="16:24" ht="16.5" customHeight="1">
      <c r="P259" s="258"/>
      <c r="X259" s="113"/>
    </row>
    <row r="260" spans="16:24" ht="16.5" customHeight="1">
      <c r="P260" s="258"/>
      <c r="X260" s="113"/>
    </row>
    <row r="261" spans="16:24" ht="16.5" customHeight="1">
      <c r="P261" s="258"/>
      <c r="X261" s="113"/>
    </row>
    <row r="262" spans="16:24" ht="16.5" customHeight="1">
      <c r="P262" s="258"/>
      <c r="X262" s="113"/>
    </row>
    <row r="263" spans="16:24" ht="16.5" customHeight="1">
      <c r="P263" s="258"/>
      <c r="X263" s="113"/>
    </row>
    <row r="264" spans="16:24" ht="16.5" customHeight="1">
      <c r="P264" s="258"/>
      <c r="X264" s="113"/>
    </row>
    <row r="265" spans="16:24" ht="16.5" customHeight="1">
      <c r="P265" s="258"/>
      <c r="X265" s="113"/>
    </row>
    <row r="266" spans="16:24" ht="16.5" customHeight="1">
      <c r="P266" s="258"/>
      <c r="X266" s="113"/>
    </row>
    <row r="267" spans="16:24" ht="16.5" customHeight="1">
      <c r="P267" s="258"/>
      <c r="X267" s="113"/>
    </row>
    <row r="268" spans="16:24" ht="16.5" customHeight="1">
      <c r="P268" s="258"/>
      <c r="X268" s="113"/>
    </row>
    <row r="269" spans="16:24" ht="16.5" customHeight="1">
      <c r="P269" s="258"/>
      <c r="X269" s="113"/>
    </row>
    <row r="270" spans="16:24" ht="16.5" customHeight="1">
      <c r="P270" s="258"/>
      <c r="X270" s="113"/>
    </row>
    <row r="271" spans="16:24" ht="16.5" customHeight="1">
      <c r="P271" s="258"/>
      <c r="X271" s="113"/>
    </row>
    <row r="272" spans="16:24" ht="16.5" customHeight="1">
      <c r="P272" s="258"/>
      <c r="X272" s="113"/>
    </row>
    <row r="273" spans="16:24" ht="16.5" customHeight="1">
      <c r="P273" s="258"/>
      <c r="X273" s="113"/>
    </row>
    <row r="274" spans="16:24" ht="16.5" customHeight="1">
      <c r="P274" s="258"/>
      <c r="X274" s="113"/>
    </row>
    <row r="275" spans="16:24" ht="16.5" customHeight="1">
      <c r="P275" s="258"/>
      <c r="X275" s="113"/>
    </row>
    <row r="276" spans="16:24" ht="16.5" customHeight="1">
      <c r="P276" s="258"/>
      <c r="X276" s="113"/>
    </row>
    <row r="277" spans="16:24" ht="16.5" customHeight="1">
      <c r="P277" s="258"/>
      <c r="X277" s="113"/>
    </row>
    <row r="278" spans="16:24" ht="16.5" customHeight="1">
      <c r="P278" s="258"/>
      <c r="X278" s="113"/>
    </row>
    <row r="279" spans="16:24" ht="16.5" customHeight="1">
      <c r="P279" s="258"/>
      <c r="X279" s="113"/>
    </row>
    <row r="280" spans="16:24" ht="16.5" customHeight="1">
      <c r="P280" s="258"/>
      <c r="X280" s="113"/>
    </row>
    <row r="281" spans="16:24" ht="16.5" customHeight="1">
      <c r="P281" s="258"/>
      <c r="X281" s="113"/>
    </row>
    <row r="282" spans="16:24" ht="16.5" customHeight="1">
      <c r="P282" s="258"/>
      <c r="X282" s="113"/>
    </row>
    <row r="283" spans="16:24" ht="16.5" customHeight="1">
      <c r="P283" s="258"/>
      <c r="X283" s="113"/>
    </row>
    <row r="284" spans="16:24" ht="16.5" customHeight="1">
      <c r="P284" s="258"/>
      <c r="X284" s="113"/>
    </row>
    <row r="285" spans="16:24" ht="16.5" customHeight="1">
      <c r="P285" s="258"/>
      <c r="X285" s="113"/>
    </row>
    <row r="286" spans="16:24" ht="16.5" customHeight="1">
      <c r="P286" s="258"/>
      <c r="X286" s="113"/>
    </row>
    <row r="287" spans="16:24" ht="16.5" customHeight="1">
      <c r="P287" s="258"/>
      <c r="X287" s="113"/>
    </row>
    <row r="288" spans="16:24" ht="16.5" customHeight="1">
      <c r="P288" s="258"/>
      <c r="X288" s="113"/>
    </row>
    <row r="289" spans="16:24" ht="16.5" customHeight="1">
      <c r="P289" s="258"/>
      <c r="X289" s="113"/>
    </row>
    <row r="290" spans="16:24" ht="16.5" customHeight="1">
      <c r="P290" s="258"/>
      <c r="X290" s="113"/>
    </row>
    <row r="291" spans="16:24" ht="16.5" customHeight="1">
      <c r="P291" s="258"/>
      <c r="X291" s="113"/>
    </row>
    <row r="292" spans="16:24" ht="16.5" customHeight="1">
      <c r="P292" s="258"/>
      <c r="X292" s="113"/>
    </row>
    <row r="293" spans="16:24" ht="16.5" customHeight="1">
      <c r="P293" s="258"/>
      <c r="X293" s="113"/>
    </row>
    <row r="294" spans="16:24" ht="16.5" customHeight="1">
      <c r="P294" s="258"/>
      <c r="X294" s="113"/>
    </row>
    <row r="295" spans="16:24" ht="16.5" customHeight="1">
      <c r="P295" s="258"/>
      <c r="X295" s="113"/>
    </row>
    <row r="296" spans="16:24" ht="16.5" customHeight="1">
      <c r="P296" s="258"/>
      <c r="X296" s="113"/>
    </row>
    <row r="297" spans="16:24" ht="16.5" customHeight="1">
      <c r="P297" s="258"/>
      <c r="X297" s="113"/>
    </row>
    <row r="298" spans="16:24" ht="16.5" customHeight="1">
      <c r="P298" s="258"/>
      <c r="X298" s="113"/>
    </row>
    <row r="299" spans="16:24" ht="16.5" customHeight="1">
      <c r="P299" s="258"/>
      <c r="X299" s="113"/>
    </row>
    <row r="300" spans="16:24" ht="16.5" customHeight="1">
      <c r="P300" s="258"/>
      <c r="X300" s="113"/>
    </row>
    <row r="301" spans="16:24" ht="16.5" customHeight="1">
      <c r="P301" s="258"/>
      <c r="X301" s="113"/>
    </row>
    <row r="302" spans="16:24" ht="16.5" customHeight="1">
      <c r="P302" s="258"/>
      <c r="X302" s="113"/>
    </row>
    <row r="303" spans="16:24" ht="16.5" customHeight="1">
      <c r="P303" s="258"/>
      <c r="X303" s="113"/>
    </row>
    <row r="304" spans="16:24" ht="16.5" customHeight="1">
      <c r="P304" s="258"/>
      <c r="X304" s="113"/>
    </row>
    <row r="305" spans="16:24" ht="16.5" customHeight="1">
      <c r="P305" s="258"/>
      <c r="X305" s="113"/>
    </row>
    <row r="306" spans="16:24" ht="16.5" customHeight="1">
      <c r="P306" s="258"/>
      <c r="X306" s="113"/>
    </row>
    <row r="307" spans="16:24" ht="16.5" customHeight="1">
      <c r="P307" s="258"/>
      <c r="X307" s="113"/>
    </row>
    <row r="308" spans="16:24" ht="16.5" customHeight="1">
      <c r="P308" s="258"/>
      <c r="X308" s="113"/>
    </row>
    <row r="309" spans="16:24" ht="16.5" customHeight="1">
      <c r="P309" s="258"/>
      <c r="X309" s="113"/>
    </row>
    <row r="310" spans="16:24" ht="16.5" customHeight="1">
      <c r="P310" s="258"/>
      <c r="X310" s="113"/>
    </row>
    <row r="311" spans="16:24" ht="16.5" customHeight="1">
      <c r="P311" s="258"/>
      <c r="X311" s="113"/>
    </row>
    <row r="312" spans="16:24" ht="16.5" customHeight="1">
      <c r="P312" s="258"/>
      <c r="X312" s="113"/>
    </row>
    <row r="313" spans="16:24" ht="16.5" customHeight="1">
      <c r="P313" s="258"/>
      <c r="X313" s="113"/>
    </row>
    <row r="314" spans="16:24" ht="16.5" customHeight="1">
      <c r="P314" s="258"/>
      <c r="X314" s="113"/>
    </row>
    <row r="315" spans="16:24" ht="16.5" customHeight="1">
      <c r="P315" s="258"/>
      <c r="X315" s="113"/>
    </row>
    <row r="316" spans="16:24" ht="16.5" customHeight="1">
      <c r="P316" s="258"/>
      <c r="X316" s="113"/>
    </row>
    <row r="317" spans="16:24" ht="16.5" customHeight="1">
      <c r="P317" s="258"/>
      <c r="X317" s="113"/>
    </row>
    <row r="318" spans="16:24" ht="16.5" customHeight="1">
      <c r="P318" s="258"/>
      <c r="X318" s="113"/>
    </row>
    <row r="319" spans="16:24" ht="16.5" customHeight="1">
      <c r="P319" s="258"/>
      <c r="X319" s="113"/>
    </row>
    <row r="320" spans="16:24" ht="16.5" customHeight="1">
      <c r="P320" s="258"/>
      <c r="X320" s="113"/>
    </row>
    <row r="321" spans="16:24" ht="16.5" customHeight="1">
      <c r="P321" s="258"/>
      <c r="X321" s="113"/>
    </row>
    <row r="322" spans="16:24" ht="16.5" customHeight="1">
      <c r="P322" s="258"/>
      <c r="X322" s="113"/>
    </row>
    <row r="323" spans="16:24" ht="16.5" customHeight="1">
      <c r="P323" s="258"/>
      <c r="X323" s="113"/>
    </row>
    <row r="324" spans="16:24" ht="16.5" customHeight="1">
      <c r="P324" s="258"/>
      <c r="X324" s="113"/>
    </row>
    <row r="325" spans="16:24" ht="16.5" customHeight="1">
      <c r="P325" s="258"/>
      <c r="X325" s="113"/>
    </row>
    <row r="326" spans="16:24" ht="16.5" customHeight="1">
      <c r="P326" s="258"/>
      <c r="X326" s="113"/>
    </row>
    <row r="327" spans="16:24" ht="16.5" customHeight="1">
      <c r="P327" s="258"/>
      <c r="X327" s="113"/>
    </row>
    <row r="328" spans="16:24" ht="16.5" customHeight="1">
      <c r="P328" s="258"/>
      <c r="X328" s="113"/>
    </row>
    <row r="329" spans="16:24" ht="16.5" customHeight="1">
      <c r="P329" s="258"/>
      <c r="X329" s="113"/>
    </row>
    <row r="330" spans="16:24" ht="16.5" customHeight="1">
      <c r="P330" s="258"/>
      <c r="X330" s="113"/>
    </row>
    <row r="331" spans="16:24" ht="16.5" customHeight="1">
      <c r="P331" s="258"/>
      <c r="X331" s="113"/>
    </row>
    <row r="332" spans="16:24" ht="16.5" customHeight="1">
      <c r="P332" s="258"/>
      <c r="X332" s="113"/>
    </row>
    <row r="333" spans="16:24" ht="16.5" customHeight="1">
      <c r="P333" s="258"/>
      <c r="X333" s="113"/>
    </row>
    <row r="334" spans="16:24" ht="16.5" customHeight="1">
      <c r="P334" s="258"/>
      <c r="X334" s="113"/>
    </row>
    <row r="335" spans="16:24" ht="16.5" customHeight="1">
      <c r="P335" s="258"/>
      <c r="X335" s="113"/>
    </row>
    <row r="336" spans="16:24" ht="16.5" customHeight="1">
      <c r="P336" s="258"/>
      <c r="X336" s="113"/>
    </row>
    <row r="337" spans="16:24" ht="16.5" customHeight="1">
      <c r="P337" s="258"/>
      <c r="X337" s="113"/>
    </row>
    <row r="338" spans="16:24" ht="16.5" customHeight="1">
      <c r="P338" s="258"/>
      <c r="X338" s="113"/>
    </row>
    <row r="339" spans="16:24" ht="16.5" customHeight="1">
      <c r="P339" s="258"/>
      <c r="X339" s="113"/>
    </row>
    <row r="340" spans="16:24" ht="16.5" customHeight="1">
      <c r="P340" s="258"/>
      <c r="X340" s="113"/>
    </row>
    <row r="341" spans="16:24" ht="16.5" customHeight="1">
      <c r="P341" s="258"/>
      <c r="X341" s="113"/>
    </row>
    <row r="342" spans="16:24" ht="16.5" customHeight="1">
      <c r="P342" s="258"/>
      <c r="X342" s="113"/>
    </row>
    <row r="343" spans="16:24" ht="16.5" customHeight="1">
      <c r="P343" s="258"/>
      <c r="X343" s="113"/>
    </row>
    <row r="344" spans="16:24" ht="16.5" customHeight="1">
      <c r="P344" s="258"/>
      <c r="X344" s="113"/>
    </row>
    <row r="345" spans="16:24" ht="16.5" customHeight="1">
      <c r="P345" s="258"/>
      <c r="X345" s="113"/>
    </row>
    <row r="346" spans="16:24" ht="16.5" customHeight="1">
      <c r="P346" s="258"/>
      <c r="X346" s="113"/>
    </row>
    <row r="347" spans="16:24" ht="16.5" customHeight="1">
      <c r="P347" s="258"/>
      <c r="X347" s="113"/>
    </row>
    <row r="348" spans="16:24" ht="16.5" customHeight="1">
      <c r="P348" s="258"/>
      <c r="X348" s="113"/>
    </row>
    <row r="349" spans="16:24" ht="16.5" customHeight="1">
      <c r="P349" s="258"/>
      <c r="X349" s="113"/>
    </row>
    <row r="350" spans="16:24" ht="16.5" customHeight="1">
      <c r="P350" s="258"/>
      <c r="X350" s="113"/>
    </row>
    <row r="351" spans="16:24" ht="16.5" customHeight="1">
      <c r="P351" s="258"/>
      <c r="X351" s="113"/>
    </row>
    <row r="352" spans="16:24" ht="16.5" customHeight="1">
      <c r="P352" s="258"/>
      <c r="X352" s="113"/>
    </row>
    <row r="353" spans="16:24" ht="16.5" customHeight="1">
      <c r="P353" s="258"/>
      <c r="X353" s="113"/>
    </row>
    <row r="354" spans="16:24" ht="16.5" customHeight="1">
      <c r="P354" s="258"/>
      <c r="X354" s="113"/>
    </row>
    <row r="355" spans="16:24" ht="16.5" customHeight="1">
      <c r="P355" s="258"/>
      <c r="X355" s="113"/>
    </row>
    <row r="356" spans="16:24" ht="16.5" customHeight="1">
      <c r="P356" s="258"/>
      <c r="X356" s="113"/>
    </row>
    <row r="357" spans="16:24" ht="16.5" customHeight="1">
      <c r="P357" s="258"/>
      <c r="X357" s="113"/>
    </row>
    <row r="358" spans="16:24" ht="16.5" customHeight="1">
      <c r="P358" s="258"/>
      <c r="X358" s="113"/>
    </row>
    <row r="359" spans="16:24" ht="16.5" customHeight="1">
      <c r="P359" s="258"/>
      <c r="X359" s="113"/>
    </row>
    <row r="360" spans="16:24" ht="16.5" customHeight="1">
      <c r="P360" s="258"/>
      <c r="X360" s="113"/>
    </row>
    <row r="361" spans="16:24" ht="16.5" customHeight="1">
      <c r="P361" s="258"/>
      <c r="X361" s="113"/>
    </row>
    <row r="362" spans="16:24" ht="16.5" customHeight="1">
      <c r="P362" s="258"/>
      <c r="X362" s="113"/>
    </row>
    <row r="363" spans="16:24" ht="16.5" customHeight="1">
      <c r="P363" s="258"/>
      <c r="X363" s="113"/>
    </row>
    <row r="364" spans="16:24" ht="16.5" customHeight="1">
      <c r="P364" s="258"/>
      <c r="X364" s="113"/>
    </row>
    <row r="365" spans="16:24" ht="16.5" customHeight="1">
      <c r="P365" s="258"/>
      <c r="X365" s="113"/>
    </row>
    <row r="366" spans="16:24" ht="16.5" customHeight="1">
      <c r="P366" s="258"/>
      <c r="X366" s="113"/>
    </row>
    <row r="367" spans="16:24" ht="16.5" customHeight="1">
      <c r="P367" s="258"/>
      <c r="X367" s="113"/>
    </row>
    <row r="368" spans="16:24" ht="16.5" customHeight="1">
      <c r="P368" s="258"/>
      <c r="X368" s="113"/>
    </row>
    <row r="369" spans="16:24" ht="16.5" customHeight="1">
      <c r="P369" s="258"/>
      <c r="X369" s="113"/>
    </row>
    <row r="370" spans="16:24" ht="16.5" customHeight="1">
      <c r="P370" s="258"/>
      <c r="X370" s="113"/>
    </row>
    <row r="371" spans="16:24" ht="16.5" customHeight="1">
      <c r="P371" s="258"/>
      <c r="X371" s="113"/>
    </row>
    <row r="372" spans="16:24" ht="16.5" customHeight="1">
      <c r="P372" s="258"/>
      <c r="X372" s="113"/>
    </row>
    <row r="373" spans="16:24" ht="16.5" customHeight="1">
      <c r="X373" s="113"/>
    </row>
    <row r="374" spans="16:24" ht="16.5" customHeight="1">
      <c r="X374" s="113"/>
    </row>
    <row r="375" spans="16:24" ht="16.5" customHeight="1">
      <c r="X375" s="113"/>
    </row>
    <row r="376" spans="16:24" ht="16.5" customHeight="1">
      <c r="X376" s="113"/>
    </row>
    <row r="377" spans="16:24" ht="16.5" customHeight="1">
      <c r="X377" s="113"/>
    </row>
    <row r="378" spans="16:24" ht="16.5" customHeight="1">
      <c r="X378" s="113"/>
    </row>
    <row r="379" spans="16:24" ht="16.5" customHeight="1">
      <c r="X379" s="113"/>
    </row>
    <row r="380" spans="16:24" ht="16.5" customHeight="1">
      <c r="X380" s="113"/>
    </row>
    <row r="381" spans="16:24" ht="16.5" customHeight="1">
      <c r="X381" s="113"/>
    </row>
    <row r="382" spans="16:24" ht="16.5" customHeight="1">
      <c r="X382" s="113"/>
    </row>
    <row r="383" spans="16:24" ht="16.5" customHeight="1">
      <c r="X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8DA79248-8032-4E57-BD55-B721CDFCC022}">
          <x14:formula1>
            <xm:f>공급업체코드!$D$3:$D$47</xm:f>
          </x14:formula1>
          <xm:sqref>E3:E72</xm:sqref>
        </x14:dataValidation>
        <x14:dataValidation type="list" allowBlank="1" showInputMessage="1" showErrorMessage="1" xr:uid="{B10AC347-AEF8-4B8D-A1E4-45182D77811F}">
          <x14:formula1>
            <xm:f>기계코드!$F$5:$F$43</xm:f>
          </x14:formula1>
          <xm:sqref>C13:C72</xm:sqref>
        </x14:dataValidation>
        <x14:dataValidation type="list" allowBlank="1" showInputMessage="1" showErrorMessage="1" xr:uid="{571D31B4-6F26-486D-8BDB-F1360629DD53}">
          <x14:formula1>
            <xm:f>기계코드!$F$177:$F$180</xm:f>
          </x14:formula1>
          <xm:sqref>C3:C10 C12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7F7C-830E-4A5A-B755-502D583CAA76}">
  <dimension ref="A1:AH383"/>
  <sheetViews>
    <sheetView zoomScale="70" zoomScaleNormal="70" workbookViewId="0">
      <pane ySplit="2" topLeftCell="A3" activePane="bottomLeft" state="frozen"/>
      <selection pane="bottomLeft" activeCell="H15" sqref="H15"/>
    </sheetView>
  </sheetViews>
  <sheetFormatPr defaultRowHeight="16.5" customHeight="1"/>
  <cols>
    <col min="2" max="2" width="31.125" customWidth="1"/>
    <col min="3" max="3" width="22.125" bestFit="1" customWidth="1"/>
    <col min="4" max="4" width="16.75" bestFit="1" customWidth="1"/>
    <col min="5" max="5" width="20.625" customWidth="1"/>
    <col min="6" max="6" width="15.625" customWidth="1"/>
    <col min="7" max="7" width="15.625" bestFit="1" customWidth="1"/>
    <col min="8" max="8" width="17.25" style="147" bestFit="1" customWidth="1"/>
    <col min="9" max="9" width="17.25" customWidth="1"/>
    <col min="10" max="10" width="18.5" bestFit="1" customWidth="1"/>
    <col min="11" max="11" width="13" bestFit="1" customWidth="1"/>
    <col min="12" max="12" width="14.375" bestFit="1" customWidth="1"/>
    <col min="13" max="13" width="14.75" bestFit="1" customWidth="1"/>
    <col min="14" max="14" width="20.25" bestFit="1" customWidth="1"/>
    <col min="15" max="15" width="18.625" customWidth="1"/>
    <col min="16" max="16" width="25.125" customWidth="1"/>
    <col min="17" max="17" width="15.25" style="18" bestFit="1" customWidth="1"/>
    <col min="18" max="18" width="16.125" style="261" customWidth="1"/>
    <col min="19" max="19" width="25.75" style="10" bestFit="1" customWidth="1"/>
    <col min="20" max="20" width="16.125" style="260" customWidth="1"/>
    <col min="21" max="21" width="18.25" style="147" bestFit="1" customWidth="1"/>
    <col min="22" max="22" width="21.25" bestFit="1" customWidth="1"/>
    <col min="23" max="23" width="32.75" style="18" customWidth="1"/>
    <col min="25" max="25" width="11.625" bestFit="1" customWidth="1"/>
    <col min="26" max="26" width="20.625" customWidth="1"/>
  </cols>
  <sheetData>
    <row r="1" spans="1:34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2195</v>
      </c>
      <c r="I1" s="10" t="s">
        <v>2196</v>
      </c>
      <c r="J1" s="10" t="s">
        <v>2197</v>
      </c>
      <c r="K1" s="10" t="s">
        <v>1318</v>
      </c>
      <c r="L1" s="10" t="s">
        <v>1319</v>
      </c>
      <c r="M1" s="10" t="s">
        <v>1320</v>
      </c>
      <c r="N1" s="10" t="s">
        <v>1321</v>
      </c>
      <c r="O1" s="10" t="s">
        <v>1322</v>
      </c>
      <c r="P1" s="10" t="s">
        <v>1323</v>
      </c>
      <c r="Q1" s="17" t="s">
        <v>1324</v>
      </c>
      <c r="R1" s="131" t="s">
        <v>1290</v>
      </c>
      <c r="S1" s="131" t="s">
        <v>1291</v>
      </c>
      <c r="T1" s="131" t="s">
        <v>1292</v>
      </c>
      <c r="U1" s="10" t="s">
        <v>1293</v>
      </c>
      <c r="V1" s="17" t="s">
        <v>1294</v>
      </c>
      <c r="W1" s="61" t="s">
        <v>1295</v>
      </c>
      <c r="X1" s="10" t="s">
        <v>1296</v>
      </c>
      <c r="Y1" s="10" t="s">
        <v>1297</v>
      </c>
      <c r="Z1" s="249" t="s">
        <v>1298</v>
      </c>
      <c r="AA1" s="10"/>
      <c r="AB1" s="10"/>
      <c r="AC1" s="10"/>
      <c r="AD1" s="10"/>
      <c r="AE1" s="10"/>
      <c r="AF1" s="10"/>
      <c r="AG1" s="10"/>
      <c r="AH1" s="10"/>
    </row>
    <row r="2" spans="1:34">
      <c r="A2" s="1"/>
      <c r="B2" s="2" t="s">
        <v>1439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2198</v>
      </c>
      <c r="I2" s="9" t="s">
        <v>2199</v>
      </c>
      <c r="J2" s="90" t="s">
        <v>2200</v>
      </c>
      <c r="K2" s="5" t="s">
        <v>1371</v>
      </c>
      <c r="L2" s="5" t="s">
        <v>1328</v>
      </c>
      <c r="M2" s="53" t="s">
        <v>1329</v>
      </c>
      <c r="N2" s="5" t="s">
        <v>1330</v>
      </c>
      <c r="O2" s="5" t="s">
        <v>1331</v>
      </c>
      <c r="P2" s="57" t="s">
        <v>1332</v>
      </c>
      <c r="Q2" s="14" t="s">
        <v>1349</v>
      </c>
      <c r="R2" s="5" t="s">
        <v>1305</v>
      </c>
      <c r="S2" s="5" t="s">
        <v>1306</v>
      </c>
      <c r="T2" s="5" t="s">
        <v>1307</v>
      </c>
      <c r="U2" s="264" t="s">
        <v>1308</v>
      </c>
      <c r="V2" s="252" t="s">
        <v>1309</v>
      </c>
      <c r="W2" s="241" t="s">
        <v>1310</v>
      </c>
      <c r="X2" s="54" t="s">
        <v>1311</v>
      </c>
      <c r="Y2" s="3" t="s">
        <v>10</v>
      </c>
      <c r="Z2" s="242" t="s">
        <v>1312</v>
      </c>
      <c r="AA2" s="1"/>
      <c r="AB2" s="1"/>
      <c r="AC2" s="1"/>
      <c r="AD2" s="1"/>
      <c r="AE2" s="1"/>
      <c r="AF2" s="41"/>
      <c r="AG2" s="41"/>
      <c r="AH2" s="41"/>
    </row>
    <row r="3" spans="1:34">
      <c r="B3" s="1" t="str">
        <f>D3&amp;"_"&amp;F3&amp;"_"&amp;H3&amp;"_"&amp;I3</f>
        <v>M_HST01_VM_BANDO_C_1_6</v>
      </c>
      <c r="C3" s="7" t="s">
        <v>603</v>
      </c>
      <c r="D3" s="7" t="str" cm="1">
        <f t="array" ref="D3">INDEX(기계코드!$D$4:$D$1022,MATCH(1,(C3=기계코드!$F$4:$F$1022)*1,0))</f>
        <v>M_HST01</v>
      </c>
      <c r="E3" s="7" t="s">
        <v>2201</v>
      </c>
      <c r="F3" s="7" t="str" cm="1">
        <f t="array" ref="F3">INDEX(공급업체코드!$B$3:$B$1000,MATCH(1,(E3=공급업체코드!$D$3:$D$1000)*1,0))</f>
        <v>VM_BANDO_C</v>
      </c>
      <c r="G3" s="50"/>
      <c r="H3" s="171">
        <v>1</v>
      </c>
      <c r="I3" s="172">
        <v>6</v>
      </c>
      <c r="J3" s="173"/>
      <c r="K3" s="174">
        <v>2.4</v>
      </c>
      <c r="L3" s="149" t="s">
        <v>990</v>
      </c>
      <c r="M3" s="149">
        <v>380</v>
      </c>
      <c r="N3" s="149">
        <v>0.89500000000000002</v>
      </c>
      <c r="O3" s="149">
        <v>0.9</v>
      </c>
      <c r="P3" s="149">
        <v>10</v>
      </c>
      <c r="Q3" s="150">
        <v>170</v>
      </c>
      <c r="R3" s="256" t="s">
        <v>1390</v>
      </c>
      <c r="S3" s="10">
        <f t="shared" ref="S3:S10" si="0">IF(Q3&lt;500,1,IF(Q3&lt;1000,2,IF(Q3&lt;5000,3,4)))</f>
        <v>1</v>
      </c>
      <c r="T3" s="257" t="s">
        <v>1391</v>
      </c>
      <c r="U3" s="153">
        <v>2592000</v>
      </c>
      <c r="V3" s="154"/>
      <c r="W3" s="18" t="s">
        <v>2202</v>
      </c>
      <c r="X3" s="1" t="b">
        <v>1</v>
      </c>
      <c r="Z3" s="133"/>
      <c r="AF3" s="41"/>
      <c r="AG3" s="41"/>
      <c r="AH3" s="41"/>
    </row>
    <row r="4" spans="1:34">
      <c r="B4" s="1" t="str">
        <f t="shared" ref="B4:B9" si="1">D4&amp;"_"&amp;F4&amp;"_"&amp;H4&amp;"_"&amp;I4</f>
        <v>M_HST01_VM_BANDO_C_2_6</v>
      </c>
      <c r="C4" s="7" t="s">
        <v>603</v>
      </c>
      <c r="D4" s="7" t="str" cm="1">
        <f t="array" ref="D4">INDEX(기계코드!$D$4:$D$1022,MATCH(1,(C4=기계코드!$F$4:$F$1022)*1,0))</f>
        <v>M_HST01</v>
      </c>
      <c r="E4" s="7" t="s">
        <v>2201</v>
      </c>
      <c r="F4" s="7" t="str" cm="1">
        <f t="array" ref="F4">INDEX(공급업체코드!$B$3:$B$1000,MATCH(1,(E4=공급업체코드!$D$3:$D$1000)*1,0))</f>
        <v>VM_BANDO_C</v>
      </c>
      <c r="G4" s="34"/>
      <c r="H4" s="147">
        <v>2</v>
      </c>
      <c r="I4" s="50">
        <v>6</v>
      </c>
      <c r="J4" s="34"/>
      <c r="K4">
        <v>3.7</v>
      </c>
      <c r="L4" s="7" t="s">
        <v>990</v>
      </c>
      <c r="M4" s="7">
        <v>380</v>
      </c>
      <c r="N4" s="7">
        <v>0.89500000000000002</v>
      </c>
      <c r="O4" s="7">
        <v>0.9</v>
      </c>
      <c r="P4" s="7">
        <v>10</v>
      </c>
      <c r="Q4" s="18">
        <v>240</v>
      </c>
      <c r="R4" s="258" t="s">
        <v>1390</v>
      </c>
      <c r="S4" s="10">
        <f t="shared" si="0"/>
        <v>1</v>
      </c>
      <c r="T4" s="259" t="s">
        <v>1391</v>
      </c>
      <c r="U4" s="155">
        <v>3072000</v>
      </c>
      <c r="V4" s="63"/>
      <c r="W4" s="18" t="s">
        <v>2202</v>
      </c>
      <c r="X4" s="1" t="b">
        <v>1</v>
      </c>
      <c r="Z4" s="133"/>
      <c r="AF4" s="41"/>
      <c r="AG4" s="41"/>
      <c r="AH4" s="41"/>
    </row>
    <row r="5" spans="1:34">
      <c r="B5" s="1" t="str">
        <f t="shared" si="1"/>
        <v>M_HST01_VM_BANDO_C_3_6</v>
      </c>
      <c r="C5" s="7" t="s">
        <v>603</v>
      </c>
      <c r="D5" s="7" t="str" cm="1">
        <f t="array" ref="D5">INDEX(기계코드!$D$4:$D$1022,MATCH(1,(C5=기계코드!$F$4:$F$1022)*1,0))</f>
        <v>M_HST01</v>
      </c>
      <c r="E5" s="7" t="s">
        <v>2201</v>
      </c>
      <c r="F5" s="7" t="str" cm="1">
        <f t="array" ref="F5">INDEX(공급업체코드!$B$3:$B$1000,MATCH(1,(E5=공급업체코드!$D$3:$D$1000)*1,0))</f>
        <v>VM_BANDO_C</v>
      </c>
      <c r="G5" s="34"/>
      <c r="H5" s="147">
        <v>3</v>
      </c>
      <c r="I5" s="50">
        <v>6</v>
      </c>
      <c r="J5" s="34"/>
      <c r="K5">
        <v>5.5</v>
      </c>
      <c r="L5" s="7" t="s">
        <v>990</v>
      </c>
      <c r="M5" s="7">
        <v>380</v>
      </c>
      <c r="N5" s="7">
        <v>0.91700000000000004</v>
      </c>
      <c r="O5" s="7">
        <v>0.9</v>
      </c>
      <c r="P5" s="7">
        <v>10</v>
      </c>
      <c r="Q5" s="18">
        <v>300</v>
      </c>
      <c r="R5" s="258" t="s">
        <v>1390</v>
      </c>
      <c r="S5" s="10">
        <f t="shared" si="0"/>
        <v>1</v>
      </c>
      <c r="T5" s="259" t="s">
        <v>1391</v>
      </c>
      <c r="U5" s="155">
        <v>3408000</v>
      </c>
      <c r="V5" s="63"/>
      <c r="W5" s="18" t="s">
        <v>2202</v>
      </c>
      <c r="X5" s="1" t="b">
        <v>1</v>
      </c>
      <c r="Z5" s="133"/>
      <c r="AF5" s="41"/>
      <c r="AG5" s="41"/>
      <c r="AH5" s="41"/>
    </row>
    <row r="6" spans="1:34">
      <c r="B6" s="1" t="str">
        <f t="shared" si="1"/>
        <v>M_HST01_VM_BANDO_C_5_6</v>
      </c>
      <c r="C6" s="7" t="s">
        <v>603</v>
      </c>
      <c r="D6" s="7" t="str" cm="1">
        <f t="array" ref="D6">INDEX(기계코드!$D$4:$D$1022,MATCH(1,(C6=기계코드!$F$4:$F$1022)*1,0))</f>
        <v>M_HST01</v>
      </c>
      <c r="E6" s="7" t="s">
        <v>2201</v>
      </c>
      <c r="F6" s="7" t="str" cm="1">
        <f t="array" ref="F6">INDEX(공급업체코드!$B$3:$B$1000,MATCH(1,(E6=공급업체코드!$D$3:$D$1000)*1,0))</f>
        <v>VM_BANDO_C</v>
      </c>
      <c r="G6" s="34"/>
      <c r="H6" s="147">
        <v>5</v>
      </c>
      <c r="I6" s="50">
        <v>6</v>
      </c>
      <c r="J6" s="34"/>
      <c r="K6">
        <v>5.5</v>
      </c>
      <c r="L6" s="7" t="s">
        <v>990</v>
      </c>
      <c r="M6" s="7">
        <v>380</v>
      </c>
      <c r="N6" s="7">
        <v>0.91700000000000004</v>
      </c>
      <c r="O6" s="7">
        <v>0.9</v>
      </c>
      <c r="P6" s="7">
        <v>10</v>
      </c>
      <c r="Q6" s="18">
        <v>460</v>
      </c>
      <c r="R6" s="258" t="s">
        <v>1390</v>
      </c>
      <c r="S6" s="10">
        <f t="shared" si="0"/>
        <v>1</v>
      </c>
      <c r="T6" s="259" t="s">
        <v>1391</v>
      </c>
      <c r="U6" s="155">
        <v>4776000</v>
      </c>
      <c r="V6" s="63"/>
      <c r="W6" s="18" t="s">
        <v>2202</v>
      </c>
      <c r="X6" s="1" t="b">
        <v>1</v>
      </c>
      <c r="Z6" s="133"/>
      <c r="AF6" s="41"/>
      <c r="AG6" s="41"/>
      <c r="AH6" s="41"/>
    </row>
    <row r="7" spans="1:34">
      <c r="B7" s="1" t="str">
        <f t="shared" si="1"/>
        <v>M_HST01_VM_BANDO_C_7.5_6</v>
      </c>
      <c r="C7" s="7" t="s">
        <v>603</v>
      </c>
      <c r="D7" s="7" t="str" cm="1">
        <f t="array" ref="D7">INDEX(기계코드!$D$4:$D$1022,MATCH(1,(C7=기계코드!$F$4:$F$1022)*1,0))</f>
        <v>M_HST01</v>
      </c>
      <c r="E7" s="7" t="s">
        <v>2201</v>
      </c>
      <c r="F7" s="7" t="str" cm="1">
        <f t="array" ref="F7">INDEX(공급업체코드!$B$3:$B$1000,MATCH(1,(E7=공급업체코드!$D$3:$D$1000)*1,0))</f>
        <v>VM_BANDO_C</v>
      </c>
      <c r="G7" s="34"/>
      <c r="H7" s="147">
        <v>7.5</v>
      </c>
      <c r="I7" s="50">
        <v>6</v>
      </c>
      <c r="J7" s="34"/>
      <c r="K7">
        <v>5.5</v>
      </c>
      <c r="L7" s="7" t="s">
        <v>990</v>
      </c>
      <c r="M7" s="7">
        <v>380</v>
      </c>
      <c r="N7" s="7">
        <v>0.91700000000000004</v>
      </c>
      <c r="O7" s="7">
        <v>0.9</v>
      </c>
      <c r="P7" s="7">
        <v>10</v>
      </c>
      <c r="Q7" s="18">
        <v>700</v>
      </c>
      <c r="R7" s="258" t="s">
        <v>1390</v>
      </c>
      <c r="S7" s="10">
        <f t="shared" si="0"/>
        <v>2</v>
      </c>
      <c r="T7" s="259" t="s">
        <v>1391</v>
      </c>
      <c r="U7" s="155">
        <v>6960000</v>
      </c>
      <c r="V7" s="63"/>
      <c r="W7" s="18" t="s">
        <v>2202</v>
      </c>
      <c r="X7" s="1" t="b">
        <v>1</v>
      </c>
      <c r="Z7" s="113"/>
      <c r="AF7" s="41"/>
      <c r="AG7" s="41"/>
      <c r="AH7" s="41"/>
    </row>
    <row r="8" spans="1:34">
      <c r="B8" s="1" t="str">
        <f t="shared" si="1"/>
        <v>M_HST01_VM_BANDO_C_10_6</v>
      </c>
      <c r="C8" s="7" t="s">
        <v>603</v>
      </c>
      <c r="D8" s="7" t="str" cm="1">
        <f t="array" ref="D8">INDEX(기계코드!$D$4:$D$1022,MATCH(1,(C8=기계코드!$F$4:$F$1022)*1,0))</f>
        <v>M_HST01</v>
      </c>
      <c r="E8" s="7" t="s">
        <v>2201</v>
      </c>
      <c r="F8" s="7" t="str" cm="1">
        <f t="array" ref="F8">INDEX(공급업체코드!$B$3:$B$1000,MATCH(1,(E8=공급업체코드!$D$3:$D$1000)*1,0))</f>
        <v>VM_BANDO_C</v>
      </c>
      <c r="G8" s="34"/>
      <c r="H8" s="147">
        <v>10</v>
      </c>
      <c r="I8" s="50">
        <v>6</v>
      </c>
      <c r="J8" s="34"/>
      <c r="K8">
        <v>9</v>
      </c>
      <c r="L8" s="7" t="s">
        <v>990</v>
      </c>
      <c r="M8" s="7">
        <v>380</v>
      </c>
      <c r="N8" s="7">
        <v>0.92400000000000004</v>
      </c>
      <c r="O8" s="7">
        <v>0.9</v>
      </c>
      <c r="P8" s="7">
        <v>10</v>
      </c>
      <c r="Q8" s="18">
        <v>1000</v>
      </c>
      <c r="R8" s="258" t="s">
        <v>1390</v>
      </c>
      <c r="S8" s="10">
        <f t="shared" si="0"/>
        <v>3</v>
      </c>
      <c r="T8" s="259" t="s">
        <v>1391</v>
      </c>
      <c r="U8" s="155">
        <v>9384000</v>
      </c>
      <c r="V8" s="63"/>
      <c r="W8" s="18" t="s">
        <v>2202</v>
      </c>
      <c r="X8" s="1" t="b">
        <v>1</v>
      </c>
      <c r="Z8" s="113"/>
      <c r="AF8" s="41"/>
      <c r="AG8" s="41"/>
      <c r="AH8" s="41"/>
    </row>
    <row r="9" spans="1:34">
      <c r="B9" s="1" t="str">
        <f t="shared" si="1"/>
        <v>M_HST01_VM_BANDO_C_15_6</v>
      </c>
      <c r="C9" s="7" t="s">
        <v>603</v>
      </c>
      <c r="D9" s="7" t="str" cm="1">
        <f t="array" ref="D9">INDEX(기계코드!$D$4:$D$1022,MATCH(1,(C9=기계코드!$F$4:$F$1022)*1,0))</f>
        <v>M_HST01</v>
      </c>
      <c r="E9" s="7" t="s">
        <v>2201</v>
      </c>
      <c r="F9" s="7" t="str" cm="1">
        <f t="array" ref="F9">INDEX(공급업체코드!$B$3:$B$1000,MATCH(1,(E9=공급업체코드!$D$3:$D$1000)*1,0))</f>
        <v>VM_BANDO_C</v>
      </c>
      <c r="G9" s="34"/>
      <c r="H9" s="147">
        <v>15</v>
      </c>
      <c r="I9" s="50">
        <v>6</v>
      </c>
      <c r="J9" s="34"/>
      <c r="K9">
        <v>13</v>
      </c>
      <c r="L9" s="7" t="s">
        <v>990</v>
      </c>
      <c r="M9" s="7">
        <v>380</v>
      </c>
      <c r="N9" s="7">
        <v>0.93</v>
      </c>
      <c r="O9" s="7">
        <v>0.9</v>
      </c>
      <c r="P9" s="7">
        <v>10</v>
      </c>
      <c r="Q9" s="18">
        <v>1500</v>
      </c>
      <c r="R9" s="258" t="s">
        <v>1390</v>
      </c>
      <c r="S9" s="10">
        <f t="shared" si="0"/>
        <v>3</v>
      </c>
      <c r="T9" s="259" t="s">
        <v>1391</v>
      </c>
      <c r="U9" s="155">
        <v>13080000</v>
      </c>
      <c r="V9" s="63"/>
      <c r="W9" s="18" t="s">
        <v>2202</v>
      </c>
      <c r="X9" s="1" t="b">
        <v>1</v>
      </c>
      <c r="Z9" s="113"/>
      <c r="AF9" s="40"/>
      <c r="AG9" s="40"/>
      <c r="AH9" s="41"/>
    </row>
    <row r="10" spans="1:34">
      <c r="B10" s="1" t="str">
        <f>D10&amp;"_"&amp;F10&amp;"_"&amp;H10&amp;"_"&amp;I10</f>
        <v>M_HST01_VM_BANDO_C_20_6</v>
      </c>
      <c r="C10" s="7" t="s">
        <v>603</v>
      </c>
      <c r="D10" s="7" t="str" cm="1">
        <f t="array" ref="D10">INDEX(기계코드!$D$4:$D$1022,MATCH(1,(C10=기계코드!$F$4:$F$1022)*1,0))</f>
        <v>M_HST01</v>
      </c>
      <c r="E10" s="7" t="s">
        <v>2201</v>
      </c>
      <c r="F10" s="7" t="str" cm="1">
        <f t="array" ref="F10">INDEX(공급업체코드!$B$3:$B$1000,MATCH(1,(E10=공급업체코드!$D$3:$D$1000)*1,0))</f>
        <v>VM_BANDO_C</v>
      </c>
      <c r="H10" s="147">
        <v>20</v>
      </c>
      <c r="I10" s="50">
        <v>6</v>
      </c>
      <c r="K10">
        <v>17</v>
      </c>
      <c r="L10" s="7" t="s">
        <v>990</v>
      </c>
      <c r="M10" s="7">
        <v>380</v>
      </c>
      <c r="N10" s="7">
        <v>0.93599999999999994</v>
      </c>
      <c r="O10" s="7">
        <v>0.9</v>
      </c>
      <c r="P10" s="7">
        <v>10</v>
      </c>
      <c r="Q10" s="18">
        <v>1900</v>
      </c>
      <c r="R10" s="258" t="s">
        <v>1390</v>
      </c>
      <c r="S10" s="10">
        <f t="shared" si="0"/>
        <v>3</v>
      </c>
      <c r="T10" s="259" t="s">
        <v>1391</v>
      </c>
      <c r="U10" s="147">
        <v>15840000</v>
      </c>
      <c r="W10" s="18" t="s">
        <v>2202</v>
      </c>
      <c r="X10" s="1" t="b">
        <v>1</v>
      </c>
      <c r="Z10" s="113"/>
    </row>
    <row r="11" spans="1:34" ht="16.5" customHeight="1">
      <c r="R11" s="258"/>
      <c r="T11" s="259"/>
      <c r="Z11" s="113"/>
    </row>
    <row r="12" spans="1:34" ht="16.5" customHeight="1">
      <c r="R12" s="258"/>
      <c r="T12" s="259"/>
      <c r="Z12" s="113"/>
    </row>
    <row r="13" spans="1:34" ht="16.5" customHeight="1">
      <c r="R13" s="258"/>
      <c r="T13" s="259"/>
      <c r="Z13" s="113"/>
    </row>
    <row r="14" spans="1:34" ht="16.5" customHeight="1">
      <c r="R14" s="258"/>
      <c r="T14" s="259"/>
      <c r="Z14" s="113"/>
    </row>
    <row r="15" spans="1:34" ht="16.5" customHeight="1">
      <c r="R15" s="258"/>
      <c r="T15" s="259"/>
      <c r="Z15" s="113"/>
    </row>
    <row r="16" spans="1:34" ht="16.5" customHeight="1">
      <c r="R16" s="258"/>
      <c r="T16" s="259"/>
      <c r="Z16" s="113"/>
    </row>
    <row r="17" spans="18:26" ht="16.5" customHeight="1">
      <c r="R17" s="258"/>
      <c r="T17" s="259"/>
      <c r="Z17" s="113"/>
    </row>
    <row r="18" spans="18:26" ht="16.5" customHeight="1">
      <c r="R18" s="258"/>
      <c r="T18" s="259"/>
      <c r="Z18" s="113"/>
    </row>
    <row r="19" spans="18:26" ht="16.5" customHeight="1">
      <c r="R19" s="258"/>
      <c r="T19" s="259"/>
      <c r="Z19" s="113"/>
    </row>
    <row r="20" spans="18:26" ht="16.5" customHeight="1">
      <c r="R20" s="258"/>
      <c r="T20" s="259"/>
      <c r="Z20" s="113"/>
    </row>
    <row r="21" spans="18:26" ht="16.5" customHeight="1">
      <c r="R21" s="258"/>
      <c r="T21" s="259"/>
      <c r="Z21" s="113"/>
    </row>
    <row r="22" spans="18:26" ht="16.5" customHeight="1">
      <c r="R22" s="258"/>
      <c r="T22" s="259"/>
      <c r="Z22" s="113"/>
    </row>
    <row r="23" spans="18:26" ht="16.5" customHeight="1">
      <c r="R23" s="258"/>
      <c r="T23" s="259"/>
      <c r="Z23" s="113"/>
    </row>
    <row r="24" spans="18:26" ht="16.5" customHeight="1">
      <c r="R24" s="258"/>
      <c r="T24" s="259"/>
      <c r="Z24" s="113"/>
    </row>
    <row r="25" spans="18:26" ht="16.5" customHeight="1">
      <c r="R25" s="258"/>
      <c r="T25" s="259"/>
      <c r="Z25" s="113"/>
    </row>
    <row r="26" spans="18:26" ht="16.5" customHeight="1">
      <c r="R26" s="258"/>
      <c r="T26" s="259"/>
      <c r="Z26" s="113"/>
    </row>
    <row r="27" spans="18:26" ht="16.5" customHeight="1">
      <c r="R27" s="258"/>
      <c r="T27" s="259"/>
      <c r="Z27" s="113"/>
    </row>
    <row r="28" spans="18:26" ht="16.5" customHeight="1">
      <c r="R28" s="258"/>
      <c r="T28" s="259"/>
      <c r="Z28" s="113"/>
    </row>
    <row r="29" spans="18:26" ht="16.5" customHeight="1">
      <c r="R29" s="258"/>
      <c r="T29" s="259"/>
      <c r="Z29" s="113"/>
    </row>
    <row r="30" spans="18:26" ht="16.5" customHeight="1">
      <c r="R30" s="258"/>
      <c r="T30" s="259"/>
      <c r="Z30" s="113"/>
    </row>
    <row r="31" spans="18:26" ht="16.5" customHeight="1">
      <c r="R31" s="258"/>
      <c r="T31" s="259"/>
      <c r="Z31" s="113"/>
    </row>
    <row r="32" spans="18:26" ht="16.5" customHeight="1">
      <c r="R32" s="258"/>
      <c r="T32" s="259"/>
      <c r="Z32" s="113"/>
    </row>
    <row r="33" spans="18:26" ht="16.5" customHeight="1">
      <c r="R33" s="258"/>
      <c r="T33" s="259"/>
      <c r="Z33" s="113"/>
    </row>
    <row r="34" spans="18:26" ht="16.5" customHeight="1">
      <c r="R34" s="258"/>
      <c r="T34" s="259"/>
      <c r="Z34" s="113"/>
    </row>
    <row r="35" spans="18:26" ht="16.5" customHeight="1">
      <c r="R35" s="258"/>
      <c r="T35" s="259"/>
      <c r="Z35" s="113"/>
    </row>
    <row r="36" spans="18:26" ht="16.5" customHeight="1">
      <c r="R36" s="258"/>
      <c r="T36" s="259"/>
      <c r="Z36" s="113"/>
    </row>
    <row r="37" spans="18:26" ht="16.5" customHeight="1">
      <c r="R37" s="258"/>
      <c r="T37" s="259"/>
      <c r="Z37" s="113"/>
    </row>
    <row r="38" spans="18:26" ht="16.5" customHeight="1">
      <c r="R38" s="258"/>
      <c r="T38" s="259"/>
      <c r="Z38" s="113"/>
    </row>
    <row r="39" spans="18:26" ht="16.5" customHeight="1">
      <c r="R39" s="258"/>
      <c r="T39" s="259"/>
      <c r="Z39" s="113"/>
    </row>
    <row r="40" spans="18:26" ht="16.5" customHeight="1">
      <c r="R40" s="258"/>
      <c r="T40" s="259"/>
      <c r="Z40" s="113"/>
    </row>
    <row r="41" spans="18:26" ht="16.5" customHeight="1">
      <c r="R41" s="258"/>
      <c r="T41" s="259"/>
      <c r="Z41" s="113"/>
    </row>
    <row r="42" spans="18:26" ht="16.5" customHeight="1">
      <c r="R42" s="258"/>
      <c r="T42" s="259"/>
      <c r="Z42" s="113"/>
    </row>
    <row r="43" spans="18:26" ht="16.5" customHeight="1">
      <c r="R43" s="258"/>
      <c r="T43" s="259"/>
      <c r="Z43" s="113"/>
    </row>
    <row r="44" spans="18:26" ht="16.5" customHeight="1">
      <c r="R44" s="258"/>
      <c r="T44" s="259"/>
      <c r="Z44" s="113"/>
    </row>
    <row r="45" spans="18:26" ht="16.5" customHeight="1">
      <c r="R45" s="258"/>
      <c r="T45" s="259"/>
      <c r="Z45" s="113"/>
    </row>
    <row r="46" spans="18:26" ht="16.5" customHeight="1">
      <c r="R46" s="258"/>
      <c r="T46" s="259"/>
      <c r="Z46" s="113"/>
    </row>
    <row r="47" spans="18:26" ht="16.5" customHeight="1">
      <c r="R47" s="258"/>
      <c r="T47" s="259"/>
      <c r="Z47" s="113"/>
    </row>
    <row r="48" spans="18:26" ht="16.5" customHeight="1">
      <c r="R48" s="258"/>
      <c r="T48" s="259"/>
      <c r="Z48" s="113"/>
    </row>
    <row r="49" spans="18:26" ht="16.5" customHeight="1">
      <c r="R49" s="258"/>
      <c r="T49" s="259"/>
      <c r="Z49" s="113"/>
    </row>
    <row r="50" spans="18:26" ht="16.5" customHeight="1">
      <c r="R50" s="258"/>
      <c r="T50" s="259"/>
      <c r="Z50" s="113"/>
    </row>
    <row r="51" spans="18:26" ht="16.5" customHeight="1">
      <c r="R51" s="258"/>
      <c r="T51" s="259"/>
      <c r="Z51" s="113"/>
    </row>
    <row r="52" spans="18:26" ht="16.5" customHeight="1">
      <c r="R52" s="258"/>
      <c r="T52" s="259"/>
      <c r="Z52" s="113"/>
    </row>
    <row r="53" spans="18:26" ht="16.5" customHeight="1">
      <c r="R53" s="258"/>
      <c r="T53" s="259"/>
      <c r="Z53" s="113"/>
    </row>
    <row r="54" spans="18:26" ht="16.5" customHeight="1">
      <c r="R54" s="258"/>
      <c r="T54" s="259"/>
      <c r="Z54" s="113"/>
    </row>
    <row r="55" spans="18:26" ht="16.5" customHeight="1">
      <c r="R55" s="258"/>
      <c r="T55" s="259"/>
      <c r="Z55" s="113"/>
    </row>
    <row r="56" spans="18:26" ht="16.5" customHeight="1">
      <c r="R56" s="258"/>
      <c r="T56" s="259"/>
      <c r="Z56" s="113"/>
    </row>
    <row r="57" spans="18:26" ht="16.5" customHeight="1">
      <c r="R57" s="258"/>
      <c r="T57" s="259"/>
      <c r="Z57" s="113"/>
    </row>
    <row r="58" spans="18:26" ht="16.5" customHeight="1">
      <c r="R58" s="258"/>
      <c r="T58" s="259"/>
      <c r="Z58" s="113"/>
    </row>
    <row r="59" spans="18:26" ht="16.5" customHeight="1">
      <c r="R59" s="258"/>
      <c r="T59" s="259"/>
      <c r="Z59" s="113"/>
    </row>
    <row r="60" spans="18:26" ht="16.5" customHeight="1">
      <c r="R60" s="258"/>
      <c r="T60" s="259"/>
      <c r="Z60" s="113"/>
    </row>
    <row r="61" spans="18:26" ht="16.5" customHeight="1">
      <c r="R61" s="258"/>
      <c r="T61" s="259"/>
      <c r="Z61" s="113"/>
    </row>
    <row r="62" spans="18:26" ht="16.5" customHeight="1">
      <c r="R62" s="258"/>
      <c r="T62" s="259"/>
      <c r="Z62" s="113"/>
    </row>
    <row r="63" spans="18:26" ht="16.5" customHeight="1">
      <c r="R63" s="258"/>
      <c r="T63" s="259"/>
      <c r="Z63" s="113"/>
    </row>
    <row r="64" spans="18:26" ht="16.5" customHeight="1">
      <c r="R64" s="258"/>
      <c r="T64" s="259"/>
      <c r="Z64" s="113"/>
    </row>
    <row r="65" spans="18:26" ht="16.5" customHeight="1">
      <c r="R65" s="258"/>
      <c r="T65" s="259"/>
      <c r="Z65" s="113"/>
    </row>
    <row r="66" spans="18:26" ht="16.5" customHeight="1">
      <c r="R66" s="258"/>
      <c r="T66" s="259"/>
      <c r="Z66" s="113"/>
    </row>
    <row r="67" spans="18:26" ht="16.5" customHeight="1">
      <c r="R67" s="258"/>
      <c r="T67" s="259"/>
      <c r="Z67" s="113"/>
    </row>
    <row r="68" spans="18:26" ht="16.5" customHeight="1">
      <c r="R68" s="258"/>
      <c r="T68" s="259"/>
      <c r="Z68" s="113"/>
    </row>
    <row r="69" spans="18:26" ht="16.5" customHeight="1">
      <c r="R69" s="258"/>
      <c r="T69" s="259"/>
      <c r="Z69" s="113"/>
    </row>
    <row r="70" spans="18:26" ht="16.5" customHeight="1">
      <c r="R70" s="258"/>
      <c r="T70" s="259"/>
      <c r="Z70" s="113"/>
    </row>
    <row r="71" spans="18:26" ht="16.5" customHeight="1">
      <c r="R71" s="258"/>
      <c r="T71" s="259"/>
      <c r="Z71" s="113"/>
    </row>
    <row r="72" spans="18:26" ht="16.5" customHeight="1">
      <c r="R72" s="258"/>
      <c r="T72" s="259"/>
      <c r="Z72" s="113"/>
    </row>
    <row r="73" spans="18:26" ht="16.5" customHeight="1">
      <c r="R73" s="258"/>
      <c r="T73" s="259"/>
      <c r="Z73" s="113"/>
    </row>
    <row r="74" spans="18:26" ht="16.5" customHeight="1">
      <c r="R74" s="258"/>
      <c r="T74" s="259"/>
      <c r="Z74" s="113"/>
    </row>
    <row r="75" spans="18:26" ht="16.5" customHeight="1">
      <c r="R75" s="258"/>
      <c r="T75" s="259"/>
      <c r="Z75" s="113"/>
    </row>
    <row r="76" spans="18:26" ht="16.5" customHeight="1">
      <c r="R76" s="258"/>
      <c r="T76" s="259"/>
      <c r="Z76" s="113"/>
    </row>
    <row r="77" spans="18:26" ht="16.5" customHeight="1">
      <c r="R77" s="258"/>
      <c r="T77" s="259"/>
      <c r="Z77" s="113"/>
    </row>
    <row r="78" spans="18:26" ht="16.5" customHeight="1">
      <c r="R78" s="258"/>
      <c r="T78" s="259"/>
      <c r="Z78" s="113"/>
    </row>
    <row r="79" spans="18:26" ht="16.5" customHeight="1">
      <c r="R79" s="258"/>
      <c r="T79" s="259"/>
      <c r="Z79" s="113"/>
    </row>
    <row r="80" spans="18:26" ht="16.5" customHeight="1">
      <c r="R80" s="258"/>
      <c r="T80" s="259"/>
      <c r="Z80" s="113"/>
    </row>
    <row r="81" spans="18:26" ht="16.5" customHeight="1">
      <c r="R81" s="258"/>
      <c r="T81" s="259"/>
      <c r="Z81" s="113"/>
    </row>
    <row r="82" spans="18:26" ht="16.5" customHeight="1">
      <c r="R82" s="258"/>
      <c r="T82" s="259"/>
      <c r="Z82" s="113"/>
    </row>
    <row r="83" spans="18:26" ht="16.5" customHeight="1">
      <c r="R83" s="258"/>
      <c r="T83" s="259"/>
      <c r="Z83" s="113"/>
    </row>
    <row r="84" spans="18:26" ht="16.5" customHeight="1">
      <c r="R84" s="258"/>
      <c r="T84" s="259"/>
      <c r="Z84" s="113"/>
    </row>
    <row r="85" spans="18:26" ht="16.5" customHeight="1">
      <c r="R85" s="258"/>
      <c r="T85" s="259"/>
      <c r="Z85" s="113"/>
    </row>
    <row r="86" spans="18:26" ht="16.5" customHeight="1">
      <c r="R86" s="258"/>
      <c r="T86" s="259"/>
      <c r="Z86" s="113"/>
    </row>
    <row r="87" spans="18:26" ht="16.5" customHeight="1">
      <c r="R87" s="258"/>
      <c r="T87" s="259"/>
      <c r="Z87" s="113"/>
    </row>
    <row r="88" spans="18:26" ht="16.5" customHeight="1">
      <c r="R88" s="258"/>
      <c r="T88" s="259"/>
      <c r="Z88" s="113"/>
    </row>
    <row r="89" spans="18:26" ht="16.5" customHeight="1">
      <c r="R89" s="258"/>
      <c r="T89" s="259"/>
      <c r="Z89" s="113"/>
    </row>
    <row r="90" spans="18:26" ht="16.5" customHeight="1">
      <c r="R90" s="258"/>
      <c r="T90" s="259"/>
      <c r="Z90" s="113"/>
    </row>
    <row r="91" spans="18:26" ht="16.5" customHeight="1">
      <c r="R91" s="258"/>
      <c r="T91" s="259"/>
      <c r="Z91" s="113"/>
    </row>
    <row r="92" spans="18:26" ht="16.5" customHeight="1">
      <c r="R92" s="258"/>
      <c r="T92" s="259"/>
      <c r="Z92" s="113"/>
    </row>
    <row r="93" spans="18:26" ht="16.5" customHeight="1">
      <c r="R93" s="258"/>
      <c r="T93" s="259"/>
      <c r="Z93" s="113"/>
    </row>
    <row r="94" spans="18:26" ht="16.5" customHeight="1">
      <c r="R94" s="258"/>
      <c r="T94" s="259"/>
      <c r="Z94" s="113"/>
    </row>
    <row r="95" spans="18:26" ht="16.5" customHeight="1">
      <c r="R95" s="258"/>
      <c r="T95" s="259"/>
      <c r="Z95" s="113"/>
    </row>
    <row r="96" spans="18:26" ht="16.5" customHeight="1">
      <c r="R96" s="258"/>
      <c r="T96" s="259"/>
      <c r="Z96" s="113"/>
    </row>
    <row r="97" spans="18:26" ht="16.5" customHeight="1">
      <c r="R97" s="258"/>
      <c r="T97" s="259"/>
      <c r="Z97" s="113"/>
    </row>
    <row r="98" spans="18:26" ht="16.5" customHeight="1">
      <c r="R98" s="258"/>
      <c r="T98" s="259"/>
      <c r="Z98" s="113"/>
    </row>
    <row r="99" spans="18:26" ht="16.5" customHeight="1">
      <c r="R99" s="258"/>
      <c r="T99" s="259"/>
      <c r="Z99" s="113"/>
    </row>
    <row r="100" spans="18:26" ht="16.5" customHeight="1">
      <c r="R100" s="258"/>
      <c r="T100" s="259"/>
      <c r="Z100" s="113"/>
    </row>
    <row r="101" spans="18:26" ht="16.5" customHeight="1">
      <c r="R101" s="258"/>
      <c r="T101" s="259"/>
      <c r="Z101" s="113"/>
    </row>
    <row r="102" spans="18:26" ht="16.5" customHeight="1">
      <c r="R102" s="258"/>
      <c r="T102" s="259"/>
      <c r="Z102" s="113"/>
    </row>
    <row r="103" spans="18:26" ht="16.5" customHeight="1">
      <c r="R103" s="258"/>
      <c r="T103" s="259"/>
      <c r="Z103" s="113"/>
    </row>
    <row r="104" spans="18:26" ht="16.5" customHeight="1">
      <c r="R104" s="258"/>
      <c r="T104" s="259"/>
      <c r="Z104" s="113"/>
    </row>
    <row r="105" spans="18:26" ht="16.5" customHeight="1">
      <c r="R105" s="258"/>
      <c r="T105" s="259"/>
      <c r="Z105" s="113"/>
    </row>
    <row r="106" spans="18:26" ht="16.5" customHeight="1">
      <c r="R106" s="258"/>
      <c r="T106" s="259"/>
      <c r="Z106" s="113"/>
    </row>
    <row r="107" spans="18:26" ht="16.5" customHeight="1">
      <c r="R107" s="258"/>
      <c r="T107" s="259"/>
      <c r="Z107" s="113"/>
    </row>
    <row r="108" spans="18:26" ht="16.5" customHeight="1">
      <c r="R108" s="258"/>
      <c r="T108" s="259"/>
      <c r="Z108" s="113"/>
    </row>
    <row r="109" spans="18:26" ht="16.5" customHeight="1">
      <c r="R109" s="258"/>
      <c r="T109" s="259"/>
      <c r="Z109" s="113"/>
    </row>
    <row r="110" spans="18:26" ht="16.5" customHeight="1">
      <c r="R110" s="258"/>
      <c r="T110" s="259"/>
      <c r="Z110" s="113"/>
    </row>
    <row r="111" spans="18:26" ht="16.5" customHeight="1">
      <c r="R111" s="258"/>
      <c r="T111" s="259"/>
      <c r="Z111" s="113"/>
    </row>
    <row r="112" spans="18:26" ht="16.5" customHeight="1">
      <c r="R112" s="258"/>
      <c r="T112" s="259"/>
      <c r="Z112" s="113"/>
    </row>
    <row r="113" spans="18:26" ht="16.5" customHeight="1">
      <c r="R113" s="258"/>
      <c r="T113" s="259"/>
      <c r="Z113" s="113"/>
    </row>
    <row r="114" spans="18:26" ht="16.5" customHeight="1">
      <c r="R114" s="258"/>
      <c r="T114" s="259"/>
      <c r="Z114" s="113"/>
    </row>
    <row r="115" spans="18:26" ht="16.5" customHeight="1">
      <c r="R115" s="258"/>
      <c r="T115" s="259"/>
      <c r="Z115" s="113"/>
    </row>
    <row r="116" spans="18:26" ht="16.5" customHeight="1">
      <c r="R116" s="258"/>
      <c r="T116" s="259"/>
      <c r="Z116" s="113"/>
    </row>
    <row r="117" spans="18:26" ht="16.5" customHeight="1">
      <c r="R117" s="258"/>
      <c r="T117" s="259"/>
      <c r="Z117" s="113"/>
    </row>
    <row r="118" spans="18:26" ht="16.5" customHeight="1">
      <c r="R118" s="258"/>
      <c r="T118" s="259"/>
      <c r="Z118" s="113"/>
    </row>
    <row r="119" spans="18:26" ht="16.5" customHeight="1">
      <c r="R119" s="258"/>
      <c r="T119" s="259"/>
      <c r="Z119" s="113"/>
    </row>
    <row r="120" spans="18:26" ht="16.5" customHeight="1">
      <c r="R120" s="258"/>
      <c r="T120" s="259"/>
      <c r="Z120" s="113"/>
    </row>
    <row r="121" spans="18:26" ht="16.5" customHeight="1">
      <c r="R121" s="258"/>
      <c r="T121" s="259"/>
      <c r="Z121" s="113"/>
    </row>
    <row r="122" spans="18:26" ht="16.5" customHeight="1">
      <c r="R122" s="258"/>
      <c r="T122" s="259"/>
      <c r="Z122" s="113"/>
    </row>
    <row r="123" spans="18:26" ht="16.5" customHeight="1">
      <c r="R123" s="258"/>
      <c r="T123" s="259"/>
      <c r="Z123" s="113"/>
    </row>
    <row r="124" spans="18:26" ht="16.5" customHeight="1">
      <c r="R124" s="258"/>
      <c r="T124" s="259"/>
      <c r="Z124" s="113"/>
    </row>
    <row r="125" spans="18:26" ht="16.5" customHeight="1">
      <c r="R125" s="258"/>
      <c r="T125" s="259"/>
      <c r="Z125" s="113"/>
    </row>
    <row r="126" spans="18:26" ht="16.5" customHeight="1">
      <c r="R126" s="258"/>
      <c r="T126" s="259"/>
      <c r="Z126" s="113"/>
    </row>
    <row r="127" spans="18:26" ht="16.5" customHeight="1">
      <c r="R127" s="258"/>
      <c r="T127" s="259"/>
      <c r="Z127" s="113"/>
    </row>
    <row r="128" spans="18:26" ht="16.5" customHeight="1">
      <c r="R128" s="258"/>
      <c r="T128" s="259"/>
      <c r="Z128" s="113"/>
    </row>
    <row r="129" spans="18:26" ht="16.5" customHeight="1">
      <c r="R129" s="258"/>
      <c r="T129" s="259"/>
      <c r="Z129" s="113"/>
    </row>
    <row r="130" spans="18:26" ht="16.5" customHeight="1">
      <c r="R130" s="258"/>
      <c r="T130" s="259"/>
      <c r="Z130" s="113"/>
    </row>
    <row r="131" spans="18:26" ht="16.5" customHeight="1">
      <c r="R131" s="258"/>
      <c r="Z131" s="113"/>
    </row>
    <row r="132" spans="18:26" ht="16.5" customHeight="1">
      <c r="R132" s="258"/>
      <c r="Z132" s="113"/>
    </row>
    <row r="133" spans="18:26" ht="16.5" customHeight="1">
      <c r="R133" s="258"/>
      <c r="Z133" s="113"/>
    </row>
    <row r="134" spans="18:26" ht="16.5" customHeight="1">
      <c r="R134" s="258"/>
      <c r="Z134" s="113"/>
    </row>
    <row r="135" spans="18:26" ht="16.5" customHeight="1">
      <c r="R135" s="258"/>
      <c r="Z135" s="113"/>
    </row>
    <row r="136" spans="18:26" ht="16.5" customHeight="1">
      <c r="R136" s="258"/>
      <c r="Z136" s="113"/>
    </row>
    <row r="137" spans="18:26" ht="16.5" customHeight="1">
      <c r="R137" s="258"/>
      <c r="Z137" s="113"/>
    </row>
    <row r="138" spans="18:26" ht="16.5" customHeight="1">
      <c r="R138" s="258"/>
      <c r="Z138" s="113"/>
    </row>
    <row r="139" spans="18:26" ht="16.5" customHeight="1">
      <c r="R139" s="258"/>
      <c r="Z139" s="113"/>
    </row>
    <row r="140" spans="18:26" ht="16.5" customHeight="1">
      <c r="R140" s="258"/>
      <c r="Z140" s="113"/>
    </row>
    <row r="141" spans="18:26" ht="16.5" customHeight="1">
      <c r="R141" s="258"/>
      <c r="Z141" s="113"/>
    </row>
    <row r="142" spans="18:26" ht="16.5" customHeight="1">
      <c r="R142" s="258"/>
      <c r="Z142" s="113"/>
    </row>
    <row r="143" spans="18:26" ht="16.5" customHeight="1">
      <c r="R143" s="258"/>
      <c r="Z143" s="113"/>
    </row>
    <row r="144" spans="18:26" ht="16.5" customHeight="1">
      <c r="R144" s="258"/>
      <c r="Z144" s="113"/>
    </row>
    <row r="145" spans="18:26" ht="16.5" customHeight="1">
      <c r="R145" s="258"/>
      <c r="Z145" s="113"/>
    </row>
    <row r="146" spans="18:26" ht="16.5" customHeight="1">
      <c r="R146" s="258"/>
      <c r="Z146" s="113"/>
    </row>
    <row r="147" spans="18:26" ht="16.5" customHeight="1">
      <c r="R147" s="258"/>
      <c r="Z147" s="113"/>
    </row>
    <row r="148" spans="18:26" ht="16.5" customHeight="1">
      <c r="R148" s="258"/>
      <c r="Z148" s="113"/>
    </row>
    <row r="149" spans="18:26" ht="16.5" customHeight="1">
      <c r="R149" s="258"/>
      <c r="Z149" s="113"/>
    </row>
    <row r="150" spans="18:26" ht="16.5" customHeight="1">
      <c r="R150" s="258"/>
      <c r="Z150" s="113"/>
    </row>
    <row r="151" spans="18:26" ht="16.5" customHeight="1">
      <c r="R151" s="258"/>
      <c r="Z151" s="113"/>
    </row>
    <row r="152" spans="18:26" ht="16.5" customHeight="1">
      <c r="R152" s="258"/>
      <c r="Z152" s="113"/>
    </row>
    <row r="153" spans="18:26" ht="16.5" customHeight="1">
      <c r="R153" s="258"/>
      <c r="Z153" s="113"/>
    </row>
    <row r="154" spans="18:26" ht="16.5" customHeight="1">
      <c r="R154" s="258"/>
      <c r="Z154" s="113"/>
    </row>
    <row r="155" spans="18:26" ht="16.5" customHeight="1">
      <c r="R155" s="258"/>
      <c r="Z155" s="113"/>
    </row>
    <row r="156" spans="18:26" ht="16.5" customHeight="1">
      <c r="R156" s="258"/>
      <c r="Z156" s="113"/>
    </row>
    <row r="157" spans="18:26" ht="16.5" customHeight="1">
      <c r="R157" s="258"/>
      <c r="Z157" s="113"/>
    </row>
    <row r="158" spans="18:26" ht="16.5" customHeight="1">
      <c r="R158" s="258"/>
      <c r="Z158" s="113"/>
    </row>
    <row r="159" spans="18:26" ht="16.5" customHeight="1">
      <c r="R159" s="258"/>
      <c r="Z159" s="113"/>
    </row>
    <row r="160" spans="18:26" ht="16.5" customHeight="1">
      <c r="R160" s="258"/>
      <c r="Z160" s="113"/>
    </row>
    <row r="161" spans="18:26" ht="16.5" customHeight="1">
      <c r="R161" s="258"/>
      <c r="Z161" s="113"/>
    </row>
    <row r="162" spans="18:26" ht="16.5" customHeight="1">
      <c r="R162" s="258"/>
      <c r="Z162" s="113"/>
    </row>
    <row r="163" spans="18:26" ht="16.5" customHeight="1">
      <c r="R163" s="258"/>
      <c r="Z163" s="113"/>
    </row>
    <row r="164" spans="18:26" ht="16.5" customHeight="1">
      <c r="R164" s="258"/>
      <c r="Z164" s="113"/>
    </row>
    <row r="165" spans="18:26" ht="16.5" customHeight="1">
      <c r="R165" s="258"/>
      <c r="Z165" s="113"/>
    </row>
    <row r="166" spans="18:26" ht="16.5" customHeight="1">
      <c r="R166" s="258"/>
      <c r="Z166" s="113"/>
    </row>
    <row r="167" spans="18:26" ht="16.5" customHeight="1">
      <c r="R167" s="258"/>
      <c r="Z167" s="113"/>
    </row>
    <row r="168" spans="18:26" ht="16.5" customHeight="1">
      <c r="R168" s="258"/>
      <c r="Z168" s="113"/>
    </row>
    <row r="169" spans="18:26" ht="16.5" customHeight="1">
      <c r="R169" s="258"/>
      <c r="Z169" s="113"/>
    </row>
    <row r="170" spans="18:26" ht="16.5" customHeight="1">
      <c r="R170" s="258"/>
      <c r="Z170" s="113"/>
    </row>
    <row r="171" spans="18:26" ht="16.5" customHeight="1">
      <c r="R171" s="258"/>
      <c r="Z171" s="113"/>
    </row>
    <row r="172" spans="18:26" ht="16.5" customHeight="1">
      <c r="R172" s="258"/>
      <c r="Z172" s="113"/>
    </row>
    <row r="173" spans="18:26" ht="16.5" customHeight="1">
      <c r="R173" s="258"/>
      <c r="Z173" s="113"/>
    </row>
    <row r="174" spans="18:26" ht="16.5" customHeight="1">
      <c r="R174" s="258"/>
      <c r="Z174" s="113"/>
    </row>
    <row r="175" spans="18:26" ht="16.5" customHeight="1">
      <c r="R175" s="258"/>
      <c r="Z175" s="113"/>
    </row>
    <row r="176" spans="18:26" ht="16.5" customHeight="1">
      <c r="R176" s="258"/>
      <c r="Z176" s="113"/>
    </row>
    <row r="177" spans="18:26" ht="16.5" customHeight="1">
      <c r="R177" s="258"/>
      <c r="Z177" s="113"/>
    </row>
    <row r="178" spans="18:26" ht="16.5" customHeight="1">
      <c r="R178" s="258"/>
      <c r="Z178" s="113"/>
    </row>
    <row r="179" spans="18:26" ht="16.5" customHeight="1">
      <c r="R179" s="258"/>
      <c r="Z179" s="113"/>
    </row>
    <row r="180" spans="18:26" ht="16.5" customHeight="1">
      <c r="R180" s="258"/>
      <c r="Z180" s="113"/>
    </row>
    <row r="181" spans="18:26" ht="16.5" customHeight="1">
      <c r="R181" s="258"/>
      <c r="Z181" s="113"/>
    </row>
    <row r="182" spans="18:26" ht="16.5" customHeight="1">
      <c r="R182" s="258"/>
      <c r="Z182" s="113"/>
    </row>
    <row r="183" spans="18:26" ht="16.5" customHeight="1">
      <c r="R183" s="258"/>
      <c r="Z183" s="113"/>
    </row>
    <row r="184" spans="18:26" ht="16.5" customHeight="1">
      <c r="R184" s="258"/>
      <c r="Z184" s="113"/>
    </row>
    <row r="185" spans="18:26" ht="16.5" customHeight="1">
      <c r="R185" s="258"/>
      <c r="Z185" s="113"/>
    </row>
    <row r="186" spans="18:26" ht="16.5" customHeight="1">
      <c r="R186" s="258"/>
      <c r="Z186" s="113"/>
    </row>
    <row r="187" spans="18:26" ht="16.5" customHeight="1">
      <c r="R187" s="258"/>
      <c r="Z187" s="113"/>
    </row>
    <row r="188" spans="18:26" ht="16.5" customHeight="1">
      <c r="R188" s="258"/>
      <c r="Z188" s="113"/>
    </row>
    <row r="189" spans="18:26" ht="16.5" customHeight="1">
      <c r="R189" s="258"/>
      <c r="Z189" s="113"/>
    </row>
    <row r="190" spans="18:26" ht="16.5" customHeight="1">
      <c r="R190" s="258"/>
      <c r="Z190" s="113"/>
    </row>
    <row r="191" spans="18:26" ht="16.5" customHeight="1">
      <c r="R191" s="258"/>
      <c r="Z191" s="113"/>
    </row>
    <row r="192" spans="18:26" ht="16.5" customHeight="1">
      <c r="R192" s="258"/>
      <c r="Z192" s="113"/>
    </row>
    <row r="193" spans="18:26" ht="16.5" customHeight="1">
      <c r="R193" s="258"/>
      <c r="Z193" s="113"/>
    </row>
    <row r="194" spans="18:26" ht="16.5" customHeight="1">
      <c r="R194" s="258"/>
      <c r="Z194" s="113"/>
    </row>
    <row r="195" spans="18:26" ht="16.5" customHeight="1">
      <c r="R195" s="258"/>
      <c r="Z195" s="113"/>
    </row>
    <row r="196" spans="18:26" ht="16.5" customHeight="1">
      <c r="R196" s="258"/>
      <c r="Z196" s="113"/>
    </row>
    <row r="197" spans="18:26" ht="16.5" customHeight="1">
      <c r="R197" s="258"/>
      <c r="Z197" s="113"/>
    </row>
    <row r="198" spans="18:26" ht="16.5" customHeight="1">
      <c r="R198" s="258"/>
      <c r="Z198" s="113"/>
    </row>
    <row r="199" spans="18:26" ht="16.5" customHeight="1">
      <c r="R199" s="258"/>
      <c r="Z199" s="113"/>
    </row>
    <row r="200" spans="18:26" ht="16.5" customHeight="1">
      <c r="R200" s="258"/>
      <c r="Z200" s="113"/>
    </row>
    <row r="201" spans="18:26" ht="16.5" customHeight="1">
      <c r="R201" s="258"/>
      <c r="Z201" s="113"/>
    </row>
    <row r="202" spans="18:26" ht="16.5" customHeight="1">
      <c r="R202" s="258"/>
      <c r="Z202" s="113"/>
    </row>
    <row r="203" spans="18:26" ht="16.5" customHeight="1">
      <c r="R203" s="258"/>
      <c r="Z203" s="113"/>
    </row>
    <row r="204" spans="18:26" ht="16.5" customHeight="1">
      <c r="R204" s="258"/>
      <c r="Z204" s="113"/>
    </row>
    <row r="205" spans="18:26" ht="16.5" customHeight="1">
      <c r="R205" s="258"/>
      <c r="Z205" s="113"/>
    </row>
    <row r="206" spans="18:26" ht="16.5" customHeight="1">
      <c r="R206" s="258"/>
      <c r="Z206" s="113"/>
    </row>
    <row r="207" spans="18:26" ht="16.5" customHeight="1">
      <c r="R207" s="258"/>
      <c r="Z207" s="113"/>
    </row>
    <row r="208" spans="18:26" ht="16.5" customHeight="1">
      <c r="R208" s="258"/>
      <c r="Z208" s="113"/>
    </row>
    <row r="209" spans="18:26" ht="16.5" customHeight="1">
      <c r="R209" s="258"/>
      <c r="Z209" s="113"/>
    </row>
    <row r="210" spans="18:26" ht="16.5" customHeight="1">
      <c r="R210" s="258"/>
      <c r="Z210" s="113"/>
    </row>
    <row r="211" spans="18:26" ht="16.5" customHeight="1">
      <c r="R211" s="258"/>
      <c r="Z211" s="113"/>
    </row>
    <row r="212" spans="18:26" ht="16.5" customHeight="1">
      <c r="R212" s="258"/>
      <c r="Z212" s="113"/>
    </row>
    <row r="213" spans="18:26" ht="16.5" customHeight="1">
      <c r="R213" s="258"/>
      <c r="Z213" s="113"/>
    </row>
    <row r="214" spans="18:26" ht="16.5" customHeight="1">
      <c r="R214" s="258"/>
      <c r="Z214" s="113"/>
    </row>
    <row r="215" spans="18:26" ht="16.5" customHeight="1">
      <c r="R215" s="258"/>
      <c r="Z215" s="113"/>
    </row>
    <row r="216" spans="18:26" ht="16.5" customHeight="1">
      <c r="R216" s="258"/>
      <c r="Z216" s="113"/>
    </row>
    <row r="217" spans="18:26" ht="16.5" customHeight="1">
      <c r="R217" s="258"/>
      <c r="Z217" s="113"/>
    </row>
    <row r="218" spans="18:26" ht="16.5" customHeight="1">
      <c r="R218" s="258"/>
      <c r="Z218" s="113"/>
    </row>
    <row r="219" spans="18:26" ht="16.5" customHeight="1">
      <c r="R219" s="258"/>
      <c r="Z219" s="113"/>
    </row>
    <row r="220" spans="18:26" ht="16.5" customHeight="1">
      <c r="R220" s="258"/>
      <c r="Z220" s="113"/>
    </row>
    <row r="221" spans="18:26" ht="16.5" customHeight="1">
      <c r="R221" s="258"/>
      <c r="Z221" s="113"/>
    </row>
    <row r="222" spans="18:26" ht="16.5" customHeight="1">
      <c r="R222" s="258"/>
      <c r="Z222" s="113"/>
    </row>
    <row r="223" spans="18:26" ht="16.5" customHeight="1">
      <c r="R223" s="258"/>
      <c r="Z223" s="113"/>
    </row>
    <row r="224" spans="18:26" ht="16.5" customHeight="1">
      <c r="R224" s="258"/>
      <c r="Z224" s="113"/>
    </row>
    <row r="225" spans="18:26" ht="16.5" customHeight="1">
      <c r="R225" s="258"/>
      <c r="Z225" s="113"/>
    </row>
    <row r="226" spans="18:26" ht="16.5" customHeight="1">
      <c r="R226" s="258"/>
      <c r="Z226" s="113"/>
    </row>
    <row r="227" spans="18:26" ht="16.5" customHeight="1">
      <c r="R227" s="258"/>
      <c r="Z227" s="113"/>
    </row>
    <row r="228" spans="18:26" ht="16.5" customHeight="1">
      <c r="R228" s="258"/>
      <c r="Z228" s="113"/>
    </row>
    <row r="229" spans="18:26" ht="16.5" customHeight="1">
      <c r="R229" s="258"/>
      <c r="Z229" s="113"/>
    </row>
    <row r="230" spans="18:26" ht="16.5" customHeight="1">
      <c r="R230" s="258"/>
      <c r="Z230" s="113"/>
    </row>
    <row r="231" spans="18:26" ht="16.5" customHeight="1">
      <c r="R231" s="258"/>
      <c r="Z231" s="113"/>
    </row>
    <row r="232" spans="18:26" ht="16.5" customHeight="1">
      <c r="R232" s="258"/>
      <c r="Z232" s="113"/>
    </row>
    <row r="233" spans="18:26" ht="16.5" customHeight="1">
      <c r="R233" s="258"/>
      <c r="Z233" s="113"/>
    </row>
    <row r="234" spans="18:26" ht="16.5" customHeight="1">
      <c r="R234" s="258"/>
      <c r="Z234" s="113"/>
    </row>
    <row r="235" spans="18:26" ht="16.5" customHeight="1">
      <c r="R235" s="258"/>
      <c r="Z235" s="113"/>
    </row>
    <row r="236" spans="18:26" ht="16.5" customHeight="1">
      <c r="R236" s="258"/>
      <c r="Z236" s="113"/>
    </row>
    <row r="237" spans="18:26" ht="16.5" customHeight="1">
      <c r="R237" s="258"/>
      <c r="Z237" s="113"/>
    </row>
    <row r="238" spans="18:26" ht="16.5" customHeight="1">
      <c r="R238" s="258"/>
      <c r="Z238" s="113"/>
    </row>
    <row r="239" spans="18:26" ht="16.5" customHeight="1">
      <c r="R239" s="258"/>
      <c r="Z239" s="113"/>
    </row>
    <row r="240" spans="18:26" ht="16.5" customHeight="1">
      <c r="R240" s="258"/>
      <c r="Z240" s="113"/>
    </row>
    <row r="241" spans="18:26" ht="16.5" customHeight="1">
      <c r="R241" s="258"/>
      <c r="Z241" s="113"/>
    </row>
    <row r="242" spans="18:26" ht="16.5" customHeight="1">
      <c r="R242" s="258"/>
      <c r="Z242" s="113"/>
    </row>
    <row r="243" spans="18:26" ht="16.5" customHeight="1">
      <c r="R243" s="258"/>
      <c r="Z243" s="113"/>
    </row>
    <row r="244" spans="18:26" ht="16.5" customHeight="1">
      <c r="R244" s="258"/>
      <c r="Z244" s="113"/>
    </row>
    <row r="245" spans="18:26" ht="16.5" customHeight="1">
      <c r="R245" s="258"/>
      <c r="Z245" s="113"/>
    </row>
    <row r="246" spans="18:26" ht="16.5" customHeight="1">
      <c r="R246" s="258"/>
      <c r="Z246" s="113"/>
    </row>
    <row r="247" spans="18:26" ht="16.5" customHeight="1">
      <c r="R247" s="258"/>
      <c r="Z247" s="113"/>
    </row>
    <row r="248" spans="18:26" ht="16.5" customHeight="1">
      <c r="R248" s="258"/>
      <c r="Z248" s="113"/>
    </row>
    <row r="249" spans="18:26" ht="16.5" customHeight="1">
      <c r="R249" s="258"/>
      <c r="Z249" s="113"/>
    </row>
    <row r="250" spans="18:26" ht="16.5" customHeight="1">
      <c r="R250" s="258"/>
      <c r="Z250" s="113"/>
    </row>
    <row r="251" spans="18:26" ht="16.5" customHeight="1">
      <c r="R251" s="258"/>
      <c r="Z251" s="113"/>
    </row>
    <row r="252" spans="18:26" ht="16.5" customHeight="1">
      <c r="R252" s="258"/>
      <c r="Z252" s="113"/>
    </row>
    <row r="253" spans="18:26" ht="16.5" customHeight="1">
      <c r="R253" s="258"/>
      <c r="Z253" s="113"/>
    </row>
    <row r="254" spans="18:26" ht="16.5" customHeight="1">
      <c r="R254" s="258"/>
      <c r="Z254" s="113"/>
    </row>
    <row r="255" spans="18:26" ht="16.5" customHeight="1">
      <c r="R255" s="258"/>
      <c r="Z255" s="113"/>
    </row>
    <row r="256" spans="18:26" ht="16.5" customHeight="1">
      <c r="R256" s="258"/>
      <c r="Z256" s="113"/>
    </row>
    <row r="257" spans="18:26" ht="16.5" customHeight="1">
      <c r="R257" s="258"/>
      <c r="Z257" s="113"/>
    </row>
    <row r="258" spans="18:26" ht="16.5" customHeight="1">
      <c r="R258" s="258"/>
      <c r="Z258" s="113"/>
    </row>
    <row r="259" spans="18:26" ht="16.5" customHeight="1">
      <c r="R259" s="258"/>
      <c r="Z259" s="113"/>
    </row>
    <row r="260" spans="18:26" ht="16.5" customHeight="1">
      <c r="R260" s="258"/>
      <c r="Z260" s="113"/>
    </row>
    <row r="261" spans="18:26" ht="16.5" customHeight="1">
      <c r="R261" s="258"/>
      <c r="Z261" s="113"/>
    </row>
    <row r="262" spans="18:26" ht="16.5" customHeight="1">
      <c r="R262" s="258"/>
      <c r="Z262" s="113"/>
    </row>
    <row r="263" spans="18:26" ht="16.5" customHeight="1">
      <c r="R263" s="258"/>
      <c r="Z263" s="113"/>
    </row>
    <row r="264" spans="18:26" ht="16.5" customHeight="1">
      <c r="R264" s="258"/>
      <c r="Z264" s="113"/>
    </row>
    <row r="265" spans="18:26" ht="16.5" customHeight="1">
      <c r="R265" s="258"/>
      <c r="Z265" s="113"/>
    </row>
    <row r="266" spans="18:26" ht="16.5" customHeight="1">
      <c r="R266" s="258"/>
      <c r="Z266" s="113"/>
    </row>
    <row r="267" spans="18:26" ht="16.5" customHeight="1">
      <c r="R267" s="258"/>
      <c r="Z267" s="113"/>
    </row>
    <row r="268" spans="18:26" ht="16.5" customHeight="1">
      <c r="R268" s="258"/>
      <c r="Z268" s="113"/>
    </row>
    <row r="269" spans="18:26" ht="16.5" customHeight="1">
      <c r="R269" s="258"/>
      <c r="Z269" s="113"/>
    </row>
    <row r="270" spans="18:26" ht="16.5" customHeight="1">
      <c r="R270" s="258"/>
      <c r="Z270" s="113"/>
    </row>
    <row r="271" spans="18:26" ht="16.5" customHeight="1">
      <c r="R271" s="258"/>
      <c r="Z271" s="113"/>
    </row>
    <row r="272" spans="18:26" ht="16.5" customHeight="1">
      <c r="R272" s="258"/>
      <c r="Z272" s="113"/>
    </row>
    <row r="273" spans="18:26" ht="16.5" customHeight="1">
      <c r="R273" s="258"/>
      <c r="Z273" s="113"/>
    </row>
    <row r="274" spans="18:26" ht="16.5" customHeight="1">
      <c r="R274" s="258"/>
      <c r="Z274" s="113"/>
    </row>
    <row r="275" spans="18:26" ht="16.5" customHeight="1">
      <c r="R275" s="258"/>
      <c r="Z275" s="113"/>
    </row>
    <row r="276" spans="18:26" ht="16.5" customHeight="1">
      <c r="R276" s="258"/>
      <c r="Z276" s="113"/>
    </row>
    <row r="277" spans="18:26" ht="16.5" customHeight="1">
      <c r="R277" s="258"/>
      <c r="Z277" s="113"/>
    </row>
    <row r="278" spans="18:26" ht="16.5" customHeight="1">
      <c r="R278" s="258"/>
      <c r="Z278" s="113"/>
    </row>
    <row r="279" spans="18:26" ht="16.5" customHeight="1">
      <c r="R279" s="258"/>
      <c r="Z279" s="113"/>
    </row>
    <row r="280" spans="18:26" ht="16.5" customHeight="1">
      <c r="R280" s="258"/>
      <c r="Z280" s="113"/>
    </row>
    <row r="281" spans="18:26" ht="16.5" customHeight="1">
      <c r="R281" s="258"/>
      <c r="Z281" s="113"/>
    </row>
    <row r="282" spans="18:26" ht="16.5" customHeight="1">
      <c r="R282" s="258"/>
      <c r="Z282" s="113"/>
    </row>
    <row r="283" spans="18:26" ht="16.5" customHeight="1">
      <c r="R283" s="258"/>
      <c r="Z283" s="113"/>
    </row>
    <row r="284" spans="18:26" ht="16.5" customHeight="1">
      <c r="R284" s="258"/>
      <c r="Z284" s="113"/>
    </row>
    <row r="285" spans="18:26" ht="16.5" customHeight="1">
      <c r="R285" s="258"/>
      <c r="Z285" s="113"/>
    </row>
    <row r="286" spans="18:26" ht="16.5" customHeight="1">
      <c r="R286" s="258"/>
      <c r="Z286" s="113"/>
    </row>
    <row r="287" spans="18:26" ht="16.5" customHeight="1">
      <c r="R287" s="258"/>
      <c r="Z287" s="113"/>
    </row>
    <row r="288" spans="18:26" ht="16.5" customHeight="1">
      <c r="R288" s="258"/>
      <c r="Z288" s="113"/>
    </row>
    <row r="289" spans="18:26" ht="16.5" customHeight="1">
      <c r="R289" s="258"/>
      <c r="Z289" s="113"/>
    </row>
    <row r="290" spans="18:26" ht="16.5" customHeight="1">
      <c r="R290" s="258"/>
      <c r="Z290" s="113"/>
    </row>
    <row r="291" spans="18:26" ht="16.5" customHeight="1">
      <c r="R291" s="258"/>
      <c r="Z291" s="113"/>
    </row>
    <row r="292" spans="18:26" ht="16.5" customHeight="1">
      <c r="R292" s="258"/>
      <c r="Z292" s="113"/>
    </row>
    <row r="293" spans="18:26" ht="16.5" customHeight="1">
      <c r="R293" s="258"/>
      <c r="Z293" s="113"/>
    </row>
    <row r="294" spans="18:26" ht="16.5" customHeight="1">
      <c r="R294" s="258"/>
      <c r="Z294" s="113"/>
    </row>
    <row r="295" spans="18:26" ht="16.5" customHeight="1">
      <c r="R295" s="258"/>
      <c r="Z295" s="113"/>
    </row>
    <row r="296" spans="18:26" ht="16.5" customHeight="1">
      <c r="R296" s="258"/>
      <c r="Z296" s="113"/>
    </row>
    <row r="297" spans="18:26" ht="16.5" customHeight="1">
      <c r="R297" s="258"/>
      <c r="Z297" s="113"/>
    </row>
    <row r="298" spans="18:26" ht="16.5" customHeight="1">
      <c r="R298" s="258"/>
      <c r="Z298" s="113"/>
    </row>
    <row r="299" spans="18:26" ht="16.5" customHeight="1">
      <c r="R299" s="258"/>
      <c r="Z299" s="113"/>
    </row>
    <row r="300" spans="18:26" ht="16.5" customHeight="1">
      <c r="R300" s="258"/>
      <c r="Z300" s="113"/>
    </row>
    <row r="301" spans="18:26" ht="16.5" customHeight="1">
      <c r="R301" s="258"/>
      <c r="Z301" s="113"/>
    </row>
    <row r="302" spans="18:26" ht="16.5" customHeight="1">
      <c r="R302" s="258"/>
      <c r="Z302" s="113"/>
    </row>
    <row r="303" spans="18:26" ht="16.5" customHeight="1">
      <c r="R303" s="258"/>
      <c r="Z303" s="113"/>
    </row>
    <row r="304" spans="18:26" ht="16.5" customHeight="1">
      <c r="R304" s="258"/>
      <c r="Z304" s="113"/>
    </row>
    <row r="305" spans="18:26" ht="16.5" customHeight="1">
      <c r="R305" s="258"/>
      <c r="Z305" s="113"/>
    </row>
    <row r="306" spans="18:26" ht="16.5" customHeight="1">
      <c r="R306" s="258"/>
      <c r="Z306" s="113"/>
    </row>
    <row r="307" spans="18:26" ht="16.5" customHeight="1">
      <c r="R307" s="258"/>
      <c r="Z307" s="113"/>
    </row>
    <row r="308" spans="18:26" ht="16.5" customHeight="1">
      <c r="R308" s="258"/>
      <c r="Z308" s="113"/>
    </row>
    <row r="309" spans="18:26" ht="16.5" customHeight="1">
      <c r="R309" s="258"/>
      <c r="Z309" s="113"/>
    </row>
    <row r="310" spans="18:26" ht="16.5" customHeight="1">
      <c r="R310" s="258"/>
      <c r="Z310" s="113"/>
    </row>
    <row r="311" spans="18:26" ht="16.5" customHeight="1">
      <c r="R311" s="258"/>
      <c r="Z311" s="113"/>
    </row>
    <row r="312" spans="18:26" ht="16.5" customHeight="1">
      <c r="R312" s="258"/>
      <c r="Z312" s="113"/>
    </row>
    <row r="313" spans="18:26" ht="16.5" customHeight="1">
      <c r="R313" s="258"/>
      <c r="Z313" s="113"/>
    </row>
    <row r="314" spans="18:26" ht="16.5" customHeight="1">
      <c r="R314" s="258"/>
      <c r="Z314" s="113"/>
    </row>
    <row r="315" spans="18:26" ht="16.5" customHeight="1">
      <c r="R315" s="258"/>
      <c r="Z315" s="113"/>
    </row>
    <row r="316" spans="18:26" ht="16.5" customHeight="1">
      <c r="R316" s="258"/>
      <c r="Z316" s="113"/>
    </row>
    <row r="317" spans="18:26" ht="16.5" customHeight="1">
      <c r="R317" s="258"/>
      <c r="Z317" s="113"/>
    </row>
    <row r="318" spans="18:26" ht="16.5" customHeight="1">
      <c r="R318" s="258"/>
      <c r="Z318" s="113"/>
    </row>
    <row r="319" spans="18:26" ht="16.5" customHeight="1">
      <c r="R319" s="258"/>
      <c r="Z319" s="113"/>
    </row>
    <row r="320" spans="18:26" ht="16.5" customHeight="1">
      <c r="R320" s="258"/>
      <c r="Z320" s="113"/>
    </row>
    <row r="321" spans="18:26" ht="16.5" customHeight="1">
      <c r="R321" s="258"/>
      <c r="Z321" s="113"/>
    </row>
    <row r="322" spans="18:26" ht="16.5" customHeight="1">
      <c r="R322" s="258"/>
      <c r="Z322" s="113"/>
    </row>
    <row r="323" spans="18:26" ht="16.5" customHeight="1">
      <c r="R323" s="258"/>
      <c r="Z323" s="113"/>
    </row>
    <row r="324" spans="18:26" ht="16.5" customHeight="1">
      <c r="R324" s="258"/>
      <c r="Z324" s="113"/>
    </row>
    <row r="325" spans="18:26" ht="16.5" customHeight="1">
      <c r="R325" s="258"/>
      <c r="Z325" s="113"/>
    </row>
    <row r="326" spans="18:26" ht="16.5" customHeight="1">
      <c r="R326" s="258"/>
      <c r="Z326" s="113"/>
    </row>
    <row r="327" spans="18:26" ht="16.5" customHeight="1">
      <c r="R327" s="258"/>
      <c r="Z327" s="113"/>
    </row>
    <row r="328" spans="18:26" ht="16.5" customHeight="1">
      <c r="R328" s="258"/>
      <c r="Z328" s="113"/>
    </row>
    <row r="329" spans="18:26" ht="16.5" customHeight="1">
      <c r="R329" s="258"/>
      <c r="Z329" s="113"/>
    </row>
    <row r="330" spans="18:26" ht="16.5" customHeight="1">
      <c r="R330" s="258"/>
      <c r="Z330" s="113"/>
    </row>
    <row r="331" spans="18:26" ht="16.5" customHeight="1">
      <c r="R331" s="258"/>
      <c r="Z331" s="113"/>
    </row>
    <row r="332" spans="18:26" ht="16.5" customHeight="1">
      <c r="R332" s="258"/>
      <c r="Z332" s="113"/>
    </row>
    <row r="333" spans="18:26" ht="16.5" customHeight="1">
      <c r="R333" s="258"/>
      <c r="Z333" s="113"/>
    </row>
    <row r="334" spans="18:26" ht="16.5" customHeight="1">
      <c r="R334" s="258"/>
      <c r="Z334" s="113"/>
    </row>
    <row r="335" spans="18:26" ht="16.5" customHeight="1">
      <c r="R335" s="258"/>
      <c r="Z335" s="113"/>
    </row>
    <row r="336" spans="18:26" ht="16.5" customHeight="1">
      <c r="R336" s="258"/>
      <c r="Z336" s="113"/>
    </row>
    <row r="337" spans="18:26" ht="16.5" customHeight="1">
      <c r="R337" s="258"/>
      <c r="Z337" s="113"/>
    </row>
    <row r="338" spans="18:26" ht="16.5" customHeight="1">
      <c r="R338" s="258"/>
      <c r="Z338" s="113"/>
    </row>
    <row r="339" spans="18:26" ht="16.5" customHeight="1">
      <c r="R339" s="258"/>
      <c r="Z339" s="113"/>
    </row>
    <row r="340" spans="18:26" ht="16.5" customHeight="1">
      <c r="R340" s="258"/>
      <c r="Z340" s="113"/>
    </row>
    <row r="341" spans="18:26" ht="16.5" customHeight="1">
      <c r="R341" s="258"/>
      <c r="Z341" s="113"/>
    </row>
    <row r="342" spans="18:26" ht="16.5" customHeight="1">
      <c r="R342" s="258"/>
      <c r="Z342" s="113"/>
    </row>
    <row r="343" spans="18:26" ht="16.5" customHeight="1">
      <c r="R343" s="258"/>
      <c r="Z343" s="113"/>
    </row>
    <row r="344" spans="18:26" ht="16.5" customHeight="1">
      <c r="R344" s="258"/>
      <c r="Z344" s="113"/>
    </row>
    <row r="345" spans="18:26" ht="16.5" customHeight="1">
      <c r="R345" s="258"/>
      <c r="Z345" s="113"/>
    </row>
    <row r="346" spans="18:26" ht="16.5" customHeight="1">
      <c r="R346" s="258"/>
      <c r="Z346" s="113"/>
    </row>
    <row r="347" spans="18:26" ht="16.5" customHeight="1">
      <c r="R347" s="258"/>
      <c r="Z347" s="113"/>
    </row>
    <row r="348" spans="18:26" ht="16.5" customHeight="1">
      <c r="R348" s="258"/>
      <c r="Z348" s="113"/>
    </row>
    <row r="349" spans="18:26" ht="16.5" customHeight="1">
      <c r="R349" s="258"/>
      <c r="Z349" s="113"/>
    </row>
    <row r="350" spans="18:26" ht="16.5" customHeight="1">
      <c r="R350" s="258"/>
      <c r="Z350" s="113"/>
    </row>
    <row r="351" spans="18:26" ht="16.5" customHeight="1">
      <c r="R351" s="258"/>
      <c r="Z351" s="113"/>
    </row>
    <row r="352" spans="18:26" ht="16.5" customHeight="1">
      <c r="R352" s="258"/>
      <c r="Z352" s="113"/>
    </row>
    <row r="353" spans="18:26" ht="16.5" customHeight="1">
      <c r="R353" s="258"/>
      <c r="Z353" s="113"/>
    </row>
    <row r="354" spans="18:26" ht="16.5" customHeight="1">
      <c r="R354" s="258"/>
      <c r="Z354" s="113"/>
    </row>
    <row r="355" spans="18:26" ht="16.5" customHeight="1">
      <c r="R355" s="258"/>
      <c r="Z355" s="113"/>
    </row>
    <row r="356" spans="18:26" ht="16.5" customHeight="1">
      <c r="R356" s="258"/>
      <c r="Z356" s="113"/>
    </row>
    <row r="357" spans="18:26" ht="16.5" customHeight="1">
      <c r="R357" s="258"/>
      <c r="Z357" s="113"/>
    </row>
    <row r="358" spans="18:26" ht="16.5" customHeight="1">
      <c r="R358" s="258"/>
      <c r="Z358" s="113"/>
    </row>
    <row r="359" spans="18:26" ht="16.5" customHeight="1">
      <c r="R359" s="258"/>
      <c r="Z359" s="113"/>
    </row>
    <row r="360" spans="18:26" ht="16.5" customHeight="1">
      <c r="R360" s="258"/>
      <c r="Z360" s="113"/>
    </row>
    <row r="361" spans="18:26" ht="16.5" customHeight="1">
      <c r="R361" s="258"/>
      <c r="Z361" s="113"/>
    </row>
    <row r="362" spans="18:26" ht="16.5" customHeight="1">
      <c r="R362" s="258"/>
      <c r="Z362" s="113"/>
    </row>
    <row r="363" spans="18:26" ht="16.5" customHeight="1">
      <c r="R363" s="258"/>
      <c r="Z363" s="113"/>
    </row>
    <row r="364" spans="18:26" ht="16.5" customHeight="1">
      <c r="R364" s="258"/>
      <c r="Z364" s="113"/>
    </row>
    <row r="365" spans="18:26" ht="16.5" customHeight="1">
      <c r="R365" s="258"/>
      <c r="Z365" s="113"/>
    </row>
    <row r="366" spans="18:26" ht="16.5" customHeight="1">
      <c r="R366" s="258"/>
      <c r="Z366" s="113"/>
    </row>
    <row r="367" spans="18:26" ht="16.5" customHeight="1">
      <c r="R367" s="258"/>
      <c r="Z367" s="113"/>
    </row>
    <row r="368" spans="18:26" ht="16.5" customHeight="1">
      <c r="R368" s="258"/>
      <c r="Z368" s="113"/>
    </row>
    <row r="369" spans="18:26" ht="16.5" customHeight="1">
      <c r="R369" s="258"/>
      <c r="Z369" s="113"/>
    </row>
    <row r="370" spans="18:26" ht="16.5" customHeight="1">
      <c r="R370" s="258"/>
      <c r="Z370" s="113"/>
    </row>
    <row r="371" spans="18:26" ht="16.5" customHeight="1">
      <c r="R371" s="258"/>
      <c r="Z371" s="113"/>
    </row>
    <row r="372" spans="18:26" ht="16.5" customHeight="1">
      <c r="R372" s="258"/>
      <c r="Z372" s="113"/>
    </row>
    <row r="373" spans="18:26" ht="16.5" customHeight="1">
      <c r="Z373" s="113"/>
    </row>
    <row r="374" spans="18:26" ht="16.5" customHeight="1">
      <c r="Z374" s="113"/>
    </row>
    <row r="375" spans="18:26" ht="16.5" customHeight="1">
      <c r="Z375" s="113"/>
    </row>
    <row r="376" spans="18:26" ht="16.5" customHeight="1">
      <c r="Z376" s="113"/>
    </row>
    <row r="377" spans="18:26" ht="16.5" customHeight="1">
      <c r="Z377" s="113"/>
    </row>
    <row r="378" spans="18:26" ht="16.5" customHeight="1">
      <c r="Z378" s="113"/>
    </row>
    <row r="379" spans="18:26" ht="16.5" customHeight="1">
      <c r="Z379" s="113"/>
    </row>
    <row r="380" spans="18:26" ht="16.5" customHeight="1">
      <c r="Z380" s="113"/>
    </row>
    <row r="381" spans="18:26" ht="16.5" customHeight="1">
      <c r="Z381" s="113"/>
    </row>
    <row r="382" spans="18:26" ht="16.5" customHeight="1">
      <c r="Z382" s="113"/>
    </row>
    <row r="383" spans="18:26" ht="16.5" customHeight="1">
      <c r="Z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D59C602-8ED8-4CF7-8AEB-5860F82DD2F9}">
          <x14:formula1>
            <xm:f>공급업체코드!$D$3:$D$100</xm:f>
          </x14:formula1>
          <xm:sqref>E3:E10</xm:sqref>
        </x14:dataValidation>
        <x14:dataValidation type="list" allowBlank="1" showInputMessage="1" showErrorMessage="1" xr:uid="{F59F75A5-C248-454F-AED0-BB9A214F700A}">
          <x14:formula1>
            <xm:f>기계코드!$F$182:$F$184</xm:f>
          </x14:formula1>
          <xm:sqref>C3:C10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9870-D927-4922-9993-55BD2BDF6989}">
  <dimension ref="A1:AG383"/>
  <sheetViews>
    <sheetView zoomScale="70" zoomScaleNormal="70" workbookViewId="0">
      <selection activeCell="F20" sqref="F20"/>
    </sheetView>
  </sheetViews>
  <sheetFormatPr defaultRowHeight="16.5"/>
  <cols>
    <col min="2" max="2" width="32.25" bestFit="1" customWidth="1"/>
    <col min="3" max="3" width="30" customWidth="1"/>
    <col min="4" max="4" width="16.75" bestFit="1" customWidth="1"/>
    <col min="5" max="5" width="15.25" customWidth="1"/>
    <col min="6" max="6" width="16.5" customWidth="1"/>
    <col min="7" max="7" width="15.625" bestFit="1" customWidth="1"/>
    <col min="8" max="8" width="18.875" bestFit="1" customWidth="1"/>
    <col min="9" max="9" width="18.875" customWidth="1"/>
    <col min="10" max="10" width="18.5" customWidth="1"/>
    <col min="11" max="11" width="18.875" customWidth="1"/>
    <col min="12" max="12" width="13" bestFit="1" customWidth="1"/>
    <col min="13" max="13" width="14.375" bestFit="1" customWidth="1"/>
    <col min="14" max="14" width="14.75" bestFit="1" customWidth="1"/>
    <col min="15" max="15" width="20.125" bestFit="1" customWidth="1"/>
    <col min="16" max="16" width="22.125" customWidth="1"/>
    <col min="17" max="17" width="25.375" bestFit="1" customWidth="1"/>
    <col min="18" max="18" width="15.25" bestFit="1" customWidth="1"/>
    <col min="19" max="19" width="16.125" style="261" customWidth="1"/>
    <col min="20" max="20" width="25.75" style="10" bestFit="1" customWidth="1"/>
    <col min="21" max="21" width="16.125" style="260" customWidth="1"/>
    <col min="22" max="22" width="18" style="147" bestFit="1" customWidth="1"/>
    <col min="23" max="23" width="21.25" bestFit="1" customWidth="1"/>
    <col min="24" max="24" width="26.5" style="18" customWidth="1"/>
    <col min="26" max="26" width="11.625" bestFit="1" customWidth="1"/>
    <col min="27" max="27" width="20.625" customWidth="1"/>
  </cols>
  <sheetData>
    <row r="1" spans="1:33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2203</v>
      </c>
      <c r="I1" s="10" t="s">
        <v>1429</v>
      </c>
      <c r="J1" s="10" t="s">
        <v>2204</v>
      </c>
      <c r="K1" s="10" t="s">
        <v>2205</v>
      </c>
      <c r="L1" s="10" t="s">
        <v>1318</v>
      </c>
      <c r="M1" s="10" t="s">
        <v>1319</v>
      </c>
      <c r="N1" s="10" t="s">
        <v>1320</v>
      </c>
      <c r="O1" s="10" t="s">
        <v>1321</v>
      </c>
      <c r="P1" s="10" t="s">
        <v>1322</v>
      </c>
      <c r="Q1" s="10" t="s">
        <v>1323</v>
      </c>
      <c r="R1" s="17" t="s">
        <v>1324</v>
      </c>
      <c r="S1" s="131" t="s">
        <v>1290</v>
      </c>
      <c r="T1" s="131" t="s">
        <v>1291</v>
      </c>
      <c r="U1" s="131" t="s">
        <v>1292</v>
      </c>
      <c r="V1" s="10" t="s">
        <v>1293</v>
      </c>
      <c r="W1" s="17" t="s">
        <v>1294</v>
      </c>
      <c r="X1" s="61" t="s">
        <v>1295</v>
      </c>
      <c r="Y1" s="10" t="s">
        <v>1296</v>
      </c>
      <c r="Z1" s="10" t="s">
        <v>1297</v>
      </c>
      <c r="AA1" s="249" t="s">
        <v>1298</v>
      </c>
      <c r="AB1" s="10"/>
      <c r="AC1" s="10"/>
      <c r="AD1" s="10"/>
      <c r="AE1" s="10"/>
      <c r="AF1" s="10"/>
      <c r="AG1" s="10"/>
    </row>
    <row r="2" spans="1:33">
      <c r="A2" s="1"/>
      <c r="B2" s="97" t="s">
        <v>1439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01" t="s">
        <v>1302</v>
      </c>
      <c r="H2" s="102" t="s">
        <v>2206</v>
      </c>
      <c r="I2" s="112" t="s">
        <v>2207</v>
      </c>
      <c r="J2" s="102" t="s">
        <v>2208</v>
      </c>
      <c r="K2" s="96" t="s">
        <v>1450</v>
      </c>
      <c r="L2" s="103" t="s">
        <v>1371</v>
      </c>
      <c r="M2" s="103" t="s">
        <v>1328</v>
      </c>
      <c r="N2" s="104" t="s">
        <v>1329</v>
      </c>
      <c r="O2" s="103" t="s">
        <v>1330</v>
      </c>
      <c r="P2" s="103" t="s">
        <v>1331</v>
      </c>
      <c r="Q2" s="105" t="s">
        <v>1332</v>
      </c>
      <c r="R2" s="106" t="s">
        <v>1349</v>
      </c>
      <c r="S2" s="5" t="s">
        <v>1305</v>
      </c>
      <c r="T2" s="5" t="s">
        <v>1306</v>
      </c>
      <c r="U2" s="5" t="s">
        <v>1307</v>
      </c>
      <c r="V2" s="107" t="s">
        <v>1308</v>
      </c>
      <c r="W2" s="121" t="s">
        <v>1309</v>
      </c>
      <c r="X2" s="241" t="s">
        <v>1310</v>
      </c>
      <c r="Y2" s="109" t="s">
        <v>1311</v>
      </c>
      <c r="Z2" s="100" t="s">
        <v>10</v>
      </c>
      <c r="AA2" s="242" t="s">
        <v>1312</v>
      </c>
      <c r="AB2" s="1"/>
      <c r="AC2" s="1"/>
      <c r="AD2" s="1"/>
      <c r="AE2" s="41"/>
      <c r="AF2" s="41"/>
      <c r="AG2" s="41"/>
    </row>
    <row r="3" spans="1:33">
      <c r="B3" s="1" t="str">
        <f>D3&amp;"_"&amp;F3&amp;"_"&amp;H3&amp;"_"&amp;I3&amp;"_"&amp;J3</f>
        <v>M_WSP01_VM_DA_MACH_0.5_25_2</v>
      </c>
      <c r="C3" s="92" t="s">
        <v>655</v>
      </c>
      <c r="D3" s="7" t="str" cm="1">
        <f t="array" ref="D3">INDEX(기계코드!$D$4:$D$1022,MATCH(1,(C3=기계코드!$F$4:$F$1022)*1,0))</f>
        <v>M_WSP01</v>
      </c>
      <c r="E3" s="92" t="s">
        <v>2209</v>
      </c>
      <c r="F3" s="7" t="str" cm="1">
        <f t="array" ref="F3">INDEX(공급업체코드!$B$3:$B$1000,MATCH(1,(E3=공급업체코드!$D$3:$D$1000)*1,0))</f>
        <v>VM_DA_MACH</v>
      </c>
      <c r="G3" t="s">
        <v>2210</v>
      </c>
      <c r="H3">
        <v>0.5</v>
      </c>
      <c r="I3">
        <v>25</v>
      </c>
      <c r="J3">
        <v>2</v>
      </c>
      <c r="K3" s="110">
        <v>50</v>
      </c>
      <c r="L3">
        <v>4.4000000000000004</v>
      </c>
      <c r="M3" s="7" t="s">
        <v>984</v>
      </c>
      <c r="N3" s="7">
        <v>380</v>
      </c>
      <c r="O3" s="7">
        <v>0.91700000000000004</v>
      </c>
      <c r="P3" s="7">
        <v>0.9</v>
      </c>
      <c r="Q3" s="7">
        <v>50</v>
      </c>
      <c r="R3">
        <v>11</v>
      </c>
      <c r="S3" s="256" t="s">
        <v>1374</v>
      </c>
      <c r="T3" s="10">
        <f t="shared" ref="T3:T7" si="0">IF(R3&lt;500,1,IF(R3&lt;1000,2,IF(R3&lt;5000,3,4)))</f>
        <v>1</v>
      </c>
      <c r="U3" s="257" t="s">
        <v>1391</v>
      </c>
      <c r="V3" s="153">
        <v>37194000</v>
      </c>
      <c r="W3" s="154"/>
      <c r="X3" s="18" t="s">
        <v>2211</v>
      </c>
      <c r="Y3" s="1" t="b">
        <v>1</v>
      </c>
      <c r="AA3" s="133"/>
      <c r="AE3" s="41"/>
      <c r="AF3" s="41"/>
      <c r="AG3" s="41"/>
    </row>
    <row r="4" spans="1:33">
      <c r="B4" s="1" t="str">
        <f t="shared" ref="B4:B14" si="1">D4&amp;"_"&amp;F4&amp;"_"&amp;H4&amp;"_"&amp;I4&amp;"_"&amp;J4</f>
        <v>M_WSP01_VM_DA_MACH_0.5_25_3</v>
      </c>
      <c r="C4" s="92" t="s">
        <v>655</v>
      </c>
      <c r="D4" s="7" t="str" cm="1">
        <f t="array" ref="D4">INDEX(기계코드!$D$4:$D$1022,MATCH(1,(C4=기계코드!$F$4:$F$1022)*1,0))</f>
        <v>M_WSP01</v>
      </c>
      <c r="E4" s="92" t="s">
        <v>2209</v>
      </c>
      <c r="F4" s="7" t="str" cm="1">
        <f t="array" ref="F4">INDEX(공급업체코드!$B$3:$B$1000,MATCH(1,(E4=공급업체코드!$D$3:$D$1000)*1,0))</f>
        <v>VM_DA_MACH</v>
      </c>
      <c r="G4" t="s">
        <v>2212</v>
      </c>
      <c r="H4">
        <v>0.5</v>
      </c>
      <c r="I4">
        <v>25</v>
      </c>
      <c r="J4">
        <v>3</v>
      </c>
      <c r="K4">
        <v>50</v>
      </c>
      <c r="L4">
        <v>11.100000000000001</v>
      </c>
      <c r="M4" s="7" t="s">
        <v>984</v>
      </c>
      <c r="N4" s="7">
        <v>380</v>
      </c>
      <c r="O4" s="7">
        <v>0.93</v>
      </c>
      <c r="P4" s="7">
        <v>0.9</v>
      </c>
      <c r="Q4" s="7">
        <v>50</v>
      </c>
      <c r="R4">
        <v>11</v>
      </c>
      <c r="S4" s="258" t="s">
        <v>1374</v>
      </c>
      <c r="T4" s="10">
        <f t="shared" si="0"/>
        <v>1</v>
      </c>
      <c r="U4" s="259" t="s">
        <v>1391</v>
      </c>
      <c r="V4" s="155">
        <v>58173600</v>
      </c>
      <c r="W4" s="63"/>
      <c r="X4" s="18" t="s">
        <v>2211</v>
      </c>
      <c r="Y4" s="1" t="b">
        <v>1</v>
      </c>
      <c r="AA4" s="133"/>
      <c r="AE4" s="41"/>
      <c r="AF4" s="41"/>
      <c r="AG4" s="41"/>
    </row>
    <row r="5" spans="1:33">
      <c r="B5" s="1" t="str">
        <f t="shared" si="1"/>
        <v>M_WSP01_VM_DA_MACH_0.7_25_3</v>
      </c>
      <c r="C5" s="92" t="s">
        <v>655</v>
      </c>
      <c r="D5" s="7" t="str" cm="1">
        <f t="array" ref="D5">INDEX(기계코드!$D$4:$D$1022,MATCH(1,(C5=기계코드!$F$4:$F$1022)*1,0))</f>
        <v>M_WSP01</v>
      </c>
      <c r="E5" s="92" t="s">
        <v>2209</v>
      </c>
      <c r="F5" s="7" t="str" cm="1">
        <f t="array" ref="F5">INDEX(공급업체코드!$B$3:$B$1000,MATCH(1,(E5=공급업체코드!$D$3:$D$1000)*1,0))</f>
        <v>VM_DA_MACH</v>
      </c>
      <c r="G5" t="s">
        <v>2213</v>
      </c>
      <c r="H5">
        <v>0.7</v>
      </c>
      <c r="I5">
        <v>25</v>
      </c>
      <c r="J5">
        <v>3</v>
      </c>
      <c r="K5">
        <v>65</v>
      </c>
      <c r="L5">
        <v>16.5</v>
      </c>
      <c r="M5" s="7" t="s">
        <v>984</v>
      </c>
      <c r="N5" s="7">
        <v>380</v>
      </c>
      <c r="O5" s="7">
        <v>0.93599999999999994</v>
      </c>
      <c r="P5" s="7">
        <v>0.9</v>
      </c>
      <c r="Q5" s="7">
        <v>50</v>
      </c>
      <c r="R5">
        <v>11</v>
      </c>
      <c r="S5" s="258" t="s">
        <v>1374</v>
      </c>
      <c r="T5" s="10">
        <f t="shared" si="0"/>
        <v>1</v>
      </c>
      <c r="U5" s="259" t="s">
        <v>1391</v>
      </c>
      <c r="V5" s="155">
        <v>68291760</v>
      </c>
      <c r="W5" s="63"/>
      <c r="X5" s="18" t="s">
        <v>2211</v>
      </c>
      <c r="Y5" s="1" t="b">
        <v>1</v>
      </c>
      <c r="AA5" s="133"/>
      <c r="AE5" s="41"/>
      <c r="AF5" s="41"/>
      <c r="AG5" s="41"/>
    </row>
    <row r="6" spans="1:33">
      <c r="B6" s="1" t="str">
        <f t="shared" si="1"/>
        <v>M_WSP01_VM_DA_MACH_0.7_35_3</v>
      </c>
      <c r="C6" s="92" t="s">
        <v>655</v>
      </c>
      <c r="D6" s="7" t="str" cm="1">
        <f t="array" ref="D6">INDEX(기계코드!$D$4:$D$1022,MATCH(1,(C6=기계코드!$F$4:$F$1022)*1,0))</f>
        <v>M_WSP01</v>
      </c>
      <c r="E6" s="92" t="s">
        <v>2209</v>
      </c>
      <c r="F6" s="7" t="str" cm="1">
        <f t="array" ref="F6">INDEX(공급업체코드!$B$3:$B$1000,MATCH(1,(E6=공급업체코드!$D$3:$D$1000)*1,0))</f>
        <v>VM_DA_MACH</v>
      </c>
      <c r="G6" t="s">
        <v>2214</v>
      </c>
      <c r="H6">
        <v>0.7</v>
      </c>
      <c r="I6">
        <v>35</v>
      </c>
      <c r="J6">
        <v>3</v>
      </c>
      <c r="K6">
        <v>65</v>
      </c>
      <c r="L6">
        <v>22.5</v>
      </c>
      <c r="M6" s="7" t="s">
        <v>984</v>
      </c>
      <c r="N6" s="7">
        <v>380</v>
      </c>
      <c r="O6" s="7">
        <v>0.94099999999999995</v>
      </c>
      <c r="P6" s="7">
        <v>0.9</v>
      </c>
      <c r="Q6" s="7">
        <v>50</v>
      </c>
      <c r="R6">
        <v>11</v>
      </c>
      <c r="S6" s="258" t="s">
        <v>1374</v>
      </c>
      <c r="T6" s="10">
        <f t="shared" si="0"/>
        <v>1</v>
      </c>
      <c r="U6" s="259" t="s">
        <v>1391</v>
      </c>
      <c r="V6" s="155">
        <v>73425600</v>
      </c>
      <c r="W6" s="63"/>
      <c r="X6" s="18" t="s">
        <v>2211</v>
      </c>
      <c r="Y6" s="1" t="b">
        <v>1</v>
      </c>
      <c r="AA6" s="133"/>
      <c r="AE6" s="41"/>
      <c r="AF6" s="41"/>
      <c r="AG6" s="41"/>
    </row>
    <row r="7" spans="1:33">
      <c r="B7" s="1" t="str">
        <f t="shared" si="1"/>
        <v>M_WSP01_VM_DA_MACH_1_40_3</v>
      </c>
      <c r="C7" s="92" t="s">
        <v>655</v>
      </c>
      <c r="D7" s="7" t="str" cm="1">
        <f t="array" ref="D7">INDEX(기계코드!$D$4:$D$1022,MATCH(1,(C7=기계코드!$F$4:$F$1022)*1,0))</f>
        <v>M_WSP01</v>
      </c>
      <c r="E7" s="92" t="s">
        <v>2209</v>
      </c>
      <c r="F7" s="7" t="str" cm="1">
        <f t="array" ref="F7">INDEX(공급업체코드!$B$3:$B$1000,MATCH(1,(E7=공급업체코드!$D$3:$D$1000)*1,0))</f>
        <v>VM_DA_MACH</v>
      </c>
      <c r="G7" t="s">
        <v>2215</v>
      </c>
      <c r="H7">
        <v>1</v>
      </c>
      <c r="I7">
        <v>40</v>
      </c>
      <c r="J7">
        <v>3</v>
      </c>
      <c r="K7">
        <v>65</v>
      </c>
      <c r="L7">
        <v>33</v>
      </c>
      <c r="M7" s="7" t="s">
        <v>984</v>
      </c>
      <c r="N7" s="7">
        <v>380</v>
      </c>
      <c r="O7" s="7">
        <v>0.94499999999999995</v>
      </c>
      <c r="P7" s="7">
        <v>0.9</v>
      </c>
      <c r="Q7" s="7">
        <v>50</v>
      </c>
      <c r="R7">
        <v>11</v>
      </c>
      <c r="S7" s="258" t="s">
        <v>1374</v>
      </c>
      <c r="T7" s="10">
        <f t="shared" si="0"/>
        <v>1</v>
      </c>
      <c r="U7" s="259" t="s">
        <v>1391</v>
      </c>
      <c r="V7" s="155">
        <v>78477120</v>
      </c>
      <c r="W7" s="63"/>
      <c r="X7" s="18" t="s">
        <v>2211</v>
      </c>
      <c r="Y7" s="1" t="b">
        <v>1</v>
      </c>
      <c r="AA7" s="113"/>
      <c r="AE7" s="41"/>
      <c r="AF7" s="41"/>
      <c r="AG7" s="41"/>
    </row>
    <row r="8" spans="1:33">
      <c r="B8" s="1" t="str">
        <f t="shared" si="1"/>
        <v>M_WSP01_VM_DA_MACH_1.2_45_3</v>
      </c>
      <c r="C8" s="92" t="s">
        <v>655</v>
      </c>
      <c r="D8" s="7" t="str" cm="1">
        <f t="array" ref="D8">INDEX(기계코드!$D$4:$D$1022,MATCH(1,(C8=기계코드!$F$4:$F$1022)*1,0))</f>
        <v>M_WSP01</v>
      </c>
      <c r="E8" s="92" t="s">
        <v>2209</v>
      </c>
      <c r="F8" s="7" t="str" cm="1">
        <f t="array" ref="F8">INDEX(공급업체코드!$B$3:$B$1000,MATCH(1,(E8=공급업체코드!$D$3:$D$1000)*1,0))</f>
        <v>VM_DA_MACH</v>
      </c>
      <c r="G8" t="s">
        <v>2216</v>
      </c>
      <c r="H8">
        <v>1.2</v>
      </c>
      <c r="I8">
        <v>45</v>
      </c>
      <c r="J8">
        <v>3</v>
      </c>
      <c r="K8">
        <v>80</v>
      </c>
      <c r="L8">
        <v>45</v>
      </c>
      <c r="M8" s="7" t="s">
        <v>984</v>
      </c>
      <c r="N8" s="7">
        <v>380</v>
      </c>
      <c r="O8" s="7">
        <v>0.95</v>
      </c>
      <c r="P8" s="7">
        <v>0.9</v>
      </c>
      <c r="Q8" s="7">
        <v>50</v>
      </c>
      <c r="R8">
        <v>11</v>
      </c>
      <c r="S8" s="258" t="s">
        <v>1374</v>
      </c>
      <c r="T8" s="10">
        <f t="shared" ref="T8:T14" si="2">IF(R8&lt;500,1,IF(R8&lt;1000,2,IF(R8&lt;5000,3,4)))</f>
        <v>1</v>
      </c>
      <c r="U8" s="259" t="s">
        <v>1391</v>
      </c>
      <c r="V8" s="155">
        <v>90629040</v>
      </c>
      <c r="W8" s="63"/>
      <c r="X8" s="18" t="s">
        <v>2211</v>
      </c>
      <c r="Y8" s="1" t="b">
        <v>1</v>
      </c>
      <c r="AA8" s="113"/>
      <c r="AE8" s="41"/>
      <c r="AF8" s="41"/>
      <c r="AG8" s="41"/>
    </row>
    <row r="9" spans="1:33">
      <c r="B9" s="1" t="str">
        <f t="shared" si="1"/>
        <v>M_WSP01_VM_DA_MACH_1.5_45_3</v>
      </c>
      <c r="C9" s="92" t="s">
        <v>655</v>
      </c>
      <c r="D9" s="7" t="str" cm="1">
        <f t="array" ref="D9">INDEX(기계코드!$D$4:$D$1022,MATCH(1,(C9=기계코드!$F$4:$F$1022)*1,0))</f>
        <v>M_WSP01</v>
      </c>
      <c r="E9" s="92" t="s">
        <v>2209</v>
      </c>
      <c r="F9" s="7" t="str" cm="1">
        <f t="array" ref="F9">INDEX(공급업체코드!$B$3:$B$1000,MATCH(1,(E9=공급업체코드!$D$3:$D$1000)*1,0))</f>
        <v>VM_DA_MACH</v>
      </c>
      <c r="G9" t="s">
        <v>2217</v>
      </c>
      <c r="H9">
        <v>1.5</v>
      </c>
      <c r="I9">
        <v>45</v>
      </c>
      <c r="J9">
        <v>3</v>
      </c>
      <c r="K9">
        <v>80</v>
      </c>
      <c r="L9">
        <v>57</v>
      </c>
      <c r="M9" s="7" t="s">
        <v>984</v>
      </c>
      <c r="N9" s="7">
        <v>380</v>
      </c>
      <c r="O9" s="7">
        <v>0.95400000000000007</v>
      </c>
      <c r="P9" s="7">
        <v>0.9</v>
      </c>
      <c r="Q9" s="7">
        <v>50</v>
      </c>
      <c r="R9">
        <v>11</v>
      </c>
      <c r="S9" s="258" t="s">
        <v>1374</v>
      </c>
      <c r="T9" s="10">
        <f t="shared" si="2"/>
        <v>1</v>
      </c>
      <c r="U9" s="259" t="s">
        <v>1391</v>
      </c>
      <c r="V9" s="155">
        <v>100306320</v>
      </c>
      <c r="W9" s="63"/>
      <c r="X9" s="18" t="s">
        <v>2211</v>
      </c>
      <c r="Y9" s="1" t="b">
        <v>1</v>
      </c>
      <c r="AA9" s="113"/>
      <c r="AE9" s="111"/>
      <c r="AF9" s="111"/>
      <c r="AG9" s="41"/>
    </row>
    <row r="10" spans="1:33">
      <c r="B10" s="1" t="str">
        <f t="shared" si="1"/>
        <v>M_WSP01_VM_DA_MACH_1.5_55_3</v>
      </c>
      <c r="C10" s="92" t="s">
        <v>655</v>
      </c>
      <c r="D10" s="7" t="str" cm="1">
        <f t="array" ref="D10">INDEX(기계코드!$D$4:$D$1022,MATCH(1,(C10=기계코드!$F$4:$F$1022)*1,0))</f>
        <v>M_WSP01</v>
      </c>
      <c r="E10" s="92" t="s">
        <v>2209</v>
      </c>
      <c r="F10" s="7" t="str" cm="1">
        <f t="array" ref="F10">INDEX(공급업체코드!$B$3:$B$1000,MATCH(1,(E10=공급업체코드!$D$3:$D$1000)*1,0))</f>
        <v>VM_DA_MACH</v>
      </c>
      <c r="G10" t="s">
        <v>2218</v>
      </c>
      <c r="H10">
        <v>1.5</v>
      </c>
      <c r="I10">
        <v>55</v>
      </c>
      <c r="J10">
        <v>3</v>
      </c>
      <c r="K10">
        <v>80</v>
      </c>
      <c r="L10">
        <v>66</v>
      </c>
      <c r="M10" s="7" t="s">
        <v>984</v>
      </c>
      <c r="N10" s="7">
        <v>380</v>
      </c>
      <c r="O10" s="7">
        <v>0.95400000000000007</v>
      </c>
      <c r="P10" s="7">
        <v>0.9</v>
      </c>
      <c r="Q10" s="7">
        <v>50</v>
      </c>
      <c r="R10">
        <v>11</v>
      </c>
      <c r="S10" s="258" t="s">
        <v>1374</v>
      </c>
      <c r="T10" s="10">
        <f t="shared" si="2"/>
        <v>1</v>
      </c>
      <c r="U10" s="259" t="s">
        <v>1391</v>
      </c>
      <c r="V10" s="147">
        <v>108315360</v>
      </c>
      <c r="X10" s="18" t="s">
        <v>2211</v>
      </c>
      <c r="Y10" s="1" t="b">
        <v>1</v>
      </c>
      <c r="AA10" s="113"/>
    </row>
    <row r="11" spans="1:33">
      <c r="B11" s="1" t="str">
        <f t="shared" si="1"/>
        <v>M_WSP01_VM_DA_MACH_2_55_3</v>
      </c>
      <c r="C11" s="92" t="s">
        <v>655</v>
      </c>
      <c r="D11" s="7" t="str" cm="1">
        <f t="array" ref="D11">INDEX(기계코드!$D$4:$D$1022,MATCH(1,(C11=기계코드!$F$4:$F$1022)*1,0))</f>
        <v>M_WSP01</v>
      </c>
      <c r="E11" s="92" t="s">
        <v>2209</v>
      </c>
      <c r="F11" s="7" t="str" cm="1">
        <f t="array" ref="F11">INDEX(공급업체코드!$B$3:$B$1000,MATCH(1,(E11=공급업체코드!$D$3:$D$1000)*1,0))</f>
        <v>VM_DA_MACH</v>
      </c>
      <c r="G11" t="s">
        <v>2219</v>
      </c>
      <c r="H11">
        <v>2</v>
      </c>
      <c r="I11">
        <v>55</v>
      </c>
      <c r="J11">
        <v>3</v>
      </c>
      <c r="K11">
        <v>100</v>
      </c>
      <c r="L11">
        <v>90</v>
      </c>
      <c r="M11" s="7" t="s">
        <v>984</v>
      </c>
      <c r="N11" s="7">
        <v>380</v>
      </c>
      <c r="O11" s="7">
        <v>0.95400000000000007</v>
      </c>
      <c r="P11" s="7">
        <v>0.9</v>
      </c>
      <c r="Q11" s="7">
        <v>50</v>
      </c>
      <c r="R11">
        <v>11</v>
      </c>
      <c r="S11" s="258" t="s">
        <v>1374</v>
      </c>
      <c r="T11" s="10">
        <f t="shared" si="2"/>
        <v>1</v>
      </c>
      <c r="U11" s="259" t="s">
        <v>1391</v>
      </c>
      <c r="V11" s="147">
        <v>129737520</v>
      </c>
      <c r="X11" s="18" t="s">
        <v>2211</v>
      </c>
      <c r="Y11" s="1" t="b">
        <v>1</v>
      </c>
      <c r="AA11" s="113"/>
    </row>
    <row r="12" spans="1:33">
      <c r="B12" s="1" t="str">
        <f t="shared" si="1"/>
        <v>M_WSP01_VM_DA_MACH_2_65_3</v>
      </c>
      <c r="C12" s="92" t="s">
        <v>655</v>
      </c>
      <c r="D12" s="7" t="str" cm="1">
        <f t="array" ref="D12">INDEX(기계코드!$D$4:$D$1022,MATCH(1,(C12=기계코드!$F$4:$F$1022)*1,0))</f>
        <v>M_WSP01</v>
      </c>
      <c r="E12" s="92" t="s">
        <v>2209</v>
      </c>
      <c r="F12" s="7" t="str" cm="1">
        <f t="array" ref="F12">INDEX(공급업체코드!$B$3:$B$1000,MATCH(1,(E12=공급업체코드!$D$3:$D$1000)*1,0))</f>
        <v>VM_DA_MACH</v>
      </c>
      <c r="G12" t="s">
        <v>2220</v>
      </c>
      <c r="H12">
        <v>2</v>
      </c>
      <c r="I12">
        <v>65</v>
      </c>
      <c r="J12">
        <v>3</v>
      </c>
      <c r="K12">
        <v>100</v>
      </c>
      <c r="L12">
        <v>111</v>
      </c>
      <c r="M12" s="7" t="s">
        <v>984</v>
      </c>
      <c r="N12" s="7">
        <v>380</v>
      </c>
      <c r="O12" s="7">
        <v>0.95799999999999996</v>
      </c>
      <c r="P12" s="7">
        <v>0.9</v>
      </c>
      <c r="Q12" s="7">
        <v>50</v>
      </c>
      <c r="R12">
        <v>11</v>
      </c>
      <c r="S12" s="258" t="s">
        <v>1374</v>
      </c>
      <c r="T12" s="10">
        <f t="shared" si="2"/>
        <v>1</v>
      </c>
      <c r="U12" s="259" t="s">
        <v>1391</v>
      </c>
      <c r="V12" s="147">
        <v>150722880</v>
      </c>
      <c r="X12" s="18" t="s">
        <v>2211</v>
      </c>
      <c r="Y12" s="1" t="b">
        <v>1</v>
      </c>
      <c r="AA12" s="113"/>
    </row>
    <row r="13" spans="1:33">
      <c r="B13" s="1" t="str">
        <f t="shared" si="1"/>
        <v>M_WSP01_VM_DA_MACH_3_55_3</v>
      </c>
      <c r="C13" s="92" t="s">
        <v>655</v>
      </c>
      <c r="D13" s="7" t="str" cm="1">
        <f t="array" ref="D13">INDEX(기계코드!$D$4:$D$1022,MATCH(1,(C13=기계코드!$F$4:$F$1022)*1,0))</f>
        <v>M_WSP01</v>
      </c>
      <c r="E13" s="92" t="s">
        <v>2209</v>
      </c>
      <c r="F13" s="7" t="str" cm="1">
        <f t="array" ref="F13">INDEX(공급업체코드!$B$3:$B$1000,MATCH(1,(E13=공급업체코드!$D$3:$D$1000)*1,0))</f>
        <v>VM_DA_MACH</v>
      </c>
      <c r="G13" t="s">
        <v>2221</v>
      </c>
      <c r="H13">
        <v>3</v>
      </c>
      <c r="I13">
        <v>55</v>
      </c>
      <c r="J13">
        <v>3</v>
      </c>
      <c r="K13">
        <v>150</v>
      </c>
      <c r="L13">
        <v>135</v>
      </c>
      <c r="M13" s="7" t="s">
        <v>984</v>
      </c>
      <c r="N13" s="7">
        <v>380</v>
      </c>
      <c r="O13" s="7">
        <v>0.96200000000000008</v>
      </c>
      <c r="P13" s="7">
        <v>0.9</v>
      </c>
      <c r="Q13" s="7">
        <v>50</v>
      </c>
      <c r="R13">
        <v>11</v>
      </c>
      <c r="S13" s="258" t="s">
        <v>1374</v>
      </c>
      <c r="T13" s="10">
        <f t="shared" si="2"/>
        <v>1</v>
      </c>
      <c r="U13" s="259" t="s">
        <v>1391</v>
      </c>
      <c r="V13" s="147">
        <v>182613120</v>
      </c>
      <c r="X13" s="18" t="s">
        <v>2211</v>
      </c>
      <c r="Y13" s="1" t="b">
        <v>1</v>
      </c>
      <c r="AA13" s="113"/>
    </row>
    <row r="14" spans="1:33">
      <c r="B14" s="1" t="str">
        <f t="shared" si="1"/>
        <v>M_WSP01_VM_DA_MACH_3_65_3</v>
      </c>
      <c r="C14" s="92" t="s">
        <v>655</v>
      </c>
      <c r="D14" s="7" t="str" cm="1">
        <f t="array" ref="D14">INDEX(기계코드!$D$4:$D$1022,MATCH(1,(C14=기계코드!$F$4:$F$1022)*1,0))</f>
        <v>M_WSP01</v>
      </c>
      <c r="E14" s="92" t="s">
        <v>2209</v>
      </c>
      <c r="F14" s="7" t="str" cm="1">
        <f t="array" ref="F14">INDEX(공급업체코드!$B$3:$B$1000,MATCH(1,(E14=공급업체코드!$D$3:$D$1000)*1,0))</f>
        <v>VM_DA_MACH</v>
      </c>
      <c r="G14" t="s">
        <v>2222</v>
      </c>
      <c r="H14">
        <v>3</v>
      </c>
      <c r="I14">
        <v>65</v>
      </c>
      <c r="J14">
        <v>3</v>
      </c>
      <c r="K14">
        <v>150</v>
      </c>
      <c r="L14">
        <v>165</v>
      </c>
      <c r="M14" s="7" t="s">
        <v>984</v>
      </c>
      <c r="N14" s="7">
        <v>380</v>
      </c>
      <c r="O14" s="7">
        <v>0.96200000000000008</v>
      </c>
      <c r="P14" s="7">
        <v>0.9</v>
      </c>
      <c r="Q14" s="7">
        <v>50</v>
      </c>
      <c r="R14">
        <v>11</v>
      </c>
      <c r="S14" s="258" t="s">
        <v>1374</v>
      </c>
      <c r="T14" s="10">
        <f t="shared" si="2"/>
        <v>1</v>
      </c>
      <c r="U14" s="259" t="s">
        <v>1391</v>
      </c>
      <c r="V14" s="147">
        <v>212963280</v>
      </c>
      <c r="X14" s="18" t="s">
        <v>2211</v>
      </c>
      <c r="Y14" s="1" t="b">
        <v>1</v>
      </c>
      <c r="AA14" s="113"/>
    </row>
    <row r="15" spans="1:33">
      <c r="B15" s="1"/>
      <c r="C15" s="92"/>
      <c r="D15" s="92"/>
      <c r="E15" s="92"/>
      <c r="F15" s="92"/>
      <c r="S15" s="258"/>
      <c r="U15" s="259"/>
      <c r="Y15" s="1"/>
      <c r="AA15" s="113"/>
    </row>
    <row r="16" spans="1:33">
      <c r="B16" s="1"/>
      <c r="C16" s="92"/>
      <c r="D16" s="92"/>
      <c r="E16" s="92"/>
      <c r="F16" s="92"/>
      <c r="S16" s="258"/>
      <c r="U16" s="259"/>
      <c r="Y16" s="1"/>
      <c r="AA16" s="113"/>
    </row>
    <row r="17" spans="2:27">
      <c r="B17" s="1"/>
      <c r="C17" s="92"/>
      <c r="D17" s="92"/>
      <c r="E17" s="92"/>
      <c r="F17" s="92"/>
      <c r="S17" s="258"/>
      <c r="U17" s="259"/>
      <c r="Y17" s="1"/>
      <c r="AA17" s="113"/>
    </row>
    <row r="18" spans="2:27">
      <c r="B18" s="1"/>
      <c r="C18" s="92"/>
      <c r="D18" s="92"/>
      <c r="E18" s="92"/>
      <c r="F18" s="92"/>
      <c r="S18" s="258"/>
      <c r="U18" s="259"/>
      <c r="Y18" s="1"/>
      <c r="AA18" s="113"/>
    </row>
    <row r="19" spans="2:27">
      <c r="B19" s="1"/>
      <c r="C19" s="92"/>
      <c r="D19" s="92"/>
      <c r="E19" s="92"/>
      <c r="F19" s="92"/>
      <c r="S19" s="258"/>
      <c r="U19" s="259"/>
      <c r="Y19" s="1"/>
      <c r="AA19" s="113"/>
    </row>
    <row r="20" spans="2:27">
      <c r="B20" s="1"/>
      <c r="C20" s="92"/>
      <c r="D20" s="92"/>
      <c r="E20" s="92"/>
      <c r="F20" s="92"/>
      <c r="J20" s="34"/>
      <c r="S20" s="258"/>
      <c r="U20" s="259"/>
      <c r="Y20" s="1"/>
      <c r="AA20" s="113"/>
    </row>
    <row r="21" spans="2:27">
      <c r="B21" s="1"/>
      <c r="C21" s="92"/>
      <c r="D21" s="92"/>
      <c r="E21" s="92"/>
      <c r="F21" s="92"/>
      <c r="J21" s="34"/>
      <c r="S21" s="258"/>
      <c r="U21" s="259"/>
      <c r="Y21" s="1"/>
      <c r="AA21" s="113"/>
    </row>
    <row r="22" spans="2:27">
      <c r="B22" s="1"/>
      <c r="C22" s="92"/>
      <c r="D22" s="92"/>
      <c r="E22" s="92"/>
      <c r="F22" s="92"/>
      <c r="J22" s="34"/>
      <c r="S22" s="258"/>
      <c r="U22" s="259"/>
      <c r="Y22" s="1"/>
      <c r="AA22" s="113"/>
    </row>
    <row r="23" spans="2:27">
      <c r="B23" s="1"/>
      <c r="C23" s="92"/>
      <c r="D23" s="92"/>
      <c r="E23" s="92"/>
      <c r="F23" s="92"/>
      <c r="J23" s="34"/>
      <c r="S23" s="258"/>
      <c r="U23" s="259"/>
      <c r="Y23" s="1"/>
      <c r="AA23" s="113"/>
    </row>
    <row r="24" spans="2:27">
      <c r="B24" s="1"/>
      <c r="C24" s="92"/>
      <c r="D24" s="92"/>
      <c r="E24" s="92"/>
      <c r="F24" s="92"/>
      <c r="J24" s="34"/>
      <c r="S24" s="258"/>
      <c r="U24" s="259"/>
      <c r="Y24" s="1"/>
      <c r="AA24" s="113"/>
    </row>
    <row r="25" spans="2:27">
      <c r="B25" s="1"/>
      <c r="C25" s="92"/>
      <c r="D25" s="92"/>
      <c r="E25" s="92"/>
      <c r="F25" s="92"/>
      <c r="J25" s="34"/>
      <c r="S25" s="258"/>
      <c r="U25" s="259"/>
      <c r="Y25" s="1"/>
      <c r="AA25" s="113"/>
    </row>
    <row r="26" spans="2:27">
      <c r="B26" s="1"/>
      <c r="C26" s="92"/>
      <c r="D26" s="92"/>
      <c r="E26" s="92"/>
      <c r="F26" s="92"/>
      <c r="J26" s="34"/>
      <c r="S26" s="258"/>
      <c r="U26" s="259"/>
      <c r="Y26" s="1"/>
      <c r="AA26" s="113"/>
    </row>
    <row r="27" spans="2:27">
      <c r="B27" s="1"/>
      <c r="C27" s="92"/>
      <c r="D27" s="92"/>
      <c r="E27" s="92"/>
      <c r="F27" s="92"/>
      <c r="J27" s="34"/>
      <c r="S27" s="258"/>
      <c r="U27" s="259"/>
      <c r="Y27" s="1"/>
      <c r="AA27" s="113"/>
    </row>
    <row r="28" spans="2:27">
      <c r="J28" s="34"/>
      <c r="S28" s="258"/>
      <c r="U28" s="259"/>
      <c r="AA28" s="113"/>
    </row>
    <row r="29" spans="2:27">
      <c r="J29" s="34"/>
      <c r="S29" s="258"/>
      <c r="U29" s="259"/>
      <c r="AA29" s="113"/>
    </row>
    <row r="30" spans="2:27">
      <c r="J30" s="34"/>
      <c r="S30" s="258"/>
      <c r="U30" s="259"/>
      <c r="AA30" s="113"/>
    </row>
    <row r="31" spans="2:27">
      <c r="J31" s="34"/>
      <c r="S31" s="258"/>
      <c r="U31" s="259"/>
      <c r="AA31" s="113"/>
    </row>
    <row r="32" spans="2:27">
      <c r="S32" s="258"/>
      <c r="U32" s="259"/>
      <c r="AA32" s="113"/>
    </row>
    <row r="33" spans="19:27">
      <c r="S33" s="258"/>
      <c r="U33" s="259"/>
      <c r="AA33" s="113"/>
    </row>
    <row r="34" spans="19:27">
      <c r="S34" s="258"/>
      <c r="U34" s="259"/>
      <c r="AA34" s="113"/>
    </row>
    <row r="35" spans="19:27">
      <c r="S35" s="258"/>
      <c r="U35" s="259"/>
      <c r="AA35" s="113"/>
    </row>
    <row r="36" spans="19:27">
      <c r="S36" s="258"/>
      <c r="U36" s="259"/>
      <c r="AA36" s="113"/>
    </row>
    <row r="37" spans="19:27">
      <c r="S37" s="258"/>
      <c r="U37" s="259"/>
      <c r="AA37" s="113"/>
    </row>
    <row r="38" spans="19:27">
      <c r="S38" s="258"/>
      <c r="U38" s="259"/>
      <c r="AA38" s="113"/>
    </row>
    <row r="39" spans="19:27">
      <c r="S39" s="258"/>
      <c r="U39" s="259"/>
      <c r="AA39" s="113"/>
    </row>
    <row r="40" spans="19:27">
      <c r="S40" s="258"/>
      <c r="U40" s="259"/>
      <c r="AA40" s="113"/>
    </row>
    <row r="41" spans="19:27">
      <c r="S41" s="258"/>
      <c r="U41" s="259"/>
      <c r="AA41" s="113"/>
    </row>
    <row r="42" spans="19:27">
      <c r="S42" s="258"/>
      <c r="U42" s="259"/>
      <c r="AA42" s="113"/>
    </row>
    <row r="43" spans="19:27">
      <c r="S43" s="258"/>
      <c r="U43" s="259"/>
      <c r="AA43" s="113"/>
    </row>
    <row r="44" spans="19:27">
      <c r="S44" s="258"/>
      <c r="U44" s="259"/>
      <c r="AA44" s="113"/>
    </row>
    <row r="45" spans="19:27">
      <c r="S45" s="258"/>
      <c r="U45" s="259"/>
      <c r="AA45" s="113"/>
    </row>
    <row r="46" spans="19:27">
      <c r="S46" s="258"/>
      <c r="U46" s="259"/>
      <c r="AA46" s="113"/>
    </row>
    <row r="47" spans="19:27">
      <c r="S47" s="258"/>
      <c r="U47" s="259"/>
      <c r="AA47" s="113"/>
    </row>
    <row r="48" spans="19:27">
      <c r="S48" s="258"/>
      <c r="U48" s="259"/>
      <c r="AA48" s="113"/>
    </row>
    <row r="49" spans="19:27">
      <c r="S49" s="258"/>
      <c r="U49" s="259"/>
      <c r="AA49" s="113"/>
    </row>
    <row r="50" spans="19:27">
      <c r="S50" s="258"/>
      <c r="U50" s="259"/>
      <c r="AA50" s="113"/>
    </row>
    <row r="51" spans="19:27">
      <c r="S51" s="258"/>
      <c r="U51" s="259"/>
      <c r="AA51" s="113"/>
    </row>
    <row r="52" spans="19:27">
      <c r="S52" s="258"/>
      <c r="U52" s="259"/>
      <c r="AA52" s="113"/>
    </row>
    <row r="53" spans="19:27">
      <c r="S53" s="258"/>
      <c r="U53" s="259"/>
      <c r="AA53" s="113"/>
    </row>
    <row r="54" spans="19:27">
      <c r="S54" s="258"/>
      <c r="U54" s="259"/>
      <c r="AA54" s="113"/>
    </row>
    <row r="55" spans="19:27">
      <c r="S55" s="258"/>
      <c r="U55" s="259"/>
      <c r="AA55" s="113"/>
    </row>
    <row r="56" spans="19:27">
      <c r="S56" s="258"/>
      <c r="U56" s="259"/>
      <c r="AA56" s="113"/>
    </row>
    <row r="57" spans="19:27">
      <c r="S57" s="258"/>
      <c r="U57" s="259"/>
      <c r="AA57" s="113"/>
    </row>
    <row r="58" spans="19:27">
      <c r="S58" s="258"/>
      <c r="U58" s="259"/>
      <c r="AA58" s="113"/>
    </row>
    <row r="59" spans="19:27">
      <c r="S59" s="258"/>
      <c r="U59" s="259"/>
      <c r="AA59" s="113"/>
    </row>
    <row r="60" spans="19:27">
      <c r="S60" s="258"/>
      <c r="U60" s="259"/>
      <c r="AA60" s="113"/>
    </row>
    <row r="61" spans="19:27">
      <c r="S61" s="258"/>
      <c r="U61" s="259"/>
      <c r="AA61" s="113"/>
    </row>
    <row r="62" spans="19:27">
      <c r="S62" s="258"/>
      <c r="U62" s="259"/>
      <c r="AA62" s="113"/>
    </row>
    <row r="63" spans="19:27">
      <c r="S63" s="258"/>
      <c r="U63" s="259"/>
      <c r="AA63" s="113"/>
    </row>
    <row r="64" spans="19:27">
      <c r="S64" s="258"/>
      <c r="U64" s="259"/>
      <c r="AA64" s="113"/>
    </row>
    <row r="65" spans="19:27">
      <c r="S65" s="258"/>
      <c r="U65" s="259"/>
      <c r="AA65" s="113"/>
    </row>
    <row r="66" spans="19:27">
      <c r="S66" s="258"/>
      <c r="U66" s="259"/>
      <c r="AA66" s="113"/>
    </row>
    <row r="67" spans="19:27">
      <c r="S67" s="258"/>
      <c r="U67" s="259"/>
      <c r="AA67" s="113"/>
    </row>
    <row r="68" spans="19:27">
      <c r="S68" s="258"/>
      <c r="U68" s="259"/>
      <c r="AA68" s="113"/>
    </row>
    <row r="69" spans="19:27">
      <c r="S69" s="258"/>
      <c r="U69" s="259"/>
      <c r="AA69" s="113"/>
    </row>
    <row r="70" spans="19:27">
      <c r="S70" s="258"/>
      <c r="U70" s="259"/>
      <c r="AA70" s="113"/>
    </row>
    <row r="71" spans="19:27">
      <c r="S71" s="258"/>
      <c r="U71" s="259"/>
      <c r="AA71" s="113"/>
    </row>
    <row r="72" spans="19:27">
      <c r="S72" s="258"/>
      <c r="U72" s="259"/>
      <c r="AA72" s="113"/>
    </row>
    <row r="73" spans="19:27">
      <c r="S73" s="258"/>
      <c r="U73" s="259"/>
      <c r="AA73" s="113"/>
    </row>
    <row r="74" spans="19:27">
      <c r="S74" s="258"/>
      <c r="U74" s="259"/>
      <c r="AA74" s="113"/>
    </row>
    <row r="75" spans="19:27">
      <c r="S75" s="258"/>
      <c r="U75" s="259"/>
      <c r="AA75" s="113"/>
    </row>
    <row r="76" spans="19:27">
      <c r="S76" s="258"/>
      <c r="U76" s="259"/>
      <c r="AA76" s="113"/>
    </row>
    <row r="77" spans="19:27">
      <c r="S77" s="258"/>
      <c r="U77" s="259"/>
      <c r="AA77" s="113"/>
    </row>
    <row r="78" spans="19:27">
      <c r="S78" s="258"/>
      <c r="U78" s="259"/>
      <c r="AA78" s="113"/>
    </row>
    <row r="79" spans="19:27">
      <c r="S79" s="258"/>
      <c r="U79" s="259"/>
      <c r="AA79" s="113"/>
    </row>
    <row r="80" spans="19:27">
      <c r="S80" s="258"/>
      <c r="U80" s="259"/>
      <c r="AA80" s="113"/>
    </row>
    <row r="81" spans="19:27">
      <c r="S81" s="258"/>
      <c r="U81" s="259"/>
      <c r="AA81" s="113"/>
    </row>
    <row r="82" spans="19:27">
      <c r="S82" s="258"/>
      <c r="U82" s="259"/>
      <c r="AA82" s="113"/>
    </row>
    <row r="83" spans="19:27">
      <c r="S83" s="258"/>
      <c r="U83" s="259"/>
      <c r="AA83" s="113"/>
    </row>
    <row r="84" spans="19:27">
      <c r="S84" s="258"/>
      <c r="U84" s="259"/>
      <c r="AA84" s="113"/>
    </row>
    <row r="85" spans="19:27">
      <c r="S85" s="258"/>
      <c r="U85" s="259"/>
      <c r="AA85" s="113"/>
    </row>
    <row r="86" spans="19:27">
      <c r="S86" s="258"/>
      <c r="U86" s="259"/>
      <c r="AA86" s="113"/>
    </row>
    <row r="87" spans="19:27">
      <c r="S87" s="258"/>
      <c r="U87" s="259"/>
      <c r="AA87" s="113"/>
    </row>
    <row r="88" spans="19:27">
      <c r="S88" s="258"/>
      <c r="U88" s="259"/>
      <c r="AA88" s="113"/>
    </row>
    <row r="89" spans="19:27">
      <c r="S89" s="258"/>
      <c r="U89" s="259"/>
      <c r="AA89" s="113"/>
    </row>
    <row r="90" spans="19:27">
      <c r="S90" s="258"/>
      <c r="U90" s="259"/>
      <c r="AA90" s="113"/>
    </row>
    <row r="91" spans="19:27">
      <c r="S91" s="258"/>
      <c r="U91" s="259"/>
      <c r="AA91" s="113"/>
    </row>
    <row r="92" spans="19:27">
      <c r="S92" s="258"/>
      <c r="U92" s="259"/>
      <c r="AA92" s="113"/>
    </row>
    <row r="93" spans="19:27">
      <c r="S93" s="258"/>
      <c r="U93" s="259"/>
      <c r="AA93" s="113"/>
    </row>
    <row r="94" spans="19:27">
      <c r="S94" s="258"/>
      <c r="U94" s="259"/>
      <c r="AA94" s="113"/>
    </row>
    <row r="95" spans="19:27">
      <c r="S95" s="258"/>
      <c r="U95" s="259"/>
      <c r="AA95" s="113"/>
    </row>
    <row r="96" spans="19:27">
      <c r="S96" s="258"/>
      <c r="U96" s="259"/>
      <c r="AA96" s="113"/>
    </row>
    <row r="97" spans="19:27">
      <c r="S97" s="258"/>
      <c r="U97" s="259"/>
      <c r="AA97" s="113"/>
    </row>
    <row r="98" spans="19:27">
      <c r="S98" s="258"/>
      <c r="U98" s="259"/>
      <c r="AA98" s="113"/>
    </row>
    <row r="99" spans="19:27">
      <c r="S99" s="258"/>
      <c r="U99" s="259"/>
      <c r="AA99" s="113"/>
    </row>
    <row r="100" spans="19:27">
      <c r="S100" s="258"/>
      <c r="U100" s="259"/>
      <c r="AA100" s="113"/>
    </row>
    <row r="101" spans="19:27">
      <c r="S101" s="258"/>
      <c r="U101" s="259"/>
      <c r="AA101" s="113"/>
    </row>
    <row r="102" spans="19:27">
      <c r="S102" s="258"/>
      <c r="U102" s="259"/>
      <c r="AA102" s="113"/>
    </row>
    <row r="103" spans="19:27">
      <c r="S103" s="258"/>
      <c r="U103" s="259"/>
      <c r="AA103" s="113"/>
    </row>
    <row r="104" spans="19:27">
      <c r="S104" s="258"/>
      <c r="U104" s="259"/>
      <c r="AA104" s="113"/>
    </row>
    <row r="105" spans="19:27">
      <c r="S105" s="258"/>
      <c r="U105" s="259"/>
      <c r="AA105" s="113"/>
    </row>
    <row r="106" spans="19:27">
      <c r="S106" s="258"/>
      <c r="U106" s="259"/>
      <c r="AA106" s="113"/>
    </row>
    <row r="107" spans="19:27">
      <c r="S107" s="258"/>
      <c r="U107" s="259"/>
      <c r="AA107" s="113"/>
    </row>
    <row r="108" spans="19:27">
      <c r="S108" s="258"/>
      <c r="U108" s="259"/>
      <c r="AA108" s="113"/>
    </row>
    <row r="109" spans="19:27">
      <c r="S109" s="258"/>
      <c r="U109" s="259"/>
      <c r="AA109" s="113"/>
    </row>
    <row r="110" spans="19:27">
      <c r="S110" s="258"/>
      <c r="U110" s="259"/>
      <c r="AA110" s="113"/>
    </row>
    <row r="111" spans="19:27">
      <c r="S111" s="258"/>
      <c r="U111" s="259"/>
      <c r="AA111" s="113"/>
    </row>
    <row r="112" spans="19:27">
      <c r="S112" s="258"/>
      <c r="U112" s="259"/>
      <c r="AA112" s="113"/>
    </row>
    <row r="113" spans="19:27">
      <c r="S113" s="258"/>
      <c r="U113" s="259"/>
      <c r="AA113" s="113"/>
    </row>
    <row r="114" spans="19:27">
      <c r="S114" s="258"/>
      <c r="U114" s="259"/>
      <c r="AA114" s="113"/>
    </row>
    <row r="115" spans="19:27">
      <c r="S115" s="258"/>
      <c r="U115" s="259"/>
      <c r="AA115" s="113"/>
    </row>
    <row r="116" spans="19:27">
      <c r="S116" s="258"/>
      <c r="U116" s="259"/>
      <c r="AA116" s="113"/>
    </row>
    <row r="117" spans="19:27">
      <c r="S117" s="258"/>
      <c r="U117" s="259"/>
      <c r="AA117" s="113"/>
    </row>
    <row r="118" spans="19:27">
      <c r="S118" s="258"/>
      <c r="U118" s="259"/>
      <c r="AA118" s="113"/>
    </row>
    <row r="119" spans="19:27">
      <c r="S119" s="258"/>
      <c r="U119" s="259"/>
      <c r="AA119" s="113"/>
    </row>
    <row r="120" spans="19:27">
      <c r="S120" s="258"/>
      <c r="U120" s="259"/>
      <c r="AA120" s="113"/>
    </row>
    <row r="121" spans="19:27">
      <c r="S121" s="258"/>
      <c r="U121" s="259"/>
      <c r="AA121" s="113"/>
    </row>
    <row r="122" spans="19:27">
      <c r="S122" s="258"/>
      <c r="U122" s="259"/>
      <c r="AA122" s="113"/>
    </row>
    <row r="123" spans="19:27">
      <c r="S123" s="258"/>
      <c r="U123" s="259"/>
      <c r="AA123" s="113"/>
    </row>
    <row r="124" spans="19:27">
      <c r="S124" s="258"/>
      <c r="U124" s="259"/>
      <c r="AA124" s="113"/>
    </row>
    <row r="125" spans="19:27">
      <c r="S125" s="258"/>
      <c r="U125" s="259"/>
      <c r="AA125" s="113"/>
    </row>
    <row r="126" spans="19:27">
      <c r="S126" s="258"/>
      <c r="U126" s="259"/>
      <c r="AA126" s="113"/>
    </row>
    <row r="127" spans="19:27">
      <c r="S127" s="258"/>
      <c r="U127" s="259"/>
      <c r="AA127" s="113"/>
    </row>
    <row r="128" spans="19:27">
      <c r="S128" s="258"/>
      <c r="U128" s="259"/>
      <c r="AA128" s="113"/>
    </row>
    <row r="129" spans="19:27">
      <c r="S129" s="258"/>
      <c r="U129" s="259"/>
      <c r="AA129" s="113"/>
    </row>
    <row r="130" spans="19:27">
      <c r="S130" s="258"/>
      <c r="U130" s="259"/>
      <c r="AA130" s="113"/>
    </row>
    <row r="131" spans="19:27">
      <c r="S131" s="258"/>
      <c r="AA131" s="113"/>
    </row>
    <row r="132" spans="19:27">
      <c r="S132" s="258"/>
      <c r="AA132" s="113"/>
    </row>
    <row r="133" spans="19:27">
      <c r="S133" s="258"/>
      <c r="AA133" s="113"/>
    </row>
    <row r="134" spans="19:27">
      <c r="S134" s="258"/>
      <c r="AA134" s="113"/>
    </row>
    <row r="135" spans="19:27">
      <c r="S135" s="258"/>
      <c r="AA135" s="113"/>
    </row>
    <row r="136" spans="19:27">
      <c r="S136" s="258"/>
      <c r="AA136" s="113"/>
    </row>
    <row r="137" spans="19:27">
      <c r="S137" s="258"/>
      <c r="AA137" s="113"/>
    </row>
    <row r="138" spans="19:27">
      <c r="S138" s="258"/>
      <c r="AA138" s="113"/>
    </row>
    <row r="139" spans="19:27">
      <c r="S139" s="258"/>
      <c r="AA139" s="113"/>
    </row>
    <row r="140" spans="19:27">
      <c r="S140" s="258"/>
      <c r="AA140" s="113"/>
    </row>
    <row r="141" spans="19:27">
      <c r="S141" s="258"/>
      <c r="AA141" s="113"/>
    </row>
    <row r="142" spans="19:27">
      <c r="S142" s="258"/>
      <c r="AA142" s="113"/>
    </row>
    <row r="143" spans="19:27">
      <c r="S143" s="258"/>
      <c r="AA143" s="113"/>
    </row>
    <row r="144" spans="19:27">
      <c r="S144" s="258"/>
      <c r="AA144" s="113"/>
    </row>
    <row r="145" spans="19:27">
      <c r="S145" s="258"/>
      <c r="AA145" s="113"/>
    </row>
    <row r="146" spans="19:27">
      <c r="S146" s="258"/>
      <c r="AA146" s="113"/>
    </row>
    <row r="147" spans="19:27">
      <c r="S147" s="258"/>
      <c r="AA147" s="113"/>
    </row>
    <row r="148" spans="19:27">
      <c r="S148" s="258"/>
      <c r="AA148" s="113"/>
    </row>
    <row r="149" spans="19:27">
      <c r="S149" s="258"/>
      <c r="AA149" s="113"/>
    </row>
    <row r="150" spans="19:27">
      <c r="S150" s="258"/>
      <c r="AA150" s="113"/>
    </row>
    <row r="151" spans="19:27">
      <c r="S151" s="258"/>
      <c r="AA151" s="113"/>
    </row>
    <row r="152" spans="19:27">
      <c r="S152" s="258"/>
      <c r="AA152" s="113"/>
    </row>
    <row r="153" spans="19:27">
      <c r="S153" s="258"/>
      <c r="AA153" s="113"/>
    </row>
    <row r="154" spans="19:27">
      <c r="S154" s="258"/>
      <c r="AA154" s="113"/>
    </row>
    <row r="155" spans="19:27">
      <c r="S155" s="258"/>
      <c r="AA155" s="113"/>
    </row>
    <row r="156" spans="19:27">
      <c r="S156" s="258"/>
      <c r="AA156" s="113"/>
    </row>
    <row r="157" spans="19:27">
      <c r="S157" s="258"/>
      <c r="AA157" s="113"/>
    </row>
    <row r="158" spans="19:27">
      <c r="S158" s="258"/>
      <c r="AA158" s="113"/>
    </row>
    <row r="159" spans="19:27">
      <c r="S159" s="258"/>
      <c r="AA159" s="113"/>
    </row>
    <row r="160" spans="19:27">
      <c r="S160" s="258"/>
      <c r="AA160" s="113"/>
    </row>
    <row r="161" spans="19:27">
      <c r="S161" s="258"/>
      <c r="AA161" s="113"/>
    </row>
    <row r="162" spans="19:27">
      <c r="S162" s="258"/>
      <c r="AA162" s="113"/>
    </row>
    <row r="163" spans="19:27">
      <c r="S163" s="258"/>
      <c r="AA163" s="113"/>
    </row>
    <row r="164" spans="19:27">
      <c r="S164" s="258"/>
      <c r="AA164" s="113"/>
    </row>
    <row r="165" spans="19:27">
      <c r="S165" s="258"/>
      <c r="AA165" s="113"/>
    </row>
    <row r="166" spans="19:27">
      <c r="S166" s="258"/>
      <c r="AA166" s="113"/>
    </row>
    <row r="167" spans="19:27">
      <c r="S167" s="258"/>
      <c r="AA167" s="113"/>
    </row>
    <row r="168" spans="19:27">
      <c r="S168" s="258"/>
      <c r="AA168" s="113"/>
    </row>
    <row r="169" spans="19:27">
      <c r="S169" s="258"/>
      <c r="AA169" s="113"/>
    </row>
    <row r="170" spans="19:27">
      <c r="S170" s="258"/>
      <c r="AA170" s="113"/>
    </row>
    <row r="171" spans="19:27">
      <c r="S171" s="258"/>
      <c r="AA171" s="113"/>
    </row>
    <row r="172" spans="19:27">
      <c r="S172" s="258"/>
      <c r="AA172" s="113"/>
    </row>
    <row r="173" spans="19:27">
      <c r="S173" s="258"/>
      <c r="AA173" s="113"/>
    </row>
    <row r="174" spans="19:27">
      <c r="S174" s="258"/>
      <c r="AA174" s="113"/>
    </row>
    <row r="175" spans="19:27">
      <c r="S175" s="258"/>
      <c r="AA175" s="113"/>
    </row>
    <row r="176" spans="19:27">
      <c r="S176" s="258"/>
      <c r="AA176" s="113"/>
    </row>
    <row r="177" spans="19:27">
      <c r="S177" s="258"/>
      <c r="AA177" s="113"/>
    </row>
    <row r="178" spans="19:27">
      <c r="S178" s="258"/>
      <c r="AA178" s="113"/>
    </row>
    <row r="179" spans="19:27">
      <c r="S179" s="258"/>
      <c r="AA179" s="113"/>
    </row>
    <row r="180" spans="19:27">
      <c r="S180" s="258"/>
      <c r="AA180" s="113"/>
    </row>
    <row r="181" spans="19:27">
      <c r="S181" s="258"/>
      <c r="AA181" s="113"/>
    </row>
    <row r="182" spans="19:27">
      <c r="S182" s="258"/>
      <c r="AA182" s="113"/>
    </row>
    <row r="183" spans="19:27">
      <c r="S183" s="258"/>
      <c r="AA183" s="113"/>
    </row>
    <row r="184" spans="19:27">
      <c r="S184" s="258"/>
      <c r="AA184" s="113"/>
    </row>
    <row r="185" spans="19:27">
      <c r="S185" s="258"/>
      <c r="AA185" s="113"/>
    </row>
    <row r="186" spans="19:27">
      <c r="S186" s="258"/>
      <c r="AA186" s="113"/>
    </row>
    <row r="187" spans="19:27">
      <c r="S187" s="258"/>
      <c r="AA187" s="113"/>
    </row>
    <row r="188" spans="19:27">
      <c r="S188" s="258"/>
      <c r="AA188" s="113"/>
    </row>
    <row r="189" spans="19:27">
      <c r="S189" s="258"/>
      <c r="AA189" s="113"/>
    </row>
    <row r="190" spans="19:27">
      <c r="S190" s="258"/>
      <c r="AA190" s="113"/>
    </row>
    <row r="191" spans="19:27">
      <c r="S191" s="258"/>
      <c r="AA191" s="113"/>
    </row>
    <row r="192" spans="19:27">
      <c r="S192" s="258"/>
      <c r="AA192" s="113"/>
    </row>
    <row r="193" spans="19:27">
      <c r="S193" s="258"/>
      <c r="AA193" s="113"/>
    </row>
    <row r="194" spans="19:27">
      <c r="S194" s="258"/>
      <c r="AA194" s="113"/>
    </row>
    <row r="195" spans="19:27">
      <c r="S195" s="258"/>
      <c r="AA195" s="113"/>
    </row>
    <row r="196" spans="19:27">
      <c r="S196" s="258"/>
      <c r="AA196" s="113"/>
    </row>
    <row r="197" spans="19:27">
      <c r="S197" s="258"/>
      <c r="AA197" s="113"/>
    </row>
    <row r="198" spans="19:27">
      <c r="S198" s="258"/>
      <c r="AA198" s="113"/>
    </row>
    <row r="199" spans="19:27">
      <c r="S199" s="258"/>
      <c r="AA199" s="113"/>
    </row>
    <row r="200" spans="19:27">
      <c r="S200" s="258"/>
      <c r="AA200" s="113"/>
    </row>
    <row r="201" spans="19:27">
      <c r="S201" s="258"/>
      <c r="AA201" s="113"/>
    </row>
    <row r="202" spans="19:27">
      <c r="S202" s="258"/>
      <c r="AA202" s="113"/>
    </row>
    <row r="203" spans="19:27">
      <c r="S203" s="258"/>
      <c r="AA203" s="113"/>
    </row>
    <row r="204" spans="19:27">
      <c r="S204" s="258"/>
      <c r="AA204" s="113"/>
    </row>
    <row r="205" spans="19:27">
      <c r="S205" s="258"/>
      <c r="AA205" s="113"/>
    </row>
    <row r="206" spans="19:27">
      <c r="S206" s="258"/>
      <c r="AA206" s="113"/>
    </row>
    <row r="207" spans="19:27">
      <c r="S207" s="258"/>
      <c r="AA207" s="113"/>
    </row>
    <row r="208" spans="19:27">
      <c r="S208" s="258"/>
      <c r="AA208" s="113"/>
    </row>
    <row r="209" spans="19:27">
      <c r="S209" s="258"/>
      <c r="AA209" s="113"/>
    </row>
    <row r="210" spans="19:27">
      <c r="S210" s="258"/>
      <c r="AA210" s="113"/>
    </row>
    <row r="211" spans="19:27">
      <c r="S211" s="258"/>
      <c r="AA211" s="113"/>
    </row>
    <row r="212" spans="19:27">
      <c r="S212" s="258"/>
      <c r="AA212" s="113"/>
    </row>
    <row r="213" spans="19:27">
      <c r="S213" s="258"/>
      <c r="AA213" s="113"/>
    </row>
    <row r="214" spans="19:27">
      <c r="S214" s="258"/>
      <c r="AA214" s="113"/>
    </row>
    <row r="215" spans="19:27">
      <c r="S215" s="258"/>
      <c r="AA215" s="113"/>
    </row>
    <row r="216" spans="19:27">
      <c r="S216" s="258"/>
      <c r="AA216" s="113"/>
    </row>
    <row r="217" spans="19:27">
      <c r="S217" s="258"/>
      <c r="AA217" s="113"/>
    </row>
    <row r="218" spans="19:27">
      <c r="S218" s="258"/>
      <c r="AA218" s="113"/>
    </row>
    <row r="219" spans="19:27">
      <c r="S219" s="258"/>
      <c r="AA219" s="113"/>
    </row>
    <row r="220" spans="19:27">
      <c r="S220" s="258"/>
      <c r="AA220" s="113"/>
    </row>
    <row r="221" spans="19:27">
      <c r="S221" s="258"/>
      <c r="AA221" s="113"/>
    </row>
    <row r="222" spans="19:27">
      <c r="S222" s="258"/>
      <c r="AA222" s="113"/>
    </row>
    <row r="223" spans="19:27">
      <c r="S223" s="258"/>
      <c r="AA223" s="113"/>
    </row>
    <row r="224" spans="19:27">
      <c r="S224" s="258"/>
      <c r="AA224" s="113"/>
    </row>
    <row r="225" spans="19:27">
      <c r="S225" s="258"/>
      <c r="AA225" s="113"/>
    </row>
    <row r="226" spans="19:27">
      <c r="S226" s="258"/>
      <c r="AA226" s="113"/>
    </row>
    <row r="227" spans="19:27">
      <c r="S227" s="258"/>
      <c r="AA227" s="113"/>
    </row>
    <row r="228" spans="19:27">
      <c r="S228" s="258"/>
      <c r="AA228" s="113"/>
    </row>
    <row r="229" spans="19:27">
      <c r="S229" s="258"/>
      <c r="AA229" s="113"/>
    </row>
    <row r="230" spans="19:27">
      <c r="S230" s="258"/>
      <c r="AA230" s="113"/>
    </row>
    <row r="231" spans="19:27">
      <c r="S231" s="258"/>
      <c r="AA231" s="113"/>
    </row>
    <row r="232" spans="19:27">
      <c r="S232" s="258"/>
      <c r="AA232" s="113"/>
    </row>
    <row r="233" spans="19:27">
      <c r="S233" s="258"/>
      <c r="AA233" s="113"/>
    </row>
    <row r="234" spans="19:27">
      <c r="S234" s="258"/>
      <c r="AA234" s="113"/>
    </row>
    <row r="235" spans="19:27">
      <c r="S235" s="258"/>
      <c r="AA235" s="113"/>
    </row>
    <row r="236" spans="19:27">
      <c r="S236" s="258"/>
      <c r="AA236" s="113"/>
    </row>
    <row r="237" spans="19:27">
      <c r="S237" s="258"/>
      <c r="AA237" s="113"/>
    </row>
    <row r="238" spans="19:27">
      <c r="S238" s="258"/>
      <c r="AA238" s="113"/>
    </row>
    <row r="239" spans="19:27">
      <c r="S239" s="258"/>
      <c r="AA239" s="113"/>
    </row>
    <row r="240" spans="19:27">
      <c r="S240" s="258"/>
      <c r="AA240" s="113"/>
    </row>
    <row r="241" spans="19:27">
      <c r="S241" s="258"/>
      <c r="AA241" s="113"/>
    </row>
    <row r="242" spans="19:27">
      <c r="S242" s="258"/>
      <c r="AA242" s="113"/>
    </row>
    <row r="243" spans="19:27">
      <c r="S243" s="258"/>
      <c r="AA243" s="113"/>
    </row>
    <row r="244" spans="19:27">
      <c r="S244" s="258"/>
      <c r="AA244" s="113"/>
    </row>
    <row r="245" spans="19:27">
      <c r="S245" s="258"/>
      <c r="AA245" s="113"/>
    </row>
    <row r="246" spans="19:27">
      <c r="S246" s="258"/>
      <c r="AA246" s="113"/>
    </row>
    <row r="247" spans="19:27">
      <c r="S247" s="258"/>
      <c r="AA247" s="113"/>
    </row>
    <row r="248" spans="19:27">
      <c r="S248" s="258"/>
      <c r="AA248" s="113"/>
    </row>
    <row r="249" spans="19:27">
      <c r="S249" s="258"/>
      <c r="AA249" s="113"/>
    </row>
    <row r="250" spans="19:27">
      <c r="S250" s="258"/>
      <c r="AA250" s="113"/>
    </row>
    <row r="251" spans="19:27">
      <c r="S251" s="258"/>
      <c r="AA251" s="113"/>
    </row>
    <row r="252" spans="19:27">
      <c r="S252" s="258"/>
      <c r="AA252" s="113"/>
    </row>
    <row r="253" spans="19:27">
      <c r="S253" s="258"/>
      <c r="AA253" s="113"/>
    </row>
    <row r="254" spans="19:27">
      <c r="S254" s="258"/>
      <c r="AA254" s="113"/>
    </row>
    <row r="255" spans="19:27">
      <c r="S255" s="258"/>
      <c r="AA255" s="113"/>
    </row>
    <row r="256" spans="19:27">
      <c r="S256" s="258"/>
      <c r="AA256" s="113"/>
    </row>
    <row r="257" spans="19:27">
      <c r="S257" s="258"/>
      <c r="AA257" s="113"/>
    </row>
    <row r="258" spans="19:27">
      <c r="S258" s="258"/>
      <c r="AA258" s="113"/>
    </row>
    <row r="259" spans="19:27">
      <c r="S259" s="258"/>
      <c r="AA259" s="113"/>
    </row>
    <row r="260" spans="19:27">
      <c r="S260" s="258"/>
      <c r="AA260" s="113"/>
    </row>
    <row r="261" spans="19:27">
      <c r="S261" s="258"/>
      <c r="AA261" s="113"/>
    </row>
    <row r="262" spans="19:27">
      <c r="S262" s="258"/>
      <c r="AA262" s="113"/>
    </row>
    <row r="263" spans="19:27">
      <c r="S263" s="258"/>
      <c r="AA263" s="113"/>
    </row>
    <row r="264" spans="19:27">
      <c r="S264" s="258"/>
      <c r="AA264" s="113"/>
    </row>
    <row r="265" spans="19:27">
      <c r="S265" s="258"/>
      <c r="AA265" s="113"/>
    </row>
    <row r="266" spans="19:27">
      <c r="S266" s="258"/>
      <c r="AA266" s="113"/>
    </row>
    <row r="267" spans="19:27">
      <c r="S267" s="258"/>
      <c r="AA267" s="113"/>
    </row>
    <row r="268" spans="19:27">
      <c r="S268" s="258"/>
      <c r="AA268" s="113"/>
    </row>
    <row r="269" spans="19:27">
      <c r="S269" s="258"/>
      <c r="AA269" s="113"/>
    </row>
    <row r="270" spans="19:27">
      <c r="S270" s="258"/>
      <c r="AA270" s="113"/>
    </row>
    <row r="271" spans="19:27">
      <c r="S271" s="258"/>
      <c r="AA271" s="113"/>
    </row>
    <row r="272" spans="19:27">
      <c r="S272" s="258"/>
      <c r="AA272" s="113"/>
    </row>
    <row r="273" spans="19:27">
      <c r="S273" s="258"/>
      <c r="AA273" s="113"/>
    </row>
    <row r="274" spans="19:27">
      <c r="S274" s="258"/>
      <c r="AA274" s="113"/>
    </row>
    <row r="275" spans="19:27">
      <c r="S275" s="258"/>
      <c r="AA275" s="113"/>
    </row>
    <row r="276" spans="19:27">
      <c r="S276" s="258"/>
      <c r="AA276" s="113"/>
    </row>
    <row r="277" spans="19:27">
      <c r="S277" s="258"/>
      <c r="AA277" s="113"/>
    </row>
    <row r="278" spans="19:27">
      <c r="S278" s="258"/>
      <c r="AA278" s="113"/>
    </row>
    <row r="279" spans="19:27">
      <c r="S279" s="258"/>
      <c r="AA279" s="113"/>
    </row>
    <row r="280" spans="19:27">
      <c r="S280" s="258"/>
      <c r="AA280" s="113"/>
    </row>
    <row r="281" spans="19:27">
      <c r="S281" s="258"/>
      <c r="AA281" s="113"/>
    </row>
    <row r="282" spans="19:27">
      <c r="S282" s="258"/>
      <c r="AA282" s="113"/>
    </row>
    <row r="283" spans="19:27">
      <c r="S283" s="258"/>
      <c r="AA283" s="113"/>
    </row>
    <row r="284" spans="19:27">
      <c r="S284" s="258"/>
      <c r="AA284" s="113"/>
    </row>
    <row r="285" spans="19:27">
      <c r="S285" s="258"/>
      <c r="AA285" s="113"/>
    </row>
    <row r="286" spans="19:27">
      <c r="S286" s="258"/>
      <c r="AA286" s="113"/>
    </row>
    <row r="287" spans="19:27">
      <c r="S287" s="258"/>
      <c r="AA287" s="113"/>
    </row>
    <row r="288" spans="19:27">
      <c r="S288" s="258"/>
      <c r="AA288" s="113"/>
    </row>
    <row r="289" spans="19:27">
      <c r="S289" s="258"/>
      <c r="AA289" s="113"/>
    </row>
    <row r="290" spans="19:27">
      <c r="S290" s="258"/>
      <c r="AA290" s="113"/>
    </row>
    <row r="291" spans="19:27">
      <c r="S291" s="258"/>
      <c r="AA291" s="113"/>
    </row>
    <row r="292" spans="19:27">
      <c r="S292" s="258"/>
      <c r="AA292" s="113"/>
    </row>
    <row r="293" spans="19:27">
      <c r="S293" s="258"/>
      <c r="AA293" s="113"/>
    </row>
    <row r="294" spans="19:27">
      <c r="S294" s="258"/>
      <c r="AA294" s="113"/>
    </row>
    <row r="295" spans="19:27">
      <c r="S295" s="258"/>
      <c r="AA295" s="113"/>
    </row>
    <row r="296" spans="19:27">
      <c r="S296" s="258"/>
      <c r="AA296" s="113"/>
    </row>
    <row r="297" spans="19:27">
      <c r="S297" s="258"/>
      <c r="AA297" s="113"/>
    </row>
    <row r="298" spans="19:27">
      <c r="S298" s="258"/>
      <c r="AA298" s="113"/>
    </row>
    <row r="299" spans="19:27">
      <c r="S299" s="258"/>
      <c r="AA299" s="113"/>
    </row>
    <row r="300" spans="19:27">
      <c r="S300" s="258"/>
      <c r="AA300" s="113"/>
    </row>
    <row r="301" spans="19:27">
      <c r="S301" s="258"/>
      <c r="AA301" s="113"/>
    </row>
    <row r="302" spans="19:27">
      <c r="S302" s="258"/>
      <c r="AA302" s="113"/>
    </row>
    <row r="303" spans="19:27">
      <c r="S303" s="258"/>
      <c r="AA303" s="113"/>
    </row>
    <row r="304" spans="19:27">
      <c r="S304" s="258"/>
      <c r="AA304" s="113"/>
    </row>
    <row r="305" spans="19:27">
      <c r="S305" s="258"/>
      <c r="AA305" s="113"/>
    </row>
    <row r="306" spans="19:27">
      <c r="S306" s="258"/>
      <c r="AA306" s="113"/>
    </row>
    <row r="307" spans="19:27">
      <c r="S307" s="258"/>
      <c r="AA307" s="113"/>
    </row>
    <row r="308" spans="19:27">
      <c r="S308" s="258"/>
      <c r="AA308" s="113"/>
    </row>
    <row r="309" spans="19:27">
      <c r="S309" s="258"/>
      <c r="AA309" s="113"/>
    </row>
    <row r="310" spans="19:27">
      <c r="S310" s="258"/>
      <c r="AA310" s="113"/>
    </row>
    <row r="311" spans="19:27">
      <c r="S311" s="258"/>
      <c r="AA311" s="113"/>
    </row>
    <row r="312" spans="19:27">
      <c r="S312" s="258"/>
      <c r="AA312" s="113"/>
    </row>
    <row r="313" spans="19:27">
      <c r="S313" s="258"/>
      <c r="AA313" s="113"/>
    </row>
    <row r="314" spans="19:27">
      <c r="S314" s="258"/>
      <c r="AA314" s="113"/>
    </row>
    <row r="315" spans="19:27">
      <c r="S315" s="258"/>
      <c r="AA315" s="113"/>
    </row>
    <row r="316" spans="19:27">
      <c r="S316" s="258"/>
      <c r="AA316" s="113"/>
    </row>
    <row r="317" spans="19:27">
      <c r="S317" s="258"/>
      <c r="AA317" s="113"/>
    </row>
    <row r="318" spans="19:27">
      <c r="S318" s="258"/>
      <c r="AA318" s="113"/>
    </row>
    <row r="319" spans="19:27">
      <c r="S319" s="258"/>
      <c r="AA319" s="113"/>
    </row>
    <row r="320" spans="19:27">
      <c r="S320" s="258"/>
      <c r="AA320" s="113"/>
    </row>
    <row r="321" spans="19:27">
      <c r="S321" s="258"/>
      <c r="AA321" s="113"/>
    </row>
    <row r="322" spans="19:27">
      <c r="S322" s="258"/>
      <c r="AA322" s="113"/>
    </row>
    <row r="323" spans="19:27">
      <c r="S323" s="258"/>
      <c r="AA323" s="113"/>
    </row>
    <row r="324" spans="19:27">
      <c r="S324" s="258"/>
      <c r="AA324" s="113"/>
    </row>
    <row r="325" spans="19:27">
      <c r="S325" s="258"/>
      <c r="AA325" s="113"/>
    </row>
    <row r="326" spans="19:27">
      <c r="S326" s="258"/>
      <c r="AA326" s="113"/>
    </row>
    <row r="327" spans="19:27">
      <c r="S327" s="258"/>
      <c r="AA327" s="113"/>
    </row>
    <row r="328" spans="19:27">
      <c r="S328" s="258"/>
      <c r="AA328" s="113"/>
    </row>
    <row r="329" spans="19:27">
      <c r="S329" s="258"/>
      <c r="AA329" s="113"/>
    </row>
    <row r="330" spans="19:27">
      <c r="S330" s="258"/>
      <c r="AA330" s="113"/>
    </row>
    <row r="331" spans="19:27">
      <c r="S331" s="258"/>
      <c r="AA331" s="113"/>
    </row>
    <row r="332" spans="19:27">
      <c r="S332" s="258"/>
      <c r="AA332" s="113"/>
    </row>
    <row r="333" spans="19:27">
      <c r="S333" s="258"/>
      <c r="AA333" s="113"/>
    </row>
    <row r="334" spans="19:27">
      <c r="S334" s="258"/>
      <c r="AA334" s="113"/>
    </row>
    <row r="335" spans="19:27">
      <c r="S335" s="258"/>
      <c r="AA335" s="113"/>
    </row>
    <row r="336" spans="19:27">
      <c r="S336" s="258"/>
      <c r="AA336" s="113"/>
    </row>
    <row r="337" spans="19:27">
      <c r="S337" s="258"/>
      <c r="AA337" s="113"/>
    </row>
    <row r="338" spans="19:27">
      <c r="S338" s="258"/>
      <c r="AA338" s="113"/>
    </row>
    <row r="339" spans="19:27">
      <c r="S339" s="258"/>
      <c r="AA339" s="113"/>
    </row>
    <row r="340" spans="19:27">
      <c r="S340" s="258"/>
      <c r="AA340" s="113"/>
    </row>
    <row r="341" spans="19:27">
      <c r="S341" s="258"/>
      <c r="AA341" s="113"/>
    </row>
    <row r="342" spans="19:27">
      <c r="S342" s="258"/>
      <c r="AA342" s="113"/>
    </row>
    <row r="343" spans="19:27">
      <c r="S343" s="258"/>
      <c r="AA343" s="113"/>
    </row>
    <row r="344" spans="19:27">
      <c r="S344" s="258"/>
      <c r="AA344" s="113"/>
    </row>
    <row r="345" spans="19:27">
      <c r="S345" s="258"/>
      <c r="AA345" s="113"/>
    </row>
    <row r="346" spans="19:27">
      <c r="S346" s="258"/>
      <c r="AA346" s="113"/>
    </row>
    <row r="347" spans="19:27">
      <c r="S347" s="258"/>
      <c r="AA347" s="113"/>
    </row>
    <row r="348" spans="19:27">
      <c r="S348" s="258"/>
      <c r="AA348" s="113"/>
    </row>
    <row r="349" spans="19:27">
      <c r="S349" s="258"/>
      <c r="AA349" s="113"/>
    </row>
    <row r="350" spans="19:27">
      <c r="S350" s="258"/>
      <c r="AA350" s="113"/>
    </row>
    <row r="351" spans="19:27">
      <c r="S351" s="258"/>
      <c r="AA351" s="113"/>
    </row>
    <row r="352" spans="19:27">
      <c r="S352" s="258"/>
      <c r="AA352" s="113"/>
    </row>
    <row r="353" spans="19:27">
      <c r="S353" s="258"/>
      <c r="AA353" s="113"/>
    </row>
    <row r="354" spans="19:27">
      <c r="S354" s="258"/>
      <c r="AA354" s="113"/>
    </row>
    <row r="355" spans="19:27">
      <c r="S355" s="258"/>
      <c r="AA355" s="113"/>
    </row>
    <row r="356" spans="19:27">
      <c r="S356" s="258"/>
      <c r="AA356" s="113"/>
    </row>
    <row r="357" spans="19:27">
      <c r="S357" s="258"/>
      <c r="AA357" s="113"/>
    </row>
    <row r="358" spans="19:27">
      <c r="S358" s="258"/>
      <c r="AA358" s="113"/>
    </row>
    <row r="359" spans="19:27">
      <c r="S359" s="258"/>
      <c r="AA359" s="113"/>
    </row>
    <row r="360" spans="19:27">
      <c r="S360" s="258"/>
      <c r="AA360" s="113"/>
    </row>
    <row r="361" spans="19:27">
      <c r="S361" s="258"/>
      <c r="AA361" s="113"/>
    </row>
    <row r="362" spans="19:27">
      <c r="S362" s="258"/>
      <c r="AA362" s="113"/>
    </row>
    <row r="363" spans="19:27">
      <c r="S363" s="258"/>
      <c r="AA363" s="113"/>
    </row>
    <row r="364" spans="19:27">
      <c r="S364" s="258"/>
      <c r="AA364" s="113"/>
    </row>
    <row r="365" spans="19:27">
      <c r="S365" s="258"/>
      <c r="AA365" s="113"/>
    </row>
    <row r="366" spans="19:27">
      <c r="S366" s="258"/>
      <c r="AA366" s="113"/>
    </row>
    <row r="367" spans="19:27">
      <c r="S367" s="258"/>
      <c r="AA367" s="113"/>
    </row>
    <row r="368" spans="19:27">
      <c r="S368" s="258"/>
      <c r="AA368" s="113"/>
    </row>
    <row r="369" spans="19:27">
      <c r="S369" s="258"/>
      <c r="AA369" s="113"/>
    </row>
    <row r="370" spans="19:27">
      <c r="S370" s="258"/>
      <c r="AA370" s="113"/>
    </row>
    <row r="371" spans="19:27">
      <c r="S371" s="258"/>
      <c r="AA371" s="113"/>
    </row>
    <row r="372" spans="19:27">
      <c r="S372" s="258"/>
      <c r="AA372" s="113"/>
    </row>
    <row r="373" spans="19:27">
      <c r="AA373" s="113"/>
    </row>
    <row r="374" spans="19:27">
      <c r="AA374" s="113"/>
    </row>
    <row r="375" spans="19:27">
      <c r="AA375" s="113"/>
    </row>
    <row r="376" spans="19:27">
      <c r="AA376" s="113"/>
    </row>
    <row r="377" spans="19:27">
      <c r="AA377" s="113"/>
    </row>
    <row r="378" spans="19:27">
      <c r="AA378" s="113"/>
    </row>
    <row r="379" spans="19:27">
      <c r="AA379" s="113"/>
    </row>
    <row r="380" spans="19:27">
      <c r="AA380" s="113"/>
    </row>
    <row r="381" spans="19:27">
      <c r="AA381" s="113"/>
    </row>
    <row r="382" spans="19:27">
      <c r="AA382" s="113"/>
    </row>
    <row r="383" spans="19:27">
      <c r="AA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80B5E6F4-9F59-4535-8A9C-14A65D23C334}">
          <x14:formula1>
            <xm:f>공급업체코드!$D$3:$D$44103</xm:f>
          </x14:formula1>
          <xm:sqref>E3:E14</xm:sqref>
        </x14:dataValidation>
        <x14:dataValidation type="list" allowBlank="1" showInputMessage="1" showErrorMessage="1" xr:uid="{0116549A-BB06-41EB-A6B2-9527ED94FDB6}">
          <x14:formula1>
            <xm:f>공급업체코드!$D$3:$D$47</xm:f>
          </x14:formula1>
          <xm:sqref>E15:E27</xm:sqref>
        </x14:dataValidation>
        <x14:dataValidation type="list" allowBlank="1" showInputMessage="1" showErrorMessage="1" xr:uid="{8F4BA724-F7F4-49ED-893C-BF678B46C225}">
          <x14:formula1>
            <xm:f>기계코드!$F$186:$F$188</xm:f>
          </x14:formula1>
          <xm:sqref>C15:C27</xm:sqref>
        </x14:dataValidation>
        <x14:dataValidation type="list" allowBlank="1" showInputMessage="1" showErrorMessage="1" xr:uid="{38082D47-6402-449C-9251-E15EB6AC59AA}">
          <x14:formula1>
            <xm:f>기계코드!$F$197:$F$198</xm:f>
          </x14:formula1>
          <xm:sqref>C3:C14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B67A-7B5A-4357-A073-AB1C1870080D}">
  <dimension ref="A1:AF383"/>
  <sheetViews>
    <sheetView zoomScale="70" zoomScaleNormal="70" workbookViewId="0">
      <pane ySplit="2" topLeftCell="A3" activePane="bottomLeft" state="frozen"/>
      <selection pane="bottomLeft" activeCell="H1" sqref="H1:H2"/>
    </sheetView>
  </sheetViews>
  <sheetFormatPr defaultRowHeight="16.5"/>
  <cols>
    <col min="2" max="2" width="28.875" bestFit="1" customWidth="1"/>
    <col min="3" max="3" width="22.125" bestFit="1" customWidth="1"/>
    <col min="4" max="4" width="16.75" bestFit="1" customWidth="1"/>
    <col min="5" max="5" width="15.25" customWidth="1"/>
    <col min="6" max="6" width="12.375" customWidth="1"/>
    <col min="7" max="7" width="15.625" bestFit="1" customWidth="1"/>
    <col min="8" max="8" width="18.875" bestFit="1" customWidth="1"/>
    <col min="9" max="9" width="18.875" customWidth="1"/>
    <col min="10" max="10" width="13" bestFit="1" customWidth="1"/>
    <col min="11" max="11" width="14.375" bestFit="1" customWidth="1"/>
    <col min="12" max="12" width="14.75" bestFit="1" customWidth="1"/>
    <col min="13" max="13" width="20.125" bestFit="1" customWidth="1"/>
    <col min="14" max="14" width="21.25" bestFit="1" customWidth="1"/>
    <col min="15" max="15" width="25.375" bestFit="1" customWidth="1"/>
    <col min="16" max="16" width="15.25" bestFit="1" customWidth="1"/>
    <col min="17" max="17" width="16.125" style="261" customWidth="1"/>
    <col min="18" max="18" width="25.75" style="10" bestFit="1" customWidth="1"/>
    <col min="19" max="19" width="16.125" style="260" customWidth="1"/>
    <col min="20" max="20" width="18" style="147" bestFit="1" customWidth="1"/>
    <col min="21" max="21" width="21.25" bestFit="1" customWidth="1"/>
    <col min="22" max="22" width="32.75" style="18" customWidth="1"/>
    <col min="24" max="24" width="11.625" bestFit="1" customWidth="1"/>
    <col min="25" max="25" width="20.625" customWidth="1"/>
  </cols>
  <sheetData>
    <row r="1" spans="1:32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1317</v>
      </c>
      <c r="I1" s="10" t="s">
        <v>2223</v>
      </c>
      <c r="J1" s="10" t="s">
        <v>1318</v>
      </c>
      <c r="K1" s="10" t="s">
        <v>1319</v>
      </c>
      <c r="L1" s="10" t="s">
        <v>1320</v>
      </c>
      <c r="M1" s="10" t="s">
        <v>1321</v>
      </c>
      <c r="N1" s="10" t="s">
        <v>1322</v>
      </c>
      <c r="O1" s="10" t="s">
        <v>1323</v>
      </c>
      <c r="P1" s="17" t="s">
        <v>1324</v>
      </c>
      <c r="Q1" s="131" t="s">
        <v>1290</v>
      </c>
      <c r="R1" s="131" t="s">
        <v>1291</v>
      </c>
      <c r="S1" s="131" t="s">
        <v>1292</v>
      </c>
      <c r="T1" s="10" t="s">
        <v>1293</v>
      </c>
      <c r="U1" s="17" t="s">
        <v>1294</v>
      </c>
      <c r="V1" s="61" t="s">
        <v>1295</v>
      </c>
      <c r="W1" s="10" t="s">
        <v>1296</v>
      </c>
      <c r="X1" s="10" t="s">
        <v>1297</v>
      </c>
      <c r="Y1" s="249" t="s">
        <v>1298</v>
      </c>
      <c r="Z1" s="10"/>
      <c r="AA1" s="10"/>
      <c r="AB1" s="10"/>
      <c r="AC1" s="10"/>
      <c r="AD1" s="10"/>
      <c r="AE1" s="10"/>
      <c r="AF1" s="10"/>
    </row>
    <row r="2" spans="1:32">
      <c r="A2" s="1"/>
      <c r="B2" s="97" t="s">
        <v>1439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01" t="s">
        <v>1302</v>
      </c>
      <c r="H2" s="102" t="s">
        <v>1326</v>
      </c>
      <c r="I2" s="102" t="s">
        <v>2139</v>
      </c>
      <c r="J2" s="103" t="s">
        <v>1371</v>
      </c>
      <c r="K2" s="103" t="s">
        <v>1328</v>
      </c>
      <c r="L2" s="104" t="s">
        <v>1329</v>
      </c>
      <c r="M2" s="103" t="s">
        <v>1330</v>
      </c>
      <c r="N2" s="103" t="s">
        <v>1331</v>
      </c>
      <c r="O2" s="105" t="s">
        <v>1332</v>
      </c>
      <c r="P2" s="106" t="s">
        <v>1349</v>
      </c>
      <c r="Q2" s="5" t="s">
        <v>1305</v>
      </c>
      <c r="R2" s="5" t="s">
        <v>1306</v>
      </c>
      <c r="S2" s="5" t="s">
        <v>1307</v>
      </c>
      <c r="T2" s="107" t="s">
        <v>1308</v>
      </c>
      <c r="U2" s="121" t="s">
        <v>1309</v>
      </c>
      <c r="V2" s="241" t="s">
        <v>1310</v>
      </c>
      <c r="W2" s="109" t="s">
        <v>1311</v>
      </c>
      <c r="X2" s="100" t="s">
        <v>10</v>
      </c>
      <c r="Y2" s="242" t="s">
        <v>1312</v>
      </c>
      <c r="Z2" s="1"/>
      <c r="AA2" s="1"/>
      <c r="AB2" s="1"/>
      <c r="AC2" s="1"/>
      <c r="AD2" s="41"/>
      <c r="AE2" s="41"/>
      <c r="AF2" s="41"/>
    </row>
    <row r="3" spans="1:32">
      <c r="B3" s="1" t="str">
        <f t="shared" ref="B3:B15" si="0">D3&amp;"_"&amp;F3&amp;"_"&amp;H3</f>
        <v>M_PDS01_VM_KPAC_CO_1</v>
      </c>
      <c r="C3" s="92" t="s">
        <v>664</v>
      </c>
      <c r="D3" s="92" t="str" cm="1">
        <f t="array" ref="D3">INDEX(기계코드!$D$4:$D$214,MATCH(1,(C3=기계코드!$F$4:$F$214)*1,0))</f>
        <v>M_PDS01</v>
      </c>
      <c r="E3" s="92" t="s">
        <v>2224</v>
      </c>
      <c r="F3" s="7" t="str" cm="1">
        <f t="array" ref="F3">INDEX(공급업체코드!$B$3:$B$1000,MATCH(1,(E3=공급업체코드!$D$3:$D$1000)*1,0))</f>
        <v>VM_KPAC_CO</v>
      </c>
      <c r="G3" t="s">
        <v>2225</v>
      </c>
      <c r="H3" s="110">
        <v>1</v>
      </c>
      <c r="I3" s="110"/>
      <c r="J3">
        <v>1.3</v>
      </c>
      <c r="K3" s="7" t="s">
        <v>990</v>
      </c>
      <c r="L3" s="7">
        <v>380</v>
      </c>
      <c r="M3" s="7">
        <v>0.86499999999999999</v>
      </c>
      <c r="N3" s="7">
        <v>0.9</v>
      </c>
      <c r="O3" s="7">
        <v>60</v>
      </c>
      <c r="P3">
        <v>350</v>
      </c>
      <c r="Q3" s="256" t="s">
        <v>1374</v>
      </c>
      <c r="R3" s="10">
        <f>IF(P3&lt;500,1,IF(P3&lt;1000,2,IF(P3&lt;5000,3,4)))</f>
        <v>1</v>
      </c>
      <c r="S3" s="257" t="s">
        <v>1391</v>
      </c>
      <c r="T3" s="153">
        <v>75000000</v>
      </c>
      <c r="U3" s="154"/>
      <c r="V3" s="18" t="s">
        <v>2226</v>
      </c>
      <c r="W3" s="1" t="b">
        <v>1</v>
      </c>
      <c r="Y3" s="133"/>
      <c r="AD3" s="41"/>
      <c r="AE3" s="41"/>
      <c r="AF3" s="41"/>
    </row>
    <row r="4" spans="1:32">
      <c r="B4" s="1" t="str">
        <f t="shared" si="0"/>
        <v>M_PDS01_VM_KPAC_CO_2</v>
      </c>
      <c r="C4" s="92" t="s">
        <v>664</v>
      </c>
      <c r="D4" s="92" t="str" cm="1">
        <f t="array" ref="D4">INDEX(기계코드!$D$4:$D$214,MATCH(1,(C4=기계코드!$F$4:$F$214)*1,0))</f>
        <v>M_PDS01</v>
      </c>
      <c r="E4" s="92" t="s">
        <v>2224</v>
      </c>
      <c r="F4" s="7" t="str" cm="1">
        <f t="array" ref="F4">INDEX(공급업체코드!$B$3:$B$1000,MATCH(1,(E4=공급업체코드!$D$3:$D$1000)*1,0))</f>
        <v>VM_KPAC_CO</v>
      </c>
      <c r="G4" t="s">
        <v>2227</v>
      </c>
      <c r="H4">
        <v>2</v>
      </c>
      <c r="J4">
        <v>2.5</v>
      </c>
      <c r="K4" s="7" t="s">
        <v>990</v>
      </c>
      <c r="L4" s="7">
        <v>380</v>
      </c>
      <c r="M4" s="7">
        <v>0.89500000000000002</v>
      </c>
      <c r="N4" s="7">
        <v>0.9</v>
      </c>
      <c r="O4" s="7">
        <v>60</v>
      </c>
      <c r="P4">
        <v>500</v>
      </c>
      <c r="Q4" s="258" t="s">
        <v>1374</v>
      </c>
      <c r="R4" s="10">
        <f t="shared" ref="R4:R28" si="1">IF(P4&lt;500,1,IF(P4&lt;1000,2,IF(P4&lt;5000,3,4)))</f>
        <v>2</v>
      </c>
      <c r="S4" s="259" t="s">
        <v>1391</v>
      </c>
      <c r="T4" s="155">
        <v>84000000</v>
      </c>
      <c r="U4" s="63"/>
      <c r="V4" s="18" t="s">
        <v>2226</v>
      </c>
      <c r="W4" s="1" t="b">
        <v>1</v>
      </c>
      <c r="Y4" s="133"/>
      <c r="AD4" s="41"/>
      <c r="AE4" s="41"/>
      <c r="AF4" s="41"/>
    </row>
    <row r="5" spans="1:32">
      <c r="B5" s="1" t="str">
        <f t="shared" si="0"/>
        <v>M_PDS01_VM_KPAC_CO_3</v>
      </c>
      <c r="C5" s="92" t="s">
        <v>664</v>
      </c>
      <c r="D5" s="92" t="str" cm="1">
        <f t="array" ref="D5">INDEX(기계코드!$D$4:$D$214,MATCH(1,(C5=기계코드!$F$4:$F$214)*1,0))</f>
        <v>M_PDS01</v>
      </c>
      <c r="E5" s="92" t="s">
        <v>2224</v>
      </c>
      <c r="F5" s="7" t="str" cm="1">
        <f t="array" ref="F5">INDEX(공급업체코드!$B$3:$B$1000,MATCH(1,(E5=공급업체코드!$D$3:$D$1000)*1,0))</f>
        <v>VM_KPAC_CO</v>
      </c>
      <c r="G5" t="s">
        <v>2228</v>
      </c>
      <c r="H5">
        <v>3</v>
      </c>
      <c r="J5">
        <v>2.5</v>
      </c>
      <c r="K5" s="7" t="s">
        <v>990</v>
      </c>
      <c r="L5" s="7">
        <v>380</v>
      </c>
      <c r="M5" s="7">
        <v>0.89500000000000002</v>
      </c>
      <c r="N5" s="7">
        <v>0.9</v>
      </c>
      <c r="O5" s="7">
        <v>60</v>
      </c>
      <c r="P5">
        <v>810</v>
      </c>
      <c r="Q5" s="258" t="s">
        <v>1374</v>
      </c>
      <c r="R5" s="10">
        <f t="shared" si="1"/>
        <v>2</v>
      </c>
      <c r="S5" s="259" t="s">
        <v>1391</v>
      </c>
      <c r="T5" s="155">
        <v>90000000</v>
      </c>
      <c r="U5" s="63"/>
      <c r="V5" s="18" t="s">
        <v>2226</v>
      </c>
      <c r="W5" s="1" t="b">
        <v>1</v>
      </c>
      <c r="Y5" s="133"/>
      <c r="AD5" s="41"/>
      <c r="AE5" s="41"/>
      <c r="AF5" s="41"/>
    </row>
    <row r="6" spans="1:32">
      <c r="B6" s="1" t="str">
        <f t="shared" si="0"/>
        <v>M_PDS01_VM_KPAC_CO_4</v>
      </c>
      <c r="C6" s="92" t="s">
        <v>664</v>
      </c>
      <c r="D6" s="92" t="str" cm="1">
        <f t="array" ref="D6">INDEX(기계코드!$D$4:$D$214,MATCH(1,(C6=기계코드!$F$4:$F$214)*1,0))</f>
        <v>M_PDS01</v>
      </c>
      <c r="E6" s="92" t="s">
        <v>2224</v>
      </c>
      <c r="F6" s="7" t="str" cm="1">
        <f t="array" ref="F6">INDEX(공급업체코드!$B$3:$B$1000,MATCH(1,(E6=공급업체코드!$D$3:$D$1000)*1,0))</f>
        <v>VM_KPAC_CO</v>
      </c>
      <c r="G6" t="s">
        <v>2229</v>
      </c>
      <c r="H6">
        <v>4</v>
      </c>
      <c r="J6">
        <v>2.5</v>
      </c>
      <c r="K6" s="7" t="s">
        <v>990</v>
      </c>
      <c r="L6" s="7">
        <v>380</v>
      </c>
      <c r="M6" s="7">
        <v>0.89500000000000002</v>
      </c>
      <c r="N6" s="7">
        <v>0.9</v>
      </c>
      <c r="O6" s="7">
        <v>60</v>
      </c>
      <c r="P6">
        <v>1000</v>
      </c>
      <c r="Q6" s="258" t="s">
        <v>1374</v>
      </c>
      <c r="R6" s="10">
        <f t="shared" si="1"/>
        <v>3</v>
      </c>
      <c r="S6" s="259" t="s">
        <v>1391</v>
      </c>
      <c r="T6" s="155">
        <v>100000000</v>
      </c>
      <c r="U6" s="63"/>
      <c r="V6" s="18" t="s">
        <v>2226</v>
      </c>
      <c r="W6" s="1" t="b">
        <v>1</v>
      </c>
      <c r="Y6" s="133"/>
      <c r="AD6" s="41"/>
      <c r="AE6" s="41"/>
      <c r="AF6" s="41"/>
    </row>
    <row r="7" spans="1:32">
      <c r="B7" s="1" t="str">
        <f t="shared" si="0"/>
        <v>M_PDS01_VM_KPAC_CO_5</v>
      </c>
      <c r="C7" s="92" t="s">
        <v>664</v>
      </c>
      <c r="D7" s="92" t="str" cm="1">
        <f t="array" ref="D7">INDEX(기계코드!$D$4:$D$214,MATCH(1,(C7=기계코드!$F$4:$F$214)*1,0))</f>
        <v>M_PDS01</v>
      </c>
      <c r="E7" s="92" t="s">
        <v>2224</v>
      </c>
      <c r="F7" s="7" t="str" cm="1">
        <f t="array" ref="F7">INDEX(공급업체코드!$B$3:$B$1000,MATCH(1,(E7=공급업체코드!$D$3:$D$1000)*1,0))</f>
        <v>VM_KPAC_CO</v>
      </c>
      <c r="G7" t="s">
        <v>2230</v>
      </c>
      <c r="H7">
        <v>5</v>
      </c>
      <c r="J7">
        <v>2.5</v>
      </c>
      <c r="K7" s="7" t="s">
        <v>990</v>
      </c>
      <c r="L7" s="7">
        <v>380</v>
      </c>
      <c r="M7" s="7">
        <v>0.89500000000000002</v>
      </c>
      <c r="N7" s="7">
        <v>0.9</v>
      </c>
      <c r="O7" s="7">
        <v>60</v>
      </c>
      <c r="P7">
        <v>1300</v>
      </c>
      <c r="Q7" s="258" t="s">
        <v>1374</v>
      </c>
      <c r="R7" s="10">
        <f t="shared" si="1"/>
        <v>3</v>
      </c>
      <c r="S7" s="259" t="s">
        <v>1391</v>
      </c>
      <c r="T7" s="155">
        <v>110000000</v>
      </c>
      <c r="U7" s="63"/>
      <c r="V7" s="18" t="s">
        <v>2226</v>
      </c>
      <c r="W7" s="1" t="b">
        <v>1</v>
      </c>
      <c r="Y7" s="113"/>
      <c r="AD7" s="41"/>
      <c r="AE7" s="41"/>
      <c r="AF7" s="41"/>
    </row>
    <row r="8" spans="1:32">
      <c r="B8" s="1" t="str">
        <f t="shared" si="0"/>
        <v>M_PDS01_VM_KPAC_CO_6</v>
      </c>
      <c r="C8" s="92" t="s">
        <v>664</v>
      </c>
      <c r="D8" s="92" t="str" cm="1">
        <f t="array" ref="D8">INDEX(기계코드!$D$4:$D$214,MATCH(1,(C8=기계코드!$F$4:$F$214)*1,0))</f>
        <v>M_PDS01</v>
      </c>
      <c r="E8" s="92" t="s">
        <v>2224</v>
      </c>
      <c r="F8" s="7" t="str" cm="1">
        <f t="array" ref="F8">INDEX(공급업체코드!$B$3:$B$1000,MATCH(1,(E8=공급업체코드!$D$3:$D$1000)*1,0))</f>
        <v>VM_KPAC_CO</v>
      </c>
      <c r="G8" t="s">
        <v>2231</v>
      </c>
      <c r="H8">
        <v>6</v>
      </c>
      <c r="J8">
        <v>2.5</v>
      </c>
      <c r="K8" s="7" t="s">
        <v>990</v>
      </c>
      <c r="L8" s="7">
        <v>380</v>
      </c>
      <c r="M8" s="7">
        <v>0.89500000000000002</v>
      </c>
      <c r="N8" s="7">
        <v>0.9</v>
      </c>
      <c r="O8" s="7">
        <v>60</v>
      </c>
      <c r="P8">
        <v>1500</v>
      </c>
      <c r="Q8" s="258" t="s">
        <v>1374</v>
      </c>
      <c r="R8" s="10">
        <f t="shared" si="1"/>
        <v>3</v>
      </c>
      <c r="S8" s="259" t="s">
        <v>1391</v>
      </c>
      <c r="T8" s="155">
        <v>120000000</v>
      </c>
      <c r="U8" s="63"/>
      <c r="V8" s="18" t="s">
        <v>2226</v>
      </c>
      <c r="W8" s="1" t="b">
        <v>1</v>
      </c>
      <c r="Y8" s="113"/>
      <c r="AD8" s="41"/>
      <c r="AE8" s="41"/>
      <c r="AF8" s="41"/>
    </row>
    <row r="9" spans="1:32">
      <c r="B9" s="1" t="str">
        <f t="shared" si="0"/>
        <v>M_PDS01_VM_KPAC_CO_8</v>
      </c>
      <c r="C9" s="92" t="s">
        <v>664</v>
      </c>
      <c r="D9" s="92" t="str" cm="1">
        <f t="array" ref="D9">INDEX(기계코드!$D$4:$D$214,MATCH(1,(C9=기계코드!$F$4:$F$214)*1,0))</f>
        <v>M_PDS01</v>
      </c>
      <c r="E9" s="92" t="s">
        <v>2224</v>
      </c>
      <c r="F9" s="7" t="str" cm="1">
        <f t="array" ref="F9">INDEX(공급업체코드!$B$3:$B$1000,MATCH(1,(E9=공급업체코드!$D$3:$D$1000)*1,0))</f>
        <v>VM_KPAC_CO</v>
      </c>
      <c r="G9" t="s">
        <v>2232</v>
      </c>
      <c r="H9">
        <v>8</v>
      </c>
      <c r="J9">
        <v>5</v>
      </c>
      <c r="K9" s="7" t="s">
        <v>990</v>
      </c>
      <c r="L9" s="7">
        <v>380</v>
      </c>
      <c r="M9" s="7">
        <v>0.91700000000000004</v>
      </c>
      <c r="N9" s="7">
        <v>0.9</v>
      </c>
      <c r="O9" s="7">
        <v>60</v>
      </c>
      <c r="P9">
        <v>2000</v>
      </c>
      <c r="Q9" s="258" t="s">
        <v>1374</v>
      </c>
      <c r="R9" s="10">
        <f t="shared" si="1"/>
        <v>3</v>
      </c>
      <c r="S9" s="259" t="s">
        <v>1391</v>
      </c>
      <c r="T9" s="155">
        <v>140000000</v>
      </c>
      <c r="U9" s="63"/>
      <c r="V9" s="18" t="s">
        <v>2226</v>
      </c>
      <c r="W9" s="1" t="b">
        <v>1</v>
      </c>
      <c r="Y9" s="113"/>
      <c r="AD9" s="111"/>
      <c r="AE9" s="111"/>
      <c r="AF9" s="41"/>
    </row>
    <row r="10" spans="1:32">
      <c r="B10" s="1" t="str">
        <f t="shared" si="0"/>
        <v>M_PDS01_VM_KPAC_CO_10</v>
      </c>
      <c r="C10" s="92" t="s">
        <v>664</v>
      </c>
      <c r="D10" s="92" t="str" cm="1">
        <f t="array" ref="D10">INDEX(기계코드!$D$4:$D$214,MATCH(1,(C10=기계코드!$F$4:$F$214)*1,0))</f>
        <v>M_PDS01</v>
      </c>
      <c r="E10" s="92" t="s">
        <v>2224</v>
      </c>
      <c r="F10" s="7" t="str" cm="1">
        <f t="array" ref="F10">INDEX(공급업체코드!$B$3:$B$1000,MATCH(1,(E10=공급업체코드!$D$3:$D$1000)*1,0))</f>
        <v>VM_KPAC_CO</v>
      </c>
      <c r="G10" t="s">
        <v>2233</v>
      </c>
      <c r="H10">
        <v>10</v>
      </c>
      <c r="J10">
        <v>5</v>
      </c>
      <c r="K10" s="7" t="s">
        <v>990</v>
      </c>
      <c r="L10" s="7">
        <v>380</v>
      </c>
      <c r="M10" s="7">
        <v>0.91700000000000004</v>
      </c>
      <c r="N10" s="7">
        <v>0.9</v>
      </c>
      <c r="O10" s="7">
        <v>60</v>
      </c>
      <c r="P10">
        <v>2500</v>
      </c>
      <c r="Q10" s="258" t="s">
        <v>1374</v>
      </c>
      <c r="R10" s="10">
        <f t="shared" si="1"/>
        <v>3</v>
      </c>
      <c r="S10" s="259" t="s">
        <v>1391</v>
      </c>
      <c r="T10" s="147">
        <v>160000000</v>
      </c>
      <c r="V10" s="18" t="s">
        <v>2226</v>
      </c>
      <c r="W10" s="1" t="b">
        <v>1</v>
      </c>
      <c r="Y10" s="113"/>
    </row>
    <row r="11" spans="1:32">
      <c r="B11" s="1" t="str">
        <f t="shared" si="0"/>
        <v>M_PDS01_VM_KPAC_CO_12</v>
      </c>
      <c r="C11" s="92" t="s">
        <v>664</v>
      </c>
      <c r="D11" s="92" t="str" cm="1">
        <f t="array" ref="D11">INDEX(기계코드!$D$4:$D$214,MATCH(1,(C11=기계코드!$F$4:$F$214)*1,0))</f>
        <v>M_PDS01</v>
      </c>
      <c r="E11" s="92" t="s">
        <v>2224</v>
      </c>
      <c r="F11" s="7" t="str" cm="1">
        <f t="array" ref="F11">INDEX(공급업체코드!$B$3:$B$1000,MATCH(1,(E11=공급업체코드!$D$3:$D$1000)*1,0))</f>
        <v>VM_KPAC_CO</v>
      </c>
      <c r="G11" t="s">
        <v>2234</v>
      </c>
      <c r="H11">
        <v>12</v>
      </c>
      <c r="J11">
        <v>5</v>
      </c>
      <c r="K11" s="7" t="s">
        <v>990</v>
      </c>
      <c r="L11" s="7">
        <v>380</v>
      </c>
      <c r="M11" s="7">
        <v>0.91700000000000004</v>
      </c>
      <c r="N11" s="7">
        <v>0.9</v>
      </c>
      <c r="O11" s="7">
        <v>60</v>
      </c>
      <c r="P11">
        <v>3000</v>
      </c>
      <c r="Q11" s="258" t="s">
        <v>1374</v>
      </c>
      <c r="R11" s="10">
        <f t="shared" si="1"/>
        <v>3</v>
      </c>
      <c r="S11" s="259" t="s">
        <v>1391</v>
      </c>
      <c r="T11" s="147">
        <v>170000000</v>
      </c>
      <c r="V11" s="18" t="s">
        <v>2226</v>
      </c>
      <c r="W11" s="1" t="b">
        <v>1</v>
      </c>
      <c r="Y11" s="113"/>
    </row>
    <row r="12" spans="1:32">
      <c r="B12" s="1" t="str">
        <f t="shared" si="0"/>
        <v>M_PDS01_VM_KPAC_CO_14</v>
      </c>
      <c r="C12" s="92" t="s">
        <v>664</v>
      </c>
      <c r="D12" s="92" t="str" cm="1">
        <f t="array" ref="D12">INDEX(기계코드!$D$4:$D$214,MATCH(1,(C12=기계코드!$F$4:$F$214)*1,0))</f>
        <v>M_PDS01</v>
      </c>
      <c r="E12" s="92" t="s">
        <v>2224</v>
      </c>
      <c r="F12" s="7" t="str" cm="1">
        <f t="array" ref="F12">INDEX(공급업체코드!$B$3:$B$1000,MATCH(1,(E12=공급업체코드!$D$3:$D$1000)*1,0))</f>
        <v>VM_KPAC_CO</v>
      </c>
      <c r="G12" t="s">
        <v>2235</v>
      </c>
      <c r="H12">
        <v>14</v>
      </c>
      <c r="J12">
        <v>5</v>
      </c>
      <c r="K12" s="7" t="s">
        <v>990</v>
      </c>
      <c r="L12" s="7">
        <v>380</v>
      </c>
      <c r="M12" s="7">
        <v>0.91700000000000004</v>
      </c>
      <c r="N12" s="7">
        <v>0.9</v>
      </c>
      <c r="O12" s="7">
        <v>60</v>
      </c>
      <c r="P12">
        <v>3500</v>
      </c>
      <c r="Q12" s="258" t="s">
        <v>1374</v>
      </c>
      <c r="R12" s="10">
        <f t="shared" si="1"/>
        <v>3</v>
      </c>
      <c r="S12" s="259" t="s">
        <v>1391</v>
      </c>
      <c r="T12" s="147">
        <v>180000000</v>
      </c>
      <c r="V12" s="18" t="s">
        <v>2226</v>
      </c>
      <c r="W12" s="1" t="b">
        <v>1</v>
      </c>
      <c r="Y12" s="113"/>
    </row>
    <row r="13" spans="1:32">
      <c r="B13" s="1" t="str">
        <f t="shared" si="0"/>
        <v>M_PDS01_VM_KPAC_CO_16</v>
      </c>
      <c r="C13" s="92" t="s">
        <v>664</v>
      </c>
      <c r="D13" s="92" t="str" cm="1">
        <f t="array" ref="D13">INDEX(기계코드!$D$4:$D$214,MATCH(1,(C13=기계코드!$F$4:$F$214)*1,0))</f>
        <v>M_PDS01</v>
      </c>
      <c r="E13" s="92" t="s">
        <v>2224</v>
      </c>
      <c r="F13" s="7" t="str" cm="1">
        <f t="array" ref="F13">INDEX(공급업체코드!$B$3:$B$1000,MATCH(1,(E13=공급업체코드!$D$3:$D$1000)*1,0))</f>
        <v>VM_KPAC_CO</v>
      </c>
      <c r="G13" t="s">
        <v>2236</v>
      </c>
      <c r="H13">
        <v>16</v>
      </c>
      <c r="J13">
        <v>5</v>
      </c>
      <c r="K13" s="7" t="s">
        <v>990</v>
      </c>
      <c r="L13" s="7">
        <v>380</v>
      </c>
      <c r="M13" s="7">
        <v>0.91700000000000004</v>
      </c>
      <c r="N13" s="7">
        <v>0.9</v>
      </c>
      <c r="O13" s="7">
        <v>60</v>
      </c>
      <c r="P13">
        <v>4000</v>
      </c>
      <c r="Q13" s="258" t="s">
        <v>1374</v>
      </c>
      <c r="R13" s="10">
        <f t="shared" si="1"/>
        <v>3</v>
      </c>
      <c r="S13" s="259" t="s">
        <v>1391</v>
      </c>
      <c r="T13" s="147">
        <v>190000000</v>
      </c>
      <c r="V13" s="18" t="s">
        <v>2226</v>
      </c>
      <c r="W13" s="1" t="b">
        <v>1</v>
      </c>
      <c r="Y13" s="113"/>
    </row>
    <row r="14" spans="1:32">
      <c r="B14" s="1" t="str">
        <f t="shared" si="0"/>
        <v>M_PDS01_VM_KPAC_CO_18</v>
      </c>
      <c r="C14" s="92" t="s">
        <v>664</v>
      </c>
      <c r="D14" s="92" t="str" cm="1">
        <f t="array" ref="D14">INDEX(기계코드!$D$4:$D$214,MATCH(1,(C14=기계코드!$F$4:$F$214)*1,0))</f>
        <v>M_PDS01</v>
      </c>
      <c r="E14" s="92" t="s">
        <v>2224</v>
      </c>
      <c r="F14" s="7" t="str" cm="1">
        <f t="array" ref="F14">INDEX(공급업체코드!$B$3:$B$1000,MATCH(1,(E14=공급업체코드!$D$3:$D$1000)*1,0))</f>
        <v>VM_KPAC_CO</v>
      </c>
      <c r="G14" t="s">
        <v>2237</v>
      </c>
      <c r="H14">
        <v>18</v>
      </c>
      <c r="J14">
        <v>7.5</v>
      </c>
      <c r="K14" s="7" t="s">
        <v>990</v>
      </c>
      <c r="L14" s="7">
        <v>380</v>
      </c>
      <c r="M14" s="7">
        <v>0.91700000000000004</v>
      </c>
      <c r="N14" s="7">
        <v>0.9</v>
      </c>
      <c r="O14" s="7">
        <v>60</v>
      </c>
      <c r="P14">
        <v>4500</v>
      </c>
      <c r="Q14" s="258" t="s">
        <v>1374</v>
      </c>
      <c r="R14" s="10">
        <f t="shared" si="1"/>
        <v>3</v>
      </c>
      <c r="S14" s="259" t="s">
        <v>1391</v>
      </c>
      <c r="T14" s="147">
        <v>200000000</v>
      </c>
      <c r="V14" s="18" t="s">
        <v>2226</v>
      </c>
      <c r="W14" s="1" t="b">
        <v>1</v>
      </c>
      <c r="Y14" s="113"/>
    </row>
    <row r="15" spans="1:32">
      <c r="B15" s="1" t="str">
        <f t="shared" si="0"/>
        <v>M_PDS01_VM_KPAC_CO_20</v>
      </c>
      <c r="C15" s="92" t="s">
        <v>664</v>
      </c>
      <c r="D15" s="92" t="str" cm="1">
        <f t="array" ref="D15">INDEX(기계코드!$D$4:$D$214,MATCH(1,(C15=기계코드!$F$4:$F$214)*1,0))</f>
        <v>M_PDS01</v>
      </c>
      <c r="E15" s="92" t="s">
        <v>2224</v>
      </c>
      <c r="F15" s="7" t="str" cm="1">
        <f t="array" ref="F15">INDEX(공급업체코드!$B$3:$B$1000,MATCH(1,(E15=공급업체코드!$D$3:$D$1000)*1,0))</f>
        <v>VM_KPAC_CO</v>
      </c>
      <c r="G15" t="s">
        <v>2238</v>
      </c>
      <c r="H15">
        <v>20</v>
      </c>
      <c r="J15">
        <v>7.5</v>
      </c>
      <c r="K15" s="7" t="s">
        <v>990</v>
      </c>
      <c r="L15" s="7">
        <v>380</v>
      </c>
      <c r="M15" s="7">
        <v>0.91700000000000004</v>
      </c>
      <c r="N15" s="7">
        <v>0.9</v>
      </c>
      <c r="O15" s="7">
        <v>60</v>
      </c>
      <c r="P15">
        <v>5000</v>
      </c>
      <c r="Q15" s="258" t="s">
        <v>1374</v>
      </c>
      <c r="R15" s="10">
        <f t="shared" si="1"/>
        <v>4</v>
      </c>
      <c r="S15" s="259" t="s">
        <v>1391</v>
      </c>
      <c r="T15" s="147">
        <v>210000000</v>
      </c>
      <c r="V15" s="18" t="s">
        <v>2226</v>
      </c>
      <c r="W15" s="1" t="b">
        <v>1</v>
      </c>
      <c r="Y15" s="113"/>
    </row>
    <row r="16" spans="1:32">
      <c r="A16" s="46"/>
      <c r="B16" s="1" t="str">
        <f t="shared" ref="B16:B28" si="2">D16&amp;"_"&amp;F16&amp;"_"&amp;I16</f>
        <v>M_PDS02_VM_KPAC_CO_1</v>
      </c>
      <c r="C16" s="92" t="s">
        <v>668</v>
      </c>
      <c r="D16" s="92" t="str" cm="1">
        <f t="array" ref="D16">INDEX(기계코드!$D$4:$D$214,MATCH(1,(C16=기계코드!$F$4:$F$214)*1,0))</f>
        <v>M_PDS02</v>
      </c>
      <c r="E16" s="92" t="s">
        <v>2224</v>
      </c>
      <c r="F16" s="7" t="str" cm="1">
        <f t="array" ref="F16">INDEX(공급업체코드!$B$3:$B$1000,MATCH(1,(E16=공급업체코드!$D$3:$D$1000)*1,0))</f>
        <v>VM_KPAC_CO</v>
      </c>
      <c r="G16" t="s">
        <v>2239</v>
      </c>
      <c r="I16">
        <v>1</v>
      </c>
      <c r="J16">
        <v>1.3</v>
      </c>
      <c r="K16" s="7" t="s">
        <v>990</v>
      </c>
      <c r="L16" s="7">
        <v>380</v>
      </c>
      <c r="M16" s="7">
        <v>0.86499999999999999</v>
      </c>
      <c r="N16" s="7">
        <v>0.9</v>
      </c>
      <c r="O16" s="7">
        <v>60</v>
      </c>
      <c r="P16">
        <v>350</v>
      </c>
      <c r="Q16" s="258" t="s">
        <v>1374</v>
      </c>
      <c r="R16" s="10">
        <f t="shared" si="1"/>
        <v>1</v>
      </c>
      <c r="S16" s="259" t="s">
        <v>1391</v>
      </c>
      <c r="T16" s="147">
        <v>74000000</v>
      </c>
      <c r="V16" s="18" t="s">
        <v>2226</v>
      </c>
      <c r="W16" s="1" t="b">
        <v>1</v>
      </c>
      <c r="Y16" s="113"/>
    </row>
    <row r="17" spans="1:25">
      <c r="A17" s="46"/>
      <c r="B17" s="1" t="str">
        <f t="shared" si="2"/>
        <v>M_PDS02_VM_KPAC_CO_2</v>
      </c>
      <c r="C17" s="92" t="s">
        <v>668</v>
      </c>
      <c r="D17" s="92" t="str" cm="1">
        <f t="array" ref="D17">INDEX(기계코드!$D$4:$D$214,MATCH(1,(C17=기계코드!$F$4:$F$214)*1,0))</f>
        <v>M_PDS02</v>
      </c>
      <c r="E17" s="92" t="s">
        <v>2224</v>
      </c>
      <c r="F17" s="7" t="str" cm="1">
        <f t="array" ref="F17">INDEX(공급업체코드!$B$3:$B$1000,MATCH(1,(E17=공급업체코드!$D$3:$D$1000)*1,0))</f>
        <v>VM_KPAC_CO</v>
      </c>
      <c r="G17" t="s">
        <v>2240</v>
      </c>
      <c r="I17">
        <v>2</v>
      </c>
      <c r="J17">
        <v>2.5</v>
      </c>
      <c r="K17" s="7" t="s">
        <v>990</v>
      </c>
      <c r="L17" s="7">
        <v>380</v>
      </c>
      <c r="M17" s="7">
        <v>0.89500000000000002</v>
      </c>
      <c r="N17" s="7">
        <v>0.9</v>
      </c>
      <c r="O17" s="7">
        <v>60</v>
      </c>
      <c r="P17">
        <v>500</v>
      </c>
      <c r="Q17" s="258" t="s">
        <v>1374</v>
      </c>
      <c r="R17" s="10">
        <f t="shared" si="1"/>
        <v>2</v>
      </c>
      <c r="S17" s="259" t="s">
        <v>1391</v>
      </c>
      <c r="T17" s="147">
        <v>81000000</v>
      </c>
      <c r="V17" s="18" t="s">
        <v>2226</v>
      </c>
      <c r="W17" s="1" t="b">
        <v>1</v>
      </c>
      <c r="Y17" s="113"/>
    </row>
    <row r="18" spans="1:25">
      <c r="A18" s="46"/>
      <c r="B18" s="1" t="str">
        <f t="shared" si="2"/>
        <v>M_PDS02_VM_KPAC_CO_3</v>
      </c>
      <c r="C18" s="92" t="s">
        <v>668</v>
      </c>
      <c r="D18" s="92" t="str" cm="1">
        <f t="array" ref="D18">INDEX(기계코드!$D$4:$D$214,MATCH(1,(C18=기계코드!$F$4:$F$214)*1,0))</f>
        <v>M_PDS02</v>
      </c>
      <c r="E18" s="92" t="s">
        <v>2224</v>
      </c>
      <c r="F18" s="7" t="str" cm="1">
        <f t="array" ref="F18">INDEX(공급업체코드!$B$3:$B$1000,MATCH(1,(E18=공급업체코드!$D$3:$D$1000)*1,0))</f>
        <v>VM_KPAC_CO</v>
      </c>
      <c r="G18" t="s">
        <v>2241</v>
      </c>
      <c r="I18">
        <v>3</v>
      </c>
      <c r="J18">
        <v>2.5</v>
      </c>
      <c r="K18" s="7" t="s">
        <v>990</v>
      </c>
      <c r="L18" s="7">
        <v>380</v>
      </c>
      <c r="M18" s="7">
        <v>0.89500000000000002</v>
      </c>
      <c r="N18" s="7">
        <v>0.9</v>
      </c>
      <c r="O18" s="7">
        <v>60</v>
      </c>
      <c r="P18">
        <v>810</v>
      </c>
      <c r="Q18" s="258" t="s">
        <v>1374</v>
      </c>
      <c r="R18" s="10">
        <f t="shared" si="1"/>
        <v>2</v>
      </c>
      <c r="S18" s="259" t="s">
        <v>1391</v>
      </c>
      <c r="T18" s="147">
        <v>95000000</v>
      </c>
      <c r="V18" s="18" t="s">
        <v>2226</v>
      </c>
      <c r="W18" s="1" t="b">
        <v>1</v>
      </c>
      <c r="Y18" s="113"/>
    </row>
    <row r="19" spans="1:25">
      <c r="A19" s="46"/>
      <c r="B19" s="1" t="str">
        <f t="shared" si="2"/>
        <v>M_PDS02_VM_KPAC_CO_4</v>
      </c>
      <c r="C19" s="92" t="s">
        <v>668</v>
      </c>
      <c r="D19" s="92" t="str" cm="1">
        <f t="array" ref="D19">INDEX(기계코드!$D$4:$D$214,MATCH(1,(C19=기계코드!$F$4:$F$214)*1,0))</f>
        <v>M_PDS02</v>
      </c>
      <c r="E19" s="92" t="s">
        <v>2224</v>
      </c>
      <c r="F19" s="7" t="str" cm="1">
        <f t="array" ref="F19">INDEX(공급업체코드!$B$3:$B$1000,MATCH(1,(E19=공급업체코드!$D$3:$D$1000)*1,0))</f>
        <v>VM_KPAC_CO</v>
      </c>
      <c r="G19" t="s">
        <v>2242</v>
      </c>
      <c r="I19">
        <v>4</v>
      </c>
      <c r="J19">
        <v>2.5</v>
      </c>
      <c r="K19" s="7" t="s">
        <v>990</v>
      </c>
      <c r="L19" s="7">
        <v>380</v>
      </c>
      <c r="M19" s="7">
        <v>0.89500000000000002</v>
      </c>
      <c r="N19" s="7">
        <v>0.9</v>
      </c>
      <c r="O19" s="7">
        <v>60</v>
      </c>
      <c r="P19">
        <v>1000</v>
      </c>
      <c r="Q19" s="258" t="s">
        <v>1374</v>
      </c>
      <c r="R19" s="10">
        <f t="shared" si="1"/>
        <v>3</v>
      </c>
      <c r="S19" s="259" t="s">
        <v>1391</v>
      </c>
      <c r="T19" s="147">
        <v>105000000</v>
      </c>
      <c r="V19" s="18" t="s">
        <v>2226</v>
      </c>
      <c r="W19" s="1" t="b">
        <v>1</v>
      </c>
      <c r="Y19" s="113"/>
    </row>
    <row r="20" spans="1:25">
      <c r="A20" s="46"/>
      <c r="B20" s="1" t="str">
        <f t="shared" si="2"/>
        <v>M_PDS02_VM_KPAC_CO_5</v>
      </c>
      <c r="C20" s="92" t="s">
        <v>668</v>
      </c>
      <c r="D20" s="92" t="str" cm="1">
        <f t="array" ref="D20">INDEX(기계코드!$D$4:$D$214,MATCH(1,(C20=기계코드!$F$4:$F$214)*1,0))</f>
        <v>M_PDS02</v>
      </c>
      <c r="E20" s="92" t="s">
        <v>2224</v>
      </c>
      <c r="F20" s="7" t="str" cm="1">
        <f t="array" ref="F20">INDEX(공급업체코드!$B$3:$B$1000,MATCH(1,(E20=공급업체코드!$D$3:$D$1000)*1,0))</f>
        <v>VM_KPAC_CO</v>
      </c>
      <c r="G20" t="s">
        <v>2243</v>
      </c>
      <c r="I20">
        <v>5</v>
      </c>
      <c r="J20">
        <v>2.5</v>
      </c>
      <c r="K20" s="7" t="s">
        <v>990</v>
      </c>
      <c r="L20" s="7">
        <v>380</v>
      </c>
      <c r="M20" s="7">
        <v>0.89500000000000002</v>
      </c>
      <c r="N20" s="7">
        <v>0.9</v>
      </c>
      <c r="O20" s="7">
        <v>60</v>
      </c>
      <c r="P20">
        <v>1300</v>
      </c>
      <c r="Q20" s="258" t="s">
        <v>1374</v>
      </c>
      <c r="R20" s="10">
        <f t="shared" si="1"/>
        <v>3</v>
      </c>
      <c r="S20" s="259" t="s">
        <v>1391</v>
      </c>
      <c r="T20" s="147">
        <v>110000000</v>
      </c>
      <c r="V20" s="18" t="s">
        <v>2226</v>
      </c>
      <c r="W20" s="1" t="b">
        <v>1</v>
      </c>
      <c r="Y20" s="113"/>
    </row>
    <row r="21" spans="1:25">
      <c r="A21" s="46"/>
      <c r="B21" s="1" t="str">
        <f t="shared" si="2"/>
        <v>M_PDS02_VM_KPAC_CO_6</v>
      </c>
      <c r="C21" s="92" t="s">
        <v>668</v>
      </c>
      <c r="D21" s="92" t="str" cm="1">
        <f t="array" ref="D21">INDEX(기계코드!$D$4:$D$214,MATCH(1,(C21=기계코드!$F$4:$F$214)*1,0))</f>
        <v>M_PDS02</v>
      </c>
      <c r="E21" s="92" t="s">
        <v>2224</v>
      </c>
      <c r="F21" s="7" t="str" cm="1">
        <f t="array" ref="F21">INDEX(공급업체코드!$B$3:$B$1000,MATCH(1,(E21=공급업체코드!$D$3:$D$1000)*1,0))</f>
        <v>VM_KPAC_CO</v>
      </c>
      <c r="G21" t="s">
        <v>2244</v>
      </c>
      <c r="I21">
        <v>6</v>
      </c>
      <c r="J21">
        <v>2.5</v>
      </c>
      <c r="K21" s="7" t="s">
        <v>990</v>
      </c>
      <c r="L21" s="7">
        <v>380</v>
      </c>
      <c r="M21" s="7">
        <v>0.89500000000000002</v>
      </c>
      <c r="N21" s="7">
        <v>0.9</v>
      </c>
      <c r="O21" s="7">
        <v>60</v>
      </c>
      <c r="P21">
        <v>1500</v>
      </c>
      <c r="Q21" s="258" t="s">
        <v>1374</v>
      </c>
      <c r="R21" s="10">
        <f t="shared" si="1"/>
        <v>3</v>
      </c>
      <c r="S21" s="259" t="s">
        <v>1391</v>
      </c>
      <c r="T21" s="147">
        <v>120000000</v>
      </c>
      <c r="V21" s="18" t="s">
        <v>2226</v>
      </c>
      <c r="W21" s="1" t="b">
        <v>1</v>
      </c>
      <c r="Y21" s="113"/>
    </row>
    <row r="22" spans="1:25">
      <c r="A22" s="46"/>
      <c r="B22" s="1" t="str">
        <f t="shared" si="2"/>
        <v>M_PDS02_VM_KPAC_CO_8</v>
      </c>
      <c r="C22" s="92" t="s">
        <v>668</v>
      </c>
      <c r="D22" s="92" t="str" cm="1">
        <f t="array" ref="D22">INDEX(기계코드!$D$4:$D$214,MATCH(1,(C22=기계코드!$F$4:$F$214)*1,0))</f>
        <v>M_PDS02</v>
      </c>
      <c r="E22" s="92" t="s">
        <v>2224</v>
      </c>
      <c r="F22" s="7" t="str" cm="1">
        <f t="array" ref="F22">INDEX(공급업체코드!$B$3:$B$1000,MATCH(1,(E22=공급업체코드!$D$3:$D$1000)*1,0))</f>
        <v>VM_KPAC_CO</v>
      </c>
      <c r="G22" t="s">
        <v>2245</v>
      </c>
      <c r="I22">
        <v>8</v>
      </c>
      <c r="J22">
        <v>5</v>
      </c>
      <c r="K22" s="7" t="s">
        <v>990</v>
      </c>
      <c r="L22" s="7">
        <v>380</v>
      </c>
      <c r="M22" s="7">
        <v>0.91700000000000004</v>
      </c>
      <c r="N22" s="7">
        <v>0.9</v>
      </c>
      <c r="O22" s="7">
        <v>60</v>
      </c>
      <c r="P22">
        <v>2000</v>
      </c>
      <c r="Q22" s="258" t="s">
        <v>1374</v>
      </c>
      <c r="R22" s="10">
        <f t="shared" si="1"/>
        <v>3</v>
      </c>
      <c r="S22" s="259" t="s">
        <v>1391</v>
      </c>
      <c r="T22" s="147">
        <v>140000000</v>
      </c>
      <c r="V22" s="18" t="s">
        <v>2226</v>
      </c>
      <c r="W22" s="1" t="b">
        <v>1</v>
      </c>
      <c r="Y22" s="113"/>
    </row>
    <row r="23" spans="1:25">
      <c r="A23" s="46"/>
      <c r="B23" s="1" t="str">
        <f t="shared" si="2"/>
        <v>M_PDS02_VM_KPAC_CO_10</v>
      </c>
      <c r="C23" s="92" t="s">
        <v>668</v>
      </c>
      <c r="D23" s="92" t="str" cm="1">
        <f t="array" ref="D23">INDEX(기계코드!$D$4:$D$214,MATCH(1,(C23=기계코드!$F$4:$F$214)*1,0))</f>
        <v>M_PDS02</v>
      </c>
      <c r="E23" s="92" t="s">
        <v>2224</v>
      </c>
      <c r="F23" s="7" t="str" cm="1">
        <f t="array" ref="F23">INDEX(공급업체코드!$B$3:$B$1000,MATCH(1,(E23=공급업체코드!$D$3:$D$1000)*1,0))</f>
        <v>VM_KPAC_CO</v>
      </c>
      <c r="G23" t="s">
        <v>2246</v>
      </c>
      <c r="I23">
        <v>10</v>
      </c>
      <c r="J23">
        <v>5</v>
      </c>
      <c r="K23" s="7" t="s">
        <v>990</v>
      </c>
      <c r="L23" s="7">
        <v>380</v>
      </c>
      <c r="M23" s="7">
        <v>0.91700000000000004</v>
      </c>
      <c r="N23" s="7">
        <v>0.9</v>
      </c>
      <c r="O23" s="7">
        <v>60</v>
      </c>
      <c r="P23">
        <v>2500</v>
      </c>
      <c r="Q23" s="258" t="s">
        <v>1374</v>
      </c>
      <c r="R23" s="10">
        <f t="shared" si="1"/>
        <v>3</v>
      </c>
      <c r="S23" s="259" t="s">
        <v>1391</v>
      </c>
      <c r="T23" s="147">
        <v>170000000</v>
      </c>
      <c r="V23" s="18" t="s">
        <v>2226</v>
      </c>
      <c r="W23" s="1" t="b">
        <v>1</v>
      </c>
      <c r="Y23" s="113"/>
    </row>
    <row r="24" spans="1:25">
      <c r="A24" s="247" t="s">
        <v>2247</v>
      </c>
      <c r="B24" s="1" t="str">
        <f t="shared" si="2"/>
        <v>M_PDS02_VM_KPAC_CO_12</v>
      </c>
      <c r="C24" s="92" t="s">
        <v>668</v>
      </c>
      <c r="D24" s="92" t="str" cm="1">
        <f t="array" ref="D24">INDEX(기계코드!$D$4:$D$214,MATCH(1,(C24=기계코드!$F$4:$F$214)*1,0))</f>
        <v>M_PDS02</v>
      </c>
      <c r="E24" s="92" t="s">
        <v>2224</v>
      </c>
      <c r="F24" s="7" t="str" cm="1">
        <f t="array" ref="F24">INDEX(공급업체코드!$B$3:$B$1000,MATCH(1,(E24=공급업체코드!$D$3:$D$1000)*1,0))</f>
        <v>VM_KPAC_CO</v>
      </c>
      <c r="G24" t="s">
        <v>2248</v>
      </c>
      <c r="I24">
        <v>12</v>
      </c>
      <c r="J24">
        <v>5</v>
      </c>
      <c r="K24" s="7" t="s">
        <v>990</v>
      </c>
      <c r="L24" s="7">
        <v>380</v>
      </c>
      <c r="M24" s="7">
        <v>0.91700000000000004</v>
      </c>
      <c r="N24" s="7">
        <v>0.9</v>
      </c>
      <c r="O24" s="7">
        <v>60</v>
      </c>
      <c r="P24">
        <v>3000</v>
      </c>
      <c r="Q24" s="258" t="s">
        <v>1374</v>
      </c>
      <c r="R24" s="10">
        <f t="shared" si="1"/>
        <v>3</v>
      </c>
      <c r="S24" s="259" t="s">
        <v>1391</v>
      </c>
      <c r="T24" s="147">
        <v>200000000</v>
      </c>
      <c r="V24" s="18" t="s">
        <v>2226</v>
      </c>
      <c r="W24" s="1" t="b">
        <v>1</v>
      </c>
      <c r="Y24" s="113"/>
    </row>
    <row r="25" spans="1:25">
      <c r="A25" s="247"/>
      <c r="B25" s="1" t="str">
        <f t="shared" si="2"/>
        <v>M_PDS02_VM_KPAC_CO_14</v>
      </c>
      <c r="C25" s="92" t="s">
        <v>668</v>
      </c>
      <c r="D25" s="92" t="str" cm="1">
        <f t="array" ref="D25">INDEX(기계코드!$D$4:$D$214,MATCH(1,(C25=기계코드!$F$4:$F$214)*1,0))</f>
        <v>M_PDS02</v>
      </c>
      <c r="E25" s="92" t="s">
        <v>2224</v>
      </c>
      <c r="F25" s="7" t="str" cm="1">
        <f t="array" ref="F25">INDEX(공급업체코드!$B$3:$B$1000,MATCH(1,(E25=공급업체코드!$D$3:$D$1000)*1,0))</f>
        <v>VM_KPAC_CO</v>
      </c>
      <c r="G25" t="s">
        <v>2249</v>
      </c>
      <c r="I25">
        <v>14</v>
      </c>
      <c r="J25">
        <v>5</v>
      </c>
      <c r="K25" s="7" t="s">
        <v>990</v>
      </c>
      <c r="L25" s="7">
        <v>380</v>
      </c>
      <c r="M25" s="7">
        <v>0.91700000000000004</v>
      </c>
      <c r="N25" s="7">
        <v>0.9</v>
      </c>
      <c r="O25" s="7">
        <v>60</v>
      </c>
      <c r="P25">
        <v>3500</v>
      </c>
      <c r="Q25" s="258" t="s">
        <v>1374</v>
      </c>
      <c r="R25" s="10">
        <f t="shared" si="1"/>
        <v>3</v>
      </c>
      <c r="S25" s="259" t="s">
        <v>1391</v>
      </c>
      <c r="T25" s="147">
        <v>230000000</v>
      </c>
      <c r="V25" s="18" t="s">
        <v>2226</v>
      </c>
      <c r="W25" s="1" t="b">
        <v>1</v>
      </c>
      <c r="Y25" s="113"/>
    </row>
    <row r="26" spans="1:25">
      <c r="A26" s="247"/>
      <c r="B26" s="1" t="str">
        <f t="shared" si="2"/>
        <v>M_PDS02_VM_KPAC_CO_16</v>
      </c>
      <c r="C26" s="92" t="s">
        <v>668</v>
      </c>
      <c r="D26" s="92" t="str" cm="1">
        <f t="array" ref="D26">INDEX(기계코드!$D$4:$D$214,MATCH(1,(C26=기계코드!$F$4:$F$214)*1,0))</f>
        <v>M_PDS02</v>
      </c>
      <c r="E26" s="92" t="s">
        <v>2224</v>
      </c>
      <c r="F26" s="7" t="str" cm="1">
        <f t="array" ref="F26">INDEX(공급업체코드!$B$3:$B$1000,MATCH(1,(E26=공급업체코드!$D$3:$D$1000)*1,0))</f>
        <v>VM_KPAC_CO</v>
      </c>
      <c r="G26" t="s">
        <v>2250</v>
      </c>
      <c r="I26">
        <v>16</v>
      </c>
      <c r="J26">
        <v>5</v>
      </c>
      <c r="K26" s="7" t="s">
        <v>990</v>
      </c>
      <c r="L26" s="7">
        <v>380</v>
      </c>
      <c r="M26" s="7">
        <v>0.91700000000000004</v>
      </c>
      <c r="N26" s="7">
        <v>0.9</v>
      </c>
      <c r="O26" s="7">
        <v>60</v>
      </c>
      <c r="P26">
        <v>4000</v>
      </c>
      <c r="Q26" s="258" t="s">
        <v>1374</v>
      </c>
      <c r="R26" s="10">
        <f t="shared" si="1"/>
        <v>3</v>
      </c>
      <c r="S26" s="259" t="s">
        <v>1391</v>
      </c>
      <c r="T26" s="147">
        <v>260000000</v>
      </c>
      <c r="V26" s="18" t="s">
        <v>2226</v>
      </c>
      <c r="W26" s="1" t="b">
        <v>1</v>
      </c>
      <c r="Y26" s="113"/>
    </row>
    <row r="27" spans="1:25">
      <c r="A27" s="247"/>
      <c r="B27" s="1" t="str">
        <f t="shared" si="2"/>
        <v>M_PDS02_VM_KPAC_CO_18</v>
      </c>
      <c r="C27" s="92" t="s">
        <v>668</v>
      </c>
      <c r="D27" s="92" t="str" cm="1">
        <f t="array" ref="D27">INDEX(기계코드!$D$4:$D$214,MATCH(1,(C27=기계코드!$F$4:$F$214)*1,0))</f>
        <v>M_PDS02</v>
      </c>
      <c r="E27" s="92" t="s">
        <v>2224</v>
      </c>
      <c r="F27" s="7" t="str" cm="1">
        <f t="array" ref="F27">INDEX(공급업체코드!$B$3:$B$1000,MATCH(1,(E27=공급업체코드!$D$3:$D$1000)*1,0))</f>
        <v>VM_KPAC_CO</v>
      </c>
      <c r="G27" t="s">
        <v>2251</v>
      </c>
      <c r="I27">
        <v>18</v>
      </c>
      <c r="J27">
        <v>7.5</v>
      </c>
      <c r="K27" s="7" t="s">
        <v>990</v>
      </c>
      <c r="L27" s="7">
        <v>380</v>
      </c>
      <c r="M27" s="7">
        <v>0.91700000000000004</v>
      </c>
      <c r="N27" s="7">
        <v>0.9</v>
      </c>
      <c r="O27" s="7">
        <v>60</v>
      </c>
      <c r="P27">
        <v>4500</v>
      </c>
      <c r="Q27" s="258" t="s">
        <v>1374</v>
      </c>
      <c r="R27" s="10">
        <f t="shared" si="1"/>
        <v>3</v>
      </c>
      <c r="S27" s="259" t="s">
        <v>1391</v>
      </c>
      <c r="T27" s="147">
        <v>290000000</v>
      </c>
      <c r="V27" s="18" t="s">
        <v>2226</v>
      </c>
      <c r="W27" s="1" t="b">
        <v>1</v>
      </c>
      <c r="Y27" s="113"/>
    </row>
    <row r="28" spans="1:25">
      <c r="A28" s="247"/>
      <c r="B28" s="1" t="str">
        <f t="shared" si="2"/>
        <v>M_PDS02_VM_KPAC_CO_20</v>
      </c>
      <c r="C28" s="92" t="s">
        <v>668</v>
      </c>
      <c r="D28" s="92" t="str" cm="1">
        <f t="array" ref="D28">INDEX(기계코드!$D$4:$D$214,MATCH(1,(C28=기계코드!$F$4:$F$214)*1,0))</f>
        <v>M_PDS02</v>
      </c>
      <c r="E28" s="92" t="s">
        <v>2224</v>
      </c>
      <c r="F28" s="7" t="str" cm="1">
        <f t="array" ref="F28">INDEX(공급업체코드!$B$3:$B$1000,MATCH(1,(E28=공급업체코드!$D$3:$D$1000)*1,0))</f>
        <v>VM_KPAC_CO</v>
      </c>
      <c r="G28" t="s">
        <v>2252</v>
      </c>
      <c r="I28">
        <v>20</v>
      </c>
      <c r="J28">
        <v>7.5</v>
      </c>
      <c r="K28" s="7" t="s">
        <v>990</v>
      </c>
      <c r="L28" s="7">
        <v>380</v>
      </c>
      <c r="M28" s="7">
        <v>0.91700000000000004</v>
      </c>
      <c r="N28" s="7">
        <v>0.9</v>
      </c>
      <c r="O28" s="7">
        <v>60</v>
      </c>
      <c r="P28">
        <v>5000</v>
      </c>
      <c r="Q28" s="258" t="s">
        <v>1374</v>
      </c>
      <c r="R28" s="10">
        <f t="shared" si="1"/>
        <v>4</v>
      </c>
      <c r="S28" s="259" t="s">
        <v>1391</v>
      </c>
      <c r="T28" s="147">
        <v>320000000</v>
      </c>
      <c r="V28" s="18" t="s">
        <v>2226</v>
      </c>
      <c r="W28" s="1" t="b">
        <v>1</v>
      </c>
      <c r="Y28" s="113"/>
    </row>
    <row r="29" spans="1:25">
      <c r="Q29" s="258"/>
      <c r="S29" s="259"/>
      <c r="Y29" s="113"/>
    </row>
    <row r="30" spans="1:25">
      <c r="Q30" s="258"/>
      <c r="S30" s="259"/>
      <c r="Y30" s="113"/>
    </row>
    <row r="31" spans="1:25">
      <c r="Q31" s="258"/>
      <c r="S31" s="259"/>
      <c r="Y31" s="113"/>
    </row>
    <row r="32" spans="1:25">
      <c r="Q32" s="258"/>
      <c r="S32" s="259"/>
      <c r="Y32" s="113"/>
    </row>
    <row r="33" spans="17:25">
      <c r="Q33" s="258"/>
      <c r="S33" s="259"/>
      <c r="Y33" s="113"/>
    </row>
    <row r="34" spans="17:25">
      <c r="Q34" s="258"/>
      <c r="S34" s="259"/>
      <c r="Y34" s="113"/>
    </row>
    <row r="35" spans="17:25">
      <c r="Q35" s="258"/>
      <c r="S35" s="259"/>
      <c r="Y35" s="113"/>
    </row>
    <row r="36" spans="17:25">
      <c r="Q36" s="258"/>
      <c r="S36" s="259"/>
      <c r="Y36" s="113"/>
    </row>
    <row r="37" spans="17:25">
      <c r="Q37" s="258"/>
      <c r="S37" s="259"/>
      <c r="Y37" s="113"/>
    </row>
    <row r="38" spans="17:25">
      <c r="Q38" s="258"/>
      <c r="S38" s="259"/>
      <c r="Y38" s="113"/>
    </row>
    <row r="39" spans="17:25">
      <c r="Q39" s="258"/>
      <c r="S39" s="259"/>
      <c r="Y39" s="113"/>
    </row>
    <row r="40" spans="17:25">
      <c r="Q40" s="258"/>
      <c r="S40" s="259"/>
      <c r="Y40" s="113"/>
    </row>
    <row r="41" spans="17:25">
      <c r="Q41" s="258"/>
      <c r="S41" s="259"/>
      <c r="Y41" s="113"/>
    </row>
    <row r="42" spans="17:25">
      <c r="Q42" s="258"/>
      <c r="S42" s="259"/>
      <c r="Y42" s="113"/>
    </row>
    <row r="43" spans="17:25">
      <c r="Q43" s="258"/>
      <c r="S43" s="259"/>
      <c r="Y43" s="113"/>
    </row>
    <row r="44" spans="17:25">
      <c r="Q44" s="258"/>
      <c r="S44" s="259"/>
      <c r="Y44" s="113"/>
    </row>
    <row r="45" spans="17:25">
      <c r="Q45" s="258"/>
      <c r="S45" s="259"/>
      <c r="Y45" s="113"/>
    </row>
    <row r="46" spans="17:25">
      <c r="Q46" s="258"/>
      <c r="S46" s="259"/>
      <c r="Y46" s="113"/>
    </row>
    <row r="47" spans="17:25">
      <c r="Q47" s="258"/>
      <c r="S47" s="259"/>
      <c r="Y47" s="113"/>
    </row>
    <row r="48" spans="17:25">
      <c r="Q48" s="258"/>
      <c r="S48" s="259"/>
      <c r="Y48" s="113"/>
    </row>
    <row r="49" spans="17:25">
      <c r="Q49" s="258"/>
      <c r="S49" s="259"/>
      <c r="Y49" s="113"/>
    </row>
    <row r="50" spans="17:25">
      <c r="Q50" s="258"/>
      <c r="S50" s="259"/>
      <c r="Y50" s="113"/>
    </row>
    <row r="51" spans="17:25">
      <c r="Q51" s="258"/>
      <c r="S51" s="259"/>
      <c r="Y51" s="113"/>
    </row>
    <row r="52" spans="17:25">
      <c r="Q52" s="258"/>
      <c r="S52" s="259"/>
      <c r="Y52" s="113"/>
    </row>
    <row r="53" spans="17:25">
      <c r="Q53" s="258"/>
      <c r="S53" s="259"/>
      <c r="Y53" s="113"/>
    </row>
    <row r="54" spans="17:25">
      <c r="Q54" s="258"/>
      <c r="S54" s="259"/>
      <c r="Y54" s="113"/>
    </row>
    <row r="55" spans="17:25">
      <c r="Q55" s="258"/>
      <c r="S55" s="259"/>
      <c r="Y55" s="113"/>
    </row>
    <row r="56" spans="17:25">
      <c r="Q56" s="258"/>
      <c r="S56" s="259"/>
      <c r="Y56" s="113"/>
    </row>
    <row r="57" spans="17:25">
      <c r="Q57" s="258"/>
      <c r="S57" s="259"/>
      <c r="Y57" s="113"/>
    </row>
    <row r="58" spans="17:25">
      <c r="Q58" s="258"/>
      <c r="S58" s="259"/>
      <c r="Y58" s="113"/>
    </row>
    <row r="59" spans="17:25">
      <c r="Q59" s="258"/>
      <c r="S59" s="259"/>
      <c r="Y59" s="113"/>
    </row>
    <row r="60" spans="17:25">
      <c r="Q60" s="258"/>
      <c r="S60" s="259"/>
      <c r="Y60" s="113"/>
    </row>
    <row r="61" spans="17:25">
      <c r="Q61" s="258"/>
      <c r="S61" s="259"/>
      <c r="Y61" s="113"/>
    </row>
    <row r="62" spans="17:25">
      <c r="Q62" s="258"/>
      <c r="S62" s="259"/>
      <c r="Y62" s="113"/>
    </row>
    <row r="63" spans="17:25">
      <c r="Q63" s="258"/>
      <c r="S63" s="259"/>
      <c r="Y63" s="113"/>
    </row>
    <row r="64" spans="17:25">
      <c r="Q64" s="258"/>
      <c r="S64" s="259"/>
      <c r="Y64" s="113"/>
    </row>
    <row r="65" spans="17:25">
      <c r="Q65" s="258"/>
      <c r="S65" s="259"/>
      <c r="Y65" s="113"/>
    </row>
    <row r="66" spans="17:25">
      <c r="Q66" s="258"/>
      <c r="S66" s="259"/>
      <c r="Y66" s="113"/>
    </row>
    <row r="67" spans="17:25">
      <c r="Q67" s="258"/>
      <c r="S67" s="259"/>
      <c r="Y67" s="113"/>
    </row>
    <row r="68" spans="17:25">
      <c r="Q68" s="258"/>
      <c r="S68" s="259"/>
      <c r="Y68" s="113"/>
    </row>
    <row r="69" spans="17:25">
      <c r="Q69" s="258"/>
      <c r="S69" s="259"/>
      <c r="Y69" s="113"/>
    </row>
    <row r="70" spans="17:25">
      <c r="Q70" s="258"/>
      <c r="S70" s="259"/>
      <c r="Y70" s="113"/>
    </row>
    <row r="71" spans="17:25">
      <c r="Q71" s="258"/>
      <c r="S71" s="259"/>
      <c r="Y71" s="113"/>
    </row>
    <row r="72" spans="17:25">
      <c r="Q72" s="258"/>
      <c r="S72" s="259"/>
      <c r="Y72" s="113"/>
    </row>
    <row r="73" spans="17:25">
      <c r="Q73" s="258"/>
      <c r="S73" s="259"/>
      <c r="Y73" s="113"/>
    </row>
    <row r="74" spans="17:25">
      <c r="Q74" s="258"/>
      <c r="S74" s="259"/>
      <c r="Y74" s="113"/>
    </row>
    <row r="75" spans="17:25">
      <c r="Q75" s="258"/>
      <c r="S75" s="259"/>
      <c r="Y75" s="113"/>
    </row>
    <row r="76" spans="17:25">
      <c r="Q76" s="258"/>
      <c r="S76" s="259"/>
      <c r="Y76" s="113"/>
    </row>
    <row r="77" spans="17:25">
      <c r="Q77" s="258"/>
      <c r="S77" s="259"/>
      <c r="Y77" s="113"/>
    </row>
    <row r="78" spans="17:25">
      <c r="Q78" s="258"/>
      <c r="S78" s="259"/>
      <c r="Y78" s="113"/>
    </row>
    <row r="79" spans="17:25">
      <c r="Q79" s="258"/>
      <c r="S79" s="259"/>
      <c r="Y79" s="113"/>
    </row>
    <row r="80" spans="17:25">
      <c r="Q80" s="258"/>
      <c r="S80" s="259"/>
      <c r="Y80" s="113"/>
    </row>
    <row r="81" spans="17:25">
      <c r="Q81" s="258"/>
      <c r="S81" s="259"/>
      <c r="Y81" s="113"/>
    </row>
    <row r="82" spans="17:25">
      <c r="Q82" s="258"/>
      <c r="S82" s="259"/>
      <c r="Y82" s="113"/>
    </row>
    <row r="83" spans="17:25">
      <c r="Q83" s="258"/>
      <c r="S83" s="259"/>
      <c r="Y83" s="113"/>
    </row>
    <row r="84" spans="17:25">
      <c r="Q84" s="258"/>
      <c r="S84" s="259"/>
      <c r="Y84" s="113"/>
    </row>
    <row r="85" spans="17:25">
      <c r="Q85" s="258"/>
      <c r="S85" s="259"/>
      <c r="Y85" s="113"/>
    </row>
    <row r="86" spans="17:25">
      <c r="Q86" s="258"/>
      <c r="S86" s="259"/>
      <c r="Y86" s="113"/>
    </row>
    <row r="87" spans="17:25">
      <c r="Q87" s="258"/>
      <c r="S87" s="259"/>
      <c r="Y87" s="113"/>
    </row>
    <row r="88" spans="17:25">
      <c r="Q88" s="258"/>
      <c r="S88" s="259"/>
      <c r="Y88" s="113"/>
    </row>
    <row r="89" spans="17:25">
      <c r="Q89" s="258"/>
      <c r="S89" s="259"/>
      <c r="Y89" s="113"/>
    </row>
    <row r="90" spans="17:25">
      <c r="Q90" s="258"/>
      <c r="S90" s="259"/>
      <c r="Y90" s="113"/>
    </row>
    <row r="91" spans="17:25">
      <c r="Q91" s="258"/>
      <c r="S91" s="259"/>
      <c r="Y91" s="113"/>
    </row>
    <row r="92" spans="17:25">
      <c r="Q92" s="258"/>
      <c r="S92" s="259"/>
      <c r="Y92" s="113"/>
    </row>
    <row r="93" spans="17:25">
      <c r="Q93" s="258"/>
      <c r="S93" s="259"/>
      <c r="Y93" s="113"/>
    </row>
    <row r="94" spans="17:25">
      <c r="Q94" s="258"/>
      <c r="S94" s="259"/>
      <c r="Y94" s="113"/>
    </row>
    <row r="95" spans="17:25">
      <c r="Q95" s="258"/>
      <c r="S95" s="259"/>
      <c r="Y95" s="113"/>
    </row>
    <row r="96" spans="17:25">
      <c r="Q96" s="258"/>
      <c r="S96" s="259"/>
      <c r="Y96" s="113"/>
    </row>
    <row r="97" spans="17:25">
      <c r="Q97" s="258"/>
      <c r="S97" s="259"/>
      <c r="Y97" s="113"/>
    </row>
    <row r="98" spans="17:25">
      <c r="Q98" s="258"/>
      <c r="S98" s="259"/>
      <c r="Y98" s="113"/>
    </row>
    <row r="99" spans="17:25">
      <c r="Q99" s="258"/>
      <c r="S99" s="259"/>
      <c r="Y99" s="113"/>
    </row>
    <row r="100" spans="17:25">
      <c r="Q100" s="258"/>
      <c r="S100" s="259"/>
      <c r="Y100" s="113"/>
    </row>
    <row r="101" spans="17:25">
      <c r="Q101" s="258"/>
      <c r="S101" s="259"/>
      <c r="Y101" s="113"/>
    </row>
    <row r="102" spans="17:25">
      <c r="Q102" s="258"/>
      <c r="S102" s="259"/>
      <c r="Y102" s="113"/>
    </row>
    <row r="103" spans="17:25">
      <c r="Q103" s="258"/>
      <c r="S103" s="259"/>
      <c r="Y103" s="113"/>
    </row>
    <row r="104" spans="17:25">
      <c r="Q104" s="258"/>
      <c r="S104" s="259"/>
      <c r="Y104" s="113"/>
    </row>
    <row r="105" spans="17:25">
      <c r="Q105" s="258"/>
      <c r="S105" s="259"/>
      <c r="Y105" s="113"/>
    </row>
    <row r="106" spans="17:25">
      <c r="Q106" s="258"/>
      <c r="S106" s="259"/>
      <c r="Y106" s="113"/>
    </row>
    <row r="107" spans="17:25">
      <c r="Q107" s="258"/>
      <c r="S107" s="259"/>
      <c r="Y107" s="113"/>
    </row>
    <row r="108" spans="17:25">
      <c r="Q108" s="258"/>
      <c r="S108" s="259"/>
      <c r="Y108" s="113"/>
    </row>
    <row r="109" spans="17:25">
      <c r="Q109" s="258"/>
      <c r="S109" s="259"/>
      <c r="Y109" s="113"/>
    </row>
    <row r="110" spans="17:25">
      <c r="Q110" s="258"/>
      <c r="S110" s="259"/>
      <c r="Y110" s="113"/>
    </row>
    <row r="111" spans="17:25">
      <c r="Q111" s="258"/>
      <c r="S111" s="259"/>
      <c r="Y111" s="113"/>
    </row>
    <row r="112" spans="17:25">
      <c r="Q112" s="258"/>
      <c r="S112" s="259"/>
      <c r="Y112" s="113"/>
    </row>
    <row r="113" spans="17:25">
      <c r="Q113" s="258"/>
      <c r="S113" s="259"/>
      <c r="Y113" s="113"/>
    </row>
    <row r="114" spans="17:25">
      <c r="Q114" s="258"/>
      <c r="S114" s="259"/>
      <c r="Y114" s="113"/>
    </row>
    <row r="115" spans="17:25">
      <c r="Q115" s="258"/>
      <c r="S115" s="259"/>
      <c r="Y115" s="113"/>
    </row>
    <row r="116" spans="17:25">
      <c r="Q116" s="258"/>
      <c r="S116" s="259"/>
      <c r="Y116" s="113"/>
    </row>
    <row r="117" spans="17:25">
      <c r="Q117" s="258"/>
      <c r="S117" s="259"/>
      <c r="Y117" s="113"/>
    </row>
    <row r="118" spans="17:25">
      <c r="Q118" s="258"/>
      <c r="S118" s="259"/>
      <c r="Y118" s="113"/>
    </row>
    <row r="119" spans="17:25">
      <c r="Q119" s="258"/>
      <c r="S119" s="259"/>
      <c r="Y119" s="113"/>
    </row>
    <row r="120" spans="17:25">
      <c r="Q120" s="258"/>
      <c r="S120" s="259"/>
      <c r="Y120" s="113"/>
    </row>
    <row r="121" spans="17:25">
      <c r="Q121" s="258"/>
      <c r="S121" s="259"/>
      <c r="Y121" s="113"/>
    </row>
    <row r="122" spans="17:25">
      <c r="Q122" s="258"/>
      <c r="S122" s="259"/>
      <c r="Y122" s="113"/>
    </row>
    <row r="123" spans="17:25">
      <c r="Q123" s="258"/>
      <c r="S123" s="259"/>
      <c r="Y123" s="113"/>
    </row>
    <row r="124" spans="17:25">
      <c r="Q124" s="258"/>
      <c r="S124" s="259"/>
      <c r="Y124" s="113"/>
    </row>
    <row r="125" spans="17:25">
      <c r="Q125" s="258"/>
      <c r="S125" s="259"/>
      <c r="Y125" s="113"/>
    </row>
    <row r="126" spans="17:25">
      <c r="Q126" s="258"/>
      <c r="S126" s="259"/>
      <c r="Y126" s="113"/>
    </row>
    <row r="127" spans="17:25">
      <c r="Q127" s="258"/>
      <c r="S127" s="259"/>
      <c r="Y127" s="113"/>
    </row>
    <row r="128" spans="17:25">
      <c r="Q128" s="258"/>
      <c r="S128" s="259"/>
      <c r="Y128" s="113"/>
    </row>
    <row r="129" spans="17:25">
      <c r="Q129" s="258"/>
      <c r="S129" s="259"/>
      <c r="Y129" s="113"/>
    </row>
    <row r="130" spans="17:25">
      <c r="Q130" s="258"/>
      <c r="S130" s="259"/>
      <c r="Y130" s="113"/>
    </row>
    <row r="131" spans="17:25">
      <c r="Q131" s="258"/>
      <c r="Y131" s="113"/>
    </row>
    <row r="132" spans="17:25">
      <c r="Q132" s="258"/>
      <c r="Y132" s="113"/>
    </row>
    <row r="133" spans="17:25">
      <c r="Q133" s="258"/>
      <c r="Y133" s="113"/>
    </row>
    <row r="134" spans="17:25">
      <c r="Q134" s="258"/>
      <c r="Y134" s="113"/>
    </row>
    <row r="135" spans="17:25">
      <c r="Q135" s="258"/>
      <c r="Y135" s="113"/>
    </row>
    <row r="136" spans="17:25">
      <c r="Q136" s="258"/>
      <c r="Y136" s="113"/>
    </row>
    <row r="137" spans="17:25">
      <c r="Q137" s="258"/>
      <c r="Y137" s="113"/>
    </row>
    <row r="138" spans="17:25">
      <c r="Q138" s="258"/>
      <c r="Y138" s="113"/>
    </row>
    <row r="139" spans="17:25">
      <c r="Q139" s="258"/>
      <c r="Y139" s="113"/>
    </row>
    <row r="140" spans="17:25">
      <c r="Q140" s="258"/>
      <c r="Y140" s="113"/>
    </row>
    <row r="141" spans="17:25">
      <c r="Q141" s="258"/>
      <c r="Y141" s="113"/>
    </row>
    <row r="142" spans="17:25">
      <c r="Q142" s="258"/>
      <c r="Y142" s="113"/>
    </row>
    <row r="143" spans="17:25">
      <c r="Q143" s="258"/>
      <c r="Y143" s="113"/>
    </row>
    <row r="144" spans="17:25">
      <c r="Q144" s="258"/>
      <c r="Y144" s="113"/>
    </row>
    <row r="145" spans="17:25">
      <c r="Q145" s="258"/>
      <c r="Y145" s="113"/>
    </row>
    <row r="146" spans="17:25">
      <c r="Q146" s="258"/>
      <c r="Y146" s="113"/>
    </row>
    <row r="147" spans="17:25">
      <c r="Q147" s="258"/>
      <c r="Y147" s="113"/>
    </row>
    <row r="148" spans="17:25">
      <c r="Q148" s="258"/>
      <c r="Y148" s="113"/>
    </row>
    <row r="149" spans="17:25">
      <c r="Q149" s="258"/>
      <c r="Y149" s="113"/>
    </row>
    <row r="150" spans="17:25">
      <c r="Q150" s="258"/>
      <c r="Y150" s="113"/>
    </row>
    <row r="151" spans="17:25">
      <c r="Q151" s="258"/>
      <c r="Y151" s="113"/>
    </row>
    <row r="152" spans="17:25">
      <c r="Q152" s="258"/>
      <c r="Y152" s="113"/>
    </row>
    <row r="153" spans="17:25">
      <c r="Q153" s="258"/>
      <c r="Y153" s="113"/>
    </row>
    <row r="154" spans="17:25">
      <c r="Q154" s="258"/>
      <c r="Y154" s="113"/>
    </row>
    <row r="155" spans="17:25">
      <c r="Q155" s="258"/>
      <c r="Y155" s="113"/>
    </row>
    <row r="156" spans="17:25">
      <c r="Q156" s="258"/>
      <c r="Y156" s="113"/>
    </row>
    <row r="157" spans="17:25">
      <c r="Q157" s="258"/>
      <c r="Y157" s="113"/>
    </row>
    <row r="158" spans="17:25">
      <c r="Q158" s="258"/>
      <c r="Y158" s="113"/>
    </row>
    <row r="159" spans="17:25">
      <c r="Q159" s="258"/>
      <c r="Y159" s="113"/>
    </row>
    <row r="160" spans="17:25">
      <c r="Q160" s="258"/>
      <c r="Y160" s="113"/>
    </row>
    <row r="161" spans="17:25">
      <c r="Q161" s="258"/>
      <c r="Y161" s="113"/>
    </row>
    <row r="162" spans="17:25">
      <c r="Q162" s="258"/>
      <c r="Y162" s="113"/>
    </row>
    <row r="163" spans="17:25">
      <c r="Q163" s="258"/>
      <c r="Y163" s="113"/>
    </row>
    <row r="164" spans="17:25">
      <c r="Q164" s="258"/>
      <c r="Y164" s="113"/>
    </row>
    <row r="165" spans="17:25">
      <c r="Q165" s="258"/>
      <c r="Y165" s="113"/>
    </row>
    <row r="166" spans="17:25">
      <c r="Q166" s="258"/>
      <c r="Y166" s="113"/>
    </row>
    <row r="167" spans="17:25">
      <c r="Q167" s="258"/>
      <c r="Y167" s="113"/>
    </row>
    <row r="168" spans="17:25">
      <c r="Q168" s="258"/>
      <c r="Y168" s="113"/>
    </row>
    <row r="169" spans="17:25">
      <c r="Q169" s="258"/>
      <c r="Y169" s="113"/>
    </row>
    <row r="170" spans="17:25">
      <c r="Q170" s="258"/>
      <c r="Y170" s="113"/>
    </row>
    <row r="171" spans="17:25">
      <c r="Q171" s="258"/>
      <c r="Y171" s="113"/>
    </row>
    <row r="172" spans="17:25">
      <c r="Q172" s="258"/>
      <c r="Y172" s="113"/>
    </row>
    <row r="173" spans="17:25">
      <c r="Q173" s="258"/>
      <c r="Y173" s="113"/>
    </row>
    <row r="174" spans="17:25">
      <c r="Q174" s="258"/>
      <c r="Y174" s="113"/>
    </row>
    <row r="175" spans="17:25">
      <c r="Q175" s="258"/>
      <c r="Y175" s="113"/>
    </row>
    <row r="176" spans="17:25">
      <c r="Q176" s="258"/>
      <c r="Y176" s="113"/>
    </row>
    <row r="177" spans="17:25">
      <c r="Q177" s="258"/>
      <c r="Y177" s="113"/>
    </row>
    <row r="178" spans="17:25">
      <c r="Q178" s="258"/>
      <c r="Y178" s="113"/>
    </row>
    <row r="179" spans="17:25">
      <c r="Q179" s="258"/>
      <c r="Y179" s="113"/>
    </row>
    <row r="180" spans="17:25">
      <c r="Q180" s="258"/>
      <c r="Y180" s="113"/>
    </row>
    <row r="181" spans="17:25">
      <c r="Q181" s="258"/>
      <c r="Y181" s="113"/>
    </row>
    <row r="182" spans="17:25">
      <c r="Q182" s="258"/>
      <c r="Y182" s="113"/>
    </row>
    <row r="183" spans="17:25">
      <c r="Q183" s="258"/>
      <c r="Y183" s="113"/>
    </row>
    <row r="184" spans="17:25">
      <c r="Q184" s="258"/>
      <c r="Y184" s="113"/>
    </row>
    <row r="185" spans="17:25">
      <c r="Q185" s="258"/>
      <c r="Y185" s="113"/>
    </row>
    <row r="186" spans="17:25">
      <c r="Q186" s="258"/>
      <c r="Y186" s="113"/>
    </row>
    <row r="187" spans="17:25">
      <c r="Q187" s="258"/>
      <c r="Y187" s="113"/>
    </row>
    <row r="188" spans="17:25">
      <c r="Q188" s="258"/>
      <c r="Y188" s="113"/>
    </row>
    <row r="189" spans="17:25">
      <c r="Q189" s="258"/>
      <c r="Y189" s="113"/>
    </row>
    <row r="190" spans="17:25">
      <c r="Q190" s="258"/>
      <c r="Y190" s="113"/>
    </row>
    <row r="191" spans="17:25">
      <c r="Q191" s="258"/>
      <c r="Y191" s="113"/>
    </row>
    <row r="192" spans="17:25">
      <c r="Q192" s="258"/>
      <c r="Y192" s="113"/>
    </row>
    <row r="193" spans="17:25">
      <c r="Q193" s="258"/>
      <c r="Y193" s="113"/>
    </row>
    <row r="194" spans="17:25">
      <c r="Q194" s="258"/>
      <c r="Y194" s="113"/>
    </row>
    <row r="195" spans="17:25">
      <c r="Q195" s="258"/>
      <c r="Y195" s="113"/>
    </row>
    <row r="196" spans="17:25">
      <c r="Q196" s="258"/>
      <c r="Y196" s="113"/>
    </row>
    <row r="197" spans="17:25">
      <c r="Q197" s="258"/>
      <c r="Y197" s="113"/>
    </row>
    <row r="198" spans="17:25">
      <c r="Q198" s="258"/>
      <c r="Y198" s="113"/>
    </row>
    <row r="199" spans="17:25">
      <c r="Q199" s="258"/>
      <c r="Y199" s="113"/>
    </row>
    <row r="200" spans="17:25">
      <c r="Q200" s="258"/>
      <c r="Y200" s="113"/>
    </row>
    <row r="201" spans="17:25">
      <c r="Q201" s="258"/>
      <c r="Y201" s="113"/>
    </row>
    <row r="202" spans="17:25">
      <c r="Q202" s="258"/>
      <c r="Y202" s="113"/>
    </row>
    <row r="203" spans="17:25">
      <c r="Q203" s="258"/>
      <c r="Y203" s="113"/>
    </row>
    <row r="204" spans="17:25">
      <c r="Q204" s="258"/>
      <c r="Y204" s="113"/>
    </row>
    <row r="205" spans="17:25">
      <c r="Q205" s="258"/>
      <c r="Y205" s="113"/>
    </row>
    <row r="206" spans="17:25">
      <c r="Q206" s="258"/>
      <c r="Y206" s="113"/>
    </row>
    <row r="207" spans="17:25">
      <c r="Q207" s="258"/>
      <c r="Y207" s="113"/>
    </row>
    <row r="208" spans="17:25">
      <c r="Q208" s="258"/>
      <c r="Y208" s="113"/>
    </row>
    <row r="209" spans="17:25">
      <c r="Q209" s="258"/>
      <c r="Y209" s="113"/>
    </row>
    <row r="210" spans="17:25">
      <c r="Q210" s="258"/>
      <c r="Y210" s="113"/>
    </row>
    <row r="211" spans="17:25">
      <c r="Q211" s="258"/>
      <c r="Y211" s="113"/>
    </row>
    <row r="212" spans="17:25">
      <c r="Q212" s="258"/>
      <c r="Y212" s="113"/>
    </row>
    <row r="213" spans="17:25">
      <c r="Q213" s="258"/>
      <c r="Y213" s="113"/>
    </row>
    <row r="214" spans="17:25">
      <c r="Q214" s="258"/>
      <c r="Y214" s="113"/>
    </row>
    <row r="215" spans="17:25">
      <c r="Q215" s="258"/>
      <c r="Y215" s="113"/>
    </row>
    <row r="216" spans="17:25">
      <c r="Q216" s="258"/>
      <c r="Y216" s="113"/>
    </row>
    <row r="217" spans="17:25">
      <c r="Q217" s="258"/>
      <c r="Y217" s="113"/>
    </row>
    <row r="218" spans="17:25">
      <c r="Q218" s="258"/>
      <c r="Y218" s="113"/>
    </row>
    <row r="219" spans="17:25">
      <c r="Q219" s="258"/>
      <c r="Y219" s="113"/>
    </row>
    <row r="220" spans="17:25">
      <c r="Q220" s="258"/>
      <c r="Y220" s="113"/>
    </row>
    <row r="221" spans="17:25">
      <c r="Q221" s="258"/>
      <c r="Y221" s="113"/>
    </row>
    <row r="222" spans="17:25">
      <c r="Q222" s="258"/>
      <c r="Y222" s="113"/>
    </row>
    <row r="223" spans="17:25">
      <c r="Q223" s="258"/>
      <c r="Y223" s="113"/>
    </row>
    <row r="224" spans="17:25">
      <c r="Q224" s="258"/>
      <c r="Y224" s="113"/>
    </row>
    <row r="225" spans="17:25">
      <c r="Q225" s="258"/>
      <c r="Y225" s="113"/>
    </row>
    <row r="226" spans="17:25">
      <c r="Q226" s="258"/>
      <c r="Y226" s="113"/>
    </row>
    <row r="227" spans="17:25">
      <c r="Q227" s="258"/>
      <c r="Y227" s="113"/>
    </row>
    <row r="228" spans="17:25">
      <c r="Q228" s="258"/>
      <c r="Y228" s="113"/>
    </row>
    <row r="229" spans="17:25">
      <c r="Q229" s="258"/>
      <c r="Y229" s="113"/>
    </row>
    <row r="230" spans="17:25">
      <c r="Q230" s="258"/>
      <c r="Y230" s="113"/>
    </row>
    <row r="231" spans="17:25">
      <c r="Q231" s="258"/>
      <c r="Y231" s="113"/>
    </row>
    <row r="232" spans="17:25">
      <c r="Q232" s="258"/>
      <c r="Y232" s="113"/>
    </row>
    <row r="233" spans="17:25">
      <c r="Q233" s="258"/>
      <c r="Y233" s="113"/>
    </row>
    <row r="234" spans="17:25">
      <c r="Q234" s="258"/>
      <c r="Y234" s="113"/>
    </row>
    <row r="235" spans="17:25">
      <c r="Q235" s="258"/>
      <c r="Y235" s="113"/>
    </row>
    <row r="236" spans="17:25">
      <c r="Q236" s="258"/>
      <c r="Y236" s="113"/>
    </row>
    <row r="237" spans="17:25">
      <c r="Q237" s="258"/>
      <c r="Y237" s="113"/>
    </row>
    <row r="238" spans="17:25">
      <c r="Q238" s="258"/>
      <c r="Y238" s="113"/>
    </row>
    <row r="239" spans="17:25">
      <c r="Q239" s="258"/>
      <c r="Y239" s="113"/>
    </row>
    <row r="240" spans="17:25">
      <c r="Q240" s="258"/>
      <c r="Y240" s="113"/>
    </row>
    <row r="241" spans="17:25">
      <c r="Q241" s="258"/>
      <c r="Y241" s="113"/>
    </row>
    <row r="242" spans="17:25">
      <c r="Q242" s="258"/>
      <c r="Y242" s="113"/>
    </row>
    <row r="243" spans="17:25">
      <c r="Q243" s="258"/>
      <c r="Y243" s="113"/>
    </row>
    <row r="244" spans="17:25">
      <c r="Q244" s="258"/>
      <c r="Y244" s="113"/>
    </row>
    <row r="245" spans="17:25">
      <c r="Q245" s="258"/>
      <c r="Y245" s="113"/>
    </row>
    <row r="246" spans="17:25">
      <c r="Q246" s="258"/>
      <c r="Y246" s="113"/>
    </row>
    <row r="247" spans="17:25">
      <c r="Q247" s="258"/>
      <c r="Y247" s="113"/>
    </row>
    <row r="248" spans="17:25">
      <c r="Q248" s="258"/>
      <c r="Y248" s="113"/>
    </row>
    <row r="249" spans="17:25">
      <c r="Q249" s="258"/>
      <c r="Y249" s="113"/>
    </row>
    <row r="250" spans="17:25">
      <c r="Q250" s="258"/>
      <c r="Y250" s="113"/>
    </row>
    <row r="251" spans="17:25">
      <c r="Q251" s="258"/>
      <c r="Y251" s="113"/>
    </row>
    <row r="252" spans="17:25">
      <c r="Q252" s="258"/>
      <c r="Y252" s="113"/>
    </row>
    <row r="253" spans="17:25">
      <c r="Q253" s="258"/>
      <c r="Y253" s="113"/>
    </row>
    <row r="254" spans="17:25">
      <c r="Q254" s="258"/>
      <c r="Y254" s="113"/>
    </row>
    <row r="255" spans="17:25">
      <c r="Q255" s="258"/>
      <c r="Y255" s="113"/>
    </row>
    <row r="256" spans="17:25">
      <c r="Q256" s="258"/>
      <c r="Y256" s="113"/>
    </row>
    <row r="257" spans="17:25">
      <c r="Q257" s="258"/>
      <c r="Y257" s="113"/>
    </row>
    <row r="258" spans="17:25">
      <c r="Q258" s="258"/>
      <c r="Y258" s="113"/>
    </row>
    <row r="259" spans="17:25">
      <c r="Q259" s="258"/>
      <c r="Y259" s="113"/>
    </row>
    <row r="260" spans="17:25">
      <c r="Q260" s="258"/>
      <c r="Y260" s="113"/>
    </row>
    <row r="261" spans="17:25">
      <c r="Q261" s="258"/>
      <c r="Y261" s="113"/>
    </row>
    <row r="262" spans="17:25">
      <c r="Q262" s="258"/>
      <c r="Y262" s="113"/>
    </row>
    <row r="263" spans="17:25">
      <c r="Q263" s="258"/>
      <c r="Y263" s="113"/>
    </row>
    <row r="264" spans="17:25">
      <c r="Q264" s="258"/>
      <c r="Y264" s="113"/>
    </row>
    <row r="265" spans="17:25">
      <c r="Q265" s="258"/>
      <c r="Y265" s="113"/>
    </row>
    <row r="266" spans="17:25">
      <c r="Q266" s="258"/>
      <c r="Y266" s="113"/>
    </row>
    <row r="267" spans="17:25">
      <c r="Q267" s="258"/>
      <c r="Y267" s="113"/>
    </row>
    <row r="268" spans="17:25">
      <c r="Q268" s="258"/>
      <c r="Y268" s="113"/>
    </row>
    <row r="269" spans="17:25">
      <c r="Q269" s="258"/>
      <c r="Y269" s="113"/>
    </row>
    <row r="270" spans="17:25">
      <c r="Q270" s="258"/>
      <c r="Y270" s="113"/>
    </row>
    <row r="271" spans="17:25">
      <c r="Q271" s="258"/>
      <c r="Y271" s="113"/>
    </row>
    <row r="272" spans="17:25">
      <c r="Q272" s="258"/>
      <c r="Y272" s="113"/>
    </row>
    <row r="273" spans="17:25">
      <c r="Q273" s="258"/>
      <c r="Y273" s="113"/>
    </row>
    <row r="274" spans="17:25">
      <c r="Q274" s="258"/>
      <c r="Y274" s="113"/>
    </row>
    <row r="275" spans="17:25">
      <c r="Q275" s="258"/>
      <c r="Y275" s="113"/>
    </row>
    <row r="276" spans="17:25">
      <c r="Q276" s="258"/>
      <c r="Y276" s="113"/>
    </row>
    <row r="277" spans="17:25">
      <c r="Q277" s="258"/>
      <c r="Y277" s="113"/>
    </row>
    <row r="278" spans="17:25">
      <c r="Q278" s="258"/>
      <c r="Y278" s="113"/>
    </row>
    <row r="279" spans="17:25">
      <c r="Q279" s="258"/>
      <c r="Y279" s="113"/>
    </row>
    <row r="280" spans="17:25">
      <c r="Q280" s="258"/>
      <c r="Y280" s="113"/>
    </row>
    <row r="281" spans="17:25">
      <c r="Q281" s="258"/>
      <c r="Y281" s="113"/>
    </row>
    <row r="282" spans="17:25">
      <c r="Q282" s="258"/>
      <c r="Y282" s="113"/>
    </row>
    <row r="283" spans="17:25">
      <c r="Q283" s="258"/>
      <c r="Y283" s="113"/>
    </row>
    <row r="284" spans="17:25">
      <c r="Q284" s="258"/>
      <c r="Y284" s="113"/>
    </row>
    <row r="285" spans="17:25">
      <c r="Q285" s="258"/>
      <c r="Y285" s="113"/>
    </row>
    <row r="286" spans="17:25">
      <c r="Q286" s="258"/>
      <c r="Y286" s="113"/>
    </row>
    <row r="287" spans="17:25">
      <c r="Q287" s="258"/>
      <c r="Y287" s="113"/>
    </row>
    <row r="288" spans="17:25">
      <c r="Q288" s="258"/>
      <c r="Y288" s="113"/>
    </row>
    <row r="289" spans="17:25">
      <c r="Q289" s="258"/>
      <c r="Y289" s="113"/>
    </row>
    <row r="290" spans="17:25">
      <c r="Q290" s="258"/>
      <c r="Y290" s="113"/>
    </row>
    <row r="291" spans="17:25">
      <c r="Q291" s="258"/>
      <c r="Y291" s="113"/>
    </row>
    <row r="292" spans="17:25">
      <c r="Q292" s="258"/>
      <c r="Y292" s="113"/>
    </row>
    <row r="293" spans="17:25">
      <c r="Q293" s="258"/>
      <c r="Y293" s="113"/>
    </row>
    <row r="294" spans="17:25">
      <c r="Q294" s="258"/>
      <c r="Y294" s="113"/>
    </row>
    <row r="295" spans="17:25">
      <c r="Q295" s="258"/>
      <c r="Y295" s="113"/>
    </row>
    <row r="296" spans="17:25">
      <c r="Q296" s="258"/>
      <c r="Y296" s="113"/>
    </row>
    <row r="297" spans="17:25">
      <c r="Q297" s="258"/>
      <c r="Y297" s="113"/>
    </row>
    <row r="298" spans="17:25">
      <c r="Q298" s="258"/>
      <c r="Y298" s="113"/>
    </row>
    <row r="299" spans="17:25">
      <c r="Q299" s="258"/>
      <c r="Y299" s="113"/>
    </row>
    <row r="300" spans="17:25">
      <c r="Q300" s="258"/>
      <c r="Y300" s="113"/>
    </row>
    <row r="301" spans="17:25">
      <c r="Q301" s="258"/>
      <c r="Y301" s="113"/>
    </row>
    <row r="302" spans="17:25">
      <c r="Q302" s="258"/>
      <c r="Y302" s="113"/>
    </row>
    <row r="303" spans="17:25">
      <c r="Q303" s="258"/>
      <c r="Y303" s="113"/>
    </row>
    <row r="304" spans="17:25">
      <c r="Q304" s="258"/>
      <c r="Y304" s="113"/>
    </row>
    <row r="305" spans="17:25">
      <c r="Q305" s="258"/>
      <c r="Y305" s="113"/>
    </row>
    <row r="306" spans="17:25">
      <c r="Q306" s="258"/>
      <c r="Y306" s="113"/>
    </row>
    <row r="307" spans="17:25">
      <c r="Q307" s="258"/>
      <c r="Y307" s="113"/>
    </row>
    <row r="308" spans="17:25">
      <c r="Q308" s="258"/>
      <c r="Y308" s="113"/>
    </row>
    <row r="309" spans="17:25">
      <c r="Q309" s="258"/>
      <c r="Y309" s="113"/>
    </row>
    <row r="310" spans="17:25">
      <c r="Q310" s="258"/>
      <c r="Y310" s="113"/>
    </row>
    <row r="311" spans="17:25">
      <c r="Q311" s="258"/>
      <c r="Y311" s="113"/>
    </row>
    <row r="312" spans="17:25">
      <c r="Q312" s="258"/>
      <c r="Y312" s="113"/>
    </row>
    <row r="313" spans="17:25">
      <c r="Q313" s="258"/>
      <c r="Y313" s="113"/>
    </row>
    <row r="314" spans="17:25">
      <c r="Q314" s="258"/>
      <c r="Y314" s="113"/>
    </row>
    <row r="315" spans="17:25">
      <c r="Q315" s="258"/>
      <c r="Y315" s="113"/>
    </row>
    <row r="316" spans="17:25">
      <c r="Q316" s="258"/>
      <c r="Y316" s="113"/>
    </row>
    <row r="317" spans="17:25">
      <c r="Q317" s="258"/>
      <c r="Y317" s="113"/>
    </row>
    <row r="318" spans="17:25">
      <c r="Q318" s="258"/>
      <c r="Y318" s="113"/>
    </row>
    <row r="319" spans="17:25">
      <c r="Q319" s="258"/>
      <c r="Y319" s="113"/>
    </row>
    <row r="320" spans="17:25">
      <c r="Q320" s="258"/>
      <c r="Y320" s="113"/>
    </row>
    <row r="321" spans="17:25">
      <c r="Q321" s="258"/>
      <c r="Y321" s="113"/>
    </row>
    <row r="322" spans="17:25">
      <c r="Q322" s="258"/>
      <c r="Y322" s="113"/>
    </row>
    <row r="323" spans="17:25">
      <c r="Q323" s="258"/>
      <c r="Y323" s="113"/>
    </row>
    <row r="324" spans="17:25">
      <c r="Q324" s="258"/>
      <c r="Y324" s="113"/>
    </row>
    <row r="325" spans="17:25">
      <c r="Q325" s="258"/>
      <c r="Y325" s="113"/>
    </row>
    <row r="326" spans="17:25">
      <c r="Q326" s="258"/>
      <c r="Y326" s="113"/>
    </row>
    <row r="327" spans="17:25">
      <c r="Q327" s="258"/>
      <c r="Y327" s="113"/>
    </row>
    <row r="328" spans="17:25">
      <c r="Q328" s="258"/>
      <c r="Y328" s="113"/>
    </row>
    <row r="329" spans="17:25">
      <c r="Q329" s="258"/>
      <c r="Y329" s="113"/>
    </row>
    <row r="330" spans="17:25">
      <c r="Q330" s="258"/>
      <c r="Y330" s="113"/>
    </row>
    <row r="331" spans="17:25">
      <c r="Q331" s="258"/>
      <c r="Y331" s="113"/>
    </row>
    <row r="332" spans="17:25">
      <c r="Q332" s="258"/>
      <c r="Y332" s="113"/>
    </row>
    <row r="333" spans="17:25">
      <c r="Q333" s="258"/>
      <c r="Y333" s="113"/>
    </row>
    <row r="334" spans="17:25">
      <c r="Q334" s="258"/>
      <c r="Y334" s="113"/>
    </row>
    <row r="335" spans="17:25">
      <c r="Q335" s="258"/>
      <c r="Y335" s="113"/>
    </row>
    <row r="336" spans="17:25">
      <c r="Q336" s="258"/>
      <c r="Y336" s="113"/>
    </row>
    <row r="337" spans="17:25">
      <c r="Q337" s="258"/>
      <c r="Y337" s="113"/>
    </row>
    <row r="338" spans="17:25">
      <c r="Q338" s="258"/>
      <c r="Y338" s="113"/>
    </row>
    <row r="339" spans="17:25">
      <c r="Q339" s="258"/>
      <c r="Y339" s="113"/>
    </row>
    <row r="340" spans="17:25">
      <c r="Q340" s="258"/>
      <c r="Y340" s="113"/>
    </row>
    <row r="341" spans="17:25">
      <c r="Q341" s="258"/>
      <c r="Y341" s="113"/>
    </row>
    <row r="342" spans="17:25">
      <c r="Q342" s="258"/>
      <c r="Y342" s="113"/>
    </row>
    <row r="343" spans="17:25">
      <c r="Q343" s="258"/>
      <c r="Y343" s="113"/>
    </row>
    <row r="344" spans="17:25">
      <c r="Q344" s="258"/>
      <c r="Y344" s="113"/>
    </row>
    <row r="345" spans="17:25">
      <c r="Q345" s="258"/>
      <c r="Y345" s="113"/>
    </row>
    <row r="346" spans="17:25">
      <c r="Q346" s="258"/>
      <c r="Y346" s="113"/>
    </row>
    <row r="347" spans="17:25">
      <c r="Q347" s="258"/>
      <c r="Y347" s="113"/>
    </row>
    <row r="348" spans="17:25">
      <c r="Q348" s="258"/>
      <c r="Y348" s="113"/>
    </row>
    <row r="349" spans="17:25">
      <c r="Q349" s="258"/>
      <c r="Y349" s="113"/>
    </row>
    <row r="350" spans="17:25">
      <c r="Q350" s="258"/>
      <c r="Y350" s="113"/>
    </row>
    <row r="351" spans="17:25">
      <c r="Q351" s="258"/>
      <c r="Y351" s="113"/>
    </row>
    <row r="352" spans="17:25">
      <c r="Q352" s="258"/>
      <c r="Y352" s="113"/>
    </row>
    <row r="353" spans="17:25">
      <c r="Q353" s="258"/>
      <c r="Y353" s="113"/>
    </row>
    <row r="354" spans="17:25">
      <c r="Q354" s="258"/>
      <c r="Y354" s="113"/>
    </row>
    <row r="355" spans="17:25">
      <c r="Q355" s="258"/>
      <c r="Y355" s="113"/>
    </row>
    <row r="356" spans="17:25">
      <c r="Q356" s="258"/>
      <c r="Y356" s="113"/>
    </row>
    <row r="357" spans="17:25">
      <c r="Q357" s="258"/>
      <c r="Y357" s="113"/>
    </row>
    <row r="358" spans="17:25">
      <c r="Q358" s="258"/>
      <c r="Y358" s="113"/>
    </row>
    <row r="359" spans="17:25">
      <c r="Q359" s="258"/>
      <c r="Y359" s="113"/>
    </row>
    <row r="360" spans="17:25">
      <c r="Q360" s="258"/>
      <c r="Y360" s="113"/>
    </row>
    <row r="361" spans="17:25">
      <c r="Q361" s="258"/>
      <c r="Y361" s="113"/>
    </row>
    <row r="362" spans="17:25">
      <c r="Q362" s="258"/>
      <c r="Y362" s="113"/>
    </row>
    <row r="363" spans="17:25">
      <c r="Q363" s="258"/>
      <c r="Y363" s="113"/>
    </row>
    <row r="364" spans="17:25">
      <c r="Q364" s="258"/>
      <c r="Y364" s="113"/>
    </row>
    <row r="365" spans="17:25">
      <c r="Q365" s="258"/>
      <c r="Y365" s="113"/>
    </row>
    <row r="366" spans="17:25">
      <c r="Q366" s="258"/>
      <c r="Y366" s="113"/>
    </row>
    <row r="367" spans="17:25">
      <c r="Q367" s="258"/>
      <c r="Y367" s="113"/>
    </row>
    <row r="368" spans="17:25">
      <c r="Q368" s="258"/>
      <c r="Y368" s="113"/>
    </row>
    <row r="369" spans="17:25">
      <c r="Q369" s="258"/>
      <c r="Y369" s="113"/>
    </row>
    <row r="370" spans="17:25">
      <c r="Q370" s="258"/>
      <c r="Y370" s="113"/>
    </row>
    <row r="371" spans="17:25">
      <c r="Q371" s="258"/>
      <c r="Y371" s="113"/>
    </row>
    <row r="372" spans="17:25">
      <c r="Q372" s="258"/>
      <c r="Y372" s="113"/>
    </row>
    <row r="373" spans="17:25">
      <c r="Y373" s="113"/>
    </row>
    <row r="374" spans="17:25">
      <c r="Y374" s="113"/>
    </row>
    <row r="375" spans="17:25">
      <c r="Y375" s="113"/>
    </row>
    <row r="376" spans="17:25">
      <c r="Y376" s="113"/>
    </row>
    <row r="377" spans="17:25">
      <c r="Y377" s="113"/>
    </row>
    <row r="378" spans="17:25">
      <c r="Y378" s="113"/>
    </row>
    <row r="379" spans="17:25">
      <c r="Y379" s="113"/>
    </row>
    <row r="380" spans="17:25">
      <c r="Y380" s="113"/>
    </row>
    <row r="381" spans="17:25">
      <c r="Y381" s="113"/>
    </row>
    <row r="382" spans="17:25">
      <c r="Y382" s="113"/>
    </row>
    <row r="383" spans="17:25">
      <c r="Y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9340D40-1C69-4525-82BC-6C89E578887C}">
          <x14:formula1>
            <xm:f>공급업체코드!$D$3:$D$47</xm:f>
          </x14:formula1>
          <xm:sqref>E3:E28</xm:sqref>
        </x14:dataValidation>
        <x14:dataValidation type="list" allowBlank="1" showInputMessage="1" showErrorMessage="1" xr:uid="{4F9081C6-EFBE-43AF-B2AB-77720BA62593}">
          <x14:formula1>
            <xm:f>기계코드!$F$200:$F$202</xm:f>
          </x14:formula1>
          <xm:sqref>C3:C28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D699-F10B-4F33-8857-C67C441808C6}">
  <dimension ref="B1:AJ374"/>
  <sheetViews>
    <sheetView zoomScale="70" zoomScaleNormal="70" workbookViewId="0">
      <pane ySplit="2" topLeftCell="A3" activePane="bottomLeft" state="frozen"/>
      <selection pane="bottomLeft" activeCell="B20" sqref="B20"/>
    </sheetView>
  </sheetViews>
  <sheetFormatPr defaultRowHeight="16.5" customHeight="1"/>
  <cols>
    <col min="1" max="1" width="13.625" customWidth="1"/>
    <col min="2" max="2" width="31.5" customWidth="1"/>
    <col min="3" max="3" width="27.25" customWidth="1"/>
    <col min="4" max="5" width="16.125" customWidth="1"/>
    <col min="6" max="6" width="13.875" bestFit="1" customWidth="1"/>
    <col min="7" max="7" width="14.75" style="18" bestFit="1" customWidth="1"/>
    <col min="8" max="8" width="23.25" bestFit="1" customWidth="1"/>
    <col min="9" max="9" width="21.5" customWidth="1"/>
    <col min="10" max="12" width="17.75" customWidth="1"/>
    <col min="13" max="13" width="13.125" customWidth="1"/>
    <col min="14" max="14" width="15.25" customWidth="1"/>
    <col min="15" max="15" width="17.125" bestFit="1" customWidth="1"/>
    <col min="16" max="16" width="19.75" bestFit="1" customWidth="1"/>
    <col min="17" max="17" width="20.875" bestFit="1" customWidth="1"/>
    <col min="18" max="18" width="24.75" bestFit="1" customWidth="1"/>
    <col min="19" max="19" width="16.125" customWidth="1"/>
    <col min="20" max="20" width="16.125" style="261" customWidth="1"/>
    <col min="21" max="21" width="25.75" style="10" bestFit="1" customWidth="1"/>
    <col min="22" max="22" width="16.125" style="10" customWidth="1"/>
    <col min="23" max="23" width="18" style="178" bestFit="1" customWidth="1"/>
    <col min="24" max="24" width="18" customWidth="1"/>
    <col min="25" max="25" width="20.875" style="18" bestFit="1" customWidth="1"/>
    <col min="26" max="26" width="10.5" customWidth="1"/>
    <col min="27" max="27" width="27.625" bestFit="1" customWidth="1"/>
    <col min="28" max="28" width="20.625" customWidth="1"/>
    <col min="29" max="29" width="9" bestFit="1" customWidth="1"/>
    <col min="30" max="30" width="12.375" customWidth="1"/>
    <col min="31" max="31" width="11.375" bestFit="1" customWidth="1"/>
    <col min="32" max="33" width="9" bestFit="1" customWidth="1"/>
    <col min="34" max="34" width="22.125" bestFit="1" customWidth="1"/>
    <col min="35" max="35" width="36.375" bestFit="1" customWidth="1"/>
    <col min="36" max="36" width="15.375" bestFit="1" customWidth="1"/>
    <col min="37" max="38" width="9" bestFit="1" customWidth="1"/>
  </cols>
  <sheetData>
    <row r="1" spans="2:36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7" t="s">
        <v>2253</v>
      </c>
      <c r="I1" s="10" t="s">
        <v>1992</v>
      </c>
      <c r="J1" s="10" t="s">
        <v>2254</v>
      </c>
      <c r="K1" s="10" t="s">
        <v>2255</v>
      </c>
      <c r="L1" s="10" t="s">
        <v>1433</v>
      </c>
      <c r="M1" s="10" t="s">
        <v>1807</v>
      </c>
      <c r="N1" s="10" t="s">
        <v>1319</v>
      </c>
      <c r="O1" s="10" t="s">
        <v>1320</v>
      </c>
      <c r="P1" s="10" t="s">
        <v>1321</v>
      </c>
      <c r="Q1" s="10" t="s">
        <v>1322</v>
      </c>
      <c r="R1" s="10" t="s">
        <v>1323</v>
      </c>
      <c r="S1" s="10" t="s">
        <v>1324</v>
      </c>
      <c r="T1" s="131" t="s">
        <v>1290</v>
      </c>
      <c r="U1" s="131" t="s">
        <v>1291</v>
      </c>
      <c r="V1" s="131" t="s">
        <v>1292</v>
      </c>
      <c r="W1" s="10" t="s">
        <v>1293</v>
      </c>
      <c r="X1" s="17" t="s">
        <v>1294</v>
      </c>
      <c r="Y1" s="61" t="s">
        <v>1295</v>
      </c>
      <c r="Z1" s="10" t="s">
        <v>1296</v>
      </c>
      <c r="AA1" s="10" t="s">
        <v>1297</v>
      </c>
      <c r="AB1" s="249" t="s">
        <v>1298</v>
      </c>
    </row>
    <row r="2" spans="2:36" s="1" customFormat="1"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23" t="s">
        <v>1302</v>
      </c>
      <c r="H2" s="124" t="s">
        <v>1442</v>
      </c>
      <c r="I2" s="116" t="s">
        <v>1443</v>
      </c>
      <c r="J2" s="114" t="s">
        <v>2256</v>
      </c>
      <c r="K2" s="114" t="s">
        <v>2257</v>
      </c>
      <c r="L2" s="114" t="s">
        <v>2258</v>
      </c>
      <c r="M2" s="103" t="s">
        <v>1371</v>
      </c>
      <c r="N2" s="103" t="s">
        <v>1328</v>
      </c>
      <c r="O2" s="104" t="s">
        <v>1329</v>
      </c>
      <c r="P2" s="103" t="s">
        <v>1330</v>
      </c>
      <c r="Q2" s="103" t="s">
        <v>1331</v>
      </c>
      <c r="R2" s="103" t="s">
        <v>1332</v>
      </c>
      <c r="S2" s="103" t="s">
        <v>1349</v>
      </c>
      <c r="T2" s="5" t="s">
        <v>1305</v>
      </c>
      <c r="U2" s="5" t="s">
        <v>1306</v>
      </c>
      <c r="V2" s="5" t="s">
        <v>1307</v>
      </c>
      <c r="W2" s="254" t="s">
        <v>1308</v>
      </c>
      <c r="X2" s="255" t="s">
        <v>1309</v>
      </c>
      <c r="Y2" s="241" t="s">
        <v>1310</v>
      </c>
      <c r="Z2" s="109" t="s">
        <v>1311</v>
      </c>
      <c r="AA2" s="100" t="s">
        <v>10</v>
      </c>
      <c r="AB2" s="242" t="s">
        <v>1312</v>
      </c>
      <c r="AH2" s="41"/>
      <c r="AI2" s="41"/>
      <c r="AJ2" s="41"/>
    </row>
    <row r="3" spans="2:36">
      <c r="B3" s="1" t="str">
        <f t="shared" ref="B3:B11" si="0">D3&amp;"_"&amp;F3&amp;"_"&amp;I3</f>
        <v>M_DHY02_VM_EWH_SYS_5</v>
      </c>
      <c r="C3" s="92" t="s">
        <v>543</v>
      </c>
      <c r="D3" s="92" t="s">
        <v>542</v>
      </c>
      <c r="E3" s="92" t="s">
        <v>2259</v>
      </c>
      <c r="F3" s="7" t="str" cm="1">
        <f t="array" ref="F3">INDEX(공급업체코드!$B$3:$B$1000,MATCH(1,(E3=공급업체코드!$D$3:$D$1000)*1,0))</f>
        <v>VM_EWH_SYS</v>
      </c>
      <c r="G3" s="113" t="s">
        <v>2260</v>
      </c>
      <c r="H3">
        <v>2</v>
      </c>
      <c r="I3" s="110">
        <v>5</v>
      </c>
      <c r="J3" s="64"/>
      <c r="K3" s="64"/>
      <c r="L3" s="110">
        <v>7.5</v>
      </c>
      <c r="M3">
        <v>15</v>
      </c>
      <c r="N3" s="7" t="s">
        <v>990</v>
      </c>
      <c r="O3" s="7">
        <v>380</v>
      </c>
      <c r="P3" s="7">
        <v>0.93</v>
      </c>
      <c r="Q3" s="7">
        <v>0.9</v>
      </c>
      <c r="R3" s="7">
        <v>60</v>
      </c>
      <c r="S3">
        <v>2000</v>
      </c>
      <c r="T3" s="256" t="s">
        <v>1390</v>
      </c>
      <c r="U3" s="10">
        <f>IF(S3&lt;500,1,IF(S3&lt;1000,2,IF(S3&lt;5000,3,4)))</f>
        <v>3</v>
      </c>
      <c r="V3" s="232" t="s">
        <v>1391</v>
      </c>
      <c r="W3" s="178">
        <v>130000000</v>
      </c>
      <c r="X3" s="64"/>
      <c r="Y3" s="18" t="s">
        <v>2261</v>
      </c>
      <c r="Z3" s="1" t="b">
        <v>1</v>
      </c>
      <c r="AB3" s="133"/>
      <c r="AH3" s="41"/>
      <c r="AI3" s="41"/>
      <c r="AJ3" s="41"/>
    </row>
    <row r="4" spans="2:36">
      <c r="B4" s="1" t="str">
        <f t="shared" si="0"/>
        <v>M_DHY02_VM_EWH_SYS_8</v>
      </c>
      <c r="C4" s="92" t="s">
        <v>543</v>
      </c>
      <c r="D4" s="92" t="s">
        <v>542</v>
      </c>
      <c r="E4" s="92" t="s">
        <v>2259</v>
      </c>
      <c r="F4" s="7" t="str" cm="1">
        <f t="array" ref="F4">INDEX(공급업체코드!$B$3:$B$1000,MATCH(1,(E4=공급업체코드!$D$3:$D$1000)*1,0))</f>
        <v>VM_EWH_SYS</v>
      </c>
      <c r="G4" s="113" t="s">
        <v>2262</v>
      </c>
      <c r="H4">
        <v>5</v>
      </c>
      <c r="I4">
        <v>8</v>
      </c>
      <c r="J4" s="64"/>
      <c r="K4" s="64"/>
      <c r="L4">
        <v>11</v>
      </c>
      <c r="M4">
        <v>22</v>
      </c>
      <c r="N4" s="7" t="s">
        <v>990</v>
      </c>
      <c r="O4" s="7">
        <v>380</v>
      </c>
      <c r="P4" s="7">
        <v>0.93599999999999994</v>
      </c>
      <c r="Q4" s="7">
        <v>0.9</v>
      </c>
      <c r="R4" s="7">
        <v>60</v>
      </c>
      <c r="S4">
        <v>2500</v>
      </c>
      <c r="T4" s="258" t="s">
        <v>1390</v>
      </c>
      <c r="U4" s="10">
        <f t="shared" ref="U4:U11" si="1">IF(S4&lt;500,1,IF(S4&lt;1000,2,IF(S4&lt;5000,3,4)))</f>
        <v>3</v>
      </c>
      <c r="V4" s="233" t="s">
        <v>1391</v>
      </c>
      <c r="W4" s="178">
        <v>150000000</v>
      </c>
      <c r="X4" s="64"/>
      <c r="Y4" s="18" t="s">
        <v>2261</v>
      </c>
      <c r="Z4" s="1" t="b">
        <v>1</v>
      </c>
      <c r="AB4" s="133"/>
      <c r="AH4" s="41"/>
      <c r="AI4" s="41"/>
      <c r="AJ4" s="41"/>
    </row>
    <row r="5" spans="2:36">
      <c r="B5" s="1" t="str">
        <f t="shared" si="0"/>
        <v>M_DHY02_VM_EWH_SYS_15</v>
      </c>
      <c r="C5" s="92" t="s">
        <v>543</v>
      </c>
      <c r="D5" s="92" t="s">
        <v>542</v>
      </c>
      <c r="E5" s="92" t="s">
        <v>2259</v>
      </c>
      <c r="F5" s="7" t="str" cm="1">
        <f t="array" ref="F5">INDEX(공급업체코드!$B$3:$B$1000,MATCH(1,(E5=공급업체코드!$D$3:$D$1000)*1,0))</f>
        <v>VM_EWH_SYS</v>
      </c>
      <c r="G5" s="113" t="s">
        <v>2263</v>
      </c>
      <c r="H5">
        <v>8</v>
      </c>
      <c r="I5">
        <v>15</v>
      </c>
      <c r="J5" s="64"/>
      <c r="K5" s="64"/>
      <c r="L5">
        <v>15</v>
      </c>
      <c r="M5">
        <v>22</v>
      </c>
      <c r="N5" s="7" t="s">
        <v>990</v>
      </c>
      <c r="O5" s="7">
        <v>380</v>
      </c>
      <c r="P5" s="7">
        <v>0.93599999999999994</v>
      </c>
      <c r="Q5" s="7">
        <v>0.9</v>
      </c>
      <c r="R5" s="7">
        <v>60</v>
      </c>
      <c r="S5">
        <v>3200</v>
      </c>
      <c r="T5" s="258" t="s">
        <v>1390</v>
      </c>
      <c r="U5" s="10">
        <f t="shared" si="1"/>
        <v>3</v>
      </c>
      <c r="V5" s="233" t="s">
        <v>1391</v>
      </c>
      <c r="W5" s="178">
        <v>180000000</v>
      </c>
      <c r="X5" s="64"/>
      <c r="Y5" s="18" t="s">
        <v>2261</v>
      </c>
      <c r="Z5" s="1" t="b">
        <v>1</v>
      </c>
      <c r="AB5" s="133"/>
      <c r="AH5" s="41"/>
      <c r="AI5" s="41"/>
      <c r="AJ5" s="41"/>
    </row>
    <row r="6" spans="2:36">
      <c r="B6" s="1" t="str">
        <f t="shared" si="0"/>
        <v>M_DHY02_VM_EWH_SYS_20</v>
      </c>
      <c r="C6" s="92" t="s">
        <v>543</v>
      </c>
      <c r="D6" s="92" t="s">
        <v>542</v>
      </c>
      <c r="E6" s="92" t="s">
        <v>2259</v>
      </c>
      <c r="F6" s="7" t="str" cm="1">
        <f t="array" ref="F6">INDEX(공급업체코드!$B$3:$B$1000,MATCH(1,(E6=공급업체코드!$D$3:$D$1000)*1,0))</f>
        <v>VM_EWH_SYS</v>
      </c>
      <c r="G6" s="113" t="s">
        <v>2264</v>
      </c>
      <c r="H6">
        <v>15</v>
      </c>
      <c r="I6">
        <v>20</v>
      </c>
      <c r="J6" s="64"/>
      <c r="K6" s="64"/>
      <c r="L6">
        <v>30</v>
      </c>
      <c r="M6">
        <v>37</v>
      </c>
      <c r="N6" s="7" t="s">
        <v>990</v>
      </c>
      <c r="O6" s="7">
        <v>380</v>
      </c>
      <c r="P6" s="7">
        <v>0.94499999999999995</v>
      </c>
      <c r="Q6" s="7">
        <v>0.9</v>
      </c>
      <c r="R6" s="7">
        <v>60</v>
      </c>
      <c r="S6">
        <v>4000</v>
      </c>
      <c r="T6" s="258" t="s">
        <v>1390</v>
      </c>
      <c r="U6" s="10">
        <f t="shared" si="1"/>
        <v>3</v>
      </c>
      <c r="V6" s="233" t="s">
        <v>1391</v>
      </c>
      <c r="W6" s="178">
        <v>225000000</v>
      </c>
      <c r="X6" s="64"/>
      <c r="Y6" s="18" t="s">
        <v>2261</v>
      </c>
      <c r="Z6" s="1" t="b">
        <v>1</v>
      </c>
      <c r="AB6" s="133"/>
      <c r="AH6" s="41"/>
      <c r="AI6" s="41"/>
      <c r="AJ6" s="41"/>
    </row>
    <row r="7" spans="2:36">
      <c r="B7" s="1" t="str">
        <f t="shared" si="0"/>
        <v>M_DHY02_VM_EWH_SYS_25</v>
      </c>
      <c r="C7" s="92" t="s">
        <v>543</v>
      </c>
      <c r="D7" s="92" t="s">
        <v>542</v>
      </c>
      <c r="E7" s="92" t="s">
        <v>2259</v>
      </c>
      <c r="F7" s="7" t="str" cm="1">
        <f t="array" ref="F7">INDEX(공급업체코드!$B$3:$B$1000,MATCH(1,(E7=공급업체코드!$D$3:$D$1000)*1,0))</f>
        <v>VM_EWH_SYS</v>
      </c>
      <c r="G7" s="113" t="s">
        <v>2265</v>
      </c>
      <c r="H7">
        <v>20</v>
      </c>
      <c r="I7">
        <v>25</v>
      </c>
      <c r="J7" s="64"/>
      <c r="K7" s="64"/>
      <c r="L7">
        <v>30</v>
      </c>
      <c r="M7">
        <v>37</v>
      </c>
      <c r="N7" s="7" t="s">
        <v>990</v>
      </c>
      <c r="O7" s="7">
        <v>380</v>
      </c>
      <c r="P7" s="7">
        <v>0.94499999999999995</v>
      </c>
      <c r="Q7" s="7">
        <v>0.9</v>
      </c>
      <c r="R7" s="7">
        <v>60</v>
      </c>
      <c r="S7">
        <v>5000</v>
      </c>
      <c r="T7" s="258" t="s">
        <v>1390</v>
      </c>
      <c r="U7" s="10">
        <f t="shared" si="1"/>
        <v>4</v>
      </c>
      <c r="V7" s="233" t="s">
        <v>1391</v>
      </c>
      <c r="W7" s="178">
        <v>260000000</v>
      </c>
      <c r="X7" s="64"/>
      <c r="Y7" s="18" t="s">
        <v>2261</v>
      </c>
      <c r="Z7" s="1" t="b">
        <v>1</v>
      </c>
      <c r="AB7" s="113"/>
      <c r="AH7" s="41"/>
      <c r="AI7" s="41"/>
      <c r="AJ7" s="41"/>
    </row>
    <row r="8" spans="2:36">
      <c r="B8" s="1" t="str">
        <f t="shared" si="0"/>
        <v>M_DHY02_VM_EWH_SYS_30</v>
      </c>
      <c r="C8" s="92" t="s">
        <v>543</v>
      </c>
      <c r="D8" s="92" t="s">
        <v>542</v>
      </c>
      <c r="E8" s="92" t="s">
        <v>2259</v>
      </c>
      <c r="F8" s="7" t="str" cm="1">
        <f t="array" ref="F8">INDEX(공급업체코드!$B$3:$B$1000,MATCH(1,(E8=공급업체코드!$D$3:$D$1000)*1,0))</f>
        <v>VM_EWH_SYS</v>
      </c>
      <c r="G8" s="113" t="s">
        <v>2266</v>
      </c>
      <c r="H8">
        <v>25</v>
      </c>
      <c r="I8">
        <v>30</v>
      </c>
      <c r="J8" s="64"/>
      <c r="K8" s="64"/>
      <c r="L8">
        <v>45</v>
      </c>
      <c r="M8">
        <v>55</v>
      </c>
      <c r="N8" s="7" t="s">
        <v>990</v>
      </c>
      <c r="O8" s="7">
        <v>380</v>
      </c>
      <c r="P8" s="7">
        <v>0.95400000000000007</v>
      </c>
      <c r="Q8" s="7">
        <v>0.9</v>
      </c>
      <c r="R8" s="7">
        <v>60</v>
      </c>
      <c r="S8">
        <v>5500</v>
      </c>
      <c r="T8" s="258" t="s">
        <v>1390</v>
      </c>
      <c r="U8" s="10">
        <f t="shared" si="1"/>
        <v>4</v>
      </c>
      <c r="V8" s="233" t="s">
        <v>1391</v>
      </c>
      <c r="W8" s="178">
        <v>320000000</v>
      </c>
      <c r="X8" s="64"/>
      <c r="Y8" s="18" t="s">
        <v>2261</v>
      </c>
      <c r="Z8" s="1" t="b">
        <v>1</v>
      </c>
      <c r="AB8" s="113"/>
      <c r="AH8" s="41"/>
      <c r="AI8" s="41"/>
      <c r="AJ8" s="41"/>
    </row>
    <row r="9" spans="2:36">
      <c r="B9" s="1" t="str">
        <f t="shared" si="0"/>
        <v>M_DHY02_VM_EWH_SYS_40</v>
      </c>
      <c r="C9" s="92" t="s">
        <v>543</v>
      </c>
      <c r="D9" s="92" t="s">
        <v>542</v>
      </c>
      <c r="E9" s="92" t="s">
        <v>2259</v>
      </c>
      <c r="F9" s="7" t="str" cm="1">
        <f t="array" ref="F9">INDEX(공급업체코드!$B$3:$B$1000,MATCH(1,(E9=공급업체코드!$D$3:$D$1000)*1,0))</f>
        <v>VM_EWH_SYS</v>
      </c>
      <c r="G9" s="113" t="s">
        <v>2267</v>
      </c>
      <c r="H9">
        <v>30</v>
      </c>
      <c r="I9">
        <v>40</v>
      </c>
      <c r="J9" s="64"/>
      <c r="K9" s="64"/>
      <c r="L9">
        <v>70</v>
      </c>
      <c r="M9">
        <v>90</v>
      </c>
      <c r="N9" s="7" t="s">
        <v>990</v>
      </c>
      <c r="O9" s="7">
        <v>380</v>
      </c>
      <c r="P9" s="7">
        <v>0.95400000000000007</v>
      </c>
      <c r="Q9" s="7">
        <v>0.9</v>
      </c>
      <c r="R9" s="7">
        <v>60</v>
      </c>
      <c r="S9">
        <v>6500</v>
      </c>
      <c r="T9" s="258" t="s">
        <v>1390</v>
      </c>
      <c r="U9" s="10">
        <f t="shared" si="1"/>
        <v>4</v>
      </c>
      <c r="V9" s="233" t="s">
        <v>1391</v>
      </c>
      <c r="W9" s="178">
        <v>370000000</v>
      </c>
      <c r="X9" s="64"/>
      <c r="Y9" s="18" t="s">
        <v>2261</v>
      </c>
      <c r="Z9" s="1" t="b">
        <v>1</v>
      </c>
      <c r="AB9" s="113"/>
      <c r="AH9" s="111"/>
      <c r="AI9" s="111"/>
      <c r="AJ9" s="41"/>
    </row>
    <row r="10" spans="2:36">
      <c r="B10" s="1" t="str">
        <f t="shared" si="0"/>
        <v>M_DHY02_VM_EWH_SYS_50</v>
      </c>
      <c r="C10" s="92" t="s">
        <v>543</v>
      </c>
      <c r="D10" s="92" t="s">
        <v>542</v>
      </c>
      <c r="E10" s="92" t="s">
        <v>2259</v>
      </c>
      <c r="F10" s="7" t="str" cm="1">
        <f t="array" ref="F10">INDEX(공급업체코드!$B$3:$B$1000,MATCH(1,(E10=공급업체코드!$D$3:$D$1000)*1,0))</f>
        <v>VM_EWH_SYS</v>
      </c>
      <c r="G10" s="113" t="s">
        <v>2268</v>
      </c>
      <c r="H10">
        <v>40</v>
      </c>
      <c r="I10">
        <v>50</v>
      </c>
      <c r="J10" s="64"/>
      <c r="K10" s="64"/>
      <c r="L10">
        <v>90</v>
      </c>
      <c r="M10">
        <v>110</v>
      </c>
      <c r="N10" s="7" t="s">
        <v>990</v>
      </c>
      <c r="O10" s="7">
        <v>380</v>
      </c>
      <c r="P10" s="7">
        <v>0.95799999999999996</v>
      </c>
      <c r="Q10" s="7">
        <v>0.9</v>
      </c>
      <c r="R10" s="7">
        <v>60</v>
      </c>
      <c r="S10">
        <v>8500</v>
      </c>
      <c r="T10" s="258" t="s">
        <v>1390</v>
      </c>
      <c r="U10" s="10">
        <f t="shared" si="1"/>
        <v>4</v>
      </c>
      <c r="V10" s="233" t="s">
        <v>1391</v>
      </c>
      <c r="W10" s="178">
        <v>435000000</v>
      </c>
      <c r="X10" s="64"/>
      <c r="Y10" s="18" t="s">
        <v>2261</v>
      </c>
      <c r="Z10" s="1" t="b">
        <v>1</v>
      </c>
      <c r="AB10" s="113"/>
      <c r="AH10" s="111"/>
      <c r="AI10" s="111"/>
      <c r="AJ10" s="111"/>
    </row>
    <row r="11" spans="2:36">
      <c r="B11" s="1" t="str">
        <f t="shared" si="0"/>
        <v>M_DHY02_VM_EWH_SYS_70</v>
      </c>
      <c r="C11" s="92" t="s">
        <v>543</v>
      </c>
      <c r="D11" s="92" t="s">
        <v>542</v>
      </c>
      <c r="E11" s="92" t="s">
        <v>2259</v>
      </c>
      <c r="F11" s="7" t="str" cm="1">
        <f t="array" ref="F11">INDEX(공급업체코드!$B$3:$B$1000,MATCH(1,(E11=공급업체코드!$D$3:$D$1000)*1,0))</f>
        <v>VM_EWH_SYS</v>
      </c>
      <c r="G11" s="113" t="s">
        <v>2269</v>
      </c>
      <c r="H11">
        <v>50</v>
      </c>
      <c r="I11">
        <v>70</v>
      </c>
      <c r="J11" s="64"/>
      <c r="K11" s="64"/>
      <c r="L11">
        <v>90</v>
      </c>
      <c r="M11">
        <v>110</v>
      </c>
      <c r="N11" s="7" t="s">
        <v>990</v>
      </c>
      <c r="O11" s="7">
        <v>380</v>
      </c>
      <c r="P11" s="7">
        <v>0.95799999999999996</v>
      </c>
      <c r="Q11" s="7">
        <v>0.9</v>
      </c>
      <c r="R11" s="7">
        <v>60</v>
      </c>
      <c r="S11">
        <v>9500</v>
      </c>
      <c r="T11" s="258" t="s">
        <v>1390</v>
      </c>
      <c r="U11" s="10">
        <f t="shared" si="1"/>
        <v>4</v>
      </c>
      <c r="V11" s="233" t="s">
        <v>1391</v>
      </c>
      <c r="W11" s="178">
        <v>480000000</v>
      </c>
      <c r="X11" s="64"/>
      <c r="Y11" s="18" t="s">
        <v>2261</v>
      </c>
      <c r="Z11" s="1" t="b">
        <v>1</v>
      </c>
      <c r="AB11" s="113"/>
      <c r="AH11" s="111"/>
      <c r="AI11" s="111"/>
      <c r="AJ11" s="41"/>
    </row>
    <row r="12" spans="2:36">
      <c r="B12" s="1"/>
      <c r="C12" s="92"/>
      <c r="D12" s="92"/>
      <c r="E12" s="92"/>
      <c r="F12" s="92"/>
      <c r="H12" s="64"/>
      <c r="I12" s="64"/>
      <c r="J12" s="64"/>
      <c r="K12" s="64"/>
      <c r="L12" s="64"/>
      <c r="M12" s="70"/>
      <c r="O12" s="64"/>
      <c r="T12" s="258"/>
      <c r="V12" s="233"/>
      <c r="W12" s="236"/>
      <c r="X12" s="64"/>
      <c r="Z12" s="1"/>
      <c r="AB12" s="113"/>
      <c r="AH12" s="111"/>
      <c r="AI12" s="111"/>
      <c r="AJ12" s="41"/>
    </row>
    <row r="13" spans="2:36">
      <c r="B13" s="1"/>
      <c r="C13" s="92"/>
      <c r="D13" s="92"/>
      <c r="E13" s="92"/>
      <c r="F13" s="92"/>
      <c r="H13" s="64"/>
      <c r="I13" s="64"/>
      <c r="J13" s="64"/>
      <c r="K13" s="64"/>
      <c r="L13" s="64"/>
      <c r="M13" s="70"/>
      <c r="O13" s="64"/>
      <c r="T13" s="258"/>
      <c r="V13" s="233"/>
      <c r="W13" s="236"/>
      <c r="X13" s="64"/>
      <c r="Z13" s="1"/>
      <c r="AB13" s="113"/>
      <c r="AH13" s="111"/>
      <c r="AI13" s="111"/>
      <c r="AJ13" s="111"/>
    </row>
    <row r="14" spans="2:36">
      <c r="B14" s="1"/>
      <c r="C14" s="92"/>
      <c r="D14" s="92"/>
      <c r="E14" s="92"/>
      <c r="F14" s="92"/>
      <c r="H14" s="64"/>
      <c r="I14" s="64"/>
      <c r="J14" s="64"/>
      <c r="K14" s="64"/>
      <c r="L14" s="64"/>
      <c r="M14" s="70"/>
      <c r="O14" s="64"/>
      <c r="T14" s="258"/>
      <c r="V14" s="233"/>
      <c r="W14" s="237"/>
      <c r="X14" s="253"/>
      <c r="Z14" s="1"/>
      <c r="AB14" s="113"/>
      <c r="AH14" s="111"/>
      <c r="AI14" s="111"/>
      <c r="AJ14" s="41"/>
    </row>
    <row r="15" spans="2:36">
      <c r="B15" s="1"/>
      <c r="C15" s="92"/>
      <c r="D15" s="92"/>
      <c r="E15" s="92"/>
      <c r="F15" s="92"/>
      <c r="H15" s="64"/>
      <c r="I15" s="64"/>
      <c r="J15" s="64"/>
      <c r="K15" s="64"/>
      <c r="L15" s="64"/>
      <c r="M15" s="70"/>
      <c r="O15" s="64"/>
      <c r="T15" s="258"/>
      <c r="V15" s="233"/>
      <c r="W15" s="236"/>
      <c r="X15" s="64"/>
      <c r="Z15" s="1"/>
      <c r="AB15" s="113"/>
      <c r="AH15" s="41"/>
      <c r="AI15" s="41"/>
      <c r="AJ15" s="41"/>
    </row>
    <row r="16" spans="2:36">
      <c r="B16" s="1"/>
      <c r="C16" s="92"/>
      <c r="D16" s="92"/>
      <c r="E16" s="92"/>
      <c r="F16" s="92"/>
      <c r="H16" s="64"/>
      <c r="T16" s="258"/>
      <c r="V16" s="233"/>
      <c r="W16" s="236"/>
      <c r="X16" s="64"/>
      <c r="Z16" s="1"/>
      <c r="AB16" s="113"/>
      <c r="AH16" s="41"/>
      <c r="AI16" s="41"/>
      <c r="AJ16" s="41"/>
    </row>
    <row r="17" spans="2:36">
      <c r="B17" s="1"/>
      <c r="C17" s="92"/>
      <c r="D17" s="92"/>
      <c r="E17" s="92"/>
      <c r="F17" s="92"/>
      <c r="H17" s="64"/>
      <c r="I17" s="64"/>
      <c r="J17" s="64"/>
      <c r="K17" s="64"/>
      <c r="L17" s="64"/>
      <c r="M17" s="70"/>
      <c r="O17" s="64"/>
      <c r="T17" s="258"/>
      <c r="V17" s="233"/>
      <c r="W17" s="236"/>
      <c r="X17" s="64"/>
      <c r="Z17" s="1"/>
      <c r="AB17" s="113"/>
      <c r="AH17" s="41"/>
      <c r="AI17" s="41"/>
      <c r="AJ17" s="41"/>
    </row>
    <row r="18" spans="2:36">
      <c r="B18" s="1"/>
      <c r="C18" s="92"/>
      <c r="D18" s="92"/>
      <c r="E18" s="92"/>
      <c r="F18" s="92"/>
      <c r="H18" s="64"/>
      <c r="I18" s="64"/>
      <c r="J18" s="64"/>
      <c r="K18" s="64"/>
      <c r="L18" s="64"/>
      <c r="M18" s="70"/>
      <c r="O18" s="64"/>
      <c r="T18" s="258"/>
      <c r="V18" s="233"/>
      <c r="W18" s="236"/>
      <c r="X18" s="64"/>
      <c r="Z18" s="1"/>
      <c r="AB18" s="113"/>
      <c r="AH18" s="111"/>
      <c r="AI18" s="111"/>
      <c r="AJ18" s="41"/>
    </row>
    <row r="19" spans="2:36">
      <c r="B19" s="1"/>
      <c r="C19" s="92"/>
      <c r="D19" s="92"/>
      <c r="E19" s="92"/>
      <c r="F19" s="92"/>
      <c r="H19" s="64"/>
      <c r="I19" s="64"/>
      <c r="J19" s="64"/>
      <c r="K19" s="64"/>
      <c r="L19" s="64"/>
      <c r="M19" s="70"/>
      <c r="O19" s="64"/>
      <c r="T19" s="258"/>
      <c r="V19" s="233"/>
      <c r="W19" s="236"/>
      <c r="X19" s="64"/>
      <c r="Z19" s="1"/>
      <c r="AB19" s="113"/>
      <c r="AH19" s="41"/>
      <c r="AI19" s="41"/>
      <c r="AJ19" s="41"/>
    </row>
    <row r="20" spans="2:36">
      <c r="B20" s="1"/>
      <c r="C20" s="92"/>
      <c r="D20" s="92"/>
      <c r="E20" s="92"/>
      <c r="F20" s="92"/>
      <c r="H20" s="64"/>
      <c r="I20" s="64"/>
      <c r="J20" s="64"/>
      <c r="K20" s="64"/>
      <c r="L20" s="64"/>
      <c r="M20" s="70"/>
      <c r="O20" s="64"/>
      <c r="T20" s="258"/>
      <c r="V20" s="233"/>
      <c r="W20" s="236"/>
      <c r="X20" s="64"/>
      <c r="Z20" s="1"/>
      <c r="AB20" s="113"/>
      <c r="AH20" s="41"/>
      <c r="AI20" s="41"/>
      <c r="AJ20" s="41"/>
    </row>
    <row r="21" spans="2:36">
      <c r="B21" s="1"/>
      <c r="C21" s="92"/>
      <c r="D21" s="92"/>
      <c r="E21" s="92"/>
      <c r="F21" s="92"/>
      <c r="H21" s="64"/>
      <c r="I21" s="64"/>
      <c r="J21" s="64"/>
      <c r="K21" s="64"/>
      <c r="L21" s="64"/>
      <c r="M21" s="70"/>
      <c r="O21" s="64"/>
      <c r="T21" s="258"/>
      <c r="V21" s="233"/>
      <c r="W21" s="236"/>
      <c r="X21" s="64"/>
      <c r="Z21" s="1"/>
      <c r="AB21" s="113"/>
      <c r="AH21" s="41"/>
      <c r="AI21" s="41"/>
      <c r="AJ21" s="41"/>
    </row>
    <row r="22" spans="2:36">
      <c r="B22" s="1"/>
      <c r="C22" s="92"/>
      <c r="D22" s="92"/>
      <c r="E22" s="92"/>
      <c r="F22" s="92"/>
      <c r="H22" s="64"/>
      <c r="I22" s="64"/>
      <c r="J22" s="64"/>
      <c r="K22" s="64"/>
      <c r="L22" s="64"/>
      <c r="M22" s="70"/>
      <c r="O22" s="64"/>
      <c r="T22" s="258"/>
      <c r="V22" s="233"/>
      <c r="W22" s="236"/>
      <c r="X22" s="64"/>
      <c r="Z22" s="1"/>
      <c r="AB22" s="113"/>
      <c r="AH22" s="111"/>
      <c r="AI22" s="111"/>
      <c r="AJ22" s="41"/>
    </row>
    <row r="23" spans="2:36">
      <c r="B23" s="1"/>
      <c r="C23" s="92"/>
      <c r="D23" s="92"/>
      <c r="E23" s="92"/>
      <c r="F23" s="92"/>
      <c r="H23" s="64"/>
      <c r="I23" s="64"/>
      <c r="J23" s="64"/>
      <c r="K23" s="64"/>
      <c r="L23" s="64"/>
      <c r="M23" s="70"/>
      <c r="O23" s="64"/>
      <c r="T23" s="258"/>
      <c r="V23" s="233"/>
      <c r="W23" s="236"/>
      <c r="X23" s="64"/>
      <c r="Z23" s="1"/>
      <c r="AB23" s="113"/>
      <c r="AH23" s="41"/>
      <c r="AI23" s="41"/>
      <c r="AJ23" s="41"/>
    </row>
    <row r="24" spans="2:36">
      <c r="B24" s="1"/>
      <c r="C24" s="92"/>
      <c r="D24" s="92"/>
      <c r="E24" s="92"/>
      <c r="F24" s="92"/>
      <c r="H24" s="64"/>
      <c r="I24" s="64"/>
      <c r="J24" s="64"/>
      <c r="K24" s="64"/>
      <c r="L24" s="64"/>
      <c r="M24" s="70"/>
      <c r="O24" s="64"/>
      <c r="T24" s="258"/>
      <c r="V24" s="233"/>
      <c r="W24" s="236"/>
      <c r="X24" s="64"/>
      <c r="Z24" s="1"/>
      <c r="AB24" s="113"/>
      <c r="AH24" s="41"/>
      <c r="AI24" s="41"/>
      <c r="AJ24" s="41"/>
    </row>
    <row r="25" spans="2:36">
      <c r="B25" s="1"/>
      <c r="C25" s="92"/>
      <c r="D25" s="92"/>
      <c r="E25" s="92"/>
      <c r="F25" s="92"/>
      <c r="H25" s="64"/>
      <c r="I25" s="64"/>
      <c r="J25" s="64"/>
      <c r="K25" s="64"/>
      <c r="L25" s="64"/>
      <c r="M25" s="70"/>
      <c r="O25" s="64"/>
      <c r="T25" s="258"/>
      <c r="V25" s="233"/>
      <c r="W25" s="236"/>
      <c r="X25" s="64"/>
      <c r="Z25" s="1"/>
      <c r="AB25" s="113"/>
      <c r="AH25" s="41"/>
      <c r="AI25" s="41"/>
      <c r="AJ25" s="41"/>
    </row>
    <row r="26" spans="2:36">
      <c r="B26" s="1"/>
      <c r="C26" s="92"/>
      <c r="D26" s="92"/>
      <c r="E26" s="92"/>
      <c r="F26" s="92"/>
      <c r="H26" s="64"/>
      <c r="I26" s="64"/>
      <c r="J26" s="64"/>
      <c r="K26" s="64"/>
      <c r="L26" s="64"/>
      <c r="M26" s="70"/>
      <c r="O26" s="64"/>
      <c r="T26" s="258"/>
      <c r="V26" s="233"/>
      <c r="W26" s="236"/>
      <c r="X26" s="64"/>
      <c r="Z26" s="1"/>
      <c r="AB26" s="113"/>
      <c r="AH26" s="111"/>
      <c r="AI26" s="111"/>
      <c r="AJ26" s="41"/>
    </row>
    <row r="27" spans="2:36">
      <c r="B27" s="1"/>
      <c r="C27" s="92"/>
      <c r="D27" s="92"/>
      <c r="E27" s="92"/>
      <c r="F27" s="92"/>
      <c r="H27" s="64"/>
      <c r="I27" s="64"/>
      <c r="J27" s="64"/>
      <c r="K27" s="64"/>
      <c r="L27" s="64"/>
      <c r="M27" s="70"/>
      <c r="O27" s="64"/>
      <c r="T27" s="258"/>
      <c r="V27" s="233"/>
      <c r="W27" s="236"/>
      <c r="X27" s="64"/>
      <c r="Z27" s="1"/>
      <c r="AB27" s="113"/>
      <c r="AH27" s="41"/>
      <c r="AI27" s="41"/>
      <c r="AJ27" s="41"/>
    </row>
    <row r="28" spans="2:36">
      <c r="B28" s="1"/>
      <c r="C28" s="92"/>
      <c r="D28" s="92"/>
      <c r="E28" s="92"/>
      <c r="F28" s="92"/>
      <c r="H28" s="64"/>
      <c r="I28" s="64"/>
      <c r="J28" s="64"/>
      <c r="K28" s="64"/>
      <c r="L28" s="64"/>
      <c r="M28" s="70"/>
      <c r="O28" s="64"/>
      <c r="T28" s="258"/>
      <c r="V28" s="233"/>
      <c r="W28" s="236"/>
      <c r="X28" s="64"/>
      <c r="Z28" s="1"/>
      <c r="AB28" s="113"/>
      <c r="AH28" s="41"/>
      <c r="AI28" s="41"/>
      <c r="AJ28" s="41"/>
    </row>
    <row r="29" spans="2:36">
      <c r="B29" s="1"/>
      <c r="C29" s="92"/>
      <c r="D29" s="92"/>
      <c r="E29" s="92"/>
      <c r="F29" s="92"/>
      <c r="H29" s="64"/>
      <c r="I29" s="64"/>
      <c r="J29" s="64"/>
      <c r="K29" s="64"/>
      <c r="L29" s="64"/>
      <c r="M29" s="70"/>
      <c r="O29" s="64"/>
      <c r="T29" s="258"/>
      <c r="V29" s="233"/>
      <c r="W29" s="236"/>
      <c r="X29" s="64"/>
      <c r="Z29" s="1"/>
      <c r="AB29" s="113"/>
      <c r="AH29" s="111"/>
      <c r="AI29" s="111"/>
      <c r="AJ29" s="41"/>
    </row>
    <row r="30" spans="2:36">
      <c r="B30" s="1"/>
      <c r="C30" s="92"/>
      <c r="D30" s="92"/>
      <c r="E30" s="92"/>
      <c r="F30" s="92"/>
      <c r="H30" s="64"/>
      <c r="I30" s="64"/>
      <c r="J30" s="64"/>
      <c r="K30" s="64"/>
      <c r="L30" s="64"/>
      <c r="M30" s="70"/>
      <c r="O30" s="64"/>
      <c r="T30" s="258"/>
      <c r="V30" s="233"/>
      <c r="W30" s="236"/>
      <c r="X30" s="64"/>
      <c r="Z30" s="1"/>
      <c r="AB30" s="113"/>
      <c r="AH30" s="41"/>
      <c r="AI30" s="41"/>
      <c r="AJ30" s="41"/>
    </row>
    <row r="31" spans="2:36">
      <c r="B31" s="1"/>
      <c r="C31" s="92"/>
      <c r="D31" s="92"/>
      <c r="E31" s="92"/>
      <c r="F31" s="92"/>
      <c r="H31" s="64"/>
      <c r="I31" s="64"/>
      <c r="J31" s="64"/>
      <c r="K31" s="64"/>
      <c r="L31" s="64"/>
      <c r="M31" s="70"/>
      <c r="O31" s="64"/>
      <c r="T31" s="258"/>
      <c r="V31" s="233"/>
      <c r="W31" s="236"/>
      <c r="X31" s="64"/>
      <c r="Z31" s="1"/>
      <c r="AB31" s="113"/>
      <c r="AH31" s="111"/>
      <c r="AI31" s="111"/>
      <c r="AJ31" s="111"/>
    </row>
    <row r="32" spans="2:36">
      <c r="B32" s="1"/>
      <c r="C32" s="92"/>
      <c r="D32" s="92"/>
      <c r="E32" s="92"/>
      <c r="F32" s="92"/>
      <c r="H32" s="64"/>
      <c r="I32" s="64"/>
      <c r="J32" s="64"/>
      <c r="K32" s="64"/>
      <c r="L32" s="64"/>
      <c r="M32" s="70"/>
      <c r="O32" s="64"/>
      <c r="T32" s="258"/>
      <c r="V32" s="233"/>
      <c r="W32" s="236"/>
      <c r="X32" s="64"/>
      <c r="Z32" s="1"/>
      <c r="AB32" s="113"/>
      <c r="AH32" s="41"/>
      <c r="AI32" s="41"/>
      <c r="AJ32" s="41"/>
    </row>
    <row r="33" spans="2:36">
      <c r="B33" s="1"/>
      <c r="C33" s="92"/>
      <c r="D33" s="92"/>
      <c r="E33" s="92"/>
      <c r="F33" s="92"/>
      <c r="H33" s="64"/>
      <c r="I33" s="64"/>
      <c r="J33" s="64"/>
      <c r="K33" s="64"/>
      <c r="L33" s="64"/>
      <c r="M33" s="70"/>
      <c r="O33" s="64"/>
      <c r="T33" s="258"/>
      <c r="V33" s="233"/>
      <c r="W33" s="236"/>
      <c r="X33" s="64"/>
      <c r="Z33" s="1"/>
      <c r="AB33" s="113"/>
      <c r="AH33" s="41"/>
      <c r="AI33" s="41"/>
      <c r="AJ33" s="41"/>
    </row>
    <row r="34" spans="2:36">
      <c r="B34" s="1"/>
      <c r="C34" s="92"/>
      <c r="D34" s="92"/>
      <c r="E34" s="92"/>
      <c r="F34" s="92"/>
      <c r="H34" s="64"/>
      <c r="I34" s="64"/>
      <c r="J34" s="64"/>
      <c r="K34" s="64"/>
      <c r="L34" s="64"/>
      <c r="M34" s="70"/>
      <c r="O34" s="64"/>
      <c r="T34" s="258"/>
      <c r="V34" s="233"/>
      <c r="W34" s="236"/>
      <c r="X34" s="64"/>
      <c r="Z34" s="1"/>
      <c r="AB34" s="113"/>
      <c r="AH34" s="41"/>
      <c r="AI34" s="41"/>
      <c r="AJ34" s="41"/>
    </row>
    <row r="35" spans="2:36">
      <c r="B35" s="1"/>
      <c r="C35" s="92"/>
      <c r="D35" s="92"/>
      <c r="E35" s="92"/>
      <c r="F35" s="92"/>
      <c r="H35" s="64"/>
      <c r="I35" s="64"/>
      <c r="J35" s="64"/>
      <c r="K35" s="64"/>
      <c r="L35" s="64"/>
      <c r="M35" s="70"/>
      <c r="O35" s="64"/>
      <c r="T35" s="258"/>
      <c r="V35" s="233"/>
      <c r="W35" s="236"/>
      <c r="X35" s="64"/>
      <c r="Z35" s="1"/>
      <c r="AB35" s="113"/>
      <c r="AH35" s="41"/>
      <c r="AI35" s="41"/>
      <c r="AJ35" s="41"/>
    </row>
    <row r="36" spans="2:36">
      <c r="B36" s="1"/>
      <c r="C36" s="92"/>
      <c r="D36" s="92"/>
      <c r="E36" s="92"/>
      <c r="F36" s="92"/>
      <c r="H36" s="64"/>
      <c r="I36" s="64"/>
      <c r="J36" s="64"/>
      <c r="K36" s="64"/>
      <c r="L36" s="64"/>
      <c r="M36" s="70"/>
      <c r="O36" s="64"/>
      <c r="T36" s="258"/>
      <c r="V36" s="233"/>
      <c r="W36" s="236"/>
      <c r="X36" s="64"/>
      <c r="Z36" s="1"/>
      <c r="AB36" s="113"/>
    </row>
    <row r="37" spans="2:36">
      <c r="B37" s="1"/>
      <c r="C37" s="92"/>
      <c r="D37" s="92"/>
      <c r="E37" s="92"/>
      <c r="F37" s="92"/>
      <c r="H37" s="64"/>
      <c r="I37" s="64"/>
      <c r="J37" s="64"/>
      <c r="K37" s="64"/>
      <c r="L37" s="64"/>
      <c r="M37" s="70"/>
      <c r="O37" s="64"/>
      <c r="T37" s="258"/>
      <c r="V37" s="233"/>
      <c r="W37" s="236"/>
      <c r="X37" s="64"/>
      <c r="Z37" s="1"/>
      <c r="AB37" s="113"/>
    </row>
    <row r="38" spans="2:36">
      <c r="B38" s="1"/>
      <c r="C38" s="92"/>
      <c r="D38" s="92"/>
      <c r="E38" s="92"/>
      <c r="F38" s="92"/>
      <c r="H38" s="64"/>
      <c r="I38" s="64"/>
      <c r="J38" s="64"/>
      <c r="K38" s="64"/>
      <c r="L38" s="64"/>
      <c r="M38" s="70"/>
      <c r="O38" s="64"/>
      <c r="T38" s="258"/>
      <c r="V38" s="233"/>
      <c r="W38" s="236"/>
      <c r="X38" s="64"/>
      <c r="Z38" s="1"/>
      <c r="AB38" s="113"/>
    </row>
    <row r="39" spans="2:36">
      <c r="B39" s="1"/>
      <c r="C39" s="92"/>
      <c r="D39" s="92"/>
      <c r="E39" s="92"/>
      <c r="F39" s="92"/>
      <c r="H39" s="64"/>
      <c r="I39" s="64"/>
      <c r="J39" s="64"/>
      <c r="K39" s="64"/>
      <c r="L39" s="64"/>
      <c r="M39" s="70"/>
      <c r="O39" s="64"/>
      <c r="T39" s="258"/>
      <c r="V39" s="233"/>
      <c r="W39" s="236"/>
      <c r="X39" s="64"/>
      <c r="Z39" s="1"/>
      <c r="AB39" s="113"/>
    </row>
    <row r="40" spans="2:36">
      <c r="B40" s="1"/>
      <c r="C40" s="92"/>
      <c r="D40" s="92"/>
      <c r="E40" s="92"/>
      <c r="F40" s="92"/>
      <c r="H40" s="64"/>
      <c r="I40" s="64"/>
      <c r="J40" s="64"/>
      <c r="K40" s="64"/>
      <c r="L40" s="64"/>
      <c r="M40" s="70"/>
      <c r="O40" s="64"/>
      <c r="T40" s="258"/>
      <c r="V40" s="233"/>
      <c r="W40" s="236"/>
      <c r="X40" s="64"/>
      <c r="Z40" s="1"/>
      <c r="AB40" s="113"/>
    </row>
    <row r="41" spans="2:36">
      <c r="B41" s="1"/>
      <c r="C41" s="92"/>
      <c r="D41" s="92"/>
      <c r="E41" s="92"/>
      <c r="F41" s="92"/>
      <c r="H41" s="64"/>
      <c r="I41" s="64"/>
      <c r="J41" s="64"/>
      <c r="K41" s="64"/>
      <c r="L41" s="64"/>
      <c r="M41" s="70"/>
      <c r="O41" s="64"/>
      <c r="T41" s="258"/>
      <c r="V41" s="233"/>
      <c r="W41" s="236"/>
      <c r="X41" s="64"/>
      <c r="Z41" s="1"/>
      <c r="AB41" s="113"/>
    </row>
    <row r="42" spans="2:36">
      <c r="B42" s="1"/>
      <c r="C42" s="92"/>
      <c r="D42" s="92"/>
      <c r="E42" s="92"/>
      <c r="F42" s="92"/>
      <c r="H42" s="64"/>
      <c r="I42" s="64"/>
      <c r="J42" s="64"/>
      <c r="K42" s="64"/>
      <c r="L42" s="64"/>
      <c r="M42" s="70"/>
      <c r="O42" s="64"/>
      <c r="T42" s="258"/>
      <c r="V42" s="233"/>
      <c r="W42" s="236"/>
      <c r="X42" s="64"/>
      <c r="Z42" s="1"/>
      <c r="AB42" s="113"/>
    </row>
    <row r="43" spans="2:36">
      <c r="B43" s="1"/>
      <c r="C43" s="92"/>
      <c r="D43" s="92"/>
      <c r="E43" s="92"/>
      <c r="F43" s="92"/>
      <c r="H43" s="64"/>
      <c r="I43" s="64"/>
      <c r="J43" s="64"/>
      <c r="K43" s="64"/>
      <c r="L43" s="64"/>
      <c r="M43" s="70"/>
      <c r="O43" s="64"/>
      <c r="T43" s="258"/>
      <c r="V43" s="233"/>
      <c r="W43" s="236"/>
      <c r="X43" s="64"/>
      <c r="Z43" s="1"/>
      <c r="AB43" s="113"/>
    </row>
    <row r="44" spans="2:36">
      <c r="B44" s="1"/>
      <c r="C44" s="92"/>
      <c r="D44" s="92"/>
      <c r="E44" s="92"/>
      <c r="F44" s="92"/>
      <c r="H44" s="64"/>
      <c r="I44" s="64"/>
      <c r="J44" s="64"/>
      <c r="K44" s="64"/>
      <c r="L44" s="64"/>
      <c r="M44" s="70"/>
      <c r="O44" s="64"/>
      <c r="T44" s="258"/>
      <c r="V44" s="233"/>
      <c r="W44" s="236"/>
      <c r="X44" s="64"/>
      <c r="Z44" s="1"/>
      <c r="AB44" s="113"/>
    </row>
    <row r="45" spans="2:36">
      <c r="B45" s="1"/>
      <c r="C45" s="92"/>
      <c r="D45" s="92"/>
      <c r="E45" s="92"/>
      <c r="F45" s="92"/>
      <c r="H45" s="64"/>
      <c r="I45" s="64"/>
      <c r="J45" s="64"/>
      <c r="K45" s="64"/>
      <c r="L45" s="64"/>
      <c r="M45" s="70"/>
      <c r="O45" s="64"/>
      <c r="T45" s="258"/>
      <c r="V45" s="233"/>
      <c r="W45" s="236"/>
      <c r="X45" s="64"/>
      <c r="Z45" s="1"/>
      <c r="AB45" s="113"/>
    </row>
    <row r="46" spans="2:36">
      <c r="B46" s="1"/>
      <c r="C46" s="92"/>
      <c r="D46" s="92"/>
      <c r="E46" s="92"/>
      <c r="F46" s="92"/>
      <c r="H46" s="64"/>
      <c r="I46" s="64"/>
      <c r="J46" s="64"/>
      <c r="K46" s="64"/>
      <c r="L46" s="64"/>
      <c r="M46" s="70"/>
      <c r="O46" s="64"/>
      <c r="T46" s="258"/>
      <c r="V46" s="233"/>
      <c r="W46" s="236"/>
      <c r="X46" s="64"/>
      <c r="Z46" s="1"/>
      <c r="AB46" s="113"/>
    </row>
    <row r="47" spans="2:36">
      <c r="B47" s="1"/>
      <c r="C47" s="92"/>
      <c r="D47" s="92"/>
      <c r="E47" s="92"/>
      <c r="F47" s="92"/>
      <c r="H47" s="64"/>
      <c r="I47" s="64"/>
      <c r="J47" s="64"/>
      <c r="K47" s="64"/>
      <c r="L47" s="64"/>
      <c r="M47" s="70"/>
      <c r="O47" s="64"/>
      <c r="T47" s="258"/>
      <c r="V47" s="233"/>
      <c r="W47" s="236"/>
      <c r="X47" s="64"/>
      <c r="Z47" s="1"/>
      <c r="AB47" s="113"/>
    </row>
    <row r="48" spans="2:36">
      <c r="B48" s="1"/>
      <c r="C48" s="92"/>
      <c r="D48" s="92"/>
      <c r="E48" s="92"/>
      <c r="F48" s="92"/>
      <c r="H48" s="64"/>
      <c r="I48" s="64"/>
      <c r="J48" s="64"/>
      <c r="K48" s="64"/>
      <c r="L48" s="64"/>
      <c r="M48" s="70"/>
      <c r="O48" s="64"/>
      <c r="T48" s="258"/>
      <c r="V48" s="233"/>
      <c r="W48" s="236"/>
      <c r="X48" s="64"/>
      <c r="Z48" s="1"/>
      <c r="AB48" s="113"/>
    </row>
    <row r="49" spans="2:28">
      <c r="B49" s="1"/>
      <c r="C49" s="92"/>
      <c r="D49" s="92"/>
      <c r="E49" s="92"/>
      <c r="F49" s="92"/>
      <c r="H49" s="64"/>
      <c r="I49" s="64"/>
      <c r="J49" s="64"/>
      <c r="K49" s="64"/>
      <c r="L49" s="64"/>
      <c r="M49" s="70"/>
      <c r="O49" s="64"/>
      <c r="T49" s="258"/>
      <c r="V49" s="233"/>
      <c r="W49" s="236"/>
      <c r="X49" s="64"/>
      <c r="Z49" s="1"/>
      <c r="AB49" s="113"/>
    </row>
    <row r="50" spans="2:28">
      <c r="B50" s="1"/>
      <c r="C50" s="92"/>
      <c r="D50" s="92"/>
      <c r="E50" s="92"/>
      <c r="F50" s="92"/>
      <c r="H50" s="64"/>
      <c r="I50" s="64"/>
      <c r="J50" s="64"/>
      <c r="K50" s="64"/>
      <c r="L50" s="64"/>
      <c r="M50" s="70"/>
      <c r="O50" s="64"/>
      <c r="T50" s="258"/>
      <c r="V50" s="233"/>
      <c r="W50" s="236"/>
      <c r="X50" s="64"/>
      <c r="Z50" s="1"/>
      <c r="AB50" s="113"/>
    </row>
    <row r="51" spans="2:28">
      <c r="B51" s="1"/>
      <c r="C51" s="92"/>
      <c r="D51" s="92"/>
      <c r="E51" s="92"/>
      <c r="F51" s="92"/>
      <c r="H51" s="64"/>
      <c r="I51" s="64"/>
      <c r="J51" s="64"/>
      <c r="K51" s="64"/>
      <c r="L51" s="64"/>
      <c r="M51" s="70"/>
      <c r="O51" s="64"/>
      <c r="T51" s="258"/>
      <c r="V51" s="233"/>
      <c r="W51" s="236"/>
      <c r="X51" s="64"/>
      <c r="Z51" s="1"/>
      <c r="AB51" s="113"/>
    </row>
    <row r="52" spans="2:28">
      <c r="B52" s="1"/>
      <c r="C52" s="92"/>
      <c r="D52" s="92"/>
      <c r="E52" s="92"/>
      <c r="F52" s="92"/>
      <c r="H52" s="64"/>
      <c r="I52" s="64"/>
      <c r="J52" s="64"/>
      <c r="K52" s="64"/>
      <c r="L52" s="64"/>
      <c r="M52" s="70"/>
      <c r="O52" s="64"/>
      <c r="T52" s="258"/>
      <c r="V52" s="233"/>
      <c r="W52" s="236"/>
      <c r="X52" s="64"/>
      <c r="Z52" s="1"/>
      <c r="AB52" s="113"/>
    </row>
    <row r="53" spans="2:28">
      <c r="B53" s="1"/>
      <c r="C53" s="92"/>
      <c r="D53" s="92"/>
      <c r="E53" s="92"/>
      <c r="F53" s="92"/>
      <c r="H53" s="64"/>
      <c r="I53" s="64"/>
      <c r="J53" s="64"/>
      <c r="K53" s="64"/>
      <c r="L53" s="64"/>
      <c r="M53" s="70"/>
      <c r="O53" s="64"/>
      <c r="T53" s="258"/>
      <c r="V53" s="233"/>
      <c r="W53" s="236"/>
      <c r="X53" s="64"/>
      <c r="Z53" s="1"/>
      <c r="AB53" s="113"/>
    </row>
    <row r="54" spans="2:28">
      <c r="B54" s="1"/>
      <c r="C54" s="92"/>
      <c r="D54" s="92"/>
      <c r="E54" s="92"/>
      <c r="F54" s="92"/>
      <c r="H54" s="64"/>
      <c r="I54" s="64"/>
      <c r="J54" s="64"/>
      <c r="K54" s="64"/>
      <c r="L54" s="64"/>
      <c r="M54" s="70"/>
      <c r="O54" s="64"/>
      <c r="T54" s="258"/>
      <c r="V54" s="233"/>
      <c r="W54" s="236"/>
      <c r="X54" s="64"/>
      <c r="Z54" s="1"/>
      <c r="AB54" s="113"/>
    </row>
    <row r="55" spans="2:28">
      <c r="B55" s="1"/>
      <c r="C55" s="92"/>
      <c r="D55" s="92"/>
      <c r="E55" s="92"/>
      <c r="F55" s="92"/>
      <c r="H55" s="64"/>
      <c r="I55" s="64"/>
      <c r="J55" s="64"/>
      <c r="K55" s="64"/>
      <c r="L55" s="64"/>
      <c r="M55" s="70"/>
      <c r="O55" s="64"/>
      <c r="T55" s="258"/>
      <c r="V55" s="233"/>
      <c r="W55" s="236"/>
      <c r="X55" s="64"/>
      <c r="Z55" s="1"/>
      <c r="AB55" s="113"/>
    </row>
    <row r="56" spans="2:28">
      <c r="B56" s="1"/>
      <c r="C56" s="92"/>
      <c r="D56" s="92"/>
      <c r="E56" s="92"/>
      <c r="F56" s="92"/>
      <c r="H56" s="64"/>
      <c r="I56" s="64"/>
      <c r="J56" s="64"/>
      <c r="K56" s="64"/>
      <c r="L56" s="64"/>
      <c r="M56" s="70"/>
      <c r="O56" s="64"/>
      <c r="T56" s="258"/>
      <c r="V56" s="233"/>
      <c r="W56" s="236"/>
      <c r="X56" s="64"/>
      <c r="Z56" s="1"/>
      <c r="AB56" s="113"/>
    </row>
    <row r="57" spans="2:28">
      <c r="B57" s="1"/>
      <c r="C57" s="92"/>
      <c r="D57" s="92"/>
      <c r="E57" s="92"/>
      <c r="F57" s="92"/>
      <c r="H57" s="64"/>
      <c r="I57" s="64"/>
      <c r="J57" s="64"/>
      <c r="K57" s="64"/>
      <c r="L57" s="64"/>
      <c r="M57" s="70"/>
      <c r="O57" s="64"/>
      <c r="T57" s="258"/>
      <c r="V57" s="233"/>
      <c r="W57" s="236"/>
      <c r="X57" s="64"/>
      <c r="Z57" s="1"/>
      <c r="AB57" s="113"/>
    </row>
    <row r="58" spans="2:28">
      <c r="B58" s="1"/>
      <c r="C58" s="92"/>
      <c r="D58" s="92"/>
      <c r="E58" s="92"/>
      <c r="F58" s="92"/>
      <c r="H58" s="64"/>
      <c r="I58" s="64"/>
      <c r="J58" s="64"/>
      <c r="K58" s="64"/>
      <c r="L58" s="64"/>
      <c r="M58" s="70"/>
      <c r="O58" s="64"/>
      <c r="T58" s="258"/>
      <c r="V58" s="233"/>
      <c r="W58" s="236"/>
      <c r="X58" s="64"/>
      <c r="Z58" s="1"/>
      <c r="AB58" s="113"/>
    </row>
    <row r="59" spans="2:28">
      <c r="B59" s="1"/>
      <c r="C59" s="92"/>
      <c r="D59" s="92"/>
      <c r="E59" s="92"/>
      <c r="F59" s="92"/>
      <c r="H59" s="64"/>
      <c r="I59" s="64"/>
      <c r="J59" s="64"/>
      <c r="K59" s="64"/>
      <c r="L59" s="64"/>
      <c r="M59" s="70"/>
      <c r="O59" s="64"/>
      <c r="T59" s="258"/>
      <c r="V59" s="233"/>
      <c r="W59" s="236"/>
      <c r="X59" s="64"/>
      <c r="Z59" s="1"/>
      <c r="AB59" s="113"/>
    </row>
    <row r="60" spans="2:28">
      <c r="B60" s="1"/>
      <c r="C60" s="92"/>
      <c r="D60" s="92"/>
      <c r="E60" s="92"/>
      <c r="F60" s="92"/>
      <c r="H60" s="64"/>
      <c r="I60" s="64"/>
      <c r="J60" s="64"/>
      <c r="K60" s="64"/>
      <c r="L60" s="64"/>
      <c r="M60" s="70"/>
      <c r="O60" s="64"/>
      <c r="T60" s="258"/>
      <c r="V60" s="233"/>
      <c r="W60" s="236"/>
      <c r="X60" s="64"/>
      <c r="Z60" s="1"/>
      <c r="AB60" s="113"/>
    </row>
    <row r="61" spans="2:28">
      <c r="B61" s="1"/>
      <c r="C61" s="92"/>
      <c r="D61" s="92"/>
      <c r="E61" s="92"/>
      <c r="F61" s="92"/>
      <c r="H61" s="64"/>
      <c r="I61" s="64"/>
      <c r="J61" s="64"/>
      <c r="K61" s="64"/>
      <c r="L61" s="64"/>
      <c r="M61" s="70"/>
      <c r="O61" s="64"/>
      <c r="T61" s="258"/>
      <c r="V61" s="233"/>
      <c r="W61" s="236"/>
      <c r="X61" s="64"/>
      <c r="Z61" s="1"/>
      <c r="AB61" s="113"/>
    </row>
    <row r="62" spans="2:28">
      <c r="B62" s="1"/>
      <c r="C62" s="92"/>
      <c r="D62" s="92"/>
      <c r="E62" s="92"/>
      <c r="F62" s="92"/>
      <c r="H62" s="64"/>
      <c r="I62" s="64"/>
      <c r="J62" s="64"/>
      <c r="K62" s="64"/>
      <c r="L62" s="64"/>
      <c r="M62" s="70"/>
      <c r="O62" s="64"/>
      <c r="T62" s="258"/>
      <c r="V62" s="233"/>
      <c r="W62" s="236"/>
      <c r="X62" s="64"/>
      <c r="Z62" s="1"/>
      <c r="AB62" s="113"/>
    </row>
    <row r="63" spans="2:28">
      <c r="B63" s="1"/>
      <c r="C63" s="92"/>
      <c r="D63" s="92"/>
      <c r="E63" s="92"/>
      <c r="F63" s="92"/>
      <c r="H63" s="64"/>
      <c r="I63" s="64"/>
      <c r="J63" s="64"/>
      <c r="K63" s="64"/>
      <c r="L63" s="64"/>
      <c r="M63" s="70"/>
      <c r="O63" s="64"/>
      <c r="T63" s="258"/>
      <c r="V63" s="233"/>
      <c r="W63" s="236"/>
      <c r="X63" s="64"/>
      <c r="Z63" s="1"/>
      <c r="AB63" s="113"/>
    </row>
    <row r="64" spans="2:28">
      <c r="B64" s="1"/>
      <c r="C64" s="92"/>
      <c r="D64" s="92"/>
      <c r="E64" s="92"/>
      <c r="F64" s="92"/>
      <c r="H64" s="64"/>
      <c r="I64" s="64"/>
      <c r="J64" s="64"/>
      <c r="K64" s="64"/>
      <c r="L64" s="64"/>
      <c r="M64" s="70"/>
      <c r="O64" s="64"/>
      <c r="T64" s="258"/>
      <c r="V64" s="233"/>
      <c r="W64" s="236"/>
      <c r="X64" s="64"/>
      <c r="Z64" s="1"/>
      <c r="AB64" s="113"/>
    </row>
    <row r="65" spans="2:28">
      <c r="B65" s="1"/>
      <c r="C65" s="92"/>
      <c r="D65" s="92"/>
      <c r="E65" s="92"/>
      <c r="F65" s="92"/>
      <c r="H65" s="64"/>
      <c r="I65" s="64"/>
      <c r="J65" s="64"/>
      <c r="K65" s="64"/>
      <c r="L65" s="64"/>
      <c r="M65" s="70"/>
      <c r="O65" s="64"/>
      <c r="T65" s="258"/>
      <c r="V65" s="233"/>
      <c r="W65" s="236"/>
      <c r="X65" s="64"/>
      <c r="Z65" s="1"/>
      <c r="AB65" s="113"/>
    </row>
    <row r="66" spans="2:28">
      <c r="B66" s="1"/>
      <c r="C66" s="92"/>
      <c r="D66" s="92"/>
      <c r="E66" s="92"/>
      <c r="F66" s="92"/>
      <c r="H66" s="64"/>
      <c r="I66" s="64"/>
      <c r="J66" s="64"/>
      <c r="K66" s="64"/>
      <c r="L66" s="64"/>
      <c r="M66" s="70"/>
      <c r="O66" s="64"/>
      <c r="T66" s="258"/>
      <c r="V66" s="233"/>
      <c r="W66" s="236"/>
      <c r="X66" s="64"/>
      <c r="Z66" s="1"/>
      <c r="AB66" s="113"/>
    </row>
    <row r="67" spans="2:28">
      <c r="B67" s="1"/>
      <c r="C67" s="92"/>
      <c r="D67" s="92"/>
      <c r="E67" s="92"/>
      <c r="F67" s="92"/>
      <c r="H67" s="64"/>
      <c r="I67" s="64"/>
      <c r="J67" s="64"/>
      <c r="K67" s="64"/>
      <c r="L67" s="64"/>
      <c r="M67" s="70"/>
      <c r="O67" s="64"/>
      <c r="T67" s="258"/>
      <c r="V67" s="233"/>
      <c r="W67" s="236"/>
      <c r="X67" s="64"/>
      <c r="Z67" s="1"/>
      <c r="AB67" s="113"/>
    </row>
    <row r="68" spans="2:28">
      <c r="B68" s="1"/>
      <c r="C68" s="92"/>
      <c r="D68" s="92"/>
      <c r="E68" s="92"/>
      <c r="F68" s="92"/>
      <c r="H68" s="64"/>
      <c r="I68" s="64"/>
      <c r="J68" s="64"/>
      <c r="K68" s="64"/>
      <c r="L68" s="64"/>
      <c r="M68" s="70"/>
      <c r="T68" s="258"/>
      <c r="V68" s="233"/>
      <c r="W68" s="236"/>
      <c r="X68" s="64"/>
      <c r="Z68" s="1"/>
      <c r="AB68" s="113"/>
    </row>
    <row r="69" spans="2:28">
      <c r="B69" s="1"/>
      <c r="C69" s="92"/>
      <c r="D69" s="92"/>
      <c r="E69" s="92"/>
      <c r="F69" s="92"/>
      <c r="H69" s="64"/>
      <c r="I69" s="64"/>
      <c r="J69" s="64"/>
      <c r="K69" s="64"/>
      <c r="L69" s="64"/>
      <c r="M69" s="70"/>
      <c r="T69" s="258"/>
      <c r="V69" s="233"/>
      <c r="W69" s="236"/>
      <c r="X69" s="64"/>
      <c r="Z69" s="1"/>
      <c r="AB69" s="113"/>
    </row>
    <row r="70" spans="2:28">
      <c r="B70" s="1"/>
      <c r="C70" s="92"/>
      <c r="D70" s="92"/>
      <c r="E70" s="92"/>
      <c r="F70" s="92"/>
      <c r="H70" s="64"/>
      <c r="I70" s="64"/>
      <c r="J70" s="64"/>
      <c r="K70" s="64"/>
      <c r="L70" s="64"/>
      <c r="M70" s="70"/>
      <c r="T70" s="258"/>
      <c r="V70" s="233"/>
      <c r="W70" s="236"/>
      <c r="X70" s="64"/>
      <c r="Z70" s="1"/>
      <c r="AB70" s="113"/>
    </row>
    <row r="71" spans="2:28">
      <c r="B71" s="1"/>
      <c r="C71" s="92"/>
      <c r="D71" s="92"/>
      <c r="E71" s="92"/>
      <c r="F71" s="92"/>
      <c r="H71" s="64"/>
      <c r="I71" s="64"/>
      <c r="J71" s="64"/>
      <c r="K71" s="64"/>
      <c r="L71" s="64"/>
      <c r="M71" s="70"/>
      <c r="T71" s="258"/>
      <c r="V71" s="233"/>
      <c r="W71" s="236"/>
      <c r="X71" s="64"/>
      <c r="Z71" s="1"/>
      <c r="AB71" s="113"/>
    </row>
    <row r="72" spans="2:28">
      <c r="B72" s="1"/>
      <c r="C72" s="92"/>
      <c r="D72" s="92"/>
      <c r="E72" s="92"/>
      <c r="F72" s="92"/>
      <c r="H72" s="64"/>
      <c r="I72" s="64"/>
      <c r="J72" s="64"/>
      <c r="K72" s="64"/>
      <c r="L72" s="64"/>
      <c r="M72" s="70"/>
      <c r="T72" s="258"/>
      <c r="V72" s="233"/>
      <c r="W72" s="236"/>
      <c r="X72" s="64"/>
      <c r="Z72" s="1"/>
      <c r="AB72" s="113"/>
    </row>
    <row r="73" spans="2:28">
      <c r="B73" s="1"/>
      <c r="C73" s="92"/>
      <c r="D73" s="92"/>
      <c r="E73" s="92"/>
      <c r="F73" s="92"/>
      <c r="H73" s="64"/>
      <c r="I73" s="64"/>
      <c r="J73" s="64"/>
      <c r="K73" s="64"/>
      <c r="L73" s="64"/>
      <c r="M73" s="70"/>
      <c r="T73" s="258"/>
      <c r="V73" s="233"/>
      <c r="W73" s="236"/>
      <c r="X73" s="64"/>
      <c r="Z73" s="1"/>
      <c r="AB73" s="113"/>
    </row>
    <row r="74" spans="2:28">
      <c r="H74" s="64"/>
      <c r="I74" s="64"/>
      <c r="J74" s="64"/>
      <c r="K74" s="64"/>
      <c r="L74" s="64"/>
      <c r="M74" s="70"/>
      <c r="T74" s="258"/>
      <c r="V74" s="233"/>
      <c r="W74" s="236"/>
      <c r="X74" s="64"/>
      <c r="AB74" s="113"/>
    </row>
    <row r="75" spans="2:28">
      <c r="H75" s="64"/>
      <c r="I75" s="64"/>
      <c r="J75" s="64"/>
      <c r="K75" s="64"/>
      <c r="L75" s="64"/>
      <c r="M75" s="70"/>
      <c r="T75" s="258"/>
      <c r="V75" s="233"/>
      <c r="W75" s="236"/>
      <c r="X75" s="64"/>
      <c r="AB75" s="113"/>
    </row>
    <row r="76" spans="2:28">
      <c r="H76" s="64"/>
      <c r="I76" s="64"/>
      <c r="J76" s="64"/>
      <c r="K76" s="64"/>
      <c r="L76" s="64"/>
      <c r="M76" s="70"/>
      <c r="T76" s="258"/>
      <c r="V76" s="233"/>
      <c r="W76" s="236"/>
      <c r="X76" s="64"/>
      <c r="AB76" s="113"/>
    </row>
    <row r="77" spans="2:28">
      <c r="H77" s="64"/>
      <c r="I77" s="64"/>
      <c r="J77" s="64"/>
      <c r="K77" s="64"/>
      <c r="L77" s="64"/>
      <c r="M77" s="70"/>
      <c r="T77" s="258"/>
      <c r="V77" s="233"/>
      <c r="W77" s="236"/>
      <c r="X77" s="64"/>
      <c r="AB77" s="113"/>
    </row>
    <row r="78" spans="2:28">
      <c r="H78" s="64"/>
      <c r="I78" s="64"/>
      <c r="J78" s="64"/>
      <c r="K78" s="64"/>
      <c r="L78" s="64"/>
      <c r="M78" s="70"/>
      <c r="T78" s="258"/>
      <c r="V78" s="233"/>
      <c r="W78" s="236"/>
      <c r="X78" s="64"/>
      <c r="AB78" s="113"/>
    </row>
    <row r="79" spans="2:28">
      <c r="H79" s="64"/>
      <c r="I79" s="64"/>
      <c r="J79" s="64"/>
      <c r="K79" s="64"/>
      <c r="L79" s="64"/>
      <c r="M79" s="70"/>
      <c r="T79" s="258"/>
      <c r="V79" s="233"/>
      <c r="W79" s="236"/>
      <c r="X79" s="64"/>
      <c r="AB79" s="113"/>
    </row>
    <row r="80" spans="2:28">
      <c r="H80" s="64"/>
      <c r="I80" s="64"/>
      <c r="J80" s="64"/>
      <c r="K80" s="64"/>
      <c r="L80" s="64"/>
      <c r="M80" s="70"/>
      <c r="T80" s="258"/>
      <c r="V80" s="233"/>
      <c r="W80" s="236"/>
      <c r="X80" s="64"/>
      <c r="AB80" s="113"/>
    </row>
    <row r="81" spans="8:28">
      <c r="H81" s="64"/>
      <c r="I81" s="64"/>
      <c r="J81" s="64"/>
      <c r="K81" s="64"/>
      <c r="L81" s="64"/>
      <c r="M81" s="70"/>
      <c r="T81" s="258"/>
      <c r="V81" s="233"/>
      <c r="AB81" s="113"/>
    </row>
    <row r="82" spans="8:28">
      <c r="M82" s="70"/>
      <c r="T82" s="258"/>
      <c r="V82" s="233"/>
      <c r="AB82" s="113"/>
    </row>
    <row r="83" spans="8:28" ht="16.5" customHeight="1">
      <c r="T83" s="258"/>
      <c r="V83" s="233"/>
      <c r="AB83" s="113"/>
    </row>
    <row r="84" spans="8:28" ht="16.5" customHeight="1">
      <c r="T84" s="258"/>
      <c r="V84" s="233"/>
      <c r="AB84" s="113"/>
    </row>
    <row r="85" spans="8:28" ht="16.5" customHeight="1">
      <c r="T85" s="258"/>
      <c r="V85" s="233"/>
      <c r="AB85" s="113"/>
    </row>
    <row r="86" spans="8:28" ht="16.5" customHeight="1">
      <c r="T86" s="258"/>
      <c r="V86" s="233"/>
      <c r="AB86" s="113"/>
    </row>
    <row r="87" spans="8:28" ht="16.5" customHeight="1">
      <c r="T87" s="258"/>
      <c r="V87" s="233"/>
      <c r="AB87" s="113"/>
    </row>
    <row r="88" spans="8:28" ht="16.5" customHeight="1">
      <c r="T88" s="258"/>
      <c r="V88" s="233"/>
      <c r="AB88" s="113"/>
    </row>
    <row r="89" spans="8:28" ht="16.5" customHeight="1">
      <c r="T89" s="258"/>
      <c r="V89" s="233"/>
      <c r="AB89" s="113"/>
    </row>
    <row r="90" spans="8:28" ht="16.5" customHeight="1">
      <c r="T90" s="258"/>
      <c r="V90" s="233"/>
      <c r="AB90" s="113"/>
    </row>
    <row r="91" spans="8:28" ht="16.5" customHeight="1">
      <c r="T91" s="258"/>
      <c r="V91" s="233"/>
      <c r="AB91" s="113"/>
    </row>
    <row r="92" spans="8:28" ht="16.5" customHeight="1">
      <c r="T92" s="258"/>
      <c r="V92" s="233"/>
      <c r="AB92" s="113"/>
    </row>
    <row r="93" spans="8:28" ht="16.5" customHeight="1">
      <c r="T93" s="258"/>
      <c r="V93" s="233"/>
      <c r="AB93" s="113"/>
    </row>
    <row r="94" spans="8:28" ht="16.5" customHeight="1">
      <c r="T94" s="258"/>
      <c r="V94" s="233"/>
      <c r="AB94" s="113"/>
    </row>
    <row r="95" spans="8:28" ht="16.5" customHeight="1">
      <c r="T95" s="258"/>
      <c r="V95" s="233"/>
      <c r="AB95" s="113"/>
    </row>
    <row r="96" spans="8:28" ht="16.5" customHeight="1">
      <c r="T96" s="258"/>
      <c r="V96" s="233"/>
      <c r="AB96" s="113"/>
    </row>
    <row r="97" spans="20:28" ht="16.5" customHeight="1">
      <c r="T97" s="258"/>
      <c r="V97" s="233"/>
      <c r="AB97" s="113"/>
    </row>
    <row r="98" spans="20:28" ht="16.5" customHeight="1">
      <c r="T98" s="258"/>
      <c r="V98" s="233"/>
      <c r="AB98" s="113"/>
    </row>
    <row r="99" spans="20:28" ht="16.5" customHeight="1">
      <c r="T99" s="258"/>
      <c r="V99" s="233"/>
      <c r="AB99" s="113"/>
    </row>
    <row r="100" spans="20:28" ht="16.5" customHeight="1">
      <c r="T100" s="258"/>
      <c r="V100" s="233"/>
      <c r="AB100" s="113"/>
    </row>
    <row r="101" spans="20:28" ht="16.5" customHeight="1">
      <c r="T101" s="258"/>
      <c r="V101" s="233"/>
      <c r="AB101" s="113"/>
    </row>
    <row r="102" spans="20:28" ht="16.5" customHeight="1">
      <c r="T102" s="258"/>
      <c r="V102" s="233"/>
      <c r="AB102" s="113"/>
    </row>
    <row r="103" spans="20:28" ht="16.5" customHeight="1">
      <c r="T103" s="258"/>
      <c r="V103" s="233"/>
      <c r="AB103" s="113"/>
    </row>
    <row r="104" spans="20:28" ht="16.5" customHeight="1">
      <c r="T104" s="258"/>
      <c r="V104" s="233"/>
      <c r="AB104" s="113"/>
    </row>
    <row r="105" spans="20:28" ht="16.5" customHeight="1">
      <c r="T105" s="258"/>
      <c r="V105" s="233"/>
      <c r="AB105" s="113"/>
    </row>
    <row r="106" spans="20:28" ht="16.5" customHeight="1">
      <c r="T106" s="258"/>
      <c r="V106" s="233"/>
      <c r="AB106" s="113"/>
    </row>
    <row r="107" spans="20:28" ht="16.5" customHeight="1">
      <c r="T107" s="258"/>
      <c r="V107" s="233"/>
      <c r="AB107" s="113"/>
    </row>
    <row r="108" spans="20:28" ht="16.5" customHeight="1">
      <c r="T108" s="258"/>
      <c r="V108" s="233"/>
      <c r="AB108" s="113"/>
    </row>
    <row r="109" spans="20:28" ht="16.5" customHeight="1">
      <c r="T109" s="258"/>
      <c r="V109" s="233"/>
      <c r="AB109" s="113"/>
    </row>
    <row r="110" spans="20:28" ht="16.5" customHeight="1">
      <c r="T110" s="258"/>
      <c r="V110" s="233"/>
      <c r="AB110" s="113"/>
    </row>
    <row r="111" spans="20:28" ht="16.5" customHeight="1">
      <c r="T111" s="258"/>
      <c r="V111" s="233"/>
      <c r="AB111" s="113"/>
    </row>
    <row r="112" spans="20:28" ht="16.5" customHeight="1">
      <c r="T112" s="258"/>
      <c r="V112" s="233"/>
      <c r="AB112" s="113"/>
    </row>
    <row r="113" spans="20:28" ht="16.5" customHeight="1">
      <c r="T113" s="258"/>
      <c r="V113" s="233"/>
      <c r="AB113" s="113"/>
    </row>
    <row r="114" spans="20:28" ht="16.5" customHeight="1">
      <c r="T114" s="258"/>
      <c r="V114" s="233"/>
      <c r="AB114" s="113"/>
    </row>
    <row r="115" spans="20:28" ht="16.5" customHeight="1">
      <c r="T115" s="258"/>
      <c r="V115" s="233"/>
      <c r="AB115" s="113"/>
    </row>
    <row r="116" spans="20:28" ht="16.5" customHeight="1">
      <c r="T116" s="258"/>
      <c r="V116" s="233"/>
      <c r="AB116" s="113"/>
    </row>
    <row r="117" spans="20:28" ht="16.5" customHeight="1">
      <c r="T117" s="258"/>
      <c r="V117" s="233"/>
      <c r="AB117" s="113"/>
    </row>
    <row r="118" spans="20:28" ht="16.5" customHeight="1">
      <c r="T118" s="258"/>
      <c r="V118" s="233"/>
      <c r="AB118" s="113"/>
    </row>
    <row r="119" spans="20:28" ht="16.5" customHeight="1">
      <c r="T119" s="258"/>
      <c r="V119" s="233"/>
      <c r="AB119" s="113"/>
    </row>
    <row r="120" spans="20:28" ht="16.5" customHeight="1">
      <c r="T120" s="258"/>
      <c r="V120" s="233"/>
      <c r="AB120" s="113"/>
    </row>
    <row r="121" spans="20:28" ht="16.5" customHeight="1">
      <c r="T121" s="258"/>
      <c r="V121" s="233"/>
      <c r="AB121" s="113"/>
    </row>
    <row r="122" spans="20:28" ht="16.5" customHeight="1">
      <c r="T122" s="258"/>
      <c r="AB122" s="113"/>
    </row>
    <row r="123" spans="20:28" ht="16.5" customHeight="1">
      <c r="T123" s="258"/>
      <c r="AB123" s="113"/>
    </row>
    <row r="124" spans="20:28" ht="16.5" customHeight="1">
      <c r="T124" s="258"/>
      <c r="AB124" s="113"/>
    </row>
    <row r="125" spans="20:28" ht="16.5" customHeight="1">
      <c r="T125" s="258"/>
      <c r="AB125" s="113"/>
    </row>
    <row r="126" spans="20:28" ht="16.5" customHeight="1">
      <c r="T126" s="258"/>
      <c r="AB126" s="113"/>
    </row>
    <row r="127" spans="20:28" ht="16.5" customHeight="1">
      <c r="T127" s="258"/>
      <c r="AB127" s="113"/>
    </row>
    <row r="128" spans="20:28" ht="16.5" customHeight="1">
      <c r="T128" s="258"/>
      <c r="AB128" s="113"/>
    </row>
    <row r="129" spans="20:28" ht="16.5" customHeight="1">
      <c r="T129" s="258"/>
      <c r="AB129" s="113"/>
    </row>
    <row r="130" spans="20:28" ht="16.5" customHeight="1">
      <c r="T130" s="258"/>
      <c r="AB130" s="113"/>
    </row>
    <row r="131" spans="20:28" ht="16.5" customHeight="1">
      <c r="T131" s="258"/>
      <c r="AB131" s="113"/>
    </row>
    <row r="132" spans="20:28" ht="16.5" customHeight="1">
      <c r="T132" s="258"/>
      <c r="AB132" s="113"/>
    </row>
    <row r="133" spans="20:28" ht="16.5" customHeight="1">
      <c r="T133" s="258"/>
      <c r="AB133" s="113"/>
    </row>
    <row r="134" spans="20:28" ht="16.5" customHeight="1">
      <c r="T134" s="258"/>
      <c r="AB134" s="113"/>
    </row>
    <row r="135" spans="20:28" ht="16.5" customHeight="1">
      <c r="T135" s="258"/>
      <c r="AB135" s="113"/>
    </row>
    <row r="136" spans="20:28" ht="16.5" customHeight="1">
      <c r="T136" s="258"/>
      <c r="AB136" s="113"/>
    </row>
    <row r="137" spans="20:28" ht="16.5" customHeight="1">
      <c r="T137" s="258"/>
      <c r="AB137" s="113"/>
    </row>
    <row r="138" spans="20:28" ht="16.5" customHeight="1">
      <c r="T138" s="258"/>
      <c r="AB138" s="113"/>
    </row>
    <row r="139" spans="20:28" ht="16.5" customHeight="1">
      <c r="T139" s="258"/>
      <c r="AB139" s="113"/>
    </row>
    <row r="140" spans="20:28" ht="16.5" customHeight="1">
      <c r="T140" s="258"/>
      <c r="AB140" s="113"/>
    </row>
    <row r="141" spans="20:28" ht="16.5" customHeight="1">
      <c r="T141" s="258"/>
      <c r="AB141" s="113"/>
    </row>
    <row r="142" spans="20:28" ht="16.5" customHeight="1">
      <c r="T142" s="258"/>
      <c r="AB142" s="113"/>
    </row>
    <row r="143" spans="20:28" ht="16.5" customHeight="1">
      <c r="T143" s="258"/>
      <c r="AB143" s="113"/>
    </row>
    <row r="144" spans="20:28" ht="16.5" customHeight="1">
      <c r="T144" s="258"/>
      <c r="AB144" s="113"/>
    </row>
    <row r="145" spans="20:28" ht="16.5" customHeight="1">
      <c r="T145" s="258"/>
      <c r="AB145" s="113"/>
    </row>
    <row r="146" spans="20:28" ht="16.5" customHeight="1">
      <c r="T146" s="258"/>
      <c r="AB146" s="113"/>
    </row>
    <row r="147" spans="20:28" ht="16.5" customHeight="1">
      <c r="T147" s="258"/>
      <c r="AB147" s="113"/>
    </row>
    <row r="148" spans="20:28" ht="16.5" customHeight="1">
      <c r="T148" s="258"/>
      <c r="AB148" s="113"/>
    </row>
    <row r="149" spans="20:28" ht="16.5" customHeight="1">
      <c r="T149" s="258"/>
      <c r="AB149" s="113"/>
    </row>
    <row r="150" spans="20:28" ht="16.5" customHeight="1">
      <c r="T150" s="258"/>
      <c r="AB150" s="113"/>
    </row>
    <row r="151" spans="20:28" ht="16.5" customHeight="1">
      <c r="T151" s="258"/>
      <c r="AB151" s="113"/>
    </row>
    <row r="152" spans="20:28" ht="16.5" customHeight="1">
      <c r="T152" s="258"/>
      <c r="AB152" s="113"/>
    </row>
    <row r="153" spans="20:28" ht="16.5" customHeight="1">
      <c r="T153" s="258"/>
      <c r="AB153" s="113"/>
    </row>
    <row r="154" spans="20:28" ht="16.5" customHeight="1">
      <c r="T154" s="258"/>
      <c r="AB154" s="113"/>
    </row>
    <row r="155" spans="20:28" ht="16.5" customHeight="1">
      <c r="T155" s="258"/>
      <c r="AB155" s="113"/>
    </row>
    <row r="156" spans="20:28" ht="16.5" customHeight="1">
      <c r="T156" s="258"/>
      <c r="AB156" s="113"/>
    </row>
    <row r="157" spans="20:28" ht="16.5" customHeight="1">
      <c r="T157" s="258"/>
      <c r="AB157" s="113"/>
    </row>
    <row r="158" spans="20:28" ht="16.5" customHeight="1">
      <c r="T158" s="258"/>
      <c r="AB158" s="113"/>
    </row>
    <row r="159" spans="20:28" ht="16.5" customHeight="1">
      <c r="T159" s="258"/>
      <c r="AB159" s="113"/>
    </row>
    <row r="160" spans="20:28" ht="16.5" customHeight="1">
      <c r="T160" s="258"/>
      <c r="AB160" s="113"/>
    </row>
    <row r="161" spans="20:28" ht="16.5" customHeight="1">
      <c r="T161" s="258"/>
      <c r="AB161" s="113"/>
    </row>
    <row r="162" spans="20:28" ht="16.5" customHeight="1">
      <c r="T162" s="258"/>
      <c r="AB162" s="113"/>
    </row>
    <row r="163" spans="20:28" ht="16.5" customHeight="1">
      <c r="T163" s="258"/>
      <c r="AB163" s="113"/>
    </row>
    <row r="164" spans="20:28" ht="16.5" customHeight="1">
      <c r="T164" s="258"/>
      <c r="AB164" s="113"/>
    </row>
    <row r="165" spans="20:28" ht="16.5" customHeight="1">
      <c r="T165" s="258"/>
      <c r="AB165" s="113"/>
    </row>
    <row r="166" spans="20:28" ht="16.5" customHeight="1">
      <c r="T166" s="258"/>
      <c r="AB166" s="113"/>
    </row>
    <row r="167" spans="20:28" ht="16.5" customHeight="1">
      <c r="T167" s="258"/>
      <c r="AB167" s="113"/>
    </row>
    <row r="168" spans="20:28" ht="16.5" customHeight="1">
      <c r="T168" s="258"/>
      <c r="AB168" s="113"/>
    </row>
    <row r="169" spans="20:28" ht="16.5" customHeight="1">
      <c r="T169" s="258"/>
      <c r="AB169" s="113"/>
    </row>
    <row r="170" spans="20:28" ht="16.5" customHeight="1">
      <c r="T170" s="258"/>
      <c r="AB170" s="113"/>
    </row>
    <row r="171" spans="20:28" ht="16.5" customHeight="1">
      <c r="T171" s="258"/>
      <c r="AB171" s="113"/>
    </row>
    <row r="172" spans="20:28" ht="16.5" customHeight="1">
      <c r="T172" s="258"/>
      <c r="AB172" s="113"/>
    </row>
    <row r="173" spans="20:28" ht="16.5" customHeight="1">
      <c r="T173" s="258"/>
      <c r="AB173" s="113"/>
    </row>
    <row r="174" spans="20:28" ht="16.5" customHeight="1">
      <c r="T174" s="258"/>
      <c r="AB174" s="113"/>
    </row>
    <row r="175" spans="20:28" ht="16.5" customHeight="1">
      <c r="T175" s="258"/>
      <c r="AB175" s="113"/>
    </row>
    <row r="176" spans="20:28" ht="16.5" customHeight="1">
      <c r="T176" s="258"/>
      <c r="AB176" s="113"/>
    </row>
    <row r="177" spans="20:28" ht="16.5" customHeight="1">
      <c r="T177" s="258"/>
      <c r="AB177" s="113"/>
    </row>
    <row r="178" spans="20:28" ht="16.5" customHeight="1">
      <c r="T178" s="258"/>
      <c r="AB178" s="113"/>
    </row>
    <row r="179" spans="20:28" ht="16.5" customHeight="1">
      <c r="T179" s="258"/>
      <c r="AB179" s="113"/>
    </row>
    <row r="180" spans="20:28" ht="16.5" customHeight="1">
      <c r="T180" s="258"/>
      <c r="AB180" s="113"/>
    </row>
    <row r="181" spans="20:28" ht="16.5" customHeight="1">
      <c r="T181" s="258"/>
      <c r="AB181" s="113"/>
    </row>
    <row r="182" spans="20:28" ht="16.5" customHeight="1">
      <c r="T182" s="258"/>
      <c r="AB182" s="113"/>
    </row>
    <row r="183" spans="20:28" ht="16.5" customHeight="1">
      <c r="T183" s="258"/>
      <c r="AB183" s="113"/>
    </row>
    <row r="184" spans="20:28" ht="16.5" customHeight="1">
      <c r="T184" s="258"/>
      <c r="AB184" s="113"/>
    </row>
    <row r="185" spans="20:28" ht="16.5" customHeight="1">
      <c r="T185" s="258"/>
      <c r="AB185" s="113"/>
    </row>
    <row r="186" spans="20:28" ht="16.5" customHeight="1">
      <c r="T186" s="258"/>
      <c r="AB186" s="113"/>
    </row>
    <row r="187" spans="20:28" ht="16.5" customHeight="1">
      <c r="T187" s="258"/>
      <c r="AB187" s="113"/>
    </row>
    <row r="188" spans="20:28" ht="16.5" customHeight="1">
      <c r="T188" s="258"/>
      <c r="AB188" s="113"/>
    </row>
    <row r="189" spans="20:28" ht="16.5" customHeight="1">
      <c r="T189" s="258"/>
      <c r="AB189" s="113"/>
    </row>
    <row r="190" spans="20:28" ht="16.5" customHeight="1">
      <c r="T190" s="258"/>
      <c r="AB190" s="113"/>
    </row>
    <row r="191" spans="20:28" ht="16.5" customHeight="1">
      <c r="T191" s="258"/>
      <c r="AB191" s="113"/>
    </row>
    <row r="192" spans="20:28" ht="16.5" customHeight="1">
      <c r="T192" s="258"/>
      <c r="AB192" s="113"/>
    </row>
    <row r="193" spans="20:28" ht="16.5" customHeight="1">
      <c r="T193" s="258"/>
      <c r="AB193" s="113"/>
    </row>
    <row r="194" spans="20:28" ht="16.5" customHeight="1">
      <c r="T194" s="258"/>
      <c r="AB194" s="113"/>
    </row>
    <row r="195" spans="20:28" ht="16.5" customHeight="1">
      <c r="T195" s="258"/>
      <c r="AB195" s="113"/>
    </row>
    <row r="196" spans="20:28" ht="16.5" customHeight="1">
      <c r="T196" s="258"/>
      <c r="AB196" s="113"/>
    </row>
    <row r="197" spans="20:28" ht="16.5" customHeight="1">
      <c r="T197" s="258"/>
      <c r="AB197" s="113"/>
    </row>
    <row r="198" spans="20:28" ht="16.5" customHeight="1">
      <c r="T198" s="258"/>
      <c r="AB198" s="113"/>
    </row>
    <row r="199" spans="20:28" ht="16.5" customHeight="1">
      <c r="T199" s="258"/>
      <c r="AB199" s="113"/>
    </row>
    <row r="200" spans="20:28" ht="16.5" customHeight="1">
      <c r="T200" s="258"/>
      <c r="AB200" s="113"/>
    </row>
    <row r="201" spans="20:28" ht="16.5" customHeight="1">
      <c r="T201" s="258"/>
      <c r="AB201" s="113"/>
    </row>
    <row r="202" spans="20:28" ht="16.5" customHeight="1">
      <c r="T202" s="258"/>
      <c r="AB202" s="113"/>
    </row>
    <row r="203" spans="20:28" ht="16.5" customHeight="1">
      <c r="T203" s="258"/>
      <c r="AB203" s="113"/>
    </row>
    <row r="204" spans="20:28" ht="16.5" customHeight="1">
      <c r="T204" s="258"/>
      <c r="AB204" s="113"/>
    </row>
    <row r="205" spans="20:28" ht="16.5" customHeight="1">
      <c r="T205" s="258"/>
      <c r="AB205" s="113"/>
    </row>
    <row r="206" spans="20:28" ht="16.5" customHeight="1">
      <c r="T206" s="258"/>
      <c r="AB206" s="113"/>
    </row>
    <row r="207" spans="20:28" ht="16.5" customHeight="1">
      <c r="T207" s="258"/>
      <c r="AB207" s="113"/>
    </row>
    <row r="208" spans="20:28" ht="16.5" customHeight="1">
      <c r="T208" s="258"/>
      <c r="AB208" s="113"/>
    </row>
    <row r="209" spans="20:28" ht="16.5" customHeight="1">
      <c r="T209" s="258"/>
      <c r="AB209" s="113"/>
    </row>
    <row r="210" spans="20:28" ht="16.5" customHeight="1">
      <c r="T210" s="258"/>
      <c r="AB210" s="113"/>
    </row>
    <row r="211" spans="20:28" ht="16.5" customHeight="1">
      <c r="T211" s="258"/>
      <c r="AB211" s="113"/>
    </row>
    <row r="212" spans="20:28" ht="16.5" customHeight="1">
      <c r="T212" s="258"/>
      <c r="AB212" s="113"/>
    </row>
    <row r="213" spans="20:28" ht="16.5" customHeight="1">
      <c r="T213" s="258"/>
      <c r="AB213" s="113"/>
    </row>
    <row r="214" spans="20:28" ht="16.5" customHeight="1">
      <c r="T214" s="258"/>
      <c r="AB214" s="113"/>
    </row>
    <row r="215" spans="20:28" ht="16.5" customHeight="1">
      <c r="T215" s="258"/>
      <c r="AB215" s="113"/>
    </row>
    <row r="216" spans="20:28" ht="16.5" customHeight="1">
      <c r="T216" s="258"/>
      <c r="AB216" s="113"/>
    </row>
    <row r="217" spans="20:28" ht="16.5" customHeight="1">
      <c r="T217" s="258"/>
      <c r="AB217" s="113"/>
    </row>
    <row r="218" spans="20:28" ht="16.5" customHeight="1">
      <c r="T218" s="258"/>
      <c r="AB218" s="113"/>
    </row>
    <row r="219" spans="20:28" ht="16.5" customHeight="1">
      <c r="T219" s="258"/>
      <c r="AB219" s="113"/>
    </row>
    <row r="220" spans="20:28" ht="16.5" customHeight="1">
      <c r="T220" s="258"/>
      <c r="AB220" s="113"/>
    </row>
    <row r="221" spans="20:28" ht="16.5" customHeight="1">
      <c r="T221" s="258"/>
      <c r="AB221" s="113"/>
    </row>
    <row r="222" spans="20:28" ht="16.5" customHeight="1">
      <c r="T222" s="258"/>
      <c r="AB222" s="113"/>
    </row>
    <row r="223" spans="20:28" ht="16.5" customHeight="1">
      <c r="T223" s="258"/>
      <c r="AB223" s="113"/>
    </row>
    <row r="224" spans="20:28" ht="16.5" customHeight="1">
      <c r="T224" s="258"/>
      <c r="AB224" s="113"/>
    </row>
    <row r="225" spans="20:28" ht="16.5" customHeight="1">
      <c r="T225" s="258"/>
      <c r="AB225" s="113"/>
    </row>
    <row r="226" spans="20:28" ht="16.5" customHeight="1">
      <c r="T226" s="258"/>
      <c r="AB226" s="113"/>
    </row>
    <row r="227" spans="20:28" ht="16.5" customHeight="1">
      <c r="T227" s="258"/>
      <c r="AB227" s="113"/>
    </row>
    <row r="228" spans="20:28" ht="16.5" customHeight="1">
      <c r="T228" s="258"/>
      <c r="AB228" s="113"/>
    </row>
    <row r="229" spans="20:28" ht="16.5" customHeight="1">
      <c r="T229" s="258"/>
      <c r="AB229" s="113"/>
    </row>
    <row r="230" spans="20:28" ht="16.5" customHeight="1">
      <c r="T230" s="258"/>
      <c r="AB230" s="113"/>
    </row>
    <row r="231" spans="20:28" ht="16.5" customHeight="1">
      <c r="T231" s="258"/>
      <c r="AB231" s="113"/>
    </row>
    <row r="232" spans="20:28" ht="16.5" customHeight="1">
      <c r="T232" s="258"/>
      <c r="AB232" s="113"/>
    </row>
    <row r="233" spans="20:28" ht="16.5" customHeight="1">
      <c r="T233" s="258"/>
      <c r="AB233" s="113"/>
    </row>
    <row r="234" spans="20:28" ht="16.5" customHeight="1">
      <c r="T234" s="258"/>
      <c r="AB234" s="113"/>
    </row>
    <row r="235" spans="20:28" ht="16.5" customHeight="1">
      <c r="T235" s="258"/>
      <c r="AB235" s="113"/>
    </row>
    <row r="236" spans="20:28" ht="16.5" customHeight="1">
      <c r="T236" s="258"/>
      <c r="AB236" s="113"/>
    </row>
    <row r="237" spans="20:28" ht="16.5" customHeight="1">
      <c r="T237" s="258"/>
      <c r="AB237" s="113"/>
    </row>
    <row r="238" spans="20:28" ht="16.5" customHeight="1">
      <c r="T238" s="258"/>
      <c r="AB238" s="113"/>
    </row>
    <row r="239" spans="20:28" ht="16.5" customHeight="1">
      <c r="T239" s="258"/>
      <c r="AB239" s="113"/>
    </row>
    <row r="240" spans="20:28" ht="16.5" customHeight="1">
      <c r="T240" s="258"/>
      <c r="AB240" s="113"/>
    </row>
    <row r="241" spans="20:28" ht="16.5" customHeight="1">
      <c r="T241" s="258"/>
      <c r="AB241" s="113"/>
    </row>
    <row r="242" spans="20:28" ht="16.5" customHeight="1">
      <c r="T242" s="258"/>
      <c r="AB242" s="113"/>
    </row>
    <row r="243" spans="20:28" ht="16.5" customHeight="1">
      <c r="T243" s="258"/>
      <c r="AB243" s="113"/>
    </row>
    <row r="244" spans="20:28" ht="16.5" customHeight="1">
      <c r="T244" s="258"/>
      <c r="AB244" s="113"/>
    </row>
    <row r="245" spans="20:28" ht="16.5" customHeight="1">
      <c r="T245" s="258"/>
      <c r="AB245" s="113"/>
    </row>
    <row r="246" spans="20:28" ht="16.5" customHeight="1">
      <c r="T246" s="258"/>
      <c r="AB246" s="113"/>
    </row>
    <row r="247" spans="20:28" ht="16.5" customHeight="1">
      <c r="T247" s="258"/>
      <c r="AB247" s="113"/>
    </row>
    <row r="248" spans="20:28" ht="16.5" customHeight="1">
      <c r="T248" s="258"/>
      <c r="AB248" s="113"/>
    </row>
    <row r="249" spans="20:28" ht="16.5" customHeight="1">
      <c r="T249" s="258"/>
      <c r="AB249" s="113"/>
    </row>
    <row r="250" spans="20:28" ht="16.5" customHeight="1">
      <c r="T250" s="258"/>
      <c r="AB250" s="113"/>
    </row>
    <row r="251" spans="20:28" ht="16.5" customHeight="1">
      <c r="T251" s="258"/>
      <c r="AB251" s="113"/>
    </row>
    <row r="252" spans="20:28" ht="16.5" customHeight="1">
      <c r="T252" s="258"/>
      <c r="AB252" s="113"/>
    </row>
    <row r="253" spans="20:28" ht="16.5" customHeight="1">
      <c r="T253" s="258"/>
      <c r="AB253" s="113"/>
    </row>
    <row r="254" spans="20:28" ht="16.5" customHeight="1">
      <c r="T254" s="258"/>
      <c r="AB254" s="113"/>
    </row>
    <row r="255" spans="20:28" ht="16.5" customHeight="1">
      <c r="T255" s="258"/>
      <c r="AB255" s="113"/>
    </row>
    <row r="256" spans="20:28" ht="16.5" customHeight="1">
      <c r="T256" s="258"/>
      <c r="AB256" s="113"/>
    </row>
    <row r="257" spans="20:28" ht="16.5" customHeight="1">
      <c r="T257" s="258"/>
      <c r="AB257" s="113"/>
    </row>
    <row r="258" spans="20:28" ht="16.5" customHeight="1">
      <c r="T258" s="258"/>
      <c r="AB258" s="113"/>
    </row>
    <row r="259" spans="20:28" ht="16.5" customHeight="1">
      <c r="T259" s="258"/>
      <c r="AB259" s="113"/>
    </row>
    <row r="260" spans="20:28" ht="16.5" customHeight="1">
      <c r="T260" s="258"/>
      <c r="AB260" s="113"/>
    </row>
    <row r="261" spans="20:28" ht="16.5" customHeight="1">
      <c r="T261" s="258"/>
      <c r="AB261" s="113"/>
    </row>
    <row r="262" spans="20:28" ht="16.5" customHeight="1">
      <c r="T262" s="258"/>
      <c r="AB262" s="113"/>
    </row>
    <row r="263" spans="20:28" ht="16.5" customHeight="1">
      <c r="T263" s="258"/>
      <c r="AB263" s="113"/>
    </row>
    <row r="264" spans="20:28" ht="16.5" customHeight="1">
      <c r="T264" s="258"/>
      <c r="AB264" s="113"/>
    </row>
    <row r="265" spans="20:28" ht="16.5" customHeight="1">
      <c r="T265" s="258"/>
      <c r="AB265" s="113"/>
    </row>
    <row r="266" spans="20:28" ht="16.5" customHeight="1">
      <c r="T266" s="258"/>
      <c r="AB266" s="113"/>
    </row>
    <row r="267" spans="20:28" ht="16.5" customHeight="1">
      <c r="T267" s="258"/>
      <c r="AB267" s="113"/>
    </row>
    <row r="268" spans="20:28" ht="16.5" customHeight="1">
      <c r="T268" s="258"/>
      <c r="AB268" s="113"/>
    </row>
    <row r="269" spans="20:28" ht="16.5" customHeight="1">
      <c r="T269" s="258"/>
      <c r="AB269" s="113"/>
    </row>
    <row r="270" spans="20:28" ht="16.5" customHeight="1">
      <c r="T270" s="258"/>
      <c r="AB270" s="113"/>
    </row>
    <row r="271" spans="20:28" ht="16.5" customHeight="1">
      <c r="T271" s="258"/>
      <c r="AB271" s="113"/>
    </row>
    <row r="272" spans="20:28" ht="16.5" customHeight="1">
      <c r="T272" s="258"/>
      <c r="AB272" s="113"/>
    </row>
    <row r="273" spans="20:28" ht="16.5" customHeight="1">
      <c r="T273" s="258"/>
      <c r="AB273" s="113"/>
    </row>
    <row r="274" spans="20:28" ht="16.5" customHeight="1">
      <c r="T274" s="258"/>
      <c r="AB274" s="113"/>
    </row>
    <row r="275" spans="20:28" ht="16.5" customHeight="1">
      <c r="T275" s="258"/>
      <c r="AB275" s="113"/>
    </row>
    <row r="276" spans="20:28" ht="16.5" customHeight="1">
      <c r="T276" s="258"/>
      <c r="AB276" s="113"/>
    </row>
    <row r="277" spans="20:28" ht="16.5" customHeight="1">
      <c r="T277" s="258"/>
      <c r="AB277" s="113"/>
    </row>
    <row r="278" spans="20:28" ht="16.5" customHeight="1">
      <c r="T278" s="258"/>
      <c r="AB278" s="113"/>
    </row>
    <row r="279" spans="20:28" ht="16.5" customHeight="1">
      <c r="T279" s="258"/>
      <c r="AB279" s="113"/>
    </row>
    <row r="280" spans="20:28" ht="16.5" customHeight="1">
      <c r="T280" s="258"/>
      <c r="AB280" s="113"/>
    </row>
    <row r="281" spans="20:28" ht="16.5" customHeight="1">
      <c r="T281" s="258"/>
      <c r="AB281" s="113"/>
    </row>
    <row r="282" spans="20:28" ht="16.5" customHeight="1">
      <c r="T282" s="258"/>
      <c r="AB282" s="113"/>
    </row>
    <row r="283" spans="20:28" ht="16.5" customHeight="1">
      <c r="T283" s="258"/>
      <c r="AB283" s="113"/>
    </row>
    <row r="284" spans="20:28" ht="16.5" customHeight="1">
      <c r="T284" s="258"/>
      <c r="AB284" s="113"/>
    </row>
    <row r="285" spans="20:28" ht="16.5" customHeight="1">
      <c r="T285" s="258"/>
      <c r="AB285" s="113"/>
    </row>
    <row r="286" spans="20:28" ht="16.5" customHeight="1">
      <c r="T286" s="258"/>
      <c r="AB286" s="113"/>
    </row>
    <row r="287" spans="20:28" ht="16.5" customHeight="1">
      <c r="T287" s="258"/>
      <c r="AB287" s="113"/>
    </row>
    <row r="288" spans="20:28" ht="16.5" customHeight="1">
      <c r="T288" s="258"/>
      <c r="AB288" s="113"/>
    </row>
    <row r="289" spans="20:28" ht="16.5" customHeight="1">
      <c r="T289" s="258"/>
      <c r="AB289" s="113"/>
    </row>
    <row r="290" spans="20:28" ht="16.5" customHeight="1">
      <c r="T290" s="258"/>
      <c r="AB290" s="113"/>
    </row>
    <row r="291" spans="20:28" ht="16.5" customHeight="1">
      <c r="T291" s="258"/>
      <c r="AB291" s="113"/>
    </row>
    <row r="292" spans="20:28" ht="16.5" customHeight="1">
      <c r="T292" s="258"/>
      <c r="AB292" s="113"/>
    </row>
    <row r="293" spans="20:28" ht="16.5" customHeight="1">
      <c r="T293" s="258"/>
      <c r="AB293" s="113"/>
    </row>
    <row r="294" spans="20:28" ht="16.5" customHeight="1">
      <c r="T294" s="258"/>
      <c r="AB294" s="113"/>
    </row>
    <row r="295" spans="20:28" ht="16.5" customHeight="1">
      <c r="T295" s="258"/>
      <c r="AB295" s="113"/>
    </row>
    <row r="296" spans="20:28" ht="16.5" customHeight="1">
      <c r="T296" s="258"/>
      <c r="AB296" s="113"/>
    </row>
    <row r="297" spans="20:28" ht="16.5" customHeight="1">
      <c r="T297" s="258"/>
      <c r="AB297" s="113"/>
    </row>
    <row r="298" spans="20:28" ht="16.5" customHeight="1">
      <c r="T298" s="258"/>
      <c r="AB298" s="113"/>
    </row>
    <row r="299" spans="20:28" ht="16.5" customHeight="1">
      <c r="T299" s="258"/>
      <c r="AB299" s="113"/>
    </row>
    <row r="300" spans="20:28" ht="16.5" customHeight="1">
      <c r="T300" s="258"/>
      <c r="AB300" s="113"/>
    </row>
    <row r="301" spans="20:28" ht="16.5" customHeight="1">
      <c r="T301" s="258"/>
      <c r="AB301" s="113"/>
    </row>
    <row r="302" spans="20:28" ht="16.5" customHeight="1">
      <c r="T302" s="258"/>
      <c r="AB302" s="113"/>
    </row>
    <row r="303" spans="20:28" ht="16.5" customHeight="1">
      <c r="T303" s="258"/>
      <c r="AB303" s="113"/>
    </row>
    <row r="304" spans="20:28" ht="16.5" customHeight="1">
      <c r="T304" s="258"/>
      <c r="AB304" s="113"/>
    </row>
    <row r="305" spans="20:28" ht="16.5" customHeight="1">
      <c r="T305" s="258"/>
      <c r="AB305" s="113"/>
    </row>
    <row r="306" spans="20:28" ht="16.5" customHeight="1">
      <c r="T306" s="258"/>
      <c r="AB306" s="113"/>
    </row>
    <row r="307" spans="20:28" ht="16.5" customHeight="1">
      <c r="T307" s="258"/>
      <c r="AB307" s="113"/>
    </row>
    <row r="308" spans="20:28" ht="16.5" customHeight="1">
      <c r="T308" s="258"/>
      <c r="AB308" s="113"/>
    </row>
    <row r="309" spans="20:28" ht="16.5" customHeight="1">
      <c r="T309" s="258"/>
      <c r="AB309" s="113"/>
    </row>
    <row r="310" spans="20:28" ht="16.5" customHeight="1">
      <c r="T310" s="258"/>
      <c r="AB310" s="113"/>
    </row>
    <row r="311" spans="20:28" ht="16.5" customHeight="1">
      <c r="T311" s="258"/>
      <c r="AB311" s="113"/>
    </row>
    <row r="312" spans="20:28" ht="16.5" customHeight="1">
      <c r="T312" s="258"/>
      <c r="AB312" s="113"/>
    </row>
    <row r="313" spans="20:28" ht="16.5" customHeight="1">
      <c r="T313" s="258"/>
      <c r="AB313" s="113"/>
    </row>
    <row r="314" spans="20:28" ht="16.5" customHeight="1">
      <c r="T314" s="258"/>
      <c r="AB314" s="113"/>
    </row>
    <row r="315" spans="20:28" ht="16.5" customHeight="1">
      <c r="T315" s="258"/>
      <c r="AB315" s="113"/>
    </row>
    <row r="316" spans="20:28" ht="16.5" customHeight="1">
      <c r="T316" s="258"/>
      <c r="AB316" s="113"/>
    </row>
    <row r="317" spans="20:28" ht="16.5" customHeight="1">
      <c r="T317" s="258"/>
      <c r="AB317" s="113"/>
    </row>
    <row r="318" spans="20:28" ht="16.5" customHeight="1">
      <c r="T318" s="258"/>
      <c r="AB318" s="113"/>
    </row>
    <row r="319" spans="20:28" ht="16.5" customHeight="1">
      <c r="T319" s="258"/>
      <c r="AB319" s="113"/>
    </row>
    <row r="320" spans="20:28" ht="16.5" customHeight="1">
      <c r="T320" s="258"/>
      <c r="AB320" s="113"/>
    </row>
    <row r="321" spans="20:28" ht="16.5" customHeight="1">
      <c r="T321" s="258"/>
      <c r="AB321" s="113"/>
    </row>
    <row r="322" spans="20:28" ht="16.5" customHeight="1">
      <c r="T322" s="258"/>
      <c r="AB322" s="113"/>
    </row>
    <row r="323" spans="20:28" ht="16.5" customHeight="1">
      <c r="T323" s="258"/>
      <c r="AB323" s="113"/>
    </row>
    <row r="324" spans="20:28" ht="16.5" customHeight="1">
      <c r="T324" s="258"/>
      <c r="AB324" s="113"/>
    </row>
    <row r="325" spans="20:28" ht="16.5" customHeight="1">
      <c r="T325" s="258"/>
      <c r="AB325" s="113"/>
    </row>
    <row r="326" spans="20:28" ht="16.5" customHeight="1">
      <c r="T326" s="258"/>
      <c r="AB326" s="113"/>
    </row>
    <row r="327" spans="20:28" ht="16.5" customHeight="1">
      <c r="T327" s="258"/>
      <c r="AB327" s="113"/>
    </row>
    <row r="328" spans="20:28" ht="16.5" customHeight="1">
      <c r="T328" s="258"/>
      <c r="AB328" s="113"/>
    </row>
    <row r="329" spans="20:28" ht="16.5" customHeight="1">
      <c r="T329" s="258"/>
      <c r="AB329" s="113"/>
    </row>
    <row r="330" spans="20:28" ht="16.5" customHeight="1">
      <c r="T330" s="258"/>
      <c r="AB330" s="113"/>
    </row>
    <row r="331" spans="20:28" ht="16.5" customHeight="1">
      <c r="T331" s="258"/>
      <c r="AB331" s="113"/>
    </row>
    <row r="332" spans="20:28" ht="16.5" customHeight="1">
      <c r="T332" s="258"/>
      <c r="AB332" s="113"/>
    </row>
    <row r="333" spans="20:28" ht="16.5" customHeight="1">
      <c r="T333" s="258"/>
      <c r="AB333" s="113"/>
    </row>
    <row r="334" spans="20:28" ht="16.5" customHeight="1">
      <c r="T334" s="258"/>
      <c r="AB334" s="113"/>
    </row>
    <row r="335" spans="20:28" ht="16.5" customHeight="1">
      <c r="T335" s="258"/>
      <c r="AB335" s="113"/>
    </row>
    <row r="336" spans="20:28" ht="16.5" customHeight="1">
      <c r="T336" s="258"/>
      <c r="AB336" s="113"/>
    </row>
    <row r="337" spans="20:28" ht="16.5" customHeight="1">
      <c r="T337" s="258"/>
      <c r="AB337" s="113"/>
    </row>
    <row r="338" spans="20:28" ht="16.5" customHeight="1">
      <c r="T338" s="258"/>
      <c r="AB338" s="113"/>
    </row>
    <row r="339" spans="20:28" ht="16.5" customHeight="1">
      <c r="T339" s="258"/>
      <c r="AB339" s="113"/>
    </row>
    <row r="340" spans="20:28" ht="16.5" customHeight="1">
      <c r="T340" s="258"/>
      <c r="AB340" s="113"/>
    </row>
    <row r="341" spans="20:28" ht="16.5" customHeight="1">
      <c r="T341" s="258"/>
      <c r="AB341" s="113"/>
    </row>
    <row r="342" spans="20:28" ht="16.5" customHeight="1">
      <c r="T342" s="258"/>
      <c r="AB342" s="113"/>
    </row>
    <row r="343" spans="20:28" ht="16.5" customHeight="1">
      <c r="T343" s="258"/>
      <c r="AB343" s="113"/>
    </row>
    <row r="344" spans="20:28" ht="16.5" customHeight="1">
      <c r="T344" s="258"/>
      <c r="AB344" s="113"/>
    </row>
    <row r="345" spans="20:28" ht="16.5" customHeight="1">
      <c r="T345" s="258"/>
      <c r="AB345" s="113"/>
    </row>
    <row r="346" spans="20:28" ht="16.5" customHeight="1">
      <c r="T346" s="258"/>
      <c r="AB346" s="113"/>
    </row>
    <row r="347" spans="20:28" ht="16.5" customHeight="1">
      <c r="T347" s="258"/>
      <c r="AB347" s="113"/>
    </row>
    <row r="348" spans="20:28" ht="16.5" customHeight="1">
      <c r="T348" s="258"/>
      <c r="AB348" s="113"/>
    </row>
    <row r="349" spans="20:28" ht="16.5" customHeight="1">
      <c r="T349" s="258"/>
      <c r="AB349" s="113"/>
    </row>
    <row r="350" spans="20:28" ht="16.5" customHeight="1">
      <c r="T350" s="258"/>
      <c r="AB350" s="113"/>
    </row>
    <row r="351" spans="20:28" ht="16.5" customHeight="1">
      <c r="T351" s="258"/>
      <c r="AB351" s="113"/>
    </row>
    <row r="352" spans="20:28" ht="16.5" customHeight="1">
      <c r="T352" s="258"/>
      <c r="AB352" s="113"/>
    </row>
    <row r="353" spans="20:28" ht="16.5" customHeight="1">
      <c r="T353" s="258"/>
      <c r="AB353" s="113"/>
    </row>
    <row r="354" spans="20:28" ht="16.5" customHeight="1">
      <c r="T354" s="258"/>
      <c r="AB354" s="113"/>
    </row>
    <row r="355" spans="20:28" ht="16.5" customHeight="1">
      <c r="T355" s="258"/>
      <c r="AB355" s="113"/>
    </row>
    <row r="356" spans="20:28" ht="16.5" customHeight="1">
      <c r="T356" s="258"/>
      <c r="AB356" s="113"/>
    </row>
    <row r="357" spans="20:28" ht="16.5" customHeight="1">
      <c r="T357" s="258"/>
      <c r="AB357" s="113"/>
    </row>
    <row r="358" spans="20:28" ht="16.5" customHeight="1">
      <c r="T358" s="258"/>
      <c r="AB358" s="113"/>
    </row>
    <row r="359" spans="20:28" ht="16.5" customHeight="1">
      <c r="T359" s="258"/>
      <c r="AB359" s="113"/>
    </row>
    <row r="360" spans="20:28" ht="16.5" customHeight="1">
      <c r="T360" s="258"/>
      <c r="AB360" s="113"/>
    </row>
    <row r="361" spans="20:28" ht="16.5" customHeight="1">
      <c r="T361" s="258"/>
      <c r="AB361" s="113"/>
    </row>
    <row r="362" spans="20:28" ht="16.5" customHeight="1">
      <c r="T362" s="258"/>
      <c r="AB362" s="113"/>
    </row>
    <row r="363" spans="20:28" ht="16.5" customHeight="1">
      <c r="T363" s="258"/>
      <c r="AB363" s="113"/>
    </row>
    <row r="364" spans="20:28" ht="16.5" customHeight="1">
      <c r="AB364" s="113"/>
    </row>
    <row r="365" spans="20:28" ht="16.5" customHeight="1">
      <c r="AB365" s="113"/>
    </row>
    <row r="366" spans="20:28" ht="16.5" customHeight="1">
      <c r="AB366" s="113"/>
    </row>
    <row r="367" spans="20:28" ht="16.5" customHeight="1">
      <c r="AB367" s="113"/>
    </row>
    <row r="368" spans="20:28" ht="16.5" customHeight="1">
      <c r="AB368" s="113"/>
    </row>
    <row r="369" spans="28:28" ht="16.5" customHeight="1">
      <c r="AB369" s="113"/>
    </row>
    <row r="370" spans="28:28" ht="16.5" customHeight="1">
      <c r="AB370" s="113"/>
    </row>
    <row r="371" spans="28:28" ht="16.5" customHeight="1">
      <c r="AB371" s="113"/>
    </row>
    <row r="372" spans="28:28" ht="16.5" customHeight="1">
      <c r="AB372" s="113"/>
    </row>
    <row r="373" spans="28:28" ht="16.5" customHeight="1">
      <c r="AB373" s="113"/>
    </row>
    <row r="374" spans="28:28" ht="16.5" customHeight="1">
      <c r="AB374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1B8BE589-36DC-4181-AB2D-017B371E545F}">
          <x14:formula1>
            <xm:f>기계코드!$F$5:$F$43</xm:f>
          </x14:formula1>
          <xm:sqref>C12:C73</xm:sqref>
        </x14:dataValidation>
        <x14:dataValidation type="list" allowBlank="1" showInputMessage="1" showErrorMessage="1" xr:uid="{BCEB9100-0EAB-4D32-B4A8-46DFA6679240}">
          <x14:formula1>
            <xm:f>공급업체코드!$D$3:$D$103</xm:f>
          </x14:formula1>
          <xm:sqref>E3:E73</xm:sqref>
        </x14:dataValidation>
        <x14:dataValidation type="list" allowBlank="1" showInputMessage="1" showErrorMessage="1" xr:uid="{1417FFB4-E25F-4220-97A2-9FFCFF4C1408}">
          <x14:formula1>
            <xm:f>기계코드!$F$162:$F$168</xm:f>
          </x14:formula1>
          <xm:sqref>C3:C11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4583-0CED-43B0-8FCD-2FF1AF8A6D08}">
  <dimension ref="B1:AB383"/>
  <sheetViews>
    <sheetView topLeftCell="C1" zoomScale="85" zoomScaleNormal="85" workbookViewId="0">
      <pane ySplit="2" topLeftCell="A19" activePane="bottomLeft" state="frozen"/>
      <selection pane="bottomLeft" activeCell="J1" sqref="J1:J2"/>
    </sheetView>
  </sheetViews>
  <sheetFormatPr defaultRowHeight="16.5" customHeight="1"/>
  <cols>
    <col min="1" max="1" width="13.625" customWidth="1"/>
    <col min="2" max="2" width="33.625" customWidth="1"/>
    <col min="3" max="3" width="17.625" customWidth="1"/>
    <col min="4" max="4" width="16.125" customWidth="1"/>
    <col min="5" max="5" width="18.25" customWidth="1"/>
    <col min="6" max="6" width="13.875" bestFit="1" customWidth="1"/>
    <col min="7" max="7" width="14.5" style="18" customWidth="1"/>
    <col min="8" max="8" width="11.375" customWidth="1"/>
    <col min="9" max="10" width="16.75" customWidth="1"/>
    <col min="11" max="11" width="16.125" style="18" customWidth="1"/>
    <col min="12" max="12" width="16.125" style="261" customWidth="1"/>
    <col min="13" max="13" width="25.75" style="10" bestFit="1" customWidth="1"/>
    <col min="14" max="14" width="16.125" style="260" customWidth="1"/>
    <col min="15" max="15" width="16.125" customWidth="1"/>
    <col min="16" max="16" width="21.25" bestFit="1" customWidth="1"/>
    <col min="17" max="17" width="33.125" style="18" customWidth="1"/>
    <col min="18" max="18" width="10.5" customWidth="1"/>
    <col min="19" max="19" width="27.625" bestFit="1" customWidth="1"/>
    <col min="20" max="20" width="20.625" customWidth="1"/>
    <col min="21" max="21" width="9" bestFit="1" customWidth="1"/>
    <col min="22" max="22" width="12.375" customWidth="1"/>
    <col min="23" max="23" width="11.375" bestFit="1" customWidth="1"/>
    <col min="24" max="25" width="9" bestFit="1" customWidth="1"/>
    <col min="26" max="26" width="22.125" bestFit="1" customWidth="1"/>
    <col min="27" max="27" width="36.375" bestFit="1" customWidth="1"/>
    <col min="28" max="28" width="15.375" bestFit="1" customWidth="1"/>
  </cols>
  <sheetData>
    <row r="1" spans="2:28" s="10" customFormat="1">
      <c r="B1" s="10" t="s">
        <v>1284</v>
      </c>
      <c r="D1" s="10" t="s">
        <v>1285</v>
      </c>
      <c r="F1" s="10" t="s">
        <v>1286</v>
      </c>
      <c r="G1" s="17" t="s">
        <v>1287</v>
      </c>
      <c r="H1" s="10" t="s">
        <v>2270</v>
      </c>
      <c r="I1" s="10" t="s">
        <v>2271</v>
      </c>
      <c r="J1" s="10" t="s">
        <v>1357</v>
      </c>
      <c r="K1" s="17" t="s">
        <v>1324</v>
      </c>
      <c r="L1" s="131" t="s">
        <v>1290</v>
      </c>
      <c r="M1" s="131" t="s">
        <v>1291</v>
      </c>
      <c r="N1" s="131" t="s">
        <v>1292</v>
      </c>
      <c r="O1" s="10" t="s">
        <v>1293</v>
      </c>
      <c r="P1" s="17" t="s">
        <v>1294</v>
      </c>
      <c r="Q1" s="61" t="s">
        <v>1295</v>
      </c>
      <c r="R1" s="10" t="s">
        <v>1296</v>
      </c>
      <c r="S1" s="10" t="s">
        <v>1297</v>
      </c>
      <c r="T1" s="249" t="s">
        <v>1298</v>
      </c>
    </row>
    <row r="2" spans="2:28" s="1" customFormat="1">
      <c r="B2" s="97" t="s">
        <v>1299</v>
      </c>
      <c r="C2" s="98" t="s">
        <v>1300</v>
      </c>
      <c r="D2" s="99" t="s">
        <v>1301</v>
      </c>
      <c r="E2" s="98" t="s">
        <v>1300</v>
      </c>
      <c r="F2" s="100" t="s">
        <v>1120</v>
      </c>
      <c r="G2" s="101" t="s">
        <v>1302</v>
      </c>
      <c r="H2" s="102" t="s">
        <v>2272</v>
      </c>
      <c r="I2" s="102" t="s">
        <v>2273</v>
      </c>
      <c r="J2" s="102" t="s">
        <v>2274</v>
      </c>
      <c r="K2" s="106" t="s">
        <v>1349</v>
      </c>
      <c r="L2" s="5" t="s">
        <v>1305</v>
      </c>
      <c r="M2" s="5" t="s">
        <v>1306</v>
      </c>
      <c r="N2" s="5" t="s">
        <v>1307</v>
      </c>
      <c r="O2" s="107" t="s">
        <v>1308</v>
      </c>
      <c r="P2" s="108" t="s">
        <v>1309</v>
      </c>
      <c r="Q2" s="241" t="s">
        <v>1310</v>
      </c>
      <c r="R2" s="109" t="s">
        <v>1311</v>
      </c>
      <c r="S2" s="100" t="s">
        <v>10</v>
      </c>
      <c r="T2" s="242" t="s">
        <v>1312</v>
      </c>
      <c r="Z2" s="41"/>
      <c r="AA2" s="41"/>
      <c r="AB2" s="41"/>
    </row>
    <row r="3" spans="2:28">
      <c r="B3" s="1" t="str">
        <f t="shared" ref="B3:B30" si="0">D3&amp;"_"&amp;F3&amp;"_"&amp;H3&amp;"_"&amp;I3</f>
        <v>M_WCG01_VM_KJ_IND_200_200</v>
      </c>
      <c r="C3" s="92" t="s">
        <v>678</v>
      </c>
      <c r="D3" s="7" t="str" cm="1">
        <f t="array" ref="D3">INDEX(기계코드!$D$4:$D$1022,MATCH(1,(C3=기계코드!$F$4:$F$1022)*1,0))</f>
        <v>M_WCG01</v>
      </c>
      <c r="E3" s="92" t="s">
        <v>1737</v>
      </c>
      <c r="F3" s="7" t="str" cm="1">
        <f t="array" ref="F3">INDEX(공급업체코드!$B$3:$B$1000,MATCH(1,(E3=공급업체코드!$D$3:$D$1000)*1,0))</f>
        <v>VM_KJ_IND</v>
      </c>
      <c r="G3" s="43"/>
      <c r="H3" s="86">
        <v>200</v>
      </c>
      <c r="I3" s="88">
        <v>200</v>
      </c>
      <c r="J3" s="88"/>
      <c r="K3" s="89"/>
      <c r="L3" s="256" t="s">
        <v>1390</v>
      </c>
      <c r="M3" s="10">
        <v>42</v>
      </c>
      <c r="N3" s="257" t="s">
        <v>1391</v>
      </c>
      <c r="O3" s="63">
        <v>3228000</v>
      </c>
      <c r="P3" s="63"/>
      <c r="Q3" s="18" t="s">
        <v>2275</v>
      </c>
      <c r="R3" s="1" t="b">
        <v>1</v>
      </c>
      <c r="T3" s="133"/>
      <c r="Z3" s="41"/>
      <c r="AA3" s="41"/>
      <c r="AB3" s="41"/>
    </row>
    <row r="4" spans="2:28">
      <c r="B4" s="1" t="str">
        <f t="shared" si="0"/>
        <v>M_WCG01_VM_KJ_IND_300_300</v>
      </c>
      <c r="C4" s="92" t="s">
        <v>678</v>
      </c>
      <c r="D4" s="7" t="str" cm="1">
        <f t="array" ref="D4">INDEX(기계코드!$D$4:$D$1022,MATCH(1,(C4=기계코드!$F$4:$F$1022)*1,0))</f>
        <v>M_WCG01</v>
      </c>
      <c r="E4" s="92" t="s">
        <v>1737</v>
      </c>
      <c r="F4" s="7" t="str" cm="1">
        <f t="array" ref="F4">INDEX(공급업체코드!$B$3:$B$1000,MATCH(1,(E4=공급업체코드!$D$3:$D$1000)*1,0))</f>
        <v>VM_KJ_IND</v>
      </c>
      <c r="G4" s="43"/>
      <c r="H4" s="72">
        <v>300</v>
      </c>
      <c r="I4" s="34">
        <v>300</v>
      </c>
      <c r="J4" s="34"/>
      <c r="K4" s="67"/>
      <c r="L4" s="258" t="s">
        <v>1390</v>
      </c>
      <c r="M4" s="10">
        <v>42</v>
      </c>
      <c r="N4" s="259" t="s">
        <v>1391</v>
      </c>
      <c r="O4" s="63">
        <v>3741000</v>
      </c>
      <c r="P4" s="63"/>
      <c r="Q4" s="18" t="s">
        <v>2275</v>
      </c>
      <c r="R4" s="1" t="b">
        <v>1</v>
      </c>
      <c r="T4" s="133"/>
      <c r="Z4" s="41"/>
      <c r="AA4" s="41"/>
      <c r="AB4" s="41"/>
    </row>
    <row r="5" spans="2:28">
      <c r="B5" s="1" t="str">
        <f t="shared" si="0"/>
        <v>M_WCG01_VM_KJ_IND_400_400</v>
      </c>
      <c r="C5" s="92" t="s">
        <v>678</v>
      </c>
      <c r="D5" s="7" t="str" cm="1">
        <f t="array" ref="D5">INDEX(기계코드!$D$4:$D$1022,MATCH(1,(C5=기계코드!$F$4:$F$1022)*1,0))</f>
        <v>M_WCG01</v>
      </c>
      <c r="E5" s="92" t="s">
        <v>1737</v>
      </c>
      <c r="F5" s="7" t="str" cm="1">
        <f t="array" ref="F5">INDEX(공급업체코드!$B$3:$B$1000,MATCH(1,(E5=공급업체코드!$D$3:$D$1000)*1,0))</f>
        <v>VM_KJ_IND</v>
      </c>
      <c r="G5" s="43"/>
      <c r="H5" s="72">
        <v>400</v>
      </c>
      <c r="I5" s="34">
        <v>400</v>
      </c>
      <c r="J5" s="34"/>
      <c r="K5" s="67"/>
      <c r="L5" s="258" t="s">
        <v>1390</v>
      </c>
      <c r="M5" s="10">
        <v>42</v>
      </c>
      <c r="N5" s="259" t="s">
        <v>1391</v>
      </c>
      <c r="O5" s="63">
        <v>4374000</v>
      </c>
      <c r="P5" s="63"/>
      <c r="Q5" s="18" t="s">
        <v>2275</v>
      </c>
      <c r="R5" s="1" t="b">
        <v>1</v>
      </c>
      <c r="T5" s="133"/>
      <c r="Z5" s="41"/>
      <c r="AA5" s="41"/>
      <c r="AB5" s="41"/>
    </row>
    <row r="6" spans="2:28">
      <c r="B6" s="1" t="str">
        <f t="shared" si="0"/>
        <v>M_WCG01_VM_KJ_IND_450_450</v>
      </c>
      <c r="C6" s="92" t="s">
        <v>678</v>
      </c>
      <c r="D6" s="7" t="str" cm="1">
        <f t="array" ref="D6">INDEX(기계코드!$D$4:$D$1022,MATCH(1,(C6=기계코드!$F$4:$F$1022)*1,0))</f>
        <v>M_WCG01</v>
      </c>
      <c r="E6" s="92" t="s">
        <v>1737</v>
      </c>
      <c r="F6" s="7" t="str" cm="1">
        <f t="array" ref="F6">INDEX(공급업체코드!$B$3:$B$1000,MATCH(1,(E6=공급업체코드!$D$3:$D$1000)*1,0))</f>
        <v>VM_KJ_IND</v>
      </c>
      <c r="G6" s="43"/>
      <c r="H6" s="72">
        <v>450</v>
      </c>
      <c r="I6" s="34">
        <v>450</v>
      </c>
      <c r="J6" s="34"/>
      <c r="K6" s="67"/>
      <c r="L6" s="258" t="s">
        <v>1390</v>
      </c>
      <c r="M6" s="10">
        <v>42</v>
      </c>
      <c r="N6" s="259" t="s">
        <v>1391</v>
      </c>
      <c r="O6" s="63">
        <v>4878000</v>
      </c>
      <c r="P6" s="63"/>
      <c r="Q6" s="18" t="s">
        <v>2275</v>
      </c>
      <c r="R6" s="1" t="b">
        <v>1</v>
      </c>
      <c r="T6" s="133"/>
      <c r="Z6" s="41"/>
      <c r="AA6" s="41"/>
      <c r="AB6" s="41"/>
    </row>
    <row r="7" spans="2:28">
      <c r="B7" s="1" t="str">
        <f t="shared" si="0"/>
        <v>M_WCG01_VM_KJ_IND_500_500</v>
      </c>
      <c r="C7" s="92" t="s">
        <v>678</v>
      </c>
      <c r="D7" s="7" t="str" cm="1">
        <f t="array" ref="D7">INDEX(기계코드!$D$4:$D$1022,MATCH(1,(C7=기계코드!$F$4:$F$1022)*1,0))</f>
        <v>M_WCG01</v>
      </c>
      <c r="E7" s="92" t="s">
        <v>1737</v>
      </c>
      <c r="F7" s="7" t="str" cm="1">
        <f t="array" ref="F7">INDEX(공급업체코드!$B$3:$B$1000,MATCH(1,(E7=공급업체코드!$D$3:$D$1000)*1,0))</f>
        <v>VM_KJ_IND</v>
      </c>
      <c r="G7" s="43"/>
      <c r="H7" s="72">
        <v>500</v>
      </c>
      <c r="I7" s="34">
        <v>500</v>
      </c>
      <c r="J7" s="34"/>
      <c r="K7" s="67"/>
      <c r="L7" s="258" t="s">
        <v>1390</v>
      </c>
      <c r="M7" s="10">
        <v>42</v>
      </c>
      <c r="N7" s="259" t="s">
        <v>1391</v>
      </c>
      <c r="O7" s="63">
        <v>5701000</v>
      </c>
      <c r="P7" s="63"/>
      <c r="Q7" s="18" t="s">
        <v>2275</v>
      </c>
      <c r="R7" s="1" t="b">
        <v>1</v>
      </c>
      <c r="T7" s="113"/>
      <c r="Z7" s="41"/>
      <c r="AA7" s="41"/>
      <c r="AB7" s="41"/>
    </row>
    <row r="8" spans="2:28">
      <c r="B8" s="1" t="str">
        <f t="shared" si="0"/>
        <v>M_WCG01_VM_KJ_IND_600_600</v>
      </c>
      <c r="C8" s="92" t="s">
        <v>678</v>
      </c>
      <c r="D8" s="7" t="str" cm="1">
        <f t="array" ref="D8">INDEX(기계코드!$D$4:$D$1022,MATCH(1,(C8=기계코드!$F$4:$F$1022)*1,0))</f>
        <v>M_WCG01</v>
      </c>
      <c r="E8" s="92" t="s">
        <v>1737</v>
      </c>
      <c r="F8" s="7" t="str" cm="1">
        <f t="array" ref="F8">INDEX(공급업체코드!$B$3:$B$1000,MATCH(1,(E8=공급업체코드!$D$3:$D$1000)*1,0))</f>
        <v>VM_KJ_IND</v>
      </c>
      <c r="G8" s="43"/>
      <c r="H8" s="72">
        <v>600</v>
      </c>
      <c r="I8" s="34">
        <v>600</v>
      </c>
      <c r="J8" s="34"/>
      <c r="K8" s="67"/>
      <c r="L8" s="258" t="s">
        <v>1390</v>
      </c>
      <c r="M8" s="10">
        <v>42</v>
      </c>
      <c r="N8" s="259" t="s">
        <v>1391</v>
      </c>
      <c r="O8" s="63">
        <v>6695000</v>
      </c>
      <c r="P8" s="63"/>
      <c r="Q8" s="18" t="s">
        <v>2275</v>
      </c>
      <c r="R8" s="1" t="b">
        <v>1</v>
      </c>
      <c r="T8" s="113"/>
      <c r="Z8" s="41"/>
      <c r="AA8" s="41"/>
      <c r="AB8" s="41"/>
    </row>
    <row r="9" spans="2:28">
      <c r="B9" s="1" t="str">
        <f t="shared" si="0"/>
        <v>M_WCG01_VM_KJ_IND_650_650</v>
      </c>
      <c r="C9" s="92" t="s">
        <v>678</v>
      </c>
      <c r="D9" s="7" t="str" cm="1">
        <f t="array" ref="D9">INDEX(기계코드!$D$4:$D$1022,MATCH(1,(C9=기계코드!$F$4:$F$1022)*1,0))</f>
        <v>M_WCG01</v>
      </c>
      <c r="E9" s="92" t="s">
        <v>1737</v>
      </c>
      <c r="F9" s="7" t="str" cm="1">
        <f t="array" ref="F9">INDEX(공급업체코드!$B$3:$B$1000,MATCH(1,(E9=공급업체코드!$D$3:$D$1000)*1,0))</f>
        <v>VM_KJ_IND</v>
      </c>
      <c r="G9" s="43"/>
      <c r="H9" s="72">
        <v>650</v>
      </c>
      <c r="I9" s="34">
        <v>650</v>
      </c>
      <c r="J9" s="34"/>
      <c r="K9" s="67"/>
      <c r="L9" s="258" t="s">
        <v>1390</v>
      </c>
      <c r="M9" s="10">
        <v>42</v>
      </c>
      <c r="N9" s="259" t="s">
        <v>1391</v>
      </c>
      <c r="O9" s="63">
        <v>7595000</v>
      </c>
      <c r="P9" s="63"/>
      <c r="Q9" s="18" t="s">
        <v>2275</v>
      </c>
      <c r="R9" s="1" t="b">
        <v>1</v>
      </c>
      <c r="T9" s="113"/>
      <c r="Z9" s="111"/>
      <c r="AA9" s="111"/>
      <c r="AB9" s="41"/>
    </row>
    <row r="10" spans="2:28">
      <c r="B10" s="1" t="str">
        <f t="shared" si="0"/>
        <v>M_WCG01_VM_KJ_IND_700_700</v>
      </c>
      <c r="C10" s="92" t="s">
        <v>678</v>
      </c>
      <c r="D10" s="7" t="str" cm="1">
        <f t="array" ref="D10">INDEX(기계코드!$D$4:$D$1022,MATCH(1,(C10=기계코드!$F$4:$F$1022)*1,0))</f>
        <v>M_WCG01</v>
      </c>
      <c r="E10" s="92" t="s">
        <v>1737</v>
      </c>
      <c r="F10" s="7" t="str" cm="1">
        <f t="array" ref="F10">INDEX(공급업체코드!$B$3:$B$1000,MATCH(1,(E10=공급업체코드!$D$3:$D$1000)*1,0))</f>
        <v>VM_KJ_IND</v>
      </c>
      <c r="G10" s="43"/>
      <c r="H10" s="70">
        <v>700</v>
      </c>
      <c r="I10" s="34">
        <v>700</v>
      </c>
      <c r="J10" s="34"/>
      <c r="K10" s="67"/>
      <c r="L10" s="258" t="s">
        <v>1390</v>
      </c>
      <c r="M10" s="10">
        <v>42</v>
      </c>
      <c r="N10" s="259" t="s">
        <v>1391</v>
      </c>
      <c r="O10" s="63">
        <v>8120000</v>
      </c>
      <c r="P10" s="63"/>
      <c r="Q10" s="18" t="s">
        <v>2275</v>
      </c>
      <c r="R10" s="1" t="b">
        <v>1</v>
      </c>
      <c r="T10" s="113"/>
      <c r="Z10" s="111"/>
      <c r="AA10" s="111"/>
      <c r="AB10" s="41"/>
    </row>
    <row r="11" spans="2:28">
      <c r="B11" s="1" t="str">
        <f t="shared" si="0"/>
        <v>M_WCG01_VM_KJ_IND_800_800</v>
      </c>
      <c r="C11" s="92" t="s">
        <v>678</v>
      </c>
      <c r="D11" s="7" t="str" cm="1">
        <f t="array" ref="D11">INDEX(기계코드!$D$4:$D$1022,MATCH(1,(C11=기계코드!$F$4:$F$1022)*1,0))</f>
        <v>M_WCG01</v>
      </c>
      <c r="E11" s="92" t="s">
        <v>1737</v>
      </c>
      <c r="F11" s="7" t="str" cm="1">
        <f t="array" ref="F11">INDEX(공급업체코드!$B$3:$B$1000,MATCH(1,(E11=공급업체코드!$D$3:$D$1000)*1,0))</f>
        <v>VM_KJ_IND</v>
      </c>
      <c r="G11" s="43"/>
      <c r="H11" s="70">
        <v>800</v>
      </c>
      <c r="I11">
        <v>800</v>
      </c>
      <c r="K11" s="65"/>
      <c r="L11" s="258" t="s">
        <v>1390</v>
      </c>
      <c r="M11" s="10">
        <v>42</v>
      </c>
      <c r="N11" s="259" t="s">
        <v>1391</v>
      </c>
      <c r="O11" s="64">
        <v>8644000</v>
      </c>
      <c r="P11" s="64"/>
      <c r="Q11" s="18" t="s">
        <v>2275</v>
      </c>
      <c r="R11" s="1" t="b">
        <v>1</v>
      </c>
      <c r="T11" s="113"/>
      <c r="Z11" s="41"/>
      <c r="AA11" s="41"/>
      <c r="AB11" s="41"/>
    </row>
    <row r="12" spans="2:28">
      <c r="B12" s="1" t="str">
        <f t="shared" si="0"/>
        <v>M_WCG01_VM_KJ_IND_900_900</v>
      </c>
      <c r="C12" s="92" t="s">
        <v>678</v>
      </c>
      <c r="D12" s="7" t="str" cm="1">
        <f t="array" ref="D12">INDEX(기계코드!$D$4:$D$1022,MATCH(1,(C12=기계코드!$F$4:$F$1022)*1,0))</f>
        <v>M_WCG01</v>
      </c>
      <c r="E12" s="92" t="s">
        <v>1737</v>
      </c>
      <c r="F12" s="7" t="str" cm="1">
        <f t="array" ref="F12">INDEX(공급업체코드!$B$3:$B$1000,MATCH(1,(E12=공급업체코드!$D$3:$D$1000)*1,0))</f>
        <v>VM_KJ_IND</v>
      </c>
      <c r="G12" s="43"/>
      <c r="H12" s="70">
        <v>900</v>
      </c>
      <c r="I12">
        <v>900</v>
      </c>
      <c r="K12" s="65"/>
      <c r="L12" s="258" t="s">
        <v>1390</v>
      </c>
      <c r="M12" s="10">
        <v>42</v>
      </c>
      <c r="N12" s="259" t="s">
        <v>1391</v>
      </c>
      <c r="O12" s="64">
        <v>9580000</v>
      </c>
      <c r="P12" s="64"/>
      <c r="Q12" s="18" t="s">
        <v>2275</v>
      </c>
      <c r="R12" s="1" t="b">
        <v>1</v>
      </c>
      <c r="T12" s="113"/>
      <c r="Z12" s="111"/>
      <c r="AA12" s="111"/>
      <c r="AB12" s="41"/>
    </row>
    <row r="13" spans="2:28">
      <c r="B13" s="1" t="str">
        <f t="shared" si="0"/>
        <v>M_WCG01_VM_KJ_IND_1000_1000</v>
      </c>
      <c r="C13" s="92" t="s">
        <v>678</v>
      </c>
      <c r="D13" s="7" t="str" cm="1">
        <f t="array" ref="D13">INDEX(기계코드!$D$4:$D$1022,MATCH(1,(C13=기계코드!$F$4:$F$1022)*1,0))</f>
        <v>M_WCG01</v>
      </c>
      <c r="E13" s="92" t="s">
        <v>1737</v>
      </c>
      <c r="F13" s="7" t="str" cm="1">
        <f t="array" ref="F13">INDEX(공급업체코드!$B$3:$B$1000,MATCH(1,(E13=공급업체코드!$D$3:$D$1000)*1,0))</f>
        <v>VM_KJ_IND</v>
      </c>
      <c r="G13" s="43"/>
      <c r="H13" s="70">
        <v>1000</v>
      </c>
      <c r="I13">
        <v>1000</v>
      </c>
      <c r="K13" s="65"/>
      <c r="L13" s="258" t="s">
        <v>1390</v>
      </c>
      <c r="M13" s="10">
        <v>42</v>
      </c>
      <c r="N13" s="259" t="s">
        <v>1391</v>
      </c>
      <c r="O13" s="64">
        <v>11456000</v>
      </c>
      <c r="P13" s="64"/>
      <c r="Q13" s="18" t="s">
        <v>2275</v>
      </c>
      <c r="R13" s="1" t="b">
        <v>1</v>
      </c>
      <c r="T13" s="113"/>
      <c r="Z13" s="111"/>
      <c r="AA13" s="111"/>
      <c r="AB13" s="111"/>
    </row>
    <row r="14" spans="2:28">
      <c r="B14" s="1" t="str">
        <f t="shared" si="0"/>
        <v>M_WCG01_VM_KJ_IND_1100_1100</v>
      </c>
      <c r="C14" s="92" t="s">
        <v>678</v>
      </c>
      <c r="D14" s="7" t="str" cm="1">
        <f t="array" ref="D14">INDEX(기계코드!$D$4:$D$1022,MATCH(1,(C14=기계코드!$F$4:$F$1022)*1,0))</f>
        <v>M_WCG01</v>
      </c>
      <c r="E14" s="92" t="s">
        <v>1737</v>
      </c>
      <c r="F14" s="7" t="str" cm="1">
        <f t="array" ref="F14">INDEX(공급업체코드!$B$3:$B$1000,MATCH(1,(E14=공급업체코드!$D$3:$D$1000)*1,0))</f>
        <v>VM_KJ_IND</v>
      </c>
      <c r="G14" s="43"/>
      <c r="H14" s="70">
        <v>1100</v>
      </c>
      <c r="I14">
        <v>1100</v>
      </c>
      <c r="K14" s="65"/>
      <c r="L14" s="258" t="s">
        <v>1390</v>
      </c>
      <c r="M14" s="10">
        <v>42</v>
      </c>
      <c r="N14" s="259" t="s">
        <v>1391</v>
      </c>
      <c r="O14" s="68">
        <v>14405000</v>
      </c>
      <c r="P14" s="68"/>
      <c r="Q14" s="18" t="s">
        <v>2275</v>
      </c>
      <c r="R14" s="1" t="b">
        <v>1</v>
      </c>
      <c r="T14" s="113"/>
      <c r="Z14" s="111"/>
      <c r="AA14" s="111"/>
      <c r="AB14" s="41"/>
    </row>
    <row r="15" spans="2:28">
      <c r="B15" s="1" t="str">
        <f t="shared" si="0"/>
        <v>M_WCG01_VM_KJ_IND_1200_1200</v>
      </c>
      <c r="C15" s="92" t="s">
        <v>678</v>
      </c>
      <c r="D15" s="7" t="str" cm="1">
        <f t="array" ref="D15">INDEX(기계코드!$D$4:$D$1022,MATCH(1,(C15=기계코드!$F$4:$F$1022)*1,0))</f>
        <v>M_WCG01</v>
      </c>
      <c r="E15" s="92" t="s">
        <v>1737</v>
      </c>
      <c r="F15" s="7" t="str" cm="1">
        <f t="array" ref="F15">INDEX(공급업체코드!$B$3:$B$1000,MATCH(1,(E15=공급업체코드!$D$3:$D$1000)*1,0))</f>
        <v>VM_KJ_IND</v>
      </c>
      <c r="G15" s="43"/>
      <c r="H15" s="70">
        <v>1200</v>
      </c>
      <c r="I15">
        <v>1200</v>
      </c>
      <c r="K15" s="65"/>
      <c r="L15" s="258" t="s">
        <v>1390</v>
      </c>
      <c r="M15" s="10">
        <v>42</v>
      </c>
      <c r="N15" s="259" t="s">
        <v>1391</v>
      </c>
      <c r="O15" s="64">
        <v>15794000</v>
      </c>
      <c r="P15" s="64"/>
      <c r="Q15" s="18" t="s">
        <v>2275</v>
      </c>
      <c r="R15" s="1" t="b">
        <v>1</v>
      </c>
      <c r="T15" s="113"/>
      <c r="Z15" s="41"/>
      <c r="AA15" s="41"/>
      <c r="AB15" s="41"/>
    </row>
    <row r="16" spans="2:28">
      <c r="B16" s="1" t="str">
        <f t="shared" si="0"/>
        <v>M_WCG01_VM_KJ_IND_1300_1300</v>
      </c>
      <c r="C16" s="92" t="s">
        <v>678</v>
      </c>
      <c r="D16" s="7" t="str" cm="1">
        <f t="array" ref="D16">INDEX(기계코드!$D$4:$D$1022,MATCH(1,(C16=기계코드!$F$4:$F$1022)*1,0))</f>
        <v>M_WCG01</v>
      </c>
      <c r="E16" s="92" t="s">
        <v>1737</v>
      </c>
      <c r="F16" s="7" t="str" cm="1">
        <f t="array" ref="F16">INDEX(공급업체코드!$B$3:$B$1000,MATCH(1,(E16=공급업체코드!$D$3:$D$1000)*1,0))</f>
        <v>VM_KJ_IND</v>
      </c>
      <c r="G16" s="43"/>
      <c r="H16" s="70">
        <v>1300</v>
      </c>
      <c r="I16">
        <v>1300</v>
      </c>
      <c r="K16" s="65"/>
      <c r="L16" s="258" t="s">
        <v>1390</v>
      </c>
      <c r="M16" s="10">
        <v>42</v>
      </c>
      <c r="N16" s="259" t="s">
        <v>1391</v>
      </c>
      <c r="O16" s="64">
        <v>17339000</v>
      </c>
      <c r="P16" s="64"/>
      <c r="Q16" s="18" t="s">
        <v>2275</v>
      </c>
      <c r="R16" s="1" t="b">
        <v>1</v>
      </c>
      <c r="T16" s="113"/>
      <c r="Z16" s="41"/>
      <c r="AA16" s="41"/>
      <c r="AB16" s="41"/>
    </row>
    <row r="17" spans="2:28">
      <c r="B17" s="1" t="str">
        <f t="shared" si="0"/>
        <v>M_WCG01_VM_KJ_IND_1400_1400</v>
      </c>
      <c r="C17" s="92" t="s">
        <v>678</v>
      </c>
      <c r="D17" s="7" t="str" cm="1">
        <f t="array" ref="D17">INDEX(기계코드!$D$4:$D$1022,MATCH(1,(C17=기계코드!$F$4:$F$1022)*1,0))</f>
        <v>M_WCG01</v>
      </c>
      <c r="E17" s="92" t="s">
        <v>1737</v>
      </c>
      <c r="F17" s="7" t="str" cm="1">
        <f t="array" ref="F17">INDEX(공급업체코드!$B$3:$B$1000,MATCH(1,(E17=공급업체코드!$D$3:$D$1000)*1,0))</f>
        <v>VM_KJ_IND</v>
      </c>
      <c r="G17" s="43"/>
      <c r="H17" s="70">
        <v>1400</v>
      </c>
      <c r="I17">
        <v>1400</v>
      </c>
      <c r="K17" s="65"/>
      <c r="L17" s="258" t="s">
        <v>1390</v>
      </c>
      <c r="M17" s="10">
        <v>42</v>
      </c>
      <c r="N17" s="259" t="s">
        <v>1391</v>
      </c>
      <c r="O17" s="64">
        <v>18556000</v>
      </c>
      <c r="P17" s="64"/>
      <c r="Q17" s="18" t="s">
        <v>2275</v>
      </c>
      <c r="R17" s="1" t="b">
        <v>1</v>
      </c>
      <c r="T17" s="113"/>
      <c r="Z17" s="41"/>
      <c r="AA17" s="41"/>
      <c r="AB17" s="41"/>
    </row>
    <row r="18" spans="2:28">
      <c r="B18" s="1" t="str">
        <f t="shared" si="0"/>
        <v>M_WCG01_VM_KJ_IND_1500_1500</v>
      </c>
      <c r="C18" s="92" t="s">
        <v>678</v>
      </c>
      <c r="D18" s="7" t="str" cm="1">
        <f t="array" ref="D18">INDEX(기계코드!$D$4:$D$1022,MATCH(1,(C18=기계코드!$F$4:$F$1022)*1,0))</f>
        <v>M_WCG01</v>
      </c>
      <c r="E18" s="92" t="s">
        <v>1737</v>
      </c>
      <c r="F18" s="7" t="str" cm="1">
        <f t="array" ref="F18">INDEX(공급업체코드!$B$3:$B$1000,MATCH(1,(E18=공급업체코드!$D$3:$D$1000)*1,0))</f>
        <v>VM_KJ_IND</v>
      </c>
      <c r="G18" s="43"/>
      <c r="H18" s="70">
        <v>1500</v>
      </c>
      <c r="I18">
        <v>1500</v>
      </c>
      <c r="K18" s="65"/>
      <c r="L18" s="258" t="s">
        <v>1390</v>
      </c>
      <c r="M18" s="10">
        <v>42</v>
      </c>
      <c r="N18" s="259" t="s">
        <v>1391</v>
      </c>
      <c r="O18" s="64">
        <v>20605000</v>
      </c>
      <c r="P18" s="64"/>
      <c r="Q18" s="18" t="s">
        <v>2275</v>
      </c>
      <c r="R18" s="1" t="b">
        <v>1</v>
      </c>
      <c r="T18" s="113"/>
      <c r="Z18" s="111"/>
      <c r="AA18" s="111"/>
      <c r="AB18" s="41"/>
    </row>
    <row r="19" spans="2:28">
      <c r="B19" s="1" t="str">
        <f t="shared" si="0"/>
        <v>M_WCG01_VM_KJ_IND_1600_1600</v>
      </c>
      <c r="C19" s="92" t="s">
        <v>678</v>
      </c>
      <c r="D19" s="7" t="str" cm="1">
        <f t="array" ref="D19">INDEX(기계코드!$D$4:$D$1022,MATCH(1,(C19=기계코드!$F$4:$F$1022)*1,0))</f>
        <v>M_WCG01</v>
      </c>
      <c r="E19" s="92" t="s">
        <v>1737</v>
      </c>
      <c r="F19" s="7" t="str" cm="1">
        <f t="array" ref="F19">INDEX(공급업체코드!$B$3:$B$1000,MATCH(1,(E19=공급업체코드!$D$3:$D$1000)*1,0))</f>
        <v>VM_KJ_IND</v>
      </c>
      <c r="G19" s="43"/>
      <c r="H19" s="70">
        <v>1600</v>
      </c>
      <c r="I19">
        <v>1600</v>
      </c>
      <c r="K19" s="65"/>
      <c r="L19" s="258" t="s">
        <v>1390</v>
      </c>
      <c r="M19" s="10">
        <v>42</v>
      </c>
      <c r="N19" s="259" t="s">
        <v>1391</v>
      </c>
      <c r="O19" s="64">
        <v>21600000</v>
      </c>
      <c r="P19" s="64"/>
      <c r="Q19" s="18" t="s">
        <v>2275</v>
      </c>
      <c r="R19" s="1" t="b">
        <v>1</v>
      </c>
      <c r="T19" s="113"/>
      <c r="Z19" s="41"/>
      <c r="AA19" s="41"/>
      <c r="AB19" s="41"/>
    </row>
    <row r="20" spans="2:28">
      <c r="B20" s="1" t="str">
        <f t="shared" si="0"/>
        <v>M_WCG01_VM_KJ_IND_1700_1700</v>
      </c>
      <c r="C20" s="92" t="s">
        <v>678</v>
      </c>
      <c r="D20" s="7" t="str" cm="1">
        <f t="array" ref="D20">INDEX(기계코드!$D$4:$D$1022,MATCH(1,(C20=기계코드!$F$4:$F$1022)*1,0))</f>
        <v>M_WCG01</v>
      </c>
      <c r="E20" s="92" t="s">
        <v>1737</v>
      </c>
      <c r="F20" s="7" t="str" cm="1">
        <f t="array" ref="F20">INDEX(공급업체코드!$B$3:$B$1000,MATCH(1,(E20=공급업체코드!$D$3:$D$1000)*1,0))</f>
        <v>VM_KJ_IND</v>
      </c>
      <c r="G20" s="43"/>
      <c r="H20" s="70">
        <v>1700</v>
      </c>
      <c r="I20">
        <v>1700</v>
      </c>
      <c r="K20" s="65"/>
      <c r="L20" s="258" t="s">
        <v>1390</v>
      </c>
      <c r="M20" s="10">
        <v>42</v>
      </c>
      <c r="N20" s="259" t="s">
        <v>1391</v>
      </c>
      <c r="O20" s="64">
        <v>22567000</v>
      </c>
      <c r="P20" s="64"/>
      <c r="Q20" s="18" t="s">
        <v>2275</v>
      </c>
      <c r="R20" s="1" t="b">
        <v>1</v>
      </c>
      <c r="T20" s="113"/>
      <c r="Z20" s="41"/>
      <c r="AA20" s="41"/>
      <c r="AB20" s="41"/>
    </row>
    <row r="21" spans="2:28">
      <c r="B21" s="1" t="str">
        <f t="shared" si="0"/>
        <v>M_WCG01_VM_KJ_IND_1800_1800</v>
      </c>
      <c r="C21" s="92" t="s">
        <v>678</v>
      </c>
      <c r="D21" s="7" t="str" cm="1">
        <f t="array" ref="D21">INDEX(기계코드!$D$4:$D$1022,MATCH(1,(C21=기계코드!$F$4:$F$1022)*1,0))</f>
        <v>M_WCG01</v>
      </c>
      <c r="E21" s="92" t="s">
        <v>1737</v>
      </c>
      <c r="F21" s="7" t="str" cm="1">
        <f t="array" ref="F21">INDEX(공급업체코드!$B$3:$B$1000,MATCH(1,(E21=공급업체코드!$D$3:$D$1000)*1,0))</f>
        <v>VM_KJ_IND</v>
      </c>
      <c r="G21" s="43"/>
      <c r="H21" s="70">
        <v>1800</v>
      </c>
      <c r="I21">
        <v>1800</v>
      </c>
      <c r="K21" s="65"/>
      <c r="L21" s="258" t="s">
        <v>1390</v>
      </c>
      <c r="M21" s="10">
        <v>42</v>
      </c>
      <c r="N21" s="259" t="s">
        <v>1391</v>
      </c>
      <c r="O21" s="64">
        <v>24324000</v>
      </c>
      <c r="P21" s="64"/>
      <c r="Q21" s="18" t="s">
        <v>2275</v>
      </c>
      <c r="R21" s="1" t="b">
        <v>1</v>
      </c>
      <c r="T21" s="113"/>
      <c r="Z21" s="41"/>
      <c r="AA21" s="41"/>
      <c r="AB21" s="41"/>
    </row>
    <row r="22" spans="2:28">
      <c r="B22" s="1" t="str">
        <f t="shared" si="0"/>
        <v>M_WCG01_VM_KJ_IND_1900_1900</v>
      </c>
      <c r="C22" s="92" t="s">
        <v>678</v>
      </c>
      <c r="D22" s="7" t="str" cm="1">
        <f t="array" ref="D22">INDEX(기계코드!$D$4:$D$1022,MATCH(1,(C22=기계코드!$F$4:$F$1022)*1,0))</f>
        <v>M_WCG01</v>
      </c>
      <c r="E22" s="92" t="s">
        <v>1737</v>
      </c>
      <c r="F22" s="7" t="str" cm="1">
        <f t="array" ref="F22">INDEX(공급업체코드!$B$3:$B$1000,MATCH(1,(E22=공급업체코드!$D$3:$D$1000)*1,0))</f>
        <v>VM_KJ_IND</v>
      </c>
      <c r="G22" s="43"/>
      <c r="H22" s="70">
        <v>1900</v>
      </c>
      <c r="I22">
        <v>1900</v>
      </c>
      <c r="K22" s="65"/>
      <c r="L22" s="258" t="s">
        <v>1390</v>
      </c>
      <c r="M22" s="10">
        <v>42</v>
      </c>
      <c r="N22" s="259" t="s">
        <v>1391</v>
      </c>
      <c r="O22" s="64">
        <v>28714000</v>
      </c>
      <c r="P22" s="64"/>
      <c r="Q22" s="18" t="s">
        <v>2275</v>
      </c>
      <c r="R22" s="1" t="b">
        <v>1</v>
      </c>
      <c r="T22" s="113"/>
      <c r="Z22" s="111"/>
      <c r="AA22" s="111"/>
      <c r="AB22" s="41"/>
    </row>
    <row r="23" spans="2:28">
      <c r="B23" s="1" t="str">
        <f t="shared" si="0"/>
        <v>M_WCG01_VM_KJ_IND_2000_2000</v>
      </c>
      <c r="C23" s="92" t="s">
        <v>678</v>
      </c>
      <c r="D23" s="7" t="str" cm="1">
        <f t="array" ref="D23">INDEX(기계코드!$D$4:$D$1022,MATCH(1,(C23=기계코드!$F$4:$F$1022)*1,0))</f>
        <v>M_WCG01</v>
      </c>
      <c r="E23" s="92" t="s">
        <v>1737</v>
      </c>
      <c r="F23" s="7" t="str" cm="1">
        <f t="array" ref="F23">INDEX(공급업체코드!$B$3:$B$1000,MATCH(1,(E23=공급업체코드!$D$3:$D$1000)*1,0))</f>
        <v>VM_KJ_IND</v>
      </c>
      <c r="G23" s="43"/>
      <c r="H23" s="70">
        <v>2000</v>
      </c>
      <c r="I23">
        <v>2000</v>
      </c>
      <c r="K23" s="65"/>
      <c r="L23" s="258" t="s">
        <v>1390</v>
      </c>
      <c r="M23" s="10">
        <v>42</v>
      </c>
      <c r="N23" s="259" t="s">
        <v>1391</v>
      </c>
      <c r="O23" s="64">
        <v>29394000</v>
      </c>
      <c r="P23" s="64"/>
      <c r="Q23" s="18" t="s">
        <v>2275</v>
      </c>
      <c r="R23" s="1" t="b">
        <v>1</v>
      </c>
      <c r="T23" s="113"/>
      <c r="Z23" s="41"/>
      <c r="AA23" s="41"/>
      <c r="AB23" s="41"/>
    </row>
    <row r="24" spans="2:28">
      <c r="B24" s="1" t="str">
        <f t="shared" si="0"/>
        <v>M_WCG01_VM_KJ_IND_2100_2100</v>
      </c>
      <c r="C24" s="92" t="s">
        <v>678</v>
      </c>
      <c r="D24" s="7" t="str" cm="1">
        <f t="array" ref="D24">INDEX(기계코드!$D$4:$D$1022,MATCH(1,(C24=기계코드!$F$4:$F$1022)*1,0))</f>
        <v>M_WCG01</v>
      </c>
      <c r="E24" s="92" t="s">
        <v>1737</v>
      </c>
      <c r="F24" s="7" t="str" cm="1">
        <f t="array" ref="F24">INDEX(공급업체코드!$B$3:$B$1000,MATCH(1,(E24=공급업체코드!$D$3:$D$1000)*1,0))</f>
        <v>VM_KJ_IND</v>
      </c>
      <c r="G24" s="43"/>
      <c r="H24" s="70">
        <v>2100</v>
      </c>
      <c r="I24">
        <v>2100</v>
      </c>
      <c r="K24" s="65"/>
      <c r="L24" s="258" t="s">
        <v>1390</v>
      </c>
      <c r="M24" s="10">
        <v>42</v>
      </c>
      <c r="N24" s="259" t="s">
        <v>1391</v>
      </c>
      <c r="O24" s="64">
        <v>36915000</v>
      </c>
      <c r="P24" s="64"/>
      <c r="Q24" s="18" t="s">
        <v>2275</v>
      </c>
      <c r="R24" s="1" t="b">
        <v>1</v>
      </c>
      <c r="T24" s="113"/>
      <c r="Z24" s="41"/>
      <c r="AA24" s="41"/>
      <c r="AB24" s="41"/>
    </row>
    <row r="25" spans="2:28">
      <c r="B25" s="1" t="str">
        <f t="shared" si="0"/>
        <v>M_WCG01_VM_KJ_IND_2200_2200</v>
      </c>
      <c r="C25" s="92" t="s">
        <v>678</v>
      </c>
      <c r="D25" s="7" t="str" cm="1">
        <f t="array" ref="D25">INDEX(기계코드!$D$4:$D$1022,MATCH(1,(C25=기계코드!$F$4:$F$1022)*1,0))</f>
        <v>M_WCG01</v>
      </c>
      <c r="E25" s="92" t="s">
        <v>1737</v>
      </c>
      <c r="F25" s="7" t="str" cm="1">
        <f t="array" ref="F25">INDEX(공급업체코드!$B$3:$B$1000,MATCH(1,(E25=공급업체코드!$D$3:$D$1000)*1,0))</f>
        <v>VM_KJ_IND</v>
      </c>
      <c r="G25" s="43"/>
      <c r="H25" s="70">
        <v>2200</v>
      </c>
      <c r="I25">
        <v>2200</v>
      </c>
      <c r="K25" s="65"/>
      <c r="L25" s="258" t="s">
        <v>1390</v>
      </c>
      <c r="M25" s="10">
        <v>42</v>
      </c>
      <c r="N25" s="259" t="s">
        <v>1391</v>
      </c>
      <c r="O25" s="64">
        <v>38806000</v>
      </c>
      <c r="P25" s="64"/>
      <c r="Q25" s="18" t="s">
        <v>2275</v>
      </c>
      <c r="R25" s="1" t="b">
        <v>1</v>
      </c>
      <c r="T25" s="113"/>
      <c r="Z25" s="41"/>
      <c r="AA25" s="41"/>
      <c r="AB25" s="41"/>
    </row>
    <row r="26" spans="2:28">
      <c r="B26" s="1" t="str">
        <f t="shared" si="0"/>
        <v>M_WCG01_VM_KJ_IND_2300_2300</v>
      </c>
      <c r="C26" s="92" t="s">
        <v>678</v>
      </c>
      <c r="D26" s="7" t="str" cm="1">
        <f t="array" ref="D26">INDEX(기계코드!$D$4:$D$1022,MATCH(1,(C26=기계코드!$F$4:$F$1022)*1,0))</f>
        <v>M_WCG01</v>
      </c>
      <c r="E26" s="92" t="s">
        <v>1737</v>
      </c>
      <c r="F26" s="7" t="str" cm="1">
        <f t="array" ref="F26">INDEX(공급업체코드!$B$3:$B$1000,MATCH(1,(E26=공급업체코드!$D$3:$D$1000)*1,0))</f>
        <v>VM_KJ_IND</v>
      </c>
      <c r="G26" s="43"/>
      <c r="H26" s="70">
        <v>2300</v>
      </c>
      <c r="I26">
        <v>2300</v>
      </c>
      <c r="K26" s="65"/>
      <c r="L26" s="258" t="s">
        <v>1390</v>
      </c>
      <c r="M26" s="10">
        <v>42</v>
      </c>
      <c r="N26" s="259" t="s">
        <v>1391</v>
      </c>
      <c r="O26" s="64">
        <v>40154000</v>
      </c>
      <c r="P26" s="64"/>
      <c r="Q26" s="18" t="s">
        <v>2275</v>
      </c>
      <c r="R26" s="1" t="b">
        <v>1</v>
      </c>
      <c r="T26" s="113"/>
      <c r="Z26" s="111"/>
      <c r="AA26" s="111"/>
      <c r="AB26" s="41"/>
    </row>
    <row r="27" spans="2:28">
      <c r="B27" s="1" t="str">
        <f t="shared" si="0"/>
        <v>M_WCG01_VM_KJ_IND_2400_2400</v>
      </c>
      <c r="C27" s="92" t="s">
        <v>678</v>
      </c>
      <c r="D27" s="7" t="str" cm="1">
        <f t="array" ref="D27">INDEX(기계코드!$D$4:$D$1022,MATCH(1,(C27=기계코드!$F$4:$F$1022)*1,0))</f>
        <v>M_WCG01</v>
      </c>
      <c r="E27" s="92" t="s">
        <v>1737</v>
      </c>
      <c r="F27" s="7" t="str" cm="1">
        <f t="array" ref="F27">INDEX(공급업체코드!$B$3:$B$1000,MATCH(1,(E27=공급업체코드!$D$3:$D$1000)*1,0))</f>
        <v>VM_KJ_IND</v>
      </c>
      <c r="G27" s="43"/>
      <c r="H27" s="70">
        <v>2400</v>
      </c>
      <c r="I27">
        <v>2400</v>
      </c>
      <c r="K27" s="65"/>
      <c r="L27" s="258" t="s">
        <v>1390</v>
      </c>
      <c r="M27" s="10">
        <v>42</v>
      </c>
      <c r="N27" s="259" t="s">
        <v>1391</v>
      </c>
      <c r="O27" s="64">
        <v>41659000</v>
      </c>
      <c r="P27" s="64"/>
      <c r="Q27" s="18" t="s">
        <v>2275</v>
      </c>
      <c r="R27" s="1" t="b">
        <v>1</v>
      </c>
      <c r="T27" s="113"/>
      <c r="Z27" s="41"/>
      <c r="AA27" s="41"/>
      <c r="AB27" s="41"/>
    </row>
    <row r="28" spans="2:28">
      <c r="B28" s="1" t="str">
        <f t="shared" si="0"/>
        <v>M_WCG01_VM_KJ_IND_2500_2500</v>
      </c>
      <c r="C28" s="92" t="s">
        <v>678</v>
      </c>
      <c r="D28" s="7" t="str" cm="1">
        <f t="array" ref="D28">INDEX(기계코드!$D$4:$D$1022,MATCH(1,(C28=기계코드!$F$4:$F$1022)*1,0))</f>
        <v>M_WCG01</v>
      </c>
      <c r="E28" s="92" t="s">
        <v>1737</v>
      </c>
      <c r="F28" s="7" t="str" cm="1">
        <f t="array" ref="F28">INDEX(공급업체코드!$B$3:$B$1000,MATCH(1,(E28=공급업체코드!$D$3:$D$1000)*1,0))</f>
        <v>VM_KJ_IND</v>
      </c>
      <c r="G28" s="43"/>
      <c r="H28" s="70">
        <v>2500</v>
      </c>
      <c r="I28">
        <v>2500</v>
      </c>
      <c r="K28" s="65"/>
      <c r="L28" s="258" t="s">
        <v>1390</v>
      </c>
      <c r="M28" s="10">
        <v>42</v>
      </c>
      <c r="N28" s="259" t="s">
        <v>1391</v>
      </c>
      <c r="O28" s="64">
        <v>43349000</v>
      </c>
      <c r="P28" s="64"/>
      <c r="Q28" s="18" t="s">
        <v>2275</v>
      </c>
      <c r="R28" s="1" t="b">
        <v>1</v>
      </c>
      <c r="T28" s="113"/>
      <c r="Z28" s="41"/>
      <c r="AA28" s="41"/>
      <c r="AB28" s="41"/>
    </row>
    <row r="29" spans="2:28">
      <c r="B29" s="1" t="str">
        <f t="shared" si="0"/>
        <v>M_WCG01_VM_KJ_IND_2800_2800</v>
      </c>
      <c r="C29" s="92" t="s">
        <v>678</v>
      </c>
      <c r="D29" s="7" t="str" cm="1">
        <f t="array" ref="D29">INDEX(기계코드!$D$4:$D$1022,MATCH(1,(C29=기계코드!$F$4:$F$1022)*1,0))</f>
        <v>M_WCG01</v>
      </c>
      <c r="E29" s="92" t="s">
        <v>1737</v>
      </c>
      <c r="F29" s="7" t="str" cm="1">
        <f t="array" ref="F29">INDEX(공급업체코드!$B$3:$B$1000,MATCH(1,(E29=공급업체코드!$D$3:$D$1000)*1,0))</f>
        <v>VM_KJ_IND</v>
      </c>
      <c r="G29" s="43"/>
      <c r="H29" s="70">
        <v>2800</v>
      </c>
      <c r="I29">
        <v>2800</v>
      </c>
      <c r="K29" s="65"/>
      <c r="L29" s="258" t="s">
        <v>1390</v>
      </c>
      <c r="M29" s="10">
        <v>42</v>
      </c>
      <c r="N29" s="259" t="s">
        <v>1391</v>
      </c>
      <c r="O29" s="64">
        <v>51698000</v>
      </c>
      <c r="P29" s="64"/>
      <c r="Q29" s="18" t="s">
        <v>2275</v>
      </c>
      <c r="R29" s="1" t="b">
        <v>1</v>
      </c>
      <c r="T29" s="113"/>
      <c r="Z29" s="111"/>
      <c r="AA29" s="111"/>
      <c r="AB29" s="41"/>
    </row>
    <row r="30" spans="2:28">
      <c r="B30" s="1" t="str">
        <f t="shared" si="0"/>
        <v>M_WCG01_VM_KJ_IND_3000_3000</v>
      </c>
      <c r="C30" s="92" t="s">
        <v>678</v>
      </c>
      <c r="D30" s="7" t="str" cm="1">
        <f t="array" ref="D30">INDEX(기계코드!$D$4:$D$1022,MATCH(1,(C30=기계코드!$F$4:$F$1022)*1,0))</f>
        <v>M_WCG01</v>
      </c>
      <c r="E30" s="92" t="s">
        <v>1737</v>
      </c>
      <c r="F30" s="7" t="str" cm="1">
        <f t="array" ref="F30">INDEX(공급업체코드!$B$3:$B$1000,MATCH(1,(E30=공급업체코드!$D$3:$D$1000)*1,0))</f>
        <v>VM_KJ_IND</v>
      </c>
      <c r="G30" s="43"/>
      <c r="H30" s="70">
        <v>3000</v>
      </c>
      <c r="I30">
        <v>3000</v>
      </c>
      <c r="K30" s="65"/>
      <c r="L30" s="258" t="s">
        <v>1390</v>
      </c>
      <c r="M30" s="10">
        <v>42</v>
      </c>
      <c r="N30" s="259" t="s">
        <v>1391</v>
      </c>
      <c r="O30" s="64">
        <v>54971000</v>
      </c>
      <c r="P30" s="64"/>
      <c r="Q30" s="18" t="s">
        <v>2275</v>
      </c>
      <c r="R30" s="1" t="b">
        <v>1</v>
      </c>
      <c r="T30" s="113"/>
      <c r="Z30" s="41"/>
      <c r="AA30" s="41"/>
      <c r="AB30" s="41"/>
    </row>
    <row r="31" spans="2:28">
      <c r="B31" s="1" t="str">
        <f>D31&amp;"_"&amp;F31&amp;"_"&amp;J31</f>
        <v>M_WCG01_VM_KJ_IND_200</v>
      </c>
      <c r="C31" s="92" t="s">
        <v>678</v>
      </c>
      <c r="D31" s="7" t="str" cm="1">
        <f t="array" ref="D31">INDEX(기계코드!$D$4:$D$1022,MATCH(1,(C31=기계코드!$F$4:$F$1022)*1,0))</f>
        <v>M_WCG01</v>
      </c>
      <c r="E31" s="92" t="s">
        <v>1737</v>
      </c>
      <c r="F31" s="7" t="str" cm="1">
        <f t="array" ref="F31">INDEX(공급업체코드!$B$3:$B$1000,MATCH(1,(E31=공급업체코드!$D$3:$D$1000)*1,0))</f>
        <v>VM_KJ_IND</v>
      </c>
      <c r="G31" s="43"/>
      <c r="H31" s="70"/>
      <c r="J31">
        <v>200</v>
      </c>
      <c r="K31" s="65"/>
      <c r="L31" s="258" t="s">
        <v>1390</v>
      </c>
      <c r="M31" s="10">
        <v>42</v>
      </c>
      <c r="N31" s="259" t="s">
        <v>1391</v>
      </c>
      <c r="O31" s="64">
        <v>3228000</v>
      </c>
      <c r="P31" s="64"/>
      <c r="Q31" s="18" t="s">
        <v>2275</v>
      </c>
      <c r="R31" s="1" t="b">
        <v>1</v>
      </c>
      <c r="T31" s="113"/>
      <c r="Z31" s="111"/>
      <c r="AA31" s="111"/>
      <c r="AB31" s="111"/>
    </row>
    <row r="32" spans="2:28">
      <c r="B32" s="1" t="str">
        <f>D32&amp;"_"&amp;F32&amp;"_"&amp;J32</f>
        <v>M_WCG01_VM_KJ_IND_250</v>
      </c>
      <c r="C32" s="92" t="s">
        <v>678</v>
      </c>
      <c r="D32" s="7" t="str" cm="1">
        <f t="array" ref="D32">INDEX(기계코드!$D$4:$D$1022,MATCH(1,(C32=기계코드!$F$4:$F$1022)*1,0))</f>
        <v>M_WCG01</v>
      </c>
      <c r="E32" s="92" t="s">
        <v>1737</v>
      </c>
      <c r="F32" s="7" t="str" cm="1">
        <f t="array" ref="F32">INDEX(공급업체코드!$B$3:$B$1000,MATCH(1,(E32=공급업체코드!$D$3:$D$1000)*1,0))</f>
        <v>VM_KJ_IND</v>
      </c>
      <c r="G32" s="43"/>
      <c r="H32" s="70"/>
      <c r="J32">
        <v>250</v>
      </c>
      <c r="K32" s="65"/>
      <c r="L32" s="258" t="s">
        <v>1390</v>
      </c>
      <c r="M32" s="10">
        <v>42</v>
      </c>
      <c r="N32" s="259" t="s">
        <v>1391</v>
      </c>
      <c r="O32" s="64">
        <v>3312000</v>
      </c>
      <c r="P32" s="64"/>
      <c r="Q32" s="18" t="s">
        <v>2275</v>
      </c>
      <c r="R32" s="1" t="b">
        <v>1</v>
      </c>
      <c r="T32" s="113"/>
      <c r="Z32" s="41"/>
      <c r="AA32" s="41"/>
      <c r="AB32" s="41"/>
    </row>
    <row r="33" spans="2:28">
      <c r="B33" s="1" t="str">
        <f>D33&amp;"_"&amp;F33&amp;"_"&amp;J33</f>
        <v>M_WCG01_VM_KJ_IND_300</v>
      </c>
      <c r="C33" s="92" t="s">
        <v>678</v>
      </c>
      <c r="D33" s="7" t="str" cm="1">
        <f t="array" ref="D33">INDEX(기계코드!$D$4:$D$1022,MATCH(1,(C33=기계코드!$F$4:$F$1022)*1,0))</f>
        <v>M_WCG01</v>
      </c>
      <c r="E33" s="92" t="s">
        <v>1737</v>
      </c>
      <c r="F33" s="7" t="str" cm="1">
        <f t="array" ref="F33">INDEX(공급업체코드!$B$3:$B$1000,MATCH(1,(E33=공급업체코드!$D$3:$D$1000)*1,0))</f>
        <v>VM_KJ_IND</v>
      </c>
      <c r="G33" s="43"/>
      <c r="H33" s="70"/>
      <c r="J33">
        <v>300</v>
      </c>
      <c r="K33" s="65"/>
      <c r="L33" s="258" t="s">
        <v>1390</v>
      </c>
      <c r="M33" s="10">
        <v>42</v>
      </c>
      <c r="N33" s="259" t="s">
        <v>1391</v>
      </c>
      <c r="O33" s="64">
        <v>3489000</v>
      </c>
      <c r="P33" s="64"/>
      <c r="Q33" s="18" t="s">
        <v>2275</v>
      </c>
      <c r="R33" s="1" t="b">
        <v>1</v>
      </c>
      <c r="T33" s="113"/>
      <c r="Z33" s="41"/>
      <c r="AA33" s="41"/>
      <c r="AB33" s="41"/>
    </row>
    <row r="34" spans="2:28">
      <c r="B34" s="1" t="str">
        <f>D34&amp;"_"&amp;F34&amp;"_"&amp;J34</f>
        <v>M_WCG01_VM_KJ_IND_350</v>
      </c>
      <c r="C34" s="92" t="s">
        <v>678</v>
      </c>
      <c r="D34" s="7" t="str" cm="1">
        <f t="array" ref="D34">INDEX(기계코드!$D$4:$D$1022,MATCH(1,(C34=기계코드!$F$4:$F$1022)*1,0))</f>
        <v>M_WCG01</v>
      </c>
      <c r="E34" s="92" t="s">
        <v>1737</v>
      </c>
      <c r="F34" s="7" t="str" cm="1">
        <f t="array" ref="F34">INDEX(공급업체코드!$B$3:$B$1000,MATCH(1,(E34=공급업체코드!$D$3:$D$1000)*1,0))</f>
        <v>VM_KJ_IND</v>
      </c>
      <c r="G34" s="43"/>
      <c r="H34" s="70"/>
      <c r="J34">
        <v>350</v>
      </c>
      <c r="K34" s="65"/>
      <c r="L34" s="258" t="s">
        <v>1390</v>
      </c>
      <c r="M34" s="10">
        <v>42</v>
      </c>
      <c r="N34" s="259" t="s">
        <v>1391</v>
      </c>
      <c r="O34" s="64">
        <v>3937000</v>
      </c>
      <c r="P34" s="64"/>
      <c r="Q34" s="18" t="s">
        <v>2275</v>
      </c>
      <c r="R34" s="1" t="b">
        <v>1</v>
      </c>
      <c r="T34" s="113"/>
      <c r="Z34" s="41"/>
      <c r="AA34" s="41"/>
      <c r="AB34" s="41"/>
    </row>
    <row r="35" spans="2:28">
      <c r="B35" s="1" t="str">
        <f>D35&amp;"_"&amp;F35&amp;"_"&amp;J35</f>
        <v>M_WCG01_VM_KJ_IND_400</v>
      </c>
      <c r="C35" s="92" t="s">
        <v>678</v>
      </c>
      <c r="D35" s="7" t="str" cm="1">
        <f t="array" ref="D35">INDEX(기계코드!$D$4:$D$1022,MATCH(1,(C35=기계코드!$F$4:$F$1022)*1,0))</f>
        <v>M_WCG01</v>
      </c>
      <c r="E35" s="92" t="s">
        <v>1737</v>
      </c>
      <c r="F35" s="7" t="str" cm="1">
        <f t="array" ref="F35">INDEX(공급업체코드!$B$3:$B$1000,MATCH(1,(E35=공급업체코드!$D$3:$D$1000)*1,0))</f>
        <v>VM_KJ_IND</v>
      </c>
      <c r="G35" s="43"/>
      <c r="H35" s="70"/>
      <c r="J35">
        <v>400</v>
      </c>
      <c r="K35" s="65"/>
      <c r="L35" s="258" t="s">
        <v>1390</v>
      </c>
      <c r="M35" s="10">
        <v>42</v>
      </c>
      <c r="N35" s="259" t="s">
        <v>1391</v>
      </c>
      <c r="O35" s="64">
        <v>4357000</v>
      </c>
      <c r="P35" s="64"/>
      <c r="Q35" s="18" t="s">
        <v>2275</v>
      </c>
      <c r="R35" s="1" t="b">
        <v>1</v>
      </c>
      <c r="T35" s="113"/>
      <c r="Z35" s="41"/>
      <c r="AA35" s="41"/>
      <c r="AB35" s="41"/>
    </row>
    <row r="36" spans="2:28">
      <c r="B36" s="1" t="str">
        <f t="shared" ref="B36" si="1">D36&amp;"_"&amp;F36&amp;"_"&amp;H36&amp;"_"&amp;I36</f>
        <v>M_WCG02_VM_KJ_IND_300_300</v>
      </c>
      <c r="C36" s="92" t="s">
        <v>681</v>
      </c>
      <c r="D36" s="7" t="str" cm="1">
        <f t="array" ref="D36">INDEX(기계코드!$D$4:$D$1022,MATCH(1,(C36=기계코드!$F$4:$F$1022)*1,0))</f>
        <v>M_WCG02</v>
      </c>
      <c r="E36" s="92" t="s">
        <v>1737</v>
      </c>
      <c r="F36" s="7" t="str" cm="1">
        <f t="array" ref="F36">INDEX(공급업체코드!$B$3:$B$1000,MATCH(1,(E36=공급업체코드!$D$3:$D$1000)*1,0))</f>
        <v>VM_KJ_IND</v>
      </c>
      <c r="G36" s="43"/>
      <c r="H36">
        <v>300</v>
      </c>
      <c r="I36">
        <v>300</v>
      </c>
      <c r="K36" s="65"/>
      <c r="L36" s="258" t="s">
        <v>1390</v>
      </c>
      <c r="M36" s="10">
        <v>42</v>
      </c>
      <c r="N36" s="259" t="s">
        <v>1391</v>
      </c>
      <c r="O36" s="64">
        <v>999</v>
      </c>
      <c r="P36" s="64"/>
      <c r="Q36" s="18" t="s">
        <v>1354</v>
      </c>
      <c r="R36" s="1" t="b">
        <v>1</v>
      </c>
      <c r="T36" s="113"/>
    </row>
    <row r="37" spans="2:28">
      <c r="B37" s="1"/>
      <c r="C37" s="92"/>
      <c r="D37" s="92"/>
      <c r="E37" s="92"/>
      <c r="F37" s="92"/>
      <c r="G37" s="43"/>
      <c r="H37" s="70"/>
      <c r="K37" s="65"/>
      <c r="L37" s="258"/>
      <c r="N37" s="259"/>
      <c r="O37" s="64"/>
      <c r="P37" s="64"/>
      <c r="Q37" s="65"/>
      <c r="R37" s="1"/>
      <c r="T37" s="113"/>
    </row>
    <row r="38" spans="2:28">
      <c r="B38" s="1"/>
      <c r="C38" s="92"/>
      <c r="D38" s="92"/>
      <c r="E38" s="92"/>
      <c r="F38" s="92"/>
      <c r="G38" s="43"/>
      <c r="H38" s="70"/>
      <c r="K38" s="65"/>
      <c r="L38" s="258"/>
      <c r="N38" s="259"/>
      <c r="O38" s="64"/>
      <c r="P38" s="64"/>
      <c r="Q38" s="65"/>
      <c r="R38" s="1"/>
      <c r="T38" s="113"/>
    </row>
    <row r="39" spans="2:28">
      <c r="B39" s="1"/>
      <c r="C39" s="92"/>
      <c r="D39" s="92"/>
      <c r="E39" s="92"/>
      <c r="F39" s="92"/>
      <c r="G39" s="43"/>
      <c r="H39" s="70"/>
      <c r="K39" s="65"/>
      <c r="L39" s="258"/>
      <c r="N39" s="259"/>
      <c r="O39" s="64"/>
      <c r="P39" s="64"/>
      <c r="Q39" s="65"/>
      <c r="R39" s="1"/>
      <c r="T39" s="113"/>
    </row>
    <row r="40" spans="2:28">
      <c r="B40" s="1"/>
      <c r="C40" s="92"/>
      <c r="D40" s="92"/>
      <c r="E40" s="92"/>
      <c r="F40" s="92"/>
      <c r="G40" s="43"/>
      <c r="H40" s="70"/>
      <c r="K40" s="65"/>
      <c r="L40" s="258"/>
      <c r="N40" s="259"/>
      <c r="O40" s="64"/>
      <c r="P40" s="64"/>
      <c r="Q40" s="65"/>
      <c r="R40" s="1"/>
      <c r="T40" s="113"/>
    </row>
    <row r="41" spans="2:28">
      <c r="B41" s="1"/>
      <c r="C41" s="92"/>
      <c r="D41" s="92"/>
      <c r="E41" s="92"/>
      <c r="F41" s="92"/>
      <c r="G41" s="43"/>
      <c r="K41" s="65"/>
      <c r="L41" s="258"/>
      <c r="N41" s="259"/>
      <c r="O41" s="64"/>
      <c r="P41" s="64"/>
      <c r="Q41" s="65"/>
      <c r="R41" s="1"/>
      <c r="T41" s="113"/>
    </row>
    <row r="42" spans="2:28">
      <c r="B42" s="1"/>
      <c r="C42" s="92"/>
      <c r="D42" s="92"/>
      <c r="E42" s="92"/>
      <c r="F42" s="92"/>
      <c r="G42" s="43"/>
      <c r="K42" s="65"/>
      <c r="L42" s="258"/>
      <c r="N42" s="259"/>
      <c r="O42" s="64"/>
      <c r="P42" s="64"/>
      <c r="Q42" s="65"/>
      <c r="R42" s="1"/>
      <c r="T42" s="113"/>
    </row>
    <row r="43" spans="2:28">
      <c r="B43" s="1"/>
      <c r="C43" s="92"/>
      <c r="D43" s="92"/>
      <c r="E43" s="92"/>
      <c r="F43" s="92"/>
      <c r="G43" s="43"/>
      <c r="K43" s="65"/>
      <c r="L43" s="258"/>
      <c r="N43" s="259"/>
      <c r="O43" s="64"/>
      <c r="P43" s="64"/>
      <c r="Q43" s="65"/>
      <c r="R43" s="1"/>
      <c r="T43" s="113"/>
    </row>
    <row r="44" spans="2:28">
      <c r="B44" s="1"/>
      <c r="C44" s="92"/>
      <c r="D44" s="92"/>
      <c r="E44" s="92"/>
      <c r="F44" s="92"/>
      <c r="G44" s="43"/>
      <c r="K44" s="65"/>
      <c r="L44" s="258"/>
      <c r="N44" s="259"/>
      <c r="O44" s="64"/>
      <c r="P44" s="64"/>
      <c r="Q44" s="65"/>
      <c r="R44" s="1"/>
      <c r="T44" s="113"/>
    </row>
    <row r="45" spans="2:28">
      <c r="B45" s="1"/>
      <c r="C45" s="92"/>
      <c r="D45" s="92"/>
      <c r="E45" s="92"/>
      <c r="F45" s="92"/>
      <c r="G45" s="43"/>
      <c r="K45" s="65"/>
      <c r="L45" s="258"/>
      <c r="N45" s="259"/>
      <c r="O45" s="64"/>
      <c r="P45" s="64"/>
      <c r="Q45" s="65"/>
      <c r="R45" s="1"/>
      <c r="T45" s="113"/>
    </row>
    <row r="46" spans="2:28">
      <c r="B46" s="1"/>
      <c r="C46" s="92"/>
      <c r="D46" s="92"/>
      <c r="E46" s="92"/>
      <c r="F46" s="92"/>
      <c r="G46" s="43"/>
      <c r="K46" s="65"/>
      <c r="L46" s="258"/>
      <c r="N46" s="259"/>
      <c r="O46" s="64"/>
      <c r="P46" s="64"/>
      <c r="Q46" s="65"/>
      <c r="R46" s="1"/>
      <c r="T46" s="113"/>
    </row>
    <row r="47" spans="2:28">
      <c r="B47" s="1"/>
      <c r="C47" s="92"/>
      <c r="D47" s="92"/>
      <c r="E47" s="92"/>
      <c r="F47" s="92"/>
      <c r="G47" s="43"/>
      <c r="K47" s="65"/>
      <c r="L47" s="258"/>
      <c r="N47" s="259"/>
      <c r="O47" s="64"/>
      <c r="P47" s="64"/>
      <c r="Q47" s="65"/>
      <c r="R47" s="1"/>
      <c r="T47" s="113"/>
    </row>
    <row r="48" spans="2:28">
      <c r="B48" s="1"/>
      <c r="C48" s="92"/>
      <c r="D48" s="92"/>
      <c r="E48" s="92"/>
      <c r="F48" s="92"/>
      <c r="G48" s="43"/>
      <c r="K48" s="65"/>
      <c r="L48" s="258"/>
      <c r="N48" s="259"/>
      <c r="O48" s="64"/>
      <c r="P48" s="64"/>
      <c r="Q48" s="65"/>
      <c r="R48" s="1"/>
      <c r="T48" s="113"/>
    </row>
    <row r="49" spans="2:20">
      <c r="B49" s="1"/>
      <c r="C49" s="92"/>
      <c r="D49" s="92"/>
      <c r="E49" s="92"/>
      <c r="F49" s="92"/>
      <c r="G49" s="43"/>
      <c r="K49" s="65"/>
      <c r="L49" s="258"/>
      <c r="N49" s="259"/>
      <c r="O49" s="64"/>
      <c r="P49" s="64"/>
      <c r="Q49" s="65"/>
      <c r="R49" s="1"/>
      <c r="T49" s="113"/>
    </row>
    <row r="50" spans="2:20">
      <c r="B50" s="1"/>
      <c r="C50" s="92"/>
      <c r="D50" s="92"/>
      <c r="E50" s="92"/>
      <c r="F50" s="92"/>
      <c r="G50" s="43"/>
      <c r="K50" s="65"/>
      <c r="L50" s="258"/>
      <c r="N50" s="259"/>
      <c r="O50" s="64"/>
      <c r="P50" s="64"/>
      <c r="Q50" s="65"/>
      <c r="R50" s="1"/>
      <c r="T50" s="113"/>
    </row>
    <row r="51" spans="2:20">
      <c r="B51" s="1"/>
      <c r="C51" s="92"/>
      <c r="D51" s="92"/>
      <c r="E51" s="92"/>
      <c r="F51" s="92"/>
      <c r="G51" s="43"/>
      <c r="K51" s="65"/>
      <c r="L51" s="258"/>
      <c r="N51" s="259"/>
      <c r="O51" s="64"/>
      <c r="P51" s="64"/>
      <c r="Q51" s="65"/>
      <c r="R51" s="1"/>
      <c r="T51" s="113"/>
    </row>
    <row r="52" spans="2:20">
      <c r="B52" s="1"/>
      <c r="C52" s="92"/>
      <c r="D52" s="92"/>
      <c r="E52" s="92"/>
      <c r="F52" s="92"/>
      <c r="G52" s="43"/>
      <c r="K52" s="65"/>
      <c r="L52" s="258"/>
      <c r="N52" s="259"/>
      <c r="O52" s="64"/>
      <c r="P52" s="64"/>
      <c r="Q52" s="65"/>
      <c r="R52" s="1"/>
      <c r="T52" s="113"/>
    </row>
    <row r="53" spans="2:20">
      <c r="B53" s="1"/>
      <c r="C53" s="92"/>
      <c r="D53" s="92"/>
      <c r="E53" s="92"/>
      <c r="F53" s="92"/>
      <c r="G53" s="43"/>
      <c r="K53" s="65"/>
      <c r="L53" s="258"/>
      <c r="N53" s="259"/>
      <c r="O53" s="64"/>
      <c r="P53" s="64"/>
      <c r="Q53" s="65"/>
      <c r="R53" s="1"/>
      <c r="T53" s="113"/>
    </row>
    <row r="54" spans="2:20">
      <c r="B54" s="1"/>
      <c r="C54" s="92"/>
      <c r="D54" s="92"/>
      <c r="E54" s="92"/>
      <c r="F54" s="92"/>
      <c r="G54" s="43"/>
      <c r="K54" s="65"/>
      <c r="L54" s="258"/>
      <c r="N54" s="259"/>
      <c r="O54" s="64"/>
      <c r="P54" s="64"/>
      <c r="Q54" s="65"/>
      <c r="R54" s="1"/>
      <c r="T54" s="113"/>
    </row>
    <row r="55" spans="2:20">
      <c r="B55" s="1"/>
      <c r="C55" s="92"/>
      <c r="D55" s="92"/>
      <c r="E55" s="92"/>
      <c r="F55" s="92"/>
      <c r="G55" s="43"/>
      <c r="K55" s="65"/>
      <c r="L55" s="258"/>
      <c r="N55" s="259"/>
      <c r="O55" s="64"/>
      <c r="P55" s="64"/>
      <c r="Q55" s="65"/>
      <c r="R55" s="1"/>
      <c r="T55" s="113"/>
    </row>
    <row r="56" spans="2:20">
      <c r="B56" s="1"/>
      <c r="C56" s="92"/>
      <c r="D56" s="92"/>
      <c r="E56" s="92"/>
      <c r="F56" s="92"/>
      <c r="G56" s="43"/>
      <c r="K56" s="65"/>
      <c r="L56" s="258"/>
      <c r="N56" s="259"/>
      <c r="O56" s="64"/>
      <c r="P56" s="64"/>
      <c r="Q56" s="65"/>
      <c r="R56" s="1"/>
      <c r="T56" s="113"/>
    </row>
    <row r="57" spans="2:20">
      <c r="B57" s="1"/>
      <c r="C57" s="92"/>
      <c r="D57" s="92"/>
      <c r="E57" s="92"/>
      <c r="F57" s="92"/>
      <c r="G57" s="43"/>
      <c r="K57" s="65"/>
      <c r="L57" s="258"/>
      <c r="N57" s="259"/>
      <c r="O57" s="64"/>
      <c r="P57" s="64"/>
      <c r="Q57" s="65"/>
      <c r="R57" s="1"/>
      <c r="T57" s="113"/>
    </row>
    <row r="58" spans="2:20">
      <c r="B58" s="1"/>
      <c r="C58" s="92"/>
      <c r="D58" s="92"/>
      <c r="E58" s="92"/>
      <c r="F58" s="92"/>
      <c r="G58" s="43"/>
      <c r="K58" s="65"/>
      <c r="L58" s="258"/>
      <c r="N58" s="259"/>
      <c r="O58" s="64"/>
      <c r="P58" s="64"/>
      <c r="Q58" s="65"/>
      <c r="R58" s="1"/>
      <c r="T58" s="113"/>
    </row>
    <row r="59" spans="2:20">
      <c r="B59" s="1"/>
      <c r="C59" s="92"/>
      <c r="D59" s="92"/>
      <c r="E59" s="92"/>
      <c r="F59" s="92"/>
      <c r="G59" s="43"/>
      <c r="K59" s="65"/>
      <c r="L59" s="258"/>
      <c r="N59" s="259"/>
      <c r="O59" s="64"/>
      <c r="P59" s="64"/>
      <c r="Q59" s="65"/>
      <c r="R59" s="1"/>
      <c r="T59" s="113"/>
    </row>
    <row r="60" spans="2:20">
      <c r="B60" s="1"/>
      <c r="C60" s="92"/>
      <c r="D60" s="92"/>
      <c r="E60" s="92"/>
      <c r="F60" s="92"/>
      <c r="G60" s="43"/>
      <c r="K60" s="65"/>
      <c r="L60" s="258"/>
      <c r="N60" s="259"/>
      <c r="O60" s="64"/>
      <c r="P60" s="64"/>
      <c r="Q60" s="65"/>
      <c r="R60" s="1"/>
      <c r="T60" s="113"/>
    </row>
    <row r="61" spans="2:20">
      <c r="B61" s="1"/>
      <c r="C61" s="92"/>
      <c r="D61" s="92"/>
      <c r="E61" s="92"/>
      <c r="F61" s="92"/>
      <c r="G61" s="43"/>
      <c r="K61" s="65"/>
      <c r="L61" s="258"/>
      <c r="N61" s="259"/>
      <c r="O61" s="64"/>
      <c r="P61" s="64"/>
      <c r="Q61" s="65"/>
      <c r="R61" s="1"/>
      <c r="T61" s="113"/>
    </row>
    <row r="62" spans="2:20">
      <c r="B62" s="1"/>
      <c r="C62" s="92"/>
      <c r="D62" s="92"/>
      <c r="E62" s="92"/>
      <c r="F62" s="92"/>
      <c r="G62" s="43"/>
      <c r="K62" s="65"/>
      <c r="L62" s="258"/>
      <c r="N62" s="259"/>
      <c r="O62" s="64"/>
      <c r="P62" s="64"/>
      <c r="Q62" s="65"/>
      <c r="R62" s="1"/>
      <c r="T62" s="113"/>
    </row>
    <row r="63" spans="2:20">
      <c r="B63" s="1"/>
      <c r="C63" s="92"/>
      <c r="D63" s="92"/>
      <c r="E63" s="92"/>
      <c r="F63" s="92"/>
      <c r="G63" s="43"/>
      <c r="K63" s="65"/>
      <c r="L63" s="258"/>
      <c r="N63" s="259"/>
      <c r="O63" s="64"/>
      <c r="P63" s="64"/>
      <c r="Q63" s="65"/>
      <c r="R63" s="1"/>
      <c r="T63" s="113"/>
    </row>
    <row r="64" spans="2:20">
      <c r="B64" s="1"/>
      <c r="C64" s="92"/>
      <c r="D64" s="92"/>
      <c r="E64" s="92"/>
      <c r="F64" s="92"/>
      <c r="G64" s="43"/>
      <c r="K64" s="65"/>
      <c r="L64" s="258"/>
      <c r="N64" s="259"/>
      <c r="O64" s="64"/>
      <c r="P64" s="64"/>
      <c r="Q64" s="65"/>
      <c r="R64" s="1"/>
      <c r="T64" s="113"/>
    </row>
    <row r="65" spans="2:20">
      <c r="B65" s="1"/>
      <c r="C65" s="92"/>
      <c r="D65" s="92"/>
      <c r="E65" s="92"/>
      <c r="F65" s="92"/>
      <c r="G65" s="43"/>
      <c r="K65" s="65"/>
      <c r="L65" s="258"/>
      <c r="N65" s="259"/>
      <c r="O65" s="64"/>
      <c r="P65" s="64"/>
      <c r="Q65" s="65"/>
      <c r="R65" s="1"/>
      <c r="T65" s="113"/>
    </row>
    <row r="66" spans="2:20">
      <c r="B66" s="1"/>
      <c r="C66" s="92"/>
      <c r="D66" s="92"/>
      <c r="E66" s="92"/>
      <c r="F66" s="92"/>
      <c r="G66" s="43"/>
      <c r="K66" s="65"/>
      <c r="L66" s="258"/>
      <c r="N66" s="259"/>
      <c r="O66" s="64"/>
      <c r="P66" s="64"/>
      <c r="Q66" s="65"/>
      <c r="R66" s="1"/>
      <c r="T66" s="113"/>
    </row>
    <row r="67" spans="2:20">
      <c r="B67" s="1"/>
      <c r="C67" s="92"/>
      <c r="D67" s="92"/>
      <c r="E67" s="92"/>
      <c r="F67" s="92"/>
      <c r="G67" s="43"/>
      <c r="K67" s="65"/>
      <c r="L67" s="258"/>
      <c r="N67" s="259"/>
      <c r="O67" s="64"/>
      <c r="P67" s="64"/>
      <c r="Q67" s="65"/>
      <c r="R67" s="1"/>
      <c r="T67" s="113"/>
    </row>
    <row r="68" spans="2:20">
      <c r="B68" s="1"/>
      <c r="C68" s="92"/>
      <c r="D68" s="92"/>
      <c r="E68" s="92"/>
      <c r="F68" s="92"/>
      <c r="G68" s="43"/>
      <c r="K68" s="65"/>
      <c r="L68" s="258"/>
      <c r="N68" s="259"/>
      <c r="O68" s="64"/>
      <c r="P68" s="64"/>
      <c r="Q68" s="65"/>
      <c r="R68" s="1"/>
      <c r="T68" s="113"/>
    </row>
    <row r="69" spans="2:20">
      <c r="B69" s="1"/>
      <c r="C69" s="92"/>
      <c r="D69" s="92"/>
      <c r="E69" s="92"/>
      <c r="F69" s="92"/>
      <c r="G69" s="43"/>
      <c r="K69" s="65"/>
      <c r="L69" s="258"/>
      <c r="N69" s="259"/>
      <c r="O69" s="64"/>
      <c r="P69" s="64"/>
      <c r="Q69" s="65"/>
      <c r="R69" s="1"/>
      <c r="T69" s="113"/>
    </row>
    <row r="70" spans="2:20">
      <c r="B70" s="1"/>
      <c r="C70" s="92"/>
      <c r="D70" s="92"/>
      <c r="E70" s="92"/>
      <c r="F70" s="92"/>
      <c r="G70" s="43"/>
      <c r="L70" s="258"/>
      <c r="N70" s="259"/>
      <c r="O70" s="58"/>
      <c r="P70" s="58"/>
      <c r="R70" s="1"/>
      <c r="T70" s="113"/>
    </row>
    <row r="71" spans="2:20">
      <c r="B71" s="1"/>
      <c r="C71" s="92"/>
      <c r="D71" s="92"/>
      <c r="E71" s="92"/>
      <c r="F71" s="92"/>
      <c r="G71" s="43"/>
      <c r="L71" s="258"/>
      <c r="N71" s="259"/>
      <c r="O71" s="58"/>
      <c r="P71" s="58"/>
      <c r="R71" s="1"/>
      <c r="T71" s="113"/>
    </row>
    <row r="72" spans="2:20">
      <c r="B72" s="1"/>
      <c r="C72" s="92"/>
      <c r="D72" s="92"/>
      <c r="E72" s="92"/>
      <c r="F72" s="92"/>
      <c r="G72" s="43"/>
      <c r="L72" s="258"/>
      <c r="N72" s="259"/>
      <c r="O72" s="58"/>
      <c r="P72" s="58"/>
      <c r="R72" s="1"/>
      <c r="T72" s="113"/>
    </row>
    <row r="73" spans="2:20">
      <c r="B73" s="1"/>
      <c r="C73" s="92"/>
      <c r="D73" s="92"/>
      <c r="E73" s="92"/>
      <c r="F73" s="92"/>
      <c r="G73" s="43"/>
      <c r="L73" s="258"/>
      <c r="N73" s="259"/>
      <c r="O73" s="58"/>
      <c r="P73" s="58"/>
      <c r="R73" s="1"/>
      <c r="T73" s="113"/>
    </row>
    <row r="74" spans="2:20">
      <c r="B74" s="1"/>
      <c r="C74" s="92"/>
      <c r="D74" s="92"/>
      <c r="E74" s="92"/>
      <c r="F74" s="92"/>
      <c r="G74" s="43"/>
      <c r="L74" s="258"/>
      <c r="N74" s="259"/>
      <c r="O74" s="58"/>
      <c r="P74" s="58"/>
      <c r="R74" s="1"/>
      <c r="T74" s="113"/>
    </row>
    <row r="75" spans="2:20">
      <c r="B75" s="1"/>
      <c r="C75" s="92"/>
      <c r="D75" s="92"/>
      <c r="E75" s="92"/>
      <c r="F75" s="92"/>
      <c r="G75" s="43"/>
      <c r="L75" s="258"/>
      <c r="N75" s="259"/>
      <c r="O75" s="58"/>
      <c r="P75" s="58"/>
      <c r="R75" s="1"/>
      <c r="T75" s="113"/>
    </row>
    <row r="76" spans="2:20">
      <c r="B76" s="1"/>
      <c r="C76" s="92"/>
      <c r="D76" s="92"/>
      <c r="E76" s="92"/>
      <c r="F76" s="92"/>
      <c r="G76" s="43"/>
      <c r="L76" s="258"/>
      <c r="N76" s="259"/>
      <c r="O76" s="58"/>
      <c r="P76" s="58"/>
      <c r="R76" s="1"/>
      <c r="T76" s="113"/>
    </row>
    <row r="77" spans="2:20">
      <c r="B77" s="1"/>
      <c r="C77" s="92"/>
      <c r="D77" s="92"/>
      <c r="E77" s="92"/>
      <c r="F77" s="92"/>
      <c r="G77" s="43"/>
      <c r="L77" s="258"/>
      <c r="N77" s="259"/>
      <c r="O77" s="58"/>
      <c r="P77" s="58"/>
      <c r="R77" s="1"/>
      <c r="T77" s="113"/>
    </row>
    <row r="78" spans="2:20">
      <c r="B78" s="1"/>
      <c r="C78" s="92"/>
      <c r="D78" s="92"/>
      <c r="E78" s="92"/>
      <c r="F78" s="92"/>
      <c r="G78" s="43"/>
      <c r="L78" s="258"/>
      <c r="N78" s="259"/>
      <c r="O78" s="58"/>
      <c r="P78" s="58"/>
      <c r="R78" s="1"/>
      <c r="T78" s="113"/>
    </row>
    <row r="79" spans="2:20">
      <c r="B79" s="1"/>
      <c r="C79" s="92"/>
      <c r="D79" s="92"/>
      <c r="E79" s="92"/>
      <c r="F79" s="92"/>
      <c r="G79" s="43"/>
      <c r="L79" s="258"/>
      <c r="N79" s="259"/>
      <c r="O79" s="58"/>
      <c r="P79" s="58"/>
      <c r="R79" s="1"/>
      <c r="T79" s="113"/>
    </row>
    <row r="80" spans="2:20">
      <c r="L80" s="258"/>
      <c r="N80" s="259"/>
      <c r="O80" s="58"/>
      <c r="P80" s="58"/>
      <c r="T80" s="113"/>
    </row>
    <row r="81" spans="12:20">
      <c r="L81" s="258"/>
      <c r="N81" s="259"/>
      <c r="O81" s="58"/>
      <c r="P81" s="58"/>
      <c r="T81" s="113"/>
    </row>
    <row r="82" spans="12:20">
      <c r="L82" s="258"/>
      <c r="N82" s="259"/>
      <c r="O82" s="58"/>
      <c r="P82" s="58"/>
      <c r="T82" s="113"/>
    </row>
    <row r="83" spans="12:20">
      <c r="L83" s="258"/>
      <c r="N83" s="259"/>
      <c r="O83" s="58"/>
      <c r="P83" s="58"/>
      <c r="T83" s="113"/>
    </row>
    <row r="84" spans="12:20">
      <c r="L84" s="258"/>
      <c r="N84" s="259"/>
      <c r="O84" s="58"/>
      <c r="P84" s="58"/>
      <c r="T84" s="113"/>
    </row>
    <row r="85" spans="12:20">
      <c r="L85" s="258"/>
      <c r="N85" s="259"/>
      <c r="O85" s="58"/>
      <c r="P85" s="58"/>
      <c r="T85" s="113"/>
    </row>
    <row r="86" spans="12:20">
      <c r="L86" s="258"/>
      <c r="N86" s="259"/>
      <c r="O86" s="58"/>
      <c r="P86" s="58"/>
      <c r="T86" s="113"/>
    </row>
    <row r="87" spans="12:20" ht="16.5" customHeight="1">
      <c r="L87" s="258"/>
      <c r="N87" s="259"/>
      <c r="T87" s="113"/>
    </row>
    <row r="88" spans="12:20" ht="16.5" customHeight="1">
      <c r="L88" s="258"/>
      <c r="N88" s="259"/>
      <c r="T88" s="113"/>
    </row>
    <row r="89" spans="12:20" ht="16.5" customHeight="1">
      <c r="L89" s="258"/>
      <c r="N89" s="259"/>
      <c r="T89" s="113"/>
    </row>
    <row r="90" spans="12:20" ht="16.5" customHeight="1">
      <c r="L90" s="258"/>
      <c r="N90" s="259"/>
      <c r="T90" s="113"/>
    </row>
    <row r="91" spans="12:20" ht="16.5" customHeight="1">
      <c r="L91" s="258"/>
      <c r="N91" s="259"/>
      <c r="T91" s="113"/>
    </row>
    <row r="92" spans="12:20" ht="16.5" customHeight="1">
      <c r="L92" s="258"/>
      <c r="N92" s="259"/>
      <c r="T92" s="113"/>
    </row>
    <row r="93" spans="12:20" ht="16.5" customHeight="1">
      <c r="L93" s="258"/>
      <c r="N93" s="259"/>
      <c r="T93" s="113"/>
    </row>
    <row r="94" spans="12:20" ht="16.5" customHeight="1">
      <c r="L94" s="258"/>
      <c r="N94" s="259"/>
      <c r="T94" s="113"/>
    </row>
    <row r="95" spans="12:20" ht="16.5" customHeight="1">
      <c r="L95" s="258"/>
      <c r="N95" s="259"/>
      <c r="T95" s="113"/>
    </row>
    <row r="96" spans="12:20" ht="16.5" customHeight="1">
      <c r="L96" s="258"/>
      <c r="N96" s="259"/>
      <c r="T96" s="113"/>
    </row>
    <row r="97" spans="12:20" ht="16.5" customHeight="1">
      <c r="L97" s="258"/>
      <c r="N97" s="259"/>
      <c r="T97" s="113"/>
    </row>
    <row r="98" spans="12:20" ht="16.5" customHeight="1">
      <c r="L98" s="258"/>
      <c r="N98" s="259"/>
      <c r="T98" s="113"/>
    </row>
    <row r="99" spans="12:20" ht="16.5" customHeight="1">
      <c r="L99" s="258"/>
      <c r="N99" s="259"/>
      <c r="T99" s="113"/>
    </row>
    <row r="100" spans="12:20" ht="16.5" customHeight="1">
      <c r="L100" s="258"/>
      <c r="N100" s="259"/>
      <c r="T100" s="113"/>
    </row>
    <row r="101" spans="12:20" ht="16.5" customHeight="1">
      <c r="L101" s="258"/>
      <c r="N101" s="259"/>
      <c r="T101" s="113"/>
    </row>
    <row r="102" spans="12:20" ht="16.5" customHeight="1">
      <c r="L102" s="258"/>
      <c r="N102" s="259"/>
      <c r="T102" s="113"/>
    </row>
    <row r="103" spans="12:20" ht="16.5" customHeight="1">
      <c r="L103" s="258"/>
      <c r="N103" s="259"/>
      <c r="T103" s="113"/>
    </row>
    <row r="104" spans="12:20" ht="16.5" customHeight="1">
      <c r="L104" s="258"/>
      <c r="N104" s="259"/>
      <c r="T104" s="113"/>
    </row>
    <row r="105" spans="12:20" ht="16.5" customHeight="1">
      <c r="L105" s="258"/>
      <c r="N105" s="259"/>
      <c r="T105" s="113"/>
    </row>
    <row r="106" spans="12:20" ht="16.5" customHeight="1">
      <c r="L106" s="258"/>
      <c r="N106" s="259"/>
      <c r="T106" s="113"/>
    </row>
    <row r="107" spans="12:20" ht="16.5" customHeight="1">
      <c r="L107" s="258"/>
      <c r="N107" s="259"/>
      <c r="T107" s="113"/>
    </row>
    <row r="108" spans="12:20" ht="16.5" customHeight="1">
      <c r="L108" s="258"/>
      <c r="N108" s="259"/>
      <c r="T108" s="113"/>
    </row>
    <row r="109" spans="12:20" ht="16.5" customHeight="1">
      <c r="L109" s="258"/>
      <c r="N109" s="259"/>
      <c r="T109" s="113"/>
    </row>
    <row r="110" spans="12:20" ht="16.5" customHeight="1">
      <c r="L110" s="258"/>
      <c r="N110" s="259"/>
      <c r="T110" s="113"/>
    </row>
    <row r="111" spans="12:20" ht="16.5" customHeight="1">
      <c r="L111" s="258"/>
      <c r="N111" s="259"/>
      <c r="T111" s="113"/>
    </row>
    <row r="112" spans="12:20" ht="16.5" customHeight="1">
      <c r="L112" s="258"/>
      <c r="N112" s="259"/>
      <c r="T112" s="113"/>
    </row>
    <row r="113" spans="12:20" ht="16.5" customHeight="1">
      <c r="L113" s="258"/>
      <c r="N113" s="259"/>
      <c r="T113" s="113"/>
    </row>
    <row r="114" spans="12:20" ht="16.5" customHeight="1">
      <c r="L114" s="258"/>
      <c r="N114" s="259"/>
      <c r="T114" s="113"/>
    </row>
    <row r="115" spans="12:20" ht="16.5" customHeight="1">
      <c r="L115" s="258"/>
      <c r="N115" s="259"/>
      <c r="T115" s="113"/>
    </row>
    <row r="116" spans="12:20" ht="16.5" customHeight="1">
      <c r="L116" s="258"/>
      <c r="N116" s="259"/>
      <c r="T116" s="113"/>
    </row>
    <row r="117" spans="12:20" ht="16.5" customHeight="1">
      <c r="L117" s="258"/>
      <c r="N117" s="259"/>
      <c r="T117" s="113"/>
    </row>
    <row r="118" spans="12:20" ht="16.5" customHeight="1">
      <c r="L118" s="258"/>
      <c r="N118" s="259"/>
      <c r="T118" s="113"/>
    </row>
    <row r="119" spans="12:20" ht="16.5" customHeight="1">
      <c r="L119" s="258"/>
      <c r="N119" s="259"/>
      <c r="T119" s="113"/>
    </row>
    <row r="120" spans="12:20" ht="16.5" customHeight="1">
      <c r="L120" s="258"/>
      <c r="N120" s="259"/>
      <c r="T120" s="113"/>
    </row>
    <row r="121" spans="12:20" ht="16.5" customHeight="1">
      <c r="L121" s="258"/>
      <c r="N121" s="259"/>
      <c r="T121" s="113"/>
    </row>
    <row r="122" spans="12:20" ht="16.5" customHeight="1">
      <c r="L122" s="258"/>
      <c r="N122" s="259"/>
      <c r="T122" s="113"/>
    </row>
    <row r="123" spans="12:20" ht="16.5" customHeight="1">
      <c r="L123" s="258"/>
      <c r="N123" s="259"/>
      <c r="T123" s="113"/>
    </row>
    <row r="124" spans="12:20" ht="16.5" customHeight="1">
      <c r="L124" s="258"/>
      <c r="N124" s="259"/>
      <c r="T124" s="113"/>
    </row>
    <row r="125" spans="12:20" ht="16.5" customHeight="1">
      <c r="L125" s="258"/>
      <c r="N125" s="259"/>
      <c r="T125" s="113"/>
    </row>
    <row r="126" spans="12:20" ht="16.5" customHeight="1">
      <c r="L126" s="258"/>
      <c r="N126" s="259"/>
      <c r="T126" s="113"/>
    </row>
    <row r="127" spans="12:20" ht="16.5" customHeight="1">
      <c r="L127" s="258"/>
      <c r="N127" s="259"/>
      <c r="T127" s="113"/>
    </row>
    <row r="128" spans="12:20" ht="16.5" customHeight="1">
      <c r="L128" s="258"/>
      <c r="N128" s="259"/>
      <c r="T128" s="113"/>
    </row>
    <row r="129" spans="12:20" ht="16.5" customHeight="1">
      <c r="L129" s="258"/>
      <c r="N129" s="259"/>
      <c r="T129" s="113"/>
    </row>
    <row r="130" spans="12:20" ht="16.5" customHeight="1">
      <c r="L130" s="258"/>
      <c r="N130" s="259"/>
      <c r="T130" s="113"/>
    </row>
    <row r="131" spans="12:20" ht="16.5" customHeight="1">
      <c r="L131" s="258"/>
      <c r="T131" s="113"/>
    </row>
    <row r="132" spans="12:20" ht="16.5" customHeight="1">
      <c r="L132" s="258"/>
      <c r="T132" s="113"/>
    </row>
    <row r="133" spans="12:20" ht="16.5" customHeight="1">
      <c r="L133" s="258"/>
      <c r="T133" s="113"/>
    </row>
    <row r="134" spans="12:20" ht="16.5" customHeight="1">
      <c r="L134" s="258"/>
      <c r="T134" s="113"/>
    </row>
    <row r="135" spans="12:20" ht="16.5" customHeight="1">
      <c r="L135" s="258"/>
      <c r="T135" s="113"/>
    </row>
    <row r="136" spans="12:20" ht="16.5" customHeight="1">
      <c r="L136" s="258"/>
      <c r="T136" s="113"/>
    </row>
    <row r="137" spans="12:20" ht="16.5" customHeight="1">
      <c r="L137" s="258"/>
      <c r="T137" s="113"/>
    </row>
    <row r="138" spans="12:20" ht="16.5" customHeight="1">
      <c r="L138" s="258"/>
      <c r="T138" s="113"/>
    </row>
    <row r="139" spans="12:20" ht="16.5" customHeight="1">
      <c r="L139" s="258"/>
      <c r="T139" s="113"/>
    </row>
    <row r="140" spans="12:20" ht="16.5" customHeight="1">
      <c r="L140" s="258"/>
      <c r="T140" s="113"/>
    </row>
    <row r="141" spans="12:20" ht="16.5" customHeight="1">
      <c r="L141" s="258"/>
      <c r="T141" s="113"/>
    </row>
    <row r="142" spans="12:20" ht="16.5" customHeight="1">
      <c r="L142" s="258"/>
      <c r="T142" s="113"/>
    </row>
    <row r="143" spans="12:20" ht="16.5" customHeight="1">
      <c r="L143" s="258"/>
      <c r="T143" s="113"/>
    </row>
    <row r="144" spans="12:20" ht="16.5" customHeight="1">
      <c r="L144" s="258"/>
      <c r="T144" s="113"/>
    </row>
    <row r="145" spans="12:20" ht="16.5" customHeight="1">
      <c r="L145" s="258"/>
      <c r="T145" s="113"/>
    </row>
    <row r="146" spans="12:20" ht="16.5" customHeight="1">
      <c r="L146" s="258"/>
      <c r="T146" s="113"/>
    </row>
    <row r="147" spans="12:20" ht="16.5" customHeight="1">
      <c r="L147" s="258"/>
      <c r="T147" s="113"/>
    </row>
    <row r="148" spans="12:20" ht="16.5" customHeight="1">
      <c r="L148" s="258"/>
      <c r="T148" s="113"/>
    </row>
    <row r="149" spans="12:20" ht="16.5" customHeight="1">
      <c r="L149" s="258"/>
      <c r="T149" s="113"/>
    </row>
    <row r="150" spans="12:20" ht="16.5" customHeight="1">
      <c r="L150" s="258"/>
      <c r="T150" s="113"/>
    </row>
    <row r="151" spans="12:20" ht="16.5" customHeight="1">
      <c r="L151" s="258"/>
      <c r="T151" s="113"/>
    </row>
    <row r="152" spans="12:20" ht="16.5" customHeight="1">
      <c r="L152" s="258"/>
      <c r="T152" s="113"/>
    </row>
    <row r="153" spans="12:20" ht="16.5" customHeight="1">
      <c r="L153" s="258"/>
      <c r="T153" s="113"/>
    </row>
    <row r="154" spans="12:20" ht="16.5" customHeight="1">
      <c r="L154" s="258"/>
      <c r="T154" s="113"/>
    </row>
    <row r="155" spans="12:20" ht="16.5" customHeight="1">
      <c r="L155" s="258"/>
      <c r="T155" s="113"/>
    </row>
    <row r="156" spans="12:20" ht="16.5" customHeight="1">
      <c r="L156" s="258"/>
      <c r="T156" s="113"/>
    </row>
    <row r="157" spans="12:20" ht="16.5" customHeight="1">
      <c r="L157" s="258"/>
      <c r="T157" s="113"/>
    </row>
    <row r="158" spans="12:20" ht="16.5" customHeight="1">
      <c r="L158" s="258"/>
      <c r="T158" s="113"/>
    </row>
    <row r="159" spans="12:20" ht="16.5" customHeight="1">
      <c r="L159" s="258"/>
      <c r="T159" s="113"/>
    </row>
    <row r="160" spans="12:20" ht="16.5" customHeight="1">
      <c r="L160" s="258"/>
      <c r="T160" s="113"/>
    </row>
    <row r="161" spans="12:20" ht="16.5" customHeight="1">
      <c r="L161" s="258"/>
      <c r="T161" s="113"/>
    </row>
    <row r="162" spans="12:20" ht="16.5" customHeight="1">
      <c r="L162" s="258"/>
      <c r="T162" s="113"/>
    </row>
    <row r="163" spans="12:20" ht="16.5" customHeight="1">
      <c r="L163" s="258"/>
      <c r="T163" s="113"/>
    </row>
    <row r="164" spans="12:20" ht="16.5" customHeight="1">
      <c r="L164" s="258"/>
      <c r="T164" s="113"/>
    </row>
    <row r="165" spans="12:20" ht="16.5" customHeight="1">
      <c r="L165" s="258"/>
      <c r="T165" s="113"/>
    </row>
    <row r="166" spans="12:20" ht="16.5" customHeight="1">
      <c r="L166" s="258"/>
      <c r="T166" s="113"/>
    </row>
    <row r="167" spans="12:20" ht="16.5" customHeight="1">
      <c r="L167" s="258"/>
      <c r="T167" s="113"/>
    </row>
    <row r="168" spans="12:20" ht="16.5" customHeight="1">
      <c r="L168" s="258"/>
      <c r="T168" s="113"/>
    </row>
    <row r="169" spans="12:20" ht="16.5" customHeight="1">
      <c r="L169" s="258"/>
      <c r="T169" s="113"/>
    </row>
    <row r="170" spans="12:20" ht="16.5" customHeight="1">
      <c r="L170" s="258"/>
      <c r="T170" s="113"/>
    </row>
    <row r="171" spans="12:20" ht="16.5" customHeight="1">
      <c r="L171" s="258"/>
      <c r="T171" s="113"/>
    </row>
    <row r="172" spans="12:20" ht="16.5" customHeight="1">
      <c r="L172" s="258"/>
      <c r="T172" s="113"/>
    </row>
    <row r="173" spans="12:20" ht="16.5" customHeight="1">
      <c r="L173" s="258"/>
      <c r="T173" s="113"/>
    </row>
    <row r="174" spans="12:20" ht="16.5" customHeight="1">
      <c r="L174" s="258"/>
      <c r="T174" s="113"/>
    </row>
    <row r="175" spans="12:20" ht="16.5" customHeight="1">
      <c r="L175" s="258"/>
      <c r="T175" s="113"/>
    </row>
    <row r="176" spans="12:20" ht="16.5" customHeight="1">
      <c r="L176" s="258"/>
      <c r="T176" s="113"/>
    </row>
    <row r="177" spans="12:20" ht="16.5" customHeight="1">
      <c r="L177" s="258"/>
      <c r="T177" s="113"/>
    </row>
    <row r="178" spans="12:20" ht="16.5" customHeight="1">
      <c r="L178" s="258"/>
      <c r="T178" s="113"/>
    </row>
    <row r="179" spans="12:20" ht="16.5" customHeight="1">
      <c r="L179" s="258"/>
      <c r="T179" s="113"/>
    </row>
    <row r="180" spans="12:20" ht="16.5" customHeight="1">
      <c r="L180" s="258"/>
      <c r="T180" s="113"/>
    </row>
    <row r="181" spans="12:20" ht="16.5" customHeight="1">
      <c r="L181" s="258"/>
      <c r="T181" s="113"/>
    </row>
    <row r="182" spans="12:20" ht="16.5" customHeight="1">
      <c r="L182" s="258"/>
      <c r="T182" s="113"/>
    </row>
    <row r="183" spans="12:20" ht="16.5" customHeight="1">
      <c r="L183" s="258"/>
      <c r="T183" s="113"/>
    </row>
    <row r="184" spans="12:20" ht="16.5" customHeight="1">
      <c r="L184" s="258"/>
      <c r="T184" s="113"/>
    </row>
    <row r="185" spans="12:20" ht="16.5" customHeight="1">
      <c r="L185" s="258"/>
      <c r="T185" s="113"/>
    </row>
    <row r="186" spans="12:20" ht="16.5" customHeight="1">
      <c r="L186" s="258"/>
      <c r="T186" s="113"/>
    </row>
    <row r="187" spans="12:20" ht="16.5" customHeight="1">
      <c r="L187" s="258"/>
      <c r="T187" s="113"/>
    </row>
    <row r="188" spans="12:20" ht="16.5" customHeight="1">
      <c r="L188" s="258"/>
      <c r="T188" s="113"/>
    </row>
    <row r="189" spans="12:20" ht="16.5" customHeight="1">
      <c r="L189" s="258"/>
      <c r="T189" s="113"/>
    </row>
    <row r="190" spans="12:20" ht="16.5" customHeight="1">
      <c r="L190" s="258"/>
      <c r="T190" s="113"/>
    </row>
    <row r="191" spans="12:20" ht="16.5" customHeight="1">
      <c r="L191" s="258"/>
      <c r="T191" s="113"/>
    </row>
    <row r="192" spans="12:20" ht="16.5" customHeight="1">
      <c r="L192" s="258"/>
      <c r="T192" s="113"/>
    </row>
    <row r="193" spans="12:20" ht="16.5" customHeight="1">
      <c r="L193" s="258"/>
      <c r="T193" s="113"/>
    </row>
    <row r="194" spans="12:20" ht="16.5" customHeight="1">
      <c r="L194" s="258"/>
      <c r="T194" s="113"/>
    </row>
    <row r="195" spans="12:20" ht="16.5" customHeight="1">
      <c r="L195" s="258"/>
      <c r="T195" s="113"/>
    </row>
    <row r="196" spans="12:20" ht="16.5" customHeight="1">
      <c r="L196" s="258"/>
      <c r="T196" s="113"/>
    </row>
    <row r="197" spans="12:20" ht="16.5" customHeight="1">
      <c r="L197" s="258"/>
      <c r="T197" s="113"/>
    </row>
    <row r="198" spans="12:20" ht="16.5" customHeight="1">
      <c r="L198" s="258"/>
      <c r="T198" s="113"/>
    </row>
    <row r="199" spans="12:20" ht="16.5" customHeight="1">
      <c r="L199" s="258"/>
      <c r="T199" s="113"/>
    </row>
    <row r="200" spans="12:20" ht="16.5" customHeight="1">
      <c r="L200" s="258"/>
      <c r="T200" s="113"/>
    </row>
    <row r="201" spans="12:20" ht="16.5" customHeight="1">
      <c r="L201" s="258"/>
      <c r="T201" s="113"/>
    </row>
    <row r="202" spans="12:20" ht="16.5" customHeight="1">
      <c r="L202" s="258"/>
      <c r="T202" s="113"/>
    </row>
    <row r="203" spans="12:20" ht="16.5" customHeight="1">
      <c r="L203" s="258"/>
      <c r="T203" s="113"/>
    </row>
    <row r="204" spans="12:20" ht="16.5" customHeight="1">
      <c r="L204" s="258"/>
      <c r="T204" s="113"/>
    </row>
    <row r="205" spans="12:20" ht="16.5" customHeight="1">
      <c r="L205" s="258"/>
      <c r="T205" s="113"/>
    </row>
    <row r="206" spans="12:20" ht="16.5" customHeight="1">
      <c r="L206" s="258"/>
      <c r="T206" s="113"/>
    </row>
    <row r="207" spans="12:20" ht="16.5" customHeight="1">
      <c r="L207" s="258"/>
      <c r="T207" s="113"/>
    </row>
    <row r="208" spans="12:20" ht="16.5" customHeight="1">
      <c r="L208" s="258"/>
      <c r="T208" s="113"/>
    </row>
    <row r="209" spans="12:20" ht="16.5" customHeight="1">
      <c r="L209" s="258"/>
      <c r="T209" s="113"/>
    </row>
    <row r="210" spans="12:20" ht="16.5" customHeight="1">
      <c r="L210" s="258"/>
      <c r="T210" s="113"/>
    </row>
    <row r="211" spans="12:20" ht="16.5" customHeight="1">
      <c r="L211" s="258"/>
      <c r="T211" s="113"/>
    </row>
    <row r="212" spans="12:20" ht="16.5" customHeight="1">
      <c r="L212" s="258"/>
      <c r="T212" s="113"/>
    </row>
    <row r="213" spans="12:20" ht="16.5" customHeight="1">
      <c r="L213" s="258"/>
      <c r="T213" s="113"/>
    </row>
    <row r="214" spans="12:20" ht="16.5" customHeight="1">
      <c r="L214" s="258"/>
      <c r="T214" s="113"/>
    </row>
    <row r="215" spans="12:20" ht="16.5" customHeight="1">
      <c r="L215" s="258"/>
      <c r="T215" s="113"/>
    </row>
    <row r="216" spans="12:20" ht="16.5" customHeight="1">
      <c r="L216" s="258"/>
      <c r="T216" s="113"/>
    </row>
    <row r="217" spans="12:20" ht="16.5" customHeight="1">
      <c r="L217" s="258"/>
      <c r="T217" s="113"/>
    </row>
    <row r="218" spans="12:20" ht="16.5" customHeight="1">
      <c r="L218" s="258"/>
      <c r="T218" s="113"/>
    </row>
    <row r="219" spans="12:20" ht="16.5" customHeight="1">
      <c r="L219" s="258"/>
      <c r="T219" s="113"/>
    </row>
    <row r="220" spans="12:20" ht="16.5" customHeight="1">
      <c r="L220" s="258"/>
      <c r="T220" s="113"/>
    </row>
    <row r="221" spans="12:20" ht="16.5" customHeight="1">
      <c r="L221" s="258"/>
      <c r="T221" s="113"/>
    </row>
    <row r="222" spans="12:20" ht="16.5" customHeight="1">
      <c r="L222" s="258"/>
      <c r="T222" s="113"/>
    </row>
    <row r="223" spans="12:20" ht="16.5" customHeight="1">
      <c r="L223" s="258"/>
      <c r="T223" s="113"/>
    </row>
    <row r="224" spans="12:20" ht="16.5" customHeight="1">
      <c r="L224" s="258"/>
      <c r="T224" s="113"/>
    </row>
    <row r="225" spans="12:20" ht="16.5" customHeight="1">
      <c r="L225" s="258"/>
      <c r="T225" s="113"/>
    </row>
    <row r="226" spans="12:20" ht="16.5" customHeight="1">
      <c r="L226" s="258"/>
      <c r="T226" s="113"/>
    </row>
    <row r="227" spans="12:20" ht="16.5" customHeight="1">
      <c r="L227" s="258"/>
      <c r="T227" s="113"/>
    </row>
    <row r="228" spans="12:20" ht="16.5" customHeight="1">
      <c r="L228" s="258"/>
      <c r="T228" s="113"/>
    </row>
    <row r="229" spans="12:20" ht="16.5" customHeight="1">
      <c r="L229" s="258"/>
      <c r="T229" s="113"/>
    </row>
    <row r="230" spans="12:20" ht="16.5" customHeight="1">
      <c r="L230" s="258"/>
      <c r="T230" s="113"/>
    </row>
    <row r="231" spans="12:20" ht="16.5" customHeight="1">
      <c r="L231" s="258"/>
      <c r="T231" s="113"/>
    </row>
    <row r="232" spans="12:20" ht="16.5" customHeight="1">
      <c r="L232" s="258"/>
      <c r="T232" s="113"/>
    </row>
    <row r="233" spans="12:20" ht="16.5" customHeight="1">
      <c r="L233" s="258"/>
      <c r="T233" s="113"/>
    </row>
    <row r="234" spans="12:20" ht="16.5" customHeight="1">
      <c r="L234" s="258"/>
      <c r="T234" s="113"/>
    </row>
    <row r="235" spans="12:20" ht="16.5" customHeight="1">
      <c r="L235" s="258"/>
      <c r="T235" s="113"/>
    </row>
    <row r="236" spans="12:20" ht="16.5" customHeight="1">
      <c r="L236" s="258"/>
      <c r="T236" s="113"/>
    </row>
    <row r="237" spans="12:20" ht="16.5" customHeight="1">
      <c r="L237" s="258"/>
      <c r="T237" s="113"/>
    </row>
    <row r="238" spans="12:20" ht="16.5" customHeight="1">
      <c r="L238" s="258"/>
      <c r="T238" s="113"/>
    </row>
    <row r="239" spans="12:20" ht="16.5" customHeight="1">
      <c r="L239" s="258"/>
      <c r="T239" s="113"/>
    </row>
    <row r="240" spans="12:20" ht="16.5" customHeight="1">
      <c r="L240" s="258"/>
      <c r="T240" s="113"/>
    </row>
    <row r="241" spans="12:20" ht="16.5" customHeight="1">
      <c r="L241" s="258"/>
      <c r="T241" s="113"/>
    </row>
    <row r="242" spans="12:20" ht="16.5" customHeight="1">
      <c r="L242" s="258"/>
      <c r="T242" s="113"/>
    </row>
    <row r="243" spans="12:20" ht="16.5" customHeight="1">
      <c r="L243" s="258"/>
      <c r="T243" s="113"/>
    </row>
    <row r="244" spans="12:20" ht="16.5" customHeight="1">
      <c r="L244" s="258"/>
      <c r="T244" s="113"/>
    </row>
    <row r="245" spans="12:20" ht="16.5" customHeight="1">
      <c r="L245" s="258"/>
      <c r="T245" s="113"/>
    </row>
    <row r="246" spans="12:20" ht="16.5" customHeight="1">
      <c r="L246" s="258"/>
      <c r="T246" s="113"/>
    </row>
    <row r="247" spans="12:20" ht="16.5" customHeight="1">
      <c r="L247" s="258"/>
      <c r="T247" s="113"/>
    </row>
    <row r="248" spans="12:20" ht="16.5" customHeight="1">
      <c r="L248" s="258"/>
      <c r="T248" s="113"/>
    </row>
    <row r="249" spans="12:20" ht="16.5" customHeight="1">
      <c r="L249" s="258"/>
      <c r="T249" s="113"/>
    </row>
    <row r="250" spans="12:20" ht="16.5" customHeight="1">
      <c r="L250" s="258"/>
      <c r="T250" s="113"/>
    </row>
    <row r="251" spans="12:20" ht="16.5" customHeight="1">
      <c r="L251" s="258"/>
      <c r="T251" s="113"/>
    </row>
    <row r="252" spans="12:20" ht="16.5" customHeight="1">
      <c r="L252" s="258"/>
      <c r="T252" s="113"/>
    </row>
    <row r="253" spans="12:20" ht="16.5" customHeight="1">
      <c r="L253" s="258"/>
      <c r="T253" s="113"/>
    </row>
    <row r="254" spans="12:20" ht="16.5" customHeight="1">
      <c r="L254" s="258"/>
      <c r="T254" s="113"/>
    </row>
    <row r="255" spans="12:20" ht="16.5" customHeight="1">
      <c r="L255" s="258"/>
      <c r="T255" s="113"/>
    </row>
    <row r="256" spans="12:20" ht="16.5" customHeight="1">
      <c r="L256" s="258"/>
      <c r="T256" s="113"/>
    </row>
    <row r="257" spans="12:20" ht="16.5" customHeight="1">
      <c r="L257" s="258"/>
      <c r="T257" s="113"/>
    </row>
    <row r="258" spans="12:20" ht="16.5" customHeight="1">
      <c r="L258" s="258"/>
      <c r="T258" s="113"/>
    </row>
    <row r="259" spans="12:20" ht="16.5" customHeight="1">
      <c r="L259" s="258"/>
      <c r="T259" s="113"/>
    </row>
    <row r="260" spans="12:20" ht="16.5" customHeight="1">
      <c r="L260" s="258"/>
      <c r="T260" s="113"/>
    </row>
    <row r="261" spans="12:20" ht="16.5" customHeight="1">
      <c r="L261" s="258"/>
      <c r="T261" s="113"/>
    </row>
    <row r="262" spans="12:20" ht="16.5" customHeight="1">
      <c r="L262" s="258"/>
      <c r="T262" s="113"/>
    </row>
    <row r="263" spans="12:20" ht="16.5" customHeight="1">
      <c r="L263" s="258"/>
      <c r="T263" s="113"/>
    </row>
    <row r="264" spans="12:20" ht="16.5" customHeight="1">
      <c r="L264" s="258"/>
      <c r="T264" s="113"/>
    </row>
    <row r="265" spans="12:20" ht="16.5" customHeight="1">
      <c r="L265" s="258"/>
      <c r="T265" s="113"/>
    </row>
    <row r="266" spans="12:20" ht="16.5" customHeight="1">
      <c r="L266" s="258"/>
      <c r="T266" s="113"/>
    </row>
    <row r="267" spans="12:20" ht="16.5" customHeight="1">
      <c r="L267" s="258"/>
      <c r="T267" s="113"/>
    </row>
    <row r="268" spans="12:20" ht="16.5" customHeight="1">
      <c r="L268" s="258"/>
      <c r="T268" s="113"/>
    </row>
    <row r="269" spans="12:20" ht="16.5" customHeight="1">
      <c r="L269" s="258"/>
      <c r="T269" s="113"/>
    </row>
    <row r="270" spans="12:20" ht="16.5" customHeight="1">
      <c r="L270" s="258"/>
      <c r="T270" s="113"/>
    </row>
    <row r="271" spans="12:20" ht="16.5" customHeight="1">
      <c r="L271" s="258"/>
      <c r="T271" s="113"/>
    </row>
    <row r="272" spans="12:20" ht="16.5" customHeight="1">
      <c r="L272" s="258"/>
      <c r="T272" s="113"/>
    </row>
    <row r="273" spans="12:20" ht="16.5" customHeight="1">
      <c r="L273" s="258"/>
      <c r="T273" s="113"/>
    </row>
    <row r="274" spans="12:20" ht="16.5" customHeight="1">
      <c r="L274" s="258"/>
      <c r="T274" s="113"/>
    </row>
    <row r="275" spans="12:20" ht="16.5" customHeight="1">
      <c r="L275" s="258"/>
      <c r="T275" s="113"/>
    </row>
    <row r="276" spans="12:20" ht="16.5" customHeight="1">
      <c r="L276" s="258"/>
      <c r="T276" s="113"/>
    </row>
    <row r="277" spans="12:20" ht="16.5" customHeight="1">
      <c r="L277" s="258"/>
      <c r="T277" s="113"/>
    </row>
    <row r="278" spans="12:20" ht="16.5" customHeight="1">
      <c r="L278" s="258"/>
      <c r="T278" s="113"/>
    </row>
    <row r="279" spans="12:20" ht="16.5" customHeight="1">
      <c r="L279" s="258"/>
      <c r="T279" s="113"/>
    </row>
    <row r="280" spans="12:20" ht="16.5" customHeight="1">
      <c r="L280" s="258"/>
      <c r="T280" s="113"/>
    </row>
    <row r="281" spans="12:20" ht="16.5" customHeight="1">
      <c r="L281" s="258"/>
      <c r="T281" s="113"/>
    </row>
    <row r="282" spans="12:20" ht="16.5" customHeight="1">
      <c r="L282" s="258"/>
      <c r="T282" s="113"/>
    </row>
    <row r="283" spans="12:20" ht="16.5" customHeight="1">
      <c r="L283" s="258"/>
      <c r="T283" s="113"/>
    </row>
    <row r="284" spans="12:20" ht="16.5" customHeight="1">
      <c r="L284" s="258"/>
      <c r="T284" s="113"/>
    </row>
    <row r="285" spans="12:20" ht="16.5" customHeight="1">
      <c r="L285" s="258"/>
      <c r="T285" s="113"/>
    </row>
    <row r="286" spans="12:20" ht="16.5" customHeight="1">
      <c r="L286" s="258"/>
      <c r="T286" s="113"/>
    </row>
    <row r="287" spans="12:20" ht="16.5" customHeight="1">
      <c r="L287" s="258"/>
      <c r="T287" s="113"/>
    </row>
    <row r="288" spans="12:20" ht="16.5" customHeight="1">
      <c r="L288" s="258"/>
      <c r="T288" s="113"/>
    </row>
    <row r="289" spans="12:20" ht="16.5" customHeight="1">
      <c r="L289" s="258"/>
      <c r="T289" s="113"/>
    </row>
    <row r="290" spans="12:20" ht="16.5" customHeight="1">
      <c r="L290" s="258"/>
      <c r="T290" s="113"/>
    </row>
    <row r="291" spans="12:20" ht="16.5" customHeight="1">
      <c r="L291" s="258"/>
      <c r="T291" s="113"/>
    </row>
    <row r="292" spans="12:20" ht="16.5" customHeight="1">
      <c r="L292" s="258"/>
      <c r="T292" s="113"/>
    </row>
    <row r="293" spans="12:20" ht="16.5" customHeight="1">
      <c r="L293" s="258"/>
      <c r="T293" s="113"/>
    </row>
    <row r="294" spans="12:20" ht="16.5" customHeight="1">
      <c r="L294" s="258"/>
      <c r="T294" s="113"/>
    </row>
    <row r="295" spans="12:20" ht="16.5" customHeight="1">
      <c r="L295" s="258"/>
      <c r="T295" s="113"/>
    </row>
    <row r="296" spans="12:20" ht="16.5" customHeight="1">
      <c r="L296" s="258"/>
      <c r="T296" s="113"/>
    </row>
    <row r="297" spans="12:20" ht="16.5" customHeight="1">
      <c r="L297" s="258"/>
      <c r="T297" s="113"/>
    </row>
    <row r="298" spans="12:20" ht="16.5" customHeight="1">
      <c r="L298" s="258"/>
      <c r="T298" s="113"/>
    </row>
    <row r="299" spans="12:20" ht="16.5" customHeight="1">
      <c r="L299" s="258"/>
      <c r="T299" s="113"/>
    </row>
    <row r="300" spans="12:20" ht="16.5" customHeight="1">
      <c r="L300" s="258"/>
      <c r="T300" s="113"/>
    </row>
    <row r="301" spans="12:20" ht="16.5" customHeight="1">
      <c r="L301" s="258"/>
      <c r="T301" s="113"/>
    </row>
    <row r="302" spans="12:20" ht="16.5" customHeight="1">
      <c r="L302" s="258"/>
      <c r="T302" s="113"/>
    </row>
    <row r="303" spans="12:20" ht="16.5" customHeight="1">
      <c r="L303" s="258"/>
      <c r="T303" s="113"/>
    </row>
    <row r="304" spans="12:20" ht="16.5" customHeight="1">
      <c r="L304" s="258"/>
      <c r="T304" s="113"/>
    </row>
    <row r="305" spans="12:20" ht="16.5" customHeight="1">
      <c r="L305" s="258"/>
      <c r="T305" s="113"/>
    </row>
    <row r="306" spans="12:20" ht="16.5" customHeight="1">
      <c r="L306" s="258"/>
      <c r="T306" s="113"/>
    </row>
    <row r="307" spans="12:20" ht="16.5" customHeight="1">
      <c r="L307" s="258"/>
      <c r="T307" s="113"/>
    </row>
    <row r="308" spans="12:20" ht="16.5" customHeight="1">
      <c r="L308" s="258"/>
      <c r="T308" s="113"/>
    </row>
    <row r="309" spans="12:20" ht="16.5" customHeight="1">
      <c r="L309" s="258"/>
      <c r="T309" s="113"/>
    </row>
    <row r="310" spans="12:20" ht="16.5" customHeight="1">
      <c r="L310" s="258"/>
      <c r="T310" s="113"/>
    </row>
    <row r="311" spans="12:20" ht="16.5" customHeight="1">
      <c r="L311" s="258"/>
      <c r="T311" s="113"/>
    </row>
    <row r="312" spans="12:20" ht="16.5" customHeight="1">
      <c r="L312" s="258"/>
      <c r="T312" s="113"/>
    </row>
    <row r="313" spans="12:20" ht="16.5" customHeight="1">
      <c r="L313" s="258"/>
      <c r="T313" s="113"/>
    </row>
    <row r="314" spans="12:20" ht="16.5" customHeight="1">
      <c r="L314" s="258"/>
      <c r="T314" s="113"/>
    </row>
    <row r="315" spans="12:20" ht="16.5" customHeight="1">
      <c r="L315" s="258"/>
      <c r="T315" s="113"/>
    </row>
    <row r="316" spans="12:20" ht="16.5" customHeight="1">
      <c r="L316" s="258"/>
      <c r="T316" s="113"/>
    </row>
    <row r="317" spans="12:20" ht="16.5" customHeight="1">
      <c r="L317" s="258"/>
      <c r="T317" s="113"/>
    </row>
    <row r="318" spans="12:20" ht="16.5" customHeight="1">
      <c r="L318" s="258"/>
      <c r="T318" s="113"/>
    </row>
    <row r="319" spans="12:20" ht="16.5" customHeight="1">
      <c r="L319" s="258"/>
      <c r="T319" s="113"/>
    </row>
    <row r="320" spans="12:20" ht="16.5" customHeight="1">
      <c r="L320" s="258"/>
      <c r="T320" s="113"/>
    </row>
    <row r="321" spans="12:20" ht="16.5" customHeight="1">
      <c r="L321" s="258"/>
      <c r="T321" s="113"/>
    </row>
    <row r="322" spans="12:20" ht="16.5" customHeight="1">
      <c r="L322" s="258"/>
      <c r="T322" s="113"/>
    </row>
    <row r="323" spans="12:20" ht="16.5" customHeight="1">
      <c r="L323" s="258"/>
      <c r="T323" s="113"/>
    </row>
    <row r="324" spans="12:20" ht="16.5" customHeight="1">
      <c r="L324" s="258"/>
      <c r="T324" s="113"/>
    </row>
    <row r="325" spans="12:20" ht="16.5" customHeight="1">
      <c r="L325" s="258"/>
      <c r="T325" s="113"/>
    </row>
    <row r="326" spans="12:20" ht="16.5" customHeight="1">
      <c r="L326" s="258"/>
      <c r="T326" s="113"/>
    </row>
    <row r="327" spans="12:20" ht="16.5" customHeight="1">
      <c r="L327" s="258"/>
      <c r="T327" s="113"/>
    </row>
    <row r="328" spans="12:20" ht="16.5" customHeight="1">
      <c r="L328" s="258"/>
      <c r="T328" s="113"/>
    </row>
    <row r="329" spans="12:20" ht="16.5" customHeight="1">
      <c r="L329" s="258"/>
      <c r="T329" s="113"/>
    </row>
    <row r="330" spans="12:20" ht="16.5" customHeight="1">
      <c r="L330" s="258"/>
      <c r="T330" s="113"/>
    </row>
    <row r="331" spans="12:20" ht="16.5" customHeight="1">
      <c r="L331" s="258"/>
      <c r="T331" s="113"/>
    </row>
    <row r="332" spans="12:20" ht="16.5" customHeight="1">
      <c r="L332" s="258"/>
      <c r="T332" s="113"/>
    </row>
    <row r="333" spans="12:20" ht="16.5" customHeight="1">
      <c r="L333" s="258"/>
      <c r="T333" s="113"/>
    </row>
    <row r="334" spans="12:20" ht="16.5" customHeight="1">
      <c r="L334" s="258"/>
      <c r="T334" s="113"/>
    </row>
    <row r="335" spans="12:20" ht="16.5" customHeight="1">
      <c r="L335" s="258"/>
      <c r="T335" s="113"/>
    </row>
    <row r="336" spans="12:20" ht="16.5" customHeight="1">
      <c r="L336" s="258"/>
      <c r="T336" s="113"/>
    </row>
    <row r="337" spans="12:20" ht="16.5" customHeight="1">
      <c r="L337" s="258"/>
      <c r="T337" s="113"/>
    </row>
    <row r="338" spans="12:20" ht="16.5" customHeight="1">
      <c r="L338" s="258"/>
      <c r="T338" s="113"/>
    </row>
    <row r="339" spans="12:20" ht="16.5" customHeight="1">
      <c r="L339" s="258"/>
      <c r="T339" s="113"/>
    </row>
    <row r="340" spans="12:20" ht="16.5" customHeight="1">
      <c r="L340" s="258"/>
      <c r="T340" s="113"/>
    </row>
    <row r="341" spans="12:20" ht="16.5" customHeight="1">
      <c r="L341" s="258"/>
      <c r="T341" s="113"/>
    </row>
    <row r="342" spans="12:20" ht="16.5" customHeight="1">
      <c r="L342" s="258"/>
      <c r="T342" s="113"/>
    </row>
    <row r="343" spans="12:20" ht="16.5" customHeight="1">
      <c r="L343" s="258"/>
      <c r="T343" s="113"/>
    </row>
    <row r="344" spans="12:20" ht="16.5" customHeight="1">
      <c r="L344" s="258"/>
      <c r="T344" s="113"/>
    </row>
    <row r="345" spans="12:20" ht="16.5" customHeight="1">
      <c r="L345" s="258"/>
      <c r="T345" s="113"/>
    </row>
    <row r="346" spans="12:20" ht="16.5" customHeight="1">
      <c r="L346" s="258"/>
      <c r="T346" s="113"/>
    </row>
    <row r="347" spans="12:20" ht="16.5" customHeight="1">
      <c r="L347" s="258"/>
      <c r="T347" s="113"/>
    </row>
    <row r="348" spans="12:20" ht="16.5" customHeight="1">
      <c r="L348" s="258"/>
      <c r="T348" s="113"/>
    </row>
    <row r="349" spans="12:20" ht="16.5" customHeight="1">
      <c r="L349" s="258"/>
      <c r="T349" s="113"/>
    </row>
    <row r="350" spans="12:20" ht="16.5" customHeight="1">
      <c r="L350" s="258"/>
      <c r="T350" s="113"/>
    </row>
    <row r="351" spans="12:20" ht="16.5" customHeight="1">
      <c r="L351" s="258"/>
      <c r="T351" s="113"/>
    </row>
    <row r="352" spans="12:20" ht="16.5" customHeight="1">
      <c r="L352" s="258"/>
      <c r="T352" s="113"/>
    </row>
    <row r="353" spans="12:20" ht="16.5" customHeight="1">
      <c r="L353" s="258"/>
      <c r="T353" s="113"/>
    </row>
    <row r="354" spans="12:20" ht="16.5" customHeight="1">
      <c r="L354" s="258"/>
      <c r="T354" s="113"/>
    </row>
    <row r="355" spans="12:20" ht="16.5" customHeight="1">
      <c r="L355" s="258"/>
      <c r="T355" s="113"/>
    </row>
    <row r="356" spans="12:20" ht="16.5" customHeight="1">
      <c r="L356" s="258"/>
      <c r="T356" s="113"/>
    </row>
    <row r="357" spans="12:20" ht="16.5" customHeight="1">
      <c r="L357" s="258"/>
      <c r="T357" s="113"/>
    </row>
    <row r="358" spans="12:20" ht="16.5" customHeight="1">
      <c r="L358" s="258"/>
      <c r="T358" s="113"/>
    </row>
    <row r="359" spans="12:20" ht="16.5" customHeight="1">
      <c r="L359" s="258"/>
      <c r="T359" s="113"/>
    </row>
    <row r="360" spans="12:20" ht="16.5" customHeight="1">
      <c r="L360" s="258"/>
      <c r="T360" s="113"/>
    </row>
    <row r="361" spans="12:20" ht="16.5" customHeight="1">
      <c r="L361" s="258"/>
      <c r="T361" s="113"/>
    </row>
    <row r="362" spans="12:20" ht="16.5" customHeight="1">
      <c r="L362" s="258"/>
      <c r="T362" s="113"/>
    </row>
    <row r="363" spans="12:20" ht="16.5" customHeight="1">
      <c r="L363" s="258"/>
      <c r="T363" s="113"/>
    </row>
    <row r="364" spans="12:20" ht="16.5" customHeight="1">
      <c r="L364" s="258"/>
      <c r="T364" s="113"/>
    </row>
    <row r="365" spans="12:20" ht="16.5" customHeight="1">
      <c r="L365" s="258"/>
      <c r="T365" s="113"/>
    </row>
    <row r="366" spans="12:20" ht="16.5" customHeight="1">
      <c r="L366" s="258"/>
      <c r="T366" s="113"/>
    </row>
    <row r="367" spans="12:20" ht="16.5" customHeight="1">
      <c r="L367" s="258"/>
      <c r="T367" s="113"/>
    </row>
    <row r="368" spans="12:20" ht="16.5" customHeight="1">
      <c r="L368" s="258"/>
      <c r="T368" s="113"/>
    </row>
    <row r="369" spans="12:20" ht="16.5" customHeight="1">
      <c r="L369" s="258"/>
      <c r="T369" s="113"/>
    </row>
    <row r="370" spans="12:20" ht="16.5" customHeight="1">
      <c r="L370" s="258"/>
      <c r="T370" s="113"/>
    </row>
    <row r="371" spans="12:20" ht="16.5" customHeight="1">
      <c r="L371" s="258"/>
      <c r="T371" s="113"/>
    </row>
    <row r="372" spans="12:20" ht="16.5" customHeight="1">
      <c r="L372" s="258"/>
      <c r="T372" s="113"/>
    </row>
    <row r="373" spans="12:20" ht="16.5" customHeight="1">
      <c r="T373" s="113"/>
    </row>
    <row r="374" spans="12:20" ht="16.5" customHeight="1">
      <c r="T374" s="113"/>
    </row>
    <row r="375" spans="12:20" ht="16.5" customHeight="1">
      <c r="T375" s="113"/>
    </row>
    <row r="376" spans="12:20" ht="16.5" customHeight="1">
      <c r="T376" s="113"/>
    </row>
    <row r="377" spans="12:20" ht="16.5" customHeight="1">
      <c r="T377" s="113"/>
    </row>
    <row r="378" spans="12:20" ht="16.5" customHeight="1">
      <c r="T378" s="113"/>
    </row>
    <row r="379" spans="12:20" ht="16.5" customHeight="1">
      <c r="T379" s="113"/>
    </row>
    <row r="380" spans="12:20" ht="16.5" customHeight="1">
      <c r="T380" s="113"/>
    </row>
    <row r="381" spans="12:20" ht="16.5" customHeight="1">
      <c r="T381" s="113"/>
    </row>
    <row r="382" spans="12:20" ht="16.5" customHeight="1">
      <c r="T382" s="113"/>
    </row>
    <row r="383" spans="12:20" ht="16.5" customHeight="1">
      <c r="T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302C53CB-B158-42E2-8380-964D80A6961C}">
          <x14:formula1>
            <xm:f>공급업체코드!$D$3:$D$47</xm:f>
          </x14:formula1>
          <xm:sqref>E3:E79</xm:sqref>
        </x14:dataValidation>
        <x14:dataValidation type="list" allowBlank="1" showInputMessage="1" showErrorMessage="1" xr:uid="{D018A342-FBF5-4B0F-A008-56F384E506C7}">
          <x14:formula1>
            <xm:f>기계코드!$F$204:$F$205</xm:f>
          </x14:formula1>
          <xm:sqref>C3:C35</xm:sqref>
        </x14:dataValidation>
        <x14:dataValidation type="list" allowBlank="1" showInputMessage="1" showErrorMessage="1" xr:uid="{4CED2199-F8BA-46AE-A933-9CFBED867BB8}">
          <x14:formula1>
            <xm:f>기계코드!$F$204:$F$207</xm:f>
          </x14:formula1>
          <xm:sqref>C36</xm:sqref>
        </x14:dataValidation>
        <x14:dataValidation type="list" allowBlank="1" showInputMessage="1" showErrorMessage="1" xr:uid="{598572F3-BFBF-4ECD-9EF2-2CA8FEAA8F4D}">
          <x14:formula1>
            <xm:f>기계코드!$F$150:$F$155</xm:f>
          </x14:formula1>
          <xm:sqref>C37:C79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0CFE-3712-4352-BAEB-5D485ADAD4F9}">
  <sheetPr>
    <tabColor rgb="FF0070C0"/>
  </sheetPr>
  <dimension ref="A1:AE383"/>
  <sheetViews>
    <sheetView zoomScale="70" zoomScaleNormal="70" workbookViewId="0">
      <pane ySplit="2" topLeftCell="A3" activePane="bottomLeft" state="frozen"/>
      <selection pane="bottomLeft" activeCell="E16" sqref="E16"/>
    </sheetView>
  </sheetViews>
  <sheetFormatPr defaultRowHeight="16.5" customHeight="1"/>
  <cols>
    <col min="2" max="2" width="28.875" bestFit="1" customWidth="1"/>
    <col min="3" max="3" width="22.125" bestFit="1" customWidth="1"/>
    <col min="4" max="4" width="16.75" bestFit="1" customWidth="1"/>
    <col min="5" max="5" width="15.25" customWidth="1"/>
    <col min="6" max="6" width="12.375" customWidth="1"/>
    <col min="7" max="7" width="15.625" bestFit="1" customWidth="1"/>
    <col min="8" max="8" width="18.875" bestFit="1" customWidth="1"/>
    <col min="9" max="9" width="13" bestFit="1" customWidth="1"/>
    <col min="10" max="10" width="14.375" bestFit="1" customWidth="1"/>
    <col min="11" max="11" width="14.75" bestFit="1" customWidth="1"/>
    <col min="12" max="12" width="20.25" bestFit="1" customWidth="1"/>
    <col min="13" max="13" width="21.375" bestFit="1" customWidth="1"/>
    <col min="14" max="14" width="25.625" bestFit="1" customWidth="1"/>
    <col min="15" max="15" width="15.25" bestFit="1" customWidth="1"/>
    <col min="16" max="16" width="16.125" style="261" customWidth="1"/>
    <col min="17" max="17" width="25.75" style="10" bestFit="1" customWidth="1"/>
    <col min="18" max="18" width="16.125" style="260" customWidth="1"/>
    <col min="19" max="19" width="17" style="147" customWidth="1"/>
    <col min="20" max="20" width="21.25" bestFit="1" customWidth="1"/>
    <col min="21" max="21" width="20.5" style="18" customWidth="1"/>
    <col min="23" max="23" width="11.625" bestFit="1" customWidth="1"/>
    <col min="24" max="24" width="20.625" customWidth="1"/>
  </cols>
  <sheetData>
    <row r="1" spans="1:31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2203</v>
      </c>
      <c r="I1" s="10" t="s">
        <v>1318</v>
      </c>
      <c r="J1" s="10" t="s">
        <v>1319</v>
      </c>
      <c r="K1" s="10" t="s">
        <v>1320</v>
      </c>
      <c r="L1" s="10" t="s">
        <v>1321</v>
      </c>
      <c r="M1" s="10" t="s">
        <v>1322</v>
      </c>
      <c r="N1" s="10" t="s">
        <v>1323</v>
      </c>
      <c r="O1" s="17" t="s">
        <v>1324</v>
      </c>
      <c r="P1" s="131" t="s">
        <v>1290</v>
      </c>
      <c r="Q1" s="131" t="s">
        <v>1291</v>
      </c>
      <c r="R1" s="131" t="s">
        <v>1292</v>
      </c>
      <c r="S1" s="10" t="s">
        <v>1293</v>
      </c>
      <c r="T1" s="17" t="s">
        <v>1294</v>
      </c>
      <c r="U1" s="61" t="s">
        <v>1295</v>
      </c>
      <c r="V1" s="10" t="s">
        <v>1296</v>
      </c>
      <c r="W1" s="10" t="s">
        <v>1297</v>
      </c>
      <c r="X1" s="249" t="s">
        <v>1298</v>
      </c>
      <c r="Y1" s="10"/>
      <c r="Z1" s="10"/>
      <c r="AA1" s="10"/>
      <c r="AB1" s="10"/>
      <c r="AC1" s="10"/>
      <c r="AD1" s="10"/>
      <c r="AE1" s="10"/>
    </row>
    <row r="2" spans="1:31">
      <c r="A2" s="1"/>
      <c r="B2" s="2" t="s">
        <v>1439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2206</v>
      </c>
      <c r="I2" s="5" t="s">
        <v>1371</v>
      </c>
      <c r="J2" s="5" t="s">
        <v>1328</v>
      </c>
      <c r="K2" s="53" t="s">
        <v>1329</v>
      </c>
      <c r="L2" s="5" t="s">
        <v>1330</v>
      </c>
      <c r="M2" s="5" t="s">
        <v>1331</v>
      </c>
      <c r="N2" s="57" t="s">
        <v>1332</v>
      </c>
      <c r="O2" s="14" t="s">
        <v>1349</v>
      </c>
      <c r="P2" s="5" t="s">
        <v>1305</v>
      </c>
      <c r="Q2" s="5" t="s">
        <v>1306</v>
      </c>
      <c r="R2" s="5" t="s">
        <v>1307</v>
      </c>
      <c r="S2" s="120" t="s">
        <v>1308</v>
      </c>
      <c r="T2" s="252" t="s">
        <v>1309</v>
      </c>
      <c r="U2" s="241" t="s">
        <v>1310</v>
      </c>
      <c r="V2" s="54" t="s">
        <v>1311</v>
      </c>
      <c r="W2" s="3" t="s">
        <v>10</v>
      </c>
      <c r="X2" s="242" t="s">
        <v>1312</v>
      </c>
      <c r="Y2" s="1"/>
      <c r="Z2" s="1"/>
      <c r="AA2" s="1"/>
      <c r="AB2" s="1"/>
      <c r="AC2" s="41"/>
      <c r="AD2" s="41"/>
      <c r="AE2" s="41"/>
    </row>
    <row r="3" spans="1:31">
      <c r="B3" s="1" t="str">
        <f>D3&amp;"_"&amp;F3&amp;"_"&amp;H3</f>
        <v>M_DOD01_VM_ECOWO_5</v>
      </c>
      <c r="C3" s="7" t="s">
        <v>616</v>
      </c>
      <c r="D3" s="7" t="str" cm="1">
        <f t="array" ref="D3">INDEX(기계코드!$D$4:$D$1022,MATCH(1,(C3=기계코드!$F$4:$F$1022)*1,0))</f>
        <v>M_DOD01</v>
      </c>
      <c r="E3" s="7" t="s">
        <v>1223</v>
      </c>
      <c r="F3" s="7" t="str" cm="1">
        <f t="array" ref="F3">INDEX(공급업체코드!$B$3:$B$1000,MATCH(1,(E3=공급업체코드!$D$3:$D$1000)*1,0))</f>
        <v>VM_ECOWO</v>
      </c>
      <c r="G3" s="6" t="s">
        <v>2276</v>
      </c>
      <c r="H3" s="95">
        <v>5</v>
      </c>
      <c r="I3">
        <v>1.5</v>
      </c>
      <c r="J3" s="7" t="s">
        <v>990</v>
      </c>
      <c r="K3" s="7">
        <v>380</v>
      </c>
      <c r="L3" s="151">
        <v>0.86499999999999999</v>
      </c>
      <c r="M3" s="7">
        <v>0.9</v>
      </c>
      <c r="N3" s="7">
        <v>60</v>
      </c>
      <c r="O3">
        <v>1400</v>
      </c>
      <c r="P3" s="256" t="s">
        <v>1390</v>
      </c>
      <c r="Q3" s="10">
        <f t="shared" ref="Q3:Q27" si="0">IF(O3&lt;500,1,IF(O3&lt;1000,2,IF(O3&lt;5000,3,4)))</f>
        <v>3</v>
      </c>
      <c r="R3" s="257" t="s">
        <v>1391</v>
      </c>
      <c r="S3" s="153">
        <v>90000000</v>
      </c>
      <c r="T3" s="154"/>
      <c r="U3" s="152"/>
      <c r="V3" s="1" t="b">
        <v>1</v>
      </c>
      <c r="X3" s="133"/>
      <c r="AC3" s="41"/>
      <c r="AD3" s="41"/>
      <c r="AE3" s="41"/>
    </row>
    <row r="4" spans="1:31">
      <c r="B4" s="1" t="str">
        <f t="shared" ref="B4:B27" si="1">D4&amp;"_"&amp;F4&amp;"_"&amp;H4</f>
        <v>M_DOD01_VM_ECOWO_10</v>
      </c>
      <c r="C4" s="7" t="s">
        <v>616</v>
      </c>
      <c r="D4" s="7" t="str" cm="1">
        <f t="array" ref="D4">INDEX(기계코드!$D$4:$D$1022,MATCH(1,(C4=기계코드!$F$4:$F$1022)*1,0))</f>
        <v>M_DOD01</v>
      </c>
      <c r="E4" s="7" t="s">
        <v>1223</v>
      </c>
      <c r="F4" s="7" t="str" cm="1">
        <f t="array" ref="F4">INDEX(공급업체코드!$B$3:$B$1000,MATCH(1,(E4=공급업체코드!$D$3:$D$1000)*1,0))</f>
        <v>VM_ECOWO</v>
      </c>
      <c r="G4" s="6" t="s">
        <v>2276</v>
      </c>
      <c r="H4">
        <v>10</v>
      </c>
      <c r="I4">
        <v>1.5</v>
      </c>
      <c r="J4" s="7" t="s">
        <v>990</v>
      </c>
      <c r="K4" s="7">
        <v>380</v>
      </c>
      <c r="L4" s="151">
        <v>0.86499999999999999</v>
      </c>
      <c r="M4" s="7">
        <v>0.9</v>
      </c>
      <c r="N4" s="7">
        <v>60</v>
      </c>
      <c r="O4">
        <v>2800</v>
      </c>
      <c r="P4" s="258" t="s">
        <v>1390</v>
      </c>
      <c r="Q4" s="10">
        <f t="shared" si="0"/>
        <v>3</v>
      </c>
      <c r="R4" s="259" t="s">
        <v>1391</v>
      </c>
      <c r="S4" s="155">
        <v>120000000</v>
      </c>
      <c r="T4" s="63"/>
      <c r="U4" s="65"/>
      <c r="V4" s="1" t="b">
        <v>1</v>
      </c>
      <c r="X4" s="133"/>
      <c r="AC4" s="41"/>
      <c r="AD4" s="41"/>
      <c r="AE4" s="41"/>
    </row>
    <row r="5" spans="1:31">
      <c r="B5" s="1" t="str">
        <f t="shared" si="1"/>
        <v>M_DOD01_VM_ECOWO_15</v>
      </c>
      <c r="C5" s="7" t="s">
        <v>616</v>
      </c>
      <c r="D5" s="7" t="str" cm="1">
        <f t="array" ref="D5">INDEX(기계코드!$D$4:$D$1022,MATCH(1,(C5=기계코드!$F$4:$F$1022)*1,0))</f>
        <v>M_DOD01</v>
      </c>
      <c r="E5" s="7" t="s">
        <v>1223</v>
      </c>
      <c r="F5" s="7" t="str" cm="1">
        <f t="array" ref="F5">INDEX(공급업체코드!$B$3:$B$1000,MATCH(1,(E5=공급업체코드!$D$3:$D$1000)*1,0))</f>
        <v>VM_ECOWO</v>
      </c>
      <c r="G5" s="6" t="s">
        <v>2276</v>
      </c>
      <c r="H5">
        <v>15</v>
      </c>
      <c r="I5">
        <v>1.5</v>
      </c>
      <c r="J5" s="7" t="s">
        <v>990</v>
      </c>
      <c r="K5" s="7">
        <v>380</v>
      </c>
      <c r="L5" s="151">
        <v>0.86499999999999999</v>
      </c>
      <c r="M5" s="7">
        <v>0.9</v>
      </c>
      <c r="N5" s="7">
        <v>60</v>
      </c>
      <c r="O5">
        <v>3500</v>
      </c>
      <c r="P5" s="258" t="s">
        <v>1390</v>
      </c>
      <c r="Q5" s="10">
        <f t="shared" si="0"/>
        <v>3</v>
      </c>
      <c r="R5" s="259" t="s">
        <v>1391</v>
      </c>
      <c r="S5" s="155">
        <v>150000000</v>
      </c>
      <c r="T5" s="63"/>
      <c r="U5" s="65"/>
      <c r="V5" s="1" t="b">
        <v>1</v>
      </c>
      <c r="X5" s="133"/>
      <c r="AC5" s="41"/>
      <c r="AD5" s="41"/>
      <c r="AE5" s="41"/>
    </row>
    <row r="6" spans="1:31">
      <c r="B6" s="1" t="str">
        <f t="shared" si="1"/>
        <v>M_DOD01_VM_ECOWO_20</v>
      </c>
      <c r="C6" s="7" t="s">
        <v>616</v>
      </c>
      <c r="D6" s="7" t="str" cm="1">
        <f t="array" ref="D6">INDEX(기계코드!$D$4:$D$1022,MATCH(1,(C6=기계코드!$F$4:$F$1022)*1,0))</f>
        <v>M_DOD01</v>
      </c>
      <c r="E6" s="7" t="s">
        <v>1223</v>
      </c>
      <c r="F6" s="7" t="str" cm="1">
        <f t="array" ref="F6">INDEX(공급업체코드!$B$3:$B$1000,MATCH(1,(E6=공급업체코드!$D$3:$D$1000)*1,0))</f>
        <v>VM_ECOWO</v>
      </c>
      <c r="G6" s="6" t="s">
        <v>2276</v>
      </c>
      <c r="H6">
        <v>20</v>
      </c>
      <c r="I6">
        <v>2.2000000000000002</v>
      </c>
      <c r="J6" s="7" t="s">
        <v>990</v>
      </c>
      <c r="K6" s="7">
        <v>380</v>
      </c>
      <c r="L6" s="151">
        <v>0.89500000000000002</v>
      </c>
      <c r="M6" s="7">
        <v>0.9</v>
      </c>
      <c r="N6" s="7">
        <v>60</v>
      </c>
      <c r="O6">
        <v>5600</v>
      </c>
      <c r="P6" s="258" t="s">
        <v>1390</v>
      </c>
      <c r="Q6" s="10">
        <f t="shared" si="0"/>
        <v>4</v>
      </c>
      <c r="R6" s="259" t="s">
        <v>1391</v>
      </c>
      <c r="S6" s="155">
        <v>180000000</v>
      </c>
      <c r="T6" s="63"/>
      <c r="U6" s="65"/>
      <c r="V6" s="1" t="b">
        <v>1</v>
      </c>
      <c r="X6" s="133"/>
      <c r="AC6" s="41"/>
      <c r="AD6" s="41"/>
      <c r="AE6" s="41"/>
    </row>
    <row r="7" spans="1:31">
      <c r="B7" s="1" t="str">
        <f t="shared" si="1"/>
        <v>M_DOD01_VM_ECOWO_25</v>
      </c>
      <c r="C7" s="7" t="s">
        <v>616</v>
      </c>
      <c r="D7" s="7" t="str" cm="1">
        <f t="array" ref="D7">INDEX(기계코드!$D$4:$D$1022,MATCH(1,(C7=기계코드!$F$4:$F$1022)*1,0))</f>
        <v>M_DOD01</v>
      </c>
      <c r="E7" s="7" t="s">
        <v>1223</v>
      </c>
      <c r="F7" s="7" t="str" cm="1">
        <f t="array" ref="F7">INDEX(공급업체코드!$B$3:$B$1000,MATCH(1,(E7=공급업체코드!$D$3:$D$1000)*1,0))</f>
        <v>VM_ECOWO</v>
      </c>
      <c r="G7" s="6" t="s">
        <v>2276</v>
      </c>
      <c r="H7">
        <v>25</v>
      </c>
      <c r="I7">
        <v>2.2000000000000002</v>
      </c>
      <c r="J7" s="7" t="s">
        <v>990</v>
      </c>
      <c r="K7" s="7">
        <v>380</v>
      </c>
      <c r="L7" s="151">
        <v>0.89500000000000002</v>
      </c>
      <c r="M7" s="7">
        <v>0.9</v>
      </c>
      <c r="N7" s="7">
        <v>60</v>
      </c>
      <c r="O7">
        <v>7000</v>
      </c>
      <c r="P7" s="258" t="s">
        <v>1390</v>
      </c>
      <c r="Q7" s="10">
        <f t="shared" si="0"/>
        <v>4</v>
      </c>
      <c r="R7" s="259" t="s">
        <v>1391</v>
      </c>
      <c r="S7" s="155">
        <v>200000000</v>
      </c>
      <c r="T7" s="63"/>
      <c r="U7" s="65"/>
      <c r="V7" s="1" t="b">
        <v>1</v>
      </c>
      <c r="X7" s="113"/>
      <c r="AC7" s="41"/>
      <c r="AD7" s="41"/>
      <c r="AE7" s="41"/>
    </row>
    <row r="8" spans="1:31">
      <c r="B8" s="1" t="str">
        <f t="shared" si="1"/>
        <v>M_DOD01_VM_ECOWO_30</v>
      </c>
      <c r="C8" s="7" t="s">
        <v>616</v>
      </c>
      <c r="D8" s="7" t="str" cm="1">
        <f t="array" ref="D8">INDEX(기계코드!$D$4:$D$1022,MATCH(1,(C8=기계코드!$F$4:$F$1022)*1,0))</f>
        <v>M_DOD01</v>
      </c>
      <c r="E8" s="7" t="s">
        <v>1223</v>
      </c>
      <c r="F8" s="7" t="str" cm="1">
        <f t="array" ref="F8">INDEX(공급업체코드!$B$3:$B$1000,MATCH(1,(E8=공급업체코드!$D$3:$D$1000)*1,0))</f>
        <v>VM_ECOWO</v>
      </c>
      <c r="G8" s="6" t="s">
        <v>2276</v>
      </c>
      <c r="H8">
        <v>30</v>
      </c>
      <c r="I8">
        <v>2.2000000000000002</v>
      </c>
      <c r="J8" s="7" t="s">
        <v>990</v>
      </c>
      <c r="K8" s="7">
        <v>380</v>
      </c>
      <c r="L8" s="151">
        <v>0.89500000000000002</v>
      </c>
      <c r="M8" s="7">
        <v>0.9</v>
      </c>
      <c r="N8" s="7">
        <v>60</v>
      </c>
      <c r="O8">
        <v>8400</v>
      </c>
      <c r="P8" s="258" t="s">
        <v>1390</v>
      </c>
      <c r="Q8" s="10">
        <f t="shared" si="0"/>
        <v>4</v>
      </c>
      <c r="R8" s="259" t="s">
        <v>1391</v>
      </c>
      <c r="S8" s="155">
        <v>220000000</v>
      </c>
      <c r="T8" s="63"/>
      <c r="U8" s="65"/>
      <c r="V8" s="1" t="b">
        <v>1</v>
      </c>
      <c r="X8" s="113"/>
      <c r="AC8" s="41"/>
      <c r="AD8" s="41"/>
      <c r="AE8" s="41"/>
    </row>
    <row r="9" spans="1:31">
      <c r="B9" s="1" t="str">
        <f t="shared" si="1"/>
        <v>M_DOD01_VM_ECOWO_35</v>
      </c>
      <c r="C9" s="7" t="s">
        <v>616</v>
      </c>
      <c r="D9" s="7" t="str" cm="1">
        <f t="array" ref="D9">INDEX(기계코드!$D$4:$D$1022,MATCH(1,(C9=기계코드!$F$4:$F$1022)*1,0))</f>
        <v>M_DOD01</v>
      </c>
      <c r="E9" s="7" t="s">
        <v>1223</v>
      </c>
      <c r="F9" s="7" t="str" cm="1">
        <f t="array" ref="F9">INDEX(공급업체코드!$B$3:$B$1000,MATCH(1,(E9=공급업체코드!$D$3:$D$1000)*1,0))</f>
        <v>VM_ECOWO</v>
      </c>
      <c r="G9" s="6" t="s">
        <v>2276</v>
      </c>
      <c r="H9">
        <v>35</v>
      </c>
      <c r="I9">
        <v>2.2000000000000002</v>
      </c>
      <c r="J9" s="7" t="s">
        <v>990</v>
      </c>
      <c r="K9" s="7">
        <v>380</v>
      </c>
      <c r="L9" s="151">
        <v>0.89500000000000002</v>
      </c>
      <c r="M9" s="7">
        <v>0.9</v>
      </c>
      <c r="N9" s="7">
        <v>60</v>
      </c>
      <c r="O9">
        <v>9800</v>
      </c>
      <c r="P9" s="258" t="s">
        <v>1390</v>
      </c>
      <c r="Q9" s="10">
        <f t="shared" si="0"/>
        <v>4</v>
      </c>
      <c r="R9" s="259" t="s">
        <v>1391</v>
      </c>
      <c r="S9" s="155">
        <v>240000000</v>
      </c>
      <c r="T9" s="63"/>
      <c r="U9" s="65"/>
      <c r="V9" s="1" t="b">
        <v>1</v>
      </c>
      <c r="X9" s="113"/>
      <c r="AC9" s="40"/>
      <c r="AD9" s="40"/>
      <c r="AE9" s="41"/>
    </row>
    <row r="10" spans="1:31">
      <c r="B10" s="1" t="str">
        <f t="shared" si="1"/>
        <v>M_DOD01_VM_ECOWO_40</v>
      </c>
      <c r="C10" s="7" t="s">
        <v>616</v>
      </c>
      <c r="D10" s="7" t="str" cm="1">
        <f t="array" ref="D10">INDEX(기계코드!$D$4:$D$1022,MATCH(1,(C10=기계코드!$F$4:$F$1022)*1,0))</f>
        <v>M_DOD01</v>
      </c>
      <c r="E10" s="7" t="s">
        <v>1223</v>
      </c>
      <c r="F10" s="7" t="str" cm="1">
        <f t="array" ref="F10">INDEX(공급업체코드!$B$3:$B$1000,MATCH(1,(E10=공급업체코드!$D$3:$D$1000)*1,0))</f>
        <v>VM_ECOWO</v>
      </c>
      <c r="G10" s="6" t="s">
        <v>2276</v>
      </c>
      <c r="H10">
        <v>40</v>
      </c>
      <c r="I10">
        <v>2.2000000000000002</v>
      </c>
      <c r="J10" s="7" t="s">
        <v>990</v>
      </c>
      <c r="K10" s="7">
        <v>380</v>
      </c>
      <c r="L10" s="151">
        <v>0.89500000000000002</v>
      </c>
      <c r="M10" s="7">
        <v>0.9</v>
      </c>
      <c r="N10" s="7">
        <v>60</v>
      </c>
      <c r="O10">
        <v>11200</v>
      </c>
      <c r="P10" s="258" t="s">
        <v>1390</v>
      </c>
      <c r="Q10" s="10">
        <f t="shared" si="0"/>
        <v>4</v>
      </c>
      <c r="R10" s="259" t="s">
        <v>1391</v>
      </c>
      <c r="S10" s="147">
        <v>260000000</v>
      </c>
      <c r="V10" s="1" t="b">
        <v>1</v>
      </c>
      <c r="X10" s="113"/>
    </row>
    <row r="11" spans="1:31">
      <c r="B11" s="1" t="str">
        <f t="shared" si="1"/>
        <v>M_DOD01_VM_ECOWO_50</v>
      </c>
      <c r="C11" s="7" t="s">
        <v>616</v>
      </c>
      <c r="D11" s="7" t="str" cm="1">
        <f t="array" ref="D11">INDEX(기계코드!$D$4:$D$1022,MATCH(1,(C11=기계코드!$F$4:$F$1022)*1,0))</f>
        <v>M_DOD01</v>
      </c>
      <c r="E11" s="7" t="s">
        <v>1223</v>
      </c>
      <c r="F11" s="7" t="str" cm="1">
        <f t="array" ref="F11">INDEX(공급업체코드!$B$3:$B$1000,MATCH(1,(E11=공급업체코드!$D$3:$D$1000)*1,0))</f>
        <v>VM_ECOWO</v>
      </c>
      <c r="G11" s="6" t="s">
        <v>2276</v>
      </c>
      <c r="H11">
        <v>50</v>
      </c>
      <c r="I11">
        <v>3.7</v>
      </c>
      <c r="J11" s="7" t="s">
        <v>990</v>
      </c>
      <c r="K11" s="7">
        <v>380</v>
      </c>
      <c r="L11" s="151">
        <v>0.89500000000000002</v>
      </c>
      <c r="M11" s="7">
        <v>0.9</v>
      </c>
      <c r="N11" s="7">
        <v>60</v>
      </c>
      <c r="O11">
        <v>14000</v>
      </c>
      <c r="P11" s="258" t="s">
        <v>1390</v>
      </c>
      <c r="Q11" s="10">
        <f t="shared" si="0"/>
        <v>4</v>
      </c>
      <c r="R11" s="259" t="s">
        <v>1391</v>
      </c>
      <c r="S11" s="147">
        <v>280000000</v>
      </c>
      <c r="V11" s="1" t="b">
        <v>1</v>
      </c>
      <c r="X11" s="113"/>
    </row>
    <row r="12" spans="1:31">
      <c r="B12" s="1" t="str">
        <f t="shared" si="1"/>
        <v>M_DOD01_VM_ECOWO_70</v>
      </c>
      <c r="C12" s="7" t="s">
        <v>616</v>
      </c>
      <c r="D12" s="7" t="str" cm="1">
        <f t="array" ref="D12">INDEX(기계코드!$D$4:$D$1022,MATCH(1,(C12=기계코드!$F$4:$F$1022)*1,0))</f>
        <v>M_DOD01</v>
      </c>
      <c r="E12" s="7" t="s">
        <v>1223</v>
      </c>
      <c r="F12" s="7" t="str" cm="1">
        <f t="array" ref="F12">INDEX(공급업체코드!$B$3:$B$1000,MATCH(1,(E12=공급업체코드!$D$3:$D$1000)*1,0))</f>
        <v>VM_ECOWO</v>
      </c>
      <c r="G12" s="6" t="s">
        <v>2276</v>
      </c>
      <c r="H12">
        <v>70</v>
      </c>
      <c r="I12">
        <v>5.5</v>
      </c>
      <c r="J12" s="7" t="s">
        <v>990</v>
      </c>
      <c r="K12" s="7">
        <v>380</v>
      </c>
      <c r="L12" s="151">
        <v>0.91700000000000004</v>
      </c>
      <c r="M12" s="7">
        <v>0.9</v>
      </c>
      <c r="N12" s="7">
        <v>60</v>
      </c>
      <c r="O12">
        <v>16000</v>
      </c>
      <c r="P12" s="258" t="s">
        <v>1390</v>
      </c>
      <c r="Q12" s="10">
        <f t="shared" si="0"/>
        <v>4</v>
      </c>
      <c r="R12" s="259" t="s">
        <v>1391</v>
      </c>
      <c r="S12" s="147">
        <v>300000000</v>
      </c>
      <c r="V12" s="1" t="b">
        <v>1</v>
      </c>
      <c r="X12" s="113"/>
    </row>
    <row r="13" spans="1:31">
      <c r="B13" s="1" t="str">
        <f t="shared" si="1"/>
        <v>M_DOD01_VM_ECOWO_100</v>
      </c>
      <c r="C13" s="7" t="s">
        <v>616</v>
      </c>
      <c r="D13" s="7" t="str" cm="1">
        <f t="array" ref="D13">INDEX(기계코드!$D$4:$D$1022,MATCH(1,(C13=기계코드!$F$4:$F$1022)*1,0))</f>
        <v>M_DOD01</v>
      </c>
      <c r="E13" s="7" t="s">
        <v>1223</v>
      </c>
      <c r="F13" s="7" t="str" cm="1">
        <f t="array" ref="F13">INDEX(공급업체코드!$B$3:$B$1000,MATCH(1,(E13=공급업체코드!$D$3:$D$1000)*1,0))</f>
        <v>VM_ECOWO</v>
      </c>
      <c r="G13" s="6" t="s">
        <v>2276</v>
      </c>
      <c r="H13">
        <v>100</v>
      </c>
      <c r="I13">
        <v>7.5</v>
      </c>
      <c r="J13" s="7" t="s">
        <v>990</v>
      </c>
      <c r="K13" s="7">
        <v>380</v>
      </c>
      <c r="L13" s="151">
        <v>0.91700000000000004</v>
      </c>
      <c r="M13" s="7">
        <v>0.9</v>
      </c>
      <c r="N13" s="7">
        <v>60</v>
      </c>
      <c r="O13">
        <v>17000</v>
      </c>
      <c r="P13" s="258" t="s">
        <v>1390</v>
      </c>
      <c r="Q13" s="10">
        <f t="shared" si="0"/>
        <v>4</v>
      </c>
      <c r="R13" s="259" t="s">
        <v>1391</v>
      </c>
      <c r="S13" s="147">
        <v>320000000</v>
      </c>
      <c r="V13" s="1" t="b">
        <v>1</v>
      </c>
      <c r="X13" s="113"/>
    </row>
    <row r="14" spans="1:31">
      <c r="B14" s="1" t="str">
        <f t="shared" si="1"/>
        <v>M_DOD01_VM_ECOWO_150</v>
      </c>
      <c r="C14" s="7" t="s">
        <v>616</v>
      </c>
      <c r="D14" s="7" t="str" cm="1">
        <f t="array" ref="D14">INDEX(기계코드!$D$4:$D$1022,MATCH(1,(C14=기계코드!$F$4:$F$1022)*1,0))</f>
        <v>M_DOD01</v>
      </c>
      <c r="E14" s="7" t="s">
        <v>1223</v>
      </c>
      <c r="F14" s="7" t="str" cm="1">
        <f t="array" ref="F14">INDEX(공급업체코드!$B$3:$B$1000,MATCH(1,(E14=공급업체코드!$D$3:$D$1000)*1,0))</f>
        <v>VM_ECOWO</v>
      </c>
      <c r="G14" s="6" t="s">
        <v>2276</v>
      </c>
      <c r="H14">
        <v>150</v>
      </c>
      <c r="I14">
        <v>12</v>
      </c>
      <c r="J14" s="7" t="s">
        <v>990</v>
      </c>
      <c r="K14" s="7">
        <v>380</v>
      </c>
      <c r="L14" s="151">
        <v>0.93</v>
      </c>
      <c r="M14" s="7">
        <v>0.9</v>
      </c>
      <c r="N14" s="7">
        <v>60</v>
      </c>
      <c r="O14">
        <v>25000</v>
      </c>
      <c r="P14" s="258" t="s">
        <v>1390</v>
      </c>
      <c r="Q14" s="10">
        <f t="shared" si="0"/>
        <v>4</v>
      </c>
      <c r="R14" s="259" t="s">
        <v>1391</v>
      </c>
      <c r="S14" s="147">
        <v>350000000</v>
      </c>
      <c r="V14" s="1" t="b">
        <v>1</v>
      </c>
      <c r="X14" s="113"/>
    </row>
    <row r="15" spans="1:31">
      <c r="B15" s="1" t="str">
        <f t="shared" si="1"/>
        <v>M_DOD01_VM_ECOWO_200</v>
      </c>
      <c r="C15" s="7" t="s">
        <v>616</v>
      </c>
      <c r="D15" s="7" t="str" cm="1">
        <f t="array" ref="D15">INDEX(기계코드!$D$4:$D$1022,MATCH(1,(C15=기계코드!$F$4:$F$1022)*1,0))</f>
        <v>M_DOD01</v>
      </c>
      <c r="E15" s="7" t="s">
        <v>1223</v>
      </c>
      <c r="F15" s="7" t="str" cm="1">
        <f t="array" ref="F15">INDEX(공급업체코드!$B$3:$B$1000,MATCH(1,(E15=공급업체코드!$D$3:$D$1000)*1,0))</f>
        <v>VM_ECOWO</v>
      </c>
      <c r="G15" s="6" t="s">
        <v>2276</v>
      </c>
      <c r="H15">
        <v>200</v>
      </c>
      <c r="I15">
        <v>15</v>
      </c>
      <c r="J15" s="7" t="s">
        <v>990</v>
      </c>
      <c r="K15" s="7">
        <v>380</v>
      </c>
      <c r="L15" s="151">
        <v>0.93</v>
      </c>
      <c r="M15" s="7">
        <v>0.9</v>
      </c>
      <c r="N15" s="7">
        <v>60</v>
      </c>
      <c r="O15">
        <v>35000</v>
      </c>
      <c r="P15" s="258" t="s">
        <v>1390</v>
      </c>
      <c r="Q15" s="10">
        <f t="shared" si="0"/>
        <v>4</v>
      </c>
      <c r="R15" s="259" t="s">
        <v>1391</v>
      </c>
      <c r="S15" s="147">
        <v>400000000</v>
      </c>
      <c r="V15" s="1" t="b">
        <v>1</v>
      </c>
      <c r="X15" s="113"/>
    </row>
    <row r="16" spans="1:31">
      <c r="B16" s="1" t="str">
        <f t="shared" si="1"/>
        <v>M_DOD01_VM_ECOWO_300</v>
      </c>
      <c r="C16" s="7" t="s">
        <v>616</v>
      </c>
      <c r="D16" s="7" t="str" cm="1">
        <f t="array" ref="D16">INDEX(기계코드!$D$4:$D$1022,MATCH(1,(C16=기계코드!$F$4:$F$1022)*1,0))</f>
        <v>M_DOD01</v>
      </c>
      <c r="E16" s="7" t="s">
        <v>1223</v>
      </c>
      <c r="F16" s="7" t="str" cm="1">
        <f t="array" ref="F16">INDEX(공급업체코드!$B$3:$B$1000,MATCH(1,(E16=공급업체코드!$D$3:$D$1000)*1,0))</f>
        <v>VM_ECOWO</v>
      </c>
      <c r="G16" s="6" t="s">
        <v>2276</v>
      </c>
      <c r="H16">
        <v>300</v>
      </c>
      <c r="I16">
        <v>22</v>
      </c>
      <c r="J16" s="7" t="s">
        <v>990</v>
      </c>
      <c r="K16" s="7">
        <v>380</v>
      </c>
      <c r="L16" s="151">
        <v>0.93599999999999994</v>
      </c>
      <c r="M16" s="7">
        <v>0.9</v>
      </c>
      <c r="N16" s="7">
        <v>60</v>
      </c>
      <c r="O16">
        <v>50000</v>
      </c>
      <c r="P16" s="258" t="s">
        <v>1390</v>
      </c>
      <c r="Q16" s="10">
        <f t="shared" si="0"/>
        <v>4</v>
      </c>
      <c r="R16" s="259" t="s">
        <v>1391</v>
      </c>
      <c r="S16" s="147">
        <v>450000000</v>
      </c>
      <c r="V16" s="1" t="b">
        <v>1</v>
      </c>
      <c r="X16" s="113"/>
    </row>
    <row r="17" spans="2:24">
      <c r="B17" s="1" t="str">
        <f t="shared" si="1"/>
        <v>M_DOD02_VM_EWH_SYS_5</v>
      </c>
      <c r="C17" s="7" t="s">
        <v>619</v>
      </c>
      <c r="D17" s="7" t="str" cm="1">
        <f t="array" ref="D17">INDEX(기계코드!$D$4:$D$1022,MATCH(1,(C17=기계코드!$F$4:$F$1022)*1,0))</f>
        <v>M_DOD02</v>
      </c>
      <c r="E17" s="7" t="s">
        <v>2259</v>
      </c>
      <c r="F17" s="7" t="str" cm="1">
        <f t="array" ref="F17">INDEX(공급업체코드!$B$3:$B$1000,MATCH(1,(E17=공급업체코드!$D$3:$D$1000)*1,0))</f>
        <v>VM_EWH_SYS</v>
      </c>
      <c r="G17" t="s">
        <v>2277</v>
      </c>
      <c r="H17">
        <v>5</v>
      </c>
      <c r="I17">
        <v>1.5</v>
      </c>
      <c r="J17" s="7" t="s">
        <v>990</v>
      </c>
      <c r="K17" s="7">
        <v>380</v>
      </c>
      <c r="L17" s="151">
        <v>0.86499999999999999</v>
      </c>
      <c r="M17" s="7">
        <v>0.9</v>
      </c>
      <c r="N17" s="7">
        <v>60</v>
      </c>
      <c r="O17">
        <v>1400</v>
      </c>
      <c r="P17" s="258" t="s">
        <v>1390</v>
      </c>
      <c r="Q17" s="10">
        <f t="shared" si="0"/>
        <v>3</v>
      </c>
      <c r="R17" s="259" t="s">
        <v>1391</v>
      </c>
      <c r="S17" s="147">
        <v>290000000</v>
      </c>
      <c r="V17" s="1" t="b">
        <v>1</v>
      </c>
      <c r="X17" s="113"/>
    </row>
    <row r="18" spans="2:24">
      <c r="B18" s="1" t="str">
        <f t="shared" si="1"/>
        <v>M_DOD02_VM_EWH_SYS_10</v>
      </c>
      <c r="C18" s="7" t="s">
        <v>619</v>
      </c>
      <c r="D18" s="7" t="str" cm="1">
        <f t="array" ref="D18">INDEX(기계코드!$D$4:$D$1022,MATCH(1,(C18=기계코드!$F$4:$F$1022)*1,0))</f>
        <v>M_DOD02</v>
      </c>
      <c r="E18" s="7" t="s">
        <v>2259</v>
      </c>
      <c r="F18" s="7" t="str" cm="1">
        <f t="array" ref="F18">INDEX(공급업체코드!$B$3:$B$1000,MATCH(1,(E18=공급업체코드!$D$3:$D$1000)*1,0))</f>
        <v>VM_EWH_SYS</v>
      </c>
      <c r="G18" t="s">
        <v>2277</v>
      </c>
      <c r="H18">
        <v>10</v>
      </c>
      <c r="I18">
        <v>1.5</v>
      </c>
      <c r="J18" s="7" t="s">
        <v>990</v>
      </c>
      <c r="K18" s="7">
        <v>380</v>
      </c>
      <c r="L18" s="151">
        <v>0.86499999999999999</v>
      </c>
      <c r="M18" s="7">
        <v>0.9</v>
      </c>
      <c r="N18" s="7">
        <v>60</v>
      </c>
      <c r="O18">
        <v>2800</v>
      </c>
      <c r="P18" s="258" t="s">
        <v>1390</v>
      </c>
      <c r="Q18" s="10">
        <f t="shared" si="0"/>
        <v>3</v>
      </c>
      <c r="R18" s="259" t="s">
        <v>1391</v>
      </c>
      <c r="S18" s="147">
        <v>375000000</v>
      </c>
      <c r="V18" s="1" t="b">
        <v>1</v>
      </c>
      <c r="X18" s="113"/>
    </row>
    <row r="19" spans="2:24">
      <c r="B19" s="1" t="str">
        <f t="shared" si="1"/>
        <v>M_DOD02_VM_EWH_SYS_20</v>
      </c>
      <c r="C19" s="7" t="s">
        <v>619</v>
      </c>
      <c r="D19" s="7" t="str" cm="1">
        <f t="array" ref="D19">INDEX(기계코드!$D$4:$D$1022,MATCH(1,(C19=기계코드!$F$4:$F$1022)*1,0))</f>
        <v>M_DOD02</v>
      </c>
      <c r="E19" s="7" t="s">
        <v>2259</v>
      </c>
      <c r="F19" s="7" t="str" cm="1">
        <f t="array" ref="F19">INDEX(공급업체코드!$B$3:$B$1000,MATCH(1,(E19=공급업체코드!$D$3:$D$1000)*1,0))</f>
        <v>VM_EWH_SYS</v>
      </c>
      <c r="G19" t="s">
        <v>2277</v>
      </c>
      <c r="H19">
        <v>20</v>
      </c>
      <c r="I19">
        <v>2.2000000000000002</v>
      </c>
      <c r="J19" s="7" t="s">
        <v>990</v>
      </c>
      <c r="K19" s="7">
        <v>380</v>
      </c>
      <c r="L19" s="151">
        <v>0.89500000000000002</v>
      </c>
      <c r="M19" s="7">
        <v>0.9</v>
      </c>
      <c r="N19" s="7">
        <v>60</v>
      </c>
      <c r="O19">
        <v>5600</v>
      </c>
      <c r="P19" s="258" t="s">
        <v>1390</v>
      </c>
      <c r="Q19" s="10">
        <f t="shared" si="0"/>
        <v>4</v>
      </c>
      <c r="R19" s="259" t="s">
        <v>1391</v>
      </c>
      <c r="S19" s="147">
        <v>450000000</v>
      </c>
      <c r="V19" s="1" t="b">
        <v>1</v>
      </c>
      <c r="X19" s="113"/>
    </row>
    <row r="20" spans="2:24">
      <c r="B20" s="1" t="str">
        <f t="shared" si="1"/>
        <v>M_DOD02_VM_EWH_SYS_30</v>
      </c>
      <c r="C20" s="7" t="s">
        <v>619</v>
      </c>
      <c r="D20" s="7" t="str" cm="1">
        <f t="array" ref="D20">INDEX(기계코드!$D$4:$D$1022,MATCH(1,(C20=기계코드!$F$4:$F$1022)*1,0))</f>
        <v>M_DOD02</v>
      </c>
      <c r="E20" s="7" t="s">
        <v>2259</v>
      </c>
      <c r="F20" s="7" t="str" cm="1">
        <f t="array" ref="F20">INDEX(공급업체코드!$B$3:$B$1000,MATCH(1,(E20=공급업체코드!$D$3:$D$1000)*1,0))</f>
        <v>VM_EWH_SYS</v>
      </c>
      <c r="G20" t="s">
        <v>2277</v>
      </c>
      <c r="H20">
        <v>30</v>
      </c>
      <c r="I20">
        <v>2.2000000000000002</v>
      </c>
      <c r="J20" s="7" t="s">
        <v>990</v>
      </c>
      <c r="K20" s="7">
        <v>380</v>
      </c>
      <c r="L20" s="151">
        <v>0.89500000000000002</v>
      </c>
      <c r="M20" s="7">
        <v>0.9</v>
      </c>
      <c r="N20" s="7">
        <v>60</v>
      </c>
      <c r="O20">
        <v>8400</v>
      </c>
      <c r="P20" s="258" t="s">
        <v>1390</v>
      </c>
      <c r="Q20" s="10">
        <f t="shared" si="0"/>
        <v>4</v>
      </c>
      <c r="R20" s="259" t="s">
        <v>1391</v>
      </c>
      <c r="S20" s="147">
        <v>515000000</v>
      </c>
      <c r="V20" s="1" t="b">
        <v>1</v>
      </c>
      <c r="X20" s="113"/>
    </row>
    <row r="21" spans="2:24">
      <c r="B21" s="1" t="str">
        <f t="shared" si="1"/>
        <v>M_DOD02_VM_EWH_SYS_40</v>
      </c>
      <c r="C21" s="7" t="s">
        <v>619</v>
      </c>
      <c r="D21" s="7" t="str" cm="1">
        <f t="array" ref="D21">INDEX(기계코드!$D$4:$D$1022,MATCH(1,(C21=기계코드!$F$4:$F$1022)*1,0))</f>
        <v>M_DOD02</v>
      </c>
      <c r="E21" s="7" t="s">
        <v>2259</v>
      </c>
      <c r="F21" s="7" t="str" cm="1">
        <f t="array" ref="F21">INDEX(공급업체코드!$B$3:$B$1000,MATCH(1,(E21=공급업체코드!$D$3:$D$1000)*1,0))</f>
        <v>VM_EWH_SYS</v>
      </c>
      <c r="G21" t="s">
        <v>2277</v>
      </c>
      <c r="H21">
        <v>40</v>
      </c>
      <c r="I21">
        <v>2.2000000000000002</v>
      </c>
      <c r="J21" s="7" t="s">
        <v>990</v>
      </c>
      <c r="K21" s="7">
        <v>380</v>
      </c>
      <c r="L21" s="151">
        <v>0.89500000000000002</v>
      </c>
      <c r="M21" s="7">
        <v>0.9</v>
      </c>
      <c r="N21" s="7">
        <v>60</v>
      </c>
      <c r="O21">
        <v>11200</v>
      </c>
      <c r="P21" s="258" t="s">
        <v>1390</v>
      </c>
      <c r="Q21" s="10">
        <f t="shared" si="0"/>
        <v>4</v>
      </c>
      <c r="R21" s="259" t="s">
        <v>1391</v>
      </c>
      <c r="S21" s="147">
        <v>590000000</v>
      </c>
      <c r="V21" s="1" t="b">
        <v>1</v>
      </c>
      <c r="X21" s="113"/>
    </row>
    <row r="22" spans="2:24">
      <c r="B22" s="1" t="str">
        <f t="shared" si="1"/>
        <v>M_DOD02_VM_EWH_SYS_50</v>
      </c>
      <c r="C22" s="7" t="s">
        <v>619</v>
      </c>
      <c r="D22" s="7" t="str" cm="1">
        <f t="array" ref="D22">INDEX(기계코드!$D$4:$D$1022,MATCH(1,(C22=기계코드!$F$4:$F$1022)*1,0))</f>
        <v>M_DOD02</v>
      </c>
      <c r="E22" s="7" t="s">
        <v>2259</v>
      </c>
      <c r="F22" s="7" t="str" cm="1">
        <f t="array" ref="F22">INDEX(공급업체코드!$B$3:$B$1000,MATCH(1,(E22=공급업체코드!$D$3:$D$1000)*1,0))</f>
        <v>VM_EWH_SYS</v>
      </c>
      <c r="G22" t="s">
        <v>2277</v>
      </c>
      <c r="H22">
        <v>50</v>
      </c>
      <c r="I22">
        <v>3.7</v>
      </c>
      <c r="J22" s="7" t="s">
        <v>990</v>
      </c>
      <c r="K22" s="7">
        <v>380</v>
      </c>
      <c r="L22" s="151">
        <v>0.89500000000000002</v>
      </c>
      <c r="M22" s="7">
        <v>0.9</v>
      </c>
      <c r="N22" s="7">
        <v>60</v>
      </c>
      <c r="O22">
        <v>14000</v>
      </c>
      <c r="P22" s="258" t="s">
        <v>1390</v>
      </c>
      <c r="Q22" s="10">
        <f t="shared" si="0"/>
        <v>4</v>
      </c>
      <c r="R22" s="259" t="s">
        <v>1391</v>
      </c>
      <c r="S22" s="147">
        <v>705000000</v>
      </c>
      <c r="V22" s="1" t="b">
        <v>1</v>
      </c>
      <c r="X22" s="113"/>
    </row>
    <row r="23" spans="2:24">
      <c r="B23" s="1" t="str">
        <f t="shared" si="1"/>
        <v>M_DOD02_VM_EWH_SYS_60</v>
      </c>
      <c r="C23" s="7" t="s">
        <v>619</v>
      </c>
      <c r="D23" s="7" t="str" cm="1">
        <f t="array" ref="D23">INDEX(기계코드!$D$4:$D$1022,MATCH(1,(C23=기계코드!$F$4:$F$1022)*1,0))</f>
        <v>M_DOD02</v>
      </c>
      <c r="E23" s="7" t="s">
        <v>2259</v>
      </c>
      <c r="F23" s="7" t="str" cm="1">
        <f t="array" ref="F23">INDEX(공급업체코드!$B$3:$B$1000,MATCH(1,(E23=공급업체코드!$D$3:$D$1000)*1,0))</f>
        <v>VM_EWH_SYS</v>
      </c>
      <c r="G23" t="s">
        <v>2277</v>
      </c>
      <c r="H23">
        <v>60</v>
      </c>
      <c r="I23">
        <v>5.5</v>
      </c>
      <c r="J23" s="7" t="s">
        <v>990</v>
      </c>
      <c r="K23" s="7">
        <v>380</v>
      </c>
      <c r="L23" s="151">
        <v>0.91700000000000004</v>
      </c>
      <c r="M23" s="7">
        <v>0.9</v>
      </c>
      <c r="N23" s="7">
        <v>60</v>
      </c>
      <c r="O23">
        <v>16000</v>
      </c>
      <c r="P23" s="258" t="s">
        <v>1390</v>
      </c>
      <c r="Q23" s="10">
        <f t="shared" si="0"/>
        <v>4</v>
      </c>
      <c r="R23" s="259" t="s">
        <v>1391</v>
      </c>
      <c r="S23" s="147">
        <v>780000000</v>
      </c>
      <c r="V23" s="1" t="b">
        <v>1</v>
      </c>
      <c r="X23" s="113"/>
    </row>
    <row r="24" spans="2:24">
      <c r="B24" s="1" t="str">
        <f t="shared" si="1"/>
        <v>M_DOD02_VM_EWH_SYS_80</v>
      </c>
      <c r="C24" s="7" t="s">
        <v>619</v>
      </c>
      <c r="D24" s="7" t="str" cm="1">
        <f t="array" ref="D24">INDEX(기계코드!$D$4:$D$1022,MATCH(1,(C24=기계코드!$F$4:$F$1022)*1,0))</f>
        <v>M_DOD02</v>
      </c>
      <c r="E24" s="7" t="s">
        <v>2259</v>
      </c>
      <c r="F24" s="7" t="str" cm="1">
        <f t="array" ref="F24">INDEX(공급업체코드!$B$3:$B$1000,MATCH(1,(E24=공급업체코드!$D$3:$D$1000)*1,0))</f>
        <v>VM_EWH_SYS</v>
      </c>
      <c r="G24" t="s">
        <v>2277</v>
      </c>
      <c r="H24">
        <v>80</v>
      </c>
      <c r="I24">
        <v>5.5</v>
      </c>
      <c r="J24" s="7" t="s">
        <v>990</v>
      </c>
      <c r="K24" s="7">
        <v>380</v>
      </c>
      <c r="L24" s="151">
        <v>0.91700000000000004</v>
      </c>
      <c r="M24" s="7">
        <v>0.9</v>
      </c>
      <c r="N24" s="7">
        <v>60</v>
      </c>
      <c r="O24">
        <v>16500</v>
      </c>
      <c r="P24" s="258" t="s">
        <v>1390</v>
      </c>
      <c r="Q24" s="10">
        <f t="shared" si="0"/>
        <v>4</v>
      </c>
      <c r="R24" s="259" t="s">
        <v>1391</v>
      </c>
      <c r="S24" s="147">
        <v>940000000</v>
      </c>
      <c r="V24" s="1" t="b">
        <v>1</v>
      </c>
      <c r="X24" s="113"/>
    </row>
    <row r="25" spans="2:24">
      <c r="B25" s="1" t="str">
        <f t="shared" si="1"/>
        <v>M_DOD02_VM_EWH_SYS_100</v>
      </c>
      <c r="C25" s="7" t="s">
        <v>619</v>
      </c>
      <c r="D25" s="7" t="str" cm="1">
        <f t="array" ref="D25">INDEX(기계코드!$D$4:$D$1022,MATCH(1,(C25=기계코드!$F$4:$F$1022)*1,0))</f>
        <v>M_DOD02</v>
      </c>
      <c r="E25" s="7" t="s">
        <v>2259</v>
      </c>
      <c r="F25" s="7" t="str" cm="1">
        <f t="array" ref="F25">INDEX(공급업체코드!$B$3:$B$1000,MATCH(1,(E25=공급업체코드!$D$3:$D$1000)*1,0))</f>
        <v>VM_EWH_SYS</v>
      </c>
      <c r="G25" t="s">
        <v>2277</v>
      </c>
      <c r="H25">
        <v>100</v>
      </c>
      <c r="I25">
        <v>7.5</v>
      </c>
      <c r="J25" s="7" t="s">
        <v>990</v>
      </c>
      <c r="K25" s="7">
        <v>380</v>
      </c>
      <c r="L25" s="151">
        <v>0.91700000000000004</v>
      </c>
      <c r="M25" s="7">
        <v>0.9</v>
      </c>
      <c r="N25" s="7">
        <v>60</v>
      </c>
      <c r="O25">
        <v>17000</v>
      </c>
      <c r="P25" s="258" t="s">
        <v>1390</v>
      </c>
      <c r="Q25" s="10">
        <f t="shared" si="0"/>
        <v>4</v>
      </c>
      <c r="R25" s="259" t="s">
        <v>1391</v>
      </c>
      <c r="S25" s="147">
        <v>985000000</v>
      </c>
      <c r="V25" s="1" t="b">
        <v>1</v>
      </c>
      <c r="X25" s="113"/>
    </row>
    <row r="26" spans="2:24">
      <c r="B26" s="1" t="str">
        <f t="shared" si="1"/>
        <v>M_DOD02_VM_EWH_SYS_150</v>
      </c>
      <c r="C26" s="7" t="s">
        <v>619</v>
      </c>
      <c r="D26" s="7" t="str" cm="1">
        <f t="array" ref="D26">INDEX(기계코드!$D$4:$D$1022,MATCH(1,(C26=기계코드!$F$4:$F$1022)*1,0))</f>
        <v>M_DOD02</v>
      </c>
      <c r="E26" s="7" t="s">
        <v>2259</v>
      </c>
      <c r="F26" s="7" t="str" cm="1">
        <f t="array" ref="F26">INDEX(공급업체코드!$B$3:$B$1000,MATCH(1,(E26=공급업체코드!$D$3:$D$1000)*1,0))</f>
        <v>VM_EWH_SYS</v>
      </c>
      <c r="G26" t="s">
        <v>2277</v>
      </c>
      <c r="H26">
        <v>150</v>
      </c>
      <c r="I26">
        <v>12</v>
      </c>
      <c r="J26" s="7" t="s">
        <v>990</v>
      </c>
      <c r="K26" s="7">
        <v>380</v>
      </c>
      <c r="L26" s="151">
        <v>0.93</v>
      </c>
      <c r="M26" s="7">
        <v>0.9</v>
      </c>
      <c r="N26" s="7">
        <v>60</v>
      </c>
      <c r="O26">
        <v>25000</v>
      </c>
      <c r="P26" s="258" t="s">
        <v>1390</v>
      </c>
      <c r="Q26" s="10">
        <f t="shared" si="0"/>
        <v>4</v>
      </c>
      <c r="R26" s="259" t="s">
        <v>1391</v>
      </c>
      <c r="S26" s="147">
        <v>1210000000</v>
      </c>
      <c r="V26" s="1" t="b">
        <v>1</v>
      </c>
      <c r="X26" s="113"/>
    </row>
    <row r="27" spans="2:24">
      <c r="B27" s="1" t="str">
        <f t="shared" si="1"/>
        <v>M_DOD02_VM_EWH_SYS_200</v>
      </c>
      <c r="C27" s="7" t="s">
        <v>619</v>
      </c>
      <c r="D27" s="7" t="str" cm="1">
        <f t="array" ref="D27">INDEX(기계코드!$D$4:$D$1022,MATCH(1,(C27=기계코드!$F$4:$F$1022)*1,0))</f>
        <v>M_DOD02</v>
      </c>
      <c r="E27" s="7" t="s">
        <v>2259</v>
      </c>
      <c r="F27" s="7" t="str" cm="1">
        <f t="array" ref="F27">INDEX(공급업체코드!$B$3:$B$1000,MATCH(1,(E27=공급업체코드!$D$3:$D$1000)*1,0))</f>
        <v>VM_EWH_SYS</v>
      </c>
      <c r="G27" t="s">
        <v>2277</v>
      </c>
      <c r="H27">
        <v>200</v>
      </c>
      <c r="I27">
        <v>15</v>
      </c>
      <c r="J27" s="7" t="s">
        <v>990</v>
      </c>
      <c r="K27" s="7">
        <v>380</v>
      </c>
      <c r="L27" s="151">
        <v>0.93</v>
      </c>
      <c r="M27" s="7">
        <v>0.9</v>
      </c>
      <c r="N27" s="7">
        <v>60</v>
      </c>
      <c r="O27">
        <v>35000</v>
      </c>
      <c r="P27" s="258" t="s">
        <v>1390</v>
      </c>
      <c r="Q27" s="10">
        <f t="shared" si="0"/>
        <v>4</v>
      </c>
      <c r="R27" s="259" t="s">
        <v>1391</v>
      </c>
      <c r="S27" s="147">
        <v>1420000000</v>
      </c>
      <c r="V27" s="1" t="b">
        <v>1</v>
      </c>
      <c r="X27" s="113"/>
    </row>
    <row r="28" spans="2:24" ht="16.5" customHeight="1">
      <c r="P28" s="258"/>
      <c r="R28" s="259"/>
      <c r="X28" s="113"/>
    </row>
    <row r="29" spans="2:24" ht="16.5" customHeight="1">
      <c r="P29" s="258"/>
      <c r="R29" s="259"/>
      <c r="X29" s="113"/>
    </row>
    <row r="30" spans="2:24" ht="16.5" customHeight="1">
      <c r="P30" s="258"/>
      <c r="R30" s="259"/>
      <c r="X30" s="113"/>
    </row>
    <row r="31" spans="2:24" ht="16.5" customHeight="1">
      <c r="P31" s="258"/>
      <c r="R31" s="259"/>
      <c r="X31" s="113"/>
    </row>
    <row r="32" spans="2:24" ht="16.5" customHeight="1">
      <c r="P32" s="258"/>
      <c r="R32" s="259"/>
      <c r="X32" s="113"/>
    </row>
    <row r="33" spans="16:24" ht="16.5" customHeight="1">
      <c r="P33" s="258"/>
      <c r="R33" s="259"/>
      <c r="X33" s="113"/>
    </row>
    <row r="34" spans="16:24" ht="16.5" customHeight="1">
      <c r="P34" s="258"/>
      <c r="R34" s="259"/>
      <c r="X34" s="113"/>
    </row>
    <row r="35" spans="16:24" ht="16.5" customHeight="1">
      <c r="P35" s="258"/>
      <c r="R35" s="259"/>
      <c r="X35" s="113"/>
    </row>
    <row r="36" spans="16:24" ht="16.5" customHeight="1">
      <c r="P36" s="258"/>
      <c r="R36" s="259"/>
      <c r="X36" s="113"/>
    </row>
    <row r="37" spans="16:24" ht="16.5" customHeight="1">
      <c r="P37" s="258"/>
      <c r="R37" s="259"/>
      <c r="X37" s="113"/>
    </row>
    <row r="38" spans="16:24" ht="16.5" customHeight="1">
      <c r="P38" s="258"/>
      <c r="R38" s="259"/>
      <c r="X38" s="113"/>
    </row>
    <row r="39" spans="16:24" ht="16.5" customHeight="1">
      <c r="P39" s="258"/>
      <c r="R39" s="259"/>
      <c r="X39" s="113"/>
    </row>
    <row r="40" spans="16:24" ht="16.5" customHeight="1">
      <c r="P40" s="258"/>
      <c r="R40" s="259"/>
      <c r="X40" s="113"/>
    </row>
    <row r="41" spans="16:24" ht="16.5" customHeight="1">
      <c r="P41" s="258"/>
      <c r="R41" s="259"/>
      <c r="X41" s="113"/>
    </row>
    <row r="42" spans="16:24" ht="16.5" customHeight="1">
      <c r="P42" s="258"/>
      <c r="R42" s="259"/>
      <c r="X42" s="113"/>
    </row>
    <row r="43" spans="16:24" ht="16.5" customHeight="1">
      <c r="P43" s="258"/>
      <c r="R43" s="259"/>
      <c r="X43" s="113"/>
    </row>
    <row r="44" spans="16:24" ht="16.5" customHeight="1">
      <c r="P44" s="258"/>
      <c r="R44" s="259"/>
      <c r="X44" s="113"/>
    </row>
    <row r="45" spans="16:24" ht="16.5" customHeight="1">
      <c r="P45" s="258"/>
      <c r="R45" s="259"/>
      <c r="X45" s="113"/>
    </row>
    <row r="46" spans="16:24" ht="16.5" customHeight="1">
      <c r="P46" s="258"/>
      <c r="R46" s="259"/>
      <c r="X46" s="113"/>
    </row>
    <row r="47" spans="16:24" ht="16.5" customHeight="1">
      <c r="P47" s="258"/>
      <c r="R47" s="259"/>
      <c r="X47" s="113"/>
    </row>
    <row r="48" spans="16:24" ht="16.5" customHeight="1">
      <c r="P48" s="258"/>
      <c r="R48" s="259"/>
      <c r="X48" s="113"/>
    </row>
    <row r="49" spans="16:24" ht="16.5" customHeight="1">
      <c r="P49" s="258"/>
      <c r="R49" s="259"/>
      <c r="X49" s="113"/>
    </row>
    <row r="50" spans="16:24" ht="16.5" customHeight="1">
      <c r="P50" s="258"/>
      <c r="R50" s="259"/>
      <c r="X50" s="113"/>
    </row>
    <row r="51" spans="16:24" ht="16.5" customHeight="1">
      <c r="P51" s="258"/>
      <c r="R51" s="259"/>
      <c r="X51" s="113"/>
    </row>
    <row r="52" spans="16:24" ht="16.5" customHeight="1">
      <c r="P52" s="258"/>
      <c r="R52" s="259"/>
      <c r="X52" s="113"/>
    </row>
    <row r="53" spans="16:24" ht="16.5" customHeight="1">
      <c r="P53" s="258"/>
      <c r="R53" s="259"/>
      <c r="X53" s="113"/>
    </row>
    <row r="54" spans="16:24" ht="16.5" customHeight="1">
      <c r="P54" s="258"/>
      <c r="R54" s="259"/>
      <c r="X54" s="113"/>
    </row>
    <row r="55" spans="16:24" ht="16.5" customHeight="1">
      <c r="P55" s="258"/>
      <c r="R55" s="259"/>
      <c r="X55" s="113"/>
    </row>
    <row r="56" spans="16:24" ht="16.5" customHeight="1">
      <c r="P56" s="258"/>
      <c r="R56" s="259"/>
      <c r="X56" s="113"/>
    </row>
    <row r="57" spans="16:24" ht="16.5" customHeight="1">
      <c r="P57" s="258"/>
      <c r="R57" s="259"/>
      <c r="X57" s="113"/>
    </row>
    <row r="58" spans="16:24" ht="16.5" customHeight="1">
      <c r="P58" s="258"/>
      <c r="R58" s="259"/>
      <c r="X58" s="113"/>
    </row>
    <row r="59" spans="16:24" ht="16.5" customHeight="1">
      <c r="P59" s="258"/>
      <c r="R59" s="259"/>
      <c r="X59" s="113"/>
    </row>
    <row r="60" spans="16:24" ht="16.5" customHeight="1">
      <c r="P60" s="258"/>
      <c r="R60" s="259"/>
      <c r="X60" s="113"/>
    </row>
    <row r="61" spans="16:24" ht="16.5" customHeight="1">
      <c r="P61" s="258"/>
      <c r="R61" s="259"/>
      <c r="X61" s="113"/>
    </row>
    <row r="62" spans="16:24" ht="16.5" customHeight="1">
      <c r="P62" s="258"/>
      <c r="R62" s="259"/>
      <c r="X62" s="113"/>
    </row>
    <row r="63" spans="16:24" ht="16.5" customHeight="1">
      <c r="P63" s="258"/>
      <c r="R63" s="259"/>
      <c r="X63" s="113"/>
    </row>
    <row r="64" spans="16:24" ht="16.5" customHeight="1">
      <c r="P64" s="258"/>
      <c r="R64" s="259"/>
      <c r="X64" s="113"/>
    </row>
    <row r="65" spans="16:24" ht="16.5" customHeight="1">
      <c r="P65" s="258"/>
      <c r="R65" s="259"/>
      <c r="X65" s="113"/>
    </row>
    <row r="66" spans="16:24" ht="16.5" customHeight="1">
      <c r="P66" s="258"/>
      <c r="R66" s="259"/>
      <c r="X66" s="113"/>
    </row>
    <row r="67" spans="16:24" ht="16.5" customHeight="1">
      <c r="P67" s="258"/>
      <c r="R67" s="259"/>
      <c r="X67" s="113"/>
    </row>
    <row r="68" spans="16:24" ht="16.5" customHeight="1">
      <c r="P68" s="258"/>
      <c r="R68" s="259"/>
      <c r="X68" s="113"/>
    </row>
    <row r="69" spans="16:24" ht="16.5" customHeight="1">
      <c r="P69" s="258"/>
      <c r="R69" s="259"/>
      <c r="X69" s="113"/>
    </row>
    <row r="70" spans="16:24" ht="16.5" customHeight="1">
      <c r="P70" s="258"/>
      <c r="R70" s="259"/>
      <c r="X70" s="113"/>
    </row>
    <row r="71" spans="16:24" ht="16.5" customHeight="1">
      <c r="P71" s="258"/>
      <c r="R71" s="259"/>
      <c r="X71" s="113"/>
    </row>
    <row r="72" spans="16:24" ht="16.5" customHeight="1">
      <c r="P72" s="258"/>
      <c r="R72" s="259"/>
      <c r="X72" s="113"/>
    </row>
    <row r="73" spans="16:24" ht="16.5" customHeight="1">
      <c r="P73" s="258"/>
      <c r="R73" s="259"/>
      <c r="X73" s="113"/>
    </row>
    <row r="74" spans="16:24" ht="16.5" customHeight="1">
      <c r="P74" s="258"/>
      <c r="R74" s="259"/>
      <c r="X74" s="113"/>
    </row>
    <row r="75" spans="16:24" ht="16.5" customHeight="1">
      <c r="P75" s="258"/>
      <c r="R75" s="259"/>
      <c r="X75" s="113"/>
    </row>
    <row r="76" spans="16:24" ht="16.5" customHeight="1">
      <c r="P76" s="258"/>
      <c r="R76" s="259"/>
      <c r="X76" s="113"/>
    </row>
    <row r="77" spans="16:24" ht="16.5" customHeight="1">
      <c r="P77" s="258"/>
      <c r="R77" s="259"/>
      <c r="X77" s="113"/>
    </row>
    <row r="78" spans="16:24" ht="16.5" customHeight="1">
      <c r="P78" s="258"/>
      <c r="R78" s="259"/>
      <c r="X78" s="113"/>
    </row>
    <row r="79" spans="16:24" ht="16.5" customHeight="1">
      <c r="P79" s="258"/>
      <c r="R79" s="259"/>
      <c r="X79" s="113"/>
    </row>
    <row r="80" spans="16:24" ht="16.5" customHeight="1">
      <c r="P80" s="258"/>
      <c r="R80" s="259"/>
      <c r="X80" s="113"/>
    </row>
    <row r="81" spans="16:24" ht="16.5" customHeight="1">
      <c r="P81" s="258"/>
      <c r="R81" s="259"/>
      <c r="X81" s="113"/>
    </row>
    <row r="82" spans="16:24" ht="16.5" customHeight="1">
      <c r="P82" s="258"/>
      <c r="R82" s="259"/>
      <c r="X82" s="113"/>
    </row>
    <row r="83" spans="16:24" ht="16.5" customHeight="1">
      <c r="P83" s="258"/>
      <c r="R83" s="259"/>
      <c r="X83" s="113"/>
    </row>
    <row r="84" spans="16:24" ht="16.5" customHeight="1">
      <c r="P84" s="258"/>
      <c r="R84" s="259"/>
      <c r="X84" s="113"/>
    </row>
    <row r="85" spans="16:24" ht="16.5" customHeight="1">
      <c r="P85" s="258"/>
      <c r="R85" s="259"/>
      <c r="X85" s="113"/>
    </row>
    <row r="86" spans="16:24" ht="16.5" customHeight="1">
      <c r="P86" s="258"/>
      <c r="R86" s="259"/>
      <c r="X86" s="113"/>
    </row>
    <row r="87" spans="16:24" ht="16.5" customHeight="1">
      <c r="P87" s="258"/>
      <c r="R87" s="259"/>
      <c r="X87" s="113"/>
    </row>
    <row r="88" spans="16:24" ht="16.5" customHeight="1">
      <c r="P88" s="258"/>
      <c r="R88" s="259"/>
      <c r="X88" s="113"/>
    </row>
    <row r="89" spans="16:24" ht="16.5" customHeight="1">
      <c r="P89" s="258"/>
      <c r="R89" s="259"/>
      <c r="X89" s="113"/>
    </row>
    <row r="90" spans="16:24" ht="16.5" customHeight="1">
      <c r="P90" s="258"/>
      <c r="R90" s="259"/>
      <c r="X90" s="113"/>
    </row>
    <row r="91" spans="16:24" ht="16.5" customHeight="1">
      <c r="P91" s="258"/>
      <c r="R91" s="259"/>
      <c r="X91" s="113"/>
    </row>
    <row r="92" spans="16:24" ht="16.5" customHeight="1">
      <c r="P92" s="258"/>
      <c r="R92" s="259"/>
      <c r="X92" s="113"/>
    </row>
    <row r="93" spans="16:24" ht="16.5" customHeight="1">
      <c r="P93" s="258"/>
      <c r="R93" s="259"/>
      <c r="X93" s="113"/>
    </row>
    <row r="94" spans="16:24" ht="16.5" customHeight="1">
      <c r="P94" s="258"/>
      <c r="R94" s="259"/>
      <c r="X94" s="113"/>
    </row>
    <row r="95" spans="16:24" ht="16.5" customHeight="1">
      <c r="P95" s="258"/>
      <c r="R95" s="259"/>
      <c r="X95" s="113"/>
    </row>
    <row r="96" spans="16:24" ht="16.5" customHeight="1">
      <c r="P96" s="258"/>
      <c r="R96" s="259"/>
      <c r="X96" s="113"/>
    </row>
    <row r="97" spans="16:24" ht="16.5" customHeight="1">
      <c r="P97" s="258"/>
      <c r="R97" s="259"/>
      <c r="X97" s="113"/>
    </row>
    <row r="98" spans="16:24" ht="16.5" customHeight="1">
      <c r="P98" s="258"/>
      <c r="R98" s="259"/>
      <c r="X98" s="113"/>
    </row>
    <row r="99" spans="16:24" ht="16.5" customHeight="1">
      <c r="P99" s="258"/>
      <c r="R99" s="259"/>
      <c r="X99" s="113"/>
    </row>
    <row r="100" spans="16:24" ht="16.5" customHeight="1">
      <c r="P100" s="258"/>
      <c r="R100" s="259"/>
      <c r="X100" s="113"/>
    </row>
    <row r="101" spans="16:24" ht="16.5" customHeight="1">
      <c r="P101" s="258"/>
      <c r="R101" s="259"/>
      <c r="X101" s="113"/>
    </row>
    <row r="102" spans="16:24" ht="16.5" customHeight="1">
      <c r="P102" s="258"/>
      <c r="R102" s="259"/>
      <c r="X102" s="113"/>
    </row>
    <row r="103" spans="16:24" ht="16.5" customHeight="1">
      <c r="P103" s="258"/>
      <c r="R103" s="259"/>
      <c r="X103" s="113"/>
    </row>
    <row r="104" spans="16:24" ht="16.5" customHeight="1">
      <c r="P104" s="258"/>
      <c r="R104" s="259"/>
      <c r="X104" s="113"/>
    </row>
    <row r="105" spans="16:24" ht="16.5" customHeight="1">
      <c r="P105" s="258"/>
      <c r="R105" s="259"/>
      <c r="X105" s="113"/>
    </row>
    <row r="106" spans="16:24" ht="16.5" customHeight="1">
      <c r="P106" s="258"/>
      <c r="R106" s="259"/>
      <c r="X106" s="113"/>
    </row>
    <row r="107" spans="16:24" ht="16.5" customHeight="1">
      <c r="P107" s="258"/>
      <c r="R107" s="259"/>
      <c r="X107" s="113"/>
    </row>
    <row r="108" spans="16:24" ht="16.5" customHeight="1">
      <c r="P108" s="258"/>
      <c r="R108" s="259"/>
      <c r="X108" s="113"/>
    </row>
    <row r="109" spans="16:24" ht="16.5" customHeight="1">
      <c r="P109" s="258"/>
      <c r="R109" s="259"/>
      <c r="X109" s="113"/>
    </row>
    <row r="110" spans="16:24" ht="16.5" customHeight="1">
      <c r="P110" s="258"/>
      <c r="R110" s="259"/>
      <c r="X110" s="113"/>
    </row>
    <row r="111" spans="16:24" ht="16.5" customHeight="1">
      <c r="P111" s="258"/>
      <c r="R111" s="259"/>
      <c r="X111" s="113"/>
    </row>
    <row r="112" spans="16:24" ht="16.5" customHeight="1">
      <c r="P112" s="258"/>
      <c r="R112" s="259"/>
      <c r="X112" s="113"/>
    </row>
    <row r="113" spans="16:24" ht="16.5" customHeight="1">
      <c r="P113" s="258"/>
      <c r="R113" s="259"/>
      <c r="X113" s="113"/>
    </row>
    <row r="114" spans="16:24" ht="16.5" customHeight="1">
      <c r="P114" s="258"/>
      <c r="R114" s="259"/>
      <c r="X114" s="113"/>
    </row>
    <row r="115" spans="16:24" ht="16.5" customHeight="1">
      <c r="P115" s="258"/>
      <c r="R115" s="259"/>
      <c r="X115" s="113"/>
    </row>
    <row r="116" spans="16:24" ht="16.5" customHeight="1">
      <c r="P116" s="258"/>
      <c r="R116" s="259"/>
      <c r="X116" s="113"/>
    </row>
    <row r="117" spans="16:24" ht="16.5" customHeight="1">
      <c r="P117" s="258"/>
      <c r="R117" s="259"/>
      <c r="X117" s="113"/>
    </row>
    <row r="118" spans="16:24" ht="16.5" customHeight="1">
      <c r="P118" s="258"/>
      <c r="R118" s="259"/>
      <c r="X118" s="113"/>
    </row>
    <row r="119" spans="16:24" ht="16.5" customHeight="1">
      <c r="P119" s="258"/>
      <c r="R119" s="259"/>
      <c r="X119" s="113"/>
    </row>
    <row r="120" spans="16:24" ht="16.5" customHeight="1">
      <c r="P120" s="258"/>
      <c r="R120" s="259"/>
      <c r="X120" s="113"/>
    </row>
    <row r="121" spans="16:24" ht="16.5" customHeight="1">
      <c r="P121" s="258"/>
      <c r="R121" s="259"/>
      <c r="X121" s="113"/>
    </row>
    <row r="122" spans="16:24" ht="16.5" customHeight="1">
      <c r="P122" s="258"/>
      <c r="R122" s="259"/>
      <c r="X122" s="113"/>
    </row>
    <row r="123" spans="16:24" ht="16.5" customHeight="1">
      <c r="P123" s="258"/>
      <c r="R123" s="259"/>
      <c r="X123" s="113"/>
    </row>
    <row r="124" spans="16:24" ht="16.5" customHeight="1">
      <c r="P124" s="258"/>
      <c r="R124" s="259"/>
      <c r="X124" s="113"/>
    </row>
    <row r="125" spans="16:24" ht="16.5" customHeight="1">
      <c r="P125" s="258"/>
      <c r="R125" s="259"/>
      <c r="X125" s="113"/>
    </row>
    <row r="126" spans="16:24" ht="16.5" customHeight="1">
      <c r="P126" s="258"/>
      <c r="R126" s="259"/>
      <c r="X126" s="113"/>
    </row>
    <row r="127" spans="16:24" ht="16.5" customHeight="1">
      <c r="P127" s="258"/>
      <c r="R127" s="259"/>
      <c r="X127" s="113"/>
    </row>
    <row r="128" spans="16:24" ht="16.5" customHeight="1">
      <c r="P128" s="258"/>
      <c r="R128" s="259"/>
      <c r="X128" s="113"/>
    </row>
    <row r="129" spans="16:24" ht="16.5" customHeight="1">
      <c r="P129" s="258"/>
      <c r="R129" s="259"/>
      <c r="X129" s="113"/>
    </row>
    <row r="130" spans="16:24" ht="16.5" customHeight="1">
      <c r="P130" s="258"/>
      <c r="R130" s="259"/>
      <c r="X130" s="113"/>
    </row>
    <row r="131" spans="16:24" ht="16.5" customHeight="1">
      <c r="P131" s="258"/>
      <c r="X131" s="113"/>
    </row>
    <row r="132" spans="16:24" ht="16.5" customHeight="1">
      <c r="P132" s="258"/>
      <c r="X132" s="113"/>
    </row>
    <row r="133" spans="16:24" ht="16.5" customHeight="1">
      <c r="P133" s="258"/>
      <c r="X133" s="113"/>
    </row>
    <row r="134" spans="16:24" ht="16.5" customHeight="1">
      <c r="P134" s="258"/>
      <c r="X134" s="113"/>
    </row>
    <row r="135" spans="16:24" ht="16.5" customHeight="1">
      <c r="P135" s="258"/>
      <c r="X135" s="113"/>
    </row>
    <row r="136" spans="16:24" ht="16.5" customHeight="1">
      <c r="P136" s="258"/>
      <c r="X136" s="113"/>
    </row>
    <row r="137" spans="16:24" ht="16.5" customHeight="1">
      <c r="P137" s="258"/>
      <c r="X137" s="113"/>
    </row>
    <row r="138" spans="16:24" ht="16.5" customHeight="1">
      <c r="P138" s="258"/>
      <c r="X138" s="113"/>
    </row>
    <row r="139" spans="16:24" ht="16.5" customHeight="1">
      <c r="P139" s="258"/>
      <c r="X139" s="113"/>
    </row>
    <row r="140" spans="16:24" ht="16.5" customHeight="1">
      <c r="P140" s="258"/>
      <c r="X140" s="113"/>
    </row>
    <row r="141" spans="16:24" ht="16.5" customHeight="1">
      <c r="P141" s="258"/>
      <c r="X141" s="113"/>
    </row>
    <row r="142" spans="16:24" ht="16.5" customHeight="1">
      <c r="P142" s="258"/>
      <c r="X142" s="113"/>
    </row>
    <row r="143" spans="16:24" ht="16.5" customHeight="1">
      <c r="P143" s="258"/>
      <c r="X143" s="113"/>
    </row>
    <row r="144" spans="16:24" ht="16.5" customHeight="1">
      <c r="P144" s="258"/>
      <c r="X144" s="113"/>
    </row>
    <row r="145" spans="16:24" ht="16.5" customHeight="1">
      <c r="P145" s="258"/>
      <c r="X145" s="113"/>
    </row>
    <row r="146" spans="16:24" ht="16.5" customHeight="1">
      <c r="P146" s="258"/>
      <c r="X146" s="113"/>
    </row>
    <row r="147" spans="16:24" ht="16.5" customHeight="1">
      <c r="P147" s="258"/>
      <c r="X147" s="113"/>
    </row>
    <row r="148" spans="16:24" ht="16.5" customHeight="1">
      <c r="P148" s="258"/>
      <c r="X148" s="113"/>
    </row>
    <row r="149" spans="16:24" ht="16.5" customHeight="1">
      <c r="P149" s="258"/>
      <c r="X149" s="113"/>
    </row>
    <row r="150" spans="16:24" ht="16.5" customHeight="1">
      <c r="P150" s="258"/>
      <c r="X150" s="113"/>
    </row>
    <row r="151" spans="16:24" ht="16.5" customHeight="1">
      <c r="P151" s="258"/>
      <c r="X151" s="113"/>
    </row>
    <row r="152" spans="16:24" ht="16.5" customHeight="1">
      <c r="P152" s="258"/>
      <c r="X152" s="113"/>
    </row>
    <row r="153" spans="16:24" ht="16.5" customHeight="1">
      <c r="P153" s="258"/>
      <c r="X153" s="113"/>
    </row>
    <row r="154" spans="16:24" ht="16.5" customHeight="1">
      <c r="P154" s="258"/>
      <c r="X154" s="113"/>
    </row>
    <row r="155" spans="16:24" ht="16.5" customHeight="1">
      <c r="P155" s="258"/>
      <c r="X155" s="113"/>
    </row>
    <row r="156" spans="16:24" ht="16.5" customHeight="1">
      <c r="P156" s="258"/>
      <c r="X156" s="113"/>
    </row>
    <row r="157" spans="16:24" ht="16.5" customHeight="1">
      <c r="P157" s="258"/>
      <c r="X157" s="113"/>
    </row>
    <row r="158" spans="16:24" ht="16.5" customHeight="1">
      <c r="P158" s="258"/>
      <c r="X158" s="113"/>
    </row>
    <row r="159" spans="16:24" ht="16.5" customHeight="1">
      <c r="P159" s="258"/>
      <c r="X159" s="113"/>
    </row>
    <row r="160" spans="16:24" ht="16.5" customHeight="1">
      <c r="P160" s="258"/>
      <c r="X160" s="113"/>
    </row>
    <row r="161" spans="16:24" ht="16.5" customHeight="1">
      <c r="P161" s="258"/>
      <c r="X161" s="113"/>
    </row>
    <row r="162" spans="16:24" ht="16.5" customHeight="1">
      <c r="P162" s="258"/>
      <c r="X162" s="113"/>
    </row>
    <row r="163" spans="16:24" ht="16.5" customHeight="1">
      <c r="P163" s="258"/>
      <c r="X163" s="113"/>
    </row>
    <row r="164" spans="16:24" ht="16.5" customHeight="1">
      <c r="P164" s="258"/>
      <c r="X164" s="113"/>
    </row>
    <row r="165" spans="16:24" ht="16.5" customHeight="1">
      <c r="P165" s="258"/>
      <c r="X165" s="113"/>
    </row>
    <row r="166" spans="16:24" ht="16.5" customHeight="1">
      <c r="P166" s="258"/>
      <c r="X166" s="113"/>
    </row>
    <row r="167" spans="16:24" ht="16.5" customHeight="1">
      <c r="P167" s="258"/>
      <c r="X167" s="113"/>
    </row>
    <row r="168" spans="16:24" ht="16.5" customHeight="1">
      <c r="P168" s="258"/>
      <c r="X168" s="113"/>
    </row>
    <row r="169" spans="16:24" ht="16.5" customHeight="1">
      <c r="P169" s="258"/>
      <c r="X169" s="113"/>
    </row>
    <row r="170" spans="16:24" ht="16.5" customHeight="1">
      <c r="P170" s="258"/>
      <c r="X170" s="113"/>
    </row>
    <row r="171" spans="16:24" ht="16.5" customHeight="1">
      <c r="P171" s="258"/>
      <c r="X171" s="113"/>
    </row>
    <row r="172" spans="16:24" ht="16.5" customHeight="1">
      <c r="P172" s="258"/>
      <c r="X172" s="113"/>
    </row>
    <row r="173" spans="16:24" ht="16.5" customHeight="1">
      <c r="P173" s="258"/>
      <c r="X173" s="113"/>
    </row>
    <row r="174" spans="16:24" ht="16.5" customHeight="1">
      <c r="P174" s="258"/>
      <c r="X174" s="113"/>
    </row>
    <row r="175" spans="16:24" ht="16.5" customHeight="1">
      <c r="P175" s="258"/>
      <c r="X175" s="113"/>
    </row>
    <row r="176" spans="16:24" ht="16.5" customHeight="1">
      <c r="P176" s="258"/>
      <c r="X176" s="113"/>
    </row>
    <row r="177" spans="16:24" ht="16.5" customHeight="1">
      <c r="P177" s="258"/>
      <c r="X177" s="113"/>
    </row>
    <row r="178" spans="16:24" ht="16.5" customHeight="1">
      <c r="P178" s="258"/>
      <c r="X178" s="113"/>
    </row>
    <row r="179" spans="16:24" ht="16.5" customHeight="1">
      <c r="P179" s="258"/>
      <c r="X179" s="113"/>
    </row>
    <row r="180" spans="16:24" ht="16.5" customHeight="1">
      <c r="P180" s="258"/>
      <c r="X180" s="113"/>
    </row>
    <row r="181" spans="16:24" ht="16.5" customHeight="1">
      <c r="P181" s="258"/>
      <c r="X181" s="113"/>
    </row>
    <row r="182" spans="16:24" ht="16.5" customHeight="1">
      <c r="P182" s="258"/>
      <c r="X182" s="113"/>
    </row>
    <row r="183" spans="16:24" ht="16.5" customHeight="1">
      <c r="P183" s="258"/>
      <c r="X183" s="113"/>
    </row>
    <row r="184" spans="16:24" ht="16.5" customHeight="1">
      <c r="P184" s="258"/>
      <c r="X184" s="113"/>
    </row>
    <row r="185" spans="16:24" ht="16.5" customHeight="1">
      <c r="P185" s="258"/>
      <c r="X185" s="113"/>
    </row>
    <row r="186" spans="16:24" ht="16.5" customHeight="1">
      <c r="P186" s="258"/>
      <c r="X186" s="113"/>
    </row>
    <row r="187" spans="16:24" ht="16.5" customHeight="1">
      <c r="P187" s="258"/>
      <c r="X187" s="113"/>
    </row>
    <row r="188" spans="16:24" ht="16.5" customHeight="1">
      <c r="P188" s="258"/>
      <c r="X188" s="113"/>
    </row>
    <row r="189" spans="16:24" ht="16.5" customHeight="1">
      <c r="P189" s="258"/>
      <c r="X189" s="113"/>
    </row>
    <row r="190" spans="16:24" ht="16.5" customHeight="1">
      <c r="P190" s="258"/>
      <c r="X190" s="113"/>
    </row>
    <row r="191" spans="16:24" ht="16.5" customHeight="1">
      <c r="P191" s="258"/>
      <c r="X191" s="113"/>
    </row>
    <row r="192" spans="16:24" ht="16.5" customHeight="1">
      <c r="P192" s="258"/>
      <c r="X192" s="113"/>
    </row>
    <row r="193" spans="16:24" ht="16.5" customHeight="1">
      <c r="P193" s="258"/>
      <c r="X193" s="113"/>
    </row>
    <row r="194" spans="16:24" ht="16.5" customHeight="1">
      <c r="P194" s="258"/>
      <c r="X194" s="113"/>
    </row>
    <row r="195" spans="16:24" ht="16.5" customHeight="1">
      <c r="P195" s="258"/>
      <c r="X195" s="113"/>
    </row>
    <row r="196" spans="16:24" ht="16.5" customHeight="1">
      <c r="P196" s="258"/>
      <c r="X196" s="113"/>
    </row>
    <row r="197" spans="16:24" ht="16.5" customHeight="1">
      <c r="P197" s="258"/>
      <c r="X197" s="113"/>
    </row>
    <row r="198" spans="16:24" ht="16.5" customHeight="1">
      <c r="P198" s="258"/>
      <c r="X198" s="113"/>
    </row>
    <row r="199" spans="16:24" ht="16.5" customHeight="1">
      <c r="P199" s="258"/>
      <c r="X199" s="113"/>
    </row>
    <row r="200" spans="16:24" ht="16.5" customHeight="1">
      <c r="P200" s="258"/>
      <c r="X200" s="113"/>
    </row>
    <row r="201" spans="16:24" ht="16.5" customHeight="1">
      <c r="P201" s="258"/>
      <c r="X201" s="113"/>
    </row>
    <row r="202" spans="16:24" ht="16.5" customHeight="1">
      <c r="P202" s="258"/>
      <c r="X202" s="113"/>
    </row>
    <row r="203" spans="16:24" ht="16.5" customHeight="1">
      <c r="P203" s="258"/>
      <c r="X203" s="113"/>
    </row>
    <row r="204" spans="16:24" ht="16.5" customHeight="1">
      <c r="P204" s="258"/>
      <c r="X204" s="113"/>
    </row>
    <row r="205" spans="16:24" ht="16.5" customHeight="1">
      <c r="P205" s="258"/>
      <c r="X205" s="113"/>
    </row>
    <row r="206" spans="16:24" ht="16.5" customHeight="1">
      <c r="P206" s="258"/>
      <c r="X206" s="113"/>
    </row>
    <row r="207" spans="16:24" ht="16.5" customHeight="1">
      <c r="P207" s="258"/>
      <c r="X207" s="113"/>
    </row>
    <row r="208" spans="16:24" ht="16.5" customHeight="1">
      <c r="P208" s="258"/>
      <c r="X208" s="113"/>
    </row>
    <row r="209" spans="16:24" ht="16.5" customHeight="1">
      <c r="P209" s="258"/>
      <c r="X209" s="113"/>
    </row>
    <row r="210" spans="16:24" ht="16.5" customHeight="1">
      <c r="P210" s="258"/>
      <c r="X210" s="113"/>
    </row>
    <row r="211" spans="16:24" ht="16.5" customHeight="1">
      <c r="P211" s="258"/>
      <c r="X211" s="113"/>
    </row>
    <row r="212" spans="16:24" ht="16.5" customHeight="1">
      <c r="P212" s="258"/>
      <c r="X212" s="113"/>
    </row>
    <row r="213" spans="16:24" ht="16.5" customHeight="1">
      <c r="P213" s="258"/>
      <c r="X213" s="113"/>
    </row>
    <row r="214" spans="16:24" ht="16.5" customHeight="1">
      <c r="P214" s="258"/>
      <c r="X214" s="113"/>
    </row>
    <row r="215" spans="16:24" ht="16.5" customHeight="1">
      <c r="P215" s="258"/>
      <c r="X215" s="113"/>
    </row>
    <row r="216" spans="16:24" ht="16.5" customHeight="1">
      <c r="P216" s="258"/>
      <c r="X216" s="113"/>
    </row>
    <row r="217" spans="16:24" ht="16.5" customHeight="1">
      <c r="P217" s="258"/>
      <c r="X217" s="113"/>
    </row>
    <row r="218" spans="16:24" ht="16.5" customHeight="1">
      <c r="P218" s="258"/>
      <c r="X218" s="113"/>
    </row>
    <row r="219" spans="16:24" ht="16.5" customHeight="1">
      <c r="P219" s="258"/>
      <c r="X219" s="113"/>
    </row>
    <row r="220" spans="16:24" ht="16.5" customHeight="1">
      <c r="P220" s="258"/>
      <c r="X220" s="113"/>
    </row>
    <row r="221" spans="16:24" ht="16.5" customHeight="1">
      <c r="P221" s="258"/>
      <c r="X221" s="113"/>
    </row>
    <row r="222" spans="16:24" ht="16.5" customHeight="1">
      <c r="P222" s="258"/>
      <c r="X222" s="113"/>
    </row>
    <row r="223" spans="16:24" ht="16.5" customHeight="1">
      <c r="P223" s="258"/>
      <c r="X223" s="113"/>
    </row>
    <row r="224" spans="16:24" ht="16.5" customHeight="1">
      <c r="P224" s="258"/>
      <c r="X224" s="113"/>
    </row>
    <row r="225" spans="16:24" ht="16.5" customHeight="1">
      <c r="P225" s="258"/>
      <c r="X225" s="113"/>
    </row>
    <row r="226" spans="16:24" ht="16.5" customHeight="1">
      <c r="P226" s="258"/>
      <c r="X226" s="113"/>
    </row>
    <row r="227" spans="16:24" ht="16.5" customHeight="1">
      <c r="P227" s="258"/>
      <c r="X227" s="113"/>
    </row>
    <row r="228" spans="16:24" ht="16.5" customHeight="1">
      <c r="P228" s="258"/>
      <c r="X228" s="113"/>
    </row>
    <row r="229" spans="16:24" ht="16.5" customHeight="1">
      <c r="P229" s="258"/>
      <c r="X229" s="113"/>
    </row>
    <row r="230" spans="16:24" ht="16.5" customHeight="1">
      <c r="P230" s="258"/>
      <c r="X230" s="113"/>
    </row>
    <row r="231" spans="16:24" ht="16.5" customHeight="1">
      <c r="P231" s="258"/>
      <c r="X231" s="113"/>
    </row>
    <row r="232" spans="16:24" ht="16.5" customHeight="1">
      <c r="P232" s="258"/>
      <c r="X232" s="113"/>
    </row>
    <row r="233" spans="16:24" ht="16.5" customHeight="1">
      <c r="P233" s="258"/>
      <c r="X233" s="113"/>
    </row>
    <row r="234" spans="16:24" ht="16.5" customHeight="1">
      <c r="P234" s="258"/>
      <c r="X234" s="113"/>
    </row>
    <row r="235" spans="16:24" ht="16.5" customHeight="1">
      <c r="P235" s="258"/>
      <c r="X235" s="113"/>
    </row>
    <row r="236" spans="16:24" ht="16.5" customHeight="1">
      <c r="P236" s="258"/>
      <c r="X236" s="113"/>
    </row>
    <row r="237" spans="16:24" ht="16.5" customHeight="1">
      <c r="P237" s="258"/>
      <c r="X237" s="113"/>
    </row>
    <row r="238" spans="16:24" ht="16.5" customHeight="1">
      <c r="P238" s="258"/>
      <c r="X238" s="113"/>
    </row>
    <row r="239" spans="16:24" ht="16.5" customHeight="1">
      <c r="P239" s="258"/>
      <c r="X239" s="113"/>
    </row>
    <row r="240" spans="16:24" ht="16.5" customHeight="1">
      <c r="P240" s="258"/>
      <c r="X240" s="113"/>
    </row>
    <row r="241" spans="16:24" ht="16.5" customHeight="1">
      <c r="P241" s="258"/>
      <c r="X241" s="113"/>
    </row>
    <row r="242" spans="16:24" ht="16.5" customHeight="1">
      <c r="P242" s="258"/>
      <c r="X242" s="113"/>
    </row>
    <row r="243" spans="16:24" ht="16.5" customHeight="1">
      <c r="P243" s="258"/>
      <c r="X243" s="113"/>
    </row>
    <row r="244" spans="16:24" ht="16.5" customHeight="1">
      <c r="P244" s="258"/>
      <c r="X244" s="113"/>
    </row>
    <row r="245" spans="16:24" ht="16.5" customHeight="1">
      <c r="P245" s="258"/>
      <c r="X245" s="113"/>
    </row>
    <row r="246" spans="16:24" ht="16.5" customHeight="1">
      <c r="P246" s="258"/>
      <c r="X246" s="113"/>
    </row>
    <row r="247" spans="16:24" ht="16.5" customHeight="1">
      <c r="P247" s="258"/>
      <c r="X247" s="113"/>
    </row>
    <row r="248" spans="16:24" ht="16.5" customHeight="1">
      <c r="P248" s="258"/>
      <c r="X248" s="113"/>
    </row>
    <row r="249" spans="16:24" ht="16.5" customHeight="1">
      <c r="P249" s="258"/>
      <c r="X249" s="113"/>
    </row>
    <row r="250" spans="16:24" ht="16.5" customHeight="1">
      <c r="P250" s="258"/>
      <c r="X250" s="113"/>
    </row>
    <row r="251" spans="16:24" ht="16.5" customHeight="1">
      <c r="P251" s="258"/>
      <c r="X251" s="113"/>
    </row>
    <row r="252" spans="16:24" ht="16.5" customHeight="1">
      <c r="P252" s="258"/>
      <c r="X252" s="113"/>
    </row>
    <row r="253" spans="16:24" ht="16.5" customHeight="1">
      <c r="P253" s="258"/>
      <c r="X253" s="113"/>
    </row>
    <row r="254" spans="16:24" ht="16.5" customHeight="1">
      <c r="P254" s="258"/>
      <c r="X254" s="113"/>
    </row>
    <row r="255" spans="16:24" ht="16.5" customHeight="1">
      <c r="P255" s="258"/>
      <c r="X255" s="113"/>
    </row>
    <row r="256" spans="16:24" ht="16.5" customHeight="1">
      <c r="P256" s="258"/>
      <c r="X256" s="113"/>
    </row>
    <row r="257" spans="16:24" ht="16.5" customHeight="1">
      <c r="P257" s="258"/>
      <c r="X257" s="113"/>
    </row>
    <row r="258" spans="16:24" ht="16.5" customHeight="1">
      <c r="P258" s="258"/>
      <c r="X258" s="113"/>
    </row>
    <row r="259" spans="16:24" ht="16.5" customHeight="1">
      <c r="P259" s="258"/>
      <c r="X259" s="113"/>
    </row>
    <row r="260" spans="16:24" ht="16.5" customHeight="1">
      <c r="P260" s="258"/>
      <c r="X260" s="113"/>
    </row>
    <row r="261" spans="16:24" ht="16.5" customHeight="1">
      <c r="P261" s="258"/>
      <c r="X261" s="113"/>
    </row>
    <row r="262" spans="16:24" ht="16.5" customHeight="1">
      <c r="P262" s="258"/>
      <c r="X262" s="113"/>
    </row>
    <row r="263" spans="16:24" ht="16.5" customHeight="1">
      <c r="P263" s="258"/>
      <c r="X263" s="113"/>
    </row>
    <row r="264" spans="16:24" ht="16.5" customHeight="1">
      <c r="P264" s="258"/>
      <c r="X264" s="113"/>
    </row>
    <row r="265" spans="16:24" ht="16.5" customHeight="1">
      <c r="P265" s="258"/>
      <c r="X265" s="113"/>
    </row>
    <row r="266" spans="16:24" ht="16.5" customHeight="1">
      <c r="P266" s="258"/>
      <c r="X266" s="113"/>
    </row>
    <row r="267" spans="16:24" ht="16.5" customHeight="1">
      <c r="P267" s="258"/>
      <c r="X267" s="113"/>
    </row>
    <row r="268" spans="16:24" ht="16.5" customHeight="1">
      <c r="P268" s="258"/>
      <c r="X268" s="113"/>
    </row>
    <row r="269" spans="16:24" ht="16.5" customHeight="1">
      <c r="P269" s="258"/>
      <c r="X269" s="113"/>
    </row>
    <row r="270" spans="16:24" ht="16.5" customHeight="1">
      <c r="P270" s="258"/>
      <c r="X270" s="113"/>
    </row>
    <row r="271" spans="16:24" ht="16.5" customHeight="1">
      <c r="P271" s="258"/>
      <c r="X271" s="113"/>
    </row>
    <row r="272" spans="16:24" ht="16.5" customHeight="1">
      <c r="P272" s="258"/>
      <c r="X272" s="113"/>
    </row>
    <row r="273" spans="16:24" ht="16.5" customHeight="1">
      <c r="P273" s="258"/>
      <c r="X273" s="113"/>
    </row>
    <row r="274" spans="16:24" ht="16.5" customHeight="1">
      <c r="P274" s="258"/>
      <c r="X274" s="113"/>
    </row>
    <row r="275" spans="16:24" ht="16.5" customHeight="1">
      <c r="P275" s="258"/>
      <c r="X275" s="113"/>
    </row>
    <row r="276" spans="16:24" ht="16.5" customHeight="1">
      <c r="P276" s="258"/>
      <c r="X276" s="113"/>
    </row>
    <row r="277" spans="16:24" ht="16.5" customHeight="1">
      <c r="P277" s="258"/>
      <c r="X277" s="113"/>
    </row>
    <row r="278" spans="16:24" ht="16.5" customHeight="1">
      <c r="P278" s="258"/>
      <c r="X278" s="113"/>
    </row>
    <row r="279" spans="16:24" ht="16.5" customHeight="1">
      <c r="P279" s="258"/>
      <c r="X279" s="113"/>
    </row>
    <row r="280" spans="16:24" ht="16.5" customHeight="1">
      <c r="P280" s="258"/>
      <c r="X280" s="113"/>
    </row>
    <row r="281" spans="16:24" ht="16.5" customHeight="1">
      <c r="P281" s="258"/>
      <c r="X281" s="113"/>
    </row>
    <row r="282" spans="16:24" ht="16.5" customHeight="1">
      <c r="P282" s="258"/>
      <c r="X282" s="113"/>
    </row>
    <row r="283" spans="16:24" ht="16.5" customHeight="1">
      <c r="P283" s="258"/>
      <c r="X283" s="113"/>
    </row>
    <row r="284" spans="16:24" ht="16.5" customHeight="1">
      <c r="P284" s="258"/>
      <c r="X284" s="113"/>
    </row>
    <row r="285" spans="16:24" ht="16.5" customHeight="1">
      <c r="P285" s="258"/>
      <c r="X285" s="113"/>
    </row>
    <row r="286" spans="16:24" ht="16.5" customHeight="1">
      <c r="P286" s="258"/>
      <c r="X286" s="113"/>
    </row>
    <row r="287" spans="16:24" ht="16.5" customHeight="1">
      <c r="P287" s="258"/>
      <c r="X287" s="113"/>
    </row>
    <row r="288" spans="16:24" ht="16.5" customHeight="1">
      <c r="P288" s="258"/>
      <c r="X288" s="113"/>
    </row>
    <row r="289" spans="16:24" ht="16.5" customHeight="1">
      <c r="P289" s="258"/>
      <c r="X289" s="113"/>
    </row>
    <row r="290" spans="16:24" ht="16.5" customHeight="1">
      <c r="P290" s="258"/>
      <c r="X290" s="113"/>
    </row>
    <row r="291" spans="16:24" ht="16.5" customHeight="1">
      <c r="P291" s="258"/>
      <c r="X291" s="113"/>
    </row>
    <row r="292" spans="16:24" ht="16.5" customHeight="1">
      <c r="P292" s="258"/>
      <c r="X292" s="113"/>
    </row>
    <row r="293" spans="16:24" ht="16.5" customHeight="1">
      <c r="P293" s="258"/>
      <c r="X293" s="113"/>
    </row>
    <row r="294" spans="16:24" ht="16.5" customHeight="1">
      <c r="P294" s="258"/>
      <c r="X294" s="113"/>
    </row>
    <row r="295" spans="16:24" ht="16.5" customHeight="1">
      <c r="P295" s="258"/>
      <c r="X295" s="113"/>
    </row>
    <row r="296" spans="16:24" ht="16.5" customHeight="1">
      <c r="P296" s="258"/>
      <c r="X296" s="113"/>
    </row>
    <row r="297" spans="16:24" ht="16.5" customHeight="1">
      <c r="P297" s="258"/>
      <c r="X297" s="113"/>
    </row>
    <row r="298" spans="16:24" ht="16.5" customHeight="1">
      <c r="P298" s="258"/>
      <c r="X298" s="113"/>
    </row>
    <row r="299" spans="16:24" ht="16.5" customHeight="1">
      <c r="P299" s="258"/>
      <c r="X299" s="113"/>
    </row>
    <row r="300" spans="16:24" ht="16.5" customHeight="1">
      <c r="P300" s="258"/>
      <c r="X300" s="113"/>
    </row>
    <row r="301" spans="16:24" ht="16.5" customHeight="1">
      <c r="P301" s="258"/>
      <c r="X301" s="113"/>
    </row>
    <row r="302" spans="16:24" ht="16.5" customHeight="1">
      <c r="P302" s="258"/>
      <c r="X302" s="113"/>
    </row>
    <row r="303" spans="16:24" ht="16.5" customHeight="1">
      <c r="P303" s="258"/>
      <c r="X303" s="113"/>
    </row>
    <row r="304" spans="16:24" ht="16.5" customHeight="1">
      <c r="P304" s="258"/>
      <c r="X304" s="113"/>
    </row>
    <row r="305" spans="16:24" ht="16.5" customHeight="1">
      <c r="P305" s="258"/>
      <c r="X305" s="113"/>
    </row>
    <row r="306" spans="16:24" ht="16.5" customHeight="1">
      <c r="P306" s="258"/>
      <c r="X306" s="113"/>
    </row>
    <row r="307" spans="16:24" ht="16.5" customHeight="1">
      <c r="P307" s="258"/>
      <c r="X307" s="113"/>
    </row>
    <row r="308" spans="16:24" ht="16.5" customHeight="1">
      <c r="P308" s="258"/>
      <c r="X308" s="113"/>
    </row>
    <row r="309" spans="16:24" ht="16.5" customHeight="1">
      <c r="P309" s="258"/>
      <c r="X309" s="113"/>
    </row>
    <row r="310" spans="16:24" ht="16.5" customHeight="1">
      <c r="P310" s="258"/>
      <c r="X310" s="113"/>
    </row>
    <row r="311" spans="16:24" ht="16.5" customHeight="1">
      <c r="P311" s="258"/>
      <c r="X311" s="113"/>
    </row>
    <row r="312" spans="16:24" ht="16.5" customHeight="1">
      <c r="P312" s="258"/>
      <c r="X312" s="113"/>
    </row>
    <row r="313" spans="16:24" ht="16.5" customHeight="1">
      <c r="P313" s="258"/>
      <c r="X313" s="113"/>
    </row>
    <row r="314" spans="16:24" ht="16.5" customHeight="1">
      <c r="P314" s="258"/>
      <c r="X314" s="113"/>
    </row>
    <row r="315" spans="16:24" ht="16.5" customHeight="1">
      <c r="P315" s="258"/>
      <c r="X315" s="113"/>
    </row>
    <row r="316" spans="16:24" ht="16.5" customHeight="1">
      <c r="P316" s="258"/>
      <c r="X316" s="113"/>
    </row>
    <row r="317" spans="16:24" ht="16.5" customHeight="1">
      <c r="P317" s="258"/>
      <c r="X317" s="113"/>
    </row>
    <row r="318" spans="16:24" ht="16.5" customHeight="1">
      <c r="P318" s="258"/>
      <c r="X318" s="113"/>
    </row>
    <row r="319" spans="16:24" ht="16.5" customHeight="1">
      <c r="P319" s="258"/>
      <c r="X319" s="113"/>
    </row>
    <row r="320" spans="16:24" ht="16.5" customHeight="1">
      <c r="P320" s="258"/>
      <c r="X320" s="113"/>
    </row>
    <row r="321" spans="16:24" ht="16.5" customHeight="1">
      <c r="P321" s="258"/>
      <c r="X321" s="113"/>
    </row>
    <row r="322" spans="16:24" ht="16.5" customHeight="1">
      <c r="P322" s="258"/>
      <c r="X322" s="113"/>
    </row>
    <row r="323" spans="16:24" ht="16.5" customHeight="1">
      <c r="P323" s="258"/>
      <c r="X323" s="113"/>
    </row>
    <row r="324" spans="16:24" ht="16.5" customHeight="1">
      <c r="P324" s="258"/>
      <c r="X324" s="113"/>
    </row>
    <row r="325" spans="16:24" ht="16.5" customHeight="1">
      <c r="P325" s="258"/>
      <c r="X325" s="113"/>
    </row>
    <row r="326" spans="16:24" ht="16.5" customHeight="1">
      <c r="P326" s="258"/>
      <c r="X326" s="113"/>
    </row>
    <row r="327" spans="16:24" ht="16.5" customHeight="1">
      <c r="P327" s="258"/>
      <c r="X327" s="113"/>
    </row>
    <row r="328" spans="16:24" ht="16.5" customHeight="1">
      <c r="P328" s="258"/>
      <c r="X328" s="113"/>
    </row>
    <row r="329" spans="16:24" ht="16.5" customHeight="1">
      <c r="P329" s="258"/>
      <c r="X329" s="113"/>
    </row>
    <row r="330" spans="16:24" ht="16.5" customHeight="1">
      <c r="P330" s="258"/>
      <c r="X330" s="113"/>
    </row>
    <row r="331" spans="16:24" ht="16.5" customHeight="1">
      <c r="P331" s="258"/>
      <c r="X331" s="113"/>
    </row>
    <row r="332" spans="16:24" ht="16.5" customHeight="1">
      <c r="P332" s="258"/>
      <c r="X332" s="113"/>
    </row>
    <row r="333" spans="16:24" ht="16.5" customHeight="1">
      <c r="P333" s="258"/>
      <c r="X333" s="113"/>
    </row>
    <row r="334" spans="16:24" ht="16.5" customHeight="1">
      <c r="P334" s="258"/>
      <c r="X334" s="113"/>
    </row>
    <row r="335" spans="16:24" ht="16.5" customHeight="1">
      <c r="P335" s="258"/>
      <c r="X335" s="113"/>
    </row>
    <row r="336" spans="16:24" ht="16.5" customHeight="1">
      <c r="P336" s="258"/>
      <c r="X336" s="113"/>
    </row>
    <row r="337" spans="16:24" ht="16.5" customHeight="1">
      <c r="P337" s="258"/>
      <c r="X337" s="113"/>
    </row>
    <row r="338" spans="16:24" ht="16.5" customHeight="1">
      <c r="P338" s="258"/>
      <c r="X338" s="113"/>
    </row>
    <row r="339" spans="16:24" ht="16.5" customHeight="1">
      <c r="P339" s="258"/>
      <c r="X339" s="113"/>
    </row>
    <row r="340" spans="16:24" ht="16.5" customHeight="1">
      <c r="P340" s="258"/>
      <c r="X340" s="113"/>
    </row>
    <row r="341" spans="16:24" ht="16.5" customHeight="1">
      <c r="P341" s="258"/>
      <c r="X341" s="113"/>
    </row>
    <row r="342" spans="16:24" ht="16.5" customHeight="1">
      <c r="P342" s="258"/>
      <c r="X342" s="113"/>
    </row>
    <row r="343" spans="16:24" ht="16.5" customHeight="1">
      <c r="P343" s="258"/>
      <c r="X343" s="113"/>
    </row>
    <row r="344" spans="16:24" ht="16.5" customHeight="1">
      <c r="P344" s="258"/>
      <c r="X344" s="113"/>
    </row>
    <row r="345" spans="16:24" ht="16.5" customHeight="1">
      <c r="P345" s="258"/>
      <c r="X345" s="113"/>
    </row>
    <row r="346" spans="16:24" ht="16.5" customHeight="1">
      <c r="P346" s="258"/>
      <c r="X346" s="113"/>
    </row>
    <row r="347" spans="16:24" ht="16.5" customHeight="1">
      <c r="P347" s="258"/>
      <c r="X347" s="113"/>
    </row>
    <row r="348" spans="16:24" ht="16.5" customHeight="1">
      <c r="P348" s="258"/>
      <c r="X348" s="113"/>
    </row>
    <row r="349" spans="16:24" ht="16.5" customHeight="1">
      <c r="P349" s="258"/>
      <c r="X349" s="113"/>
    </row>
    <row r="350" spans="16:24" ht="16.5" customHeight="1">
      <c r="P350" s="258"/>
      <c r="X350" s="113"/>
    </row>
    <row r="351" spans="16:24" ht="16.5" customHeight="1">
      <c r="P351" s="258"/>
      <c r="X351" s="113"/>
    </row>
    <row r="352" spans="16:24" ht="16.5" customHeight="1">
      <c r="P352" s="258"/>
      <c r="X352" s="113"/>
    </row>
    <row r="353" spans="16:24" ht="16.5" customHeight="1">
      <c r="P353" s="258"/>
      <c r="X353" s="113"/>
    </row>
    <row r="354" spans="16:24" ht="16.5" customHeight="1">
      <c r="P354" s="258"/>
      <c r="X354" s="113"/>
    </row>
    <row r="355" spans="16:24" ht="16.5" customHeight="1">
      <c r="P355" s="258"/>
      <c r="X355" s="113"/>
    </row>
    <row r="356" spans="16:24" ht="16.5" customHeight="1">
      <c r="P356" s="258"/>
      <c r="X356" s="113"/>
    </row>
    <row r="357" spans="16:24" ht="16.5" customHeight="1">
      <c r="P357" s="258"/>
      <c r="X357" s="113"/>
    </row>
    <row r="358" spans="16:24" ht="16.5" customHeight="1">
      <c r="P358" s="258"/>
      <c r="X358" s="113"/>
    </row>
    <row r="359" spans="16:24" ht="16.5" customHeight="1">
      <c r="P359" s="258"/>
      <c r="X359" s="113"/>
    </row>
    <row r="360" spans="16:24" ht="16.5" customHeight="1">
      <c r="P360" s="258"/>
      <c r="X360" s="113"/>
    </row>
    <row r="361" spans="16:24" ht="16.5" customHeight="1">
      <c r="P361" s="258"/>
      <c r="X361" s="113"/>
    </row>
    <row r="362" spans="16:24" ht="16.5" customHeight="1">
      <c r="P362" s="258"/>
      <c r="X362" s="113"/>
    </row>
    <row r="363" spans="16:24" ht="16.5" customHeight="1">
      <c r="P363" s="258"/>
      <c r="X363" s="113"/>
    </row>
    <row r="364" spans="16:24" ht="16.5" customHeight="1">
      <c r="P364" s="258"/>
      <c r="X364" s="113"/>
    </row>
    <row r="365" spans="16:24" ht="16.5" customHeight="1">
      <c r="P365" s="258"/>
      <c r="X365" s="113"/>
    </row>
    <row r="366" spans="16:24" ht="16.5" customHeight="1">
      <c r="P366" s="258"/>
      <c r="X366" s="113"/>
    </row>
    <row r="367" spans="16:24" ht="16.5" customHeight="1">
      <c r="P367" s="258"/>
      <c r="X367" s="113"/>
    </row>
    <row r="368" spans="16:24" ht="16.5" customHeight="1">
      <c r="P368" s="258"/>
      <c r="X368" s="113"/>
    </row>
    <row r="369" spans="16:24" ht="16.5" customHeight="1">
      <c r="P369" s="258"/>
      <c r="X369" s="113"/>
    </row>
    <row r="370" spans="16:24" ht="16.5" customHeight="1">
      <c r="P370" s="258"/>
      <c r="X370" s="113"/>
    </row>
    <row r="371" spans="16:24" ht="16.5" customHeight="1">
      <c r="P371" s="258"/>
      <c r="X371" s="113"/>
    </row>
    <row r="372" spans="16:24" ht="16.5" customHeight="1">
      <c r="P372" s="258"/>
      <c r="X372" s="113"/>
    </row>
    <row r="373" spans="16:24" ht="16.5" customHeight="1">
      <c r="X373" s="113"/>
    </row>
    <row r="374" spans="16:24" ht="16.5" customHeight="1">
      <c r="X374" s="113"/>
    </row>
    <row r="375" spans="16:24" ht="16.5" customHeight="1">
      <c r="X375" s="113"/>
    </row>
    <row r="376" spans="16:24" ht="16.5" customHeight="1">
      <c r="X376" s="113"/>
    </row>
    <row r="377" spans="16:24" ht="16.5" customHeight="1">
      <c r="X377" s="113"/>
    </row>
    <row r="378" spans="16:24" ht="16.5" customHeight="1">
      <c r="X378" s="113"/>
    </row>
    <row r="379" spans="16:24" ht="16.5" customHeight="1">
      <c r="X379" s="113"/>
    </row>
    <row r="380" spans="16:24" ht="16.5" customHeight="1">
      <c r="X380" s="113"/>
    </row>
    <row r="381" spans="16:24" ht="16.5" customHeight="1">
      <c r="X381" s="113"/>
    </row>
    <row r="382" spans="16:24" ht="16.5" customHeight="1">
      <c r="X382" s="113"/>
    </row>
    <row r="383" spans="16:24" ht="16.5" customHeight="1">
      <c r="X383" s="113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13A29E9-D865-4F67-BE71-C432302FE672}">
          <x14:formula1>
            <xm:f>공급업체코드!$D$3:$D$47</xm:f>
          </x14:formula1>
          <xm:sqref>E3:E27</xm:sqref>
        </x14:dataValidation>
        <x14:dataValidation type="list" allowBlank="1" showInputMessage="1" showErrorMessage="1" xr:uid="{BAF9C58A-3591-4965-881B-2813CCC0772A}">
          <x14:formula1>
            <xm:f>기계코드!$F$186:$F$188</xm:f>
          </x14:formula1>
          <xm:sqref>C3:C27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2155-E0AB-450B-958B-C480BA100BFF}">
  <sheetPr>
    <tabColor rgb="FF0070C0"/>
  </sheetPr>
  <dimension ref="A1:AF383"/>
  <sheetViews>
    <sheetView zoomScale="85" zoomScaleNormal="85" workbookViewId="0">
      <pane ySplit="2" topLeftCell="A3" activePane="bottomLeft" state="frozen"/>
      <selection pane="bottomLeft" activeCell="F18" sqref="F18"/>
    </sheetView>
  </sheetViews>
  <sheetFormatPr defaultRowHeight="16.5" customHeight="1"/>
  <cols>
    <col min="2" max="2" width="28.875" bestFit="1" customWidth="1"/>
    <col min="3" max="3" width="22.125" bestFit="1" customWidth="1"/>
    <col min="4" max="4" width="16.75" bestFit="1" customWidth="1"/>
    <col min="5" max="5" width="15.25" customWidth="1"/>
    <col min="6" max="6" width="16.5" customWidth="1"/>
    <col min="7" max="7" width="15.625" bestFit="1" customWidth="1"/>
    <col min="8" max="8" width="18.875" bestFit="1" customWidth="1"/>
    <col min="9" max="9" width="18.875" customWidth="1"/>
    <col min="10" max="10" width="13" bestFit="1" customWidth="1"/>
    <col min="11" max="11" width="14.375" bestFit="1" customWidth="1"/>
    <col min="12" max="12" width="14.75" bestFit="1" customWidth="1"/>
    <col min="13" max="13" width="20.125" bestFit="1" customWidth="1"/>
    <col min="14" max="14" width="21.25" bestFit="1" customWidth="1"/>
    <col min="15" max="15" width="25.375" bestFit="1" customWidth="1"/>
    <col min="16" max="16" width="15.25" bestFit="1" customWidth="1"/>
    <col min="17" max="17" width="16.125" style="261" customWidth="1"/>
    <col min="18" max="18" width="25.75" style="10" bestFit="1" customWidth="1"/>
    <col min="19" max="19" width="16.125" style="260" customWidth="1"/>
    <col min="20" max="20" width="18" style="147" bestFit="1" customWidth="1"/>
    <col min="21" max="21" width="21.25" bestFit="1" customWidth="1"/>
    <col min="22" max="22" width="27.125" style="18" customWidth="1"/>
    <col min="24" max="24" width="11.625" bestFit="1" customWidth="1"/>
    <col min="25" max="25" width="20.625" customWidth="1"/>
  </cols>
  <sheetData>
    <row r="1" spans="1:32">
      <c r="A1" s="10"/>
      <c r="B1" s="10" t="s">
        <v>1284</v>
      </c>
      <c r="C1" s="10"/>
      <c r="D1" s="10" t="s">
        <v>1285</v>
      </c>
      <c r="E1" s="10"/>
      <c r="F1" s="10" t="s">
        <v>1286</v>
      </c>
      <c r="G1" s="17" t="s">
        <v>1287</v>
      </c>
      <c r="H1" s="10" t="s">
        <v>2278</v>
      </c>
      <c r="I1" s="10" t="s">
        <v>1432</v>
      </c>
      <c r="J1" s="10" t="s">
        <v>1318</v>
      </c>
      <c r="K1" s="10" t="s">
        <v>1319</v>
      </c>
      <c r="L1" s="10" t="s">
        <v>1320</v>
      </c>
      <c r="M1" s="10" t="s">
        <v>1321</v>
      </c>
      <c r="N1" s="10" t="s">
        <v>1322</v>
      </c>
      <c r="O1" s="10" t="s">
        <v>1323</v>
      </c>
      <c r="P1" s="17" t="s">
        <v>1324</v>
      </c>
      <c r="Q1" s="131" t="s">
        <v>1290</v>
      </c>
      <c r="R1" s="131" t="s">
        <v>1291</v>
      </c>
      <c r="S1" s="131" t="s">
        <v>1292</v>
      </c>
      <c r="T1" s="10" t="s">
        <v>1293</v>
      </c>
      <c r="U1" s="17" t="s">
        <v>1294</v>
      </c>
      <c r="V1" s="61" t="s">
        <v>1295</v>
      </c>
      <c r="W1" s="10" t="s">
        <v>1296</v>
      </c>
      <c r="X1" s="10" t="s">
        <v>1297</v>
      </c>
      <c r="Y1" s="249" t="s">
        <v>1298</v>
      </c>
      <c r="Z1" s="10"/>
      <c r="AA1" s="10"/>
      <c r="AB1" s="10"/>
      <c r="AC1" s="10"/>
      <c r="AD1" s="10"/>
      <c r="AE1" s="10"/>
      <c r="AF1" s="10"/>
    </row>
    <row r="2" spans="1:32">
      <c r="A2" s="1"/>
      <c r="B2" s="2" t="s">
        <v>1439</v>
      </c>
      <c r="C2" s="39" t="s">
        <v>1300</v>
      </c>
      <c r="D2" s="4" t="s">
        <v>1301</v>
      </c>
      <c r="E2" s="39" t="s">
        <v>1300</v>
      </c>
      <c r="F2" s="3" t="s">
        <v>1120</v>
      </c>
      <c r="G2" s="12" t="s">
        <v>1302</v>
      </c>
      <c r="H2" s="9" t="s">
        <v>2279</v>
      </c>
      <c r="I2" s="96" t="s">
        <v>1450</v>
      </c>
      <c r="J2" s="5" t="s">
        <v>1371</v>
      </c>
      <c r="K2" s="5" t="s">
        <v>1328</v>
      </c>
      <c r="L2" s="53" t="s">
        <v>1329</v>
      </c>
      <c r="M2" s="5" t="s">
        <v>1330</v>
      </c>
      <c r="N2" s="5" t="s">
        <v>1331</v>
      </c>
      <c r="O2" s="57" t="s">
        <v>1332</v>
      </c>
      <c r="P2" s="14" t="s">
        <v>1349</v>
      </c>
      <c r="Q2" s="5" t="s">
        <v>1305</v>
      </c>
      <c r="R2" s="5" t="s">
        <v>1306</v>
      </c>
      <c r="S2" s="5" t="s">
        <v>1307</v>
      </c>
      <c r="T2" s="19" t="s">
        <v>1308</v>
      </c>
      <c r="U2" s="108" t="s">
        <v>1309</v>
      </c>
      <c r="V2" s="241" t="s">
        <v>1310</v>
      </c>
      <c r="W2" s="54" t="s">
        <v>1311</v>
      </c>
      <c r="X2" s="3" t="s">
        <v>10</v>
      </c>
      <c r="Y2" s="242" t="s">
        <v>1312</v>
      </c>
      <c r="Z2" s="1"/>
      <c r="AA2" s="1"/>
      <c r="AB2" s="1"/>
      <c r="AC2" s="1"/>
      <c r="AD2" s="41"/>
      <c r="AE2" s="41"/>
      <c r="AF2" s="41"/>
    </row>
    <row r="3" spans="1:32">
      <c r="B3" s="1" t="str">
        <f>D3&amp;"_"&amp;F3&amp;"_"&amp;H3</f>
        <v>M_ACP01_VM_KW_COMP_5</v>
      </c>
      <c r="C3" s="7" t="s">
        <v>2280</v>
      </c>
      <c r="D3" s="7" t="str" cm="1">
        <f t="array" ref="D3">INDEX(기계코드!$D$4:$D$1022,MATCH(1,(C3=기계코드!$F$4:$F$1022)*1,0))</f>
        <v>M_ACP01</v>
      </c>
      <c r="E3" s="7" t="s">
        <v>2281</v>
      </c>
      <c r="F3" s="7" t="str" cm="1">
        <f t="array" ref="F3">INDEX(공급업체코드!$B$3:$B$1000,MATCH(1,(E3=공급업체코드!$D$3:$D$1000)*1,0))</f>
        <v>VM_KW_COMP</v>
      </c>
      <c r="G3" t="s">
        <v>2282</v>
      </c>
      <c r="H3" s="95">
        <v>5</v>
      </c>
      <c r="I3" s="95"/>
      <c r="J3">
        <v>3.7</v>
      </c>
      <c r="K3" s="7" t="s">
        <v>981</v>
      </c>
      <c r="L3" s="7">
        <v>380</v>
      </c>
      <c r="M3" s="7">
        <v>0.89500000000000002</v>
      </c>
      <c r="N3" s="7">
        <v>0.9</v>
      </c>
      <c r="O3" s="7">
        <v>10</v>
      </c>
      <c r="P3">
        <v>11</v>
      </c>
      <c r="Q3" s="256" t="s">
        <v>1421</v>
      </c>
      <c r="R3" s="10">
        <f t="shared" ref="R3:R7" si="0">IF(P3&lt;500,1,IF(P3&lt;1000,2,IF(P3&lt;5000,3,4)))</f>
        <v>1</v>
      </c>
      <c r="S3" s="257" t="s">
        <v>1391</v>
      </c>
      <c r="T3" s="153">
        <v>5120000</v>
      </c>
      <c r="U3" s="154"/>
      <c r="W3" s="1" t="b">
        <v>1</v>
      </c>
      <c r="Y3" s="133"/>
      <c r="AD3" s="41"/>
      <c r="AE3" s="41"/>
      <c r="AF3" s="41"/>
    </row>
    <row r="4" spans="1:32">
      <c r="B4" s="1" t="str">
        <f t="shared" ref="B4:B7" si="1">D4&amp;"_"&amp;F4&amp;"_"&amp;H4</f>
        <v>M_ACP01_VM_KW_COMP_10</v>
      </c>
      <c r="C4" s="7" t="s">
        <v>2280</v>
      </c>
      <c r="D4" s="7" t="str" cm="1">
        <f t="array" ref="D4">INDEX(기계코드!$D$4:$D$1022,MATCH(1,(C4=기계코드!$F$4:$F$1022)*1,0))</f>
        <v>M_ACP01</v>
      </c>
      <c r="E4" s="7" t="s">
        <v>2281</v>
      </c>
      <c r="F4" s="7" t="str" cm="1">
        <f t="array" ref="F4">INDEX(공급업체코드!$B$3:$B$1000,MATCH(1,(E4=공급업체코드!$D$3:$D$1000)*1,0))</f>
        <v>VM_KW_COMP</v>
      </c>
      <c r="G4" t="s">
        <v>2283</v>
      </c>
      <c r="H4">
        <v>10</v>
      </c>
      <c r="J4">
        <v>5.5</v>
      </c>
      <c r="K4" s="7" t="s">
        <v>981</v>
      </c>
      <c r="L4" s="7">
        <v>380</v>
      </c>
      <c r="M4" s="7">
        <v>0.91700000000000004</v>
      </c>
      <c r="N4" s="7">
        <v>0.9</v>
      </c>
      <c r="O4" s="7">
        <v>10</v>
      </c>
      <c r="P4">
        <v>11</v>
      </c>
      <c r="Q4" s="258" t="s">
        <v>1421</v>
      </c>
      <c r="R4" s="10">
        <f t="shared" si="0"/>
        <v>1</v>
      </c>
      <c r="S4" s="259" t="s">
        <v>1391</v>
      </c>
      <c r="T4" s="155">
        <v>8640000</v>
      </c>
      <c r="U4" s="63"/>
      <c r="W4" s="1" t="b">
        <v>1</v>
      </c>
      <c r="Y4" s="133"/>
      <c r="AD4" s="41"/>
      <c r="AE4" s="41"/>
      <c r="AF4" s="41"/>
    </row>
    <row r="5" spans="1:32">
      <c r="B5" s="1" t="str">
        <f t="shared" si="1"/>
        <v>M_ACP01_VM_KW_COMP_15</v>
      </c>
      <c r="C5" s="7" t="s">
        <v>2280</v>
      </c>
      <c r="D5" s="7" t="str" cm="1">
        <f t="array" ref="D5">INDEX(기계코드!$D$4:$D$1022,MATCH(1,(C5=기계코드!$F$4:$F$1022)*1,0))</f>
        <v>M_ACP01</v>
      </c>
      <c r="E5" s="7" t="s">
        <v>2281</v>
      </c>
      <c r="F5" s="7" t="str" cm="1">
        <f t="array" ref="F5">INDEX(공급업체코드!$B$3:$B$1000,MATCH(1,(E5=공급업체코드!$D$3:$D$1000)*1,0))</f>
        <v>VM_KW_COMP</v>
      </c>
      <c r="G5" t="s">
        <v>2284</v>
      </c>
      <c r="H5">
        <v>15</v>
      </c>
      <c r="J5">
        <v>7.5</v>
      </c>
      <c r="K5" s="7" t="s">
        <v>981</v>
      </c>
      <c r="L5" s="7">
        <v>380</v>
      </c>
      <c r="M5" s="7">
        <v>0.91700000000000004</v>
      </c>
      <c r="N5" s="7">
        <v>0.9</v>
      </c>
      <c r="O5" s="7">
        <v>10</v>
      </c>
      <c r="P5">
        <v>11</v>
      </c>
      <c r="Q5" s="258" t="s">
        <v>1421</v>
      </c>
      <c r="R5" s="10">
        <f t="shared" si="0"/>
        <v>1</v>
      </c>
      <c r="S5" s="259" t="s">
        <v>1391</v>
      </c>
      <c r="T5" s="155">
        <v>12320000</v>
      </c>
      <c r="U5" s="63"/>
      <c r="W5" s="1" t="b">
        <v>1</v>
      </c>
      <c r="Y5" s="133"/>
      <c r="AD5" s="41"/>
      <c r="AE5" s="41"/>
      <c r="AF5" s="41"/>
    </row>
    <row r="6" spans="1:32">
      <c r="B6" s="1" t="str">
        <f t="shared" si="1"/>
        <v>M_ACP01_VM_KW_COMP_20</v>
      </c>
      <c r="C6" s="7" t="s">
        <v>2280</v>
      </c>
      <c r="D6" s="7" t="str" cm="1">
        <f t="array" ref="D6">INDEX(기계코드!$D$4:$D$1022,MATCH(1,(C6=기계코드!$F$4:$F$1022)*1,0))</f>
        <v>M_ACP01</v>
      </c>
      <c r="E6" s="7" t="s">
        <v>2281</v>
      </c>
      <c r="F6" s="7" t="str" cm="1">
        <f t="array" ref="F6">INDEX(공급업체코드!$B$3:$B$1000,MATCH(1,(E6=공급업체코드!$D$3:$D$1000)*1,0))</f>
        <v>VM_KW_COMP</v>
      </c>
      <c r="G6" t="s">
        <v>2285</v>
      </c>
      <c r="H6">
        <v>20</v>
      </c>
      <c r="J6">
        <v>11</v>
      </c>
      <c r="K6" s="7" t="s">
        <v>981</v>
      </c>
      <c r="L6" s="7">
        <v>380</v>
      </c>
      <c r="M6" s="7">
        <v>0.92400000000000004</v>
      </c>
      <c r="N6" s="7">
        <v>0.9</v>
      </c>
      <c r="O6" s="7">
        <v>10</v>
      </c>
      <c r="P6">
        <v>11</v>
      </c>
      <c r="Q6" s="258" t="s">
        <v>1421</v>
      </c>
      <c r="R6" s="10">
        <f t="shared" si="0"/>
        <v>1</v>
      </c>
      <c r="S6" s="259" t="s">
        <v>1391</v>
      </c>
      <c r="T6" s="155">
        <v>12320000</v>
      </c>
      <c r="U6" s="63"/>
      <c r="W6" s="1" t="b">
        <v>1</v>
      </c>
      <c r="Y6" s="133"/>
      <c r="AD6" s="41"/>
      <c r="AE6" s="41"/>
      <c r="AF6" s="41"/>
    </row>
    <row r="7" spans="1:32">
      <c r="B7" s="1" t="str">
        <f t="shared" si="1"/>
        <v>M_ACP01_VM_KW_COMP_25</v>
      </c>
      <c r="C7" s="7" t="s">
        <v>2280</v>
      </c>
      <c r="D7" s="7" t="str" cm="1">
        <f t="array" ref="D7">INDEX(기계코드!$D$4:$D$1022,MATCH(1,(C7=기계코드!$F$4:$F$1022)*1,0))</f>
        <v>M_ACP01</v>
      </c>
      <c r="E7" s="7" t="s">
        <v>2281</v>
      </c>
      <c r="F7" s="7" t="str" cm="1">
        <f t="array" ref="F7">INDEX(공급업체코드!$B$3:$B$1000,MATCH(1,(E7=공급업체코드!$D$3:$D$1000)*1,0))</f>
        <v>VM_KW_COMP</v>
      </c>
      <c r="G7" t="s">
        <v>2286</v>
      </c>
      <c r="H7">
        <v>25</v>
      </c>
      <c r="J7">
        <v>15</v>
      </c>
      <c r="K7" s="7" t="s">
        <v>987</v>
      </c>
      <c r="L7" s="7">
        <v>380</v>
      </c>
      <c r="M7" s="7">
        <v>0.93</v>
      </c>
      <c r="N7" s="7">
        <v>0.9</v>
      </c>
      <c r="O7" s="7">
        <v>10</v>
      </c>
      <c r="P7">
        <v>11</v>
      </c>
      <c r="Q7" s="258" t="s">
        <v>1421</v>
      </c>
      <c r="R7" s="10">
        <f t="shared" si="0"/>
        <v>1</v>
      </c>
      <c r="S7" s="259" t="s">
        <v>1391</v>
      </c>
      <c r="T7" s="155">
        <v>15400000</v>
      </c>
      <c r="U7" s="63"/>
      <c r="W7" s="1" t="b">
        <v>1</v>
      </c>
      <c r="Y7" s="113"/>
      <c r="AD7" s="41"/>
      <c r="AE7" s="41"/>
      <c r="AF7" s="41"/>
    </row>
    <row r="8" spans="1:32">
      <c r="B8" s="1"/>
      <c r="C8" s="7"/>
      <c r="D8" s="7"/>
      <c r="E8" s="7"/>
      <c r="F8" s="7"/>
      <c r="G8" s="6"/>
      <c r="K8" s="34"/>
      <c r="L8" s="34"/>
      <c r="M8" s="34"/>
      <c r="N8" s="34"/>
      <c r="O8" s="34"/>
      <c r="Q8" s="258"/>
      <c r="S8" s="259"/>
      <c r="T8" s="155"/>
      <c r="U8" s="63"/>
      <c r="V8" s="67"/>
      <c r="W8" s="1"/>
      <c r="Y8" s="113"/>
      <c r="AD8" s="41"/>
      <c r="AE8" s="41"/>
      <c r="AF8" s="41"/>
    </row>
    <row r="9" spans="1:32">
      <c r="B9" s="1"/>
      <c r="C9" s="7"/>
      <c r="D9" s="7"/>
      <c r="E9" s="7"/>
      <c r="F9" s="7"/>
      <c r="G9" s="6"/>
      <c r="K9" s="34"/>
      <c r="L9" s="34"/>
      <c r="M9" s="34"/>
      <c r="N9" s="34"/>
      <c r="O9" s="34"/>
      <c r="Q9" s="258"/>
      <c r="S9" s="259"/>
      <c r="T9" s="155"/>
      <c r="U9" s="63"/>
      <c r="V9" s="67"/>
      <c r="W9" s="1"/>
      <c r="Y9" s="113"/>
      <c r="AD9" s="40"/>
      <c r="AE9" s="40"/>
      <c r="AF9" s="41"/>
    </row>
    <row r="10" spans="1:32">
      <c r="B10" s="1"/>
      <c r="C10" s="7"/>
      <c r="D10" s="7"/>
      <c r="E10" s="7"/>
      <c r="F10" s="7"/>
      <c r="G10" s="6"/>
      <c r="Q10" s="258"/>
      <c r="S10" s="259"/>
      <c r="W10" s="1"/>
      <c r="Y10" s="113"/>
    </row>
    <row r="11" spans="1:32">
      <c r="B11" s="1"/>
      <c r="C11" s="7"/>
      <c r="D11" s="7"/>
      <c r="E11" s="7"/>
      <c r="F11" s="7"/>
      <c r="G11" s="6"/>
      <c r="Q11" s="258"/>
      <c r="S11" s="259"/>
      <c r="W11" s="1"/>
      <c r="X11" t="s">
        <v>2287</v>
      </c>
      <c r="Y11" s="113"/>
    </row>
    <row r="12" spans="1:32">
      <c r="B12" s="1"/>
      <c r="C12" s="7"/>
      <c r="D12" s="7"/>
      <c r="E12" s="7"/>
      <c r="F12" s="7"/>
      <c r="G12" s="6"/>
      <c r="Q12" s="258"/>
      <c r="S12" s="259"/>
      <c r="W12" s="1"/>
      <c r="Y12" s="113"/>
    </row>
    <row r="13" spans="1:32">
      <c r="B13" s="1"/>
      <c r="C13" s="7"/>
      <c r="D13" s="7"/>
      <c r="E13" s="7"/>
      <c r="F13" s="7"/>
      <c r="G13" s="6"/>
      <c r="Q13" s="258"/>
      <c r="S13" s="259"/>
      <c r="W13" s="1"/>
      <c r="Y13" s="113"/>
    </row>
    <row r="14" spans="1:32">
      <c r="B14" s="1"/>
      <c r="C14" s="7"/>
      <c r="D14" s="7"/>
      <c r="E14" s="7"/>
      <c r="F14" s="7"/>
      <c r="G14" s="6"/>
      <c r="Q14" s="258"/>
      <c r="S14" s="259"/>
      <c r="W14" s="1"/>
      <c r="Y14" s="113"/>
    </row>
    <row r="15" spans="1:32">
      <c r="B15" s="1"/>
      <c r="C15" s="7"/>
      <c r="D15" s="7"/>
      <c r="E15" s="7"/>
      <c r="F15" s="7"/>
      <c r="G15" s="6"/>
      <c r="Q15" s="258"/>
      <c r="S15" s="259"/>
      <c r="W15" s="1"/>
      <c r="Y15" s="113"/>
    </row>
    <row r="16" spans="1:32">
      <c r="B16" s="1"/>
      <c r="C16" s="7"/>
      <c r="D16" s="7"/>
      <c r="E16" s="7"/>
      <c r="F16" s="7"/>
      <c r="G16" s="6"/>
      <c r="Q16" s="258"/>
      <c r="S16" s="259"/>
      <c r="W16" s="1"/>
      <c r="Y16" s="113"/>
    </row>
    <row r="17" spans="2:25">
      <c r="B17" s="1"/>
      <c r="C17" s="7"/>
      <c r="D17" s="7"/>
      <c r="E17" s="7"/>
      <c r="F17" s="7"/>
      <c r="Q17" s="258"/>
      <c r="S17" s="259"/>
      <c r="W17" s="1"/>
      <c r="Y17" s="113"/>
    </row>
    <row r="18" spans="2:25">
      <c r="C18" s="7"/>
      <c r="D18" s="7"/>
      <c r="E18" s="7"/>
      <c r="F18" s="7"/>
      <c r="Q18" s="258"/>
      <c r="S18" s="259"/>
      <c r="W18" s="1"/>
      <c r="Y18" s="113"/>
    </row>
    <row r="19" spans="2:25">
      <c r="B19" s="1"/>
      <c r="C19" s="7"/>
      <c r="D19" s="7"/>
      <c r="E19" s="7"/>
      <c r="F19" s="7"/>
      <c r="Q19" s="258"/>
      <c r="S19" s="259"/>
      <c r="W19" s="1"/>
      <c r="Y19" s="113"/>
    </row>
    <row r="20" spans="2:25">
      <c r="B20" s="1"/>
      <c r="C20" s="7"/>
      <c r="D20" s="7"/>
      <c r="E20" s="7"/>
      <c r="F20" s="7"/>
      <c r="Q20" s="258"/>
      <c r="S20" s="259"/>
      <c r="W20" s="1"/>
      <c r="Y20" s="113"/>
    </row>
    <row r="21" spans="2:25">
      <c r="B21" s="1"/>
      <c r="C21" s="7"/>
      <c r="D21" s="7"/>
      <c r="E21" s="7"/>
      <c r="F21" s="7"/>
      <c r="Q21" s="258"/>
      <c r="S21" s="259"/>
      <c r="W21" s="1"/>
      <c r="Y21" s="113"/>
    </row>
    <row r="22" spans="2:25">
      <c r="B22" s="1"/>
      <c r="C22" s="7"/>
      <c r="D22" s="7"/>
      <c r="E22" s="7"/>
      <c r="F22" s="7"/>
      <c r="Q22" s="258"/>
      <c r="S22" s="259"/>
      <c r="W22" s="1"/>
      <c r="Y22" s="113"/>
    </row>
    <row r="23" spans="2:25">
      <c r="B23" s="1"/>
      <c r="C23" s="7"/>
      <c r="D23" s="7"/>
      <c r="E23" s="7"/>
      <c r="F23" s="7"/>
      <c r="Q23" s="258"/>
      <c r="S23" s="259"/>
      <c r="W23" s="1"/>
      <c r="Y23" s="113"/>
    </row>
    <row r="24" spans="2:25">
      <c r="B24" s="1"/>
      <c r="C24" s="7"/>
      <c r="D24" s="7"/>
      <c r="E24" s="7"/>
      <c r="F24" s="7"/>
      <c r="Q24" s="258"/>
      <c r="S24" s="259"/>
      <c r="W24" s="1"/>
      <c r="Y24" s="113"/>
    </row>
    <row r="25" spans="2:25">
      <c r="B25" s="1"/>
      <c r="C25" s="7"/>
      <c r="D25" s="7"/>
      <c r="E25" s="7"/>
      <c r="F25" s="7"/>
      <c r="Q25" s="258"/>
      <c r="S25" s="259"/>
      <c r="W25" s="1"/>
      <c r="Y25" s="113"/>
    </row>
    <row r="26" spans="2:25">
      <c r="B26" s="1"/>
      <c r="C26" s="7"/>
      <c r="D26" s="7"/>
      <c r="E26" s="7"/>
      <c r="F26" s="7"/>
      <c r="Q26" s="258"/>
      <c r="S26" s="259"/>
      <c r="W26" s="1"/>
      <c r="Y26" s="113"/>
    </row>
    <row r="27" spans="2:25">
      <c r="B27" s="1"/>
      <c r="C27" s="7"/>
      <c r="D27" s="7"/>
      <c r="E27" s="7"/>
      <c r="F27" s="7"/>
      <c r="Q27" s="258"/>
      <c r="S27" s="259"/>
      <c r="W27" s="1"/>
      <c r="Y27" s="113"/>
    </row>
    <row r="28" spans="2:25">
      <c r="B28" s="1"/>
      <c r="Q28" s="258"/>
      <c r="S28" s="259"/>
      <c r="Y28" s="113"/>
    </row>
    <row r="29" spans="2:25">
      <c r="B29" s="1"/>
      <c r="Q29" s="258"/>
      <c r="S29" s="259"/>
      <c r="Y29" s="113"/>
    </row>
    <row r="30" spans="2:25" ht="16.5" customHeight="1">
      <c r="Q30" s="258"/>
      <c r="S30" s="259"/>
      <c r="Y30" s="113"/>
    </row>
    <row r="31" spans="2:25" ht="16.5" customHeight="1">
      <c r="Q31" s="258"/>
      <c r="S31" s="259"/>
      <c r="Y31" s="113"/>
    </row>
    <row r="32" spans="2:25" ht="16.5" customHeight="1">
      <c r="Q32" s="258"/>
      <c r="S32" s="259"/>
      <c r="Y32" s="113"/>
    </row>
    <row r="33" spans="17:25" ht="16.5" customHeight="1">
      <c r="Q33" s="258"/>
      <c r="S33" s="259"/>
      <c r="Y33" s="113"/>
    </row>
    <row r="34" spans="17:25" ht="16.5" customHeight="1">
      <c r="Q34" s="258"/>
      <c r="S34" s="259"/>
      <c r="Y34" s="113"/>
    </row>
    <row r="35" spans="17:25" ht="16.5" customHeight="1">
      <c r="Q35" s="258"/>
      <c r="S35" s="259"/>
      <c r="Y35" s="113"/>
    </row>
    <row r="36" spans="17:25" ht="16.5" customHeight="1">
      <c r="Q36" s="258"/>
      <c r="S36" s="259"/>
      <c r="Y36" s="113"/>
    </row>
    <row r="37" spans="17:25" ht="16.5" customHeight="1">
      <c r="Q37" s="258"/>
      <c r="S37" s="259"/>
      <c r="Y37" s="113"/>
    </row>
    <row r="38" spans="17:25" ht="16.5" customHeight="1">
      <c r="Q38" s="258"/>
      <c r="S38" s="259"/>
      <c r="Y38" s="113"/>
    </row>
    <row r="39" spans="17:25" ht="16.5" customHeight="1">
      <c r="Q39" s="258"/>
      <c r="S39" s="259"/>
      <c r="Y39" s="113"/>
    </row>
    <row r="40" spans="17:25" ht="16.5" customHeight="1">
      <c r="Q40" s="258"/>
      <c r="S40" s="259"/>
      <c r="Y40" s="113"/>
    </row>
    <row r="41" spans="17:25" ht="16.5" customHeight="1">
      <c r="Q41" s="258"/>
      <c r="S41" s="259"/>
      <c r="Y41" s="113"/>
    </row>
    <row r="42" spans="17:25" ht="16.5" customHeight="1">
      <c r="Q42" s="258"/>
      <c r="S42" s="259"/>
      <c r="Y42" s="113"/>
    </row>
    <row r="43" spans="17:25" ht="16.5" customHeight="1">
      <c r="Q43" s="258"/>
      <c r="S43" s="259"/>
      <c r="Y43" s="113"/>
    </row>
    <row r="44" spans="17:25" ht="16.5" customHeight="1">
      <c r="Q44" s="258"/>
      <c r="S44" s="259"/>
      <c r="Y44" s="113"/>
    </row>
    <row r="45" spans="17:25" ht="16.5" customHeight="1">
      <c r="Q45" s="258"/>
      <c r="S45" s="259"/>
      <c r="Y45" s="113"/>
    </row>
    <row r="46" spans="17:25" ht="16.5" customHeight="1">
      <c r="Q46" s="258"/>
      <c r="S46" s="259"/>
      <c r="Y46" s="113"/>
    </row>
    <row r="47" spans="17:25" ht="16.5" customHeight="1">
      <c r="Q47" s="258"/>
      <c r="S47" s="259"/>
      <c r="Y47" s="113"/>
    </row>
    <row r="48" spans="17:25" ht="16.5" customHeight="1">
      <c r="Q48" s="258"/>
      <c r="S48" s="259"/>
      <c r="Y48" s="113"/>
    </row>
    <row r="49" spans="17:25" ht="16.5" customHeight="1">
      <c r="Q49" s="258"/>
      <c r="S49" s="259"/>
      <c r="Y49" s="113"/>
    </row>
    <row r="50" spans="17:25" ht="16.5" customHeight="1">
      <c r="Q50" s="258"/>
      <c r="S50" s="259"/>
      <c r="Y50" s="113"/>
    </row>
    <row r="51" spans="17:25" ht="16.5" customHeight="1">
      <c r="Q51" s="258"/>
      <c r="S51" s="259"/>
      <c r="Y51" s="113"/>
    </row>
    <row r="52" spans="17:25" ht="16.5" customHeight="1">
      <c r="Q52" s="258"/>
      <c r="S52" s="259"/>
      <c r="Y52" s="113"/>
    </row>
    <row r="53" spans="17:25" ht="16.5" customHeight="1">
      <c r="Q53" s="258"/>
      <c r="S53" s="259"/>
      <c r="Y53" s="113"/>
    </row>
    <row r="54" spans="17:25" ht="16.5" customHeight="1">
      <c r="Q54" s="258"/>
      <c r="S54" s="259"/>
      <c r="Y54" s="113"/>
    </row>
    <row r="55" spans="17:25" ht="16.5" customHeight="1">
      <c r="Q55" s="258"/>
      <c r="S55" s="259"/>
      <c r="Y55" s="113"/>
    </row>
    <row r="56" spans="17:25" ht="16.5" customHeight="1">
      <c r="Q56" s="258"/>
      <c r="S56" s="259"/>
      <c r="Y56" s="113"/>
    </row>
    <row r="57" spans="17:25" ht="16.5" customHeight="1">
      <c r="Q57" s="258"/>
      <c r="S57" s="259"/>
      <c r="Y57" s="113"/>
    </row>
    <row r="58" spans="17:25" ht="16.5" customHeight="1">
      <c r="Q58" s="258"/>
      <c r="S58" s="259"/>
      <c r="Y58" s="113"/>
    </row>
    <row r="59" spans="17:25" ht="16.5" customHeight="1">
      <c r="Q59" s="258"/>
      <c r="S59" s="259"/>
      <c r="Y59" s="113"/>
    </row>
    <row r="60" spans="17:25" ht="16.5" customHeight="1">
      <c r="Q60" s="258"/>
      <c r="S60" s="259"/>
      <c r="Y60" s="113"/>
    </row>
    <row r="61" spans="17:25" ht="16.5" customHeight="1">
      <c r="Q61" s="258"/>
      <c r="S61" s="259"/>
      <c r="Y61" s="113"/>
    </row>
    <row r="62" spans="17:25" ht="16.5" customHeight="1">
      <c r="Q62" s="258"/>
      <c r="S62" s="259"/>
      <c r="Y62" s="113"/>
    </row>
    <row r="63" spans="17:25" ht="16.5" customHeight="1">
      <c r="Q63" s="258"/>
      <c r="S63" s="259"/>
      <c r="Y63" s="113"/>
    </row>
    <row r="64" spans="17:25" ht="16.5" customHeight="1">
      <c r="Q64" s="258"/>
      <c r="S64" s="259"/>
      <c r="Y64" s="113"/>
    </row>
    <row r="65" spans="17:25" ht="16.5" customHeight="1">
      <c r="Q65" s="258"/>
      <c r="S65" s="259"/>
      <c r="Y65" s="113"/>
    </row>
    <row r="66" spans="17:25" ht="16.5" customHeight="1">
      <c r="Q66" s="258"/>
      <c r="S66" s="259"/>
      <c r="Y66" s="113"/>
    </row>
    <row r="67" spans="17:25" ht="16.5" customHeight="1">
      <c r="Q67" s="258"/>
      <c r="S67" s="259"/>
      <c r="Y67" s="113"/>
    </row>
    <row r="68" spans="17:25" ht="16.5" customHeight="1">
      <c r="Q68" s="258"/>
      <c r="S68" s="259"/>
      <c r="Y68" s="113"/>
    </row>
    <row r="69" spans="17:25" ht="16.5" customHeight="1">
      <c r="Q69" s="258"/>
      <c r="S69" s="259"/>
      <c r="Y69" s="113"/>
    </row>
    <row r="70" spans="17:25" ht="16.5" customHeight="1">
      <c r="Q70" s="258"/>
      <c r="S70" s="259"/>
      <c r="Y70" s="113"/>
    </row>
    <row r="71" spans="17:25" ht="16.5" customHeight="1">
      <c r="Q71" s="258"/>
      <c r="S71" s="259"/>
      <c r="Y71" s="113"/>
    </row>
    <row r="72" spans="17:25" ht="16.5" customHeight="1">
      <c r="Q72" s="258"/>
      <c r="S72" s="259"/>
      <c r="Y72" s="113"/>
    </row>
    <row r="73" spans="17:25" ht="16.5" customHeight="1">
      <c r="Q73" s="258"/>
      <c r="S73" s="259"/>
      <c r="Y73" s="113"/>
    </row>
    <row r="74" spans="17:25" ht="16.5" customHeight="1">
      <c r="Q74" s="258"/>
      <c r="S74" s="259"/>
      <c r="Y74" s="113"/>
    </row>
    <row r="75" spans="17:25" ht="16.5" customHeight="1">
      <c r="Q75" s="258"/>
      <c r="S75" s="259"/>
      <c r="Y75" s="113"/>
    </row>
    <row r="76" spans="17:25" ht="16.5" customHeight="1">
      <c r="Q76" s="258"/>
      <c r="S76" s="259"/>
      <c r="Y76" s="113"/>
    </row>
    <row r="77" spans="17:25" ht="16.5" customHeight="1">
      <c r="Q77" s="258"/>
      <c r="S77" s="259"/>
      <c r="Y77" s="113"/>
    </row>
    <row r="78" spans="17:25" ht="16.5" customHeight="1">
      <c r="Q78" s="258"/>
      <c r="S78" s="259"/>
      <c r="Y78" s="113"/>
    </row>
    <row r="79" spans="17:25" ht="16.5" customHeight="1">
      <c r="Q79" s="258"/>
      <c r="S79" s="259"/>
      <c r="Y79" s="113"/>
    </row>
    <row r="80" spans="17:25" ht="16.5" customHeight="1">
      <c r="Q80" s="258"/>
      <c r="S80" s="259"/>
      <c r="Y80" s="113"/>
    </row>
    <row r="81" spans="17:25" ht="16.5" customHeight="1">
      <c r="Q81" s="258"/>
      <c r="S81" s="259"/>
      <c r="Y81" s="113"/>
    </row>
    <row r="82" spans="17:25" ht="16.5" customHeight="1">
      <c r="Q82" s="258"/>
      <c r="S82" s="259"/>
      <c r="Y82" s="113"/>
    </row>
    <row r="83" spans="17:25" ht="16.5" customHeight="1">
      <c r="Q83" s="258"/>
      <c r="S83" s="259"/>
      <c r="Y83" s="113"/>
    </row>
    <row r="84" spans="17:25" ht="16.5" customHeight="1">
      <c r="Q84" s="258"/>
      <c r="S84" s="259"/>
      <c r="Y84" s="113"/>
    </row>
    <row r="85" spans="17:25" ht="16.5" customHeight="1">
      <c r="Q85" s="258"/>
      <c r="S85" s="259"/>
      <c r="Y85" s="113"/>
    </row>
    <row r="86" spans="17:25" ht="16.5" customHeight="1">
      <c r="Q86" s="258"/>
      <c r="S86" s="259"/>
      <c r="Y86" s="113"/>
    </row>
    <row r="87" spans="17:25" ht="16.5" customHeight="1">
      <c r="Q87" s="258"/>
      <c r="S87" s="259"/>
      <c r="Y87" s="113"/>
    </row>
    <row r="88" spans="17:25" ht="16.5" customHeight="1">
      <c r="Q88" s="258"/>
      <c r="S88" s="259"/>
      <c r="Y88" s="113"/>
    </row>
    <row r="89" spans="17:25" ht="16.5" customHeight="1">
      <c r="Q89" s="258"/>
      <c r="S89" s="259"/>
      <c r="Y89" s="113"/>
    </row>
    <row r="90" spans="17:25" ht="16.5" customHeight="1">
      <c r="Q90" s="258"/>
      <c r="S90" s="259"/>
      <c r="Y90" s="113"/>
    </row>
    <row r="91" spans="17:25" ht="16.5" customHeight="1">
      <c r="Q91" s="258"/>
      <c r="S91" s="259"/>
      <c r="Y91" s="113"/>
    </row>
    <row r="92" spans="17:25" ht="16.5" customHeight="1">
      <c r="Q92" s="258"/>
      <c r="S92" s="259"/>
      <c r="Y92" s="113"/>
    </row>
    <row r="93" spans="17:25" ht="16.5" customHeight="1">
      <c r="Q93" s="258"/>
      <c r="S93" s="259"/>
      <c r="Y93" s="113"/>
    </row>
    <row r="94" spans="17:25" ht="16.5" customHeight="1">
      <c r="Q94" s="258"/>
      <c r="S94" s="259"/>
      <c r="Y94" s="113"/>
    </row>
    <row r="95" spans="17:25" ht="16.5" customHeight="1">
      <c r="Q95" s="258"/>
      <c r="S95" s="259"/>
      <c r="Y95" s="113"/>
    </row>
    <row r="96" spans="17:25" ht="16.5" customHeight="1">
      <c r="Q96" s="258"/>
      <c r="S96" s="259"/>
      <c r="Y96" s="113"/>
    </row>
    <row r="97" spans="17:25" ht="16.5" customHeight="1">
      <c r="Q97" s="258"/>
      <c r="S97" s="259"/>
      <c r="Y97" s="113"/>
    </row>
    <row r="98" spans="17:25" ht="16.5" customHeight="1">
      <c r="Q98" s="258"/>
      <c r="S98" s="259"/>
      <c r="Y98" s="113"/>
    </row>
    <row r="99" spans="17:25" ht="16.5" customHeight="1">
      <c r="Q99" s="258"/>
      <c r="S99" s="259"/>
      <c r="Y99" s="113"/>
    </row>
    <row r="100" spans="17:25" ht="16.5" customHeight="1">
      <c r="Q100" s="258"/>
      <c r="S100" s="259"/>
      <c r="Y100" s="113"/>
    </row>
    <row r="101" spans="17:25" ht="16.5" customHeight="1">
      <c r="Q101" s="258"/>
      <c r="S101" s="259"/>
      <c r="Y101" s="113"/>
    </row>
    <row r="102" spans="17:25" ht="16.5" customHeight="1">
      <c r="Q102" s="258"/>
      <c r="S102" s="259"/>
      <c r="Y102" s="113"/>
    </row>
    <row r="103" spans="17:25" ht="16.5" customHeight="1">
      <c r="Q103" s="258"/>
      <c r="S103" s="259"/>
      <c r="Y103" s="113"/>
    </row>
    <row r="104" spans="17:25" ht="16.5" customHeight="1">
      <c r="Q104" s="258"/>
      <c r="S104" s="259"/>
      <c r="Y104" s="113"/>
    </row>
    <row r="105" spans="17:25" ht="16.5" customHeight="1">
      <c r="Q105" s="258"/>
      <c r="S105" s="259"/>
      <c r="Y105" s="113"/>
    </row>
    <row r="106" spans="17:25" ht="16.5" customHeight="1">
      <c r="Q106" s="258"/>
      <c r="S106" s="259"/>
      <c r="Y106" s="113"/>
    </row>
    <row r="107" spans="17:25" ht="16.5" customHeight="1">
      <c r="Q107" s="258"/>
      <c r="S107" s="259"/>
      <c r="Y107" s="113"/>
    </row>
    <row r="108" spans="17:25" ht="16.5" customHeight="1">
      <c r="Q108" s="258"/>
      <c r="S108" s="259"/>
      <c r="Y108" s="113"/>
    </row>
    <row r="109" spans="17:25" ht="16.5" customHeight="1">
      <c r="Q109" s="258"/>
      <c r="S109" s="259"/>
      <c r="Y109" s="113"/>
    </row>
    <row r="110" spans="17:25" ht="16.5" customHeight="1">
      <c r="Q110" s="258"/>
      <c r="S110" s="259"/>
      <c r="Y110" s="113"/>
    </row>
    <row r="111" spans="17:25" ht="16.5" customHeight="1">
      <c r="Q111" s="258"/>
      <c r="S111" s="259"/>
      <c r="Y111" s="113"/>
    </row>
    <row r="112" spans="17:25" ht="16.5" customHeight="1">
      <c r="Q112" s="258"/>
      <c r="S112" s="259"/>
      <c r="Y112" s="113"/>
    </row>
    <row r="113" spans="17:25" ht="16.5" customHeight="1">
      <c r="Q113" s="258"/>
      <c r="S113" s="259"/>
      <c r="Y113" s="113"/>
    </row>
    <row r="114" spans="17:25" ht="16.5" customHeight="1">
      <c r="Q114" s="258"/>
      <c r="S114" s="259"/>
      <c r="Y114" s="113"/>
    </row>
    <row r="115" spans="17:25" ht="16.5" customHeight="1">
      <c r="Q115" s="258"/>
      <c r="S115" s="259"/>
      <c r="Y115" s="113"/>
    </row>
    <row r="116" spans="17:25" ht="16.5" customHeight="1">
      <c r="Q116" s="258"/>
      <c r="S116" s="259"/>
      <c r="Y116" s="113"/>
    </row>
    <row r="117" spans="17:25" ht="16.5" customHeight="1">
      <c r="Q117" s="258"/>
      <c r="S117" s="259"/>
      <c r="Y117" s="113"/>
    </row>
    <row r="118" spans="17:25" ht="16.5" customHeight="1">
      <c r="Q118" s="258"/>
      <c r="S118" s="259"/>
      <c r="Y118" s="113"/>
    </row>
    <row r="119" spans="17:25" ht="16.5" customHeight="1">
      <c r="Q119" s="258"/>
      <c r="S119" s="259"/>
      <c r="Y119" s="113"/>
    </row>
    <row r="120" spans="17:25" ht="16.5" customHeight="1">
      <c r="Q120" s="258"/>
      <c r="S120" s="259"/>
      <c r="Y120" s="113"/>
    </row>
    <row r="121" spans="17:25" ht="16.5" customHeight="1">
      <c r="Q121" s="258"/>
      <c r="S121" s="259"/>
      <c r="Y121" s="113"/>
    </row>
    <row r="122" spans="17:25" ht="16.5" customHeight="1">
      <c r="Q122" s="258"/>
      <c r="S122" s="259"/>
      <c r="Y122" s="113"/>
    </row>
    <row r="123" spans="17:25" ht="16.5" customHeight="1">
      <c r="Q123" s="258"/>
      <c r="S123" s="259"/>
      <c r="Y123" s="113"/>
    </row>
    <row r="124" spans="17:25" ht="16.5" customHeight="1">
      <c r="Q124" s="258"/>
      <c r="S124" s="259"/>
      <c r="Y124" s="113"/>
    </row>
    <row r="125" spans="17:25" ht="16.5" customHeight="1">
      <c r="Q125" s="258"/>
      <c r="S125" s="259"/>
      <c r="Y125" s="113"/>
    </row>
    <row r="126" spans="17:25" ht="16.5" customHeight="1">
      <c r="Q126" s="258"/>
      <c r="S126" s="259"/>
      <c r="Y126" s="113"/>
    </row>
    <row r="127" spans="17:25" ht="16.5" customHeight="1">
      <c r="Q127" s="258"/>
      <c r="S127" s="259"/>
      <c r="Y127" s="113"/>
    </row>
    <row r="128" spans="17:25" ht="16.5" customHeight="1">
      <c r="Q128" s="258"/>
      <c r="S128" s="259"/>
      <c r="Y128" s="113"/>
    </row>
    <row r="129" spans="17:25" ht="16.5" customHeight="1">
      <c r="Q129" s="258"/>
      <c r="S129" s="259"/>
      <c r="Y129" s="113"/>
    </row>
    <row r="130" spans="17:25" ht="16.5" customHeight="1">
      <c r="Q130" s="258"/>
      <c r="S130" s="259"/>
      <c r="Y130" s="113"/>
    </row>
    <row r="131" spans="17:25" ht="16.5" customHeight="1">
      <c r="Q131" s="258"/>
      <c r="Y131" s="113"/>
    </row>
    <row r="132" spans="17:25" ht="16.5" customHeight="1">
      <c r="Q132" s="258"/>
      <c r="Y132" s="113"/>
    </row>
    <row r="133" spans="17:25" ht="16.5" customHeight="1">
      <c r="Q133" s="258"/>
      <c r="Y133" s="113"/>
    </row>
    <row r="134" spans="17:25" ht="16.5" customHeight="1">
      <c r="Q134" s="258"/>
      <c r="Y134" s="113"/>
    </row>
    <row r="135" spans="17:25" ht="16.5" customHeight="1">
      <c r="Q135" s="258"/>
      <c r="Y135" s="113"/>
    </row>
    <row r="136" spans="17:25" ht="16.5" customHeight="1">
      <c r="Q136" s="258"/>
      <c r="Y136" s="113"/>
    </row>
    <row r="137" spans="17:25" ht="16.5" customHeight="1">
      <c r="Q137" s="258"/>
      <c r="Y137" s="113"/>
    </row>
    <row r="138" spans="17:25" ht="16.5" customHeight="1">
      <c r="Q138" s="258"/>
      <c r="Y138" s="113"/>
    </row>
    <row r="139" spans="17:25" ht="16.5" customHeight="1">
      <c r="Q139" s="258"/>
      <c r="Y139" s="113"/>
    </row>
    <row r="140" spans="17:25" ht="16.5" customHeight="1">
      <c r="Q140" s="258"/>
      <c r="Y140" s="113"/>
    </row>
    <row r="141" spans="17:25" ht="16.5" customHeight="1">
      <c r="Q141" s="258"/>
      <c r="Y141" s="113"/>
    </row>
    <row r="142" spans="17:25" ht="16.5" customHeight="1">
      <c r="Q142" s="258"/>
      <c r="Y142" s="113"/>
    </row>
    <row r="143" spans="17:25" ht="16.5" customHeight="1">
      <c r="Q143" s="258"/>
      <c r="Y143" s="113"/>
    </row>
    <row r="144" spans="17:25" ht="16.5" customHeight="1">
      <c r="Q144" s="258"/>
      <c r="Y144" s="113"/>
    </row>
    <row r="145" spans="17:25" ht="16.5" customHeight="1">
      <c r="Q145" s="258"/>
      <c r="Y145" s="113"/>
    </row>
    <row r="146" spans="17:25" ht="16.5" customHeight="1">
      <c r="Q146" s="258"/>
      <c r="Y146" s="113"/>
    </row>
    <row r="147" spans="17:25" ht="16.5" customHeight="1">
      <c r="Q147" s="258"/>
      <c r="Y147" s="113"/>
    </row>
    <row r="148" spans="17:25" ht="16.5" customHeight="1">
      <c r="Q148" s="258"/>
      <c r="Y148" s="113"/>
    </row>
    <row r="149" spans="17:25" ht="16.5" customHeight="1">
      <c r="Q149" s="258"/>
      <c r="Y149" s="113"/>
    </row>
    <row r="150" spans="17:25" ht="16.5" customHeight="1">
      <c r="Q150" s="258"/>
      <c r="Y150" s="113"/>
    </row>
    <row r="151" spans="17:25" ht="16.5" customHeight="1">
      <c r="Q151" s="258"/>
      <c r="Y151" s="113"/>
    </row>
    <row r="152" spans="17:25" ht="16.5" customHeight="1">
      <c r="Q152" s="258"/>
      <c r="Y152" s="113"/>
    </row>
    <row r="153" spans="17:25" ht="16.5" customHeight="1">
      <c r="Q153" s="258"/>
      <c r="Y153" s="113"/>
    </row>
    <row r="154" spans="17:25" ht="16.5" customHeight="1">
      <c r="Q154" s="258"/>
      <c r="Y154" s="113"/>
    </row>
    <row r="155" spans="17:25" ht="16.5" customHeight="1">
      <c r="Q155" s="258"/>
      <c r="Y155" s="113"/>
    </row>
    <row r="156" spans="17:25" ht="16.5" customHeight="1">
      <c r="Q156" s="258"/>
      <c r="Y156" s="113"/>
    </row>
    <row r="157" spans="17:25" ht="16.5" customHeight="1">
      <c r="Q157" s="258"/>
      <c r="Y157" s="113"/>
    </row>
    <row r="158" spans="17:25" ht="16.5" customHeight="1">
      <c r="Q158" s="258"/>
      <c r="Y158" s="113"/>
    </row>
    <row r="159" spans="17:25" ht="16.5" customHeight="1">
      <c r="Q159" s="258"/>
      <c r="Y159" s="113"/>
    </row>
    <row r="160" spans="17:25" ht="16.5" customHeight="1">
      <c r="Q160" s="258"/>
      <c r="Y160" s="113"/>
    </row>
    <row r="161" spans="17:25" ht="16.5" customHeight="1">
      <c r="Q161" s="258"/>
      <c r="Y161" s="113"/>
    </row>
    <row r="162" spans="17:25" ht="16.5" customHeight="1">
      <c r="Q162" s="258"/>
      <c r="Y162" s="113"/>
    </row>
    <row r="163" spans="17:25" ht="16.5" customHeight="1">
      <c r="Q163" s="258"/>
      <c r="Y163" s="113"/>
    </row>
    <row r="164" spans="17:25" ht="16.5" customHeight="1">
      <c r="Q164" s="258"/>
      <c r="Y164" s="113"/>
    </row>
    <row r="165" spans="17:25" ht="16.5" customHeight="1">
      <c r="Q165" s="258"/>
      <c r="Y165" s="113"/>
    </row>
    <row r="166" spans="17:25" ht="16.5" customHeight="1">
      <c r="Q166" s="258"/>
      <c r="Y166" s="113"/>
    </row>
    <row r="167" spans="17:25" ht="16.5" customHeight="1">
      <c r="Q167" s="258"/>
      <c r="Y167" s="113"/>
    </row>
    <row r="168" spans="17:25" ht="16.5" customHeight="1">
      <c r="Q168" s="258"/>
      <c r="Y168" s="113"/>
    </row>
    <row r="169" spans="17:25" ht="16.5" customHeight="1">
      <c r="Q169" s="258"/>
      <c r="Y169" s="113"/>
    </row>
    <row r="170" spans="17:25" ht="16.5" customHeight="1">
      <c r="Q170" s="258"/>
      <c r="Y170" s="113"/>
    </row>
    <row r="171" spans="17:25" ht="16.5" customHeight="1">
      <c r="Q171" s="258"/>
      <c r="Y171" s="113"/>
    </row>
    <row r="172" spans="17:25" ht="16.5" customHeight="1">
      <c r="Q172" s="258"/>
      <c r="Y172" s="113"/>
    </row>
    <row r="173" spans="17:25" ht="16.5" customHeight="1">
      <c r="Q173" s="258"/>
      <c r="Y173" s="113"/>
    </row>
    <row r="174" spans="17:25" ht="16.5" customHeight="1">
      <c r="Q174" s="258"/>
      <c r="Y174" s="113"/>
    </row>
    <row r="175" spans="17:25" ht="16.5" customHeight="1">
      <c r="Q175" s="258"/>
      <c r="Y175" s="113"/>
    </row>
    <row r="176" spans="17:25" ht="16.5" customHeight="1">
      <c r="Q176" s="258"/>
      <c r="Y176" s="113"/>
    </row>
    <row r="177" spans="17:25" ht="16.5" customHeight="1">
      <c r="Q177" s="258"/>
      <c r="Y177" s="113"/>
    </row>
    <row r="178" spans="17:25" ht="16.5" customHeight="1">
      <c r="Q178" s="258"/>
      <c r="Y178" s="113"/>
    </row>
    <row r="179" spans="17:25" ht="16.5" customHeight="1">
      <c r="Q179" s="258"/>
      <c r="Y179" s="113"/>
    </row>
    <row r="180" spans="17:25" ht="16.5" customHeight="1">
      <c r="Q180" s="258"/>
      <c r="Y180" s="113"/>
    </row>
    <row r="181" spans="17:25" ht="16.5" customHeight="1">
      <c r="Q181" s="258"/>
      <c r="Y181" s="113"/>
    </row>
    <row r="182" spans="17:25" ht="16.5" customHeight="1">
      <c r="Q182" s="258"/>
      <c r="Y182" s="113"/>
    </row>
    <row r="183" spans="17:25" ht="16.5" customHeight="1">
      <c r="Q183" s="258"/>
      <c r="Y183" s="113"/>
    </row>
    <row r="184" spans="17:25" ht="16.5" customHeight="1">
      <c r="Q184" s="258"/>
      <c r="Y184" s="113"/>
    </row>
    <row r="185" spans="17:25" ht="16.5" customHeight="1">
      <c r="Q185" s="258"/>
      <c r="Y185" s="113"/>
    </row>
    <row r="186" spans="17:25" ht="16.5" customHeight="1">
      <c r="Q186" s="258"/>
      <c r="Y186" s="113"/>
    </row>
    <row r="187" spans="17:25" ht="16.5" customHeight="1">
      <c r="Q187" s="258"/>
      <c r="Y187" s="113"/>
    </row>
    <row r="188" spans="17:25" ht="16.5" customHeight="1">
      <c r="Q188" s="258"/>
      <c r="Y188" s="113"/>
    </row>
    <row r="189" spans="17:25" ht="16.5" customHeight="1">
      <c r="Q189" s="258"/>
      <c r="Y189" s="113"/>
    </row>
    <row r="190" spans="17:25" ht="16.5" customHeight="1">
      <c r="Q190" s="258"/>
      <c r="Y190" s="113"/>
    </row>
    <row r="191" spans="17:25" ht="16.5" customHeight="1">
      <c r="Q191" s="258"/>
      <c r="Y191" s="113"/>
    </row>
    <row r="192" spans="17:25" ht="16.5" customHeight="1">
      <c r="Q192" s="258"/>
      <c r="Y192" s="113"/>
    </row>
    <row r="193" spans="17:25" ht="16.5" customHeight="1">
      <c r="Q193" s="258"/>
      <c r="Y193" s="113"/>
    </row>
    <row r="194" spans="17:25" ht="16.5" customHeight="1">
      <c r="Q194" s="258"/>
      <c r="Y194" s="113"/>
    </row>
    <row r="195" spans="17:25" ht="16.5" customHeight="1">
      <c r="Q195" s="258"/>
      <c r="Y195" s="113"/>
    </row>
    <row r="196" spans="17:25" ht="16.5" customHeight="1">
      <c r="Q196" s="258"/>
      <c r="Y196" s="113"/>
    </row>
    <row r="197" spans="17:25" ht="16.5" customHeight="1">
      <c r="Q197" s="258"/>
      <c r="Y197" s="113"/>
    </row>
    <row r="198" spans="17:25" ht="16.5" customHeight="1">
      <c r="Q198" s="258"/>
      <c r="Y198" s="113"/>
    </row>
    <row r="199" spans="17:25" ht="16.5" customHeight="1">
      <c r="Q199" s="258"/>
      <c r="Y199" s="113"/>
    </row>
    <row r="200" spans="17:25" ht="16.5" customHeight="1">
      <c r="Q200" s="258"/>
      <c r="Y200" s="113"/>
    </row>
    <row r="201" spans="17:25" ht="16.5" customHeight="1">
      <c r="Q201" s="258"/>
      <c r="Y201" s="113"/>
    </row>
    <row r="202" spans="17:25" ht="16.5" customHeight="1">
      <c r="Q202" s="258"/>
      <c r="Y202" s="113"/>
    </row>
    <row r="203" spans="17:25" ht="16.5" customHeight="1">
      <c r="Q203" s="258"/>
      <c r="Y203" s="113"/>
    </row>
    <row r="204" spans="17:25" ht="16.5" customHeight="1">
      <c r="Q204" s="258"/>
      <c r="Y204" s="113"/>
    </row>
    <row r="205" spans="17:25" ht="16.5" customHeight="1">
      <c r="Q205" s="258"/>
      <c r="Y205" s="113"/>
    </row>
    <row r="206" spans="17:25" ht="16.5" customHeight="1">
      <c r="Q206" s="258"/>
      <c r="Y206" s="113"/>
    </row>
    <row r="207" spans="17:25" ht="16.5" customHeight="1">
      <c r="Q207" s="258"/>
      <c r="Y207" s="113"/>
    </row>
    <row r="208" spans="17:25" ht="16.5" customHeight="1">
      <c r="Q208" s="258"/>
      <c r="Y208" s="113"/>
    </row>
    <row r="209" spans="17:25" ht="16.5" customHeight="1">
      <c r="Q209" s="258"/>
      <c r="Y209" s="113"/>
    </row>
    <row r="210" spans="17:25" ht="16.5" customHeight="1">
      <c r="Q210" s="258"/>
      <c r="Y210" s="113"/>
    </row>
    <row r="211" spans="17:25" ht="16.5" customHeight="1">
      <c r="Q211" s="258"/>
      <c r="Y211" s="113"/>
    </row>
    <row r="212" spans="17:25" ht="16.5" customHeight="1">
      <c r="Q212" s="258"/>
      <c r="Y212" s="113"/>
    </row>
    <row r="213" spans="17:25" ht="16.5" customHeight="1">
      <c r="Q213" s="258"/>
      <c r="Y213" s="113"/>
    </row>
    <row r="214" spans="17:25" ht="16.5" customHeight="1">
      <c r="Q214" s="258"/>
      <c r="Y214" s="113"/>
    </row>
    <row r="215" spans="17:25" ht="16.5" customHeight="1">
      <c r="Q215" s="258"/>
      <c r="Y215" s="113"/>
    </row>
    <row r="216" spans="17:25" ht="16.5" customHeight="1">
      <c r="Q216" s="258"/>
      <c r="Y216" s="113"/>
    </row>
    <row r="217" spans="17:25" ht="16.5" customHeight="1">
      <c r="Q217" s="258"/>
      <c r="Y217" s="113"/>
    </row>
    <row r="218" spans="17:25" ht="16.5" customHeight="1">
      <c r="Q218" s="258"/>
      <c r="Y218" s="113"/>
    </row>
    <row r="219" spans="17:25" ht="16.5" customHeight="1">
      <c r="Q219" s="258"/>
      <c r="Y219" s="113"/>
    </row>
    <row r="220" spans="17:25" ht="16.5" customHeight="1">
      <c r="Q220" s="258"/>
      <c r="Y220" s="113"/>
    </row>
    <row r="221" spans="17:25" ht="16.5" customHeight="1">
      <c r="Q221" s="258"/>
      <c r="Y221" s="113"/>
    </row>
    <row r="222" spans="17:25" ht="16.5" customHeight="1">
      <c r="Q222" s="258"/>
      <c r="Y222" s="113"/>
    </row>
    <row r="223" spans="17:25" ht="16.5" customHeight="1">
      <c r="Q223" s="258"/>
      <c r="Y223" s="113"/>
    </row>
    <row r="224" spans="17:25" ht="16.5" customHeight="1">
      <c r="Q224" s="258"/>
      <c r="Y224" s="113"/>
    </row>
    <row r="225" spans="17:25" ht="16.5" customHeight="1">
      <c r="Q225" s="258"/>
      <c r="Y225" s="113"/>
    </row>
    <row r="226" spans="17:25" ht="16.5" customHeight="1">
      <c r="Q226" s="258"/>
      <c r="Y226" s="113"/>
    </row>
    <row r="227" spans="17:25" ht="16.5" customHeight="1">
      <c r="Q227" s="258"/>
      <c r="Y227" s="113"/>
    </row>
    <row r="228" spans="17:25" ht="16.5" customHeight="1">
      <c r="Q228" s="258"/>
      <c r="Y228" s="113"/>
    </row>
    <row r="229" spans="17:25" ht="16.5" customHeight="1">
      <c r="Q229" s="258"/>
      <c r="Y229" s="113"/>
    </row>
    <row r="230" spans="17:25" ht="16.5" customHeight="1">
      <c r="Q230" s="258"/>
      <c r="Y230" s="113"/>
    </row>
    <row r="231" spans="17:25" ht="16.5" customHeight="1">
      <c r="Q231" s="258"/>
      <c r="Y231" s="113"/>
    </row>
    <row r="232" spans="17:25" ht="16.5" customHeight="1">
      <c r="Q232" s="258"/>
      <c r="Y232" s="113"/>
    </row>
    <row r="233" spans="17:25" ht="16.5" customHeight="1">
      <c r="Q233" s="258"/>
      <c r="Y233" s="113"/>
    </row>
    <row r="234" spans="17:25" ht="16.5" customHeight="1">
      <c r="Q234" s="258"/>
      <c r="Y234" s="113"/>
    </row>
    <row r="235" spans="17:25" ht="16.5" customHeight="1">
      <c r="Q235" s="258"/>
      <c r="Y235" s="113"/>
    </row>
    <row r="236" spans="17:25" ht="16.5" customHeight="1">
      <c r="Q236" s="258"/>
      <c r="Y236" s="113"/>
    </row>
    <row r="237" spans="17:25" ht="16.5" customHeight="1">
      <c r="Q237" s="258"/>
      <c r="Y237" s="113"/>
    </row>
    <row r="238" spans="17:25" ht="16.5" customHeight="1">
      <c r="Q238" s="258"/>
      <c r="Y238" s="113"/>
    </row>
    <row r="239" spans="17:25" ht="16.5" customHeight="1">
      <c r="Q239" s="258"/>
      <c r="Y239" s="113"/>
    </row>
    <row r="240" spans="17:25" ht="16.5" customHeight="1">
      <c r="Q240" s="258"/>
      <c r="Y240" s="113"/>
    </row>
    <row r="241" spans="17:25" ht="16.5" customHeight="1">
      <c r="Q241" s="258"/>
      <c r="Y241" s="113"/>
    </row>
    <row r="242" spans="17:25" ht="16.5" customHeight="1">
      <c r="Q242" s="258"/>
      <c r="Y242" s="113"/>
    </row>
    <row r="243" spans="17:25" ht="16.5" customHeight="1">
      <c r="Q243" s="258"/>
      <c r="Y243" s="113"/>
    </row>
    <row r="244" spans="17:25" ht="16.5" customHeight="1">
      <c r="Q244" s="258"/>
      <c r="Y244" s="113"/>
    </row>
    <row r="245" spans="17:25" ht="16.5" customHeight="1">
      <c r="Q245" s="258"/>
      <c r="Y245" s="113"/>
    </row>
    <row r="246" spans="17:25" ht="16.5" customHeight="1">
      <c r="Q246" s="258"/>
      <c r="Y246" s="113"/>
    </row>
    <row r="247" spans="17:25" ht="16.5" customHeight="1">
      <c r="Q247" s="258"/>
      <c r="Y247" s="113"/>
    </row>
    <row r="248" spans="17:25" ht="16.5" customHeight="1">
      <c r="Q248" s="258"/>
      <c r="Y248" s="113"/>
    </row>
    <row r="249" spans="17:25" ht="16.5" customHeight="1">
      <c r="Q249" s="258"/>
      <c r="Y249" s="113"/>
    </row>
    <row r="250" spans="17:25" ht="16.5" customHeight="1">
      <c r="Q250" s="258"/>
      <c r="Y250" s="113"/>
    </row>
    <row r="251" spans="17:25" ht="16.5" customHeight="1">
      <c r="Q251" s="258"/>
      <c r="Y251" s="113"/>
    </row>
    <row r="252" spans="17:25" ht="16.5" customHeight="1">
      <c r="Q252" s="258"/>
      <c r="Y252" s="113"/>
    </row>
    <row r="253" spans="17:25" ht="16.5" customHeight="1">
      <c r="Q253" s="258"/>
      <c r="Y253" s="113"/>
    </row>
    <row r="254" spans="17:25" ht="16.5" customHeight="1">
      <c r="Q254" s="258"/>
      <c r="Y254" s="113"/>
    </row>
    <row r="255" spans="17:25" ht="16.5" customHeight="1">
      <c r="Q255" s="258"/>
      <c r="Y255" s="113"/>
    </row>
    <row r="256" spans="17:25" ht="16.5" customHeight="1">
      <c r="Q256" s="258"/>
      <c r="Y256" s="113"/>
    </row>
    <row r="257" spans="17:25" ht="16.5" customHeight="1">
      <c r="Q257" s="258"/>
      <c r="Y257" s="113"/>
    </row>
    <row r="258" spans="17:25" ht="16.5" customHeight="1">
      <c r="Q258" s="258"/>
      <c r="Y258" s="113"/>
    </row>
    <row r="259" spans="17:25" ht="16.5" customHeight="1">
      <c r="Q259" s="258"/>
      <c r="Y259" s="113"/>
    </row>
    <row r="260" spans="17:25" ht="16.5" customHeight="1">
      <c r="Q260" s="258"/>
      <c r="Y260" s="113"/>
    </row>
    <row r="261" spans="17:25" ht="16.5" customHeight="1">
      <c r="Q261" s="258"/>
      <c r="Y261" s="113"/>
    </row>
    <row r="262" spans="17:25" ht="16.5" customHeight="1">
      <c r="Q262" s="258"/>
      <c r="Y262" s="113"/>
    </row>
    <row r="263" spans="17:25" ht="16.5" customHeight="1">
      <c r="Q263" s="258"/>
      <c r="Y263" s="113"/>
    </row>
    <row r="264" spans="17:25" ht="16.5" customHeight="1">
      <c r="Q264" s="258"/>
      <c r="Y264" s="113"/>
    </row>
    <row r="265" spans="17:25" ht="16.5" customHeight="1">
      <c r="Q265" s="258"/>
      <c r="Y265" s="113"/>
    </row>
    <row r="266" spans="17:25" ht="16.5" customHeight="1">
      <c r="Q266" s="258"/>
      <c r="Y266" s="113"/>
    </row>
    <row r="267" spans="17:25" ht="16.5" customHeight="1">
      <c r="Q267" s="258"/>
      <c r="Y267" s="113"/>
    </row>
    <row r="268" spans="17:25" ht="16.5" customHeight="1">
      <c r="Q268" s="258"/>
      <c r="Y268" s="113"/>
    </row>
    <row r="269" spans="17:25" ht="16.5" customHeight="1">
      <c r="Q269" s="258"/>
      <c r="Y269" s="113"/>
    </row>
    <row r="270" spans="17:25" ht="16.5" customHeight="1">
      <c r="Q270" s="258"/>
      <c r="Y270" s="113"/>
    </row>
    <row r="271" spans="17:25" ht="16.5" customHeight="1">
      <c r="Q271" s="258"/>
      <c r="Y271" s="113"/>
    </row>
    <row r="272" spans="17:25" ht="16.5" customHeight="1">
      <c r="Q272" s="258"/>
      <c r="Y272" s="113"/>
    </row>
    <row r="273" spans="17:25" ht="16.5" customHeight="1">
      <c r="Q273" s="258"/>
      <c r="Y273" s="113"/>
    </row>
    <row r="274" spans="17:25" ht="16.5" customHeight="1">
      <c r="Q274" s="258"/>
      <c r="Y274" s="113"/>
    </row>
    <row r="275" spans="17:25" ht="16.5" customHeight="1">
      <c r="Q275" s="258"/>
      <c r="Y275" s="113"/>
    </row>
    <row r="276" spans="17:25" ht="16.5" customHeight="1">
      <c r="Q276" s="258"/>
      <c r="Y276" s="113"/>
    </row>
    <row r="277" spans="17:25" ht="16.5" customHeight="1">
      <c r="Q277" s="258"/>
      <c r="Y277" s="113"/>
    </row>
    <row r="278" spans="17:25" ht="16.5" customHeight="1">
      <c r="Q278" s="258"/>
      <c r="Y278" s="113"/>
    </row>
    <row r="279" spans="17:25" ht="16.5" customHeight="1">
      <c r="Q279" s="258"/>
      <c r="Y279" s="113"/>
    </row>
    <row r="280" spans="17:25" ht="16.5" customHeight="1">
      <c r="Q280" s="258"/>
      <c r="Y280" s="113"/>
    </row>
    <row r="281" spans="17:25" ht="16.5" customHeight="1">
      <c r="Q281" s="258"/>
      <c r="Y281" s="113"/>
    </row>
    <row r="282" spans="17:25" ht="16.5" customHeight="1">
      <c r="Q282" s="258"/>
      <c r="Y282" s="113"/>
    </row>
    <row r="283" spans="17:25" ht="16.5" customHeight="1">
      <c r="Q283" s="258"/>
      <c r="Y283" s="113"/>
    </row>
    <row r="284" spans="17:25" ht="16.5" customHeight="1">
      <c r="Q284" s="258"/>
      <c r="Y284" s="113"/>
    </row>
    <row r="285" spans="17:25" ht="16.5" customHeight="1">
      <c r="Q285" s="258"/>
      <c r="Y285" s="113"/>
    </row>
    <row r="286" spans="17:25" ht="16.5" customHeight="1">
      <c r="Q286" s="258"/>
      <c r="Y286" s="113"/>
    </row>
    <row r="287" spans="17:25" ht="16.5" customHeight="1">
      <c r="Q287" s="258"/>
      <c r="Y287" s="113"/>
    </row>
    <row r="288" spans="17:25" ht="16.5" customHeight="1">
      <c r="Q288" s="258"/>
      <c r="Y288" s="113"/>
    </row>
    <row r="289" spans="17:25" ht="16.5" customHeight="1">
      <c r="Q289" s="258"/>
      <c r="Y289" s="113"/>
    </row>
    <row r="290" spans="17:25" ht="16.5" customHeight="1">
      <c r="Q290" s="258"/>
      <c r="Y290" s="113"/>
    </row>
    <row r="291" spans="17:25" ht="16.5" customHeight="1">
      <c r="Q291" s="258"/>
      <c r="Y291" s="113"/>
    </row>
    <row r="292" spans="17:25" ht="16.5" customHeight="1">
      <c r="Q292" s="258"/>
      <c r="Y292" s="113"/>
    </row>
    <row r="293" spans="17:25" ht="16.5" customHeight="1">
      <c r="Q293" s="258"/>
      <c r="Y293" s="113"/>
    </row>
    <row r="294" spans="17:25" ht="16.5" customHeight="1">
      <c r="Q294" s="258"/>
      <c r="Y294" s="113"/>
    </row>
    <row r="295" spans="17:25" ht="16.5" customHeight="1">
      <c r="Q295" s="258"/>
      <c r="Y295" s="113"/>
    </row>
    <row r="296" spans="17:25" ht="16.5" customHeight="1">
      <c r="Q296" s="258"/>
      <c r="Y296" s="113"/>
    </row>
    <row r="297" spans="17:25" ht="16.5" customHeight="1">
      <c r="Q297" s="258"/>
      <c r="Y297" s="113"/>
    </row>
    <row r="298" spans="17:25" ht="16.5" customHeight="1">
      <c r="Q298" s="258"/>
      <c r="Y298" s="113"/>
    </row>
    <row r="299" spans="17:25" ht="16.5" customHeight="1">
      <c r="Q299" s="258"/>
      <c r="Y299" s="113"/>
    </row>
    <row r="300" spans="17:25" ht="16.5" customHeight="1">
      <c r="Q300" s="258"/>
      <c r="Y300" s="113"/>
    </row>
    <row r="301" spans="17:25" ht="16.5" customHeight="1">
      <c r="Q301" s="258"/>
      <c r="Y301" s="113"/>
    </row>
    <row r="302" spans="17:25" ht="16.5" customHeight="1">
      <c r="Q302" s="258"/>
      <c r="Y302" s="113"/>
    </row>
    <row r="303" spans="17:25" ht="16.5" customHeight="1">
      <c r="Q303" s="258"/>
      <c r="Y303" s="113"/>
    </row>
    <row r="304" spans="17:25" ht="16.5" customHeight="1">
      <c r="Q304" s="258"/>
      <c r="Y304" s="113"/>
    </row>
    <row r="305" spans="17:25" ht="16.5" customHeight="1">
      <c r="Q305" s="258"/>
      <c r="Y305" s="113"/>
    </row>
    <row r="306" spans="17:25" ht="16.5" customHeight="1">
      <c r="Q306" s="258"/>
      <c r="Y306" s="113"/>
    </row>
    <row r="307" spans="17:25" ht="16.5" customHeight="1">
      <c r="Q307" s="258"/>
      <c r="Y307" s="113"/>
    </row>
    <row r="308" spans="17:25" ht="16.5" customHeight="1">
      <c r="Q308" s="258"/>
      <c r="Y308" s="113"/>
    </row>
    <row r="309" spans="17:25" ht="16.5" customHeight="1">
      <c r="Q309" s="258"/>
      <c r="Y309" s="113"/>
    </row>
    <row r="310" spans="17:25" ht="16.5" customHeight="1">
      <c r="Q310" s="258"/>
      <c r="Y310" s="113"/>
    </row>
    <row r="311" spans="17:25" ht="16.5" customHeight="1">
      <c r="Q311" s="258"/>
      <c r="Y311" s="113"/>
    </row>
    <row r="312" spans="17:25" ht="16.5" customHeight="1">
      <c r="Q312" s="258"/>
      <c r="Y312" s="113"/>
    </row>
    <row r="313" spans="17:25" ht="16.5" customHeight="1">
      <c r="Q313" s="258"/>
      <c r="Y313" s="113"/>
    </row>
    <row r="314" spans="17:25" ht="16.5" customHeight="1">
      <c r="Q314" s="258"/>
      <c r="Y314" s="113"/>
    </row>
    <row r="315" spans="17:25" ht="16.5" customHeight="1">
      <c r="Q315" s="258"/>
      <c r="Y315" s="113"/>
    </row>
    <row r="316" spans="17:25" ht="16.5" customHeight="1">
      <c r="Q316" s="258"/>
      <c r="Y316" s="113"/>
    </row>
    <row r="317" spans="17:25" ht="16.5" customHeight="1">
      <c r="Q317" s="258"/>
      <c r="Y317" s="113"/>
    </row>
    <row r="318" spans="17:25" ht="16.5" customHeight="1">
      <c r="Q318" s="258"/>
      <c r="Y318" s="113"/>
    </row>
    <row r="319" spans="17:25" ht="16.5" customHeight="1">
      <c r="Q319" s="258"/>
      <c r="Y319" s="113"/>
    </row>
    <row r="320" spans="17:25" ht="16.5" customHeight="1">
      <c r="Q320" s="258"/>
      <c r="Y320" s="113"/>
    </row>
    <row r="321" spans="17:25" ht="16.5" customHeight="1">
      <c r="Q321" s="258"/>
      <c r="Y321" s="113"/>
    </row>
    <row r="322" spans="17:25" ht="16.5" customHeight="1">
      <c r="Q322" s="258"/>
      <c r="Y322" s="113"/>
    </row>
    <row r="323" spans="17:25" ht="16.5" customHeight="1">
      <c r="Q323" s="258"/>
      <c r="Y323" s="113"/>
    </row>
    <row r="324" spans="17:25" ht="16.5" customHeight="1">
      <c r="Q324" s="258"/>
      <c r="Y324" s="113"/>
    </row>
    <row r="325" spans="17:25" ht="16.5" customHeight="1">
      <c r="Q325" s="258"/>
      <c r="Y325" s="113"/>
    </row>
    <row r="326" spans="17:25" ht="16.5" customHeight="1">
      <c r="Q326" s="258"/>
      <c r="Y326" s="113"/>
    </row>
    <row r="327" spans="17:25" ht="16.5" customHeight="1">
      <c r="Q327" s="258"/>
      <c r="Y327" s="113"/>
    </row>
    <row r="328" spans="17:25" ht="16.5" customHeight="1">
      <c r="Q328" s="258"/>
      <c r="Y328" s="113"/>
    </row>
    <row r="329" spans="17:25" ht="16.5" customHeight="1">
      <c r="Q329" s="258"/>
      <c r="Y329" s="113"/>
    </row>
    <row r="330" spans="17:25" ht="16.5" customHeight="1">
      <c r="Q330" s="258"/>
      <c r="Y330" s="113"/>
    </row>
    <row r="331" spans="17:25" ht="16.5" customHeight="1">
      <c r="Q331" s="258"/>
      <c r="Y331" s="113"/>
    </row>
    <row r="332" spans="17:25" ht="16.5" customHeight="1">
      <c r="Q332" s="258"/>
      <c r="Y332" s="113"/>
    </row>
    <row r="333" spans="17:25" ht="16.5" customHeight="1">
      <c r="Q333" s="258"/>
      <c r="Y333" s="113"/>
    </row>
    <row r="334" spans="17:25" ht="16.5" customHeight="1">
      <c r="Q334" s="258"/>
      <c r="Y334" s="113"/>
    </row>
    <row r="335" spans="17:25" ht="16.5" customHeight="1">
      <c r="Q335" s="258"/>
      <c r="Y335" s="113"/>
    </row>
    <row r="336" spans="17:25" ht="16.5" customHeight="1">
      <c r="Q336" s="258"/>
      <c r="Y336" s="113"/>
    </row>
    <row r="337" spans="17:25" ht="16.5" customHeight="1">
      <c r="Q337" s="258"/>
      <c r="Y337" s="113"/>
    </row>
    <row r="338" spans="17:25" ht="16.5" customHeight="1">
      <c r="Q338" s="258"/>
      <c r="Y338" s="113"/>
    </row>
    <row r="339" spans="17:25" ht="16.5" customHeight="1">
      <c r="Q339" s="258"/>
      <c r="Y339" s="113"/>
    </row>
    <row r="340" spans="17:25" ht="16.5" customHeight="1">
      <c r="Q340" s="258"/>
      <c r="Y340" s="113"/>
    </row>
    <row r="341" spans="17:25" ht="16.5" customHeight="1">
      <c r="Q341" s="258"/>
      <c r="Y341" s="113"/>
    </row>
    <row r="342" spans="17:25" ht="16.5" customHeight="1">
      <c r="Q342" s="258"/>
      <c r="Y342" s="113"/>
    </row>
    <row r="343" spans="17:25" ht="16.5" customHeight="1">
      <c r="Q343" s="258"/>
      <c r="Y343" s="113"/>
    </row>
    <row r="344" spans="17:25" ht="16.5" customHeight="1">
      <c r="Q344" s="258"/>
      <c r="Y344" s="113"/>
    </row>
    <row r="345" spans="17:25" ht="16.5" customHeight="1">
      <c r="Q345" s="258"/>
      <c r="Y345" s="113"/>
    </row>
    <row r="346" spans="17:25" ht="16.5" customHeight="1">
      <c r="Q346" s="258"/>
      <c r="Y346" s="113"/>
    </row>
    <row r="347" spans="17:25" ht="16.5" customHeight="1">
      <c r="Q347" s="258"/>
      <c r="Y347" s="113"/>
    </row>
    <row r="348" spans="17:25" ht="16.5" customHeight="1">
      <c r="Q348" s="258"/>
      <c r="Y348" s="113"/>
    </row>
    <row r="349" spans="17:25" ht="16.5" customHeight="1">
      <c r="Q349" s="258"/>
      <c r="Y349" s="113"/>
    </row>
    <row r="350" spans="17:25" ht="16.5" customHeight="1">
      <c r="Q350" s="258"/>
      <c r="Y350" s="113"/>
    </row>
    <row r="351" spans="17:25" ht="16.5" customHeight="1">
      <c r="Q351" s="258"/>
      <c r="Y351" s="113"/>
    </row>
    <row r="352" spans="17:25" ht="16.5" customHeight="1">
      <c r="Q352" s="258"/>
      <c r="Y352" s="113"/>
    </row>
    <row r="353" spans="17:25" ht="16.5" customHeight="1">
      <c r="Q353" s="258"/>
      <c r="Y353" s="113"/>
    </row>
    <row r="354" spans="17:25" ht="16.5" customHeight="1">
      <c r="Q354" s="258"/>
      <c r="Y354" s="113"/>
    </row>
    <row r="355" spans="17:25" ht="16.5" customHeight="1">
      <c r="Q355" s="258"/>
      <c r="Y355" s="113"/>
    </row>
    <row r="356" spans="17:25" ht="16.5" customHeight="1">
      <c r="Q356" s="258"/>
      <c r="Y356" s="113"/>
    </row>
    <row r="357" spans="17:25" ht="16.5" customHeight="1">
      <c r="Q357" s="258"/>
      <c r="Y357" s="113"/>
    </row>
    <row r="358" spans="17:25" ht="16.5" customHeight="1">
      <c r="Q358" s="258"/>
      <c r="Y358" s="113"/>
    </row>
    <row r="359" spans="17:25" ht="16.5" customHeight="1">
      <c r="Q359" s="258"/>
      <c r="Y359" s="113"/>
    </row>
    <row r="360" spans="17:25" ht="16.5" customHeight="1">
      <c r="Q360" s="258"/>
      <c r="Y360" s="113"/>
    </row>
    <row r="361" spans="17:25" ht="16.5" customHeight="1">
      <c r="Q361" s="258"/>
      <c r="Y361" s="113"/>
    </row>
    <row r="362" spans="17:25" ht="16.5" customHeight="1">
      <c r="Q362" s="258"/>
      <c r="Y362" s="113"/>
    </row>
    <row r="363" spans="17:25" ht="16.5" customHeight="1">
      <c r="Q363" s="258"/>
      <c r="Y363" s="113"/>
    </row>
    <row r="364" spans="17:25" ht="16.5" customHeight="1">
      <c r="Q364" s="258"/>
      <c r="Y364" s="113"/>
    </row>
    <row r="365" spans="17:25" ht="16.5" customHeight="1">
      <c r="Q365" s="258"/>
      <c r="Y365" s="113"/>
    </row>
    <row r="366" spans="17:25" ht="16.5" customHeight="1">
      <c r="Q366" s="258"/>
      <c r="Y366" s="113"/>
    </row>
    <row r="367" spans="17:25" ht="16.5" customHeight="1">
      <c r="Q367" s="258"/>
      <c r="Y367" s="113"/>
    </row>
    <row r="368" spans="17:25" ht="16.5" customHeight="1">
      <c r="Q368" s="258"/>
      <c r="Y368" s="113"/>
    </row>
    <row r="369" spans="17:25" ht="16.5" customHeight="1">
      <c r="Q369" s="258"/>
      <c r="Y369" s="113"/>
    </row>
    <row r="370" spans="17:25" ht="16.5" customHeight="1">
      <c r="Q370" s="258"/>
      <c r="Y370" s="113"/>
    </row>
    <row r="371" spans="17:25" ht="16.5" customHeight="1">
      <c r="Q371" s="258"/>
      <c r="Y371" s="113"/>
    </row>
    <row r="372" spans="17:25" ht="16.5" customHeight="1">
      <c r="Q372" s="258"/>
      <c r="Y372" s="113"/>
    </row>
    <row r="373" spans="17:25" ht="16.5" customHeight="1">
      <c r="Y373" s="113"/>
    </row>
    <row r="374" spans="17:25" ht="16.5" customHeight="1">
      <c r="Y374" s="113"/>
    </row>
    <row r="375" spans="17:25" ht="16.5" customHeight="1">
      <c r="Y375" s="113"/>
    </row>
    <row r="376" spans="17:25" ht="16.5" customHeight="1">
      <c r="Y376" s="113"/>
    </row>
    <row r="377" spans="17:25" ht="16.5" customHeight="1">
      <c r="Y377" s="113"/>
    </row>
    <row r="378" spans="17:25" ht="16.5" customHeight="1">
      <c r="Y378" s="113"/>
    </row>
    <row r="379" spans="17:25" ht="16.5" customHeight="1">
      <c r="Y379" s="113"/>
    </row>
    <row r="380" spans="17:25" ht="16.5" customHeight="1">
      <c r="Y380" s="113"/>
    </row>
    <row r="381" spans="17:25" ht="16.5" customHeight="1">
      <c r="Y381" s="113"/>
    </row>
    <row r="382" spans="17:25" ht="16.5" customHeight="1">
      <c r="Y382" s="113"/>
    </row>
    <row r="383" spans="17:25" ht="16.5" customHeight="1">
      <c r="Y383" s="113"/>
    </row>
  </sheetData>
  <phoneticPr fontId="2" type="noConversion"/>
  <dataValidations disablePrompts="1" count="2">
    <dataValidation allowBlank="1" showInputMessage="1" showErrorMessage="1" sqref="C8:C27" xr:uid="{FA09996E-7783-4364-ADD5-528502784F57}"/>
    <dataValidation type="list" allowBlank="1" showInputMessage="1" showErrorMessage="1" sqref="C3:C7" xr:uid="{3F4CE490-09AA-411B-974C-EEB9C9CDFA06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D38B9E7-2FD0-4D36-B1E5-302EB9EF590E}">
          <x14:formula1>
            <xm:f>공급업체코드!$D$3:$D$47</xm:f>
          </x14:formula1>
          <xm:sqref>E8:E27</xm:sqref>
        </x14:dataValidation>
        <x14:dataValidation type="list" allowBlank="1" showInputMessage="1" showErrorMessage="1" xr:uid="{2BD99835-6CDB-47C2-A794-3C80DB89825C}">
          <x14:formula1>
            <xm:f>공급업체코드!$D$3:$D$44103</xm:f>
          </x14:formula1>
          <xm:sqref>E3:E7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211C-8BEF-482C-986F-F731EACA1505}">
  <sheetPr>
    <tabColor rgb="FF0070C0"/>
  </sheetPr>
  <dimension ref="A1:AK361"/>
  <sheetViews>
    <sheetView workbookViewId="0">
      <selection activeCell="E14" sqref="E14"/>
    </sheetView>
  </sheetViews>
  <sheetFormatPr defaultRowHeight="16.5"/>
  <cols>
    <col min="2" max="3" width="40.625" customWidth="1"/>
    <col min="4" max="7" width="15.625" customWidth="1"/>
    <col min="8" max="8" width="21.5" bestFit="1" customWidth="1"/>
    <col min="9" max="10" width="15.625" customWidth="1"/>
    <col min="11" max="11" width="21.625" bestFit="1" customWidth="1"/>
    <col min="12" max="16" width="15.625" customWidth="1"/>
    <col min="17" max="17" width="20.25" bestFit="1" customWidth="1"/>
    <col min="18" max="18" width="21.375" bestFit="1" customWidth="1"/>
    <col min="19" max="19" width="25.625" bestFit="1" customWidth="1"/>
    <col min="20" max="20" width="15.625" customWidth="1"/>
    <col min="21" max="21" width="15.625" style="10" customWidth="1"/>
    <col min="22" max="22" width="25.875" style="10" bestFit="1" customWidth="1"/>
    <col min="23" max="23" width="15.625" style="10" customWidth="1"/>
    <col min="24" max="24" width="18.25" bestFit="1" customWidth="1"/>
    <col min="25" max="25" width="18.25" customWidth="1"/>
    <col min="26" max="26" width="27.5" customWidth="1"/>
    <col min="27" max="28" width="15.625" customWidth="1"/>
    <col min="29" max="29" width="20.625" customWidth="1"/>
  </cols>
  <sheetData>
    <row r="1" spans="1:37" s="10" customFormat="1">
      <c r="A1" s="210"/>
      <c r="B1" s="210" t="s">
        <v>1801</v>
      </c>
      <c r="C1" s="210"/>
      <c r="D1" s="210" t="s">
        <v>1802</v>
      </c>
      <c r="E1" s="210"/>
      <c r="F1" s="210" t="s">
        <v>1803</v>
      </c>
      <c r="G1" s="211" t="s">
        <v>1804</v>
      </c>
      <c r="H1" s="211" t="s">
        <v>2288</v>
      </c>
      <c r="I1" s="210" t="s">
        <v>2289</v>
      </c>
      <c r="J1" s="210" t="s">
        <v>1316</v>
      </c>
      <c r="K1" s="210" t="s">
        <v>2290</v>
      </c>
      <c r="L1" s="210" t="s">
        <v>2291</v>
      </c>
      <c r="M1" s="210" t="s">
        <v>2292</v>
      </c>
      <c r="N1" s="210" t="s">
        <v>1807</v>
      </c>
      <c r="O1" s="210" t="s">
        <v>979</v>
      </c>
      <c r="P1" s="210" t="s">
        <v>1808</v>
      </c>
      <c r="Q1" s="210" t="s">
        <v>1809</v>
      </c>
      <c r="R1" s="210" t="s">
        <v>1810</v>
      </c>
      <c r="S1" s="210" t="s">
        <v>1811</v>
      </c>
      <c r="T1" s="211" t="s">
        <v>1812</v>
      </c>
      <c r="U1" s="210" t="s">
        <v>1290</v>
      </c>
      <c r="V1" s="210" t="s">
        <v>1291</v>
      </c>
      <c r="W1" s="210" t="s">
        <v>1292</v>
      </c>
      <c r="X1" s="210" t="s">
        <v>1813</v>
      </c>
      <c r="Y1" s="211" t="s">
        <v>1814</v>
      </c>
      <c r="Z1" s="61" t="s">
        <v>1295</v>
      </c>
      <c r="AA1" s="210" t="s">
        <v>1816</v>
      </c>
      <c r="AB1" s="210" t="s">
        <v>1729</v>
      </c>
      <c r="AC1" s="210" t="s">
        <v>1298</v>
      </c>
      <c r="AD1" s="210"/>
      <c r="AE1" s="210"/>
      <c r="AF1" s="210"/>
      <c r="AG1" s="210"/>
      <c r="AH1" s="210"/>
      <c r="AI1" s="210"/>
      <c r="AJ1" s="210"/>
      <c r="AK1" s="210"/>
    </row>
    <row r="2" spans="1:37" s="10" customFormat="1">
      <c r="A2" s="210"/>
      <c r="B2" s="212" t="s">
        <v>1439</v>
      </c>
      <c r="C2" s="213" t="s">
        <v>1818</v>
      </c>
      <c r="D2" s="214" t="s">
        <v>1819</v>
      </c>
      <c r="E2" s="213" t="s">
        <v>1818</v>
      </c>
      <c r="F2" s="215" t="s">
        <v>1120</v>
      </c>
      <c r="G2" s="216" t="s">
        <v>1302</v>
      </c>
      <c r="H2" s="217" t="s">
        <v>1443</v>
      </c>
      <c r="I2" s="214" t="s">
        <v>2293</v>
      </c>
      <c r="J2" s="214" t="s">
        <v>1325</v>
      </c>
      <c r="K2" s="214" t="s">
        <v>2294</v>
      </c>
      <c r="L2" s="214" t="s">
        <v>2295</v>
      </c>
      <c r="M2" s="214" t="s">
        <v>2296</v>
      </c>
      <c r="N2" s="218" t="s">
        <v>1327</v>
      </c>
      <c r="O2" s="218" t="s">
        <v>1732</v>
      </c>
      <c r="P2" s="219" t="s">
        <v>1821</v>
      </c>
      <c r="Q2" s="218" t="s">
        <v>1822</v>
      </c>
      <c r="R2" s="218" t="s">
        <v>1823</v>
      </c>
      <c r="S2" s="220" t="s">
        <v>1348</v>
      </c>
      <c r="T2" s="221" t="s">
        <v>1333</v>
      </c>
      <c r="U2" s="218" t="s">
        <v>1305</v>
      </c>
      <c r="V2" s="218" t="s">
        <v>1306</v>
      </c>
      <c r="W2" s="218" t="s">
        <v>1307</v>
      </c>
      <c r="X2" s="222" t="s">
        <v>1308</v>
      </c>
      <c r="Y2" s="223" t="s">
        <v>1309</v>
      </c>
      <c r="Z2" s="241" t="s">
        <v>1310</v>
      </c>
      <c r="AA2" s="224" t="s">
        <v>1311</v>
      </c>
      <c r="AB2" s="215" t="s">
        <v>10</v>
      </c>
      <c r="AC2" s="242" t="s">
        <v>1312</v>
      </c>
      <c r="AD2" s="210"/>
      <c r="AE2" s="210"/>
      <c r="AF2" s="210"/>
      <c r="AG2" s="210"/>
      <c r="AH2" s="210"/>
      <c r="AI2" s="210"/>
      <c r="AJ2" s="210"/>
      <c r="AK2" s="210"/>
    </row>
    <row r="3" spans="1:37">
      <c r="A3" s="7"/>
      <c r="B3" s="1" t="str">
        <f>D3&amp;"_"&amp;F3&amp;"_"&amp;H3</f>
        <v>M_DSI01_VM_0000_2.08</v>
      </c>
      <c r="C3" s="7" t="s">
        <v>522</v>
      </c>
      <c r="D3" s="7" t="str" cm="1">
        <f t="array" ref="D3">INDEX(기계코드!$D$4:$D$1022,MATCH(1,(C3=기계코드!$F$4:$F$1022)*1,0))</f>
        <v>M_DSI01</v>
      </c>
      <c r="E3" s="7" t="s">
        <v>1125</v>
      </c>
      <c r="F3" s="7" t="str" cm="1">
        <f t="array" ref="F3">INDEX(공급업체코드!$B$3:$B$1000,MATCH(1,(E3=공급업체코드!$D$3:$D$1000)*1,0))</f>
        <v>VM_0000</v>
      </c>
      <c r="G3" s="7" t="s">
        <v>2297</v>
      </c>
      <c r="H3" s="248">
        <f>ROUND(50/24,2)</f>
        <v>2.08</v>
      </c>
      <c r="I3" s="136"/>
      <c r="J3" s="136"/>
      <c r="K3" s="136"/>
      <c r="L3" s="136"/>
      <c r="M3" s="206"/>
      <c r="N3" s="7"/>
      <c r="O3" s="7" t="s">
        <v>981</v>
      </c>
      <c r="P3" s="7"/>
      <c r="Q3" s="7"/>
      <c r="R3" s="7"/>
      <c r="S3" s="7"/>
      <c r="T3" s="207">
        <v>11</v>
      </c>
      <c r="U3" s="269" t="s">
        <v>1421</v>
      </c>
      <c r="V3" s="210">
        <v>1</v>
      </c>
      <c r="W3" s="270" t="s">
        <v>1676</v>
      </c>
      <c r="X3" s="7">
        <v>13700000</v>
      </c>
      <c r="Y3" s="7"/>
      <c r="Z3" s="209"/>
      <c r="AA3" s="7" t="b">
        <v>1</v>
      </c>
      <c r="AB3" s="7"/>
      <c r="AC3" s="133"/>
      <c r="AD3" s="7"/>
      <c r="AE3" s="7"/>
      <c r="AF3" s="7"/>
      <c r="AG3" s="7"/>
      <c r="AH3" s="7"/>
      <c r="AI3" s="7"/>
      <c r="AJ3" s="7"/>
      <c r="AK3" s="7"/>
    </row>
    <row r="4" spans="1:37">
      <c r="A4" s="7"/>
      <c r="B4" s="1" t="str">
        <f t="shared" ref="B4:B12" si="0">D4&amp;"_"&amp;F4&amp;"_"&amp;H4</f>
        <v>M_DSI01_VM_0000_4.17</v>
      </c>
      <c r="C4" s="7" t="s">
        <v>522</v>
      </c>
      <c r="D4" s="7" t="str" cm="1">
        <f t="array" ref="D4">INDEX(기계코드!$D$4:$D$1022,MATCH(1,(C4=기계코드!$F$4:$F$1022)*1,0))</f>
        <v>M_DSI01</v>
      </c>
      <c r="E4" s="7" t="s">
        <v>1125</v>
      </c>
      <c r="F4" s="7" t="str" cm="1">
        <f t="array" ref="F4">INDEX(공급업체코드!$B$3:$B$1000,MATCH(1,(E4=공급업체코드!$D$3:$D$1000)*1,0))</f>
        <v>VM_0000</v>
      </c>
      <c r="G4" s="7" t="s">
        <v>2298</v>
      </c>
      <c r="H4" s="248">
        <f>ROUND(100/24,2)</f>
        <v>4.17</v>
      </c>
      <c r="I4" s="136"/>
      <c r="J4" s="136"/>
      <c r="K4" s="136"/>
      <c r="L4" s="136"/>
      <c r="M4" s="206"/>
      <c r="N4" s="7"/>
      <c r="O4" s="7" t="s">
        <v>981</v>
      </c>
      <c r="P4" s="7"/>
      <c r="Q4" s="7"/>
      <c r="R4" s="7"/>
      <c r="S4" s="7"/>
      <c r="T4" s="158">
        <v>11</v>
      </c>
      <c r="U4" s="269" t="s">
        <v>1421</v>
      </c>
      <c r="V4" s="210">
        <v>1</v>
      </c>
      <c r="W4" s="271" t="s">
        <v>1676</v>
      </c>
      <c r="X4" s="7">
        <v>16800000</v>
      </c>
      <c r="Y4" s="7"/>
      <c r="Z4" s="209"/>
      <c r="AA4" s="7" t="b">
        <v>1</v>
      </c>
      <c r="AB4" s="7"/>
      <c r="AC4" s="133"/>
      <c r="AD4" s="7"/>
      <c r="AE4" s="7"/>
      <c r="AF4" s="7"/>
      <c r="AG4" s="7"/>
      <c r="AH4" s="7"/>
      <c r="AI4" s="7"/>
      <c r="AJ4" s="7"/>
      <c r="AK4" s="7"/>
    </row>
    <row r="5" spans="1:37">
      <c r="A5" s="7"/>
      <c r="B5" s="1"/>
      <c r="C5" s="7"/>
      <c r="D5" s="7"/>
      <c r="E5" s="7"/>
      <c r="F5" s="7"/>
      <c r="G5" s="7"/>
      <c r="H5" s="205"/>
      <c r="I5" s="136"/>
      <c r="J5" s="136"/>
      <c r="K5" s="136"/>
      <c r="L5" s="136"/>
      <c r="M5" s="206"/>
      <c r="N5" s="7"/>
      <c r="O5" s="7"/>
      <c r="P5" s="7"/>
      <c r="Q5" s="7"/>
      <c r="R5" s="7"/>
      <c r="S5" s="7"/>
      <c r="T5" s="158"/>
      <c r="U5" s="269"/>
      <c r="V5" s="210"/>
      <c r="W5" s="271"/>
      <c r="X5" s="7"/>
      <c r="Y5" s="7"/>
      <c r="Z5" s="209"/>
      <c r="AA5" s="7"/>
      <c r="AB5" s="7"/>
      <c r="AC5" s="133"/>
      <c r="AD5" s="7"/>
      <c r="AE5" s="7"/>
      <c r="AF5" s="7"/>
      <c r="AG5" s="7"/>
      <c r="AH5" s="7"/>
      <c r="AI5" s="7"/>
      <c r="AJ5" s="7"/>
      <c r="AK5" s="7"/>
    </row>
    <row r="6" spans="1:37">
      <c r="A6" s="7"/>
      <c r="B6" s="1"/>
      <c r="C6" s="7"/>
      <c r="D6" s="7"/>
      <c r="E6" s="7"/>
      <c r="F6" s="7"/>
      <c r="G6" s="7"/>
      <c r="H6" s="205"/>
      <c r="I6" s="136"/>
      <c r="J6" s="136"/>
      <c r="K6" s="136"/>
      <c r="L6" s="136"/>
      <c r="M6" s="206"/>
      <c r="N6" s="7"/>
      <c r="O6" s="7"/>
      <c r="P6" s="7"/>
      <c r="Q6" s="7"/>
      <c r="R6" s="7"/>
      <c r="S6" s="7"/>
      <c r="T6" s="158"/>
      <c r="U6" s="269"/>
      <c r="V6" s="210"/>
      <c r="W6" s="271"/>
      <c r="X6" s="7"/>
      <c r="Y6" s="7"/>
      <c r="Z6" s="209"/>
      <c r="AA6" s="7"/>
      <c r="AB6" s="7"/>
      <c r="AC6" s="133"/>
      <c r="AD6" s="7"/>
      <c r="AE6" s="7"/>
      <c r="AF6" s="7"/>
      <c r="AG6" s="7"/>
      <c r="AH6" s="7"/>
      <c r="AI6" s="7"/>
      <c r="AJ6" s="7"/>
      <c r="AK6" s="7"/>
    </row>
    <row r="7" spans="1:37">
      <c r="A7" s="7"/>
      <c r="B7" s="1"/>
      <c r="C7" s="7"/>
      <c r="D7" s="7"/>
      <c r="E7" s="7"/>
      <c r="F7" s="7"/>
      <c r="G7" s="7"/>
      <c r="H7" s="208"/>
      <c r="I7" s="136"/>
      <c r="J7" s="136"/>
      <c r="K7" s="136"/>
      <c r="L7" s="7"/>
      <c r="M7" s="209"/>
      <c r="N7" s="7"/>
      <c r="O7" s="7"/>
      <c r="P7" s="7"/>
      <c r="Q7" s="7"/>
      <c r="R7" s="7"/>
      <c r="S7" s="7"/>
      <c r="T7" s="158"/>
      <c r="U7" s="269"/>
      <c r="V7" s="210"/>
      <c r="W7" s="271"/>
      <c r="X7" s="7"/>
      <c r="Y7" s="7"/>
      <c r="Z7" s="209"/>
      <c r="AA7" s="7"/>
      <c r="AB7" s="7"/>
      <c r="AC7" s="113"/>
      <c r="AD7" s="7"/>
      <c r="AE7" s="7"/>
      <c r="AF7" s="7"/>
      <c r="AG7" s="7"/>
      <c r="AH7" s="7"/>
      <c r="AI7" s="7"/>
      <c r="AJ7" s="7"/>
      <c r="AK7" s="7"/>
    </row>
    <row r="8" spans="1:37">
      <c r="A8" s="7"/>
      <c r="B8" s="1"/>
      <c r="C8" s="7"/>
      <c r="D8" s="7"/>
      <c r="E8" s="7"/>
      <c r="F8" s="7"/>
      <c r="G8" s="7"/>
      <c r="H8" s="205"/>
      <c r="I8" s="136"/>
      <c r="J8" s="136"/>
      <c r="K8" s="136"/>
      <c r="L8" s="136"/>
      <c r="M8" s="206"/>
      <c r="N8" s="7"/>
      <c r="O8" s="7"/>
      <c r="P8" s="7"/>
      <c r="Q8" s="7"/>
      <c r="R8" s="7"/>
      <c r="S8" s="7"/>
      <c r="T8" s="158"/>
      <c r="U8" s="269"/>
      <c r="V8" s="210"/>
      <c r="W8" s="271"/>
      <c r="X8" s="7"/>
      <c r="Y8" s="7"/>
      <c r="Z8" s="209"/>
      <c r="AA8" s="7"/>
      <c r="AB8" s="7"/>
      <c r="AC8" s="113"/>
      <c r="AD8" s="7"/>
      <c r="AE8" s="7"/>
      <c r="AF8" s="7"/>
      <c r="AG8" s="7"/>
      <c r="AH8" s="7"/>
      <c r="AI8" s="7"/>
      <c r="AJ8" s="7"/>
      <c r="AK8" s="7"/>
    </row>
    <row r="9" spans="1:37">
      <c r="A9" s="7"/>
      <c r="B9" s="1"/>
      <c r="C9" s="7"/>
      <c r="D9" s="7"/>
      <c r="E9" s="7"/>
      <c r="F9" s="7"/>
      <c r="G9" s="7"/>
      <c r="H9" s="205"/>
      <c r="I9" s="136"/>
      <c r="J9" s="136"/>
      <c r="K9" s="136"/>
      <c r="L9" s="136"/>
      <c r="M9" s="206"/>
      <c r="N9" s="7"/>
      <c r="O9" s="7"/>
      <c r="P9" s="7"/>
      <c r="Q9" s="7"/>
      <c r="R9" s="7"/>
      <c r="S9" s="7"/>
      <c r="T9" s="158"/>
      <c r="U9" s="269"/>
      <c r="V9" s="210"/>
      <c r="W9" s="271"/>
      <c r="X9" s="7"/>
      <c r="Y9" s="7"/>
      <c r="Z9" s="209"/>
      <c r="AA9" s="7"/>
      <c r="AB9" s="7"/>
      <c r="AC9" s="113"/>
      <c r="AD9" s="7"/>
      <c r="AE9" s="7"/>
      <c r="AF9" s="7"/>
      <c r="AG9" s="7"/>
      <c r="AH9" s="7"/>
      <c r="AI9" s="7"/>
      <c r="AJ9" s="7"/>
      <c r="AK9" s="7"/>
    </row>
    <row r="10" spans="1:37">
      <c r="A10" s="7"/>
      <c r="B10" s="1"/>
      <c r="C10" s="7"/>
      <c r="D10" s="7"/>
      <c r="E10" s="7"/>
      <c r="F10" s="7"/>
      <c r="G10" s="7"/>
      <c r="H10" s="205"/>
      <c r="I10" s="136"/>
      <c r="J10" s="136"/>
      <c r="K10" s="136"/>
      <c r="L10" s="136"/>
      <c r="M10" s="206"/>
      <c r="N10" s="7"/>
      <c r="O10" s="7"/>
      <c r="P10" s="7"/>
      <c r="Q10" s="7"/>
      <c r="R10" s="7"/>
      <c r="S10" s="7"/>
      <c r="T10" s="158"/>
      <c r="U10" s="269"/>
      <c r="V10" s="210"/>
      <c r="W10" s="271"/>
      <c r="X10" s="7"/>
      <c r="Y10" s="7"/>
      <c r="Z10" s="209"/>
      <c r="AA10" s="7"/>
      <c r="AB10" s="7"/>
      <c r="AC10" s="113"/>
      <c r="AD10" s="7"/>
      <c r="AE10" s="7"/>
      <c r="AF10" s="7"/>
      <c r="AG10" s="7"/>
      <c r="AH10" s="7"/>
      <c r="AI10" s="7"/>
      <c r="AJ10" s="7"/>
      <c r="AK10" s="7"/>
    </row>
    <row r="11" spans="1:37">
      <c r="A11" s="7"/>
      <c r="B11" s="1"/>
      <c r="C11" s="7"/>
      <c r="D11" s="7"/>
      <c r="E11" s="7"/>
      <c r="F11" s="7"/>
      <c r="G11" s="7"/>
      <c r="H11" s="205"/>
      <c r="I11" s="136"/>
      <c r="J11" s="136"/>
      <c r="K11" s="136"/>
      <c r="L11" s="136"/>
      <c r="M11" s="206"/>
      <c r="N11" s="7"/>
      <c r="O11" s="7"/>
      <c r="P11" s="7"/>
      <c r="Q11" s="7"/>
      <c r="R11" s="7"/>
      <c r="S11" s="7"/>
      <c r="T11" s="158"/>
      <c r="U11" s="269"/>
      <c r="V11" s="210"/>
      <c r="W11" s="271"/>
      <c r="X11" s="7"/>
      <c r="Y11" s="7"/>
      <c r="Z11" s="209"/>
      <c r="AA11" s="7"/>
      <c r="AB11" s="7"/>
      <c r="AC11" s="113"/>
      <c r="AD11" s="7"/>
      <c r="AE11" s="7"/>
      <c r="AF11" s="7"/>
      <c r="AG11" s="7"/>
      <c r="AH11" s="7"/>
      <c r="AI11" s="7"/>
      <c r="AJ11" s="7"/>
      <c r="AK11" s="7"/>
    </row>
    <row r="12" spans="1:37">
      <c r="A12" s="7"/>
      <c r="B12" s="1"/>
      <c r="C12" s="7"/>
      <c r="D12" s="7"/>
      <c r="E12" s="7"/>
      <c r="F12" s="7"/>
      <c r="G12" s="7"/>
      <c r="H12" s="208"/>
      <c r="I12" s="136"/>
      <c r="J12" s="136"/>
      <c r="K12" s="136"/>
      <c r="L12" s="7"/>
      <c r="M12" s="209"/>
      <c r="N12" s="7"/>
      <c r="O12" s="7"/>
      <c r="P12" s="7"/>
      <c r="Q12" s="7"/>
      <c r="R12" s="7"/>
      <c r="S12" s="7"/>
      <c r="T12" s="158"/>
      <c r="U12" s="269"/>
      <c r="V12" s="210"/>
      <c r="W12" s="271"/>
      <c r="X12" s="7"/>
      <c r="Y12" s="7"/>
      <c r="Z12" s="209"/>
      <c r="AA12" s="7"/>
      <c r="AB12" s="7"/>
      <c r="AC12" s="113"/>
      <c r="AD12" s="7"/>
      <c r="AE12" s="7"/>
      <c r="AF12" s="7"/>
      <c r="AG12" s="7"/>
      <c r="AH12" s="7"/>
      <c r="AI12" s="7"/>
      <c r="AJ12" s="7"/>
      <c r="AK12" s="7"/>
    </row>
    <row r="13" spans="1:37">
      <c r="A13" s="7"/>
      <c r="B13" s="7"/>
      <c r="C13" s="7"/>
      <c r="D13" s="7"/>
      <c r="E13" s="7"/>
      <c r="F13" s="7"/>
      <c r="G13" s="7"/>
      <c r="H13" s="208"/>
      <c r="I13" s="7"/>
      <c r="J13" s="7"/>
      <c r="K13" s="7"/>
      <c r="L13" s="7"/>
      <c r="M13" s="209"/>
      <c r="N13" s="7"/>
      <c r="O13" s="7"/>
      <c r="P13" s="7"/>
      <c r="Q13" s="7"/>
      <c r="R13" s="7"/>
      <c r="S13" s="7"/>
      <c r="T13" s="158"/>
      <c r="U13" s="269"/>
      <c r="V13" s="210"/>
      <c r="W13" s="271"/>
      <c r="X13" s="7"/>
      <c r="Y13" s="7"/>
      <c r="Z13" s="158"/>
      <c r="AA13" s="7"/>
      <c r="AB13" s="7"/>
      <c r="AC13" s="113"/>
      <c r="AD13" s="7"/>
      <c r="AE13" s="7"/>
      <c r="AF13" s="7"/>
      <c r="AG13" s="7"/>
      <c r="AH13" s="7"/>
      <c r="AI13" s="7"/>
      <c r="AJ13" s="7"/>
      <c r="AK13" s="7"/>
    </row>
    <row r="14" spans="1:37">
      <c r="A14" s="7"/>
      <c r="B14" s="7"/>
      <c r="C14" s="7"/>
      <c r="D14" s="7"/>
      <c r="E14" s="7"/>
      <c r="F14" s="7"/>
      <c r="G14" s="7"/>
      <c r="H14" s="208"/>
      <c r="I14" s="7"/>
      <c r="J14" s="7"/>
      <c r="K14" s="7"/>
      <c r="L14" s="7"/>
      <c r="M14" s="209"/>
      <c r="N14" s="7"/>
      <c r="O14" s="7"/>
      <c r="P14" s="7"/>
      <c r="Q14" s="7"/>
      <c r="R14" s="7"/>
      <c r="S14" s="7"/>
      <c r="T14" s="158"/>
      <c r="U14" s="269"/>
      <c r="V14" s="210"/>
      <c r="W14" s="271"/>
      <c r="X14" s="7"/>
      <c r="Y14" s="7"/>
      <c r="Z14" s="158"/>
      <c r="AA14" s="7"/>
      <c r="AB14" s="7"/>
      <c r="AC14" s="113"/>
      <c r="AD14" s="7"/>
      <c r="AE14" s="7"/>
      <c r="AF14" s="7"/>
      <c r="AG14" s="7"/>
      <c r="AH14" s="7"/>
      <c r="AI14" s="7"/>
      <c r="AJ14" s="7"/>
      <c r="AK14" s="7"/>
    </row>
    <row r="15" spans="1:37">
      <c r="A15" s="7"/>
      <c r="B15" s="7"/>
      <c r="C15" s="7"/>
      <c r="D15" s="7"/>
      <c r="E15" s="7"/>
      <c r="F15" s="7"/>
      <c r="G15" s="7"/>
      <c r="H15" s="208"/>
      <c r="I15" s="7"/>
      <c r="J15" s="7"/>
      <c r="K15" s="7"/>
      <c r="L15" s="7"/>
      <c r="M15" s="209"/>
      <c r="N15" s="7"/>
      <c r="O15" s="7"/>
      <c r="P15" s="7"/>
      <c r="Q15" s="7"/>
      <c r="R15" s="7"/>
      <c r="S15" s="7"/>
      <c r="T15" s="158"/>
      <c r="U15" s="269"/>
      <c r="V15" s="210"/>
      <c r="W15" s="271"/>
      <c r="X15" s="7"/>
      <c r="Y15" s="7"/>
      <c r="Z15" s="158"/>
      <c r="AA15" s="7"/>
      <c r="AB15" s="7"/>
      <c r="AC15" s="113"/>
      <c r="AD15" s="7"/>
      <c r="AE15" s="7"/>
      <c r="AF15" s="7"/>
      <c r="AG15" s="7"/>
      <c r="AH15" s="7"/>
      <c r="AI15" s="7"/>
      <c r="AJ15" s="7"/>
      <c r="AK15" s="7"/>
    </row>
    <row r="16" spans="1:37">
      <c r="A16" s="7"/>
      <c r="B16" s="7"/>
      <c r="C16" s="7"/>
      <c r="D16" s="7"/>
      <c r="E16" s="7"/>
      <c r="F16" s="7"/>
      <c r="G16" s="7"/>
      <c r="H16" s="208" t="s">
        <v>2299</v>
      </c>
      <c r="I16" s="7"/>
      <c r="J16" s="7"/>
      <c r="K16" s="7"/>
      <c r="L16" s="7"/>
      <c r="M16" s="209" t="s">
        <v>2299</v>
      </c>
      <c r="N16" s="7"/>
      <c r="O16" s="7"/>
      <c r="P16" s="7"/>
      <c r="Q16" s="7"/>
      <c r="R16" s="7"/>
      <c r="S16" s="7"/>
      <c r="T16" s="158" t="s">
        <v>2299</v>
      </c>
      <c r="U16" s="269" t="s">
        <v>2299</v>
      </c>
      <c r="V16" s="210"/>
      <c r="W16" s="271" t="s">
        <v>2299</v>
      </c>
      <c r="X16" s="7"/>
      <c r="Y16" s="7"/>
      <c r="Z16" s="158" t="s">
        <v>2299</v>
      </c>
      <c r="AA16" s="7"/>
      <c r="AB16" s="7"/>
      <c r="AC16" s="113"/>
      <c r="AD16" s="7"/>
      <c r="AE16" s="7"/>
      <c r="AF16" s="7"/>
      <c r="AG16" s="7"/>
      <c r="AH16" s="7"/>
      <c r="AI16" s="7"/>
      <c r="AJ16" s="7"/>
      <c r="AK16" s="7"/>
    </row>
    <row r="17" spans="1:37">
      <c r="A17" s="7"/>
      <c r="B17" s="7"/>
      <c r="C17" s="7"/>
      <c r="D17" s="7"/>
      <c r="E17" s="7"/>
      <c r="F17" s="7"/>
      <c r="G17" s="7"/>
      <c r="H17" s="208" t="s">
        <v>2299</v>
      </c>
      <c r="I17" s="7"/>
      <c r="J17" s="7"/>
      <c r="K17" s="7"/>
      <c r="L17" s="7"/>
      <c r="M17" s="209" t="s">
        <v>2299</v>
      </c>
      <c r="N17" s="7"/>
      <c r="O17" s="7"/>
      <c r="P17" s="7"/>
      <c r="Q17" s="7"/>
      <c r="R17" s="7"/>
      <c r="S17" s="7"/>
      <c r="T17" s="158" t="s">
        <v>2299</v>
      </c>
      <c r="U17" s="269" t="s">
        <v>2299</v>
      </c>
      <c r="V17" s="210"/>
      <c r="W17" s="271" t="s">
        <v>2299</v>
      </c>
      <c r="X17" s="7"/>
      <c r="Y17" s="7"/>
      <c r="Z17" s="158" t="s">
        <v>2299</v>
      </c>
      <c r="AA17" s="7"/>
      <c r="AB17" s="7"/>
      <c r="AC17" s="113"/>
      <c r="AD17" s="7"/>
      <c r="AE17" s="7"/>
      <c r="AF17" s="7"/>
      <c r="AG17" s="7"/>
      <c r="AH17" s="7"/>
      <c r="AI17" s="7"/>
      <c r="AJ17" s="7"/>
      <c r="AK17" s="7"/>
    </row>
    <row r="18" spans="1:37">
      <c r="A18" s="7"/>
      <c r="B18" s="7"/>
      <c r="C18" s="7"/>
      <c r="D18" s="7"/>
      <c r="E18" s="7"/>
      <c r="F18" s="7"/>
      <c r="G18" s="7"/>
      <c r="H18" s="208" t="s">
        <v>2299</v>
      </c>
      <c r="I18" s="7"/>
      <c r="J18" s="7"/>
      <c r="K18" s="7"/>
      <c r="L18" s="7"/>
      <c r="M18" s="209" t="s">
        <v>2299</v>
      </c>
      <c r="N18" s="7"/>
      <c r="O18" s="7"/>
      <c r="P18" s="7"/>
      <c r="Q18" s="7"/>
      <c r="R18" s="7"/>
      <c r="S18" s="7"/>
      <c r="T18" s="209" t="s">
        <v>2299</v>
      </c>
      <c r="U18" s="269" t="s">
        <v>2299</v>
      </c>
      <c r="V18" s="210"/>
      <c r="W18" s="271" t="s">
        <v>2299</v>
      </c>
      <c r="X18" s="7"/>
      <c r="Y18" s="7"/>
      <c r="Z18" s="158" t="s">
        <v>2299</v>
      </c>
      <c r="AA18" s="7"/>
      <c r="AB18" s="7"/>
      <c r="AC18" s="113"/>
      <c r="AD18" s="7"/>
      <c r="AE18" s="7"/>
      <c r="AF18" s="7"/>
      <c r="AG18" s="7"/>
      <c r="AH18" s="7"/>
      <c r="AI18" s="7"/>
      <c r="AJ18" s="7"/>
      <c r="AK18" s="7"/>
    </row>
    <row r="19" spans="1:37">
      <c r="A19" s="7"/>
      <c r="B19" s="7"/>
      <c r="C19" s="7"/>
      <c r="D19" s="7"/>
      <c r="E19" s="7"/>
      <c r="F19" s="7"/>
      <c r="G19" s="7"/>
      <c r="H19" s="208" t="s">
        <v>2299</v>
      </c>
      <c r="I19" s="7"/>
      <c r="J19" s="7"/>
      <c r="K19" s="7"/>
      <c r="L19" s="7"/>
      <c r="M19" s="209" t="s">
        <v>2299</v>
      </c>
      <c r="N19" s="7"/>
      <c r="O19" s="7"/>
      <c r="P19" s="7"/>
      <c r="Q19" s="7"/>
      <c r="R19" s="7"/>
      <c r="S19" s="7"/>
      <c r="T19" s="209" t="s">
        <v>2299</v>
      </c>
      <c r="U19" s="269" t="s">
        <v>2299</v>
      </c>
      <c r="V19" s="210"/>
      <c r="W19" s="271" t="s">
        <v>2299</v>
      </c>
      <c r="X19" s="7"/>
      <c r="Y19" s="7"/>
      <c r="Z19" s="158" t="s">
        <v>2299</v>
      </c>
      <c r="AA19" s="7"/>
      <c r="AB19" s="7"/>
      <c r="AC19" s="113"/>
      <c r="AD19" s="7"/>
      <c r="AE19" s="7"/>
      <c r="AF19" s="7"/>
      <c r="AG19" s="7"/>
      <c r="AH19" s="7"/>
      <c r="AI19" s="7"/>
      <c r="AJ19" s="7"/>
      <c r="AK19" s="7"/>
    </row>
    <row r="20" spans="1:37">
      <c r="A20" s="7"/>
      <c r="B20" s="7"/>
      <c r="C20" s="7"/>
      <c r="D20" s="7"/>
      <c r="E20" s="7"/>
      <c r="F20" s="7"/>
      <c r="G20" s="7"/>
      <c r="H20" s="208" t="s">
        <v>2299</v>
      </c>
      <c r="I20" s="7"/>
      <c r="J20" s="7"/>
      <c r="K20" s="7"/>
      <c r="L20" s="7"/>
      <c r="M20" s="209" t="s">
        <v>2299</v>
      </c>
      <c r="N20" s="7"/>
      <c r="O20" s="7"/>
      <c r="P20" s="7"/>
      <c r="Q20" s="7"/>
      <c r="R20" s="7"/>
      <c r="S20" s="7"/>
      <c r="T20" s="209" t="s">
        <v>2299</v>
      </c>
      <c r="U20" s="269" t="s">
        <v>2299</v>
      </c>
      <c r="V20" s="210"/>
      <c r="W20" s="271" t="s">
        <v>2299</v>
      </c>
      <c r="X20" s="7"/>
      <c r="Y20" s="7"/>
      <c r="Z20" s="158" t="s">
        <v>2299</v>
      </c>
      <c r="AA20" s="7"/>
      <c r="AB20" s="7"/>
      <c r="AC20" s="113"/>
      <c r="AD20" s="7"/>
      <c r="AE20" s="7"/>
      <c r="AF20" s="7"/>
      <c r="AG20" s="7"/>
      <c r="AH20" s="7"/>
      <c r="AI20" s="7"/>
      <c r="AJ20" s="7"/>
      <c r="AK20" s="7"/>
    </row>
    <row r="21" spans="1:37">
      <c r="A21" s="7"/>
      <c r="B21" s="7"/>
      <c r="C21" s="7"/>
      <c r="D21" s="7"/>
      <c r="E21" s="7"/>
      <c r="F21" s="7"/>
      <c r="G21" s="7"/>
      <c r="H21" s="208" t="s">
        <v>2299</v>
      </c>
      <c r="I21" s="7"/>
      <c r="J21" s="7"/>
      <c r="K21" s="7"/>
      <c r="L21" s="7"/>
      <c r="M21" s="209" t="s">
        <v>2299</v>
      </c>
      <c r="N21" s="7"/>
      <c r="O21" s="7"/>
      <c r="P21" s="7"/>
      <c r="Q21" s="7"/>
      <c r="R21" s="7"/>
      <c r="S21" s="7"/>
      <c r="T21" s="209" t="s">
        <v>2299</v>
      </c>
      <c r="U21" s="269" t="s">
        <v>2299</v>
      </c>
      <c r="V21" s="210"/>
      <c r="W21" s="271" t="s">
        <v>2299</v>
      </c>
      <c r="X21" s="7"/>
      <c r="Y21" s="7"/>
      <c r="Z21" s="158" t="s">
        <v>2299</v>
      </c>
      <c r="AA21" s="7"/>
      <c r="AB21" s="7"/>
      <c r="AC21" s="113"/>
      <c r="AD21" s="7"/>
      <c r="AE21" s="7"/>
      <c r="AF21" s="7"/>
      <c r="AG21" s="7"/>
      <c r="AH21" s="7"/>
      <c r="AI21" s="7"/>
      <c r="AJ21" s="7"/>
      <c r="AK21" s="7"/>
    </row>
    <row r="22" spans="1:37">
      <c r="A22" s="7"/>
      <c r="B22" s="7"/>
      <c r="C22" s="7"/>
      <c r="D22" s="7"/>
      <c r="E22" s="7"/>
      <c r="F22" s="7"/>
      <c r="G22" s="7"/>
      <c r="H22" s="208" t="s">
        <v>2299</v>
      </c>
      <c r="I22" s="7"/>
      <c r="J22" s="7"/>
      <c r="K22" s="7"/>
      <c r="L22" s="7"/>
      <c r="M22" s="209" t="s">
        <v>2299</v>
      </c>
      <c r="N22" s="7"/>
      <c r="O22" s="7"/>
      <c r="P22" s="7"/>
      <c r="Q22" s="7"/>
      <c r="R22" s="7"/>
      <c r="S22" s="7"/>
      <c r="T22" s="209" t="s">
        <v>2299</v>
      </c>
      <c r="U22" s="269" t="s">
        <v>2299</v>
      </c>
      <c r="V22" s="210"/>
      <c r="W22" s="271" t="s">
        <v>2299</v>
      </c>
      <c r="X22" s="7"/>
      <c r="Y22" s="7"/>
      <c r="Z22" s="158" t="s">
        <v>2299</v>
      </c>
      <c r="AA22" s="7"/>
      <c r="AB22" s="7"/>
      <c r="AC22" s="113"/>
      <c r="AD22" s="7"/>
      <c r="AE22" s="7"/>
      <c r="AF22" s="7"/>
      <c r="AG22" s="7"/>
      <c r="AH22" s="7"/>
      <c r="AI22" s="7"/>
      <c r="AJ22" s="7"/>
      <c r="AK22" s="7"/>
    </row>
    <row r="23" spans="1:37">
      <c r="A23" s="7"/>
      <c r="B23" s="7"/>
      <c r="C23" s="7"/>
      <c r="D23" s="7"/>
      <c r="E23" s="7"/>
      <c r="F23" s="7"/>
      <c r="G23" s="7"/>
      <c r="H23" s="208" t="s">
        <v>2299</v>
      </c>
      <c r="I23" s="7"/>
      <c r="J23" s="7"/>
      <c r="K23" s="7"/>
      <c r="L23" s="7"/>
      <c r="M23" s="209" t="s">
        <v>2299</v>
      </c>
      <c r="N23" s="7"/>
      <c r="O23" s="7"/>
      <c r="P23" s="7"/>
      <c r="Q23" s="7"/>
      <c r="R23" s="7"/>
      <c r="S23" s="7"/>
      <c r="T23" s="209" t="s">
        <v>2299</v>
      </c>
      <c r="U23" s="269" t="s">
        <v>2299</v>
      </c>
      <c r="V23" s="210"/>
      <c r="W23" s="271" t="s">
        <v>2299</v>
      </c>
      <c r="X23" s="7"/>
      <c r="Y23" s="7"/>
      <c r="Z23" s="158" t="s">
        <v>2299</v>
      </c>
      <c r="AA23" s="7"/>
      <c r="AB23" s="7"/>
      <c r="AC23" s="113"/>
      <c r="AD23" s="7"/>
      <c r="AE23" s="7"/>
      <c r="AF23" s="7"/>
      <c r="AG23" s="7"/>
      <c r="AH23" s="7"/>
      <c r="AI23" s="7"/>
      <c r="AJ23" s="7"/>
      <c r="AK23" s="7"/>
    </row>
    <row r="24" spans="1:37">
      <c r="A24" s="7"/>
      <c r="B24" s="7"/>
      <c r="C24" s="7"/>
      <c r="D24" s="7"/>
      <c r="E24" s="7"/>
      <c r="F24" s="7"/>
      <c r="G24" s="7"/>
      <c r="H24" s="208" t="s">
        <v>2299</v>
      </c>
      <c r="I24" s="7"/>
      <c r="J24" s="7"/>
      <c r="K24" s="7"/>
      <c r="L24" s="7"/>
      <c r="M24" s="209" t="s">
        <v>2299</v>
      </c>
      <c r="N24" s="7"/>
      <c r="O24" s="7"/>
      <c r="P24" s="7"/>
      <c r="Q24" s="7"/>
      <c r="R24" s="7"/>
      <c r="S24" s="7"/>
      <c r="T24" s="209" t="s">
        <v>2299</v>
      </c>
      <c r="U24" s="269" t="s">
        <v>2299</v>
      </c>
      <c r="V24" s="210"/>
      <c r="W24" s="271" t="s">
        <v>2299</v>
      </c>
      <c r="X24" s="7"/>
      <c r="Y24" s="7"/>
      <c r="Z24" s="158" t="s">
        <v>2299</v>
      </c>
      <c r="AA24" s="7"/>
      <c r="AB24" s="7"/>
      <c r="AC24" s="113"/>
      <c r="AD24" s="7"/>
      <c r="AE24" s="7"/>
      <c r="AF24" s="7"/>
      <c r="AG24" s="7"/>
      <c r="AH24" s="7"/>
      <c r="AI24" s="7"/>
      <c r="AJ24" s="7"/>
      <c r="AK24" s="7"/>
    </row>
    <row r="25" spans="1:37">
      <c r="A25" s="7"/>
      <c r="B25" s="7"/>
      <c r="C25" s="7"/>
      <c r="D25" s="7"/>
      <c r="E25" s="7"/>
      <c r="F25" s="7"/>
      <c r="G25" s="7"/>
      <c r="H25" s="208" t="s">
        <v>2299</v>
      </c>
      <c r="I25" s="7"/>
      <c r="J25" s="7"/>
      <c r="K25" s="7"/>
      <c r="L25" s="7"/>
      <c r="M25" s="209" t="s">
        <v>2299</v>
      </c>
      <c r="N25" s="7"/>
      <c r="O25" s="7"/>
      <c r="P25" s="7"/>
      <c r="Q25" s="7"/>
      <c r="R25" s="7"/>
      <c r="S25" s="7"/>
      <c r="T25" s="209" t="s">
        <v>2299</v>
      </c>
      <c r="U25" s="269" t="s">
        <v>2299</v>
      </c>
      <c r="V25" s="210"/>
      <c r="W25" s="271" t="s">
        <v>2299</v>
      </c>
      <c r="X25" s="7"/>
      <c r="Y25" s="7"/>
      <c r="Z25" s="209" t="s">
        <v>2299</v>
      </c>
      <c r="AA25" s="7"/>
      <c r="AB25" s="7"/>
      <c r="AC25" s="113"/>
      <c r="AD25" s="7"/>
      <c r="AE25" s="7"/>
      <c r="AF25" s="7"/>
      <c r="AG25" s="7"/>
      <c r="AH25" s="7"/>
      <c r="AI25" s="7"/>
      <c r="AJ25" s="7"/>
      <c r="AK25" s="7"/>
    </row>
    <row r="26" spans="1:37">
      <c r="A26" s="7"/>
      <c r="B26" s="7"/>
      <c r="C26" s="7"/>
      <c r="D26" s="7"/>
      <c r="E26" s="7"/>
      <c r="F26" s="7"/>
      <c r="G26" s="7"/>
      <c r="H26" s="208" t="s">
        <v>2299</v>
      </c>
      <c r="I26" s="7"/>
      <c r="J26" s="7"/>
      <c r="K26" s="7"/>
      <c r="L26" s="7"/>
      <c r="M26" s="209" t="s">
        <v>2299</v>
      </c>
      <c r="N26" s="7"/>
      <c r="O26" s="7"/>
      <c r="P26" s="7"/>
      <c r="Q26" s="7"/>
      <c r="R26" s="7"/>
      <c r="S26" s="7"/>
      <c r="T26" s="209" t="s">
        <v>2299</v>
      </c>
      <c r="U26" s="269" t="s">
        <v>2299</v>
      </c>
      <c r="V26" s="210"/>
      <c r="W26" s="271" t="s">
        <v>2299</v>
      </c>
      <c r="X26" s="7"/>
      <c r="Y26" s="7"/>
      <c r="Z26" s="209" t="s">
        <v>2299</v>
      </c>
      <c r="AA26" s="7"/>
      <c r="AB26" s="7"/>
      <c r="AC26" s="113"/>
      <c r="AD26" s="7"/>
      <c r="AE26" s="7"/>
      <c r="AF26" s="7"/>
      <c r="AG26" s="7"/>
      <c r="AH26" s="7"/>
      <c r="AI26" s="7"/>
      <c r="AJ26" s="7"/>
      <c r="AK26" s="7"/>
    </row>
    <row r="27" spans="1:37">
      <c r="A27" s="7"/>
      <c r="B27" s="7"/>
      <c r="C27" s="7"/>
      <c r="D27" s="7"/>
      <c r="E27" s="7"/>
      <c r="F27" s="7"/>
      <c r="G27" s="7"/>
      <c r="H27" s="208" t="s">
        <v>2299</v>
      </c>
      <c r="I27" s="7"/>
      <c r="J27" s="7"/>
      <c r="K27" s="7"/>
      <c r="L27" s="7"/>
      <c r="M27" s="209" t="s">
        <v>2299</v>
      </c>
      <c r="N27" s="7"/>
      <c r="O27" s="7"/>
      <c r="P27" s="7"/>
      <c r="Q27" s="7"/>
      <c r="R27" s="7"/>
      <c r="S27" s="7"/>
      <c r="T27" s="209" t="s">
        <v>2299</v>
      </c>
      <c r="U27" s="269" t="s">
        <v>2299</v>
      </c>
      <c r="V27" s="210"/>
      <c r="W27" s="271" t="s">
        <v>2299</v>
      </c>
      <c r="X27" s="7"/>
      <c r="Y27" s="7"/>
      <c r="Z27" s="209" t="s">
        <v>2299</v>
      </c>
      <c r="AA27" s="7"/>
      <c r="AB27" s="7"/>
      <c r="AC27" s="113"/>
      <c r="AD27" s="7"/>
      <c r="AE27" s="7"/>
      <c r="AF27" s="7"/>
      <c r="AG27" s="7"/>
      <c r="AH27" s="7"/>
      <c r="AI27" s="7"/>
      <c r="AJ27" s="7"/>
      <c r="AK27" s="7"/>
    </row>
    <row r="28" spans="1:37">
      <c r="A28" s="7"/>
      <c r="B28" s="7"/>
      <c r="C28" s="7"/>
      <c r="D28" s="7"/>
      <c r="E28" s="7"/>
      <c r="F28" s="7"/>
      <c r="G28" s="7"/>
      <c r="H28" s="208" t="s">
        <v>2299</v>
      </c>
      <c r="I28" s="7"/>
      <c r="J28" s="7"/>
      <c r="K28" s="7"/>
      <c r="L28" s="7"/>
      <c r="M28" s="209" t="s">
        <v>2299</v>
      </c>
      <c r="N28" s="7"/>
      <c r="O28" s="7"/>
      <c r="P28" s="7"/>
      <c r="Q28" s="7"/>
      <c r="R28" s="7"/>
      <c r="S28" s="7"/>
      <c r="T28" s="209" t="s">
        <v>2299</v>
      </c>
      <c r="U28" s="269" t="s">
        <v>2299</v>
      </c>
      <c r="V28" s="210"/>
      <c r="W28" s="271" t="s">
        <v>2299</v>
      </c>
      <c r="X28" s="7"/>
      <c r="Y28" s="7"/>
      <c r="Z28" s="209" t="s">
        <v>2299</v>
      </c>
      <c r="AA28" s="7"/>
      <c r="AB28" s="7"/>
      <c r="AC28" s="113"/>
      <c r="AD28" s="7"/>
      <c r="AE28" s="7"/>
      <c r="AF28" s="7"/>
      <c r="AG28" s="7"/>
      <c r="AH28" s="7"/>
      <c r="AI28" s="7"/>
      <c r="AJ28" s="7"/>
      <c r="AK28" s="7"/>
    </row>
    <row r="29" spans="1:37">
      <c r="A29" s="7"/>
      <c r="B29" s="7"/>
      <c r="C29" s="7"/>
      <c r="D29" s="7"/>
      <c r="E29" s="7"/>
      <c r="F29" s="7"/>
      <c r="G29" s="7"/>
      <c r="H29" s="208" t="s">
        <v>2299</v>
      </c>
      <c r="I29" s="7"/>
      <c r="J29" s="7"/>
      <c r="K29" s="7"/>
      <c r="L29" s="7"/>
      <c r="M29" s="209" t="s">
        <v>2299</v>
      </c>
      <c r="N29" s="7"/>
      <c r="O29" s="7"/>
      <c r="P29" s="7"/>
      <c r="Q29" s="7"/>
      <c r="R29" s="7"/>
      <c r="S29" s="7"/>
      <c r="T29" s="209" t="s">
        <v>2299</v>
      </c>
      <c r="U29" s="269" t="s">
        <v>2299</v>
      </c>
      <c r="V29" s="210"/>
      <c r="W29" s="271" t="s">
        <v>2299</v>
      </c>
      <c r="X29" s="7"/>
      <c r="Y29" s="7"/>
      <c r="Z29" s="209" t="s">
        <v>2299</v>
      </c>
      <c r="AA29" s="7"/>
      <c r="AB29" s="7"/>
      <c r="AC29" s="113"/>
      <c r="AD29" s="7"/>
      <c r="AE29" s="7"/>
      <c r="AF29" s="7"/>
      <c r="AG29" s="7"/>
      <c r="AH29" s="7"/>
      <c r="AI29" s="7"/>
      <c r="AJ29" s="7"/>
      <c r="AK29" s="7"/>
    </row>
    <row r="30" spans="1:37">
      <c r="A30" s="7"/>
      <c r="B30" s="7"/>
      <c r="C30" s="7"/>
      <c r="D30" s="7"/>
      <c r="E30" s="7"/>
      <c r="F30" s="7"/>
      <c r="G30" s="7"/>
      <c r="H30" s="208" t="s">
        <v>2299</v>
      </c>
      <c r="I30" s="7"/>
      <c r="J30" s="7"/>
      <c r="K30" s="7"/>
      <c r="L30" s="7"/>
      <c r="M30" s="209" t="s">
        <v>2299</v>
      </c>
      <c r="N30" s="7"/>
      <c r="O30" s="7"/>
      <c r="P30" s="7"/>
      <c r="Q30" s="7"/>
      <c r="R30" s="7"/>
      <c r="S30" s="7"/>
      <c r="T30" s="209" t="s">
        <v>2299</v>
      </c>
      <c r="U30" s="269" t="s">
        <v>2299</v>
      </c>
      <c r="V30" s="210"/>
      <c r="W30" s="271" t="s">
        <v>2299</v>
      </c>
      <c r="X30" s="7"/>
      <c r="Y30" s="7"/>
      <c r="Z30" s="209" t="s">
        <v>2299</v>
      </c>
      <c r="AA30" s="7"/>
      <c r="AB30" s="7"/>
      <c r="AC30" s="113"/>
      <c r="AD30" s="7"/>
      <c r="AE30" s="7"/>
      <c r="AF30" s="7"/>
      <c r="AG30" s="7"/>
      <c r="AH30" s="7"/>
      <c r="AI30" s="7"/>
      <c r="AJ30" s="7"/>
      <c r="AK30" s="7"/>
    </row>
    <row r="31" spans="1:37">
      <c r="A31" s="7"/>
      <c r="B31" s="7"/>
      <c r="C31" s="7"/>
      <c r="D31" s="7"/>
      <c r="E31" s="7"/>
      <c r="F31" s="7"/>
      <c r="G31" s="7"/>
      <c r="H31" s="208" t="s">
        <v>2299</v>
      </c>
      <c r="I31" s="7"/>
      <c r="J31" s="7"/>
      <c r="K31" s="7"/>
      <c r="L31" s="7"/>
      <c r="M31" s="209" t="s">
        <v>2299</v>
      </c>
      <c r="N31" s="7"/>
      <c r="O31" s="7"/>
      <c r="P31" s="7"/>
      <c r="Q31" s="7"/>
      <c r="R31" s="7"/>
      <c r="S31" s="7"/>
      <c r="T31" s="209" t="s">
        <v>2299</v>
      </c>
      <c r="U31" s="269" t="s">
        <v>2299</v>
      </c>
      <c r="V31" s="210"/>
      <c r="W31" s="271" t="s">
        <v>2299</v>
      </c>
      <c r="X31" s="7"/>
      <c r="Y31" s="7"/>
      <c r="Z31" s="209" t="s">
        <v>2299</v>
      </c>
      <c r="AA31" s="7"/>
      <c r="AB31" s="7"/>
      <c r="AC31" s="113"/>
      <c r="AD31" s="7"/>
      <c r="AE31" s="7"/>
      <c r="AF31" s="7"/>
      <c r="AG31" s="7"/>
      <c r="AH31" s="7"/>
      <c r="AI31" s="7"/>
      <c r="AJ31" s="7"/>
      <c r="AK31" s="7"/>
    </row>
    <row r="32" spans="1:37">
      <c r="A32" s="7"/>
      <c r="B32" s="7"/>
      <c r="C32" s="7"/>
      <c r="D32" s="7"/>
      <c r="E32" s="7"/>
      <c r="F32" s="7"/>
      <c r="G32" s="7"/>
      <c r="H32" s="208" t="s">
        <v>2299</v>
      </c>
      <c r="I32" s="7"/>
      <c r="J32" s="7"/>
      <c r="K32" s="7"/>
      <c r="L32" s="7"/>
      <c r="M32" s="209" t="s">
        <v>2299</v>
      </c>
      <c r="N32" s="7"/>
      <c r="O32" s="7"/>
      <c r="P32" s="7"/>
      <c r="Q32" s="7"/>
      <c r="R32" s="7"/>
      <c r="S32" s="7"/>
      <c r="T32" s="209" t="s">
        <v>2299</v>
      </c>
      <c r="U32" s="269" t="s">
        <v>2299</v>
      </c>
      <c r="V32" s="210"/>
      <c r="W32" s="271" t="s">
        <v>2299</v>
      </c>
      <c r="X32" s="7"/>
      <c r="Y32" s="7"/>
      <c r="Z32" s="209" t="s">
        <v>2299</v>
      </c>
      <c r="AA32" s="7"/>
      <c r="AB32" s="7"/>
      <c r="AC32" s="113"/>
      <c r="AD32" s="7"/>
      <c r="AE32" s="7"/>
      <c r="AF32" s="7"/>
      <c r="AG32" s="7"/>
      <c r="AH32" s="7"/>
      <c r="AI32" s="7"/>
      <c r="AJ32" s="7"/>
      <c r="AK32" s="7"/>
    </row>
    <row r="33" spans="1:37">
      <c r="A33" s="7"/>
      <c r="B33" s="7"/>
      <c r="C33" s="7"/>
      <c r="D33" s="7"/>
      <c r="E33" s="7"/>
      <c r="F33" s="7"/>
      <c r="G33" s="7"/>
      <c r="H33" s="208" t="s">
        <v>2299</v>
      </c>
      <c r="I33" s="7"/>
      <c r="J33" s="7"/>
      <c r="K33" s="7"/>
      <c r="L33" s="7"/>
      <c r="M33" s="209" t="s">
        <v>2299</v>
      </c>
      <c r="N33" s="7"/>
      <c r="O33" s="7"/>
      <c r="P33" s="7"/>
      <c r="Q33" s="7"/>
      <c r="R33" s="7"/>
      <c r="S33" s="7"/>
      <c r="T33" s="209" t="s">
        <v>2299</v>
      </c>
      <c r="U33" s="269" t="s">
        <v>2299</v>
      </c>
      <c r="V33" s="210"/>
      <c r="W33" s="271" t="s">
        <v>2299</v>
      </c>
      <c r="X33" s="7"/>
      <c r="Y33" s="7"/>
      <c r="Z33" s="209" t="s">
        <v>2299</v>
      </c>
      <c r="AA33" s="7"/>
      <c r="AB33" s="7"/>
      <c r="AC33" s="113"/>
      <c r="AD33" s="7"/>
      <c r="AE33" s="7"/>
      <c r="AF33" s="7"/>
      <c r="AG33" s="7"/>
      <c r="AH33" s="7"/>
      <c r="AI33" s="7"/>
      <c r="AJ33" s="7"/>
      <c r="AK33" s="7"/>
    </row>
    <row r="34" spans="1:37">
      <c r="A34" s="7"/>
      <c r="B34" s="7"/>
      <c r="C34" s="7"/>
      <c r="D34" s="7"/>
      <c r="E34" s="7"/>
      <c r="F34" s="7"/>
      <c r="G34" s="7"/>
      <c r="H34" s="208" t="s">
        <v>2299</v>
      </c>
      <c r="I34" s="7"/>
      <c r="J34" s="7"/>
      <c r="K34" s="7"/>
      <c r="L34" s="7"/>
      <c r="M34" s="209" t="s">
        <v>2299</v>
      </c>
      <c r="N34" s="7"/>
      <c r="O34" s="7"/>
      <c r="P34" s="7"/>
      <c r="Q34" s="7"/>
      <c r="R34" s="7"/>
      <c r="S34" s="7"/>
      <c r="T34" s="209" t="s">
        <v>2299</v>
      </c>
      <c r="U34" s="269" t="s">
        <v>2299</v>
      </c>
      <c r="V34" s="210"/>
      <c r="W34" s="271" t="s">
        <v>2299</v>
      </c>
      <c r="X34" s="7"/>
      <c r="Y34" s="7"/>
      <c r="Z34" s="209" t="s">
        <v>2299</v>
      </c>
      <c r="AA34" s="7"/>
      <c r="AB34" s="7"/>
      <c r="AC34" s="113"/>
      <c r="AD34" s="7"/>
      <c r="AE34" s="7"/>
      <c r="AF34" s="7"/>
      <c r="AG34" s="7"/>
      <c r="AH34" s="7"/>
      <c r="AI34" s="7"/>
      <c r="AJ34" s="7"/>
      <c r="AK34" s="7"/>
    </row>
    <row r="35" spans="1:37">
      <c r="A35" s="7"/>
      <c r="B35" s="7"/>
      <c r="C35" s="7"/>
      <c r="D35" s="7"/>
      <c r="E35" s="7"/>
      <c r="F35" s="7"/>
      <c r="G35" s="7"/>
      <c r="H35" s="208" t="s">
        <v>2299</v>
      </c>
      <c r="I35" s="7"/>
      <c r="J35" s="7"/>
      <c r="K35" s="7"/>
      <c r="L35" s="7"/>
      <c r="M35" s="209" t="s">
        <v>2299</v>
      </c>
      <c r="N35" s="7"/>
      <c r="O35" s="7"/>
      <c r="P35" s="7"/>
      <c r="Q35" s="7"/>
      <c r="R35" s="7"/>
      <c r="S35" s="7"/>
      <c r="T35" s="209" t="s">
        <v>2299</v>
      </c>
      <c r="U35" s="269" t="s">
        <v>2299</v>
      </c>
      <c r="V35" s="210"/>
      <c r="W35" s="271" t="s">
        <v>2299</v>
      </c>
      <c r="X35" s="7"/>
      <c r="Y35" s="7"/>
      <c r="Z35" s="209" t="s">
        <v>2299</v>
      </c>
      <c r="AA35" s="7"/>
      <c r="AB35" s="7"/>
      <c r="AC35" s="113"/>
      <c r="AD35" s="7"/>
      <c r="AE35" s="7"/>
      <c r="AF35" s="7"/>
      <c r="AG35" s="7"/>
      <c r="AH35" s="7"/>
      <c r="AI35" s="7"/>
      <c r="AJ35" s="7"/>
      <c r="AK35" s="7"/>
    </row>
    <row r="36" spans="1:37">
      <c r="A36" s="7"/>
      <c r="B36" s="7"/>
      <c r="C36" s="7"/>
      <c r="D36" s="7"/>
      <c r="E36" s="7"/>
      <c r="F36" s="7"/>
      <c r="G36" s="7"/>
      <c r="H36" s="208" t="s">
        <v>2299</v>
      </c>
      <c r="I36" s="7"/>
      <c r="J36" s="7"/>
      <c r="K36" s="7"/>
      <c r="L36" s="7"/>
      <c r="M36" s="209" t="s">
        <v>2299</v>
      </c>
      <c r="N36" s="7"/>
      <c r="O36" s="7"/>
      <c r="P36" s="7"/>
      <c r="Q36" s="7"/>
      <c r="R36" s="7"/>
      <c r="S36" s="7"/>
      <c r="T36" s="209" t="s">
        <v>2299</v>
      </c>
      <c r="U36" s="269" t="s">
        <v>2299</v>
      </c>
      <c r="V36" s="210"/>
      <c r="W36" s="271" t="s">
        <v>2299</v>
      </c>
      <c r="X36" s="7"/>
      <c r="Y36" s="7"/>
      <c r="Z36" s="209" t="s">
        <v>2299</v>
      </c>
      <c r="AA36" s="7"/>
      <c r="AB36" s="7"/>
      <c r="AC36" s="113"/>
      <c r="AD36" s="7"/>
      <c r="AE36" s="7"/>
      <c r="AF36" s="7"/>
      <c r="AG36" s="7"/>
      <c r="AH36" s="7"/>
      <c r="AI36" s="7"/>
      <c r="AJ36" s="7"/>
      <c r="AK36" s="7"/>
    </row>
    <row r="37" spans="1:37">
      <c r="A37" s="7"/>
      <c r="B37" s="7"/>
      <c r="C37" s="7"/>
      <c r="D37" s="7"/>
      <c r="E37" s="7"/>
      <c r="F37" s="7"/>
      <c r="G37" s="7"/>
      <c r="H37" s="208" t="s">
        <v>2299</v>
      </c>
      <c r="I37" s="7"/>
      <c r="J37" s="7"/>
      <c r="K37" s="7"/>
      <c r="L37" s="7"/>
      <c r="M37" s="209" t="s">
        <v>2299</v>
      </c>
      <c r="N37" s="7"/>
      <c r="O37" s="7"/>
      <c r="P37" s="7"/>
      <c r="Q37" s="7"/>
      <c r="R37" s="7"/>
      <c r="S37" s="7"/>
      <c r="T37" s="209" t="s">
        <v>2299</v>
      </c>
      <c r="U37" s="269" t="s">
        <v>2299</v>
      </c>
      <c r="V37" s="210"/>
      <c r="W37" s="271" t="s">
        <v>2299</v>
      </c>
      <c r="X37" s="7"/>
      <c r="Y37" s="7"/>
      <c r="Z37" s="209" t="s">
        <v>2299</v>
      </c>
      <c r="AA37" s="7"/>
      <c r="AB37" s="7"/>
      <c r="AC37" s="113"/>
      <c r="AD37" s="7"/>
      <c r="AE37" s="7"/>
      <c r="AF37" s="7"/>
      <c r="AG37" s="7"/>
      <c r="AH37" s="7"/>
      <c r="AI37" s="7"/>
      <c r="AJ37" s="7"/>
      <c r="AK37" s="7"/>
    </row>
    <row r="38" spans="1:37">
      <c r="A38" s="7"/>
      <c r="B38" s="7"/>
      <c r="C38" s="7"/>
      <c r="D38" s="7"/>
      <c r="E38" s="7"/>
      <c r="F38" s="7"/>
      <c r="G38" s="7"/>
      <c r="H38" s="208" t="s">
        <v>2299</v>
      </c>
      <c r="I38" s="7"/>
      <c r="J38" s="7"/>
      <c r="K38" s="7"/>
      <c r="L38" s="7"/>
      <c r="M38" s="209" t="s">
        <v>2299</v>
      </c>
      <c r="N38" s="7"/>
      <c r="O38" s="7"/>
      <c r="P38" s="7"/>
      <c r="Q38" s="7"/>
      <c r="R38" s="7"/>
      <c r="S38" s="7"/>
      <c r="T38" s="209" t="s">
        <v>2299</v>
      </c>
      <c r="U38" s="269" t="s">
        <v>2299</v>
      </c>
      <c r="V38" s="210"/>
      <c r="W38" s="271" t="s">
        <v>2299</v>
      </c>
      <c r="X38" s="7"/>
      <c r="Y38" s="7"/>
      <c r="Z38" s="209" t="s">
        <v>2299</v>
      </c>
      <c r="AA38" s="7"/>
      <c r="AB38" s="7"/>
      <c r="AC38" s="113"/>
      <c r="AD38" s="7"/>
      <c r="AE38" s="7"/>
      <c r="AF38" s="7"/>
      <c r="AG38" s="7"/>
      <c r="AH38" s="7"/>
      <c r="AI38" s="7"/>
      <c r="AJ38" s="7"/>
      <c r="AK38" s="7"/>
    </row>
    <row r="39" spans="1:37">
      <c r="A39" s="7"/>
      <c r="B39" s="7"/>
      <c r="C39" s="7"/>
      <c r="D39" s="7"/>
      <c r="E39" s="7"/>
      <c r="F39" s="7"/>
      <c r="G39" s="7"/>
      <c r="H39" s="208" t="s">
        <v>2299</v>
      </c>
      <c r="I39" s="7"/>
      <c r="J39" s="7"/>
      <c r="K39" s="7"/>
      <c r="L39" s="7"/>
      <c r="M39" s="209" t="s">
        <v>2299</v>
      </c>
      <c r="N39" s="7"/>
      <c r="O39" s="7"/>
      <c r="P39" s="7"/>
      <c r="Q39" s="7"/>
      <c r="R39" s="7"/>
      <c r="S39" s="7"/>
      <c r="T39" s="209" t="s">
        <v>2299</v>
      </c>
      <c r="U39" s="269" t="s">
        <v>2299</v>
      </c>
      <c r="V39" s="210"/>
      <c r="W39" s="271" t="s">
        <v>2299</v>
      </c>
      <c r="X39" s="7"/>
      <c r="Y39" s="7"/>
      <c r="Z39" s="209" t="s">
        <v>2299</v>
      </c>
      <c r="AA39" s="7"/>
      <c r="AB39" s="7"/>
      <c r="AC39" s="113"/>
      <c r="AD39" s="7"/>
      <c r="AE39" s="7"/>
      <c r="AF39" s="7"/>
      <c r="AG39" s="7"/>
      <c r="AH39" s="7"/>
      <c r="AI39" s="7"/>
      <c r="AJ39" s="7"/>
      <c r="AK39" s="7"/>
    </row>
    <row r="40" spans="1:37">
      <c r="A40" s="7"/>
      <c r="B40" s="7"/>
      <c r="C40" s="7"/>
      <c r="D40" s="7"/>
      <c r="E40" s="7"/>
      <c r="F40" s="7"/>
      <c r="G40" s="7"/>
      <c r="H40" s="208" t="s">
        <v>2299</v>
      </c>
      <c r="I40" s="7"/>
      <c r="J40" s="7"/>
      <c r="K40" s="7"/>
      <c r="L40" s="7"/>
      <c r="M40" s="209" t="s">
        <v>2299</v>
      </c>
      <c r="N40" s="7"/>
      <c r="O40" s="7"/>
      <c r="P40" s="7"/>
      <c r="Q40" s="7"/>
      <c r="R40" s="7"/>
      <c r="S40" s="7"/>
      <c r="T40" s="209" t="s">
        <v>2299</v>
      </c>
      <c r="U40" s="269" t="s">
        <v>2299</v>
      </c>
      <c r="V40" s="210"/>
      <c r="W40" s="271" t="s">
        <v>2299</v>
      </c>
      <c r="X40" s="7"/>
      <c r="Y40" s="7"/>
      <c r="Z40" s="209" t="s">
        <v>2299</v>
      </c>
      <c r="AA40" s="7"/>
      <c r="AB40" s="7"/>
      <c r="AC40" s="113"/>
      <c r="AD40" s="7"/>
      <c r="AE40" s="7"/>
      <c r="AF40" s="7"/>
      <c r="AG40" s="7"/>
      <c r="AH40" s="7"/>
      <c r="AI40" s="7"/>
      <c r="AJ40" s="7"/>
      <c r="AK40" s="7"/>
    </row>
    <row r="41" spans="1:37">
      <c r="A41" s="7"/>
      <c r="B41" s="7"/>
      <c r="C41" s="7"/>
      <c r="D41" s="7"/>
      <c r="E41" s="7"/>
      <c r="F41" s="7"/>
      <c r="G41" s="7"/>
      <c r="H41" s="208" t="s">
        <v>2299</v>
      </c>
      <c r="I41" s="7"/>
      <c r="J41" s="7"/>
      <c r="K41" s="7"/>
      <c r="L41" s="7"/>
      <c r="M41" s="209" t="s">
        <v>2299</v>
      </c>
      <c r="N41" s="7"/>
      <c r="O41" s="7"/>
      <c r="P41" s="7"/>
      <c r="Q41" s="7"/>
      <c r="R41" s="7"/>
      <c r="S41" s="7"/>
      <c r="T41" s="209" t="s">
        <v>2299</v>
      </c>
      <c r="U41" s="269" t="s">
        <v>2299</v>
      </c>
      <c r="V41" s="210"/>
      <c r="W41" s="271" t="s">
        <v>2299</v>
      </c>
      <c r="X41" s="7"/>
      <c r="Y41" s="7"/>
      <c r="Z41" s="209" t="s">
        <v>2299</v>
      </c>
      <c r="AA41" s="7"/>
      <c r="AB41" s="7"/>
      <c r="AC41" s="113"/>
      <c r="AD41" s="7"/>
      <c r="AE41" s="7"/>
      <c r="AF41" s="7"/>
      <c r="AG41" s="7"/>
      <c r="AH41" s="7"/>
      <c r="AI41" s="7"/>
      <c r="AJ41" s="7"/>
      <c r="AK41" s="7"/>
    </row>
    <row r="42" spans="1:37">
      <c r="A42" s="7"/>
      <c r="B42" s="7"/>
      <c r="C42" s="7"/>
      <c r="D42" s="7"/>
      <c r="E42" s="7"/>
      <c r="F42" s="7"/>
      <c r="G42" s="7"/>
      <c r="H42" s="208" t="s">
        <v>2299</v>
      </c>
      <c r="I42" s="7"/>
      <c r="J42" s="7"/>
      <c r="K42" s="7"/>
      <c r="L42" s="7"/>
      <c r="M42" s="209" t="s">
        <v>2299</v>
      </c>
      <c r="N42" s="7"/>
      <c r="O42" s="7"/>
      <c r="P42" s="7"/>
      <c r="Q42" s="7"/>
      <c r="R42" s="7"/>
      <c r="S42" s="7"/>
      <c r="T42" s="209" t="s">
        <v>2299</v>
      </c>
      <c r="U42" s="269" t="s">
        <v>2299</v>
      </c>
      <c r="V42" s="210"/>
      <c r="W42" s="271" t="s">
        <v>2299</v>
      </c>
      <c r="X42" s="7"/>
      <c r="Y42" s="7"/>
      <c r="Z42" s="209" t="s">
        <v>2299</v>
      </c>
      <c r="AA42" s="7"/>
      <c r="AB42" s="7"/>
      <c r="AC42" s="113"/>
      <c r="AD42" s="7"/>
      <c r="AE42" s="7"/>
      <c r="AF42" s="7"/>
      <c r="AG42" s="7"/>
      <c r="AH42" s="7"/>
      <c r="AI42" s="7"/>
      <c r="AJ42" s="7"/>
      <c r="AK42" s="7"/>
    </row>
    <row r="43" spans="1:37">
      <c r="A43" s="7"/>
      <c r="B43" s="7"/>
      <c r="C43" s="7"/>
      <c r="D43" s="7"/>
      <c r="E43" s="7"/>
      <c r="F43" s="7"/>
      <c r="G43" s="7"/>
      <c r="H43" s="208" t="s">
        <v>2299</v>
      </c>
      <c r="I43" s="7"/>
      <c r="J43" s="7"/>
      <c r="K43" s="7"/>
      <c r="L43" s="7"/>
      <c r="M43" s="209" t="s">
        <v>2299</v>
      </c>
      <c r="N43" s="7"/>
      <c r="O43" s="7"/>
      <c r="P43" s="7"/>
      <c r="Q43" s="7"/>
      <c r="R43" s="7"/>
      <c r="S43" s="7"/>
      <c r="T43" s="209" t="s">
        <v>2299</v>
      </c>
      <c r="U43" s="269" t="s">
        <v>2299</v>
      </c>
      <c r="V43" s="210"/>
      <c r="W43" s="271" t="s">
        <v>2299</v>
      </c>
      <c r="X43" s="7"/>
      <c r="Y43" s="7"/>
      <c r="Z43" s="209" t="s">
        <v>2299</v>
      </c>
      <c r="AA43" s="7"/>
      <c r="AB43" s="7"/>
      <c r="AC43" s="113"/>
      <c r="AD43" s="7"/>
      <c r="AE43" s="7"/>
      <c r="AF43" s="7"/>
      <c r="AG43" s="7"/>
      <c r="AH43" s="7"/>
      <c r="AI43" s="7"/>
      <c r="AJ43" s="7"/>
      <c r="AK43" s="7"/>
    </row>
    <row r="44" spans="1:37">
      <c r="A44" s="7"/>
      <c r="B44" s="7"/>
      <c r="C44" s="7"/>
      <c r="D44" s="7"/>
      <c r="E44" s="7"/>
      <c r="F44" s="7"/>
      <c r="G44" s="7"/>
      <c r="H44" s="208" t="s">
        <v>2299</v>
      </c>
      <c r="I44" s="7"/>
      <c r="J44" s="7"/>
      <c r="K44" s="7"/>
      <c r="L44" s="7"/>
      <c r="M44" s="209" t="s">
        <v>2299</v>
      </c>
      <c r="N44" s="7"/>
      <c r="O44" s="7"/>
      <c r="P44" s="7"/>
      <c r="Q44" s="7"/>
      <c r="R44" s="7"/>
      <c r="S44" s="7"/>
      <c r="T44" s="209" t="s">
        <v>2299</v>
      </c>
      <c r="U44" s="269" t="s">
        <v>2299</v>
      </c>
      <c r="V44" s="210"/>
      <c r="W44" s="271" t="s">
        <v>2299</v>
      </c>
      <c r="X44" s="7"/>
      <c r="Y44" s="7"/>
      <c r="Z44" s="209" t="s">
        <v>2299</v>
      </c>
      <c r="AA44" s="7"/>
      <c r="AB44" s="7"/>
      <c r="AC44" s="113"/>
      <c r="AD44" s="7"/>
      <c r="AE44" s="7"/>
      <c r="AF44" s="7"/>
      <c r="AG44" s="7"/>
      <c r="AH44" s="7"/>
      <c r="AI44" s="7"/>
      <c r="AJ44" s="7"/>
      <c r="AK44" s="7"/>
    </row>
    <row r="45" spans="1:37">
      <c r="A45" s="7"/>
      <c r="B45" s="7"/>
      <c r="C45" s="7"/>
      <c r="D45" s="7"/>
      <c r="E45" s="7"/>
      <c r="F45" s="7"/>
      <c r="G45" s="7"/>
      <c r="H45" s="208" t="s">
        <v>2299</v>
      </c>
      <c r="I45" s="7"/>
      <c r="J45" s="7"/>
      <c r="K45" s="7"/>
      <c r="L45" s="7"/>
      <c r="M45" s="209" t="s">
        <v>2299</v>
      </c>
      <c r="N45" s="7"/>
      <c r="O45" s="7"/>
      <c r="P45" s="7"/>
      <c r="Q45" s="7"/>
      <c r="R45" s="7"/>
      <c r="S45" s="7"/>
      <c r="T45" s="209" t="s">
        <v>2299</v>
      </c>
      <c r="U45" s="269" t="s">
        <v>2299</v>
      </c>
      <c r="V45" s="210"/>
      <c r="W45" s="271" t="s">
        <v>2299</v>
      </c>
      <c r="X45" s="7"/>
      <c r="Y45" s="7"/>
      <c r="Z45" s="209" t="s">
        <v>2299</v>
      </c>
      <c r="AA45" s="7"/>
      <c r="AB45" s="7"/>
      <c r="AC45" s="113"/>
      <c r="AD45" s="7"/>
      <c r="AE45" s="7"/>
      <c r="AF45" s="7"/>
      <c r="AG45" s="7"/>
      <c r="AH45" s="7"/>
      <c r="AI45" s="7"/>
      <c r="AJ45" s="7"/>
      <c r="AK45" s="7"/>
    </row>
    <row r="46" spans="1:37">
      <c r="A46" s="7"/>
      <c r="B46" s="7"/>
      <c r="C46" s="7"/>
      <c r="D46" s="7"/>
      <c r="E46" s="7"/>
      <c r="F46" s="7"/>
      <c r="G46" s="7"/>
      <c r="H46" s="208" t="s">
        <v>2299</v>
      </c>
      <c r="I46" s="7"/>
      <c r="J46" s="7"/>
      <c r="K46" s="7"/>
      <c r="L46" s="7"/>
      <c r="M46" s="209" t="s">
        <v>2299</v>
      </c>
      <c r="N46" s="7"/>
      <c r="O46" s="7"/>
      <c r="P46" s="7"/>
      <c r="Q46" s="7"/>
      <c r="R46" s="7"/>
      <c r="S46" s="7"/>
      <c r="T46" s="209" t="s">
        <v>2299</v>
      </c>
      <c r="U46" s="269" t="s">
        <v>2299</v>
      </c>
      <c r="V46" s="210"/>
      <c r="W46" s="271" t="s">
        <v>2299</v>
      </c>
      <c r="X46" s="7"/>
      <c r="Y46" s="7"/>
      <c r="Z46" s="209" t="s">
        <v>2299</v>
      </c>
      <c r="AA46" s="7"/>
      <c r="AB46" s="7"/>
      <c r="AC46" s="113"/>
      <c r="AD46" s="7"/>
      <c r="AE46" s="7"/>
      <c r="AF46" s="7"/>
      <c r="AG46" s="7"/>
      <c r="AH46" s="7"/>
      <c r="AI46" s="7"/>
      <c r="AJ46" s="7"/>
      <c r="AK46" s="7"/>
    </row>
    <row r="47" spans="1:37">
      <c r="A47" s="7"/>
      <c r="B47" s="7"/>
      <c r="C47" s="7"/>
      <c r="D47" s="7"/>
      <c r="E47" s="7"/>
      <c r="F47" s="7"/>
      <c r="G47" s="7"/>
      <c r="H47" s="208" t="s">
        <v>2299</v>
      </c>
      <c r="I47" s="7"/>
      <c r="J47" s="7"/>
      <c r="K47" s="7"/>
      <c r="L47" s="7"/>
      <c r="M47" s="209" t="s">
        <v>2299</v>
      </c>
      <c r="N47" s="7"/>
      <c r="O47" s="7"/>
      <c r="P47" s="7"/>
      <c r="Q47" s="7"/>
      <c r="R47" s="7"/>
      <c r="S47" s="7"/>
      <c r="T47" s="209" t="s">
        <v>2299</v>
      </c>
      <c r="U47" s="269" t="s">
        <v>2299</v>
      </c>
      <c r="V47" s="210"/>
      <c r="W47" s="271" t="s">
        <v>2299</v>
      </c>
      <c r="X47" s="7"/>
      <c r="Y47" s="7"/>
      <c r="Z47" s="209" t="s">
        <v>2299</v>
      </c>
      <c r="AA47" s="7"/>
      <c r="AB47" s="7"/>
      <c r="AC47" s="113"/>
      <c r="AD47" s="7"/>
      <c r="AE47" s="7"/>
      <c r="AF47" s="7"/>
      <c r="AG47" s="7"/>
      <c r="AH47" s="7"/>
      <c r="AI47" s="7"/>
      <c r="AJ47" s="7"/>
      <c r="AK47" s="7"/>
    </row>
    <row r="48" spans="1:37">
      <c r="A48" s="7"/>
      <c r="B48" s="7"/>
      <c r="C48" s="7"/>
      <c r="D48" s="7"/>
      <c r="E48" s="7"/>
      <c r="F48" s="7"/>
      <c r="G48" s="7"/>
      <c r="H48" s="208" t="s">
        <v>2299</v>
      </c>
      <c r="I48" s="7"/>
      <c r="J48" s="7"/>
      <c r="K48" s="7"/>
      <c r="L48" s="7"/>
      <c r="M48" s="209" t="s">
        <v>2299</v>
      </c>
      <c r="N48" s="7"/>
      <c r="O48" s="7"/>
      <c r="P48" s="7"/>
      <c r="Q48" s="7"/>
      <c r="R48" s="7"/>
      <c r="S48" s="7"/>
      <c r="T48" s="209" t="s">
        <v>2299</v>
      </c>
      <c r="U48" s="269" t="s">
        <v>2299</v>
      </c>
      <c r="V48" s="210"/>
      <c r="W48" s="271" t="s">
        <v>2299</v>
      </c>
      <c r="X48" s="7"/>
      <c r="Y48" s="7"/>
      <c r="Z48" s="209" t="s">
        <v>2299</v>
      </c>
      <c r="AA48" s="7"/>
      <c r="AB48" s="7"/>
      <c r="AC48" s="113"/>
      <c r="AD48" s="7"/>
      <c r="AE48" s="7"/>
      <c r="AF48" s="7"/>
      <c r="AG48" s="7"/>
      <c r="AH48" s="7"/>
      <c r="AI48" s="7"/>
      <c r="AJ48" s="7"/>
      <c r="AK48" s="7"/>
    </row>
    <row r="49" spans="1:37">
      <c r="A49" s="7"/>
      <c r="B49" s="7"/>
      <c r="C49" s="7"/>
      <c r="D49" s="7"/>
      <c r="E49" s="7"/>
      <c r="F49" s="7"/>
      <c r="G49" s="7"/>
      <c r="H49" s="208" t="s">
        <v>2299</v>
      </c>
      <c r="I49" s="7"/>
      <c r="J49" s="7"/>
      <c r="K49" s="7"/>
      <c r="L49" s="7"/>
      <c r="M49" s="209" t="s">
        <v>2299</v>
      </c>
      <c r="N49" s="7"/>
      <c r="O49" s="7"/>
      <c r="P49" s="7"/>
      <c r="Q49" s="7"/>
      <c r="R49" s="7"/>
      <c r="S49" s="7"/>
      <c r="T49" s="209" t="s">
        <v>2299</v>
      </c>
      <c r="U49" s="269" t="s">
        <v>2299</v>
      </c>
      <c r="V49" s="210"/>
      <c r="W49" s="271" t="s">
        <v>2299</v>
      </c>
      <c r="X49" s="7"/>
      <c r="Y49" s="7"/>
      <c r="Z49" s="209" t="s">
        <v>2299</v>
      </c>
      <c r="AA49" s="7"/>
      <c r="AB49" s="7"/>
      <c r="AD49" s="7"/>
      <c r="AE49" s="7"/>
      <c r="AF49" s="7"/>
      <c r="AG49" s="7"/>
      <c r="AH49" s="7"/>
      <c r="AI49" s="7"/>
      <c r="AJ49" s="7"/>
      <c r="AK49" s="7"/>
    </row>
    <row r="50" spans="1:37">
      <c r="A50" s="7"/>
      <c r="B50" s="7"/>
      <c r="C50" s="7"/>
      <c r="D50" s="7"/>
      <c r="E50" s="7"/>
      <c r="F50" s="7"/>
      <c r="G50" s="7"/>
      <c r="H50" s="208" t="s">
        <v>2299</v>
      </c>
      <c r="I50" s="7"/>
      <c r="J50" s="7"/>
      <c r="K50" s="7"/>
      <c r="L50" s="7"/>
      <c r="M50" s="209" t="s">
        <v>2299</v>
      </c>
      <c r="N50" s="7"/>
      <c r="O50" s="7"/>
      <c r="P50" s="7"/>
      <c r="Q50" s="7"/>
      <c r="R50" s="7"/>
      <c r="S50" s="7"/>
      <c r="T50" s="209" t="s">
        <v>2299</v>
      </c>
      <c r="U50" s="269" t="s">
        <v>2299</v>
      </c>
      <c r="V50" s="210"/>
      <c r="W50" s="271" t="s">
        <v>2299</v>
      </c>
      <c r="X50" s="7"/>
      <c r="Y50" s="7"/>
      <c r="Z50" s="209" t="s">
        <v>2299</v>
      </c>
      <c r="AA50" s="7"/>
      <c r="AB50" s="7"/>
      <c r="AD50" s="7"/>
      <c r="AE50" s="7"/>
      <c r="AF50" s="7"/>
      <c r="AG50" s="7"/>
      <c r="AH50" s="7"/>
      <c r="AI50" s="7"/>
      <c r="AJ50" s="7"/>
      <c r="AK50" s="7"/>
    </row>
    <row r="51" spans="1:37">
      <c r="A51" s="7"/>
      <c r="B51" s="7"/>
      <c r="C51" s="7"/>
      <c r="D51" s="7"/>
      <c r="E51" s="7"/>
      <c r="F51" s="7"/>
      <c r="G51" s="7"/>
      <c r="H51" s="208" t="s">
        <v>2299</v>
      </c>
      <c r="I51" s="7"/>
      <c r="J51" s="7"/>
      <c r="K51" s="7"/>
      <c r="L51" s="7"/>
      <c r="M51" s="209" t="s">
        <v>2299</v>
      </c>
      <c r="N51" s="7"/>
      <c r="O51" s="7"/>
      <c r="P51" s="7"/>
      <c r="Q51" s="7"/>
      <c r="R51" s="7"/>
      <c r="S51" s="7"/>
      <c r="T51" s="209" t="s">
        <v>2299</v>
      </c>
      <c r="U51" s="269" t="s">
        <v>2299</v>
      </c>
      <c r="V51" s="210"/>
      <c r="W51" s="271" t="s">
        <v>2299</v>
      </c>
      <c r="X51" s="7"/>
      <c r="Y51" s="7"/>
      <c r="Z51" s="209" t="s">
        <v>2299</v>
      </c>
      <c r="AA51" s="7"/>
      <c r="AB51" s="7"/>
      <c r="AD51" s="7"/>
      <c r="AE51" s="7"/>
      <c r="AF51" s="7"/>
      <c r="AG51" s="7"/>
      <c r="AH51" s="7"/>
      <c r="AI51" s="7"/>
      <c r="AJ51" s="7"/>
      <c r="AK51" s="7"/>
    </row>
    <row r="52" spans="1:37">
      <c r="A52" s="7"/>
      <c r="B52" s="7"/>
      <c r="C52" s="7"/>
      <c r="D52" s="7"/>
      <c r="E52" s="7"/>
      <c r="F52" s="7"/>
      <c r="G52" s="7"/>
      <c r="H52" s="208" t="s">
        <v>2299</v>
      </c>
      <c r="I52" s="7"/>
      <c r="J52" s="7"/>
      <c r="K52" s="7"/>
      <c r="L52" s="7"/>
      <c r="M52" s="209" t="s">
        <v>2299</v>
      </c>
      <c r="N52" s="7"/>
      <c r="O52" s="7"/>
      <c r="P52" s="7"/>
      <c r="Q52" s="7"/>
      <c r="R52" s="7"/>
      <c r="S52" s="7"/>
      <c r="T52" s="209" t="s">
        <v>2299</v>
      </c>
      <c r="U52" s="269" t="s">
        <v>2299</v>
      </c>
      <c r="V52" s="210"/>
      <c r="W52" s="271" t="s">
        <v>2299</v>
      </c>
      <c r="X52" s="7"/>
      <c r="Y52" s="7"/>
      <c r="Z52" s="209" t="s">
        <v>2299</v>
      </c>
      <c r="AA52" s="7"/>
      <c r="AB52" s="7"/>
      <c r="AD52" s="7"/>
      <c r="AE52" s="7"/>
      <c r="AF52" s="7"/>
      <c r="AG52" s="7"/>
      <c r="AH52" s="7"/>
      <c r="AI52" s="7"/>
      <c r="AJ52" s="7"/>
      <c r="AK52" s="7"/>
    </row>
    <row r="53" spans="1:37">
      <c r="A53" s="7"/>
      <c r="B53" s="7"/>
      <c r="C53" s="7"/>
      <c r="D53" s="7"/>
      <c r="E53" s="7"/>
      <c r="F53" s="7"/>
      <c r="G53" s="7"/>
      <c r="H53" s="208" t="s">
        <v>2299</v>
      </c>
      <c r="I53" s="7"/>
      <c r="J53" s="7"/>
      <c r="K53" s="7"/>
      <c r="L53" s="7"/>
      <c r="M53" s="209" t="s">
        <v>2299</v>
      </c>
      <c r="N53" s="7"/>
      <c r="O53" s="7"/>
      <c r="P53" s="7"/>
      <c r="Q53" s="7"/>
      <c r="R53" s="7"/>
      <c r="S53" s="7"/>
      <c r="T53" s="209" t="s">
        <v>2299</v>
      </c>
      <c r="U53" s="269" t="s">
        <v>2299</v>
      </c>
      <c r="V53" s="210"/>
      <c r="W53" s="271" t="s">
        <v>2299</v>
      </c>
      <c r="X53" s="7"/>
      <c r="Y53" s="7"/>
      <c r="Z53" s="209" t="s">
        <v>2299</v>
      </c>
      <c r="AA53" s="7"/>
      <c r="AB53" s="7"/>
      <c r="AD53" s="7"/>
      <c r="AE53" s="7"/>
      <c r="AF53" s="7"/>
      <c r="AG53" s="7"/>
      <c r="AH53" s="7"/>
      <c r="AI53" s="7"/>
      <c r="AJ53" s="7"/>
      <c r="AK53" s="7"/>
    </row>
    <row r="54" spans="1:37">
      <c r="A54" s="7"/>
      <c r="B54" s="7"/>
      <c r="C54" s="7"/>
      <c r="D54" s="7"/>
      <c r="E54" s="7"/>
      <c r="F54" s="7"/>
      <c r="G54" s="7"/>
      <c r="H54" s="208" t="s">
        <v>2299</v>
      </c>
      <c r="I54" s="7"/>
      <c r="J54" s="7"/>
      <c r="K54" s="7"/>
      <c r="L54" s="7"/>
      <c r="M54" s="209" t="s">
        <v>2299</v>
      </c>
      <c r="N54" s="7"/>
      <c r="O54" s="7"/>
      <c r="P54" s="7"/>
      <c r="Q54" s="7"/>
      <c r="R54" s="7"/>
      <c r="S54" s="7"/>
      <c r="T54" s="209" t="s">
        <v>2299</v>
      </c>
      <c r="U54" s="269" t="s">
        <v>2299</v>
      </c>
      <c r="V54" s="210"/>
      <c r="W54" s="271" t="s">
        <v>2299</v>
      </c>
      <c r="X54" s="7"/>
      <c r="Y54" s="7"/>
      <c r="Z54" s="209" t="s">
        <v>2299</v>
      </c>
      <c r="AA54" s="7"/>
      <c r="AB54" s="7"/>
      <c r="AD54" s="7"/>
      <c r="AE54" s="7"/>
      <c r="AF54" s="7"/>
      <c r="AG54" s="7"/>
      <c r="AH54" s="7"/>
      <c r="AI54" s="7"/>
      <c r="AJ54" s="7"/>
      <c r="AK54" s="7"/>
    </row>
    <row r="55" spans="1:37">
      <c r="A55" s="7"/>
      <c r="B55" s="7"/>
      <c r="C55" s="7"/>
      <c r="D55" s="7"/>
      <c r="E55" s="7"/>
      <c r="F55" s="7"/>
      <c r="G55" s="7"/>
      <c r="H55" s="208" t="s">
        <v>2299</v>
      </c>
      <c r="I55" s="7"/>
      <c r="J55" s="7"/>
      <c r="K55" s="7"/>
      <c r="L55" s="7"/>
      <c r="M55" s="209" t="s">
        <v>2299</v>
      </c>
      <c r="N55" s="7"/>
      <c r="O55" s="7"/>
      <c r="P55" s="7"/>
      <c r="Q55" s="7"/>
      <c r="R55" s="7"/>
      <c r="S55" s="7"/>
      <c r="T55" s="209" t="s">
        <v>2299</v>
      </c>
      <c r="U55" s="269" t="s">
        <v>2299</v>
      </c>
      <c r="V55" s="210"/>
      <c r="W55" s="271" t="s">
        <v>2299</v>
      </c>
      <c r="X55" s="7"/>
      <c r="Y55" s="7"/>
      <c r="Z55" s="209" t="s">
        <v>2299</v>
      </c>
      <c r="AA55" s="7"/>
      <c r="AB55" s="7"/>
      <c r="AD55" s="7"/>
      <c r="AE55" s="7"/>
      <c r="AF55" s="7"/>
      <c r="AG55" s="7"/>
      <c r="AH55" s="7"/>
      <c r="AI55" s="7"/>
      <c r="AJ55" s="7"/>
      <c r="AK55" s="7"/>
    </row>
    <row r="56" spans="1:37">
      <c r="A56" s="7"/>
      <c r="B56" s="7"/>
      <c r="C56" s="7"/>
      <c r="D56" s="7"/>
      <c r="E56" s="7"/>
      <c r="F56" s="7"/>
      <c r="G56" s="7"/>
      <c r="H56" s="208" t="s">
        <v>2299</v>
      </c>
      <c r="I56" s="7"/>
      <c r="J56" s="7"/>
      <c r="K56" s="7"/>
      <c r="L56" s="7"/>
      <c r="M56" s="209" t="s">
        <v>2299</v>
      </c>
      <c r="N56" s="7"/>
      <c r="O56" s="7"/>
      <c r="P56" s="7"/>
      <c r="Q56" s="7"/>
      <c r="R56" s="7"/>
      <c r="S56" s="7"/>
      <c r="T56" s="209" t="s">
        <v>2299</v>
      </c>
      <c r="U56" s="269" t="s">
        <v>2299</v>
      </c>
      <c r="V56" s="210"/>
      <c r="W56" s="271" t="s">
        <v>2299</v>
      </c>
      <c r="X56" s="7"/>
      <c r="Y56" s="7"/>
      <c r="Z56" s="209" t="s">
        <v>2299</v>
      </c>
      <c r="AA56" s="7"/>
      <c r="AB56" s="7"/>
      <c r="AD56" s="7"/>
      <c r="AE56" s="7"/>
      <c r="AF56" s="7"/>
      <c r="AG56" s="7"/>
      <c r="AH56" s="7"/>
      <c r="AI56" s="7"/>
      <c r="AJ56" s="7"/>
      <c r="AK56" s="7"/>
    </row>
    <row r="57" spans="1:37">
      <c r="A57" s="7"/>
      <c r="B57" s="7"/>
      <c r="C57" s="7"/>
      <c r="D57" s="7"/>
      <c r="E57" s="7"/>
      <c r="F57" s="7"/>
      <c r="G57" s="7"/>
      <c r="H57" s="208" t="s">
        <v>2299</v>
      </c>
      <c r="I57" s="7"/>
      <c r="J57" s="7"/>
      <c r="K57" s="7"/>
      <c r="L57" s="7"/>
      <c r="M57" s="209" t="s">
        <v>2299</v>
      </c>
      <c r="N57" s="7"/>
      <c r="O57" s="7"/>
      <c r="P57" s="7"/>
      <c r="Q57" s="7"/>
      <c r="R57" s="7"/>
      <c r="S57" s="7"/>
      <c r="T57" s="209" t="s">
        <v>2299</v>
      </c>
      <c r="U57" s="269" t="s">
        <v>2299</v>
      </c>
      <c r="V57" s="210"/>
      <c r="W57" s="271" t="s">
        <v>2299</v>
      </c>
      <c r="X57" s="7"/>
      <c r="Y57" s="7"/>
      <c r="Z57" s="209" t="s">
        <v>2299</v>
      </c>
      <c r="AA57" s="7"/>
      <c r="AB57" s="7"/>
      <c r="AD57" s="7"/>
      <c r="AE57" s="7"/>
      <c r="AF57" s="7"/>
      <c r="AG57" s="7"/>
      <c r="AH57" s="7"/>
      <c r="AI57" s="7"/>
      <c r="AJ57" s="7"/>
      <c r="AK57" s="7"/>
    </row>
    <row r="58" spans="1:37">
      <c r="A58" s="7"/>
      <c r="B58" s="7"/>
      <c r="C58" s="7"/>
      <c r="D58" s="7"/>
      <c r="E58" s="7"/>
      <c r="F58" s="7"/>
      <c r="G58" s="7"/>
      <c r="H58" s="208" t="s">
        <v>2299</v>
      </c>
      <c r="I58" s="7"/>
      <c r="J58" s="7"/>
      <c r="K58" s="7"/>
      <c r="L58" s="7"/>
      <c r="M58" s="209" t="s">
        <v>2299</v>
      </c>
      <c r="N58" s="7"/>
      <c r="O58" s="7"/>
      <c r="P58" s="7"/>
      <c r="Q58" s="7"/>
      <c r="R58" s="7"/>
      <c r="S58" s="7"/>
      <c r="T58" s="209" t="s">
        <v>2299</v>
      </c>
      <c r="U58" s="269" t="s">
        <v>2299</v>
      </c>
      <c r="V58" s="210"/>
      <c r="W58" s="271" t="s">
        <v>2299</v>
      </c>
      <c r="X58" s="7"/>
      <c r="Y58" s="7"/>
      <c r="Z58" s="209" t="s">
        <v>2299</v>
      </c>
      <c r="AA58" s="7"/>
      <c r="AB58" s="7"/>
      <c r="AD58" s="7"/>
      <c r="AE58" s="7"/>
      <c r="AF58" s="7"/>
      <c r="AG58" s="7"/>
      <c r="AH58" s="7"/>
      <c r="AI58" s="7"/>
      <c r="AJ58" s="7"/>
      <c r="AK58" s="7"/>
    </row>
    <row r="59" spans="1:37">
      <c r="A59" s="7"/>
      <c r="B59" s="7"/>
      <c r="C59" s="7"/>
      <c r="D59" s="7"/>
      <c r="E59" s="7"/>
      <c r="F59" s="7"/>
      <c r="G59" s="7"/>
      <c r="H59" s="208" t="s">
        <v>2299</v>
      </c>
      <c r="I59" s="7"/>
      <c r="J59" s="7"/>
      <c r="K59" s="7"/>
      <c r="L59" s="7"/>
      <c r="M59" s="209" t="s">
        <v>2299</v>
      </c>
      <c r="N59" s="7"/>
      <c r="O59" s="7"/>
      <c r="P59" s="7"/>
      <c r="Q59" s="7"/>
      <c r="R59" s="7"/>
      <c r="S59" s="7"/>
      <c r="T59" s="209" t="s">
        <v>2299</v>
      </c>
      <c r="U59" s="269" t="s">
        <v>2299</v>
      </c>
      <c r="V59" s="210"/>
      <c r="W59" s="271" t="s">
        <v>2299</v>
      </c>
      <c r="X59" s="7"/>
      <c r="Y59" s="7"/>
      <c r="Z59" s="209" t="s">
        <v>2299</v>
      </c>
      <c r="AA59" s="7"/>
      <c r="AB59" s="7"/>
      <c r="AD59" s="7"/>
      <c r="AE59" s="7"/>
      <c r="AF59" s="7"/>
      <c r="AG59" s="7"/>
      <c r="AH59" s="7"/>
      <c r="AI59" s="7"/>
      <c r="AJ59" s="7"/>
      <c r="AK59" s="7"/>
    </row>
    <row r="60" spans="1:37">
      <c r="A60" s="7"/>
      <c r="B60" s="7"/>
      <c r="C60" s="7"/>
      <c r="D60" s="7"/>
      <c r="E60" s="7"/>
      <c r="F60" s="7"/>
      <c r="G60" s="7"/>
      <c r="H60" s="208" t="s">
        <v>2299</v>
      </c>
      <c r="I60" s="7"/>
      <c r="J60" s="7"/>
      <c r="K60" s="7"/>
      <c r="L60" s="7"/>
      <c r="M60" s="209" t="s">
        <v>2299</v>
      </c>
      <c r="N60" s="7"/>
      <c r="O60" s="7"/>
      <c r="P60" s="7"/>
      <c r="Q60" s="7"/>
      <c r="R60" s="7"/>
      <c r="S60" s="7"/>
      <c r="T60" s="209" t="s">
        <v>2299</v>
      </c>
      <c r="U60" s="269" t="s">
        <v>2299</v>
      </c>
      <c r="V60" s="210"/>
      <c r="W60" s="271" t="s">
        <v>2299</v>
      </c>
      <c r="X60" s="7"/>
      <c r="Y60" s="7"/>
      <c r="Z60" s="209" t="s">
        <v>2299</v>
      </c>
      <c r="AA60" s="7"/>
      <c r="AB60" s="7"/>
      <c r="AD60" s="7"/>
      <c r="AE60" s="7"/>
      <c r="AF60" s="7"/>
      <c r="AG60" s="7"/>
      <c r="AH60" s="7"/>
      <c r="AI60" s="7"/>
      <c r="AJ60" s="7"/>
      <c r="AK60" s="7"/>
    </row>
    <row r="61" spans="1:37">
      <c r="A61" s="7"/>
      <c r="B61" s="7"/>
      <c r="C61" s="7"/>
      <c r="D61" s="7"/>
      <c r="E61" s="7"/>
      <c r="F61" s="7"/>
      <c r="G61" s="7"/>
      <c r="H61" s="208" t="s">
        <v>2299</v>
      </c>
      <c r="I61" s="7"/>
      <c r="J61" s="7"/>
      <c r="K61" s="7"/>
      <c r="L61" s="7"/>
      <c r="M61" s="209" t="s">
        <v>2299</v>
      </c>
      <c r="N61" s="7"/>
      <c r="O61" s="7"/>
      <c r="P61" s="7"/>
      <c r="Q61" s="7"/>
      <c r="R61" s="7"/>
      <c r="S61" s="7"/>
      <c r="T61" s="209" t="s">
        <v>2299</v>
      </c>
      <c r="U61" s="269" t="s">
        <v>2299</v>
      </c>
      <c r="V61" s="210"/>
      <c r="W61" s="271" t="s">
        <v>2299</v>
      </c>
      <c r="X61" s="7"/>
      <c r="Y61" s="7"/>
      <c r="Z61" s="209" t="s">
        <v>2299</v>
      </c>
      <c r="AA61" s="7"/>
      <c r="AB61" s="7"/>
      <c r="AD61" s="7"/>
      <c r="AE61" s="7"/>
      <c r="AF61" s="7"/>
      <c r="AG61" s="7"/>
      <c r="AH61" s="7"/>
      <c r="AI61" s="7"/>
      <c r="AJ61" s="7"/>
      <c r="AK61" s="7"/>
    </row>
    <row r="62" spans="1:37">
      <c r="A62" s="7"/>
      <c r="B62" s="7"/>
      <c r="C62" s="7"/>
      <c r="D62" s="7"/>
      <c r="E62" s="7"/>
      <c r="F62" s="7"/>
      <c r="G62" s="7"/>
      <c r="H62" s="208" t="s">
        <v>2299</v>
      </c>
      <c r="I62" s="7"/>
      <c r="J62" s="7"/>
      <c r="K62" s="7"/>
      <c r="L62" s="7"/>
      <c r="M62" s="209" t="s">
        <v>2299</v>
      </c>
      <c r="N62" s="7"/>
      <c r="O62" s="7"/>
      <c r="P62" s="7"/>
      <c r="Q62" s="7"/>
      <c r="R62" s="7"/>
      <c r="S62" s="7"/>
      <c r="T62" s="209" t="s">
        <v>2299</v>
      </c>
      <c r="U62" s="269" t="s">
        <v>2299</v>
      </c>
      <c r="V62" s="210"/>
      <c r="W62" s="271" t="s">
        <v>2299</v>
      </c>
      <c r="X62" s="7"/>
      <c r="Y62" s="7"/>
      <c r="Z62" s="209" t="s">
        <v>2299</v>
      </c>
      <c r="AA62" s="7"/>
      <c r="AB62" s="7"/>
      <c r="AD62" s="7"/>
      <c r="AE62" s="7"/>
      <c r="AF62" s="7"/>
      <c r="AG62" s="7"/>
      <c r="AH62" s="7"/>
      <c r="AI62" s="7"/>
      <c r="AJ62" s="7"/>
      <c r="AK62" s="7"/>
    </row>
    <row r="63" spans="1:37">
      <c r="A63" s="7"/>
      <c r="B63" s="7"/>
      <c r="C63" s="7"/>
      <c r="D63" s="7"/>
      <c r="E63" s="7"/>
      <c r="F63" s="7"/>
      <c r="G63" s="7"/>
      <c r="H63" s="208" t="s">
        <v>2299</v>
      </c>
      <c r="I63" s="7"/>
      <c r="J63" s="7"/>
      <c r="K63" s="7"/>
      <c r="L63" s="7"/>
      <c r="M63" s="209" t="s">
        <v>2299</v>
      </c>
      <c r="N63" s="7"/>
      <c r="O63" s="7"/>
      <c r="P63" s="7"/>
      <c r="Q63" s="7"/>
      <c r="R63" s="7"/>
      <c r="S63" s="7"/>
      <c r="T63" s="209" t="s">
        <v>2299</v>
      </c>
      <c r="U63" s="269" t="s">
        <v>2299</v>
      </c>
      <c r="V63" s="210"/>
      <c r="W63" s="271" t="s">
        <v>2299</v>
      </c>
      <c r="X63" s="7"/>
      <c r="Y63" s="7"/>
      <c r="Z63" s="209" t="s">
        <v>2299</v>
      </c>
      <c r="AA63" s="7"/>
      <c r="AB63" s="7"/>
      <c r="AD63" s="7"/>
      <c r="AE63" s="7"/>
      <c r="AF63" s="7"/>
      <c r="AG63" s="7"/>
      <c r="AH63" s="7"/>
      <c r="AI63" s="7"/>
      <c r="AJ63" s="7"/>
      <c r="AK63" s="7"/>
    </row>
    <row r="64" spans="1:37">
      <c r="A64" s="7"/>
      <c r="B64" s="7"/>
      <c r="C64" s="7"/>
      <c r="D64" s="7"/>
      <c r="E64" s="7"/>
      <c r="F64" s="7"/>
      <c r="G64" s="7"/>
      <c r="H64" s="208" t="s">
        <v>2299</v>
      </c>
      <c r="I64" s="7"/>
      <c r="J64" s="7"/>
      <c r="K64" s="7"/>
      <c r="L64" s="7"/>
      <c r="M64" s="209" t="s">
        <v>2299</v>
      </c>
      <c r="N64" s="7"/>
      <c r="O64" s="7"/>
      <c r="P64" s="7"/>
      <c r="Q64" s="7"/>
      <c r="R64" s="7"/>
      <c r="S64" s="7"/>
      <c r="T64" s="209" t="s">
        <v>2299</v>
      </c>
      <c r="U64" s="269" t="s">
        <v>2299</v>
      </c>
      <c r="V64" s="210"/>
      <c r="W64" s="271" t="s">
        <v>2299</v>
      </c>
      <c r="X64" s="7"/>
      <c r="Y64" s="7"/>
      <c r="Z64" s="209" t="s">
        <v>2299</v>
      </c>
      <c r="AA64" s="7"/>
      <c r="AB64" s="7"/>
      <c r="AD64" s="7"/>
      <c r="AE64" s="7"/>
      <c r="AF64" s="7"/>
      <c r="AG64" s="7"/>
      <c r="AH64" s="7"/>
      <c r="AI64" s="7"/>
      <c r="AJ64" s="7"/>
      <c r="AK64" s="7"/>
    </row>
    <row r="65" spans="1:37">
      <c r="A65" s="7"/>
      <c r="B65" s="7"/>
      <c r="C65" s="7"/>
      <c r="D65" s="7"/>
      <c r="E65" s="7"/>
      <c r="F65" s="7"/>
      <c r="G65" s="7"/>
      <c r="H65" s="208" t="s">
        <v>2299</v>
      </c>
      <c r="I65" s="7"/>
      <c r="J65" s="7"/>
      <c r="K65" s="7"/>
      <c r="L65" s="7"/>
      <c r="M65" s="209" t="s">
        <v>2299</v>
      </c>
      <c r="N65" s="7"/>
      <c r="O65" s="7"/>
      <c r="P65" s="7"/>
      <c r="Q65" s="7"/>
      <c r="R65" s="7"/>
      <c r="S65" s="7"/>
      <c r="T65" s="209" t="s">
        <v>2299</v>
      </c>
      <c r="U65" s="269" t="s">
        <v>2299</v>
      </c>
      <c r="V65" s="210"/>
      <c r="W65" s="271" t="s">
        <v>2299</v>
      </c>
      <c r="X65" s="7"/>
      <c r="Y65" s="7"/>
      <c r="Z65" s="209" t="s">
        <v>2299</v>
      </c>
      <c r="AA65" s="7"/>
      <c r="AB65" s="7"/>
      <c r="AD65" s="7"/>
      <c r="AE65" s="7"/>
      <c r="AF65" s="7"/>
      <c r="AG65" s="7"/>
      <c r="AH65" s="7"/>
      <c r="AI65" s="7"/>
      <c r="AJ65" s="7"/>
      <c r="AK65" s="7"/>
    </row>
    <row r="66" spans="1:37">
      <c r="A66" s="7"/>
      <c r="B66" s="7"/>
      <c r="C66" s="7"/>
      <c r="D66" s="7"/>
      <c r="E66" s="7"/>
      <c r="F66" s="7"/>
      <c r="G66" s="7"/>
      <c r="H66" s="208" t="s">
        <v>2299</v>
      </c>
      <c r="I66" s="7"/>
      <c r="J66" s="7"/>
      <c r="K66" s="7"/>
      <c r="L66" s="7"/>
      <c r="M66" s="209" t="s">
        <v>2299</v>
      </c>
      <c r="N66" s="7"/>
      <c r="O66" s="7"/>
      <c r="P66" s="7"/>
      <c r="Q66" s="7"/>
      <c r="R66" s="7"/>
      <c r="S66" s="7"/>
      <c r="T66" s="209" t="s">
        <v>2299</v>
      </c>
      <c r="U66" s="269" t="s">
        <v>2299</v>
      </c>
      <c r="V66" s="210"/>
      <c r="W66" s="271" t="s">
        <v>2299</v>
      </c>
      <c r="X66" s="7"/>
      <c r="Y66" s="7"/>
      <c r="Z66" s="209" t="s">
        <v>2299</v>
      </c>
      <c r="AA66" s="7"/>
      <c r="AB66" s="7"/>
      <c r="AD66" s="7"/>
      <c r="AE66" s="7"/>
      <c r="AF66" s="7"/>
      <c r="AG66" s="7"/>
      <c r="AH66" s="7"/>
      <c r="AI66" s="7"/>
      <c r="AJ66" s="7"/>
      <c r="AK66" s="7"/>
    </row>
    <row r="67" spans="1:37">
      <c r="A67" s="7"/>
      <c r="B67" s="7"/>
      <c r="C67" s="7"/>
      <c r="D67" s="7"/>
      <c r="E67" s="7"/>
      <c r="F67" s="7"/>
      <c r="G67" s="7"/>
      <c r="H67" s="208" t="s">
        <v>2299</v>
      </c>
      <c r="I67" s="7"/>
      <c r="J67" s="7"/>
      <c r="K67" s="7"/>
      <c r="L67" s="7"/>
      <c r="M67" s="209" t="s">
        <v>2299</v>
      </c>
      <c r="N67" s="7"/>
      <c r="O67" s="7"/>
      <c r="P67" s="7"/>
      <c r="Q67" s="7"/>
      <c r="R67" s="7"/>
      <c r="S67" s="7"/>
      <c r="T67" s="209" t="s">
        <v>2299</v>
      </c>
      <c r="U67" s="269" t="s">
        <v>2299</v>
      </c>
      <c r="V67" s="210"/>
      <c r="W67" s="271" t="s">
        <v>2299</v>
      </c>
      <c r="X67" s="7"/>
      <c r="Y67" s="7"/>
      <c r="Z67" s="209" t="s">
        <v>2299</v>
      </c>
      <c r="AA67" s="7"/>
      <c r="AB67" s="7"/>
      <c r="AD67" s="7"/>
      <c r="AE67" s="7"/>
      <c r="AF67" s="7"/>
      <c r="AG67" s="7"/>
      <c r="AH67" s="7"/>
      <c r="AI67" s="7"/>
      <c r="AJ67" s="7"/>
      <c r="AK67" s="7"/>
    </row>
    <row r="68" spans="1:37">
      <c r="A68" s="7"/>
      <c r="B68" s="7"/>
      <c r="C68" s="7"/>
      <c r="D68" s="7"/>
      <c r="E68" s="7"/>
      <c r="F68" s="7"/>
      <c r="G68" s="7"/>
      <c r="H68" s="208" t="s">
        <v>2299</v>
      </c>
      <c r="I68" s="7"/>
      <c r="J68" s="7"/>
      <c r="K68" s="7"/>
      <c r="L68" s="7"/>
      <c r="M68" s="209" t="s">
        <v>2299</v>
      </c>
      <c r="N68" s="7"/>
      <c r="O68" s="7"/>
      <c r="P68" s="7"/>
      <c r="Q68" s="7"/>
      <c r="R68" s="7"/>
      <c r="S68" s="7"/>
      <c r="T68" s="209" t="s">
        <v>2299</v>
      </c>
      <c r="U68" s="269" t="s">
        <v>2299</v>
      </c>
      <c r="V68" s="210"/>
      <c r="W68" s="271" t="s">
        <v>2299</v>
      </c>
      <c r="X68" s="7"/>
      <c r="Y68" s="7"/>
      <c r="Z68" s="209" t="s">
        <v>2299</v>
      </c>
      <c r="AA68" s="7"/>
      <c r="AB68" s="7"/>
      <c r="AD68" s="7"/>
      <c r="AE68" s="7"/>
      <c r="AF68" s="7"/>
      <c r="AG68" s="7"/>
      <c r="AH68" s="7"/>
      <c r="AI68" s="7"/>
      <c r="AJ68" s="7"/>
      <c r="AK68" s="7"/>
    </row>
    <row r="69" spans="1:37">
      <c r="A69" s="7"/>
      <c r="B69" s="7"/>
      <c r="C69" s="7"/>
      <c r="D69" s="7"/>
      <c r="E69" s="7"/>
      <c r="F69" s="7"/>
      <c r="G69" s="7"/>
      <c r="H69" s="208" t="s">
        <v>2299</v>
      </c>
      <c r="I69" s="7"/>
      <c r="J69" s="7"/>
      <c r="K69" s="7"/>
      <c r="L69" s="7"/>
      <c r="M69" s="209" t="s">
        <v>2299</v>
      </c>
      <c r="N69" s="7"/>
      <c r="O69" s="7"/>
      <c r="P69" s="7"/>
      <c r="Q69" s="7"/>
      <c r="R69" s="7"/>
      <c r="S69" s="7"/>
      <c r="T69" s="209" t="s">
        <v>2299</v>
      </c>
      <c r="U69" s="269" t="s">
        <v>2299</v>
      </c>
      <c r="V69" s="210"/>
      <c r="W69" s="271" t="s">
        <v>2299</v>
      </c>
      <c r="X69" s="7"/>
      <c r="Y69" s="7"/>
      <c r="Z69" s="209" t="s">
        <v>2299</v>
      </c>
      <c r="AA69" s="7"/>
      <c r="AB69" s="7"/>
      <c r="AD69" s="7"/>
      <c r="AE69" s="7"/>
      <c r="AF69" s="7"/>
      <c r="AG69" s="7"/>
      <c r="AH69" s="7"/>
      <c r="AI69" s="7"/>
      <c r="AJ69" s="7"/>
      <c r="AK69" s="7"/>
    </row>
    <row r="70" spans="1:37">
      <c r="A70" s="7"/>
      <c r="B70" s="7"/>
      <c r="C70" s="7"/>
      <c r="D70" s="7"/>
      <c r="E70" s="7"/>
      <c r="F70" s="7"/>
      <c r="G70" s="7"/>
      <c r="H70" s="208" t="s">
        <v>2299</v>
      </c>
      <c r="I70" s="7"/>
      <c r="J70" s="7"/>
      <c r="K70" s="7"/>
      <c r="L70" s="7"/>
      <c r="M70" s="209" t="s">
        <v>2299</v>
      </c>
      <c r="N70" s="7"/>
      <c r="O70" s="7"/>
      <c r="P70" s="7"/>
      <c r="Q70" s="7"/>
      <c r="R70" s="7"/>
      <c r="S70" s="7"/>
      <c r="T70" s="209" t="s">
        <v>2299</v>
      </c>
      <c r="U70" s="269" t="s">
        <v>2299</v>
      </c>
      <c r="V70" s="210"/>
      <c r="W70" s="271" t="s">
        <v>2299</v>
      </c>
      <c r="X70" s="7"/>
      <c r="Y70" s="7"/>
      <c r="Z70" s="209" t="s">
        <v>2299</v>
      </c>
      <c r="AA70" s="7"/>
      <c r="AB70" s="7"/>
      <c r="AD70" s="7"/>
      <c r="AE70" s="7"/>
      <c r="AF70" s="7"/>
      <c r="AG70" s="7"/>
      <c r="AH70" s="7"/>
      <c r="AI70" s="7"/>
      <c r="AJ70" s="7"/>
      <c r="AK70" s="7"/>
    </row>
    <row r="71" spans="1:37">
      <c r="A71" s="7"/>
      <c r="B71" s="7"/>
      <c r="C71" s="7"/>
      <c r="D71" s="7"/>
      <c r="E71" s="7"/>
      <c r="F71" s="7"/>
      <c r="G71" s="7"/>
      <c r="H71" s="208" t="s">
        <v>2299</v>
      </c>
      <c r="I71" s="7"/>
      <c r="J71" s="7"/>
      <c r="K71" s="7"/>
      <c r="L71" s="7"/>
      <c r="M71" s="209" t="s">
        <v>2299</v>
      </c>
      <c r="N71" s="7"/>
      <c r="O71" s="7"/>
      <c r="P71" s="7"/>
      <c r="Q71" s="7"/>
      <c r="R71" s="7"/>
      <c r="S71" s="7"/>
      <c r="T71" s="209" t="s">
        <v>2299</v>
      </c>
      <c r="U71" s="269" t="s">
        <v>2299</v>
      </c>
      <c r="V71" s="210"/>
      <c r="W71" s="271" t="s">
        <v>2299</v>
      </c>
      <c r="X71" s="7"/>
      <c r="Y71" s="7"/>
      <c r="Z71" s="209" t="s">
        <v>2299</v>
      </c>
      <c r="AA71" s="7"/>
      <c r="AB71" s="7"/>
      <c r="AD71" s="7"/>
      <c r="AE71" s="7"/>
      <c r="AF71" s="7"/>
      <c r="AG71" s="7"/>
      <c r="AH71" s="7"/>
      <c r="AI71" s="7"/>
      <c r="AJ71" s="7"/>
      <c r="AK71" s="7"/>
    </row>
    <row r="72" spans="1:37">
      <c r="A72" s="209" t="s">
        <v>2299</v>
      </c>
      <c r="B72" s="7"/>
      <c r="C72" s="7"/>
      <c r="D72" s="7"/>
      <c r="E72" s="7"/>
      <c r="F72" s="7"/>
      <c r="G72" s="7"/>
      <c r="H72" s="208" t="s">
        <v>2299</v>
      </c>
      <c r="I72" s="7"/>
      <c r="J72" s="7"/>
      <c r="K72" s="7"/>
      <c r="L72" s="7"/>
      <c r="M72" s="209" t="s">
        <v>2299</v>
      </c>
      <c r="N72" s="7"/>
      <c r="O72" s="7"/>
      <c r="P72" s="7"/>
      <c r="Q72" s="7"/>
      <c r="R72" s="7"/>
      <c r="S72" s="7"/>
      <c r="T72" s="209" t="s">
        <v>2299</v>
      </c>
      <c r="U72" s="269" t="s">
        <v>2299</v>
      </c>
      <c r="V72" s="210"/>
      <c r="W72" s="271" t="s">
        <v>2299</v>
      </c>
      <c r="X72" s="7"/>
      <c r="Y72" s="7"/>
      <c r="Z72" s="209" t="s">
        <v>2299</v>
      </c>
      <c r="AA72" s="7"/>
      <c r="AB72" s="7"/>
      <c r="AD72" s="7"/>
      <c r="AE72" s="7"/>
      <c r="AF72" s="7"/>
      <c r="AG72" s="7"/>
      <c r="AH72" s="7"/>
      <c r="AI72" s="7"/>
      <c r="AJ72" s="7"/>
      <c r="AK72" s="7"/>
    </row>
    <row r="73" spans="1:37">
      <c r="A73" s="209" t="s">
        <v>2299</v>
      </c>
      <c r="B73" s="7"/>
      <c r="C73" s="7"/>
      <c r="D73" s="7"/>
      <c r="E73" s="7"/>
      <c r="F73" s="7"/>
      <c r="G73" s="7"/>
      <c r="H73" s="208" t="s">
        <v>2299</v>
      </c>
      <c r="I73" s="7"/>
      <c r="J73" s="7"/>
      <c r="K73" s="7"/>
      <c r="L73" s="7"/>
      <c r="M73" s="209" t="s">
        <v>2299</v>
      </c>
      <c r="N73" s="7"/>
      <c r="O73" s="7"/>
      <c r="P73" s="7"/>
      <c r="Q73" s="7"/>
      <c r="R73" s="7"/>
      <c r="S73" s="7"/>
      <c r="T73" s="209" t="s">
        <v>2299</v>
      </c>
      <c r="U73" s="269" t="s">
        <v>2299</v>
      </c>
      <c r="V73" s="210"/>
      <c r="W73" s="271" t="s">
        <v>2299</v>
      </c>
      <c r="X73" s="7"/>
      <c r="Y73" s="7"/>
      <c r="Z73" s="209" t="s">
        <v>2299</v>
      </c>
      <c r="AA73" s="7"/>
      <c r="AB73" s="7"/>
      <c r="AD73" s="7"/>
      <c r="AE73" s="7"/>
      <c r="AF73" s="7"/>
      <c r="AG73" s="7"/>
      <c r="AH73" s="7"/>
      <c r="AI73" s="7"/>
      <c r="AJ73" s="7"/>
      <c r="AK73" s="7"/>
    </row>
    <row r="74" spans="1:37">
      <c r="A74" s="209" t="s">
        <v>2299</v>
      </c>
      <c r="B74" s="7"/>
      <c r="C74" s="7"/>
      <c r="D74" s="7"/>
      <c r="E74" s="7"/>
      <c r="F74" s="7"/>
      <c r="G74" s="7"/>
      <c r="H74" s="208" t="s">
        <v>2299</v>
      </c>
      <c r="I74" s="7"/>
      <c r="J74" s="7"/>
      <c r="K74" s="7"/>
      <c r="L74" s="7"/>
      <c r="M74" s="209" t="s">
        <v>2299</v>
      </c>
      <c r="N74" s="7"/>
      <c r="O74" s="7"/>
      <c r="P74" s="7"/>
      <c r="Q74" s="7"/>
      <c r="R74" s="7"/>
      <c r="S74" s="7"/>
      <c r="T74" s="209" t="s">
        <v>2299</v>
      </c>
      <c r="U74" s="269" t="s">
        <v>2299</v>
      </c>
      <c r="V74" s="210"/>
      <c r="W74" s="271" t="s">
        <v>2299</v>
      </c>
      <c r="X74" s="7"/>
      <c r="Y74" s="7"/>
      <c r="Z74" s="209" t="s">
        <v>2299</v>
      </c>
      <c r="AA74" s="7"/>
      <c r="AB74" s="7"/>
      <c r="AD74" s="7"/>
      <c r="AE74" s="7"/>
      <c r="AF74" s="7"/>
      <c r="AG74" s="7"/>
      <c r="AH74" s="7"/>
      <c r="AI74" s="7"/>
      <c r="AJ74" s="7"/>
      <c r="AK74" s="7"/>
    </row>
    <row r="75" spans="1:37">
      <c r="A75" s="209" t="s">
        <v>2299</v>
      </c>
      <c r="B75" s="7"/>
      <c r="C75" s="7"/>
      <c r="D75" s="7"/>
      <c r="E75" s="7"/>
      <c r="F75" s="7"/>
      <c r="G75" s="7"/>
      <c r="H75" s="208" t="s">
        <v>2299</v>
      </c>
      <c r="I75" s="7"/>
      <c r="J75" s="7"/>
      <c r="K75" s="7"/>
      <c r="L75" s="7"/>
      <c r="M75" s="209" t="s">
        <v>2299</v>
      </c>
      <c r="N75" s="7"/>
      <c r="O75" s="7"/>
      <c r="P75" s="7"/>
      <c r="Q75" s="7"/>
      <c r="R75" s="7"/>
      <c r="S75" s="7"/>
      <c r="T75" s="209" t="s">
        <v>2299</v>
      </c>
      <c r="U75" s="269" t="s">
        <v>2299</v>
      </c>
      <c r="V75" s="210"/>
      <c r="W75" s="271" t="s">
        <v>2299</v>
      </c>
      <c r="X75" s="7"/>
      <c r="Y75" s="7"/>
      <c r="Z75" s="209" t="s">
        <v>2299</v>
      </c>
      <c r="AA75" s="7"/>
      <c r="AB75" s="7"/>
      <c r="AD75" s="7"/>
      <c r="AE75" s="7"/>
      <c r="AF75" s="7"/>
      <c r="AG75" s="7"/>
      <c r="AH75" s="7"/>
      <c r="AI75" s="7"/>
      <c r="AJ75" s="7"/>
      <c r="AK75" s="7"/>
    </row>
    <row r="76" spans="1:37">
      <c r="A76" s="209" t="s">
        <v>2299</v>
      </c>
      <c r="B76" s="7"/>
      <c r="C76" s="7"/>
      <c r="D76" s="7"/>
      <c r="E76" s="7"/>
      <c r="F76" s="7"/>
      <c r="G76" s="7"/>
      <c r="H76" s="208" t="s">
        <v>2299</v>
      </c>
      <c r="I76" s="7"/>
      <c r="J76" s="7"/>
      <c r="K76" s="7"/>
      <c r="L76" s="7"/>
      <c r="M76" s="209" t="s">
        <v>2299</v>
      </c>
      <c r="N76" s="7"/>
      <c r="O76" s="7"/>
      <c r="P76" s="7"/>
      <c r="Q76" s="7"/>
      <c r="R76" s="7"/>
      <c r="S76" s="7"/>
      <c r="T76" s="209" t="s">
        <v>2299</v>
      </c>
      <c r="U76" s="269" t="s">
        <v>2299</v>
      </c>
      <c r="V76" s="210"/>
      <c r="W76" s="271" t="s">
        <v>2299</v>
      </c>
      <c r="X76" s="7"/>
      <c r="Y76" s="7"/>
      <c r="Z76" s="209" t="s">
        <v>2299</v>
      </c>
      <c r="AA76" s="7"/>
      <c r="AB76" s="7"/>
      <c r="AD76" s="7"/>
      <c r="AE76" s="7"/>
      <c r="AF76" s="7"/>
      <c r="AG76" s="7"/>
      <c r="AH76" s="7"/>
      <c r="AI76" s="7"/>
      <c r="AJ76" s="7"/>
      <c r="AK76" s="7"/>
    </row>
    <row r="77" spans="1:37">
      <c r="A77" s="209" t="s">
        <v>2299</v>
      </c>
      <c r="B77" s="7"/>
      <c r="C77" s="7"/>
      <c r="D77" s="7"/>
      <c r="E77" s="7"/>
      <c r="F77" s="7"/>
      <c r="G77" s="7"/>
      <c r="H77" s="208" t="s">
        <v>2299</v>
      </c>
      <c r="I77" s="7"/>
      <c r="J77" s="7"/>
      <c r="K77" s="7"/>
      <c r="L77" s="7"/>
      <c r="M77" s="209" t="s">
        <v>2299</v>
      </c>
      <c r="N77" s="7"/>
      <c r="O77" s="7"/>
      <c r="P77" s="7"/>
      <c r="Q77" s="7"/>
      <c r="R77" s="7"/>
      <c r="S77" s="7"/>
      <c r="T77" s="209" t="s">
        <v>2299</v>
      </c>
      <c r="U77" s="269" t="s">
        <v>2299</v>
      </c>
      <c r="V77" s="210"/>
      <c r="W77" s="271" t="s">
        <v>2299</v>
      </c>
      <c r="X77" s="7"/>
      <c r="Y77" s="7"/>
      <c r="Z77" s="209" t="s">
        <v>2299</v>
      </c>
      <c r="AA77" s="7"/>
      <c r="AB77" s="7"/>
      <c r="AD77" s="7"/>
      <c r="AE77" s="7"/>
      <c r="AF77" s="7"/>
      <c r="AG77" s="7"/>
      <c r="AH77" s="7"/>
      <c r="AI77" s="7"/>
      <c r="AJ77" s="7"/>
      <c r="AK77" s="7"/>
    </row>
    <row r="78" spans="1:37">
      <c r="A78" s="7"/>
      <c r="B78" s="7"/>
      <c r="C78" s="7"/>
      <c r="D78" s="7"/>
      <c r="E78" s="7"/>
      <c r="F78" s="7"/>
      <c r="G78" s="7"/>
      <c r="H78" s="208" t="s">
        <v>2299</v>
      </c>
      <c r="I78" s="7"/>
      <c r="J78" s="7"/>
      <c r="K78" s="7"/>
      <c r="L78" s="7"/>
      <c r="M78" s="209" t="s">
        <v>2299</v>
      </c>
      <c r="N78" s="7"/>
      <c r="O78" s="7"/>
      <c r="P78" s="7"/>
      <c r="Q78" s="7"/>
      <c r="R78" s="7"/>
      <c r="S78" s="7"/>
      <c r="T78" s="209" t="s">
        <v>2299</v>
      </c>
      <c r="U78" s="269" t="s">
        <v>2299</v>
      </c>
      <c r="V78" s="210"/>
      <c r="W78" s="271" t="s">
        <v>2299</v>
      </c>
      <c r="X78" s="7"/>
      <c r="Y78" s="7"/>
      <c r="Z78" s="209" t="s">
        <v>2299</v>
      </c>
      <c r="AA78" s="7"/>
      <c r="AB78" s="7"/>
      <c r="AD78" s="7"/>
      <c r="AE78" s="7"/>
      <c r="AF78" s="7"/>
      <c r="AG78" s="7"/>
      <c r="AH78" s="7"/>
      <c r="AI78" s="7"/>
      <c r="AJ78" s="7"/>
      <c r="AK78" s="7"/>
    </row>
    <row r="79" spans="1:37">
      <c r="A79" s="7"/>
      <c r="B79" s="7"/>
      <c r="C79" s="7"/>
      <c r="D79" s="7"/>
      <c r="E79" s="7"/>
      <c r="F79" s="7"/>
      <c r="G79" s="7"/>
      <c r="H79" s="208" t="s">
        <v>2299</v>
      </c>
      <c r="I79" s="7"/>
      <c r="J79" s="7"/>
      <c r="K79" s="7"/>
      <c r="L79" s="7"/>
      <c r="M79" s="209" t="s">
        <v>2299</v>
      </c>
      <c r="N79" s="7"/>
      <c r="O79" s="7"/>
      <c r="P79" s="7"/>
      <c r="Q79" s="7"/>
      <c r="R79" s="7"/>
      <c r="S79" s="7"/>
      <c r="T79" s="209" t="s">
        <v>2299</v>
      </c>
      <c r="U79" s="269" t="s">
        <v>2299</v>
      </c>
      <c r="V79" s="210"/>
      <c r="W79" s="271" t="s">
        <v>2299</v>
      </c>
      <c r="X79" s="7"/>
      <c r="Y79" s="7"/>
      <c r="Z79" s="209" t="s">
        <v>2299</v>
      </c>
      <c r="AA79" s="7"/>
      <c r="AB79" s="7"/>
      <c r="AD79" s="7"/>
      <c r="AE79" s="7"/>
      <c r="AF79" s="7"/>
      <c r="AG79" s="7"/>
      <c r="AH79" s="7"/>
      <c r="AI79" s="7"/>
      <c r="AJ79" s="7"/>
      <c r="AK79" s="7"/>
    </row>
    <row r="80" spans="1:37">
      <c r="A80" s="7"/>
      <c r="B80" s="7"/>
      <c r="C80" s="7"/>
      <c r="D80" s="7"/>
      <c r="E80" s="7"/>
      <c r="F80" s="7"/>
      <c r="G80" s="7"/>
      <c r="H80" s="208" t="s">
        <v>2299</v>
      </c>
      <c r="I80" s="7"/>
      <c r="J80" s="7"/>
      <c r="K80" s="7"/>
      <c r="L80" s="7"/>
      <c r="M80" s="209" t="s">
        <v>2299</v>
      </c>
      <c r="N80" s="7"/>
      <c r="O80" s="7"/>
      <c r="P80" s="7"/>
      <c r="Q80" s="7"/>
      <c r="R80" s="7"/>
      <c r="S80" s="7"/>
      <c r="T80" s="209" t="s">
        <v>2299</v>
      </c>
      <c r="U80" s="269" t="s">
        <v>2299</v>
      </c>
      <c r="V80" s="210"/>
      <c r="W80" s="271" t="s">
        <v>2299</v>
      </c>
      <c r="X80" s="7"/>
      <c r="Y80" s="7"/>
      <c r="Z80" s="209" t="s">
        <v>2299</v>
      </c>
      <c r="AA80" s="7"/>
      <c r="AB80" s="7"/>
      <c r="AD80" s="7"/>
      <c r="AE80" s="7"/>
      <c r="AF80" s="7"/>
      <c r="AG80" s="7"/>
      <c r="AH80" s="7"/>
      <c r="AI80" s="7"/>
      <c r="AJ80" s="7"/>
      <c r="AK80" s="7"/>
    </row>
    <row r="81" spans="1:37">
      <c r="A81" s="7"/>
      <c r="B81" s="7"/>
      <c r="C81" s="7"/>
      <c r="D81" s="7"/>
      <c r="E81" s="7"/>
      <c r="F81" s="7"/>
      <c r="G81" s="7"/>
      <c r="H81" s="208" t="s">
        <v>2299</v>
      </c>
      <c r="I81" s="7"/>
      <c r="J81" s="7"/>
      <c r="K81" s="7"/>
      <c r="L81" s="7"/>
      <c r="M81" s="209" t="s">
        <v>2299</v>
      </c>
      <c r="N81" s="7"/>
      <c r="O81" s="7"/>
      <c r="P81" s="7"/>
      <c r="Q81" s="7"/>
      <c r="R81" s="7"/>
      <c r="S81" s="7"/>
      <c r="T81" s="209" t="s">
        <v>2299</v>
      </c>
      <c r="U81" s="269" t="s">
        <v>2299</v>
      </c>
      <c r="V81" s="210"/>
      <c r="W81" s="271" t="s">
        <v>2299</v>
      </c>
      <c r="X81" s="7"/>
      <c r="Y81" s="7"/>
      <c r="Z81" s="209" t="s">
        <v>2299</v>
      </c>
      <c r="AA81" s="7"/>
      <c r="AB81" s="7"/>
      <c r="AD81" s="7"/>
      <c r="AE81" s="7"/>
      <c r="AF81" s="7"/>
      <c r="AG81" s="7"/>
      <c r="AH81" s="7"/>
      <c r="AI81" s="7"/>
      <c r="AJ81" s="7"/>
      <c r="AK81" s="7"/>
    </row>
    <row r="82" spans="1:37">
      <c r="A82" s="7"/>
      <c r="B82" s="7"/>
      <c r="C82" s="7"/>
      <c r="D82" s="7"/>
      <c r="E82" s="7"/>
      <c r="F82" s="7"/>
      <c r="G82" s="7"/>
      <c r="H82" s="208" t="s">
        <v>2299</v>
      </c>
      <c r="I82" s="7"/>
      <c r="J82" s="7"/>
      <c r="K82" s="7"/>
      <c r="L82" s="7"/>
      <c r="M82" s="209" t="s">
        <v>2299</v>
      </c>
      <c r="N82" s="7"/>
      <c r="O82" s="7"/>
      <c r="P82" s="7"/>
      <c r="Q82" s="7"/>
      <c r="R82" s="7"/>
      <c r="S82" s="7"/>
      <c r="T82" s="209" t="s">
        <v>2299</v>
      </c>
      <c r="U82" s="269" t="s">
        <v>2299</v>
      </c>
      <c r="V82" s="210"/>
      <c r="W82" s="271" t="s">
        <v>2299</v>
      </c>
      <c r="X82" s="7"/>
      <c r="Y82" s="7"/>
      <c r="Z82" s="209" t="s">
        <v>2299</v>
      </c>
      <c r="AA82" s="7"/>
      <c r="AB82" s="7"/>
      <c r="AD82" s="7"/>
      <c r="AE82" s="7"/>
      <c r="AF82" s="7"/>
      <c r="AG82" s="7"/>
      <c r="AH82" s="7"/>
      <c r="AI82" s="7"/>
      <c r="AJ82" s="7"/>
      <c r="AK82" s="7"/>
    </row>
    <row r="83" spans="1:37">
      <c r="A83" s="7"/>
      <c r="B83" s="7"/>
      <c r="C83" s="7"/>
      <c r="D83" s="7"/>
      <c r="E83" s="7"/>
      <c r="F83" s="7"/>
      <c r="G83" s="7"/>
      <c r="H83" s="208" t="s">
        <v>2299</v>
      </c>
      <c r="I83" s="7"/>
      <c r="J83" s="7"/>
      <c r="K83" s="7"/>
      <c r="L83" s="7"/>
      <c r="M83" s="209" t="s">
        <v>2299</v>
      </c>
      <c r="N83" s="7"/>
      <c r="O83" s="7"/>
      <c r="P83" s="7"/>
      <c r="Q83" s="7"/>
      <c r="R83" s="7"/>
      <c r="S83" s="7"/>
      <c r="T83" s="209" t="s">
        <v>2299</v>
      </c>
      <c r="U83" s="269" t="s">
        <v>2299</v>
      </c>
      <c r="V83" s="210"/>
      <c r="W83" s="271" t="s">
        <v>2299</v>
      </c>
      <c r="X83" s="7"/>
      <c r="Y83" s="7"/>
      <c r="Z83" s="209" t="s">
        <v>2299</v>
      </c>
      <c r="AA83" s="7"/>
      <c r="AB83" s="7"/>
      <c r="AD83" s="7"/>
      <c r="AE83" s="7"/>
      <c r="AF83" s="7"/>
      <c r="AG83" s="7"/>
      <c r="AH83" s="7"/>
      <c r="AI83" s="7"/>
      <c r="AJ83" s="7"/>
      <c r="AK83" s="7"/>
    </row>
    <row r="84" spans="1:37">
      <c r="A84" s="7"/>
      <c r="B84" s="7"/>
      <c r="C84" s="7"/>
      <c r="D84" s="7"/>
      <c r="E84" s="7"/>
      <c r="F84" s="7"/>
      <c r="G84" s="7"/>
      <c r="H84" s="208" t="s">
        <v>2299</v>
      </c>
      <c r="I84" s="7"/>
      <c r="J84" s="7"/>
      <c r="K84" s="7"/>
      <c r="L84" s="7"/>
      <c r="M84" s="209" t="s">
        <v>2299</v>
      </c>
      <c r="N84" s="7"/>
      <c r="O84" s="7"/>
      <c r="P84" s="7"/>
      <c r="Q84" s="7"/>
      <c r="R84" s="7"/>
      <c r="S84" s="7"/>
      <c r="T84" s="209" t="s">
        <v>2299</v>
      </c>
      <c r="U84" s="269" t="s">
        <v>2299</v>
      </c>
      <c r="V84" s="210"/>
      <c r="W84" s="271" t="s">
        <v>2299</v>
      </c>
      <c r="X84" s="7"/>
      <c r="Y84" s="7"/>
      <c r="Z84" s="209" t="s">
        <v>2299</v>
      </c>
      <c r="AA84" s="7"/>
      <c r="AB84" s="7"/>
      <c r="AD84" s="7"/>
      <c r="AE84" s="7"/>
      <c r="AF84" s="7"/>
      <c r="AG84" s="7"/>
      <c r="AH84" s="7"/>
      <c r="AI84" s="7"/>
      <c r="AJ84" s="7"/>
      <c r="AK84" s="7"/>
    </row>
    <row r="85" spans="1:37">
      <c r="A85" s="7"/>
      <c r="B85" s="7"/>
      <c r="C85" s="7"/>
      <c r="D85" s="7"/>
      <c r="E85" s="7"/>
      <c r="F85" s="7"/>
      <c r="G85" s="7"/>
      <c r="H85" s="208" t="s">
        <v>2299</v>
      </c>
      <c r="I85" s="7"/>
      <c r="J85" s="7"/>
      <c r="K85" s="7"/>
      <c r="L85" s="7"/>
      <c r="M85" s="209" t="s">
        <v>2299</v>
      </c>
      <c r="N85" s="7"/>
      <c r="O85" s="7"/>
      <c r="P85" s="7"/>
      <c r="Q85" s="7"/>
      <c r="R85" s="7"/>
      <c r="S85" s="7"/>
      <c r="T85" s="209" t="s">
        <v>2299</v>
      </c>
      <c r="U85" s="269" t="s">
        <v>2299</v>
      </c>
      <c r="V85" s="210"/>
      <c r="W85" s="271" t="s">
        <v>2299</v>
      </c>
      <c r="X85" s="7"/>
      <c r="Y85" s="7"/>
      <c r="Z85" s="209" t="s">
        <v>2299</v>
      </c>
      <c r="AA85" s="7"/>
      <c r="AB85" s="7"/>
      <c r="AD85" s="7"/>
      <c r="AE85" s="7"/>
      <c r="AF85" s="7"/>
      <c r="AG85" s="7"/>
      <c r="AH85" s="7"/>
      <c r="AI85" s="7"/>
      <c r="AJ85" s="7"/>
      <c r="AK85" s="7"/>
    </row>
    <row r="86" spans="1:37">
      <c r="A86" s="7"/>
      <c r="B86" s="7"/>
      <c r="C86" s="7"/>
      <c r="D86" s="7"/>
      <c r="E86" s="7"/>
      <c r="F86" s="7"/>
      <c r="G86" s="7"/>
      <c r="H86" s="208" t="s">
        <v>2299</v>
      </c>
      <c r="I86" s="7"/>
      <c r="J86" s="7"/>
      <c r="K86" s="7"/>
      <c r="L86" s="7"/>
      <c r="M86" s="209" t="s">
        <v>2299</v>
      </c>
      <c r="N86" s="7"/>
      <c r="O86" s="7"/>
      <c r="P86" s="7"/>
      <c r="Q86" s="7"/>
      <c r="R86" s="7"/>
      <c r="S86" s="7"/>
      <c r="T86" s="209" t="s">
        <v>2299</v>
      </c>
      <c r="U86" s="269" t="s">
        <v>2299</v>
      </c>
      <c r="V86" s="210"/>
      <c r="W86" s="271" t="s">
        <v>2299</v>
      </c>
      <c r="X86" s="7"/>
      <c r="Y86" s="7"/>
      <c r="Z86" s="209" t="s">
        <v>2299</v>
      </c>
      <c r="AA86" s="7"/>
      <c r="AB86" s="7"/>
      <c r="AD86" s="7"/>
      <c r="AE86" s="7"/>
      <c r="AF86" s="7"/>
      <c r="AG86" s="7"/>
      <c r="AH86" s="7"/>
      <c r="AI86" s="7"/>
      <c r="AJ86" s="7"/>
      <c r="AK86" s="7"/>
    </row>
    <row r="87" spans="1:37">
      <c r="A87" s="7"/>
      <c r="B87" s="7"/>
      <c r="C87" s="7"/>
      <c r="D87" s="7"/>
      <c r="E87" s="7"/>
      <c r="F87" s="7"/>
      <c r="G87" s="7"/>
      <c r="H87" s="208" t="s">
        <v>2299</v>
      </c>
      <c r="I87" s="7"/>
      <c r="J87" s="7"/>
      <c r="K87" s="7"/>
      <c r="L87" s="7"/>
      <c r="M87" s="209" t="s">
        <v>2299</v>
      </c>
      <c r="N87" s="7"/>
      <c r="O87" s="7"/>
      <c r="P87" s="7"/>
      <c r="Q87" s="7"/>
      <c r="R87" s="7"/>
      <c r="S87" s="7"/>
      <c r="T87" s="209" t="s">
        <v>2299</v>
      </c>
      <c r="U87" s="269" t="s">
        <v>2299</v>
      </c>
      <c r="V87" s="210"/>
      <c r="W87" s="271" t="s">
        <v>2299</v>
      </c>
      <c r="X87" s="7"/>
      <c r="Y87" s="7"/>
      <c r="Z87" s="209" t="s">
        <v>2299</v>
      </c>
      <c r="AA87" s="7"/>
      <c r="AB87" s="7"/>
      <c r="AD87" s="7"/>
      <c r="AE87" s="7"/>
      <c r="AF87" s="7"/>
      <c r="AG87" s="7"/>
      <c r="AH87" s="7"/>
      <c r="AI87" s="7"/>
      <c r="AJ87" s="7"/>
      <c r="AK87" s="7"/>
    </row>
    <row r="88" spans="1:37">
      <c r="A88" s="7"/>
      <c r="B88" s="7"/>
      <c r="C88" s="7"/>
      <c r="D88" s="7"/>
      <c r="E88" s="7"/>
      <c r="F88" s="7"/>
      <c r="G88" s="7"/>
      <c r="H88" s="208" t="s">
        <v>2299</v>
      </c>
      <c r="I88" s="7"/>
      <c r="J88" s="7"/>
      <c r="K88" s="7"/>
      <c r="L88" s="7"/>
      <c r="M88" s="209" t="s">
        <v>2299</v>
      </c>
      <c r="N88" s="7"/>
      <c r="O88" s="7"/>
      <c r="P88" s="7"/>
      <c r="Q88" s="7"/>
      <c r="R88" s="7"/>
      <c r="S88" s="7"/>
      <c r="T88" s="209" t="s">
        <v>2299</v>
      </c>
      <c r="U88" s="269" t="s">
        <v>2299</v>
      </c>
      <c r="V88" s="210"/>
      <c r="W88" s="271" t="s">
        <v>2299</v>
      </c>
      <c r="X88" s="7"/>
      <c r="Y88" s="7"/>
      <c r="Z88" s="209" t="s">
        <v>2299</v>
      </c>
      <c r="AA88" s="7"/>
      <c r="AB88" s="7"/>
      <c r="AD88" s="7"/>
      <c r="AE88" s="7"/>
      <c r="AF88" s="7"/>
      <c r="AG88" s="7"/>
      <c r="AH88" s="7"/>
      <c r="AI88" s="7"/>
      <c r="AJ88" s="7"/>
      <c r="AK88" s="7"/>
    </row>
    <row r="89" spans="1:37">
      <c r="A89" s="7"/>
      <c r="B89" s="7"/>
      <c r="C89" s="7"/>
      <c r="D89" s="7"/>
      <c r="E89" s="7"/>
      <c r="F89" s="7"/>
      <c r="G89" s="7"/>
      <c r="H89" s="208" t="s">
        <v>2299</v>
      </c>
      <c r="I89" s="7"/>
      <c r="J89" s="7"/>
      <c r="K89" s="7"/>
      <c r="L89" s="7"/>
      <c r="M89" s="209" t="s">
        <v>2299</v>
      </c>
      <c r="N89" s="7"/>
      <c r="O89" s="7"/>
      <c r="P89" s="7"/>
      <c r="Q89" s="7"/>
      <c r="R89" s="7"/>
      <c r="S89" s="7"/>
      <c r="T89" s="209" t="s">
        <v>2299</v>
      </c>
      <c r="U89" s="269" t="s">
        <v>2299</v>
      </c>
      <c r="V89" s="210"/>
      <c r="W89" s="271" t="s">
        <v>2299</v>
      </c>
      <c r="X89" s="7"/>
      <c r="Y89" s="7"/>
      <c r="Z89" s="209" t="s">
        <v>2299</v>
      </c>
      <c r="AA89" s="7"/>
      <c r="AB89" s="7"/>
      <c r="AD89" s="7"/>
      <c r="AE89" s="7"/>
      <c r="AF89" s="7"/>
      <c r="AG89" s="7"/>
      <c r="AH89" s="7"/>
      <c r="AI89" s="7"/>
      <c r="AJ89" s="7"/>
      <c r="AK89" s="7"/>
    </row>
    <row r="90" spans="1:37">
      <c r="A90" s="7"/>
      <c r="B90" s="7"/>
      <c r="C90" s="7"/>
      <c r="D90" s="7"/>
      <c r="E90" s="7"/>
      <c r="F90" s="7"/>
      <c r="G90" s="7"/>
      <c r="H90" s="208" t="s">
        <v>2299</v>
      </c>
      <c r="I90" s="7"/>
      <c r="J90" s="7"/>
      <c r="K90" s="7"/>
      <c r="L90" s="7"/>
      <c r="M90" s="209" t="s">
        <v>2299</v>
      </c>
      <c r="N90" s="7"/>
      <c r="O90" s="7"/>
      <c r="P90" s="7"/>
      <c r="Q90" s="7"/>
      <c r="R90" s="7"/>
      <c r="S90" s="7"/>
      <c r="T90" s="209" t="s">
        <v>2299</v>
      </c>
      <c r="U90" s="269" t="s">
        <v>2299</v>
      </c>
      <c r="V90" s="210"/>
      <c r="W90" s="271" t="s">
        <v>2299</v>
      </c>
      <c r="X90" s="7"/>
      <c r="Y90" s="7"/>
      <c r="Z90" s="209" t="s">
        <v>2299</v>
      </c>
      <c r="AA90" s="7"/>
      <c r="AB90" s="7"/>
      <c r="AD90" s="7"/>
      <c r="AE90" s="7"/>
      <c r="AF90" s="7"/>
      <c r="AG90" s="7"/>
      <c r="AH90" s="7"/>
      <c r="AI90" s="7"/>
      <c r="AJ90" s="7"/>
      <c r="AK90" s="7"/>
    </row>
    <row r="91" spans="1:37">
      <c r="A91" s="7"/>
      <c r="B91" s="7"/>
      <c r="C91" s="7"/>
      <c r="D91" s="7"/>
      <c r="E91" s="7"/>
      <c r="F91" s="7"/>
      <c r="G91" s="7"/>
      <c r="H91" s="208" t="s">
        <v>2299</v>
      </c>
      <c r="I91" s="7"/>
      <c r="J91" s="7"/>
      <c r="K91" s="7"/>
      <c r="L91" s="7"/>
      <c r="M91" s="209" t="s">
        <v>2299</v>
      </c>
      <c r="N91" s="7"/>
      <c r="O91" s="7"/>
      <c r="P91" s="7"/>
      <c r="Q91" s="7"/>
      <c r="R91" s="7"/>
      <c r="S91" s="7"/>
      <c r="T91" s="209" t="s">
        <v>2299</v>
      </c>
      <c r="U91" s="269" t="s">
        <v>2299</v>
      </c>
      <c r="V91" s="210"/>
      <c r="W91" s="271" t="s">
        <v>2299</v>
      </c>
      <c r="X91" s="7"/>
      <c r="Y91" s="7"/>
      <c r="Z91" s="209" t="s">
        <v>2299</v>
      </c>
      <c r="AA91" s="7"/>
      <c r="AB91" s="7"/>
      <c r="AD91" s="7"/>
      <c r="AE91" s="7"/>
      <c r="AF91" s="7"/>
      <c r="AG91" s="7"/>
      <c r="AH91" s="7"/>
      <c r="AI91" s="7"/>
      <c r="AJ91" s="7"/>
      <c r="AK91" s="7"/>
    </row>
    <row r="92" spans="1:37">
      <c r="A92" s="7"/>
      <c r="B92" s="7"/>
      <c r="C92" s="7"/>
      <c r="D92" s="7"/>
      <c r="E92" s="7"/>
      <c r="F92" s="7"/>
      <c r="G92" s="7"/>
      <c r="H92" s="208" t="s">
        <v>2299</v>
      </c>
      <c r="I92" s="7"/>
      <c r="J92" s="7"/>
      <c r="K92" s="7"/>
      <c r="L92" s="7"/>
      <c r="M92" s="209" t="s">
        <v>2299</v>
      </c>
      <c r="N92" s="7"/>
      <c r="O92" s="7"/>
      <c r="P92" s="7"/>
      <c r="Q92" s="7"/>
      <c r="R92" s="7"/>
      <c r="S92" s="7"/>
      <c r="T92" s="209" t="s">
        <v>2299</v>
      </c>
      <c r="U92" s="269" t="s">
        <v>2299</v>
      </c>
      <c r="V92" s="210"/>
      <c r="W92" s="271" t="s">
        <v>2299</v>
      </c>
      <c r="X92" s="7"/>
      <c r="Y92" s="7"/>
      <c r="Z92" s="209" t="s">
        <v>2299</v>
      </c>
      <c r="AA92" s="7"/>
      <c r="AB92" s="7"/>
      <c r="AD92" s="7"/>
      <c r="AE92" s="7"/>
      <c r="AF92" s="7"/>
      <c r="AG92" s="7"/>
      <c r="AH92" s="7"/>
      <c r="AI92" s="7"/>
      <c r="AJ92" s="7"/>
      <c r="AK92" s="7"/>
    </row>
    <row r="93" spans="1:37">
      <c r="A93" s="7"/>
      <c r="B93" s="7"/>
      <c r="C93" s="7"/>
      <c r="D93" s="7"/>
      <c r="E93" s="7"/>
      <c r="F93" s="7"/>
      <c r="G93" s="7"/>
      <c r="H93" s="208" t="s">
        <v>2299</v>
      </c>
      <c r="I93" s="7"/>
      <c r="J93" s="7"/>
      <c r="K93" s="7"/>
      <c r="L93" s="7"/>
      <c r="M93" s="209" t="s">
        <v>2299</v>
      </c>
      <c r="N93" s="7"/>
      <c r="O93" s="7"/>
      <c r="P93" s="7"/>
      <c r="Q93" s="7"/>
      <c r="R93" s="7"/>
      <c r="S93" s="7"/>
      <c r="T93" s="209" t="s">
        <v>2299</v>
      </c>
      <c r="U93" s="269" t="s">
        <v>2299</v>
      </c>
      <c r="V93" s="210"/>
      <c r="W93" s="271" t="s">
        <v>2299</v>
      </c>
      <c r="X93" s="7"/>
      <c r="Y93" s="7"/>
      <c r="Z93" s="209" t="s">
        <v>2299</v>
      </c>
      <c r="AA93" s="7"/>
      <c r="AB93" s="7"/>
      <c r="AD93" s="7"/>
      <c r="AE93" s="7"/>
      <c r="AF93" s="7"/>
      <c r="AG93" s="7"/>
      <c r="AH93" s="7"/>
      <c r="AI93" s="7"/>
      <c r="AJ93" s="7"/>
      <c r="AK93" s="7"/>
    </row>
    <row r="94" spans="1:37">
      <c r="A94" s="7"/>
      <c r="B94" s="7"/>
      <c r="C94" s="7"/>
      <c r="D94" s="7"/>
      <c r="E94" s="7"/>
      <c r="F94" s="7"/>
      <c r="G94" s="7"/>
      <c r="H94" s="208" t="s">
        <v>2299</v>
      </c>
      <c r="I94" s="7"/>
      <c r="J94" s="7"/>
      <c r="K94" s="7"/>
      <c r="L94" s="7"/>
      <c r="M94" s="209" t="s">
        <v>2299</v>
      </c>
      <c r="N94" s="7"/>
      <c r="O94" s="7"/>
      <c r="P94" s="7"/>
      <c r="Q94" s="7"/>
      <c r="R94" s="7"/>
      <c r="S94" s="7"/>
      <c r="T94" s="209" t="s">
        <v>2299</v>
      </c>
      <c r="U94" s="269" t="s">
        <v>2299</v>
      </c>
      <c r="V94" s="210"/>
      <c r="W94" s="271" t="s">
        <v>2299</v>
      </c>
      <c r="X94" s="7"/>
      <c r="Y94" s="7"/>
      <c r="Z94" s="209" t="s">
        <v>2299</v>
      </c>
      <c r="AA94" s="7"/>
      <c r="AB94" s="7"/>
      <c r="AD94" s="7"/>
      <c r="AE94" s="7"/>
      <c r="AF94" s="7"/>
      <c r="AG94" s="7"/>
      <c r="AH94" s="7"/>
      <c r="AI94" s="7"/>
      <c r="AJ94" s="7"/>
      <c r="AK94" s="7"/>
    </row>
    <row r="95" spans="1:37">
      <c r="A95" s="7"/>
      <c r="B95" s="7"/>
      <c r="C95" s="7"/>
      <c r="D95" s="7"/>
      <c r="E95" s="7"/>
      <c r="F95" s="7"/>
      <c r="G95" s="7"/>
      <c r="H95" s="208" t="s">
        <v>2299</v>
      </c>
      <c r="I95" s="7"/>
      <c r="J95" s="7"/>
      <c r="K95" s="7"/>
      <c r="L95" s="7"/>
      <c r="M95" s="209" t="s">
        <v>2299</v>
      </c>
      <c r="N95" s="7"/>
      <c r="O95" s="7"/>
      <c r="P95" s="7"/>
      <c r="Q95" s="7"/>
      <c r="R95" s="7"/>
      <c r="S95" s="7"/>
      <c r="T95" s="209" t="s">
        <v>2299</v>
      </c>
      <c r="U95" s="269" t="s">
        <v>2299</v>
      </c>
      <c r="V95" s="210"/>
      <c r="W95" s="271" t="s">
        <v>2299</v>
      </c>
      <c r="X95" s="7"/>
      <c r="Y95" s="7"/>
      <c r="Z95" s="209" t="s">
        <v>2299</v>
      </c>
      <c r="AA95" s="7"/>
      <c r="AB95" s="7"/>
      <c r="AD95" s="7"/>
      <c r="AE95" s="7"/>
      <c r="AF95" s="7"/>
      <c r="AG95" s="7"/>
      <c r="AH95" s="7"/>
      <c r="AI95" s="7"/>
      <c r="AJ95" s="7"/>
      <c r="AK95" s="7"/>
    </row>
    <row r="96" spans="1:37">
      <c r="A96" s="7"/>
      <c r="B96" s="7"/>
      <c r="C96" s="7"/>
      <c r="D96" s="7"/>
      <c r="E96" s="7"/>
      <c r="F96" s="7"/>
      <c r="G96" s="7"/>
      <c r="H96" s="208" t="s">
        <v>2299</v>
      </c>
      <c r="I96" s="7"/>
      <c r="J96" s="7"/>
      <c r="K96" s="7"/>
      <c r="L96" s="7"/>
      <c r="M96" s="209" t="s">
        <v>2299</v>
      </c>
      <c r="N96" s="7"/>
      <c r="O96" s="7"/>
      <c r="P96" s="7"/>
      <c r="Q96" s="7"/>
      <c r="R96" s="7"/>
      <c r="S96" s="7"/>
      <c r="T96" s="209" t="s">
        <v>2299</v>
      </c>
      <c r="U96" s="269" t="s">
        <v>2299</v>
      </c>
      <c r="V96" s="210"/>
      <c r="W96" s="271" t="s">
        <v>2299</v>
      </c>
      <c r="X96" s="7"/>
      <c r="Y96" s="7"/>
      <c r="Z96" s="209" t="s">
        <v>2299</v>
      </c>
      <c r="AA96" s="7"/>
      <c r="AB96" s="7"/>
      <c r="AD96" s="7"/>
      <c r="AE96" s="7"/>
      <c r="AF96" s="7"/>
      <c r="AG96" s="7"/>
      <c r="AH96" s="7"/>
      <c r="AI96" s="7"/>
      <c r="AJ96" s="7"/>
      <c r="AK96" s="7"/>
    </row>
    <row r="97" spans="1:37">
      <c r="A97" s="7"/>
      <c r="B97" s="7"/>
      <c r="C97" s="7"/>
      <c r="D97" s="7"/>
      <c r="E97" s="7"/>
      <c r="F97" s="7"/>
      <c r="G97" s="7"/>
      <c r="H97" s="208" t="s">
        <v>2299</v>
      </c>
      <c r="I97" s="7"/>
      <c r="J97" s="7"/>
      <c r="K97" s="7"/>
      <c r="L97" s="7"/>
      <c r="M97" s="209" t="s">
        <v>2299</v>
      </c>
      <c r="N97" s="7"/>
      <c r="O97" s="7"/>
      <c r="P97" s="7"/>
      <c r="Q97" s="7"/>
      <c r="R97" s="7"/>
      <c r="S97" s="7"/>
      <c r="T97" s="209" t="s">
        <v>2299</v>
      </c>
      <c r="U97" s="269" t="s">
        <v>2299</v>
      </c>
      <c r="V97" s="210"/>
      <c r="W97" s="271" t="s">
        <v>2299</v>
      </c>
      <c r="X97" s="7"/>
      <c r="Y97" s="7"/>
      <c r="Z97" s="209" t="s">
        <v>2299</v>
      </c>
      <c r="AA97" s="7"/>
      <c r="AB97" s="7"/>
      <c r="AD97" s="7"/>
      <c r="AE97" s="7"/>
      <c r="AF97" s="7"/>
      <c r="AG97" s="7"/>
      <c r="AH97" s="7"/>
      <c r="AI97" s="7"/>
      <c r="AJ97" s="7"/>
      <c r="AK97" s="7"/>
    </row>
    <row r="98" spans="1:37">
      <c r="A98" s="7"/>
      <c r="B98" s="7"/>
      <c r="C98" s="7"/>
      <c r="D98" s="7"/>
      <c r="E98" s="7"/>
      <c r="F98" s="7"/>
      <c r="G98" s="7"/>
      <c r="H98" s="208" t="s">
        <v>2299</v>
      </c>
      <c r="I98" s="7"/>
      <c r="J98" s="7"/>
      <c r="K98" s="7"/>
      <c r="L98" s="7"/>
      <c r="M98" s="209" t="s">
        <v>2299</v>
      </c>
      <c r="N98" s="7"/>
      <c r="O98" s="7"/>
      <c r="P98" s="7"/>
      <c r="Q98" s="7"/>
      <c r="R98" s="7"/>
      <c r="S98" s="7"/>
      <c r="T98" s="209" t="s">
        <v>2299</v>
      </c>
      <c r="U98" s="269" t="s">
        <v>2299</v>
      </c>
      <c r="V98" s="210"/>
      <c r="W98" s="271" t="s">
        <v>2299</v>
      </c>
      <c r="X98" s="7"/>
      <c r="Y98" s="7"/>
      <c r="Z98" s="209" t="s">
        <v>2299</v>
      </c>
      <c r="AA98" s="7"/>
      <c r="AB98" s="7"/>
      <c r="AD98" s="7"/>
      <c r="AE98" s="7"/>
      <c r="AF98" s="7"/>
      <c r="AG98" s="7"/>
      <c r="AH98" s="7"/>
      <c r="AI98" s="7"/>
      <c r="AJ98" s="7"/>
      <c r="AK98" s="7"/>
    </row>
    <row r="99" spans="1:37">
      <c r="A99" s="7"/>
      <c r="B99" s="7"/>
      <c r="C99" s="7"/>
      <c r="D99" s="7"/>
      <c r="E99" s="7"/>
      <c r="F99" s="7"/>
      <c r="G99" s="7"/>
      <c r="H99" s="208" t="s">
        <v>2299</v>
      </c>
      <c r="I99" s="7"/>
      <c r="J99" s="7"/>
      <c r="K99" s="7"/>
      <c r="L99" s="7"/>
      <c r="M99" s="209" t="s">
        <v>2299</v>
      </c>
      <c r="N99" s="7"/>
      <c r="O99" s="7"/>
      <c r="P99" s="7"/>
      <c r="Q99" s="7"/>
      <c r="R99" s="7"/>
      <c r="S99" s="7"/>
      <c r="T99" s="209" t="s">
        <v>2299</v>
      </c>
      <c r="U99" s="269" t="s">
        <v>2299</v>
      </c>
      <c r="V99" s="210"/>
      <c r="W99" s="271" t="s">
        <v>2299</v>
      </c>
      <c r="X99" s="7"/>
      <c r="Y99" s="7"/>
      <c r="Z99" s="209" t="s">
        <v>2299</v>
      </c>
      <c r="AA99" s="7"/>
      <c r="AB99" s="7"/>
      <c r="AD99" s="7"/>
      <c r="AE99" s="7"/>
      <c r="AF99" s="7"/>
      <c r="AG99" s="7"/>
      <c r="AH99" s="7"/>
      <c r="AI99" s="7"/>
      <c r="AJ99" s="7"/>
      <c r="AK99" s="7"/>
    </row>
    <row r="100" spans="1:37">
      <c r="A100" s="7"/>
      <c r="B100" s="7"/>
      <c r="C100" s="7"/>
      <c r="D100" s="7"/>
      <c r="E100" s="7"/>
      <c r="F100" s="7"/>
      <c r="G100" s="7"/>
      <c r="H100" s="208" t="s">
        <v>2299</v>
      </c>
      <c r="I100" s="7"/>
      <c r="J100" s="7"/>
      <c r="K100" s="7"/>
      <c r="L100" s="7"/>
      <c r="M100" s="209" t="s">
        <v>2299</v>
      </c>
      <c r="N100" s="7"/>
      <c r="O100" s="7"/>
      <c r="P100" s="7"/>
      <c r="Q100" s="7"/>
      <c r="R100" s="7"/>
      <c r="S100" s="7"/>
      <c r="T100" s="209" t="s">
        <v>2299</v>
      </c>
      <c r="U100" s="269" t="s">
        <v>2299</v>
      </c>
      <c r="V100" s="210"/>
      <c r="W100" s="271" t="s">
        <v>2299</v>
      </c>
      <c r="X100" s="7"/>
      <c r="Y100" s="7"/>
      <c r="Z100" s="209" t="s">
        <v>2299</v>
      </c>
      <c r="AA100" s="7"/>
      <c r="AB100" s="7"/>
      <c r="AD100" s="7"/>
      <c r="AE100" s="7"/>
      <c r="AF100" s="7"/>
      <c r="AG100" s="7"/>
      <c r="AH100" s="7"/>
      <c r="AI100" s="7"/>
      <c r="AJ100" s="7"/>
      <c r="AK100" s="7"/>
    </row>
    <row r="101" spans="1:37">
      <c r="A101" s="7"/>
      <c r="B101" s="7"/>
      <c r="C101" s="7"/>
      <c r="D101" s="7"/>
      <c r="E101" s="7"/>
      <c r="F101" s="7"/>
      <c r="G101" s="7"/>
      <c r="H101" s="208" t="s">
        <v>2299</v>
      </c>
      <c r="I101" s="7"/>
      <c r="J101" s="7"/>
      <c r="K101" s="7"/>
      <c r="L101" s="7"/>
      <c r="M101" s="209" t="s">
        <v>2299</v>
      </c>
      <c r="N101" s="7"/>
      <c r="O101" s="7"/>
      <c r="P101" s="7"/>
      <c r="Q101" s="7"/>
      <c r="R101" s="7"/>
      <c r="S101" s="7"/>
      <c r="T101" s="209" t="s">
        <v>2299</v>
      </c>
      <c r="U101" s="269" t="s">
        <v>2299</v>
      </c>
      <c r="V101" s="210"/>
      <c r="W101" s="271" t="s">
        <v>2299</v>
      </c>
      <c r="X101" s="7"/>
      <c r="Y101" s="7"/>
      <c r="Z101" s="209" t="s">
        <v>2299</v>
      </c>
      <c r="AA101" s="7"/>
      <c r="AB101" s="7"/>
      <c r="AD101" s="7"/>
      <c r="AE101" s="7"/>
      <c r="AF101" s="7"/>
      <c r="AG101" s="7"/>
      <c r="AH101" s="7"/>
      <c r="AI101" s="7"/>
      <c r="AJ101" s="7"/>
      <c r="AK101" s="7"/>
    </row>
    <row r="102" spans="1:37">
      <c r="A102" s="7"/>
      <c r="B102" s="7"/>
      <c r="C102" s="7"/>
      <c r="D102" s="7"/>
      <c r="E102" s="7"/>
      <c r="F102" s="7"/>
      <c r="G102" s="7"/>
      <c r="H102" s="208" t="s">
        <v>2299</v>
      </c>
      <c r="I102" s="7"/>
      <c r="J102" s="7"/>
      <c r="K102" s="7"/>
      <c r="L102" s="7"/>
      <c r="M102" s="209" t="s">
        <v>2299</v>
      </c>
      <c r="N102" s="7"/>
      <c r="O102" s="7"/>
      <c r="P102" s="7"/>
      <c r="Q102" s="7"/>
      <c r="R102" s="7"/>
      <c r="S102" s="7"/>
      <c r="T102" s="209" t="s">
        <v>2299</v>
      </c>
      <c r="U102" s="269" t="s">
        <v>2299</v>
      </c>
      <c r="V102" s="210"/>
      <c r="W102" s="271" t="s">
        <v>2299</v>
      </c>
      <c r="X102" s="7"/>
      <c r="Y102" s="7"/>
      <c r="Z102" s="209" t="s">
        <v>2299</v>
      </c>
      <c r="AA102" s="7"/>
      <c r="AB102" s="7"/>
      <c r="AD102" s="7"/>
      <c r="AE102" s="7"/>
      <c r="AF102" s="7"/>
      <c r="AG102" s="7"/>
      <c r="AH102" s="7"/>
      <c r="AI102" s="7"/>
      <c r="AJ102" s="7"/>
      <c r="AK102" s="7"/>
    </row>
    <row r="103" spans="1:37">
      <c r="A103" s="7"/>
      <c r="B103" s="7"/>
      <c r="C103" s="7"/>
      <c r="D103" s="7"/>
      <c r="E103" s="7"/>
      <c r="F103" s="7"/>
      <c r="G103" s="7"/>
      <c r="H103" s="208" t="s">
        <v>2299</v>
      </c>
      <c r="I103" s="7"/>
      <c r="J103" s="7"/>
      <c r="K103" s="7"/>
      <c r="L103" s="7"/>
      <c r="M103" s="209" t="s">
        <v>2299</v>
      </c>
      <c r="N103" s="7"/>
      <c r="O103" s="7"/>
      <c r="P103" s="7"/>
      <c r="Q103" s="7"/>
      <c r="R103" s="7"/>
      <c r="S103" s="7"/>
      <c r="T103" s="209" t="s">
        <v>2299</v>
      </c>
      <c r="U103" s="269" t="s">
        <v>2299</v>
      </c>
      <c r="V103" s="210"/>
      <c r="W103" s="271" t="s">
        <v>2299</v>
      </c>
      <c r="X103" s="7"/>
      <c r="Y103" s="7"/>
      <c r="Z103" s="209" t="s">
        <v>2299</v>
      </c>
      <c r="AA103" s="7"/>
      <c r="AB103" s="7"/>
      <c r="AD103" s="7"/>
      <c r="AE103" s="7"/>
      <c r="AF103" s="7"/>
      <c r="AG103" s="7"/>
      <c r="AH103" s="7"/>
      <c r="AI103" s="7"/>
      <c r="AJ103" s="7"/>
      <c r="AK103" s="7"/>
    </row>
    <row r="104" spans="1:37">
      <c r="A104" s="7"/>
      <c r="B104" s="7"/>
      <c r="C104" s="7"/>
      <c r="D104" s="7"/>
      <c r="E104" s="7"/>
      <c r="F104" s="7"/>
      <c r="G104" s="7"/>
      <c r="H104" s="208" t="s">
        <v>2299</v>
      </c>
      <c r="I104" s="7"/>
      <c r="J104" s="7"/>
      <c r="K104" s="7"/>
      <c r="L104" s="7"/>
      <c r="M104" s="209" t="s">
        <v>2299</v>
      </c>
      <c r="N104" s="7"/>
      <c r="O104" s="7"/>
      <c r="P104" s="7"/>
      <c r="Q104" s="7"/>
      <c r="R104" s="7"/>
      <c r="S104" s="7"/>
      <c r="T104" s="209" t="s">
        <v>2299</v>
      </c>
      <c r="U104" s="269" t="s">
        <v>2299</v>
      </c>
      <c r="V104" s="210"/>
      <c r="W104" s="271" t="s">
        <v>2299</v>
      </c>
      <c r="X104" s="7"/>
      <c r="Y104" s="7"/>
      <c r="Z104" s="209" t="s">
        <v>2299</v>
      </c>
      <c r="AA104" s="7"/>
      <c r="AB104" s="7"/>
      <c r="AD104" s="7"/>
      <c r="AE104" s="7"/>
      <c r="AF104" s="7"/>
      <c r="AG104" s="7"/>
      <c r="AH104" s="7"/>
      <c r="AI104" s="7"/>
      <c r="AJ104" s="7"/>
      <c r="AK104" s="7"/>
    </row>
    <row r="105" spans="1:37">
      <c r="A105" s="7"/>
      <c r="B105" s="7"/>
      <c r="C105" s="7"/>
      <c r="D105" s="7"/>
      <c r="E105" s="7"/>
      <c r="F105" s="7"/>
      <c r="G105" s="7"/>
      <c r="H105" s="208" t="s">
        <v>2299</v>
      </c>
      <c r="I105" s="7"/>
      <c r="J105" s="7"/>
      <c r="K105" s="7"/>
      <c r="L105" s="7"/>
      <c r="M105" s="209" t="s">
        <v>2299</v>
      </c>
      <c r="N105" s="7"/>
      <c r="O105" s="7"/>
      <c r="P105" s="7"/>
      <c r="Q105" s="7"/>
      <c r="R105" s="7"/>
      <c r="S105" s="7"/>
      <c r="T105" s="209" t="s">
        <v>2299</v>
      </c>
      <c r="U105" s="269" t="s">
        <v>2299</v>
      </c>
      <c r="V105" s="210"/>
      <c r="W105" s="271" t="s">
        <v>2299</v>
      </c>
      <c r="X105" s="7"/>
      <c r="Y105" s="7"/>
      <c r="Z105" s="209" t="s">
        <v>2299</v>
      </c>
      <c r="AA105" s="7"/>
      <c r="AB105" s="7"/>
      <c r="AD105" s="7"/>
      <c r="AE105" s="7"/>
      <c r="AF105" s="7"/>
      <c r="AG105" s="7"/>
      <c r="AH105" s="7"/>
      <c r="AI105" s="7"/>
      <c r="AJ105" s="7"/>
      <c r="AK105" s="7"/>
    </row>
    <row r="106" spans="1:37">
      <c r="A106" s="7"/>
      <c r="B106" s="7"/>
      <c r="C106" s="7"/>
      <c r="D106" s="7"/>
      <c r="E106" s="7"/>
      <c r="F106" s="7"/>
      <c r="G106" s="7"/>
      <c r="H106" s="208" t="s">
        <v>2299</v>
      </c>
      <c r="I106" s="7"/>
      <c r="J106" s="7"/>
      <c r="K106" s="7"/>
      <c r="L106" s="7"/>
      <c r="M106" s="209" t="s">
        <v>2299</v>
      </c>
      <c r="N106" s="7"/>
      <c r="O106" s="7"/>
      <c r="P106" s="7"/>
      <c r="Q106" s="7"/>
      <c r="R106" s="7"/>
      <c r="S106" s="7"/>
      <c r="T106" s="209" t="s">
        <v>2299</v>
      </c>
      <c r="U106" s="269" t="s">
        <v>2299</v>
      </c>
      <c r="V106" s="210"/>
      <c r="W106" s="271" t="s">
        <v>2299</v>
      </c>
      <c r="X106" s="7"/>
      <c r="Y106" s="7"/>
      <c r="Z106" s="209" t="s">
        <v>2299</v>
      </c>
      <c r="AA106" s="7"/>
      <c r="AB106" s="7"/>
      <c r="AD106" s="7"/>
      <c r="AE106" s="7"/>
      <c r="AF106" s="7"/>
      <c r="AG106" s="7"/>
      <c r="AH106" s="7"/>
      <c r="AI106" s="7"/>
      <c r="AJ106" s="7"/>
      <c r="AK106" s="7"/>
    </row>
    <row r="107" spans="1:37">
      <c r="A107" s="7"/>
      <c r="B107" s="7"/>
      <c r="C107" s="7"/>
      <c r="D107" s="7"/>
      <c r="E107" s="7"/>
      <c r="F107" s="7"/>
      <c r="G107" s="7"/>
      <c r="H107" s="208" t="s">
        <v>2299</v>
      </c>
      <c r="I107" s="7"/>
      <c r="J107" s="7"/>
      <c r="K107" s="7"/>
      <c r="L107" s="7"/>
      <c r="M107" s="209" t="s">
        <v>2299</v>
      </c>
      <c r="N107" s="7"/>
      <c r="O107" s="7"/>
      <c r="P107" s="7"/>
      <c r="Q107" s="7"/>
      <c r="R107" s="7"/>
      <c r="S107" s="7"/>
      <c r="T107" s="209" t="s">
        <v>2299</v>
      </c>
      <c r="U107" s="269" t="s">
        <v>2299</v>
      </c>
      <c r="V107" s="210"/>
      <c r="W107" s="271" t="s">
        <v>2299</v>
      </c>
      <c r="X107" s="7"/>
      <c r="Y107" s="7"/>
      <c r="Z107" s="209" t="s">
        <v>2299</v>
      </c>
      <c r="AA107" s="7"/>
      <c r="AB107" s="7"/>
      <c r="AD107" s="7"/>
      <c r="AE107" s="7"/>
      <c r="AF107" s="7"/>
      <c r="AG107" s="7"/>
      <c r="AH107" s="7"/>
      <c r="AI107" s="7"/>
      <c r="AJ107" s="7"/>
      <c r="AK107" s="7"/>
    </row>
    <row r="108" spans="1:37">
      <c r="A108" s="7"/>
      <c r="B108" s="7"/>
      <c r="C108" s="7"/>
      <c r="D108" s="7"/>
      <c r="E108" s="7"/>
      <c r="F108" s="7"/>
      <c r="G108" s="7"/>
      <c r="H108" s="208" t="s">
        <v>2299</v>
      </c>
      <c r="I108" s="7"/>
      <c r="J108" s="7"/>
      <c r="K108" s="7"/>
      <c r="L108" s="7"/>
      <c r="M108" s="209" t="s">
        <v>2299</v>
      </c>
      <c r="N108" s="7"/>
      <c r="O108" s="7"/>
      <c r="P108" s="7"/>
      <c r="Q108" s="7"/>
      <c r="R108" s="7"/>
      <c r="S108" s="7"/>
      <c r="T108" s="209" t="s">
        <v>2299</v>
      </c>
      <c r="U108" s="269" t="s">
        <v>2299</v>
      </c>
      <c r="V108" s="210"/>
      <c r="W108" s="271" t="s">
        <v>2299</v>
      </c>
      <c r="X108" s="7"/>
      <c r="Y108" s="7"/>
      <c r="Z108" s="209" t="s">
        <v>2299</v>
      </c>
      <c r="AA108" s="7"/>
      <c r="AB108" s="7"/>
      <c r="AD108" s="7"/>
      <c r="AE108" s="7"/>
      <c r="AF108" s="7"/>
      <c r="AG108" s="7"/>
      <c r="AH108" s="7"/>
      <c r="AI108" s="7"/>
      <c r="AJ108" s="7"/>
      <c r="AK108" s="7"/>
    </row>
    <row r="109" spans="1:37">
      <c r="A109" s="7"/>
      <c r="B109" s="7"/>
      <c r="C109" s="7"/>
      <c r="D109" s="7"/>
      <c r="E109" s="7"/>
      <c r="F109" s="7"/>
      <c r="G109" s="7"/>
      <c r="H109" s="208" t="s">
        <v>2299</v>
      </c>
      <c r="I109" s="7"/>
      <c r="J109" s="7"/>
      <c r="K109" s="7"/>
      <c r="L109" s="7"/>
      <c r="M109" s="209" t="s">
        <v>2299</v>
      </c>
      <c r="N109" s="7"/>
      <c r="O109" s="7"/>
      <c r="P109" s="7"/>
      <c r="Q109" s="7"/>
      <c r="R109" s="7"/>
      <c r="S109" s="7"/>
      <c r="T109" s="209" t="s">
        <v>2299</v>
      </c>
      <c r="U109" s="269" t="s">
        <v>2299</v>
      </c>
      <c r="V109" s="210"/>
      <c r="W109" s="271" t="s">
        <v>2299</v>
      </c>
      <c r="X109" s="7"/>
      <c r="Y109" s="7"/>
      <c r="Z109" s="209" t="s">
        <v>2299</v>
      </c>
      <c r="AA109" s="7"/>
      <c r="AB109" s="7"/>
      <c r="AD109" s="7"/>
      <c r="AE109" s="7"/>
      <c r="AF109" s="7"/>
      <c r="AG109" s="7"/>
      <c r="AH109" s="7"/>
      <c r="AI109" s="7"/>
      <c r="AJ109" s="7"/>
      <c r="AK109" s="7"/>
    </row>
    <row r="110" spans="1:37">
      <c r="A110" s="7"/>
      <c r="B110" s="7"/>
      <c r="C110" s="7"/>
      <c r="D110" s="7"/>
      <c r="E110" s="7"/>
      <c r="F110" s="7"/>
      <c r="G110" s="7"/>
      <c r="H110" s="208" t="s">
        <v>2299</v>
      </c>
      <c r="I110" s="7"/>
      <c r="J110" s="7"/>
      <c r="K110" s="7"/>
      <c r="L110" s="7"/>
      <c r="M110" s="209" t="s">
        <v>2299</v>
      </c>
      <c r="N110" s="7"/>
      <c r="O110" s="7"/>
      <c r="P110" s="7"/>
      <c r="Q110" s="7"/>
      <c r="R110" s="7"/>
      <c r="S110" s="7"/>
      <c r="T110" s="209" t="s">
        <v>2299</v>
      </c>
      <c r="U110" s="269" t="s">
        <v>2299</v>
      </c>
      <c r="V110" s="210"/>
      <c r="W110" s="271" t="s">
        <v>2299</v>
      </c>
      <c r="X110" s="7"/>
      <c r="Y110" s="7"/>
      <c r="Z110" s="209" t="s">
        <v>2299</v>
      </c>
      <c r="AA110" s="7"/>
      <c r="AB110" s="7"/>
      <c r="AD110" s="7"/>
      <c r="AE110" s="7"/>
      <c r="AF110" s="7"/>
      <c r="AG110" s="7"/>
      <c r="AH110" s="7"/>
      <c r="AI110" s="7"/>
      <c r="AJ110" s="7"/>
      <c r="AK110" s="7"/>
    </row>
    <row r="111" spans="1:37">
      <c r="A111" s="7"/>
      <c r="B111" s="7"/>
      <c r="C111" s="7"/>
      <c r="D111" s="7"/>
      <c r="E111" s="7"/>
      <c r="F111" s="7"/>
      <c r="G111" s="7"/>
      <c r="H111" s="208" t="s">
        <v>2299</v>
      </c>
      <c r="I111" s="7"/>
      <c r="J111" s="7"/>
      <c r="K111" s="7"/>
      <c r="L111" s="7"/>
      <c r="M111" s="209" t="s">
        <v>2299</v>
      </c>
      <c r="N111" s="7"/>
      <c r="O111" s="7"/>
      <c r="P111" s="7"/>
      <c r="Q111" s="7"/>
      <c r="R111" s="7"/>
      <c r="S111" s="7"/>
      <c r="T111" s="209" t="s">
        <v>2299</v>
      </c>
      <c r="U111" s="269" t="s">
        <v>2299</v>
      </c>
      <c r="V111" s="210"/>
      <c r="W111" s="271" t="s">
        <v>2299</v>
      </c>
      <c r="X111" s="7"/>
      <c r="Y111" s="7"/>
      <c r="Z111" s="209" t="s">
        <v>2299</v>
      </c>
      <c r="AA111" s="7"/>
      <c r="AB111" s="7"/>
      <c r="AD111" s="7"/>
      <c r="AE111" s="7"/>
      <c r="AF111" s="7"/>
      <c r="AG111" s="7"/>
      <c r="AH111" s="7"/>
      <c r="AI111" s="7"/>
      <c r="AJ111" s="7"/>
      <c r="AK111" s="7"/>
    </row>
    <row r="112" spans="1:37">
      <c r="A112" s="7"/>
      <c r="B112" s="7"/>
      <c r="C112" s="7"/>
      <c r="D112" s="7"/>
      <c r="E112" s="7"/>
      <c r="F112" s="7"/>
      <c r="G112" s="7"/>
      <c r="H112" s="208" t="s">
        <v>2299</v>
      </c>
      <c r="I112" s="7"/>
      <c r="J112" s="7"/>
      <c r="K112" s="7"/>
      <c r="L112" s="7"/>
      <c r="M112" s="209" t="s">
        <v>2299</v>
      </c>
      <c r="N112" s="7"/>
      <c r="O112" s="7"/>
      <c r="P112" s="7"/>
      <c r="Q112" s="7"/>
      <c r="R112" s="7"/>
      <c r="S112" s="7"/>
      <c r="T112" s="209" t="s">
        <v>2299</v>
      </c>
      <c r="U112" s="269" t="s">
        <v>2299</v>
      </c>
      <c r="V112" s="210"/>
      <c r="W112" s="271" t="s">
        <v>2299</v>
      </c>
      <c r="X112" s="7"/>
      <c r="Y112" s="7"/>
      <c r="Z112" s="209" t="s">
        <v>2299</v>
      </c>
      <c r="AA112" s="7"/>
      <c r="AB112" s="7"/>
      <c r="AD112" s="7"/>
      <c r="AE112" s="7"/>
      <c r="AF112" s="7"/>
      <c r="AG112" s="7"/>
      <c r="AH112" s="7"/>
      <c r="AI112" s="7"/>
      <c r="AJ112" s="7"/>
      <c r="AK112" s="7"/>
    </row>
    <row r="113" spans="1:37">
      <c r="A113" s="7"/>
      <c r="B113" s="7"/>
      <c r="C113" s="7"/>
      <c r="D113" s="7"/>
      <c r="E113" s="7"/>
      <c r="F113" s="7"/>
      <c r="G113" s="7"/>
      <c r="H113" s="208" t="s">
        <v>2299</v>
      </c>
      <c r="I113" s="7"/>
      <c r="J113" s="7"/>
      <c r="K113" s="7"/>
      <c r="L113" s="7"/>
      <c r="M113" s="209" t="s">
        <v>2299</v>
      </c>
      <c r="N113" s="7"/>
      <c r="O113" s="7"/>
      <c r="P113" s="7"/>
      <c r="Q113" s="7"/>
      <c r="R113" s="7"/>
      <c r="S113" s="7"/>
      <c r="T113" s="209" t="s">
        <v>2299</v>
      </c>
      <c r="U113" s="269" t="s">
        <v>2299</v>
      </c>
      <c r="V113" s="210"/>
      <c r="W113" s="271" t="s">
        <v>2299</v>
      </c>
      <c r="X113" s="7"/>
      <c r="Y113" s="7"/>
      <c r="Z113" s="209" t="s">
        <v>2299</v>
      </c>
      <c r="AA113" s="7"/>
      <c r="AB113" s="7"/>
      <c r="AD113" s="7"/>
      <c r="AE113" s="7"/>
      <c r="AF113" s="7"/>
      <c r="AG113" s="7"/>
      <c r="AH113" s="7"/>
      <c r="AI113" s="7"/>
      <c r="AJ113" s="7"/>
      <c r="AK113" s="7"/>
    </row>
    <row r="114" spans="1:37">
      <c r="A114" s="7"/>
      <c r="B114" s="7"/>
      <c r="C114" s="7"/>
      <c r="D114" s="7"/>
      <c r="E114" s="7"/>
      <c r="F114" s="7"/>
      <c r="G114" s="7"/>
      <c r="H114" s="208" t="s">
        <v>2299</v>
      </c>
      <c r="I114" s="7"/>
      <c r="J114" s="7"/>
      <c r="K114" s="7"/>
      <c r="L114" s="7"/>
      <c r="M114" s="209" t="s">
        <v>2299</v>
      </c>
      <c r="N114" s="7"/>
      <c r="O114" s="7"/>
      <c r="P114" s="7"/>
      <c r="Q114" s="7"/>
      <c r="R114" s="7"/>
      <c r="S114" s="7"/>
      <c r="T114" s="209" t="s">
        <v>2299</v>
      </c>
      <c r="U114" s="269" t="s">
        <v>2299</v>
      </c>
      <c r="V114" s="210"/>
      <c r="W114" s="271" t="s">
        <v>2299</v>
      </c>
      <c r="X114" s="7"/>
      <c r="Y114" s="7"/>
      <c r="Z114" s="209" t="s">
        <v>2299</v>
      </c>
      <c r="AA114" s="7"/>
      <c r="AB114" s="7"/>
      <c r="AD114" s="7"/>
      <c r="AE114" s="7"/>
      <c r="AF114" s="7"/>
      <c r="AG114" s="7"/>
      <c r="AH114" s="7"/>
      <c r="AI114" s="7"/>
      <c r="AJ114" s="7"/>
      <c r="AK114" s="7"/>
    </row>
    <row r="115" spans="1:37">
      <c r="A115" s="7"/>
      <c r="B115" s="7"/>
      <c r="C115" s="7"/>
      <c r="D115" s="7"/>
      <c r="E115" s="7"/>
      <c r="F115" s="7"/>
      <c r="G115" s="7"/>
      <c r="H115" s="208" t="s">
        <v>2299</v>
      </c>
      <c r="I115" s="7"/>
      <c r="J115" s="7"/>
      <c r="K115" s="7"/>
      <c r="L115" s="7"/>
      <c r="M115" s="209" t="s">
        <v>2299</v>
      </c>
      <c r="N115" s="7"/>
      <c r="O115" s="7"/>
      <c r="P115" s="7"/>
      <c r="Q115" s="7"/>
      <c r="R115" s="7"/>
      <c r="S115" s="7"/>
      <c r="T115" s="209" t="s">
        <v>2299</v>
      </c>
      <c r="U115" s="269" t="s">
        <v>2299</v>
      </c>
      <c r="V115" s="210"/>
      <c r="W115" s="271" t="s">
        <v>2299</v>
      </c>
      <c r="X115" s="7"/>
      <c r="Y115" s="7"/>
      <c r="Z115" s="209" t="s">
        <v>2299</v>
      </c>
      <c r="AA115" s="7"/>
      <c r="AB115" s="7"/>
      <c r="AD115" s="7"/>
      <c r="AE115" s="7"/>
      <c r="AF115" s="7"/>
      <c r="AG115" s="7"/>
      <c r="AH115" s="7"/>
      <c r="AI115" s="7"/>
      <c r="AJ115" s="7"/>
      <c r="AK115" s="7"/>
    </row>
    <row r="116" spans="1:37">
      <c r="A116" s="7"/>
      <c r="B116" s="7"/>
      <c r="C116" s="7"/>
      <c r="D116" s="7"/>
      <c r="E116" s="7"/>
      <c r="F116" s="7"/>
      <c r="G116" s="7"/>
      <c r="H116" s="208" t="s">
        <v>2299</v>
      </c>
      <c r="I116" s="7"/>
      <c r="J116" s="7"/>
      <c r="K116" s="7"/>
      <c r="L116" s="7"/>
      <c r="M116" s="209" t="s">
        <v>2299</v>
      </c>
      <c r="N116" s="7"/>
      <c r="O116" s="7"/>
      <c r="P116" s="7"/>
      <c r="Q116" s="7"/>
      <c r="R116" s="7"/>
      <c r="S116" s="7"/>
      <c r="T116" s="209" t="s">
        <v>2299</v>
      </c>
      <c r="U116" s="269" t="s">
        <v>2299</v>
      </c>
      <c r="V116" s="210"/>
      <c r="W116" s="271" t="s">
        <v>2299</v>
      </c>
      <c r="X116" s="7"/>
      <c r="Y116" s="7"/>
      <c r="Z116" s="209" t="s">
        <v>2299</v>
      </c>
      <c r="AA116" s="7"/>
      <c r="AB116" s="7"/>
      <c r="AD116" s="7"/>
      <c r="AE116" s="7"/>
      <c r="AF116" s="7"/>
      <c r="AG116" s="7"/>
      <c r="AH116" s="7"/>
      <c r="AI116" s="7"/>
      <c r="AJ116" s="7"/>
      <c r="AK116" s="7"/>
    </row>
    <row r="117" spans="1:37">
      <c r="A117" s="7"/>
      <c r="B117" s="7"/>
      <c r="C117" s="7"/>
      <c r="D117" s="7"/>
      <c r="E117" s="7"/>
      <c r="F117" s="7"/>
      <c r="G117" s="7"/>
      <c r="H117" s="208" t="s">
        <v>2299</v>
      </c>
      <c r="I117" s="7"/>
      <c r="J117" s="7"/>
      <c r="K117" s="7"/>
      <c r="L117" s="7"/>
      <c r="M117" s="209" t="s">
        <v>2299</v>
      </c>
      <c r="N117" s="7"/>
      <c r="O117" s="7"/>
      <c r="P117" s="7"/>
      <c r="Q117" s="7"/>
      <c r="R117" s="7"/>
      <c r="S117" s="7"/>
      <c r="T117" s="209" t="s">
        <v>2299</v>
      </c>
      <c r="U117" s="269" t="s">
        <v>2299</v>
      </c>
      <c r="V117" s="210"/>
      <c r="W117" s="271" t="s">
        <v>2299</v>
      </c>
      <c r="X117" s="7"/>
      <c r="Y117" s="7"/>
      <c r="Z117" s="209" t="s">
        <v>2299</v>
      </c>
      <c r="AA117" s="7"/>
      <c r="AB117" s="7"/>
      <c r="AD117" s="7"/>
      <c r="AE117" s="7"/>
      <c r="AF117" s="7"/>
      <c r="AG117" s="7"/>
      <c r="AH117" s="7"/>
      <c r="AI117" s="7"/>
      <c r="AJ117" s="7"/>
      <c r="AK117" s="7"/>
    </row>
    <row r="118" spans="1:37">
      <c r="A118" s="7"/>
      <c r="B118" s="7"/>
      <c r="C118" s="7"/>
      <c r="D118" s="7"/>
      <c r="E118" s="7"/>
      <c r="F118" s="7"/>
      <c r="G118" s="7"/>
      <c r="H118" s="208" t="s">
        <v>2299</v>
      </c>
      <c r="I118" s="7"/>
      <c r="J118" s="7"/>
      <c r="K118" s="7"/>
      <c r="L118" s="7"/>
      <c r="M118" s="209" t="s">
        <v>2299</v>
      </c>
      <c r="N118" s="7"/>
      <c r="O118" s="7"/>
      <c r="P118" s="7"/>
      <c r="Q118" s="7"/>
      <c r="R118" s="7"/>
      <c r="S118" s="7"/>
      <c r="T118" s="209" t="s">
        <v>2299</v>
      </c>
      <c r="U118" s="269" t="s">
        <v>2299</v>
      </c>
      <c r="V118" s="210"/>
      <c r="W118" s="271" t="s">
        <v>2299</v>
      </c>
      <c r="X118" s="7"/>
      <c r="Y118" s="7"/>
      <c r="Z118" s="209" t="s">
        <v>2299</v>
      </c>
      <c r="AA118" s="7"/>
      <c r="AB118" s="7"/>
      <c r="AD118" s="7"/>
      <c r="AE118" s="7"/>
      <c r="AF118" s="7"/>
      <c r="AG118" s="7"/>
      <c r="AH118" s="7"/>
      <c r="AI118" s="7"/>
      <c r="AJ118" s="7"/>
      <c r="AK118" s="7"/>
    </row>
    <row r="119" spans="1:37">
      <c r="A119" s="7"/>
      <c r="B119" s="7"/>
      <c r="C119" s="7"/>
      <c r="D119" s="7"/>
      <c r="E119" s="7"/>
      <c r="F119" s="7"/>
      <c r="G119" s="7"/>
      <c r="H119" s="208" t="s">
        <v>2299</v>
      </c>
      <c r="I119" s="7"/>
      <c r="J119" s="7"/>
      <c r="K119" s="7"/>
      <c r="L119" s="7"/>
      <c r="M119" s="209" t="s">
        <v>2299</v>
      </c>
      <c r="N119" s="7"/>
      <c r="O119" s="7"/>
      <c r="P119" s="7"/>
      <c r="Q119" s="7"/>
      <c r="R119" s="7"/>
      <c r="S119" s="7"/>
      <c r="T119" s="209" t="s">
        <v>2299</v>
      </c>
      <c r="U119" s="269" t="s">
        <v>2299</v>
      </c>
      <c r="V119" s="210"/>
      <c r="W119" s="271" t="s">
        <v>2299</v>
      </c>
      <c r="X119" s="7"/>
      <c r="Y119" s="7"/>
      <c r="Z119" s="209" t="s">
        <v>2299</v>
      </c>
      <c r="AA119" s="7"/>
      <c r="AB119" s="7"/>
      <c r="AD119" s="7"/>
      <c r="AE119" s="7"/>
      <c r="AF119" s="7"/>
      <c r="AG119" s="7"/>
      <c r="AH119" s="7"/>
      <c r="AI119" s="7"/>
      <c r="AJ119" s="7"/>
      <c r="AK119" s="7"/>
    </row>
    <row r="120" spans="1:37">
      <c r="A120" s="7"/>
      <c r="B120" s="7"/>
      <c r="C120" s="7"/>
      <c r="D120" s="7"/>
      <c r="E120" s="7"/>
      <c r="F120" s="7"/>
      <c r="G120" s="7"/>
      <c r="H120" s="208" t="s">
        <v>2299</v>
      </c>
      <c r="I120" s="7"/>
      <c r="J120" s="7"/>
      <c r="K120" s="7"/>
      <c r="L120" s="7"/>
      <c r="M120" s="209" t="s">
        <v>2299</v>
      </c>
      <c r="N120" s="7"/>
      <c r="O120" s="7"/>
      <c r="P120" s="7"/>
      <c r="Q120" s="7"/>
      <c r="R120" s="7"/>
      <c r="S120" s="7"/>
      <c r="T120" s="209" t="s">
        <v>2299</v>
      </c>
      <c r="U120" s="269" t="s">
        <v>2299</v>
      </c>
      <c r="V120" s="210"/>
      <c r="W120" s="271" t="s">
        <v>2299</v>
      </c>
      <c r="X120" s="7"/>
      <c r="Y120" s="7"/>
      <c r="Z120" s="209" t="s">
        <v>2299</v>
      </c>
      <c r="AA120" s="7"/>
      <c r="AB120" s="7"/>
      <c r="AD120" s="7"/>
      <c r="AE120" s="7"/>
      <c r="AF120" s="7"/>
      <c r="AG120" s="7"/>
      <c r="AH120" s="7"/>
      <c r="AI120" s="7"/>
      <c r="AJ120" s="7"/>
      <c r="AK120" s="7"/>
    </row>
    <row r="121" spans="1:37">
      <c r="A121" s="7"/>
      <c r="B121" s="7"/>
      <c r="C121" s="7"/>
      <c r="D121" s="7"/>
      <c r="E121" s="7"/>
      <c r="F121" s="7"/>
      <c r="G121" s="7"/>
      <c r="H121" s="208" t="s">
        <v>2299</v>
      </c>
      <c r="I121" s="7"/>
      <c r="J121" s="7"/>
      <c r="K121" s="7"/>
      <c r="L121" s="7"/>
      <c r="M121" s="209" t="s">
        <v>2299</v>
      </c>
      <c r="N121" s="7"/>
      <c r="O121" s="7"/>
      <c r="P121" s="7"/>
      <c r="Q121" s="7"/>
      <c r="R121" s="7"/>
      <c r="S121" s="7"/>
      <c r="T121" s="209" t="s">
        <v>2299</v>
      </c>
      <c r="U121" s="269" t="s">
        <v>2299</v>
      </c>
      <c r="V121" s="210"/>
      <c r="W121" s="271" t="s">
        <v>2299</v>
      </c>
      <c r="X121" s="7"/>
      <c r="Y121" s="7"/>
      <c r="Z121" s="209" t="s">
        <v>2299</v>
      </c>
      <c r="AA121" s="7"/>
      <c r="AB121" s="7"/>
      <c r="AD121" s="7"/>
      <c r="AE121" s="7"/>
      <c r="AF121" s="7"/>
      <c r="AG121" s="7"/>
      <c r="AH121" s="7"/>
      <c r="AI121" s="7"/>
      <c r="AJ121" s="7"/>
      <c r="AK121" s="7"/>
    </row>
    <row r="122" spans="1:37">
      <c r="A122" s="7"/>
      <c r="B122" s="7"/>
      <c r="C122" s="7"/>
      <c r="D122" s="7"/>
      <c r="E122" s="7"/>
      <c r="F122" s="7"/>
      <c r="G122" s="7"/>
      <c r="H122" s="208" t="s">
        <v>2299</v>
      </c>
      <c r="I122" s="7"/>
      <c r="J122" s="7"/>
      <c r="K122" s="7"/>
      <c r="L122" s="7"/>
      <c r="M122" s="209" t="s">
        <v>2299</v>
      </c>
      <c r="N122" s="7"/>
      <c r="O122" s="7"/>
      <c r="P122" s="7"/>
      <c r="Q122" s="7"/>
      <c r="R122" s="7"/>
      <c r="S122" s="7"/>
      <c r="T122" s="209" t="s">
        <v>2299</v>
      </c>
      <c r="U122" s="269" t="s">
        <v>2299</v>
      </c>
      <c r="V122" s="210"/>
      <c r="W122" s="271" t="s">
        <v>2299</v>
      </c>
      <c r="X122" s="7"/>
      <c r="Y122" s="7"/>
      <c r="Z122" s="209" t="s">
        <v>2299</v>
      </c>
      <c r="AA122" s="7"/>
      <c r="AB122" s="7"/>
      <c r="AD122" s="7"/>
      <c r="AE122" s="7"/>
      <c r="AF122" s="7"/>
      <c r="AG122" s="7"/>
      <c r="AH122" s="7"/>
      <c r="AI122" s="7"/>
      <c r="AJ122" s="7"/>
      <c r="AK122" s="7"/>
    </row>
    <row r="123" spans="1:37">
      <c r="A123" s="7"/>
      <c r="B123" s="7"/>
      <c r="C123" s="7"/>
      <c r="D123" s="7"/>
      <c r="E123" s="7"/>
      <c r="F123" s="7"/>
      <c r="G123" s="7"/>
      <c r="H123" s="208" t="s">
        <v>2299</v>
      </c>
      <c r="I123" s="7"/>
      <c r="J123" s="7"/>
      <c r="K123" s="7"/>
      <c r="L123" s="7"/>
      <c r="M123" s="209" t="s">
        <v>2299</v>
      </c>
      <c r="N123" s="7"/>
      <c r="O123" s="7"/>
      <c r="P123" s="7"/>
      <c r="Q123" s="7"/>
      <c r="R123" s="7"/>
      <c r="S123" s="7"/>
      <c r="T123" s="209" t="s">
        <v>2299</v>
      </c>
      <c r="U123" s="269" t="s">
        <v>2299</v>
      </c>
      <c r="V123" s="210"/>
      <c r="W123" s="271" t="s">
        <v>2299</v>
      </c>
      <c r="X123" s="7"/>
      <c r="Y123" s="7"/>
      <c r="Z123" s="209" t="s">
        <v>2299</v>
      </c>
      <c r="AA123" s="7"/>
      <c r="AB123" s="7"/>
      <c r="AD123" s="7"/>
      <c r="AE123" s="7"/>
      <c r="AF123" s="7"/>
      <c r="AG123" s="7"/>
      <c r="AH123" s="7"/>
      <c r="AI123" s="7"/>
      <c r="AJ123" s="7"/>
      <c r="AK123" s="7"/>
    </row>
    <row r="124" spans="1:37">
      <c r="A124" s="7"/>
      <c r="B124" s="7"/>
      <c r="C124" s="7"/>
      <c r="D124" s="7"/>
      <c r="E124" s="7"/>
      <c r="F124" s="7"/>
      <c r="G124" s="7"/>
      <c r="H124" s="208" t="s">
        <v>2299</v>
      </c>
      <c r="I124" s="7"/>
      <c r="J124" s="7"/>
      <c r="K124" s="7"/>
      <c r="L124" s="7"/>
      <c r="M124" s="209" t="s">
        <v>2299</v>
      </c>
      <c r="N124" s="7"/>
      <c r="O124" s="7"/>
      <c r="P124" s="7"/>
      <c r="Q124" s="7"/>
      <c r="R124" s="7"/>
      <c r="S124" s="7"/>
      <c r="T124" s="209" t="s">
        <v>2299</v>
      </c>
      <c r="U124" s="269" t="s">
        <v>2299</v>
      </c>
      <c r="V124" s="210"/>
      <c r="W124" s="271" t="s">
        <v>2299</v>
      </c>
      <c r="X124" s="7"/>
      <c r="Y124" s="7"/>
      <c r="Z124" s="209" t="s">
        <v>2299</v>
      </c>
      <c r="AA124" s="7"/>
      <c r="AB124" s="7"/>
      <c r="AD124" s="7"/>
      <c r="AE124" s="7"/>
      <c r="AF124" s="7"/>
      <c r="AG124" s="7"/>
      <c r="AH124" s="7"/>
      <c r="AI124" s="7"/>
      <c r="AJ124" s="7"/>
      <c r="AK124" s="7"/>
    </row>
    <row r="125" spans="1:37">
      <c r="A125" s="7"/>
      <c r="B125" s="7"/>
      <c r="C125" s="7"/>
      <c r="D125" s="7"/>
      <c r="E125" s="7"/>
      <c r="F125" s="7"/>
      <c r="G125" s="7"/>
      <c r="H125" s="208" t="s">
        <v>2299</v>
      </c>
      <c r="I125" s="7"/>
      <c r="J125" s="7"/>
      <c r="K125" s="7"/>
      <c r="L125" s="7"/>
      <c r="M125" s="209" t="s">
        <v>2299</v>
      </c>
      <c r="N125" s="7"/>
      <c r="O125" s="7"/>
      <c r="P125" s="7"/>
      <c r="Q125" s="7"/>
      <c r="R125" s="7"/>
      <c r="S125" s="7"/>
      <c r="T125" s="209" t="s">
        <v>2299</v>
      </c>
      <c r="U125" s="269" t="s">
        <v>2299</v>
      </c>
      <c r="V125" s="210"/>
      <c r="W125" s="271" t="s">
        <v>2299</v>
      </c>
      <c r="X125" s="7"/>
      <c r="Y125" s="7"/>
      <c r="Z125" s="209" t="s">
        <v>2299</v>
      </c>
      <c r="AA125" s="7"/>
      <c r="AB125" s="7"/>
      <c r="AD125" s="7"/>
      <c r="AE125" s="7"/>
      <c r="AF125" s="7"/>
      <c r="AG125" s="7"/>
      <c r="AH125" s="7"/>
      <c r="AI125" s="7"/>
      <c r="AJ125" s="7"/>
      <c r="AK125" s="7"/>
    </row>
    <row r="126" spans="1:37">
      <c r="A126" s="7"/>
      <c r="B126" s="7"/>
      <c r="C126" s="7"/>
      <c r="D126" s="7"/>
      <c r="E126" s="7"/>
      <c r="F126" s="7"/>
      <c r="G126" s="7"/>
      <c r="H126" s="208" t="s">
        <v>2299</v>
      </c>
      <c r="I126" s="7"/>
      <c r="J126" s="7"/>
      <c r="K126" s="7"/>
      <c r="L126" s="7"/>
      <c r="M126" s="209" t="s">
        <v>2299</v>
      </c>
      <c r="N126" s="7"/>
      <c r="O126" s="7"/>
      <c r="P126" s="7"/>
      <c r="Q126" s="7"/>
      <c r="R126" s="7"/>
      <c r="S126" s="7"/>
      <c r="T126" s="209" t="s">
        <v>2299</v>
      </c>
      <c r="U126" s="269" t="s">
        <v>2299</v>
      </c>
      <c r="V126" s="210"/>
      <c r="W126" s="271" t="s">
        <v>2299</v>
      </c>
      <c r="X126" s="7"/>
      <c r="Y126" s="7"/>
      <c r="Z126" s="209" t="s">
        <v>2299</v>
      </c>
      <c r="AA126" s="7"/>
      <c r="AB126" s="7"/>
      <c r="AD126" s="7"/>
      <c r="AE126" s="7"/>
      <c r="AF126" s="7"/>
      <c r="AG126" s="7"/>
      <c r="AH126" s="7"/>
      <c r="AI126" s="7"/>
      <c r="AJ126" s="7"/>
      <c r="AK126" s="7"/>
    </row>
    <row r="127" spans="1:37">
      <c r="A127" s="7"/>
      <c r="B127" s="7"/>
      <c r="C127" s="7"/>
      <c r="D127" s="7"/>
      <c r="E127" s="7"/>
      <c r="F127" s="7"/>
      <c r="G127" s="7"/>
      <c r="H127" s="208" t="s">
        <v>2299</v>
      </c>
      <c r="I127" s="7"/>
      <c r="J127" s="7"/>
      <c r="K127" s="7"/>
      <c r="L127" s="7"/>
      <c r="M127" s="209" t="s">
        <v>2299</v>
      </c>
      <c r="N127" s="7"/>
      <c r="O127" s="7"/>
      <c r="P127" s="7"/>
      <c r="Q127" s="7"/>
      <c r="R127" s="7"/>
      <c r="S127" s="7"/>
      <c r="T127" s="209" t="s">
        <v>2299</v>
      </c>
      <c r="U127" s="269" t="s">
        <v>2299</v>
      </c>
      <c r="V127" s="210"/>
      <c r="W127" s="271" t="s">
        <v>2299</v>
      </c>
      <c r="X127" s="7"/>
      <c r="Y127" s="7"/>
      <c r="Z127" s="209" t="s">
        <v>2299</v>
      </c>
      <c r="AA127" s="7"/>
      <c r="AB127" s="7"/>
      <c r="AD127" s="7"/>
      <c r="AE127" s="7"/>
      <c r="AF127" s="7"/>
      <c r="AG127" s="7"/>
      <c r="AH127" s="7"/>
      <c r="AI127" s="7"/>
      <c r="AJ127" s="7"/>
      <c r="AK127" s="7"/>
    </row>
    <row r="128" spans="1:37">
      <c r="A128" s="7"/>
      <c r="B128" s="7"/>
      <c r="C128" s="7"/>
      <c r="D128" s="7"/>
      <c r="E128" s="7"/>
      <c r="F128" s="7"/>
      <c r="G128" s="7"/>
      <c r="H128" s="208" t="s">
        <v>2299</v>
      </c>
      <c r="I128" s="7"/>
      <c r="J128" s="7"/>
      <c r="K128" s="7"/>
      <c r="L128" s="7"/>
      <c r="M128" s="209" t="s">
        <v>2299</v>
      </c>
      <c r="N128" s="7"/>
      <c r="O128" s="7"/>
      <c r="P128" s="7"/>
      <c r="Q128" s="7"/>
      <c r="R128" s="7"/>
      <c r="S128" s="7"/>
      <c r="T128" s="209" t="s">
        <v>2299</v>
      </c>
      <c r="U128" s="269" t="s">
        <v>2299</v>
      </c>
      <c r="V128" s="210"/>
      <c r="W128" s="271" t="s">
        <v>2299</v>
      </c>
      <c r="X128" s="7"/>
      <c r="Y128" s="7"/>
      <c r="Z128" s="209" t="s">
        <v>2299</v>
      </c>
      <c r="AA128" s="7"/>
      <c r="AB128" s="7"/>
      <c r="AD128" s="7"/>
      <c r="AE128" s="7"/>
      <c r="AF128" s="7"/>
      <c r="AG128" s="7"/>
      <c r="AH128" s="7"/>
      <c r="AI128" s="7"/>
      <c r="AJ128" s="7"/>
      <c r="AK128" s="7"/>
    </row>
    <row r="129" spans="1:37">
      <c r="A129" s="7"/>
      <c r="B129" s="7"/>
      <c r="C129" s="7"/>
      <c r="D129" s="7"/>
      <c r="E129" s="7"/>
      <c r="F129" s="7"/>
      <c r="G129" s="7"/>
      <c r="H129" s="208" t="s">
        <v>2299</v>
      </c>
      <c r="I129" s="7"/>
      <c r="J129" s="7"/>
      <c r="K129" s="7"/>
      <c r="L129" s="7"/>
      <c r="M129" s="209" t="s">
        <v>2299</v>
      </c>
      <c r="N129" s="7"/>
      <c r="O129" s="7"/>
      <c r="P129" s="7"/>
      <c r="Q129" s="7"/>
      <c r="R129" s="7"/>
      <c r="S129" s="7"/>
      <c r="T129" s="209" t="s">
        <v>2299</v>
      </c>
      <c r="U129" s="269" t="s">
        <v>2299</v>
      </c>
      <c r="V129" s="210"/>
      <c r="W129" s="271" t="s">
        <v>2299</v>
      </c>
      <c r="X129" s="7"/>
      <c r="Y129" s="7"/>
      <c r="Z129" s="209" t="s">
        <v>2299</v>
      </c>
      <c r="AA129" s="7"/>
      <c r="AB129" s="7"/>
      <c r="AD129" s="7"/>
      <c r="AE129" s="7"/>
      <c r="AF129" s="7"/>
      <c r="AG129" s="7"/>
      <c r="AH129" s="7"/>
      <c r="AI129" s="7"/>
      <c r="AJ129" s="7"/>
      <c r="AK129" s="7"/>
    </row>
    <row r="130" spans="1:37">
      <c r="A130" s="7"/>
      <c r="B130" s="7"/>
      <c r="C130" s="7"/>
      <c r="D130" s="7"/>
      <c r="E130" s="7"/>
      <c r="F130" s="7"/>
      <c r="G130" s="7"/>
      <c r="H130" s="208" t="s">
        <v>2299</v>
      </c>
      <c r="I130" s="7"/>
      <c r="J130" s="7"/>
      <c r="K130" s="7"/>
      <c r="L130" s="7"/>
      <c r="M130" s="209" t="s">
        <v>2299</v>
      </c>
      <c r="N130" s="7"/>
      <c r="O130" s="7"/>
      <c r="P130" s="7"/>
      <c r="Q130" s="7"/>
      <c r="R130" s="7"/>
      <c r="S130" s="7"/>
      <c r="T130" s="209" t="s">
        <v>2299</v>
      </c>
      <c r="U130" s="269" t="s">
        <v>2299</v>
      </c>
      <c r="V130" s="210"/>
      <c r="W130" s="271" t="s">
        <v>2299</v>
      </c>
      <c r="X130" s="7"/>
      <c r="Y130" s="7"/>
      <c r="Z130" s="209" t="s">
        <v>2299</v>
      </c>
      <c r="AA130" s="7"/>
      <c r="AB130" s="7"/>
      <c r="AD130" s="7"/>
      <c r="AE130" s="7"/>
      <c r="AF130" s="7"/>
      <c r="AG130" s="7"/>
      <c r="AH130" s="7"/>
      <c r="AI130" s="7"/>
      <c r="AJ130" s="7"/>
      <c r="AK130" s="7"/>
    </row>
    <row r="131" spans="1:37">
      <c r="A131" s="7"/>
      <c r="B131" s="7"/>
      <c r="C131" s="7"/>
      <c r="D131" s="7"/>
      <c r="E131" s="7"/>
      <c r="F131" s="7"/>
      <c r="G131" s="7"/>
      <c r="H131" s="208" t="s">
        <v>2299</v>
      </c>
      <c r="I131" s="7"/>
      <c r="J131" s="7"/>
      <c r="K131" s="7"/>
      <c r="L131" s="7"/>
      <c r="M131" s="209" t="s">
        <v>2299</v>
      </c>
      <c r="N131" s="7"/>
      <c r="O131" s="7"/>
      <c r="P131" s="7"/>
      <c r="Q131" s="7"/>
      <c r="R131" s="7"/>
      <c r="S131" s="7"/>
      <c r="T131" s="209" t="s">
        <v>2299</v>
      </c>
      <c r="U131" s="269" t="s">
        <v>2299</v>
      </c>
      <c r="V131" s="210"/>
      <c r="W131" s="271" t="s">
        <v>2299</v>
      </c>
      <c r="X131" s="7"/>
      <c r="Y131" s="7"/>
      <c r="Z131" s="209" t="s">
        <v>2299</v>
      </c>
      <c r="AA131" s="7"/>
      <c r="AB131" s="7"/>
      <c r="AD131" s="7"/>
      <c r="AE131" s="7"/>
      <c r="AF131" s="7"/>
      <c r="AG131" s="7"/>
      <c r="AH131" s="7"/>
      <c r="AI131" s="7"/>
      <c r="AJ131" s="7"/>
      <c r="AK131" s="7"/>
    </row>
    <row r="132" spans="1:37">
      <c r="A132" s="7"/>
      <c r="B132" s="7"/>
      <c r="C132" s="7"/>
      <c r="D132" s="7"/>
      <c r="E132" s="7"/>
      <c r="F132" s="7"/>
      <c r="G132" s="7"/>
      <c r="H132" s="208" t="s">
        <v>2299</v>
      </c>
      <c r="I132" s="7"/>
      <c r="J132" s="7"/>
      <c r="K132" s="7"/>
      <c r="L132" s="7"/>
      <c r="M132" s="209" t="s">
        <v>2299</v>
      </c>
      <c r="N132" s="7"/>
      <c r="O132" s="7"/>
      <c r="P132" s="7"/>
      <c r="Q132" s="7"/>
      <c r="R132" s="7"/>
      <c r="S132" s="7"/>
      <c r="T132" s="209" t="s">
        <v>2299</v>
      </c>
      <c r="U132" s="269" t="s">
        <v>2299</v>
      </c>
      <c r="V132" s="210"/>
      <c r="W132" s="271" t="s">
        <v>2299</v>
      </c>
      <c r="X132" s="7"/>
      <c r="Y132" s="7"/>
      <c r="Z132" s="209" t="s">
        <v>2299</v>
      </c>
      <c r="AA132" s="7"/>
      <c r="AB132" s="7"/>
      <c r="AD132" s="7"/>
      <c r="AE132" s="7"/>
      <c r="AF132" s="7"/>
      <c r="AG132" s="7"/>
      <c r="AH132" s="7"/>
      <c r="AI132" s="7"/>
      <c r="AJ132" s="7"/>
      <c r="AK132" s="7"/>
    </row>
    <row r="133" spans="1:37">
      <c r="A133" s="7"/>
      <c r="B133" s="7"/>
      <c r="C133" s="7"/>
      <c r="D133" s="7"/>
      <c r="E133" s="7"/>
      <c r="F133" s="7"/>
      <c r="G133" s="7"/>
      <c r="H133" s="208" t="s">
        <v>2299</v>
      </c>
      <c r="I133" s="7"/>
      <c r="J133" s="7"/>
      <c r="K133" s="7"/>
      <c r="L133" s="7"/>
      <c r="M133" s="209" t="s">
        <v>2299</v>
      </c>
      <c r="N133" s="7"/>
      <c r="O133" s="7"/>
      <c r="P133" s="7"/>
      <c r="Q133" s="7"/>
      <c r="R133" s="7"/>
      <c r="S133" s="7"/>
      <c r="T133" s="209" t="s">
        <v>2299</v>
      </c>
      <c r="U133" s="269" t="s">
        <v>2299</v>
      </c>
      <c r="V133" s="210"/>
      <c r="W133" s="271" t="s">
        <v>2299</v>
      </c>
      <c r="X133" s="7"/>
      <c r="Y133" s="7"/>
      <c r="Z133" s="209" t="s">
        <v>2299</v>
      </c>
      <c r="AA133" s="7"/>
      <c r="AB133" s="7"/>
      <c r="AD133" s="7"/>
      <c r="AE133" s="7"/>
      <c r="AF133" s="7"/>
      <c r="AG133" s="7"/>
      <c r="AH133" s="7"/>
      <c r="AI133" s="7"/>
      <c r="AJ133" s="7"/>
      <c r="AK133" s="7"/>
    </row>
    <row r="134" spans="1:37">
      <c r="A134" s="7"/>
      <c r="B134" s="7"/>
      <c r="C134" s="7"/>
      <c r="D134" s="7"/>
      <c r="E134" s="7"/>
      <c r="F134" s="7"/>
      <c r="G134" s="7"/>
      <c r="H134" s="208" t="s">
        <v>2299</v>
      </c>
      <c r="I134" s="7"/>
      <c r="J134" s="7"/>
      <c r="K134" s="7"/>
      <c r="L134" s="7"/>
      <c r="M134" s="209" t="s">
        <v>2299</v>
      </c>
      <c r="N134" s="7"/>
      <c r="O134" s="7"/>
      <c r="P134" s="7"/>
      <c r="Q134" s="7"/>
      <c r="R134" s="7"/>
      <c r="S134" s="7"/>
      <c r="T134" s="209" t="s">
        <v>2299</v>
      </c>
      <c r="U134" s="269" t="s">
        <v>2299</v>
      </c>
      <c r="V134" s="210"/>
      <c r="W134" s="271" t="s">
        <v>2299</v>
      </c>
      <c r="X134" s="7"/>
      <c r="Y134" s="7"/>
      <c r="Z134" s="209" t="s">
        <v>2299</v>
      </c>
      <c r="AA134" s="7"/>
      <c r="AB134" s="7"/>
      <c r="AD134" s="7"/>
      <c r="AE134" s="7"/>
      <c r="AF134" s="7"/>
      <c r="AG134" s="7"/>
      <c r="AH134" s="7"/>
      <c r="AI134" s="7"/>
      <c r="AJ134" s="7"/>
      <c r="AK134" s="7"/>
    </row>
    <row r="135" spans="1:37">
      <c r="A135" s="7"/>
      <c r="B135" s="7"/>
      <c r="C135" s="7"/>
      <c r="D135" s="7"/>
      <c r="E135" s="7"/>
      <c r="F135" s="7"/>
      <c r="G135" s="7"/>
      <c r="H135" s="208" t="s">
        <v>2299</v>
      </c>
      <c r="I135" s="7"/>
      <c r="J135" s="7"/>
      <c r="K135" s="7"/>
      <c r="L135" s="7"/>
      <c r="M135" s="209" t="s">
        <v>2299</v>
      </c>
      <c r="N135" s="7"/>
      <c r="O135" s="7"/>
      <c r="P135" s="7"/>
      <c r="Q135" s="7"/>
      <c r="R135" s="7"/>
      <c r="S135" s="7"/>
      <c r="T135" s="209" t="s">
        <v>2299</v>
      </c>
      <c r="U135" s="269" t="s">
        <v>2299</v>
      </c>
      <c r="V135" s="210"/>
      <c r="W135" s="271" t="s">
        <v>2299</v>
      </c>
      <c r="X135" s="7"/>
      <c r="Y135" s="7"/>
      <c r="Z135" s="209" t="s">
        <v>2299</v>
      </c>
      <c r="AA135" s="7"/>
      <c r="AB135" s="7"/>
      <c r="AD135" s="7"/>
      <c r="AE135" s="7"/>
      <c r="AF135" s="7"/>
      <c r="AG135" s="7"/>
      <c r="AH135" s="7"/>
      <c r="AI135" s="7"/>
      <c r="AJ135" s="7"/>
      <c r="AK135" s="7"/>
    </row>
    <row r="136" spans="1:37">
      <c r="A136" s="7"/>
      <c r="B136" s="7"/>
      <c r="C136" s="7"/>
      <c r="D136" s="7"/>
      <c r="E136" s="7"/>
      <c r="F136" s="7"/>
      <c r="G136" s="7"/>
      <c r="H136" s="208" t="s">
        <v>2299</v>
      </c>
      <c r="I136" s="7"/>
      <c r="J136" s="7"/>
      <c r="K136" s="7"/>
      <c r="L136" s="7"/>
      <c r="M136" s="209" t="s">
        <v>2299</v>
      </c>
      <c r="N136" s="7"/>
      <c r="O136" s="7"/>
      <c r="P136" s="7"/>
      <c r="Q136" s="7"/>
      <c r="R136" s="7"/>
      <c r="S136" s="7"/>
      <c r="T136" s="209" t="s">
        <v>2299</v>
      </c>
      <c r="U136" s="269" t="s">
        <v>2299</v>
      </c>
      <c r="V136" s="210"/>
      <c r="W136" s="271" t="s">
        <v>2299</v>
      </c>
      <c r="X136" s="7"/>
      <c r="Y136" s="7"/>
      <c r="Z136" s="209" t="s">
        <v>2299</v>
      </c>
      <c r="AA136" s="7"/>
      <c r="AB136" s="7"/>
      <c r="AD136" s="7"/>
      <c r="AE136" s="7"/>
      <c r="AF136" s="7"/>
      <c r="AG136" s="7"/>
      <c r="AH136" s="7"/>
      <c r="AI136" s="7"/>
      <c r="AJ136" s="7"/>
      <c r="AK136" s="7"/>
    </row>
    <row r="137" spans="1:37">
      <c r="A137" s="7"/>
      <c r="B137" s="7"/>
      <c r="C137" s="7"/>
      <c r="D137" s="7"/>
      <c r="E137" s="7"/>
      <c r="F137" s="7"/>
      <c r="G137" s="7"/>
      <c r="H137" s="208" t="s">
        <v>2299</v>
      </c>
      <c r="I137" s="7"/>
      <c r="J137" s="7"/>
      <c r="K137" s="7"/>
      <c r="L137" s="7"/>
      <c r="M137" s="209" t="s">
        <v>2299</v>
      </c>
      <c r="N137" s="7"/>
      <c r="O137" s="7"/>
      <c r="P137" s="7"/>
      <c r="Q137" s="7"/>
      <c r="R137" s="7"/>
      <c r="S137" s="7"/>
      <c r="T137" s="209" t="s">
        <v>2299</v>
      </c>
      <c r="U137" s="269" t="s">
        <v>2299</v>
      </c>
      <c r="V137" s="210"/>
      <c r="W137" s="271" t="s">
        <v>2299</v>
      </c>
      <c r="X137" s="7"/>
      <c r="Y137" s="7"/>
      <c r="Z137" s="209" t="s">
        <v>2299</v>
      </c>
      <c r="AA137" s="7"/>
      <c r="AB137" s="7"/>
      <c r="AD137" s="7"/>
      <c r="AE137" s="7"/>
      <c r="AF137" s="7"/>
      <c r="AG137" s="7"/>
      <c r="AH137" s="7"/>
      <c r="AI137" s="7"/>
      <c r="AJ137" s="7"/>
      <c r="AK137" s="7"/>
    </row>
    <row r="138" spans="1:37">
      <c r="A138" s="7"/>
      <c r="B138" s="7"/>
      <c r="C138" s="7"/>
      <c r="D138" s="7"/>
      <c r="E138" s="7"/>
      <c r="F138" s="7"/>
      <c r="G138" s="7"/>
      <c r="H138" s="208" t="s">
        <v>2299</v>
      </c>
      <c r="I138" s="7"/>
      <c r="J138" s="7"/>
      <c r="K138" s="7"/>
      <c r="L138" s="7"/>
      <c r="M138" s="209" t="s">
        <v>2299</v>
      </c>
      <c r="N138" s="7"/>
      <c r="O138" s="7"/>
      <c r="P138" s="7"/>
      <c r="Q138" s="7"/>
      <c r="R138" s="7"/>
      <c r="S138" s="7"/>
      <c r="T138" s="209" t="s">
        <v>2299</v>
      </c>
      <c r="U138" s="269" t="s">
        <v>2299</v>
      </c>
      <c r="V138" s="210"/>
      <c r="W138" s="271" t="s">
        <v>2299</v>
      </c>
      <c r="X138" s="7"/>
      <c r="Y138" s="7"/>
      <c r="Z138" s="209" t="s">
        <v>2299</v>
      </c>
      <c r="AA138" s="7"/>
      <c r="AB138" s="7"/>
      <c r="AD138" s="7"/>
      <c r="AE138" s="7"/>
      <c r="AF138" s="7"/>
      <c r="AG138" s="7"/>
      <c r="AH138" s="7"/>
      <c r="AI138" s="7"/>
      <c r="AJ138" s="7"/>
      <c r="AK138" s="7"/>
    </row>
    <row r="139" spans="1:37">
      <c r="A139" s="7"/>
      <c r="B139" s="7"/>
      <c r="C139" s="7"/>
      <c r="D139" s="7"/>
      <c r="E139" s="7"/>
      <c r="F139" s="7"/>
      <c r="G139" s="7"/>
      <c r="H139" s="208" t="s">
        <v>2299</v>
      </c>
      <c r="I139" s="7"/>
      <c r="J139" s="7"/>
      <c r="K139" s="7"/>
      <c r="L139" s="7"/>
      <c r="M139" s="209" t="s">
        <v>2299</v>
      </c>
      <c r="N139" s="7"/>
      <c r="O139" s="7"/>
      <c r="P139" s="7"/>
      <c r="Q139" s="7"/>
      <c r="R139" s="7"/>
      <c r="S139" s="7"/>
      <c r="T139" s="209" t="s">
        <v>2299</v>
      </c>
      <c r="U139" s="269" t="s">
        <v>2299</v>
      </c>
      <c r="V139" s="210"/>
      <c r="W139" s="271" t="s">
        <v>2299</v>
      </c>
      <c r="X139" s="7"/>
      <c r="Y139" s="7"/>
      <c r="Z139" s="209" t="s">
        <v>2299</v>
      </c>
      <c r="AA139" s="7"/>
      <c r="AB139" s="7"/>
      <c r="AD139" s="7"/>
      <c r="AE139" s="7"/>
      <c r="AF139" s="7"/>
      <c r="AG139" s="7"/>
      <c r="AH139" s="7"/>
      <c r="AI139" s="7"/>
      <c r="AJ139" s="7"/>
      <c r="AK139" s="7"/>
    </row>
    <row r="140" spans="1:37">
      <c r="A140" s="7"/>
      <c r="B140" s="7"/>
      <c r="C140" s="7"/>
      <c r="D140" s="7"/>
      <c r="E140" s="7"/>
      <c r="F140" s="7"/>
      <c r="G140" s="7"/>
      <c r="H140" s="208" t="s">
        <v>2299</v>
      </c>
      <c r="I140" s="7"/>
      <c r="J140" s="7"/>
      <c r="K140" s="7"/>
      <c r="L140" s="7"/>
      <c r="M140" s="209" t="s">
        <v>2299</v>
      </c>
      <c r="N140" s="7"/>
      <c r="O140" s="7"/>
      <c r="P140" s="7"/>
      <c r="Q140" s="7"/>
      <c r="R140" s="7"/>
      <c r="S140" s="7"/>
      <c r="T140" s="209" t="s">
        <v>2299</v>
      </c>
      <c r="U140" s="269" t="s">
        <v>2299</v>
      </c>
      <c r="V140" s="210"/>
      <c r="W140" s="271" t="s">
        <v>2299</v>
      </c>
      <c r="X140" s="7"/>
      <c r="Y140" s="7"/>
      <c r="Z140" s="209" t="s">
        <v>2299</v>
      </c>
      <c r="AA140" s="7"/>
      <c r="AB140" s="7"/>
      <c r="AD140" s="7"/>
      <c r="AE140" s="7"/>
      <c r="AF140" s="7"/>
      <c r="AG140" s="7"/>
      <c r="AH140" s="7"/>
      <c r="AI140" s="7"/>
      <c r="AJ140" s="7"/>
      <c r="AK140" s="7"/>
    </row>
    <row r="141" spans="1:37">
      <c r="A141" s="7"/>
      <c r="B141" s="7"/>
      <c r="C141" s="7"/>
      <c r="D141" s="7"/>
      <c r="E141" s="7"/>
      <c r="F141" s="7"/>
      <c r="G141" s="7"/>
      <c r="H141" s="208" t="s">
        <v>2299</v>
      </c>
      <c r="I141" s="7"/>
      <c r="J141" s="7"/>
      <c r="K141" s="7"/>
      <c r="L141" s="7"/>
      <c r="M141" s="209" t="s">
        <v>2299</v>
      </c>
      <c r="N141" s="7"/>
      <c r="O141" s="7"/>
      <c r="P141" s="7"/>
      <c r="Q141" s="7"/>
      <c r="R141" s="7"/>
      <c r="S141" s="7"/>
      <c r="T141" s="209" t="s">
        <v>2299</v>
      </c>
      <c r="U141" s="269" t="s">
        <v>2299</v>
      </c>
      <c r="V141" s="210"/>
      <c r="W141" s="271" t="s">
        <v>2299</v>
      </c>
      <c r="X141" s="7"/>
      <c r="Y141" s="7"/>
      <c r="Z141" s="209" t="s">
        <v>2299</v>
      </c>
      <c r="AA141" s="7"/>
      <c r="AB141" s="7"/>
      <c r="AD141" s="7"/>
      <c r="AE141" s="7"/>
      <c r="AF141" s="7"/>
      <c r="AG141" s="7"/>
      <c r="AH141" s="7"/>
      <c r="AI141" s="7"/>
      <c r="AJ141" s="7"/>
      <c r="AK141" s="7"/>
    </row>
    <row r="142" spans="1:37">
      <c r="A142" s="7"/>
      <c r="B142" s="7"/>
      <c r="C142" s="7"/>
      <c r="D142" s="7"/>
      <c r="E142" s="7"/>
      <c r="F142" s="7"/>
      <c r="G142" s="7"/>
      <c r="H142" s="208" t="s">
        <v>2299</v>
      </c>
      <c r="I142" s="7"/>
      <c r="J142" s="7"/>
      <c r="K142" s="7"/>
      <c r="L142" s="7"/>
      <c r="M142" s="209" t="s">
        <v>2299</v>
      </c>
      <c r="N142" s="7"/>
      <c r="O142" s="7"/>
      <c r="P142" s="7"/>
      <c r="Q142" s="7"/>
      <c r="R142" s="7"/>
      <c r="S142" s="7"/>
      <c r="T142" s="209" t="s">
        <v>2299</v>
      </c>
      <c r="U142" s="269" t="s">
        <v>2299</v>
      </c>
      <c r="V142" s="210"/>
      <c r="W142" s="271" t="s">
        <v>2299</v>
      </c>
      <c r="X142" s="7"/>
      <c r="Y142" s="7"/>
      <c r="Z142" s="209" t="s">
        <v>2299</v>
      </c>
      <c r="AA142" s="7"/>
      <c r="AB142" s="7"/>
      <c r="AD142" s="7"/>
      <c r="AE142" s="7"/>
      <c r="AF142" s="7"/>
      <c r="AG142" s="7"/>
      <c r="AH142" s="7"/>
      <c r="AI142" s="7"/>
      <c r="AJ142" s="7"/>
      <c r="AK142" s="7"/>
    </row>
    <row r="143" spans="1:37">
      <c r="A143" s="7"/>
      <c r="B143" s="7"/>
      <c r="C143" s="7"/>
      <c r="D143" s="7"/>
      <c r="E143" s="7"/>
      <c r="F143" s="7"/>
      <c r="G143" s="7"/>
      <c r="H143" s="208" t="s">
        <v>2299</v>
      </c>
      <c r="I143" s="7"/>
      <c r="J143" s="7"/>
      <c r="K143" s="7"/>
      <c r="L143" s="7"/>
      <c r="M143" s="209" t="s">
        <v>2299</v>
      </c>
      <c r="N143" s="7"/>
      <c r="O143" s="7"/>
      <c r="P143" s="7"/>
      <c r="Q143" s="7"/>
      <c r="R143" s="7"/>
      <c r="S143" s="7"/>
      <c r="T143" s="209" t="s">
        <v>2299</v>
      </c>
      <c r="U143" s="269" t="s">
        <v>2299</v>
      </c>
      <c r="V143" s="210"/>
      <c r="W143" s="271" t="s">
        <v>2299</v>
      </c>
      <c r="X143" s="7"/>
      <c r="Y143" s="7"/>
      <c r="Z143" s="209" t="s">
        <v>2299</v>
      </c>
      <c r="AA143" s="7"/>
      <c r="AB143" s="7"/>
      <c r="AD143" s="7"/>
      <c r="AE143" s="7"/>
      <c r="AF143" s="7"/>
      <c r="AG143" s="7"/>
      <c r="AH143" s="7"/>
      <c r="AI143" s="7"/>
      <c r="AJ143" s="7"/>
      <c r="AK143" s="7"/>
    </row>
    <row r="144" spans="1:37">
      <c r="A144" s="7"/>
      <c r="B144" s="7"/>
      <c r="C144" s="7"/>
      <c r="D144" s="7"/>
      <c r="E144" s="7"/>
      <c r="F144" s="7"/>
      <c r="G144" s="7"/>
      <c r="H144" s="208" t="s">
        <v>2299</v>
      </c>
      <c r="I144" s="7"/>
      <c r="J144" s="7"/>
      <c r="K144" s="7"/>
      <c r="L144" s="7"/>
      <c r="M144" s="209" t="s">
        <v>2299</v>
      </c>
      <c r="N144" s="7"/>
      <c r="O144" s="7"/>
      <c r="P144" s="7"/>
      <c r="Q144" s="7"/>
      <c r="R144" s="7"/>
      <c r="S144" s="7"/>
      <c r="T144" s="209" t="s">
        <v>2299</v>
      </c>
      <c r="U144" s="269" t="s">
        <v>2299</v>
      </c>
      <c r="V144" s="210"/>
      <c r="W144" s="271" t="s">
        <v>2299</v>
      </c>
      <c r="X144" s="7"/>
      <c r="Y144" s="7"/>
      <c r="Z144" s="209" t="s">
        <v>2299</v>
      </c>
      <c r="AA144" s="7"/>
      <c r="AB144" s="7"/>
      <c r="AD144" s="7"/>
      <c r="AE144" s="7"/>
      <c r="AF144" s="7"/>
      <c r="AG144" s="7"/>
      <c r="AH144" s="7"/>
      <c r="AI144" s="7"/>
      <c r="AJ144" s="7"/>
      <c r="AK144" s="7"/>
    </row>
    <row r="145" spans="1:37">
      <c r="A145" s="7"/>
      <c r="B145" s="7"/>
      <c r="C145" s="7"/>
      <c r="D145" s="7"/>
      <c r="E145" s="7"/>
      <c r="F145" s="7"/>
      <c r="G145" s="7"/>
      <c r="H145" s="208" t="s">
        <v>2299</v>
      </c>
      <c r="I145" s="7"/>
      <c r="J145" s="7"/>
      <c r="K145" s="7"/>
      <c r="L145" s="7"/>
      <c r="M145" s="209" t="s">
        <v>2299</v>
      </c>
      <c r="N145" s="7"/>
      <c r="O145" s="7"/>
      <c r="P145" s="7"/>
      <c r="Q145" s="7"/>
      <c r="R145" s="7"/>
      <c r="S145" s="7"/>
      <c r="T145" s="209" t="s">
        <v>2299</v>
      </c>
      <c r="U145" s="269" t="s">
        <v>2299</v>
      </c>
      <c r="V145" s="210"/>
      <c r="W145" s="271" t="s">
        <v>2299</v>
      </c>
      <c r="X145" s="7"/>
      <c r="Y145" s="7"/>
      <c r="Z145" s="209" t="s">
        <v>2299</v>
      </c>
      <c r="AA145" s="7"/>
      <c r="AB145" s="7"/>
      <c r="AD145" s="7"/>
      <c r="AE145" s="7"/>
      <c r="AF145" s="7"/>
      <c r="AG145" s="7"/>
      <c r="AH145" s="7"/>
      <c r="AI145" s="7"/>
      <c r="AJ145" s="7"/>
      <c r="AK145" s="7"/>
    </row>
    <row r="146" spans="1:37">
      <c r="A146" s="7"/>
      <c r="B146" s="7"/>
      <c r="C146" s="7"/>
      <c r="D146" s="7"/>
      <c r="E146" s="7"/>
      <c r="F146" s="7"/>
      <c r="G146" s="7"/>
      <c r="H146" s="208" t="s">
        <v>2299</v>
      </c>
      <c r="I146" s="7"/>
      <c r="J146" s="7"/>
      <c r="K146" s="7"/>
      <c r="L146" s="7"/>
      <c r="M146" s="209" t="s">
        <v>2299</v>
      </c>
      <c r="N146" s="7"/>
      <c r="O146" s="7"/>
      <c r="P146" s="7"/>
      <c r="Q146" s="7"/>
      <c r="R146" s="7"/>
      <c r="S146" s="7"/>
      <c r="T146" s="209" t="s">
        <v>2299</v>
      </c>
      <c r="U146" s="269" t="s">
        <v>2299</v>
      </c>
      <c r="V146" s="210"/>
      <c r="W146" s="271" t="s">
        <v>2299</v>
      </c>
      <c r="X146" s="7"/>
      <c r="Y146" s="7"/>
      <c r="Z146" s="209" t="s">
        <v>2299</v>
      </c>
      <c r="AA146" s="7"/>
      <c r="AB146" s="7"/>
      <c r="AD146" s="7"/>
      <c r="AE146" s="7"/>
      <c r="AF146" s="7"/>
      <c r="AG146" s="7"/>
      <c r="AH146" s="7"/>
      <c r="AI146" s="7"/>
      <c r="AJ146" s="7"/>
      <c r="AK146" s="7"/>
    </row>
    <row r="147" spans="1:37">
      <c r="A147" s="7"/>
      <c r="B147" s="7"/>
      <c r="C147" s="7"/>
      <c r="D147" s="7"/>
      <c r="E147" s="7"/>
      <c r="F147" s="7"/>
      <c r="G147" s="7"/>
      <c r="H147" s="208" t="s">
        <v>2299</v>
      </c>
      <c r="I147" s="7"/>
      <c r="J147" s="7"/>
      <c r="K147" s="7"/>
      <c r="L147" s="7"/>
      <c r="M147" s="209" t="s">
        <v>2299</v>
      </c>
      <c r="N147" s="7"/>
      <c r="O147" s="7"/>
      <c r="P147" s="7"/>
      <c r="Q147" s="7"/>
      <c r="R147" s="7"/>
      <c r="S147" s="7"/>
      <c r="T147" s="209" t="s">
        <v>2299</v>
      </c>
      <c r="U147" s="269" t="s">
        <v>2299</v>
      </c>
      <c r="V147" s="210"/>
      <c r="W147" s="271" t="s">
        <v>2299</v>
      </c>
      <c r="X147" s="7"/>
      <c r="Y147" s="7"/>
      <c r="Z147" s="209" t="s">
        <v>2299</v>
      </c>
      <c r="AA147" s="7"/>
      <c r="AB147" s="7"/>
      <c r="AD147" s="7"/>
      <c r="AE147" s="7"/>
      <c r="AF147" s="7"/>
      <c r="AG147" s="7"/>
      <c r="AH147" s="7"/>
      <c r="AI147" s="7"/>
      <c r="AJ147" s="7"/>
      <c r="AK147" s="7"/>
    </row>
    <row r="148" spans="1:37">
      <c r="A148" s="7"/>
      <c r="B148" s="7"/>
      <c r="C148" s="7"/>
      <c r="D148" s="7"/>
      <c r="E148" s="7"/>
      <c r="F148" s="7"/>
      <c r="G148" s="7"/>
      <c r="H148" s="208" t="s">
        <v>2299</v>
      </c>
      <c r="I148" s="7"/>
      <c r="J148" s="7"/>
      <c r="K148" s="7"/>
      <c r="L148" s="7"/>
      <c r="M148" s="209" t="s">
        <v>2299</v>
      </c>
      <c r="N148" s="7"/>
      <c r="O148" s="7"/>
      <c r="P148" s="7"/>
      <c r="Q148" s="7"/>
      <c r="R148" s="7"/>
      <c r="S148" s="7"/>
      <c r="T148" s="209" t="s">
        <v>2299</v>
      </c>
      <c r="U148" s="269" t="s">
        <v>2299</v>
      </c>
      <c r="V148" s="210"/>
      <c r="W148" s="271" t="s">
        <v>2299</v>
      </c>
      <c r="X148" s="7"/>
      <c r="Y148" s="7"/>
      <c r="Z148" s="209" t="s">
        <v>2299</v>
      </c>
      <c r="AA148" s="7"/>
      <c r="AB148" s="7"/>
      <c r="AD148" s="7"/>
      <c r="AE148" s="7"/>
      <c r="AF148" s="7"/>
      <c r="AG148" s="7"/>
      <c r="AH148" s="7"/>
      <c r="AI148" s="7"/>
      <c r="AJ148" s="7"/>
      <c r="AK148" s="7"/>
    </row>
    <row r="149" spans="1:37">
      <c r="A149" s="7"/>
      <c r="B149" s="7"/>
      <c r="C149" s="7"/>
      <c r="D149" s="7"/>
      <c r="E149" s="7"/>
      <c r="F149" s="7"/>
      <c r="G149" s="7"/>
      <c r="H149" s="208" t="s">
        <v>2299</v>
      </c>
      <c r="I149" s="7"/>
      <c r="J149" s="7"/>
      <c r="K149" s="7"/>
      <c r="L149" s="7"/>
      <c r="M149" s="209" t="s">
        <v>2299</v>
      </c>
      <c r="N149" s="7"/>
      <c r="O149" s="7"/>
      <c r="P149" s="7"/>
      <c r="Q149" s="7"/>
      <c r="R149" s="7"/>
      <c r="S149" s="7"/>
      <c r="T149" s="209" t="s">
        <v>2299</v>
      </c>
      <c r="U149" s="269" t="s">
        <v>2299</v>
      </c>
      <c r="V149" s="210"/>
      <c r="W149" s="271" t="s">
        <v>2299</v>
      </c>
      <c r="X149" s="7"/>
      <c r="Y149" s="7"/>
      <c r="Z149" s="209" t="s">
        <v>2299</v>
      </c>
      <c r="AA149" s="7"/>
      <c r="AB149" s="7"/>
      <c r="AD149" s="7"/>
      <c r="AE149" s="7"/>
      <c r="AF149" s="7"/>
      <c r="AG149" s="7"/>
      <c r="AH149" s="7"/>
      <c r="AI149" s="7"/>
      <c r="AJ149" s="7"/>
      <c r="AK149" s="7"/>
    </row>
    <row r="150" spans="1:37">
      <c r="A150" s="7"/>
      <c r="B150" s="7"/>
      <c r="C150" s="7"/>
      <c r="D150" s="7"/>
      <c r="E150" s="7"/>
      <c r="F150" s="7"/>
      <c r="G150" s="7"/>
      <c r="H150" s="208" t="s">
        <v>2299</v>
      </c>
      <c r="I150" s="7"/>
      <c r="J150" s="7"/>
      <c r="K150" s="7"/>
      <c r="L150" s="7"/>
      <c r="M150" s="209" t="s">
        <v>2299</v>
      </c>
      <c r="N150" s="7"/>
      <c r="O150" s="7"/>
      <c r="P150" s="7"/>
      <c r="Q150" s="7"/>
      <c r="R150" s="7"/>
      <c r="S150" s="7"/>
      <c r="T150" s="209" t="s">
        <v>2299</v>
      </c>
      <c r="U150" s="269" t="s">
        <v>2299</v>
      </c>
      <c r="V150" s="210"/>
      <c r="W150" s="271" t="s">
        <v>2299</v>
      </c>
      <c r="X150" s="7"/>
      <c r="Y150" s="7"/>
      <c r="Z150" s="209" t="s">
        <v>2299</v>
      </c>
      <c r="AA150" s="7"/>
      <c r="AB150" s="7"/>
      <c r="AD150" s="7"/>
      <c r="AE150" s="7"/>
      <c r="AF150" s="7"/>
      <c r="AG150" s="7"/>
      <c r="AH150" s="7"/>
      <c r="AI150" s="7"/>
      <c r="AJ150" s="7"/>
      <c r="AK150" s="7"/>
    </row>
    <row r="151" spans="1:37">
      <c r="A151" s="7"/>
      <c r="B151" s="7"/>
      <c r="C151" s="7"/>
      <c r="D151" s="7"/>
      <c r="E151" s="7"/>
      <c r="F151" s="7"/>
      <c r="G151" s="7"/>
      <c r="H151" s="208" t="s">
        <v>2299</v>
      </c>
      <c r="I151" s="7"/>
      <c r="J151" s="7"/>
      <c r="K151" s="7"/>
      <c r="L151" s="7"/>
      <c r="M151" s="209" t="s">
        <v>2299</v>
      </c>
      <c r="N151" s="7"/>
      <c r="O151" s="7"/>
      <c r="P151" s="7"/>
      <c r="Q151" s="7"/>
      <c r="R151" s="7"/>
      <c r="S151" s="7"/>
      <c r="T151" s="209" t="s">
        <v>2299</v>
      </c>
      <c r="U151" s="269" t="s">
        <v>2299</v>
      </c>
      <c r="V151" s="210"/>
      <c r="W151" s="271" t="s">
        <v>2299</v>
      </c>
      <c r="X151" s="7"/>
      <c r="Y151" s="7"/>
      <c r="Z151" s="209" t="s">
        <v>2299</v>
      </c>
      <c r="AA151" s="7"/>
      <c r="AB151" s="7"/>
      <c r="AD151" s="7"/>
      <c r="AE151" s="7"/>
      <c r="AF151" s="7"/>
      <c r="AG151" s="7"/>
      <c r="AH151" s="7"/>
      <c r="AI151" s="7"/>
      <c r="AJ151" s="7"/>
      <c r="AK151" s="7"/>
    </row>
    <row r="152" spans="1:37">
      <c r="A152" s="7"/>
      <c r="B152" s="7"/>
      <c r="C152" s="7"/>
      <c r="D152" s="7"/>
      <c r="E152" s="7"/>
      <c r="F152" s="7"/>
      <c r="G152" s="7"/>
      <c r="H152" s="208" t="s">
        <v>2299</v>
      </c>
      <c r="I152" s="7"/>
      <c r="J152" s="7"/>
      <c r="K152" s="7"/>
      <c r="L152" s="7"/>
      <c r="M152" s="209" t="s">
        <v>2299</v>
      </c>
      <c r="N152" s="7"/>
      <c r="O152" s="7"/>
      <c r="P152" s="7"/>
      <c r="Q152" s="7"/>
      <c r="R152" s="7"/>
      <c r="S152" s="7"/>
      <c r="T152" s="209" t="s">
        <v>2299</v>
      </c>
      <c r="U152" s="269" t="s">
        <v>2299</v>
      </c>
      <c r="V152" s="210"/>
      <c r="W152" s="271" t="s">
        <v>2299</v>
      </c>
      <c r="X152" s="7"/>
      <c r="Y152" s="7"/>
      <c r="Z152" s="209" t="s">
        <v>2299</v>
      </c>
      <c r="AA152" s="7"/>
      <c r="AB152" s="7"/>
      <c r="AD152" s="7"/>
      <c r="AE152" s="7"/>
      <c r="AF152" s="7"/>
      <c r="AG152" s="7"/>
      <c r="AH152" s="7"/>
      <c r="AI152" s="7"/>
      <c r="AJ152" s="7"/>
      <c r="AK152" s="7"/>
    </row>
    <row r="153" spans="1:37">
      <c r="A153" s="7"/>
      <c r="B153" s="7"/>
      <c r="C153" s="7"/>
      <c r="D153" s="7"/>
      <c r="E153" s="7"/>
      <c r="F153" s="7"/>
      <c r="G153" s="7"/>
      <c r="H153" s="208" t="s">
        <v>2299</v>
      </c>
      <c r="I153" s="7"/>
      <c r="J153" s="7"/>
      <c r="K153" s="7"/>
      <c r="L153" s="7"/>
      <c r="M153" s="209" t="s">
        <v>2299</v>
      </c>
      <c r="N153" s="7"/>
      <c r="O153" s="7"/>
      <c r="P153" s="7"/>
      <c r="Q153" s="7"/>
      <c r="R153" s="7"/>
      <c r="S153" s="7"/>
      <c r="T153" s="209" t="s">
        <v>2299</v>
      </c>
      <c r="U153" s="269" t="s">
        <v>2299</v>
      </c>
      <c r="V153" s="210"/>
      <c r="W153" s="271" t="s">
        <v>2299</v>
      </c>
      <c r="X153" s="7"/>
      <c r="Y153" s="7"/>
      <c r="Z153" s="209" t="s">
        <v>2299</v>
      </c>
      <c r="AA153" s="7"/>
      <c r="AB153" s="7"/>
      <c r="AD153" s="7"/>
      <c r="AE153" s="7"/>
      <c r="AF153" s="7"/>
      <c r="AG153" s="7"/>
      <c r="AH153" s="7"/>
      <c r="AI153" s="7"/>
      <c r="AJ153" s="7"/>
      <c r="AK153" s="7"/>
    </row>
    <row r="154" spans="1:37">
      <c r="A154" s="7"/>
      <c r="B154" s="7"/>
      <c r="C154" s="7"/>
      <c r="D154" s="7"/>
      <c r="E154" s="7"/>
      <c r="F154" s="7"/>
      <c r="G154" s="7"/>
      <c r="H154" s="208" t="s">
        <v>2299</v>
      </c>
      <c r="I154" s="7"/>
      <c r="J154" s="7"/>
      <c r="K154" s="7"/>
      <c r="L154" s="7"/>
      <c r="M154" s="209" t="s">
        <v>2299</v>
      </c>
      <c r="N154" s="7"/>
      <c r="O154" s="7"/>
      <c r="P154" s="7"/>
      <c r="Q154" s="7"/>
      <c r="R154" s="7"/>
      <c r="S154" s="7"/>
      <c r="T154" s="209" t="s">
        <v>2299</v>
      </c>
      <c r="U154" s="269" t="s">
        <v>2299</v>
      </c>
      <c r="V154" s="210"/>
      <c r="W154" s="271" t="s">
        <v>2299</v>
      </c>
      <c r="X154" s="7"/>
      <c r="Y154" s="7"/>
      <c r="Z154" s="209" t="s">
        <v>2299</v>
      </c>
      <c r="AA154" s="7"/>
      <c r="AB154" s="7"/>
      <c r="AD154" s="7"/>
      <c r="AE154" s="7"/>
      <c r="AF154" s="7"/>
      <c r="AG154" s="7"/>
      <c r="AH154" s="7"/>
      <c r="AI154" s="7"/>
      <c r="AJ154" s="7"/>
      <c r="AK154" s="7"/>
    </row>
    <row r="155" spans="1:37">
      <c r="A155" s="7"/>
      <c r="B155" s="7"/>
      <c r="C155" s="7"/>
      <c r="D155" s="7"/>
      <c r="E155" s="7"/>
      <c r="F155" s="7"/>
      <c r="G155" s="7"/>
      <c r="H155" s="208" t="s">
        <v>2299</v>
      </c>
      <c r="I155" s="7"/>
      <c r="J155" s="7"/>
      <c r="K155" s="7"/>
      <c r="L155" s="7"/>
      <c r="M155" s="209" t="s">
        <v>2299</v>
      </c>
      <c r="N155" s="7"/>
      <c r="O155" s="7"/>
      <c r="P155" s="7"/>
      <c r="Q155" s="7"/>
      <c r="R155" s="7"/>
      <c r="S155" s="7"/>
      <c r="T155" s="209" t="s">
        <v>2299</v>
      </c>
      <c r="U155" s="269" t="s">
        <v>2299</v>
      </c>
      <c r="V155" s="210"/>
      <c r="W155" s="271" t="s">
        <v>2299</v>
      </c>
      <c r="X155" s="7"/>
      <c r="Y155" s="7"/>
      <c r="Z155" s="209" t="s">
        <v>2299</v>
      </c>
      <c r="AA155" s="7"/>
      <c r="AB155" s="7"/>
      <c r="AD155" s="7"/>
      <c r="AE155" s="7"/>
      <c r="AF155" s="7"/>
      <c r="AG155" s="7"/>
      <c r="AH155" s="7"/>
      <c r="AI155" s="7"/>
      <c r="AJ155" s="7"/>
      <c r="AK155" s="7"/>
    </row>
    <row r="156" spans="1:37">
      <c r="A156" s="7"/>
      <c r="B156" s="7"/>
      <c r="C156" s="7"/>
      <c r="D156" s="7"/>
      <c r="E156" s="7"/>
      <c r="F156" s="7"/>
      <c r="G156" s="7"/>
      <c r="H156" s="208" t="s">
        <v>2299</v>
      </c>
      <c r="I156" s="7"/>
      <c r="J156" s="7"/>
      <c r="K156" s="7"/>
      <c r="L156" s="7"/>
      <c r="M156" s="209" t="s">
        <v>2299</v>
      </c>
      <c r="N156" s="7"/>
      <c r="O156" s="7"/>
      <c r="P156" s="7"/>
      <c r="Q156" s="7"/>
      <c r="R156" s="7"/>
      <c r="S156" s="7"/>
      <c r="T156" s="209" t="s">
        <v>2299</v>
      </c>
      <c r="U156" s="269" t="s">
        <v>2299</v>
      </c>
      <c r="V156" s="210"/>
      <c r="W156" s="271" t="s">
        <v>2299</v>
      </c>
      <c r="X156" s="7"/>
      <c r="Y156" s="7"/>
      <c r="Z156" s="209" t="s">
        <v>2299</v>
      </c>
      <c r="AA156" s="7"/>
      <c r="AB156" s="7"/>
      <c r="AD156" s="7"/>
      <c r="AE156" s="7"/>
      <c r="AF156" s="7"/>
      <c r="AG156" s="7"/>
      <c r="AH156" s="7"/>
      <c r="AI156" s="7"/>
      <c r="AJ156" s="7"/>
      <c r="AK156" s="7"/>
    </row>
    <row r="157" spans="1:37">
      <c r="A157" s="7"/>
      <c r="B157" s="7"/>
      <c r="C157" s="7"/>
      <c r="D157" s="7"/>
      <c r="E157" s="7"/>
      <c r="F157" s="7"/>
      <c r="G157" s="7"/>
      <c r="H157" s="208" t="s">
        <v>2299</v>
      </c>
      <c r="I157" s="7"/>
      <c r="J157" s="7"/>
      <c r="K157" s="7"/>
      <c r="L157" s="7"/>
      <c r="M157" s="209" t="s">
        <v>2299</v>
      </c>
      <c r="N157" s="7"/>
      <c r="O157" s="7"/>
      <c r="P157" s="7"/>
      <c r="Q157" s="7"/>
      <c r="R157" s="7"/>
      <c r="S157" s="7"/>
      <c r="T157" s="209" t="s">
        <v>2299</v>
      </c>
      <c r="U157" s="269" t="s">
        <v>2299</v>
      </c>
      <c r="V157" s="210"/>
      <c r="W157" s="271" t="s">
        <v>2299</v>
      </c>
      <c r="X157" s="7"/>
      <c r="Y157" s="7"/>
      <c r="Z157" s="209" t="s">
        <v>2299</v>
      </c>
      <c r="AA157" s="7"/>
      <c r="AB157" s="7"/>
      <c r="AD157" s="7"/>
      <c r="AE157" s="7"/>
      <c r="AF157" s="7"/>
      <c r="AG157" s="7"/>
      <c r="AH157" s="7"/>
      <c r="AI157" s="7"/>
      <c r="AJ157" s="7"/>
      <c r="AK157" s="7"/>
    </row>
    <row r="158" spans="1:37">
      <c r="A158" s="7"/>
      <c r="B158" s="7"/>
      <c r="C158" s="7"/>
      <c r="D158" s="7"/>
      <c r="E158" s="7"/>
      <c r="F158" s="7"/>
      <c r="G158" s="7"/>
      <c r="H158" s="208" t="s">
        <v>2299</v>
      </c>
      <c r="I158" s="7"/>
      <c r="J158" s="7"/>
      <c r="K158" s="7"/>
      <c r="L158" s="7"/>
      <c r="M158" s="209" t="s">
        <v>2299</v>
      </c>
      <c r="N158" s="7"/>
      <c r="O158" s="7"/>
      <c r="P158" s="7"/>
      <c r="Q158" s="7"/>
      <c r="R158" s="7"/>
      <c r="S158" s="7"/>
      <c r="T158" s="209" t="s">
        <v>2299</v>
      </c>
      <c r="U158" s="269" t="s">
        <v>2299</v>
      </c>
      <c r="V158" s="210"/>
      <c r="W158" s="271" t="s">
        <v>2299</v>
      </c>
      <c r="X158" s="7"/>
      <c r="Y158" s="7"/>
      <c r="Z158" s="209" t="s">
        <v>2299</v>
      </c>
      <c r="AA158" s="7"/>
      <c r="AB158" s="7"/>
      <c r="AD158" s="7"/>
      <c r="AE158" s="7"/>
      <c r="AF158" s="7"/>
      <c r="AG158" s="7"/>
      <c r="AH158" s="7"/>
      <c r="AI158" s="7"/>
      <c r="AJ158" s="7"/>
      <c r="AK158" s="7"/>
    </row>
    <row r="159" spans="1:37">
      <c r="A159" s="7"/>
      <c r="B159" s="7"/>
      <c r="C159" s="7"/>
      <c r="D159" s="7"/>
      <c r="E159" s="7"/>
      <c r="F159" s="7"/>
      <c r="G159" s="7"/>
      <c r="H159" s="208" t="s">
        <v>2299</v>
      </c>
      <c r="I159" s="7"/>
      <c r="J159" s="7"/>
      <c r="K159" s="7"/>
      <c r="L159" s="7"/>
      <c r="M159" s="209" t="s">
        <v>2299</v>
      </c>
      <c r="N159" s="7"/>
      <c r="O159" s="7"/>
      <c r="P159" s="7"/>
      <c r="Q159" s="7"/>
      <c r="R159" s="7"/>
      <c r="S159" s="7"/>
      <c r="T159" s="209" t="s">
        <v>2299</v>
      </c>
      <c r="U159" s="269" t="s">
        <v>2299</v>
      </c>
      <c r="V159" s="210"/>
      <c r="W159" s="271" t="s">
        <v>2299</v>
      </c>
      <c r="X159" s="7"/>
      <c r="Y159" s="7"/>
      <c r="Z159" s="209" t="s">
        <v>2299</v>
      </c>
      <c r="AA159" s="7"/>
      <c r="AB159" s="7"/>
      <c r="AD159" s="7"/>
      <c r="AE159" s="7"/>
      <c r="AF159" s="7"/>
      <c r="AG159" s="7"/>
      <c r="AH159" s="7"/>
      <c r="AI159" s="7"/>
      <c r="AJ159" s="7"/>
      <c r="AK159" s="7"/>
    </row>
    <row r="160" spans="1:37">
      <c r="A160" s="7"/>
      <c r="B160" s="7"/>
      <c r="C160" s="7"/>
      <c r="D160" s="7"/>
      <c r="E160" s="7"/>
      <c r="F160" s="7"/>
      <c r="G160" s="7"/>
      <c r="H160" s="208" t="s">
        <v>2299</v>
      </c>
      <c r="I160" s="7"/>
      <c r="J160" s="7"/>
      <c r="K160" s="7"/>
      <c r="L160" s="7"/>
      <c r="M160" s="209" t="s">
        <v>2299</v>
      </c>
      <c r="N160" s="7"/>
      <c r="O160" s="7"/>
      <c r="P160" s="7"/>
      <c r="Q160" s="7"/>
      <c r="R160" s="7"/>
      <c r="S160" s="7"/>
      <c r="T160" s="209" t="s">
        <v>2299</v>
      </c>
      <c r="U160" s="269" t="s">
        <v>2299</v>
      </c>
      <c r="V160" s="210"/>
      <c r="W160" s="271" t="s">
        <v>2299</v>
      </c>
      <c r="X160" s="7"/>
      <c r="Y160" s="7"/>
      <c r="Z160" s="209" t="s">
        <v>2299</v>
      </c>
      <c r="AA160" s="7"/>
      <c r="AB160" s="7"/>
      <c r="AD160" s="7"/>
      <c r="AE160" s="7"/>
      <c r="AF160" s="7"/>
      <c r="AG160" s="7"/>
      <c r="AH160" s="7"/>
      <c r="AI160" s="7"/>
      <c r="AJ160" s="7"/>
      <c r="AK160" s="7"/>
    </row>
    <row r="161" spans="1:37">
      <c r="A161" s="7"/>
      <c r="B161" s="7"/>
      <c r="C161" s="7"/>
      <c r="D161" s="7"/>
      <c r="E161" s="7"/>
      <c r="F161" s="7"/>
      <c r="G161" s="7"/>
      <c r="H161" s="208" t="s">
        <v>2299</v>
      </c>
      <c r="I161" s="7"/>
      <c r="J161" s="7"/>
      <c r="K161" s="7"/>
      <c r="L161" s="7"/>
      <c r="M161" s="209" t="s">
        <v>2299</v>
      </c>
      <c r="N161" s="7"/>
      <c r="O161" s="7"/>
      <c r="P161" s="7"/>
      <c r="Q161" s="7"/>
      <c r="R161" s="7"/>
      <c r="S161" s="7"/>
      <c r="T161" s="209" t="s">
        <v>2299</v>
      </c>
      <c r="U161" s="269" t="s">
        <v>2299</v>
      </c>
      <c r="V161" s="210"/>
      <c r="W161" s="271" t="s">
        <v>2299</v>
      </c>
      <c r="X161" s="7"/>
      <c r="Y161" s="7"/>
      <c r="Z161" s="209" t="s">
        <v>2299</v>
      </c>
      <c r="AA161" s="7"/>
      <c r="AB161" s="7"/>
      <c r="AD161" s="7"/>
      <c r="AE161" s="7"/>
      <c r="AF161" s="7"/>
      <c r="AG161" s="7"/>
      <c r="AH161" s="7"/>
      <c r="AI161" s="7"/>
      <c r="AJ161" s="7"/>
      <c r="AK161" s="7"/>
    </row>
    <row r="162" spans="1:37">
      <c r="A162" s="7"/>
      <c r="B162" s="7"/>
      <c r="C162" s="7"/>
      <c r="D162" s="7"/>
      <c r="E162" s="7"/>
      <c r="F162" s="7"/>
      <c r="G162" s="7"/>
      <c r="H162" s="208" t="s">
        <v>2299</v>
      </c>
      <c r="I162" s="7"/>
      <c r="J162" s="7"/>
      <c r="K162" s="7"/>
      <c r="L162" s="7"/>
      <c r="M162" s="209" t="s">
        <v>2299</v>
      </c>
      <c r="N162" s="7"/>
      <c r="O162" s="7"/>
      <c r="P162" s="7"/>
      <c r="Q162" s="7"/>
      <c r="R162" s="7"/>
      <c r="S162" s="7"/>
      <c r="T162" s="209" t="s">
        <v>2299</v>
      </c>
      <c r="U162" s="269" t="s">
        <v>2299</v>
      </c>
      <c r="V162" s="210"/>
      <c r="W162" s="271" t="s">
        <v>2299</v>
      </c>
      <c r="X162" s="7"/>
      <c r="Y162" s="7"/>
      <c r="Z162" s="209" t="s">
        <v>2299</v>
      </c>
      <c r="AA162" s="7"/>
      <c r="AB162" s="7"/>
      <c r="AD162" s="7"/>
      <c r="AE162" s="7"/>
      <c r="AF162" s="7"/>
      <c r="AG162" s="7"/>
      <c r="AH162" s="7"/>
      <c r="AI162" s="7"/>
      <c r="AJ162" s="7"/>
      <c r="AK162" s="7"/>
    </row>
    <row r="163" spans="1:37">
      <c r="A163" s="7"/>
      <c r="B163" s="7"/>
      <c r="C163" s="7"/>
      <c r="D163" s="7"/>
      <c r="E163" s="7"/>
      <c r="F163" s="7"/>
      <c r="G163" s="7"/>
      <c r="H163" s="208" t="s">
        <v>2299</v>
      </c>
      <c r="I163" s="7"/>
      <c r="J163" s="7"/>
      <c r="K163" s="7"/>
      <c r="L163" s="7"/>
      <c r="M163" s="209" t="s">
        <v>2299</v>
      </c>
      <c r="N163" s="7"/>
      <c r="O163" s="7"/>
      <c r="P163" s="7"/>
      <c r="Q163" s="7"/>
      <c r="R163" s="7"/>
      <c r="S163" s="7"/>
      <c r="T163" s="209" t="s">
        <v>2299</v>
      </c>
      <c r="U163" s="269" t="s">
        <v>2299</v>
      </c>
      <c r="V163" s="210"/>
      <c r="W163" s="271" t="s">
        <v>2299</v>
      </c>
      <c r="X163" s="7"/>
      <c r="Y163" s="7"/>
      <c r="Z163" s="209" t="s">
        <v>2299</v>
      </c>
      <c r="AA163" s="7"/>
      <c r="AB163" s="7"/>
      <c r="AD163" s="7"/>
      <c r="AE163" s="7"/>
      <c r="AF163" s="7"/>
      <c r="AG163" s="7"/>
      <c r="AH163" s="7"/>
      <c r="AI163" s="7"/>
      <c r="AJ163" s="7"/>
      <c r="AK163" s="7"/>
    </row>
    <row r="164" spans="1:37">
      <c r="A164" s="7"/>
      <c r="B164" s="7"/>
      <c r="C164" s="7"/>
      <c r="D164" s="7"/>
      <c r="E164" s="7"/>
      <c r="F164" s="7"/>
      <c r="G164" s="7"/>
      <c r="H164" s="208" t="s">
        <v>2299</v>
      </c>
      <c r="I164" s="7"/>
      <c r="J164" s="7"/>
      <c r="K164" s="7"/>
      <c r="L164" s="7"/>
      <c r="M164" s="209" t="s">
        <v>2299</v>
      </c>
      <c r="N164" s="7"/>
      <c r="O164" s="7"/>
      <c r="P164" s="7"/>
      <c r="Q164" s="7"/>
      <c r="R164" s="7"/>
      <c r="S164" s="7"/>
      <c r="T164" s="209" t="s">
        <v>2299</v>
      </c>
      <c r="U164" s="269" t="s">
        <v>2299</v>
      </c>
      <c r="V164" s="210"/>
      <c r="W164" s="271" t="s">
        <v>2299</v>
      </c>
      <c r="X164" s="7"/>
      <c r="Y164" s="7"/>
      <c r="Z164" s="209" t="s">
        <v>2299</v>
      </c>
      <c r="AA164" s="7"/>
      <c r="AB164" s="7"/>
      <c r="AD164" s="7"/>
      <c r="AE164" s="7"/>
      <c r="AF164" s="7"/>
      <c r="AG164" s="7"/>
      <c r="AH164" s="7"/>
      <c r="AI164" s="7"/>
      <c r="AJ164" s="7"/>
      <c r="AK164" s="7"/>
    </row>
    <row r="165" spans="1:37">
      <c r="A165" s="7"/>
      <c r="B165" s="7"/>
      <c r="C165" s="7"/>
      <c r="D165" s="7"/>
      <c r="E165" s="7"/>
      <c r="F165" s="7"/>
      <c r="G165" s="7"/>
      <c r="H165" s="208" t="s">
        <v>2299</v>
      </c>
      <c r="I165" s="7"/>
      <c r="J165" s="7"/>
      <c r="K165" s="7"/>
      <c r="L165" s="7"/>
      <c r="M165" s="209" t="s">
        <v>2299</v>
      </c>
      <c r="N165" s="7"/>
      <c r="O165" s="7"/>
      <c r="P165" s="7"/>
      <c r="Q165" s="7"/>
      <c r="R165" s="7"/>
      <c r="S165" s="7"/>
      <c r="T165" s="209" t="s">
        <v>2299</v>
      </c>
      <c r="U165" s="269" t="s">
        <v>2299</v>
      </c>
      <c r="V165" s="210"/>
      <c r="W165" s="271" t="s">
        <v>2299</v>
      </c>
      <c r="X165" s="7"/>
      <c r="Y165" s="7"/>
      <c r="Z165" s="209" t="s">
        <v>2299</v>
      </c>
      <c r="AA165" s="7"/>
      <c r="AB165" s="7"/>
      <c r="AD165" s="7"/>
      <c r="AE165" s="7"/>
      <c r="AF165" s="7"/>
      <c r="AG165" s="7"/>
      <c r="AH165" s="7"/>
      <c r="AI165" s="7"/>
      <c r="AJ165" s="7"/>
      <c r="AK165" s="7"/>
    </row>
    <row r="166" spans="1:37">
      <c r="A166" s="7"/>
      <c r="B166" s="7"/>
      <c r="C166" s="7"/>
      <c r="D166" s="7"/>
      <c r="E166" s="7"/>
      <c r="F166" s="7"/>
      <c r="G166" s="7"/>
      <c r="H166" s="208" t="s">
        <v>2299</v>
      </c>
      <c r="I166" s="7"/>
      <c r="J166" s="7"/>
      <c r="K166" s="7"/>
      <c r="L166" s="7"/>
      <c r="M166" s="209" t="s">
        <v>2299</v>
      </c>
      <c r="N166" s="7"/>
      <c r="O166" s="7"/>
      <c r="P166" s="7"/>
      <c r="Q166" s="7"/>
      <c r="R166" s="7"/>
      <c r="S166" s="7"/>
      <c r="T166" s="209" t="s">
        <v>2299</v>
      </c>
      <c r="U166" s="269" t="s">
        <v>2299</v>
      </c>
      <c r="V166" s="210"/>
      <c r="W166" s="271" t="s">
        <v>2299</v>
      </c>
      <c r="X166" s="7"/>
      <c r="Y166" s="7"/>
      <c r="Z166" s="209" t="s">
        <v>2299</v>
      </c>
      <c r="AA166" s="7"/>
      <c r="AB166" s="7"/>
      <c r="AD166" s="7"/>
      <c r="AE166" s="7"/>
      <c r="AF166" s="7"/>
      <c r="AG166" s="7"/>
      <c r="AH166" s="7"/>
      <c r="AI166" s="7"/>
      <c r="AJ166" s="7"/>
      <c r="AK166" s="7"/>
    </row>
    <row r="167" spans="1:37">
      <c r="A167" s="7"/>
      <c r="B167" s="7"/>
      <c r="C167" s="7"/>
      <c r="D167" s="7"/>
      <c r="E167" s="7"/>
      <c r="F167" s="7"/>
      <c r="G167" s="7"/>
      <c r="H167" s="208" t="s">
        <v>2299</v>
      </c>
      <c r="I167" s="7"/>
      <c r="J167" s="7"/>
      <c r="K167" s="7"/>
      <c r="L167" s="7"/>
      <c r="M167" s="209" t="s">
        <v>2299</v>
      </c>
      <c r="N167" s="7"/>
      <c r="O167" s="7"/>
      <c r="P167" s="7"/>
      <c r="Q167" s="7"/>
      <c r="R167" s="7"/>
      <c r="S167" s="7"/>
      <c r="T167" s="209" t="s">
        <v>2299</v>
      </c>
      <c r="U167" s="269" t="s">
        <v>2299</v>
      </c>
      <c r="V167" s="210"/>
      <c r="W167" s="271" t="s">
        <v>2299</v>
      </c>
      <c r="X167" s="7"/>
      <c r="Y167" s="7"/>
      <c r="Z167" s="209" t="s">
        <v>2299</v>
      </c>
      <c r="AA167" s="7"/>
      <c r="AB167" s="7"/>
      <c r="AD167" s="7"/>
      <c r="AE167" s="7"/>
      <c r="AF167" s="7"/>
      <c r="AG167" s="7"/>
      <c r="AH167" s="7"/>
      <c r="AI167" s="7"/>
      <c r="AJ167" s="7"/>
      <c r="AK167" s="7"/>
    </row>
    <row r="168" spans="1:37">
      <c r="A168" s="7"/>
      <c r="B168" s="7"/>
      <c r="C168" s="7"/>
      <c r="D168" s="7"/>
      <c r="E168" s="7"/>
      <c r="F168" s="7"/>
      <c r="G168" s="7"/>
      <c r="H168" s="208" t="s">
        <v>2299</v>
      </c>
      <c r="I168" s="7"/>
      <c r="J168" s="7"/>
      <c r="K168" s="7"/>
      <c r="L168" s="7"/>
      <c r="M168" s="209" t="s">
        <v>2299</v>
      </c>
      <c r="N168" s="7"/>
      <c r="O168" s="7"/>
      <c r="P168" s="7"/>
      <c r="Q168" s="7"/>
      <c r="R168" s="7"/>
      <c r="S168" s="7"/>
      <c r="T168" s="209" t="s">
        <v>2299</v>
      </c>
      <c r="U168" s="269" t="s">
        <v>2299</v>
      </c>
      <c r="V168" s="210"/>
      <c r="W168" s="271" t="s">
        <v>2299</v>
      </c>
      <c r="X168" s="7"/>
      <c r="Y168" s="7"/>
      <c r="Z168" s="209" t="s">
        <v>2299</v>
      </c>
      <c r="AA168" s="7"/>
      <c r="AB168" s="7"/>
      <c r="AD168" s="7"/>
      <c r="AE168" s="7"/>
      <c r="AF168" s="7"/>
      <c r="AG168" s="7"/>
      <c r="AH168" s="7"/>
      <c r="AI168" s="7"/>
      <c r="AJ168" s="7"/>
      <c r="AK168" s="7"/>
    </row>
    <row r="169" spans="1:37">
      <c r="A169" s="7"/>
      <c r="B169" s="7"/>
      <c r="C169" s="7"/>
      <c r="D169" s="7"/>
      <c r="E169" s="7"/>
      <c r="F169" s="7"/>
      <c r="G169" s="7"/>
      <c r="H169" s="208" t="s">
        <v>2299</v>
      </c>
      <c r="I169" s="7"/>
      <c r="J169" s="7"/>
      <c r="K169" s="7"/>
      <c r="L169" s="7"/>
      <c r="M169" s="209" t="s">
        <v>2299</v>
      </c>
      <c r="N169" s="7"/>
      <c r="O169" s="7"/>
      <c r="P169" s="7"/>
      <c r="Q169" s="7"/>
      <c r="R169" s="7"/>
      <c r="S169" s="7"/>
      <c r="T169" s="209" t="s">
        <v>2299</v>
      </c>
      <c r="U169" s="269" t="s">
        <v>2299</v>
      </c>
      <c r="V169" s="210"/>
      <c r="W169" s="271" t="s">
        <v>2299</v>
      </c>
      <c r="X169" s="7"/>
      <c r="Y169" s="7"/>
      <c r="Z169" s="209" t="s">
        <v>2299</v>
      </c>
      <c r="AA169" s="7"/>
      <c r="AB169" s="7"/>
      <c r="AD169" s="7"/>
      <c r="AE169" s="7"/>
      <c r="AF169" s="7"/>
      <c r="AG169" s="7"/>
      <c r="AH169" s="7"/>
      <c r="AI169" s="7"/>
      <c r="AJ169" s="7"/>
      <c r="AK169" s="7"/>
    </row>
    <row r="170" spans="1:37">
      <c r="A170" s="7"/>
      <c r="B170" s="7"/>
      <c r="C170" s="7"/>
      <c r="D170" s="7"/>
      <c r="E170" s="7"/>
      <c r="F170" s="7"/>
      <c r="G170" s="7"/>
      <c r="H170" s="208" t="s">
        <v>2299</v>
      </c>
      <c r="I170" s="7"/>
      <c r="J170" s="7"/>
      <c r="K170" s="7"/>
      <c r="L170" s="7"/>
      <c r="M170" s="209" t="s">
        <v>2299</v>
      </c>
      <c r="N170" s="7"/>
      <c r="O170" s="7"/>
      <c r="P170" s="7"/>
      <c r="Q170" s="7"/>
      <c r="R170" s="7"/>
      <c r="S170" s="7"/>
      <c r="T170" s="209" t="s">
        <v>2299</v>
      </c>
      <c r="U170" s="269" t="s">
        <v>2299</v>
      </c>
      <c r="V170" s="210"/>
      <c r="W170" s="271" t="s">
        <v>2299</v>
      </c>
      <c r="X170" s="7"/>
      <c r="Y170" s="7"/>
      <c r="Z170" s="209" t="s">
        <v>2299</v>
      </c>
      <c r="AA170" s="7"/>
      <c r="AB170" s="7"/>
      <c r="AD170" s="7"/>
      <c r="AE170" s="7"/>
      <c r="AF170" s="7"/>
      <c r="AG170" s="7"/>
      <c r="AH170" s="7"/>
      <c r="AI170" s="7"/>
      <c r="AJ170" s="7"/>
      <c r="AK170" s="7"/>
    </row>
    <row r="171" spans="1:37">
      <c r="A171" s="7"/>
      <c r="B171" s="7"/>
      <c r="C171" s="7"/>
      <c r="D171" s="7"/>
      <c r="E171" s="7"/>
      <c r="F171" s="7"/>
      <c r="G171" s="7"/>
      <c r="H171" s="208" t="s">
        <v>2299</v>
      </c>
      <c r="I171" s="7"/>
      <c r="J171" s="7"/>
      <c r="K171" s="7"/>
      <c r="L171" s="7"/>
      <c r="M171" s="209" t="s">
        <v>2299</v>
      </c>
      <c r="N171" s="7"/>
      <c r="O171" s="7"/>
      <c r="P171" s="7"/>
      <c r="Q171" s="7"/>
      <c r="R171" s="7"/>
      <c r="S171" s="7"/>
      <c r="T171" s="209" t="s">
        <v>2299</v>
      </c>
      <c r="U171" s="269" t="s">
        <v>2299</v>
      </c>
      <c r="V171" s="210"/>
      <c r="W171" s="271" t="s">
        <v>2299</v>
      </c>
      <c r="X171" s="7"/>
      <c r="Y171" s="7"/>
      <c r="Z171" s="209" t="s">
        <v>2299</v>
      </c>
      <c r="AA171" s="7"/>
      <c r="AB171" s="7"/>
      <c r="AD171" s="7"/>
      <c r="AE171" s="7"/>
      <c r="AF171" s="7"/>
      <c r="AG171" s="7"/>
      <c r="AH171" s="7"/>
      <c r="AI171" s="7"/>
      <c r="AJ171" s="7"/>
      <c r="AK171" s="7"/>
    </row>
    <row r="172" spans="1:37">
      <c r="A172" s="7"/>
      <c r="B172" s="7"/>
      <c r="C172" s="7"/>
      <c r="D172" s="7"/>
      <c r="E172" s="7"/>
      <c r="F172" s="7"/>
      <c r="G172" s="7"/>
      <c r="H172" s="208" t="s">
        <v>2299</v>
      </c>
      <c r="I172" s="7"/>
      <c r="J172" s="7"/>
      <c r="K172" s="7"/>
      <c r="L172" s="7"/>
      <c r="M172" s="209" t="s">
        <v>2299</v>
      </c>
      <c r="N172" s="7"/>
      <c r="O172" s="7"/>
      <c r="P172" s="7"/>
      <c r="Q172" s="7"/>
      <c r="R172" s="7"/>
      <c r="S172" s="7"/>
      <c r="T172" s="209" t="s">
        <v>2299</v>
      </c>
      <c r="U172" s="269" t="s">
        <v>2299</v>
      </c>
      <c r="V172" s="210"/>
      <c r="W172" s="271" t="s">
        <v>2299</v>
      </c>
      <c r="X172" s="7"/>
      <c r="Y172" s="7"/>
      <c r="Z172" s="209" t="s">
        <v>2299</v>
      </c>
      <c r="AA172" s="7"/>
      <c r="AB172" s="7"/>
      <c r="AD172" s="7"/>
      <c r="AE172" s="7"/>
      <c r="AF172" s="7"/>
      <c r="AG172" s="7"/>
      <c r="AH172" s="7"/>
      <c r="AI172" s="7"/>
      <c r="AJ172" s="7"/>
      <c r="AK172" s="7"/>
    </row>
    <row r="173" spans="1:37">
      <c r="A173" s="7"/>
      <c r="B173" s="7"/>
      <c r="C173" s="7"/>
      <c r="D173" s="7"/>
      <c r="E173" s="7"/>
      <c r="F173" s="7"/>
      <c r="G173" s="7"/>
      <c r="H173" s="208" t="s">
        <v>2299</v>
      </c>
      <c r="I173" s="7"/>
      <c r="J173" s="7"/>
      <c r="K173" s="7"/>
      <c r="L173" s="7"/>
      <c r="M173" s="209" t="s">
        <v>2299</v>
      </c>
      <c r="N173" s="7"/>
      <c r="O173" s="7"/>
      <c r="P173" s="7"/>
      <c r="Q173" s="7"/>
      <c r="R173" s="7"/>
      <c r="S173" s="7"/>
      <c r="T173" s="209" t="s">
        <v>2299</v>
      </c>
      <c r="U173" s="269" t="s">
        <v>2299</v>
      </c>
      <c r="V173" s="210"/>
      <c r="W173" s="271" t="s">
        <v>2299</v>
      </c>
      <c r="X173" s="7"/>
      <c r="Y173" s="7"/>
      <c r="Z173" s="209" t="s">
        <v>2299</v>
      </c>
      <c r="AA173" s="7"/>
      <c r="AB173" s="7"/>
      <c r="AD173" s="7"/>
      <c r="AE173" s="7"/>
      <c r="AF173" s="7"/>
      <c r="AG173" s="7"/>
      <c r="AH173" s="7"/>
      <c r="AI173" s="7"/>
      <c r="AJ173" s="7"/>
      <c r="AK173" s="7"/>
    </row>
    <row r="174" spans="1:37">
      <c r="A174" s="7"/>
      <c r="B174" s="7"/>
      <c r="C174" s="7"/>
      <c r="D174" s="7"/>
      <c r="E174" s="7"/>
      <c r="F174" s="7"/>
      <c r="G174" s="7"/>
      <c r="H174" s="208" t="s">
        <v>2299</v>
      </c>
      <c r="I174" s="7"/>
      <c r="J174" s="7"/>
      <c r="K174" s="7"/>
      <c r="L174" s="7"/>
      <c r="M174" s="209" t="s">
        <v>2299</v>
      </c>
      <c r="N174" s="7"/>
      <c r="O174" s="7"/>
      <c r="P174" s="7"/>
      <c r="Q174" s="7"/>
      <c r="R174" s="7"/>
      <c r="S174" s="7"/>
      <c r="T174" s="209" t="s">
        <v>2299</v>
      </c>
      <c r="U174" s="269" t="s">
        <v>2299</v>
      </c>
      <c r="V174" s="210"/>
      <c r="W174" s="271" t="s">
        <v>2299</v>
      </c>
      <c r="X174" s="7"/>
      <c r="Y174" s="7"/>
      <c r="Z174" s="209" t="s">
        <v>2299</v>
      </c>
      <c r="AA174" s="7"/>
      <c r="AB174" s="7"/>
      <c r="AD174" s="7"/>
      <c r="AE174" s="7"/>
      <c r="AF174" s="7"/>
      <c r="AG174" s="7"/>
      <c r="AH174" s="7"/>
      <c r="AI174" s="7"/>
      <c r="AJ174" s="7"/>
      <c r="AK174" s="7"/>
    </row>
    <row r="175" spans="1:37">
      <c r="A175" s="7"/>
      <c r="B175" s="7"/>
      <c r="C175" s="7"/>
      <c r="D175" s="7"/>
      <c r="E175" s="7"/>
      <c r="F175" s="7"/>
      <c r="G175" s="7"/>
      <c r="H175" s="208" t="s">
        <v>2299</v>
      </c>
      <c r="I175" s="7"/>
      <c r="J175" s="7"/>
      <c r="K175" s="7"/>
      <c r="L175" s="7"/>
      <c r="M175" s="209" t="s">
        <v>2299</v>
      </c>
      <c r="N175" s="7"/>
      <c r="O175" s="7"/>
      <c r="P175" s="7"/>
      <c r="Q175" s="7"/>
      <c r="R175" s="7"/>
      <c r="S175" s="7"/>
      <c r="T175" s="209" t="s">
        <v>2299</v>
      </c>
      <c r="U175" s="269" t="s">
        <v>2299</v>
      </c>
      <c r="V175" s="210"/>
      <c r="W175" s="271" t="s">
        <v>2299</v>
      </c>
      <c r="X175" s="7"/>
      <c r="Y175" s="7"/>
      <c r="Z175" s="209" t="s">
        <v>2299</v>
      </c>
      <c r="AA175" s="7"/>
      <c r="AB175" s="7"/>
      <c r="AD175" s="7"/>
      <c r="AE175" s="7"/>
      <c r="AF175" s="7"/>
      <c r="AG175" s="7"/>
      <c r="AH175" s="7"/>
      <c r="AI175" s="7"/>
      <c r="AJ175" s="7"/>
      <c r="AK175" s="7"/>
    </row>
    <row r="176" spans="1:37">
      <c r="A176" s="7"/>
      <c r="B176" s="7"/>
      <c r="C176" s="7"/>
      <c r="D176" s="7"/>
      <c r="E176" s="7"/>
      <c r="F176" s="7"/>
      <c r="G176" s="7"/>
      <c r="H176" s="208" t="s">
        <v>2299</v>
      </c>
      <c r="I176" s="7"/>
      <c r="J176" s="7"/>
      <c r="K176" s="7"/>
      <c r="L176" s="7"/>
      <c r="M176" s="209" t="s">
        <v>2299</v>
      </c>
      <c r="N176" s="7"/>
      <c r="O176" s="7"/>
      <c r="P176" s="7"/>
      <c r="Q176" s="7"/>
      <c r="R176" s="7"/>
      <c r="S176" s="7"/>
      <c r="T176" s="209" t="s">
        <v>2299</v>
      </c>
      <c r="U176" s="269" t="s">
        <v>2299</v>
      </c>
      <c r="V176" s="210"/>
      <c r="W176" s="271" t="s">
        <v>2299</v>
      </c>
      <c r="X176" s="7"/>
      <c r="Y176" s="7"/>
      <c r="Z176" s="209" t="s">
        <v>2299</v>
      </c>
      <c r="AA176" s="7"/>
      <c r="AB176" s="7"/>
      <c r="AD176" s="7"/>
      <c r="AE176" s="7"/>
      <c r="AF176" s="7"/>
      <c r="AG176" s="7"/>
      <c r="AH176" s="7"/>
      <c r="AI176" s="7"/>
      <c r="AJ176" s="7"/>
      <c r="AK176" s="7"/>
    </row>
    <row r="177" spans="1:37">
      <c r="A177" s="7"/>
      <c r="B177" s="7"/>
      <c r="C177" s="7"/>
      <c r="D177" s="7"/>
      <c r="E177" s="7"/>
      <c r="F177" s="7"/>
      <c r="G177" s="7"/>
      <c r="H177" s="208" t="s">
        <v>2299</v>
      </c>
      <c r="I177" s="7"/>
      <c r="J177" s="7"/>
      <c r="K177" s="7"/>
      <c r="L177" s="7"/>
      <c r="M177" s="209" t="s">
        <v>2299</v>
      </c>
      <c r="N177" s="7"/>
      <c r="O177" s="7"/>
      <c r="P177" s="7"/>
      <c r="Q177" s="7"/>
      <c r="R177" s="7"/>
      <c r="S177" s="7"/>
      <c r="T177" s="209" t="s">
        <v>2299</v>
      </c>
      <c r="U177" s="269" t="s">
        <v>2299</v>
      </c>
      <c r="V177" s="210"/>
      <c r="W177" s="271" t="s">
        <v>2299</v>
      </c>
      <c r="X177" s="7"/>
      <c r="Y177" s="7"/>
      <c r="Z177" s="209" t="s">
        <v>2299</v>
      </c>
      <c r="AA177" s="7"/>
      <c r="AB177" s="7"/>
      <c r="AD177" s="7"/>
      <c r="AE177" s="7"/>
      <c r="AF177" s="7"/>
      <c r="AG177" s="7"/>
      <c r="AH177" s="7"/>
      <c r="AI177" s="7"/>
      <c r="AJ177" s="7"/>
      <c r="AK177" s="7"/>
    </row>
    <row r="178" spans="1:37">
      <c r="A178" s="7"/>
      <c r="B178" s="7"/>
      <c r="C178" s="7"/>
      <c r="D178" s="7"/>
      <c r="E178" s="7"/>
      <c r="F178" s="7"/>
      <c r="G178" s="7"/>
      <c r="H178" s="208" t="s">
        <v>2299</v>
      </c>
      <c r="I178" s="7"/>
      <c r="J178" s="7"/>
      <c r="K178" s="7"/>
      <c r="L178" s="7"/>
      <c r="M178" s="209" t="s">
        <v>2299</v>
      </c>
      <c r="N178" s="7"/>
      <c r="O178" s="7"/>
      <c r="P178" s="7"/>
      <c r="Q178" s="7"/>
      <c r="R178" s="7"/>
      <c r="S178" s="7"/>
      <c r="T178" s="209" t="s">
        <v>2299</v>
      </c>
      <c r="U178" s="269" t="s">
        <v>2299</v>
      </c>
      <c r="V178" s="210"/>
      <c r="W178" s="271" t="s">
        <v>2299</v>
      </c>
      <c r="X178" s="7"/>
      <c r="Y178" s="7"/>
      <c r="Z178" s="209" t="s">
        <v>2299</v>
      </c>
      <c r="AA178" s="7"/>
      <c r="AB178" s="7"/>
      <c r="AD178" s="7"/>
      <c r="AE178" s="7"/>
      <c r="AF178" s="7"/>
      <c r="AG178" s="7"/>
      <c r="AH178" s="7"/>
      <c r="AI178" s="7"/>
      <c r="AJ178" s="7"/>
      <c r="AK178" s="7"/>
    </row>
    <row r="179" spans="1:37">
      <c r="A179" s="7"/>
      <c r="B179" s="7"/>
      <c r="C179" s="7"/>
      <c r="D179" s="7"/>
      <c r="E179" s="7"/>
      <c r="F179" s="7"/>
      <c r="G179" s="7"/>
      <c r="H179" s="208" t="s">
        <v>2299</v>
      </c>
      <c r="I179" s="7"/>
      <c r="J179" s="7"/>
      <c r="K179" s="7"/>
      <c r="L179" s="7"/>
      <c r="M179" s="209" t="s">
        <v>2299</v>
      </c>
      <c r="N179" s="7"/>
      <c r="O179" s="7"/>
      <c r="P179" s="7"/>
      <c r="Q179" s="7"/>
      <c r="R179" s="7"/>
      <c r="S179" s="7"/>
      <c r="T179" s="209" t="s">
        <v>2299</v>
      </c>
      <c r="U179" s="269" t="s">
        <v>2299</v>
      </c>
      <c r="V179" s="210"/>
      <c r="W179" s="271" t="s">
        <v>2299</v>
      </c>
      <c r="X179" s="7"/>
      <c r="Y179" s="7"/>
      <c r="Z179" s="209" t="s">
        <v>2299</v>
      </c>
      <c r="AA179" s="7"/>
      <c r="AB179" s="7"/>
      <c r="AD179" s="7"/>
      <c r="AE179" s="7"/>
      <c r="AF179" s="7"/>
      <c r="AG179" s="7"/>
      <c r="AH179" s="7"/>
      <c r="AI179" s="7"/>
      <c r="AJ179" s="7"/>
      <c r="AK179" s="7"/>
    </row>
    <row r="180" spans="1:37">
      <c r="A180" s="7"/>
      <c r="B180" s="7"/>
      <c r="C180" s="7"/>
      <c r="D180" s="7"/>
      <c r="E180" s="7"/>
      <c r="F180" s="7"/>
      <c r="G180" s="7"/>
      <c r="H180" s="208" t="s">
        <v>2299</v>
      </c>
      <c r="I180" s="7"/>
      <c r="J180" s="7"/>
      <c r="K180" s="7"/>
      <c r="L180" s="7"/>
      <c r="M180" s="209" t="s">
        <v>2299</v>
      </c>
      <c r="N180" s="7"/>
      <c r="O180" s="7"/>
      <c r="P180" s="7"/>
      <c r="Q180" s="7"/>
      <c r="R180" s="7"/>
      <c r="S180" s="7"/>
      <c r="T180" s="209" t="s">
        <v>2299</v>
      </c>
      <c r="U180" s="269" t="s">
        <v>2299</v>
      </c>
      <c r="V180" s="210"/>
      <c r="W180" s="271" t="s">
        <v>2299</v>
      </c>
      <c r="X180" s="7"/>
      <c r="Y180" s="7"/>
      <c r="Z180" s="209" t="s">
        <v>2299</v>
      </c>
      <c r="AA180" s="7"/>
      <c r="AB180" s="7"/>
      <c r="AD180" s="7"/>
      <c r="AE180" s="7"/>
      <c r="AF180" s="7"/>
      <c r="AG180" s="7"/>
      <c r="AH180" s="7"/>
      <c r="AI180" s="7"/>
      <c r="AJ180" s="7"/>
      <c r="AK180" s="7"/>
    </row>
    <row r="181" spans="1:37">
      <c r="A181" s="7"/>
      <c r="B181" s="7"/>
      <c r="C181" s="7"/>
      <c r="D181" s="7"/>
      <c r="E181" s="7"/>
      <c r="F181" s="7"/>
      <c r="G181" s="7"/>
      <c r="H181" s="208" t="s">
        <v>2299</v>
      </c>
      <c r="I181" s="7"/>
      <c r="J181" s="7"/>
      <c r="K181" s="7"/>
      <c r="L181" s="7"/>
      <c r="M181" s="209" t="s">
        <v>2299</v>
      </c>
      <c r="N181" s="7"/>
      <c r="O181" s="7"/>
      <c r="P181" s="7"/>
      <c r="Q181" s="7"/>
      <c r="R181" s="7"/>
      <c r="S181" s="7"/>
      <c r="T181" s="209" t="s">
        <v>2299</v>
      </c>
      <c r="U181" s="269" t="s">
        <v>2299</v>
      </c>
      <c r="V181" s="210"/>
      <c r="W181" s="271" t="s">
        <v>2299</v>
      </c>
      <c r="X181" s="7"/>
      <c r="Y181" s="7"/>
      <c r="Z181" s="209" t="s">
        <v>2299</v>
      </c>
      <c r="AA181" s="7"/>
      <c r="AB181" s="7"/>
      <c r="AD181" s="7"/>
      <c r="AE181" s="7"/>
      <c r="AF181" s="7"/>
      <c r="AG181" s="7"/>
      <c r="AH181" s="7"/>
      <c r="AI181" s="7"/>
      <c r="AJ181" s="7"/>
      <c r="AK181" s="7"/>
    </row>
    <row r="182" spans="1:37">
      <c r="A182" s="7"/>
      <c r="B182" s="7"/>
      <c r="C182" s="7"/>
      <c r="D182" s="7"/>
      <c r="E182" s="7"/>
      <c r="F182" s="7"/>
      <c r="G182" s="7"/>
      <c r="H182" s="208" t="s">
        <v>2299</v>
      </c>
      <c r="I182" s="7"/>
      <c r="J182" s="7"/>
      <c r="K182" s="7"/>
      <c r="L182" s="7"/>
      <c r="M182" s="209" t="s">
        <v>2299</v>
      </c>
      <c r="N182" s="7"/>
      <c r="O182" s="7"/>
      <c r="P182" s="7"/>
      <c r="Q182" s="7"/>
      <c r="R182" s="7"/>
      <c r="S182" s="7"/>
      <c r="T182" s="209" t="s">
        <v>2299</v>
      </c>
      <c r="U182" s="269" t="s">
        <v>2299</v>
      </c>
      <c r="V182" s="210"/>
      <c r="W182" s="271" t="s">
        <v>2299</v>
      </c>
      <c r="X182" s="7"/>
      <c r="Y182" s="7"/>
      <c r="Z182" s="209" t="s">
        <v>2299</v>
      </c>
      <c r="AA182" s="7"/>
      <c r="AB182" s="7"/>
      <c r="AD182" s="7"/>
      <c r="AE182" s="7"/>
      <c r="AF182" s="7"/>
      <c r="AG182" s="7"/>
      <c r="AH182" s="7"/>
      <c r="AI182" s="7"/>
      <c r="AJ182" s="7"/>
      <c r="AK182" s="7"/>
    </row>
    <row r="183" spans="1:37">
      <c r="A183" s="7"/>
      <c r="B183" s="7"/>
      <c r="C183" s="7"/>
      <c r="D183" s="7"/>
      <c r="E183" s="7"/>
      <c r="F183" s="7"/>
      <c r="G183" s="7"/>
      <c r="H183" s="208" t="s">
        <v>2299</v>
      </c>
      <c r="I183" s="7"/>
      <c r="J183" s="7"/>
      <c r="K183" s="7"/>
      <c r="L183" s="7"/>
      <c r="M183" s="209" t="s">
        <v>2299</v>
      </c>
      <c r="N183" s="7"/>
      <c r="O183" s="7"/>
      <c r="P183" s="7"/>
      <c r="Q183" s="7"/>
      <c r="R183" s="7"/>
      <c r="S183" s="7"/>
      <c r="T183" s="209" t="s">
        <v>2299</v>
      </c>
      <c r="U183" s="269" t="s">
        <v>2299</v>
      </c>
      <c r="V183" s="210"/>
      <c r="W183" s="271" t="s">
        <v>2299</v>
      </c>
      <c r="X183" s="7"/>
      <c r="Y183" s="7"/>
      <c r="Z183" s="209" t="s">
        <v>2299</v>
      </c>
      <c r="AA183" s="7"/>
      <c r="AB183" s="7"/>
      <c r="AD183" s="7"/>
      <c r="AE183" s="7"/>
      <c r="AF183" s="7"/>
      <c r="AG183" s="7"/>
      <c r="AH183" s="7"/>
      <c r="AI183" s="7"/>
      <c r="AJ183" s="7"/>
      <c r="AK183" s="7"/>
    </row>
    <row r="184" spans="1:37">
      <c r="A184" s="7"/>
      <c r="B184" s="7"/>
      <c r="C184" s="7"/>
      <c r="D184" s="7"/>
      <c r="E184" s="7"/>
      <c r="F184" s="7"/>
      <c r="G184" s="7"/>
      <c r="H184" s="208" t="s">
        <v>2299</v>
      </c>
      <c r="I184" s="7"/>
      <c r="J184" s="7"/>
      <c r="K184" s="7"/>
      <c r="L184" s="7"/>
      <c r="M184" s="209" t="s">
        <v>2299</v>
      </c>
      <c r="N184" s="7"/>
      <c r="O184" s="7"/>
      <c r="P184" s="7"/>
      <c r="Q184" s="7"/>
      <c r="R184" s="7"/>
      <c r="S184" s="7"/>
      <c r="T184" s="209" t="s">
        <v>2299</v>
      </c>
      <c r="U184" s="269" t="s">
        <v>2299</v>
      </c>
      <c r="V184" s="210"/>
      <c r="W184" s="271" t="s">
        <v>2299</v>
      </c>
      <c r="X184" s="7"/>
      <c r="Y184" s="7"/>
      <c r="Z184" s="209" t="s">
        <v>2299</v>
      </c>
      <c r="AA184" s="7"/>
      <c r="AB184" s="7"/>
      <c r="AD184" s="7"/>
      <c r="AE184" s="7"/>
      <c r="AF184" s="7"/>
      <c r="AG184" s="7"/>
      <c r="AH184" s="7"/>
      <c r="AI184" s="7"/>
      <c r="AJ184" s="7"/>
      <c r="AK184" s="7"/>
    </row>
    <row r="185" spans="1:37">
      <c r="A185" s="7"/>
      <c r="B185" s="7"/>
      <c r="C185" s="7"/>
      <c r="D185" s="7"/>
      <c r="E185" s="7"/>
      <c r="F185" s="7"/>
      <c r="G185" s="7"/>
      <c r="H185" s="208" t="s">
        <v>2299</v>
      </c>
      <c r="I185" s="7"/>
      <c r="J185" s="7"/>
      <c r="K185" s="7"/>
      <c r="L185" s="7"/>
      <c r="M185" s="209" t="s">
        <v>2299</v>
      </c>
      <c r="N185" s="7"/>
      <c r="O185" s="7"/>
      <c r="P185" s="7"/>
      <c r="Q185" s="7"/>
      <c r="R185" s="7"/>
      <c r="S185" s="7"/>
      <c r="T185" s="209" t="s">
        <v>2299</v>
      </c>
      <c r="U185" s="269" t="s">
        <v>2299</v>
      </c>
      <c r="V185" s="210"/>
      <c r="W185" s="271" t="s">
        <v>2299</v>
      </c>
      <c r="X185" s="7"/>
      <c r="Y185" s="7"/>
      <c r="Z185" s="209" t="s">
        <v>2299</v>
      </c>
      <c r="AA185" s="7"/>
      <c r="AB185" s="7"/>
      <c r="AD185" s="7"/>
      <c r="AE185" s="7"/>
      <c r="AF185" s="7"/>
      <c r="AG185" s="7"/>
      <c r="AH185" s="7"/>
      <c r="AI185" s="7"/>
      <c r="AJ185" s="7"/>
      <c r="AK185" s="7"/>
    </row>
    <row r="186" spans="1:37">
      <c r="A186" s="7"/>
      <c r="B186" s="7"/>
      <c r="C186" s="7"/>
      <c r="D186" s="7"/>
      <c r="E186" s="7"/>
      <c r="F186" s="7"/>
      <c r="G186" s="7"/>
      <c r="H186" s="208" t="s">
        <v>2299</v>
      </c>
      <c r="I186" s="7"/>
      <c r="J186" s="7"/>
      <c r="K186" s="7"/>
      <c r="L186" s="7"/>
      <c r="M186" s="209" t="s">
        <v>2299</v>
      </c>
      <c r="N186" s="7"/>
      <c r="O186" s="7"/>
      <c r="P186" s="7"/>
      <c r="Q186" s="7"/>
      <c r="R186" s="7"/>
      <c r="S186" s="7"/>
      <c r="T186" s="209" t="s">
        <v>2299</v>
      </c>
      <c r="U186" s="269" t="s">
        <v>2299</v>
      </c>
      <c r="V186" s="210"/>
      <c r="W186" s="271" t="s">
        <v>2299</v>
      </c>
      <c r="X186" s="7"/>
      <c r="Y186" s="7"/>
      <c r="Z186" s="209" t="s">
        <v>2299</v>
      </c>
      <c r="AA186" s="7"/>
      <c r="AB186" s="7"/>
      <c r="AD186" s="7"/>
      <c r="AE186" s="7"/>
      <c r="AF186" s="7"/>
      <c r="AG186" s="7"/>
      <c r="AH186" s="7"/>
      <c r="AI186" s="7"/>
      <c r="AJ186" s="7"/>
      <c r="AK186" s="7"/>
    </row>
    <row r="187" spans="1:37">
      <c r="A187" s="7"/>
      <c r="B187" s="7"/>
      <c r="C187" s="7"/>
      <c r="D187" s="7"/>
      <c r="E187" s="7"/>
      <c r="F187" s="7"/>
      <c r="G187" s="7"/>
      <c r="H187" s="208" t="s">
        <v>2299</v>
      </c>
      <c r="I187" s="7"/>
      <c r="J187" s="7"/>
      <c r="K187" s="7"/>
      <c r="L187" s="7"/>
      <c r="M187" s="209" t="s">
        <v>2299</v>
      </c>
      <c r="N187" s="7"/>
      <c r="O187" s="7"/>
      <c r="P187" s="7"/>
      <c r="Q187" s="7"/>
      <c r="R187" s="7"/>
      <c r="S187" s="7"/>
      <c r="T187" s="209" t="s">
        <v>2299</v>
      </c>
      <c r="U187" s="269" t="s">
        <v>2299</v>
      </c>
      <c r="V187" s="210"/>
      <c r="W187" s="271" t="s">
        <v>2299</v>
      </c>
      <c r="X187" s="7"/>
      <c r="Y187" s="7"/>
      <c r="Z187" s="209" t="s">
        <v>2299</v>
      </c>
      <c r="AA187" s="7"/>
      <c r="AB187" s="7"/>
      <c r="AD187" s="7"/>
      <c r="AE187" s="7"/>
      <c r="AF187" s="7"/>
      <c r="AG187" s="7"/>
      <c r="AH187" s="7"/>
      <c r="AI187" s="7"/>
      <c r="AJ187" s="7"/>
      <c r="AK187" s="7"/>
    </row>
    <row r="188" spans="1:37">
      <c r="A188" s="7"/>
      <c r="B188" s="7"/>
      <c r="C188" s="7"/>
      <c r="D188" s="7"/>
      <c r="E188" s="7"/>
      <c r="F188" s="7"/>
      <c r="G188" s="7"/>
      <c r="H188" s="208" t="s">
        <v>2299</v>
      </c>
      <c r="I188" s="7"/>
      <c r="J188" s="7"/>
      <c r="K188" s="7"/>
      <c r="L188" s="7"/>
      <c r="M188" s="209" t="s">
        <v>2299</v>
      </c>
      <c r="N188" s="7"/>
      <c r="O188" s="7"/>
      <c r="P188" s="7"/>
      <c r="Q188" s="7"/>
      <c r="R188" s="7"/>
      <c r="S188" s="7"/>
      <c r="T188" s="209" t="s">
        <v>2299</v>
      </c>
      <c r="U188" s="269" t="s">
        <v>2299</v>
      </c>
      <c r="V188" s="210"/>
      <c r="W188" s="271" t="s">
        <v>2299</v>
      </c>
      <c r="X188" s="7"/>
      <c r="Y188" s="7"/>
      <c r="Z188" s="209" t="s">
        <v>2299</v>
      </c>
      <c r="AA188" s="7"/>
      <c r="AB188" s="7"/>
      <c r="AD188" s="7"/>
      <c r="AE188" s="7"/>
      <c r="AF188" s="7"/>
      <c r="AG188" s="7"/>
      <c r="AH188" s="7"/>
      <c r="AI188" s="7"/>
      <c r="AJ188" s="7"/>
      <c r="AK188" s="7"/>
    </row>
    <row r="189" spans="1:37">
      <c r="A189" s="7"/>
      <c r="B189" s="7"/>
      <c r="C189" s="7"/>
      <c r="D189" s="7"/>
      <c r="E189" s="7"/>
      <c r="F189" s="7"/>
      <c r="G189" s="7"/>
      <c r="H189" s="208" t="s">
        <v>2299</v>
      </c>
      <c r="I189" s="7"/>
      <c r="J189" s="7"/>
      <c r="K189" s="7"/>
      <c r="L189" s="7"/>
      <c r="M189" s="209" t="s">
        <v>2299</v>
      </c>
      <c r="N189" s="7"/>
      <c r="O189" s="7"/>
      <c r="P189" s="7"/>
      <c r="Q189" s="7"/>
      <c r="R189" s="7"/>
      <c r="S189" s="7"/>
      <c r="T189" s="209" t="s">
        <v>2299</v>
      </c>
      <c r="U189" s="269" t="s">
        <v>2299</v>
      </c>
      <c r="V189" s="210"/>
      <c r="W189" s="271" t="s">
        <v>2299</v>
      </c>
      <c r="X189" s="7"/>
      <c r="Y189" s="7"/>
      <c r="Z189" s="209" t="s">
        <v>2299</v>
      </c>
      <c r="AA189" s="7"/>
      <c r="AB189" s="7"/>
      <c r="AD189" s="7"/>
      <c r="AE189" s="7"/>
      <c r="AF189" s="7"/>
      <c r="AG189" s="7"/>
      <c r="AH189" s="7"/>
      <c r="AI189" s="7"/>
      <c r="AJ189" s="7"/>
      <c r="AK189" s="7"/>
    </row>
    <row r="190" spans="1:37">
      <c r="A190" s="7"/>
      <c r="B190" s="7"/>
      <c r="C190" s="7"/>
      <c r="D190" s="7"/>
      <c r="E190" s="7"/>
      <c r="F190" s="7"/>
      <c r="G190" s="7"/>
      <c r="H190" s="208" t="s">
        <v>2299</v>
      </c>
      <c r="I190" s="7"/>
      <c r="J190" s="7"/>
      <c r="K190" s="7"/>
      <c r="L190" s="7"/>
      <c r="M190" s="209" t="s">
        <v>2299</v>
      </c>
      <c r="N190" s="7"/>
      <c r="O190" s="7"/>
      <c r="P190" s="7"/>
      <c r="Q190" s="7"/>
      <c r="R190" s="7"/>
      <c r="S190" s="7"/>
      <c r="T190" s="209" t="s">
        <v>2299</v>
      </c>
      <c r="U190" s="269" t="s">
        <v>2299</v>
      </c>
      <c r="V190" s="210"/>
      <c r="W190" s="271" t="s">
        <v>2299</v>
      </c>
      <c r="X190" s="7"/>
      <c r="Y190" s="7"/>
      <c r="Z190" s="209" t="s">
        <v>2299</v>
      </c>
      <c r="AA190" s="7"/>
      <c r="AB190" s="7"/>
      <c r="AD190" s="7"/>
      <c r="AE190" s="7"/>
      <c r="AF190" s="7"/>
      <c r="AG190" s="7"/>
      <c r="AH190" s="7"/>
      <c r="AI190" s="7"/>
      <c r="AJ190" s="7"/>
      <c r="AK190" s="7"/>
    </row>
    <row r="191" spans="1:37">
      <c r="A191" s="7"/>
      <c r="B191" s="7"/>
      <c r="C191" s="7"/>
      <c r="D191" s="7"/>
      <c r="E191" s="7"/>
      <c r="F191" s="7"/>
      <c r="G191" s="7"/>
      <c r="H191" s="208" t="s">
        <v>2299</v>
      </c>
      <c r="I191" s="7"/>
      <c r="J191" s="7"/>
      <c r="K191" s="7"/>
      <c r="L191" s="7"/>
      <c r="M191" s="209" t="s">
        <v>2299</v>
      </c>
      <c r="N191" s="7"/>
      <c r="O191" s="7"/>
      <c r="P191" s="7"/>
      <c r="Q191" s="7"/>
      <c r="R191" s="7"/>
      <c r="S191" s="7"/>
      <c r="T191" s="209" t="s">
        <v>2299</v>
      </c>
      <c r="U191" s="269" t="s">
        <v>2299</v>
      </c>
      <c r="V191" s="210"/>
      <c r="W191" s="271" t="s">
        <v>2299</v>
      </c>
      <c r="X191" s="7"/>
      <c r="Y191" s="7"/>
      <c r="Z191" s="209" t="s">
        <v>2299</v>
      </c>
      <c r="AA191" s="7"/>
      <c r="AB191" s="7"/>
      <c r="AD191" s="7"/>
      <c r="AE191" s="7"/>
      <c r="AF191" s="7"/>
      <c r="AG191" s="7"/>
      <c r="AH191" s="7"/>
      <c r="AI191" s="7"/>
      <c r="AJ191" s="7"/>
      <c r="AK191" s="7"/>
    </row>
    <row r="192" spans="1:37">
      <c r="A192" s="7"/>
      <c r="B192" s="7"/>
      <c r="C192" s="7"/>
      <c r="D192" s="7"/>
      <c r="E192" s="7"/>
      <c r="F192" s="7"/>
      <c r="G192" s="7"/>
      <c r="H192" s="208" t="s">
        <v>2299</v>
      </c>
      <c r="I192" s="7"/>
      <c r="J192" s="7"/>
      <c r="K192" s="7"/>
      <c r="L192" s="7"/>
      <c r="M192" s="209" t="s">
        <v>2299</v>
      </c>
      <c r="N192" s="7"/>
      <c r="O192" s="7"/>
      <c r="P192" s="7"/>
      <c r="Q192" s="7"/>
      <c r="R192" s="7"/>
      <c r="S192" s="7"/>
      <c r="T192" s="209" t="s">
        <v>2299</v>
      </c>
      <c r="U192" s="269" t="s">
        <v>2299</v>
      </c>
      <c r="V192" s="210"/>
      <c r="W192" s="271" t="s">
        <v>2299</v>
      </c>
      <c r="X192" s="7"/>
      <c r="Y192" s="7"/>
      <c r="Z192" s="209" t="s">
        <v>2299</v>
      </c>
      <c r="AA192" s="7"/>
      <c r="AB192" s="7"/>
      <c r="AD192" s="7"/>
      <c r="AE192" s="7"/>
      <c r="AF192" s="7"/>
      <c r="AG192" s="7"/>
      <c r="AH192" s="7"/>
      <c r="AI192" s="7"/>
      <c r="AJ192" s="7"/>
      <c r="AK192" s="7"/>
    </row>
    <row r="193" spans="1:37">
      <c r="A193" s="7"/>
      <c r="B193" s="7"/>
      <c r="C193" s="7"/>
      <c r="D193" s="7"/>
      <c r="E193" s="7"/>
      <c r="F193" s="7"/>
      <c r="G193" s="7"/>
      <c r="H193" s="208" t="s">
        <v>2299</v>
      </c>
      <c r="I193" s="7"/>
      <c r="J193" s="7"/>
      <c r="K193" s="7"/>
      <c r="L193" s="7"/>
      <c r="M193" s="209" t="s">
        <v>2299</v>
      </c>
      <c r="N193" s="7"/>
      <c r="O193" s="7"/>
      <c r="P193" s="7"/>
      <c r="Q193" s="7"/>
      <c r="R193" s="7"/>
      <c r="S193" s="7"/>
      <c r="T193" s="209" t="s">
        <v>2299</v>
      </c>
      <c r="U193" s="269" t="s">
        <v>2299</v>
      </c>
      <c r="V193" s="210"/>
      <c r="W193" s="271" t="s">
        <v>2299</v>
      </c>
      <c r="X193" s="7"/>
      <c r="Y193" s="7"/>
      <c r="Z193" s="209" t="s">
        <v>2299</v>
      </c>
      <c r="AA193" s="7"/>
      <c r="AB193" s="7"/>
      <c r="AD193" s="7"/>
      <c r="AE193" s="7"/>
      <c r="AF193" s="7"/>
      <c r="AG193" s="7"/>
      <c r="AH193" s="7"/>
      <c r="AI193" s="7"/>
      <c r="AJ193" s="7"/>
      <c r="AK193" s="7"/>
    </row>
    <row r="194" spans="1:37">
      <c r="A194" s="7"/>
      <c r="B194" s="7"/>
      <c r="C194" s="7"/>
      <c r="D194" s="7"/>
      <c r="E194" s="7"/>
      <c r="F194" s="7"/>
      <c r="G194" s="7"/>
      <c r="H194" s="208" t="s">
        <v>2299</v>
      </c>
      <c r="I194" s="7"/>
      <c r="J194" s="7"/>
      <c r="K194" s="7"/>
      <c r="L194" s="7"/>
      <c r="M194" s="209" t="s">
        <v>2299</v>
      </c>
      <c r="N194" s="7"/>
      <c r="O194" s="7"/>
      <c r="P194" s="7"/>
      <c r="Q194" s="7"/>
      <c r="R194" s="7"/>
      <c r="S194" s="7"/>
      <c r="T194" s="209" t="s">
        <v>2299</v>
      </c>
      <c r="U194" s="269" t="s">
        <v>2299</v>
      </c>
      <c r="V194" s="210"/>
      <c r="W194" s="271" t="s">
        <v>2299</v>
      </c>
      <c r="X194" s="7"/>
      <c r="Y194" s="7"/>
      <c r="Z194" s="209" t="s">
        <v>2299</v>
      </c>
      <c r="AA194" s="7"/>
      <c r="AB194" s="7"/>
      <c r="AD194" s="7"/>
      <c r="AE194" s="7"/>
      <c r="AF194" s="7"/>
      <c r="AG194" s="7"/>
      <c r="AH194" s="7"/>
      <c r="AI194" s="7"/>
      <c r="AJ194" s="7"/>
      <c r="AK194" s="7"/>
    </row>
    <row r="195" spans="1:37">
      <c r="A195" s="7"/>
      <c r="B195" s="7"/>
      <c r="C195" s="7"/>
      <c r="D195" s="7"/>
      <c r="E195" s="7"/>
      <c r="F195" s="7"/>
      <c r="G195" s="7"/>
      <c r="H195" s="208" t="s">
        <v>2299</v>
      </c>
      <c r="I195" s="7"/>
      <c r="J195" s="7"/>
      <c r="K195" s="7"/>
      <c r="L195" s="7"/>
      <c r="M195" s="209" t="s">
        <v>2299</v>
      </c>
      <c r="N195" s="7"/>
      <c r="O195" s="7"/>
      <c r="P195" s="7"/>
      <c r="Q195" s="7"/>
      <c r="R195" s="7"/>
      <c r="S195" s="7"/>
      <c r="T195" s="209" t="s">
        <v>2299</v>
      </c>
      <c r="U195" s="269" t="s">
        <v>2299</v>
      </c>
      <c r="V195" s="210"/>
      <c r="W195" s="271" t="s">
        <v>2299</v>
      </c>
      <c r="X195" s="7"/>
      <c r="Y195" s="7"/>
      <c r="Z195" s="209" t="s">
        <v>2299</v>
      </c>
      <c r="AA195" s="7"/>
      <c r="AB195" s="7"/>
      <c r="AD195" s="7"/>
      <c r="AE195" s="7"/>
      <c r="AF195" s="7"/>
      <c r="AG195" s="7"/>
      <c r="AH195" s="7"/>
      <c r="AI195" s="7"/>
      <c r="AJ195" s="7"/>
      <c r="AK195" s="7"/>
    </row>
    <row r="196" spans="1:37">
      <c r="A196" s="7"/>
      <c r="B196" s="7"/>
      <c r="C196" s="7"/>
      <c r="D196" s="7"/>
      <c r="E196" s="7"/>
      <c r="F196" s="7"/>
      <c r="G196" s="7"/>
      <c r="H196" s="208" t="s">
        <v>2299</v>
      </c>
      <c r="I196" s="7"/>
      <c r="J196" s="7"/>
      <c r="K196" s="7"/>
      <c r="L196" s="7"/>
      <c r="M196" s="209" t="s">
        <v>2299</v>
      </c>
      <c r="N196" s="7"/>
      <c r="O196" s="7"/>
      <c r="P196" s="7"/>
      <c r="Q196" s="7"/>
      <c r="R196" s="7"/>
      <c r="S196" s="7"/>
      <c r="T196" s="209" t="s">
        <v>2299</v>
      </c>
      <c r="U196" s="269" t="s">
        <v>2299</v>
      </c>
      <c r="V196" s="210"/>
      <c r="W196" s="271" t="s">
        <v>2299</v>
      </c>
      <c r="X196" s="7"/>
      <c r="Y196" s="7"/>
      <c r="Z196" s="209" t="s">
        <v>2299</v>
      </c>
      <c r="AA196" s="7"/>
      <c r="AB196" s="7"/>
      <c r="AD196" s="7"/>
      <c r="AE196" s="7"/>
      <c r="AF196" s="7"/>
      <c r="AG196" s="7"/>
      <c r="AH196" s="7"/>
      <c r="AI196" s="7"/>
      <c r="AJ196" s="7"/>
      <c r="AK196" s="7"/>
    </row>
    <row r="197" spans="1:37">
      <c r="A197" s="7"/>
      <c r="B197" s="7"/>
      <c r="C197" s="7"/>
      <c r="D197" s="7"/>
      <c r="E197" s="7"/>
      <c r="F197" s="7"/>
      <c r="G197" s="7"/>
      <c r="H197" s="208" t="s">
        <v>2299</v>
      </c>
      <c r="I197" s="7"/>
      <c r="J197" s="7"/>
      <c r="K197" s="7"/>
      <c r="L197" s="7"/>
      <c r="M197" s="209" t="s">
        <v>2299</v>
      </c>
      <c r="N197" s="7"/>
      <c r="O197" s="7"/>
      <c r="P197" s="7"/>
      <c r="Q197" s="7"/>
      <c r="R197" s="7"/>
      <c r="S197" s="7"/>
      <c r="T197" s="209" t="s">
        <v>2299</v>
      </c>
      <c r="U197" s="269" t="s">
        <v>2299</v>
      </c>
      <c r="V197" s="210"/>
      <c r="W197" s="271" t="s">
        <v>2299</v>
      </c>
      <c r="X197" s="7"/>
      <c r="Y197" s="7"/>
      <c r="Z197" s="209" t="s">
        <v>2299</v>
      </c>
      <c r="AA197" s="7"/>
      <c r="AB197" s="7"/>
      <c r="AD197" s="7"/>
      <c r="AE197" s="7"/>
      <c r="AF197" s="7"/>
      <c r="AG197" s="7"/>
      <c r="AH197" s="7"/>
      <c r="AI197" s="7"/>
      <c r="AJ197" s="7"/>
      <c r="AK197" s="7"/>
    </row>
    <row r="198" spans="1:37">
      <c r="A198" s="7"/>
      <c r="B198" s="7"/>
      <c r="C198" s="7"/>
      <c r="D198" s="7"/>
      <c r="E198" s="7"/>
      <c r="F198" s="7"/>
      <c r="G198" s="7"/>
      <c r="H198" s="208" t="s">
        <v>2299</v>
      </c>
      <c r="I198" s="7"/>
      <c r="J198" s="7"/>
      <c r="K198" s="7"/>
      <c r="L198" s="7"/>
      <c r="M198" s="209" t="s">
        <v>2299</v>
      </c>
      <c r="N198" s="7"/>
      <c r="O198" s="7"/>
      <c r="P198" s="7"/>
      <c r="Q198" s="7"/>
      <c r="R198" s="7"/>
      <c r="S198" s="7"/>
      <c r="T198" s="209" t="s">
        <v>2299</v>
      </c>
      <c r="U198" s="269" t="s">
        <v>2299</v>
      </c>
      <c r="V198" s="210"/>
      <c r="W198" s="271" t="s">
        <v>2299</v>
      </c>
      <c r="X198" s="7"/>
      <c r="Y198" s="7"/>
      <c r="Z198" s="209" t="s">
        <v>2299</v>
      </c>
      <c r="AA198" s="7"/>
      <c r="AB198" s="7"/>
      <c r="AD198" s="7"/>
      <c r="AE198" s="7"/>
      <c r="AF198" s="7"/>
      <c r="AG198" s="7"/>
      <c r="AH198" s="7"/>
      <c r="AI198" s="7"/>
      <c r="AJ198" s="7"/>
      <c r="AK198" s="7"/>
    </row>
    <row r="199" spans="1:37">
      <c r="A199" s="7"/>
      <c r="B199" s="7"/>
      <c r="C199" s="7"/>
      <c r="D199" s="7"/>
      <c r="E199" s="7"/>
      <c r="F199" s="7"/>
      <c r="G199" s="7"/>
      <c r="H199" s="208" t="s">
        <v>2299</v>
      </c>
      <c r="I199" s="7"/>
      <c r="J199" s="7"/>
      <c r="K199" s="7"/>
      <c r="L199" s="7"/>
      <c r="M199" s="209" t="s">
        <v>2299</v>
      </c>
      <c r="N199" s="7"/>
      <c r="O199" s="7"/>
      <c r="P199" s="7"/>
      <c r="Q199" s="7"/>
      <c r="R199" s="7"/>
      <c r="S199" s="7"/>
      <c r="T199" s="209" t="s">
        <v>2299</v>
      </c>
      <c r="U199" s="269" t="s">
        <v>2299</v>
      </c>
      <c r="V199" s="210"/>
      <c r="W199" s="271" t="s">
        <v>2299</v>
      </c>
      <c r="X199" s="7"/>
      <c r="Y199" s="7"/>
      <c r="Z199" s="209" t="s">
        <v>2299</v>
      </c>
      <c r="AA199" s="7"/>
      <c r="AB199" s="7"/>
      <c r="AD199" s="7"/>
      <c r="AE199" s="7"/>
      <c r="AF199" s="7"/>
      <c r="AG199" s="7"/>
      <c r="AH199" s="7"/>
      <c r="AI199" s="7"/>
      <c r="AJ199" s="7"/>
      <c r="AK199" s="7"/>
    </row>
    <row r="200" spans="1:37">
      <c r="A200" s="7"/>
      <c r="B200" s="7"/>
      <c r="C200" s="7"/>
      <c r="D200" s="7"/>
      <c r="E200" s="7"/>
      <c r="F200" s="7"/>
      <c r="G200" s="7"/>
      <c r="H200" s="208" t="s">
        <v>2299</v>
      </c>
      <c r="I200" s="7"/>
      <c r="J200" s="7"/>
      <c r="K200" s="7"/>
      <c r="L200" s="7"/>
      <c r="M200" s="209" t="s">
        <v>2299</v>
      </c>
      <c r="N200" s="7"/>
      <c r="O200" s="7"/>
      <c r="P200" s="7"/>
      <c r="Q200" s="7"/>
      <c r="R200" s="7"/>
      <c r="S200" s="7"/>
      <c r="T200" s="209" t="s">
        <v>2299</v>
      </c>
      <c r="U200" s="269" t="s">
        <v>2299</v>
      </c>
      <c r="V200" s="210"/>
      <c r="W200" s="271" t="s">
        <v>2299</v>
      </c>
      <c r="X200" s="7"/>
      <c r="Y200" s="7"/>
      <c r="Z200" s="209" t="s">
        <v>2299</v>
      </c>
      <c r="AA200" s="7"/>
      <c r="AB200" s="7"/>
      <c r="AD200" s="7"/>
      <c r="AE200" s="7"/>
      <c r="AF200" s="7"/>
      <c r="AG200" s="7"/>
      <c r="AH200" s="7"/>
      <c r="AI200" s="7"/>
      <c r="AJ200" s="7"/>
      <c r="AK200" s="7"/>
    </row>
    <row r="201" spans="1:37">
      <c r="A201" s="7"/>
      <c r="B201" s="7"/>
      <c r="C201" s="7"/>
      <c r="D201" s="7"/>
      <c r="E201" s="7"/>
      <c r="F201" s="7"/>
      <c r="G201" s="7"/>
      <c r="H201" s="208" t="s">
        <v>2299</v>
      </c>
      <c r="I201" s="7"/>
      <c r="J201" s="7"/>
      <c r="K201" s="7"/>
      <c r="L201" s="7"/>
      <c r="M201" s="209" t="s">
        <v>2299</v>
      </c>
      <c r="N201" s="7"/>
      <c r="O201" s="7"/>
      <c r="P201" s="7"/>
      <c r="Q201" s="7"/>
      <c r="R201" s="7"/>
      <c r="S201" s="7"/>
      <c r="T201" s="209" t="s">
        <v>2299</v>
      </c>
      <c r="U201" s="269" t="s">
        <v>2299</v>
      </c>
      <c r="V201" s="210"/>
      <c r="W201" s="271" t="s">
        <v>2299</v>
      </c>
      <c r="X201" s="7"/>
      <c r="Y201" s="7"/>
      <c r="Z201" s="209" t="s">
        <v>2299</v>
      </c>
      <c r="AA201" s="7"/>
      <c r="AB201" s="7"/>
      <c r="AD201" s="7"/>
      <c r="AE201" s="7"/>
      <c r="AF201" s="7"/>
      <c r="AG201" s="7"/>
      <c r="AH201" s="7"/>
      <c r="AI201" s="7"/>
      <c r="AJ201" s="7"/>
      <c r="AK201" s="7"/>
    </row>
    <row r="202" spans="1:37">
      <c r="A202" s="7"/>
      <c r="B202" s="7"/>
      <c r="C202" s="7"/>
      <c r="D202" s="7"/>
      <c r="E202" s="7"/>
      <c r="F202" s="7"/>
      <c r="G202" s="7"/>
      <c r="H202" s="208" t="s">
        <v>2299</v>
      </c>
      <c r="I202" s="7"/>
      <c r="J202" s="7"/>
      <c r="K202" s="7"/>
      <c r="L202" s="7"/>
      <c r="M202" s="209" t="s">
        <v>2299</v>
      </c>
      <c r="N202" s="7"/>
      <c r="O202" s="7"/>
      <c r="P202" s="7"/>
      <c r="Q202" s="7"/>
      <c r="R202" s="7"/>
      <c r="S202" s="7"/>
      <c r="T202" s="209" t="s">
        <v>2299</v>
      </c>
      <c r="U202" s="269" t="s">
        <v>2299</v>
      </c>
      <c r="V202" s="210"/>
      <c r="W202" s="271" t="s">
        <v>2299</v>
      </c>
      <c r="X202" s="7"/>
      <c r="Y202" s="7"/>
      <c r="Z202" s="209" t="s">
        <v>2299</v>
      </c>
      <c r="AA202" s="7"/>
      <c r="AB202" s="7"/>
      <c r="AD202" s="7"/>
      <c r="AE202" s="7"/>
      <c r="AF202" s="7"/>
      <c r="AG202" s="7"/>
      <c r="AH202" s="7"/>
      <c r="AI202" s="7"/>
      <c r="AJ202" s="7"/>
      <c r="AK202" s="7"/>
    </row>
    <row r="203" spans="1:37">
      <c r="A203" s="7"/>
      <c r="B203" s="7"/>
      <c r="C203" s="7"/>
      <c r="D203" s="7"/>
      <c r="E203" s="7"/>
      <c r="F203" s="7"/>
      <c r="G203" s="7"/>
      <c r="H203" s="208" t="s">
        <v>2299</v>
      </c>
      <c r="I203" s="7"/>
      <c r="J203" s="7"/>
      <c r="K203" s="7"/>
      <c r="L203" s="7"/>
      <c r="M203" s="209" t="s">
        <v>2299</v>
      </c>
      <c r="N203" s="7"/>
      <c r="O203" s="7"/>
      <c r="P203" s="7"/>
      <c r="Q203" s="7"/>
      <c r="R203" s="7"/>
      <c r="S203" s="7"/>
      <c r="T203" s="209" t="s">
        <v>2299</v>
      </c>
      <c r="U203" s="269" t="s">
        <v>2299</v>
      </c>
      <c r="V203" s="210"/>
      <c r="W203" s="271" t="s">
        <v>2299</v>
      </c>
      <c r="X203" s="7"/>
      <c r="Y203" s="7"/>
      <c r="Z203" s="209" t="s">
        <v>2299</v>
      </c>
      <c r="AA203" s="7"/>
      <c r="AB203" s="7"/>
      <c r="AD203" s="7"/>
      <c r="AE203" s="7"/>
      <c r="AF203" s="7"/>
      <c r="AG203" s="7"/>
      <c r="AH203" s="7"/>
      <c r="AI203" s="7"/>
      <c r="AJ203" s="7"/>
      <c r="AK203" s="7"/>
    </row>
    <row r="204" spans="1:37">
      <c r="A204" s="7"/>
      <c r="B204" s="7"/>
      <c r="C204" s="7"/>
      <c r="D204" s="7"/>
      <c r="E204" s="7"/>
      <c r="F204" s="7"/>
      <c r="G204" s="7"/>
      <c r="H204" s="208" t="s">
        <v>2299</v>
      </c>
      <c r="I204" s="7"/>
      <c r="J204" s="7"/>
      <c r="K204" s="7"/>
      <c r="L204" s="7"/>
      <c r="M204" s="209" t="s">
        <v>2299</v>
      </c>
      <c r="N204" s="7"/>
      <c r="O204" s="7"/>
      <c r="P204" s="7"/>
      <c r="Q204" s="7"/>
      <c r="R204" s="7"/>
      <c r="S204" s="7"/>
      <c r="T204" s="209" t="s">
        <v>2299</v>
      </c>
      <c r="U204" s="269" t="s">
        <v>2299</v>
      </c>
      <c r="V204" s="210"/>
      <c r="W204" s="271" t="s">
        <v>2299</v>
      </c>
      <c r="X204" s="7"/>
      <c r="Y204" s="7"/>
      <c r="Z204" s="209" t="s">
        <v>2299</v>
      </c>
      <c r="AA204" s="7"/>
      <c r="AB204" s="7"/>
      <c r="AD204" s="7"/>
      <c r="AE204" s="7"/>
      <c r="AF204" s="7"/>
      <c r="AG204" s="7"/>
      <c r="AH204" s="7"/>
      <c r="AI204" s="7"/>
      <c r="AJ204" s="7"/>
      <c r="AK204" s="7"/>
    </row>
    <row r="205" spans="1:37">
      <c r="A205" s="7"/>
      <c r="B205" s="7"/>
      <c r="C205" s="7"/>
      <c r="D205" s="7"/>
      <c r="E205" s="7"/>
      <c r="F205" s="7"/>
      <c r="G205" s="7"/>
      <c r="H205" s="208" t="s">
        <v>2299</v>
      </c>
      <c r="I205" s="7"/>
      <c r="J205" s="7"/>
      <c r="K205" s="7"/>
      <c r="L205" s="7"/>
      <c r="M205" s="209" t="s">
        <v>2299</v>
      </c>
      <c r="N205" s="7"/>
      <c r="O205" s="7"/>
      <c r="P205" s="7"/>
      <c r="Q205" s="7"/>
      <c r="R205" s="7"/>
      <c r="S205" s="7"/>
      <c r="T205" s="209" t="s">
        <v>2299</v>
      </c>
      <c r="U205" s="269" t="s">
        <v>2299</v>
      </c>
      <c r="V205" s="210"/>
      <c r="W205" s="271" t="s">
        <v>2299</v>
      </c>
      <c r="X205" s="7"/>
      <c r="Y205" s="7"/>
      <c r="Z205" s="209" t="s">
        <v>2299</v>
      </c>
      <c r="AA205" s="7"/>
      <c r="AB205" s="7"/>
      <c r="AD205" s="7"/>
      <c r="AE205" s="7"/>
      <c r="AF205" s="7"/>
      <c r="AG205" s="7"/>
      <c r="AH205" s="7"/>
      <c r="AI205" s="7"/>
      <c r="AJ205" s="7"/>
      <c r="AK205" s="7"/>
    </row>
    <row r="206" spans="1:37">
      <c r="A206" s="7"/>
      <c r="B206" s="7"/>
      <c r="C206" s="7"/>
      <c r="D206" s="7"/>
      <c r="E206" s="7"/>
      <c r="F206" s="7"/>
      <c r="G206" s="7"/>
      <c r="H206" s="208" t="s">
        <v>2299</v>
      </c>
      <c r="I206" s="7"/>
      <c r="J206" s="7"/>
      <c r="K206" s="7"/>
      <c r="L206" s="7"/>
      <c r="M206" s="209" t="s">
        <v>2299</v>
      </c>
      <c r="N206" s="7"/>
      <c r="O206" s="7"/>
      <c r="P206" s="7"/>
      <c r="Q206" s="7"/>
      <c r="R206" s="7"/>
      <c r="S206" s="7"/>
      <c r="T206" s="209" t="s">
        <v>2299</v>
      </c>
      <c r="U206" s="269" t="s">
        <v>2299</v>
      </c>
      <c r="V206" s="210"/>
      <c r="W206" s="271" t="s">
        <v>2299</v>
      </c>
      <c r="X206" s="7"/>
      <c r="Y206" s="7"/>
      <c r="Z206" s="209" t="s">
        <v>2299</v>
      </c>
      <c r="AA206" s="7"/>
      <c r="AB206" s="7"/>
      <c r="AD206" s="7"/>
      <c r="AE206" s="7"/>
      <c r="AF206" s="7"/>
      <c r="AG206" s="7"/>
      <c r="AH206" s="7"/>
      <c r="AI206" s="7"/>
      <c r="AJ206" s="7"/>
      <c r="AK206" s="7"/>
    </row>
    <row r="207" spans="1:37">
      <c r="A207" s="7"/>
      <c r="B207" s="7"/>
      <c r="C207" s="7"/>
      <c r="D207" s="7"/>
      <c r="E207" s="7"/>
      <c r="F207" s="7"/>
      <c r="G207" s="7"/>
      <c r="H207" s="208" t="s">
        <v>2299</v>
      </c>
      <c r="I207" s="7"/>
      <c r="J207" s="7"/>
      <c r="K207" s="7"/>
      <c r="L207" s="7"/>
      <c r="M207" s="209" t="s">
        <v>2299</v>
      </c>
      <c r="N207" s="7"/>
      <c r="O207" s="7"/>
      <c r="P207" s="7"/>
      <c r="Q207" s="7"/>
      <c r="R207" s="7"/>
      <c r="S207" s="7"/>
      <c r="T207" s="209" t="s">
        <v>2299</v>
      </c>
      <c r="U207" s="269" t="s">
        <v>2299</v>
      </c>
      <c r="V207" s="210"/>
      <c r="W207" s="271" t="s">
        <v>2299</v>
      </c>
      <c r="X207" s="7"/>
      <c r="Y207" s="7"/>
      <c r="Z207" s="209" t="s">
        <v>2299</v>
      </c>
      <c r="AA207" s="7"/>
      <c r="AB207" s="7"/>
      <c r="AD207" s="7"/>
      <c r="AE207" s="7"/>
      <c r="AF207" s="7"/>
      <c r="AG207" s="7"/>
      <c r="AH207" s="7"/>
      <c r="AI207" s="7"/>
      <c r="AJ207" s="7"/>
      <c r="AK207" s="7"/>
    </row>
    <row r="208" spans="1:37">
      <c r="A208" s="7"/>
      <c r="B208" s="7"/>
      <c r="C208" s="7"/>
      <c r="D208" s="7"/>
      <c r="E208" s="7"/>
      <c r="F208" s="7"/>
      <c r="G208" s="7"/>
      <c r="H208" s="208" t="s">
        <v>2299</v>
      </c>
      <c r="I208" s="7"/>
      <c r="J208" s="7"/>
      <c r="K208" s="7"/>
      <c r="L208" s="7"/>
      <c r="M208" s="209" t="s">
        <v>2299</v>
      </c>
      <c r="N208" s="7"/>
      <c r="O208" s="7"/>
      <c r="P208" s="7"/>
      <c r="Q208" s="7"/>
      <c r="R208" s="7"/>
      <c r="S208" s="7"/>
      <c r="T208" s="209" t="s">
        <v>2299</v>
      </c>
      <c r="U208" s="269" t="s">
        <v>2299</v>
      </c>
      <c r="V208" s="210"/>
      <c r="W208" s="271" t="s">
        <v>2299</v>
      </c>
      <c r="X208" s="7"/>
      <c r="Y208" s="7"/>
      <c r="Z208" s="209" t="s">
        <v>2299</v>
      </c>
      <c r="AA208" s="7"/>
      <c r="AB208" s="7"/>
      <c r="AD208" s="7"/>
      <c r="AE208" s="7"/>
      <c r="AF208" s="7"/>
      <c r="AG208" s="7"/>
      <c r="AH208" s="7"/>
      <c r="AI208" s="7"/>
      <c r="AJ208" s="7"/>
      <c r="AK208" s="7"/>
    </row>
    <row r="209" spans="1:37">
      <c r="A209" s="7"/>
      <c r="B209" s="7"/>
      <c r="C209" s="7"/>
      <c r="D209" s="7"/>
      <c r="E209" s="7"/>
      <c r="F209" s="7"/>
      <c r="G209" s="7"/>
      <c r="H209" s="208" t="s">
        <v>2299</v>
      </c>
      <c r="I209" s="7"/>
      <c r="J209" s="7"/>
      <c r="K209" s="7"/>
      <c r="L209" s="7"/>
      <c r="M209" s="209" t="s">
        <v>2299</v>
      </c>
      <c r="N209" s="7"/>
      <c r="O209" s="7"/>
      <c r="P209" s="7"/>
      <c r="Q209" s="7"/>
      <c r="R209" s="7"/>
      <c r="S209" s="7"/>
      <c r="T209" s="209" t="s">
        <v>2299</v>
      </c>
      <c r="U209" s="269" t="s">
        <v>2299</v>
      </c>
      <c r="V209" s="210"/>
      <c r="W209" s="271" t="s">
        <v>2299</v>
      </c>
      <c r="X209" s="7"/>
      <c r="Y209" s="7"/>
      <c r="Z209" s="209" t="s">
        <v>2299</v>
      </c>
      <c r="AA209" s="7"/>
      <c r="AB209" s="7"/>
      <c r="AD209" s="7"/>
      <c r="AE209" s="7"/>
      <c r="AF209" s="7"/>
      <c r="AG209" s="7"/>
      <c r="AH209" s="7"/>
      <c r="AI209" s="7"/>
      <c r="AJ209" s="7"/>
      <c r="AK209" s="7"/>
    </row>
    <row r="210" spans="1:37">
      <c r="A210" s="7"/>
      <c r="B210" s="7"/>
      <c r="C210" s="7"/>
      <c r="D210" s="7"/>
      <c r="E210" s="7"/>
      <c r="F210" s="7"/>
      <c r="G210" s="7"/>
      <c r="H210" s="208" t="s">
        <v>2299</v>
      </c>
      <c r="I210" s="7"/>
      <c r="J210" s="7"/>
      <c r="K210" s="7"/>
      <c r="L210" s="7"/>
      <c r="M210" s="209" t="s">
        <v>2299</v>
      </c>
      <c r="N210" s="7"/>
      <c r="O210" s="7"/>
      <c r="P210" s="7"/>
      <c r="Q210" s="7"/>
      <c r="R210" s="7"/>
      <c r="S210" s="7"/>
      <c r="T210" s="209" t="s">
        <v>2299</v>
      </c>
      <c r="U210" s="269" t="s">
        <v>2299</v>
      </c>
      <c r="V210" s="210"/>
      <c r="W210" s="271" t="s">
        <v>2299</v>
      </c>
      <c r="X210" s="7"/>
      <c r="Y210" s="7"/>
      <c r="Z210" s="209" t="s">
        <v>2299</v>
      </c>
      <c r="AA210" s="7"/>
      <c r="AB210" s="7"/>
      <c r="AD210" s="7"/>
      <c r="AE210" s="7"/>
      <c r="AF210" s="7"/>
      <c r="AG210" s="7"/>
      <c r="AH210" s="7"/>
      <c r="AI210" s="7"/>
      <c r="AJ210" s="7"/>
      <c r="AK210" s="7"/>
    </row>
    <row r="211" spans="1:37">
      <c r="A211" s="7"/>
      <c r="B211" s="7"/>
      <c r="C211" s="7"/>
      <c r="D211" s="7"/>
      <c r="E211" s="7"/>
      <c r="F211" s="7"/>
      <c r="G211" s="7"/>
      <c r="H211" s="208" t="s">
        <v>2299</v>
      </c>
      <c r="I211" s="7"/>
      <c r="J211" s="7"/>
      <c r="K211" s="7"/>
      <c r="L211" s="7"/>
      <c r="M211" s="209" t="s">
        <v>2299</v>
      </c>
      <c r="N211" s="7"/>
      <c r="O211" s="7"/>
      <c r="P211" s="7"/>
      <c r="Q211" s="7"/>
      <c r="R211" s="7"/>
      <c r="S211" s="7"/>
      <c r="T211" s="209" t="s">
        <v>2299</v>
      </c>
      <c r="U211" s="269" t="s">
        <v>2299</v>
      </c>
      <c r="V211" s="210"/>
      <c r="W211" s="271" t="s">
        <v>2299</v>
      </c>
      <c r="X211" s="7"/>
      <c r="Y211" s="7"/>
      <c r="Z211" s="209" t="s">
        <v>2299</v>
      </c>
      <c r="AA211" s="7"/>
      <c r="AB211" s="7"/>
      <c r="AD211" s="7"/>
      <c r="AE211" s="7"/>
      <c r="AF211" s="7"/>
      <c r="AG211" s="7"/>
      <c r="AH211" s="7"/>
      <c r="AI211" s="7"/>
      <c r="AJ211" s="7"/>
      <c r="AK211" s="7"/>
    </row>
    <row r="212" spans="1:37">
      <c r="A212" s="7"/>
      <c r="B212" s="7"/>
      <c r="C212" s="7"/>
      <c r="D212" s="7"/>
      <c r="E212" s="7"/>
      <c r="F212" s="7"/>
      <c r="G212" s="7"/>
      <c r="H212" s="208" t="s">
        <v>2299</v>
      </c>
      <c r="I212" s="7"/>
      <c r="J212" s="7"/>
      <c r="K212" s="7"/>
      <c r="L212" s="7"/>
      <c r="M212" s="209" t="s">
        <v>2299</v>
      </c>
      <c r="N212" s="7"/>
      <c r="O212" s="7"/>
      <c r="P212" s="7"/>
      <c r="Q212" s="7"/>
      <c r="R212" s="7"/>
      <c r="S212" s="7"/>
      <c r="T212" s="209" t="s">
        <v>2299</v>
      </c>
      <c r="U212" s="269" t="s">
        <v>2299</v>
      </c>
      <c r="V212" s="210"/>
      <c r="W212" s="271" t="s">
        <v>2299</v>
      </c>
      <c r="X212" s="7"/>
      <c r="Y212" s="7"/>
      <c r="Z212" s="209" t="s">
        <v>2299</v>
      </c>
      <c r="AA212" s="7"/>
      <c r="AB212" s="7"/>
      <c r="AD212" s="7"/>
      <c r="AE212" s="7"/>
      <c r="AF212" s="7"/>
      <c r="AG212" s="7"/>
      <c r="AH212" s="7"/>
      <c r="AI212" s="7"/>
      <c r="AJ212" s="7"/>
      <c r="AK212" s="7"/>
    </row>
    <row r="213" spans="1:37">
      <c r="A213" s="7"/>
      <c r="B213" s="7"/>
      <c r="C213" s="7"/>
      <c r="D213" s="7"/>
      <c r="E213" s="7"/>
      <c r="F213" s="7"/>
      <c r="G213" s="7"/>
      <c r="H213" s="208" t="s">
        <v>2299</v>
      </c>
      <c r="I213" s="7"/>
      <c r="J213" s="7"/>
      <c r="K213" s="7"/>
      <c r="L213" s="7"/>
      <c r="M213" s="209" t="s">
        <v>2299</v>
      </c>
      <c r="N213" s="7"/>
      <c r="O213" s="7"/>
      <c r="P213" s="7"/>
      <c r="Q213" s="7"/>
      <c r="R213" s="7"/>
      <c r="S213" s="7"/>
      <c r="T213" s="209" t="s">
        <v>2299</v>
      </c>
      <c r="U213" s="269" t="s">
        <v>2299</v>
      </c>
      <c r="V213" s="210"/>
      <c r="W213" s="271" t="s">
        <v>2299</v>
      </c>
      <c r="X213" s="7"/>
      <c r="Y213" s="7"/>
      <c r="Z213" s="209" t="s">
        <v>2299</v>
      </c>
      <c r="AA213" s="7"/>
      <c r="AB213" s="7"/>
      <c r="AD213" s="7"/>
      <c r="AE213" s="7"/>
      <c r="AF213" s="7"/>
      <c r="AG213" s="7"/>
      <c r="AH213" s="7"/>
      <c r="AI213" s="7"/>
      <c r="AJ213" s="7"/>
      <c r="AK213" s="7"/>
    </row>
    <row r="214" spans="1:37">
      <c r="A214" s="7"/>
      <c r="B214" s="7"/>
      <c r="C214" s="7"/>
      <c r="D214" s="7"/>
      <c r="E214" s="7"/>
      <c r="F214" s="7"/>
      <c r="G214" s="7"/>
      <c r="H214" s="208" t="s">
        <v>2299</v>
      </c>
      <c r="I214" s="7"/>
      <c r="J214" s="7"/>
      <c r="K214" s="7"/>
      <c r="L214" s="7"/>
      <c r="M214" s="209" t="s">
        <v>2299</v>
      </c>
      <c r="N214" s="7"/>
      <c r="O214" s="7"/>
      <c r="P214" s="7"/>
      <c r="Q214" s="7"/>
      <c r="R214" s="7"/>
      <c r="S214" s="7"/>
      <c r="T214" s="209" t="s">
        <v>2299</v>
      </c>
      <c r="U214" s="269" t="s">
        <v>2299</v>
      </c>
      <c r="V214" s="210"/>
      <c r="W214" s="271" t="s">
        <v>2299</v>
      </c>
      <c r="X214" s="7"/>
      <c r="Y214" s="7"/>
      <c r="Z214" s="209" t="s">
        <v>2299</v>
      </c>
      <c r="AA214" s="7"/>
      <c r="AB214" s="7"/>
      <c r="AD214" s="7"/>
      <c r="AE214" s="7"/>
      <c r="AF214" s="7"/>
      <c r="AG214" s="7"/>
      <c r="AH214" s="7"/>
      <c r="AI214" s="7"/>
      <c r="AJ214" s="7"/>
      <c r="AK214" s="7"/>
    </row>
    <row r="215" spans="1:37">
      <c r="A215" s="7"/>
      <c r="B215" s="7"/>
      <c r="C215" s="7"/>
      <c r="D215" s="7"/>
      <c r="E215" s="7"/>
      <c r="F215" s="7"/>
      <c r="G215" s="7"/>
      <c r="H215" s="208" t="s">
        <v>2299</v>
      </c>
      <c r="I215" s="7"/>
      <c r="J215" s="7"/>
      <c r="K215" s="7"/>
      <c r="L215" s="7"/>
      <c r="M215" s="209" t="s">
        <v>2299</v>
      </c>
      <c r="N215" s="7"/>
      <c r="O215" s="7"/>
      <c r="P215" s="7"/>
      <c r="Q215" s="7"/>
      <c r="R215" s="7"/>
      <c r="S215" s="7"/>
      <c r="T215" s="209" t="s">
        <v>2299</v>
      </c>
      <c r="U215" s="269" t="s">
        <v>2299</v>
      </c>
      <c r="V215" s="210"/>
      <c r="W215" s="271" t="s">
        <v>2299</v>
      </c>
      <c r="X215" s="7"/>
      <c r="Y215" s="7"/>
      <c r="Z215" s="209" t="s">
        <v>2299</v>
      </c>
      <c r="AA215" s="7"/>
      <c r="AB215" s="7"/>
      <c r="AD215" s="7"/>
      <c r="AE215" s="7"/>
      <c r="AF215" s="7"/>
      <c r="AG215" s="7"/>
      <c r="AH215" s="7"/>
      <c r="AI215" s="7"/>
      <c r="AJ215" s="7"/>
      <c r="AK215" s="7"/>
    </row>
    <row r="216" spans="1:37">
      <c r="A216" s="7"/>
      <c r="B216" s="7"/>
      <c r="C216" s="7"/>
      <c r="D216" s="7"/>
      <c r="E216" s="7"/>
      <c r="F216" s="7"/>
      <c r="G216" s="7"/>
      <c r="H216" s="208" t="s">
        <v>2299</v>
      </c>
      <c r="I216" s="7"/>
      <c r="J216" s="7"/>
      <c r="K216" s="7"/>
      <c r="L216" s="7"/>
      <c r="M216" s="209" t="s">
        <v>2299</v>
      </c>
      <c r="N216" s="7"/>
      <c r="O216" s="7"/>
      <c r="P216" s="7"/>
      <c r="Q216" s="7"/>
      <c r="R216" s="7"/>
      <c r="S216" s="7"/>
      <c r="T216" s="209" t="s">
        <v>2299</v>
      </c>
      <c r="U216" s="269" t="s">
        <v>2299</v>
      </c>
      <c r="V216" s="210"/>
      <c r="W216" s="271" t="s">
        <v>2299</v>
      </c>
      <c r="X216" s="7"/>
      <c r="Y216" s="7"/>
      <c r="Z216" s="209" t="s">
        <v>2299</v>
      </c>
      <c r="AA216" s="7"/>
      <c r="AB216" s="7"/>
      <c r="AD216" s="7"/>
      <c r="AE216" s="7"/>
      <c r="AF216" s="7"/>
      <c r="AG216" s="7"/>
      <c r="AH216" s="7"/>
      <c r="AI216" s="7"/>
      <c r="AJ216" s="7"/>
      <c r="AK216" s="7"/>
    </row>
    <row r="217" spans="1:37">
      <c r="A217" s="7"/>
      <c r="B217" s="7"/>
      <c r="C217" s="7"/>
      <c r="D217" s="7"/>
      <c r="E217" s="7"/>
      <c r="F217" s="7"/>
      <c r="G217" s="7"/>
      <c r="H217" s="208" t="s">
        <v>2299</v>
      </c>
      <c r="I217" s="7"/>
      <c r="J217" s="7"/>
      <c r="K217" s="7"/>
      <c r="L217" s="7"/>
      <c r="M217" s="209" t="s">
        <v>2299</v>
      </c>
      <c r="N217" s="7"/>
      <c r="O217" s="7"/>
      <c r="P217" s="7"/>
      <c r="Q217" s="7"/>
      <c r="R217" s="7"/>
      <c r="S217" s="7"/>
      <c r="T217" s="209" t="s">
        <v>2299</v>
      </c>
      <c r="U217" s="269" t="s">
        <v>2299</v>
      </c>
      <c r="V217" s="210"/>
      <c r="W217" s="271" t="s">
        <v>2299</v>
      </c>
      <c r="X217" s="7"/>
      <c r="Y217" s="7"/>
      <c r="Z217" s="209" t="s">
        <v>2299</v>
      </c>
      <c r="AA217" s="7"/>
      <c r="AB217" s="7"/>
      <c r="AD217" s="7"/>
      <c r="AE217" s="7"/>
      <c r="AF217" s="7"/>
      <c r="AG217" s="7"/>
      <c r="AH217" s="7"/>
      <c r="AI217" s="7"/>
      <c r="AJ217" s="7"/>
      <c r="AK217" s="7"/>
    </row>
    <row r="218" spans="1:37">
      <c r="A218" s="7"/>
      <c r="B218" s="7"/>
      <c r="C218" s="7"/>
      <c r="D218" s="7"/>
      <c r="E218" s="7"/>
      <c r="F218" s="7"/>
      <c r="G218" s="7"/>
      <c r="H218" s="208" t="s">
        <v>2299</v>
      </c>
      <c r="I218" s="7"/>
      <c r="J218" s="7"/>
      <c r="K218" s="7"/>
      <c r="L218" s="7"/>
      <c r="M218" s="209" t="s">
        <v>2299</v>
      </c>
      <c r="N218" s="7"/>
      <c r="O218" s="7"/>
      <c r="P218" s="7"/>
      <c r="Q218" s="7"/>
      <c r="R218" s="7"/>
      <c r="S218" s="7"/>
      <c r="T218" s="209" t="s">
        <v>2299</v>
      </c>
      <c r="U218" s="269" t="s">
        <v>2299</v>
      </c>
      <c r="V218" s="210"/>
      <c r="W218" s="271" t="s">
        <v>2299</v>
      </c>
      <c r="X218" s="7"/>
      <c r="Y218" s="7"/>
      <c r="Z218" s="209" t="s">
        <v>2299</v>
      </c>
      <c r="AA218" s="7"/>
      <c r="AB218" s="7"/>
      <c r="AD218" s="7"/>
      <c r="AE218" s="7"/>
      <c r="AF218" s="7"/>
      <c r="AG218" s="7"/>
      <c r="AH218" s="7"/>
      <c r="AI218" s="7"/>
      <c r="AJ218" s="7"/>
      <c r="AK218" s="7"/>
    </row>
    <row r="219" spans="1:37">
      <c r="A219" s="7"/>
      <c r="B219" s="7"/>
      <c r="C219" s="7"/>
      <c r="D219" s="7"/>
      <c r="E219" s="7"/>
      <c r="F219" s="7"/>
      <c r="G219" s="7"/>
      <c r="H219" s="208" t="s">
        <v>2299</v>
      </c>
      <c r="I219" s="7"/>
      <c r="J219" s="7"/>
      <c r="K219" s="7"/>
      <c r="L219" s="7"/>
      <c r="M219" s="209" t="s">
        <v>2299</v>
      </c>
      <c r="N219" s="7"/>
      <c r="O219" s="7"/>
      <c r="P219" s="7"/>
      <c r="Q219" s="7"/>
      <c r="R219" s="7"/>
      <c r="S219" s="7"/>
      <c r="T219" s="209" t="s">
        <v>2299</v>
      </c>
      <c r="U219" s="269" t="s">
        <v>2299</v>
      </c>
      <c r="V219" s="210"/>
      <c r="W219" s="271" t="s">
        <v>2299</v>
      </c>
      <c r="X219" s="7"/>
      <c r="Y219" s="7"/>
      <c r="Z219" s="209" t="s">
        <v>2299</v>
      </c>
      <c r="AA219" s="7"/>
      <c r="AB219" s="7"/>
      <c r="AD219" s="7"/>
      <c r="AE219" s="7"/>
      <c r="AF219" s="7"/>
      <c r="AG219" s="7"/>
      <c r="AH219" s="7"/>
      <c r="AI219" s="7"/>
      <c r="AJ219" s="7"/>
      <c r="AK219" s="7"/>
    </row>
    <row r="220" spans="1:37">
      <c r="A220" s="7"/>
      <c r="B220" s="7"/>
      <c r="C220" s="7"/>
      <c r="D220" s="7"/>
      <c r="E220" s="7"/>
      <c r="F220" s="7"/>
      <c r="G220" s="7"/>
      <c r="H220" s="208" t="s">
        <v>2299</v>
      </c>
      <c r="I220" s="7"/>
      <c r="J220" s="7"/>
      <c r="K220" s="7"/>
      <c r="L220" s="7"/>
      <c r="M220" s="209" t="s">
        <v>2299</v>
      </c>
      <c r="N220" s="7"/>
      <c r="O220" s="7"/>
      <c r="P220" s="7"/>
      <c r="Q220" s="7"/>
      <c r="R220" s="7"/>
      <c r="S220" s="7"/>
      <c r="T220" s="209" t="s">
        <v>2299</v>
      </c>
      <c r="U220" s="269" t="s">
        <v>2299</v>
      </c>
      <c r="V220" s="210"/>
      <c r="W220" s="271" t="s">
        <v>2299</v>
      </c>
      <c r="X220" s="7"/>
      <c r="Y220" s="7"/>
      <c r="Z220" s="209" t="s">
        <v>2299</v>
      </c>
      <c r="AA220" s="7"/>
      <c r="AB220" s="7"/>
      <c r="AD220" s="7"/>
      <c r="AE220" s="7"/>
      <c r="AF220" s="7"/>
      <c r="AG220" s="7"/>
      <c r="AH220" s="7"/>
      <c r="AI220" s="7"/>
      <c r="AJ220" s="7"/>
      <c r="AK220" s="7"/>
    </row>
    <row r="221" spans="1:37">
      <c r="A221" s="7"/>
      <c r="B221" s="7"/>
      <c r="C221" s="7"/>
      <c r="D221" s="7"/>
      <c r="E221" s="7"/>
      <c r="F221" s="7"/>
      <c r="G221" s="7"/>
      <c r="H221" s="208" t="s">
        <v>2299</v>
      </c>
      <c r="I221" s="7"/>
      <c r="J221" s="7"/>
      <c r="K221" s="7"/>
      <c r="L221" s="7"/>
      <c r="M221" s="209" t="s">
        <v>2299</v>
      </c>
      <c r="N221" s="7"/>
      <c r="O221" s="7"/>
      <c r="P221" s="7"/>
      <c r="Q221" s="7"/>
      <c r="R221" s="7"/>
      <c r="S221" s="7"/>
      <c r="T221" s="209" t="s">
        <v>2299</v>
      </c>
      <c r="U221" s="269" t="s">
        <v>2299</v>
      </c>
      <c r="V221" s="210"/>
      <c r="W221" s="271" t="s">
        <v>2299</v>
      </c>
      <c r="X221" s="7"/>
      <c r="Y221" s="7"/>
      <c r="Z221" s="209" t="s">
        <v>2299</v>
      </c>
      <c r="AA221" s="7"/>
      <c r="AB221" s="7"/>
      <c r="AD221" s="7"/>
      <c r="AE221" s="7"/>
      <c r="AF221" s="7"/>
      <c r="AG221" s="7"/>
      <c r="AH221" s="7"/>
      <c r="AI221" s="7"/>
      <c r="AJ221" s="7"/>
      <c r="AK221" s="7"/>
    </row>
    <row r="222" spans="1:37">
      <c r="A222" s="7"/>
      <c r="B222" s="7"/>
      <c r="C222" s="7"/>
      <c r="D222" s="7"/>
      <c r="E222" s="7"/>
      <c r="F222" s="7"/>
      <c r="G222" s="7"/>
      <c r="H222" s="208" t="s">
        <v>2299</v>
      </c>
      <c r="I222" s="7"/>
      <c r="J222" s="7"/>
      <c r="K222" s="7"/>
      <c r="L222" s="7"/>
      <c r="M222" s="209" t="s">
        <v>2299</v>
      </c>
      <c r="N222" s="7"/>
      <c r="O222" s="7"/>
      <c r="P222" s="7"/>
      <c r="Q222" s="7"/>
      <c r="R222" s="7"/>
      <c r="S222" s="7"/>
      <c r="T222" s="209" t="s">
        <v>2299</v>
      </c>
      <c r="U222" s="269" t="s">
        <v>2299</v>
      </c>
      <c r="V222" s="210"/>
      <c r="W222" s="271" t="s">
        <v>2299</v>
      </c>
      <c r="X222" s="7"/>
      <c r="Y222" s="7"/>
      <c r="Z222" s="209" t="s">
        <v>2299</v>
      </c>
      <c r="AA222" s="7"/>
      <c r="AB222" s="7"/>
      <c r="AD222" s="7"/>
      <c r="AE222" s="7"/>
      <c r="AF222" s="7"/>
      <c r="AG222" s="7"/>
      <c r="AH222" s="7"/>
      <c r="AI222" s="7"/>
      <c r="AJ222" s="7"/>
      <c r="AK222" s="7"/>
    </row>
    <row r="223" spans="1:37">
      <c r="A223" s="7"/>
      <c r="B223" s="7"/>
      <c r="C223" s="7"/>
      <c r="D223" s="7"/>
      <c r="E223" s="7"/>
      <c r="F223" s="7"/>
      <c r="G223" s="7"/>
      <c r="H223" s="208" t="s">
        <v>2299</v>
      </c>
      <c r="I223" s="7"/>
      <c r="J223" s="7"/>
      <c r="K223" s="7"/>
      <c r="L223" s="7"/>
      <c r="M223" s="209" t="s">
        <v>2299</v>
      </c>
      <c r="N223" s="7"/>
      <c r="O223" s="7"/>
      <c r="P223" s="7"/>
      <c r="Q223" s="7"/>
      <c r="R223" s="7"/>
      <c r="S223" s="7"/>
      <c r="T223" s="209" t="s">
        <v>2299</v>
      </c>
      <c r="U223" s="269" t="s">
        <v>2299</v>
      </c>
      <c r="V223" s="210"/>
      <c r="W223" s="271" t="s">
        <v>2299</v>
      </c>
      <c r="X223" s="7"/>
      <c r="Y223" s="7"/>
      <c r="Z223" s="209" t="s">
        <v>2299</v>
      </c>
      <c r="AA223" s="7"/>
      <c r="AB223" s="7"/>
      <c r="AD223" s="7"/>
      <c r="AE223" s="7"/>
      <c r="AF223" s="7"/>
      <c r="AG223" s="7"/>
      <c r="AH223" s="7"/>
      <c r="AI223" s="7"/>
      <c r="AJ223" s="7"/>
      <c r="AK223" s="7"/>
    </row>
    <row r="224" spans="1:37">
      <c r="A224" s="7"/>
      <c r="B224" s="7"/>
      <c r="C224" s="7"/>
      <c r="D224" s="7"/>
      <c r="E224" s="7"/>
      <c r="F224" s="7"/>
      <c r="G224" s="7"/>
      <c r="H224" s="208" t="s">
        <v>2299</v>
      </c>
      <c r="I224" s="7"/>
      <c r="J224" s="7"/>
      <c r="K224" s="7"/>
      <c r="L224" s="7"/>
      <c r="M224" s="209" t="s">
        <v>2299</v>
      </c>
      <c r="N224" s="7"/>
      <c r="O224" s="7"/>
      <c r="P224" s="7"/>
      <c r="Q224" s="7"/>
      <c r="R224" s="7"/>
      <c r="S224" s="7"/>
      <c r="T224" s="209" t="s">
        <v>2299</v>
      </c>
      <c r="U224" s="269" t="s">
        <v>2299</v>
      </c>
      <c r="V224" s="210"/>
      <c r="W224" s="271" t="s">
        <v>2299</v>
      </c>
      <c r="X224" s="7"/>
      <c r="Y224" s="7"/>
      <c r="Z224" s="209" t="s">
        <v>2299</v>
      </c>
      <c r="AA224" s="7"/>
      <c r="AB224" s="7"/>
      <c r="AD224" s="7"/>
      <c r="AE224" s="7"/>
      <c r="AF224" s="7"/>
      <c r="AG224" s="7"/>
      <c r="AH224" s="7"/>
      <c r="AI224" s="7"/>
      <c r="AJ224" s="7"/>
      <c r="AK224" s="7"/>
    </row>
    <row r="225" spans="1:37">
      <c r="A225" s="7"/>
      <c r="B225" s="7"/>
      <c r="C225" s="7"/>
      <c r="D225" s="7"/>
      <c r="E225" s="7"/>
      <c r="F225" s="7"/>
      <c r="G225" s="7"/>
      <c r="H225" s="208" t="s">
        <v>2299</v>
      </c>
      <c r="I225" s="7"/>
      <c r="J225" s="7"/>
      <c r="K225" s="7"/>
      <c r="L225" s="7"/>
      <c r="M225" s="209" t="s">
        <v>2299</v>
      </c>
      <c r="N225" s="7"/>
      <c r="O225" s="7"/>
      <c r="P225" s="7"/>
      <c r="Q225" s="7"/>
      <c r="R225" s="7"/>
      <c r="S225" s="7"/>
      <c r="T225" s="209" t="s">
        <v>2299</v>
      </c>
      <c r="U225" s="269" t="s">
        <v>2299</v>
      </c>
      <c r="V225" s="210"/>
      <c r="W225" s="271" t="s">
        <v>2299</v>
      </c>
      <c r="X225" s="7"/>
      <c r="Y225" s="7"/>
      <c r="Z225" s="209" t="s">
        <v>2299</v>
      </c>
      <c r="AA225" s="7"/>
      <c r="AB225" s="7"/>
      <c r="AD225" s="7"/>
      <c r="AE225" s="7"/>
      <c r="AF225" s="7"/>
      <c r="AG225" s="7"/>
      <c r="AH225" s="7"/>
      <c r="AI225" s="7"/>
      <c r="AJ225" s="7"/>
      <c r="AK225" s="7"/>
    </row>
    <row r="226" spans="1:37">
      <c r="A226" s="7"/>
      <c r="B226" s="7"/>
      <c r="C226" s="7"/>
      <c r="D226" s="7"/>
      <c r="E226" s="7"/>
      <c r="F226" s="7"/>
      <c r="G226" s="7"/>
      <c r="H226" s="208" t="s">
        <v>2299</v>
      </c>
      <c r="I226" s="7"/>
      <c r="J226" s="7"/>
      <c r="K226" s="7"/>
      <c r="L226" s="7"/>
      <c r="M226" s="209" t="s">
        <v>2299</v>
      </c>
      <c r="N226" s="7"/>
      <c r="O226" s="7"/>
      <c r="P226" s="7"/>
      <c r="Q226" s="7"/>
      <c r="R226" s="7"/>
      <c r="S226" s="7"/>
      <c r="T226" s="209" t="s">
        <v>2299</v>
      </c>
      <c r="U226" s="269" t="s">
        <v>2299</v>
      </c>
      <c r="V226" s="210"/>
      <c r="W226" s="271" t="s">
        <v>2299</v>
      </c>
      <c r="X226" s="7"/>
      <c r="Y226" s="7"/>
      <c r="Z226" s="209" t="s">
        <v>2299</v>
      </c>
      <c r="AA226" s="7"/>
      <c r="AB226" s="7"/>
      <c r="AD226" s="7"/>
      <c r="AE226" s="7"/>
      <c r="AF226" s="7"/>
      <c r="AG226" s="7"/>
      <c r="AH226" s="7"/>
      <c r="AI226" s="7"/>
      <c r="AJ226" s="7"/>
      <c r="AK226" s="7"/>
    </row>
    <row r="227" spans="1:37">
      <c r="A227" s="7"/>
      <c r="B227" s="7"/>
      <c r="C227" s="7"/>
      <c r="D227" s="7"/>
      <c r="E227" s="7"/>
      <c r="F227" s="7"/>
      <c r="G227" s="7"/>
      <c r="H227" s="208" t="s">
        <v>2299</v>
      </c>
      <c r="I227" s="7"/>
      <c r="J227" s="7"/>
      <c r="K227" s="7"/>
      <c r="L227" s="7"/>
      <c r="M227" s="209" t="s">
        <v>2299</v>
      </c>
      <c r="N227" s="7"/>
      <c r="O227" s="7"/>
      <c r="P227" s="7"/>
      <c r="Q227" s="7"/>
      <c r="R227" s="7"/>
      <c r="S227" s="7"/>
      <c r="T227" s="209" t="s">
        <v>2299</v>
      </c>
      <c r="U227" s="269" t="s">
        <v>2299</v>
      </c>
      <c r="V227" s="210"/>
      <c r="W227" s="271" t="s">
        <v>2299</v>
      </c>
      <c r="X227" s="7"/>
      <c r="Y227" s="7"/>
      <c r="Z227" s="209" t="s">
        <v>2299</v>
      </c>
      <c r="AA227" s="7"/>
      <c r="AB227" s="7"/>
      <c r="AD227" s="7"/>
      <c r="AE227" s="7"/>
      <c r="AF227" s="7"/>
      <c r="AG227" s="7"/>
      <c r="AH227" s="7"/>
      <c r="AI227" s="7"/>
      <c r="AJ227" s="7"/>
      <c r="AK227" s="7"/>
    </row>
    <row r="228" spans="1:37">
      <c r="A228" s="7"/>
      <c r="B228" s="7"/>
      <c r="C228" s="7"/>
      <c r="D228" s="7"/>
      <c r="E228" s="7"/>
      <c r="F228" s="7"/>
      <c r="G228" s="7"/>
      <c r="H228" s="208" t="s">
        <v>2299</v>
      </c>
      <c r="I228" s="7"/>
      <c r="J228" s="7"/>
      <c r="K228" s="7"/>
      <c r="L228" s="7"/>
      <c r="M228" s="209" t="s">
        <v>2299</v>
      </c>
      <c r="N228" s="7"/>
      <c r="O228" s="7"/>
      <c r="P228" s="7"/>
      <c r="Q228" s="7"/>
      <c r="R228" s="7"/>
      <c r="S228" s="7"/>
      <c r="T228" s="209" t="s">
        <v>2299</v>
      </c>
      <c r="U228" s="269" t="s">
        <v>2299</v>
      </c>
      <c r="V228" s="210"/>
      <c r="W228" s="271" t="s">
        <v>2299</v>
      </c>
      <c r="X228" s="7"/>
      <c r="Y228" s="7"/>
      <c r="Z228" s="209" t="s">
        <v>2299</v>
      </c>
      <c r="AA228" s="7"/>
      <c r="AB228" s="7"/>
      <c r="AD228" s="7"/>
      <c r="AE228" s="7"/>
      <c r="AF228" s="7"/>
      <c r="AG228" s="7"/>
      <c r="AH228" s="7"/>
      <c r="AI228" s="7"/>
      <c r="AJ228" s="7"/>
      <c r="AK228" s="7"/>
    </row>
    <row r="229" spans="1:37">
      <c r="A229" s="7"/>
      <c r="B229" s="7"/>
      <c r="C229" s="7"/>
      <c r="D229" s="7"/>
      <c r="E229" s="7"/>
      <c r="F229" s="7"/>
      <c r="G229" s="7"/>
      <c r="H229" s="208" t="s">
        <v>2299</v>
      </c>
      <c r="I229" s="7"/>
      <c r="J229" s="7"/>
      <c r="K229" s="7"/>
      <c r="L229" s="7"/>
      <c r="M229" s="209" t="s">
        <v>2299</v>
      </c>
      <c r="N229" s="7"/>
      <c r="O229" s="7"/>
      <c r="P229" s="7"/>
      <c r="Q229" s="7"/>
      <c r="R229" s="7"/>
      <c r="S229" s="7"/>
      <c r="T229" s="209" t="s">
        <v>2299</v>
      </c>
      <c r="U229" s="269" t="s">
        <v>2299</v>
      </c>
      <c r="V229" s="210"/>
      <c r="W229" s="271" t="s">
        <v>2299</v>
      </c>
      <c r="X229" s="7"/>
      <c r="Y229" s="7"/>
      <c r="Z229" s="209" t="s">
        <v>2299</v>
      </c>
      <c r="AA229" s="7"/>
      <c r="AB229" s="7"/>
      <c r="AD229" s="7"/>
      <c r="AE229" s="7"/>
      <c r="AF229" s="7"/>
      <c r="AG229" s="7"/>
      <c r="AH229" s="7"/>
      <c r="AI229" s="7"/>
      <c r="AJ229" s="7"/>
      <c r="AK229" s="7"/>
    </row>
    <row r="230" spans="1:37">
      <c r="A230" s="7"/>
      <c r="B230" s="7"/>
      <c r="C230" s="7"/>
      <c r="D230" s="7"/>
      <c r="E230" s="7"/>
      <c r="F230" s="7"/>
      <c r="G230" s="7"/>
      <c r="H230" s="208" t="s">
        <v>2299</v>
      </c>
      <c r="I230" s="7"/>
      <c r="J230" s="7"/>
      <c r="K230" s="7"/>
      <c r="L230" s="7"/>
      <c r="M230" s="209" t="s">
        <v>2299</v>
      </c>
      <c r="N230" s="7"/>
      <c r="O230" s="7"/>
      <c r="P230" s="7"/>
      <c r="Q230" s="7"/>
      <c r="R230" s="7"/>
      <c r="S230" s="7"/>
      <c r="T230" s="209" t="s">
        <v>2299</v>
      </c>
      <c r="U230" s="269" t="s">
        <v>2299</v>
      </c>
      <c r="V230" s="210"/>
      <c r="W230" s="271" t="s">
        <v>2299</v>
      </c>
      <c r="X230" s="7"/>
      <c r="Y230" s="7"/>
      <c r="Z230" s="209" t="s">
        <v>2299</v>
      </c>
      <c r="AA230" s="7"/>
      <c r="AB230" s="7"/>
      <c r="AD230" s="7"/>
      <c r="AE230" s="7"/>
      <c r="AF230" s="7"/>
      <c r="AG230" s="7"/>
      <c r="AH230" s="7"/>
      <c r="AI230" s="7"/>
      <c r="AJ230" s="7"/>
      <c r="AK230" s="7"/>
    </row>
    <row r="231" spans="1:37">
      <c r="A231" s="7"/>
      <c r="B231" s="7"/>
      <c r="C231" s="7"/>
      <c r="D231" s="7"/>
      <c r="E231" s="7"/>
      <c r="F231" s="7"/>
      <c r="G231" s="7"/>
      <c r="H231" s="208" t="s">
        <v>2299</v>
      </c>
      <c r="I231" s="7"/>
      <c r="J231" s="7"/>
      <c r="K231" s="7"/>
      <c r="L231" s="7"/>
      <c r="M231" s="209" t="s">
        <v>2299</v>
      </c>
      <c r="N231" s="7"/>
      <c r="O231" s="7"/>
      <c r="P231" s="7"/>
      <c r="Q231" s="7"/>
      <c r="R231" s="7"/>
      <c r="S231" s="7"/>
      <c r="T231" s="209" t="s">
        <v>2299</v>
      </c>
      <c r="U231" s="269" t="s">
        <v>2299</v>
      </c>
      <c r="V231" s="210"/>
      <c r="W231" s="271" t="s">
        <v>2299</v>
      </c>
      <c r="X231" s="7"/>
      <c r="Y231" s="7"/>
      <c r="Z231" s="209" t="s">
        <v>2299</v>
      </c>
      <c r="AA231" s="7"/>
      <c r="AB231" s="7"/>
      <c r="AD231" s="7"/>
      <c r="AE231" s="7"/>
      <c r="AF231" s="7"/>
      <c r="AG231" s="7"/>
      <c r="AH231" s="7"/>
      <c r="AI231" s="7"/>
      <c r="AJ231" s="7"/>
      <c r="AK231" s="7"/>
    </row>
    <row r="232" spans="1:37">
      <c r="A232" s="7"/>
      <c r="B232" s="7"/>
      <c r="C232" s="7"/>
      <c r="D232" s="7"/>
      <c r="E232" s="7"/>
      <c r="F232" s="7"/>
      <c r="G232" s="7"/>
      <c r="H232" s="208" t="s">
        <v>2299</v>
      </c>
      <c r="I232" s="7"/>
      <c r="J232" s="7"/>
      <c r="K232" s="7"/>
      <c r="L232" s="7"/>
      <c r="M232" s="209" t="s">
        <v>2299</v>
      </c>
      <c r="N232" s="7"/>
      <c r="O232" s="7"/>
      <c r="P232" s="7"/>
      <c r="Q232" s="7"/>
      <c r="R232" s="7"/>
      <c r="S232" s="7"/>
      <c r="T232" s="209" t="s">
        <v>2299</v>
      </c>
      <c r="U232" s="269" t="s">
        <v>2299</v>
      </c>
      <c r="V232" s="210"/>
      <c r="W232" s="271" t="s">
        <v>2299</v>
      </c>
      <c r="X232" s="7"/>
      <c r="Y232" s="7"/>
      <c r="Z232" s="209" t="s">
        <v>2299</v>
      </c>
      <c r="AA232" s="7"/>
      <c r="AB232" s="7"/>
      <c r="AD232" s="7"/>
      <c r="AE232" s="7"/>
      <c r="AF232" s="7"/>
      <c r="AG232" s="7"/>
      <c r="AH232" s="7"/>
      <c r="AI232" s="7"/>
      <c r="AJ232" s="7"/>
      <c r="AK232" s="7"/>
    </row>
    <row r="233" spans="1:37">
      <c r="A233" s="7"/>
      <c r="B233" s="7"/>
      <c r="C233" s="7"/>
      <c r="D233" s="7"/>
      <c r="E233" s="7"/>
      <c r="F233" s="7"/>
      <c r="G233" s="7"/>
      <c r="H233" s="208" t="s">
        <v>2299</v>
      </c>
      <c r="I233" s="7"/>
      <c r="J233" s="7"/>
      <c r="K233" s="7"/>
      <c r="L233" s="7"/>
      <c r="M233" s="209" t="s">
        <v>2299</v>
      </c>
      <c r="N233" s="7"/>
      <c r="O233" s="7"/>
      <c r="P233" s="7"/>
      <c r="Q233" s="7"/>
      <c r="R233" s="7"/>
      <c r="S233" s="7"/>
      <c r="T233" s="209" t="s">
        <v>2299</v>
      </c>
      <c r="U233" s="269" t="s">
        <v>2299</v>
      </c>
      <c r="V233" s="210"/>
      <c r="W233" s="271" t="s">
        <v>2299</v>
      </c>
      <c r="X233" s="7"/>
      <c r="Y233" s="7"/>
      <c r="Z233" s="209" t="s">
        <v>2299</v>
      </c>
      <c r="AA233" s="7"/>
      <c r="AB233" s="7"/>
      <c r="AD233" s="7"/>
      <c r="AE233" s="7"/>
      <c r="AF233" s="7"/>
      <c r="AG233" s="7"/>
      <c r="AH233" s="7"/>
      <c r="AI233" s="7"/>
      <c r="AJ233" s="7"/>
      <c r="AK233" s="7"/>
    </row>
    <row r="234" spans="1:37">
      <c r="A234" s="7"/>
      <c r="B234" s="7"/>
      <c r="C234" s="7"/>
      <c r="D234" s="7"/>
      <c r="E234" s="7"/>
      <c r="F234" s="7"/>
      <c r="G234" s="7"/>
      <c r="H234" s="208" t="s">
        <v>2299</v>
      </c>
      <c r="I234" s="7"/>
      <c r="J234" s="7"/>
      <c r="K234" s="7"/>
      <c r="L234" s="7"/>
      <c r="M234" s="209" t="s">
        <v>2299</v>
      </c>
      <c r="N234" s="7"/>
      <c r="O234" s="7"/>
      <c r="P234" s="7"/>
      <c r="Q234" s="7"/>
      <c r="R234" s="7"/>
      <c r="S234" s="7"/>
      <c r="T234" s="209" t="s">
        <v>2299</v>
      </c>
      <c r="U234" s="269" t="s">
        <v>2299</v>
      </c>
      <c r="V234" s="210"/>
      <c r="W234" s="271" t="s">
        <v>2299</v>
      </c>
      <c r="X234" s="7"/>
      <c r="Y234" s="7"/>
      <c r="Z234" s="209" t="s">
        <v>2299</v>
      </c>
      <c r="AA234" s="7"/>
      <c r="AB234" s="7"/>
      <c r="AD234" s="7"/>
      <c r="AE234" s="7"/>
      <c r="AF234" s="7"/>
      <c r="AG234" s="7"/>
      <c r="AH234" s="7"/>
      <c r="AI234" s="7"/>
      <c r="AJ234" s="7"/>
      <c r="AK234" s="7"/>
    </row>
    <row r="235" spans="1:37">
      <c r="A235" s="7"/>
      <c r="B235" s="7"/>
      <c r="C235" s="7"/>
      <c r="D235" s="7"/>
      <c r="E235" s="7"/>
      <c r="F235" s="7"/>
      <c r="G235" s="7"/>
      <c r="H235" s="208" t="s">
        <v>2299</v>
      </c>
      <c r="I235" s="7"/>
      <c r="J235" s="7"/>
      <c r="K235" s="7"/>
      <c r="L235" s="7"/>
      <c r="M235" s="209" t="s">
        <v>2299</v>
      </c>
      <c r="N235" s="7"/>
      <c r="O235" s="7"/>
      <c r="P235" s="7"/>
      <c r="Q235" s="7"/>
      <c r="R235" s="7"/>
      <c r="S235" s="7"/>
      <c r="T235" s="209" t="s">
        <v>2299</v>
      </c>
      <c r="U235" s="269" t="s">
        <v>2299</v>
      </c>
      <c r="V235" s="210"/>
      <c r="W235" s="271" t="s">
        <v>2299</v>
      </c>
      <c r="X235" s="7"/>
      <c r="Y235" s="7"/>
      <c r="Z235" s="209" t="s">
        <v>2299</v>
      </c>
      <c r="AA235" s="7"/>
      <c r="AB235" s="7"/>
      <c r="AD235" s="7"/>
      <c r="AE235" s="7"/>
      <c r="AF235" s="7"/>
      <c r="AG235" s="7"/>
      <c r="AH235" s="7"/>
      <c r="AI235" s="7"/>
      <c r="AJ235" s="7"/>
      <c r="AK235" s="7"/>
    </row>
    <row r="236" spans="1:37">
      <c r="A236" s="7"/>
      <c r="B236" s="7"/>
      <c r="C236" s="7"/>
      <c r="D236" s="7"/>
      <c r="E236" s="7"/>
      <c r="F236" s="7"/>
      <c r="G236" s="7"/>
      <c r="H236" s="208" t="s">
        <v>2299</v>
      </c>
      <c r="I236" s="7"/>
      <c r="J236" s="7"/>
      <c r="K236" s="7"/>
      <c r="L236" s="7"/>
      <c r="M236" s="209" t="s">
        <v>2299</v>
      </c>
      <c r="N236" s="7"/>
      <c r="O236" s="7"/>
      <c r="P236" s="7"/>
      <c r="Q236" s="7"/>
      <c r="R236" s="7"/>
      <c r="S236" s="7"/>
      <c r="T236" s="209" t="s">
        <v>2299</v>
      </c>
      <c r="U236" s="269" t="s">
        <v>2299</v>
      </c>
      <c r="V236" s="210"/>
      <c r="W236" s="271" t="s">
        <v>2299</v>
      </c>
      <c r="X236" s="7"/>
      <c r="Y236" s="7"/>
      <c r="Z236" s="209" t="s">
        <v>2299</v>
      </c>
      <c r="AA236" s="7"/>
      <c r="AB236" s="7"/>
      <c r="AD236" s="7"/>
      <c r="AE236" s="7"/>
      <c r="AF236" s="7"/>
      <c r="AG236" s="7"/>
      <c r="AH236" s="7"/>
      <c r="AI236" s="7"/>
      <c r="AJ236" s="7"/>
      <c r="AK236" s="7"/>
    </row>
    <row r="237" spans="1:37">
      <c r="A237" s="7"/>
      <c r="B237" s="7"/>
      <c r="C237" s="7"/>
      <c r="D237" s="7"/>
      <c r="E237" s="7"/>
      <c r="F237" s="7"/>
      <c r="G237" s="7"/>
      <c r="H237" s="208" t="s">
        <v>2299</v>
      </c>
      <c r="I237" s="7"/>
      <c r="J237" s="7"/>
      <c r="K237" s="7"/>
      <c r="L237" s="7"/>
      <c r="M237" s="209" t="s">
        <v>2299</v>
      </c>
      <c r="N237" s="7"/>
      <c r="O237" s="7"/>
      <c r="P237" s="7"/>
      <c r="Q237" s="7"/>
      <c r="R237" s="7"/>
      <c r="S237" s="7"/>
      <c r="T237" s="209" t="s">
        <v>2299</v>
      </c>
      <c r="U237" s="269" t="s">
        <v>2299</v>
      </c>
      <c r="V237" s="210"/>
      <c r="W237" s="271" t="s">
        <v>2299</v>
      </c>
      <c r="X237" s="7"/>
      <c r="Y237" s="7"/>
      <c r="Z237" s="209" t="s">
        <v>2299</v>
      </c>
      <c r="AA237" s="7"/>
      <c r="AB237" s="7"/>
      <c r="AD237" s="7"/>
      <c r="AE237" s="7"/>
      <c r="AF237" s="7"/>
      <c r="AG237" s="7"/>
      <c r="AH237" s="7"/>
      <c r="AI237" s="7"/>
      <c r="AJ237" s="7"/>
      <c r="AK237" s="7"/>
    </row>
    <row r="238" spans="1:37">
      <c r="A238" s="7"/>
      <c r="B238" s="7"/>
      <c r="C238" s="7"/>
      <c r="D238" s="7"/>
      <c r="E238" s="7"/>
      <c r="F238" s="7"/>
      <c r="G238" s="7"/>
      <c r="H238" s="208" t="s">
        <v>2299</v>
      </c>
      <c r="I238" s="7"/>
      <c r="J238" s="7"/>
      <c r="K238" s="7"/>
      <c r="L238" s="7"/>
      <c r="M238" s="209" t="s">
        <v>2299</v>
      </c>
      <c r="N238" s="7"/>
      <c r="O238" s="7"/>
      <c r="P238" s="7"/>
      <c r="Q238" s="7"/>
      <c r="R238" s="7"/>
      <c r="S238" s="7"/>
      <c r="T238" s="209" t="s">
        <v>2299</v>
      </c>
      <c r="U238" s="269" t="s">
        <v>2299</v>
      </c>
      <c r="V238" s="210"/>
      <c r="W238" s="271" t="s">
        <v>2299</v>
      </c>
      <c r="X238" s="7"/>
      <c r="Y238" s="7"/>
      <c r="Z238" s="209" t="s">
        <v>2299</v>
      </c>
      <c r="AA238" s="7"/>
      <c r="AB238" s="7"/>
      <c r="AD238" s="7"/>
      <c r="AE238" s="7"/>
      <c r="AF238" s="7"/>
      <c r="AG238" s="7"/>
      <c r="AH238" s="7"/>
      <c r="AI238" s="7"/>
      <c r="AJ238" s="7"/>
      <c r="AK238" s="7"/>
    </row>
    <row r="239" spans="1:37">
      <c r="A239" s="7"/>
      <c r="B239" s="7"/>
      <c r="C239" s="7"/>
      <c r="D239" s="7"/>
      <c r="E239" s="7"/>
      <c r="F239" s="7"/>
      <c r="G239" s="7"/>
      <c r="H239" s="208" t="s">
        <v>2299</v>
      </c>
      <c r="I239" s="7"/>
      <c r="J239" s="7"/>
      <c r="K239" s="7"/>
      <c r="L239" s="7"/>
      <c r="M239" s="209" t="s">
        <v>2299</v>
      </c>
      <c r="N239" s="7"/>
      <c r="O239" s="7"/>
      <c r="P239" s="7"/>
      <c r="Q239" s="7"/>
      <c r="R239" s="7"/>
      <c r="S239" s="7"/>
      <c r="T239" s="209" t="s">
        <v>2299</v>
      </c>
      <c r="U239" s="269" t="s">
        <v>2299</v>
      </c>
      <c r="V239" s="210"/>
      <c r="W239" s="271" t="s">
        <v>2299</v>
      </c>
      <c r="X239" s="7"/>
      <c r="Y239" s="7"/>
      <c r="Z239" s="209" t="s">
        <v>2299</v>
      </c>
      <c r="AA239" s="7"/>
      <c r="AB239" s="7"/>
      <c r="AD239" s="7"/>
      <c r="AE239" s="7"/>
      <c r="AF239" s="7"/>
      <c r="AG239" s="7"/>
      <c r="AH239" s="7"/>
      <c r="AI239" s="7"/>
      <c r="AJ239" s="7"/>
      <c r="AK239" s="7"/>
    </row>
    <row r="240" spans="1:37">
      <c r="A240" s="7"/>
      <c r="B240" s="7"/>
      <c r="C240" s="7"/>
      <c r="D240" s="7"/>
      <c r="E240" s="7"/>
      <c r="F240" s="7"/>
      <c r="G240" s="7"/>
      <c r="H240" s="208" t="s">
        <v>2299</v>
      </c>
      <c r="I240" s="7"/>
      <c r="J240" s="7"/>
      <c r="K240" s="7"/>
      <c r="L240" s="7"/>
      <c r="M240" s="209" t="s">
        <v>2299</v>
      </c>
      <c r="N240" s="7"/>
      <c r="O240" s="7"/>
      <c r="P240" s="7"/>
      <c r="Q240" s="7"/>
      <c r="R240" s="7"/>
      <c r="S240" s="7"/>
      <c r="T240" s="209" t="s">
        <v>2299</v>
      </c>
      <c r="U240" s="269" t="s">
        <v>2299</v>
      </c>
      <c r="V240" s="210"/>
      <c r="W240" s="271" t="s">
        <v>2299</v>
      </c>
      <c r="X240" s="7"/>
      <c r="Y240" s="7"/>
      <c r="Z240" s="209" t="s">
        <v>2299</v>
      </c>
      <c r="AA240" s="7"/>
      <c r="AB240" s="7"/>
      <c r="AD240" s="7"/>
      <c r="AE240" s="7"/>
      <c r="AF240" s="7"/>
      <c r="AG240" s="7"/>
      <c r="AH240" s="7"/>
      <c r="AI240" s="7"/>
      <c r="AJ240" s="7"/>
      <c r="AK240" s="7"/>
    </row>
    <row r="241" spans="1:37">
      <c r="A241" s="7"/>
      <c r="B241" s="7"/>
      <c r="C241" s="7"/>
      <c r="D241" s="7"/>
      <c r="E241" s="7"/>
      <c r="F241" s="7"/>
      <c r="G241" s="7"/>
      <c r="H241" s="208" t="s">
        <v>2299</v>
      </c>
      <c r="I241" s="7"/>
      <c r="J241" s="7"/>
      <c r="K241" s="7"/>
      <c r="L241" s="7"/>
      <c r="M241" s="209" t="s">
        <v>2299</v>
      </c>
      <c r="N241" s="7"/>
      <c r="O241" s="7"/>
      <c r="P241" s="7"/>
      <c r="Q241" s="7"/>
      <c r="R241" s="7"/>
      <c r="S241" s="7"/>
      <c r="T241" s="209" t="s">
        <v>2299</v>
      </c>
      <c r="U241" s="269" t="s">
        <v>2299</v>
      </c>
      <c r="V241" s="210"/>
      <c r="W241" s="271" t="s">
        <v>2299</v>
      </c>
      <c r="X241" s="7"/>
      <c r="Y241" s="7"/>
      <c r="Z241" s="209" t="s">
        <v>2299</v>
      </c>
      <c r="AA241" s="7"/>
      <c r="AB241" s="7"/>
      <c r="AD241" s="7"/>
      <c r="AE241" s="7"/>
      <c r="AF241" s="7"/>
      <c r="AG241" s="7"/>
      <c r="AH241" s="7"/>
      <c r="AI241" s="7"/>
      <c r="AJ241" s="7"/>
      <c r="AK241" s="7"/>
    </row>
    <row r="242" spans="1:37">
      <c r="A242" s="7"/>
      <c r="B242" s="7"/>
      <c r="C242" s="7"/>
      <c r="D242" s="7"/>
      <c r="E242" s="7"/>
      <c r="F242" s="7"/>
      <c r="G242" s="7"/>
      <c r="H242" s="208" t="s">
        <v>2299</v>
      </c>
      <c r="I242" s="7"/>
      <c r="J242" s="7"/>
      <c r="K242" s="7"/>
      <c r="L242" s="7"/>
      <c r="M242" s="209" t="s">
        <v>2299</v>
      </c>
      <c r="N242" s="7"/>
      <c r="O242" s="7"/>
      <c r="P242" s="7"/>
      <c r="Q242" s="7"/>
      <c r="R242" s="7"/>
      <c r="S242" s="7"/>
      <c r="T242" s="209" t="s">
        <v>2299</v>
      </c>
      <c r="U242" s="269" t="s">
        <v>2299</v>
      </c>
      <c r="V242" s="210"/>
      <c r="W242" s="271" t="s">
        <v>2299</v>
      </c>
      <c r="X242" s="7"/>
      <c r="Y242" s="7"/>
      <c r="Z242" s="209" t="s">
        <v>2299</v>
      </c>
      <c r="AA242" s="7"/>
      <c r="AB242" s="7"/>
      <c r="AD242" s="7"/>
      <c r="AE242" s="7"/>
      <c r="AF242" s="7"/>
      <c r="AG242" s="7"/>
      <c r="AH242" s="7"/>
      <c r="AI242" s="7"/>
      <c r="AJ242" s="7"/>
      <c r="AK242" s="7"/>
    </row>
    <row r="243" spans="1:37">
      <c r="A243" s="7"/>
      <c r="B243" s="7"/>
      <c r="C243" s="7"/>
      <c r="D243" s="7"/>
      <c r="E243" s="7"/>
      <c r="F243" s="7"/>
      <c r="G243" s="7"/>
      <c r="H243" s="208" t="s">
        <v>2299</v>
      </c>
      <c r="I243" s="7"/>
      <c r="J243" s="7"/>
      <c r="K243" s="7"/>
      <c r="L243" s="7"/>
      <c r="M243" s="209" t="s">
        <v>2299</v>
      </c>
      <c r="N243" s="7"/>
      <c r="O243" s="7"/>
      <c r="P243" s="7"/>
      <c r="Q243" s="7"/>
      <c r="R243" s="7"/>
      <c r="S243" s="7"/>
      <c r="T243" s="209" t="s">
        <v>2299</v>
      </c>
      <c r="U243" s="269" t="s">
        <v>2299</v>
      </c>
      <c r="V243" s="210"/>
      <c r="W243" s="271" t="s">
        <v>2299</v>
      </c>
      <c r="X243" s="7"/>
      <c r="Y243" s="7"/>
      <c r="Z243" s="209" t="s">
        <v>2299</v>
      </c>
      <c r="AA243" s="7"/>
      <c r="AB243" s="7"/>
      <c r="AD243" s="7"/>
      <c r="AE243" s="7"/>
      <c r="AF243" s="7"/>
      <c r="AG243" s="7"/>
      <c r="AH243" s="7"/>
      <c r="AI243" s="7"/>
      <c r="AJ243" s="7"/>
      <c r="AK243" s="7"/>
    </row>
    <row r="244" spans="1:37">
      <c r="A244" s="7"/>
      <c r="B244" s="7"/>
      <c r="C244" s="7"/>
      <c r="D244" s="7"/>
      <c r="E244" s="7"/>
      <c r="F244" s="7"/>
      <c r="G244" s="7"/>
      <c r="H244" s="208" t="s">
        <v>2299</v>
      </c>
      <c r="I244" s="7"/>
      <c r="J244" s="7"/>
      <c r="K244" s="7"/>
      <c r="L244" s="7"/>
      <c r="M244" s="209" t="s">
        <v>2299</v>
      </c>
      <c r="N244" s="7"/>
      <c r="O244" s="7"/>
      <c r="P244" s="7"/>
      <c r="Q244" s="7"/>
      <c r="R244" s="7"/>
      <c r="S244" s="7"/>
      <c r="T244" s="209" t="s">
        <v>2299</v>
      </c>
      <c r="U244" s="269" t="s">
        <v>2299</v>
      </c>
      <c r="V244" s="210"/>
      <c r="W244" s="271" t="s">
        <v>2299</v>
      </c>
      <c r="X244" s="7"/>
      <c r="Y244" s="7"/>
      <c r="Z244" s="209" t="s">
        <v>2299</v>
      </c>
      <c r="AA244" s="7"/>
      <c r="AB244" s="7"/>
      <c r="AD244" s="7"/>
      <c r="AE244" s="7"/>
      <c r="AF244" s="7"/>
      <c r="AG244" s="7"/>
      <c r="AH244" s="7"/>
      <c r="AI244" s="7"/>
      <c r="AJ244" s="7"/>
      <c r="AK244" s="7"/>
    </row>
    <row r="245" spans="1:37">
      <c r="A245" s="7"/>
      <c r="B245" s="7"/>
      <c r="C245" s="7"/>
      <c r="D245" s="7"/>
      <c r="E245" s="7"/>
      <c r="F245" s="7"/>
      <c r="G245" s="7"/>
      <c r="H245" s="208" t="s">
        <v>2299</v>
      </c>
      <c r="I245" s="7"/>
      <c r="J245" s="7"/>
      <c r="K245" s="7"/>
      <c r="L245" s="7"/>
      <c r="M245" s="209" t="s">
        <v>2299</v>
      </c>
      <c r="N245" s="7"/>
      <c r="O245" s="7"/>
      <c r="P245" s="7"/>
      <c r="Q245" s="7"/>
      <c r="R245" s="7"/>
      <c r="S245" s="7"/>
      <c r="T245" s="209" t="s">
        <v>2299</v>
      </c>
      <c r="U245" s="269" t="s">
        <v>2299</v>
      </c>
      <c r="V245" s="210"/>
      <c r="W245" s="271" t="s">
        <v>2299</v>
      </c>
      <c r="X245" s="7"/>
      <c r="Y245" s="7"/>
      <c r="Z245" s="209" t="s">
        <v>2299</v>
      </c>
      <c r="AA245" s="7"/>
      <c r="AB245" s="7"/>
      <c r="AD245" s="7"/>
      <c r="AE245" s="7"/>
      <c r="AF245" s="7"/>
      <c r="AG245" s="7"/>
      <c r="AH245" s="7"/>
      <c r="AI245" s="7"/>
      <c r="AJ245" s="7"/>
      <c r="AK245" s="7"/>
    </row>
    <row r="246" spans="1:37">
      <c r="A246" s="7"/>
      <c r="B246" s="7"/>
      <c r="C246" s="7"/>
      <c r="D246" s="7"/>
      <c r="E246" s="7"/>
      <c r="F246" s="7"/>
      <c r="G246" s="7"/>
      <c r="H246" s="208" t="s">
        <v>2299</v>
      </c>
      <c r="I246" s="7"/>
      <c r="J246" s="7"/>
      <c r="K246" s="7"/>
      <c r="L246" s="7"/>
      <c r="M246" s="209" t="s">
        <v>2299</v>
      </c>
      <c r="N246" s="7"/>
      <c r="O246" s="7"/>
      <c r="P246" s="7"/>
      <c r="Q246" s="7"/>
      <c r="R246" s="7"/>
      <c r="S246" s="7"/>
      <c r="T246" s="209" t="s">
        <v>2299</v>
      </c>
      <c r="U246" s="269" t="s">
        <v>2299</v>
      </c>
      <c r="V246" s="210"/>
      <c r="W246" s="271" t="s">
        <v>2299</v>
      </c>
      <c r="X246" s="7"/>
      <c r="Y246" s="7"/>
      <c r="Z246" s="209" t="s">
        <v>2299</v>
      </c>
      <c r="AA246" s="7"/>
      <c r="AB246" s="7"/>
      <c r="AD246" s="7"/>
      <c r="AE246" s="7"/>
      <c r="AF246" s="7"/>
      <c r="AG246" s="7"/>
      <c r="AH246" s="7"/>
      <c r="AI246" s="7"/>
      <c r="AJ246" s="7"/>
      <c r="AK246" s="7"/>
    </row>
    <row r="247" spans="1:37">
      <c r="A247" s="7"/>
      <c r="B247" s="7"/>
      <c r="C247" s="7"/>
      <c r="D247" s="7"/>
      <c r="E247" s="7"/>
      <c r="F247" s="7"/>
      <c r="G247" s="7"/>
      <c r="H247" s="208" t="s">
        <v>2299</v>
      </c>
      <c r="I247" s="7"/>
      <c r="J247" s="7"/>
      <c r="K247" s="7"/>
      <c r="L247" s="7"/>
      <c r="M247" s="209" t="s">
        <v>2299</v>
      </c>
      <c r="N247" s="7"/>
      <c r="O247" s="7"/>
      <c r="P247" s="7"/>
      <c r="Q247" s="7"/>
      <c r="R247" s="7"/>
      <c r="S247" s="7"/>
      <c r="T247" s="209" t="s">
        <v>2299</v>
      </c>
      <c r="U247" s="269" t="s">
        <v>2299</v>
      </c>
      <c r="V247" s="210"/>
      <c r="W247" s="271" t="s">
        <v>2299</v>
      </c>
      <c r="X247" s="7"/>
      <c r="Y247" s="7"/>
      <c r="Z247" s="209" t="s">
        <v>2299</v>
      </c>
      <c r="AA247" s="7"/>
      <c r="AB247" s="7"/>
      <c r="AD247" s="7"/>
      <c r="AE247" s="7"/>
      <c r="AF247" s="7"/>
      <c r="AG247" s="7"/>
      <c r="AH247" s="7"/>
      <c r="AI247" s="7"/>
      <c r="AJ247" s="7"/>
      <c r="AK247" s="7"/>
    </row>
    <row r="248" spans="1:37">
      <c r="A248" s="7"/>
      <c r="B248" s="7"/>
      <c r="C248" s="7"/>
      <c r="D248" s="7"/>
      <c r="E248" s="7"/>
      <c r="F248" s="7"/>
      <c r="G248" s="7"/>
      <c r="H248" s="208" t="s">
        <v>2299</v>
      </c>
      <c r="I248" s="7"/>
      <c r="J248" s="7"/>
      <c r="K248" s="7"/>
      <c r="L248" s="7"/>
      <c r="M248" s="209" t="s">
        <v>2299</v>
      </c>
      <c r="N248" s="7"/>
      <c r="O248" s="7"/>
      <c r="P248" s="7"/>
      <c r="Q248" s="7"/>
      <c r="R248" s="7"/>
      <c r="S248" s="7"/>
      <c r="T248" s="209" t="s">
        <v>2299</v>
      </c>
      <c r="U248" s="269" t="s">
        <v>2299</v>
      </c>
      <c r="V248" s="210"/>
      <c r="W248" s="271" t="s">
        <v>2299</v>
      </c>
      <c r="X248" s="7"/>
      <c r="Y248" s="7"/>
      <c r="Z248" s="209" t="s">
        <v>2299</v>
      </c>
      <c r="AA248" s="7"/>
      <c r="AB248" s="7"/>
      <c r="AD248" s="7"/>
      <c r="AE248" s="7"/>
      <c r="AF248" s="7"/>
      <c r="AG248" s="7"/>
      <c r="AH248" s="7"/>
      <c r="AI248" s="7"/>
      <c r="AJ248" s="7"/>
      <c r="AK248" s="7"/>
    </row>
    <row r="249" spans="1:37">
      <c r="A249" s="7"/>
      <c r="B249" s="7"/>
      <c r="C249" s="7"/>
      <c r="D249" s="7"/>
      <c r="E249" s="7"/>
      <c r="F249" s="7"/>
      <c r="G249" s="7"/>
      <c r="H249" s="208" t="s">
        <v>2299</v>
      </c>
      <c r="I249" s="7"/>
      <c r="J249" s="7"/>
      <c r="K249" s="7"/>
      <c r="L249" s="7"/>
      <c r="M249" s="209" t="s">
        <v>2299</v>
      </c>
      <c r="N249" s="7"/>
      <c r="O249" s="7"/>
      <c r="P249" s="7"/>
      <c r="Q249" s="7"/>
      <c r="R249" s="7"/>
      <c r="S249" s="7"/>
      <c r="T249" s="209" t="s">
        <v>2299</v>
      </c>
      <c r="U249" s="269" t="s">
        <v>2299</v>
      </c>
      <c r="V249" s="210"/>
      <c r="W249" s="271" t="s">
        <v>2299</v>
      </c>
      <c r="X249" s="7"/>
      <c r="Y249" s="7"/>
      <c r="Z249" s="209" t="s">
        <v>2299</v>
      </c>
      <c r="AA249" s="7"/>
      <c r="AB249" s="7"/>
      <c r="AD249" s="7"/>
      <c r="AE249" s="7"/>
      <c r="AF249" s="7"/>
      <c r="AG249" s="7"/>
      <c r="AH249" s="7"/>
      <c r="AI249" s="7"/>
      <c r="AJ249" s="7"/>
      <c r="AK249" s="7"/>
    </row>
    <row r="250" spans="1:37">
      <c r="A250" s="7"/>
      <c r="B250" s="7"/>
      <c r="C250" s="7"/>
      <c r="D250" s="7"/>
      <c r="E250" s="7"/>
      <c r="F250" s="7"/>
      <c r="G250" s="7"/>
      <c r="H250" s="208" t="s">
        <v>2299</v>
      </c>
      <c r="I250" s="7"/>
      <c r="J250" s="7"/>
      <c r="K250" s="7"/>
      <c r="L250" s="7"/>
      <c r="M250" s="209" t="s">
        <v>2299</v>
      </c>
      <c r="N250" s="7"/>
      <c r="O250" s="7"/>
      <c r="P250" s="7"/>
      <c r="Q250" s="7"/>
      <c r="R250" s="7"/>
      <c r="S250" s="7"/>
      <c r="T250" s="209" t="s">
        <v>2299</v>
      </c>
      <c r="U250" s="269" t="s">
        <v>2299</v>
      </c>
      <c r="V250" s="210"/>
      <c r="W250" s="271" t="s">
        <v>2299</v>
      </c>
      <c r="X250" s="7"/>
      <c r="Y250" s="7"/>
      <c r="Z250" s="209" t="s">
        <v>2299</v>
      </c>
      <c r="AA250" s="7"/>
      <c r="AB250" s="7"/>
      <c r="AD250" s="7"/>
      <c r="AE250" s="7"/>
      <c r="AF250" s="7"/>
      <c r="AG250" s="7"/>
      <c r="AH250" s="7"/>
      <c r="AI250" s="7"/>
      <c r="AJ250" s="7"/>
      <c r="AK250" s="7"/>
    </row>
    <row r="251" spans="1:37">
      <c r="A251" s="7"/>
      <c r="B251" s="7"/>
      <c r="C251" s="7"/>
      <c r="D251" s="7"/>
      <c r="E251" s="7"/>
      <c r="F251" s="7"/>
      <c r="G251" s="7"/>
      <c r="H251" s="208" t="s">
        <v>2299</v>
      </c>
      <c r="I251" s="7"/>
      <c r="J251" s="7"/>
      <c r="K251" s="7"/>
      <c r="L251" s="7"/>
      <c r="M251" s="209" t="s">
        <v>2299</v>
      </c>
      <c r="N251" s="7"/>
      <c r="O251" s="7"/>
      <c r="P251" s="7"/>
      <c r="Q251" s="7"/>
      <c r="R251" s="7"/>
      <c r="S251" s="7"/>
      <c r="T251" s="209" t="s">
        <v>2299</v>
      </c>
      <c r="U251" s="269" t="s">
        <v>2299</v>
      </c>
      <c r="V251" s="210"/>
      <c r="W251" s="271" t="s">
        <v>2299</v>
      </c>
      <c r="X251" s="7"/>
      <c r="Y251" s="7"/>
      <c r="Z251" s="209" t="s">
        <v>2299</v>
      </c>
      <c r="AA251" s="7"/>
      <c r="AB251" s="7"/>
      <c r="AD251" s="7"/>
      <c r="AE251" s="7"/>
      <c r="AF251" s="7"/>
      <c r="AG251" s="7"/>
      <c r="AH251" s="7"/>
      <c r="AI251" s="7"/>
      <c r="AJ251" s="7"/>
      <c r="AK251" s="7"/>
    </row>
    <row r="252" spans="1:37">
      <c r="A252" s="7"/>
      <c r="B252" s="7"/>
      <c r="C252" s="7"/>
      <c r="D252" s="7"/>
      <c r="E252" s="7"/>
      <c r="F252" s="7"/>
      <c r="G252" s="7"/>
      <c r="H252" s="208" t="s">
        <v>2299</v>
      </c>
      <c r="I252" s="7"/>
      <c r="J252" s="7"/>
      <c r="K252" s="7"/>
      <c r="L252" s="7"/>
      <c r="M252" s="209" t="s">
        <v>2299</v>
      </c>
      <c r="N252" s="7"/>
      <c r="O252" s="7"/>
      <c r="P252" s="7"/>
      <c r="Q252" s="7"/>
      <c r="R252" s="7"/>
      <c r="S252" s="7"/>
      <c r="T252" s="209" t="s">
        <v>2299</v>
      </c>
      <c r="U252" s="269" t="s">
        <v>2299</v>
      </c>
      <c r="V252" s="210"/>
      <c r="W252" s="271" t="s">
        <v>2299</v>
      </c>
      <c r="X252" s="7"/>
      <c r="Y252" s="7"/>
      <c r="Z252" s="209" t="s">
        <v>2299</v>
      </c>
      <c r="AA252" s="7"/>
      <c r="AB252" s="7"/>
      <c r="AD252" s="7"/>
      <c r="AE252" s="7"/>
      <c r="AF252" s="7"/>
      <c r="AG252" s="7"/>
      <c r="AH252" s="7"/>
      <c r="AI252" s="7"/>
      <c r="AJ252" s="7"/>
      <c r="AK252" s="7"/>
    </row>
    <row r="253" spans="1:37">
      <c r="A253" s="7"/>
      <c r="B253" s="7"/>
      <c r="C253" s="7"/>
      <c r="D253" s="7"/>
      <c r="E253" s="7"/>
      <c r="F253" s="7"/>
      <c r="G253" s="7"/>
      <c r="H253" s="208" t="s">
        <v>2299</v>
      </c>
      <c r="I253" s="7"/>
      <c r="J253" s="7"/>
      <c r="K253" s="7"/>
      <c r="L253" s="7"/>
      <c r="M253" s="209" t="s">
        <v>2299</v>
      </c>
      <c r="N253" s="7"/>
      <c r="O253" s="7"/>
      <c r="P253" s="7"/>
      <c r="Q253" s="7"/>
      <c r="R253" s="7"/>
      <c r="S253" s="7"/>
      <c r="T253" s="209" t="s">
        <v>2299</v>
      </c>
      <c r="U253" s="269" t="s">
        <v>2299</v>
      </c>
      <c r="V253" s="210"/>
      <c r="W253" s="271" t="s">
        <v>2299</v>
      </c>
      <c r="X253" s="7"/>
      <c r="Y253" s="7"/>
      <c r="Z253" s="209" t="s">
        <v>2299</v>
      </c>
      <c r="AA253" s="7"/>
      <c r="AB253" s="7"/>
      <c r="AD253" s="7"/>
      <c r="AE253" s="7"/>
      <c r="AF253" s="7"/>
      <c r="AG253" s="7"/>
      <c r="AH253" s="7"/>
      <c r="AI253" s="7"/>
      <c r="AJ253" s="7"/>
      <c r="AK253" s="7"/>
    </row>
    <row r="254" spans="1:37">
      <c r="A254" s="7"/>
      <c r="B254" s="7"/>
      <c r="C254" s="7"/>
      <c r="D254" s="7"/>
      <c r="E254" s="7"/>
      <c r="F254" s="7"/>
      <c r="G254" s="7"/>
      <c r="H254" s="208" t="s">
        <v>2299</v>
      </c>
      <c r="I254" s="7"/>
      <c r="J254" s="7"/>
      <c r="K254" s="7"/>
      <c r="L254" s="7"/>
      <c r="M254" s="209" t="s">
        <v>2299</v>
      </c>
      <c r="N254" s="7"/>
      <c r="O254" s="7"/>
      <c r="P254" s="7"/>
      <c r="Q254" s="7"/>
      <c r="R254" s="7"/>
      <c r="S254" s="7"/>
      <c r="T254" s="209" t="s">
        <v>2299</v>
      </c>
      <c r="U254" s="269" t="s">
        <v>2299</v>
      </c>
      <c r="V254" s="210"/>
      <c r="W254" s="271" t="s">
        <v>2299</v>
      </c>
      <c r="X254" s="7"/>
      <c r="Y254" s="7"/>
      <c r="Z254" s="209" t="s">
        <v>2299</v>
      </c>
      <c r="AA254" s="7"/>
      <c r="AB254" s="7"/>
      <c r="AD254" s="7"/>
      <c r="AE254" s="7"/>
      <c r="AF254" s="7"/>
      <c r="AG254" s="7"/>
      <c r="AH254" s="7"/>
      <c r="AI254" s="7"/>
      <c r="AJ254" s="7"/>
      <c r="AK254" s="7"/>
    </row>
    <row r="255" spans="1:37">
      <c r="A255" s="7"/>
      <c r="B255" s="7"/>
      <c r="C255" s="7"/>
      <c r="D255" s="7"/>
      <c r="E255" s="7"/>
      <c r="F255" s="7"/>
      <c r="G255" s="7"/>
      <c r="H255" s="208" t="s">
        <v>2299</v>
      </c>
      <c r="I255" s="7"/>
      <c r="J255" s="7"/>
      <c r="K255" s="7"/>
      <c r="L255" s="7"/>
      <c r="M255" s="209" t="s">
        <v>2299</v>
      </c>
      <c r="N255" s="7"/>
      <c r="O255" s="7"/>
      <c r="P255" s="7"/>
      <c r="Q255" s="7"/>
      <c r="R255" s="7"/>
      <c r="S255" s="7"/>
      <c r="T255" s="209" t="s">
        <v>2299</v>
      </c>
      <c r="U255" s="269" t="s">
        <v>2299</v>
      </c>
      <c r="V255" s="210"/>
      <c r="W255" s="271" t="s">
        <v>2299</v>
      </c>
      <c r="X255" s="7"/>
      <c r="Y255" s="7"/>
      <c r="Z255" s="209" t="s">
        <v>2299</v>
      </c>
      <c r="AA255" s="7"/>
      <c r="AB255" s="7"/>
      <c r="AD255" s="7"/>
      <c r="AE255" s="7"/>
      <c r="AF255" s="7"/>
      <c r="AG255" s="7"/>
      <c r="AH255" s="7"/>
      <c r="AI255" s="7"/>
      <c r="AJ255" s="7"/>
      <c r="AK255" s="7"/>
    </row>
    <row r="256" spans="1:37">
      <c r="A256" s="7"/>
      <c r="B256" s="7"/>
      <c r="C256" s="7"/>
      <c r="D256" s="7"/>
      <c r="E256" s="7"/>
      <c r="F256" s="7"/>
      <c r="G256" s="7"/>
      <c r="H256" s="208" t="s">
        <v>2299</v>
      </c>
      <c r="I256" s="7"/>
      <c r="J256" s="7"/>
      <c r="K256" s="7"/>
      <c r="L256" s="7"/>
      <c r="M256" s="209" t="s">
        <v>2299</v>
      </c>
      <c r="N256" s="7"/>
      <c r="O256" s="7"/>
      <c r="P256" s="7"/>
      <c r="Q256" s="7"/>
      <c r="R256" s="7"/>
      <c r="S256" s="7"/>
      <c r="T256" s="209" t="s">
        <v>2299</v>
      </c>
      <c r="U256" s="269" t="s">
        <v>2299</v>
      </c>
      <c r="V256" s="210"/>
      <c r="W256" s="271" t="s">
        <v>2299</v>
      </c>
      <c r="X256" s="7"/>
      <c r="Y256" s="7"/>
      <c r="Z256" s="209" t="s">
        <v>2299</v>
      </c>
      <c r="AA256" s="7"/>
      <c r="AB256" s="7"/>
      <c r="AD256" s="7"/>
      <c r="AE256" s="7"/>
      <c r="AF256" s="7"/>
      <c r="AG256" s="7"/>
      <c r="AH256" s="7"/>
      <c r="AI256" s="7"/>
      <c r="AJ256" s="7"/>
      <c r="AK256" s="7"/>
    </row>
    <row r="257" spans="1:37">
      <c r="A257" s="7"/>
      <c r="B257" s="7"/>
      <c r="C257" s="7"/>
      <c r="D257" s="7"/>
      <c r="E257" s="7"/>
      <c r="F257" s="7"/>
      <c r="G257" s="7"/>
      <c r="H257" s="208" t="s">
        <v>2299</v>
      </c>
      <c r="I257" s="7"/>
      <c r="J257" s="7"/>
      <c r="K257" s="7"/>
      <c r="L257" s="7"/>
      <c r="M257" s="209" t="s">
        <v>2299</v>
      </c>
      <c r="N257" s="7"/>
      <c r="O257" s="7"/>
      <c r="P257" s="7"/>
      <c r="Q257" s="7"/>
      <c r="R257" s="7"/>
      <c r="S257" s="7"/>
      <c r="T257" s="209" t="s">
        <v>2299</v>
      </c>
      <c r="U257" s="269" t="s">
        <v>2299</v>
      </c>
      <c r="V257" s="210"/>
      <c r="W257" s="271" t="s">
        <v>2299</v>
      </c>
      <c r="X257" s="7"/>
      <c r="Y257" s="7"/>
      <c r="Z257" s="209" t="s">
        <v>2299</v>
      </c>
      <c r="AA257" s="7"/>
      <c r="AB257" s="7"/>
      <c r="AD257" s="7"/>
      <c r="AE257" s="7"/>
      <c r="AF257" s="7"/>
      <c r="AG257" s="7"/>
      <c r="AH257" s="7"/>
      <c r="AI257" s="7"/>
      <c r="AJ257" s="7"/>
      <c r="AK257" s="7"/>
    </row>
    <row r="258" spans="1:37">
      <c r="A258" s="7"/>
      <c r="B258" s="7"/>
      <c r="C258" s="7"/>
      <c r="D258" s="7"/>
      <c r="E258" s="7"/>
      <c r="F258" s="7"/>
      <c r="G258" s="7"/>
      <c r="H258" s="208" t="s">
        <v>2299</v>
      </c>
      <c r="I258" s="7"/>
      <c r="J258" s="7"/>
      <c r="K258" s="7"/>
      <c r="L258" s="7"/>
      <c r="M258" s="209" t="s">
        <v>2299</v>
      </c>
      <c r="N258" s="7"/>
      <c r="O258" s="7"/>
      <c r="P258" s="7"/>
      <c r="Q258" s="7"/>
      <c r="R258" s="7"/>
      <c r="S258" s="7"/>
      <c r="T258" s="209" t="s">
        <v>2299</v>
      </c>
      <c r="U258" s="269" t="s">
        <v>2299</v>
      </c>
      <c r="V258" s="210"/>
      <c r="W258" s="271" t="s">
        <v>2299</v>
      </c>
      <c r="X258" s="7"/>
      <c r="Y258" s="7"/>
      <c r="Z258" s="209" t="s">
        <v>2299</v>
      </c>
      <c r="AA258" s="7"/>
      <c r="AB258" s="7"/>
      <c r="AD258" s="7"/>
      <c r="AE258" s="7"/>
      <c r="AF258" s="7"/>
      <c r="AG258" s="7"/>
      <c r="AH258" s="7"/>
      <c r="AI258" s="7"/>
      <c r="AJ258" s="7"/>
      <c r="AK258" s="7"/>
    </row>
    <row r="259" spans="1:37">
      <c r="A259" s="7"/>
      <c r="B259" s="7"/>
      <c r="C259" s="7"/>
      <c r="D259" s="7"/>
      <c r="E259" s="7"/>
      <c r="F259" s="7"/>
      <c r="G259" s="7"/>
      <c r="H259" s="208" t="s">
        <v>2299</v>
      </c>
      <c r="I259" s="7"/>
      <c r="J259" s="7"/>
      <c r="K259" s="7"/>
      <c r="L259" s="7"/>
      <c r="M259" s="209" t="s">
        <v>2299</v>
      </c>
      <c r="N259" s="7"/>
      <c r="O259" s="7"/>
      <c r="P259" s="7"/>
      <c r="Q259" s="7"/>
      <c r="R259" s="7"/>
      <c r="S259" s="7"/>
      <c r="T259" s="209" t="s">
        <v>2299</v>
      </c>
      <c r="U259" s="269" t="s">
        <v>2299</v>
      </c>
      <c r="V259" s="210"/>
      <c r="W259" s="271" t="s">
        <v>2299</v>
      </c>
      <c r="X259" s="7"/>
      <c r="Y259" s="7"/>
      <c r="Z259" s="209" t="s">
        <v>2299</v>
      </c>
      <c r="AA259" s="7"/>
      <c r="AB259" s="7"/>
      <c r="AD259" s="7"/>
      <c r="AE259" s="7"/>
      <c r="AF259" s="7"/>
      <c r="AG259" s="7"/>
      <c r="AH259" s="7"/>
      <c r="AI259" s="7"/>
      <c r="AJ259" s="7"/>
      <c r="AK259" s="7"/>
    </row>
    <row r="260" spans="1:37">
      <c r="A260" s="7"/>
      <c r="B260" s="7"/>
      <c r="C260" s="7"/>
      <c r="D260" s="7"/>
      <c r="E260" s="7"/>
      <c r="F260" s="7"/>
      <c r="G260" s="7"/>
      <c r="H260" s="208" t="s">
        <v>2299</v>
      </c>
      <c r="I260" s="7"/>
      <c r="J260" s="7"/>
      <c r="K260" s="7"/>
      <c r="L260" s="7"/>
      <c r="M260" s="209" t="s">
        <v>2299</v>
      </c>
      <c r="N260" s="7"/>
      <c r="O260" s="7"/>
      <c r="P260" s="7"/>
      <c r="Q260" s="7"/>
      <c r="R260" s="7"/>
      <c r="S260" s="7"/>
      <c r="T260" s="209" t="s">
        <v>2299</v>
      </c>
      <c r="U260" s="269" t="s">
        <v>2299</v>
      </c>
      <c r="V260" s="210"/>
      <c r="W260" s="271" t="s">
        <v>2299</v>
      </c>
      <c r="X260" s="7"/>
      <c r="Y260" s="7"/>
      <c r="Z260" s="209" t="s">
        <v>2299</v>
      </c>
      <c r="AA260" s="7"/>
      <c r="AB260" s="7"/>
      <c r="AD260" s="7"/>
      <c r="AE260" s="7"/>
      <c r="AF260" s="7"/>
      <c r="AG260" s="7"/>
      <c r="AH260" s="7"/>
      <c r="AI260" s="7"/>
      <c r="AJ260" s="7"/>
      <c r="AK260" s="7"/>
    </row>
    <row r="261" spans="1:37">
      <c r="A261" s="7"/>
      <c r="B261" s="7"/>
      <c r="C261" s="7"/>
      <c r="D261" s="7"/>
      <c r="E261" s="7"/>
      <c r="F261" s="7"/>
      <c r="G261" s="7"/>
      <c r="H261" s="208" t="s">
        <v>2299</v>
      </c>
      <c r="I261" s="7"/>
      <c r="J261" s="7"/>
      <c r="K261" s="7"/>
      <c r="L261" s="7"/>
      <c r="M261" s="209" t="s">
        <v>2299</v>
      </c>
      <c r="N261" s="7"/>
      <c r="O261" s="7"/>
      <c r="P261" s="7"/>
      <c r="Q261" s="7"/>
      <c r="R261" s="7"/>
      <c r="S261" s="7"/>
      <c r="T261" s="209" t="s">
        <v>2299</v>
      </c>
      <c r="U261" s="269" t="s">
        <v>2299</v>
      </c>
      <c r="V261" s="210"/>
      <c r="W261" s="271" t="s">
        <v>2299</v>
      </c>
      <c r="X261" s="7"/>
      <c r="Y261" s="7"/>
      <c r="Z261" s="209" t="s">
        <v>2299</v>
      </c>
      <c r="AA261" s="7"/>
      <c r="AB261" s="7"/>
      <c r="AD261" s="7"/>
      <c r="AE261" s="7"/>
      <c r="AF261" s="7"/>
      <c r="AG261" s="7"/>
      <c r="AH261" s="7"/>
      <c r="AI261" s="7"/>
      <c r="AJ261" s="7"/>
      <c r="AK261" s="7"/>
    </row>
    <row r="262" spans="1:37">
      <c r="A262" s="7"/>
      <c r="B262" s="7"/>
      <c r="C262" s="7"/>
      <c r="D262" s="7"/>
      <c r="E262" s="7"/>
      <c r="F262" s="7"/>
      <c r="G262" s="7"/>
      <c r="H262" s="208" t="s">
        <v>2299</v>
      </c>
      <c r="I262" s="7"/>
      <c r="J262" s="7"/>
      <c r="K262" s="7"/>
      <c r="L262" s="7"/>
      <c r="M262" s="209" t="s">
        <v>2299</v>
      </c>
      <c r="N262" s="7"/>
      <c r="O262" s="7"/>
      <c r="P262" s="7"/>
      <c r="Q262" s="7"/>
      <c r="R262" s="7"/>
      <c r="S262" s="7"/>
      <c r="T262" s="209" t="s">
        <v>2299</v>
      </c>
      <c r="U262" s="269" t="s">
        <v>2299</v>
      </c>
      <c r="V262" s="210"/>
      <c r="W262" s="271" t="s">
        <v>2299</v>
      </c>
      <c r="X262" s="7"/>
      <c r="Y262" s="7"/>
      <c r="Z262" s="209" t="s">
        <v>2299</v>
      </c>
      <c r="AA262" s="7"/>
      <c r="AB262" s="7"/>
      <c r="AD262" s="7"/>
      <c r="AE262" s="7"/>
      <c r="AF262" s="7"/>
      <c r="AG262" s="7"/>
      <c r="AH262" s="7"/>
      <c r="AI262" s="7"/>
      <c r="AJ262" s="7"/>
      <c r="AK262" s="7"/>
    </row>
    <row r="263" spans="1:37">
      <c r="A263" s="7"/>
      <c r="B263" s="7"/>
      <c r="C263" s="7"/>
      <c r="D263" s="7"/>
      <c r="E263" s="7"/>
      <c r="F263" s="7"/>
      <c r="G263" s="7"/>
      <c r="H263" s="208" t="s">
        <v>2299</v>
      </c>
      <c r="I263" s="7"/>
      <c r="J263" s="7"/>
      <c r="K263" s="7"/>
      <c r="L263" s="7"/>
      <c r="M263" s="209" t="s">
        <v>2299</v>
      </c>
      <c r="N263" s="7"/>
      <c r="O263" s="7"/>
      <c r="P263" s="7"/>
      <c r="Q263" s="7"/>
      <c r="R263" s="7"/>
      <c r="S263" s="7"/>
      <c r="T263" s="209" t="s">
        <v>2299</v>
      </c>
      <c r="U263" s="269" t="s">
        <v>2299</v>
      </c>
      <c r="V263" s="210"/>
      <c r="W263" s="271" t="s">
        <v>2299</v>
      </c>
      <c r="X263" s="7"/>
      <c r="Y263" s="7"/>
      <c r="Z263" s="209" t="s">
        <v>2299</v>
      </c>
      <c r="AA263" s="7"/>
      <c r="AB263" s="7"/>
      <c r="AD263" s="7"/>
      <c r="AE263" s="7"/>
      <c r="AF263" s="7"/>
      <c r="AG263" s="7"/>
      <c r="AH263" s="7"/>
      <c r="AI263" s="7"/>
      <c r="AJ263" s="7"/>
      <c r="AK263" s="7"/>
    </row>
    <row r="264" spans="1:37">
      <c r="A264" s="7"/>
      <c r="B264" s="7"/>
      <c r="C264" s="7"/>
      <c r="D264" s="7"/>
      <c r="E264" s="7"/>
      <c r="F264" s="7"/>
      <c r="G264" s="7"/>
      <c r="H264" s="208" t="s">
        <v>2299</v>
      </c>
      <c r="I264" s="7"/>
      <c r="J264" s="7"/>
      <c r="K264" s="7"/>
      <c r="L264" s="7"/>
      <c r="M264" s="209" t="s">
        <v>2299</v>
      </c>
      <c r="N264" s="7"/>
      <c r="O264" s="7"/>
      <c r="P264" s="7"/>
      <c r="Q264" s="7"/>
      <c r="R264" s="7"/>
      <c r="S264" s="7"/>
      <c r="T264" s="209" t="s">
        <v>2299</v>
      </c>
      <c r="U264" s="269" t="s">
        <v>2299</v>
      </c>
      <c r="V264" s="210"/>
      <c r="W264" s="271" t="s">
        <v>2299</v>
      </c>
      <c r="X264" s="7"/>
      <c r="Y264" s="7"/>
      <c r="Z264" s="209" t="s">
        <v>2299</v>
      </c>
      <c r="AA264" s="7"/>
      <c r="AB264" s="7"/>
      <c r="AD264" s="7"/>
      <c r="AE264" s="7"/>
      <c r="AF264" s="7"/>
      <c r="AG264" s="7"/>
      <c r="AH264" s="7"/>
      <c r="AI264" s="7"/>
      <c r="AJ264" s="7"/>
      <c r="AK264" s="7"/>
    </row>
    <row r="265" spans="1:37">
      <c r="A265" s="7"/>
      <c r="B265" s="7"/>
      <c r="C265" s="7"/>
      <c r="D265" s="7"/>
      <c r="E265" s="7"/>
      <c r="F265" s="7"/>
      <c r="G265" s="7"/>
      <c r="H265" s="208" t="s">
        <v>2299</v>
      </c>
      <c r="I265" s="7"/>
      <c r="J265" s="7"/>
      <c r="K265" s="7"/>
      <c r="L265" s="7"/>
      <c r="M265" s="209" t="s">
        <v>2299</v>
      </c>
      <c r="N265" s="7"/>
      <c r="O265" s="7"/>
      <c r="P265" s="7"/>
      <c r="Q265" s="7"/>
      <c r="R265" s="7"/>
      <c r="S265" s="7"/>
      <c r="T265" s="209" t="s">
        <v>2299</v>
      </c>
      <c r="U265" s="269" t="s">
        <v>2299</v>
      </c>
      <c r="V265" s="210"/>
      <c r="W265" s="271" t="s">
        <v>2299</v>
      </c>
      <c r="X265" s="7"/>
      <c r="Y265" s="7"/>
      <c r="Z265" s="209" t="s">
        <v>2299</v>
      </c>
      <c r="AA265" s="7"/>
      <c r="AB265" s="7"/>
      <c r="AD265" s="7"/>
      <c r="AE265" s="7"/>
      <c r="AF265" s="7"/>
      <c r="AG265" s="7"/>
      <c r="AH265" s="7"/>
      <c r="AI265" s="7"/>
      <c r="AJ265" s="7"/>
      <c r="AK265" s="7"/>
    </row>
    <row r="266" spans="1:37">
      <c r="A266" s="7"/>
      <c r="B266" s="7"/>
      <c r="C266" s="7"/>
      <c r="D266" s="7"/>
      <c r="E266" s="7"/>
      <c r="F266" s="7"/>
      <c r="G266" s="7"/>
      <c r="H266" s="208" t="s">
        <v>2299</v>
      </c>
      <c r="I266" s="7"/>
      <c r="J266" s="7"/>
      <c r="K266" s="7"/>
      <c r="L266" s="7"/>
      <c r="M266" s="209" t="s">
        <v>2299</v>
      </c>
      <c r="N266" s="7"/>
      <c r="O266" s="7"/>
      <c r="P266" s="7"/>
      <c r="Q266" s="7"/>
      <c r="R266" s="7"/>
      <c r="S266" s="7"/>
      <c r="T266" s="209" t="s">
        <v>2299</v>
      </c>
      <c r="U266" s="269" t="s">
        <v>2299</v>
      </c>
      <c r="V266" s="210"/>
      <c r="W266" s="271" t="s">
        <v>2299</v>
      </c>
      <c r="X266" s="7"/>
      <c r="Y266" s="7"/>
      <c r="Z266" s="209" t="s">
        <v>2299</v>
      </c>
      <c r="AA266" s="7"/>
      <c r="AB266" s="7"/>
      <c r="AD266" s="7"/>
      <c r="AE266" s="7"/>
      <c r="AF266" s="7"/>
      <c r="AG266" s="7"/>
      <c r="AH266" s="7"/>
      <c r="AI266" s="7"/>
      <c r="AJ266" s="7"/>
      <c r="AK266" s="7"/>
    </row>
    <row r="267" spans="1:37">
      <c r="A267" s="7"/>
      <c r="B267" s="7"/>
      <c r="C267" s="7"/>
      <c r="D267" s="7"/>
      <c r="E267" s="7"/>
      <c r="F267" s="7"/>
      <c r="G267" s="7"/>
      <c r="H267" s="208" t="s">
        <v>2299</v>
      </c>
      <c r="I267" s="7"/>
      <c r="J267" s="7"/>
      <c r="K267" s="7"/>
      <c r="L267" s="7"/>
      <c r="M267" s="209" t="s">
        <v>2299</v>
      </c>
      <c r="N267" s="7"/>
      <c r="O267" s="7"/>
      <c r="P267" s="7"/>
      <c r="Q267" s="7"/>
      <c r="R267" s="7"/>
      <c r="S267" s="7"/>
      <c r="T267" s="209" t="s">
        <v>2299</v>
      </c>
      <c r="U267" s="269" t="s">
        <v>2299</v>
      </c>
      <c r="V267" s="210"/>
      <c r="W267" s="271" t="s">
        <v>2299</v>
      </c>
      <c r="X267" s="7"/>
      <c r="Y267" s="7"/>
      <c r="Z267" s="209" t="s">
        <v>2299</v>
      </c>
      <c r="AA267" s="7"/>
      <c r="AB267" s="7"/>
      <c r="AD267" s="7"/>
      <c r="AE267" s="7"/>
      <c r="AF267" s="7"/>
      <c r="AG267" s="7"/>
      <c r="AH267" s="7"/>
      <c r="AI267" s="7"/>
      <c r="AJ267" s="7"/>
      <c r="AK267" s="7"/>
    </row>
    <row r="268" spans="1:37">
      <c r="A268" s="7"/>
      <c r="B268" s="7"/>
      <c r="C268" s="7"/>
      <c r="D268" s="7"/>
      <c r="E268" s="7"/>
      <c r="F268" s="7"/>
      <c r="G268" s="7"/>
      <c r="H268" s="208" t="s">
        <v>2299</v>
      </c>
      <c r="I268" s="7"/>
      <c r="J268" s="7"/>
      <c r="K268" s="7"/>
      <c r="L268" s="7"/>
      <c r="M268" s="209" t="s">
        <v>2299</v>
      </c>
      <c r="N268" s="7"/>
      <c r="O268" s="7"/>
      <c r="P268" s="7"/>
      <c r="Q268" s="7"/>
      <c r="R268" s="7"/>
      <c r="S268" s="7"/>
      <c r="T268" s="209" t="s">
        <v>2299</v>
      </c>
      <c r="U268" s="269" t="s">
        <v>2299</v>
      </c>
      <c r="V268" s="210"/>
      <c r="W268" s="271" t="s">
        <v>2299</v>
      </c>
      <c r="X268" s="7"/>
      <c r="Y268" s="7"/>
      <c r="Z268" s="209" t="s">
        <v>2299</v>
      </c>
      <c r="AA268" s="7"/>
      <c r="AB268" s="7"/>
      <c r="AD268" s="7"/>
      <c r="AE268" s="7"/>
      <c r="AF268" s="7"/>
      <c r="AG268" s="7"/>
      <c r="AH268" s="7"/>
      <c r="AI268" s="7"/>
      <c r="AJ268" s="7"/>
      <c r="AK268" s="7"/>
    </row>
    <row r="269" spans="1:37">
      <c r="A269" s="7"/>
      <c r="B269" s="7"/>
      <c r="C269" s="7"/>
      <c r="D269" s="7"/>
      <c r="E269" s="7"/>
      <c r="F269" s="7"/>
      <c r="G269" s="7"/>
      <c r="H269" s="208" t="s">
        <v>2299</v>
      </c>
      <c r="I269" s="7"/>
      <c r="J269" s="7"/>
      <c r="K269" s="7"/>
      <c r="L269" s="7"/>
      <c r="M269" s="209" t="s">
        <v>2299</v>
      </c>
      <c r="N269" s="7"/>
      <c r="O269" s="7"/>
      <c r="P269" s="7"/>
      <c r="Q269" s="7"/>
      <c r="R269" s="7"/>
      <c r="S269" s="7"/>
      <c r="T269" s="209" t="s">
        <v>2299</v>
      </c>
      <c r="U269" s="269" t="s">
        <v>2299</v>
      </c>
      <c r="V269" s="210"/>
      <c r="W269" s="271" t="s">
        <v>2299</v>
      </c>
      <c r="X269" s="7"/>
      <c r="Y269" s="7"/>
      <c r="Z269" s="209" t="s">
        <v>2299</v>
      </c>
      <c r="AA269" s="7"/>
      <c r="AB269" s="7"/>
      <c r="AD269" s="7"/>
      <c r="AE269" s="7"/>
      <c r="AF269" s="7"/>
      <c r="AG269" s="7"/>
      <c r="AH269" s="7"/>
      <c r="AI269" s="7"/>
      <c r="AJ269" s="7"/>
      <c r="AK269" s="7"/>
    </row>
    <row r="270" spans="1:37">
      <c r="A270" s="7"/>
      <c r="B270" s="7"/>
      <c r="C270" s="7"/>
      <c r="D270" s="7"/>
      <c r="E270" s="7"/>
      <c r="F270" s="7"/>
      <c r="G270" s="7"/>
      <c r="H270" s="208" t="s">
        <v>2299</v>
      </c>
      <c r="I270" s="7"/>
      <c r="J270" s="7"/>
      <c r="K270" s="7"/>
      <c r="L270" s="7"/>
      <c r="M270" s="209" t="s">
        <v>2299</v>
      </c>
      <c r="N270" s="7"/>
      <c r="O270" s="7"/>
      <c r="P270" s="7"/>
      <c r="Q270" s="7"/>
      <c r="R270" s="7"/>
      <c r="S270" s="7"/>
      <c r="T270" s="209" t="s">
        <v>2299</v>
      </c>
      <c r="U270" s="269" t="s">
        <v>2299</v>
      </c>
      <c r="V270" s="210"/>
      <c r="W270" s="271" t="s">
        <v>2299</v>
      </c>
      <c r="X270" s="7"/>
      <c r="Y270" s="7"/>
      <c r="Z270" s="209" t="s">
        <v>2299</v>
      </c>
      <c r="AA270" s="7"/>
      <c r="AB270" s="7"/>
      <c r="AD270" s="7"/>
      <c r="AE270" s="7"/>
      <c r="AF270" s="7"/>
      <c r="AG270" s="7"/>
      <c r="AH270" s="7"/>
      <c r="AI270" s="7"/>
      <c r="AJ270" s="7"/>
      <c r="AK270" s="7"/>
    </row>
    <row r="271" spans="1:37">
      <c r="A271" s="7"/>
      <c r="B271" s="7"/>
      <c r="C271" s="7"/>
      <c r="D271" s="7"/>
      <c r="E271" s="7"/>
      <c r="F271" s="7"/>
      <c r="G271" s="7"/>
      <c r="H271" s="208" t="s">
        <v>2299</v>
      </c>
      <c r="I271" s="7"/>
      <c r="J271" s="7"/>
      <c r="K271" s="7"/>
      <c r="L271" s="7"/>
      <c r="M271" s="209" t="s">
        <v>2299</v>
      </c>
      <c r="N271" s="7"/>
      <c r="O271" s="7"/>
      <c r="P271" s="7"/>
      <c r="Q271" s="7"/>
      <c r="R271" s="7"/>
      <c r="S271" s="7"/>
      <c r="T271" s="209" t="s">
        <v>2299</v>
      </c>
      <c r="U271" s="269" t="s">
        <v>2299</v>
      </c>
      <c r="V271" s="210"/>
      <c r="W271" s="271" t="s">
        <v>2299</v>
      </c>
      <c r="X271" s="7"/>
      <c r="Y271" s="7"/>
      <c r="Z271" s="209" t="s">
        <v>2299</v>
      </c>
      <c r="AA271" s="7"/>
      <c r="AB271" s="7"/>
      <c r="AD271" s="7"/>
      <c r="AE271" s="7"/>
      <c r="AF271" s="7"/>
      <c r="AG271" s="7"/>
      <c r="AH271" s="7"/>
      <c r="AI271" s="7"/>
      <c r="AJ271" s="7"/>
      <c r="AK271" s="7"/>
    </row>
    <row r="272" spans="1:37">
      <c r="A272" s="7"/>
      <c r="B272" s="7"/>
      <c r="C272" s="7"/>
      <c r="D272" s="7"/>
      <c r="E272" s="7"/>
      <c r="F272" s="7"/>
      <c r="G272" s="7"/>
      <c r="H272" s="208" t="s">
        <v>2299</v>
      </c>
      <c r="I272" s="7"/>
      <c r="J272" s="7"/>
      <c r="K272" s="7"/>
      <c r="L272" s="7"/>
      <c r="M272" s="209" t="s">
        <v>2299</v>
      </c>
      <c r="N272" s="7"/>
      <c r="O272" s="7"/>
      <c r="P272" s="7"/>
      <c r="Q272" s="7"/>
      <c r="R272" s="7"/>
      <c r="S272" s="7"/>
      <c r="T272" s="209" t="s">
        <v>2299</v>
      </c>
      <c r="U272" s="269" t="s">
        <v>2299</v>
      </c>
      <c r="V272" s="210"/>
      <c r="W272" s="271" t="s">
        <v>2299</v>
      </c>
      <c r="X272" s="7"/>
      <c r="Y272" s="7"/>
      <c r="Z272" s="209" t="s">
        <v>2299</v>
      </c>
      <c r="AA272" s="7"/>
      <c r="AB272" s="7"/>
      <c r="AD272" s="7"/>
      <c r="AE272" s="7"/>
      <c r="AF272" s="7"/>
      <c r="AG272" s="7"/>
      <c r="AH272" s="7"/>
      <c r="AI272" s="7"/>
      <c r="AJ272" s="7"/>
      <c r="AK272" s="7"/>
    </row>
    <row r="273" spans="1:37">
      <c r="A273" s="7"/>
      <c r="B273" s="7"/>
      <c r="C273" s="7"/>
      <c r="D273" s="7"/>
      <c r="E273" s="7"/>
      <c r="F273" s="7"/>
      <c r="G273" s="7"/>
      <c r="H273" s="208" t="s">
        <v>2299</v>
      </c>
      <c r="I273" s="7"/>
      <c r="J273" s="7"/>
      <c r="K273" s="7"/>
      <c r="L273" s="7"/>
      <c r="M273" s="209" t="s">
        <v>2299</v>
      </c>
      <c r="N273" s="7"/>
      <c r="O273" s="7"/>
      <c r="P273" s="7"/>
      <c r="Q273" s="7"/>
      <c r="R273" s="7"/>
      <c r="S273" s="7"/>
      <c r="T273" s="209" t="s">
        <v>2299</v>
      </c>
      <c r="U273" s="269" t="s">
        <v>2299</v>
      </c>
      <c r="V273" s="210"/>
      <c r="W273" s="271" t="s">
        <v>2299</v>
      </c>
      <c r="X273" s="7"/>
      <c r="Y273" s="7"/>
      <c r="Z273" s="209" t="s">
        <v>2299</v>
      </c>
      <c r="AA273" s="7"/>
      <c r="AB273" s="7"/>
      <c r="AD273" s="7"/>
      <c r="AE273" s="7"/>
      <c r="AF273" s="7"/>
      <c r="AG273" s="7"/>
      <c r="AH273" s="7"/>
      <c r="AI273" s="7"/>
      <c r="AJ273" s="7"/>
      <c r="AK273" s="7"/>
    </row>
    <row r="274" spans="1:37">
      <c r="A274" s="7"/>
      <c r="B274" s="7"/>
      <c r="C274" s="7"/>
      <c r="D274" s="7"/>
      <c r="E274" s="7"/>
      <c r="F274" s="7"/>
      <c r="G274" s="7"/>
      <c r="H274" s="208" t="s">
        <v>2299</v>
      </c>
      <c r="I274" s="7"/>
      <c r="J274" s="7"/>
      <c r="K274" s="7"/>
      <c r="L274" s="7"/>
      <c r="M274" s="209" t="s">
        <v>2299</v>
      </c>
      <c r="N274" s="7"/>
      <c r="O274" s="7"/>
      <c r="P274" s="7"/>
      <c r="Q274" s="7"/>
      <c r="R274" s="7"/>
      <c r="S274" s="7"/>
      <c r="T274" s="209" t="s">
        <v>2299</v>
      </c>
      <c r="U274" s="269" t="s">
        <v>2299</v>
      </c>
      <c r="V274" s="210"/>
      <c r="W274" s="271" t="s">
        <v>2299</v>
      </c>
      <c r="X274" s="7"/>
      <c r="Y274" s="7"/>
      <c r="Z274" s="209" t="s">
        <v>2299</v>
      </c>
      <c r="AA274" s="7"/>
      <c r="AB274" s="7"/>
      <c r="AD274" s="7"/>
      <c r="AE274" s="7"/>
      <c r="AF274" s="7"/>
      <c r="AG274" s="7"/>
      <c r="AH274" s="7"/>
      <c r="AI274" s="7"/>
      <c r="AJ274" s="7"/>
      <c r="AK274" s="7"/>
    </row>
    <row r="275" spans="1:37">
      <c r="A275" s="7"/>
      <c r="B275" s="7"/>
      <c r="C275" s="7"/>
      <c r="D275" s="7"/>
      <c r="E275" s="7"/>
      <c r="F275" s="7"/>
      <c r="G275" s="7"/>
      <c r="H275" s="208" t="s">
        <v>2299</v>
      </c>
      <c r="I275" s="7"/>
      <c r="J275" s="7"/>
      <c r="K275" s="7"/>
      <c r="L275" s="7"/>
      <c r="M275" s="209" t="s">
        <v>2299</v>
      </c>
      <c r="N275" s="7"/>
      <c r="O275" s="7"/>
      <c r="P275" s="7"/>
      <c r="Q275" s="7"/>
      <c r="R275" s="7"/>
      <c r="S275" s="7"/>
      <c r="T275" s="209" t="s">
        <v>2299</v>
      </c>
      <c r="U275" s="269" t="s">
        <v>2299</v>
      </c>
      <c r="V275" s="210"/>
      <c r="W275" s="271" t="s">
        <v>2299</v>
      </c>
      <c r="X275" s="7"/>
      <c r="Y275" s="7"/>
      <c r="Z275" s="209" t="s">
        <v>2299</v>
      </c>
      <c r="AA275" s="7"/>
      <c r="AB275" s="7"/>
      <c r="AD275" s="7"/>
      <c r="AE275" s="7"/>
      <c r="AF275" s="7"/>
      <c r="AG275" s="7"/>
      <c r="AH275" s="7"/>
      <c r="AI275" s="7"/>
      <c r="AJ275" s="7"/>
      <c r="AK275" s="7"/>
    </row>
    <row r="276" spans="1:37">
      <c r="A276" s="7"/>
      <c r="B276" s="7"/>
      <c r="C276" s="7"/>
      <c r="D276" s="7"/>
      <c r="E276" s="7"/>
      <c r="F276" s="7"/>
      <c r="G276" s="7"/>
      <c r="H276" s="208" t="s">
        <v>2299</v>
      </c>
      <c r="I276" s="7"/>
      <c r="J276" s="7"/>
      <c r="K276" s="7"/>
      <c r="L276" s="7"/>
      <c r="M276" s="209" t="s">
        <v>2299</v>
      </c>
      <c r="N276" s="7"/>
      <c r="O276" s="7"/>
      <c r="P276" s="7"/>
      <c r="Q276" s="7"/>
      <c r="R276" s="7"/>
      <c r="S276" s="7"/>
      <c r="T276" s="209" t="s">
        <v>2299</v>
      </c>
      <c r="U276" s="269" t="s">
        <v>2299</v>
      </c>
      <c r="V276" s="210"/>
      <c r="W276" s="271" t="s">
        <v>2299</v>
      </c>
      <c r="X276" s="7"/>
      <c r="Y276" s="7"/>
      <c r="Z276" s="209" t="s">
        <v>2299</v>
      </c>
      <c r="AA276" s="7"/>
      <c r="AB276" s="7"/>
      <c r="AD276" s="7"/>
      <c r="AE276" s="7"/>
      <c r="AF276" s="7"/>
      <c r="AG276" s="7"/>
      <c r="AH276" s="7"/>
      <c r="AI276" s="7"/>
      <c r="AJ276" s="7"/>
      <c r="AK276" s="7"/>
    </row>
    <row r="277" spans="1:37">
      <c r="A277" s="7"/>
      <c r="B277" s="7"/>
      <c r="C277" s="7"/>
      <c r="D277" s="7"/>
      <c r="E277" s="7"/>
      <c r="F277" s="7"/>
      <c r="G277" s="7"/>
      <c r="H277" s="208" t="s">
        <v>2299</v>
      </c>
      <c r="I277" s="7"/>
      <c r="J277" s="7"/>
      <c r="K277" s="7"/>
      <c r="L277" s="7"/>
      <c r="M277" s="209" t="s">
        <v>2299</v>
      </c>
      <c r="N277" s="7"/>
      <c r="O277" s="7"/>
      <c r="P277" s="7"/>
      <c r="Q277" s="7"/>
      <c r="R277" s="7"/>
      <c r="S277" s="7"/>
      <c r="T277" s="209" t="s">
        <v>2299</v>
      </c>
      <c r="U277" s="269" t="s">
        <v>2299</v>
      </c>
      <c r="V277" s="210"/>
      <c r="W277" s="271" t="s">
        <v>2299</v>
      </c>
      <c r="X277" s="7"/>
      <c r="Y277" s="7"/>
      <c r="Z277" s="209" t="s">
        <v>2299</v>
      </c>
      <c r="AA277" s="7"/>
      <c r="AB277" s="7"/>
      <c r="AD277" s="7"/>
      <c r="AE277" s="7"/>
      <c r="AF277" s="7"/>
      <c r="AG277" s="7"/>
      <c r="AH277" s="7"/>
      <c r="AI277" s="7"/>
      <c r="AJ277" s="7"/>
      <c r="AK277" s="7"/>
    </row>
    <row r="278" spans="1:37">
      <c r="A278" s="7"/>
      <c r="B278" s="7"/>
      <c r="C278" s="7"/>
      <c r="D278" s="7"/>
      <c r="E278" s="7"/>
      <c r="F278" s="7"/>
      <c r="G278" s="7"/>
      <c r="H278" s="208" t="s">
        <v>2299</v>
      </c>
      <c r="I278" s="7"/>
      <c r="J278" s="7"/>
      <c r="K278" s="7"/>
      <c r="L278" s="7"/>
      <c r="M278" s="209" t="s">
        <v>2299</v>
      </c>
      <c r="N278" s="7"/>
      <c r="O278" s="7"/>
      <c r="P278" s="7"/>
      <c r="Q278" s="7"/>
      <c r="R278" s="7"/>
      <c r="S278" s="7"/>
      <c r="T278" s="209" t="s">
        <v>2299</v>
      </c>
      <c r="U278" s="269" t="s">
        <v>2299</v>
      </c>
      <c r="V278" s="210"/>
      <c r="W278" s="271" t="s">
        <v>2299</v>
      </c>
      <c r="X278" s="7"/>
      <c r="Y278" s="7"/>
      <c r="Z278" s="209" t="s">
        <v>2299</v>
      </c>
      <c r="AA278" s="7"/>
      <c r="AB278" s="7"/>
      <c r="AD278" s="7"/>
      <c r="AE278" s="7"/>
      <c r="AF278" s="7"/>
      <c r="AG278" s="7"/>
      <c r="AH278" s="7"/>
      <c r="AI278" s="7"/>
      <c r="AJ278" s="7"/>
      <c r="AK278" s="7"/>
    </row>
    <row r="279" spans="1:37">
      <c r="A279" s="7"/>
      <c r="B279" s="7"/>
      <c r="C279" s="7"/>
      <c r="D279" s="7"/>
      <c r="E279" s="7"/>
      <c r="F279" s="7"/>
      <c r="G279" s="7"/>
      <c r="H279" s="208" t="s">
        <v>2299</v>
      </c>
      <c r="I279" s="7"/>
      <c r="J279" s="7"/>
      <c r="K279" s="7"/>
      <c r="L279" s="7"/>
      <c r="M279" s="209" t="s">
        <v>2299</v>
      </c>
      <c r="N279" s="7"/>
      <c r="O279" s="7"/>
      <c r="P279" s="7"/>
      <c r="Q279" s="7"/>
      <c r="R279" s="7"/>
      <c r="S279" s="7"/>
      <c r="T279" s="209" t="s">
        <v>2299</v>
      </c>
      <c r="U279" s="269" t="s">
        <v>2299</v>
      </c>
      <c r="V279" s="210"/>
      <c r="W279" s="271" t="s">
        <v>2299</v>
      </c>
      <c r="X279" s="7"/>
      <c r="Y279" s="7"/>
      <c r="Z279" s="209" t="s">
        <v>2299</v>
      </c>
      <c r="AA279" s="7"/>
      <c r="AB279" s="7"/>
      <c r="AD279" s="7"/>
      <c r="AE279" s="7"/>
      <c r="AF279" s="7"/>
      <c r="AG279" s="7"/>
      <c r="AH279" s="7"/>
      <c r="AI279" s="7"/>
      <c r="AJ279" s="7"/>
      <c r="AK279" s="7"/>
    </row>
    <row r="280" spans="1:37">
      <c r="A280" s="7"/>
      <c r="B280" s="7"/>
      <c r="C280" s="7"/>
      <c r="D280" s="7"/>
      <c r="E280" s="7"/>
      <c r="F280" s="7"/>
      <c r="G280" s="7"/>
      <c r="H280" s="208" t="s">
        <v>2299</v>
      </c>
      <c r="I280" s="7"/>
      <c r="J280" s="7"/>
      <c r="K280" s="7"/>
      <c r="L280" s="7"/>
      <c r="M280" s="209" t="s">
        <v>2299</v>
      </c>
      <c r="N280" s="7"/>
      <c r="O280" s="7"/>
      <c r="P280" s="7"/>
      <c r="Q280" s="7"/>
      <c r="R280" s="7"/>
      <c r="S280" s="7"/>
      <c r="T280" s="209" t="s">
        <v>2299</v>
      </c>
      <c r="U280" s="269" t="s">
        <v>2299</v>
      </c>
      <c r="V280" s="210"/>
      <c r="W280" s="271" t="s">
        <v>2299</v>
      </c>
      <c r="X280" s="7"/>
      <c r="Y280" s="7"/>
      <c r="Z280" s="209" t="s">
        <v>2299</v>
      </c>
      <c r="AA280" s="7"/>
      <c r="AB280" s="7"/>
      <c r="AD280" s="7"/>
      <c r="AE280" s="7"/>
      <c r="AF280" s="7"/>
      <c r="AG280" s="7"/>
      <c r="AH280" s="7"/>
      <c r="AI280" s="7"/>
      <c r="AJ280" s="7"/>
      <c r="AK280" s="7"/>
    </row>
    <row r="281" spans="1:37">
      <c r="A281" s="7"/>
      <c r="B281" s="7"/>
      <c r="C281" s="7"/>
      <c r="D281" s="7"/>
      <c r="E281" s="7"/>
      <c r="F281" s="7"/>
      <c r="G281" s="7"/>
      <c r="H281" s="208" t="s">
        <v>2299</v>
      </c>
      <c r="I281" s="7"/>
      <c r="J281" s="7"/>
      <c r="K281" s="7"/>
      <c r="L281" s="7"/>
      <c r="M281" s="209" t="s">
        <v>2299</v>
      </c>
      <c r="N281" s="7"/>
      <c r="O281" s="7"/>
      <c r="P281" s="7"/>
      <c r="Q281" s="7"/>
      <c r="R281" s="7"/>
      <c r="S281" s="7"/>
      <c r="T281" s="209" t="s">
        <v>2299</v>
      </c>
      <c r="U281" s="269" t="s">
        <v>2299</v>
      </c>
      <c r="V281" s="210"/>
      <c r="W281" s="271" t="s">
        <v>2299</v>
      </c>
      <c r="X281" s="7"/>
      <c r="Y281" s="7"/>
      <c r="Z281" s="209" t="s">
        <v>2299</v>
      </c>
      <c r="AA281" s="7"/>
      <c r="AB281" s="7"/>
      <c r="AD281" s="7"/>
      <c r="AE281" s="7"/>
      <c r="AF281" s="7"/>
      <c r="AG281" s="7"/>
      <c r="AH281" s="7"/>
      <c r="AI281" s="7"/>
      <c r="AJ281" s="7"/>
      <c r="AK281" s="7"/>
    </row>
    <row r="282" spans="1:37">
      <c r="A282" s="7"/>
      <c r="B282" s="7"/>
      <c r="C282" s="7"/>
      <c r="D282" s="7"/>
      <c r="E282" s="7"/>
      <c r="F282" s="7"/>
      <c r="G282" s="7"/>
      <c r="H282" s="208" t="s">
        <v>2299</v>
      </c>
      <c r="I282" s="7"/>
      <c r="J282" s="7"/>
      <c r="K282" s="7"/>
      <c r="L282" s="7"/>
      <c r="M282" s="209" t="s">
        <v>2299</v>
      </c>
      <c r="N282" s="7"/>
      <c r="O282" s="7"/>
      <c r="P282" s="7"/>
      <c r="Q282" s="7"/>
      <c r="R282" s="7"/>
      <c r="S282" s="7"/>
      <c r="T282" s="209" t="s">
        <v>2299</v>
      </c>
      <c r="U282" s="269" t="s">
        <v>2299</v>
      </c>
      <c r="V282" s="210"/>
      <c r="W282" s="271" t="s">
        <v>2299</v>
      </c>
      <c r="X282" s="7"/>
      <c r="Y282" s="7"/>
      <c r="Z282" s="209" t="s">
        <v>2299</v>
      </c>
      <c r="AA282" s="7"/>
      <c r="AB282" s="7"/>
      <c r="AD282" s="7"/>
      <c r="AE282" s="7"/>
      <c r="AF282" s="7"/>
      <c r="AG282" s="7"/>
      <c r="AH282" s="7"/>
      <c r="AI282" s="7"/>
      <c r="AJ282" s="7"/>
      <c r="AK282" s="7"/>
    </row>
    <row r="283" spans="1:37">
      <c r="A283" s="7"/>
      <c r="B283" s="7"/>
      <c r="C283" s="7"/>
      <c r="D283" s="7"/>
      <c r="E283" s="7"/>
      <c r="F283" s="7"/>
      <c r="G283" s="7"/>
      <c r="H283" s="208" t="s">
        <v>2299</v>
      </c>
      <c r="I283" s="7"/>
      <c r="J283" s="7"/>
      <c r="K283" s="7"/>
      <c r="L283" s="7"/>
      <c r="M283" s="209" t="s">
        <v>2299</v>
      </c>
      <c r="N283" s="7"/>
      <c r="O283" s="7"/>
      <c r="P283" s="7"/>
      <c r="Q283" s="7"/>
      <c r="R283" s="7"/>
      <c r="S283" s="7"/>
      <c r="T283" s="209" t="s">
        <v>2299</v>
      </c>
      <c r="U283" s="269" t="s">
        <v>2299</v>
      </c>
      <c r="V283" s="210"/>
      <c r="W283" s="271" t="s">
        <v>2299</v>
      </c>
      <c r="X283" s="7"/>
      <c r="Y283" s="7"/>
      <c r="Z283" s="209" t="s">
        <v>2299</v>
      </c>
      <c r="AA283" s="7"/>
      <c r="AB283" s="7"/>
      <c r="AD283" s="7"/>
      <c r="AE283" s="7"/>
      <c r="AF283" s="7"/>
      <c r="AG283" s="7"/>
      <c r="AH283" s="7"/>
      <c r="AI283" s="7"/>
      <c r="AJ283" s="7"/>
      <c r="AK283" s="7"/>
    </row>
    <row r="284" spans="1:37">
      <c r="A284" s="7"/>
      <c r="B284" s="7"/>
      <c r="C284" s="7"/>
      <c r="D284" s="7"/>
      <c r="E284" s="7"/>
      <c r="F284" s="7"/>
      <c r="G284" s="7"/>
      <c r="H284" s="208" t="s">
        <v>2299</v>
      </c>
      <c r="I284" s="7"/>
      <c r="J284" s="7"/>
      <c r="K284" s="7"/>
      <c r="L284" s="7"/>
      <c r="M284" s="209" t="s">
        <v>2299</v>
      </c>
      <c r="N284" s="7"/>
      <c r="O284" s="7"/>
      <c r="P284" s="7"/>
      <c r="Q284" s="7"/>
      <c r="R284" s="7"/>
      <c r="S284" s="7"/>
      <c r="T284" s="209" t="s">
        <v>2299</v>
      </c>
      <c r="U284" s="269" t="s">
        <v>2299</v>
      </c>
      <c r="V284" s="210"/>
      <c r="W284" s="271" t="s">
        <v>2299</v>
      </c>
      <c r="X284" s="7"/>
      <c r="Y284" s="7"/>
      <c r="Z284" s="209" t="s">
        <v>2299</v>
      </c>
      <c r="AA284" s="7"/>
      <c r="AB284" s="7"/>
      <c r="AD284" s="7"/>
      <c r="AE284" s="7"/>
      <c r="AF284" s="7"/>
      <c r="AG284" s="7"/>
      <c r="AH284" s="7"/>
      <c r="AI284" s="7"/>
      <c r="AJ284" s="7"/>
      <c r="AK284" s="7"/>
    </row>
    <row r="285" spans="1:37">
      <c r="A285" s="7"/>
      <c r="B285" s="7"/>
      <c r="C285" s="7"/>
      <c r="D285" s="7"/>
      <c r="E285" s="7"/>
      <c r="F285" s="7"/>
      <c r="G285" s="7"/>
      <c r="H285" s="208" t="s">
        <v>2299</v>
      </c>
      <c r="I285" s="7"/>
      <c r="J285" s="7"/>
      <c r="K285" s="7"/>
      <c r="L285" s="7"/>
      <c r="M285" s="209" t="s">
        <v>2299</v>
      </c>
      <c r="N285" s="7"/>
      <c r="O285" s="7"/>
      <c r="P285" s="7"/>
      <c r="Q285" s="7"/>
      <c r="R285" s="7"/>
      <c r="S285" s="7"/>
      <c r="T285" s="209" t="s">
        <v>2299</v>
      </c>
      <c r="U285" s="269" t="s">
        <v>2299</v>
      </c>
      <c r="V285" s="210"/>
      <c r="W285" s="271" t="s">
        <v>2299</v>
      </c>
      <c r="X285" s="7"/>
      <c r="Y285" s="7"/>
      <c r="Z285" s="209" t="s">
        <v>2299</v>
      </c>
      <c r="AA285" s="7"/>
      <c r="AB285" s="7"/>
      <c r="AD285" s="7"/>
      <c r="AE285" s="7"/>
      <c r="AF285" s="7"/>
      <c r="AG285" s="7"/>
      <c r="AH285" s="7"/>
      <c r="AI285" s="7"/>
      <c r="AJ285" s="7"/>
      <c r="AK285" s="7"/>
    </row>
    <row r="286" spans="1:37">
      <c r="A286" s="7"/>
      <c r="B286" s="7"/>
      <c r="C286" s="7"/>
      <c r="D286" s="7"/>
      <c r="E286" s="7"/>
      <c r="F286" s="7"/>
      <c r="G286" s="7"/>
      <c r="H286" s="208" t="s">
        <v>2299</v>
      </c>
      <c r="I286" s="7"/>
      <c r="J286" s="7"/>
      <c r="K286" s="7"/>
      <c r="L286" s="7"/>
      <c r="M286" s="209" t="s">
        <v>2299</v>
      </c>
      <c r="N286" s="7"/>
      <c r="O286" s="7"/>
      <c r="P286" s="7"/>
      <c r="Q286" s="7"/>
      <c r="R286" s="7"/>
      <c r="S286" s="7"/>
      <c r="T286" s="209" t="s">
        <v>2299</v>
      </c>
      <c r="U286" s="269" t="s">
        <v>2299</v>
      </c>
      <c r="V286" s="210"/>
      <c r="W286" s="271" t="s">
        <v>2299</v>
      </c>
      <c r="X286" s="7"/>
      <c r="Y286" s="7"/>
      <c r="Z286" s="209" t="s">
        <v>2299</v>
      </c>
      <c r="AA286" s="7"/>
      <c r="AB286" s="7"/>
      <c r="AD286" s="7"/>
      <c r="AE286" s="7"/>
      <c r="AF286" s="7"/>
      <c r="AG286" s="7"/>
      <c r="AH286" s="7"/>
      <c r="AI286" s="7"/>
      <c r="AJ286" s="7"/>
      <c r="AK286" s="7"/>
    </row>
    <row r="287" spans="1:37">
      <c r="A287" s="7"/>
      <c r="B287" s="7"/>
      <c r="C287" s="7"/>
      <c r="D287" s="7"/>
      <c r="E287" s="7"/>
      <c r="F287" s="7"/>
      <c r="G287" s="7"/>
      <c r="H287" s="208" t="s">
        <v>2299</v>
      </c>
      <c r="I287" s="7"/>
      <c r="J287" s="7"/>
      <c r="K287" s="7"/>
      <c r="L287" s="7"/>
      <c r="M287" s="209" t="s">
        <v>2299</v>
      </c>
      <c r="N287" s="7"/>
      <c r="O287" s="7"/>
      <c r="P287" s="7"/>
      <c r="Q287" s="7"/>
      <c r="R287" s="7"/>
      <c r="S287" s="7"/>
      <c r="T287" s="209" t="s">
        <v>2299</v>
      </c>
      <c r="U287" s="269" t="s">
        <v>2299</v>
      </c>
      <c r="V287" s="210"/>
      <c r="W287" s="271" t="s">
        <v>2299</v>
      </c>
      <c r="X287" s="7"/>
      <c r="Y287" s="7"/>
      <c r="Z287" s="209" t="s">
        <v>2299</v>
      </c>
      <c r="AA287" s="7"/>
      <c r="AB287" s="7"/>
      <c r="AD287" s="7"/>
      <c r="AE287" s="7"/>
      <c r="AF287" s="7"/>
      <c r="AG287" s="7"/>
      <c r="AH287" s="7"/>
      <c r="AI287" s="7"/>
      <c r="AJ287" s="7"/>
      <c r="AK287" s="7"/>
    </row>
    <row r="288" spans="1:37">
      <c r="A288" s="7"/>
      <c r="B288" s="7"/>
      <c r="C288" s="7"/>
      <c r="D288" s="7"/>
      <c r="E288" s="7"/>
      <c r="F288" s="7"/>
      <c r="G288" s="7"/>
      <c r="H288" s="208" t="s">
        <v>2299</v>
      </c>
      <c r="I288" s="7"/>
      <c r="J288" s="7"/>
      <c r="K288" s="7"/>
      <c r="L288" s="7"/>
      <c r="M288" s="209" t="s">
        <v>2299</v>
      </c>
      <c r="N288" s="7"/>
      <c r="O288" s="7"/>
      <c r="P288" s="7"/>
      <c r="Q288" s="7"/>
      <c r="R288" s="7"/>
      <c r="S288" s="7"/>
      <c r="T288" s="209" t="s">
        <v>2299</v>
      </c>
      <c r="U288" s="269" t="s">
        <v>2299</v>
      </c>
      <c r="V288" s="210"/>
      <c r="W288" s="271" t="s">
        <v>2299</v>
      </c>
      <c r="X288" s="7"/>
      <c r="Y288" s="7"/>
      <c r="Z288" s="209" t="s">
        <v>2299</v>
      </c>
      <c r="AA288" s="7"/>
      <c r="AB288" s="7"/>
      <c r="AD288" s="7"/>
      <c r="AE288" s="7"/>
      <c r="AF288" s="7"/>
      <c r="AG288" s="7"/>
      <c r="AH288" s="7"/>
      <c r="AI288" s="7"/>
      <c r="AJ288" s="7"/>
      <c r="AK288" s="7"/>
    </row>
    <row r="289" spans="1:37">
      <c r="A289" s="7"/>
      <c r="B289" s="7"/>
      <c r="C289" s="7"/>
      <c r="D289" s="7"/>
      <c r="E289" s="7"/>
      <c r="F289" s="7"/>
      <c r="G289" s="7"/>
      <c r="H289" s="208" t="s">
        <v>2299</v>
      </c>
      <c r="I289" s="7"/>
      <c r="J289" s="7"/>
      <c r="K289" s="7"/>
      <c r="L289" s="7"/>
      <c r="M289" s="209" t="s">
        <v>2299</v>
      </c>
      <c r="N289" s="7"/>
      <c r="O289" s="7"/>
      <c r="P289" s="7"/>
      <c r="Q289" s="7"/>
      <c r="R289" s="7"/>
      <c r="S289" s="7"/>
      <c r="T289" s="209" t="s">
        <v>2299</v>
      </c>
      <c r="U289" s="269" t="s">
        <v>2299</v>
      </c>
      <c r="V289" s="210"/>
      <c r="W289" s="271" t="s">
        <v>2299</v>
      </c>
      <c r="X289" s="7"/>
      <c r="Y289" s="7"/>
      <c r="Z289" s="209" t="s">
        <v>2299</v>
      </c>
      <c r="AA289" s="7"/>
      <c r="AB289" s="7"/>
      <c r="AD289" s="7"/>
      <c r="AE289" s="7"/>
      <c r="AF289" s="7"/>
      <c r="AG289" s="7"/>
      <c r="AH289" s="7"/>
      <c r="AI289" s="7"/>
      <c r="AJ289" s="7"/>
      <c r="AK289" s="7"/>
    </row>
    <row r="290" spans="1:37">
      <c r="A290" s="7"/>
      <c r="B290" s="7"/>
      <c r="C290" s="7"/>
      <c r="D290" s="7"/>
      <c r="E290" s="7"/>
      <c r="F290" s="7"/>
      <c r="G290" s="7"/>
      <c r="H290" s="208" t="s">
        <v>2299</v>
      </c>
      <c r="I290" s="7"/>
      <c r="J290" s="7"/>
      <c r="K290" s="7"/>
      <c r="L290" s="7"/>
      <c r="M290" s="209" t="s">
        <v>2299</v>
      </c>
      <c r="N290" s="7"/>
      <c r="O290" s="7"/>
      <c r="P290" s="7"/>
      <c r="Q290" s="7"/>
      <c r="R290" s="7"/>
      <c r="S290" s="7"/>
      <c r="T290" s="209" t="s">
        <v>2299</v>
      </c>
      <c r="U290" s="269" t="s">
        <v>2299</v>
      </c>
      <c r="V290" s="210"/>
      <c r="W290" s="271" t="s">
        <v>2299</v>
      </c>
      <c r="X290" s="7"/>
      <c r="Y290" s="7"/>
      <c r="Z290" s="209" t="s">
        <v>2299</v>
      </c>
      <c r="AA290" s="7"/>
      <c r="AB290" s="7"/>
      <c r="AD290" s="7"/>
      <c r="AE290" s="7"/>
      <c r="AF290" s="7"/>
      <c r="AG290" s="7"/>
      <c r="AH290" s="7"/>
      <c r="AI290" s="7"/>
      <c r="AJ290" s="7"/>
      <c r="AK290" s="7"/>
    </row>
    <row r="291" spans="1:37">
      <c r="A291" s="7"/>
      <c r="B291" s="7"/>
      <c r="C291" s="7"/>
      <c r="D291" s="7"/>
      <c r="E291" s="7"/>
      <c r="F291" s="7"/>
      <c r="G291" s="7"/>
      <c r="H291" s="208" t="s">
        <v>2299</v>
      </c>
      <c r="I291" s="7"/>
      <c r="J291" s="7"/>
      <c r="K291" s="7"/>
      <c r="L291" s="7"/>
      <c r="M291" s="209" t="s">
        <v>2299</v>
      </c>
      <c r="N291" s="7"/>
      <c r="O291" s="7"/>
      <c r="P291" s="7"/>
      <c r="Q291" s="7"/>
      <c r="R291" s="7"/>
      <c r="S291" s="7"/>
      <c r="T291" s="209" t="s">
        <v>2299</v>
      </c>
      <c r="U291" s="269" t="s">
        <v>2299</v>
      </c>
      <c r="V291" s="210"/>
      <c r="W291" s="271" t="s">
        <v>2299</v>
      </c>
      <c r="X291" s="7"/>
      <c r="Y291" s="7"/>
      <c r="Z291" s="209" t="s">
        <v>2299</v>
      </c>
      <c r="AA291" s="7"/>
      <c r="AB291" s="7"/>
      <c r="AD291" s="7"/>
      <c r="AE291" s="7"/>
      <c r="AF291" s="7"/>
      <c r="AG291" s="7"/>
      <c r="AH291" s="7"/>
      <c r="AI291" s="7"/>
      <c r="AJ291" s="7"/>
      <c r="AK291" s="7"/>
    </row>
    <row r="292" spans="1:37">
      <c r="A292" s="7"/>
      <c r="B292" s="7"/>
      <c r="C292" s="7"/>
      <c r="D292" s="7"/>
      <c r="E292" s="7"/>
      <c r="F292" s="7"/>
      <c r="G292" s="7"/>
      <c r="H292" s="208" t="s">
        <v>2299</v>
      </c>
      <c r="I292" s="7"/>
      <c r="J292" s="7"/>
      <c r="K292" s="7"/>
      <c r="L292" s="7"/>
      <c r="M292" s="209" t="s">
        <v>2299</v>
      </c>
      <c r="N292" s="7"/>
      <c r="O292" s="7"/>
      <c r="P292" s="7"/>
      <c r="Q292" s="7"/>
      <c r="R292" s="7"/>
      <c r="S292" s="7"/>
      <c r="T292" s="209" t="s">
        <v>2299</v>
      </c>
      <c r="U292" s="269" t="s">
        <v>2299</v>
      </c>
      <c r="V292" s="210"/>
      <c r="W292" s="271" t="s">
        <v>2299</v>
      </c>
      <c r="X292" s="7"/>
      <c r="Y292" s="7"/>
      <c r="Z292" s="209" t="s">
        <v>2299</v>
      </c>
      <c r="AA292" s="7"/>
      <c r="AB292" s="7"/>
      <c r="AD292" s="7"/>
      <c r="AE292" s="7"/>
      <c r="AF292" s="7"/>
      <c r="AG292" s="7"/>
      <c r="AH292" s="7"/>
      <c r="AI292" s="7"/>
      <c r="AJ292" s="7"/>
      <c r="AK292" s="7"/>
    </row>
    <row r="293" spans="1:37">
      <c r="A293" s="7"/>
      <c r="B293" s="7"/>
      <c r="C293" s="7"/>
      <c r="D293" s="7"/>
      <c r="E293" s="7"/>
      <c r="F293" s="7"/>
      <c r="G293" s="7"/>
      <c r="H293" s="208" t="s">
        <v>2299</v>
      </c>
      <c r="I293" s="7"/>
      <c r="J293" s="7"/>
      <c r="K293" s="7"/>
      <c r="L293" s="7"/>
      <c r="M293" s="209" t="s">
        <v>2299</v>
      </c>
      <c r="N293" s="7"/>
      <c r="O293" s="7"/>
      <c r="P293" s="7"/>
      <c r="Q293" s="7"/>
      <c r="R293" s="7"/>
      <c r="S293" s="7"/>
      <c r="T293" s="209" t="s">
        <v>2299</v>
      </c>
      <c r="U293" s="269" t="s">
        <v>2299</v>
      </c>
      <c r="V293" s="210"/>
      <c r="W293" s="271" t="s">
        <v>2299</v>
      </c>
      <c r="X293" s="7"/>
      <c r="Y293" s="7"/>
      <c r="Z293" s="209" t="s">
        <v>2299</v>
      </c>
      <c r="AA293" s="7"/>
      <c r="AB293" s="7"/>
      <c r="AD293" s="7"/>
      <c r="AE293" s="7"/>
      <c r="AF293" s="7"/>
      <c r="AG293" s="7"/>
      <c r="AH293" s="7"/>
      <c r="AI293" s="7"/>
      <c r="AJ293" s="7"/>
      <c r="AK293" s="7"/>
    </row>
    <row r="294" spans="1:37">
      <c r="A294" s="7"/>
      <c r="B294" s="7"/>
      <c r="C294" s="7"/>
      <c r="D294" s="7"/>
      <c r="E294" s="7"/>
      <c r="F294" s="7"/>
      <c r="G294" s="7"/>
      <c r="H294" s="208" t="s">
        <v>2299</v>
      </c>
      <c r="I294" s="7"/>
      <c r="J294" s="7"/>
      <c r="K294" s="7"/>
      <c r="L294" s="7"/>
      <c r="M294" s="209" t="s">
        <v>2299</v>
      </c>
      <c r="N294" s="7"/>
      <c r="O294" s="7"/>
      <c r="P294" s="7"/>
      <c r="Q294" s="7"/>
      <c r="R294" s="7"/>
      <c r="S294" s="7"/>
      <c r="T294" s="209" t="s">
        <v>2299</v>
      </c>
      <c r="U294" s="269" t="s">
        <v>2299</v>
      </c>
      <c r="V294" s="210"/>
      <c r="W294" s="271" t="s">
        <v>2299</v>
      </c>
      <c r="X294" s="7"/>
      <c r="Y294" s="7"/>
      <c r="Z294" s="209" t="s">
        <v>2299</v>
      </c>
      <c r="AA294" s="7"/>
      <c r="AB294" s="7"/>
      <c r="AD294" s="7"/>
      <c r="AE294" s="7"/>
      <c r="AF294" s="7"/>
      <c r="AG294" s="7"/>
      <c r="AH294" s="7"/>
      <c r="AI294" s="7"/>
      <c r="AJ294" s="7"/>
      <c r="AK294" s="7"/>
    </row>
    <row r="295" spans="1:37">
      <c r="A295" s="7"/>
      <c r="B295" s="7"/>
      <c r="C295" s="7"/>
      <c r="D295" s="7"/>
      <c r="E295" s="7"/>
      <c r="F295" s="7"/>
      <c r="G295" s="7"/>
      <c r="H295" s="208" t="s">
        <v>2299</v>
      </c>
      <c r="I295" s="7"/>
      <c r="J295" s="7"/>
      <c r="K295" s="7"/>
      <c r="L295" s="7"/>
      <c r="M295" s="209" t="s">
        <v>2299</v>
      </c>
      <c r="N295" s="7"/>
      <c r="O295" s="7"/>
      <c r="P295" s="7"/>
      <c r="Q295" s="7"/>
      <c r="R295" s="7"/>
      <c r="S295" s="7"/>
      <c r="T295" s="209" t="s">
        <v>2299</v>
      </c>
      <c r="U295" s="269" t="s">
        <v>2299</v>
      </c>
      <c r="V295" s="210"/>
      <c r="W295" s="271" t="s">
        <v>2299</v>
      </c>
      <c r="X295" s="7"/>
      <c r="Y295" s="7"/>
      <c r="Z295" s="209" t="s">
        <v>2299</v>
      </c>
      <c r="AA295" s="7"/>
      <c r="AB295" s="7"/>
      <c r="AD295" s="7"/>
      <c r="AE295" s="7"/>
      <c r="AF295" s="7"/>
      <c r="AG295" s="7"/>
      <c r="AH295" s="7"/>
      <c r="AI295" s="7"/>
      <c r="AJ295" s="7"/>
      <c r="AK295" s="7"/>
    </row>
    <row r="296" spans="1:37">
      <c r="A296" s="7"/>
      <c r="B296" s="7"/>
      <c r="C296" s="7"/>
      <c r="D296" s="7"/>
      <c r="E296" s="7"/>
      <c r="F296" s="7"/>
      <c r="G296" s="7"/>
      <c r="H296" s="208" t="s">
        <v>2299</v>
      </c>
      <c r="I296" s="7"/>
      <c r="J296" s="7"/>
      <c r="K296" s="7"/>
      <c r="L296" s="7"/>
      <c r="M296" s="209" t="s">
        <v>2299</v>
      </c>
      <c r="N296" s="7"/>
      <c r="O296" s="7"/>
      <c r="P296" s="7"/>
      <c r="Q296" s="7"/>
      <c r="R296" s="7"/>
      <c r="S296" s="7"/>
      <c r="T296" s="209" t="s">
        <v>2299</v>
      </c>
      <c r="U296" s="269" t="s">
        <v>2299</v>
      </c>
      <c r="V296" s="210"/>
      <c r="W296" s="271" t="s">
        <v>2299</v>
      </c>
      <c r="X296" s="7"/>
      <c r="Y296" s="7"/>
      <c r="Z296" s="209" t="s">
        <v>2299</v>
      </c>
      <c r="AA296" s="7"/>
      <c r="AB296" s="7"/>
      <c r="AD296" s="7"/>
      <c r="AE296" s="7"/>
      <c r="AF296" s="7"/>
      <c r="AG296" s="7"/>
      <c r="AH296" s="7"/>
      <c r="AI296" s="7"/>
      <c r="AJ296" s="7"/>
      <c r="AK296" s="7"/>
    </row>
    <row r="297" spans="1:37">
      <c r="A297" s="7"/>
      <c r="B297" s="7"/>
      <c r="C297" s="7"/>
      <c r="D297" s="7"/>
      <c r="E297" s="7"/>
      <c r="F297" s="7"/>
      <c r="G297" s="7"/>
      <c r="H297" s="208" t="s">
        <v>2299</v>
      </c>
      <c r="I297" s="7"/>
      <c r="J297" s="7"/>
      <c r="K297" s="7"/>
      <c r="L297" s="7"/>
      <c r="M297" s="209" t="s">
        <v>2299</v>
      </c>
      <c r="N297" s="7"/>
      <c r="O297" s="7"/>
      <c r="P297" s="7"/>
      <c r="Q297" s="7"/>
      <c r="R297" s="7"/>
      <c r="S297" s="7"/>
      <c r="T297" s="209" t="s">
        <v>2299</v>
      </c>
      <c r="U297" s="269" t="s">
        <v>2299</v>
      </c>
      <c r="V297" s="210"/>
      <c r="W297" s="271" t="s">
        <v>2299</v>
      </c>
      <c r="X297" s="7"/>
      <c r="Y297" s="7"/>
      <c r="Z297" s="209" t="s">
        <v>2299</v>
      </c>
      <c r="AA297" s="7"/>
      <c r="AB297" s="7"/>
      <c r="AD297" s="7"/>
      <c r="AE297" s="7"/>
      <c r="AF297" s="7"/>
      <c r="AG297" s="7"/>
      <c r="AH297" s="7"/>
      <c r="AI297" s="7"/>
      <c r="AJ297" s="7"/>
      <c r="AK297" s="7"/>
    </row>
    <row r="298" spans="1:37">
      <c r="A298" s="7"/>
      <c r="B298" s="7"/>
      <c r="C298" s="7"/>
      <c r="D298" s="7"/>
      <c r="E298" s="7"/>
      <c r="F298" s="7"/>
      <c r="G298" s="7"/>
      <c r="H298" s="208" t="s">
        <v>2299</v>
      </c>
      <c r="I298" s="7"/>
      <c r="J298" s="7"/>
      <c r="K298" s="7"/>
      <c r="L298" s="7"/>
      <c r="M298" s="209" t="s">
        <v>2299</v>
      </c>
      <c r="N298" s="7"/>
      <c r="O298" s="7"/>
      <c r="P298" s="7"/>
      <c r="Q298" s="7"/>
      <c r="R298" s="7"/>
      <c r="S298" s="7"/>
      <c r="T298" s="209" t="s">
        <v>2299</v>
      </c>
      <c r="U298" s="269" t="s">
        <v>2299</v>
      </c>
      <c r="V298" s="210"/>
      <c r="W298" s="271" t="s">
        <v>2299</v>
      </c>
      <c r="X298" s="7"/>
      <c r="Y298" s="7"/>
      <c r="Z298" s="209" t="s">
        <v>2299</v>
      </c>
      <c r="AA298" s="7"/>
      <c r="AB298" s="7"/>
      <c r="AD298" s="7"/>
      <c r="AE298" s="7"/>
      <c r="AF298" s="7"/>
      <c r="AG298" s="7"/>
      <c r="AH298" s="7"/>
      <c r="AI298" s="7"/>
      <c r="AJ298" s="7"/>
      <c r="AK298" s="7"/>
    </row>
    <row r="299" spans="1:37">
      <c r="A299" s="7"/>
      <c r="B299" s="7"/>
      <c r="C299" s="7"/>
      <c r="D299" s="7"/>
      <c r="E299" s="7"/>
      <c r="F299" s="7"/>
      <c r="G299" s="7"/>
      <c r="H299" s="208" t="s">
        <v>2299</v>
      </c>
      <c r="I299" s="7"/>
      <c r="J299" s="7"/>
      <c r="K299" s="7"/>
      <c r="L299" s="7"/>
      <c r="M299" s="209" t="s">
        <v>2299</v>
      </c>
      <c r="N299" s="7"/>
      <c r="O299" s="7"/>
      <c r="P299" s="7"/>
      <c r="Q299" s="7"/>
      <c r="R299" s="7"/>
      <c r="S299" s="7"/>
      <c r="T299" s="209" t="s">
        <v>2299</v>
      </c>
      <c r="U299" s="269" t="s">
        <v>2299</v>
      </c>
      <c r="V299" s="210"/>
      <c r="W299" s="271" t="s">
        <v>2299</v>
      </c>
      <c r="X299" s="7"/>
      <c r="Y299" s="7"/>
      <c r="Z299" s="209" t="s">
        <v>2299</v>
      </c>
      <c r="AA299" s="7"/>
      <c r="AB299" s="7"/>
      <c r="AD299" s="7"/>
      <c r="AE299" s="7"/>
      <c r="AF299" s="7"/>
      <c r="AG299" s="7"/>
      <c r="AH299" s="7"/>
      <c r="AI299" s="7"/>
      <c r="AJ299" s="7"/>
      <c r="AK299" s="7"/>
    </row>
    <row r="300" spans="1:37">
      <c r="A300" s="7"/>
      <c r="B300" s="7"/>
      <c r="C300" s="7"/>
      <c r="D300" s="7"/>
      <c r="E300" s="7"/>
      <c r="F300" s="7"/>
      <c r="G300" s="7"/>
      <c r="H300" s="208" t="s">
        <v>2299</v>
      </c>
      <c r="I300" s="7"/>
      <c r="J300" s="7"/>
      <c r="K300" s="7"/>
      <c r="L300" s="7"/>
      <c r="M300" s="209" t="s">
        <v>2299</v>
      </c>
      <c r="N300" s="7"/>
      <c r="O300" s="7"/>
      <c r="P300" s="7"/>
      <c r="Q300" s="7"/>
      <c r="R300" s="7"/>
      <c r="S300" s="7"/>
      <c r="T300" s="209" t="s">
        <v>2299</v>
      </c>
      <c r="U300" s="269" t="s">
        <v>2299</v>
      </c>
      <c r="V300" s="210"/>
      <c r="W300" s="271" t="s">
        <v>2299</v>
      </c>
      <c r="X300" s="7"/>
      <c r="Y300" s="7"/>
      <c r="Z300" s="209" t="s">
        <v>2299</v>
      </c>
      <c r="AA300" s="7"/>
      <c r="AB300" s="7"/>
      <c r="AD300" s="7"/>
      <c r="AE300" s="7"/>
      <c r="AF300" s="7"/>
      <c r="AG300" s="7"/>
      <c r="AH300" s="7"/>
      <c r="AI300" s="7"/>
      <c r="AJ300" s="7"/>
      <c r="AK300" s="7"/>
    </row>
    <row r="301" spans="1:37">
      <c r="A301" s="7"/>
      <c r="B301" s="7"/>
      <c r="C301" s="7"/>
      <c r="D301" s="7"/>
      <c r="E301" s="7"/>
      <c r="F301" s="7"/>
      <c r="G301" s="7"/>
      <c r="H301" s="208" t="s">
        <v>2299</v>
      </c>
      <c r="I301" s="7"/>
      <c r="J301" s="7"/>
      <c r="K301" s="7"/>
      <c r="L301" s="7"/>
      <c r="M301" s="209" t="s">
        <v>2299</v>
      </c>
      <c r="N301" s="7"/>
      <c r="O301" s="7"/>
      <c r="P301" s="7"/>
      <c r="Q301" s="7"/>
      <c r="R301" s="7"/>
      <c r="S301" s="7"/>
      <c r="T301" s="209" t="s">
        <v>2299</v>
      </c>
      <c r="U301" s="269" t="s">
        <v>2299</v>
      </c>
      <c r="V301" s="210"/>
      <c r="W301" s="271" t="s">
        <v>2299</v>
      </c>
      <c r="X301" s="7"/>
      <c r="Y301" s="7"/>
      <c r="Z301" s="209" t="s">
        <v>2299</v>
      </c>
      <c r="AA301" s="7"/>
      <c r="AB301" s="7"/>
      <c r="AD301" s="7"/>
      <c r="AE301" s="7"/>
      <c r="AF301" s="7"/>
      <c r="AG301" s="7"/>
      <c r="AH301" s="7"/>
      <c r="AI301" s="7"/>
      <c r="AJ301" s="7"/>
      <c r="AK301" s="7"/>
    </row>
    <row r="302" spans="1:37">
      <c r="A302" s="7"/>
      <c r="B302" s="7"/>
      <c r="C302" s="7"/>
      <c r="D302" s="7"/>
      <c r="E302" s="7"/>
      <c r="F302" s="7"/>
      <c r="G302" s="7"/>
      <c r="H302" s="208" t="s">
        <v>2299</v>
      </c>
      <c r="I302" s="7"/>
      <c r="J302" s="7"/>
      <c r="K302" s="7"/>
      <c r="L302" s="7"/>
      <c r="M302" s="209" t="s">
        <v>2299</v>
      </c>
      <c r="N302" s="7"/>
      <c r="O302" s="7"/>
      <c r="P302" s="7"/>
      <c r="Q302" s="7"/>
      <c r="R302" s="7"/>
      <c r="S302" s="7"/>
      <c r="T302" s="209" t="s">
        <v>2299</v>
      </c>
      <c r="U302" s="269" t="s">
        <v>2299</v>
      </c>
      <c r="V302" s="210"/>
      <c r="W302" s="271" t="s">
        <v>2299</v>
      </c>
      <c r="X302" s="7"/>
      <c r="Y302" s="7"/>
      <c r="Z302" s="209" t="s">
        <v>2299</v>
      </c>
      <c r="AA302" s="7"/>
      <c r="AB302" s="7"/>
      <c r="AD302" s="7"/>
      <c r="AE302" s="7"/>
      <c r="AF302" s="7"/>
      <c r="AG302" s="7"/>
      <c r="AH302" s="7"/>
      <c r="AI302" s="7"/>
      <c r="AJ302" s="7"/>
      <c r="AK302" s="7"/>
    </row>
    <row r="303" spans="1:37">
      <c r="A303" s="7"/>
      <c r="B303" s="7"/>
      <c r="C303" s="7"/>
      <c r="D303" s="7"/>
      <c r="E303" s="7"/>
      <c r="F303" s="7"/>
      <c r="G303" s="7"/>
      <c r="H303" s="208" t="s">
        <v>2299</v>
      </c>
      <c r="I303" s="7"/>
      <c r="J303" s="7"/>
      <c r="K303" s="7"/>
      <c r="L303" s="7"/>
      <c r="M303" s="209" t="s">
        <v>2299</v>
      </c>
      <c r="N303" s="7"/>
      <c r="O303" s="7"/>
      <c r="P303" s="7"/>
      <c r="Q303" s="7"/>
      <c r="R303" s="7"/>
      <c r="S303" s="7"/>
      <c r="T303" s="209" t="s">
        <v>2299</v>
      </c>
      <c r="U303" s="269" t="s">
        <v>2299</v>
      </c>
      <c r="V303" s="210"/>
      <c r="W303" s="271" t="s">
        <v>2299</v>
      </c>
      <c r="X303" s="7"/>
      <c r="Y303" s="7"/>
      <c r="Z303" s="209" t="s">
        <v>2299</v>
      </c>
      <c r="AA303" s="7"/>
      <c r="AB303" s="7"/>
      <c r="AD303" s="7"/>
      <c r="AE303" s="7"/>
      <c r="AF303" s="7"/>
      <c r="AG303" s="7"/>
      <c r="AH303" s="7"/>
      <c r="AI303" s="7"/>
      <c r="AJ303" s="7"/>
      <c r="AK303" s="7"/>
    </row>
    <row r="304" spans="1:37">
      <c r="A304" s="7"/>
      <c r="B304" s="7"/>
      <c r="C304" s="7"/>
      <c r="D304" s="7"/>
      <c r="E304" s="7"/>
      <c r="F304" s="7"/>
      <c r="G304" s="7"/>
      <c r="H304" s="208" t="s">
        <v>2299</v>
      </c>
      <c r="I304" s="7"/>
      <c r="J304" s="7"/>
      <c r="K304" s="7"/>
      <c r="L304" s="7"/>
      <c r="M304" s="209" t="s">
        <v>2299</v>
      </c>
      <c r="N304" s="7"/>
      <c r="O304" s="7"/>
      <c r="P304" s="7"/>
      <c r="Q304" s="7"/>
      <c r="R304" s="7"/>
      <c r="S304" s="7"/>
      <c r="T304" s="209" t="s">
        <v>2299</v>
      </c>
      <c r="U304" s="269" t="s">
        <v>2299</v>
      </c>
      <c r="V304" s="210"/>
      <c r="W304" s="271" t="s">
        <v>2299</v>
      </c>
      <c r="X304" s="7"/>
      <c r="Y304" s="7"/>
      <c r="Z304" s="209" t="s">
        <v>2299</v>
      </c>
      <c r="AA304" s="7"/>
      <c r="AB304" s="7"/>
      <c r="AD304" s="7"/>
      <c r="AE304" s="7"/>
      <c r="AF304" s="7"/>
      <c r="AG304" s="7"/>
      <c r="AH304" s="7"/>
      <c r="AI304" s="7"/>
      <c r="AJ304" s="7"/>
      <c r="AK304" s="7"/>
    </row>
    <row r="305" spans="1:37">
      <c r="A305" s="7"/>
      <c r="B305" s="7"/>
      <c r="C305" s="7"/>
      <c r="D305" s="7"/>
      <c r="E305" s="7"/>
      <c r="F305" s="7"/>
      <c r="G305" s="7"/>
      <c r="H305" s="208" t="s">
        <v>2299</v>
      </c>
      <c r="I305" s="7"/>
      <c r="J305" s="7"/>
      <c r="K305" s="7"/>
      <c r="L305" s="7"/>
      <c r="M305" s="209" t="s">
        <v>2299</v>
      </c>
      <c r="N305" s="7"/>
      <c r="O305" s="7"/>
      <c r="P305" s="7"/>
      <c r="Q305" s="7"/>
      <c r="R305" s="7"/>
      <c r="S305" s="7"/>
      <c r="T305" s="209" t="s">
        <v>2299</v>
      </c>
      <c r="U305" s="269" t="s">
        <v>2299</v>
      </c>
      <c r="V305" s="210"/>
      <c r="W305" s="271" t="s">
        <v>2299</v>
      </c>
      <c r="X305" s="7"/>
      <c r="Y305" s="7"/>
      <c r="Z305" s="209" t="s">
        <v>2299</v>
      </c>
      <c r="AA305" s="7"/>
      <c r="AB305" s="7"/>
      <c r="AD305" s="7"/>
      <c r="AE305" s="7"/>
      <c r="AF305" s="7"/>
      <c r="AG305" s="7"/>
      <c r="AH305" s="7"/>
      <c r="AI305" s="7"/>
      <c r="AJ305" s="7"/>
      <c r="AK305" s="7"/>
    </row>
    <row r="306" spans="1:37">
      <c r="A306" s="7"/>
      <c r="B306" s="7"/>
      <c r="C306" s="7"/>
      <c r="D306" s="7"/>
      <c r="E306" s="7"/>
      <c r="F306" s="7"/>
      <c r="G306" s="7"/>
      <c r="H306" s="208" t="s">
        <v>2299</v>
      </c>
      <c r="I306" s="7"/>
      <c r="J306" s="7"/>
      <c r="K306" s="7"/>
      <c r="L306" s="7"/>
      <c r="M306" s="209" t="s">
        <v>2299</v>
      </c>
      <c r="N306" s="7"/>
      <c r="O306" s="7"/>
      <c r="P306" s="7"/>
      <c r="Q306" s="7"/>
      <c r="R306" s="7"/>
      <c r="S306" s="7"/>
      <c r="T306" s="209" t="s">
        <v>2299</v>
      </c>
      <c r="U306" s="269" t="s">
        <v>2299</v>
      </c>
      <c r="V306" s="210"/>
      <c r="W306" s="271" t="s">
        <v>2299</v>
      </c>
      <c r="X306" s="7"/>
      <c r="Y306" s="7"/>
      <c r="Z306" s="209" t="s">
        <v>2299</v>
      </c>
      <c r="AA306" s="7"/>
      <c r="AB306" s="7"/>
      <c r="AD306" s="7"/>
      <c r="AE306" s="7"/>
      <c r="AF306" s="7"/>
      <c r="AG306" s="7"/>
      <c r="AH306" s="7"/>
      <c r="AI306" s="7"/>
      <c r="AJ306" s="7"/>
      <c r="AK306" s="7"/>
    </row>
    <row r="307" spans="1:37">
      <c r="A307" s="7"/>
      <c r="B307" s="7"/>
      <c r="C307" s="7"/>
      <c r="D307" s="7"/>
      <c r="E307" s="7"/>
      <c r="F307" s="7"/>
      <c r="G307" s="7"/>
      <c r="H307" s="208" t="s">
        <v>2299</v>
      </c>
      <c r="I307" s="7"/>
      <c r="J307" s="7"/>
      <c r="K307" s="7"/>
      <c r="L307" s="7"/>
      <c r="M307" s="209" t="s">
        <v>2299</v>
      </c>
      <c r="N307" s="7"/>
      <c r="O307" s="7"/>
      <c r="P307" s="7"/>
      <c r="Q307" s="7"/>
      <c r="R307" s="7"/>
      <c r="S307" s="7"/>
      <c r="T307" s="209" t="s">
        <v>2299</v>
      </c>
      <c r="U307" s="269" t="s">
        <v>2299</v>
      </c>
      <c r="V307" s="210"/>
      <c r="W307" s="271" t="s">
        <v>2299</v>
      </c>
      <c r="X307" s="7"/>
      <c r="Y307" s="7"/>
      <c r="Z307" s="209" t="s">
        <v>2299</v>
      </c>
      <c r="AA307" s="7"/>
      <c r="AB307" s="7"/>
      <c r="AD307" s="7"/>
      <c r="AE307" s="7"/>
      <c r="AF307" s="7"/>
      <c r="AG307" s="7"/>
      <c r="AH307" s="7"/>
      <c r="AI307" s="7"/>
      <c r="AJ307" s="7"/>
      <c r="AK307" s="7"/>
    </row>
    <row r="308" spans="1:37">
      <c r="A308" s="7"/>
      <c r="B308" s="7"/>
      <c r="C308" s="7"/>
      <c r="D308" s="7"/>
      <c r="E308" s="7"/>
      <c r="F308" s="7"/>
      <c r="G308" s="7"/>
      <c r="H308" s="208" t="s">
        <v>2299</v>
      </c>
      <c r="I308" s="7"/>
      <c r="J308" s="7"/>
      <c r="K308" s="7"/>
      <c r="L308" s="7"/>
      <c r="M308" s="209" t="s">
        <v>2299</v>
      </c>
      <c r="N308" s="7"/>
      <c r="O308" s="7"/>
      <c r="P308" s="7"/>
      <c r="Q308" s="7"/>
      <c r="R308" s="7"/>
      <c r="S308" s="7"/>
      <c r="T308" s="209" t="s">
        <v>2299</v>
      </c>
      <c r="U308" s="269" t="s">
        <v>2299</v>
      </c>
      <c r="V308" s="210"/>
      <c r="W308" s="271" t="s">
        <v>2299</v>
      </c>
      <c r="X308" s="7"/>
      <c r="Y308" s="7"/>
      <c r="Z308" s="209" t="s">
        <v>2299</v>
      </c>
      <c r="AA308" s="7"/>
      <c r="AB308" s="7"/>
      <c r="AD308" s="7"/>
      <c r="AE308" s="7"/>
      <c r="AF308" s="7"/>
      <c r="AG308" s="7"/>
      <c r="AH308" s="7"/>
      <c r="AI308" s="7"/>
      <c r="AJ308" s="7"/>
      <c r="AK308" s="7"/>
    </row>
    <row r="309" spans="1:37">
      <c r="A309" s="7"/>
      <c r="B309" s="7"/>
      <c r="C309" s="7"/>
      <c r="D309" s="7"/>
      <c r="E309" s="7"/>
      <c r="F309" s="7"/>
      <c r="G309" s="7"/>
      <c r="H309" s="208" t="s">
        <v>2299</v>
      </c>
      <c r="I309" s="7"/>
      <c r="J309" s="7"/>
      <c r="K309" s="7"/>
      <c r="L309" s="7"/>
      <c r="M309" s="209" t="s">
        <v>2299</v>
      </c>
      <c r="N309" s="7"/>
      <c r="O309" s="7"/>
      <c r="P309" s="7"/>
      <c r="Q309" s="7"/>
      <c r="R309" s="7"/>
      <c r="S309" s="7"/>
      <c r="T309" s="209" t="s">
        <v>2299</v>
      </c>
      <c r="U309" s="269" t="s">
        <v>2299</v>
      </c>
      <c r="V309" s="210"/>
      <c r="W309" s="271" t="s">
        <v>2299</v>
      </c>
      <c r="X309" s="7"/>
      <c r="Y309" s="7"/>
      <c r="Z309" s="209" t="s">
        <v>2299</v>
      </c>
      <c r="AA309" s="7"/>
      <c r="AB309" s="7"/>
      <c r="AD309" s="7"/>
      <c r="AE309" s="7"/>
      <c r="AF309" s="7"/>
      <c r="AG309" s="7"/>
      <c r="AH309" s="7"/>
      <c r="AI309" s="7"/>
      <c r="AJ309" s="7"/>
      <c r="AK309" s="7"/>
    </row>
    <row r="310" spans="1:37">
      <c r="A310" s="7"/>
      <c r="B310" s="7"/>
      <c r="C310" s="7"/>
      <c r="D310" s="7"/>
      <c r="E310" s="7"/>
      <c r="F310" s="7"/>
      <c r="G310" s="7"/>
      <c r="H310" s="208" t="s">
        <v>2299</v>
      </c>
      <c r="I310" s="7"/>
      <c r="J310" s="7"/>
      <c r="K310" s="7"/>
      <c r="L310" s="7"/>
      <c r="M310" s="209" t="s">
        <v>2299</v>
      </c>
      <c r="N310" s="7"/>
      <c r="O310" s="7"/>
      <c r="P310" s="7"/>
      <c r="Q310" s="7"/>
      <c r="R310" s="7"/>
      <c r="S310" s="7"/>
      <c r="T310" s="209" t="s">
        <v>2299</v>
      </c>
      <c r="U310" s="269" t="s">
        <v>2299</v>
      </c>
      <c r="V310" s="210"/>
      <c r="W310" s="271" t="s">
        <v>2299</v>
      </c>
      <c r="X310" s="7"/>
      <c r="Y310" s="7"/>
      <c r="Z310" s="209" t="s">
        <v>2299</v>
      </c>
      <c r="AA310" s="7"/>
      <c r="AB310" s="7"/>
      <c r="AD310" s="7"/>
      <c r="AE310" s="7"/>
      <c r="AF310" s="7"/>
      <c r="AG310" s="7"/>
      <c r="AH310" s="7"/>
      <c r="AI310" s="7"/>
      <c r="AJ310" s="7"/>
      <c r="AK310" s="7"/>
    </row>
    <row r="311" spans="1:37">
      <c r="A311" s="7"/>
      <c r="B311" s="7"/>
      <c r="C311" s="7"/>
      <c r="D311" s="7"/>
      <c r="E311" s="7"/>
      <c r="F311" s="7"/>
      <c r="G311" s="7"/>
      <c r="H311" s="208" t="s">
        <v>2299</v>
      </c>
      <c r="I311" s="7"/>
      <c r="J311" s="7"/>
      <c r="K311" s="7"/>
      <c r="L311" s="7"/>
      <c r="M311" s="209" t="s">
        <v>2299</v>
      </c>
      <c r="N311" s="7"/>
      <c r="O311" s="7"/>
      <c r="P311" s="7"/>
      <c r="Q311" s="7"/>
      <c r="R311" s="7"/>
      <c r="S311" s="7"/>
      <c r="T311" s="209" t="s">
        <v>2299</v>
      </c>
      <c r="U311" s="269" t="s">
        <v>2299</v>
      </c>
      <c r="V311" s="210"/>
      <c r="W311" s="271" t="s">
        <v>2299</v>
      </c>
      <c r="X311" s="7"/>
      <c r="Y311" s="7"/>
      <c r="Z311" s="209" t="s">
        <v>2299</v>
      </c>
      <c r="AA311" s="7"/>
      <c r="AB311" s="7"/>
      <c r="AD311" s="7"/>
      <c r="AE311" s="7"/>
      <c r="AF311" s="7"/>
      <c r="AG311" s="7"/>
      <c r="AH311" s="7"/>
      <c r="AI311" s="7"/>
      <c r="AJ311" s="7"/>
      <c r="AK311" s="7"/>
    </row>
    <row r="312" spans="1:37">
      <c r="A312" s="7"/>
      <c r="B312" s="7"/>
      <c r="C312" s="7"/>
      <c r="D312" s="7"/>
      <c r="E312" s="7"/>
      <c r="F312" s="7"/>
      <c r="G312" s="7"/>
      <c r="H312" s="208" t="s">
        <v>2299</v>
      </c>
      <c r="I312" s="7"/>
      <c r="J312" s="7"/>
      <c r="K312" s="7"/>
      <c r="L312" s="7"/>
      <c r="M312" s="209" t="s">
        <v>2299</v>
      </c>
      <c r="N312" s="7"/>
      <c r="O312" s="7"/>
      <c r="P312" s="7"/>
      <c r="Q312" s="7"/>
      <c r="R312" s="7"/>
      <c r="S312" s="7"/>
      <c r="T312" s="209" t="s">
        <v>2299</v>
      </c>
      <c r="U312" s="269" t="s">
        <v>2299</v>
      </c>
      <c r="V312" s="210"/>
      <c r="W312" s="271" t="s">
        <v>2299</v>
      </c>
      <c r="X312" s="7"/>
      <c r="Y312" s="7"/>
      <c r="Z312" s="209" t="s">
        <v>2299</v>
      </c>
      <c r="AA312" s="7"/>
      <c r="AB312" s="7"/>
      <c r="AD312" s="7"/>
      <c r="AE312" s="7"/>
      <c r="AF312" s="7"/>
      <c r="AG312" s="7"/>
      <c r="AH312" s="7"/>
      <c r="AI312" s="7"/>
      <c r="AJ312" s="7"/>
      <c r="AK312" s="7"/>
    </row>
    <row r="313" spans="1:37">
      <c r="A313" s="7"/>
      <c r="B313" s="7"/>
      <c r="C313" s="7"/>
      <c r="D313" s="7"/>
      <c r="E313" s="7"/>
      <c r="F313" s="7"/>
      <c r="G313" s="7"/>
      <c r="H313" s="208" t="s">
        <v>2299</v>
      </c>
      <c r="I313" s="7"/>
      <c r="J313" s="7"/>
      <c r="K313" s="7"/>
      <c r="L313" s="7"/>
      <c r="M313" s="209" t="s">
        <v>2299</v>
      </c>
      <c r="N313" s="7"/>
      <c r="O313" s="7"/>
      <c r="P313" s="7"/>
      <c r="Q313" s="7"/>
      <c r="R313" s="7"/>
      <c r="S313" s="7"/>
      <c r="T313" s="209" t="s">
        <v>2299</v>
      </c>
      <c r="U313" s="269" t="s">
        <v>2299</v>
      </c>
      <c r="V313" s="210"/>
      <c r="W313" s="271" t="s">
        <v>2299</v>
      </c>
      <c r="X313" s="7"/>
      <c r="Y313" s="7"/>
      <c r="Z313" s="209" t="s">
        <v>2299</v>
      </c>
      <c r="AA313" s="7"/>
      <c r="AB313" s="7"/>
      <c r="AD313" s="7"/>
      <c r="AE313" s="7"/>
      <c r="AF313" s="7"/>
      <c r="AG313" s="7"/>
      <c r="AH313" s="7"/>
      <c r="AI313" s="7"/>
      <c r="AJ313" s="7"/>
      <c r="AK313" s="7"/>
    </row>
    <row r="314" spans="1:37">
      <c r="A314" s="7"/>
      <c r="B314" s="7"/>
      <c r="C314" s="7"/>
      <c r="D314" s="7"/>
      <c r="E314" s="7"/>
      <c r="F314" s="7"/>
      <c r="G314" s="7"/>
      <c r="H314" s="208" t="s">
        <v>2299</v>
      </c>
      <c r="I314" s="7"/>
      <c r="J314" s="7"/>
      <c r="K314" s="7"/>
      <c r="L314" s="7"/>
      <c r="M314" s="209" t="s">
        <v>2299</v>
      </c>
      <c r="N314" s="7"/>
      <c r="O314" s="7"/>
      <c r="P314" s="7"/>
      <c r="Q314" s="7"/>
      <c r="R314" s="7"/>
      <c r="S314" s="7"/>
      <c r="T314" s="209" t="s">
        <v>2299</v>
      </c>
      <c r="U314" s="269" t="s">
        <v>2299</v>
      </c>
      <c r="V314" s="210"/>
      <c r="W314" s="271" t="s">
        <v>2299</v>
      </c>
      <c r="X314" s="7"/>
      <c r="Y314" s="7"/>
      <c r="Z314" s="209" t="s">
        <v>2299</v>
      </c>
      <c r="AA314" s="7"/>
      <c r="AB314" s="7"/>
      <c r="AD314" s="7"/>
      <c r="AE314" s="7"/>
      <c r="AF314" s="7"/>
      <c r="AG314" s="7"/>
      <c r="AH314" s="7"/>
      <c r="AI314" s="7"/>
      <c r="AJ314" s="7"/>
      <c r="AK314" s="7"/>
    </row>
    <row r="315" spans="1:37">
      <c r="A315" s="7"/>
      <c r="B315" s="7"/>
      <c r="C315" s="7"/>
      <c r="D315" s="7"/>
      <c r="E315" s="7"/>
      <c r="F315" s="7"/>
      <c r="G315" s="7"/>
      <c r="H315" s="208" t="s">
        <v>2299</v>
      </c>
      <c r="I315" s="7"/>
      <c r="J315" s="7"/>
      <c r="K315" s="7"/>
      <c r="L315" s="7"/>
      <c r="M315" s="209" t="s">
        <v>2299</v>
      </c>
      <c r="N315" s="7"/>
      <c r="O315" s="7"/>
      <c r="P315" s="7"/>
      <c r="Q315" s="7"/>
      <c r="R315" s="7"/>
      <c r="S315" s="7"/>
      <c r="T315" s="209" t="s">
        <v>2299</v>
      </c>
      <c r="U315" s="269" t="s">
        <v>2299</v>
      </c>
      <c r="V315" s="210"/>
      <c r="W315" s="271" t="s">
        <v>2299</v>
      </c>
      <c r="X315" s="7"/>
      <c r="Y315" s="7"/>
      <c r="Z315" s="209" t="s">
        <v>2299</v>
      </c>
      <c r="AA315" s="7"/>
      <c r="AB315" s="7"/>
      <c r="AD315" s="7"/>
      <c r="AE315" s="7"/>
      <c r="AF315" s="7"/>
      <c r="AG315" s="7"/>
      <c r="AH315" s="7"/>
      <c r="AI315" s="7"/>
      <c r="AJ315" s="7"/>
      <c r="AK315" s="7"/>
    </row>
    <row r="316" spans="1:37">
      <c r="A316" s="7"/>
      <c r="B316" s="7"/>
      <c r="C316" s="7"/>
      <c r="D316" s="7"/>
      <c r="E316" s="7"/>
      <c r="F316" s="7"/>
      <c r="G316" s="7"/>
      <c r="H316" s="208" t="s">
        <v>2299</v>
      </c>
      <c r="I316" s="7"/>
      <c r="J316" s="7"/>
      <c r="K316" s="7"/>
      <c r="L316" s="7"/>
      <c r="M316" s="209" t="s">
        <v>2299</v>
      </c>
      <c r="N316" s="7"/>
      <c r="O316" s="7"/>
      <c r="P316" s="7"/>
      <c r="Q316" s="7"/>
      <c r="R316" s="7"/>
      <c r="S316" s="7"/>
      <c r="T316" s="209" t="s">
        <v>2299</v>
      </c>
      <c r="U316" s="269" t="s">
        <v>2299</v>
      </c>
      <c r="V316" s="210"/>
      <c r="W316" s="271" t="s">
        <v>2299</v>
      </c>
      <c r="X316" s="7"/>
      <c r="Y316" s="7"/>
      <c r="Z316" s="209" t="s">
        <v>2299</v>
      </c>
      <c r="AA316" s="7"/>
      <c r="AB316" s="7"/>
      <c r="AD316" s="7"/>
      <c r="AE316" s="7"/>
      <c r="AF316" s="7"/>
      <c r="AG316" s="7"/>
      <c r="AH316" s="7"/>
      <c r="AI316" s="7"/>
      <c r="AJ316" s="7"/>
      <c r="AK316" s="7"/>
    </row>
    <row r="317" spans="1:37">
      <c r="A317" s="7"/>
      <c r="B317" s="7"/>
      <c r="C317" s="7"/>
      <c r="D317" s="7"/>
      <c r="E317" s="7"/>
      <c r="F317" s="7"/>
      <c r="G317" s="7"/>
      <c r="H317" s="208" t="s">
        <v>2299</v>
      </c>
      <c r="I317" s="7"/>
      <c r="J317" s="7"/>
      <c r="K317" s="7"/>
      <c r="L317" s="7"/>
      <c r="M317" s="209" t="s">
        <v>2299</v>
      </c>
      <c r="N317" s="7"/>
      <c r="O317" s="7"/>
      <c r="P317" s="7"/>
      <c r="Q317" s="7"/>
      <c r="R317" s="7"/>
      <c r="S317" s="7"/>
      <c r="T317" s="209" t="s">
        <v>2299</v>
      </c>
      <c r="U317" s="269" t="s">
        <v>2299</v>
      </c>
      <c r="V317" s="210"/>
      <c r="W317" s="271" t="s">
        <v>2299</v>
      </c>
      <c r="X317" s="7"/>
      <c r="Y317" s="7"/>
      <c r="Z317" s="209" t="s">
        <v>2299</v>
      </c>
      <c r="AA317" s="7"/>
      <c r="AB317" s="7"/>
      <c r="AD317" s="7"/>
      <c r="AE317" s="7"/>
      <c r="AF317" s="7"/>
      <c r="AG317" s="7"/>
      <c r="AH317" s="7"/>
      <c r="AI317" s="7"/>
      <c r="AJ317" s="7"/>
      <c r="AK317" s="7"/>
    </row>
    <row r="318" spans="1:37">
      <c r="A318" s="7"/>
      <c r="B318" s="7"/>
      <c r="C318" s="7"/>
      <c r="D318" s="7"/>
      <c r="E318" s="7"/>
      <c r="F318" s="7"/>
      <c r="G318" s="7"/>
      <c r="H318" s="208" t="s">
        <v>2299</v>
      </c>
      <c r="I318" s="7"/>
      <c r="J318" s="7"/>
      <c r="K318" s="7"/>
      <c r="L318" s="7"/>
      <c r="M318" s="209" t="s">
        <v>2299</v>
      </c>
      <c r="N318" s="7"/>
      <c r="O318" s="7"/>
      <c r="P318" s="7"/>
      <c r="Q318" s="7"/>
      <c r="R318" s="7"/>
      <c r="S318" s="7"/>
      <c r="T318" s="209" t="s">
        <v>2299</v>
      </c>
      <c r="U318" s="269" t="s">
        <v>2299</v>
      </c>
      <c r="V318" s="210"/>
      <c r="W318" s="271" t="s">
        <v>2299</v>
      </c>
      <c r="X318" s="7"/>
      <c r="Y318" s="7"/>
      <c r="Z318" s="209" t="s">
        <v>2299</v>
      </c>
      <c r="AA318" s="7"/>
      <c r="AB318" s="7"/>
      <c r="AD318" s="7"/>
      <c r="AE318" s="7"/>
      <c r="AF318" s="7"/>
      <c r="AG318" s="7"/>
      <c r="AH318" s="7"/>
      <c r="AI318" s="7"/>
      <c r="AJ318" s="7"/>
      <c r="AK318" s="7"/>
    </row>
    <row r="319" spans="1:37">
      <c r="A319" s="7"/>
      <c r="B319" s="7"/>
      <c r="C319" s="7"/>
      <c r="D319" s="7"/>
      <c r="E319" s="7"/>
      <c r="F319" s="7"/>
      <c r="G319" s="7"/>
      <c r="H319" s="208" t="s">
        <v>2299</v>
      </c>
      <c r="I319" s="7"/>
      <c r="J319" s="7"/>
      <c r="K319" s="7"/>
      <c r="L319" s="7"/>
      <c r="M319" s="209" t="s">
        <v>2299</v>
      </c>
      <c r="N319" s="7"/>
      <c r="O319" s="7"/>
      <c r="P319" s="7"/>
      <c r="Q319" s="7"/>
      <c r="R319" s="7"/>
      <c r="S319" s="7"/>
      <c r="T319" s="209" t="s">
        <v>2299</v>
      </c>
      <c r="U319" s="269" t="s">
        <v>2299</v>
      </c>
      <c r="V319" s="210"/>
      <c r="W319" s="271" t="s">
        <v>2299</v>
      </c>
      <c r="X319" s="7"/>
      <c r="Y319" s="7"/>
      <c r="Z319" s="209" t="s">
        <v>2299</v>
      </c>
      <c r="AA319" s="7"/>
      <c r="AB319" s="7"/>
      <c r="AD319" s="7"/>
      <c r="AE319" s="7"/>
      <c r="AF319" s="7"/>
      <c r="AG319" s="7"/>
      <c r="AH319" s="7"/>
      <c r="AI319" s="7"/>
      <c r="AJ319" s="7"/>
      <c r="AK319" s="7"/>
    </row>
    <row r="320" spans="1:37">
      <c r="A320" s="7"/>
      <c r="B320" s="7"/>
      <c r="C320" s="7"/>
      <c r="D320" s="7"/>
      <c r="E320" s="7"/>
      <c r="F320" s="7"/>
      <c r="G320" s="7"/>
      <c r="H320" s="208" t="s">
        <v>2299</v>
      </c>
      <c r="I320" s="7"/>
      <c r="J320" s="7"/>
      <c r="K320" s="7"/>
      <c r="L320" s="7"/>
      <c r="M320" s="209" t="s">
        <v>2299</v>
      </c>
      <c r="N320" s="7"/>
      <c r="O320" s="7"/>
      <c r="P320" s="7"/>
      <c r="Q320" s="7"/>
      <c r="R320" s="7"/>
      <c r="S320" s="7"/>
      <c r="T320" s="209" t="s">
        <v>2299</v>
      </c>
      <c r="U320" s="269" t="s">
        <v>2299</v>
      </c>
      <c r="V320" s="210"/>
      <c r="W320" s="271" t="s">
        <v>2299</v>
      </c>
      <c r="X320" s="7"/>
      <c r="Y320" s="7"/>
      <c r="Z320" s="209" t="s">
        <v>2299</v>
      </c>
      <c r="AA320" s="7"/>
      <c r="AB320" s="7"/>
      <c r="AD320" s="7"/>
      <c r="AE320" s="7"/>
      <c r="AF320" s="7"/>
      <c r="AG320" s="7"/>
      <c r="AH320" s="7"/>
      <c r="AI320" s="7"/>
      <c r="AJ320" s="7"/>
      <c r="AK320" s="7"/>
    </row>
    <row r="321" spans="1:37">
      <c r="A321" s="7"/>
      <c r="B321" s="7"/>
      <c r="C321" s="7"/>
      <c r="D321" s="7"/>
      <c r="E321" s="7"/>
      <c r="F321" s="7"/>
      <c r="G321" s="7"/>
      <c r="H321" s="208" t="s">
        <v>2299</v>
      </c>
      <c r="I321" s="7"/>
      <c r="J321" s="7"/>
      <c r="K321" s="7"/>
      <c r="L321" s="7"/>
      <c r="M321" s="209" t="s">
        <v>2299</v>
      </c>
      <c r="N321" s="7"/>
      <c r="O321" s="7"/>
      <c r="P321" s="7"/>
      <c r="Q321" s="7"/>
      <c r="R321" s="7"/>
      <c r="S321" s="7"/>
      <c r="T321" s="209" t="s">
        <v>2299</v>
      </c>
      <c r="U321" s="269" t="s">
        <v>2299</v>
      </c>
      <c r="V321" s="210"/>
      <c r="W321" s="271" t="s">
        <v>2299</v>
      </c>
      <c r="X321" s="7"/>
      <c r="Y321" s="7"/>
      <c r="Z321" s="209" t="s">
        <v>2299</v>
      </c>
      <c r="AA321" s="7"/>
      <c r="AB321" s="7"/>
      <c r="AD321" s="7"/>
      <c r="AE321" s="7"/>
      <c r="AF321" s="7"/>
      <c r="AG321" s="7"/>
      <c r="AH321" s="7"/>
      <c r="AI321" s="7"/>
      <c r="AJ321" s="7"/>
      <c r="AK321" s="7"/>
    </row>
    <row r="322" spans="1:37">
      <c r="A322" s="7"/>
      <c r="B322" s="7"/>
      <c r="C322" s="7"/>
      <c r="D322" s="7"/>
      <c r="E322" s="7"/>
      <c r="F322" s="7"/>
      <c r="G322" s="7"/>
      <c r="H322" s="208" t="s">
        <v>2299</v>
      </c>
      <c r="I322" s="7"/>
      <c r="J322" s="7"/>
      <c r="K322" s="7"/>
      <c r="L322" s="7"/>
      <c r="M322" s="209" t="s">
        <v>2299</v>
      </c>
      <c r="N322" s="7"/>
      <c r="O322" s="7"/>
      <c r="P322" s="7"/>
      <c r="Q322" s="7"/>
      <c r="R322" s="7"/>
      <c r="S322" s="7"/>
      <c r="T322" s="209" t="s">
        <v>2299</v>
      </c>
      <c r="U322" s="269" t="s">
        <v>2299</v>
      </c>
      <c r="V322" s="210"/>
      <c r="W322" s="271" t="s">
        <v>2299</v>
      </c>
      <c r="X322" s="7"/>
      <c r="Y322" s="7"/>
      <c r="Z322" s="209" t="s">
        <v>2299</v>
      </c>
      <c r="AA322" s="7"/>
      <c r="AB322" s="7"/>
      <c r="AD322" s="7"/>
      <c r="AE322" s="7"/>
      <c r="AF322" s="7"/>
      <c r="AG322" s="7"/>
      <c r="AH322" s="7"/>
      <c r="AI322" s="7"/>
      <c r="AJ322" s="7"/>
      <c r="AK322" s="7"/>
    </row>
    <row r="323" spans="1:37">
      <c r="A323" s="7"/>
      <c r="B323" s="7"/>
      <c r="C323" s="7"/>
      <c r="D323" s="7"/>
      <c r="E323" s="7"/>
      <c r="F323" s="7"/>
      <c r="G323" s="7"/>
      <c r="H323" s="208" t="s">
        <v>2299</v>
      </c>
      <c r="I323" s="7"/>
      <c r="J323" s="7"/>
      <c r="K323" s="7"/>
      <c r="L323" s="7"/>
      <c r="M323" s="209" t="s">
        <v>2299</v>
      </c>
      <c r="N323" s="7"/>
      <c r="O323" s="7"/>
      <c r="P323" s="7"/>
      <c r="Q323" s="7"/>
      <c r="R323" s="7"/>
      <c r="S323" s="7"/>
      <c r="T323" s="209" t="s">
        <v>2299</v>
      </c>
      <c r="U323" s="269" t="s">
        <v>2299</v>
      </c>
      <c r="V323" s="210"/>
      <c r="W323" s="271" t="s">
        <v>2299</v>
      </c>
      <c r="X323" s="7"/>
      <c r="Y323" s="7"/>
      <c r="Z323" s="209" t="s">
        <v>2299</v>
      </c>
      <c r="AA323" s="7"/>
      <c r="AB323" s="7"/>
      <c r="AD323" s="7"/>
      <c r="AE323" s="7"/>
      <c r="AF323" s="7"/>
      <c r="AG323" s="7"/>
      <c r="AH323" s="7"/>
      <c r="AI323" s="7"/>
      <c r="AJ323" s="7"/>
      <c r="AK323" s="7"/>
    </row>
    <row r="324" spans="1:37">
      <c r="A324" s="7"/>
      <c r="B324" s="7"/>
      <c r="C324" s="7"/>
      <c r="D324" s="7"/>
      <c r="E324" s="7"/>
      <c r="F324" s="7"/>
      <c r="G324" s="7"/>
      <c r="H324" s="208" t="s">
        <v>2299</v>
      </c>
      <c r="I324" s="7"/>
      <c r="J324" s="7"/>
      <c r="K324" s="7"/>
      <c r="L324" s="7"/>
      <c r="M324" s="209" t="s">
        <v>2299</v>
      </c>
      <c r="N324" s="7"/>
      <c r="O324" s="7"/>
      <c r="P324" s="7"/>
      <c r="Q324" s="7"/>
      <c r="R324" s="7"/>
      <c r="S324" s="7"/>
      <c r="T324" s="209" t="s">
        <v>2299</v>
      </c>
      <c r="U324" s="269" t="s">
        <v>2299</v>
      </c>
      <c r="V324" s="210"/>
      <c r="W324" s="271" t="s">
        <v>2299</v>
      </c>
      <c r="X324" s="7"/>
      <c r="Y324" s="7"/>
      <c r="Z324" s="209" t="s">
        <v>2299</v>
      </c>
      <c r="AA324" s="7"/>
      <c r="AB324" s="7"/>
      <c r="AD324" s="7"/>
      <c r="AE324" s="7"/>
      <c r="AF324" s="7"/>
      <c r="AG324" s="7"/>
      <c r="AH324" s="7"/>
      <c r="AI324" s="7"/>
      <c r="AJ324" s="7"/>
      <c r="AK324" s="7"/>
    </row>
    <row r="325" spans="1:37">
      <c r="A325" s="7"/>
      <c r="B325" s="7"/>
      <c r="C325" s="7"/>
      <c r="D325" s="7"/>
      <c r="E325" s="7"/>
      <c r="F325" s="7"/>
      <c r="G325" s="7"/>
      <c r="H325" s="208" t="s">
        <v>2299</v>
      </c>
      <c r="I325" s="7"/>
      <c r="J325" s="7"/>
      <c r="K325" s="7"/>
      <c r="L325" s="7"/>
      <c r="M325" s="209" t="s">
        <v>2299</v>
      </c>
      <c r="N325" s="7"/>
      <c r="O325" s="7"/>
      <c r="P325" s="7"/>
      <c r="Q325" s="7"/>
      <c r="R325" s="7"/>
      <c r="S325" s="7"/>
      <c r="T325" s="209" t="s">
        <v>2299</v>
      </c>
      <c r="U325" s="269" t="s">
        <v>2299</v>
      </c>
      <c r="V325" s="210"/>
      <c r="W325" s="271" t="s">
        <v>2299</v>
      </c>
      <c r="X325" s="7"/>
      <c r="Y325" s="7"/>
      <c r="Z325" s="209" t="s">
        <v>2299</v>
      </c>
      <c r="AA325" s="7"/>
      <c r="AB325" s="7"/>
      <c r="AD325" s="7"/>
      <c r="AE325" s="7"/>
      <c r="AF325" s="7"/>
      <c r="AG325" s="7"/>
      <c r="AH325" s="7"/>
      <c r="AI325" s="7"/>
      <c r="AJ325" s="7"/>
      <c r="AK325" s="7"/>
    </row>
    <row r="326" spans="1:37">
      <c r="A326" s="7"/>
      <c r="B326" s="7"/>
      <c r="C326" s="7"/>
      <c r="D326" s="7"/>
      <c r="E326" s="7"/>
      <c r="F326" s="7"/>
      <c r="G326" s="7"/>
      <c r="H326" s="208" t="s">
        <v>2299</v>
      </c>
      <c r="I326" s="7"/>
      <c r="J326" s="7"/>
      <c r="K326" s="7"/>
      <c r="L326" s="7"/>
      <c r="M326" s="209" t="s">
        <v>2299</v>
      </c>
      <c r="N326" s="7"/>
      <c r="O326" s="7"/>
      <c r="P326" s="7"/>
      <c r="Q326" s="7"/>
      <c r="R326" s="7"/>
      <c r="S326" s="7"/>
      <c r="T326" s="209" t="s">
        <v>2299</v>
      </c>
      <c r="U326" s="269" t="s">
        <v>2299</v>
      </c>
      <c r="V326" s="210"/>
      <c r="W326" s="271" t="s">
        <v>2299</v>
      </c>
      <c r="X326" s="7"/>
      <c r="Y326" s="7"/>
      <c r="Z326" s="209" t="s">
        <v>2299</v>
      </c>
      <c r="AA326" s="7"/>
      <c r="AB326" s="7"/>
      <c r="AD326" s="7"/>
      <c r="AE326" s="7"/>
      <c r="AF326" s="7"/>
      <c r="AG326" s="7"/>
      <c r="AH326" s="7"/>
      <c r="AI326" s="7"/>
      <c r="AJ326" s="7"/>
      <c r="AK326" s="7"/>
    </row>
    <row r="327" spans="1:37">
      <c r="A327" s="7"/>
      <c r="B327" s="7"/>
      <c r="C327" s="7"/>
      <c r="D327" s="7"/>
      <c r="E327" s="7"/>
      <c r="F327" s="7"/>
      <c r="G327" s="7"/>
      <c r="H327" s="208" t="s">
        <v>2299</v>
      </c>
      <c r="I327" s="7"/>
      <c r="J327" s="7"/>
      <c r="K327" s="7"/>
      <c r="L327" s="7"/>
      <c r="M327" s="209" t="s">
        <v>2299</v>
      </c>
      <c r="N327" s="7"/>
      <c r="O327" s="7"/>
      <c r="P327" s="7"/>
      <c r="Q327" s="7"/>
      <c r="R327" s="7"/>
      <c r="S327" s="7"/>
      <c r="T327" s="209" t="s">
        <v>2299</v>
      </c>
      <c r="U327" s="269" t="s">
        <v>2299</v>
      </c>
      <c r="V327" s="210"/>
      <c r="W327" s="271" t="s">
        <v>2299</v>
      </c>
      <c r="X327" s="7"/>
      <c r="Y327" s="7"/>
      <c r="Z327" s="209" t="s">
        <v>2299</v>
      </c>
      <c r="AA327" s="7"/>
      <c r="AB327" s="7"/>
      <c r="AD327" s="7"/>
      <c r="AE327" s="7"/>
      <c r="AF327" s="7"/>
      <c r="AG327" s="7"/>
      <c r="AH327" s="7"/>
      <c r="AI327" s="7"/>
      <c r="AJ327" s="7"/>
      <c r="AK327" s="7"/>
    </row>
    <row r="328" spans="1:37">
      <c r="A328" s="7"/>
      <c r="B328" s="7"/>
      <c r="C328" s="7"/>
      <c r="D328" s="7"/>
      <c r="E328" s="7"/>
      <c r="F328" s="7"/>
      <c r="G328" s="7"/>
      <c r="H328" s="208" t="s">
        <v>2299</v>
      </c>
      <c r="I328" s="7"/>
      <c r="J328" s="7"/>
      <c r="K328" s="7"/>
      <c r="L328" s="7"/>
      <c r="M328" s="209" t="s">
        <v>2299</v>
      </c>
      <c r="N328" s="7"/>
      <c r="O328" s="7"/>
      <c r="P328" s="7"/>
      <c r="Q328" s="7"/>
      <c r="R328" s="7"/>
      <c r="S328" s="7"/>
      <c r="T328" s="209" t="s">
        <v>2299</v>
      </c>
      <c r="U328" s="269" t="s">
        <v>2299</v>
      </c>
      <c r="V328" s="210"/>
      <c r="W328" s="271" t="s">
        <v>2299</v>
      </c>
      <c r="X328" s="7"/>
      <c r="Y328" s="7"/>
      <c r="Z328" s="209" t="s">
        <v>2299</v>
      </c>
      <c r="AA328" s="7"/>
      <c r="AB328" s="7"/>
      <c r="AD328" s="7"/>
      <c r="AE328" s="7"/>
      <c r="AF328" s="7"/>
      <c r="AG328" s="7"/>
      <c r="AH328" s="7"/>
      <c r="AI328" s="7"/>
      <c r="AJ328" s="7"/>
      <c r="AK328" s="7"/>
    </row>
    <row r="329" spans="1:37">
      <c r="A329" s="7"/>
      <c r="B329" s="7"/>
      <c r="C329" s="7"/>
      <c r="D329" s="7"/>
      <c r="E329" s="7"/>
      <c r="F329" s="7"/>
      <c r="G329" s="7"/>
      <c r="H329" s="208" t="s">
        <v>2299</v>
      </c>
      <c r="I329" s="7"/>
      <c r="J329" s="7"/>
      <c r="K329" s="7"/>
      <c r="L329" s="7"/>
      <c r="M329" s="209" t="s">
        <v>2299</v>
      </c>
      <c r="N329" s="7"/>
      <c r="O329" s="7"/>
      <c r="P329" s="7"/>
      <c r="Q329" s="7"/>
      <c r="R329" s="7"/>
      <c r="S329" s="7"/>
      <c r="T329" s="209" t="s">
        <v>2299</v>
      </c>
      <c r="U329" s="269" t="s">
        <v>2299</v>
      </c>
      <c r="V329" s="210"/>
      <c r="W329" s="271" t="s">
        <v>2299</v>
      </c>
      <c r="X329" s="7"/>
      <c r="Y329" s="7"/>
      <c r="Z329" s="209" t="s">
        <v>2299</v>
      </c>
      <c r="AA329" s="7"/>
      <c r="AB329" s="7"/>
      <c r="AD329" s="7"/>
      <c r="AE329" s="7"/>
      <c r="AF329" s="7"/>
      <c r="AG329" s="7"/>
      <c r="AH329" s="7"/>
      <c r="AI329" s="7"/>
      <c r="AJ329" s="7"/>
      <c r="AK329" s="7"/>
    </row>
    <row r="330" spans="1:37">
      <c r="A330" s="7"/>
      <c r="B330" s="7"/>
      <c r="C330" s="7"/>
      <c r="D330" s="7"/>
      <c r="E330" s="7"/>
      <c r="F330" s="7"/>
      <c r="G330" s="7"/>
      <c r="H330" s="208" t="s">
        <v>2299</v>
      </c>
      <c r="I330" s="7"/>
      <c r="J330" s="7"/>
      <c r="K330" s="7"/>
      <c r="L330" s="7"/>
      <c r="M330" s="209" t="s">
        <v>2299</v>
      </c>
      <c r="N330" s="7"/>
      <c r="O330" s="7"/>
      <c r="P330" s="7"/>
      <c r="Q330" s="7"/>
      <c r="R330" s="7"/>
      <c r="S330" s="7"/>
      <c r="T330" s="209" t="s">
        <v>2299</v>
      </c>
      <c r="U330" s="269" t="s">
        <v>2299</v>
      </c>
      <c r="V330" s="210"/>
      <c r="W330" s="271" t="s">
        <v>2299</v>
      </c>
      <c r="X330" s="7"/>
      <c r="Y330" s="7"/>
      <c r="Z330" s="209" t="s">
        <v>2299</v>
      </c>
      <c r="AA330" s="7"/>
      <c r="AB330" s="7"/>
      <c r="AD330" s="7"/>
      <c r="AE330" s="7"/>
      <c r="AF330" s="7"/>
      <c r="AG330" s="7"/>
      <c r="AH330" s="7"/>
      <c r="AI330" s="7"/>
      <c r="AJ330" s="7"/>
      <c r="AK330" s="7"/>
    </row>
    <row r="331" spans="1:37">
      <c r="A331" s="7"/>
      <c r="B331" s="7"/>
      <c r="C331" s="7"/>
      <c r="D331" s="7"/>
      <c r="E331" s="7"/>
      <c r="F331" s="7"/>
      <c r="G331" s="7"/>
      <c r="H331" s="208" t="s">
        <v>2299</v>
      </c>
      <c r="I331" s="7"/>
      <c r="J331" s="7"/>
      <c r="K331" s="7"/>
      <c r="L331" s="7"/>
      <c r="M331" s="209" t="s">
        <v>2299</v>
      </c>
      <c r="N331" s="7"/>
      <c r="O331" s="7"/>
      <c r="P331" s="7"/>
      <c r="Q331" s="7"/>
      <c r="R331" s="7"/>
      <c r="S331" s="7"/>
      <c r="T331" s="209" t="s">
        <v>2299</v>
      </c>
      <c r="U331" s="269" t="s">
        <v>2299</v>
      </c>
      <c r="V331" s="210"/>
      <c r="W331" s="271" t="s">
        <v>2299</v>
      </c>
      <c r="X331" s="7"/>
      <c r="Y331" s="7"/>
      <c r="Z331" s="209" t="s">
        <v>2299</v>
      </c>
      <c r="AA331" s="7"/>
      <c r="AB331" s="7"/>
      <c r="AD331" s="7"/>
      <c r="AE331" s="7"/>
      <c r="AF331" s="7"/>
      <c r="AG331" s="7"/>
      <c r="AH331" s="7"/>
      <c r="AI331" s="7"/>
      <c r="AJ331" s="7"/>
      <c r="AK331" s="7"/>
    </row>
    <row r="332" spans="1:37">
      <c r="A332" s="7"/>
      <c r="B332" s="7"/>
      <c r="C332" s="7"/>
      <c r="D332" s="7"/>
      <c r="E332" s="7"/>
      <c r="F332" s="7"/>
      <c r="G332" s="7"/>
      <c r="H332" s="208" t="s">
        <v>2299</v>
      </c>
      <c r="I332" s="7"/>
      <c r="J332" s="7"/>
      <c r="K332" s="7"/>
      <c r="L332" s="7"/>
      <c r="M332" s="209" t="s">
        <v>2299</v>
      </c>
      <c r="N332" s="7"/>
      <c r="O332" s="7"/>
      <c r="P332" s="7"/>
      <c r="Q332" s="7"/>
      <c r="R332" s="7"/>
      <c r="S332" s="7"/>
      <c r="T332" s="209" t="s">
        <v>2299</v>
      </c>
      <c r="U332" s="269" t="s">
        <v>2299</v>
      </c>
      <c r="V332" s="210"/>
      <c r="W332" s="271" t="s">
        <v>2299</v>
      </c>
      <c r="X332" s="7"/>
      <c r="Y332" s="7"/>
      <c r="Z332" s="209" t="s">
        <v>2299</v>
      </c>
      <c r="AA332" s="7"/>
      <c r="AB332" s="7"/>
      <c r="AD332" s="7"/>
      <c r="AE332" s="7"/>
      <c r="AF332" s="7"/>
      <c r="AG332" s="7"/>
      <c r="AH332" s="7"/>
      <c r="AI332" s="7"/>
      <c r="AJ332" s="7"/>
      <c r="AK332" s="7"/>
    </row>
    <row r="333" spans="1:37">
      <c r="A333" s="7"/>
      <c r="B333" s="7"/>
      <c r="C333" s="7"/>
      <c r="D333" s="7"/>
      <c r="E333" s="7"/>
      <c r="F333" s="7"/>
      <c r="G333" s="7"/>
      <c r="H333" s="208" t="s">
        <v>2299</v>
      </c>
      <c r="I333" s="7"/>
      <c r="J333" s="7"/>
      <c r="K333" s="7"/>
      <c r="L333" s="7"/>
      <c r="M333" s="209" t="s">
        <v>2299</v>
      </c>
      <c r="N333" s="7"/>
      <c r="O333" s="7"/>
      <c r="P333" s="7"/>
      <c r="Q333" s="7"/>
      <c r="R333" s="7"/>
      <c r="S333" s="7"/>
      <c r="T333" s="209" t="s">
        <v>2299</v>
      </c>
      <c r="U333" s="269" t="s">
        <v>2299</v>
      </c>
      <c r="V333" s="210"/>
      <c r="W333" s="271" t="s">
        <v>2299</v>
      </c>
      <c r="X333" s="7"/>
      <c r="Y333" s="7"/>
      <c r="Z333" s="209" t="s">
        <v>2299</v>
      </c>
      <c r="AA333" s="7"/>
      <c r="AB333" s="7"/>
      <c r="AD333" s="7"/>
      <c r="AE333" s="7"/>
      <c r="AF333" s="7"/>
      <c r="AG333" s="7"/>
      <c r="AH333" s="7"/>
      <c r="AI333" s="7"/>
      <c r="AJ333" s="7"/>
      <c r="AK333" s="7"/>
    </row>
    <row r="334" spans="1:37">
      <c r="A334" s="7"/>
      <c r="B334" s="7"/>
      <c r="C334" s="7"/>
      <c r="D334" s="7"/>
      <c r="E334" s="7"/>
      <c r="F334" s="7"/>
      <c r="G334" s="7"/>
      <c r="H334" s="208" t="s">
        <v>2299</v>
      </c>
      <c r="I334" s="7"/>
      <c r="J334" s="7"/>
      <c r="K334" s="7"/>
      <c r="L334" s="7"/>
      <c r="M334" s="209" t="s">
        <v>2299</v>
      </c>
      <c r="N334" s="7"/>
      <c r="O334" s="7"/>
      <c r="P334" s="7"/>
      <c r="Q334" s="7"/>
      <c r="R334" s="7"/>
      <c r="S334" s="7"/>
      <c r="T334" s="209" t="s">
        <v>2299</v>
      </c>
      <c r="U334" s="269" t="s">
        <v>2299</v>
      </c>
      <c r="V334" s="210"/>
      <c r="W334" s="271" t="s">
        <v>2299</v>
      </c>
      <c r="X334" s="7"/>
      <c r="Y334" s="7"/>
      <c r="Z334" s="209" t="s">
        <v>2299</v>
      </c>
      <c r="AA334" s="7"/>
      <c r="AB334" s="7"/>
      <c r="AD334" s="7"/>
      <c r="AE334" s="7"/>
      <c r="AF334" s="7"/>
      <c r="AG334" s="7"/>
      <c r="AH334" s="7"/>
      <c r="AI334" s="7"/>
      <c r="AJ334" s="7"/>
      <c r="AK334" s="7"/>
    </row>
    <row r="335" spans="1:37">
      <c r="A335" s="7"/>
      <c r="B335" s="7"/>
      <c r="C335" s="7"/>
      <c r="D335" s="7"/>
      <c r="E335" s="7"/>
      <c r="F335" s="7"/>
      <c r="G335" s="7"/>
      <c r="H335" s="208" t="s">
        <v>2299</v>
      </c>
      <c r="I335" s="7"/>
      <c r="J335" s="7"/>
      <c r="K335" s="7"/>
      <c r="L335" s="7"/>
      <c r="M335" s="209" t="s">
        <v>2299</v>
      </c>
      <c r="N335" s="7"/>
      <c r="O335" s="7"/>
      <c r="P335" s="7"/>
      <c r="Q335" s="7"/>
      <c r="R335" s="7"/>
      <c r="S335" s="7"/>
      <c r="T335" s="209" t="s">
        <v>2299</v>
      </c>
      <c r="U335" s="269" t="s">
        <v>2299</v>
      </c>
      <c r="V335" s="210"/>
      <c r="W335" s="271" t="s">
        <v>2299</v>
      </c>
      <c r="X335" s="7"/>
      <c r="Y335" s="7"/>
      <c r="Z335" s="209" t="s">
        <v>2299</v>
      </c>
      <c r="AA335" s="7"/>
      <c r="AB335" s="7"/>
      <c r="AD335" s="7"/>
      <c r="AE335" s="7"/>
      <c r="AF335" s="7"/>
      <c r="AG335" s="7"/>
      <c r="AH335" s="7"/>
      <c r="AI335" s="7"/>
      <c r="AJ335" s="7"/>
      <c r="AK335" s="7"/>
    </row>
    <row r="336" spans="1:37">
      <c r="A336" s="7"/>
      <c r="B336" s="7"/>
      <c r="C336" s="7"/>
      <c r="D336" s="7"/>
      <c r="E336" s="7"/>
      <c r="F336" s="7"/>
      <c r="G336" s="7"/>
      <c r="H336" s="208" t="s">
        <v>2299</v>
      </c>
      <c r="I336" s="7"/>
      <c r="J336" s="7"/>
      <c r="K336" s="7"/>
      <c r="L336" s="7"/>
      <c r="M336" s="209" t="s">
        <v>2299</v>
      </c>
      <c r="N336" s="7"/>
      <c r="O336" s="7"/>
      <c r="P336" s="7"/>
      <c r="Q336" s="7"/>
      <c r="R336" s="7"/>
      <c r="S336" s="7"/>
      <c r="T336" s="209" t="s">
        <v>2299</v>
      </c>
      <c r="U336" s="269" t="s">
        <v>2299</v>
      </c>
      <c r="V336" s="210"/>
      <c r="W336" s="271" t="s">
        <v>2299</v>
      </c>
      <c r="X336" s="7"/>
      <c r="Y336" s="7"/>
      <c r="Z336" s="209" t="s">
        <v>2299</v>
      </c>
      <c r="AA336" s="7"/>
      <c r="AB336" s="7"/>
      <c r="AD336" s="7"/>
      <c r="AE336" s="7"/>
      <c r="AF336" s="7"/>
      <c r="AG336" s="7"/>
      <c r="AH336" s="7"/>
      <c r="AI336" s="7"/>
      <c r="AJ336" s="7"/>
      <c r="AK336" s="7"/>
    </row>
    <row r="337" spans="1:37">
      <c r="A337" s="7"/>
      <c r="B337" s="7"/>
      <c r="C337" s="7"/>
      <c r="D337" s="7"/>
      <c r="E337" s="7"/>
      <c r="F337" s="7"/>
      <c r="G337" s="7"/>
      <c r="H337" s="208" t="s">
        <v>2299</v>
      </c>
      <c r="I337" s="7"/>
      <c r="J337" s="7"/>
      <c r="K337" s="7"/>
      <c r="L337" s="7"/>
      <c r="M337" s="209" t="s">
        <v>2299</v>
      </c>
      <c r="N337" s="7"/>
      <c r="O337" s="7"/>
      <c r="P337" s="7"/>
      <c r="Q337" s="7"/>
      <c r="R337" s="7"/>
      <c r="S337" s="7"/>
      <c r="T337" s="209" t="s">
        <v>2299</v>
      </c>
      <c r="U337" s="269" t="s">
        <v>2299</v>
      </c>
      <c r="V337" s="210"/>
      <c r="W337" s="271" t="s">
        <v>2299</v>
      </c>
      <c r="X337" s="7"/>
      <c r="Y337" s="7"/>
      <c r="Z337" s="209" t="s">
        <v>2299</v>
      </c>
      <c r="AA337" s="7"/>
      <c r="AB337" s="7"/>
      <c r="AD337" s="7"/>
      <c r="AE337" s="7"/>
      <c r="AF337" s="7"/>
      <c r="AG337" s="7"/>
      <c r="AH337" s="7"/>
      <c r="AI337" s="7"/>
      <c r="AJ337" s="7"/>
      <c r="AK337" s="7"/>
    </row>
    <row r="338" spans="1:37">
      <c r="A338" s="7"/>
      <c r="B338" s="7"/>
      <c r="C338" s="7"/>
      <c r="D338" s="7"/>
      <c r="E338" s="7"/>
      <c r="F338" s="7"/>
      <c r="G338" s="7"/>
      <c r="H338" s="208" t="s">
        <v>2299</v>
      </c>
      <c r="I338" s="7"/>
      <c r="J338" s="7"/>
      <c r="K338" s="7"/>
      <c r="L338" s="7"/>
      <c r="M338" s="209" t="s">
        <v>2299</v>
      </c>
      <c r="N338" s="7"/>
      <c r="O338" s="7"/>
      <c r="P338" s="7"/>
      <c r="Q338" s="7"/>
      <c r="R338" s="7"/>
      <c r="S338" s="7"/>
      <c r="T338" s="209" t="s">
        <v>2299</v>
      </c>
      <c r="U338" s="269" t="s">
        <v>2299</v>
      </c>
      <c r="V338" s="210"/>
      <c r="W338" s="271" t="s">
        <v>2299</v>
      </c>
      <c r="X338" s="7"/>
      <c r="Y338" s="7"/>
      <c r="Z338" s="209" t="s">
        <v>2299</v>
      </c>
      <c r="AA338" s="7"/>
      <c r="AB338" s="7"/>
      <c r="AD338" s="7"/>
      <c r="AE338" s="7"/>
      <c r="AF338" s="7"/>
      <c r="AG338" s="7"/>
      <c r="AH338" s="7"/>
      <c r="AI338" s="7"/>
      <c r="AJ338" s="7"/>
      <c r="AK338" s="7"/>
    </row>
    <row r="339" spans="1:37">
      <c r="A339" s="7"/>
      <c r="B339" s="7"/>
      <c r="C339" s="7"/>
      <c r="D339" s="7"/>
      <c r="E339" s="7"/>
      <c r="F339" s="7"/>
      <c r="G339" s="7"/>
      <c r="H339" s="208" t="s">
        <v>2299</v>
      </c>
      <c r="I339" s="7"/>
      <c r="J339" s="7"/>
      <c r="K339" s="7"/>
      <c r="L339" s="7"/>
      <c r="M339" s="209" t="s">
        <v>2299</v>
      </c>
      <c r="N339" s="7"/>
      <c r="O339" s="7"/>
      <c r="P339" s="7"/>
      <c r="Q339" s="7"/>
      <c r="R339" s="7"/>
      <c r="S339" s="7"/>
      <c r="T339" s="209" t="s">
        <v>2299</v>
      </c>
      <c r="U339" s="269" t="s">
        <v>2299</v>
      </c>
      <c r="V339" s="210"/>
      <c r="W339" s="271" t="s">
        <v>2299</v>
      </c>
      <c r="X339" s="7"/>
      <c r="Y339" s="7"/>
      <c r="Z339" s="209" t="s">
        <v>2299</v>
      </c>
      <c r="AA339" s="7"/>
      <c r="AB339" s="7"/>
      <c r="AD339" s="7"/>
      <c r="AE339" s="7"/>
      <c r="AF339" s="7"/>
      <c r="AG339" s="7"/>
      <c r="AH339" s="7"/>
      <c r="AI339" s="7"/>
      <c r="AJ339" s="7"/>
      <c r="AK339" s="7"/>
    </row>
    <row r="340" spans="1:37">
      <c r="A340" s="7"/>
      <c r="B340" s="7"/>
      <c r="C340" s="7"/>
      <c r="D340" s="7"/>
      <c r="E340" s="7"/>
      <c r="F340" s="7"/>
      <c r="G340" s="7"/>
      <c r="H340" s="208" t="s">
        <v>2299</v>
      </c>
      <c r="I340" s="7"/>
      <c r="J340" s="7"/>
      <c r="K340" s="7"/>
      <c r="L340" s="7"/>
      <c r="M340" s="209" t="s">
        <v>2299</v>
      </c>
      <c r="N340" s="7"/>
      <c r="O340" s="7"/>
      <c r="P340" s="7"/>
      <c r="Q340" s="7"/>
      <c r="R340" s="7"/>
      <c r="S340" s="7"/>
      <c r="T340" s="209" t="s">
        <v>2299</v>
      </c>
      <c r="U340" s="269" t="s">
        <v>2299</v>
      </c>
      <c r="V340" s="210"/>
      <c r="W340" s="271" t="s">
        <v>2299</v>
      </c>
      <c r="X340" s="7"/>
      <c r="Y340" s="7"/>
      <c r="Z340" s="209" t="s">
        <v>2299</v>
      </c>
      <c r="AA340" s="7"/>
      <c r="AB340" s="7"/>
      <c r="AD340" s="7"/>
      <c r="AE340" s="7"/>
      <c r="AF340" s="7"/>
      <c r="AG340" s="7"/>
      <c r="AH340" s="7"/>
      <c r="AI340" s="7"/>
      <c r="AJ340" s="7"/>
      <c r="AK340" s="7"/>
    </row>
    <row r="341" spans="1:37">
      <c r="A341" s="7"/>
      <c r="B341" s="7"/>
      <c r="C341" s="7"/>
      <c r="D341" s="7"/>
      <c r="E341" s="7"/>
      <c r="F341" s="7"/>
      <c r="G341" s="7"/>
      <c r="H341" s="208" t="s">
        <v>2299</v>
      </c>
      <c r="I341" s="7"/>
      <c r="J341" s="7"/>
      <c r="K341" s="7"/>
      <c r="L341" s="7"/>
      <c r="M341" s="209" t="s">
        <v>2299</v>
      </c>
      <c r="N341" s="7"/>
      <c r="O341" s="7"/>
      <c r="P341" s="7"/>
      <c r="Q341" s="7"/>
      <c r="R341" s="7"/>
      <c r="S341" s="7"/>
      <c r="T341" s="209" t="s">
        <v>2299</v>
      </c>
      <c r="U341" s="269" t="s">
        <v>2299</v>
      </c>
      <c r="V341" s="210"/>
      <c r="W341" s="271" t="s">
        <v>2299</v>
      </c>
      <c r="X341" s="7"/>
      <c r="Y341" s="7"/>
      <c r="Z341" s="209" t="s">
        <v>2299</v>
      </c>
      <c r="AA341" s="7"/>
      <c r="AB341" s="7"/>
      <c r="AD341" s="7"/>
      <c r="AE341" s="7"/>
      <c r="AF341" s="7"/>
      <c r="AG341" s="7"/>
      <c r="AH341" s="7"/>
      <c r="AI341" s="7"/>
      <c r="AJ341" s="7"/>
      <c r="AK341" s="7"/>
    </row>
    <row r="342" spans="1:37">
      <c r="A342" s="7"/>
      <c r="B342" s="7"/>
      <c r="C342" s="7"/>
      <c r="D342" s="7"/>
      <c r="E342" s="7"/>
      <c r="F342" s="7"/>
      <c r="G342" s="7"/>
      <c r="H342" s="208" t="s">
        <v>2299</v>
      </c>
      <c r="I342" s="7"/>
      <c r="J342" s="7"/>
      <c r="K342" s="7"/>
      <c r="L342" s="7"/>
      <c r="M342" s="209" t="s">
        <v>2299</v>
      </c>
      <c r="N342" s="7"/>
      <c r="O342" s="7"/>
      <c r="P342" s="7"/>
      <c r="Q342" s="7"/>
      <c r="R342" s="7"/>
      <c r="S342" s="7"/>
      <c r="T342" s="209" t="s">
        <v>2299</v>
      </c>
      <c r="U342" s="269" t="s">
        <v>2299</v>
      </c>
      <c r="V342" s="210"/>
      <c r="W342" s="271" t="s">
        <v>2299</v>
      </c>
      <c r="X342" s="7"/>
      <c r="Y342" s="7"/>
      <c r="Z342" s="209" t="s">
        <v>2299</v>
      </c>
      <c r="AA342" s="7"/>
      <c r="AB342" s="7"/>
      <c r="AD342" s="7"/>
      <c r="AE342" s="7"/>
      <c r="AF342" s="7"/>
      <c r="AG342" s="7"/>
      <c r="AH342" s="7"/>
      <c r="AI342" s="7"/>
      <c r="AJ342" s="7"/>
      <c r="AK342" s="7"/>
    </row>
    <row r="343" spans="1:37">
      <c r="A343" s="7"/>
      <c r="B343" s="7"/>
      <c r="C343" s="7"/>
      <c r="D343" s="7"/>
      <c r="E343" s="7"/>
      <c r="F343" s="7"/>
      <c r="G343" s="7"/>
      <c r="H343" s="208" t="s">
        <v>2299</v>
      </c>
      <c r="I343" s="7"/>
      <c r="J343" s="7"/>
      <c r="K343" s="7"/>
      <c r="L343" s="7"/>
      <c r="M343" s="209" t="s">
        <v>2299</v>
      </c>
      <c r="N343" s="7"/>
      <c r="O343" s="7"/>
      <c r="P343" s="7"/>
      <c r="Q343" s="7"/>
      <c r="R343" s="7"/>
      <c r="S343" s="7"/>
      <c r="T343" s="209" t="s">
        <v>2299</v>
      </c>
      <c r="U343" s="269" t="s">
        <v>2299</v>
      </c>
      <c r="V343" s="210"/>
      <c r="W343" s="271" t="s">
        <v>2299</v>
      </c>
      <c r="X343" s="7"/>
      <c r="Y343" s="7"/>
      <c r="Z343" s="209" t="s">
        <v>2299</v>
      </c>
      <c r="AA343" s="7"/>
      <c r="AB343" s="7"/>
      <c r="AD343" s="7"/>
      <c r="AE343" s="7"/>
      <c r="AF343" s="7"/>
      <c r="AG343" s="7"/>
      <c r="AH343" s="7"/>
      <c r="AI343" s="7"/>
      <c r="AJ343" s="7"/>
      <c r="AK343" s="7"/>
    </row>
    <row r="344" spans="1:37">
      <c r="A344" s="7"/>
      <c r="B344" s="7"/>
      <c r="C344" s="7"/>
      <c r="D344" s="7"/>
      <c r="E344" s="7"/>
      <c r="F344" s="7"/>
      <c r="G344" s="7"/>
      <c r="H344" s="208" t="s">
        <v>2299</v>
      </c>
      <c r="I344" s="7"/>
      <c r="J344" s="7"/>
      <c r="K344" s="7"/>
      <c r="L344" s="7"/>
      <c r="M344" s="209" t="s">
        <v>2299</v>
      </c>
      <c r="N344" s="7"/>
      <c r="O344" s="7"/>
      <c r="P344" s="7"/>
      <c r="Q344" s="7"/>
      <c r="R344" s="7"/>
      <c r="S344" s="7"/>
      <c r="T344" s="209" t="s">
        <v>2299</v>
      </c>
      <c r="U344" s="269" t="s">
        <v>2299</v>
      </c>
      <c r="V344" s="210"/>
      <c r="W344" s="271" t="s">
        <v>2299</v>
      </c>
      <c r="X344" s="7"/>
      <c r="Y344" s="7"/>
      <c r="Z344" s="209" t="s">
        <v>2299</v>
      </c>
      <c r="AA344" s="7"/>
      <c r="AB344" s="7"/>
      <c r="AD344" s="7"/>
      <c r="AE344" s="7"/>
      <c r="AF344" s="7"/>
      <c r="AG344" s="7"/>
      <c r="AH344" s="7"/>
      <c r="AI344" s="7"/>
      <c r="AJ344" s="7"/>
      <c r="AK344" s="7"/>
    </row>
    <row r="345" spans="1:37">
      <c r="A345" s="7"/>
      <c r="B345" s="7"/>
      <c r="C345" s="7"/>
      <c r="D345" s="7"/>
      <c r="E345" s="7"/>
      <c r="F345" s="7"/>
      <c r="G345" s="7"/>
      <c r="H345" s="208" t="s">
        <v>2299</v>
      </c>
      <c r="I345" s="7"/>
      <c r="J345" s="7"/>
      <c r="K345" s="7"/>
      <c r="L345" s="7"/>
      <c r="M345" s="209" t="s">
        <v>2299</v>
      </c>
      <c r="N345" s="7"/>
      <c r="O345" s="7"/>
      <c r="P345" s="7"/>
      <c r="Q345" s="7"/>
      <c r="R345" s="7"/>
      <c r="S345" s="7"/>
      <c r="T345" s="209" t="s">
        <v>2299</v>
      </c>
      <c r="U345" s="269" t="s">
        <v>2299</v>
      </c>
      <c r="V345" s="210"/>
      <c r="W345" s="271" t="s">
        <v>2299</v>
      </c>
      <c r="X345" s="7"/>
      <c r="Y345" s="7"/>
      <c r="Z345" s="209" t="s">
        <v>2299</v>
      </c>
      <c r="AA345" s="7"/>
      <c r="AB345" s="7"/>
      <c r="AD345" s="7"/>
      <c r="AE345" s="7"/>
      <c r="AF345" s="7"/>
      <c r="AG345" s="7"/>
      <c r="AH345" s="7"/>
      <c r="AI345" s="7"/>
      <c r="AJ345" s="7"/>
      <c r="AK345" s="7"/>
    </row>
    <row r="346" spans="1:37">
      <c r="A346" s="7"/>
      <c r="B346" s="7"/>
      <c r="C346" s="7"/>
      <c r="D346" s="7"/>
      <c r="E346" s="7"/>
      <c r="F346" s="7"/>
      <c r="G346" s="7"/>
      <c r="H346" s="208" t="s">
        <v>2299</v>
      </c>
      <c r="I346" s="7"/>
      <c r="J346" s="7"/>
      <c r="K346" s="7"/>
      <c r="L346" s="7"/>
      <c r="M346" s="209" t="s">
        <v>2299</v>
      </c>
      <c r="N346" s="7"/>
      <c r="O346" s="7"/>
      <c r="P346" s="7"/>
      <c r="Q346" s="7"/>
      <c r="R346" s="7"/>
      <c r="S346" s="7"/>
      <c r="T346" s="209" t="s">
        <v>2299</v>
      </c>
      <c r="U346" s="269" t="s">
        <v>2299</v>
      </c>
      <c r="V346" s="210"/>
      <c r="W346" s="271" t="s">
        <v>2299</v>
      </c>
      <c r="X346" s="7"/>
      <c r="Y346" s="7"/>
      <c r="Z346" s="209" t="s">
        <v>2299</v>
      </c>
      <c r="AA346" s="7"/>
      <c r="AB346" s="7"/>
      <c r="AD346" s="7"/>
      <c r="AE346" s="7"/>
      <c r="AF346" s="7"/>
      <c r="AG346" s="7"/>
      <c r="AH346" s="7"/>
      <c r="AI346" s="7"/>
      <c r="AJ346" s="7"/>
      <c r="AK346" s="7"/>
    </row>
    <row r="347" spans="1:37">
      <c r="A347" s="7"/>
      <c r="B347" s="7"/>
      <c r="C347" s="7"/>
      <c r="D347" s="7"/>
      <c r="E347" s="7"/>
      <c r="F347" s="7"/>
      <c r="G347" s="7"/>
      <c r="H347" s="208" t="s">
        <v>2299</v>
      </c>
      <c r="I347" s="7"/>
      <c r="J347" s="7"/>
      <c r="K347" s="7"/>
      <c r="L347" s="7"/>
      <c r="M347" s="209" t="s">
        <v>2299</v>
      </c>
      <c r="N347" s="7"/>
      <c r="O347" s="7"/>
      <c r="P347" s="7"/>
      <c r="Q347" s="7"/>
      <c r="R347" s="7"/>
      <c r="S347" s="7"/>
      <c r="T347" s="209" t="s">
        <v>2299</v>
      </c>
      <c r="U347" s="269" t="s">
        <v>2299</v>
      </c>
      <c r="V347" s="210"/>
      <c r="W347" s="271" t="s">
        <v>2299</v>
      </c>
      <c r="X347" s="7"/>
      <c r="Y347" s="7"/>
      <c r="Z347" s="209" t="s">
        <v>2299</v>
      </c>
      <c r="AA347" s="7"/>
      <c r="AB347" s="7"/>
      <c r="AD347" s="7"/>
      <c r="AE347" s="7"/>
      <c r="AF347" s="7"/>
      <c r="AG347" s="7"/>
      <c r="AH347" s="7"/>
      <c r="AI347" s="7"/>
      <c r="AJ347" s="7"/>
      <c r="AK347" s="7"/>
    </row>
    <row r="348" spans="1:37">
      <c r="A348" s="7"/>
      <c r="B348" s="7"/>
      <c r="C348" s="7"/>
      <c r="D348" s="7"/>
      <c r="E348" s="7"/>
      <c r="F348" s="7"/>
      <c r="G348" s="7"/>
      <c r="H348" s="208" t="s">
        <v>2299</v>
      </c>
      <c r="I348" s="7"/>
      <c r="J348" s="7"/>
      <c r="K348" s="7"/>
      <c r="L348" s="7"/>
      <c r="M348" s="209" t="s">
        <v>2299</v>
      </c>
      <c r="N348" s="7"/>
      <c r="O348" s="7"/>
      <c r="P348" s="7"/>
      <c r="Q348" s="7"/>
      <c r="R348" s="7"/>
      <c r="S348" s="7"/>
      <c r="T348" s="209" t="s">
        <v>2299</v>
      </c>
      <c r="U348" s="269" t="s">
        <v>2299</v>
      </c>
      <c r="V348" s="210"/>
      <c r="W348" s="271" t="s">
        <v>2299</v>
      </c>
      <c r="X348" s="7"/>
      <c r="Y348" s="7"/>
      <c r="Z348" s="209" t="s">
        <v>2299</v>
      </c>
      <c r="AA348" s="7"/>
      <c r="AB348" s="7"/>
      <c r="AD348" s="7"/>
      <c r="AE348" s="7"/>
      <c r="AF348" s="7"/>
      <c r="AG348" s="7"/>
      <c r="AH348" s="7"/>
      <c r="AI348" s="7"/>
      <c r="AJ348" s="7"/>
      <c r="AK348" s="7"/>
    </row>
    <row r="349" spans="1:37">
      <c r="A349" s="7"/>
      <c r="B349" s="7"/>
      <c r="C349" s="7"/>
      <c r="D349" s="7"/>
      <c r="E349" s="7"/>
      <c r="F349" s="7"/>
      <c r="G349" s="7"/>
      <c r="H349" s="208" t="s">
        <v>2299</v>
      </c>
      <c r="I349" s="7"/>
      <c r="J349" s="7"/>
      <c r="K349" s="7"/>
      <c r="L349" s="7"/>
      <c r="M349" s="209" t="s">
        <v>2299</v>
      </c>
      <c r="N349" s="7"/>
      <c r="O349" s="7"/>
      <c r="P349" s="7"/>
      <c r="Q349" s="7"/>
      <c r="R349" s="7"/>
      <c r="S349" s="7"/>
      <c r="T349" s="209" t="s">
        <v>2299</v>
      </c>
      <c r="U349" s="269" t="s">
        <v>2299</v>
      </c>
      <c r="V349" s="210"/>
      <c r="W349" s="271" t="s">
        <v>2299</v>
      </c>
      <c r="X349" s="7"/>
      <c r="Y349" s="7"/>
      <c r="Z349" s="209" t="s">
        <v>2299</v>
      </c>
      <c r="AA349" s="7"/>
      <c r="AB349" s="7"/>
      <c r="AD349" s="7"/>
      <c r="AE349" s="7"/>
      <c r="AF349" s="7"/>
      <c r="AG349" s="7"/>
      <c r="AH349" s="7"/>
      <c r="AI349" s="7"/>
      <c r="AJ349" s="7"/>
      <c r="AK349" s="7"/>
    </row>
    <row r="350" spans="1:37">
      <c r="A350" s="7"/>
      <c r="B350" s="7"/>
      <c r="C350" s="7"/>
      <c r="D350" s="7"/>
      <c r="E350" s="7"/>
      <c r="F350" s="7"/>
      <c r="G350" s="7"/>
      <c r="H350" s="208" t="s">
        <v>2299</v>
      </c>
      <c r="I350" s="7"/>
      <c r="J350" s="7"/>
      <c r="K350" s="7"/>
      <c r="L350" s="7"/>
      <c r="M350" s="209" t="s">
        <v>2299</v>
      </c>
      <c r="N350" s="7"/>
      <c r="O350" s="7"/>
      <c r="P350" s="7"/>
      <c r="Q350" s="7"/>
      <c r="R350" s="7"/>
      <c r="S350" s="7"/>
      <c r="T350" s="209" t="s">
        <v>2299</v>
      </c>
      <c r="U350" s="269" t="s">
        <v>2299</v>
      </c>
      <c r="V350" s="210"/>
      <c r="W350" s="271" t="s">
        <v>2299</v>
      </c>
      <c r="X350" s="7"/>
      <c r="Y350" s="7"/>
      <c r="Z350" s="209" t="s">
        <v>2299</v>
      </c>
      <c r="AA350" s="7"/>
      <c r="AB350" s="7"/>
      <c r="AD350" s="7"/>
      <c r="AE350" s="7"/>
      <c r="AF350" s="7"/>
      <c r="AG350" s="7"/>
      <c r="AH350" s="7"/>
      <c r="AI350" s="7"/>
      <c r="AJ350" s="7"/>
      <c r="AK350" s="7"/>
    </row>
    <row r="351" spans="1:37">
      <c r="A351" s="7"/>
      <c r="B351" s="7"/>
      <c r="C351" s="7"/>
      <c r="D351" s="7"/>
      <c r="E351" s="7"/>
      <c r="F351" s="7"/>
      <c r="G351" s="7"/>
      <c r="H351" s="208" t="s">
        <v>2299</v>
      </c>
      <c r="I351" s="7"/>
      <c r="J351" s="7"/>
      <c r="K351" s="7"/>
      <c r="L351" s="7"/>
      <c r="M351" s="209" t="s">
        <v>2299</v>
      </c>
      <c r="N351" s="7"/>
      <c r="O351" s="7"/>
      <c r="P351" s="7"/>
      <c r="Q351" s="7"/>
      <c r="R351" s="7"/>
      <c r="S351" s="7"/>
      <c r="T351" s="209" t="s">
        <v>2299</v>
      </c>
      <c r="U351" s="269" t="s">
        <v>2299</v>
      </c>
      <c r="V351" s="210"/>
      <c r="W351" s="271" t="s">
        <v>2299</v>
      </c>
      <c r="X351" s="7"/>
      <c r="Y351" s="7"/>
      <c r="Z351" s="209" t="s">
        <v>2299</v>
      </c>
      <c r="AA351" s="7"/>
      <c r="AB351" s="7"/>
      <c r="AD351" s="7"/>
      <c r="AE351" s="7"/>
      <c r="AF351" s="7"/>
      <c r="AG351" s="7"/>
      <c r="AH351" s="7"/>
      <c r="AI351" s="7"/>
      <c r="AJ351" s="7"/>
      <c r="AK351" s="7"/>
    </row>
    <row r="352" spans="1:37">
      <c r="A352" s="7"/>
      <c r="B352" s="7"/>
      <c r="C352" s="7"/>
      <c r="D352" s="7"/>
      <c r="E352" s="7"/>
      <c r="F352" s="7"/>
      <c r="G352" s="7"/>
      <c r="H352" s="208" t="s">
        <v>2299</v>
      </c>
      <c r="I352" s="7"/>
      <c r="J352" s="7"/>
      <c r="K352" s="7"/>
      <c r="L352" s="7"/>
      <c r="M352" s="209" t="s">
        <v>2299</v>
      </c>
      <c r="N352" s="7"/>
      <c r="O352" s="7"/>
      <c r="P352" s="7"/>
      <c r="Q352" s="7"/>
      <c r="R352" s="7"/>
      <c r="S352" s="7"/>
      <c r="T352" s="209" t="s">
        <v>2299</v>
      </c>
      <c r="U352" s="269" t="s">
        <v>2299</v>
      </c>
      <c r="V352" s="210"/>
      <c r="W352" s="271" t="s">
        <v>2299</v>
      </c>
      <c r="X352" s="7"/>
      <c r="Y352" s="7"/>
      <c r="Z352" s="209" t="s">
        <v>2299</v>
      </c>
      <c r="AA352" s="7"/>
      <c r="AB352" s="7"/>
      <c r="AD352" s="7"/>
      <c r="AE352" s="7"/>
      <c r="AF352" s="7"/>
      <c r="AG352" s="7"/>
      <c r="AH352" s="7"/>
      <c r="AI352" s="7"/>
      <c r="AJ352" s="7"/>
      <c r="AK352" s="7"/>
    </row>
    <row r="353" spans="1:37">
      <c r="A353" s="7"/>
      <c r="B353" s="7"/>
      <c r="C353" s="7"/>
      <c r="D353" s="7"/>
      <c r="E353" s="7"/>
      <c r="F353" s="7"/>
      <c r="G353" s="7"/>
      <c r="H353" s="208" t="s">
        <v>2299</v>
      </c>
      <c r="I353" s="7"/>
      <c r="J353" s="7"/>
      <c r="K353" s="7"/>
      <c r="L353" s="7"/>
      <c r="M353" s="209" t="s">
        <v>2299</v>
      </c>
      <c r="N353" s="7"/>
      <c r="O353" s="7"/>
      <c r="P353" s="7"/>
      <c r="Q353" s="7"/>
      <c r="R353" s="7"/>
      <c r="S353" s="7"/>
      <c r="T353" s="209" t="s">
        <v>2299</v>
      </c>
      <c r="U353" s="269" t="s">
        <v>2299</v>
      </c>
      <c r="V353" s="210"/>
      <c r="W353" s="271" t="s">
        <v>2299</v>
      </c>
      <c r="X353" s="7"/>
      <c r="Y353" s="7"/>
      <c r="Z353" s="209" t="s">
        <v>2299</v>
      </c>
      <c r="AA353" s="7"/>
      <c r="AB353" s="7"/>
      <c r="AD353" s="7"/>
      <c r="AE353" s="7"/>
      <c r="AF353" s="7"/>
      <c r="AG353" s="7"/>
      <c r="AH353" s="7"/>
      <c r="AI353" s="7"/>
      <c r="AJ353" s="7"/>
      <c r="AK353" s="7"/>
    </row>
    <row r="354" spans="1:37">
      <c r="A354" s="7"/>
      <c r="B354" s="7"/>
      <c r="C354" s="7"/>
      <c r="D354" s="7"/>
      <c r="E354" s="7"/>
      <c r="F354" s="7"/>
      <c r="G354" s="7"/>
      <c r="H354" s="208" t="s">
        <v>2299</v>
      </c>
      <c r="I354" s="7"/>
      <c r="J354" s="7"/>
      <c r="K354" s="7"/>
      <c r="L354" s="7"/>
      <c r="M354" s="209" t="s">
        <v>2299</v>
      </c>
      <c r="N354" s="7"/>
      <c r="O354" s="7"/>
      <c r="P354" s="7"/>
      <c r="Q354" s="7"/>
      <c r="R354" s="7"/>
      <c r="S354" s="7"/>
      <c r="T354" s="209" t="s">
        <v>2299</v>
      </c>
      <c r="U354" s="269" t="s">
        <v>2299</v>
      </c>
      <c r="V354" s="210"/>
      <c r="W354" s="271" t="s">
        <v>2299</v>
      </c>
      <c r="X354" s="7"/>
      <c r="Y354" s="7"/>
      <c r="Z354" s="209" t="s">
        <v>2299</v>
      </c>
      <c r="AA354" s="7"/>
      <c r="AB354" s="7"/>
      <c r="AD354" s="7"/>
      <c r="AE354" s="7"/>
      <c r="AF354" s="7"/>
      <c r="AG354" s="7"/>
      <c r="AH354" s="7"/>
      <c r="AI354" s="7"/>
      <c r="AJ354" s="7"/>
      <c r="AK354" s="7"/>
    </row>
    <row r="355" spans="1:37">
      <c r="A355" s="7"/>
      <c r="B355" s="7"/>
      <c r="C355" s="7"/>
      <c r="D355" s="7"/>
      <c r="E355" s="7"/>
      <c r="F355" s="7"/>
      <c r="G355" s="7"/>
      <c r="H355" s="208" t="s">
        <v>2299</v>
      </c>
      <c r="I355" s="7"/>
      <c r="J355" s="7"/>
      <c r="K355" s="7"/>
      <c r="L355" s="7"/>
      <c r="M355" s="209" t="s">
        <v>2299</v>
      </c>
      <c r="N355" s="7"/>
      <c r="O355" s="7"/>
      <c r="P355" s="7"/>
      <c r="Q355" s="7"/>
      <c r="R355" s="7"/>
      <c r="S355" s="7"/>
      <c r="T355" s="209" t="s">
        <v>2299</v>
      </c>
      <c r="U355" s="269" t="s">
        <v>2299</v>
      </c>
      <c r="V355" s="210"/>
      <c r="W355" s="271" t="s">
        <v>2299</v>
      </c>
      <c r="X355" s="7"/>
      <c r="Y355" s="7"/>
      <c r="Z355" s="209" t="s">
        <v>2299</v>
      </c>
      <c r="AA355" s="7"/>
      <c r="AB355" s="7"/>
      <c r="AD355" s="7"/>
      <c r="AE355" s="7"/>
      <c r="AF355" s="7"/>
      <c r="AG355" s="7"/>
      <c r="AH355" s="7"/>
      <c r="AI355" s="7"/>
      <c r="AJ355" s="7"/>
      <c r="AK355" s="7"/>
    </row>
    <row r="356" spans="1:37">
      <c r="A356" s="7"/>
      <c r="B356" s="7"/>
      <c r="C356" s="7"/>
      <c r="D356" s="7"/>
      <c r="E356" s="7"/>
      <c r="F356" s="7"/>
      <c r="G356" s="7"/>
      <c r="H356" s="208" t="s">
        <v>2299</v>
      </c>
      <c r="I356" s="7"/>
      <c r="J356" s="7"/>
      <c r="K356" s="7"/>
      <c r="L356" s="7"/>
      <c r="M356" s="209" t="s">
        <v>2299</v>
      </c>
      <c r="N356" s="7"/>
      <c r="O356" s="7"/>
      <c r="P356" s="7"/>
      <c r="Q356" s="7"/>
      <c r="R356" s="7"/>
      <c r="S356" s="7"/>
      <c r="T356" s="209" t="s">
        <v>2299</v>
      </c>
      <c r="U356" s="269" t="s">
        <v>2299</v>
      </c>
      <c r="V356" s="210"/>
      <c r="W356" s="271" t="s">
        <v>2299</v>
      </c>
      <c r="X356" s="7"/>
      <c r="Y356" s="7"/>
      <c r="Z356" s="209" t="s">
        <v>2299</v>
      </c>
      <c r="AA356" s="7"/>
      <c r="AB356" s="7"/>
      <c r="AD356" s="7"/>
      <c r="AE356" s="7"/>
      <c r="AF356" s="7"/>
      <c r="AG356" s="7"/>
      <c r="AH356" s="7"/>
      <c r="AI356" s="7"/>
      <c r="AJ356" s="7"/>
      <c r="AK356" s="7"/>
    </row>
    <row r="357" spans="1:37">
      <c r="A357" s="7"/>
      <c r="B357" s="7"/>
      <c r="C357" s="7"/>
      <c r="D357" s="7"/>
      <c r="E357" s="7"/>
      <c r="F357" s="7"/>
      <c r="G357" s="7"/>
      <c r="H357" s="208" t="s">
        <v>2299</v>
      </c>
      <c r="I357" s="7"/>
      <c r="J357" s="7"/>
      <c r="K357" s="7"/>
      <c r="L357" s="7"/>
      <c r="M357" s="209" t="s">
        <v>2299</v>
      </c>
      <c r="N357" s="7"/>
      <c r="O357" s="7"/>
      <c r="P357" s="7"/>
      <c r="Q357" s="7"/>
      <c r="R357" s="7"/>
      <c r="S357" s="7"/>
      <c r="T357" s="209" t="s">
        <v>2299</v>
      </c>
      <c r="U357" s="269" t="s">
        <v>2299</v>
      </c>
      <c r="V357" s="210"/>
      <c r="W357" s="271" t="s">
        <v>2299</v>
      </c>
      <c r="X357" s="7"/>
      <c r="Y357" s="7"/>
      <c r="Z357" s="209" t="s">
        <v>2299</v>
      </c>
      <c r="AA357" s="7"/>
      <c r="AB357" s="7"/>
      <c r="AD357" s="7"/>
      <c r="AE357" s="7"/>
      <c r="AF357" s="7"/>
      <c r="AG357" s="7"/>
      <c r="AH357" s="7"/>
      <c r="AI357" s="7"/>
      <c r="AJ357" s="7"/>
      <c r="AK357" s="7"/>
    </row>
    <row r="358" spans="1:37">
      <c r="A358" s="7"/>
      <c r="B358" s="7"/>
      <c r="C358" s="7"/>
      <c r="D358" s="7"/>
      <c r="E358" s="7"/>
      <c r="F358" s="7"/>
      <c r="G358" s="7"/>
      <c r="H358" s="208" t="s">
        <v>2299</v>
      </c>
      <c r="I358" s="7"/>
      <c r="J358" s="7"/>
      <c r="K358" s="7"/>
      <c r="L358" s="7"/>
      <c r="M358" s="209" t="s">
        <v>2299</v>
      </c>
      <c r="N358" s="7"/>
      <c r="O358" s="7"/>
      <c r="P358" s="7"/>
      <c r="Q358" s="7"/>
      <c r="R358" s="7"/>
      <c r="S358" s="7"/>
      <c r="T358" s="209" t="s">
        <v>2299</v>
      </c>
      <c r="U358" s="269" t="s">
        <v>2299</v>
      </c>
      <c r="V358" s="210"/>
      <c r="W358" s="271" t="s">
        <v>2299</v>
      </c>
      <c r="X358" s="7"/>
      <c r="Y358" s="7"/>
      <c r="Z358" s="209" t="s">
        <v>2299</v>
      </c>
      <c r="AA358" s="7"/>
      <c r="AB358" s="7"/>
      <c r="AD358" s="7"/>
      <c r="AE358" s="7"/>
      <c r="AF358" s="7"/>
      <c r="AG358" s="7"/>
      <c r="AH358" s="7"/>
      <c r="AI358" s="7"/>
      <c r="AJ358" s="7"/>
      <c r="AK358" s="7"/>
    </row>
    <row r="359" spans="1:37">
      <c r="A359" s="7"/>
      <c r="B359" s="7"/>
      <c r="C359" s="7"/>
      <c r="D359" s="7"/>
      <c r="E359" s="7"/>
      <c r="F359" s="7"/>
      <c r="G359" s="7"/>
      <c r="H359" s="208" t="s">
        <v>2299</v>
      </c>
      <c r="I359" s="7"/>
      <c r="J359" s="7"/>
      <c r="K359" s="7"/>
      <c r="L359" s="7"/>
      <c r="M359" s="209" t="s">
        <v>2299</v>
      </c>
      <c r="N359" s="7"/>
      <c r="O359" s="7"/>
      <c r="P359" s="7"/>
      <c r="Q359" s="7"/>
      <c r="R359" s="7"/>
      <c r="S359" s="7"/>
      <c r="T359" s="209" t="s">
        <v>2299</v>
      </c>
      <c r="U359" s="269" t="s">
        <v>2299</v>
      </c>
      <c r="V359" s="210"/>
      <c r="W359" s="271" t="s">
        <v>2299</v>
      </c>
      <c r="X359" s="7"/>
      <c r="Y359" s="7"/>
      <c r="Z359" s="209" t="s">
        <v>2299</v>
      </c>
      <c r="AA359" s="7"/>
      <c r="AB359" s="7"/>
      <c r="AD359" s="7"/>
      <c r="AE359" s="7"/>
      <c r="AF359" s="7"/>
      <c r="AG359" s="7"/>
      <c r="AH359" s="7"/>
      <c r="AI359" s="7"/>
      <c r="AJ359" s="7"/>
      <c r="AK359" s="7"/>
    </row>
    <row r="360" spans="1:37">
      <c r="A360" s="7"/>
      <c r="B360" s="7"/>
      <c r="C360" s="7"/>
      <c r="D360" s="7"/>
      <c r="E360" s="7"/>
      <c r="F360" s="7"/>
      <c r="G360" s="7"/>
      <c r="H360" s="208" t="s">
        <v>2299</v>
      </c>
      <c r="I360" s="7"/>
      <c r="J360" s="7"/>
      <c r="K360" s="7"/>
      <c r="L360" s="7"/>
      <c r="M360" s="209" t="s">
        <v>2299</v>
      </c>
      <c r="N360" s="7"/>
      <c r="O360" s="7"/>
      <c r="P360" s="7"/>
      <c r="Q360" s="7"/>
      <c r="R360" s="7"/>
      <c r="S360" s="7"/>
      <c r="T360" s="209" t="s">
        <v>2299</v>
      </c>
      <c r="U360" s="269" t="s">
        <v>2299</v>
      </c>
      <c r="V360" s="210"/>
      <c r="W360" s="271" t="s">
        <v>2299</v>
      </c>
      <c r="X360" s="7"/>
      <c r="Y360" s="7"/>
      <c r="Z360" s="209" t="s">
        <v>2299</v>
      </c>
      <c r="AA360" s="7"/>
      <c r="AB360" s="7"/>
      <c r="AD360" s="7"/>
      <c r="AE360" s="7"/>
      <c r="AF360" s="7"/>
      <c r="AG360" s="7"/>
      <c r="AH360" s="7"/>
      <c r="AI360" s="7"/>
      <c r="AJ360" s="7"/>
      <c r="AK360" s="7"/>
    </row>
    <row r="361" spans="1:37">
      <c r="A361" s="7"/>
      <c r="B361" s="7"/>
      <c r="C361" s="7"/>
      <c r="D361" s="7"/>
      <c r="E361" s="7"/>
      <c r="F361" s="7"/>
      <c r="G361" s="7"/>
      <c r="H361" s="208" t="s">
        <v>2299</v>
      </c>
      <c r="I361" s="7"/>
      <c r="J361" s="7"/>
      <c r="K361" s="7"/>
      <c r="L361" s="7"/>
      <c r="M361" s="209" t="s">
        <v>2299</v>
      </c>
      <c r="N361" s="7"/>
      <c r="O361" s="7"/>
      <c r="P361" s="7"/>
      <c r="Q361" s="7"/>
      <c r="R361" s="7"/>
      <c r="S361" s="7"/>
      <c r="T361" s="209" t="s">
        <v>2299</v>
      </c>
      <c r="U361" s="269" t="s">
        <v>2299</v>
      </c>
      <c r="V361" s="210"/>
      <c r="W361" s="271" t="s">
        <v>2299</v>
      </c>
      <c r="X361" s="7"/>
      <c r="Y361" s="7"/>
      <c r="Z361" s="209" t="s">
        <v>2299</v>
      </c>
      <c r="AA361" s="7"/>
      <c r="AB361" s="7"/>
      <c r="AD361" s="7"/>
      <c r="AE361" s="7"/>
      <c r="AF361" s="7"/>
      <c r="AG361" s="7"/>
      <c r="AH361" s="7"/>
      <c r="AI361" s="7"/>
      <c r="AJ361" s="7"/>
      <c r="AK361" s="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29CD705-52BB-4610-9315-146BAB1F61C3}">
          <x14:formula1>
            <xm:f>공급업체코드!$D$3:$D$103</xm:f>
          </x14:formula1>
          <xm:sqref>E3:E12</xm:sqref>
        </x14:dataValidation>
        <x14:dataValidation type="list" allowBlank="1" showInputMessage="1" showErrorMessage="1" xr:uid="{0164A188-06A8-4E2C-9E6E-B9A7166369AF}">
          <x14:formula1>
            <xm:f>기계코드!$F$157:$F$160</xm:f>
          </x14:formula1>
          <xm:sqref>C3:C12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김정훈</dc:creator>
  <cp:keywords/>
  <dc:description/>
  <cp:lastModifiedBy/>
  <cp:revision/>
  <dcterms:created xsi:type="dcterms:W3CDTF">2025-08-27T13:11:23Z</dcterms:created>
  <dcterms:modified xsi:type="dcterms:W3CDTF">2026-05-12T05:38:48Z</dcterms:modified>
  <cp:category/>
  <cp:contentStatus/>
</cp:coreProperties>
</file>