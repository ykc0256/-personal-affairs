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ookang-my.sharepoint.com/personal/ykc_bkt21_com/Documents/"/>
    </mc:Choice>
  </mc:AlternateContent>
  <xr:revisionPtr revIDLastSave="0" documentId="8_{9CD2B471-AA8E-4797-9F65-9E24EA1DC246}" xr6:coauthVersionLast="47" xr6:coauthVersionMax="47" xr10:uidLastSave="{00000000-0000-0000-0000-000000000000}"/>
  <bookViews>
    <workbookView xWindow="28680" yWindow="-120" windowWidth="29040" windowHeight="15840" tabRatio="761" firstSheet="8" activeTab="8" xr2:uid="{A98F27BB-0E98-452A-9CE1-0F3614490D31}"/>
  </bookViews>
  <sheets>
    <sheet name="전기코드" sheetId="1" r:id="rId1"/>
    <sheet name="공급업체코드" sheetId="14" r:id="rId2"/>
    <sheet name="전선" sheetId="2" r:id="rId3"/>
    <sheet name="전선관 및 부속품" sheetId="3" r:id="rId4"/>
    <sheet name="단자" sheetId="9" r:id="rId5"/>
    <sheet name="트레이 및 부속품" sheetId="10" r:id="rId6"/>
    <sheet name="변압기" sheetId="4" r:id="rId7"/>
    <sheet name="콘덴서" sheetId="5" r:id="rId8"/>
    <sheet name="전력기기" sheetId="6" r:id="rId9"/>
    <sheet name="배전기기" sheetId="7" r:id="rId10"/>
    <sheet name="차단기" sheetId="16" r:id="rId11"/>
    <sheet name="계기용변성기" sheetId="11" r:id="rId12"/>
    <sheet name="배전제어기기" sheetId="12" r:id="rId13"/>
    <sheet name="기타" sheetId="13" r:id="rId14"/>
  </sheets>
  <definedNames>
    <definedName name="_xlnm._FilterDatabase" localSheetId="1" hidden="1">공급업체코드!$B$4:$D$47</definedName>
    <definedName name="_xlnm._FilterDatabase" localSheetId="2" hidden="1">전선!$B$2:$S$92</definedName>
    <definedName name="_xlnm._FilterDatabase" localSheetId="10" hidden="1">차단기!$B$1:$T$2</definedName>
    <definedName name="_xlnm._FilterDatabase" localSheetId="5" hidden="1">'트레이 및 부속품'!$B$2:$R$62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6" l="1"/>
  <c r="Q17" i="6"/>
  <c r="Q15" i="6"/>
  <c r="Q18" i="6"/>
  <c r="B18" i="6"/>
  <c r="R99" i="16" l="1"/>
  <c r="B99" i="16"/>
  <c r="R91" i="16"/>
  <c r="B91" i="16"/>
  <c r="R25" i="16"/>
  <c r="B25" i="16"/>
  <c r="R148" i="16"/>
  <c r="B148" i="16"/>
  <c r="R147" i="16"/>
  <c r="B147" i="16"/>
  <c r="R146" i="16"/>
  <c r="B146" i="16"/>
  <c r="R145" i="16"/>
  <c r="B145" i="16"/>
  <c r="R144" i="16"/>
  <c r="B144" i="16"/>
  <c r="R143" i="16"/>
  <c r="B143" i="16"/>
  <c r="R142" i="16"/>
  <c r="B142" i="16"/>
  <c r="R141" i="16"/>
  <c r="B141" i="16"/>
  <c r="R140" i="16"/>
  <c r="B140" i="16"/>
  <c r="R139" i="16"/>
  <c r="B139" i="16"/>
  <c r="R138" i="16"/>
  <c r="B138" i="16"/>
  <c r="R137" i="16"/>
  <c r="B137" i="16"/>
  <c r="R136" i="16"/>
  <c r="B136" i="16"/>
  <c r="R135" i="16"/>
  <c r="B135" i="16"/>
  <c r="R134" i="16"/>
  <c r="B134" i="16"/>
  <c r="R133" i="16"/>
  <c r="B133" i="16"/>
  <c r="R132" i="16"/>
  <c r="B132" i="16"/>
  <c r="R131" i="16"/>
  <c r="B131" i="16"/>
  <c r="R130" i="16"/>
  <c r="B130" i="16"/>
  <c r="R129" i="16"/>
  <c r="B129" i="16"/>
  <c r="R128" i="16"/>
  <c r="B128" i="16"/>
  <c r="R127" i="16"/>
  <c r="B127" i="16"/>
  <c r="R126" i="16"/>
  <c r="B126" i="16"/>
  <c r="R125" i="16"/>
  <c r="B125" i="16"/>
  <c r="R124" i="16"/>
  <c r="B124" i="16"/>
  <c r="R123" i="16"/>
  <c r="B123" i="16"/>
  <c r="R122" i="16"/>
  <c r="B122" i="16"/>
  <c r="R121" i="16"/>
  <c r="B121" i="16"/>
  <c r="R120" i="16"/>
  <c r="B120" i="16"/>
  <c r="R119" i="16"/>
  <c r="B119" i="16"/>
  <c r="R118" i="16"/>
  <c r="B118" i="16"/>
  <c r="R117" i="16"/>
  <c r="B117" i="16"/>
  <c r="R116" i="16"/>
  <c r="B116" i="16"/>
  <c r="R115" i="16"/>
  <c r="B115" i="16"/>
  <c r="R114" i="16"/>
  <c r="B114" i="16"/>
  <c r="R113" i="16"/>
  <c r="B113" i="16"/>
  <c r="R112" i="16"/>
  <c r="B112" i="16"/>
  <c r="R111" i="16"/>
  <c r="B111" i="16"/>
  <c r="R110" i="16"/>
  <c r="B110" i="16"/>
  <c r="R109" i="16"/>
  <c r="B109" i="16"/>
  <c r="R108" i="16"/>
  <c r="B108" i="16"/>
  <c r="R107" i="16"/>
  <c r="B107" i="16"/>
  <c r="R106" i="16"/>
  <c r="B106" i="16"/>
  <c r="R105" i="16"/>
  <c r="B105" i="16"/>
  <c r="R104" i="16"/>
  <c r="B104" i="16"/>
  <c r="R103" i="16"/>
  <c r="B103" i="16"/>
  <c r="R102" i="16"/>
  <c r="B102" i="16"/>
  <c r="R101" i="16"/>
  <c r="B101" i="16"/>
  <c r="R100" i="16"/>
  <c r="B100" i="16"/>
  <c r="R98" i="16"/>
  <c r="B98" i="16"/>
  <c r="R97" i="16"/>
  <c r="B97" i="16"/>
  <c r="R96" i="16"/>
  <c r="B96" i="16"/>
  <c r="R95" i="16"/>
  <c r="B95" i="16"/>
  <c r="R94" i="16"/>
  <c r="B94" i="16"/>
  <c r="R93" i="16"/>
  <c r="B93" i="16"/>
  <c r="R92" i="16"/>
  <c r="B92" i="16"/>
  <c r="R90" i="16"/>
  <c r="B90" i="16"/>
  <c r="R89" i="16"/>
  <c r="B89" i="16"/>
  <c r="R88" i="16"/>
  <c r="B88" i="16"/>
  <c r="R87" i="16"/>
  <c r="B87" i="16"/>
  <c r="R86" i="16"/>
  <c r="B86" i="16"/>
  <c r="R85" i="16"/>
  <c r="B85" i="16"/>
  <c r="R84" i="16"/>
  <c r="B84" i="16"/>
  <c r="R83" i="16"/>
  <c r="B83" i="16"/>
  <c r="R82" i="16"/>
  <c r="B82" i="16"/>
  <c r="R81" i="16"/>
  <c r="B81" i="16"/>
  <c r="R80" i="16"/>
  <c r="B80" i="16"/>
  <c r="R79" i="16"/>
  <c r="B79" i="16"/>
  <c r="R78" i="16"/>
  <c r="B78" i="16"/>
  <c r="R77" i="16"/>
  <c r="B77" i="16"/>
  <c r="R76" i="16"/>
  <c r="B76" i="16"/>
  <c r="R75" i="16"/>
  <c r="B75" i="16"/>
  <c r="R74" i="16"/>
  <c r="B74" i="16"/>
  <c r="R73" i="16"/>
  <c r="B73" i="16"/>
  <c r="R72" i="16"/>
  <c r="B72" i="16"/>
  <c r="R71" i="16"/>
  <c r="B71" i="16"/>
  <c r="R70" i="16"/>
  <c r="B70" i="16"/>
  <c r="R69" i="16"/>
  <c r="B69" i="16"/>
  <c r="R68" i="16"/>
  <c r="B68" i="16"/>
  <c r="R67" i="16"/>
  <c r="B67" i="16"/>
  <c r="R66" i="16"/>
  <c r="B66" i="16"/>
  <c r="R65" i="16"/>
  <c r="B65" i="16"/>
  <c r="R64" i="16"/>
  <c r="B64" i="16"/>
  <c r="R63" i="16"/>
  <c r="B63" i="16"/>
  <c r="R62" i="16"/>
  <c r="B62" i="16"/>
  <c r="R61" i="16"/>
  <c r="B61" i="16"/>
  <c r="R60" i="16"/>
  <c r="B60" i="16"/>
  <c r="R59" i="16"/>
  <c r="B59" i="16"/>
  <c r="R58" i="16"/>
  <c r="B58" i="16"/>
  <c r="R57" i="16"/>
  <c r="B57" i="16"/>
  <c r="R56" i="16"/>
  <c r="B56" i="16"/>
  <c r="R55" i="16"/>
  <c r="B55" i="16"/>
  <c r="R54" i="16"/>
  <c r="B54" i="16"/>
  <c r="R53" i="16"/>
  <c r="B53" i="16"/>
  <c r="R52" i="16"/>
  <c r="B52" i="16"/>
  <c r="R51" i="16"/>
  <c r="B51" i="16"/>
  <c r="R50" i="16"/>
  <c r="B50" i="16"/>
  <c r="R49" i="16"/>
  <c r="B49" i="16"/>
  <c r="R48" i="16"/>
  <c r="B48" i="16"/>
  <c r="R47" i="16"/>
  <c r="B47" i="16"/>
  <c r="R46" i="16"/>
  <c r="B46" i="16"/>
  <c r="R45" i="16"/>
  <c r="B45" i="16"/>
  <c r="R44" i="16"/>
  <c r="B44" i="16"/>
  <c r="R43" i="16"/>
  <c r="B43" i="16"/>
  <c r="R42" i="16"/>
  <c r="B42" i="16"/>
  <c r="R41" i="16"/>
  <c r="B41" i="16"/>
  <c r="R40" i="16"/>
  <c r="B40" i="16"/>
  <c r="R39" i="16"/>
  <c r="B39" i="16"/>
  <c r="R38" i="16"/>
  <c r="B38" i="16"/>
  <c r="R37" i="16"/>
  <c r="B37" i="16"/>
  <c r="R36" i="16"/>
  <c r="B36" i="16"/>
  <c r="R35" i="16"/>
  <c r="B35" i="16"/>
  <c r="R34" i="16"/>
  <c r="B34" i="16"/>
  <c r="R33" i="16"/>
  <c r="B33" i="16"/>
  <c r="R32" i="16"/>
  <c r="B32" i="16"/>
  <c r="R31" i="16"/>
  <c r="B31" i="16"/>
  <c r="R30" i="16"/>
  <c r="B30" i="16"/>
  <c r="R29" i="16"/>
  <c r="B29" i="16"/>
  <c r="R28" i="16"/>
  <c r="B28" i="16"/>
  <c r="R27" i="16"/>
  <c r="B27" i="16"/>
  <c r="R26" i="16"/>
  <c r="B26" i="16"/>
  <c r="R24" i="16"/>
  <c r="B24" i="16"/>
  <c r="R23" i="16"/>
  <c r="B23" i="16"/>
  <c r="R22" i="16"/>
  <c r="B22" i="16"/>
  <c r="R21" i="16"/>
  <c r="B21" i="16"/>
  <c r="R20" i="16"/>
  <c r="B20" i="16"/>
  <c r="R19" i="16"/>
  <c r="B19" i="16"/>
  <c r="R18" i="16"/>
  <c r="B18" i="16"/>
  <c r="R17" i="16"/>
  <c r="B17" i="16"/>
  <c r="R16" i="16"/>
  <c r="B16" i="16"/>
  <c r="R15" i="16"/>
  <c r="B15" i="16"/>
  <c r="R14" i="16"/>
  <c r="B14" i="16"/>
  <c r="B13" i="16"/>
  <c r="B12" i="16"/>
  <c r="B11" i="16"/>
  <c r="B10" i="16"/>
  <c r="B9" i="16"/>
  <c r="B8" i="16"/>
  <c r="B7" i="16"/>
  <c r="B6" i="16"/>
  <c r="B5" i="16"/>
  <c r="B4" i="16"/>
  <c r="B3" i="16"/>
  <c r="B14" i="13"/>
  <c r="B13" i="13"/>
  <c r="S14" i="13"/>
  <c r="S13" i="13"/>
  <c r="S7" i="13"/>
  <c r="S8" i="13"/>
  <c r="S9" i="13"/>
  <c r="S10" i="13"/>
  <c r="S11" i="13"/>
  <c r="S12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17" i="13"/>
  <c r="S118" i="13"/>
  <c r="S119" i="13"/>
  <c r="S120" i="13"/>
  <c r="S121" i="13"/>
  <c r="S122" i="13"/>
  <c r="S123" i="13"/>
  <c r="S124" i="13"/>
  <c r="S125" i="13"/>
  <c r="S126" i="13"/>
  <c r="S127" i="13"/>
  <c r="S128" i="13"/>
  <c r="S129" i="13"/>
  <c r="S130" i="13"/>
  <c r="S6" i="13"/>
  <c r="B8" i="13"/>
  <c r="B7" i="13"/>
  <c r="B6" i="13"/>
  <c r="B41" i="13"/>
  <c r="Q62" i="2"/>
  <c r="P62" i="2"/>
  <c r="Q3" i="2"/>
  <c r="P3" i="2"/>
  <c r="T35" i="13"/>
  <c r="T36" i="13"/>
  <c r="T37" i="13"/>
  <c r="T38" i="13"/>
  <c r="T39" i="13"/>
  <c r="T40" i="13"/>
  <c r="T34" i="13"/>
  <c r="S4" i="13"/>
  <c r="S5" i="13"/>
  <c r="S3" i="13"/>
  <c r="O4" i="10"/>
  <c r="O5" i="10"/>
  <c r="O6" i="10"/>
  <c r="O7" i="10"/>
  <c r="O8" i="10"/>
  <c r="O9" i="10"/>
  <c r="O10" i="10"/>
  <c r="O11" i="10"/>
  <c r="O12" i="10"/>
  <c r="O3" i="10"/>
  <c r="O4" i="3"/>
  <c r="O5" i="3"/>
  <c r="O6" i="3"/>
  <c r="O7" i="3"/>
  <c r="O8" i="3"/>
  <c r="O9" i="3"/>
  <c r="O10" i="3"/>
  <c r="O11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3" i="3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3" i="4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4" i="2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3" i="11"/>
  <c r="B4" i="12"/>
  <c r="B5" i="12"/>
  <c r="B6" i="12"/>
  <c r="B7" i="12"/>
  <c r="B8" i="12"/>
  <c r="B9" i="12"/>
  <c r="B10" i="12"/>
  <c r="B11" i="12"/>
  <c r="B12" i="12"/>
  <c r="B13" i="12"/>
  <c r="B14" i="12"/>
  <c r="B3" i="12"/>
  <c r="P4" i="12"/>
  <c r="P5" i="12"/>
  <c r="P6" i="12"/>
  <c r="P7" i="12"/>
  <c r="P8" i="12"/>
  <c r="P9" i="12"/>
  <c r="P10" i="12"/>
  <c r="P11" i="12"/>
  <c r="P12" i="12"/>
  <c r="P13" i="12"/>
  <c r="P14" i="12"/>
  <c r="P3" i="12"/>
  <c r="P44" i="10"/>
  <c r="P45" i="10"/>
  <c r="P46" i="10"/>
  <c r="P47" i="10"/>
  <c r="P48" i="10"/>
  <c r="P49" i="10"/>
  <c r="P50" i="10"/>
  <c r="P51" i="10"/>
  <c r="P52" i="10"/>
  <c r="P43" i="10"/>
  <c r="P34" i="10"/>
  <c r="P35" i="10"/>
  <c r="P36" i="10"/>
  <c r="P37" i="10"/>
  <c r="P38" i="10"/>
  <c r="P39" i="10"/>
  <c r="P40" i="10"/>
  <c r="P41" i="10"/>
  <c r="P42" i="10"/>
  <c r="P33" i="10"/>
  <c r="B42" i="10"/>
  <c r="B41" i="10"/>
  <c r="B40" i="10"/>
  <c r="B39" i="10"/>
  <c r="B38" i="10"/>
  <c r="B37" i="10"/>
  <c r="B36" i="10"/>
  <c r="B35" i="10"/>
  <c r="B34" i="10"/>
  <c r="B33" i="10"/>
  <c r="P62" i="10"/>
  <c r="P61" i="10"/>
  <c r="P60" i="10"/>
  <c r="P59" i="10"/>
  <c r="P58" i="10"/>
  <c r="P57" i="10"/>
  <c r="P56" i="10"/>
  <c r="P55" i="10"/>
  <c r="P54" i="10"/>
  <c r="P53" i="10"/>
  <c r="P4" i="10"/>
  <c r="P5" i="10"/>
  <c r="P6" i="10"/>
  <c r="P7" i="10"/>
  <c r="P8" i="10"/>
  <c r="P9" i="10"/>
  <c r="P10" i="10"/>
  <c r="P11" i="10"/>
  <c r="P12" i="10"/>
  <c r="P3" i="10"/>
  <c r="P24" i="10"/>
  <c r="P25" i="10"/>
  <c r="P26" i="10"/>
  <c r="P27" i="10"/>
  <c r="P28" i="10"/>
  <c r="P29" i="10"/>
  <c r="P30" i="10"/>
  <c r="P31" i="10"/>
  <c r="P32" i="10"/>
  <c r="P23" i="10"/>
  <c r="P14" i="10"/>
  <c r="P15" i="10"/>
  <c r="P16" i="10"/>
  <c r="P17" i="10"/>
  <c r="P18" i="10"/>
  <c r="P19" i="10"/>
  <c r="P20" i="10"/>
  <c r="P21" i="10"/>
  <c r="P22" i="10"/>
  <c r="P13" i="10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4" i="9"/>
  <c r="P5" i="9"/>
  <c r="P6" i="9"/>
  <c r="P7" i="9"/>
  <c r="P8" i="9"/>
  <c r="P9" i="9"/>
  <c r="P10" i="9"/>
  <c r="P11" i="9"/>
  <c r="P12" i="9"/>
  <c r="P13" i="9"/>
  <c r="P14" i="9"/>
  <c r="P3" i="9"/>
  <c r="P32" i="3"/>
  <c r="P33" i="3"/>
  <c r="P34" i="3"/>
  <c r="P35" i="3"/>
  <c r="P36" i="3"/>
  <c r="P37" i="3"/>
  <c r="P38" i="3"/>
  <c r="P39" i="3"/>
  <c r="P31" i="3"/>
  <c r="P22" i="3"/>
  <c r="P23" i="3"/>
  <c r="P24" i="3"/>
  <c r="P25" i="3"/>
  <c r="P26" i="3"/>
  <c r="P27" i="3"/>
  <c r="P28" i="3"/>
  <c r="P29" i="3"/>
  <c r="P30" i="3"/>
  <c r="P21" i="3"/>
  <c r="P13" i="3"/>
  <c r="P14" i="3"/>
  <c r="P15" i="3"/>
  <c r="P16" i="3"/>
  <c r="P17" i="3"/>
  <c r="P18" i="3"/>
  <c r="P19" i="3"/>
  <c r="P20" i="3"/>
  <c r="P12" i="3"/>
  <c r="P4" i="3"/>
  <c r="P5" i="3"/>
  <c r="P6" i="3"/>
  <c r="P7" i="3"/>
  <c r="P8" i="3"/>
  <c r="P9" i="3"/>
  <c r="P10" i="3"/>
  <c r="P11" i="3"/>
  <c r="P3" i="3"/>
  <c r="Q5" i="7"/>
  <c r="Q6" i="7"/>
  <c r="Q7" i="7"/>
  <c r="Q8" i="7"/>
  <c r="Q9" i="7"/>
  <c r="Q10" i="7"/>
  <c r="Q11" i="7"/>
  <c r="Q12" i="7"/>
  <c r="Q4" i="7"/>
  <c r="Q13" i="7"/>
  <c r="Q14" i="7"/>
  <c r="Q15" i="7"/>
  <c r="Q16" i="7"/>
  <c r="Q17" i="7"/>
  <c r="Q3" i="7"/>
  <c r="Q4" i="6"/>
  <c r="Q5" i="6"/>
  <c r="Q6" i="6"/>
  <c r="Q7" i="6"/>
  <c r="Q8" i="6"/>
  <c r="Q9" i="6"/>
  <c r="Q10" i="6"/>
  <c r="Q11" i="6"/>
  <c r="Q12" i="6"/>
  <c r="Q13" i="6"/>
  <c r="Q14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" i="6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3" i="5"/>
  <c r="R19" i="5"/>
  <c r="R20" i="5"/>
  <c r="R21" i="5"/>
  <c r="R22" i="5"/>
  <c r="R23" i="5"/>
  <c r="R24" i="5"/>
  <c r="R25" i="5"/>
  <c r="R26" i="5"/>
  <c r="R27" i="5"/>
  <c r="R18" i="5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3" i="4"/>
  <c r="Q79" i="2"/>
  <c r="Q78" i="2"/>
  <c r="Q81" i="2"/>
  <c r="Q82" i="2"/>
  <c r="Q83" i="2"/>
  <c r="Q84" i="2"/>
  <c r="Q85" i="2"/>
  <c r="Q86" i="2"/>
  <c r="Q87" i="2"/>
  <c r="Q88" i="2"/>
  <c r="Q89" i="2"/>
  <c r="Q90" i="2"/>
  <c r="Q91" i="2"/>
  <c r="Q92" i="2"/>
  <c r="Q80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63" i="2"/>
  <c r="Q58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9" i="2"/>
  <c r="Q60" i="2"/>
  <c r="Q61" i="2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7" i="6"/>
  <c r="B16" i="6"/>
  <c r="B15" i="6"/>
  <c r="B14" i="6"/>
  <c r="B13" i="6"/>
  <c r="B12" i="6"/>
  <c r="B11" i="6"/>
  <c r="B10" i="6"/>
  <c r="B9" i="6"/>
  <c r="B8" i="6"/>
  <c r="B7" i="6"/>
  <c r="B5" i="13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5"/>
  <c r="B19" i="5"/>
  <c r="B20" i="5"/>
  <c r="B21" i="5"/>
  <c r="B22" i="5"/>
  <c r="B23" i="5"/>
  <c r="B24" i="5"/>
  <c r="B25" i="5"/>
  <c r="B26" i="5"/>
  <c r="B2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6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116" i="13" l="1"/>
  <c r="B117" i="13"/>
  <c r="B118" i="13"/>
  <c r="B119" i="13"/>
  <c r="B120" i="13"/>
  <c r="B121" i="13"/>
  <c r="B122" i="13"/>
  <c r="B123" i="13"/>
  <c r="B124" i="13"/>
  <c r="B125" i="13"/>
  <c r="B126" i="13"/>
  <c r="B127" i="13"/>
  <c r="B115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99" i="13"/>
  <c r="B130" i="13"/>
  <c r="B129" i="13"/>
  <c r="B128" i="13"/>
  <c r="B95" i="13"/>
  <c r="B94" i="13"/>
  <c r="B81" i="13"/>
  <c r="B80" i="13"/>
  <c r="B69" i="13"/>
  <c r="B68" i="13"/>
  <c r="B63" i="13"/>
  <c r="B6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4" i="13"/>
  <c r="B65" i="13"/>
  <c r="B66" i="13"/>
  <c r="B67" i="13"/>
  <c r="B70" i="13"/>
  <c r="B71" i="13"/>
  <c r="B72" i="13"/>
  <c r="B73" i="13"/>
  <c r="B74" i="13"/>
  <c r="B75" i="13"/>
  <c r="B76" i="13"/>
  <c r="B77" i="13"/>
  <c r="B78" i="13"/>
  <c r="B79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6" i="13"/>
  <c r="B97" i="13"/>
  <c r="B98" i="13"/>
  <c r="B42" i="13"/>
  <c r="B35" i="13" l="1"/>
  <c r="B36" i="13"/>
  <c r="B37" i="13"/>
  <c r="B38" i="13"/>
  <c r="B39" i="13"/>
  <c r="B40" i="13"/>
  <c r="B34" i="13"/>
  <c r="B28" i="13"/>
  <c r="B29" i="13"/>
  <c r="B30" i="13"/>
  <c r="B31" i="13"/>
  <c r="B32" i="13"/>
  <c r="B33" i="13"/>
  <c r="B27" i="13"/>
  <c r="B23" i="13"/>
  <c r="B24" i="13"/>
  <c r="B25" i="13"/>
  <c r="B26" i="13"/>
  <c r="B22" i="13"/>
  <c r="B21" i="13"/>
  <c r="B4" i="13"/>
  <c r="B9" i="13"/>
  <c r="B10" i="13"/>
  <c r="B11" i="13"/>
  <c r="B12" i="13"/>
  <c r="B15" i="13"/>
  <c r="B16" i="13"/>
  <c r="B17" i="13"/>
  <c r="B18" i="13"/>
  <c r="B19" i="13"/>
  <c r="B20" i="13"/>
  <c r="B3" i="13"/>
  <c r="B3" i="9" l="1"/>
  <c r="B3" i="3"/>
  <c r="B6" i="6"/>
  <c r="B5" i="6"/>
  <c r="B4" i="6"/>
  <c r="B3" i="6"/>
  <c r="B3" i="4"/>
</calcChain>
</file>

<file path=xl/sharedStrings.xml><?xml version="1.0" encoding="utf-8"?>
<sst xmlns="http://schemas.openxmlformats.org/spreadsheetml/2006/main" count="6031" uniqueCount="932">
  <si>
    <t>system_code</t>
  </si>
  <si>
    <t>code_group</t>
  </si>
  <si>
    <t>code_key</t>
  </si>
  <si>
    <t>parent_key</t>
  </si>
  <si>
    <t>code_value</t>
  </si>
  <si>
    <t>code_value_en</t>
  </si>
  <si>
    <t>code_level</t>
  </si>
  <si>
    <t>is_leaf</t>
  </si>
  <si>
    <t>code_order</t>
  </si>
  <si>
    <t>iso15926_rdl</t>
  </si>
  <si>
    <t>WAI_DESIGN_APP</t>
  </si>
  <si>
    <t>ELECTRICAL</t>
  </si>
  <si>
    <t>ELCTR</t>
  </si>
  <si>
    <t>전기</t>
  </si>
  <si>
    <t>Electrical</t>
  </si>
  <si>
    <t>CABLE</t>
  </si>
  <si>
    <t>E_CABL</t>
  </si>
  <si>
    <t>전선</t>
  </si>
  <si>
    <t>Electrical Cable</t>
  </si>
  <si>
    <t>E_CAB01</t>
  </si>
  <si>
    <t>0.6/1kV 난연 전력 케이블(F-CV)</t>
  </si>
  <si>
    <t>E_CAB02</t>
  </si>
  <si>
    <t>0.6/1kV 트레이용 절연난연 제어용케이블(F-CVV)</t>
  </si>
  <si>
    <t>E_CAB0201</t>
  </si>
  <si>
    <t>E_CAB0202</t>
  </si>
  <si>
    <t>0.6/3kV 트레이용 제어용케이블(F-CVV-SB)</t>
  </si>
  <si>
    <t>E_CAB03</t>
  </si>
  <si>
    <t>난연 비닐 절연 접지용전선(F-GV)</t>
  </si>
  <si>
    <t>E_CAB04</t>
  </si>
  <si>
    <t>단심 비닐 절연 전선(KIV)</t>
  </si>
  <si>
    <t>E_CAB99</t>
  </si>
  <si>
    <t>기타 전선</t>
  </si>
  <si>
    <t>Other Types of Electrical Cables</t>
  </si>
  <si>
    <t>TRANSFM</t>
  </si>
  <si>
    <t>E_TRNS</t>
  </si>
  <si>
    <t>변압기</t>
  </si>
  <si>
    <t>Transformer</t>
  </si>
  <si>
    <t>E_TRN01</t>
  </si>
  <si>
    <t>몰드변압기(MOLD TR)</t>
  </si>
  <si>
    <t>E_TRN0101</t>
  </si>
  <si>
    <t>최저소비효율몰드변압기(MOLD TR)</t>
  </si>
  <si>
    <t>E_TRN0102</t>
  </si>
  <si>
    <t>표준소비효율몰드변압기(MOLD TR)</t>
  </si>
  <si>
    <t>E_TRN02</t>
  </si>
  <si>
    <t>유입변압기(OIL TR)</t>
  </si>
  <si>
    <t>E_TRN99</t>
  </si>
  <si>
    <t>기타 변압기</t>
  </si>
  <si>
    <t>Other Types of Transformers</t>
  </si>
  <si>
    <t>CAPACITOR</t>
  </si>
  <si>
    <t>E_CPCT</t>
  </si>
  <si>
    <t>콘덴서</t>
  </si>
  <si>
    <t>Capacitor</t>
  </si>
  <si>
    <t>E_CPC01</t>
  </si>
  <si>
    <t>기기용콘덴서</t>
  </si>
  <si>
    <t>E_CPC0101</t>
  </si>
  <si>
    <t>전기기기용 기기용콘덴서</t>
  </si>
  <si>
    <t>E_CPC0102</t>
  </si>
  <si>
    <t>모타기동용 기기용콘덴서</t>
  </si>
  <si>
    <t>E_CPC0103</t>
  </si>
  <si>
    <t>기동용 기기용콘덴서</t>
  </si>
  <si>
    <t>E_CPC02</t>
  </si>
  <si>
    <t>진상용콘덴서</t>
  </si>
  <si>
    <t>E_CPC0201</t>
  </si>
  <si>
    <t>진상용콘덴서(uF)</t>
  </si>
  <si>
    <t>E_CPC0202</t>
  </si>
  <si>
    <t>진상용콘덴서(kVA)</t>
  </si>
  <si>
    <t>E_CPC99</t>
  </si>
  <si>
    <t>기타 콘덴서</t>
  </si>
  <si>
    <t>Other Types of Capacitor</t>
  </si>
  <si>
    <t>POWER_EQUIP</t>
  </si>
  <si>
    <t>E_POWE</t>
  </si>
  <si>
    <t>전력기기</t>
  </si>
  <si>
    <t>E_POW01</t>
  </si>
  <si>
    <t>인버터 유도모터 가변속장치(VVVF)</t>
  </si>
  <si>
    <t>E_POW0101</t>
  </si>
  <si>
    <t>인버터(200 ~ 240V)</t>
  </si>
  <si>
    <t>E_POW0102</t>
  </si>
  <si>
    <t>인버터(380 ~ 480V)</t>
  </si>
  <si>
    <t>E_POW02</t>
  </si>
  <si>
    <t>리액터(REACTOR)</t>
  </si>
  <si>
    <t>E_POW03</t>
  </si>
  <si>
    <t>소프트스타터</t>
  </si>
  <si>
    <t>E_POW99</t>
  </si>
  <si>
    <t>기타 전력기기</t>
  </si>
  <si>
    <t>DISTRB_EQUIP</t>
  </si>
  <si>
    <t>E_DSTB</t>
  </si>
  <si>
    <t>배전기기</t>
  </si>
  <si>
    <t>Distribution Equipment</t>
  </si>
  <si>
    <t>E_DST01</t>
  </si>
  <si>
    <t>퓨즈홀더(P.F.H)</t>
  </si>
  <si>
    <t>E_DST0101</t>
  </si>
  <si>
    <t>PFH 한류형(DIN 규격)</t>
  </si>
  <si>
    <t>E_DST0102</t>
  </si>
  <si>
    <t>PFH 한류형(KS 규격)</t>
  </si>
  <si>
    <t>E_DST02</t>
  </si>
  <si>
    <t>퓨즈링크(P.F.L)</t>
  </si>
  <si>
    <t>E_DST0201</t>
  </si>
  <si>
    <t>PFL 한류형(DIN 규격)</t>
  </si>
  <si>
    <t>E_DST0202</t>
  </si>
  <si>
    <t>PFL 한류형(KS 규격)</t>
  </si>
  <si>
    <t>E_DST99</t>
  </si>
  <si>
    <t>기타 배전기기</t>
  </si>
  <si>
    <t>Other Types of Distribution Equipment</t>
  </si>
  <si>
    <t>C_BREAKR</t>
  </si>
  <si>
    <t>E_VCBK</t>
  </si>
  <si>
    <t>차단기</t>
  </si>
  <si>
    <t>Circuit Breaker</t>
  </si>
  <si>
    <t/>
  </si>
  <si>
    <t>E_VCB01</t>
  </si>
  <si>
    <t>기중차단기(ACB)</t>
  </si>
  <si>
    <t>E_VCB0101</t>
  </si>
  <si>
    <t>ACB(인출형)</t>
  </si>
  <si>
    <t>E_VCB0102</t>
  </si>
  <si>
    <t>ACB(고정형)</t>
  </si>
  <si>
    <t>E_VCB02</t>
  </si>
  <si>
    <t>배선용차단기(MCCB)</t>
  </si>
  <si>
    <t>E_VCB0201</t>
  </si>
  <si>
    <t>MCCB(ABS Type)</t>
  </si>
  <si>
    <t>E_VCB0202</t>
  </si>
  <si>
    <t>MCCB(EBS Type)</t>
  </si>
  <si>
    <t>E_VCB0203</t>
  </si>
  <si>
    <t>MCCB(분전반용)</t>
  </si>
  <si>
    <t>E_VCB99</t>
  </si>
  <si>
    <t>기타 차단기</t>
  </si>
  <si>
    <t>Other Types of Circuit Breaker</t>
  </si>
  <si>
    <t>CONDUIT</t>
  </si>
  <si>
    <t>E_COND</t>
  </si>
  <si>
    <t>전선관 및 부속품</t>
  </si>
  <si>
    <t>Conduit</t>
  </si>
  <si>
    <t>E_CON01</t>
  </si>
  <si>
    <t>강제전선관</t>
  </si>
  <si>
    <t>E_CON0101</t>
  </si>
  <si>
    <t>E_CON0102</t>
  </si>
  <si>
    <t>강제전선관용부품(노말밴드)</t>
  </si>
  <si>
    <t>E_CON0103</t>
  </si>
  <si>
    <t>강제전선관용부품(U Channel)</t>
  </si>
  <si>
    <t>E_CON02</t>
  </si>
  <si>
    <t>1종 금속제 가요전선관</t>
  </si>
  <si>
    <t>E_CON0201</t>
  </si>
  <si>
    <t>1종 금속제 가요전선관-노출</t>
  </si>
  <si>
    <t>E_CON0202</t>
  </si>
  <si>
    <t>E_CON03</t>
  </si>
  <si>
    <t>기타 전선관 및 부속품</t>
  </si>
  <si>
    <t>Other Types of Conduit</t>
  </si>
  <si>
    <t>TERMINAL</t>
  </si>
  <si>
    <t>E_TRMN</t>
  </si>
  <si>
    <t>단자</t>
  </si>
  <si>
    <t>Terminal</t>
  </si>
  <si>
    <t>E_TRM01</t>
  </si>
  <si>
    <t>동관단자</t>
  </si>
  <si>
    <t>E_TRM0101</t>
  </si>
  <si>
    <t>동관단자 (1HOLE)</t>
  </si>
  <si>
    <t>E_TRM0102</t>
  </si>
  <si>
    <t>동관단자 (2HOLE)</t>
  </si>
  <si>
    <t>E_TRM02</t>
  </si>
  <si>
    <t>압착단자</t>
  </si>
  <si>
    <t>E_TRM0201</t>
  </si>
  <si>
    <t>압착단자 (R형)</t>
  </si>
  <si>
    <t>E_TRM99</t>
  </si>
  <si>
    <t>기타 단자</t>
  </si>
  <si>
    <t>Other Types of Terminal</t>
  </si>
  <si>
    <t>TRAY</t>
  </si>
  <si>
    <t>E_TRAY</t>
  </si>
  <si>
    <t>트레이 및 부속품</t>
  </si>
  <si>
    <t>Tray</t>
  </si>
  <si>
    <t>E_TRA01</t>
  </si>
  <si>
    <t>케이블트레이</t>
  </si>
  <si>
    <t>E_TRA0101</t>
  </si>
  <si>
    <t>용융 케이블 트레이</t>
  </si>
  <si>
    <t>E_TRA02</t>
  </si>
  <si>
    <t>케이블트레이 부속품</t>
  </si>
  <si>
    <t>E_TRA0201</t>
  </si>
  <si>
    <t>케이블 COVER</t>
  </si>
  <si>
    <t>E_TRA0202</t>
  </si>
  <si>
    <t>케이블 COVER(ELBOW)</t>
  </si>
  <si>
    <t>E_TRA0203</t>
  </si>
  <si>
    <t>용융 케이블 트레이(HOR. ELBOW)</t>
  </si>
  <si>
    <t>E_TRA0204</t>
  </si>
  <si>
    <t>용융 케이블 트레이(VER. ELBOW)</t>
  </si>
  <si>
    <t>E_TRA0205</t>
  </si>
  <si>
    <t>용융 케이블 트레이(TEE)</t>
  </si>
  <si>
    <t>E_TRA99</t>
  </si>
  <si>
    <t>기타 케이블트레이</t>
  </si>
  <si>
    <t>Other Types of Tray</t>
  </si>
  <si>
    <t>I_TRANSFM</t>
  </si>
  <si>
    <t>E_ITRS</t>
  </si>
  <si>
    <t>계기용변성기</t>
  </si>
  <si>
    <t>Instrument Transformer</t>
  </si>
  <si>
    <t>E_ITR01</t>
  </si>
  <si>
    <t>계기용변류기</t>
  </si>
  <si>
    <t>E_ITR0101</t>
  </si>
  <si>
    <t>저압용 CT 각형</t>
  </si>
  <si>
    <t>E_ITR99</t>
  </si>
  <si>
    <t>기타 계기용변성기</t>
  </si>
  <si>
    <t>Other Types of Instrument Transformer</t>
  </si>
  <si>
    <t>D_CNTR</t>
  </si>
  <si>
    <t>E_DCNT</t>
  </si>
  <si>
    <t>배전제어기기</t>
  </si>
  <si>
    <t>Distribution Control Device</t>
  </si>
  <si>
    <t>E_DCN01</t>
  </si>
  <si>
    <t>전자접촉기</t>
  </si>
  <si>
    <t>E_DCN0101</t>
  </si>
  <si>
    <t>MC</t>
  </si>
  <si>
    <t>E_DCN99</t>
  </si>
  <si>
    <t>Other Types of Distribution Control Device</t>
  </si>
  <si>
    <t>E_ETC</t>
  </si>
  <si>
    <t>E_EETC</t>
  </si>
  <si>
    <t>기타</t>
  </si>
  <si>
    <t>Electrical Device ETC.</t>
  </si>
  <si>
    <t>E_EET01</t>
  </si>
  <si>
    <t>저압반 설비</t>
  </si>
  <si>
    <t>E_EET0101</t>
  </si>
  <si>
    <t>동력배관지지가대</t>
  </si>
  <si>
    <t>E_EET0102</t>
  </si>
  <si>
    <t>셋트앵커</t>
  </si>
  <si>
    <t>E_EET0103</t>
  </si>
  <si>
    <t>MCC</t>
  </si>
  <si>
    <t>E_EET0104</t>
  </si>
  <si>
    <t>LOP</t>
  </si>
  <si>
    <t>E_EET0105</t>
  </si>
  <si>
    <t>DIGITAL MULTI METER</t>
  </si>
  <si>
    <t>E_EET0106</t>
  </si>
  <si>
    <t>ZCT</t>
  </si>
  <si>
    <t>E_EET0107</t>
  </si>
  <si>
    <t>SPD</t>
  </si>
  <si>
    <t>E_EET0108</t>
  </si>
  <si>
    <t>FUSE&amp;HOLD</t>
  </si>
  <si>
    <t>E_EET0109</t>
  </si>
  <si>
    <t>DMPR</t>
  </si>
  <si>
    <t>E_EET0110</t>
  </si>
  <si>
    <t>DMPR CABLE</t>
  </si>
  <si>
    <t>E_EET0111</t>
  </si>
  <si>
    <t>INVERTER LOADER</t>
  </si>
  <si>
    <t>E_EET0112</t>
  </si>
  <si>
    <t>FAN</t>
  </si>
  <si>
    <t>E_EET0113</t>
  </si>
  <si>
    <t>FANCOVER</t>
  </si>
  <si>
    <t>E_EET0114</t>
  </si>
  <si>
    <t>FAN용 THERMOSTAT</t>
    <phoneticPr fontId="3" type="noConversion"/>
  </si>
  <si>
    <t>E_EET0115</t>
  </si>
  <si>
    <t>HEATER용 THERMOSTAT</t>
    <phoneticPr fontId="3" type="noConversion"/>
  </si>
  <si>
    <t>E_EET0116</t>
  </si>
  <si>
    <t>RELAY&amp;SOCKET</t>
  </si>
  <si>
    <t>E_EET0117</t>
  </si>
  <si>
    <t>PVC DUCT</t>
  </si>
  <si>
    <t>E_EET0118</t>
  </si>
  <si>
    <t>NAME PLATE</t>
  </si>
  <si>
    <t>E_EET0119</t>
  </si>
  <si>
    <t>SPACE HEATER</t>
  </si>
  <si>
    <t>E_EET0120</t>
  </si>
  <si>
    <t>PBL(RED)</t>
    <phoneticPr fontId="3" type="noConversion"/>
  </si>
  <si>
    <t>E_EET0121</t>
  </si>
  <si>
    <t>PBL(GREEN)</t>
    <phoneticPr fontId="3" type="noConversion"/>
  </si>
  <si>
    <t>E_EET0122</t>
  </si>
  <si>
    <t>PBL(YELLOW)</t>
    <phoneticPr fontId="3" type="noConversion"/>
  </si>
  <si>
    <t>E_EET0123</t>
  </si>
  <si>
    <t>SELECT S/W</t>
  </si>
  <si>
    <t>E_EET0124</t>
  </si>
  <si>
    <t>EM S/W</t>
  </si>
  <si>
    <t>E_EET0125</t>
  </si>
  <si>
    <t>노출 2구 콘센트</t>
  </si>
  <si>
    <t>E_EET0126</t>
  </si>
  <si>
    <t>THERMINAL BLOCK</t>
  </si>
  <si>
    <t>E_EET0127</t>
  </si>
  <si>
    <t>U channel</t>
  </si>
  <si>
    <t>E_EET02</t>
  </si>
  <si>
    <t>고압반 설비</t>
  </si>
  <si>
    <t>E_EET0201</t>
  </si>
  <si>
    <t>외함(특고압반)</t>
  </si>
  <si>
    <t>E_EET0202</t>
  </si>
  <si>
    <t>DOOR HANDLE (L)</t>
    <phoneticPr fontId="3" type="noConversion"/>
  </si>
  <si>
    <t>E_EET0203</t>
  </si>
  <si>
    <t>DOOR HANDLE (M)</t>
    <phoneticPr fontId="3" type="noConversion"/>
  </si>
  <si>
    <t>E_EET0204</t>
  </si>
  <si>
    <t>P-Cover(BAKELITE PLATE)</t>
  </si>
  <si>
    <t>E_EET0205</t>
  </si>
  <si>
    <t>DOOR STOPPER</t>
  </si>
  <si>
    <t>E_EET0206</t>
  </si>
  <si>
    <t>E_EET0207</t>
  </si>
  <si>
    <t>DIAZED FUSE</t>
  </si>
  <si>
    <t>E_EET0208</t>
  </si>
  <si>
    <t>FL</t>
  </si>
  <si>
    <t>E_EET0209</t>
  </si>
  <si>
    <t>LIMIT S/W</t>
  </si>
  <si>
    <t>E_EET0210</t>
  </si>
  <si>
    <t>E_EET0211</t>
  </si>
  <si>
    <t>THERMOSTATE</t>
  </si>
  <si>
    <t>E_EET0212</t>
  </si>
  <si>
    <t>CONSENT</t>
  </si>
  <si>
    <t>E_EET0213</t>
  </si>
  <si>
    <t>MAIN BUS BAR</t>
  </si>
  <si>
    <t>E_EET0214</t>
  </si>
  <si>
    <t>INSULATION TUBE</t>
  </si>
  <si>
    <t>E_EET0215</t>
  </si>
  <si>
    <t>BUS BAR COATING</t>
  </si>
  <si>
    <t>E_EET0216</t>
  </si>
  <si>
    <t>EARTH BAR</t>
  </si>
  <si>
    <t>E_EET0217</t>
  </si>
  <si>
    <t>EARTH WIRE</t>
  </si>
  <si>
    <t>E_EET0218</t>
  </si>
  <si>
    <t>EARTH TERMINAL</t>
  </si>
  <si>
    <t>E_EET0219</t>
  </si>
  <si>
    <t>LBS (NO FUSE TYPE)</t>
  </si>
  <si>
    <t>E_EET0220</t>
  </si>
  <si>
    <t>LA (w/DISCONN.)</t>
  </si>
  <si>
    <t>E_EET0221</t>
  </si>
  <si>
    <t>PFH 한류형</t>
  </si>
  <si>
    <t>E_EET0222</t>
  </si>
  <si>
    <t>FLEXIBLE TUBE</t>
  </si>
  <si>
    <t>E_EET0223</t>
  </si>
  <si>
    <t>EPOXY INSULATOR</t>
  </si>
  <si>
    <t>E_EET0224</t>
  </si>
  <si>
    <t>EPOXY GLASS PLATE</t>
  </si>
  <si>
    <t>E_EET0225</t>
  </si>
  <si>
    <t>BAKELITE PLATE</t>
  </si>
  <si>
    <t>E_EET0226</t>
  </si>
  <si>
    <t>PVC DUCT (난연성)</t>
  </si>
  <si>
    <t>E_EET0227</t>
  </si>
  <si>
    <t>단자대(TB)</t>
  </si>
  <si>
    <t>E_EET0228</t>
  </si>
  <si>
    <t>전력보호감시장치(GIPAM-115FI)</t>
  </si>
  <si>
    <t>E_EET0229</t>
  </si>
  <si>
    <t>VCB 24kV (D)</t>
  </si>
  <si>
    <t>E_EET0230</t>
  </si>
  <si>
    <t>CT 25.8kV 권선형</t>
  </si>
  <si>
    <t>E_EET0231</t>
  </si>
  <si>
    <t>SA</t>
  </si>
  <si>
    <t>E_EET0232</t>
  </si>
  <si>
    <t>CS (CAM S/W)</t>
  </si>
  <si>
    <t>E_EET0233</t>
  </si>
  <si>
    <t>PL (LED)</t>
  </si>
  <si>
    <t>E_EET0234</t>
  </si>
  <si>
    <t>PBS</t>
  </si>
  <si>
    <t>E_EET0235</t>
  </si>
  <si>
    <t>BZ (PANEL용)</t>
  </si>
  <si>
    <t>E_EET0236</t>
  </si>
  <si>
    <t>FLICKER RELAY (FCR)</t>
  </si>
  <si>
    <t>E_EET0237</t>
  </si>
  <si>
    <t>AUX-R</t>
  </si>
  <si>
    <t>E_EET0238</t>
  </si>
  <si>
    <t>CABLE BRACKET (CAB)</t>
  </si>
  <si>
    <t>E_EET0239</t>
  </si>
  <si>
    <t>FLEXIBLE BUS BAR</t>
  </si>
  <si>
    <t>E_EET0240</t>
  </si>
  <si>
    <t>변압기반 AIR FILTER</t>
  </si>
  <si>
    <t>E_EET0241</t>
  </si>
  <si>
    <t>1차 BUS BAR</t>
  </si>
  <si>
    <t>E_EET0242</t>
  </si>
  <si>
    <t>PBLS (LED)</t>
  </si>
  <si>
    <t>E_EET0243</t>
  </si>
  <si>
    <t>E_EET0244</t>
  </si>
  <si>
    <t>MS (GMS-9)</t>
  </si>
  <si>
    <t>E_EET0245</t>
  </si>
  <si>
    <t>DIAL 온도계</t>
  </si>
  <si>
    <t>E_EET0246</t>
  </si>
  <si>
    <t>TMS BOX</t>
  </si>
  <si>
    <t>E_EET0247</t>
  </si>
  <si>
    <t>PT</t>
  </si>
  <si>
    <t>E_EET0248</t>
  </si>
  <si>
    <t>E_EET0249</t>
  </si>
  <si>
    <t>LOAD WIRE</t>
  </si>
  <si>
    <t>E_EET0250</t>
  </si>
  <si>
    <t>LOAD TB</t>
  </si>
  <si>
    <t>E_EET0251</t>
  </si>
  <si>
    <t>TERMINAL LUG</t>
  </si>
  <si>
    <t>E_EET0252</t>
  </si>
  <si>
    <t>PBL</t>
  </si>
  <si>
    <t>E_EET0253</t>
  </si>
  <si>
    <t>MOF (22.9kV)</t>
  </si>
  <si>
    <t>MOF</t>
  </si>
  <si>
    <t>E_EET03</t>
  </si>
  <si>
    <t>E_EET0301</t>
  </si>
  <si>
    <t>용융 케이블 트레이(REDUCER)</t>
  </si>
  <si>
    <t>E_EET0302</t>
  </si>
  <si>
    <t>용융 케이블 트레이(HOLE BRAKET)</t>
  </si>
  <si>
    <t>E_EET0303</t>
  </si>
  <si>
    <t>용융 케이블 트레이(지지대)</t>
  </si>
  <si>
    <t>E_EET0304</t>
  </si>
  <si>
    <t>용융 케이블 트레이(JOINT CONNECTOR)</t>
  </si>
  <si>
    <t>E_EET0305</t>
  </si>
  <si>
    <t>용융 케이블 트레이(HOLD DOWN CLAMP)</t>
  </si>
  <si>
    <t>E_EET0306</t>
  </si>
  <si>
    <t>용융 케이블 트레이(GRAOUNDING JUMPER)</t>
  </si>
  <si>
    <t>E_EET99</t>
  </si>
  <si>
    <t>미분류 기타</t>
  </si>
  <si>
    <t>Other Types of Electrical Device ETC.</t>
  </si>
  <si>
    <t>vendor_id</t>
  </si>
  <si>
    <t>vendor_name_en</t>
  </si>
  <si>
    <t>vendor_name_kr</t>
  </si>
  <si>
    <t>VM_0000</t>
    <phoneticPr fontId="7" type="noConversion"/>
  </si>
  <si>
    <t>Non-designated company</t>
  </si>
  <si>
    <t>미지정업체</t>
  </si>
  <si>
    <t>VM_BKT</t>
    <phoneticPr fontId="7" type="noConversion"/>
  </si>
  <si>
    <t>BKT</t>
  </si>
  <si>
    <t>(주)부강테크</t>
  </si>
  <si>
    <t>VM_BKT_SJ</t>
    <phoneticPr fontId="7" type="noConversion"/>
  </si>
  <si>
    <t>BKT/SJ</t>
  </si>
  <si>
    <t>(주)부강테크/삼진</t>
  </si>
  <si>
    <t>VM_BKT_CD_VM</t>
    <phoneticPr fontId="7" type="noConversion"/>
  </si>
  <si>
    <t>BKT/CS</t>
    <phoneticPr fontId="7" type="noConversion"/>
  </si>
  <si>
    <t>(주)부강테크/창신</t>
    <phoneticPr fontId="7" type="noConversion"/>
  </si>
  <si>
    <t>VM_BKT_TM</t>
    <phoneticPr fontId="7" type="noConversion"/>
  </si>
  <si>
    <t>BKT/TM</t>
  </si>
  <si>
    <t>(주)부강테크/터보맥스</t>
  </si>
  <si>
    <t>VM_BKT_HS</t>
    <phoneticPr fontId="7" type="noConversion"/>
  </si>
  <si>
    <t>BKT/HS</t>
  </si>
  <si>
    <t>(주)부강테크/한신테크노</t>
  </si>
  <si>
    <t>VM_HDHD_ELC</t>
    <phoneticPr fontId="7" type="noConversion"/>
  </si>
  <si>
    <t>HD Hyundai electric</t>
  </si>
  <si>
    <t>HD현대일렉트릭</t>
    <phoneticPr fontId="7" type="noConversion"/>
  </si>
  <si>
    <t>VM_LS_ELC</t>
    <phoneticPr fontId="7" type="noConversion"/>
  </si>
  <si>
    <t>LS ELECTRIC</t>
    <phoneticPr fontId="7" type="noConversion"/>
  </si>
  <si>
    <t>VM_KB_ELC</t>
    <phoneticPr fontId="7" type="noConversion"/>
  </si>
  <si>
    <t>KyuongBo Electric</t>
  </si>
  <si>
    <t>경보전기</t>
    <phoneticPr fontId="7" type="noConversion"/>
  </si>
  <si>
    <t>VM_KW_COMP</t>
    <phoneticPr fontId="7" type="noConversion"/>
  </si>
  <si>
    <t>Kyungwon Compressor</t>
    <phoneticPr fontId="7" type="noConversion"/>
  </si>
  <si>
    <t>경원콤프레샤</t>
    <phoneticPr fontId="7" type="noConversion"/>
  </si>
  <si>
    <t>VM_KJ_IND</t>
    <phoneticPr fontId="7" type="noConversion"/>
  </si>
  <si>
    <t>Kyungjin Industrial</t>
  </si>
  <si>
    <t>경진산업</t>
    <phoneticPr fontId="7" type="noConversion"/>
  </si>
  <si>
    <t>VM_INTL_ELC</t>
    <phoneticPr fontId="7" type="noConversion"/>
  </si>
  <si>
    <t>International Electric Co.,Ltd</t>
    <phoneticPr fontId="7" type="noConversion"/>
  </si>
  <si>
    <t>국제전기</t>
    <phoneticPr fontId="7" type="noConversion"/>
  </si>
  <si>
    <t>VM_NARAE_SAMWON</t>
  </si>
  <si>
    <t>NARAE STEEL/SAMWON</t>
    <phoneticPr fontId="7" type="noConversion"/>
  </si>
  <si>
    <t>나래스틸/삼원금속</t>
  </si>
  <si>
    <t>VM_DD_ENG</t>
    <phoneticPr fontId="7" type="noConversion"/>
  </si>
  <si>
    <t>Daibong Engineering</t>
  </si>
  <si>
    <t>대봉엔지니어링</t>
  </si>
  <si>
    <t>VM_DS_ENG</t>
    <phoneticPr fontId="7" type="noConversion"/>
  </si>
  <si>
    <t>DaeSeung Engineering</t>
  </si>
  <si>
    <t>대승엔지니어링</t>
  </si>
  <si>
    <t>VM_DA_MACH</t>
  </si>
  <si>
    <t>Dong-A Machinery</t>
  </si>
  <si>
    <t>동아기공</t>
    <phoneticPr fontId="7" type="noConversion"/>
  </si>
  <si>
    <t>VM_DA_ELC</t>
    <phoneticPr fontId="7" type="noConversion"/>
  </si>
  <si>
    <t>Dong-A electric</t>
  </si>
  <si>
    <t>동아전기공업(주)</t>
  </si>
  <si>
    <t>VM_DJI_MACH</t>
    <phoneticPr fontId="7" type="noConversion"/>
  </si>
  <si>
    <t>Dongjin Industrial machinery</t>
  </si>
  <si>
    <t>동진기공</t>
    <phoneticPr fontId="7" type="noConversion"/>
  </si>
  <si>
    <t>VM_DH_ENG</t>
    <phoneticPr fontId="7" type="noConversion"/>
  </si>
  <si>
    <t>Donghai Engineering</t>
  </si>
  <si>
    <t>동해엔지니어링</t>
    <phoneticPr fontId="7" type="noConversion"/>
  </si>
  <si>
    <t>VM_DS_ELC</t>
    <phoneticPr fontId="7" type="noConversion"/>
  </si>
  <si>
    <t>DS ELC</t>
  </si>
  <si>
    <t>디에스이엘씨㈜</t>
    <phoneticPr fontId="7" type="noConversion"/>
  </si>
  <si>
    <t>VM_MONAS</t>
    <phoneticPr fontId="7" type="noConversion"/>
  </si>
  <si>
    <t>Monas</t>
  </si>
  <si>
    <t>모나스펌프(주)</t>
    <phoneticPr fontId="7" type="noConversion"/>
  </si>
  <si>
    <t>VM_BANDO_C</t>
  </si>
  <si>
    <t>Bando Crane</t>
  </si>
  <si>
    <t>반도 호이스트크레인</t>
    <phoneticPr fontId="7" type="noConversion"/>
  </si>
  <si>
    <t>VM_BUMHAN</t>
    <phoneticPr fontId="7" type="noConversion"/>
  </si>
  <si>
    <t>Bumhan</t>
    <phoneticPr fontId="7" type="noConversion"/>
  </si>
  <si>
    <t>범한</t>
    <phoneticPr fontId="7" type="noConversion"/>
  </si>
  <si>
    <t>VM_VITZRO_ELC</t>
    <phoneticPr fontId="7" type="noConversion"/>
  </si>
  <si>
    <t>Vitzro Electric</t>
    <phoneticPr fontId="7" type="noConversion"/>
  </si>
  <si>
    <t>비츠로이엠</t>
    <phoneticPr fontId="7" type="noConversion"/>
  </si>
  <si>
    <t>VM_SSH_ELC</t>
    <phoneticPr fontId="7" type="noConversion"/>
  </si>
  <si>
    <t>Samshin Heavt Electric Co., Ltd</t>
    <phoneticPr fontId="7" type="noConversion"/>
  </si>
  <si>
    <t>삼신중전기공업주식회사</t>
    <phoneticPr fontId="7" type="noConversion"/>
  </si>
  <si>
    <t>VM_SAMJUNG</t>
    <phoneticPr fontId="7" type="noConversion"/>
  </si>
  <si>
    <t>Samjung</t>
    <phoneticPr fontId="7" type="noConversion"/>
  </si>
  <si>
    <t>삼정특장</t>
    <phoneticPr fontId="7" type="noConversion"/>
  </si>
  <si>
    <t>VM_SAMJIN</t>
    <phoneticPr fontId="7" type="noConversion"/>
  </si>
  <si>
    <t>Samjin Industrial Co., Ltd</t>
  </si>
  <si>
    <t>삼진공업</t>
    <phoneticPr fontId="7" type="noConversion"/>
  </si>
  <si>
    <t>VM_SH_IND</t>
    <phoneticPr fontId="7" type="noConversion"/>
  </si>
  <si>
    <t>SAMHEUNG Co., Ltd</t>
  </si>
  <si>
    <t>삼흥산업</t>
  </si>
  <si>
    <t>VM_SUNWON_VAL</t>
    <phoneticPr fontId="7" type="noConversion"/>
  </si>
  <si>
    <t>sunwonvalve</t>
    <phoneticPr fontId="7" type="noConversion"/>
  </si>
  <si>
    <t>선원밸브</t>
  </si>
  <si>
    <t>VM_SEIN_ENC</t>
  </si>
  <si>
    <t>SEIN ENC</t>
  </si>
  <si>
    <t>세인이엔씨</t>
    <phoneticPr fontId="7" type="noConversion"/>
  </si>
  <si>
    <t>VM_SOLVE</t>
    <phoneticPr fontId="7" type="noConversion"/>
  </si>
  <si>
    <t>Solve</t>
    <phoneticPr fontId="7" type="noConversion"/>
  </si>
  <si>
    <t>솔브</t>
  </si>
  <si>
    <t>VM_SPACEPRO</t>
  </si>
  <si>
    <t>SPACEPRO</t>
    <phoneticPr fontId="7" type="noConversion"/>
  </si>
  <si>
    <t>스페이스프로</t>
    <phoneticPr fontId="7" type="noConversion"/>
  </si>
  <si>
    <t>VM_SA_ELC</t>
    <phoneticPr fontId="7" type="noConversion"/>
  </si>
  <si>
    <t>Shina electric</t>
  </si>
  <si>
    <t>신아전기</t>
    <phoneticPr fontId="7" type="noConversion"/>
  </si>
  <si>
    <t>VM_AILP_IND</t>
    <phoneticPr fontId="7" type="noConversion"/>
  </si>
  <si>
    <t>Ail Plastics industrial</t>
  </si>
  <si>
    <t>아일수지공업㈜</t>
    <phoneticPr fontId="7" type="noConversion"/>
  </si>
  <si>
    <t>VM_ECOSET</t>
    <phoneticPr fontId="7" type="noConversion"/>
  </si>
  <si>
    <t>Ecoset</t>
  </si>
  <si>
    <t>에코셋</t>
  </si>
  <si>
    <t>VM_YONGJEON</t>
    <phoneticPr fontId="7" type="noConversion"/>
  </si>
  <si>
    <t>YONGJEON</t>
    <phoneticPr fontId="7" type="noConversion"/>
  </si>
  <si>
    <t>용전㈜</t>
    <phoneticPr fontId="7" type="noConversion"/>
  </si>
  <si>
    <t>VM_WONJIN</t>
    <phoneticPr fontId="7" type="noConversion"/>
  </si>
  <si>
    <t>Wonjin</t>
  </si>
  <si>
    <t>원진</t>
    <phoneticPr fontId="7" type="noConversion"/>
  </si>
  <si>
    <t>VM_WSP</t>
    <phoneticPr fontId="7" type="noConversion"/>
  </si>
  <si>
    <t>WORLD STEEL PIPE</t>
    <phoneticPr fontId="7" type="noConversion"/>
  </si>
  <si>
    <t>월드스틸파이프</t>
  </si>
  <si>
    <t>VM_ENPR</t>
    <phoneticPr fontId="7" type="noConversion"/>
  </si>
  <si>
    <t>Electromagnetic Noise Pioneer Research</t>
  </si>
  <si>
    <t>이엔피알</t>
    <phoneticPr fontId="7" type="noConversion"/>
  </si>
  <si>
    <t>VM_ECOWO</t>
    <phoneticPr fontId="7" type="noConversion"/>
  </si>
  <si>
    <t>Ecowo</t>
  </si>
  <si>
    <t>이코우</t>
  </si>
  <si>
    <t>VM_EWH_SYS</t>
  </si>
  <si>
    <t>Ewha</t>
    <phoneticPr fontId="7" type="noConversion"/>
  </si>
  <si>
    <t>이화에코시스템</t>
    <phoneticPr fontId="7" type="noConversion"/>
  </si>
  <si>
    <t>VM_YH_CO</t>
    <phoneticPr fontId="7" type="noConversion"/>
  </si>
  <si>
    <t>YI-HWAN Industry co.</t>
    <phoneticPr fontId="7" type="noConversion"/>
  </si>
  <si>
    <t>이환산업</t>
    <phoneticPr fontId="7" type="noConversion"/>
  </si>
  <si>
    <t>VM_JD_MACH</t>
    <phoneticPr fontId="7" type="noConversion"/>
  </si>
  <si>
    <t>JEONGDO Machinery</t>
    <phoneticPr fontId="7" type="noConversion"/>
  </si>
  <si>
    <t>정도기계</t>
  </si>
  <si>
    <t>VM_JF_TECH</t>
    <phoneticPr fontId="7" type="noConversion"/>
  </si>
  <si>
    <t>Jungsoo Flow Tech</t>
  </si>
  <si>
    <t>정수플로우텍</t>
    <phoneticPr fontId="7" type="noConversion"/>
  </si>
  <si>
    <t>VM_CEIL_ELC</t>
    <phoneticPr fontId="7" type="noConversion"/>
  </si>
  <si>
    <t>Cheil electric</t>
  </si>
  <si>
    <t>제일일렉트릭</t>
    <phoneticPr fontId="7" type="noConversion"/>
  </si>
  <si>
    <t>VM_CB_ENG</t>
    <phoneticPr fontId="7" type="noConversion"/>
  </si>
  <si>
    <t>Cheonboe Engineering</t>
  </si>
  <si>
    <t>천보엔지니어링</t>
  </si>
  <si>
    <t>VM_CS_IND</t>
    <phoneticPr fontId="7" type="noConversion"/>
  </si>
  <si>
    <t>Cheonsei</t>
  </si>
  <si>
    <t>천세산업(주)</t>
    <phoneticPr fontId="7" type="noConversion"/>
  </si>
  <si>
    <t>VM_KUPP</t>
    <phoneticPr fontId="7" type="noConversion"/>
  </si>
  <si>
    <t>KUPP</t>
    <phoneticPr fontId="7" type="noConversion"/>
  </si>
  <si>
    <t>케이유피피</t>
    <phoneticPr fontId="7" type="noConversion"/>
  </si>
  <si>
    <t>VM_KPAC_CO</t>
  </si>
  <si>
    <t>K-Pack Korea Co., Ltd</t>
    <phoneticPr fontId="7" type="noConversion"/>
  </si>
  <si>
    <t>케이팩코리아</t>
    <phoneticPr fontId="7" type="noConversion"/>
  </si>
  <si>
    <t>VM_KP_ELC</t>
    <phoneticPr fontId="7" type="noConversion"/>
  </si>
  <si>
    <t>KP ELECTRIC</t>
  </si>
  <si>
    <t>케이피일렉트릭(주)</t>
    <phoneticPr fontId="7" type="noConversion"/>
  </si>
  <si>
    <t>VM_COSMOS_VNP</t>
    <phoneticPr fontId="7" type="noConversion"/>
  </si>
  <si>
    <t>COSMOS</t>
    <phoneticPr fontId="7" type="noConversion"/>
  </si>
  <si>
    <t>코스모스브이앤피</t>
    <phoneticPr fontId="7" type="noConversion"/>
  </si>
  <si>
    <t>VM_COSMOIND</t>
    <phoneticPr fontId="7" type="noConversion"/>
  </si>
  <si>
    <t>COSMOIND</t>
    <phoneticPr fontId="7" type="noConversion"/>
  </si>
  <si>
    <t>코스모아이앤디㈜</t>
    <phoneticPr fontId="7" type="noConversion"/>
  </si>
  <si>
    <t>VM_TY_TRAY</t>
    <phoneticPr fontId="7" type="noConversion"/>
  </si>
  <si>
    <t>TAEYANG TRAY</t>
    <phoneticPr fontId="7" type="noConversion"/>
  </si>
  <si>
    <t>태양트레이</t>
    <phoneticPr fontId="7" type="noConversion"/>
  </si>
  <si>
    <t>VM_TMAX</t>
    <phoneticPr fontId="7" type="noConversion"/>
  </si>
  <si>
    <t>Turbomax</t>
  </si>
  <si>
    <t>터보맥스</t>
    <phoneticPr fontId="7" type="noConversion"/>
  </si>
  <si>
    <t>VM_PYUNGIL</t>
    <phoneticPr fontId="7" type="noConversion"/>
  </si>
  <si>
    <t>Pyungil</t>
  </si>
  <si>
    <t>평일</t>
    <phoneticPr fontId="7" type="noConversion"/>
  </si>
  <si>
    <t>VM_POLYTEC</t>
  </si>
  <si>
    <t>POLYTEC</t>
    <phoneticPr fontId="7" type="noConversion"/>
  </si>
  <si>
    <t>폴리텍</t>
  </si>
  <si>
    <t>VM_WSP</t>
  </si>
  <si>
    <t>HISTEN</t>
    <phoneticPr fontId="7" type="noConversion"/>
  </si>
  <si>
    <t>하이스텐</t>
  </si>
  <si>
    <t>VM_KW_TECH</t>
    <phoneticPr fontId="7" type="noConversion"/>
  </si>
  <si>
    <t>Korea Water Technology</t>
    <phoneticPr fontId="7" type="noConversion"/>
  </si>
  <si>
    <t>한국워터테크놀로지</t>
    <phoneticPr fontId="7" type="noConversion"/>
  </si>
  <si>
    <t>VM_KF_MACH</t>
    <phoneticPr fontId="7" type="noConversion"/>
  </si>
  <si>
    <t xml:space="preserve">Korea Fluid Machinery Co.,Ltd </t>
    <phoneticPr fontId="7" type="noConversion"/>
  </si>
  <si>
    <t>한국유체기계</t>
    <phoneticPr fontId="7" type="noConversion"/>
  </si>
  <si>
    <t>VM_KCIP_CO</t>
  </si>
  <si>
    <t>Korea Cast Iron Pipe Industry Co., Ltd.</t>
  </si>
  <si>
    <t>한국주철관공업(주)</t>
  </si>
  <si>
    <t>VM_KE_MACH</t>
    <phoneticPr fontId="7" type="noConversion"/>
  </si>
  <si>
    <t>Korea Environmental Machinery</t>
  </si>
  <si>
    <t>한국환경기계㈜</t>
    <phoneticPr fontId="7" type="noConversion"/>
  </si>
  <si>
    <t>VM_HD_VALVE</t>
    <phoneticPr fontId="7" type="noConversion"/>
  </si>
  <si>
    <t>Hyundai Valve</t>
    <phoneticPr fontId="7" type="noConversion"/>
  </si>
  <si>
    <t>현대밸브</t>
    <phoneticPr fontId="7" type="noConversion"/>
  </si>
  <si>
    <t>VM_HYUNWOO</t>
  </si>
  <si>
    <t>HYUNWOO</t>
    <phoneticPr fontId="7" type="noConversion"/>
  </si>
  <si>
    <t>현우산업</t>
    <phoneticPr fontId="7" type="noConversion"/>
  </si>
  <si>
    <t>VM_OSUNG</t>
  </si>
  <si>
    <t>O-Sung Electric Machinery Co., Ltd</t>
  </si>
  <si>
    <t>오성기전</t>
  </si>
  <si>
    <t>장비코드</t>
  </si>
  <si>
    <t>장비유형</t>
  </si>
  <si>
    <t>공급업체명</t>
  </si>
  <si>
    <t>모델명</t>
  </si>
  <si>
    <t>단면적(㎟)</t>
  </si>
  <si>
    <t>코어(C)</t>
  </si>
  <si>
    <t>단위</t>
  </si>
  <si>
    <t>호표(1)</t>
    <phoneticPr fontId="1" type="noConversion"/>
  </si>
  <si>
    <t>단가(원)</t>
  </si>
  <si>
    <t>견적가(원)</t>
  </si>
  <si>
    <t>단가출처</t>
    <phoneticPr fontId="1" type="noConversion"/>
  </si>
  <si>
    <t>사용여부</t>
  </si>
  <si>
    <t xml:space="preserve">  품명</t>
  </si>
  <si>
    <t>규격</t>
  </si>
  <si>
    <t>장비설명</t>
  </si>
  <si>
    <t>단위시스템코드</t>
    <phoneticPr fontId="1" type="noConversion"/>
  </si>
  <si>
    <t>equipment_code</t>
  </si>
  <si>
    <t>작업용 필드</t>
  </si>
  <si>
    <t>equipment_type</t>
  </si>
  <si>
    <t>model_number</t>
  </si>
  <si>
    <t>i_crosssection_mm2</t>
  </si>
  <si>
    <t>i_core_c_NONE</t>
  </si>
  <si>
    <t>s_unit_NONE</t>
  </si>
  <si>
    <t>s_primary_item_no_NONE</t>
    <phoneticPr fontId="1" type="noConversion"/>
  </si>
  <si>
    <t>o_unit_price_KRW</t>
  </si>
  <si>
    <t>o_invoice_price_KRW</t>
  </si>
  <si>
    <t>o_price_reference</t>
    <phoneticPr fontId="1" type="noConversion"/>
  </si>
  <si>
    <t>is_active</t>
  </si>
  <si>
    <t>s_productnm_NONE</t>
  </si>
  <si>
    <t>s_easpecific_NONE</t>
  </si>
  <si>
    <t>description</t>
  </si>
  <si>
    <t>unit_system_code</t>
    <phoneticPr fontId="1" type="noConversion"/>
  </si>
  <si>
    <t>VM_0000</t>
  </si>
  <si>
    <t>M</t>
  </si>
  <si>
    <t>물가자료25년9월호1075Page</t>
  </si>
  <si>
    <t>물가자료25년9월호1076Page</t>
  </si>
  <si>
    <t>전선관 (C)</t>
  </si>
  <si>
    <t>i_conduit_c</t>
  </si>
  <si>
    <t>물가자료25년9월호1101Page</t>
  </si>
  <si>
    <t>강제전선관용부품</t>
  </si>
  <si>
    <t>단면적(㎟)</t>
    <phoneticPr fontId="3" type="noConversion"/>
  </si>
  <si>
    <t>EA</t>
  </si>
  <si>
    <t>물가자료25년9월호1100Page</t>
  </si>
  <si>
    <t>가로(mm)</t>
    <phoneticPr fontId="3" type="noConversion"/>
  </si>
  <si>
    <t>i_width_mm</t>
    <phoneticPr fontId="3" type="noConversion"/>
  </si>
  <si>
    <t>㈜서영산업</t>
  </si>
  <si>
    <t>VM_SEOYOUNG</t>
  </si>
  <si>
    <t>물가자료25년9월호1115Page</t>
  </si>
  <si>
    <t>케이블트레이부속품</t>
  </si>
  <si>
    <t>전압-전(V)</t>
  </si>
  <si>
    <t>전압-후(V)</t>
    <phoneticPr fontId="3" type="noConversion"/>
  </si>
  <si>
    <t>전력량(kVA)</t>
  </si>
  <si>
    <t>i_before_voltage_V</t>
  </si>
  <si>
    <t>i_after_voltage_V</t>
  </si>
  <si>
    <t>i_apparent_power_kVA</t>
  </si>
  <si>
    <t>케이피일렉트릭(주)</t>
  </si>
  <si>
    <t>VM_KP_ELC</t>
  </si>
  <si>
    <t>물가자료25년9월호1122Page</t>
  </si>
  <si>
    <t>정전용량(μF)</t>
  </si>
  <si>
    <t>최대 전압(V)</t>
    <phoneticPr fontId="3" type="noConversion"/>
  </si>
  <si>
    <t>i_microfarad_mcf</t>
  </si>
  <si>
    <t>i_max_voltage_V</t>
  </si>
  <si>
    <t>물가자료25년9월호1117Page</t>
  </si>
  <si>
    <t>CONDENSER</t>
  </si>
  <si>
    <t>동력(kW)</t>
    <phoneticPr fontId="3" type="noConversion"/>
  </si>
  <si>
    <t>i_power_kW</t>
  </si>
  <si>
    <t>LS ELECTRIC</t>
    <phoneticPr fontId="3" type="noConversion"/>
  </si>
  <si>
    <t>VM_LS_ELC</t>
    <phoneticPr fontId="3" type="noConversion"/>
  </si>
  <si>
    <t>G100 0.4</t>
  </si>
  <si>
    <t>물가자료25년10월호1128Page</t>
  </si>
  <si>
    <t>INVERTER</t>
  </si>
  <si>
    <t>G100 0.75</t>
  </si>
  <si>
    <t>G100 1.5</t>
  </si>
  <si>
    <t>G100 2.2</t>
  </si>
  <si>
    <t>G100 4</t>
  </si>
  <si>
    <t>G100 5.5</t>
  </si>
  <si>
    <t>G100 7.5</t>
  </si>
  <si>
    <t>G100 11</t>
  </si>
  <si>
    <t>G100 15</t>
  </si>
  <si>
    <t>G100 18.5</t>
  </si>
  <si>
    <t>G100 22</t>
  </si>
  <si>
    <t>S100 30</t>
  </si>
  <si>
    <t>37과 동일한 기종</t>
    <phoneticPr fontId="3" type="noConversion"/>
  </si>
  <si>
    <t>S100 50</t>
    <phoneticPr fontId="3" type="noConversion"/>
  </si>
  <si>
    <t>55와 동일한 기종</t>
    <phoneticPr fontId="3" type="noConversion"/>
  </si>
  <si>
    <t>S100 60</t>
  </si>
  <si>
    <t>75와 동일한 기종</t>
    <phoneticPr fontId="3" type="noConversion"/>
  </si>
  <si>
    <t>S100 75</t>
  </si>
  <si>
    <t>신아전기(주)</t>
  </si>
  <si>
    <t>VM_SA_ELC</t>
  </si>
  <si>
    <t>SS 2.2</t>
    <phoneticPr fontId="3" type="noConversion"/>
  </si>
  <si>
    <t>물가자료25년10월호1119Page</t>
  </si>
  <si>
    <t>SOFT STARTER</t>
  </si>
  <si>
    <t>SS 3.7</t>
    <phoneticPr fontId="3" type="noConversion"/>
  </si>
  <si>
    <t>SS 5.5</t>
    <phoneticPr fontId="3" type="noConversion"/>
  </si>
  <si>
    <t>SS 7.5</t>
    <phoneticPr fontId="3" type="noConversion"/>
  </si>
  <si>
    <t>SS 11</t>
  </si>
  <si>
    <t>SS 15</t>
  </si>
  <si>
    <t>SS 22</t>
    <phoneticPr fontId="3" type="noConversion"/>
  </si>
  <si>
    <t>SS 30</t>
    <phoneticPr fontId="3" type="noConversion"/>
  </si>
  <si>
    <t>SS 37</t>
    <phoneticPr fontId="3" type="noConversion"/>
  </si>
  <si>
    <t>SS 45</t>
    <phoneticPr fontId="3" type="noConversion"/>
  </si>
  <si>
    <t>SS 56</t>
    <phoneticPr fontId="3" type="noConversion"/>
  </si>
  <si>
    <t>SS 75</t>
    <phoneticPr fontId="3" type="noConversion"/>
  </si>
  <si>
    <t>SS 98</t>
    <phoneticPr fontId="3" type="noConversion"/>
  </si>
  <si>
    <t>SS 150</t>
    <phoneticPr fontId="3" type="noConversion"/>
  </si>
  <si>
    <t>정격전류(A)</t>
  </si>
  <si>
    <t>단가출처</t>
  </si>
  <si>
    <t>단위시스템코드</t>
  </si>
  <si>
    <t>i_rated_curruent_A</t>
  </si>
  <si>
    <t>o_price_reference</t>
  </si>
  <si>
    <t>unit_system_code</t>
  </si>
  <si>
    <t>LS ELECTRIC</t>
  </si>
  <si>
    <t>VM_LS_ELC</t>
  </si>
  <si>
    <t>LFH-20G-D2HB</t>
  </si>
  <si>
    <t>물가자료25년9월호1202Page</t>
  </si>
  <si>
    <t>LFL-20G-5B</t>
  </si>
  <si>
    <t>PFL (한류형 LFL-20G)</t>
  </si>
  <si>
    <t>LFL-20G-10B</t>
  </si>
  <si>
    <t>LFL-20G-16B</t>
  </si>
  <si>
    <t>LFL-20G-20B</t>
  </si>
  <si>
    <t>LFL-20G-25B</t>
  </si>
  <si>
    <t>LFL-20G-30B</t>
  </si>
  <si>
    <t>LFL-20G-40B</t>
  </si>
  <si>
    <t>LFL-20G-50B</t>
  </si>
  <si>
    <t>LFL-20G-60B</t>
  </si>
  <si>
    <t>LFL-20G-75C</t>
  </si>
  <si>
    <t>LFL-20G-100C</t>
  </si>
  <si>
    <t>LFL-20G-125B</t>
  </si>
  <si>
    <t>LFL-20G-160B</t>
  </si>
  <si>
    <t>LFL-20G-200B</t>
  </si>
  <si>
    <t>프레임 전류(A)</t>
  </si>
  <si>
    <t>코어(C)</t>
    <phoneticPr fontId="3" type="noConversion"/>
  </si>
  <si>
    <t>s_frame_curruent_A</t>
  </si>
  <si>
    <t>AS-06D-06</t>
  </si>
  <si>
    <t>물가자료25년10월호1150Page</t>
  </si>
  <si>
    <t>AS-08D-08</t>
  </si>
  <si>
    <t>AS-10D-10</t>
  </si>
  <si>
    <t>AS-13D-13</t>
  </si>
  <si>
    <t>AS-16D-16</t>
  </si>
  <si>
    <t>AS-20D-20</t>
  </si>
  <si>
    <t>AS-25E-25</t>
  </si>
  <si>
    <t>AS-32E-32</t>
  </si>
  <si>
    <t>AS-40E-40</t>
  </si>
  <si>
    <t>AS-50F-50</t>
  </si>
  <si>
    <t>AS-63G-63</t>
  </si>
  <si>
    <t>ACB (표준형)</t>
  </si>
  <si>
    <t>ABS 33c</t>
  </si>
  <si>
    <t>물가자료25년9월호1154Page</t>
  </si>
  <si>
    <t>MCCB</t>
  </si>
  <si>
    <t>ABS 34c</t>
  </si>
  <si>
    <t>ABS 53c</t>
  </si>
  <si>
    <t>ABS 54c</t>
  </si>
  <si>
    <t>ABS 63c</t>
  </si>
  <si>
    <t>ABS 64c</t>
  </si>
  <si>
    <t>ABS 103c</t>
  </si>
  <si>
    <t>ABS 104c</t>
  </si>
  <si>
    <t>ABS 203c</t>
  </si>
  <si>
    <t>ABS 204c</t>
  </si>
  <si>
    <t>ABS 403c</t>
  </si>
  <si>
    <t>ABS 404c</t>
  </si>
  <si>
    <t>ABS 603c</t>
  </si>
  <si>
    <t>ABS 604c</t>
  </si>
  <si>
    <t>ABS 803c</t>
  </si>
  <si>
    <t>ABS 804c</t>
  </si>
  <si>
    <t>ABS 1003b</t>
  </si>
  <si>
    <t>ABS 1004b</t>
  </si>
  <si>
    <t>ABS 1203b</t>
  </si>
  <si>
    <t>ABS 1204b</t>
  </si>
  <si>
    <t>EBS 33c</t>
  </si>
  <si>
    <t>물가자료25년10월호1161Page</t>
  </si>
  <si>
    <t>EBS 34c</t>
  </si>
  <si>
    <t>EBS 53c</t>
  </si>
  <si>
    <t>EBS 54c</t>
  </si>
  <si>
    <t>EBS 63c</t>
  </si>
  <si>
    <t>EBS 64c</t>
  </si>
  <si>
    <t>EBS 103c</t>
  </si>
  <si>
    <t>EBS 104c</t>
  </si>
  <si>
    <t>EBS 203c</t>
  </si>
  <si>
    <t>EBS 204c</t>
  </si>
  <si>
    <t>EBS 403c</t>
  </si>
  <si>
    <t>EBS 404c</t>
  </si>
  <si>
    <t>EBS 603c</t>
  </si>
  <si>
    <t>EBS 803c</t>
  </si>
  <si>
    <t>BK63H 2</t>
  </si>
  <si>
    <t>물가자료25년10월호1155Page</t>
  </si>
  <si>
    <t>피상전력(VA)</t>
  </si>
  <si>
    <t>s_voltage_curruent_VA</t>
  </si>
  <si>
    <t>UR1</t>
  </si>
  <si>
    <t>물가자료25년11월호1184Page</t>
  </si>
  <si>
    <t>CT</t>
  </si>
  <si>
    <t>UR2</t>
  </si>
  <si>
    <t>US5</t>
  </si>
  <si>
    <t>US6</t>
  </si>
  <si>
    <t>US7</t>
  </si>
  <si>
    <t>US8</t>
  </si>
  <si>
    <t>US9</t>
  </si>
  <si>
    <t>MC-6a</t>
  </si>
  <si>
    <t>물가자료25년9월호1144Page</t>
  </si>
  <si>
    <t>MC-9a</t>
  </si>
  <si>
    <t>MC-12a</t>
  </si>
  <si>
    <t>MC-18a</t>
  </si>
  <si>
    <t>MC-32a</t>
  </si>
  <si>
    <t>MC-40a</t>
  </si>
  <si>
    <t>MC-48a</t>
  </si>
  <si>
    <t>MC-50a</t>
  </si>
  <si>
    <t>MC-65a</t>
  </si>
  <si>
    <t>MC-75a</t>
  </si>
  <si>
    <t>MC-85a</t>
  </si>
  <si>
    <t>MC-100a</t>
  </si>
  <si>
    <t>가로-전(mm)</t>
    <phoneticPr fontId="3" type="noConversion"/>
  </si>
  <si>
    <t>가로-후(mm)</t>
    <phoneticPr fontId="3" type="noConversion"/>
  </si>
  <si>
    <t>단자수(Q'ty)</t>
    <phoneticPr fontId="3" type="noConversion"/>
  </si>
  <si>
    <t>i_before_width_mm</t>
  </si>
  <si>
    <t>i_after_width_mm</t>
    <phoneticPr fontId="3" type="noConversion"/>
  </si>
  <si>
    <t>i_terminals_NONE</t>
  </si>
  <si>
    <t>미지정업체</t>
    <phoneticPr fontId="3" type="noConversion"/>
  </si>
  <si>
    <t>VM_0000</t>
    <phoneticPr fontId="3" type="noConversion"/>
  </si>
  <si>
    <t>견적단가</t>
  </si>
  <si>
    <t>2.3T 용융아연</t>
  </si>
  <si>
    <t>3/8"</t>
  </si>
  <si>
    <t>면</t>
  </si>
  <si>
    <t>600*2350*600 2.3T</t>
  </si>
  <si>
    <t>450*1500*250 2.3T</t>
  </si>
  <si>
    <t>GIMAC-1000</t>
  </si>
  <si>
    <t>LZR-030</t>
  </si>
  <si>
    <t>SP C TT 275 FM</t>
  </si>
  <si>
    <t>KF-32L</t>
  </si>
  <si>
    <t>2A / KF-32L</t>
  </si>
  <si>
    <t>DMP06i-TZ</t>
  </si>
  <si>
    <t>DMP60i-TZ</t>
  </si>
  <si>
    <t>4M</t>
  </si>
  <si>
    <t>5M</t>
  </si>
  <si>
    <t>120*120 38MM</t>
  </si>
  <si>
    <t>120mm(은색)</t>
  </si>
  <si>
    <t>FAN용 THERMOSTAT</t>
  </si>
  <si>
    <t>RTM 90F</t>
  </si>
  <si>
    <t>HEATER용 THERMOSTAT</t>
  </si>
  <si>
    <t>RTM 90H</t>
  </si>
  <si>
    <t>MY4N</t>
  </si>
  <si>
    <t>80X80</t>
  </si>
  <si>
    <t>40X40</t>
  </si>
  <si>
    <t>500*50</t>
  </si>
  <si>
    <t>70*16</t>
  </si>
  <si>
    <t>40*60*25PI</t>
  </si>
  <si>
    <t>RHPTC-50W</t>
  </si>
  <si>
    <t>PBL(RED)</t>
  </si>
  <si>
    <t>KH-512LN-2A(RED)</t>
  </si>
  <si>
    <t>PBL(GREEN)</t>
  </si>
  <si>
    <t>KH-512LN-2A(GREEN)</t>
  </si>
  <si>
    <t>PBL(YELLOW)</t>
  </si>
  <si>
    <t>KH-512LN-2A(YELLOW)</t>
  </si>
  <si>
    <t>KSL25L2-11</t>
  </si>
  <si>
    <t>KPB25ER</t>
  </si>
  <si>
    <t>물가자료25년7월호1206Page</t>
  </si>
  <si>
    <t>2구</t>
  </si>
  <si>
    <t>YS FT010-03ZA</t>
  </si>
  <si>
    <t>물가자료25년7월호1203Page</t>
  </si>
  <si>
    <t>YS FT020-10ZA</t>
  </si>
  <si>
    <t>YS FT020-20ZA</t>
  </si>
  <si>
    <t>YS FT030-10ZA</t>
  </si>
  <si>
    <t>YS FT100-04ZA</t>
  </si>
  <si>
    <t>YS FT200-04ZA</t>
  </si>
  <si>
    <t>YS FT300-04ZA</t>
  </si>
  <si>
    <t>U Channel, 41*41*t2.6mm</t>
  </si>
  <si>
    <t>1400Wx2500Hx2500D (26.50㎡)</t>
  </si>
  <si>
    <t>DOOR HANDLE (L)</t>
  </si>
  <si>
    <t>W/KEY (L)</t>
  </si>
  <si>
    <t>DOOR HANDLE (M)</t>
  </si>
  <si>
    <t>W/KEY (M)</t>
  </si>
  <si>
    <t>3.2tx700Wx1200H : 4개</t>
  </si>
  <si>
    <t>-</t>
  </si>
  <si>
    <t>아크릴(L)</t>
  </si>
  <si>
    <t>25A 이하 W/HOLDER</t>
  </si>
  <si>
    <t>AC 220V 20W 삼파장</t>
  </si>
  <si>
    <t>AC 220V 1a 1b</t>
  </si>
  <si>
    <t>AC 220V 100W</t>
  </si>
  <si>
    <t>250V 0-250℃</t>
  </si>
  <si>
    <t>2P AC 220V 15A</t>
  </si>
  <si>
    <t>6.0 mm x 50 mm</t>
  </si>
  <si>
    <t>800㎟ 이하</t>
  </si>
  <si>
    <t>AG</t>
  </si>
  <si>
    <t>6.0 mm x 25 mm</t>
  </si>
  <si>
    <t>F-GV 70㎟</t>
  </si>
  <si>
    <t>70㎟</t>
  </si>
  <si>
    <t>24kV 600A 자동</t>
  </si>
  <si>
    <t>18kV 2.5kA</t>
  </si>
  <si>
    <t>25.8kV 100AF</t>
  </si>
  <si>
    <t>25.8kV 200AF</t>
  </si>
  <si>
    <t>36C 방수</t>
  </si>
  <si>
    <t>24kV 210mm</t>
  </si>
  <si>
    <t>5tx500x1000 : 4개</t>
  </si>
  <si>
    <t>5tx400x600</t>
  </si>
  <si>
    <t>30x40x2m W/COVER</t>
  </si>
  <si>
    <t>40x60x2m W/COVER</t>
  </si>
  <si>
    <t>4P 30A</t>
  </si>
  <si>
    <t>GIPAM-115FI</t>
  </si>
  <si>
    <t>표준형</t>
  </si>
  <si>
    <t>630A 12.5kA 520MVA</t>
  </si>
  <si>
    <t>5~300/5A  1P   40In n&gt;10</t>
  </si>
  <si>
    <t>18kV 5kA</t>
  </si>
  <si>
    <t>PULL TURN TYPE</t>
  </si>
  <si>
    <t>DC 110/125V 30mm</t>
  </si>
  <si>
    <t>25/30Φ 1a 1b</t>
  </si>
  <si>
    <t>DC 110V 4인치</t>
  </si>
  <si>
    <t>110/220V ON:6S OFF:3S</t>
  </si>
  <si>
    <t>AC 2a2b</t>
  </si>
  <si>
    <t>AC 4a4b</t>
  </si>
  <si>
    <t>150㎟ 이하</t>
  </si>
  <si>
    <t>600A  L=350</t>
  </si>
  <si>
    <t>DC 110V/125V 25mm</t>
  </si>
  <si>
    <t>AC 220/110V (L)</t>
  </si>
  <si>
    <t>2.2kW/220V  2.7kW/440V</t>
  </si>
  <si>
    <t>50VA 1.0 EPOXY MOLD</t>
  </si>
  <si>
    <t>4P 40KA</t>
  </si>
  <si>
    <t>F-CV 1Cx50㎟</t>
  </si>
  <si>
    <t>3P 100A</t>
  </si>
  <si>
    <t>4P 100A</t>
  </si>
  <si>
    <t>50㎟</t>
  </si>
  <si>
    <t>MOLD TYPE, 150/5A</t>
  </si>
  <si>
    <t>REDUCER, W1000 x H100 -&gt; W700 x H100</t>
  </si>
  <si>
    <t>REDUCER, W1000 x H100 -&gt; W450 x H100</t>
  </si>
  <si>
    <t>REDUCER, W800 x H100 -&gt; W450 x H100</t>
  </si>
  <si>
    <t>REDUCER, W800 x H100 -&gt; W300 x H100</t>
  </si>
  <si>
    <t>REDUCER, W700 x H100 -&gt; W450 x H100</t>
  </si>
  <si>
    <t>REDUCER, W700 x H100 -&gt; W400 x H100</t>
  </si>
  <si>
    <t>REDUCER, W700 x H100 -&gt; W300 x H100</t>
  </si>
  <si>
    <t>REDUCER, W700 x H100 -&gt; W150 x H100</t>
  </si>
  <si>
    <t>REDUCER, W450 x H100 -&gt; W400 x H100</t>
  </si>
  <si>
    <t>REDUCER, W450 x H100 -&gt; W300 x H100</t>
  </si>
  <si>
    <t>REDUCER, W450 x H100 -&gt; W200 x H100</t>
  </si>
  <si>
    <t>REDUCER, W450 x H100 -&gt; W150 x H100</t>
  </si>
  <si>
    <t>REDUCER, W400 x H100 -&gt; W300 x H100</t>
  </si>
  <si>
    <t>REDUCER, W400 x H100 -&gt; W150 x H100</t>
  </si>
  <si>
    <t>REDUCER, W300 x H100 -&gt; W200 x H100</t>
  </si>
  <si>
    <t>REDUCER, W300 x H100 -&gt; W150 x H100</t>
  </si>
  <si>
    <t>2 Hole braket(W800)</t>
  </si>
  <si>
    <t>2 Hole braket(W600)</t>
  </si>
  <si>
    <t>2 Hole braket(W500)</t>
  </si>
  <si>
    <t>2 Hole braket(W400)</t>
  </si>
  <si>
    <t>2 Hole braket(W300)</t>
  </si>
  <si>
    <t>케이블 트레이 지지대(W1100)</t>
  </si>
  <si>
    <t>케이블 트레이 지지대(W900)</t>
  </si>
  <si>
    <t>케이블 트레이 지지대(W800)</t>
  </si>
  <si>
    <t>케이블 트레이 지지대(W700)</t>
  </si>
  <si>
    <t>케이블 트레이 지지대(W600)</t>
  </si>
  <si>
    <t>케이블 트레이 지지대(W500)</t>
  </si>
  <si>
    <t>케이블 트레이 지지대(W400)</t>
  </si>
  <si>
    <t>케이블 트레이 지지대(W300)</t>
  </si>
  <si>
    <t>JOINT CONNECTOR, 100H</t>
  </si>
  <si>
    <t>Hold down clamp, 아연도</t>
  </si>
  <si>
    <t>GROUNDING JUMPER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</si>
</sst>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"/>
  </numFmts>
  <fonts count="18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215C9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</font>
    <font>
      <b/>
      <sz val="1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3" tint="0.249977111117893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0F9ED5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/>
    </xf>
    <xf numFmtId="0" fontId="4" fillId="7" borderId="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7" borderId="3" xfId="0" applyFont="1" applyFill="1" applyBorder="1" applyAlignment="1">
      <alignment horizontal="center" vertical="top"/>
    </xf>
    <xf numFmtId="0" fontId="2" fillId="0" borderId="0" xfId="0" applyFont="1" applyAlignment="1"/>
    <xf numFmtId="0" fontId="4" fillId="7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/>
    </xf>
    <xf numFmtId="0" fontId="5" fillId="8" borderId="2" xfId="0" applyFont="1" applyFill="1" applyBorder="1" applyAlignment="1">
      <alignment horizontal="center" vertical="top"/>
    </xf>
    <xf numFmtId="0" fontId="4" fillId="9" borderId="2" xfId="0" applyFont="1" applyFill="1" applyBorder="1" applyAlignment="1">
      <alignment horizontal="center" vertical="top"/>
    </xf>
    <xf numFmtId="0" fontId="2" fillId="10" borderId="4" xfId="1" applyFont="1" applyFill="1" applyBorder="1" applyAlignment="1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14" fontId="8" fillId="0" borderId="0" xfId="0" applyNumberFormat="1" applyFont="1">
      <alignment vertical="center"/>
    </xf>
    <xf numFmtId="0" fontId="8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1" fillId="3" borderId="0" xfId="0" applyFont="1" applyFill="1">
      <alignment vertical="center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1" fillId="4" borderId="0" xfId="0" applyFont="1" applyFill="1">
      <alignment vertical="center"/>
    </xf>
    <xf numFmtId="0" fontId="11" fillId="4" borderId="0" xfId="0" applyFont="1" applyFill="1" applyAlignment="1">
      <alignment horizontal="left" vertical="center"/>
    </xf>
    <xf numFmtId="0" fontId="11" fillId="5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11" borderId="0" xfId="0" applyFont="1" applyFill="1" applyAlignment="1"/>
    <xf numFmtId="0" fontId="4" fillId="12" borderId="2" xfId="0" applyFont="1" applyFill="1" applyBorder="1" applyAlignment="1">
      <alignment horizontal="center" vertical="top" wrapText="1"/>
    </xf>
    <xf numFmtId="0" fontId="13" fillId="13" borderId="2" xfId="0" applyFont="1" applyFill="1" applyBorder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>
      <alignment vertical="center"/>
    </xf>
    <xf numFmtId="0" fontId="11" fillId="5" borderId="0" xfId="0" quotePrefix="1" applyFont="1" applyFill="1">
      <alignment vertical="center"/>
    </xf>
    <xf numFmtId="0" fontId="1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4" fillId="8" borderId="4" xfId="0" applyFont="1" applyFill="1" applyBorder="1" applyAlignment="1">
      <alignment horizontal="center" vertical="top"/>
    </xf>
    <xf numFmtId="0" fontId="5" fillId="8" borderId="5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9" borderId="4" xfId="0" applyFont="1" applyFill="1" applyBorder="1" applyAlignment="1">
      <alignment horizontal="center" vertical="top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top"/>
    </xf>
    <xf numFmtId="0" fontId="5" fillId="8" borderId="4" xfId="0" applyFont="1" applyFill="1" applyBorder="1" applyAlignment="1">
      <alignment horizontal="center" vertical="top"/>
    </xf>
    <xf numFmtId="0" fontId="17" fillId="9" borderId="4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BB90174A-6AF2-4EC8-BABA-28B3ABCEE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11FE-DCE9-4782-8AFA-91765583CFA0}">
  <sheetPr>
    <tabColor theme="0" tint="-0.249977111117893"/>
  </sheetPr>
  <dimension ref="B2:K175"/>
  <sheetViews>
    <sheetView zoomScale="70" zoomScaleNormal="70" workbookViewId="0">
      <selection activeCell="F65" sqref="F65"/>
    </sheetView>
  </sheetViews>
  <sheetFormatPr defaultRowHeight="16.5"/>
  <cols>
    <col min="1" max="1" width="9" style="20"/>
    <col min="2" max="2" width="17.375" style="20" bestFit="1" customWidth="1"/>
    <col min="3" max="3" width="14.75" style="20" bestFit="1" customWidth="1"/>
    <col min="4" max="4" width="11.75" style="20" bestFit="1" customWidth="1"/>
    <col min="5" max="5" width="11.375" style="20" bestFit="1" customWidth="1"/>
    <col min="6" max="7" width="46.125" style="20" bestFit="1" customWidth="1"/>
    <col min="8" max="8" width="10.625" style="20" bestFit="1" customWidth="1"/>
    <col min="9" max="9" width="7.125" style="20" bestFit="1" customWidth="1"/>
    <col min="10" max="10" width="11.5" style="20" bestFit="1" customWidth="1"/>
    <col min="11" max="11" width="13.25" style="20" bestFit="1" customWidth="1"/>
    <col min="12" max="16384" width="9" style="20"/>
  </cols>
  <sheetData>
    <row r="2" spans="2:11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</row>
    <row r="3" spans="2:11">
      <c r="B3" s="21" t="s">
        <v>10</v>
      </c>
      <c r="C3" s="22" t="s">
        <v>11</v>
      </c>
      <c r="D3" s="23" t="s">
        <v>12</v>
      </c>
      <c r="E3" s="24"/>
      <c r="F3" s="23" t="s">
        <v>13</v>
      </c>
      <c r="G3" s="23" t="s">
        <v>14</v>
      </c>
      <c r="H3" s="25">
        <v>1</v>
      </c>
      <c r="I3" s="25"/>
      <c r="J3" s="25">
        <v>1</v>
      </c>
      <c r="K3" s="24"/>
    </row>
    <row r="4" spans="2:11">
      <c r="B4" s="26" t="s">
        <v>10</v>
      </c>
      <c r="C4" s="26" t="s">
        <v>15</v>
      </c>
      <c r="D4" s="26" t="s">
        <v>16</v>
      </c>
      <c r="E4" s="27" t="s">
        <v>12</v>
      </c>
      <c r="F4" s="26" t="s">
        <v>17</v>
      </c>
      <c r="G4" s="26" t="s">
        <v>18</v>
      </c>
      <c r="H4" s="26">
        <v>2</v>
      </c>
      <c r="I4" s="26"/>
      <c r="J4" s="26">
        <v>1</v>
      </c>
      <c r="K4" s="26"/>
    </row>
    <row r="5" spans="2:11">
      <c r="B5" s="28" t="s">
        <v>10</v>
      </c>
      <c r="C5" s="28" t="s">
        <v>15</v>
      </c>
      <c r="D5" s="28" t="s">
        <v>19</v>
      </c>
      <c r="E5" s="28" t="s">
        <v>16</v>
      </c>
      <c r="F5" s="28" t="s">
        <v>20</v>
      </c>
      <c r="G5" s="28" t="s">
        <v>20</v>
      </c>
      <c r="H5" s="28">
        <v>3</v>
      </c>
      <c r="I5" s="28" t="b">
        <v>1</v>
      </c>
      <c r="J5" s="28">
        <v>1</v>
      </c>
      <c r="K5" s="28"/>
    </row>
    <row r="6" spans="2:11">
      <c r="B6" s="28" t="s">
        <v>10</v>
      </c>
      <c r="C6" s="28" t="s">
        <v>15</v>
      </c>
      <c r="D6" s="28" t="s">
        <v>21</v>
      </c>
      <c r="E6" s="28" t="s">
        <v>16</v>
      </c>
      <c r="F6" s="28" t="s">
        <v>22</v>
      </c>
      <c r="G6" s="28" t="s">
        <v>22</v>
      </c>
      <c r="H6" s="28">
        <v>3</v>
      </c>
      <c r="I6" s="28"/>
      <c r="J6" s="28">
        <v>2</v>
      </c>
      <c r="K6" s="28"/>
    </row>
    <row r="7" spans="2:11">
      <c r="B7" s="29" t="s">
        <v>10</v>
      </c>
      <c r="C7" s="29" t="s">
        <v>15</v>
      </c>
      <c r="D7" s="29" t="s">
        <v>23</v>
      </c>
      <c r="E7" s="29" t="s">
        <v>21</v>
      </c>
      <c r="F7" s="29" t="s">
        <v>22</v>
      </c>
      <c r="G7" s="29" t="s">
        <v>22</v>
      </c>
      <c r="H7" s="29">
        <v>4</v>
      </c>
      <c r="I7" s="29" t="b">
        <v>1</v>
      </c>
      <c r="J7" s="29">
        <v>1</v>
      </c>
      <c r="K7" s="29"/>
    </row>
    <row r="8" spans="2:11">
      <c r="B8" s="29" t="s">
        <v>10</v>
      </c>
      <c r="C8" s="29" t="s">
        <v>15</v>
      </c>
      <c r="D8" s="29" t="s">
        <v>24</v>
      </c>
      <c r="E8" s="29" t="s">
        <v>21</v>
      </c>
      <c r="F8" s="29" t="s">
        <v>25</v>
      </c>
      <c r="G8" s="29" t="s">
        <v>25</v>
      </c>
      <c r="H8" s="29">
        <v>4</v>
      </c>
      <c r="I8" s="29" t="b">
        <v>1</v>
      </c>
      <c r="J8" s="29">
        <v>2</v>
      </c>
      <c r="K8" s="29"/>
    </row>
    <row r="9" spans="2:11">
      <c r="B9" s="28" t="s">
        <v>10</v>
      </c>
      <c r="C9" s="28" t="s">
        <v>15</v>
      </c>
      <c r="D9" s="28" t="s">
        <v>26</v>
      </c>
      <c r="E9" s="28" t="s">
        <v>16</v>
      </c>
      <c r="F9" s="28" t="s">
        <v>27</v>
      </c>
      <c r="G9" s="28" t="s">
        <v>27</v>
      </c>
      <c r="H9" s="28">
        <v>3</v>
      </c>
      <c r="I9" s="28" t="b">
        <v>1</v>
      </c>
      <c r="J9" s="28">
        <v>3</v>
      </c>
      <c r="K9" s="28"/>
    </row>
    <row r="10" spans="2:11">
      <c r="B10" s="28" t="s">
        <v>10</v>
      </c>
      <c r="C10" s="28" t="s">
        <v>15</v>
      </c>
      <c r="D10" s="28" t="s">
        <v>28</v>
      </c>
      <c r="E10" s="28" t="s">
        <v>16</v>
      </c>
      <c r="F10" s="28" t="s">
        <v>29</v>
      </c>
      <c r="G10" s="28" t="s">
        <v>29</v>
      </c>
      <c r="H10" s="28">
        <v>3</v>
      </c>
      <c r="I10" s="28" t="b">
        <v>1</v>
      </c>
      <c r="J10" s="28">
        <v>3</v>
      </c>
      <c r="K10" s="28"/>
    </row>
    <row r="11" spans="2:11">
      <c r="B11" s="28" t="s">
        <v>10</v>
      </c>
      <c r="C11" s="28" t="s">
        <v>15</v>
      </c>
      <c r="D11" s="28" t="s">
        <v>30</v>
      </c>
      <c r="E11" s="28" t="s">
        <v>16</v>
      </c>
      <c r="F11" s="28" t="s">
        <v>31</v>
      </c>
      <c r="G11" s="28" t="s">
        <v>32</v>
      </c>
      <c r="H11" s="28">
        <v>3</v>
      </c>
      <c r="I11" s="28" t="b">
        <v>1</v>
      </c>
      <c r="J11" s="28">
        <v>4</v>
      </c>
      <c r="K11" s="28"/>
    </row>
    <row r="12" spans="2:11">
      <c r="B12" s="26" t="s">
        <v>10</v>
      </c>
      <c r="C12" s="26" t="s">
        <v>33</v>
      </c>
      <c r="D12" s="26" t="s">
        <v>34</v>
      </c>
      <c r="E12" s="26" t="s">
        <v>12</v>
      </c>
      <c r="F12" s="26" t="s">
        <v>35</v>
      </c>
      <c r="G12" s="26" t="s">
        <v>36</v>
      </c>
      <c r="H12" s="26">
        <v>2</v>
      </c>
      <c r="I12" s="26"/>
      <c r="J12" s="26">
        <v>2</v>
      </c>
      <c r="K12" s="26"/>
    </row>
    <row r="13" spans="2:11">
      <c r="B13" s="28" t="s">
        <v>10</v>
      </c>
      <c r="C13" s="28" t="s">
        <v>33</v>
      </c>
      <c r="D13" s="28" t="s">
        <v>37</v>
      </c>
      <c r="E13" s="28" t="s">
        <v>34</v>
      </c>
      <c r="F13" s="28" t="s">
        <v>38</v>
      </c>
      <c r="G13" s="28" t="s">
        <v>38</v>
      </c>
      <c r="H13" s="28">
        <v>3</v>
      </c>
      <c r="I13" s="28"/>
      <c r="J13" s="28">
        <v>1</v>
      </c>
      <c r="K13" s="28"/>
    </row>
    <row r="14" spans="2:11">
      <c r="B14" s="29" t="s">
        <v>10</v>
      </c>
      <c r="C14" s="29" t="s">
        <v>33</v>
      </c>
      <c r="D14" s="29" t="s">
        <v>39</v>
      </c>
      <c r="E14" s="29" t="s">
        <v>37</v>
      </c>
      <c r="F14" s="29" t="s">
        <v>40</v>
      </c>
      <c r="G14" s="29" t="s">
        <v>40</v>
      </c>
      <c r="H14" s="29">
        <v>4</v>
      </c>
      <c r="I14" s="29" t="b">
        <v>1</v>
      </c>
      <c r="J14" s="29">
        <v>1</v>
      </c>
      <c r="K14" s="29"/>
    </row>
    <row r="15" spans="2:11">
      <c r="B15" s="29" t="s">
        <v>10</v>
      </c>
      <c r="C15" s="29" t="s">
        <v>33</v>
      </c>
      <c r="D15" s="29" t="s">
        <v>41</v>
      </c>
      <c r="E15" s="29" t="s">
        <v>37</v>
      </c>
      <c r="F15" s="29" t="s">
        <v>42</v>
      </c>
      <c r="G15" s="29" t="s">
        <v>42</v>
      </c>
      <c r="H15" s="29">
        <v>4</v>
      </c>
      <c r="I15" s="29" t="b">
        <v>0</v>
      </c>
      <c r="J15" s="29">
        <v>2</v>
      </c>
      <c r="K15" s="29"/>
    </row>
    <row r="16" spans="2:11">
      <c r="B16" s="28" t="s">
        <v>10</v>
      </c>
      <c r="C16" s="28" t="s">
        <v>33</v>
      </c>
      <c r="D16" s="28" t="s">
        <v>43</v>
      </c>
      <c r="E16" s="28" t="s">
        <v>34</v>
      </c>
      <c r="F16" s="28" t="s">
        <v>44</v>
      </c>
      <c r="G16" s="28" t="s">
        <v>44</v>
      </c>
      <c r="H16" s="28">
        <v>3</v>
      </c>
      <c r="I16" s="28" t="b">
        <v>0</v>
      </c>
      <c r="J16" s="28">
        <v>2</v>
      </c>
      <c r="K16" s="28"/>
    </row>
    <row r="17" spans="2:11">
      <c r="B17" s="28" t="s">
        <v>10</v>
      </c>
      <c r="C17" s="28" t="s">
        <v>33</v>
      </c>
      <c r="D17" s="28" t="s">
        <v>45</v>
      </c>
      <c r="E17" s="28" t="s">
        <v>34</v>
      </c>
      <c r="F17" s="28" t="s">
        <v>46</v>
      </c>
      <c r="G17" s="28" t="s">
        <v>47</v>
      </c>
      <c r="H17" s="28">
        <v>3</v>
      </c>
      <c r="I17" s="28" t="b">
        <v>1</v>
      </c>
      <c r="J17" s="28">
        <v>3</v>
      </c>
      <c r="K17" s="28"/>
    </row>
    <row r="18" spans="2:11">
      <c r="B18" s="26" t="s">
        <v>10</v>
      </c>
      <c r="C18" s="26" t="s">
        <v>48</v>
      </c>
      <c r="D18" s="26" t="s">
        <v>49</v>
      </c>
      <c r="E18" s="26" t="s">
        <v>12</v>
      </c>
      <c r="F18" s="26" t="s">
        <v>50</v>
      </c>
      <c r="G18" s="26" t="s">
        <v>51</v>
      </c>
      <c r="H18" s="26">
        <v>2</v>
      </c>
      <c r="I18" s="26"/>
      <c r="J18" s="26">
        <v>3</v>
      </c>
      <c r="K18" s="26"/>
    </row>
    <row r="19" spans="2:11">
      <c r="B19" s="28" t="s">
        <v>10</v>
      </c>
      <c r="C19" s="28" t="s">
        <v>48</v>
      </c>
      <c r="D19" s="28" t="s">
        <v>52</v>
      </c>
      <c r="E19" s="28" t="s">
        <v>49</v>
      </c>
      <c r="F19" s="28" t="s">
        <v>53</v>
      </c>
      <c r="G19" s="28" t="s">
        <v>53</v>
      </c>
      <c r="H19" s="28">
        <v>3</v>
      </c>
      <c r="I19" s="28"/>
      <c r="J19" s="28">
        <v>1</v>
      </c>
      <c r="K19" s="28"/>
    </row>
    <row r="20" spans="2:11">
      <c r="B20" s="29" t="s">
        <v>10</v>
      </c>
      <c r="C20" s="29" t="s">
        <v>48</v>
      </c>
      <c r="D20" s="29" t="s">
        <v>54</v>
      </c>
      <c r="E20" s="29" t="s">
        <v>52</v>
      </c>
      <c r="F20" s="29" t="s">
        <v>55</v>
      </c>
      <c r="G20" s="29" t="s">
        <v>55</v>
      </c>
      <c r="H20" s="29">
        <v>4</v>
      </c>
      <c r="I20" s="29" t="b">
        <v>0</v>
      </c>
      <c r="J20" s="29">
        <v>1</v>
      </c>
      <c r="K20" s="29"/>
    </row>
    <row r="21" spans="2:11">
      <c r="B21" s="29" t="s">
        <v>10</v>
      </c>
      <c r="C21" s="29" t="s">
        <v>48</v>
      </c>
      <c r="D21" s="29" t="s">
        <v>56</v>
      </c>
      <c r="E21" s="29" t="s">
        <v>52</v>
      </c>
      <c r="F21" s="29" t="s">
        <v>57</v>
      </c>
      <c r="G21" s="29" t="s">
        <v>57</v>
      </c>
      <c r="H21" s="29">
        <v>4</v>
      </c>
      <c r="I21" s="29" t="b">
        <v>0</v>
      </c>
      <c r="J21" s="29">
        <v>2</v>
      </c>
      <c r="K21" s="29"/>
    </row>
    <row r="22" spans="2:11">
      <c r="B22" s="29" t="s">
        <v>10</v>
      </c>
      <c r="C22" s="29" t="s">
        <v>48</v>
      </c>
      <c r="D22" s="29" t="s">
        <v>58</v>
      </c>
      <c r="E22" s="29" t="s">
        <v>52</v>
      </c>
      <c r="F22" s="29" t="s">
        <v>59</v>
      </c>
      <c r="G22" s="29" t="s">
        <v>59</v>
      </c>
      <c r="H22" s="29">
        <v>4</v>
      </c>
      <c r="I22" s="29" t="b">
        <v>0</v>
      </c>
      <c r="J22" s="29">
        <v>3</v>
      </c>
      <c r="K22" s="29"/>
    </row>
    <row r="23" spans="2:11">
      <c r="B23" s="28" t="s">
        <v>10</v>
      </c>
      <c r="C23" s="28" t="s">
        <v>48</v>
      </c>
      <c r="D23" s="28" t="s">
        <v>60</v>
      </c>
      <c r="E23" s="28" t="s">
        <v>49</v>
      </c>
      <c r="F23" s="28" t="s">
        <v>61</v>
      </c>
      <c r="G23" s="28" t="s">
        <v>61</v>
      </c>
      <c r="H23" s="28">
        <v>3</v>
      </c>
      <c r="I23" s="28"/>
      <c r="J23" s="28">
        <v>2</v>
      </c>
      <c r="K23" s="28"/>
    </row>
    <row r="24" spans="2:11">
      <c r="B24" s="29" t="s">
        <v>10</v>
      </c>
      <c r="C24" s="29" t="s">
        <v>48</v>
      </c>
      <c r="D24" s="29" t="s">
        <v>62</v>
      </c>
      <c r="E24" s="29" t="s">
        <v>60</v>
      </c>
      <c r="F24" s="29" t="s">
        <v>63</v>
      </c>
      <c r="G24" s="29" t="s">
        <v>63</v>
      </c>
      <c r="H24" s="29">
        <v>4</v>
      </c>
      <c r="I24" s="29" t="b">
        <v>1</v>
      </c>
      <c r="J24" s="29">
        <v>1</v>
      </c>
      <c r="K24" s="29"/>
    </row>
    <row r="25" spans="2:11">
      <c r="B25" s="29" t="s">
        <v>10</v>
      </c>
      <c r="C25" s="29" t="s">
        <v>48</v>
      </c>
      <c r="D25" s="29" t="s">
        <v>64</v>
      </c>
      <c r="E25" s="29" t="s">
        <v>60</v>
      </c>
      <c r="F25" s="29" t="s">
        <v>65</v>
      </c>
      <c r="G25" s="29" t="s">
        <v>65</v>
      </c>
      <c r="H25" s="29">
        <v>4</v>
      </c>
      <c r="I25" s="29" t="b">
        <v>1</v>
      </c>
      <c r="J25" s="29">
        <v>2</v>
      </c>
      <c r="K25" s="29"/>
    </row>
    <row r="26" spans="2:11">
      <c r="B26" s="28" t="s">
        <v>10</v>
      </c>
      <c r="C26" s="28" t="s">
        <v>48</v>
      </c>
      <c r="D26" s="28" t="s">
        <v>66</v>
      </c>
      <c r="E26" s="28" t="s">
        <v>49</v>
      </c>
      <c r="F26" s="28" t="s">
        <v>67</v>
      </c>
      <c r="G26" s="28" t="s">
        <v>68</v>
      </c>
      <c r="H26" s="28">
        <v>3</v>
      </c>
      <c r="I26" s="28" t="b">
        <v>1</v>
      </c>
      <c r="J26" s="28">
        <v>3</v>
      </c>
      <c r="K26" s="28"/>
    </row>
    <row r="27" spans="2:11">
      <c r="B27" s="26" t="s">
        <v>10</v>
      </c>
      <c r="C27" s="26" t="s">
        <v>69</v>
      </c>
      <c r="D27" s="26" t="s">
        <v>70</v>
      </c>
      <c r="E27" s="26" t="s">
        <v>12</v>
      </c>
      <c r="F27" s="26" t="s">
        <v>71</v>
      </c>
      <c r="G27" s="26" t="s">
        <v>71</v>
      </c>
      <c r="H27" s="26">
        <v>2</v>
      </c>
      <c r="I27" s="26"/>
      <c r="J27" s="26">
        <v>4</v>
      </c>
      <c r="K27" s="26"/>
    </row>
    <row r="28" spans="2:11">
      <c r="B28" s="28" t="s">
        <v>10</v>
      </c>
      <c r="C28" s="28" t="s">
        <v>69</v>
      </c>
      <c r="D28" s="28" t="s">
        <v>72</v>
      </c>
      <c r="E28" s="28" t="s">
        <v>70</v>
      </c>
      <c r="F28" s="28" t="s">
        <v>73</v>
      </c>
      <c r="G28" s="28" t="s">
        <v>73</v>
      </c>
      <c r="H28" s="28">
        <v>3</v>
      </c>
      <c r="I28" s="28"/>
      <c r="J28" s="28">
        <v>1</v>
      </c>
      <c r="K28" s="28"/>
    </row>
    <row r="29" spans="2:11">
      <c r="B29" s="29" t="s">
        <v>10</v>
      </c>
      <c r="C29" s="29" t="s">
        <v>48</v>
      </c>
      <c r="D29" s="29" t="s">
        <v>74</v>
      </c>
      <c r="E29" s="29" t="s">
        <v>72</v>
      </c>
      <c r="F29" s="29" t="s">
        <v>75</v>
      </c>
      <c r="G29" s="29" t="s">
        <v>75</v>
      </c>
      <c r="H29" s="29">
        <v>4</v>
      </c>
      <c r="I29" s="29" t="b">
        <v>0</v>
      </c>
      <c r="J29" s="29">
        <v>1</v>
      </c>
      <c r="K29" s="29"/>
    </row>
    <row r="30" spans="2:11">
      <c r="B30" s="29" t="s">
        <v>10</v>
      </c>
      <c r="C30" s="29" t="s">
        <v>48</v>
      </c>
      <c r="D30" s="29" t="s">
        <v>76</v>
      </c>
      <c r="E30" s="29" t="s">
        <v>72</v>
      </c>
      <c r="F30" s="29" t="s">
        <v>77</v>
      </c>
      <c r="G30" s="29" t="s">
        <v>77</v>
      </c>
      <c r="H30" s="29">
        <v>4</v>
      </c>
      <c r="I30" s="29" t="b">
        <v>1</v>
      </c>
      <c r="J30" s="29">
        <v>2</v>
      </c>
      <c r="K30" s="29"/>
    </row>
    <row r="31" spans="2:11">
      <c r="B31" s="28" t="s">
        <v>10</v>
      </c>
      <c r="C31" s="28" t="s">
        <v>69</v>
      </c>
      <c r="D31" s="28" t="s">
        <v>78</v>
      </c>
      <c r="E31" s="28" t="s">
        <v>70</v>
      </c>
      <c r="F31" s="28" t="s">
        <v>79</v>
      </c>
      <c r="G31" s="28" t="s">
        <v>79</v>
      </c>
      <c r="H31" s="28">
        <v>3</v>
      </c>
      <c r="I31" s="28" t="b">
        <v>0</v>
      </c>
      <c r="J31" s="28">
        <v>2</v>
      </c>
      <c r="K31" s="28"/>
    </row>
    <row r="32" spans="2:11">
      <c r="B32" s="28" t="s">
        <v>10</v>
      </c>
      <c r="C32" s="28" t="s">
        <v>69</v>
      </c>
      <c r="D32" s="28" t="s">
        <v>80</v>
      </c>
      <c r="E32" s="28" t="s">
        <v>70</v>
      </c>
      <c r="F32" s="28" t="s">
        <v>81</v>
      </c>
      <c r="G32" s="28" t="s">
        <v>81</v>
      </c>
      <c r="H32" s="28">
        <v>3</v>
      </c>
      <c r="I32" s="28" t="b">
        <v>1</v>
      </c>
      <c r="J32" s="28">
        <v>3</v>
      </c>
      <c r="K32" s="28"/>
    </row>
    <row r="33" spans="2:11">
      <c r="B33" s="28" t="s">
        <v>10</v>
      </c>
      <c r="C33" s="28" t="s">
        <v>69</v>
      </c>
      <c r="D33" s="28" t="s">
        <v>82</v>
      </c>
      <c r="E33" s="28" t="s">
        <v>70</v>
      </c>
      <c r="F33" s="28" t="s">
        <v>83</v>
      </c>
      <c r="G33" s="28" t="s">
        <v>83</v>
      </c>
      <c r="H33" s="28">
        <v>3</v>
      </c>
      <c r="I33" s="28" t="b">
        <v>1</v>
      </c>
      <c r="J33" s="28">
        <v>4</v>
      </c>
      <c r="K33" s="28"/>
    </row>
    <row r="34" spans="2:11">
      <c r="B34" s="26" t="s">
        <v>10</v>
      </c>
      <c r="C34" s="26" t="s">
        <v>84</v>
      </c>
      <c r="D34" s="26" t="s">
        <v>85</v>
      </c>
      <c r="E34" s="26" t="s">
        <v>12</v>
      </c>
      <c r="F34" s="26" t="s">
        <v>86</v>
      </c>
      <c r="G34" s="26" t="s">
        <v>87</v>
      </c>
      <c r="H34" s="26">
        <v>2</v>
      </c>
      <c r="I34" s="26"/>
      <c r="J34" s="26">
        <v>5</v>
      </c>
      <c r="K34" s="26"/>
    </row>
    <row r="35" spans="2:11">
      <c r="B35" s="28" t="s">
        <v>10</v>
      </c>
      <c r="C35" s="28" t="s">
        <v>84</v>
      </c>
      <c r="D35" s="28" t="s">
        <v>88</v>
      </c>
      <c r="E35" s="28" t="s">
        <v>85</v>
      </c>
      <c r="F35" s="28" t="s">
        <v>89</v>
      </c>
      <c r="G35" s="28" t="s">
        <v>89</v>
      </c>
      <c r="H35" s="28">
        <v>3</v>
      </c>
      <c r="I35" s="28"/>
      <c r="J35" s="28">
        <v>1</v>
      </c>
      <c r="K35" s="28"/>
    </row>
    <row r="36" spans="2:11">
      <c r="B36" s="29" t="s">
        <v>10</v>
      </c>
      <c r="C36" s="29" t="s">
        <v>84</v>
      </c>
      <c r="D36" s="29" t="s">
        <v>90</v>
      </c>
      <c r="E36" s="29" t="s">
        <v>88</v>
      </c>
      <c r="F36" s="29" t="s">
        <v>91</v>
      </c>
      <c r="G36" s="29" t="s">
        <v>91</v>
      </c>
      <c r="H36" s="29">
        <v>4</v>
      </c>
      <c r="I36" s="29" t="b">
        <v>1</v>
      </c>
      <c r="J36" s="29">
        <v>1</v>
      </c>
      <c r="K36" s="29"/>
    </row>
    <row r="37" spans="2:11">
      <c r="B37" s="29" t="s">
        <v>10</v>
      </c>
      <c r="C37" s="29" t="s">
        <v>84</v>
      </c>
      <c r="D37" s="29" t="s">
        <v>92</v>
      </c>
      <c r="E37" s="29" t="s">
        <v>88</v>
      </c>
      <c r="F37" s="29" t="s">
        <v>93</v>
      </c>
      <c r="G37" s="29" t="s">
        <v>93</v>
      </c>
      <c r="H37" s="29">
        <v>4</v>
      </c>
      <c r="I37" s="29" t="b">
        <v>0</v>
      </c>
      <c r="J37" s="29">
        <v>2</v>
      </c>
      <c r="K37" s="29"/>
    </row>
    <row r="38" spans="2:11">
      <c r="B38" s="28" t="s">
        <v>10</v>
      </c>
      <c r="C38" s="28" t="s">
        <v>84</v>
      </c>
      <c r="D38" s="28" t="s">
        <v>94</v>
      </c>
      <c r="E38" s="28" t="s">
        <v>85</v>
      </c>
      <c r="F38" s="28" t="s">
        <v>95</v>
      </c>
      <c r="G38" s="28" t="s">
        <v>95</v>
      </c>
      <c r="H38" s="28">
        <v>3</v>
      </c>
      <c r="I38" s="28"/>
      <c r="J38" s="28">
        <v>2</v>
      </c>
      <c r="K38" s="28"/>
    </row>
    <row r="39" spans="2:11">
      <c r="B39" s="29" t="s">
        <v>10</v>
      </c>
      <c r="C39" s="29" t="s">
        <v>84</v>
      </c>
      <c r="D39" s="29" t="s">
        <v>96</v>
      </c>
      <c r="E39" s="29" t="s">
        <v>94</v>
      </c>
      <c r="F39" s="29" t="s">
        <v>97</v>
      </c>
      <c r="G39" s="29" t="s">
        <v>97</v>
      </c>
      <c r="H39" s="29">
        <v>4</v>
      </c>
      <c r="I39" s="29" t="b">
        <v>1</v>
      </c>
      <c r="J39" s="29">
        <v>1</v>
      </c>
      <c r="K39" s="29"/>
    </row>
    <row r="40" spans="2:11">
      <c r="B40" s="29" t="s">
        <v>10</v>
      </c>
      <c r="C40" s="29" t="s">
        <v>84</v>
      </c>
      <c r="D40" s="29" t="s">
        <v>98</v>
      </c>
      <c r="E40" s="29" t="s">
        <v>94</v>
      </c>
      <c r="F40" s="29" t="s">
        <v>99</v>
      </c>
      <c r="G40" s="29" t="s">
        <v>99</v>
      </c>
      <c r="H40" s="29">
        <v>4</v>
      </c>
      <c r="I40" s="29" t="b">
        <v>0</v>
      </c>
      <c r="J40" s="29">
        <v>2</v>
      </c>
      <c r="K40" s="29"/>
    </row>
    <row r="41" spans="2:11">
      <c r="B41" s="28" t="s">
        <v>10</v>
      </c>
      <c r="C41" s="28" t="s">
        <v>84</v>
      </c>
      <c r="D41" s="28" t="s">
        <v>100</v>
      </c>
      <c r="E41" s="28" t="s">
        <v>85</v>
      </c>
      <c r="F41" s="28" t="s">
        <v>101</v>
      </c>
      <c r="G41" s="28" t="s">
        <v>102</v>
      </c>
      <c r="H41" s="28">
        <v>3</v>
      </c>
      <c r="I41" s="28" t="b">
        <v>1</v>
      </c>
      <c r="J41" s="28">
        <v>3</v>
      </c>
      <c r="K41" s="28"/>
    </row>
    <row r="42" spans="2:11">
      <c r="B42" s="26" t="s">
        <v>10</v>
      </c>
      <c r="C42" s="26" t="s">
        <v>103</v>
      </c>
      <c r="D42" s="26" t="s">
        <v>104</v>
      </c>
      <c r="E42" s="26" t="s">
        <v>12</v>
      </c>
      <c r="F42" s="26" t="s">
        <v>105</v>
      </c>
      <c r="G42" s="26" t="s">
        <v>106</v>
      </c>
      <c r="H42" s="26">
        <v>2</v>
      </c>
      <c r="I42" s="26"/>
      <c r="J42" s="26">
        <v>6</v>
      </c>
      <c r="K42" s="26"/>
    </row>
    <row r="43" spans="2:11">
      <c r="B43" s="28" t="s">
        <v>10</v>
      </c>
      <c r="C43" s="37" t="s">
        <v>107</v>
      </c>
      <c r="D43" s="28" t="s">
        <v>108</v>
      </c>
      <c r="E43" s="28" t="s">
        <v>104</v>
      </c>
      <c r="F43" s="28" t="s">
        <v>109</v>
      </c>
      <c r="G43" s="28" t="s">
        <v>109</v>
      </c>
      <c r="H43" s="28">
        <v>3</v>
      </c>
      <c r="I43" s="28"/>
      <c r="J43" s="28">
        <v>1</v>
      </c>
      <c r="K43" s="28"/>
    </row>
    <row r="44" spans="2:11">
      <c r="B44" s="29" t="s">
        <v>10</v>
      </c>
      <c r="C44" s="29" t="s">
        <v>103</v>
      </c>
      <c r="D44" s="29" t="s">
        <v>110</v>
      </c>
      <c r="E44" s="29" t="s">
        <v>108</v>
      </c>
      <c r="F44" s="29" t="s">
        <v>111</v>
      </c>
      <c r="G44" s="29" t="s">
        <v>111</v>
      </c>
      <c r="H44" s="29">
        <v>4</v>
      </c>
      <c r="I44" s="29" t="b">
        <v>1</v>
      </c>
      <c r="J44" s="29">
        <v>1</v>
      </c>
      <c r="K44" s="29"/>
    </row>
    <row r="45" spans="2:11">
      <c r="B45" s="29" t="s">
        <v>10</v>
      </c>
      <c r="C45" s="29" t="s">
        <v>103</v>
      </c>
      <c r="D45" s="29" t="s">
        <v>112</v>
      </c>
      <c r="E45" s="29" t="s">
        <v>108</v>
      </c>
      <c r="F45" s="29" t="s">
        <v>113</v>
      </c>
      <c r="G45" s="29" t="s">
        <v>113</v>
      </c>
      <c r="H45" s="29">
        <v>4</v>
      </c>
      <c r="I45" s="29" t="b">
        <v>0</v>
      </c>
      <c r="J45" s="29">
        <v>2</v>
      </c>
      <c r="K45" s="29"/>
    </row>
    <row r="46" spans="2:11">
      <c r="B46" s="28" t="s">
        <v>10</v>
      </c>
      <c r="C46" s="28" t="s">
        <v>103</v>
      </c>
      <c r="D46" s="28" t="s">
        <v>114</v>
      </c>
      <c r="E46" s="28" t="s">
        <v>104</v>
      </c>
      <c r="F46" s="28" t="s">
        <v>115</v>
      </c>
      <c r="G46" s="28" t="s">
        <v>115</v>
      </c>
      <c r="H46" s="28">
        <v>3</v>
      </c>
      <c r="I46" s="28"/>
      <c r="J46" s="28">
        <v>2</v>
      </c>
      <c r="K46" s="28"/>
    </row>
    <row r="47" spans="2:11">
      <c r="B47" s="29" t="s">
        <v>10</v>
      </c>
      <c r="C47" s="29" t="s">
        <v>103</v>
      </c>
      <c r="D47" s="29" t="s">
        <v>116</v>
      </c>
      <c r="E47" s="29" t="s">
        <v>114</v>
      </c>
      <c r="F47" s="29" t="s">
        <v>117</v>
      </c>
      <c r="G47" s="29" t="s">
        <v>117</v>
      </c>
      <c r="H47" s="29">
        <v>4</v>
      </c>
      <c r="I47" s="29" t="b">
        <v>1</v>
      </c>
      <c r="J47" s="29">
        <v>1</v>
      </c>
      <c r="K47" s="29"/>
    </row>
    <row r="48" spans="2:11">
      <c r="B48" s="29" t="s">
        <v>10</v>
      </c>
      <c r="C48" s="29" t="s">
        <v>103</v>
      </c>
      <c r="D48" s="29" t="s">
        <v>118</v>
      </c>
      <c r="E48" s="29" t="s">
        <v>114</v>
      </c>
      <c r="F48" s="29" t="s">
        <v>119</v>
      </c>
      <c r="G48" s="29" t="s">
        <v>119</v>
      </c>
      <c r="H48" s="29">
        <v>4</v>
      </c>
      <c r="I48" s="29" t="b">
        <v>1</v>
      </c>
      <c r="J48" s="29">
        <v>2</v>
      </c>
      <c r="K48" s="29"/>
    </row>
    <row r="49" spans="2:11">
      <c r="B49" s="29" t="s">
        <v>10</v>
      </c>
      <c r="C49" s="29" t="s">
        <v>103</v>
      </c>
      <c r="D49" s="29" t="s">
        <v>120</v>
      </c>
      <c r="E49" s="29" t="s">
        <v>114</v>
      </c>
      <c r="F49" s="29" t="s">
        <v>121</v>
      </c>
      <c r="G49" s="29" t="s">
        <v>121</v>
      </c>
      <c r="H49" s="29">
        <v>4</v>
      </c>
      <c r="I49" s="29" t="b">
        <v>1</v>
      </c>
      <c r="J49" s="29">
        <v>3</v>
      </c>
      <c r="K49" s="29"/>
    </row>
    <row r="50" spans="2:11">
      <c r="B50" s="28" t="s">
        <v>10</v>
      </c>
      <c r="C50" s="28" t="s">
        <v>103</v>
      </c>
      <c r="D50" s="28" t="s">
        <v>122</v>
      </c>
      <c r="E50" s="28" t="s">
        <v>104</v>
      </c>
      <c r="F50" s="28" t="s">
        <v>123</v>
      </c>
      <c r="G50" s="28" t="s">
        <v>124</v>
      </c>
      <c r="H50" s="28">
        <v>3</v>
      </c>
      <c r="I50" s="28"/>
      <c r="J50" s="28">
        <v>3</v>
      </c>
      <c r="K50" s="28"/>
    </row>
    <row r="51" spans="2:11">
      <c r="B51" s="26" t="s">
        <v>10</v>
      </c>
      <c r="C51" s="26" t="s">
        <v>125</v>
      </c>
      <c r="D51" s="26" t="s">
        <v>126</v>
      </c>
      <c r="E51" s="26" t="s">
        <v>12</v>
      </c>
      <c r="F51" s="26" t="s">
        <v>127</v>
      </c>
      <c r="G51" s="26" t="s">
        <v>128</v>
      </c>
      <c r="H51" s="26">
        <v>2</v>
      </c>
      <c r="I51" s="26"/>
      <c r="J51" s="26">
        <v>7</v>
      </c>
      <c r="K51" s="26"/>
    </row>
    <row r="52" spans="2:11">
      <c r="B52" s="28" t="s">
        <v>10</v>
      </c>
      <c r="C52" s="28" t="s">
        <v>125</v>
      </c>
      <c r="D52" s="28" t="s">
        <v>129</v>
      </c>
      <c r="E52" s="28" t="s">
        <v>126</v>
      </c>
      <c r="F52" s="28" t="s">
        <v>130</v>
      </c>
      <c r="G52" s="28" t="s">
        <v>130</v>
      </c>
      <c r="H52" s="28">
        <v>3</v>
      </c>
      <c r="I52" s="28"/>
      <c r="J52" s="28">
        <v>1</v>
      </c>
      <c r="K52" s="28"/>
    </row>
    <row r="53" spans="2:11">
      <c r="B53" s="29" t="s">
        <v>10</v>
      </c>
      <c r="C53" s="29" t="s">
        <v>125</v>
      </c>
      <c r="D53" s="29" t="s">
        <v>131</v>
      </c>
      <c r="E53" s="29" t="s">
        <v>129</v>
      </c>
      <c r="F53" s="29" t="s">
        <v>130</v>
      </c>
      <c r="G53" s="29" t="s">
        <v>130</v>
      </c>
      <c r="H53" s="29">
        <v>4</v>
      </c>
      <c r="I53" s="29" t="b">
        <v>1</v>
      </c>
      <c r="J53" s="29">
        <v>1</v>
      </c>
      <c r="K53" s="29"/>
    </row>
    <row r="54" spans="2:11">
      <c r="B54" s="29" t="s">
        <v>10</v>
      </c>
      <c r="C54" s="29" t="s">
        <v>125</v>
      </c>
      <c r="D54" s="29" t="s">
        <v>132</v>
      </c>
      <c r="E54" s="29" t="s">
        <v>129</v>
      </c>
      <c r="F54" s="29" t="s">
        <v>133</v>
      </c>
      <c r="G54" s="29" t="s">
        <v>133</v>
      </c>
      <c r="H54" s="29">
        <v>4</v>
      </c>
      <c r="I54" s="29" t="b">
        <v>1</v>
      </c>
      <c r="J54" s="29">
        <v>2</v>
      </c>
      <c r="K54" s="29"/>
    </row>
    <row r="55" spans="2:11">
      <c r="B55" s="29" t="s">
        <v>10</v>
      </c>
      <c r="C55" s="29" t="s">
        <v>125</v>
      </c>
      <c r="D55" s="29" t="s">
        <v>134</v>
      </c>
      <c r="E55" s="29" t="s">
        <v>129</v>
      </c>
      <c r="F55" s="29" t="s">
        <v>135</v>
      </c>
      <c r="G55" s="29" t="s">
        <v>135</v>
      </c>
      <c r="H55" s="29">
        <v>4</v>
      </c>
      <c r="I55" s="29" t="b">
        <v>1</v>
      </c>
      <c r="J55" s="29">
        <v>3</v>
      </c>
      <c r="K55" s="29"/>
    </row>
    <row r="56" spans="2:11">
      <c r="B56" s="28" t="s">
        <v>10</v>
      </c>
      <c r="C56" s="28" t="s">
        <v>125</v>
      </c>
      <c r="D56" s="28" t="s">
        <v>136</v>
      </c>
      <c r="E56" s="28" t="s">
        <v>126</v>
      </c>
      <c r="F56" s="28" t="s">
        <v>137</v>
      </c>
      <c r="G56" s="28" t="s">
        <v>137</v>
      </c>
      <c r="H56" s="28">
        <v>3</v>
      </c>
      <c r="I56" s="28"/>
      <c r="J56" s="28">
        <v>2</v>
      </c>
      <c r="K56" s="28"/>
    </row>
    <row r="57" spans="2:11">
      <c r="B57" s="29" t="s">
        <v>10</v>
      </c>
      <c r="C57" s="29" t="s">
        <v>125</v>
      </c>
      <c r="D57" s="29" t="s">
        <v>138</v>
      </c>
      <c r="E57" s="29" t="s">
        <v>136</v>
      </c>
      <c r="F57" s="29" t="s">
        <v>139</v>
      </c>
      <c r="G57" s="29" t="s">
        <v>139</v>
      </c>
      <c r="H57" s="29">
        <v>4</v>
      </c>
      <c r="I57" s="29" t="b">
        <v>1</v>
      </c>
      <c r="J57" s="29">
        <v>1</v>
      </c>
      <c r="K57" s="29"/>
    </row>
    <row r="58" spans="2:11">
      <c r="B58" s="29" t="s">
        <v>10</v>
      </c>
      <c r="C58" s="29" t="s">
        <v>125</v>
      </c>
      <c r="D58" s="29" t="s">
        <v>140</v>
      </c>
      <c r="E58" s="29" t="s">
        <v>136</v>
      </c>
      <c r="F58" s="29" t="s">
        <v>137</v>
      </c>
      <c r="G58" s="29" t="s">
        <v>137</v>
      </c>
      <c r="H58" s="29">
        <v>4</v>
      </c>
      <c r="I58" s="29" t="b">
        <v>1</v>
      </c>
      <c r="J58" s="29">
        <v>2</v>
      </c>
      <c r="K58" s="29"/>
    </row>
    <row r="59" spans="2:11">
      <c r="B59" s="28" t="s">
        <v>10</v>
      </c>
      <c r="C59" s="28" t="s">
        <v>125</v>
      </c>
      <c r="D59" s="28" t="s">
        <v>141</v>
      </c>
      <c r="E59" s="28" t="s">
        <v>126</v>
      </c>
      <c r="F59" s="28" t="s">
        <v>142</v>
      </c>
      <c r="G59" s="28" t="s">
        <v>143</v>
      </c>
      <c r="H59" s="28">
        <v>3</v>
      </c>
      <c r="I59" s="28" t="b">
        <v>1</v>
      </c>
      <c r="J59" s="28">
        <v>3</v>
      </c>
      <c r="K59" s="28"/>
    </row>
    <row r="60" spans="2:11">
      <c r="B60" s="26" t="s">
        <v>10</v>
      </c>
      <c r="C60" s="26" t="s">
        <v>144</v>
      </c>
      <c r="D60" s="26" t="s">
        <v>145</v>
      </c>
      <c r="E60" s="26" t="s">
        <v>12</v>
      </c>
      <c r="F60" s="26" t="s">
        <v>146</v>
      </c>
      <c r="G60" s="26" t="s">
        <v>147</v>
      </c>
      <c r="H60" s="26">
        <v>2</v>
      </c>
      <c r="I60" s="26"/>
      <c r="J60" s="26">
        <v>8</v>
      </c>
      <c r="K60" s="26"/>
    </row>
    <row r="61" spans="2:11">
      <c r="B61" s="28" t="s">
        <v>10</v>
      </c>
      <c r="C61" s="28" t="s">
        <v>144</v>
      </c>
      <c r="D61" s="28" t="s">
        <v>148</v>
      </c>
      <c r="E61" s="28" t="s">
        <v>145</v>
      </c>
      <c r="F61" s="28" t="s">
        <v>149</v>
      </c>
      <c r="G61" s="28" t="s">
        <v>149</v>
      </c>
      <c r="H61" s="28">
        <v>3</v>
      </c>
      <c r="I61" s="28"/>
      <c r="J61" s="28">
        <v>1</v>
      </c>
      <c r="K61" s="28"/>
    </row>
    <row r="62" spans="2:11">
      <c r="B62" s="29" t="s">
        <v>10</v>
      </c>
      <c r="C62" s="29" t="s">
        <v>144</v>
      </c>
      <c r="D62" s="29" t="s">
        <v>150</v>
      </c>
      <c r="E62" s="29" t="s">
        <v>148</v>
      </c>
      <c r="F62" s="29" t="s">
        <v>151</v>
      </c>
      <c r="G62" s="29" t="s">
        <v>151</v>
      </c>
      <c r="H62" s="29">
        <v>4</v>
      </c>
      <c r="I62" s="29" t="b">
        <v>1</v>
      </c>
      <c r="J62" s="29">
        <v>1</v>
      </c>
      <c r="K62" s="29"/>
    </row>
    <row r="63" spans="2:11">
      <c r="B63" s="29" t="s">
        <v>10</v>
      </c>
      <c r="C63" s="29" t="s">
        <v>144</v>
      </c>
      <c r="D63" s="29" t="s">
        <v>152</v>
      </c>
      <c r="E63" s="29" t="s">
        <v>148</v>
      </c>
      <c r="F63" s="29" t="s">
        <v>153</v>
      </c>
      <c r="G63" s="29" t="s">
        <v>153</v>
      </c>
      <c r="H63" s="29">
        <v>4</v>
      </c>
      <c r="I63" s="29" t="b">
        <v>0</v>
      </c>
      <c r="J63" s="29">
        <v>2</v>
      </c>
      <c r="K63" s="29"/>
    </row>
    <row r="64" spans="2:11">
      <c r="B64" s="28" t="s">
        <v>10</v>
      </c>
      <c r="C64" s="28" t="s">
        <v>144</v>
      </c>
      <c r="D64" s="28" t="s">
        <v>154</v>
      </c>
      <c r="E64" s="28" t="s">
        <v>145</v>
      </c>
      <c r="F64" s="28" t="s">
        <v>155</v>
      </c>
      <c r="G64" s="28" t="s">
        <v>155</v>
      </c>
      <c r="H64" s="28">
        <v>3</v>
      </c>
      <c r="I64" s="28"/>
      <c r="J64" s="28">
        <v>2</v>
      </c>
      <c r="K64" s="28"/>
    </row>
    <row r="65" spans="2:11">
      <c r="B65" s="29" t="s">
        <v>10</v>
      </c>
      <c r="C65" s="29" t="s">
        <v>144</v>
      </c>
      <c r="D65" s="29" t="s">
        <v>156</v>
      </c>
      <c r="E65" s="29" t="s">
        <v>154</v>
      </c>
      <c r="F65" s="29" t="s">
        <v>157</v>
      </c>
      <c r="G65" s="29" t="s">
        <v>157</v>
      </c>
      <c r="H65" s="29">
        <v>4</v>
      </c>
      <c r="I65" s="29" t="b">
        <v>1</v>
      </c>
      <c r="J65" s="29">
        <v>1</v>
      </c>
      <c r="K65" s="29"/>
    </row>
    <row r="66" spans="2:11">
      <c r="B66" s="28" t="s">
        <v>10</v>
      </c>
      <c r="C66" s="28" t="s">
        <v>144</v>
      </c>
      <c r="D66" s="28" t="s">
        <v>158</v>
      </c>
      <c r="E66" s="28" t="s">
        <v>145</v>
      </c>
      <c r="F66" s="28" t="s">
        <v>159</v>
      </c>
      <c r="G66" s="28" t="s">
        <v>160</v>
      </c>
      <c r="H66" s="28">
        <v>3</v>
      </c>
      <c r="I66" s="28" t="b">
        <v>1</v>
      </c>
      <c r="J66" s="28">
        <v>3</v>
      </c>
      <c r="K66" s="28"/>
    </row>
    <row r="67" spans="2:11">
      <c r="B67" s="26" t="s">
        <v>10</v>
      </c>
      <c r="C67" s="26" t="s">
        <v>161</v>
      </c>
      <c r="D67" s="26" t="s">
        <v>162</v>
      </c>
      <c r="E67" s="26" t="s">
        <v>12</v>
      </c>
      <c r="F67" s="26" t="s">
        <v>163</v>
      </c>
      <c r="G67" s="26" t="s">
        <v>164</v>
      </c>
      <c r="H67" s="26">
        <v>2</v>
      </c>
      <c r="I67" s="26"/>
      <c r="J67" s="26">
        <v>9</v>
      </c>
      <c r="K67" s="26"/>
    </row>
    <row r="68" spans="2:11">
      <c r="B68" s="28" t="s">
        <v>10</v>
      </c>
      <c r="C68" s="28" t="s">
        <v>161</v>
      </c>
      <c r="D68" s="28" t="s">
        <v>165</v>
      </c>
      <c r="E68" s="28" t="s">
        <v>162</v>
      </c>
      <c r="F68" s="28" t="s">
        <v>166</v>
      </c>
      <c r="G68" s="28" t="s">
        <v>166</v>
      </c>
      <c r="H68" s="28">
        <v>3</v>
      </c>
      <c r="I68" s="28"/>
      <c r="J68" s="28">
        <v>1</v>
      </c>
      <c r="K68" s="28"/>
    </row>
    <row r="69" spans="2:11">
      <c r="B69" s="29" t="s">
        <v>10</v>
      </c>
      <c r="C69" s="29" t="s">
        <v>161</v>
      </c>
      <c r="D69" s="29" t="s">
        <v>167</v>
      </c>
      <c r="E69" s="29" t="s">
        <v>165</v>
      </c>
      <c r="F69" s="29" t="s">
        <v>168</v>
      </c>
      <c r="G69" s="29" t="s">
        <v>168</v>
      </c>
      <c r="H69" s="29">
        <v>4</v>
      </c>
      <c r="I69" s="29" t="b">
        <v>1</v>
      </c>
      <c r="J69" s="29">
        <v>1</v>
      </c>
      <c r="K69" s="29"/>
    </row>
    <row r="70" spans="2:11">
      <c r="B70" s="28" t="s">
        <v>10</v>
      </c>
      <c r="C70" s="28" t="s">
        <v>161</v>
      </c>
      <c r="D70" s="28" t="s">
        <v>169</v>
      </c>
      <c r="E70" s="28" t="s">
        <v>162</v>
      </c>
      <c r="F70" s="28" t="s">
        <v>170</v>
      </c>
      <c r="G70" s="28" t="s">
        <v>170</v>
      </c>
      <c r="H70" s="28">
        <v>3</v>
      </c>
      <c r="I70" s="28"/>
      <c r="J70" s="28">
        <v>2</v>
      </c>
      <c r="K70" s="28"/>
    </row>
    <row r="71" spans="2:11">
      <c r="B71" s="29" t="s">
        <v>10</v>
      </c>
      <c r="C71" s="29" t="s">
        <v>161</v>
      </c>
      <c r="D71" s="29" t="s">
        <v>171</v>
      </c>
      <c r="E71" s="29" t="s">
        <v>169</v>
      </c>
      <c r="F71" s="29" t="s">
        <v>172</v>
      </c>
      <c r="G71" s="29" t="s">
        <v>172</v>
      </c>
      <c r="H71" s="29">
        <v>4</v>
      </c>
      <c r="I71" s="29" t="b">
        <v>1</v>
      </c>
      <c r="J71" s="29">
        <v>1</v>
      </c>
      <c r="K71" s="29"/>
    </row>
    <row r="72" spans="2:11">
      <c r="B72" s="29" t="s">
        <v>10</v>
      </c>
      <c r="C72" s="29" t="s">
        <v>161</v>
      </c>
      <c r="D72" s="29" t="s">
        <v>173</v>
      </c>
      <c r="E72" s="29" t="s">
        <v>169</v>
      </c>
      <c r="F72" s="29" t="s">
        <v>174</v>
      </c>
      <c r="G72" s="29" t="s">
        <v>174</v>
      </c>
      <c r="H72" s="29">
        <v>4</v>
      </c>
      <c r="I72" s="29" t="b">
        <v>1</v>
      </c>
      <c r="J72" s="29">
        <v>2</v>
      </c>
      <c r="K72" s="29"/>
    </row>
    <row r="73" spans="2:11">
      <c r="B73" s="29" t="s">
        <v>10</v>
      </c>
      <c r="C73" s="29" t="s">
        <v>161</v>
      </c>
      <c r="D73" s="29" t="s">
        <v>175</v>
      </c>
      <c r="E73" s="29" t="s">
        <v>169</v>
      </c>
      <c r="F73" s="29" t="s">
        <v>176</v>
      </c>
      <c r="G73" s="29" t="s">
        <v>176</v>
      </c>
      <c r="H73" s="29">
        <v>4</v>
      </c>
      <c r="I73" s="29" t="b">
        <v>1</v>
      </c>
      <c r="J73" s="29">
        <v>3</v>
      </c>
      <c r="K73" s="29"/>
    </row>
    <row r="74" spans="2:11">
      <c r="B74" s="29" t="s">
        <v>10</v>
      </c>
      <c r="C74" s="29" t="s">
        <v>161</v>
      </c>
      <c r="D74" s="29" t="s">
        <v>177</v>
      </c>
      <c r="E74" s="29" t="s">
        <v>169</v>
      </c>
      <c r="F74" s="29" t="s">
        <v>178</v>
      </c>
      <c r="G74" s="29" t="s">
        <v>178</v>
      </c>
      <c r="H74" s="29">
        <v>4</v>
      </c>
      <c r="I74" s="29" t="b">
        <v>1</v>
      </c>
      <c r="J74" s="29">
        <v>4</v>
      </c>
      <c r="K74" s="29"/>
    </row>
    <row r="75" spans="2:11">
      <c r="B75" s="29" t="s">
        <v>10</v>
      </c>
      <c r="C75" s="29" t="s">
        <v>161</v>
      </c>
      <c r="D75" s="29" t="s">
        <v>179</v>
      </c>
      <c r="E75" s="29" t="s">
        <v>169</v>
      </c>
      <c r="F75" s="29" t="s">
        <v>180</v>
      </c>
      <c r="G75" s="29" t="s">
        <v>180</v>
      </c>
      <c r="H75" s="29">
        <v>4</v>
      </c>
      <c r="I75" s="29" t="b">
        <v>1</v>
      </c>
      <c r="J75" s="29">
        <v>5</v>
      </c>
      <c r="K75" s="29"/>
    </row>
    <row r="76" spans="2:11">
      <c r="B76" s="28" t="s">
        <v>10</v>
      </c>
      <c r="C76" s="28" t="s">
        <v>161</v>
      </c>
      <c r="D76" s="28" t="s">
        <v>181</v>
      </c>
      <c r="E76" s="28" t="s">
        <v>162</v>
      </c>
      <c r="F76" s="28" t="s">
        <v>182</v>
      </c>
      <c r="G76" s="28" t="s">
        <v>183</v>
      </c>
      <c r="H76" s="28">
        <v>3</v>
      </c>
      <c r="I76" s="28" t="b">
        <v>1</v>
      </c>
      <c r="J76" s="28">
        <v>3</v>
      </c>
      <c r="K76" s="28"/>
    </row>
    <row r="77" spans="2:11">
      <c r="B77" s="26" t="s">
        <v>10</v>
      </c>
      <c r="C77" s="26" t="s">
        <v>184</v>
      </c>
      <c r="D77" s="26" t="s">
        <v>185</v>
      </c>
      <c r="E77" s="26" t="s">
        <v>12</v>
      </c>
      <c r="F77" s="26" t="s">
        <v>186</v>
      </c>
      <c r="G77" s="26" t="s">
        <v>187</v>
      </c>
      <c r="H77" s="26">
        <v>2</v>
      </c>
      <c r="I77" s="26"/>
      <c r="J77" s="26">
        <v>10</v>
      </c>
      <c r="K77" s="26"/>
    </row>
    <row r="78" spans="2:11">
      <c r="B78" s="28" t="s">
        <v>10</v>
      </c>
      <c r="C78" s="28" t="s">
        <v>184</v>
      </c>
      <c r="D78" s="28" t="s">
        <v>188</v>
      </c>
      <c r="E78" s="28" t="s">
        <v>185</v>
      </c>
      <c r="F78" s="28" t="s">
        <v>189</v>
      </c>
      <c r="G78" s="28" t="s">
        <v>189</v>
      </c>
      <c r="H78" s="28">
        <v>3</v>
      </c>
      <c r="I78" s="28"/>
      <c r="J78" s="28">
        <v>1</v>
      </c>
      <c r="K78" s="28"/>
    </row>
    <row r="79" spans="2:11">
      <c r="B79" s="29" t="s">
        <v>10</v>
      </c>
      <c r="C79" s="29" t="s">
        <v>184</v>
      </c>
      <c r="D79" s="29" t="s">
        <v>190</v>
      </c>
      <c r="E79" s="29" t="s">
        <v>188</v>
      </c>
      <c r="F79" s="29" t="s">
        <v>191</v>
      </c>
      <c r="G79" s="29" t="s">
        <v>191</v>
      </c>
      <c r="H79" s="29">
        <v>4</v>
      </c>
      <c r="I79" s="29" t="b">
        <v>1</v>
      </c>
      <c r="J79" s="29">
        <v>1</v>
      </c>
      <c r="K79" s="29"/>
    </row>
    <row r="80" spans="2:11">
      <c r="B80" s="28" t="s">
        <v>10</v>
      </c>
      <c r="C80" s="28" t="s">
        <v>184</v>
      </c>
      <c r="D80" s="28" t="s">
        <v>192</v>
      </c>
      <c r="E80" s="28" t="s">
        <v>185</v>
      </c>
      <c r="F80" s="28" t="s">
        <v>193</v>
      </c>
      <c r="G80" s="28" t="s">
        <v>194</v>
      </c>
      <c r="H80" s="28">
        <v>3</v>
      </c>
      <c r="I80" s="28" t="b">
        <v>1</v>
      </c>
      <c r="J80" s="28">
        <v>2</v>
      </c>
      <c r="K80" s="28"/>
    </row>
    <row r="81" spans="2:11">
      <c r="B81" s="26" t="s">
        <v>10</v>
      </c>
      <c r="C81" s="26" t="s">
        <v>195</v>
      </c>
      <c r="D81" s="26" t="s">
        <v>196</v>
      </c>
      <c r="E81" s="26" t="s">
        <v>12</v>
      </c>
      <c r="F81" s="26" t="s">
        <v>197</v>
      </c>
      <c r="G81" s="26" t="s">
        <v>198</v>
      </c>
      <c r="H81" s="26">
        <v>2</v>
      </c>
      <c r="I81" s="26"/>
      <c r="J81" s="26">
        <v>11</v>
      </c>
      <c r="K81" s="26"/>
    </row>
    <row r="82" spans="2:11">
      <c r="B82" s="28" t="s">
        <v>10</v>
      </c>
      <c r="C82" s="28" t="s">
        <v>195</v>
      </c>
      <c r="D82" s="28" t="s">
        <v>199</v>
      </c>
      <c r="E82" s="28" t="s">
        <v>196</v>
      </c>
      <c r="F82" s="28" t="s">
        <v>200</v>
      </c>
      <c r="G82" s="28" t="s">
        <v>200</v>
      </c>
      <c r="H82" s="28">
        <v>3</v>
      </c>
      <c r="I82" s="28"/>
      <c r="J82" s="28">
        <v>1</v>
      </c>
      <c r="K82" s="28"/>
    </row>
    <row r="83" spans="2:11">
      <c r="B83" s="29" t="s">
        <v>10</v>
      </c>
      <c r="C83" s="29" t="s">
        <v>195</v>
      </c>
      <c r="D83" s="29" t="s">
        <v>201</v>
      </c>
      <c r="E83" s="29" t="s">
        <v>199</v>
      </c>
      <c r="F83" s="29" t="s">
        <v>202</v>
      </c>
      <c r="G83" s="29" t="s">
        <v>202</v>
      </c>
      <c r="H83" s="29">
        <v>4</v>
      </c>
      <c r="I83" s="29" t="b">
        <v>1</v>
      </c>
      <c r="J83" s="29">
        <v>1</v>
      </c>
      <c r="K83" s="29"/>
    </row>
    <row r="84" spans="2:11">
      <c r="B84" s="28" t="s">
        <v>10</v>
      </c>
      <c r="C84" s="28" t="s">
        <v>195</v>
      </c>
      <c r="D84" s="28" t="s">
        <v>203</v>
      </c>
      <c r="E84" s="28" t="s">
        <v>196</v>
      </c>
      <c r="F84" s="28" t="s">
        <v>193</v>
      </c>
      <c r="G84" s="28" t="s">
        <v>204</v>
      </c>
      <c r="H84" s="28">
        <v>3</v>
      </c>
      <c r="I84" s="28" t="b">
        <v>1</v>
      </c>
      <c r="J84" s="28">
        <v>2</v>
      </c>
      <c r="K84" s="28"/>
    </row>
    <row r="85" spans="2:11">
      <c r="B85" s="26" t="s">
        <v>10</v>
      </c>
      <c r="C85" s="26" t="s">
        <v>205</v>
      </c>
      <c r="D85" s="26" t="s">
        <v>206</v>
      </c>
      <c r="E85" s="26" t="s">
        <v>12</v>
      </c>
      <c r="F85" s="26" t="s">
        <v>207</v>
      </c>
      <c r="G85" s="26" t="s">
        <v>208</v>
      </c>
      <c r="H85" s="26">
        <v>2</v>
      </c>
      <c r="I85" s="26"/>
      <c r="J85" s="26">
        <v>12</v>
      </c>
      <c r="K85" s="26"/>
    </row>
    <row r="86" spans="2:11">
      <c r="B86" s="28" t="s">
        <v>10</v>
      </c>
      <c r="C86" s="28" t="s">
        <v>205</v>
      </c>
      <c r="D86" s="28" t="s">
        <v>209</v>
      </c>
      <c r="E86" s="28" t="s">
        <v>206</v>
      </c>
      <c r="F86" s="28" t="s">
        <v>210</v>
      </c>
      <c r="G86" s="28" t="s">
        <v>210</v>
      </c>
      <c r="H86" s="28">
        <v>3</v>
      </c>
      <c r="I86" s="28"/>
      <c r="J86" s="28">
        <v>1</v>
      </c>
      <c r="K86" s="28"/>
    </row>
    <row r="87" spans="2:11">
      <c r="B87" s="29" t="s">
        <v>10</v>
      </c>
      <c r="C87" s="29" t="s">
        <v>205</v>
      </c>
      <c r="D87" s="29" t="s">
        <v>211</v>
      </c>
      <c r="E87" s="29" t="s">
        <v>209</v>
      </c>
      <c r="F87" s="29" t="s">
        <v>212</v>
      </c>
      <c r="G87" s="29" t="s">
        <v>212</v>
      </c>
      <c r="H87" s="29">
        <v>4</v>
      </c>
      <c r="I87" s="29" t="b">
        <v>1</v>
      </c>
      <c r="J87" s="29">
        <v>1</v>
      </c>
      <c r="K87" s="29"/>
    </row>
    <row r="88" spans="2:11">
      <c r="B88" s="29" t="s">
        <v>10</v>
      </c>
      <c r="C88" s="29" t="s">
        <v>205</v>
      </c>
      <c r="D88" s="29" t="s">
        <v>213</v>
      </c>
      <c r="E88" s="29" t="s">
        <v>209</v>
      </c>
      <c r="F88" s="29" t="s">
        <v>214</v>
      </c>
      <c r="G88" s="29" t="s">
        <v>214</v>
      </c>
      <c r="H88" s="29">
        <v>4</v>
      </c>
      <c r="I88" s="29" t="b">
        <v>1</v>
      </c>
      <c r="J88" s="29">
        <v>2</v>
      </c>
      <c r="K88" s="29"/>
    </row>
    <row r="89" spans="2:11">
      <c r="B89" s="29" t="s">
        <v>10</v>
      </c>
      <c r="C89" s="29" t="s">
        <v>205</v>
      </c>
      <c r="D89" s="29" t="s">
        <v>215</v>
      </c>
      <c r="E89" s="29" t="s">
        <v>209</v>
      </c>
      <c r="F89" s="29" t="s">
        <v>216</v>
      </c>
      <c r="G89" s="29" t="s">
        <v>216</v>
      </c>
      <c r="H89" s="29">
        <v>4</v>
      </c>
      <c r="I89" s="29" t="b">
        <v>1</v>
      </c>
      <c r="J89" s="29">
        <v>3</v>
      </c>
      <c r="K89" s="29"/>
    </row>
    <row r="90" spans="2:11">
      <c r="B90" s="29" t="s">
        <v>10</v>
      </c>
      <c r="C90" s="29" t="s">
        <v>205</v>
      </c>
      <c r="D90" s="29" t="s">
        <v>217</v>
      </c>
      <c r="E90" s="29" t="s">
        <v>209</v>
      </c>
      <c r="F90" s="29" t="s">
        <v>218</v>
      </c>
      <c r="G90" s="29" t="s">
        <v>218</v>
      </c>
      <c r="H90" s="29">
        <v>4</v>
      </c>
      <c r="I90" s="29" t="b">
        <v>1</v>
      </c>
      <c r="J90" s="29">
        <v>4</v>
      </c>
      <c r="K90" s="29"/>
    </row>
    <row r="91" spans="2:11">
      <c r="B91" s="29" t="s">
        <v>10</v>
      </c>
      <c r="C91" s="29" t="s">
        <v>205</v>
      </c>
      <c r="D91" s="29" t="s">
        <v>219</v>
      </c>
      <c r="E91" s="29" t="s">
        <v>209</v>
      </c>
      <c r="F91" s="29" t="s">
        <v>220</v>
      </c>
      <c r="G91" s="29" t="s">
        <v>220</v>
      </c>
      <c r="H91" s="29">
        <v>4</v>
      </c>
      <c r="I91" s="29" t="b">
        <v>1</v>
      </c>
      <c r="J91" s="29">
        <v>5</v>
      </c>
      <c r="K91" s="29"/>
    </row>
    <row r="92" spans="2:11">
      <c r="B92" s="29" t="s">
        <v>10</v>
      </c>
      <c r="C92" s="29" t="s">
        <v>205</v>
      </c>
      <c r="D92" s="29" t="s">
        <v>221</v>
      </c>
      <c r="E92" s="29" t="s">
        <v>209</v>
      </c>
      <c r="F92" s="29" t="s">
        <v>222</v>
      </c>
      <c r="G92" s="29" t="s">
        <v>222</v>
      </c>
      <c r="H92" s="29">
        <v>4</v>
      </c>
      <c r="I92" s="29" t="b">
        <v>1</v>
      </c>
      <c r="J92" s="29">
        <v>6</v>
      </c>
      <c r="K92" s="29"/>
    </row>
    <row r="93" spans="2:11">
      <c r="B93" s="29" t="s">
        <v>10</v>
      </c>
      <c r="C93" s="29" t="s">
        <v>205</v>
      </c>
      <c r="D93" s="29" t="s">
        <v>223</v>
      </c>
      <c r="E93" s="29" t="s">
        <v>209</v>
      </c>
      <c r="F93" s="29" t="s">
        <v>224</v>
      </c>
      <c r="G93" s="29" t="s">
        <v>224</v>
      </c>
      <c r="H93" s="29">
        <v>4</v>
      </c>
      <c r="I93" s="29" t="b">
        <v>1</v>
      </c>
      <c r="J93" s="29">
        <v>7</v>
      </c>
      <c r="K93" s="29"/>
    </row>
    <row r="94" spans="2:11">
      <c r="B94" s="29" t="s">
        <v>10</v>
      </c>
      <c r="C94" s="29" t="s">
        <v>205</v>
      </c>
      <c r="D94" s="29" t="s">
        <v>225</v>
      </c>
      <c r="E94" s="29" t="s">
        <v>209</v>
      </c>
      <c r="F94" s="29" t="s">
        <v>226</v>
      </c>
      <c r="G94" s="29" t="s">
        <v>226</v>
      </c>
      <c r="H94" s="29">
        <v>4</v>
      </c>
      <c r="I94" s="29" t="b">
        <v>1</v>
      </c>
      <c r="J94" s="29">
        <v>8</v>
      </c>
      <c r="K94" s="29"/>
    </row>
    <row r="95" spans="2:11">
      <c r="B95" s="29" t="s">
        <v>10</v>
      </c>
      <c r="C95" s="29" t="s">
        <v>205</v>
      </c>
      <c r="D95" s="29" t="s">
        <v>227</v>
      </c>
      <c r="E95" s="29" t="s">
        <v>209</v>
      </c>
      <c r="F95" s="29" t="s">
        <v>228</v>
      </c>
      <c r="G95" s="29" t="s">
        <v>228</v>
      </c>
      <c r="H95" s="29">
        <v>4</v>
      </c>
      <c r="I95" s="29" t="b">
        <v>1</v>
      </c>
      <c r="J95" s="29">
        <v>9</v>
      </c>
      <c r="K95" s="29"/>
    </row>
    <row r="96" spans="2:11">
      <c r="B96" s="29" t="s">
        <v>10</v>
      </c>
      <c r="C96" s="29" t="s">
        <v>205</v>
      </c>
      <c r="D96" s="29" t="s">
        <v>229</v>
      </c>
      <c r="E96" s="29" t="s">
        <v>209</v>
      </c>
      <c r="F96" s="29" t="s">
        <v>230</v>
      </c>
      <c r="G96" s="29" t="s">
        <v>230</v>
      </c>
      <c r="H96" s="29">
        <v>4</v>
      </c>
      <c r="I96" s="29" t="b">
        <v>1</v>
      </c>
      <c r="J96" s="29">
        <v>10</v>
      </c>
      <c r="K96" s="29"/>
    </row>
    <row r="97" spans="2:11">
      <c r="B97" s="29" t="s">
        <v>10</v>
      </c>
      <c r="C97" s="29" t="s">
        <v>205</v>
      </c>
      <c r="D97" s="29" t="s">
        <v>231</v>
      </c>
      <c r="E97" s="29" t="s">
        <v>209</v>
      </c>
      <c r="F97" s="29" t="s">
        <v>232</v>
      </c>
      <c r="G97" s="29" t="s">
        <v>232</v>
      </c>
      <c r="H97" s="29">
        <v>4</v>
      </c>
      <c r="I97" s="29" t="b">
        <v>1</v>
      </c>
      <c r="J97" s="29">
        <v>11</v>
      </c>
      <c r="K97" s="29"/>
    </row>
    <row r="98" spans="2:11">
      <c r="B98" s="29" t="s">
        <v>10</v>
      </c>
      <c r="C98" s="29" t="s">
        <v>205</v>
      </c>
      <c r="D98" s="29" t="s">
        <v>233</v>
      </c>
      <c r="E98" s="29" t="s">
        <v>209</v>
      </c>
      <c r="F98" s="29" t="s">
        <v>234</v>
      </c>
      <c r="G98" s="29" t="s">
        <v>234</v>
      </c>
      <c r="H98" s="29">
        <v>4</v>
      </c>
      <c r="I98" s="29" t="b">
        <v>1</v>
      </c>
      <c r="J98" s="29">
        <v>12</v>
      </c>
      <c r="K98" s="29"/>
    </row>
    <row r="99" spans="2:11">
      <c r="B99" s="29" t="s">
        <v>10</v>
      </c>
      <c r="C99" s="29" t="s">
        <v>205</v>
      </c>
      <c r="D99" s="29" t="s">
        <v>235</v>
      </c>
      <c r="E99" s="29" t="s">
        <v>209</v>
      </c>
      <c r="F99" s="29" t="s">
        <v>236</v>
      </c>
      <c r="G99" s="29" t="s">
        <v>236</v>
      </c>
      <c r="H99" s="29">
        <v>4</v>
      </c>
      <c r="I99" s="29" t="b">
        <v>1</v>
      </c>
      <c r="J99" s="29">
        <v>13</v>
      </c>
      <c r="K99" s="29"/>
    </row>
    <row r="100" spans="2:11">
      <c r="B100" s="29" t="s">
        <v>10</v>
      </c>
      <c r="C100" s="29" t="s">
        <v>205</v>
      </c>
      <c r="D100" s="29" t="s">
        <v>237</v>
      </c>
      <c r="E100" s="29" t="s">
        <v>209</v>
      </c>
      <c r="F100" s="29" t="s">
        <v>238</v>
      </c>
      <c r="G100" s="29" t="s">
        <v>238</v>
      </c>
      <c r="H100" s="29">
        <v>4</v>
      </c>
      <c r="I100" s="29" t="b">
        <v>1</v>
      </c>
      <c r="J100" s="29">
        <v>14</v>
      </c>
      <c r="K100" s="29"/>
    </row>
    <row r="101" spans="2:11">
      <c r="B101" s="29" t="s">
        <v>10</v>
      </c>
      <c r="C101" s="29" t="s">
        <v>205</v>
      </c>
      <c r="D101" s="29" t="s">
        <v>239</v>
      </c>
      <c r="E101" s="29" t="s">
        <v>209</v>
      </c>
      <c r="F101" s="29" t="s">
        <v>240</v>
      </c>
      <c r="G101" s="29" t="s">
        <v>240</v>
      </c>
      <c r="H101" s="29">
        <v>4</v>
      </c>
      <c r="I101" s="29" t="b">
        <v>1</v>
      </c>
      <c r="J101" s="29">
        <v>15</v>
      </c>
      <c r="K101" s="29"/>
    </row>
    <row r="102" spans="2:11">
      <c r="B102" s="29" t="s">
        <v>10</v>
      </c>
      <c r="C102" s="29" t="s">
        <v>205</v>
      </c>
      <c r="D102" s="29" t="s">
        <v>241</v>
      </c>
      <c r="E102" s="29" t="s">
        <v>209</v>
      </c>
      <c r="F102" s="29" t="s">
        <v>242</v>
      </c>
      <c r="G102" s="29" t="s">
        <v>242</v>
      </c>
      <c r="H102" s="29">
        <v>4</v>
      </c>
      <c r="I102" s="29" t="b">
        <v>1</v>
      </c>
      <c r="J102" s="29">
        <v>16</v>
      </c>
      <c r="K102" s="29"/>
    </row>
    <row r="103" spans="2:11">
      <c r="B103" s="29" t="s">
        <v>10</v>
      </c>
      <c r="C103" s="29" t="s">
        <v>205</v>
      </c>
      <c r="D103" s="29" t="s">
        <v>243</v>
      </c>
      <c r="E103" s="29" t="s">
        <v>209</v>
      </c>
      <c r="F103" s="29" t="s">
        <v>244</v>
      </c>
      <c r="G103" s="29" t="s">
        <v>244</v>
      </c>
      <c r="H103" s="29">
        <v>4</v>
      </c>
      <c r="I103" s="29" t="b">
        <v>1</v>
      </c>
      <c r="J103" s="29">
        <v>17</v>
      </c>
      <c r="K103" s="29"/>
    </row>
    <row r="104" spans="2:11">
      <c r="B104" s="29" t="s">
        <v>10</v>
      </c>
      <c r="C104" s="29" t="s">
        <v>205</v>
      </c>
      <c r="D104" s="29" t="s">
        <v>245</v>
      </c>
      <c r="E104" s="29" t="s">
        <v>209</v>
      </c>
      <c r="F104" s="29" t="s">
        <v>246</v>
      </c>
      <c r="G104" s="29" t="s">
        <v>246</v>
      </c>
      <c r="H104" s="29">
        <v>4</v>
      </c>
      <c r="I104" s="29" t="b">
        <v>1</v>
      </c>
      <c r="J104" s="29">
        <v>18</v>
      </c>
      <c r="K104" s="29"/>
    </row>
    <row r="105" spans="2:11">
      <c r="B105" s="29" t="s">
        <v>10</v>
      </c>
      <c r="C105" s="29" t="s">
        <v>205</v>
      </c>
      <c r="D105" s="29" t="s">
        <v>247</v>
      </c>
      <c r="E105" s="29" t="s">
        <v>209</v>
      </c>
      <c r="F105" s="29" t="s">
        <v>248</v>
      </c>
      <c r="G105" s="29" t="s">
        <v>248</v>
      </c>
      <c r="H105" s="29">
        <v>4</v>
      </c>
      <c r="I105" s="29" t="b">
        <v>1</v>
      </c>
      <c r="J105" s="29">
        <v>19</v>
      </c>
      <c r="K105" s="29"/>
    </row>
    <row r="106" spans="2:11">
      <c r="B106" s="29" t="s">
        <v>10</v>
      </c>
      <c r="C106" s="29" t="s">
        <v>205</v>
      </c>
      <c r="D106" s="29" t="s">
        <v>249</v>
      </c>
      <c r="E106" s="29" t="s">
        <v>209</v>
      </c>
      <c r="F106" s="29" t="s">
        <v>250</v>
      </c>
      <c r="G106" s="29" t="s">
        <v>250</v>
      </c>
      <c r="H106" s="29">
        <v>4</v>
      </c>
      <c r="I106" s="29" t="b">
        <v>1</v>
      </c>
      <c r="J106" s="29">
        <v>20</v>
      </c>
      <c r="K106" s="29"/>
    </row>
    <row r="107" spans="2:11">
      <c r="B107" s="29" t="s">
        <v>10</v>
      </c>
      <c r="C107" s="29" t="s">
        <v>205</v>
      </c>
      <c r="D107" s="29" t="s">
        <v>251</v>
      </c>
      <c r="E107" s="29" t="s">
        <v>209</v>
      </c>
      <c r="F107" s="29" t="s">
        <v>252</v>
      </c>
      <c r="G107" s="29" t="s">
        <v>252</v>
      </c>
      <c r="H107" s="29">
        <v>4</v>
      </c>
      <c r="I107" s="29" t="b">
        <v>1</v>
      </c>
      <c r="J107" s="29">
        <v>21</v>
      </c>
      <c r="K107" s="29"/>
    </row>
    <row r="108" spans="2:11">
      <c r="B108" s="29" t="s">
        <v>10</v>
      </c>
      <c r="C108" s="29" t="s">
        <v>205</v>
      </c>
      <c r="D108" s="29" t="s">
        <v>253</v>
      </c>
      <c r="E108" s="29" t="s">
        <v>209</v>
      </c>
      <c r="F108" s="29" t="s">
        <v>254</v>
      </c>
      <c r="G108" s="29" t="s">
        <v>254</v>
      </c>
      <c r="H108" s="29">
        <v>4</v>
      </c>
      <c r="I108" s="29" t="b">
        <v>1</v>
      </c>
      <c r="J108" s="29">
        <v>22</v>
      </c>
      <c r="K108" s="29"/>
    </row>
    <row r="109" spans="2:11">
      <c r="B109" s="29" t="s">
        <v>10</v>
      </c>
      <c r="C109" s="29" t="s">
        <v>205</v>
      </c>
      <c r="D109" s="29" t="s">
        <v>255</v>
      </c>
      <c r="E109" s="29" t="s">
        <v>209</v>
      </c>
      <c r="F109" s="29" t="s">
        <v>256</v>
      </c>
      <c r="G109" s="29" t="s">
        <v>256</v>
      </c>
      <c r="H109" s="29">
        <v>4</v>
      </c>
      <c r="I109" s="29" t="b">
        <v>1</v>
      </c>
      <c r="J109" s="29">
        <v>23</v>
      </c>
      <c r="K109" s="29"/>
    </row>
    <row r="110" spans="2:11">
      <c r="B110" s="29" t="s">
        <v>10</v>
      </c>
      <c r="C110" s="29" t="s">
        <v>205</v>
      </c>
      <c r="D110" s="29" t="s">
        <v>257</v>
      </c>
      <c r="E110" s="29" t="s">
        <v>209</v>
      </c>
      <c r="F110" s="29" t="s">
        <v>258</v>
      </c>
      <c r="G110" s="29" t="s">
        <v>258</v>
      </c>
      <c r="H110" s="29">
        <v>4</v>
      </c>
      <c r="I110" s="29" t="b">
        <v>1</v>
      </c>
      <c r="J110" s="29">
        <v>24</v>
      </c>
      <c r="K110" s="29"/>
    </row>
    <row r="111" spans="2:11">
      <c r="B111" s="29" t="s">
        <v>10</v>
      </c>
      <c r="C111" s="29" t="s">
        <v>205</v>
      </c>
      <c r="D111" s="29" t="s">
        <v>259</v>
      </c>
      <c r="E111" s="29" t="s">
        <v>209</v>
      </c>
      <c r="F111" s="29" t="s">
        <v>260</v>
      </c>
      <c r="G111" s="29" t="s">
        <v>260</v>
      </c>
      <c r="H111" s="29">
        <v>4</v>
      </c>
      <c r="I111" s="29" t="b">
        <v>1</v>
      </c>
      <c r="J111" s="29">
        <v>25</v>
      </c>
      <c r="K111" s="29"/>
    </row>
    <row r="112" spans="2:11">
      <c r="B112" s="29" t="s">
        <v>10</v>
      </c>
      <c r="C112" s="29" t="s">
        <v>205</v>
      </c>
      <c r="D112" s="29" t="s">
        <v>261</v>
      </c>
      <c r="E112" s="29" t="s">
        <v>209</v>
      </c>
      <c r="F112" s="29" t="s">
        <v>262</v>
      </c>
      <c r="G112" s="29" t="s">
        <v>262</v>
      </c>
      <c r="H112" s="29">
        <v>4</v>
      </c>
      <c r="I112" s="29" t="b">
        <v>1</v>
      </c>
      <c r="J112" s="29">
        <v>26</v>
      </c>
      <c r="K112" s="29"/>
    </row>
    <row r="113" spans="2:11">
      <c r="B113" s="29" t="s">
        <v>10</v>
      </c>
      <c r="C113" s="29" t="s">
        <v>205</v>
      </c>
      <c r="D113" s="29" t="s">
        <v>263</v>
      </c>
      <c r="E113" s="29" t="s">
        <v>209</v>
      </c>
      <c r="F113" s="29" t="s">
        <v>264</v>
      </c>
      <c r="G113" s="29" t="s">
        <v>264</v>
      </c>
      <c r="H113" s="29">
        <v>4</v>
      </c>
      <c r="I113" s="29" t="b">
        <v>1</v>
      </c>
      <c r="J113" s="29">
        <v>27</v>
      </c>
      <c r="K113" s="29"/>
    </row>
    <row r="114" spans="2:11">
      <c r="B114" s="28" t="s">
        <v>10</v>
      </c>
      <c r="C114" s="28" t="s">
        <v>205</v>
      </c>
      <c r="D114" s="28" t="s">
        <v>265</v>
      </c>
      <c r="E114" s="28" t="s">
        <v>206</v>
      </c>
      <c r="F114" s="28" t="s">
        <v>266</v>
      </c>
      <c r="G114" s="28" t="s">
        <v>266</v>
      </c>
      <c r="H114" s="28">
        <v>3</v>
      </c>
      <c r="I114" s="28"/>
      <c r="J114" s="28">
        <v>2</v>
      </c>
      <c r="K114" s="28"/>
    </row>
    <row r="115" spans="2:11">
      <c r="B115" s="29" t="s">
        <v>10</v>
      </c>
      <c r="C115" s="29" t="s">
        <v>205</v>
      </c>
      <c r="D115" s="29" t="s">
        <v>267</v>
      </c>
      <c r="E115" s="29" t="s">
        <v>265</v>
      </c>
      <c r="F115" s="29" t="s">
        <v>268</v>
      </c>
      <c r="G115" s="29" t="s">
        <v>268</v>
      </c>
      <c r="H115" s="29">
        <v>4</v>
      </c>
      <c r="I115" s="29" t="b">
        <v>1</v>
      </c>
      <c r="J115" s="29">
        <v>1</v>
      </c>
      <c r="K115" s="29"/>
    </row>
    <row r="116" spans="2:11">
      <c r="B116" s="29" t="s">
        <v>10</v>
      </c>
      <c r="C116" s="29" t="s">
        <v>205</v>
      </c>
      <c r="D116" s="29" t="s">
        <v>269</v>
      </c>
      <c r="E116" s="29" t="s">
        <v>265</v>
      </c>
      <c r="F116" s="29" t="s">
        <v>270</v>
      </c>
      <c r="G116" s="29" t="s">
        <v>270</v>
      </c>
      <c r="H116" s="29">
        <v>4</v>
      </c>
      <c r="I116" s="29" t="b">
        <v>1</v>
      </c>
      <c r="J116" s="29">
        <v>2</v>
      </c>
      <c r="K116" s="29"/>
    </row>
    <row r="117" spans="2:11">
      <c r="B117" s="29" t="s">
        <v>10</v>
      </c>
      <c r="C117" s="29" t="s">
        <v>205</v>
      </c>
      <c r="D117" s="29" t="s">
        <v>271</v>
      </c>
      <c r="E117" s="29" t="s">
        <v>265</v>
      </c>
      <c r="F117" s="29" t="s">
        <v>272</v>
      </c>
      <c r="G117" s="29" t="s">
        <v>272</v>
      </c>
      <c r="H117" s="29">
        <v>4</v>
      </c>
      <c r="I117" s="29" t="b">
        <v>1</v>
      </c>
      <c r="J117" s="29">
        <v>3</v>
      </c>
      <c r="K117" s="29"/>
    </row>
    <row r="118" spans="2:11">
      <c r="B118" s="29" t="s">
        <v>10</v>
      </c>
      <c r="C118" s="29" t="s">
        <v>205</v>
      </c>
      <c r="D118" s="29" t="s">
        <v>273</v>
      </c>
      <c r="E118" s="29" t="s">
        <v>265</v>
      </c>
      <c r="F118" s="29" t="s">
        <v>274</v>
      </c>
      <c r="G118" s="29" t="s">
        <v>274</v>
      </c>
      <c r="H118" s="29">
        <v>4</v>
      </c>
      <c r="I118" s="29" t="b">
        <v>1</v>
      </c>
      <c r="J118" s="29">
        <v>4</v>
      </c>
      <c r="K118" s="29"/>
    </row>
    <row r="119" spans="2:11">
      <c r="B119" s="29" t="s">
        <v>10</v>
      </c>
      <c r="C119" s="29" t="s">
        <v>205</v>
      </c>
      <c r="D119" s="29" t="s">
        <v>275</v>
      </c>
      <c r="E119" s="29" t="s">
        <v>265</v>
      </c>
      <c r="F119" s="29" t="s">
        <v>276</v>
      </c>
      <c r="G119" s="29" t="s">
        <v>276</v>
      </c>
      <c r="H119" s="29">
        <v>4</v>
      </c>
      <c r="I119" s="29" t="b">
        <v>1</v>
      </c>
      <c r="J119" s="29">
        <v>5</v>
      </c>
      <c r="K119" s="29"/>
    </row>
    <row r="120" spans="2:11">
      <c r="B120" s="29" t="s">
        <v>10</v>
      </c>
      <c r="C120" s="29" t="s">
        <v>205</v>
      </c>
      <c r="D120" s="29" t="s">
        <v>277</v>
      </c>
      <c r="E120" s="29" t="s">
        <v>265</v>
      </c>
      <c r="F120" s="29" t="s">
        <v>246</v>
      </c>
      <c r="G120" s="29" t="s">
        <v>246</v>
      </c>
      <c r="H120" s="29">
        <v>4</v>
      </c>
      <c r="I120" s="29" t="b">
        <v>1</v>
      </c>
      <c r="J120" s="29">
        <v>6</v>
      </c>
      <c r="K120" s="29"/>
    </row>
    <row r="121" spans="2:11">
      <c r="B121" s="29" t="s">
        <v>10</v>
      </c>
      <c r="C121" s="29" t="s">
        <v>205</v>
      </c>
      <c r="D121" s="29" t="s">
        <v>278</v>
      </c>
      <c r="E121" s="29" t="s">
        <v>265</v>
      </c>
      <c r="F121" s="29" t="s">
        <v>279</v>
      </c>
      <c r="G121" s="29" t="s">
        <v>279</v>
      </c>
      <c r="H121" s="29">
        <v>4</v>
      </c>
      <c r="I121" s="29" t="b">
        <v>1</v>
      </c>
      <c r="J121" s="29">
        <v>7</v>
      </c>
      <c r="K121" s="29"/>
    </row>
    <row r="122" spans="2:11">
      <c r="B122" s="29" t="s">
        <v>10</v>
      </c>
      <c r="C122" s="29" t="s">
        <v>205</v>
      </c>
      <c r="D122" s="29" t="s">
        <v>280</v>
      </c>
      <c r="E122" s="29" t="s">
        <v>265</v>
      </c>
      <c r="F122" s="29" t="s">
        <v>281</v>
      </c>
      <c r="G122" s="29" t="s">
        <v>281</v>
      </c>
      <c r="H122" s="29">
        <v>4</v>
      </c>
      <c r="I122" s="29" t="b">
        <v>1</v>
      </c>
      <c r="J122" s="29">
        <v>8</v>
      </c>
      <c r="K122" s="29"/>
    </row>
    <row r="123" spans="2:11">
      <c r="B123" s="29" t="s">
        <v>10</v>
      </c>
      <c r="C123" s="29" t="s">
        <v>205</v>
      </c>
      <c r="D123" s="29" t="s">
        <v>282</v>
      </c>
      <c r="E123" s="29" t="s">
        <v>265</v>
      </c>
      <c r="F123" s="29" t="s">
        <v>283</v>
      </c>
      <c r="G123" s="29" t="s">
        <v>283</v>
      </c>
      <c r="H123" s="29">
        <v>4</v>
      </c>
      <c r="I123" s="29" t="b">
        <v>1</v>
      </c>
      <c r="J123" s="29">
        <v>9</v>
      </c>
      <c r="K123" s="29"/>
    </row>
    <row r="124" spans="2:11">
      <c r="B124" s="29" t="s">
        <v>10</v>
      </c>
      <c r="C124" s="29" t="s">
        <v>205</v>
      </c>
      <c r="D124" s="29" t="s">
        <v>284</v>
      </c>
      <c r="E124" s="29" t="s">
        <v>265</v>
      </c>
      <c r="F124" s="29" t="s">
        <v>248</v>
      </c>
      <c r="G124" s="29" t="s">
        <v>248</v>
      </c>
      <c r="H124" s="29">
        <v>4</v>
      </c>
      <c r="I124" s="29" t="b">
        <v>1</v>
      </c>
      <c r="J124" s="29">
        <v>10</v>
      </c>
      <c r="K124" s="29"/>
    </row>
    <row r="125" spans="2:11">
      <c r="B125" s="29" t="s">
        <v>10</v>
      </c>
      <c r="C125" s="29" t="s">
        <v>205</v>
      </c>
      <c r="D125" s="29" t="s">
        <v>285</v>
      </c>
      <c r="E125" s="29" t="s">
        <v>265</v>
      </c>
      <c r="F125" s="29" t="s">
        <v>286</v>
      </c>
      <c r="G125" s="29" t="s">
        <v>286</v>
      </c>
      <c r="H125" s="29">
        <v>4</v>
      </c>
      <c r="I125" s="29" t="b">
        <v>1</v>
      </c>
      <c r="J125" s="29">
        <v>11</v>
      </c>
      <c r="K125" s="29"/>
    </row>
    <row r="126" spans="2:11">
      <c r="B126" s="29" t="s">
        <v>10</v>
      </c>
      <c r="C126" s="29" t="s">
        <v>205</v>
      </c>
      <c r="D126" s="29" t="s">
        <v>287</v>
      </c>
      <c r="E126" s="29" t="s">
        <v>265</v>
      </c>
      <c r="F126" s="29" t="s">
        <v>288</v>
      </c>
      <c r="G126" s="29" t="s">
        <v>288</v>
      </c>
      <c r="H126" s="29">
        <v>4</v>
      </c>
      <c r="I126" s="29" t="b">
        <v>1</v>
      </c>
      <c r="J126" s="29">
        <v>12</v>
      </c>
      <c r="K126" s="29"/>
    </row>
    <row r="127" spans="2:11">
      <c r="B127" s="29" t="s">
        <v>10</v>
      </c>
      <c r="C127" s="29" t="s">
        <v>205</v>
      </c>
      <c r="D127" s="29" t="s">
        <v>289</v>
      </c>
      <c r="E127" s="29" t="s">
        <v>265</v>
      </c>
      <c r="F127" s="29" t="s">
        <v>290</v>
      </c>
      <c r="G127" s="29" t="s">
        <v>290</v>
      </c>
      <c r="H127" s="29">
        <v>4</v>
      </c>
      <c r="I127" s="29" t="b">
        <v>1</v>
      </c>
      <c r="J127" s="29">
        <v>13</v>
      </c>
      <c r="K127" s="29"/>
    </row>
    <row r="128" spans="2:11">
      <c r="B128" s="29" t="s">
        <v>10</v>
      </c>
      <c r="C128" s="29" t="s">
        <v>205</v>
      </c>
      <c r="D128" s="29" t="s">
        <v>291</v>
      </c>
      <c r="E128" s="29" t="s">
        <v>265</v>
      </c>
      <c r="F128" s="29" t="s">
        <v>292</v>
      </c>
      <c r="G128" s="29" t="s">
        <v>292</v>
      </c>
      <c r="H128" s="29">
        <v>4</v>
      </c>
      <c r="I128" s="29" t="b">
        <v>1</v>
      </c>
      <c r="J128" s="29">
        <v>14</v>
      </c>
      <c r="K128" s="29"/>
    </row>
    <row r="129" spans="2:11">
      <c r="B129" s="29" t="s">
        <v>10</v>
      </c>
      <c r="C129" s="29" t="s">
        <v>205</v>
      </c>
      <c r="D129" s="29" t="s">
        <v>293</v>
      </c>
      <c r="E129" s="29" t="s">
        <v>265</v>
      </c>
      <c r="F129" s="29" t="s">
        <v>294</v>
      </c>
      <c r="G129" s="29" t="s">
        <v>294</v>
      </c>
      <c r="H129" s="29">
        <v>4</v>
      </c>
      <c r="I129" s="29" t="b">
        <v>1</v>
      </c>
      <c r="J129" s="29">
        <v>15</v>
      </c>
      <c r="K129" s="29"/>
    </row>
    <row r="130" spans="2:11">
      <c r="B130" s="29" t="s">
        <v>10</v>
      </c>
      <c r="C130" s="29" t="s">
        <v>205</v>
      </c>
      <c r="D130" s="29" t="s">
        <v>295</v>
      </c>
      <c r="E130" s="29" t="s">
        <v>265</v>
      </c>
      <c r="F130" s="29" t="s">
        <v>296</v>
      </c>
      <c r="G130" s="29" t="s">
        <v>296</v>
      </c>
      <c r="H130" s="29">
        <v>4</v>
      </c>
      <c r="I130" s="29" t="b">
        <v>1</v>
      </c>
      <c r="J130" s="29">
        <v>16</v>
      </c>
      <c r="K130" s="29"/>
    </row>
    <row r="131" spans="2:11">
      <c r="B131" s="29" t="s">
        <v>10</v>
      </c>
      <c r="C131" s="29" t="s">
        <v>205</v>
      </c>
      <c r="D131" s="29" t="s">
        <v>297</v>
      </c>
      <c r="E131" s="29" t="s">
        <v>265</v>
      </c>
      <c r="F131" s="29" t="s">
        <v>298</v>
      </c>
      <c r="G131" s="29" t="s">
        <v>298</v>
      </c>
      <c r="H131" s="29">
        <v>4</v>
      </c>
      <c r="I131" s="29" t="b">
        <v>1</v>
      </c>
      <c r="J131" s="29">
        <v>17</v>
      </c>
      <c r="K131" s="29"/>
    </row>
    <row r="132" spans="2:11">
      <c r="B132" s="29" t="s">
        <v>10</v>
      </c>
      <c r="C132" s="29" t="s">
        <v>205</v>
      </c>
      <c r="D132" s="29" t="s">
        <v>299</v>
      </c>
      <c r="E132" s="29" t="s">
        <v>265</v>
      </c>
      <c r="F132" s="29" t="s">
        <v>300</v>
      </c>
      <c r="G132" s="29" t="s">
        <v>300</v>
      </c>
      <c r="H132" s="29">
        <v>4</v>
      </c>
      <c r="I132" s="29" t="b">
        <v>1</v>
      </c>
      <c r="J132" s="29">
        <v>18</v>
      </c>
      <c r="K132" s="29"/>
    </row>
    <row r="133" spans="2:11">
      <c r="B133" s="29" t="s">
        <v>10</v>
      </c>
      <c r="C133" s="29" t="s">
        <v>205</v>
      </c>
      <c r="D133" s="29" t="s">
        <v>301</v>
      </c>
      <c r="E133" s="29" t="s">
        <v>265</v>
      </c>
      <c r="F133" s="29" t="s">
        <v>302</v>
      </c>
      <c r="G133" s="29" t="s">
        <v>302</v>
      </c>
      <c r="H133" s="29">
        <v>4</v>
      </c>
      <c r="I133" s="29" t="b">
        <v>1</v>
      </c>
      <c r="J133" s="29">
        <v>19</v>
      </c>
      <c r="K133" s="29"/>
    </row>
    <row r="134" spans="2:11">
      <c r="B134" s="29" t="s">
        <v>10</v>
      </c>
      <c r="C134" s="29" t="s">
        <v>205</v>
      </c>
      <c r="D134" s="29" t="s">
        <v>303</v>
      </c>
      <c r="E134" s="29" t="s">
        <v>265</v>
      </c>
      <c r="F134" s="29" t="s">
        <v>304</v>
      </c>
      <c r="G134" s="29" t="s">
        <v>304</v>
      </c>
      <c r="H134" s="29">
        <v>4</v>
      </c>
      <c r="I134" s="29" t="b">
        <v>1</v>
      </c>
      <c r="J134" s="29">
        <v>20</v>
      </c>
      <c r="K134" s="29"/>
    </row>
    <row r="135" spans="2:11">
      <c r="B135" s="29" t="s">
        <v>10</v>
      </c>
      <c r="C135" s="29" t="s">
        <v>205</v>
      </c>
      <c r="D135" s="29" t="s">
        <v>305</v>
      </c>
      <c r="E135" s="29" t="s">
        <v>265</v>
      </c>
      <c r="F135" s="29" t="s">
        <v>306</v>
      </c>
      <c r="G135" s="29" t="s">
        <v>306</v>
      </c>
      <c r="H135" s="29">
        <v>4</v>
      </c>
      <c r="I135" s="29" t="b">
        <v>1</v>
      </c>
      <c r="J135" s="29">
        <v>21</v>
      </c>
      <c r="K135" s="29"/>
    </row>
    <row r="136" spans="2:11">
      <c r="B136" s="29" t="s">
        <v>10</v>
      </c>
      <c r="C136" s="29" t="s">
        <v>205</v>
      </c>
      <c r="D136" s="29" t="s">
        <v>307</v>
      </c>
      <c r="E136" s="29" t="s">
        <v>265</v>
      </c>
      <c r="F136" s="29" t="s">
        <v>308</v>
      </c>
      <c r="G136" s="29" t="s">
        <v>308</v>
      </c>
      <c r="H136" s="29">
        <v>4</v>
      </c>
      <c r="I136" s="29" t="b">
        <v>1</v>
      </c>
      <c r="J136" s="29">
        <v>22</v>
      </c>
      <c r="K136" s="29"/>
    </row>
    <row r="137" spans="2:11">
      <c r="B137" s="29" t="s">
        <v>10</v>
      </c>
      <c r="C137" s="29" t="s">
        <v>205</v>
      </c>
      <c r="D137" s="29" t="s">
        <v>309</v>
      </c>
      <c r="E137" s="29" t="s">
        <v>265</v>
      </c>
      <c r="F137" s="29" t="s">
        <v>310</v>
      </c>
      <c r="G137" s="29" t="s">
        <v>310</v>
      </c>
      <c r="H137" s="29">
        <v>4</v>
      </c>
      <c r="I137" s="29" t="b">
        <v>1</v>
      </c>
      <c r="J137" s="29">
        <v>23</v>
      </c>
      <c r="K137" s="29"/>
    </row>
    <row r="138" spans="2:11">
      <c r="B138" s="29" t="s">
        <v>10</v>
      </c>
      <c r="C138" s="29" t="s">
        <v>205</v>
      </c>
      <c r="D138" s="29" t="s">
        <v>311</v>
      </c>
      <c r="E138" s="29" t="s">
        <v>265</v>
      </c>
      <c r="F138" s="29" t="s">
        <v>312</v>
      </c>
      <c r="G138" s="29" t="s">
        <v>312</v>
      </c>
      <c r="H138" s="29">
        <v>4</v>
      </c>
      <c r="I138" s="29" t="b">
        <v>1</v>
      </c>
      <c r="J138" s="29">
        <v>24</v>
      </c>
      <c r="K138" s="29"/>
    </row>
    <row r="139" spans="2:11">
      <c r="B139" s="29" t="s">
        <v>10</v>
      </c>
      <c r="C139" s="29" t="s">
        <v>205</v>
      </c>
      <c r="D139" s="29" t="s">
        <v>313</v>
      </c>
      <c r="E139" s="29" t="s">
        <v>265</v>
      </c>
      <c r="F139" s="29" t="s">
        <v>314</v>
      </c>
      <c r="G139" s="29" t="s">
        <v>314</v>
      </c>
      <c r="H139" s="29">
        <v>4</v>
      </c>
      <c r="I139" s="29" t="b">
        <v>1</v>
      </c>
      <c r="J139" s="29">
        <v>25</v>
      </c>
      <c r="K139" s="29"/>
    </row>
    <row r="140" spans="2:11">
      <c r="B140" s="29" t="s">
        <v>10</v>
      </c>
      <c r="C140" s="29" t="s">
        <v>205</v>
      </c>
      <c r="D140" s="29" t="s">
        <v>315</v>
      </c>
      <c r="E140" s="29" t="s">
        <v>265</v>
      </c>
      <c r="F140" s="29" t="s">
        <v>316</v>
      </c>
      <c r="G140" s="29" t="s">
        <v>244</v>
      </c>
      <c r="H140" s="29">
        <v>4</v>
      </c>
      <c r="I140" s="29" t="b">
        <v>1</v>
      </c>
      <c r="J140" s="29">
        <v>26</v>
      </c>
      <c r="K140" s="29"/>
    </row>
    <row r="141" spans="2:11">
      <c r="B141" s="29" t="s">
        <v>10</v>
      </c>
      <c r="C141" s="29" t="s">
        <v>205</v>
      </c>
      <c r="D141" s="29" t="s">
        <v>317</v>
      </c>
      <c r="E141" s="29" t="s">
        <v>265</v>
      </c>
      <c r="F141" s="29" t="s">
        <v>318</v>
      </c>
      <c r="G141" s="29" t="s">
        <v>318</v>
      </c>
      <c r="H141" s="29">
        <v>4</v>
      </c>
      <c r="I141" s="29" t="b">
        <v>1</v>
      </c>
      <c r="J141" s="29">
        <v>27</v>
      </c>
      <c r="K141" s="29"/>
    </row>
    <row r="142" spans="2:11">
      <c r="B142" s="29" t="s">
        <v>10</v>
      </c>
      <c r="C142" s="29" t="s">
        <v>205</v>
      </c>
      <c r="D142" s="29" t="s">
        <v>319</v>
      </c>
      <c r="E142" s="29" t="s">
        <v>265</v>
      </c>
      <c r="F142" s="29" t="s">
        <v>320</v>
      </c>
      <c r="G142" s="29" t="s">
        <v>320</v>
      </c>
      <c r="H142" s="29">
        <v>4</v>
      </c>
      <c r="I142" s="29" t="b">
        <v>1</v>
      </c>
      <c r="J142" s="29">
        <v>28</v>
      </c>
      <c r="K142" s="29"/>
    </row>
    <row r="143" spans="2:11">
      <c r="B143" s="29" t="s">
        <v>10</v>
      </c>
      <c r="C143" s="29" t="s">
        <v>205</v>
      </c>
      <c r="D143" s="29" t="s">
        <v>321</v>
      </c>
      <c r="E143" s="29" t="s">
        <v>265</v>
      </c>
      <c r="F143" s="29" t="s">
        <v>322</v>
      </c>
      <c r="G143" s="29" t="s">
        <v>322</v>
      </c>
      <c r="H143" s="29">
        <v>4</v>
      </c>
      <c r="I143" s="29" t="b">
        <v>1</v>
      </c>
      <c r="J143" s="29">
        <v>29</v>
      </c>
      <c r="K143" s="29"/>
    </row>
    <row r="144" spans="2:11">
      <c r="B144" s="29" t="s">
        <v>10</v>
      </c>
      <c r="C144" s="29" t="s">
        <v>205</v>
      </c>
      <c r="D144" s="29" t="s">
        <v>323</v>
      </c>
      <c r="E144" s="29" t="s">
        <v>265</v>
      </c>
      <c r="F144" s="29" t="s">
        <v>324</v>
      </c>
      <c r="G144" s="29" t="s">
        <v>324</v>
      </c>
      <c r="H144" s="29">
        <v>4</v>
      </c>
      <c r="I144" s="29" t="b">
        <v>1</v>
      </c>
      <c r="J144" s="29">
        <v>30</v>
      </c>
      <c r="K144" s="29"/>
    </row>
    <row r="145" spans="2:11">
      <c r="B145" s="29" t="s">
        <v>10</v>
      </c>
      <c r="C145" s="29" t="s">
        <v>205</v>
      </c>
      <c r="D145" s="29" t="s">
        <v>325</v>
      </c>
      <c r="E145" s="29" t="s">
        <v>265</v>
      </c>
      <c r="F145" s="29" t="s">
        <v>326</v>
      </c>
      <c r="G145" s="29" t="s">
        <v>326</v>
      </c>
      <c r="H145" s="29">
        <v>4</v>
      </c>
      <c r="I145" s="29" t="b">
        <v>1</v>
      </c>
      <c r="J145" s="29">
        <v>31</v>
      </c>
      <c r="K145" s="29"/>
    </row>
    <row r="146" spans="2:11">
      <c r="B146" s="29" t="s">
        <v>10</v>
      </c>
      <c r="C146" s="29" t="s">
        <v>205</v>
      </c>
      <c r="D146" s="29" t="s">
        <v>327</v>
      </c>
      <c r="E146" s="29" t="s">
        <v>265</v>
      </c>
      <c r="F146" s="29" t="s">
        <v>328</v>
      </c>
      <c r="G146" s="29" t="s">
        <v>328</v>
      </c>
      <c r="H146" s="29">
        <v>4</v>
      </c>
      <c r="I146" s="29" t="b">
        <v>1</v>
      </c>
      <c r="J146" s="29">
        <v>32</v>
      </c>
      <c r="K146" s="29"/>
    </row>
    <row r="147" spans="2:11">
      <c r="B147" s="29" t="s">
        <v>10</v>
      </c>
      <c r="C147" s="29" t="s">
        <v>205</v>
      </c>
      <c r="D147" s="29" t="s">
        <v>329</v>
      </c>
      <c r="E147" s="29" t="s">
        <v>265</v>
      </c>
      <c r="F147" s="29" t="s">
        <v>330</v>
      </c>
      <c r="G147" s="29" t="s">
        <v>330</v>
      </c>
      <c r="H147" s="29">
        <v>4</v>
      </c>
      <c r="I147" s="29" t="b">
        <v>1</v>
      </c>
      <c r="J147" s="29">
        <v>33</v>
      </c>
      <c r="K147" s="29"/>
    </row>
    <row r="148" spans="2:11">
      <c r="B148" s="29" t="s">
        <v>10</v>
      </c>
      <c r="C148" s="29" t="s">
        <v>205</v>
      </c>
      <c r="D148" s="29" t="s">
        <v>331</v>
      </c>
      <c r="E148" s="29" t="s">
        <v>265</v>
      </c>
      <c r="F148" s="29" t="s">
        <v>332</v>
      </c>
      <c r="G148" s="29" t="s">
        <v>332</v>
      </c>
      <c r="H148" s="29">
        <v>4</v>
      </c>
      <c r="I148" s="29" t="b">
        <v>1</v>
      </c>
      <c r="J148" s="29">
        <v>34</v>
      </c>
      <c r="K148" s="29"/>
    </row>
    <row r="149" spans="2:11">
      <c r="B149" s="29" t="s">
        <v>10</v>
      </c>
      <c r="C149" s="29" t="s">
        <v>205</v>
      </c>
      <c r="D149" s="29" t="s">
        <v>333</v>
      </c>
      <c r="E149" s="29" t="s">
        <v>265</v>
      </c>
      <c r="F149" s="29" t="s">
        <v>334</v>
      </c>
      <c r="G149" s="29" t="s">
        <v>334</v>
      </c>
      <c r="H149" s="29">
        <v>4</v>
      </c>
      <c r="I149" s="29" t="b">
        <v>1</v>
      </c>
      <c r="J149" s="29">
        <v>35</v>
      </c>
      <c r="K149" s="29"/>
    </row>
    <row r="150" spans="2:11">
      <c r="B150" s="29" t="s">
        <v>10</v>
      </c>
      <c r="C150" s="29" t="s">
        <v>205</v>
      </c>
      <c r="D150" s="29" t="s">
        <v>335</v>
      </c>
      <c r="E150" s="29" t="s">
        <v>265</v>
      </c>
      <c r="F150" s="29" t="s">
        <v>336</v>
      </c>
      <c r="G150" s="29" t="s">
        <v>336</v>
      </c>
      <c r="H150" s="29">
        <v>4</v>
      </c>
      <c r="I150" s="29" t="b">
        <v>1</v>
      </c>
      <c r="J150" s="29">
        <v>36</v>
      </c>
      <c r="K150" s="29"/>
    </row>
    <row r="151" spans="2:11">
      <c r="B151" s="29" t="s">
        <v>10</v>
      </c>
      <c r="C151" s="29" t="s">
        <v>205</v>
      </c>
      <c r="D151" s="29" t="s">
        <v>337</v>
      </c>
      <c r="E151" s="29" t="s">
        <v>265</v>
      </c>
      <c r="F151" s="29" t="s">
        <v>338</v>
      </c>
      <c r="G151" s="29" t="s">
        <v>338</v>
      </c>
      <c r="H151" s="29">
        <v>4</v>
      </c>
      <c r="I151" s="29" t="b">
        <v>1</v>
      </c>
      <c r="J151" s="29">
        <v>37</v>
      </c>
      <c r="K151" s="29"/>
    </row>
    <row r="152" spans="2:11">
      <c r="B152" s="29" t="s">
        <v>10</v>
      </c>
      <c r="C152" s="29" t="s">
        <v>205</v>
      </c>
      <c r="D152" s="29" t="s">
        <v>339</v>
      </c>
      <c r="E152" s="29" t="s">
        <v>265</v>
      </c>
      <c r="F152" s="29" t="s">
        <v>340</v>
      </c>
      <c r="G152" s="29" t="s">
        <v>340</v>
      </c>
      <c r="H152" s="29">
        <v>4</v>
      </c>
      <c r="I152" s="29" t="b">
        <v>1</v>
      </c>
      <c r="J152" s="29">
        <v>38</v>
      </c>
      <c r="K152" s="29"/>
    </row>
    <row r="153" spans="2:11">
      <c r="B153" s="29" t="s">
        <v>10</v>
      </c>
      <c r="C153" s="29" t="s">
        <v>205</v>
      </c>
      <c r="D153" s="29" t="s">
        <v>341</v>
      </c>
      <c r="E153" s="29" t="s">
        <v>265</v>
      </c>
      <c r="F153" s="29" t="s">
        <v>342</v>
      </c>
      <c r="G153" s="29" t="s">
        <v>342</v>
      </c>
      <c r="H153" s="29">
        <v>4</v>
      </c>
      <c r="I153" s="29" t="b">
        <v>1</v>
      </c>
      <c r="J153" s="29">
        <v>39</v>
      </c>
      <c r="K153" s="29"/>
    </row>
    <row r="154" spans="2:11">
      <c r="B154" s="29" t="s">
        <v>10</v>
      </c>
      <c r="C154" s="29" t="s">
        <v>205</v>
      </c>
      <c r="D154" s="29" t="s">
        <v>343</v>
      </c>
      <c r="E154" s="29" t="s">
        <v>265</v>
      </c>
      <c r="F154" s="29" t="s">
        <v>344</v>
      </c>
      <c r="G154" s="29" t="s">
        <v>344</v>
      </c>
      <c r="H154" s="29">
        <v>4</v>
      </c>
      <c r="I154" s="29" t="b">
        <v>1</v>
      </c>
      <c r="J154" s="29">
        <v>40</v>
      </c>
      <c r="K154" s="29"/>
    </row>
    <row r="155" spans="2:11">
      <c r="B155" s="29" t="s">
        <v>10</v>
      </c>
      <c r="C155" s="29" t="s">
        <v>205</v>
      </c>
      <c r="D155" s="29" t="s">
        <v>345</v>
      </c>
      <c r="E155" s="29" t="s">
        <v>265</v>
      </c>
      <c r="F155" s="29" t="s">
        <v>346</v>
      </c>
      <c r="G155" s="29" t="s">
        <v>346</v>
      </c>
      <c r="H155" s="29">
        <v>4</v>
      </c>
      <c r="I155" s="29" t="b">
        <v>1</v>
      </c>
      <c r="J155" s="29">
        <v>41</v>
      </c>
      <c r="K155" s="30"/>
    </row>
    <row r="156" spans="2:11">
      <c r="B156" s="29" t="s">
        <v>10</v>
      </c>
      <c r="C156" s="29" t="s">
        <v>205</v>
      </c>
      <c r="D156" s="29" t="s">
        <v>347</v>
      </c>
      <c r="E156" s="29" t="s">
        <v>265</v>
      </c>
      <c r="F156" s="29" t="s">
        <v>348</v>
      </c>
      <c r="G156" s="29" t="s">
        <v>348</v>
      </c>
      <c r="H156" s="29">
        <v>4</v>
      </c>
      <c r="I156" s="29" t="b">
        <v>1</v>
      </c>
      <c r="J156" s="29">
        <v>42</v>
      </c>
      <c r="K156" s="30"/>
    </row>
    <row r="157" spans="2:11">
      <c r="B157" s="29" t="s">
        <v>10</v>
      </c>
      <c r="C157" s="29" t="s">
        <v>205</v>
      </c>
      <c r="D157" s="29" t="s">
        <v>349</v>
      </c>
      <c r="E157" s="29" t="s">
        <v>265</v>
      </c>
      <c r="F157" s="29" t="s">
        <v>234</v>
      </c>
      <c r="G157" s="29" t="s">
        <v>234</v>
      </c>
      <c r="H157" s="29">
        <v>4</v>
      </c>
      <c r="I157" s="29" t="b">
        <v>1</v>
      </c>
      <c r="J157" s="29">
        <v>43</v>
      </c>
      <c r="K157" s="30"/>
    </row>
    <row r="158" spans="2:11">
      <c r="B158" s="29" t="s">
        <v>10</v>
      </c>
      <c r="C158" s="29" t="s">
        <v>205</v>
      </c>
      <c r="D158" s="29" t="s">
        <v>350</v>
      </c>
      <c r="E158" s="29" t="s">
        <v>265</v>
      </c>
      <c r="F158" s="29" t="s">
        <v>351</v>
      </c>
      <c r="G158" s="29" t="s">
        <v>351</v>
      </c>
      <c r="H158" s="29">
        <v>4</v>
      </c>
      <c r="I158" s="29" t="b">
        <v>1</v>
      </c>
      <c r="J158" s="29">
        <v>44</v>
      </c>
      <c r="K158" s="30"/>
    </row>
    <row r="159" spans="2:11">
      <c r="B159" s="29" t="s">
        <v>10</v>
      </c>
      <c r="C159" s="29" t="s">
        <v>205</v>
      </c>
      <c r="D159" s="29" t="s">
        <v>352</v>
      </c>
      <c r="E159" s="29" t="s">
        <v>265</v>
      </c>
      <c r="F159" s="29" t="s">
        <v>353</v>
      </c>
      <c r="G159" s="29" t="s">
        <v>353</v>
      </c>
      <c r="H159" s="29">
        <v>4</v>
      </c>
      <c r="I159" s="29" t="b">
        <v>1</v>
      </c>
      <c r="J159" s="29">
        <v>45</v>
      </c>
      <c r="K159" s="30"/>
    </row>
    <row r="160" spans="2:11">
      <c r="B160" s="29" t="s">
        <v>10</v>
      </c>
      <c r="C160" s="29" t="s">
        <v>205</v>
      </c>
      <c r="D160" s="29" t="s">
        <v>354</v>
      </c>
      <c r="E160" s="29" t="s">
        <v>265</v>
      </c>
      <c r="F160" s="29" t="s">
        <v>355</v>
      </c>
      <c r="G160" s="29" t="s">
        <v>355</v>
      </c>
      <c r="H160" s="29">
        <v>4</v>
      </c>
      <c r="I160" s="29" t="b">
        <v>1</v>
      </c>
      <c r="J160" s="29">
        <v>46</v>
      </c>
      <c r="K160" s="30"/>
    </row>
    <row r="161" spans="2:11">
      <c r="B161" s="29" t="s">
        <v>10</v>
      </c>
      <c r="C161" s="29" t="s">
        <v>205</v>
      </c>
      <c r="D161" s="29" t="s">
        <v>356</v>
      </c>
      <c r="E161" s="29" t="s">
        <v>265</v>
      </c>
      <c r="F161" s="29" t="s">
        <v>357</v>
      </c>
      <c r="G161" s="29" t="s">
        <v>357</v>
      </c>
      <c r="H161" s="29">
        <v>4</v>
      </c>
      <c r="I161" s="29" t="b">
        <v>1</v>
      </c>
      <c r="J161" s="29">
        <v>47</v>
      </c>
      <c r="K161" s="30"/>
    </row>
    <row r="162" spans="2:11">
      <c r="B162" s="29" t="s">
        <v>10</v>
      </c>
      <c r="C162" s="29" t="s">
        <v>205</v>
      </c>
      <c r="D162" s="29" t="s">
        <v>358</v>
      </c>
      <c r="E162" s="29" t="s">
        <v>265</v>
      </c>
      <c r="F162" s="29" t="s">
        <v>224</v>
      </c>
      <c r="G162" s="29" t="s">
        <v>224</v>
      </c>
      <c r="H162" s="29">
        <v>4</v>
      </c>
      <c r="I162" s="29" t="b">
        <v>1</v>
      </c>
      <c r="J162" s="29">
        <v>48</v>
      </c>
      <c r="K162" s="30"/>
    </row>
    <row r="163" spans="2:11">
      <c r="B163" s="29" t="s">
        <v>10</v>
      </c>
      <c r="C163" s="29" t="s">
        <v>205</v>
      </c>
      <c r="D163" s="29" t="s">
        <v>359</v>
      </c>
      <c r="E163" s="29" t="s">
        <v>265</v>
      </c>
      <c r="F163" s="29" t="s">
        <v>360</v>
      </c>
      <c r="G163" s="29" t="s">
        <v>360</v>
      </c>
      <c r="H163" s="29">
        <v>4</v>
      </c>
      <c r="I163" s="29" t="b">
        <v>1</v>
      </c>
      <c r="J163" s="29">
        <v>49</v>
      </c>
      <c r="K163" s="30"/>
    </row>
    <row r="164" spans="2:11">
      <c r="B164" s="29" t="s">
        <v>10</v>
      </c>
      <c r="C164" s="29" t="s">
        <v>205</v>
      </c>
      <c r="D164" s="29" t="s">
        <v>361</v>
      </c>
      <c r="E164" s="29" t="s">
        <v>265</v>
      </c>
      <c r="F164" s="29" t="s">
        <v>362</v>
      </c>
      <c r="G164" s="29" t="s">
        <v>362</v>
      </c>
      <c r="H164" s="29">
        <v>4</v>
      </c>
      <c r="I164" s="29" t="b">
        <v>1</v>
      </c>
      <c r="J164" s="29">
        <v>50</v>
      </c>
      <c r="K164" s="30"/>
    </row>
    <row r="165" spans="2:11">
      <c r="B165" s="29" t="s">
        <v>10</v>
      </c>
      <c r="C165" s="29" t="s">
        <v>205</v>
      </c>
      <c r="D165" s="29" t="s">
        <v>363</v>
      </c>
      <c r="E165" s="29" t="s">
        <v>265</v>
      </c>
      <c r="F165" s="29" t="s">
        <v>364</v>
      </c>
      <c r="G165" s="29" t="s">
        <v>364</v>
      </c>
      <c r="H165" s="29">
        <v>4</v>
      </c>
      <c r="I165" s="29" t="b">
        <v>1</v>
      </c>
      <c r="J165" s="29">
        <v>51</v>
      </c>
      <c r="K165" s="30"/>
    </row>
    <row r="166" spans="2:11">
      <c r="B166" s="29" t="s">
        <v>10</v>
      </c>
      <c r="C166" s="29" t="s">
        <v>205</v>
      </c>
      <c r="D166" s="29" t="s">
        <v>365</v>
      </c>
      <c r="E166" s="29" t="s">
        <v>265</v>
      </c>
      <c r="F166" s="29" t="s">
        <v>366</v>
      </c>
      <c r="G166" s="29" t="s">
        <v>366</v>
      </c>
      <c r="H166" s="29">
        <v>4</v>
      </c>
      <c r="I166" s="29" t="b">
        <v>1</v>
      </c>
      <c r="J166" s="29">
        <v>52</v>
      </c>
      <c r="K166" s="30"/>
    </row>
    <row r="167" spans="2:11">
      <c r="B167" s="29" t="s">
        <v>10</v>
      </c>
      <c r="C167" s="29" t="s">
        <v>205</v>
      </c>
      <c r="D167" s="29" t="s">
        <v>367</v>
      </c>
      <c r="E167" s="29" t="s">
        <v>265</v>
      </c>
      <c r="F167" s="29" t="s">
        <v>368</v>
      </c>
      <c r="G167" s="29" t="s">
        <v>369</v>
      </c>
      <c r="H167" s="29">
        <v>4</v>
      </c>
      <c r="I167" s="29" t="b">
        <v>1</v>
      </c>
      <c r="J167" s="29">
        <v>53</v>
      </c>
      <c r="K167" s="30"/>
    </row>
    <row r="168" spans="2:11">
      <c r="B168" s="28" t="s">
        <v>10</v>
      </c>
      <c r="C168" s="28" t="s">
        <v>205</v>
      </c>
      <c r="D168" s="28" t="s">
        <v>370</v>
      </c>
      <c r="E168" s="28" t="s">
        <v>206</v>
      </c>
      <c r="F168" s="28" t="s">
        <v>170</v>
      </c>
      <c r="G168" s="28" t="s">
        <v>170</v>
      </c>
      <c r="H168" s="28">
        <v>3</v>
      </c>
      <c r="I168" s="28" t="b">
        <v>1</v>
      </c>
      <c r="J168" s="28">
        <v>3</v>
      </c>
      <c r="K168" s="28"/>
    </row>
    <row r="169" spans="2:11">
      <c r="B169" s="29" t="s">
        <v>10</v>
      </c>
      <c r="C169" s="29" t="s">
        <v>205</v>
      </c>
      <c r="D169" s="29" t="s">
        <v>371</v>
      </c>
      <c r="E169" s="29" t="s">
        <v>370</v>
      </c>
      <c r="F169" s="29" t="s">
        <v>372</v>
      </c>
      <c r="G169" s="29" t="s">
        <v>372</v>
      </c>
      <c r="H169" s="29">
        <v>4</v>
      </c>
      <c r="I169" s="29" t="b">
        <v>1</v>
      </c>
      <c r="J169" s="29">
        <v>1</v>
      </c>
      <c r="K169" s="29"/>
    </row>
    <row r="170" spans="2:11">
      <c r="B170" s="29" t="s">
        <v>10</v>
      </c>
      <c r="C170" s="29" t="s">
        <v>205</v>
      </c>
      <c r="D170" s="29" t="s">
        <v>373</v>
      </c>
      <c r="E170" s="29" t="s">
        <v>370</v>
      </c>
      <c r="F170" s="29" t="s">
        <v>374</v>
      </c>
      <c r="G170" s="29" t="s">
        <v>374</v>
      </c>
      <c r="H170" s="29">
        <v>4</v>
      </c>
      <c r="I170" s="29" t="b">
        <v>1</v>
      </c>
      <c r="J170" s="29">
        <v>2</v>
      </c>
      <c r="K170" s="29"/>
    </row>
    <row r="171" spans="2:11">
      <c r="B171" s="29" t="s">
        <v>10</v>
      </c>
      <c r="C171" s="29" t="s">
        <v>205</v>
      </c>
      <c r="D171" s="29" t="s">
        <v>375</v>
      </c>
      <c r="E171" s="29" t="s">
        <v>370</v>
      </c>
      <c r="F171" s="29" t="s">
        <v>376</v>
      </c>
      <c r="G171" s="29" t="s">
        <v>376</v>
      </c>
      <c r="H171" s="29">
        <v>4</v>
      </c>
      <c r="I171" s="29" t="b">
        <v>1</v>
      </c>
      <c r="J171" s="29">
        <v>3</v>
      </c>
      <c r="K171" s="29"/>
    </row>
    <row r="172" spans="2:11">
      <c r="B172" s="29" t="s">
        <v>10</v>
      </c>
      <c r="C172" s="29" t="s">
        <v>205</v>
      </c>
      <c r="D172" s="29" t="s">
        <v>377</v>
      </c>
      <c r="E172" s="29" t="s">
        <v>370</v>
      </c>
      <c r="F172" s="29" t="s">
        <v>378</v>
      </c>
      <c r="G172" s="29" t="s">
        <v>378</v>
      </c>
      <c r="H172" s="29">
        <v>4</v>
      </c>
      <c r="I172" s="29" t="b">
        <v>1</v>
      </c>
      <c r="J172" s="29">
        <v>4</v>
      </c>
      <c r="K172" s="29"/>
    </row>
    <row r="173" spans="2:11">
      <c r="B173" s="29" t="s">
        <v>10</v>
      </c>
      <c r="C173" s="29" t="s">
        <v>205</v>
      </c>
      <c r="D173" s="29" t="s">
        <v>379</v>
      </c>
      <c r="E173" s="29" t="s">
        <v>370</v>
      </c>
      <c r="F173" s="29" t="s">
        <v>380</v>
      </c>
      <c r="G173" s="29" t="s">
        <v>380</v>
      </c>
      <c r="H173" s="29">
        <v>4</v>
      </c>
      <c r="I173" s="29" t="b">
        <v>1</v>
      </c>
      <c r="J173" s="29">
        <v>5</v>
      </c>
      <c r="K173" s="29"/>
    </row>
    <row r="174" spans="2:11">
      <c r="B174" s="29" t="s">
        <v>10</v>
      </c>
      <c r="C174" s="29" t="s">
        <v>205</v>
      </c>
      <c r="D174" s="29" t="s">
        <v>381</v>
      </c>
      <c r="E174" s="29" t="s">
        <v>370</v>
      </c>
      <c r="F174" s="29" t="s">
        <v>382</v>
      </c>
      <c r="G174" s="29" t="s">
        <v>382</v>
      </c>
      <c r="H174" s="29">
        <v>4</v>
      </c>
      <c r="I174" s="29" t="b">
        <v>1</v>
      </c>
      <c r="J174" s="29">
        <v>6</v>
      </c>
      <c r="K174" s="29"/>
    </row>
    <row r="175" spans="2:11">
      <c r="B175" s="28" t="s">
        <v>10</v>
      </c>
      <c r="C175" s="28" t="s">
        <v>205</v>
      </c>
      <c r="D175" s="28" t="s">
        <v>383</v>
      </c>
      <c r="E175" s="28" t="s">
        <v>206</v>
      </c>
      <c r="F175" s="28" t="s">
        <v>384</v>
      </c>
      <c r="G175" s="28" t="s">
        <v>385</v>
      </c>
      <c r="H175" s="28">
        <v>3</v>
      </c>
      <c r="I175" s="28" t="b">
        <v>1</v>
      </c>
      <c r="J175" s="28">
        <v>4</v>
      </c>
      <c r="K175" s="2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983C-4FFD-49DD-9E3D-F2EA8CC71D61}">
  <sheetPr>
    <tabColor theme="1" tint="0.499984740745262"/>
  </sheetPr>
  <dimension ref="B2:D66"/>
  <sheetViews>
    <sheetView topLeftCell="A56" zoomScale="85" zoomScaleNormal="85" workbookViewId="0">
      <selection activeCell="B66" sqref="B66"/>
    </sheetView>
  </sheetViews>
  <sheetFormatPr defaultRowHeight="16.5"/>
  <cols>
    <col min="1" max="1" width="10.75" customWidth="1"/>
    <col min="2" max="2" width="15.375" bestFit="1" customWidth="1"/>
    <col min="3" max="3" width="36.375" bestFit="1" customWidth="1"/>
    <col min="4" max="4" width="22.125" bestFit="1" customWidth="1"/>
  </cols>
  <sheetData>
    <row r="2" spans="2:4">
      <c r="B2" s="14" t="s">
        <v>386</v>
      </c>
      <c r="C2" s="14" t="s">
        <v>387</v>
      </c>
      <c r="D2" s="14" t="s">
        <v>388</v>
      </c>
    </row>
    <row r="3" spans="2:4">
      <c r="B3" s="1" t="s">
        <v>389</v>
      </c>
      <c r="C3" s="1" t="s">
        <v>390</v>
      </c>
      <c r="D3" s="1" t="s">
        <v>391</v>
      </c>
    </row>
    <row r="4" spans="2:4">
      <c r="B4" s="1" t="s">
        <v>392</v>
      </c>
      <c r="C4" s="1" t="s">
        <v>393</v>
      </c>
      <c r="D4" s="1" t="s">
        <v>394</v>
      </c>
    </row>
    <row r="5" spans="2:4">
      <c r="B5" s="1" t="s">
        <v>395</v>
      </c>
      <c r="C5" s="1" t="s">
        <v>396</v>
      </c>
      <c r="D5" s="1" t="s">
        <v>397</v>
      </c>
    </row>
    <row r="6" spans="2:4">
      <c r="B6" s="1" t="s">
        <v>398</v>
      </c>
      <c r="C6" s="1" t="s">
        <v>399</v>
      </c>
      <c r="D6" s="1" t="s">
        <v>400</v>
      </c>
    </row>
    <row r="7" spans="2:4">
      <c r="B7" s="1" t="s">
        <v>401</v>
      </c>
      <c r="C7" s="1" t="s">
        <v>402</v>
      </c>
      <c r="D7" s="1" t="s">
        <v>403</v>
      </c>
    </row>
    <row r="8" spans="2:4">
      <c r="B8" s="1" t="s">
        <v>404</v>
      </c>
      <c r="C8" s="1" t="s">
        <v>405</v>
      </c>
      <c r="D8" s="1" t="s">
        <v>406</v>
      </c>
    </row>
    <row r="9" spans="2:4">
      <c r="B9" s="1" t="s">
        <v>407</v>
      </c>
      <c r="C9" s="15" t="s">
        <v>408</v>
      </c>
      <c r="D9" s="15" t="s">
        <v>409</v>
      </c>
    </row>
    <row r="10" spans="2:4">
      <c r="B10" s="15" t="s">
        <v>410</v>
      </c>
      <c r="C10" s="15" t="s">
        <v>411</v>
      </c>
      <c r="D10" s="15" t="s">
        <v>411</v>
      </c>
    </row>
    <row r="11" spans="2:4">
      <c r="B11" s="1" t="s">
        <v>412</v>
      </c>
      <c r="C11" s="15" t="s">
        <v>413</v>
      </c>
      <c r="D11" s="15" t="s">
        <v>414</v>
      </c>
    </row>
    <row r="12" spans="2:4">
      <c r="B12" s="1" t="s">
        <v>415</v>
      </c>
      <c r="C12" s="1" t="s">
        <v>416</v>
      </c>
      <c r="D12" s="1" t="s">
        <v>417</v>
      </c>
    </row>
    <row r="13" spans="2:4">
      <c r="B13" s="1" t="s">
        <v>418</v>
      </c>
      <c r="C13" s="1" t="s">
        <v>419</v>
      </c>
      <c r="D13" s="1" t="s">
        <v>420</v>
      </c>
    </row>
    <row r="14" spans="2:4">
      <c r="B14" s="1" t="s">
        <v>421</v>
      </c>
      <c r="C14" s="15" t="s">
        <v>422</v>
      </c>
      <c r="D14" s="15" t="s">
        <v>423</v>
      </c>
    </row>
    <row r="15" spans="2:4">
      <c r="B15" s="15" t="s">
        <v>424</v>
      </c>
      <c r="C15" s="15" t="s">
        <v>425</v>
      </c>
      <c r="D15" s="15" t="s">
        <v>426</v>
      </c>
    </row>
    <row r="16" spans="2:4">
      <c r="B16" s="1" t="s">
        <v>427</v>
      </c>
      <c r="C16" s="1" t="s">
        <v>428</v>
      </c>
      <c r="D16" s="1" t="s">
        <v>429</v>
      </c>
    </row>
    <row r="17" spans="2:4">
      <c r="B17" s="1" t="s">
        <v>430</v>
      </c>
      <c r="C17" s="1" t="s">
        <v>431</v>
      </c>
      <c r="D17" s="1" t="s">
        <v>432</v>
      </c>
    </row>
    <row r="18" spans="2:4">
      <c r="B18" s="1" t="s">
        <v>433</v>
      </c>
      <c r="C18" s="1" t="s">
        <v>434</v>
      </c>
      <c r="D18" s="1" t="s">
        <v>435</v>
      </c>
    </row>
    <row r="19" spans="2:4">
      <c r="B19" s="1" t="s">
        <v>436</v>
      </c>
      <c r="C19" s="15" t="s">
        <v>437</v>
      </c>
      <c r="D19" s="15" t="s">
        <v>438</v>
      </c>
    </row>
    <row r="20" spans="2:4">
      <c r="B20" s="1" t="s">
        <v>439</v>
      </c>
      <c r="C20" s="1" t="s">
        <v>440</v>
      </c>
      <c r="D20" s="1" t="s">
        <v>441</v>
      </c>
    </row>
    <row r="21" spans="2:4">
      <c r="B21" s="1" t="s">
        <v>442</v>
      </c>
      <c r="C21" s="1" t="s">
        <v>443</v>
      </c>
      <c r="D21" s="1" t="s">
        <v>444</v>
      </c>
    </row>
    <row r="22" spans="2:4">
      <c r="B22" s="1" t="s">
        <v>445</v>
      </c>
      <c r="C22" s="15" t="s">
        <v>446</v>
      </c>
      <c r="D22" s="15" t="s">
        <v>447</v>
      </c>
    </row>
    <row r="23" spans="2:4">
      <c r="B23" s="1" t="s">
        <v>448</v>
      </c>
      <c r="C23" s="1" t="s">
        <v>449</v>
      </c>
      <c r="D23" s="1" t="s">
        <v>450</v>
      </c>
    </row>
    <row r="24" spans="2:4">
      <c r="B24" s="9" t="s">
        <v>451</v>
      </c>
      <c r="C24" s="9" t="s">
        <v>452</v>
      </c>
      <c r="D24" s="9" t="s">
        <v>453</v>
      </c>
    </row>
    <row r="25" spans="2:4">
      <c r="B25" s="1" t="s">
        <v>454</v>
      </c>
      <c r="C25" s="15" t="s">
        <v>455</v>
      </c>
      <c r="D25" s="15" t="s">
        <v>456</v>
      </c>
    </row>
    <row r="26" spans="2:4">
      <c r="B26" s="15" t="s">
        <v>457</v>
      </c>
      <c r="C26" s="15" t="s">
        <v>458</v>
      </c>
      <c r="D26" s="15" t="s">
        <v>459</v>
      </c>
    </row>
    <row r="27" spans="2:4">
      <c r="B27" s="1" t="s">
        <v>460</v>
      </c>
      <c r="C27" s="15" t="s">
        <v>461</v>
      </c>
      <c r="D27" s="15" t="s">
        <v>462</v>
      </c>
    </row>
    <row r="28" spans="2:4">
      <c r="B28" s="1" t="s">
        <v>463</v>
      </c>
      <c r="C28" s="1" t="s">
        <v>464</v>
      </c>
      <c r="D28" s="1" t="s">
        <v>465</v>
      </c>
    </row>
    <row r="29" spans="2:4">
      <c r="B29" s="1" t="s">
        <v>466</v>
      </c>
      <c r="C29" s="1" t="s">
        <v>467</v>
      </c>
      <c r="D29" s="1" t="s">
        <v>468</v>
      </c>
    </row>
    <row r="30" spans="2:4">
      <c r="B30" s="1" t="s">
        <v>469</v>
      </c>
      <c r="C30" s="1" t="s">
        <v>470</v>
      </c>
      <c r="D30" s="1" t="s">
        <v>471</v>
      </c>
    </row>
    <row r="31" spans="2:4">
      <c r="B31" s="15" t="s">
        <v>472</v>
      </c>
      <c r="C31" s="15" t="s">
        <v>473</v>
      </c>
      <c r="D31" s="15" t="s">
        <v>474</v>
      </c>
    </row>
    <row r="32" spans="2:4">
      <c r="B32" s="1" t="s">
        <v>475</v>
      </c>
      <c r="C32" s="1" t="s">
        <v>476</v>
      </c>
      <c r="D32" s="1" t="s">
        <v>477</v>
      </c>
    </row>
    <row r="33" spans="2:4">
      <c r="B33" s="15" t="s">
        <v>478</v>
      </c>
      <c r="C33" s="15" t="s">
        <v>479</v>
      </c>
      <c r="D33" s="15" t="s">
        <v>480</v>
      </c>
    </row>
    <row r="34" spans="2:4">
      <c r="B34" s="15" t="s">
        <v>481</v>
      </c>
      <c r="C34" s="15" t="s">
        <v>482</v>
      </c>
      <c r="D34" s="15" t="s">
        <v>483</v>
      </c>
    </row>
    <row r="35" spans="2:4">
      <c r="B35" s="1" t="s">
        <v>484</v>
      </c>
      <c r="C35" s="15" t="s">
        <v>485</v>
      </c>
      <c r="D35" s="15" t="s">
        <v>486</v>
      </c>
    </row>
    <row r="36" spans="2:4">
      <c r="B36" s="1" t="s">
        <v>487</v>
      </c>
      <c r="C36" s="1" t="s">
        <v>488</v>
      </c>
      <c r="D36" s="1" t="s">
        <v>489</v>
      </c>
    </row>
    <row r="37" spans="2:4">
      <c r="B37" s="1" t="s">
        <v>490</v>
      </c>
      <c r="C37" s="1" t="s">
        <v>491</v>
      </c>
      <c r="D37" s="1" t="s">
        <v>492</v>
      </c>
    </row>
    <row r="38" spans="2:4">
      <c r="B38" s="15" t="s">
        <v>493</v>
      </c>
      <c r="C38" s="15" t="s">
        <v>494</v>
      </c>
      <c r="D38" s="15" t="s">
        <v>495</v>
      </c>
    </row>
    <row r="39" spans="2:4">
      <c r="B39" s="1" t="s">
        <v>496</v>
      </c>
      <c r="C39" s="1" t="s">
        <v>497</v>
      </c>
      <c r="D39" s="1" t="s">
        <v>498</v>
      </c>
    </row>
    <row r="40" spans="2:4">
      <c r="B40" s="15" t="s">
        <v>499</v>
      </c>
      <c r="C40" s="15" t="s">
        <v>500</v>
      </c>
      <c r="D40" s="15" t="s">
        <v>501</v>
      </c>
    </row>
    <row r="41" spans="2:4">
      <c r="B41" s="1" t="s">
        <v>502</v>
      </c>
      <c r="C41" s="15" t="s">
        <v>503</v>
      </c>
      <c r="D41" s="15" t="s">
        <v>504</v>
      </c>
    </row>
    <row r="42" spans="2:4">
      <c r="B42" s="1" t="s">
        <v>505</v>
      </c>
      <c r="C42" s="1" t="s">
        <v>506</v>
      </c>
      <c r="D42" s="1" t="s">
        <v>507</v>
      </c>
    </row>
    <row r="43" spans="2:4">
      <c r="B43" s="1" t="s">
        <v>508</v>
      </c>
      <c r="C43" s="1" t="s">
        <v>509</v>
      </c>
      <c r="D43" s="1" t="s">
        <v>510</v>
      </c>
    </row>
    <row r="44" spans="2:4">
      <c r="B44" s="15" t="s">
        <v>511</v>
      </c>
      <c r="C44" s="15" t="s">
        <v>512</v>
      </c>
      <c r="D44" s="15" t="s">
        <v>513</v>
      </c>
    </row>
    <row r="45" spans="2:4">
      <c r="B45" s="15" t="s">
        <v>514</v>
      </c>
      <c r="C45" s="15" t="s">
        <v>515</v>
      </c>
      <c r="D45" s="15" t="s">
        <v>516</v>
      </c>
    </row>
    <row r="46" spans="2:4">
      <c r="B46" s="1" t="s">
        <v>517</v>
      </c>
      <c r="C46" s="1" t="s">
        <v>518</v>
      </c>
      <c r="D46" s="1" t="s">
        <v>519</v>
      </c>
    </row>
    <row r="47" spans="2:4">
      <c r="B47" s="1" t="s">
        <v>520</v>
      </c>
      <c r="C47" s="15" t="s">
        <v>521</v>
      </c>
      <c r="D47" s="15" t="s">
        <v>522</v>
      </c>
    </row>
    <row r="48" spans="2:4">
      <c r="B48" s="1" t="s">
        <v>523</v>
      </c>
      <c r="C48" s="1" t="s">
        <v>524</v>
      </c>
      <c r="D48" s="1" t="s">
        <v>525</v>
      </c>
    </row>
    <row r="49" spans="2:4">
      <c r="B49" s="1" t="s">
        <v>526</v>
      </c>
      <c r="C49" s="1" t="s">
        <v>527</v>
      </c>
      <c r="D49" s="1" t="s">
        <v>528</v>
      </c>
    </row>
    <row r="50" spans="2:4">
      <c r="B50" s="15" t="s">
        <v>529</v>
      </c>
      <c r="C50" s="15" t="s">
        <v>530</v>
      </c>
      <c r="D50" s="15" t="s">
        <v>531</v>
      </c>
    </row>
    <row r="51" spans="2:4">
      <c r="B51" s="1" t="s">
        <v>532</v>
      </c>
      <c r="C51" s="1" t="s">
        <v>533</v>
      </c>
      <c r="D51" s="1" t="s">
        <v>534</v>
      </c>
    </row>
    <row r="52" spans="2:4">
      <c r="B52" s="1" t="s">
        <v>535</v>
      </c>
      <c r="C52" s="15" t="s">
        <v>536</v>
      </c>
      <c r="D52" s="15" t="s">
        <v>537</v>
      </c>
    </row>
    <row r="53" spans="2:4">
      <c r="B53" s="15" t="s">
        <v>538</v>
      </c>
      <c r="C53" s="15" t="s">
        <v>539</v>
      </c>
      <c r="D53" s="15" t="s">
        <v>540</v>
      </c>
    </row>
    <row r="54" spans="2:4">
      <c r="B54" s="15" t="s">
        <v>541</v>
      </c>
      <c r="C54" s="15" t="s">
        <v>542</v>
      </c>
      <c r="D54" s="15" t="s">
        <v>543</v>
      </c>
    </row>
    <row r="55" spans="2:4">
      <c r="B55" s="15" t="s">
        <v>544</v>
      </c>
      <c r="C55" s="15" t="s">
        <v>545</v>
      </c>
      <c r="D55" s="15" t="s">
        <v>546</v>
      </c>
    </row>
    <row r="56" spans="2:4">
      <c r="B56" s="1" t="s">
        <v>547</v>
      </c>
      <c r="C56" s="1" t="s">
        <v>548</v>
      </c>
      <c r="D56" s="1" t="s">
        <v>549</v>
      </c>
    </row>
    <row r="57" spans="2:4">
      <c r="B57" s="15" t="s">
        <v>550</v>
      </c>
      <c r="C57" s="15" t="s">
        <v>551</v>
      </c>
      <c r="D57" s="15" t="s">
        <v>552</v>
      </c>
    </row>
    <row r="58" spans="2:4">
      <c r="B58" s="15" t="s">
        <v>553</v>
      </c>
      <c r="C58" s="15" t="s">
        <v>554</v>
      </c>
      <c r="D58" s="15" t="s">
        <v>555</v>
      </c>
    </row>
    <row r="59" spans="2:4">
      <c r="B59" s="15" t="s">
        <v>556</v>
      </c>
      <c r="C59" s="15" t="s">
        <v>557</v>
      </c>
      <c r="D59" s="15" t="s">
        <v>558</v>
      </c>
    </row>
    <row r="60" spans="2:4">
      <c r="B60" s="1" t="s">
        <v>559</v>
      </c>
      <c r="C60" s="1" t="s">
        <v>560</v>
      </c>
      <c r="D60" s="1" t="s">
        <v>561</v>
      </c>
    </row>
    <row r="61" spans="2:4">
      <c r="B61" s="1" t="s">
        <v>562</v>
      </c>
      <c r="C61" s="1" t="s">
        <v>563</v>
      </c>
      <c r="D61" s="1" t="s">
        <v>564</v>
      </c>
    </row>
    <row r="62" spans="2:4">
      <c r="B62" s="15" t="s">
        <v>565</v>
      </c>
      <c r="C62" s="15" t="s">
        <v>566</v>
      </c>
      <c r="D62" s="15" t="s">
        <v>567</v>
      </c>
    </row>
    <row r="63" spans="2:4">
      <c r="B63" s="1" t="s">
        <v>568</v>
      </c>
      <c r="C63" s="1" t="s">
        <v>569</v>
      </c>
      <c r="D63" s="1" t="s">
        <v>570</v>
      </c>
    </row>
    <row r="64" spans="2:4">
      <c r="B64" s="1" t="s">
        <v>571</v>
      </c>
      <c r="C64" s="1" t="s">
        <v>572</v>
      </c>
      <c r="D64" s="1" t="s">
        <v>573</v>
      </c>
    </row>
    <row r="65" spans="2:4">
      <c r="B65" s="15" t="s">
        <v>574</v>
      </c>
      <c r="C65" s="15" t="s">
        <v>575</v>
      </c>
      <c r="D65" s="15" t="s">
        <v>576</v>
      </c>
    </row>
    <row r="66" spans="2:4">
      <c r="B66" s="15" t="s">
        <v>577</v>
      </c>
      <c r="C66" s="15" t="s">
        <v>578</v>
      </c>
      <c r="D66" s="15" t="s">
        <v>579</v>
      </c>
    </row>
  </sheetData>
  <sortState xmlns:xlrd2="http://schemas.microsoft.com/office/spreadsheetml/2017/richdata2" ref="B4:D65">
    <sortCondition ref="D4:D65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CE91-9E04-4D3B-ABF3-948345043FBD}">
  <dimension ref="B1:W92"/>
  <sheetViews>
    <sheetView zoomScale="70" zoomScaleNormal="70" workbookViewId="0">
      <selection activeCell="F14" sqref="F14"/>
    </sheetView>
  </sheetViews>
  <sheetFormatPr defaultRowHeight="16.5" customHeight="1"/>
  <cols>
    <col min="2" max="2" width="31.25" bestFit="1" customWidth="1"/>
    <col min="3" max="3" width="46.125" bestFit="1" customWidth="1"/>
    <col min="4" max="4" width="16.5" customWidth="1"/>
    <col min="5" max="5" width="11.875" customWidth="1"/>
    <col min="6" max="6" width="11.25" bestFit="1" customWidth="1"/>
    <col min="7" max="7" width="15.375" bestFit="1" customWidth="1"/>
    <col min="8" max="9" width="19.5" bestFit="1" customWidth="1"/>
    <col min="10" max="10" width="19.5" customWidth="1"/>
    <col min="11" max="11" width="27.875" customWidth="1"/>
    <col min="12" max="12" width="15.75" customWidth="1"/>
    <col min="13" max="13" width="19" customWidth="1"/>
    <col min="14" max="14" width="27.875" bestFit="1" customWidth="1"/>
    <col min="15" max="15" width="9.5" customWidth="1"/>
    <col min="16" max="16" width="46.125" bestFit="1" customWidth="1"/>
    <col min="17" max="17" width="19.125" bestFit="1" customWidth="1"/>
    <col min="18" max="18" width="20.625" customWidth="1"/>
    <col min="19" max="19" width="20.125" bestFit="1" customWidth="1"/>
    <col min="24" max="24" width="11.5" bestFit="1" customWidth="1"/>
  </cols>
  <sheetData>
    <row r="1" spans="2:23" s="35" customFormat="1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584</v>
      </c>
      <c r="I1" s="2" t="s">
        <v>585</v>
      </c>
      <c r="J1" s="47" t="s">
        <v>586</v>
      </c>
      <c r="K1" s="48" t="s">
        <v>587</v>
      </c>
      <c r="L1" s="2" t="s">
        <v>588</v>
      </c>
      <c r="M1" s="3" t="s">
        <v>589</v>
      </c>
      <c r="N1" s="2" t="s">
        <v>590</v>
      </c>
      <c r="O1" s="2" t="s">
        <v>591</v>
      </c>
      <c r="P1" s="2" t="s">
        <v>592</v>
      </c>
      <c r="Q1" s="2" t="s">
        <v>593</v>
      </c>
      <c r="R1" s="2" t="s">
        <v>594</v>
      </c>
      <c r="S1" s="54" t="s">
        <v>595</v>
      </c>
    </row>
    <row r="2" spans="2:23" s="35" customFormat="1" ht="26.25" customHeight="1">
      <c r="B2" s="38" t="s">
        <v>596</v>
      </c>
      <c r="C2" s="39" t="s">
        <v>597</v>
      </c>
      <c r="D2" s="40" t="s">
        <v>598</v>
      </c>
      <c r="E2" s="39" t="s">
        <v>597</v>
      </c>
      <c r="F2" s="41" t="s">
        <v>386</v>
      </c>
      <c r="G2" s="41" t="s">
        <v>599</v>
      </c>
      <c r="H2" s="42" t="s">
        <v>600</v>
      </c>
      <c r="I2" s="40" t="s">
        <v>601</v>
      </c>
      <c r="J2" s="43" t="s">
        <v>602</v>
      </c>
      <c r="K2" s="43" t="s">
        <v>603</v>
      </c>
      <c r="L2" s="44" t="s">
        <v>604</v>
      </c>
      <c r="M2" s="52" t="s">
        <v>605</v>
      </c>
      <c r="N2" s="56" t="s">
        <v>606</v>
      </c>
      <c r="O2" s="53" t="s">
        <v>607</v>
      </c>
      <c r="P2" s="43" t="s">
        <v>608</v>
      </c>
      <c r="Q2" s="43" t="s">
        <v>609</v>
      </c>
      <c r="R2" s="41" t="s">
        <v>610</v>
      </c>
      <c r="S2" s="57" t="s">
        <v>611</v>
      </c>
    </row>
    <row r="3" spans="2:23">
      <c r="B3" s="1" t="str">
        <f t="shared" ref="B3:B31" si="0">D3&amp;"_"&amp;F3&amp;"_"&amp;H3&amp;"_"&amp;I3</f>
        <v>E_CAB01_VM_0000_2.5_3</v>
      </c>
      <c r="C3" s="16" t="s">
        <v>20</v>
      </c>
      <c r="D3" s="16" t="s">
        <v>19</v>
      </c>
      <c r="E3" s="16" t="s">
        <v>391</v>
      </c>
      <c r="F3" s="16" t="s">
        <v>612</v>
      </c>
      <c r="G3" s="16"/>
      <c r="H3" s="16">
        <v>2.5</v>
      </c>
      <c r="I3" s="16">
        <v>3</v>
      </c>
      <c r="J3" s="16" t="s">
        <v>613</v>
      </c>
      <c r="K3" s="16"/>
      <c r="L3" s="16">
        <v>2271</v>
      </c>
      <c r="M3" s="16"/>
      <c r="N3" s="16" t="s">
        <v>614</v>
      </c>
      <c r="O3" s="16" t="b">
        <v>1</v>
      </c>
      <c r="P3" s="16" t="str">
        <f>C3</f>
        <v>0.6/1kV 난연 전력 케이블(F-CV)</v>
      </c>
      <c r="Q3" s="16" t="str">
        <f t="shared" ref="Q3:Q17" si="1">H3&amp;"㎟ "&amp;I3&amp;"C"</f>
        <v>2.5㎟ 3C</v>
      </c>
      <c r="S3" s="16"/>
      <c r="W3" s="16"/>
    </row>
    <row r="4" spans="2:23">
      <c r="B4" s="1" t="str">
        <f t="shared" si="0"/>
        <v>E_CAB01_VM_0000_4_3</v>
      </c>
      <c r="C4" s="16" t="s">
        <v>20</v>
      </c>
      <c r="D4" s="16" t="s">
        <v>19</v>
      </c>
      <c r="E4" s="16" t="s">
        <v>391</v>
      </c>
      <c r="F4" s="16" t="s">
        <v>612</v>
      </c>
      <c r="G4" s="16"/>
      <c r="H4" s="16">
        <v>4</v>
      </c>
      <c r="I4" s="16">
        <v>3</v>
      </c>
      <c r="J4" s="16" t="s">
        <v>613</v>
      </c>
      <c r="K4" s="16">
        <v>1</v>
      </c>
      <c r="L4" s="16">
        <v>3072</v>
      </c>
      <c r="M4" s="16"/>
      <c r="N4" s="16" t="s">
        <v>614</v>
      </c>
      <c r="O4" s="16" t="b">
        <v>1</v>
      </c>
      <c r="P4" s="16" t="str">
        <f>C4</f>
        <v>0.6/1kV 난연 전력 케이블(F-CV)</v>
      </c>
      <c r="Q4" s="16" t="str">
        <f t="shared" si="1"/>
        <v>4㎟ 3C</v>
      </c>
      <c r="S4" s="16"/>
      <c r="W4" s="16"/>
    </row>
    <row r="5" spans="2:23">
      <c r="B5" s="1" t="str">
        <f t="shared" si="0"/>
        <v>E_CAB01_VM_0000_6_3</v>
      </c>
      <c r="C5" s="16" t="s">
        <v>20</v>
      </c>
      <c r="D5" s="16" t="s">
        <v>19</v>
      </c>
      <c r="E5" s="16" t="s">
        <v>391</v>
      </c>
      <c r="F5" s="16" t="s">
        <v>612</v>
      </c>
      <c r="G5" s="16"/>
      <c r="H5" s="16">
        <v>6</v>
      </c>
      <c r="I5" s="16">
        <v>3</v>
      </c>
      <c r="J5" s="16" t="s">
        <v>613</v>
      </c>
      <c r="K5" s="16">
        <v>2</v>
      </c>
      <c r="L5" s="16">
        <v>4182</v>
      </c>
      <c r="M5" s="16"/>
      <c r="N5" s="16" t="s">
        <v>614</v>
      </c>
      <c r="O5" s="16" t="b">
        <v>1</v>
      </c>
      <c r="P5" s="16" t="str">
        <f t="shared" ref="P5:P40" si="2">C5</f>
        <v>0.6/1kV 난연 전력 케이블(F-CV)</v>
      </c>
      <c r="Q5" s="16" t="str">
        <f t="shared" si="1"/>
        <v>6㎟ 3C</v>
      </c>
      <c r="S5" s="16"/>
      <c r="W5" s="16"/>
    </row>
    <row r="6" spans="2:23">
      <c r="B6" s="1" t="str">
        <f t="shared" si="0"/>
        <v>E_CAB01_VM_0000_10_3</v>
      </c>
      <c r="C6" s="16" t="s">
        <v>20</v>
      </c>
      <c r="D6" s="16" t="s">
        <v>19</v>
      </c>
      <c r="E6" s="16" t="s">
        <v>391</v>
      </c>
      <c r="F6" s="16" t="s">
        <v>612</v>
      </c>
      <c r="G6" s="16"/>
      <c r="H6" s="16">
        <v>10</v>
      </c>
      <c r="I6" s="16">
        <v>3</v>
      </c>
      <c r="J6" s="16" t="s">
        <v>613</v>
      </c>
      <c r="K6" s="16">
        <v>3</v>
      </c>
      <c r="L6" s="16">
        <v>6611</v>
      </c>
      <c r="M6" s="16"/>
      <c r="N6" s="16" t="s">
        <v>614</v>
      </c>
      <c r="O6" s="16" t="b">
        <v>1</v>
      </c>
      <c r="P6" s="16" t="str">
        <f t="shared" si="2"/>
        <v>0.6/1kV 난연 전력 케이블(F-CV)</v>
      </c>
      <c r="Q6" s="16" t="str">
        <f t="shared" si="1"/>
        <v>10㎟ 3C</v>
      </c>
      <c r="S6" s="16"/>
      <c r="W6" s="16"/>
    </row>
    <row r="7" spans="2:23">
      <c r="B7" s="1" t="str">
        <f t="shared" si="0"/>
        <v>E_CAB01_VM_0000_16_3</v>
      </c>
      <c r="C7" s="16" t="s">
        <v>20</v>
      </c>
      <c r="D7" s="16" t="s">
        <v>19</v>
      </c>
      <c r="E7" s="16" t="s">
        <v>391</v>
      </c>
      <c r="F7" s="16" t="s">
        <v>612</v>
      </c>
      <c r="G7" s="16"/>
      <c r="H7" s="16">
        <v>16</v>
      </c>
      <c r="I7" s="16">
        <v>3</v>
      </c>
      <c r="J7" s="16" t="s">
        <v>613</v>
      </c>
      <c r="K7" s="16">
        <v>4</v>
      </c>
      <c r="L7" s="16">
        <v>9831</v>
      </c>
      <c r="M7" s="16"/>
      <c r="N7" s="16" t="s">
        <v>614</v>
      </c>
      <c r="O7" s="16" t="b">
        <v>1</v>
      </c>
      <c r="P7" s="16" t="str">
        <f t="shared" si="2"/>
        <v>0.6/1kV 난연 전력 케이블(F-CV)</v>
      </c>
      <c r="Q7" s="16" t="str">
        <f t="shared" si="1"/>
        <v>16㎟ 3C</v>
      </c>
      <c r="S7" s="16"/>
      <c r="W7" s="16"/>
    </row>
    <row r="8" spans="2:23">
      <c r="B8" s="1" t="str">
        <f t="shared" si="0"/>
        <v>E_CAB01_VM_0000_25_3</v>
      </c>
      <c r="C8" s="16" t="s">
        <v>20</v>
      </c>
      <c r="D8" s="16" t="s">
        <v>19</v>
      </c>
      <c r="E8" s="16" t="s">
        <v>391</v>
      </c>
      <c r="F8" s="16" t="s">
        <v>612</v>
      </c>
      <c r="G8" s="16"/>
      <c r="H8" s="16">
        <v>25</v>
      </c>
      <c r="I8" s="16">
        <v>3</v>
      </c>
      <c r="J8" s="16" t="s">
        <v>613</v>
      </c>
      <c r="K8" s="16">
        <v>5</v>
      </c>
      <c r="L8" s="16">
        <v>15408</v>
      </c>
      <c r="M8" s="16"/>
      <c r="N8" s="16" t="s">
        <v>614</v>
      </c>
      <c r="O8" s="16" t="b">
        <v>1</v>
      </c>
      <c r="P8" s="16" t="str">
        <f t="shared" si="2"/>
        <v>0.6/1kV 난연 전력 케이블(F-CV)</v>
      </c>
      <c r="Q8" s="16" t="str">
        <f t="shared" si="1"/>
        <v>25㎟ 3C</v>
      </c>
      <c r="S8" s="16"/>
      <c r="W8" s="16"/>
    </row>
    <row r="9" spans="2:23">
      <c r="B9" s="1" t="str">
        <f t="shared" si="0"/>
        <v>E_CAB01_VM_0000_35_3</v>
      </c>
      <c r="C9" s="16" t="s">
        <v>20</v>
      </c>
      <c r="D9" s="16" t="s">
        <v>19</v>
      </c>
      <c r="E9" s="16" t="s">
        <v>391</v>
      </c>
      <c r="F9" s="16" t="s">
        <v>612</v>
      </c>
      <c r="G9" s="16"/>
      <c r="H9" s="16">
        <v>35</v>
      </c>
      <c r="I9" s="16">
        <v>3</v>
      </c>
      <c r="J9" s="16" t="s">
        <v>613</v>
      </c>
      <c r="K9" s="16">
        <v>6</v>
      </c>
      <c r="L9" s="16">
        <v>21045</v>
      </c>
      <c r="M9" s="16"/>
      <c r="N9" s="16" t="s">
        <v>614</v>
      </c>
      <c r="O9" s="16" t="b">
        <v>1</v>
      </c>
      <c r="P9" s="16" t="str">
        <f t="shared" si="2"/>
        <v>0.6/1kV 난연 전력 케이블(F-CV)</v>
      </c>
      <c r="Q9" s="16" t="str">
        <f t="shared" si="1"/>
        <v>35㎟ 3C</v>
      </c>
      <c r="S9" s="16"/>
      <c r="W9" s="16"/>
    </row>
    <row r="10" spans="2:23">
      <c r="B10" s="1" t="str">
        <f t="shared" si="0"/>
        <v>E_CAB01_VM_0000_50_3</v>
      </c>
      <c r="C10" s="16" t="s">
        <v>20</v>
      </c>
      <c r="D10" s="16" t="s">
        <v>19</v>
      </c>
      <c r="E10" s="16" t="s">
        <v>391</v>
      </c>
      <c r="F10" s="16" t="s">
        <v>612</v>
      </c>
      <c r="G10" s="16"/>
      <c r="H10" s="16">
        <v>50</v>
      </c>
      <c r="I10" s="16">
        <v>3</v>
      </c>
      <c r="J10" s="16" t="s">
        <v>613</v>
      </c>
      <c r="K10" s="16">
        <v>7</v>
      </c>
      <c r="L10" s="16">
        <v>28205</v>
      </c>
      <c r="M10" s="16"/>
      <c r="N10" s="16" t="s">
        <v>614</v>
      </c>
      <c r="O10" s="16" t="b">
        <v>1</v>
      </c>
      <c r="P10" s="16" t="str">
        <f t="shared" si="2"/>
        <v>0.6/1kV 난연 전력 케이블(F-CV)</v>
      </c>
      <c r="Q10" s="16" t="str">
        <f t="shared" si="1"/>
        <v>50㎟ 3C</v>
      </c>
      <c r="S10" s="16"/>
      <c r="W10" s="16"/>
    </row>
    <row r="11" spans="2:23">
      <c r="B11" s="1" t="str">
        <f t="shared" si="0"/>
        <v>E_CAB01_VM_0000_70_3</v>
      </c>
      <c r="C11" s="16" t="s">
        <v>20</v>
      </c>
      <c r="D11" s="16" t="s">
        <v>19</v>
      </c>
      <c r="E11" s="16" t="s">
        <v>391</v>
      </c>
      <c r="F11" s="16" t="s">
        <v>612</v>
      </c>
      <c r="G11" s="16"/>
      <c r="H11" s="16">
        <v>70</v>
      </c>
      <c r="I11" s="16">
        <v>3</v>
      </c>
      <c r="J11" s="16" t="s">
        <v>613</v>
      </c>
      <c r="K11" s="16">
        <v>8</v>
      </c>
      <c r="L11" s="16">
        <v>40222</v>
      </c>
      <c r="M11" s="16"/>
      <c r="N11" s="16" t="s">
        <v>614</v>
      </c>
      <c r="O11" s="16" t="b">
        <v>1</v>
      </c>
      <c r="P11" s="16" t="str">
        <f t="shared" si="2"/>
        <v>0.6/1kV 난연 전력 케이블(F-CV)</v>
      </c>
      <c r="Q11" s="16" t="str">
        <f t="shared" si="1"/>
        <v>70㎟ 3C</v>
      </c>
      <c r="S11" s="16"/>
      <c r="W11" s="16"/>
    </row>
    <row r="12" spans="2:23">
      <c r="B12" s="1" t="str">
        <f t="shared" si="0"/>
        <v>E_CAB01_VM_0000_95_3</v>
      </c>
      <c r="C12" s="16" t="s">
        <v>20</v>
      </c>
      <c r="D12" s="16" t="s">
        <v>19</v>
      </c>
      <c r="E12" s="16" t="s">
        <v>391</v>
      </c>
      <c r="F12" s="16" t="s">
        <v>612</v>
      </c>
      <c r="G12" s="16"/>
      <c r="H12" s="16">
        <v>95</v>
      </c>
      <c r="I12" s="16">
        <v>3</v>
      </c>
      <c r="J12" s="16" t="s">
        <v>613</v>
      </c>
      <c r="K12" s="16">
        <v>9</v>
      </c>
      <c r="L12" s="16">
        <v>54468</v>
      </c>
      <c r="M12" s="16"/>
      <c r="N12" s="16" t="s">
        <v>614</v>
      </c>
      <c r="O12" s="16" t="b">
        <v>1</v>
      </c>
      <c r="P12" s="16" t="str">
        <f t="shared" si="2"/>
        <v>0.6/1kV 난연 전력 케이블(F-CV)</v>
      </c>
      <c r="Q12" s="16" t="str">
        <f t="shared" si="1"/>
        <v>95㎟ 3C</v>
      </c>
      <c r="S12" s="16"/>
      <c r="W12" s="16"/>
    </row>
    <row r="13" spans="2:23">
      <c r="B13" s="1" t="str">
        <f t="shared" si="0"/>
        <v>E_CAB01_VM_0000_120_3</v>
      </c>
      <c r="C13" s="16" t="s">
        <v>20</v>
      </c>
      <c r="D13" s="16" t="s">
        <v>19</v>
      </c>
      <c r="E13" s="16" t="s">
        <v>391</v>
      </c>
      <c r="F13" s="16" t="s">
        <v>612</v>
      </c>
      <c r="G13" s="16"/>
      <c r="H13" s="16">
        <v>120</v>
      </c>
      <c r="I13" s="16">
        <v>3</v>
      </c>
      <c r="J13" s="16" t="s">
        <v>613</v>
      </c>
      <c r="K13" s="16">
        <v>10</v>
      </c>
      <c r="L13" s="16">
        <v>68154</v>
      </c>
      <c r="M13" s="16"/>
      <c r="N13" s="16" t="s">
        <v>614</v>
      </c>
      <c r="O13" s="16" t="b">
        <v>1</v>
      </c>
      <c r="P13" s="16" t="str">
        <f t="shared" si="2"/>
        <v>0.6/1kV 난연 전력 케이블(F-CV)</v>
      </c>
      <c r="Q13" s="16" t="str">
        <f t="shared" si="1"/>
        <v>120㎟ 3C</v>
      </c>
      <c r="S13" s="16"/>
      <c r="W13" s="16"/>
    </row>
    <row r="14" spans="2:23">
      <c r="B14" s="1" t="str">
        <f t="shared" si="0"/>
        <v>E_CAB01_VM_0000_150_3</v>
      </c>
      <c r="C14" s="16" t="s">
        <v>20</v>
      </c>
      <c r="D14" s="16" t="s">
        <v>19</v>
      </c>
      <c r="E14" s="16" t="s">
        <v>391</v>
      </c>
      <c r="F14" s="16" t="s">
        <v>612</v>
      </c>
      <c r="G14" s="16"/>
      <c r="H14" s="16">
        <v>150</v>
      </c>
      <c r="I14" s="16">
        <v>3</v>
      </c>
      <c r="J14" s="16" t="s">
        <v>613</v>
      </c>
      <c r="K14" s="16">
        <v>11</v>
      </c>
      <c r="L14" s="16">
        <v>84975</v>
      </c>
      <c r="M14" s="16"/>
      <c r="N14" s="16" t="s">
        <v>614</v>
      </c>
      <c r="O14" s="16" t="b">
        <v>1</v>
      </c>
      <c r="P14" s="16" t="str">
        <f t="shared" si="2"/>
        <v>0.6/1kV 난연 전력 케이블(F-CV)</v>
      </c>
      <c r="Q14" s="16" t="str">
        <f t="shared" si="1"/>
        <v>150㎟ 3C</v>
      </c>
      <c r="S14" s="16"/>
      <c r="W14" s="16"/>
    </row>
    <row r="15" spans="2:23">
      <c r="B15" s="1" t="str">
        <f t="shared" si="0"/>
        <v>E_CAB01_VM_0000_185_3</v>
      </c>
      <c r="C15" s="16" t="s">
        <v>20</v>
      </c>
      <c r="D15" s="16" t="s">
        <v>19</v>
      </c>
      <c r="E15" s="16" t="s">
        <v>391</v>
      </c>
      <c r="F15" s="16" t="s">
        <v>612</v>
      </c>
      <c r="G15" s="16"/>
      <c r="H15" s="16">
        <v>185</v>
      </c>
      <c r="I15" s="16">
        <v>3</v>
      </c>
      <c r="J15" s="16" t="s">
        <v>613</v>
      </c>
      <c r="K15" s="16">
        <v>12</v>
      </c>
      <c r="L15" s="16">
        <v>105059</v>
      </c>
      <c r="M15" s="16"/>
      <c r="N15" s="16" t="s">
        <v>614</v>
      </c>
      <c r="O15" s="16" t="b">
        <v>1</v>
      </c>
      <c r="P15" s="16" t="str">
        <f t="shared" si="2"/>
        <v>0.6/1kV 난연 전력 케이블(F-CV)</v>
      </c>
      <c r="Q15" s="16" t="str">
        <f t="shared" si="1"/>
        <v>185㎟ 3C</v>
      </c>
      <c r="S15" s="16"/>
      <c r="W15" s="16"/>
    </row>
    <row r="16" spans="2:23">
      <c r="B16" s="1" t="str">
        <f t="shared" si="0"/>
        <v>E_CAB01_VM_0000_240_3</v>
      </c>
      <c r="C16" s="16" t="s">
        <v>20</v>
      </c>
      <c r="D16" s="16" t="s">
        <v>19</v>
      </c>
      <c r="E16" s="16" t="s">
        <v>391</v>
      </c>
      <c r="F16" s="16" t="s">
        <v>612</v>
      </c>
      <c r="G16" s="16"/>
      <c r="H16" s="16">
        <v>240</v>
      </c>
      <c r="I16" s="16">
        <v>3</v>
      </c>
      <c r="J16" s="16" t="s">
        <v>613</v>
      </c>
      <c r="K16" s="16">
        <v>13</v>
      </c>
      <c r="L16" s="16">
        <v>137911</v>
      </c>
      <c r="M16" s="16"/>
      <c r="N16" s="16" t="s">
        <v>614</v>
      </c>
      <c r="O16" s="16" t="b">
        <v>1</v>
      </c>
      <c r="P16" s="16" t="str">
        <f t="shared" si="2"/>
        <v>0.6/1kV 난연 전력 케이블(F-CV)</v>
      </c>
      <c r="Q16" s="16" t="str">
        <f t="shared" si="1"/>
        <v>240㎟ 3C</v>
      </c>
      <c r="S16" s="16"/>
      <c r="W16" s="16"/>
    </row>
    <row r="17" spans="2:23">
      <c r="B17" s="1" t="str">
        <f t="shared" si="0"/>
        <v>E_CAB01_VM_0000_300_3</v>
      </c>
      <c r="C17" s="16" t="s">
        <v>20</v>
      </c>
      <c r="D17" s="16" t="s">
        <v>19</v>
      </c>
      <c r="E17" s="16" t="s">
        <v>391</v>
      </c>
      <c r="F17" s="16" t="s">
        <v>612</v>
      </c>
      <c r="G17" s="16"/>
      <c r="H17" s="16">
        <v>300</v>
      </c>
      <c r="I17" s="16">
        <v>3</v>
      </c>
      <c r="J17" s="16" t="s">
        <v>613</v>
      </c>
      <c r="K17" s="16">
        <v>14</v>
      </c>
      <c r="L17" s="16">
        <v>172221</v>
      </c>
      <c r="M17" s="16"/>
      <c r="N17" s="16" t="s">
        <v>614</v>
      </c>
      <c r="O17" s="16" t="b">
        <v>1</v>
      </c>
      <c r="P17" s="16" t="str">
        <f t="shared" si="2"/>
        <v>0.6/1kV 난연 전력 케이블(F-CV)</v>
      </c>
      <c r="Q17" s="16" t="str">
        <f t="shared" si="1"/>
        <v>300㎟ 3C</v>
      </c>
      <c r="S17" s="16"/>
      <c r="W17" s="16"/>
    </row>
    <row r="18" spans="2:23">
      <c r="B18" s="1" t="str">
        <f t="shared" si="0"/>
        <v>E_CAB01_VM_0000_4_4</v>
      </c>
      <c r="C18" s="16" t="s">
        <v>20</v>
      </c>
      <c r="D18" s="16" t="s">
        <v>19</v>
      </c>
      <c r="E18" s="16" t="s">
        <v>391</v>
      </c>
      <c r="F18" s="16" t="s">
        <v>612</v>
      </c>
      <c r="G18" s="16"/>
      <c r="H18" s="16">
        <v>4</v>
      </c>
      <c r="I18" s="16">
        <v>4</v>
      </c>
      <c r="J18" s="16" t="s">
        <v>613</v>
      </c>
      <c r="K18" s="16">
        <v>15</v>
      </c>
      <c r="L18" s="16">
        <v>3949</v>
      </c>
      <c r="M18" s="16"/>
      <c r="N18" s="16" t="s">
        <v>614</v>
      </c>
      <c r="O18" s="16" t="b">
        <v>1</v>
      </c>
      <c r="P18" s="16" t="str">
        <f t="shared" si="2"/>
        <v>0.6/1kV 난연 전력 케이블(F-CV)</v>
      </c>
      <c r="Q18" s="16" t="str">
        <f t="shared" ref="Q18:Q32" si="3">H18&amp;"㎟ "&amp;I18&amp;"C"</f>
        <v>4㎟ 4C</v>
      </c>
      <c r="S18" s="16"/>
      <c r="W18" s="16"/>
    </row>
    <row r="19" spans="2:23">
      <c r="B19" s="1" t="str">
        <f t="shared" si="0"/>
        <v>E_CAB01_VM_0000_6_4</v>
      </c>
      <c r="C19" s="16" t="s">
        <v>20</v>
      </c>
      <c r="D19" s="16" t="s">
        <v>19</v>
      </c>
      <c r="E19" s="16" t="s">
        <v>391</v>
      </c>
      <c r="F19" s="16" t="s">
        <v>612</v>
      </c>
      <c r="G19" s="16"/>
      <c r="H19" s="16">
        <v>6</v>
      </c>
      <c r="I19" s="16">
        <v>4</v>
      </c>
      <c r="J19" s="16" t="s">
        <v>613</v>
      </c>
      <c r="K19" s="16">
        <v>16</v>
      </c>
      <c r="L19" s="16">
        <v>5418</v>
      </c>
      <c r="M19" s="16"/>
      <c r="N19" s="16" t="s">
        <v>614</v>
      </c>
      <c r="O19" s="16" t="b">
        <v>1</v>
      </c>
      <c r="P19" s="16" t="str">
        <f t="shared" si="2"/>
        <v>0.6/1kV 난연 전력 케이블(F-CV)</v>
      </c>
      <c r="Q19" s="16" t="str">
        <f t="shared" si="3"/>
        <v>6㎟ 4C</v>
      </c>
      <c r="S19" s="16"/>
      <c r="W19" s="16"/>
    </row>
    <row r="20" spans="2:23">
      <c r="B20" s="1" t="str">
        <f t="shared" si="0"/>
        <v>E_CAB01_VM_0000_10_4</v>
      </c>
      <c r="C20" s="16" t="s">
        <v>20</v>
      </c>
      <c r="D20" s="16" t="s">
        <v>19</v>
      </c>
      <c r="E20" s="16" t="s">
        <v>391</v>
      </c>
      <c r="F20" s="16" t="s">
        <v>612</v>
      </c>
      <c r="G20" s="16"/>
      <c r="H20" s="16">
        <v>10</v>
      </c>
      <c r="I20" s="16">
        <v>4</v>
      </c>
      <c r="J20" s="16" t="s">
        <v>613</v>
      </c>
      <c r="K20" s="16">
        <v>17</v>
      </c>
      <c r="L20" s="16">
        <v>8732</v>
      </c>
      <c r="M20" s="16"/>
      <c r="N20" s="16" t="s">
        <v>614</v>
      </c>
      <c r="O20" s="16" t="b">
        <v>1</v>
      </c>
      <c r="P20" s="16" t="str">
        <f t="shared" si="2"/>
        <v>0.6/1kV 난연 전력 케이블(F-CV)</v>
      </c>
      <c r="Q20" s="16" t="str">
        <f t="shared" si="3"/>
        <v>10㎟ 4C</v>
      </c>
      <c r="S20" s="16"/>
      <c r="W20" s="16"/>
    </row>
    <row r="21" spans="2:23">
      <c r="B21" s="1" t="str">
        <f t="shared" si="0"/>
        <v>E_CAB01_VM_0000_16_4</v>
      </c>
      <c r="C21" s="16" t="s">
        <v>20</v>
      </c>
      <c r="D21" s="16" t="s">
        <v>19</v>
      </c>
      <c r="E21" s="16" t="s">
        <v>391</v>
      </c>
      <c r="F21" s="16" t="s">
        <v>612</v>
      </c>
      <c r="G21" s="16"/>
      <c r="H21" s="16">
        <v>16</v>
      </c>
      <c r="I21" s="16">
        <v>4</v>
      </c>
      <c r="J21" s="16" t="s">
        <v>613</v>
      </c>
      <c r="K21" s="16">
        <v>18</v>
      </c>
      <c r="L21" s="16">
        <v>12894</v>
      </c>
      <c r="M21" s="16"/>
      <c r="N21" s="16" t="s">
        <v>614</v>
      </c>
      <c r="O21" s="16" t="b">
        <v>1</v>
      </c>
      <c r="P21" s="16" t="str">
        <f t="shared" si="2"/>
        <v>0.6/1kV 난연 전력 케이블(F-CV)</v>
      </c>
      <c r="Q21" s="16" t="str">
        <f t="shared" si="3"/>
        <v>16㎟ 4C</v>
      </c>
      <c r="S21" s="16"/>
      <c r="W21" s="16"/>
    </row>
    <row r="22" spans="2:23">
      <c r="B22" s="1" t="str">
        <f t="shared" si="0"/>
        <v>E_CAB01_VM_0000_25_4</v>
      </c>
      <c r="C22" s="16" t="s">
        <v>20</v>
      </c>
      <c r="D22" s="16" t="s">
        <v>19</v>
      </c>
      <c r="E22" s="16" t="s">
        <v>391</v>
      </c>
      <c r="F22" s="16" t="s">
        <v>612</v>
      </c>
      <c r="G22" s="16"/>
      <c r="H22" s="16">
        <v>25</v>
      </c>
      <c r="I22" s="16">
        <v>4</v>
      </c>
      <c r="J22" s="16" t="s">
        <v>613</v>
      </c>
      <c r="K22" s="16">
        <v>19</v>
      </c>
      <c r="L22" s="16">
        <v>20317</v>
      </c>
      <c r="M22" s="16"/>
      <c r="N22" s="16" t="s">
        <v>614</v>
      </c>
      <c r="O22" s="16" t="b">
        <v>1</v>
      </c>
      <c r="P22" s="16" t="str">
        <f t="shared" si="2"/>
        <v>0.6/1kV 난연 전력 케이블(F-CV)</v>
      </c>
      <c r="Q22" s="16" t="str">
        <f t="shared" si="3"/>
        <v>25㎟ 4C</v>
      </c>
      <c r="S22" s="16"/>
      <c r="W22" s="16"/>
    </row>
    <row r="23" spans="2:23">
      <c r="B23" s="1" t="str">
        <f t="shared" si="0"/>
        <v>E_CAB01_VM_0000_35_4</v>
      </c>
      <c r="C23" s="16" t="s">
        <v>20</v>
      </c>
      <c r="D23" s="16" t="s">
        <v>19</v>
      </c>
      <c r="E23" s="16" t="s">
        <v>391</v>
      </c>
      <c r="F23" s="16" t="s">
        <v>612</v>
      </c>
      <c r="G23" s="16"/>
      <c r="H23" s="16">
        <v>35</v>
      </c>
      <c r="I23" s="16">
        <v>4</v>
      </c>
      <c r="J23" s="16" t="s">
        <v>613</v>
      </c>
      <c r="K23" s="16">
        <v>20</v>
      </c>
      <c r="L23" s="16">
        <v>27625</v>
      </c>
      <c r="M23" s="16"/>
      <c r="N23" s="16" t="s">
        <v>614</v>
      </c>
      <c r="O23" s="16" t="b">
        <v>1</v>
      </c>
      <c r="P23" s="16" t="str">
        <f t="shared" si="2"/>
        <v>0.6/1kV 난연 전력 케이블(F-CV)</v>
      </c>
      <c r="Q23" s="16" t="str">
        <f t="shared" si="3"/>
        <v>35㎟ 4C</v>
      </c>
      <c r="S23" s="16"/>
      <c r="W23" s="16"/>
    </row>
    <row r="24" spans="2:23">
      <c r="B24" s="1" t="str">
        <f t="shared" si="0"/>
        <v>E_CAB01_VM_0000_50_4</v>
      </c>
      <c r="C24" s="16" t="s">
        <v>20</v>
      </c>
      <c r="D24" s="16" t="s">
        <v>19</v>
      </c>
      <c r="E24" s="16" t="s">
        <v>391</v>
      </c>
      <c r="F24" s="16" t="s">
        <v>612</v>
      </c>
      <c r="G24" s="16"/>
      <c r="H24" s="16">
        <v>50</v>
      </c>
      <c r="I24" s="16">
        <v>4</v>
      </c>
      <c r="J24" s="16" t="s">
        <v>613</v>
      </c>
      <c r="K24" s="16">
        <v>21</v>
      </c>
      <c r="L24" s="16">
        <v>37139</v>
      </c>
      <c r="M24" s="16"/>
      <c r="N24" s="16" t="s">
        <v>614</v>
      </c>
      <c r="O24" s="16" t="b">
        <v>1</v>
      </c>
      <c r="P24" s="16" t="str">
        <f t="shared" si="2"/>
        <v>0.6/1kV 난연 전력 케이블(F-CV)</v>
      </c>
      <c r="Q24" s="16" t="str">
        <f t="shared" si="3"/>
        <v>50㎟ 4C</v>
      </c>
      <c r="S24" s="16"/>
      <c r="W24" s="16"/>
    </row>
    <row r="25" spans="2:23">
      <c r="B25" s="1" t="str">
        <f t="shared" si="0"/>
        <v>E_CAB01_VM_0000_70_4</v>
      </c>
      <c r="C25" s="16" t="s">
        <v>20</v>
      </c>
      <c r="D25" s="16" t="s">
        <v>19</v>
      </c>
      <c r="E25" s="16" t="s">
        <v>391</v>
      </c>
      <c r="F25" s="16" t="s">
        <v>612</v>
      </c>
      <c r="G25" s="16"/>
      <c r="H25" s="16">
        <v>70</v>
      </c>
      <c r="I25" s="16">
        <v>4</v>
      </c>
      <c r="J25" s="16" t="s">
        <v>613</v>
      </c>
      <c r="K25" s="16">
        <v>22</v>
      </c>
      <c r="L25" s="16">
        <v>53211</v>
      </c>
      <c r="M25" s="16"/>
      <c r="N25" s="16" t="s">
        <v>614</v>
      </c>
      <c r="O25" s="16" t="b">
        <v>1</v>
      </c>
      <c r="P25" s="16" t="str">
        <f t="shared" si="2"/>
        <v>0.6/1kV 난연 전력 케이블(F-CV)</v>
      </c>
      <c r="Q25" s="16" t="str">
        <f t="shared" si="3"/>
        <v>70㎟ 4C</v>
      </c>
      <c r="S25" s="16"/>
      <c r="W25" s="16"/>
    </row>
    <row r="26" spans="2:23">
      <c r="B26" s="1" t="str">
        <f t="shared" si="0"/>
        <v>E_CAB01_VM_0000_95_4</v>
      </c>
      <c r="C26" s="16" t="s">
        <v>20</v>
      </c>
      <c r="D26" s="16" t="s">
        <v>19</v>
      </c>
      <c r="E26" s="16" t="s">
        <v>391</v>
      </c>
      <c r="F26" s="16" t="s">
        <v>612</v>
      </c>
      <c r="G26" s="16"/>
      <c r="H26" s="16">
        <v>95</v>
      </c>
      <c r="I26" s="16">
        <v>4</v>
      </c>
      <c r="J26" s="16" t="s">
        <v>613</v>
      </c>
      <c r="K26" s="16">
        <v>23</v>
      </c>
      <c r="L26" s="16">
        <v>72018</v>
      </c>
      <c r="M26" s="16"/>
      <c r="N26" s="16" t="s">
        <v>614</v>
      </c>
      <c r="O26" s="16" t="b">
        <v>1</v>
      </c>
      <c r="P26" s="16" t="str">
        <f t="shared" si="2"/>
        <v>0.6/1kV 난연 전력 케이블(F-CV)</v>
      </c>
      <c r="Q26" s="16" t="str">
        <f t="shared" si="3"/>
        <v>95㎟ 4C</v>
      </c>
      <c r="S26" s="16"/>
      <c r="W26" s="16"/>
    </row>
    <row r="27" spans="2:23">
      <c r="B27" s="1" t="str">
        <f t="shared" si="0"/>
        <v>E_CAB01_VM_0000_120_4</v>
      </c>
      <c r="C27" s="16" t="s">
        <v>20</v>
      </c>
      <c r="D27" s="16" t="s">
        <v>19</v>
      </c>
      <c r="E27" s="16" t="s">
        <v>391</v>
      </c>
      <c r="F27" s="16" t="s">
        <v>612</v>
      </c>
      <c r="G27" s="16"/>
      <c r="H27" s="16">
        <v>120</v>
      </c>
      <c r="I27" s="16">
        <v>4</v>
      </c>
      <c r="J27" s="16" t="s">
        <v>613</v>
      </c>
      <c r="K27" s="16">
        <v>24</v>
      </c>
      <c r="L27" s="16">
        <v>90445</v>
      </c>
      <c r="M27" s="16"/>
      <c r="N27" s="16" t="s">
        <v>614</v>
      </c>
      <c r="O27" s="16" t="b">
        <v>1</v>
      </c>
      <c r="P27" s="16" t="str">
        <f t="shared" si="2"/>
        <v>0.6/1kV 난연 전력 케이블(F-CV)</v>
      </c>
      <c r="Q27" s="16" t="str">
        <f t="shared" si="3"/>
        <v>120㎟ 4C</v>
      </c>
      <c r="S27" s="16"/>
      <c r="W27" s="16"/>
    </row>
    <row r="28" spans="2:23">
      <c r="B28" s="1" t="str">
        <f t="shared" si="0"/>
        <v>E_CAB01_VM_0000_150_4</v>
      </c>
      <c r="C28" s="16" t="s">
        <v>20</v>
      </c>
      <c r="D28" s="16" t="s">
        <v>19</v>
      </c>
      <c r="E28" s="16" t="s">
        <v>391</v>
      </c>
      <c r="F28" s="16" t="s">
        <v>612</v>
      </c>
      <c r="G28" s="16"/>
      <c r="H28" s="16">
        <v>150</v>
      </c>
      <c r="I28" s="16">
        <v>4</v>
      </c>
      <c r="J28" s="16" t="s">
        <v>613</v>
      </c>
      <c r="K28" s="16">
        <v>25</v>
      </c>
      <c r="L28" s="16">
        <v>112356</v>
      </c>
      <c r="M28" s="16"/>
      <c r="N28" s="16" t="s">
        <v>614</v>
      </c>
      <c r="O28" s="16" t="b">
        <v>1</v>
      </c>
      <c r="P28" s="16" t="str">
        <f t="shared" si="2"/>
        <v>0.6/1kV 난연 전력 케이블(F-CV)</v>
      </c>
      <c r="Q28" s="16" t="str">
        <f t="shared" si="3"/>
        <v>150㎟ 4C</v>
      </c>
      <c r="S28" s="16"/>
      <c r="W28" s="16"/>
    </row>
    <row r="29" spans="2:23">
      <c r="B29" s="1" t="str">
        <f t="shared" si="0"/>
        <v>E_CAB01_VM_0000_185_4</v>
      </c>
      <c r="C29" s="16" t="s">
        <v>20</v>
      </c>
      <c r="D29" s="16" t="s">
        <v>19</v>
      </c>
      <c r="E29" s="16" t="s">
        <v>391</v>
      </c>
      <c r="F29" s="16" t="s">
        <v>612</v>
      </c>
      <c r="G29" s="16"/>
      <c r="H29" s="16">
        <v>185</v>
      </c>
      <c r="I29" s="16">
        <v>4</v>
      </c>
      <c r="J29" s="16" t="s">
        <v>613</v>
      </c>
      <c r="K29" s="16">
        <v>26</v>
      </c>
      <c r="L29" s="16">
        <v>139738</v>
      </c>
      <c r="M29" s="16"/>
      <c r="N29" s="16" t="s">
        <v>614</v>
      </c>
      <c r="O29" s="16" t="b">
        <v>1</v>
      </c>
      <c r="P29" s="16" t="str">
        <f t="shared" si="2"/>
        <v>0.6/1kV 난연 전력 케이블(F-CV)</v>
      </c>
      <c r="Q29" s="16" t="str">
        <f t="shared" si="3"/>
        <v>185㎟ 4C</v>
      </c>
      <c r="S29" s="16"/>
      <c r="W29" s="16"/>
    </row>
    <row r="30" spans="2:23">
      <c r="B30" s="1" t="str">
        <f t="shared" si="0"/>
        <v>E_CAB01_VM_0000_240_4</v>
      </c>
      <c r="C30" s="16" t="s">
        <v>20</v>
      </c>
      <c r="D30" s="16" t="s">
        <v>19</v>
      </c>
      <c r="E30" s="16" t="s">
        <v>391</v>
      </c>
      <c r="F30" s="16" t="s">
        <v>612</v>
      </c>
      <c r="G30" s="16"/>
      <c r="H30" s="16">
        <v>240</v>
      </c>
      <c r="I30" s="16">
        <v>4</v>
      </c>
      <c r="J30" s="16" t="s">
        <v>613</v>
      </c>
      <c r="K30" s="16">
        <v>27</v>
      </c>
      <c r="L30" s="16">
        <v>183720</v>
      </c>
      <c r="M30" s="16"/>
      <c r="N30" s="16" t="s">
        <v>614</v>
      </c>
      <c r="O30" s="16" t="b">
        <v>1</v>
      </c>
      <c r="P30" s="16" t="str">
        <f t="shared" si="2"/>
        <v>0.6/1kV 난연 전력 케이블(F-CV)</v>
      </c>
      <c r="Q30" s="16" t="str">
        <f t="shared" si="3"/>
        <v>240㎟ 4C</v>
      </c>
      <c r="S30" s="16"/>
      <c r="W30" s="16"/>
    </row>
    <row r="31" spans="2:23">
      <c r="B31" s="1" t="str">
        <f t="shared" si="0"/>
        <v>E_CAB01_VM_0000_300_4</v>
      </c>
      <c r="C31" s="16" t="s">
        <v>20</v>
      </c>
      <c r="D31" s="16" t="s">
        <v>19</v>
      </c>
      <c r="E31" s="16" t="s">
        <v>391</v>
      </c>
      <c r="F31" s="16" t="s">
        <v>612</v>
      </c>
      <c r="G31" s="16"/>
      <c r="H31" s="16">
        <v>300</v>
      </c>
      <c r="I31" s="16">
        <v>4</v>
      </c>
      <c r="J31" s="16" t="s">
        <v>613</v>
      </c>
      <c r="K31" s="16">
        <v>28</v>
      </c>
      <c r="L31" s="16">
        <v>228271</v>
      </c>
      <c r="M31" s="16"/>
      <c r="N31" s="16" t="s">
        <v>614</v>
      </c>
      <c r="O31" s="16" t="b">
        <v>1</v>
      </c>
      <c r="P31" s="16" t="str">
        <f t="shared" si="2"/>
        <v>0.6/1kV 난연 전력 케이블(F-CV)</v>
      </c>
      <c r="Q31" s="16" t="str">
        <f t="shared" si="3"/>
        <v>300㎟ 4C</v>
      </c>
      <c r="S31" s="16"/>
      <c r="W31" s="16"/>
    </row>
    <row r="32" spans="2:23">
      <c r="B32" s="1" t="str">
        <f t="shared" ref="B32:B39" si="4">D32&amp;"_"&amp;F32&amp;"_"&amp;H32&amp;"_"&amp;I32</f>
        <v>E_CAB0201_VM_0000_1.5_2</v>
      </c>
      <c r="C32" s="16" t="s">
        <v>22</v>
      </c>
      <c r="D32" s="16" t="s">
        <v>23</v>
      </c>
      <c r="E32" s="16" t="s">
        <v>391</v>
      </c>
      <c r="F32" s="16" t="s">
        <v>612</v>
      </c>
      <c r="G32" s="16"/>
      <c r="H32" s="16">
        <v>1.5</v>
      </c>
      <c r="I32" s="16">
        <v>2</v>
      </c>
      <c r="J32" s="16" t="s">
        <v>613</v>
      </c>
      <c r="K32" s="16">
        <v>29</v>
      </c>
      <c r="L32" s="16">
        <v>1465</v>
      </c>
      <c r="M32" s="16"/>
      <c r="N32" s="16" t="s">
        <v>615</v>
      </c>
      <c r="O32" s="16" t="b">
        <v>1</v>
      </c>
      <c r="P32" s="16" t="str">
        <f t="shared" si="2"/>
        <v>0.6/1kV 트레이용 절연난연 제어용케이블(F-CVV)</v>
      </c>
      <c r="Q32" s="16" t="str">
        <f t="shared" si="3"/>
        <v>1.5㎟ 2C</v>
      </c>
      <c r="S32" s="16"/>
      <c r="W32" s="16"/>
    </row>
    <row r="33" spans="2:23">
      <c r="B33" s="1" t="str">
        <f t="shared" si="4"/>
        <v>E_CAB0201_VM_0000_1.5_3</v>
      </c>
      <c r="C33" s="16" t="s">
        <v>22</v>
      </c>
      <c r="D33" s="16" t="s">
        <v>23</v>
      </c>
      <c r="E33" s="16" t="s">
        <v>391</v>
      </c>
      <c r="F33" s="16" t="s">
        <v>612</v>
      </c>
      <c r="G33" s="16"/>
      <c r="H33" s="16">
        <v>1.5</v>
      </c>
      <c r="I33" s="16">
        <v>3</v>
      </c>
      <c r="J33" s="16" t="s">
        <v>613</v>
      </c>
      <c r="K33" s="16">
        <v>30</v>
      </c>
      <c r="L33" s="16">
        <v>1830</v>
      </c>
      <c r="M33" s="16"/>
      <c r="N33" s="16" t="s">
        <v>615</v>
      </c>
      <c r="O33" s="16" t="b">
        <v>1</v>
      </c>
      <c r="P33" s="16" t="str">
        <f t="shared" si="2"/>
        <v>0.6/1kV 트레이용 절연난연 제어용케이블(F-CVV)</v>
      </c>
      <c r="Q33" s="16" t="str">
        <f t="shared" ref="Q33:Q61" si="5">H33&amp;"㎟ "&amp;I33&amp;"C"</f>
        <v>1.5㎟ 3C</v>
      </c>
      <c r="S33" s="16"/>
      <c r="W33" s="16"/>
    </row>
    <row r="34" spans="2:23">
      <c r="B34" s="1" t="str">
        <f t="shared" si="4"/>
        <v>E_CAB0201_VM_0000_1.5_4</v>
      </c>
      <c r="C34" s="16" t="s">
        <v>22</v>
      </c>
      <c r="D34" s="16" t="s">
        <v>23</v>
      </c>
      <c r="E34" s="16" t="s">
        <v>391</v>
      </c>
      <c r="F34" s="16" t="s">
        <v>612</v>
      </c>
      <c r="G34" s="16"/>
      <c r="H34" s="16">
        <v>1.5</v>
      </c>
      <c r="I34" s="16">
        <v>4</v>
      </c>
      <c r="J34" s="16" t="s">
        <v>613</v>
      </c>
      <c r="K34" s="16">
        <v>34</v>
      </c>
      <c r="L34" s="16">
        <v>2138</v>
      </c>
      <c r="M34" s="16"/>
      <c r="N34" s="16" t="s">
        <v>615</v>
      </c>
      <c r="O34" s="16" t="b">
        <v>1</v>
      </c>
      <c r="P34" s="16" t="str">
        <f t="shared" si="2"/>
        <v>0.6/1kV 트레이용 절연난연 제어용케이블(F-CVV)</v>
      </c>
      <c r="Q34" s="16" t="str">
        <f t="shared" si="5"/>
        <v>1.5㎟ 4C</v>
      </c>
      <c r="S34" s="16"/>
      <c r="W34" s="16"/>
    </row>
    <row r="35" spans="2:23">
      <c r="B35" s="1" t="str">
        <f t="shared" si="4"/>
        <v>E_CAB0201_VM_0000_1.5_5</v>
      </c>
      <c r="C35" s="16" t="s">
        <v>22</v>
      </c>
      <c r="D35" s="16" t="s">
        <v>23</v>
      </c>
      <c r="E35" s="16" t="s">
        <v>391</v>
      </c>
      <c r="F35" s="16" t="s">
        <v>612</v>
      </c>
      <c r="G35" s="16"/>
      <c r="H35" s="16">
        <v>1.5</v>
      </c>
      <c r="I35" s="16">
        <v>5</v>
      </c>
      <c r="J35" s="16" t="s">
        <v>613</v>
      </c>
      <c r="K35" s="16">
        <v>35</v>
      </c>
      <c r="L35" s="16">
        <v>2570</v>
      </c>
      <c r="M35" s="16"/>
      <c r="N35" s="16" t="s">
        <v>615</v>
      </c>
      <c r="O35" s="16" t="b">
        <v>1</v>
      </c>
      <c r="P35" s="16" t="str">
        <f t="shared" si="2"/>
        <v>0.6/1kV 트레이용 절연난연 제어용케이블(F-CVV)</v>
      </c>
      <c r="Q35" s="16" t="str">
        <f t="shared" si="5"/>
        <v>1.5㎟ 5C</v>
      </c>
      <c r="S35" s="16"/>
      <c r="W35" s="16"/>
    </row>
    <row r="36" spans="2:23">
      <c r="B36" s="1" t="str">
        <f t="shared" si="4"/>
        <v>E_CAB0201_VM_0000_1.5_6</v>
      </c>
      <c r="C36" s="16" t="s">
        <v>22</v>
      </c>
      <c r="D36" s="16" t="s">
        <v>23</v>
      </c>
      <c r="E36" s="16" t="s">
        <v>391</v>
      </c>
      <c r="F36" s="16" t="s">
        <v>612</v>
      </c>
      <c r="G36" s="16"/>
      <c r="H36" s="16">
        <v>1.5</v>
      </c>
      <c r="I36" s="16">
        <v>6</v>
      </c>
      <c r="J36" s="16" t="s">
        <v>613</v>
      </c>
      <c r="K36" s="16">
        <v>36</v>
      </c>
      <c r="L36" s="16">
        <v>2962</v>
      </c>
      <c r="M36" s="16"/>
      <c r="N36" s="16" t="s">
        <v>615</v>
      </c>
      <c r="O36" s="16" t="b">
        <v>1</v>
      </c>
      <c r="P36" s="16" t="str">
        <f t="shared" si="2"/>
        <v>0.6/1kV 트레이용 절연난연 제어용케이블(F-CVV)</v>
      </c>
      <c r="Q36" s="16" t="str">
        <f t="shared" si="5"/>
        <v>1.5㎟ 6C</v>
      </c>
      <c r="S36" s="16"/>
      <c r="W36" s="16"/>
    </row>
    <row r="37" spans="2:23">
      <c r="B37" s="1" t="str">
        <f t="shared" si="4"/>
        <v>E_CAB0201_VM_0000_1.5_7</v>
      </c>
      <c r="C37" s="16" t="s">
        <v>22</v>
      </c>
      <c r="D37" s="16" t="s">
        <v>23</v>
      </c>
      <c r="E37" s="16" t="s">
        <v>391</v>
      </c>
      <c r="F37" s="16" t="s">
        <v>612</v>
      </c>
      <c r="G37" s="16"/>
      <c r="H37" s="16">
        <v>1.5</v>
      </c>
      <c r="I37" s="16">
        <v>7</v>
      </c>
      <c r="J37" s="16" t="s">
        <v>613</v>
      </c>
      <c r="K37" s="16">
        <v>37</v>
      </c>
      <c r="L37" s="16">
        <v>3214</v>
      </c>
      <c r="M37" s="16"/>
      <c r="N37" s="16" t="s">
        <v>615</v>
      </c>
      <c r="O37" s="16" t="b">
        <v>1</v>
      </c>
      <c r="P37" s="16" t="str">
        <f t="shared" si="2"/>
        <v>0.6/1kV 트레이용 절연난연 제어용케이블(F-CVV)</v>
      </c>
      <c r="Q37" s="16" t="str">
        <f t="shared" si="5"/>
        <v>1.5㎟ 7C</v>
      </c>
      <c r="S37" s="16"/>
      <c r="W37" s="16"/>
    </row>
    <row r="38" spans="2:23">
      <c r="B38" s="1" t="str">
        <f t="shared" si="4"/>
        <v>E_CAB0201_VM_0000_1.5_8</v>
      </c>
      <c r="C38" s="16" t="s">
        <v>22</v>
      </c>
      <c r="D38" s="16" t="s">
        <v>23</v>
      </c>
      <c r="E38" s="16" t="s">
        <v>391</v>
      </c>
      <c r="F38" s="16" t="s">
        <v>612</v>
      </c>
      <c r="G38" s="16"/>
      <c r="H38" s="16">
        <v>1.5</v>
      </c>
      <c r="I38" s="16">
        <v>8</v>
      </c>
      <c r="J38" s="16" t="s">
        <v>613</v>
      </c>
      <c r="K38" s="16">
        <v>38</v>
      </c>
      <c r="L38" s="16">
        <v>3590</v>
      </c>
      <c r="M38" s="16"/>
      <c r="N38" s="16" t="s">
        <v>615</v>
      </c>
      <c r="O38" s="16" t="b">
        <v>1</v>
      </c>
      <c r="P38" s="16" t="str">
        <f t="shared" si="2"/>
        <v>0.6/1kV 트레이용 절연난연 제어용케이블(F-CVV)</v>
      </c>
      <c r="Q38" s="16" t="str">
        <f t="shared" si="5"/>
        <v>1.5㎟ 8C</v>
      </c>
      <c r="S38" s="16"/>
      <c r="W38" s="16"/>
    </row>
    <row r="39" spans="2:23">
      <c r="B39" s="1" t="str">
        <f t="shared" si="4"/>
        <v>E_CAB0201_VM_0000_1.5_10</v>
      </c>
      <c r="C39" s="16" t="s">
        <v>22</v>
      </c>
      <c r="D39" s="16" t="s">
        <v>23</v>
      </c>
      <c r="E39" s="16" t="s">
        <v>391</v>
      </c>
      <c r="F39" s="16" t="s">
        <v>612</v>
      </c>
      <c r="G39" s="16"/>
      <c r="H39" s="16">
        <v>1.5</v>
      </c>
      <c r="I39" s="16">
        <v>10</v>
      </c>
      <c r="J39" s="16" t="s">
        <v>613</v>
      </c>
      <c r="K39" s="16">
        <v>39</v>
      </c>
      <c r="L39" s="16">
        <v>4475</v>
      </c>
      <c r="M39" s="16"/>
      <c r="N39" s="16" t="s">
        <v>615</v>
      </c>
      <c r="O39" s="16" t="b">
        <v>1</v>
      </c>
      <c r="P39" s="16" t="str">
        <f t="shared" si="2"/>
        <v>0.6/1kV 트레이용 절연난연 제어용케이블(F-CVV)</v>
      </c>
      <c r="Q39" s="16" t="str">
        <f t="shared" si="5"/>
        <v>1.5㎟ 10C</v>
      </c>
      <c r="S39" s="16"/>
      <c r="W39" s="16"/>
    </row>
    <row r="40" spans="2:23">
      <c r="B40" s="1" t="str">
        <f t="shared" ref="B40:B49" si="6">D40&amp;"_"&amp;F40&amp;"_"&amp;H40&amp;"_"&amp;I40</f>
        <v>E_CAB0201_VM_0000_1.5_12</v>
      </c>
      <c r="C40" s="16" t="s">
        <v>22</v>
      </c>
      <c r="D40" s="16" t="s">
        <v>23</v>
      </c>
      <c r="E40" s="16" t="s">
        <v>391</v>
      </c>
      <c r="F40" s="16" t="s">
        <v>612</v>
      </c>
      <c r="G40" s="16"/>
      <c r="H40" s="16">
        <v>1.5</v>
      </c>
      <c r="I40" s="16">
        <v>12</v>
      </c>
      <c r="J40" s="16" t="s">
        <v>613</v>
      </c>
      <c r="K40" s="16">
        <v>40</v>
      </c>
      <c r="L40" s="16">
        <v>5201</v>
      </c>
      <c r="M40" s="16"/>
      <c r="N40" s="16" t="s">
        <v>615</v>
      </c>
      <c r="O40" s="16" t="b">
        <v>1</v>
      </c>
      <c r="P40" s="16" t="str">
        <f t="shared" si="2"/>
        <v>0.6/1kV 트레이용 절연난연 제어용케이블(F-CVV)</v>
      </c>
      <c r="Q40" s="16" t="str">
        <f t="shared" si="5"/>
        <v>1.5㎟ 12C</v>
      </c>
      <c r="S40" s="16"/>
      <c r="W40" s="16"/>
    </row>
    <row r="41" spans="2:23">
      <c r="B41" s="1" t="str">
        <f t="shared" si="6"/>
        <v>E_CAB0201_VM_0000_1.5_15</v>
      </c>
      <c r="C41" s="16" t="s">
        <v>22</v>
      </c>
      <c r="D41" s="16" t="s">
        <v>23</v>
      </c>
      <c r="E41" s="16" t="s">
        <v>391</v>
      </c>
      <c r="F41" s="16" t="s">
        <v>612</v>
      </c>
      <c r="G41" s="16"/>
      <c r="H41" s="16">
        <v>1.5</v>
      </c>
      <c r="I41" s="16">
        <v>15</v>
      </c>
      <c r="J41" s="16" t="s">
        <v>613</v>
      </c>
      <c r="K41" s="16">
        <v>41</v>
      </c>
      <c r="L41" s="16">
        <v>6298</v>
      </c>
      <c r="M41" s="16"/>
      <c r="N41" s="16" t="s">
        <v>615</v>
      </c>
      <c r="O41" s="16" t="b">
        <v>1</v>
      </c>
      <c r="P41" s="16" t="str">
        <f t="shared" ref="P41:P58" si="7">C41</f>
        <v>0.6/1kV 트레이용 절연난연 제어용케이블(F-CVV)</v>
      </c>
      <c r="Q41" s="16" t="str">
        <f t="shared" si="5"/>
        <v>1.5㎟ 15C</v>
      </c>
      <c r="S41" s="16"/>
      <c r="W41" s="16"/>
    </row>
    <row r="42" spans="2:23">
      <c r="B42" s="1" t="str">
        <f t="shared" si="6"/>
        <v>E_CAB0201_VM_0000_1.5_20</v>
      </c>
      <c r="C42" s="16" t="s">
        <v>22</v>
      </c>
      <c r="D42" s="16" t="s">
        <v>23</v>
      </c>
      <c r="E42" s="16" t="s">
        <v>391</v>
      </c>
      <c r="F42" s="16" t="s">
        <v>612</v>
      </c>
      <c r="G42" s="16"/>
      <c r="H42" s="16">
        <v>1.5</v>
      </c>
      <c r="I42" s="16">
        <v>20</v>
      </c>
      <c r="J42" s="16" t="s">
        <v>613</v>
      </c>
      <c r="K42" s="16">
        <v>42</v>
      </c>
      <c r="L42" s="16">
        <v>8177</v>
      </c>
      <c r="M42" s="16"/>
      <c r="N42" s="16" t="s">
        <v>615</v>
      </c>
      <c r="O42" s="16" t="b">
        <v>1</v>
      </c>
      <c r="P42" s="16" t="str">
        <f t="shared" si="7"/>
        <v>0.6/1kV 트레이용 절연난연 제어용케이블(F-CVV)</v>
      </c>
      <c r="Q42" s="16" t="str">
        <f t="shared" si="5"/>
        <v>1.5㎟ 20C</v>
      </c>
      <c r="S42" s="16"/>
      <c r="W42" s="16"/>
    </row>
    <row r="43" spans="2:23">
      <c r="B43" s="1" t="str">
        <f t="shared" si="6"/>
        <v>E_CAB0201_VM_0000_1.5_25</v>
      </c>
      <c r="C43" s="16" t="s">
        <v>22</v>
      </c>
      <c r="D43" s="16" t="s">
        <v>23</v>
      </c>
      <c r="E43" s="16" t="s">
        <v>391</v>
      </c>
      <c r="F43" s="16" t="s">
        <v>612</v>
      </c>
      <c r="G43" s="16"/>
      <c r="H43" s="16">
        <v>1.5</v>
      </c>
      <c r="I43" s="16">
        <v>25</v>
      </c>
      <c r="J43" s="16" t="s">
        <v>613</v>
      </c>
      <c r="K43" s="16">
        <v>43</v>
      </c>
      <c r="L43" s="16">
        <v>10100</v>
      </c>
      <c r="M43" s="16"/>
      <c r="N43" s="16" t="s">
        <v>615</v>
      </c>
      <c r="O43" s="16" t="b">
        <v>1</v>
      </c>
      <c r="P43" s="16" t="str">
        <f t="shared" si="7"/>
        <v>0.6/1kV 트레이용 절연난연 제어용케이블(F-CVV)</v>
      </c>
      <c r="Q43" s="16" t="str">
        <f t="shared" si="5"/>
        <v>1.5㎟ 25C</v>
      </c>
      <c r="S43" s="16"/>
      <c r="W43" s="16"/>
    </row>
    <row r="44" spans="2:23">
      <c r="B44" s="1" t="str">
        <f t="shared" si="6"/>
        <v>E_CAB0201_VM_0000_1.5_30</v>
      </c>
      <c r="C44" s="16" t="s">
        <v>22</v>
      </c>
      <c r="D44" s="16" t="s">
        <v>23</v>
      </c>
      <c r="E44" s="16" t="s">
        <v>391</v>
      </c>
      <c r="F44" s="16" t="s">
        <v>612</v>
      </c>
      <c r="G44" s="16"/>
      <c r="H44" s="16">
        <v>1.5</v>
      </c>
      <c r="I44" s="16">
        <v>30</v>
      </c>
      <c r="J44" s="16" t="s">
        <v>613</v>
      </c>
      <c r="K44" s="16">
        <v>44</v>
      </c>
      <c r="L44" s="16">
        <v>11908</v>
      </c>
      <c r="M44" s="16"/>
      <c r="N44" s="16" t="s">
        <v>615</v>
      </c>
      <c r="O44" s="16" t="b">
        <v>1</v>
      </c>
      <c r="P44" s="16" t="str">
        <f t="shared" si="7"/>
        <v>0.6/1kV 트레이용 절연난연 제어용케이블(F-CVV)</v>
      </c>
      <c r="Q44" s="16" t="str">
        <f t="shared" si="5"/>
        <v>1.5㎟ 30C</v>
      </c>
      <c r="S44" s="16"/>
      <c r="W44" s="16"/>
    </row>
    <row r="45" spans="2:23">
      <c r="B45" s="1" t="str">
        <f t="shared" si="6"/>
        <v>E_CAB0201_VM_0000_1.5_40</v>
      </c>
      <c r="C45" s="16" t="s">
        <v>22</v>
      </c>
      <c r="D45" s="16" t="s">
        <v>23</v>
      </c>
      <c r="E45" s="16" t="s">
        <v>391</v>
      </c>
      <c r="F45" s="16" t="s">
        <v>612</v>
      </c>
      <c r="G45" s="16"/>
      <c r="H45" s="16">
        <v>1.5</v>
      </c>
      <c r="I45" s="16">
        <v>40</v>
      </c>
      <c r="J45" s="16" t="s">
        <v>613</v>
      </c>
      <c r="K45" s="16">
        <v>45</v>
      </c>
      <c r="L45" s="16">
        <v>16446</v>
      </c>
      <c r="M45" s="16"/>
      <c r="N45" s="16" t="s">
        <v>615</v>
      </c>
      <c r="O45" s="16" t="b">
        <v>1</v>
      </c>
      <c r="P45" s="16" t="str">
        <f t="shared" si="7"/>
        <v>0.6/1kV 트레이용 절연난연 제어용케이블(F-CVV)</v>
      </c>
      <c r="Q45" s="16" t="str">
        <f t="shared" si="5"/>
        <v>1.5㎟ 40C</v>
      </c>
      <c r="S45" s="16"/>
      <c r="W45" s="16"/>
    </row>
    <row r="46" spans="2:23">
      <c r="B46" s="1" t="str">
        <f t="shared" si="6"/>
        <v>E_CAB0201_VM_0000_1.5_50</v>
      </c>
      <c r="C46" s="16" t="s">
        <v>22</v>
      </c>
      <c r="D46" s="16" t="s">
        <v>23</v>
      </c>
      <c r="E46" s="16" t="s">
        <v>391</v>
      </c>
      <c r="F46" s="16" t="s">
        <v>612</v>
      </c>
      <c r="G46" s="16"/>
      <c r="H46" s="16">
        <v>1.5</v>
      </c>
      <c r="I46" s="16">
        <v>50</v>
      </c>
      <c r="J46" s="16" t="s">
        <v>613</v>
      </c>
      <c r="K46" s="16">
        <v>46</v>
      </c>
      <c r="L46" s="16">
        <v>19423</v>
      </c>
      <c r="M46" s="16"/>
      <c r="N46" s="16" t="s">
        <v>615</v>
      </c>
      <c r="O46" s="16" t="b">
        <v>1</v>
      </c>
      <c r="P46" s="16" t="str">
        <f t="shared" si="7"/>
        <v>0.6/1kV 트레이용 절연난연 제어용케이블(F-CVV)</v>
      </c>
      <c r="Q46" s="16" t="str">
        <f t="shared" si="5"/>
        <v>1.5㎟ 50C</v>
      </c>
      <c r="S46" s="16"/>
      <c r="W46" s="16"/>
    </row>
    <row r="47" spans="2:23">
      <c r="B47" s="1" t="str">
        <f t="shared" si="6"/>
        <v>E_CAB0202_VM_0000_1.5_2</v>
      </c>
      <c r="C47" s="16" t="s">
        <v>25</v>
      </c>
      <c r="D47" s="16" t="s">
        <v>24</v>
      </c>
      <c r="E47" s="16" t="s">
        <v>391</v>
      </c>
      <c r="F47" s="16" t="s">
        <v>612</v>
      </c>
      <c r="G47" s="16"/>
      <c r="H47" s="16">
        <v>1.5</v>
      </c>
      <c r="I47" s="16">
        <v>2</v>
      </c>
      <c r="J47" s="16" t="s">
        <v>613</v>
      </c>
      <c r="K47" s="16">
        <v>47</v>
      </c>
      <c r="L47" s="16">
        <v>1992</v>
      </c>
      <c r="M47" s="16"/>
      <c r="N47" s="16" t="s">
        <v>615</v>
      </c>
      <c r="O47" s="16" t="b">
        <v>1</v>
      </c>
      <c r="P47" s="16" t="str">
        <f t="shared" si="7"/>
        <v>0.6/3kV 트레이용 제어용케이블(F-CVV-SB)</v>
      </c>
      <c r="Q47" s="16" t="str">
        <f t="shared" si="5"/>
        <v>1.5㎟ 2C</v>
      </c>
      <c r="S47" s="16"/>
      <c r="W47" s="16"/>
    </row>
    <row r="48" spans="2:23">
      <c r="B48" s="1" t="str">
        <f t="shared" si="6"/>
        <v>E_CAB0202_VM_0000_1.5_3</v>
      </c>
      <c r="C48" s="16" t="s">
        <v>25</v>
      </c>
      <c r="D48" s="16" t="s">
        <v>24</v>
      </c>
      <c r="E48" s="16" t="s">
        <v>391</v>
      </c>
      <c r="F48" s="16" t="s">
        <v>612</v>
      </c>
      <c r="G48" s="16"/>
      <c r="H48" s="16">
        <v>1.5</v>
      </c>
      <c r="I48" s="16">
        <v>3</v>
      </c>
      <c r="J48" s="16" t="s">
        <v>613</v>
      </c>
      <c r="K48" s="16">
        <v>48</v>
      </c>
      <c r="L48" s="16">
        <v>2409</v>
      </c>
      <c r="M48" s="16"/>
      <c r="N48" s="16" t="s">
        <v>615</v>
      </c>
      <c r="O48" s="16" t="b">
        <v>1</v>
      </c>
      <c r="P48" s="16" t="str">
        <f t="shared" si="7"/>
        <v>0.6/3kV 트레이용 제어용케이블(F-CVV-SB)</v>
      </c>
      <c r="Q48" s="16" t="str">
        <f t="shared" si="5"/>
        <v>1.5㎟ 3C</v>
      </c>
      <c r="S48" s="16"/>
      <c r="W48" s="16"/>
    </row>
    <row r="49" spans="2:23">
      <c r="B49" s="1" t="str">
        <f t="shared" si="6"/>
        <v>E_CAB0202_VM_0000_1.5_4</v>
      </c>
      <c r="C49" s="16" t="s">
        <v>25</v>
      </c>
      <c r="D49" s="16" t="s">
        <v>24</v>
      </c>
      <c r="E49" s="16" t="s">
        <v>391</v>
      </c>
      <c r="F49" s="16" t="s">
        <v>612</v>
      </c>
      <c r="G49" s="16"/>
      <c r="H49" s="16">
        <v>1.5</v>
      </c>
      <c r="I49" s="16">
        <v>4</v>
      </c>
      <c r="J49" s="16" t="s">
        <v>613</v>
      </c>
      <c r="K49" s="16">
        <v>49</v>
      </c>
      <c r="L49" s="16">
        <v>2677</v>
      </c>
      <c r="M49" s="16"/>
      <c r="N49" s="16" t="s">
        <v>615</v>
      </c>
      <c r="O49" s="16" t="b">
        <v>1</v>
      </c>
      <c r="P49" s="16" t="str">
        <f t="shared" si="7"/>
        <v>0.6/3kV 트레이용 제어용케이블(F-CVV-SB)</v>
      </c>
      <c r="Q49" s="16" t="str">
        <f t="shared" si="5"/>
        <v>1.5㎟ 4C</v>
      </c>
      <c r="S49" s="16"/>
      <c r="W49" s="16"/>
    </row>
    <row r="50" spans="2:23">
      <c r="B50" s="1" t="str">
        <f t="shared" ref="B50:B57" si="8">D50&amp;"_"&amp;F50&amp;"_"&amp;H50&amp;"_"&amp;I50</f>
        <v>E_CAB0202_VM_0000_1.5_5</v>
      </c>
      <c r="C50" s="16" t="s">
        <v>25</v>
      </c>
      <c r="D50" s="16" t="s">
        <v>24</v>
      </c>
      <c r="E50" s="16" t="s">
        <v>391</v>
      </c>
      <c r="F50" s="16" t="s">
        <v>612</v>
      </c>
      <c r="G50" s="16"/>
      <c r="H50" s="16">
        <v>1.5</v>
      </c>
      <c r="I50" s="16">
        <v>5</v>
      </c>
      <c r="J50" s="16" t="s">
        <v>613</v>
      </c>
      <c r="K50" s="16">
        <v>50</v>
      </c>
      <c r="L50" s="16">
        <v>3159</v>
      </c>
      <c r="M50" s="16"/>
      <c r="N50" s="16" t="s">
        <v>615</v>
      </c>
      <c r="O50" s="16" t="b">
        <v>1</v>
      </c>
      <c r="P50" s="16" t="str">
        <f t="shared" si="7"/>
        <v>0.6/3kV 트레이용 제어용케이블(F-CVV-SB)</v>
      </c>
      <c r="Q50" s="16" t="str">
        <f t="shared" si="5"/>
        <v>1.5㎟ 5C</v>
      </c>
      <c r="S50" s="16"/>
      <c r="W50" s="16"/>
    </row>
    <row r="51" spans="2:23">
      <c r="B51" s="1" t="str">
        <f t="shared" si="8"/>
        <v>E_CAB0202_VM_0000_1.5_6</v>
      </c>
      <c r="C51" s="16" t="s">
        <v>25</v>
      </c>
      <c r="D51" s="16" t="s">
        <v>24</v>
      </c>
      <c r="E51" s="16" t="s">
        <v>391</v>
      </c>
      <c r="F51" s="16" t="s">
        <v>612</v>
      </c>
      <c r="G51" s="16"/>
      <c r="H51" s="16">
        <v>1.5</v>
      </c>
      <c r="I51" s="16">
        <v>6</v>
      </c>
      <c r="J51" s="16" t="s">
        <v>613</v>
      </c>
      <c r="K51" s="16">
        <v>51</v>
      </c>
      <c r="L51" s="16">
        <v>3539</v>
      </c>
      <c r="M51" s="16"/>
      <c r="N51" s="16" t="s">
        <v>615</v>
      </c>
      <c r="O51" s="16" t="b">
        <v>1</v>
      </c>
      <c r="P51" s="16" t="str">
        <f t="shared" si="7"/>
        <v>0.6/3kV 트레이용 제어용케이블(F-CVV-SB)</v>
      </c>
      <c r="Q51" s="16" t="str">
        <f t="shared" si="5"/>
        <v>1.5㎟ 6C</v>
      </c>
      <c r="S51" s="16"/>
      <c r="W51" s="16"/>
    </row>
    <row r="52" spans="2:23">
      <c r="B52" s="1" t="str">
        <f t="shared" si="8"/>
        <v>E_CAB0202_VM_0000_1.5_7</v>
      </c>
      <c r="C52" s="16" t="s">
        <v>25</v>
      </c>
      <c r="D52" s="16" t="s">
        <v>24</v>
      </c>
      <c r="E52" s="16" t="s">
        <v>391</v>
      </c>
      <c r="F52" s="16" t="s">
        <v>612</v>
      </c>
      <c r="G52" s="16"/>
      <c r="H52" s="16">
        <v>1.5</v>
      </c>
      <c r="I52" s="16">
        <v>7</v>
      </c>
      <c r="J52" s="16" t="s">
        <v>613</v>
      </c>
      <c r="K52" s="16">
        <v>52</v>
      </c>
      <c r="L52" s="16">
        <v>3871</v>
      </c>
      <c r="M52" s="16"/>
      <c r="N52" s="16" t="s">
        <v>615</v>
      </c>
      <c r="O52" s="16" t="b">
        <v>1</v>
      </c>
      <c r="P52" s="16" t="str">
        <f t="shared" si="7"/>
        <v>0.6/3kV 트레이용 제어용케이블(F-CVV-SB)</v>
      </c>
      <c r="Q52" s="16" t="str">
        <f t="shared" si="5"/>
        <v>1.5㎟ 7C</v>
      </c>
      <c r="S52" s="16"/>
      <c r="W52" s="16"/>
    </row>
    <row r="53" spans="2:23">
      <c r="B53" s="1" t="str">
        <f t="shared" si="8"/>
        <v>E_CAB0202_VM_0000_1.5_8</v>
      </c>
      <c r="C53" s="16" t="s">
        <v>25</v>
      </c>
      <c r="D53" s="16" t="s">
        <v>24</v>
      </c>
      <c r="E53" s="16" t="s">
        <v>391</v>
      </c>
      <c r="F53" s="16" t="s">
        <v>612</v>
      </c>
      <c r="G53" s="16"/>
      <c r="H53" s="16">
        <v>1.5</v>
      </c>
      <c r="I53" s="16">
        <v>8</v>
      </c>
      <c r="J53" s="16" t="s">
        <v>613</v>
      </c>
      <c r="K53" s="16">
        <v>53</v>
      </c>
      <c r="L53" s="16">
        <v>4301</v>
      </c>
      <c r="M53" s="16"/>
      <c r="N53" s="16" t="s">
        <v>615</v>
      </c>
      <c r="O53" s="16" t="b">
        <v>1</v>
      </c>
      <c r="P53" s="16" t="str">
        <f t="shared" si="7"/>
        <v>0.6/3kV 트레이용 제어용케이블(F-CVV-SB)</v>
      </c>
      <c r="Q53" s="16" t="str">
        <f t="shared" si="5"/>
        <v>1.5㎟ 8C</v>
      </c>
      <c r="S53" s="16"/>
      <c r="W53" s="16"/>
    </row>
    <row r="54" spans="2:23">
      <c r="B54" s="1" t="str">
        <f t="shared" si="8"/>
        <v>E_CAB0202_VM_0000_1.5_10</v>
      </c>
      <c r="C54" s="16" t="s">
        <v>25</v>
      </c>
      <c r="D54" s="16" t="s">
        <v>24</v>
      </c>
      <c r="E54" s="16" t="s">
        <v>391</v>
      </c>
      <c r="F54" s="16" t="s">
        <v>612</v>
      </c>
      <c r="G54" s="16"/>
      <c r="H54" s="16">
        <v>1.5</v>
      </c>
      <c r="I54" s="16">
        <v>10</v>
      </c>
      <c r="J54" s="16" t="s">
        <v>613</v>
      </c>
      <c r="K54" s="16">
        <v>54</v>
      </c>
      <c r="L54" s="16">
        <v>5173</v>
      </c>
      <c r="M54" s="16"/>
      <c r="N54" s="16" t="s">
        <v>615</v>
      </c>
      <c r="O54" s="16" t="b">
        <v>1</v>
      </c>
      <c r="P54" s="16" t="str">
        <f t="shared" si="7"/>
        <v>0.6/3kV 트레이용 제어용케이블(F-CVV-SB)</v>
      </c>
      <c r="Q54" s="16" t="str">
        <f t="shared" si="5"/>
        <v>1.5㎟ 10C</v>
      </c>
      <c r="S54" s="16"/>
      <c r="W54" s="16"/>
    </row>
    <row r="55" spans="2:23">
      <c r="B55" s="1" t="str">
        <f t="shared" si="8"/>
        <v>E_CAB0202_VM_0000_1.5_12</v>
      </c>
      <c r="C55" s="16" t="s">
        <v>25</v>
      </c>
      <c r="D55" s="16" t="s">
        <v>24</v>
      </c>
      <c r="E55" s="16" t="s">
        <v>391</v>
      </c>
      <c r="F55" s="16" t="s">
        <v>612</v>
      </c>
      <c r="G55" s="16"/>
      <c r="H55" s="16">
        <v>1.5</v>
      </c>
      <c r="I55" s="16">
        <v>12</v>
      </c>
      <c r="J55" s="16" t="s">
        <v>613</v>
      </c>
      <c r="K55" s="16">
        <v>55</v>
      </c>
      <c r="L55" s="16">
        <v>5991</v>
      </c>
      <c r="M55" s="16"/>
      <c r="N55" s="16" t="s">
        <v>615</v>
      </c>
      <c r="O55" s="16" t="b">
        <v>1</v>
      </c>
      <c r="P55" s="16" t="str">
        <f t="shared" si="7"/>
        <v>0.6/3kV 트레이용 제어용케이블(F-CVV-SB)</v>
      </c>
      <c r="Q55" s="16" t="str">
        <f t="shared" si="5"/>
        <v>1.5㎟ 12C</v>
      </c>
      <c r="S55" s="16"/>
      <c r="W55" s="16"/>
    </row>
    <row r="56" spans="2:23">
      <c r="B56" s="1" t="str">
        <f t="shared" si="8"/>
        <v>E_CAB0202_VM_0000_1.5_15</v>
      </c>
      <c r="C56" s="16" t="s">
        <v>25</v>
      </c>
      <c r="D56" s="16" t="s">
        <v>24</v>
      </c>
      <c r="E56" s="16" t="s">
        <v>391</v>
      </c>
      <c r="F56" s="16" t="s">
        <v>612</v>
      </c>
      <c r="G56" s="16"/>
      <c r="H56" s="16">
        <v>1.5</v>
      </c>
      <c r="I56" s="16">
        <v>15</v>
      </c>
      <c r="J56" s="16" t="s">
        <v>613</v>
      </c>
      <c r="K56" s="16">
        <v>56</v>
      </c>
      <c r="L56" s="16">
        <v>7178</v>
      </c>
      <c r="M56" s="16"/>
      <c r="N56" s="16" t="s">
        <v>615</v>
      </c>
      <c r="O56" s="16" t="b">
        <v>1</v>
      </c>
      <c r="P56" s="16" t="str">
        <f t="shared" si="7"/>
        <v>0.6/3kV 트레이용 제어용케이블(F-CVV-SB)</v>
      </c>
      <c r="Q56" s="16" t="str">
        <f t="shared" si="5"/>
        <v>1.5㎟ 15C</v>
      </c>
      <c r="S56" s="16"/>
      <c r="W56" s="16"/>
    </row>
    <row r="57" spans="2:23">
      <c r="B57" s="1" t="str">
        <f t="shared" si="8"/>
        <v>E_CAB0202_VM_0000_1.5_20</v>
      </c>
      <c r="C57" s="16" t="s">
        <v>25</v>
      </c>
      <c r="D57" s="16" t="s">
        <v>24</v>
      </c>
      <c r="E57" s="16" t="s">
        <v>391</v>
      </c>
      <c r="F57" s="16" t="s">
        <v>612</v>
      </c>
      <c r="G57" s="16"/>
      <c r="H57" s="16">
        <v>1.5</v>
      </c>
      <c r="I57" s="16">
        <v>20</v>
      </c>
      <c r="J57" s="16" t="s">
        <v>613</v>
      </c>
      <c r="K57" s="16">
        <v>57</v>
      </c>
      <c r="L57" s="16">
        <v>9188</v>
      </c>
      <c r="M57" s="16"/>
      <c r="N57" s="16" t="s">
        <v>615</v>
      </c>
      <c r="O57" s="16" t="b">
        <v>1</v>
      </c>
      <c r="P57" s="16" t="str">
        <f t="shared" si="7"/>
        <v>0.6/3kV 트레이용 제어용케이블(F-CVV-SB)</v>
      </c>
      <c r="Q57" s="16" t="str">
        <f t="shared" si="5"/>
        <v>1.5㎟ 20C</v>
      </c>
      <c r="S57" s="16"/>
      <c r="W57" s="16"/>
    </row>
    <row r="58" spans="2:23">
      <c r="B58" s="1" t="str">
        <f t="shared" ref="B58:B61" si="9">D58&amp;"_"&amp;F58&amp;"_"&amp;H58&amp;"_"&amp;I58</f>
        <v>E_CAB0202_VM_0000_1.5_25</v>
      </c>
      <c r="C58" s="16" t="s">
        <v>25</v>
      </c>
      <c r="D58" s="16" t="s">
        <v>24</v>
      </c>
      <c r="E58" s="16" t="s">
        <v>391</v>
      </c>
      <c r="F58" s="16" t="s">
        <v>612</v>
      </c>
      <c r="G58" s="16"/>
      <c r="H58" s="16">
        <v>1.5</v>
      </c>
      <c r="I58" s="16">
        <v>25</v>
      </c>
      <c r="J58" s="16" t="s">
        <v>613</v>
      </c>
      <c r="K58" s="16">
        <v>58</v>
      </c>
      <c r="L58" s="16">
        <v>11425</v>
      </c>
      <c r="M58" s="16"/>
      <c r="N58" s="16" t="s">
        <v>615</v>
      </c>
      <c r="O58" s="16" t="b">
        <v>1</v>
      </c>
      <c r="P58" s="16" t="str">
        <f t="shared" si="7"/>
        <v>0.6/3kV 트레이용 제어용케이블(F-CVV-SB)</v>
      </c>
      <c r="Q58" s="16" t="str">
        <f t="shared" si="5"/>
        <v>1.5㎟ 25C</v>
      </c>
      <c r="S58" s="16"/>
      <c r="W58" s="16"/>
    </row>
    <row r="59" spans="2:23">
      <c r="B59" s="1" t="str">
        <f t="shared" si="9"/>
        <v>E_CAB0202_VM_0000_1.5_30</v>
      </c>
      <c r="C59" s="16" t="s">
        <v>25</v>
      </c>
      <c r="D59" s="16" t="s">
        <v>24</v>
      </c>
      <c r="E59" s="16" t="s">
        <v>391</v>
      </c>
      <c r="F59" s="16" t="s">
        <v>612</v>
      </c>
      <c r="G59" s="16"/>
      <c r="H59" s="16">
        <v>1.5</v>
      </c>
      <c r="I59" s="16">
        <v>30</v>
      </c>
      <c r="J59" s="16" t="s">
        <v>613</v>
      </c>
      <c r="K59" s="16">
        <v>59</v>
      </c>
      <c r="L59" s="16">
        <v>13239</v>
      </c>
      <c r="M59" s="16"/>
      <c r="N59" s="16" t="s">
        <v>615</v>
      </c>
      <c r="O59" s="16" t="b">
        <v>1</v>
      </c>
      <c r="P59" s="16" t="str">
        <f t="shared" ref="P59:P92" si="10">C59</f>
        <v>0.6/3kV 트레이용 제어용케이블(F-CVV-SB)</v>
      </c>
      <c r="Q59" s="16" t="str">
        <f t="shared" si="5"/>
        <v>1.5㎟ 30C</v>
      </c>
      <c r="S59" s="16"/>
      <c r="W59" s="16"/>
    </row>
    <row r="60" spans="2:23">
      <c r="B60" s="1" t="str">
        <f t="shared" si="9"/>
        <v>E_CAB0202_VM_0000_1.5_40</v>
      </c>
      <c r="C60" s="16" t="s">
        <v>25</v>
      </c>
      <c r="D60" s="16" t="s">
        <v>24</v>
      </c>
      <c r="E60" s="16" t="s">
        <v>391</v>
      </c>
      <c r="F60" s="16" t="s">
        <v>612</v>
      </c>
      <c r="G60" s="16"/>
      <c r="H60" s="16">
        <v>1.5</v>
      </c>
      <c r="I60" s="16">
        <v>40</v>
      </c>
      <c r="J60" s="16" t="s">
        <v>613</v>
      </c>
      <c r="K60" s="16">
        <v>60</v>
      </c>
      <c r="L60" s="16">
        <v>18233</v>
      </c>
      <c r="M60" s="16"/>
      <c r="N60" s="16" t="s">
        <v>615</v>
      </c>
      <c r="O60" s="16" t="b">
        <v>1</v>
      </c>
      <c r="P60" s="16" t="str">
        <f t="shared" si="10"/>
        <v>0.6/3kV 트레이용 제어용케이블(F-CVV-SB)</v>
      </c>
      <c r="Q60" s="16" t="str">
        <f t="shared" si="5"/>
        <v>1.5㎟ 40C</v>
      </c>
      <c r="S60" s="16"/>
      <c r="W60" s="16"/>
    </row>
    <row r="61" spans="2:23">
      <c r="B61" s="1" t="str">
        <f t="shared" si="9"/>
        <v>E_CAB0202_VM_0000_1.5_50</v>
      </c>
      <c r="C61" s="16" t="s">
        <v>25</v>
      </c>
      <c r="D61" s="16" t="s">
        <v>24</v>
      </c>
      <c r="E61" s="16" t="s">
        <v>391</v>
      </c>
      <c r="F61" s="16" t="s">
        <v>612</v>
      </c>
      <c r="G61" s="16"/>
      <c r="H61" s="16">
        <v>1.5</v>
      </c>
      <c r="I61" s="16">
        <v>50</v>
      </c>
      <c r="J61" s="16" t="s">
        <v>613</v>
      </c>
      <c r="K61" s="16">
        <v>61</v>
      </c>
      <c r="L61" s="16">
        <v>22308</v>
      </c>
      <c r="M61" s="16"/>
      <c r="N61" s="16" t="s">
        <v>615</v>
      </c>
      <c r="O61" s="16" t="b">
        <v>1</v>
      </c>
      <c r="P61" s="16" t="str">
        <f t="shared" si="10"/>
        <v>0.6/3kV 트레이용 제어용케이블(F-CVV-SB)</v>
      </c>
      <c r="Q61" s="16" t="str">
        <f t="shared" si="5"/>
        <v>1.5㎟ 50C</v>
      </c>
      <c r="S61" s="16"/>
      <c r="W61" s="16"/>
    </row>
    <row r="62" spans="2:23">
      <c r="B62" s="1" t="str">
        <f t="shared" ref="B62:B92" si="11">D62&amp;"_"&amp;F62&amp;"_"&amp;H62</f>
        <v>E_CAB03_VM_0000_2.5</v>
      </c>
      <c r="C62" s="16" t="s">
        <v>27</v>
      </c>
      <c r="D62" s="16" t="s">
        <v>26</v>
      </c>
      <c r="E62" s="16" t="s">
        <v>391</v>
      </c>
      <c r="F62" s="16" t="s">
        <v>612</v>
      </c>
      <c r="G62" s="16"/>
      <c r="H62" s="18">
        <v>2.5</v>
      </c>
      <c r="I62" s="16"/>
      <c r="J62" s="16" t="s">
        <v>613</v>
      </c>
      <c r="K62" s="16"/>
      <c r="L62" s="16">
        <v>903</v>
      </c>
      <c r="M62" s="16"/>
      <c r="N62" s="16" t="s">
        <v>614</v>
      </c>
      <c r="O62" s="16" t="b">
        <v>1</v>
      </c>
      <c r="P62" s="16" t="str">
        <f t="shared" ref="P62" si="12">C62</f>
        <v>난연 비닐 절연 접지용전선(F-GV)</v>
      </c>
      <c r="Q62" s="16" t="str">
        <f t="shared" ref="Q62:Q77" si="13">"0.6/1kV "&amp;H62&amp;"㎟"</f>
        <v>0.6/1kV 2.5㎟</v>
      </c>
      <c r="S62" s="16"/>
      <c r="W62" s="16"/>
    </row>
    <row r="63" spans="2:23">
      <c r="B63" s="1" t="str">
        <f t="shared" si="11"/>
        <v>E_CAB03_VM_0000_4</v>
      </c>
      <c r="C63" s="16" t="s">
        <v>27</v>
      </c>
      <c r="D63" s="16" t="s">
        <v>26</v>
      </c>
      <c r="E63" s="16" t="s">
        <v>391</v>
      </c>
      <c r="F63" s="16" t="s">
        <v>612</v>
      </c>
      <c r="G63" s="16"/>
      <c r="H63" s="18">
        <v>4</v>
      </c>
      <c r="I63" s="16"/>
      <c r="J63" s="16" t="s">
        <v>613</v>
      </c>
      <c r="K63" s="16">
        <v>62</v>
      </c>
      <c r="L63" s="16">
        <v>1172</v>
      </c>
      <c r="M63" s="16"/>
      <c r="N63" s="16" t="s">
        <v>614</v>
      </c>
      <c r="O63" s="16" t="b">
        <v>1</v>
      </c>
      <c r="P63" s="16" t="str">
        <f t="shared" si="10"/>
        <v>난연 비닐 절연 접지용전선(F-GV)</v>
      </c>
      <c r="Q63" s="16" t="str">
        <f t="shared" si="13"/>
        <v>0.6/1kV 4㎟</v>
      </c>
      <c r="S63" s="16"/>
      <c r="W63" s="16"/>
    </row>
    <row r="64" spans="2:23">
      <c r="B64" s="1" t="str">
        <f t="shared" si="11"/>
        <v>E_CAB03_VM_0000_6</v>
      </c>
      <c r="C64" s="16" t="s">
        <v>27</v>
      </c>
      <c r="D64" s="16" t="s">
        <v>26</v>
      </c>
      <c r="E64" s="16" t="s">
        <v>391</v>
      </c>
      <c r="F64" s="16" t="s">
        <v>612</v>
      </c>
      <c r="G64" s="16"/>
      <c r="H64" s="18">
        <v>6</v>
      </c>
      <c r="I64" s="16"/>
      <c r="J64" s="16" t="s">
        <v>613</v>
      </c>
      <c r="K64" s="16">
        <v>63</v>
      </c>
      <c r="L64" s="16">
        <v>1535</v>
      </c>
      <c r="M64" s="16"/>
      <c r="N64" s="16" t="s">
        <v>614</v>
      </c>
      <c r="O64" s="16" t="b">
        <v>1</v>
      </c>
      <c r="P64" s="16" t="str">
        <f t="shared" si="10"/>
        <v>난연 비닐 절연 접지용전선(F-GV)</v>
      </c>
      <c r="Q64" s="16" t="str">
        <f t="shared" si="13"/>
        <v>0.6/1kV 6㎟</v>
      </c>
      <c r="S64" s="16"/>
      <c r="W64" s="16"/>
    </row>
    <row r="65" spans="2:23">
      <c r="B65" s="1" t="str">
        <f t="shared" si="11"/>
        <v>E_CAB03_VM_0000_10</v>
      </c>
      <c r="C65" s="16" t="s">
        <v>27</v>
      </c>
      <c r="D65" s="16" t="s">
        <v>26</v>
      </c>
      <c r="E65" s="16" t="s">
        <v>391</v>
      </c>
      <c r="F65" s="16" t="s">
        <v>612</v>
      </c>
      <c r="G65" s="16"/>
      <c r="H65" s="18">
        <v>10</v>
      </c>
      <c r="I65" s="16"/>
      <c r="J65" s="16" t="s">
        <v>613</v>
      </c>
      <c r="K65" s="16">
        <v>64</v>
      </c>
      <c r="L65" s="16">
        <v>2330</v>
      </c>
      <c r="M65" s="16"/>
      <c r="N65" s="16" t="s">
        <v>614</v>
      </c>
      <c r="O65" s="16" t="b">
        <v>1</v>
      </c>
      <c r="P65" s="16" t="str">
        <f t="shared" si="10"/>
        <v>난연 비닐 절연 접지용전선(F-GV)</v>
      </c>
      <c r="Q65" s="16" t="str">
        <f t="shared" si="13"/>
        <v>0.6/1kV 10㎟</v>
      </c>
      <c r="S65" s="16"/>
      <c r="W65" s="16"/>
    </row>
    <row r="66" spans="2:23">
      <c r="B66" s="1" t="str">
        <f t="shared" si="11"/>
        <v>E_CAB03_VM_0000_16</v>
      </c>
      <c r="C66" s="16" t="s">
        <v>27</v>
      </c>
      <c r="D66" s="16" t="s">
        <v>26</v>
      </c>
      <c r="E66" s="16" t="s">
        <v>391</v>
      </c>
      <c r="F66" s="16" t="s">
        <v>612</v>
      </c>
      <c r="G66" s="16"/>
      <c r="H66" s="18">
        <v>16</v>
      </c>
      <c r="I66" s="16"/>
      <c r="J66" s="16" t="s">
        <v>613</v>
      </c>
      <c r="K66" s="16">
        <v>65</v>
      </c>
      <c r="L66" s="16">
        <v>3274</v>
      </c>
      <c r="M66" s="16"/>
      <c r="N66" s="16" t="s">
        <v>614</v>
      </c>
      <c r="O66" s="16" t="b">
        <v>1</v>
      </c>
      <c r="P66" s="16" t="str">
        <f t="shared" si="10"/>
        <v>난연 비닐 절연 접지용전선(F-GV)</v>
      </c>
      <c r="Q66" s="16" t="str">
        <f t="shared" si="13"/>
        <v>0.6/1kV 16㎟</v>
      </c>
      <c r="S66" s="16"/>
      <c r="W66" s="16"/>
    </row>
    <row r="67" spans="2:23">
      <c r="B67" s="1" t="str">
        <f t="shared" si="11"/>
        <v>E_CAB03_VM_0000_25</v>
      </c>
      <c r="C67" s="16" t="s">
        <v>27</v>
      </c>
      <c r="D67" s="16" t="s">
        <v>26</v>
      </c>
      <c r="E67" s="16" t="s">
        <v>391</v>
      </c>
      <c r="F67" s="16" t="s">
        <v>612</v>
      </c>
      <c r="G67" s="16"/>
      <c r="H67" s="18">
        <v>25</v>
      </c>
      <c r="I67" s="16"/>
      <c r="J67" s="16" t="s">
        <v>613</v>
      </c>
      <c r="K67" s="16">
        <v>66</v>
      </c>
      <c r="L67" s="16">
        <v>5078</v>
      </c>
      <c r="M67" s="16"/>
      <c r="N67" s="16" t="s">
        <v>614</v>
      </c>
      <c r="O67" s="16" t="b">
        <v>1</v>
      </c>
      <c r="P67" s="16" t="str">
        <f t="shared" si="10"/>
        <v>난연 비닐 절연 접지용전선(F-GV)</v>
      </c>
      <c r="Q67" s="16" t="str">
        <f t="shared" si="13"/>
        <v>0.6/1kV 25㎟</v>
      </c>
      <c r="S67" s="16"/>
      <c r="W67" s="16"/>
    </row>
    <row r="68" spans="2:23">
      <c r="B68" s="1" t="str">
        <f t="shared" si="11"/>
        <v>E_CAB03_VM_0000_35</v>
      </c>
      <c r="C68" s="16" t="s">
        <v>27</v>
      </c>
      <c r="D68" s="16" t="s">
        <v>26</v>
      </c>
      <c r="E68" s="16" t="s">
        <v>391</v>
      </c>
      <c r="F68" s="16" t="s">
        <v>612</v>
      </c>
      <c r="G68" s="16"/>
      <c r="H68" s="18">
        <v>35</v>
      </c>
      <c r="I68" s="16"/>
      <c r="J68" s="16" t="s">
        <v>613</v>
      </c>
      <c r="K68" s="16">
        <v>67</v>
      </c>
      <c r="L68" s="16">
        <v>6905</v>
      </c>
      <c r="M68" s="16"/>
      <c r="N68" s="16" t="s">
        <v>614</v>
      </c>
      <c r="O68" s="16" t="b">
        <v>1</v>
      </c>
      <c r="P68" s="16" t="str">
        <f t="shared" si="10"/>
        <v>난연 비닐 절연 접지용전선(F-GV)</v>
      </c>
      <c r="Q68" s="16" t="str">
        <f t="shared" si="13"/>
        <v>0.6/1kV 35㎟</v>
      </c>
      <c r="S68" s="16"/>
      <c r="W68" s="16"/>
    </row>
    <row r="69" spans="2:23">
      <c r="B69" s="1" t="str">
        <f t="shared" si="11"/>
        <v>E_CAB03_VM_0000_50</v>
      </c>
      <c r="C69" s="16" t="s">
        <v>27</v>
      </c>
      <c r="D69" s="16" t="s">
        <v>26</v>
      </c>
      <c r="E69" s="16" t="s">
        <v>391</v>
      </c>
      <c r="F69" s="16" t="s">
        <v>612</v>
      </c>
      <c r="G69" s="16"/>
      <c r="H69" s="18">
        <v>50</v>
      </c>
      <c r="I69" s="16"/>
      <c r="J69" s="16" t="s">
        <v>613</v>
      </c>
      <c r="K69" s="16">
        <v>68</v>
      </c>
      <c r="L69" s="16">
        <v>9307</v>
      </c>
      <c r="M69" s="16"/>
      <c r="N69" s="16" t="s">
        <v>614</v>
      </c>
      <c r="O69" s="16" t="b">
        <v>1</v>
      </c>
      <c r="P69" s="16" t="str">
        <f t="shared" si="10"/>
        <v>난연 비닐 절연 접지용전선(F-GV)</v>
      </c>
      <c r="Q69" s="16" t="str">
        <f t="shared" si="13"/>
        <v>0.6/1kV 50㎟</v>
      </c>
      <c r="S69" s="16"/>
      <c r="W69" s="16"/>
    </row>
    <row r="70" spans="2:23">
      <c r="B70" s="1" t="str">
        <f t="shared" si="11"/>
        <v>E_CAB03_VM_0000_70</v>
      </c>
      <c r="C70" s="16" t="s">
        <v>27</v>
      </c>
      <c r="D70" s="16" t="s">
        <v>26</v>
      </c>
      <c r="E70" s="16" t="s">
        <v>391</v>
      </c>
      <c r="F70" s="16" t="s">
        <v>612</v>
      </c>
      <c r="G70" s="16"/>
      <c r="H70" s="18">
        <v>70</v>
      </c>
      <c r="I70" s="16"/>
      <c r="J70" s="16" t="s">
        <v>613</v>
      </c>
      <c r="K70" s="16">
        <v>69</v>
      </c>
      <c r="L70" s="16">
        <v>13178</v>
      </c>
      <c r="M70" s="16"/>
      <c r="N70" s="16" t="s">
        <v>614</v>
      </c>
      <c r="O70" s="16" t="b">
        <v>1</v>
      </c>
      <c r="P70" s="16" t="str">
        <f t="shared" si="10"/>
        <v>난연 비닐 절연 접지용전선(F-GV)</v>
      </c>
      <c r="Q70" s="16" t="str">
        <f t="shared" si="13"/>
        <v>0.6/1kV 70㎟</v>
      </c>
      <c r="S70" s="16"/>
      <c r="W70" s="16"/>
    </row>
    <row r="71" spans="2:23">
      <c r="B71" s="1" t="str">
        <f t="shared" si="11"/>
        <v>E_CAB03_VM_0000_95</v>
      </c>
      <c r="C71" s="16" t="s">
        <v>27</v>
      </c>
      <c r="D71" s="16" t="s">
        <v>26</v>
      </c>
      <c r="E71" s="16" t="s">
        <v>391</v>
      </c>
      <c r="F71" s="16" t="s">
        <v>612</v>
      </c>
      <c r="G71" s="16"/>
      <c r="H71" s="18">
        <v>95</v>
      </c>
      <c r="I71" s="16"/>
      <c r="J71" s="16" t="s">
        <v>613</v>
      </c>
      <c r="K71" s="16">
        <v>70</v>
      </c>
      <c r="L71" s="16">
        <v>18029</v>
      </c>
      <c r="M71" s="16"/>
      <c r="N71" s="16" t="s">
        <v>614</v>
      </c>
      <c r="O71" s="16" t="b">
        <v>1</v>
      </c>
      <c r="P71" s="16" t="str">
        <f t="shared" si="10"/>
        <v>난연 비닐 절연 접지용전선(F-GV)</v>
      </c>
      <c r="Q71" s="16" t="str">
        <f t="shared" si="13"/>
        <v>0.6/1kV 95㎟</v>
      </c>
      <c r="S71" s="16"/>
      <c r="W71" s="16"/>
    </row>
    <row r="72" spans="2:23">
      <c r="B72" s="1" t="str">
        <f t="shared" si="11"/>
        <v>E_CAB03_VM_0000_120</v>
      </c>
      <c r="C72" s="16" t="s">
        <v>27</v>
      </c>
      <c r="D72" s="16" t="s">
        <v>26</v>
      </c>
      <c r="E72" s="16" t="s">
        <v>391</v>
      </c>
      <c r="F72" s="16" t="s">
        <v>612</v>
      </c>
      <c r="G72" s="16"/>
      <c r="H72" s="18">
        <v>120</v>
      </c>
      <c r="I72" s="16"/>
      <c r="J72" s="16" t="s">
        <v>613</v>
      </c>
      <c r="K72" s="16">
        <v>71</v>
      </c>
      <c r="L72" s="16">
        <v>22701</v>
      </c>
      <c r="M72" s="16"/>
      <c r="N72" s="16" t="s">
        <v>614</v>
      </c>
      <c r="O72" s="16" t="b">
        <v>1</v>
      </c>
      <c r="P72" s="16" t="str">
        <f t="shared" si="10"/>
        <v>난연 비닐 절연 접지용전선(F-GV)</v>
      </c>
      <c r="Q72" s="16" t="str">
        <f t="shared" si="13"/>
        <v>0.6/1kV 120㎟</v>
      </c>
      <c r="S72" s="16"/>
      <c r="W72" s="16"/>
    </row>
    <row r="73" spans="2:23">
      <c r="B73" s="1" t="str">
        <f t="shared" si="11"/>
        <v>E_CAB03_VM_0000_150</v>
      </c>
      <c r="C73" s="16" t="s">
        <v>27</v>
      </c>
      <c r="D73" s="16" t="s">
        <v>26</v>
      </c>
      <c r="E73" s="16" t="s">
        <v>391</v>
      </c>
      <c r="F73" s="16" t="s">
        <v>612</v>
      </c>
      <c r="G73" s="16"/>
      <c r="H73" s="18">
        <v>150</v>
      </c>
      <c r="I73" s="16"/>
      <c r="J73" s="16" t="s">
        <v>613</v>
      </c>
      <c r="K73" s="16">
        <v>72</v>
      </c>
      <c r="L73" s="16">
        <v>27616</v>
      </c>
      <c r="M73" s="16"/>
      <c r="N73" s="16" t="s">
        <v>614</v>
      </c>
      <c r="O73" s="16" t="b">
        <v>1</v>
      </c>
      <c r="P73" s="16" t="str">
        <f t="shared" si="10"/>
        <v>난연 비닐 절연 접지용전선(F-GV)</v>
      </c>
      <c r="Q73" s="16" t="str">
        <f t="shared" si="13"/>
        <v>0.6/1kV 150㎟</v>
      </c>
      <c r="S73" s="16"/>
      <c r="W73" s="16"/>
    </row>
    <row r="74" spans="2:23">
      <c r="B74" s="1" t="str">
        <f t="shared" si="11"/>
        <v>E_CAB03_VM_0000_185</v>
      </c>
      <c r="C74" s="16" t="s">
        <v>27</v>
      </c>
      <c r="D74" s="16" t="s">
        <v>26</v>
      </c>
      <c r="E74" s="16" t="s">
        <v>391</v>
      </c>
      <c r="F74" s="16" t="s">
        <v>612</v>
      </c>
      <c r="G74" s="16"/>
      <c r="H74" s="18">
        <v>185</v>
      </c>
      <c r="I74" s="16"/>
      <c r="J74" s="16" t="s">
        <v>613</v>
      </c>
      <c r="K74" s="16">
        <v>73</v>
      </c>
      <c r="L74" s="16">
        <v>34462</v>
      </c>
      <c r="M74" s="16"/>
      <c r="N74" s="16" t="s">
        <v>614</v>
      </c>
      <c r="O74" s="16" t="b">
        <v>1</v>
      </c>
      <c r="P74" s="16" t="str">
        <f t="shared" si="10"/>
        <v>난연 비닐 절연 접지용전선(F-GV)</v>
      </c>
      <c r="Q74" s="16" t="str">
        <f t="shared" si="13"/>
        <v>0.6/1kV 185㎟</v>
      </c>
      <c r="S74" s="16"/>
      <c r="W74" s="16"/>
    </row>
    <row r="75" spans="2:23">
      <c r="B75" s="1" t="str">
        <f t="shared" si="11"/>
        <v>E_CAB03_VM_0000_240</v>
      </c>
      <c r="C75" s="16" t="s">
        <v>27</v>
      </c>
      <c r="D75" s="16" t="s">
        <v>26</v>
      </c>
      <c r="E75" s="16" t="s">
        <v>391</v>
      </c>
      <c r="F75" s="16" t="s">
        <v>612</v>
      </c>
      <c r="G75" s="16"/>
      <c r="H75" s="18">
        <v>240</v>
      </c>
      <c r="I75" s="16"/>
      <c r="J75" s="16" t="s">
        <v>613</v>
      </c>
      <c r="K75" s="16">
        <v>74</v>
      </c>
      <c r="L75" s="16">
        <v>44956</v>
      </c>
      <c r="M75" s="16"/>
      <c r="N75" s="16" t="s">
        <v>614</v>
      </c>
      <c r="O75" s="16" t="b">
        <v>1</v>
      </c>
      <c r="P75" s="16" t="str">
        <f t="shared" si="10"/>
        <v>난연 비닐 절연 접지용전선(F-GV)</v>
      </c>
      <c r="Q75" s="16" t="str">
        <f t="shared" si="13"/>
        <v>0.6/1kV 240㎟</v>
      </c>
      <c r="S75" s="16"/>
      <c r="W75" s="16"/>
    </row>
    <row r="76" spans="2:23">
      <c r="B76" s="1" t="str">
        <f t="shared" si="11"/>
        <v>E_CAB03_VM_0000_300</v>
      </c>
      <c r="C76" s="16" t="s">
        <v>27</v>
      </c>
      <c r="D76" s="16" t="s">
        <v>26</v>
      </c>
      <c r="E76" s="16" t="s">
        <v>391</v>
      </c>
      <c r="F76" s="16" t="s">
        <v>612</v>
      </c>
      <c r="G76" s="16"/>
      <c r="H76" s="18">
        <v>300</v>
      </c>
      <c r="I76" s="16"/>
      <c r="J76" s="16" t="s">
        <v>613</v>
      </c>
      <c r="K76" s="16">
        <v>75</v>
      </c>
      <c r="L76" s="16">
        <v>56245</v>
      </c>
      <c r="M76" s="16"/>
      <c r="N76" s="16" t="s">
        <v>614</v>
      </c>
      <c r="O76" s="16" t="b">
        <v>1</v>
      </c>
      <c r="P76" s="16" t="str">
        <f t="shared" si="10"/>
        <v>난연 비닐 절연 접지용전선(F-GV)</v>
      </c>
      <c r="Q76" s="16" t="str">
        <f t="shared" si="13"/>
        <v>0.6/1kV 300㎟</v>
      </c>
      <c r="S76" s="16"/>
      <c r="W76" s="16"/>
    </row>
    <row r="77" spans="2:23">
      <c r="B77" s="1" t="str">
        <f t="shared" si="11"/>
        <v>E_CAB03_VM_0000_400</v>
      </c>
      <c r="C77" s="16" t="s">
        <v>27</v>
      </c>
      <c r="D77" s="16" t="s">
        <v>26</v>
      </c>
      <c r="E77" s="16" t="s">
        <v>391</v>
      </c>
      <c r="F77" s="16" t="s">
        <v>612</v>
      </c>
      <c r="G77" s="16"/>
      <c r="H77" s="18">
        <v>400</v>
      </c>
      <c r="I77" s="16"/>
      <c r="J77" s="16" t="s">
        <v>613</v>
      </c>
      <c r="K77" s="16">
        <v>76</v>
      </c>
      <c r="L77" s="16">
        <v>79665</v>
      </c>
      <c r="M77" s="16"/>
      <c r="N77" s="16" t="s">
        <v>614</v>
      </c>
      <c r="O77" s="16" t="b">
        <v>1</v>
      </c>
      <c r="P77" s="16" t="str">
        <f t="shared" si="10"/>
        <v>난연 비닐 절연 접지용전선(F-GV)</v>
      </c>
      <c r="Q77" s="16" t="str">
        <f t="shared" si="13"/>
        <v>0.6/1kV 400㎟</v>
      </c>
      <c r="S77" s="16"/>
      <c r="W77" s="16"/>
    </row>
    <row r="78" spans="2:23">
      <c r="B78" s="1" t="str">
        <f t="shared" si="11"/>
        <v>E_CAB04_VM_0000_1.5</v>
      </c>
      <c r="C78" s="16" t="s">
        <v>29</v>
      </c>
      <c r="D78" s="16" t="s">
        <v>28</v>
      </c>
      <c r="E78" s="16" t="s">
        <v>391</v>
      </c>
      <c r="F78" s="16" t="s">
        <v>612</v>
      </c>
      <c r="G78" s="16"/>
      <c r="H78" s="18">
        <v>1.5</v>
      </c>
      <c r="I78" s="16"/>
      <c r="J78" s="16" t="s">
        <v>613</v>
      </c>
      <c r="K78" s="16"/>
      <c r="L78" s="16">
        <v>328</v>
      </c>
      <c r="M78" s="16"/>
      <c r="N78" s="16" t="s">
        <v>614</v>
      </c>
      <c r="O78" s="16" t="b">
        <v>1</v>
      </c>
      <c r="P78" s="16" t="str">
        <f t="shared" si="10"/>
        <v>단심 비닐 절연 전선(KIV)</v>
      </c>
      <c r="Q78" s="16" t="str">
        <f t="shared" ref="Q78:Q92" si="14">"KIV "&amp;H78&amp;"SQ"</f>
        <v>KIV 1.5SQ</v>
      </c>
      <c r="S78" s="16"/>
      <c r="W78" s="16"/>
    </row>
    <row r="79" spans="2:23">
      <c r="B79" s="1" t="str">
        <f t="shared" si="11"/>
        <v>E_CAB04_VM_0000_2.5</v>
      </c>
      <c r="C79" s="16" t="s">
        <v>29</v>
      </c>
      <c r="D79" s="16" t="s">
        <v>28</v>
      </c>
      <c r="E79" s="16" t="s">
        <v>391</v>
      </c>
      <c r="F79" s="16" t="s">
        <v>612</v>
      </c>
      <c r="G79" s="16"/>
      <c r="H79" s="18">
        <v>2.5</v>
      </c>
      <c r="I79" s="16"/>
      <c r="J79" s="16" t="s">
        <v>613</v>
      </c>
      <c r="K79" s="16"/>
      <c r="L79" s="16">
        <v>532</v>
      </c>
      <c r="M79" s="16"/>
      <c r="N79" s="16" t="s">
        <v>614</v>
      </c>
      <c r="O79" s="16" t="b">
        <v>1</v>
      </c>
      <c r="P79" s="16" t="str">
        <f t="shared" si="10"/>
        <v>단심 비닐 절연 전선(KIV)</v>
      </c>
      <c r="Q79" s="16" t="str">
        <f t="shared" si="14"/>
        <v>KIV 2.5SQ</v>
      </c>
      <c r="S79" s="16"/>
      <c r="W79" s="16"/>
    </row>
    <row r="80" spans="2:23">
      <c r="B80" s="1" t="str">
        <f t="shared" si="11"/>
        <v>E_CAB04_VM_0000_4</v>
      </c>
      <c r="C80" s="16" t="s">
        <v>29</v>
      </c>
      <c r="D80" s="16" t="s">
        <v>28</v>
      </c>
      <c r="E80" s="16" t="s">
        <v>391</v>
      </c>
      <c r="F80" s="16" t="s">
        <v>612</v>
      </c>
      <c r="G80" s="16"/>
      <c r="H80" s="18">
        <v>4</v>
      </c>
      <c r="I80" s="16"/>
      <c r="J80" s="16" t="s">
        <v>613</v>
      </c>
      <c r="K80" s="16">
        <v>77</v>
      </c>
      <c r="L80" s="16">
        <v>833</v>
      </c>
      <c r="M80" s="16"/>
      <c r="N80" s="16" t="s">
        <v>614</v>
      </c>
      <c r="O80" s="16" t="b">
        <v>1</v>
      </c>
      <c r="P80" s="16" t="str">
        <f t="shared" si="10"/>
        <v>단심 비닐 절연 전선(KIV)</v>
      </c>
      <c r="Q80" s="16" t="str">
        <f t="shared" si="14"/>
        <v>KIV 4SQ</v>
      </c>
      <c r="S80" s="16"/>
      <c r="W80" s="16"/>
    </row>
    <row r="81" spans="2:23">
      <c r="B81" s="1" t="str">
        <f t="shared" si="11"/>
        <v>E_CAB04_VM_0000_6</v>
      </c>
      <c r="C81" s="16" t="s">
        <v>29</v>
      </c>
      <c r="D81" s="16" t="s">
        <v>28</v>
      </c>
      <c r="E81" s="16" t="s">
        <v>391</v>
      </c>
      <c r="F81" s="16" t="s">
        <v>612</v>
      </c>
      <c r="G81" s="16"/>
      <c r="H81" s="18">
        <v>6</v>
      </c>
      <c r="I81" s="16"/>
      <c r="J81" s="16" t="s">
        <v>613</v>
      </c>
      <c r="K81" s="16">
        <v>78</v>
      </c>
      <c r="L81" s="16">
        <v>1229</v>
      </c>
      <c r="M81" s="16"/>
      <c r="N81" s="16" t="s">
        <v>614</v>
      </c>
      <c r="O81" s="16" t="b">
        <v>1</v>
      </c>
      <c r="P81" s="16" t="str">
        <f t="shared" si="10"/>
        <v>단심 비닐 절연 전선(KIV)</v>
      </c>
      <c r="Q81" s="16" t="str">
        <f t="shared" si="14"/>
        <v>KIV 6SQ</v>
      </c>
      <c r="S81" s="16"/>
      <c r="W81" s="16"/>
    </row>
    <row r="82" spans="2:23">
      <c r="B82" s="1" t="str">
        <f t="shared" si="11"/>
        <v>E_CAB04_VM_0000_10</v>
      </c>
      <c r="C82" s="16" t="s">
        <v>29</v>
      </c>
      <c r="D82" s="16" t="s">
        <v>28</v>
      </c>
      <c r="E82" s="16" t="s">
        <v>391</v>
      </c>
      <c r="F82" s="16" t="s">
        <v>612</v>
      </c>
      <c r="G82" s="16"/>
      <c r="H82" s="18">
        <v>10</v>
      </c>
      <c r="I82" s="16"/>
      <c r="J82" s="16" t="s">
        <v>613</v>
      </c>
      <c r="K82" s="16">
        <v>79</v>
      </c>
      <c r="L82" s="16">
        <v>2160</v>
      </c>
      <c r="M82" s="16"/>
      <c r="N82" s="16" t="s">
        <v>614</v>
      </c>
      <c r="O82" s="16" t="b">
        <v>1</v>
      </c>
      <c r="P82" s="16" t="str">
        <f t="shared" si="10"/>
        <v>단심 비닐 절연 전선(KIV)</v>
      </c>
      <c r="Q82" s="16" t="str">
        <f t="shared" si="14"/>
        <v>KIV 10SQ</v>
      </c>
      <c r="S82" s="16"/>
      <c r="W82" s="16"/>
    </row>
    <row r="83" spans="2:23">
      <c r="B83" s="1" t="str">
        <f t="shared" si="11"/>
        <v>E_CAB04_VM_0000_16</v>
      </c>
      <c r="C83" s="16" t="s">
        <v>29</v>
      </c>
      <c r="D83" s="16" t="s">
        <v>28</v>
      </c>
      <c r="E83" s="16" t="s">
        <v>391</v>
      </c>
      <c r="F83" s="16" t="s">
        <v>612</v>
      </c>
      <c r="G83" s="16"/>
      <c r="H83" s="18">
        <v>16</v>
      </c>
      <c r="I83" s="16"/>
      <c r="J83" s="16" t="s">
        <v>613</v>
      </c>
      <c r="K83" s="16">
        <v>80</v>
      </c>
      <c r="L83" s="16">
        <v>3411</v>
      </c>
      <c r="M83" s="16"/>
      <c r="N83" s="16" t="s">
        <v>614</v>
      </c>
      <c r="O83" s="16" t="b">
        <v>1</v>
      </c>
      <c r="P83" s="16" t="str">
        <f t="shared" si="10"/>
        <v>단심 비닐 절연 전선(KIV)</v>
      </c>
      <c r="Q83" s="16" t="str">
        <f t="shared" si="14"/>
        <v>KIV 16SQ</v>
      </c>
      <c r="S83" s="16"/>
      <c r="W83" s="16"/>
    </row>
    <row r="84" spans="2:23">
      <c r="B84" s="1" t="str">
        <f t="shared" si="11"/>
        <v>E_CAB04_VM_0000_25</v>
      </c>
      <c r="C84" s="16" t="s">
        <v>29</v>
      </c>
      <c r="D84" s="16" t="s">
        <v>28</v>
      </c>
      <c r="E84" s="16" t="s">
        <v>391</v>
      </c>
      <c r="F84" s="16" t="s">
        <v>612</v>
      </c>
      <c r="G84" s="16"/>
      <c r="H84" s="18">
        <v>25</v>
      </c>
      <c r="I84" s="16"/>
      <c r="J84" s="16" t="s">
        <v>613</v>
      </c>
      <c r="K84" s="16">
        <v>81</v>
      </c>
      <c r="L84" s="16">
        <v>5267</v>
      </c>
      <c r="M84" s="16"/>
      <c r="N84" s="16" t="s">
        <v>614</v>
      </c>
      <c r="O84" s="16" t="b">
        <v>1</v>
      </c>
      <c r="P84" s="16" t="str">
        <f t="shared" si="10"/>
        <v>단심 비닐 절연 전선(KIV)</v>
      </c>
      <c r="Q84" s="16" t="str">
        <f t="shared" si="14"/>
        <v>KIV 25SQ</v>
      </c>
      <c r="S84" s="16"/>
      <c r="W84" s="16"/>
    </row>
    <row r="85" spans="2:23">
      <c r="B85" s="1" t="str">
        <f t="shared" si="11"/>
        <v>E_CAB04_VM_0000_35</v>
      </c>
      <c r="C85" s="16" t="s">
        <v>29</v>
      </c>
      <c r="D85" s="16" t="s">
        <v>28</v>
      </c>
      <c r="E85" s="16" t="s">
        <v>391</v>
      </c>
      <c r="F85" s="16" t="s">
        <v>612</v>
      </c>
      <c r="G85" s="16"/>
      <c r="H85" s="18">
        <v>35</v>
      </c>
      <c r="I85" s="16"/>
      <c r="J85" s="16" t="s">
        <v>613</v>
      </c>
      <c r="K85" s="16">
        <v>82</v>
      </c>
      <c r="L85" s="16">
        <v>7395</v>
      </c>
      <c r="M85" s="16"/>
      <c r="N85" s="16" t="s">
        <v>614</v>
      </c>
      <c r="O85" s="16" t="b">
        <v>1</v>
      </c>
      <c r="P85" s="16" t="str">
        <f t="shared" si="10"/>
        <v>단심 비닐 절연 전선(KIV)</v>
      </c>
      <c r="Q85" s="16" t="str">
        <f t="shared" si="14"/>
        <v>KIV 35SQ</v>
      </c>
      <c r="S85" s="16"/>
      <c r="W85" s="16"/>
    </row>
    <row r="86" spans="2:23">
      <c r="B86" s="1" t="str">
        <f t="shared" si="11"/>
        <v>E_CAB04_VM_0000_50</v>
      </c>
      <c r="C86" s="16" t="s">
        <v>29</v>
      </c>
      <c r="D86" s="16" t="s">
        <v>28</v>
      </c>
      <c r="E86" s="16" t="s">
        <v>391</v>
      </c>
      <c r="F86" s="16" t="s">
        <v>612</v>
      </c>
      <c r="G86" s="16"/>
      <c r="H86" s="18">
        <v>50</v>
      </c>
      <c r="I86" s="16"/>
      <c r="J86" s="16" t="s">
        <v>613</v>
      </c>
      <c r="K86" s="16">
        <v>83</v>
      </c>
      <c r="L86" s="16">
        <v>10913</v>
      </c>
      <c r="M86" s="16"/>
      <c r="N86" s="16" t="s">
        <v>614</v>
      </c>
      <c r="O86" s="16" t="b">
        <v>1</v>
      </c>
      <c r="P86" s="16" t="str">
        <f t="shared" si="10"/>
        <v>단심 비닐 절연 전선(KIV)</v>
      </c>
      <c r="Q86" s="16" t="str">
        <f t="shared" si="14"/>
        <v>KIV 50SQ</v>
      </c>
      <c r="S86" s="16"/>
      <c r="W86" s="16"/>
    </row>
    <row r="87" spans="2:23">
      <c r="B87" s="1" t="str">
        <f t="shared" si="11"/>
        <v>E_CAB04_VM_0000_70</v>
      </c>
      <c r="C87" s="16" t="s">
        <v>29</v>
      </c>
      <c r="D87" s="16" t="s">
        <v>28</v>
      </c>
      <c r="E87" s="16" t="s">
        <v>391</v>
      </c>
      <c r="F87" s="16" t="s">
        <v>612</v>
      </c>
      <c r="G87" s="16"/>
      <c r="H87" s="18">
        <v>70</v>
      </c>
      <c r="I87" s="16"/>
      <c r="J87" s="16" t="s">
        <v>613</v>
      </c>
      <c r="K87" s="16">
        <v>84</v>
      </c>
      <c r="L87" s="16">
        <v>15651</v>
      </c>
      <c r="M87" s="16"/>
      <c r="N87" s="16" t="s">
        <v>614</v>
      </c>
      <c r="O87" s="16" t="b">
        <v>1</v>
      </c>
      <c r="P87" s="16" t="str">
        <f t="shared" si="10"/>
        <v>단심 비닐 절연 전선(KIV)</v>
      </c>
      <c r="Q87" s="16" t="str">
        <f t="shared" si="14"/>
        <v>KIV 70SQ</v>
      </c>
      <c r="S87" s="16"/>
      <c r="W87" s="16"/>
    </row>
    <row r="88" spans="2:23">
      <c r="B88" s="1" t="str">
        <f t="shared" si="11"/>
        <v>E_CAB04_VM_0000_95</v>
      </c>
      <c r="C88" s="16" t="s">
        <v>29</v>
      </c>
      <c r="D88" s="16" t="s">
        <v>28</v>
      </c>
      <c r="E88" s="16" t="s">
        <v>391</v>
      </c>
      <c r="F88" s="16" t="s">
        <v>612</v>
      </c>
      <c r="G88" s="16"/>
      <c r="H88" s="18">
        <v>95</v>
      </c>
      <c r="I88" s="16"/>
      <c r="J88" s="16" t="s">
        <v>613</v>
      </c>
      <c r="K88" s="16">
        <v>85</v>
      </c>
      <c r="L88" s="16">
        <v>20782</v>
      </c>
      <c r="M88" s="16"/>
      <c r="N88" s="16" t="s">
        <v>614</v>
      </c>
      <c r="O88" s="16" t="b">
        <v>1</v>
      </c>
      <c r="P88" s="16" t="str">
        <f t="shared" si="10"/>
        <v>단심 비닐 절연 전선(KIV)</v>
      </c>
      <c r="Q88" s="16" t="str">
        <f t="shared" si="14"/>
        <v>KIV 95SQ</v>
      </c>
      <c r="S88" s="16"/>
      <c r="W88" s="16"/>
    </row>
    <row r="89" spans="2:23">
      <c r="B89" s="1" t="str">
        <f t="shared" si="11"/>
        <v>E_CAB04_VM_0000_120</v>
      </c>
      <c r="C89" s="16" t="s">
        <v>29</v>
      </c>
      <c r="D89" s="16" t="s">
        <v>28</v>
      </c>
      <c r="E89" s="16" t="s">
        <v>391</v>
      </c>
      <c r="F89" s="16" t="s">
        <v>612</v>
      </c>
      <c r="G89" s="16"/>
      <c r="H89" s="18">
        <v>120</v>
      </c>
      <c r="I89" s="16"/>
      <c r="J89" s="16" t="s">
        <v>613</v>
      </c>
      <c r="K89" s="16">
        <v>86</v>
      </c>
      <c r="L89" s="16">
        <v>28027</v>
      </c>
      <c r="M89" s="16"/>
      <c r="N89" s="16" t="s">
        <v>614</v>
      </c>
      <c r="O89" s="16" t="b">
        <v>1</v>
      </c>
      <c r="P89" s="16" t="str">
        <f t="shared" si="10"/>
        <v>단심 비닐 절연 전선(KIV)</v>
      </c>
      <c r="Q89" s="16" t="str">
        <f t="shared" si="14"/>
        <v>KIV 120SQ</v>
      </c>
      <c r="S89" s="16"/>
      <c r="W89" s="16"/>
    </row>
    <row r="90" spans="2:23">
      <c r="B90" s="1" t="str">
        <f t="shared" si="11"/>
        <v>E_CAB04_VM_0000_150</v>
      </c>
      <c r="C90" s="16" t="s">
        <v>29</v>
      </c>
      <c r="D90" s="16" t="s">
        <v>28</v>
      </c>
      <c r="E90" s="16" t="s">
        <v>391</v>
      </c>
      <c r="F90" s="16" t="s">
        <v>612</v>
      </c>
      <c r="G90" s="16"/>
      <c r="H90" s="18">
        <v>150</v>
      </c>
      <c r="I90" s="16"/>
      <c r="J90" s="16" t="s">
        <v>613</v>
      </c>
      <c r="K90" s="16">
        <v>87</v>
      </c>
      <c r="L90" s="16">
        <v>33935</v>
      </c>
      <c r="M90" s="16"/>
      <c r="N90" s="16" t="s">
        <v>614</v>
      </c>
      <c r="O90" s="16" t="b">
        <v>1</v>
      </c>
      <c r="P90" s="16" t="str">
        <f t="shared" si="10"/>
        <v>단심 비닐 절연 전선(KIV)</v>
      </c>
      <c r="Q90" s="16" t="str">
        <f t="shared" si="14"/>
        <v>KIV 150SQ</v>
      </c>
      <c r="S90" s="16"/>
      <c r="W90" s="16"/>
    </row>
    <row r="91" spans="2:23">
      <c r="B91" s="1" t="str">
        <f t="shared" si="11"/>
        <v>E_CAB04_VM_0000_185</v>
      </c>
      <c r="C91" s="16" t="s">
        <v>29</v>
      </c>
      <c r="D91" s="16" t="s">
        <v>28</v>
      </c>
      <c r="E91" s="16" t="s">
        <v>391</v>
      </c>
      <c r="F91" s="16" t="s">
        <v>612</v>
      </c>
      <c r="G91" s="16"/>
      <c r="H91" s="18">
        <v>185</v>
      </c>
      <c r="I91" s="16"/>
      <c r="J91" s="16" t="s">
        <v>613</v>
      </c>
      <c r="K91" s="16">
        <v>88</v>
      </c>
      <c r="L91" s="16">
        <v>42395</v>
      </c>
      <c r="M91" s="16"/>
      <c r="N91" s="16" t="s">
        <v>614</v>
      </c>
      <c r="O91" s="16" t="b">
        <v>1</v>
      </c>
      <c r="P91" s="16" t="str">
        <f t="shared" si="10"/>
        <v>단심 비닐 절연 전선(KIV)</v>
      </c>
      <c r="Q91" s="16" t="str">
        <f t="shared" si="14"/>
        <v>KIV 185SQ</v>
      </c>
      <c r="S91" s="16"/>
      <c r="W91" s="16"/>
    </row>
    <row r="92" spans="2:23">
      <c r="B92" s="1" t="str">
        <f t="shared" si="11"/>
        <v>E_CAB04_VM_0000_240</v>
      </c>
      <c r="C92" s="16" t="s">
        <v>29</v>
      </c>
      <c r="D92" s="16" t="s">
        <v>28</v>
      </c>
      <c r="E92" s="16" t="s">
        <v>391</v>
      </c>
      <c r="F92" s="16" t="s">
        <v>612</v>
      </c>
      <c r="G92" s="16"/>
      <c r="H92" s="18">
        <v>240</v>
      </c>
      <c r="I92" s="16"/>
      <c r="J92" s="16" t="s">
        <v>613</v>
      </c>
      <c r="K92" s="16">
        <v>89</v>
      </c>
      <c r="L92" s="16">
        <v>56052</v>
      </c>
      <c r="M92" s="16"/>
      <c r="N92" s="16" t="s">
        <v>614</v>
      </c>
      <c r="O92" s="16" t="b">
        <v>1</v>
      </c>
      <c r="P92" s="16" t="str">
        <f t="shared" si="10"/>
        <v>단심 비닐 절연 전선(KIV)</v>
      </c>
      <c r="Q92" s="16" t="str">
        <f t="shared" si="14"/>
        <v>KIV 240SQ</v>
      </c>
      <c r="S92" s="16"/>
      <c r="W92" s="16"/>
    </row>
  </sheetData>
  <autoFilter ref="B2:S92" xr:uid="{F3DBCE91-9E04-4D3B-ABF3-948345043FBD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A4D1-DB0E-4BCD-B3F2-894C52DA9388}">
  <dimension ref="B1:V202"/>
  <sheetViews>
    <sheetView topLeftCell="A31" zoomScale="70" zoomScaleNormal="70" workbookViewId="0">
      <selection activeCell="G15" sqref="B15:G15"/>
    </sheetView>
  </sheetViews>
  <sheetFormatPr defaultRowHeight="16.5" customHeight="1"/>
  <cols>
    <col min="2" max="2" width="31.25" bestFit="1" customWidth="1"/>
    <col min="3" max="3" width="46.125" bestFit="1" customWidth="1"/>
    <col min="4" max="4" width="16.5" customWidth="1"/>
    <col min="5" max="5" width="11.875" customWidth="1"/>
    <col min="6" max="6" width="11.25" bestFit="1" customWidth="1"/>
    <col min="7" max="7" width="15.375" bestFit="1" customWidth="1"/>
    <col min="8" max="8" width="19.5" bestFit="1" customWidth="1"/>
    <col min="9" max="9" width="19.5" customWidth="1"/>
    <col min="10" max="10" width="25.875" bestFit="1" customWidth="1"/>
    <col min="11" max="11" width="15.75" bestFit="1" customWidth="1"/>
    <col min="12" max="12" width="19" bestFit="1" customWidth="1"/>
    <col min="13" max="13" width="27.875" bestFit="1" customWidth="1"/>
    <col min="14" max="14" width="9.5" bestFit="1" customWidth="1"/>
    <col min="15" max="15" width="27" bestFit="1" customWidth="1"/>
    <col min="16" max="17" width="36" bestFit="1" customWidth="1"/>
    <col min="18" max="18" width="18.125" bestFit="1" customWidth="1"/>
    <col min="23" max="23" width="11.5" bestFit="1" customWidth="1"/>
  </cols>
  <sheetData>
    <row r="1" spans="2:22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49" t="s">
        <v>616</v>
      </c>
      <c r="I1" s="47" t="s">
        <v>586</v>
      </c>
      <c r="J1" s="48" t="s">
        <v>587</v>
      </c>
      <c r="K1" s="2" t="s">
        <v>588</v>
      </c>
      <c r="L1" s="3" t="s">
        <v>589</v>
      </c>
      <c r="M1" s="2" t="s">
        <v>590</v>
      </c>
      <c r="N1" s="2" t="s">
        <v>591</v>
      </c>
      <c r="O1" s="2" t="s">
        <v>592</v>
      </c>
      <c r="P1" s="2" t="s">
        <v>593</v>
      </c>
      <c r="Q1" s="2" t="s">
        <v>594</v>
      </c>
      <c r="R1" s="54" t="s">
        <v>595</v>
      </c>
    </row>
    <row r="2" spans="2:22">
      <c r="B2" s="38" t="s">
        <v>596</v>
      </c>
      <c r="C2" s="39" t="s">
        <v>597</v>
      </c>
      <c r="D2" s="40" t="s">
        <v>598</v>
      </c>
      <c r="E2" s="39" t="s">
        <v>597</v>
      </c>
      <c r="F2" s="41" t="s">
        <v>386</v>
      </c>
      <c r="G2" s="41" t="s">
        <v>599</v>
      </c>
      <c r="H2" s="8" t="s">
        <v>617</v>
      </c>
      <c r="I2" s="43" t="s">
        <v>602</v>
      </c>
      <c r="J2" s="43" t="s">
        <v>603</v>
      </c>
      <c r="K2" s="44" t="s">
        <v>604</v>
      </c>
      <c r="L2" s="52" t="s">
        <v>605</v>
      </c>
      <c r="M2" s="51" t="s">
        <v>606</v>
      </c>
      <c r="N2" s="53" t="s">
        <v>607</v>
      </c>
      <c r="O2" s="43" t="s">
        <v>608</v>
      </c>
      <c r="P2" s="43" t="s">
        <v>609</v>
      </c>
      <c r="Q2" s="41" t="s">
        <v>610</v>
      </c>
      <c r="R2" s="58" t="s">
        <v>611</v>
      </c>
    </row>
    <row r="3" spans="2:22">
      <c r="B3" s="9" t="str">
        <f t="shared" ref="B3" si="0">D3&amp;"_"&amp;F3&amp;"_"&amp;H3</f>
        <v>E_CON0101_VM_0000_16</v>
      </c>
      <c r="C3" s="16" t="s">
        <v>130</v>
      </c>
      <c r="D3" s="16" t="s">
        <v>131</v>
      </c>
      <c r="E3" s="16" t="s">
        <v>391</v>
      </c>
      <c r="F3" s="16" t="s">
        <v>612</v>
      </c>
      <c r="G3" s="16"/>
      <c r="H3" s="18">
        <v>16</v>
      </c>
      <c r="I3" s="18" t="s">
        <v>613</v>
      </c>
      <c r="J3" s="18">
        <v>90</v>
      </c>
      <c r="K3" s="16">
        <v>3300</v>
      </c>
      <c r="L3" s="16"/>
      <c r="M3" s="16" t="s">
        <v>618</v>
      </c>
      <c r="N3" s="16" t="b">
        <v>1</v>
      </c>
      <c r="O3" s="16" t="str">
        <f>C3</f>
        <v>강제전선관</v>
      </c>
      <c r="P3" s="16" t="str">
        <f t="shared" ref="P3:P11" si="1">H3&amp;"mm"</f>
        <v>16mm</v>
      </c>
      <c r="R3" s="16"/>
      <c r="V3" s="16"/>
    </row>
    <row r="4" spans="2:22">
      <c r="B4" s="9" t="str">
        <f t="shared" ref="B4:B39" si="2">D4&amp;"_"&amp;F4&amp;"_"&amp;H4</f>
        <v>E_CON0101_VM_0000_22</v>
      </c>
      <c r="C4" s="16" t="s">
        <v>130</v>
      </c>
      <c r="D4" s="16" t="s">
        <v>131</v>
      </c>
      <c r="E4" s="16" t="s">
        <v>391</v>
      </c>
      <c r="F4" s="16" t="s">
        <v>612</v>
      </c>
      <c r="G4" s="16"/>
      <c r="H4" s="18">
        <v>22</v>
      </c>
      <c r="I4" s="18" t="s">
        <v>613</v>
      </c>
      <c r="J4" s="18">
        <v>91</v>
      </c>
      <c r="K4" s="16">
        <v>4200</v>
      </c>
      <c r="L4" s="16"/>
      <c r="M4" s="16" t="s">
        <v>618</v>
      </c>
      <c r="N4" s="16" t="b">
        <v>1</v>
      </c>
      <c r="O4" s="16" t="str">
        <f t="shared" ref="O4:O39" si="3">C4</f>
        <v>강제전선관</v>
      </c>
      <c r="P4" s="16" t="str">
        <f t="shared" si="1"/>
        <v>22mm</v>
      </c>
      <c r="R4" s="16"/>
      <c r="V4" s="16"/>
    </row>
    <row r="5" spans="2:22">
      <c r="B5" s="9" t="str">
        <f t="shared" si="2"/>
        <v>E_CON0101_VM_0000_28</v>
      </c>
      <c r="C5" s="16" t="s">
        <v>130</v>
      </c>
      <c r="D5" s="16" t="s">
        <v>131</v>
      </c>
      <c r="E5" s="16" t="s">
        <v>391</v>
      </c>
      <c r="F5" s="16" t="s">
        <v>612</v>
      </c>
      <c r="G5" s="16"/>
      <c r="H5" s="18">
        <v>28</v>
      </c>
      <c r="I5" s="18" t="s">
        <v>613</v>
      </c>
      <c r="J5" s="18">
        <v>92</v>
      </c>
      <c r="K5" s="16">
        <v>5500</v>
      </c>
      <c r="L5" s="16"/>
      <c r="M5" s="16" t="s">
        <v>618</v>
      </c>
      <c r="N5" s="16" t="b">
        <v>1</v>
      </c>
      <c r="O5" s="16" t="str">
        <f t="shared" si="3"/>
        <v>강제전선관</v>
      </c>
      <c r="P5" s="16" t="str">
        <f t="shared" si="1"/>
        <v>28mm</v>
      </c>
      <c r="R5" s="16"/>
      <c r="V5" s="16"/>
    </row>
    <row r="6" spans="2:22">
      <c r="B6" s="9" t="str">
        <f t="shared" si="2"/>
        <v>E_CON0101_VM_0000_36</v>
      </c>
      <c r="C6" s="16" t="s">
        <v>130</v>
      </c>
      <c r="D6" s="16" t="s">
        <v>131</v>
      </c>
      <c r="E6" s="16" t="s">
        <v>391</v>
      </c>
      <c r="F6" s="16" t="s">
        <v>612</v>
      </c>
      <c r="G6" s="16"/>
      <c r="H6" s="18">
        <v>36</v>
      </c>
      <c r="I6" s="18" t="s">
        <v>613</v>
      </c>
      <c r="J6" s="18">
        <v>93</v>
      </c>
      <c r="K6" s="16">
        <v>6900</v>
      </c>
      <c r="L6" s="16"/>
      <c r="M6" s="16" t="s">
        <v>618</v>
      </c>
      <c r="N6" s="16" t="b">
        <v>1</v>
      </c>
      <c r="O6" s="16" t="str">
        <f t="shared" si="3"/>
        <v>강제전선관</v>
      </c>
      <c r="P6" s="16" t="str">
        <f t="shared" si="1"/>
        <v>36mm</v>
      </c>
      <c r="R6" s="16"/>
      <c r="V6" s="16"/>
    </row>
    <row r="7" spans="2:22">
      <c r="B7" s="9" t="str">
        <f t="shared" si="2"/>
        <v>E_CON0101_VM_0000_42</v>
      </c>
      <c r="C7" s="16" t="s">
        <v>130</v>
      </c>
      <c r="D7" s="16" t="s">
        <v>131</v>
      </c>
      <c r="E7" s="16" t="s">
        <v>391</v>
      </c>
      <c r="F7" s="16" t="s">
        <v>612</v>
      </c>
      <c r="G7" s="16"/>
      <c r="H7" s="18">
        <v>42</v>
      </c>
      <c r="I7" s="18" t="s">
        <v>613</v>
      </c>
      <c r="J7" s="18">
        <v>94</v>
      </c>
      <c r="K7" s="16">
        <v>8000</v>
      </c>
      <c r="L7" s="16"/>
      <c r="M7" s="16" t="s">
        <v>618</v>
      </c>
      <c r="N7" s="16" t="b">
        <v>1</v>
      </c>
      <c r="O7" s="16" t="str">
        <f t="shared" si="3"/>
        <v>강제전선관</v>
      </c>
      <c r="P7" s="16" t="str">
        <f t="shared" si="1"/>
        <v>42mm</v>
      </c>
      <c r="R7" s="16"/>
      <c r="V7" s="16"/>
    </row>
    <row r="8" spans="2:22">
      <c r="B8" s="9" t="str">
        <f t="shared" si="2"/>
        <v>E_CON0101_VM_0000_54</v>
      </c>
      <c r="C8" s="16" t="s">
        <v>130</v>
      </c>
      <c r="D8" s="16" t="s">
        <v>131</v>
      </c>
      <c r="E8" s="16" t="s">
        <v>391</v>
      </c>
      <c r="F8" s="16" t="s">
        <v>612</v>
      </c>
      <c r="G8" s="16"/>
      <c r="H8" s="18">
        <v>54</v>
      </c>
      <c r="I8" s="18" t="s">
        <v>613</v>
      </c>
      <c r="J8" s="18">
        <v>95</v>
      </c>
      <c r="K8" s="16">
        <v>11200</v>
      </c>
      <c r="L8" s="16"/>
      <c r="M8" s="16" t="s">
        <v>618</v>
      </c>
      <c r="N8" s="16" t="b">
        <v>1</v>
      </c>
      <c r="O8" s="16" t="str">
        <f t="shared" si="3"/>
        <v>강제전선관</v>
      </c>
      <c r="P8" s="16" t="str">
        <f t="shared" si="1"/>
        <v>54mm</v>
      </c>
      <c r="R8" s="16"/>
      <c r="V8" s="16"/>
    </row>
    <row r="9" spans="2:22">
      <c r="B9" s="9" t="str">
        <f t="shared" si="2"/>
        <v>E_CON0101_VM_0000_70</v>
      </c>
      <c r="C9" s="16" t="s">
        <v>130</v>
      </c>
      <c r="D9" s="16" t="s">
        <v>131</v>
      </c>
      <c r="E9" s="16" t="s">
        <v>391</v>
      </c>
      <c r="F9" s="16" t="s">
        <v>612</v>
      </c>
      <c r="G9" s="16"/>
      <c r="H9" s="18">
        <v>70</v>
      </c>
      <c r="I9" s="18" t="s">
        <v>613</v>
      </c>
      <c r="J9" s="18">
        <v>96</v>
      </c>
      <c r="K9" s="16">
        <v>14300</v>
      </c>
      <c r="L9" s="16"/>
      <c r="M9" s="16" t="s">
        <v>618</v>
      </c>
      <c r="N9" s="16" t="b">
        <v>1</v>
      </c>
      <c r="O9" s="16" t="str">
        <f t="shared" si="3"/>
        <v>강제전선관</v>
      </c>
      <c r="P9" s="16" t="str">
        <f t="shared" si="1"/>
        <v>70mm</v>
      </c>
      <c r="R9" s="16"/>
      <c r="V9" s="16"/>
    </row>
    <row r="10" spans="2:22">
      <c r="B10" s="9" t="str">
        <f t="shared" si="2"/>
        <v>E_CON0101_VM_0000_82</v>
      </c>
      <c r="C10" s="16" t="s">
        <v>130</v>
      </c>
      <c r="D10" s="16" t="s">
        <v>131</v>
      </c>
      <c r="E10" s="16" t="s">
        <v>391</v>
      </c>
      <c r="F10" s="16" t="s">
        <v>612</v>
      </c>
      <c r="G10" s="16"/>
      <c r="H10" s="18">
        <v>82</v>
      </c>
      <c r="I10" s="18" t="s">
        <v>613</v>
      </c>
      <c r="J10" s="18">
        <v>97</v>
      </c>
      <c r="K10" s="16">
        <v>16400</v>
      </c>
      <c r="L10" s="16"/>
      <c r="M10" s="16" t="s">
        <v>618</v>
      </c>
      <c r="N10" s="16" t="b">
        <v>1</v>
      </c>
      <c r="O10" s="16" t="str">
        <f t="shared" si="3"/>
        <v>강제전선관</v>
      </c>
      <c r="P10" s="16" t="str">
        <f t="shared" si="1"/>
        <v>82mm</v>
      </c>
      <c r="R10" s="16"/>
      <c r="V10" s="16"/>
    </row>
    <row r="11" spans="2:22">
      <c r="B11" s="9" t="str">
        <f t="shared" si="2"/>
        <v>E_CON0101_VM_0000_104</v>
      </c>
      <c r="C11" s="16" t="s">
        <v>130</v>
      </c>
      <c r="D11" s="16" t="s">
        <v>131</v>
      </c>
      <c r="E11" s="16" t="s">
        <v>391</v>
      </c>
      <c r="F11" s="16" t="s">
        <v>612</v>
      </c>
      <c r="G11" s="16"/>
      <c r="H11" s="18">
        <v>104</v>
      </c>
      <c r="I11" s="18" t="s">
        <v>613</v>
      </c>
      <c r="J11" s="18">
        <v>98</v>
      </c>
      <c r="K11" s="16">
        <v>26400</v>
      </c>
      <c r="L11" s="16"/>
      <c r="M11" s="16" t="s">
        <v>618</v>
      </c>
      <c r="N11" s="16" t="b">
        <v>1</v>
      </c>
      <c r="O11" s="16" t="str">
        <f t="shared" si="3"/>
        <v>강제전선관</v>
      </c>
      <c r="P11" s="16" t="str">
        <f t="shared" si="1"/>
        <v>104mm</v>
      </c>
      <c r="R11" s="16"/>
      <c r="V11" s="16"/>
    </row>
    <row r="12" spans="2:22">
      <c r="B12" s="9" t="str">
        <f t="shared" si="2"/>
        <v>E_CON0102_VM_0000_16</v>
      </c>
      <c r="C12" s="16" t="s">
        <v>133</v>
      </c>
      <c r="D12" s="16" t="s">
        <v>132</v>
      </c>
      <c r="E12" s="16" t="s">
        <v>391</v>
      </c>
      <c r="F12" s="16" t="s">
        <v>612</v>
      </c>
      <c r="G12" s="16"/>
      <c r="H12" s="18">
        <v>16</v>
      </c>
      <c r="I12" s="18" t="s">
        <v>613</v>
      </c>
      <c r="J12" s="18"/>
      <c r="K12" s="16">
        <v>2800</v>
      </c>
      <c r="L12" s="16"/>
      <c r="M12" s="16" t="s">
        <v>618</v>
      </c>
      <c r="N12" s="16" t="b">
        <v>1</v>
      </c>
      <c r="O12" s="16" t="s">
        <v>619</v>
      </c>
      <c r="P12" s="16" t="str">
        <f t="shared" ref="P12:P20" si="4">"노말밴드후강전선관용, 아연도"&amp;H12&amp;"mm"</f>
        <v>노말밴드후강전선관용, 아연도16mm</v>
      </c>
      <c r="R12" s="16"/>
      <c r="V12" s="16"/>
    </row>
    <row r="13" spans="2:22">
      <c r="B13" s="9" t="str">
        <f t="shared" si="2"/>
        <v>E_CON0102_VM_0000_22</v>
      </c>
      <c r="C13" s="16" t="s">
        <v>133</v>
      </c>
      <c r="D13" s="16" t="s">
        <v>132</v>
      </c>
      <c r="E13" s="16" t="s">
        <v>391</v>
      </c>
      <c r="F13" s="16" t="s">
        <v>612</v>
      </c>
      <c r="G13" s="16"/>
      <c r="H13" s="18">
        <v>22</v>
      </c>
      <c r="I13" s="18" t="s">
        <v>613</v>
      </c>
      <c r="J13" s="18"/>
      <c r="K13" s="16">
        <v>3500</v>
      </c>
      <c r="L13" s="16"/>
      <c r="M13" s="16" t="s">
        <v>618</v>
      </c>
      <c r="N13" s="16" t="b">
        <v>1</v>
      </c>
      <c r="O13" s="16" t="s">
        <v>619</v>
      </c>
      <c r="P13" s="16" t="str">
        <f t="shared" si="4"/>
        <v>노말밴드후강전선관용, 아연도22mm</v>
      </c>
      <c r="R13" s="16"/>
      <c r="V13" s="16"/>
    </row>
    <row r="14" spans="2:22">
      <c r="B14" s="9" t="str">
        <f t="shared" si="2"/>
        <v>E_CON0102_VM_0000_28</v>
      </c>
      <c r="C14" s="16" t="s">
        <v>133</v>
      </c>
      <c r="D14" s="16" t="s">
        <v>132</v>
      </c>
      <c r="E14" s="16" t="s">
        <v>391</v>
      </c>
      <c r="F14" s="16" t="s">
        <v>612</v>
      </c>
      <c r="G14" s="16"/>
      <c r="H14" s="18">
        <v>28</v>
      </c>
      <c r="I14" s="18" t="s">
        <v>613</v>
      </c>
      <c r="J14" s="18"/>
      <c r="K14" s="16">
        <v>4500</v>
      </c>
      <c r="L14" s="16"/>
      <c r="M14" s="16" t="s">
        <v>618</v>
      </c>
      <c r="N14" s="16" t="b">
        <v>1</v>
      </c>
      <c r="O14" s="16" t="s">
        <v>619</v>
      </c>
      <c r="P14" s="16" t="str">
        <f t="shared" si="4"/>
        <v>노말밴드후강전선관용, 아연도28mm</v>
      </c>
      <c r="R14" s="16"/>
      <c r="V14" s="16"/>
    </row>
    <row r="15" spans="2:22">
      <c r="B15" s="9" t="str">
        <f t="shared" si="2"/>
        <v>E_CON0102_VM_0000_36</v>
      </c>
      <c r="C15" s="16" t="s">
        <v>133</v>
      </c>
      <c r="D15" s="16" t="s">
        <v>132</v>
      </c>
      <c r="E15" s="16" t="s">
        <v>391</v>
      </c>
      <c r="F15" s="16" t="s">
        <v>612</v>
      </c>
      <c r="G15" s="16"/>
      <c r="H15" s="18">
        <v>36</v>
      </c>
      <c r="I15" s="18" t="s">
        <v>613</v>
      </c>
      <c r="J15" s="18"/>
      <c r="K15" s="16">
        <v>5400</v>
      </c>
      <c r="L15" s="16"/>
      <c r="M15" s="16" t="s">
        <v>618</v>
      </c>
      <c r="N15" s="16" t="b">
        <v>1</v>
      </c>
      <c r="O15" s="16" t="s">
        <v>619</v>
      </c>
      <c r="P15" s="16" t="str">
        <f t="shared" si="4"/>
        <v>노말밴드후강전선관용, 아연도36mm</v>
      </c>
      <c r="R15" s="16"/>
      <c r="V15" s="16"/>
    </row>
    <row r="16" spans="2:22">
      <c r="B16" s="9" t="str">
        <f t="shared" si="2"/>
        <v>E_CON0102_VM_0000_42</v>
      </c>
      <c r="C16" s="16" t="s">
        <v>133</v>
      </c>
      <c r="D16" s="16" t="s">
        <v>132</v>
      </c>
      <c r="E16" s="16" t="s">
        <v>391</v>
      </c>
      <c r="F16" s="16" t="s">
        <v>612</v>
      </c>
      <c r="G16" s="16"/>
      <c r="H16" s="18">
        <v>42</v>
      </c>
      <c r="I16" s="18" t="s">
        <v>613</v>
      </c>
      <c r="J16" s="18"/>
      <c r="K16" s="16">
        <v>9700</v>
      </c>
      <c r="L16" s="16"/>
      <c r="M16" s="16" t="s">
        <v>618</v>
      </c>
      <c r="N16" s="16" t="b">
        <v>1</v>
      </c>
      <c r="O16" s="16" t="s">
        <v>619</v>
      </c>
      <c r="P16" s="16" t="str">
        <f t="shared" si="4"/>
        <v>노말밴드후강전선관용, 아연도42mm</v>
      </c>
      <c r="R16" s="16"/>
      <c r="V16" s="16"/>
    </row>
    <row r="17" spans="2:22">
      <c r="B17" s="9" t="str">
        <f t="shared" si="2"/>
        <v>E_CON0102_VM_0000_54</v>
      </c>
      <c r="C17" s="16" t="s">
        <v>133</v>
      </c>
      <c r="D17" s="16" t="s">
        <v>132</v>
      </c>
      <c r="E17" s="16" t="s">
        <v>391</v>
      </c>
      <c r="F17" s="16" t="s">
        <v>612</v>
      </c>
      <c r="G17" s="16"/>
      <c r="H17" s="18">
        <v>54</v>
      </c>
      <c r="I17" s="18" t="s">
        <v>613</v>
      </c>
      <c r="J17" s="18"/>
      <c r="K17" s="16">
        <v>10700</v>
      </c>
      <c r="L17" s="16"/>
      <c r="M17" s="16" t="s">
        <v>618</v>
      </c>
      <c r="N17" s="16" t="b">
        <v>1</v>
      </c>
      <c r="O17" s="16" t="s">
        <v>619</v>
      </c>
      <c r="P17" s="16" t="str">
        <f t="shared" si="4"/>
        <v>노말밴드후강전선관용, 아연도54mm</v>
      </c>
      <c r="R17" s="16"/>
      <c r="V17" s="16"/>
    </row>
    <row r="18" spans="2:22">
      <c r="B18" s="9" t="str">
        <f t="shared" si="2"/>
        <v>E_CON0102_VM_0000_70</v>
      </c>
      <c r="C18" s="16" t="s">
        <v>133</v>
      </c>
      <c r="D18" s="16" t="s">
        <v>132</v>
      </c>
      <c r="E18" s="16" t="s">
        <v>391</v>
      </c>
      <c r="F18" s="16" t="s">
        <v>612</v>
      </c>
      <c r="G18" s="16"/>
      <c r="H18" s="18">
        <v>70</v>
      </c>
      <c r="I18" s="18" t="s">
        <v>613</v>
      </c>
      <c r="J18" s="18"/>
      <c r="K18" s="16">
        <v>16800</v>
      </c>
      <c r="L18" s="16"/>
      <c r="M18" s="16" t="s">
        <v>618</v>
      </c>
      <c r="N18" s="16" t="b">
        <v>1</v>
      </c>
      <c r="O18" s="16" t="s">
        <v>619</v>
      </c>
      <c r="P18" s="16" t="str">
        <f t="shared" si="4"/>
        <v>노말밴드후강전선관용, 아연도70mm</v>
      </c>
      <c r="R18" s="16"/>
      <c r="V18" s="16"/>
    </row>
    <row r="19" spans="2:22">
      <c r="B19" s="9" t="str">
        <f t="shared" si="2"/>
        <v>E_CON0102_VM_0000_82</v>
      </c>
      <c r="C19" s="16" t="s">
        <v>133</v>
      </c>
      <c r="D19" s="16" t="s">
        <v>132</v>
      </c>
      <c r="E19" s="16" t="s">
        <v>391</v>
      </c>
      <c r="F19" s="16" t="s">
        <v>612</v>
      </c>
      <c r="G19" s="16"/>
      <c r="H19" s="18">
        <v>82</v>
      </c>
      <c r="I19" s="18" t="s">
        <v>613</v>
      </c>
      <c r="J19" s="18"/>
      <c r="K19" s="16">
        <v>23300</v>
      </c>
      <c r="L19" s="16"/>
      <c r="M19" s="16" t="s">
        <v>618</v>
      </c>
      <c r="N19" s="16" t="b">
        <v>1</v>
      </c>
      <c r="O19" s="16" t="s">
        <v>619</v>
      </c>
      <c r="P19" s="16" t="str">
        <f t="shared" si="4"/>
        <v>노말밴드후강전선관용, 아연도82mm</v>
      </c>
      <c r="R19" s="16"/>
      <c r="V19" s="16"/>
    </row>
    <row r="20" spans="2:22">
      <c r="B20" s="9" t="str">
        <f t="shared" si="2"/>
        <v>E_CON0102_VM_0000_104</v>
      </c>
      <c r="C20" s="16" t="s">
        <v>133</v>
      </c>
      <c r="D20" s="16" t="s">
        <v>132</v>
      </c>
      <c r="E20" s="16" t="s">
        <v>391</v>
      </c>
      <c r="F20" s="16" t="s">
        <v>612</v>
      </c>
      <c r="G20" s="16"/>
      <c r="H20" s="18">
        <v>104</v>
      </c>
      <c r="I20" s="18" t="s">
        <v>613</v>
      </c>
      <c r="J20" s="18"/>
      <c r="K20" s="16">
        <v>45500</v>
      </c>
      <c r="L20" s="16"/>
      <c r="M20" s="16" t="s">
        <v>618</v>
      </c>
      <c r="N20" s="16" t="b">
        <v>1</v>
      </c>
      <c r="O20" s="16" t="s">
        <v>619</v>
      </c>
      <c r="P20" s="16" t="str">
        <f t="shared" si="4"/>
        <v>노말밴드후강전선관용, 아연도104mm</v>
      </c>
      <c r="R20" s="16"/>
      <c r="V20" s="16"/>
    </row>
    <row r="21" spans="2:22">
      <c r="B21" s="9" t="str">
        <f t="shared" si="2"/>
        <v>E_CON0201_VM_0000_12</v>
      </c>
      <c r="C21" s="16" t="s">
        <v>139</v>
      </c>
      <c r="D21" s="16" t="s">
        <v>138</v>
      </c>
      <c r="E21" s="16" t="s">
        <v>391</v>
      </c>
      <c r="F21" s="16" t="s">
        <v>612</v>
      </c>
      <c r="G21" s="16"/>
      <c r="H21" s="18">
        <v>12</v>
      </c>
      <c r="I21" s="18" t="s">
        <v>613</v>
      </c>
      <c r="J21" s="18">
        <v>99</v>
      </c>
      <c r="K21" s="16">
        <v>600</v>
      </c>
      <c r="L21" s="16"/>
      <c r="M21" s="16" t="s">
        <v>618</v>
      </c>
      <c r="N21" s="16" t="b">
        <v>1</v>
      </c>
      <c r="O21" s="16" t="str">
        <f t="shared" si="3"/>
        <v>1종 금속제 가요전선관-노출</v>
      </c>
      <c r="P21" s="16" t="str">
        <f t="shared" ref="P21:P30" si="5">"비닐피복, "&amp;H21&amp;"mm 방수"</f>
        <v>비닐피복, 12mm 방수</v>
      </c>
      <c r="R21" s="16"/>
      <c r="V21" s="16"/>
    </row>
    <row r="22" spans="2:22">
      <c r="B22" s="9" t="str">
        <f t="shared" si="2"/>
        <v>E_CON0201_VM_0000_16</v>
      </c>
      <c r="C22" s="16" t="s">
        <v>139</v>
      </c>
      <c r="D22" s="16" t="s">
        <v>138</v>
      </c>
      <c r="E22" s="16" t="s">
        <v>391</v>
      </c>
      <c r="F22" s="16" t="s">
        <v>612</v>
      </c>
      <c r="G22" s="16"/>
      <c r="H22" s="18">
        <v>16</v>
      </c>
      <c r="I22" s="18" t="s">
        <v>613</v>
      </c>
      <c r="J22" s="18">
        <v>100</v>
      </c>
      <c r="K22" s="16">
        <v>700</v>
      </c>
      <c r="L22" s="16"/>
      <c r="M22" s="16" t="s">
        <v>618</v>
      </c>
      <c r="N22" s="16" t="b">
        <v>1</v>
      </c>
      <c r="O22" s="16" t="str">
        <f t="shared" si="3"/>
        <v>1종 금속제 가요전선관-노출</v>
      </c>
      <c r="P22" s="16" t="str">
        <f t="shared" si="5"/>
        <v>비닐피복, 16mm 방수</v>
      </c>
      <c r="R22" s="16"/>
      <c r="V22" s="16"/>
    </row>
    <row r="23" spans="2:22">
      <c r="B23" s="9" t="str">
        <f t="shared" si="2"/>
        <v>E_CON0201_VM_0000_22</v>
      </c>
      <c r="C23" s="16" t="s">
        <v>139</v>
      </c>
      <c r="D23" s="16" t="s">
        <v>138</v>
      </c>
      <c r="E23" s="16" t="s">
        <v>391</v>
      </c>
      <c r="F23" s="16" t="s">
        <v>612</v>
      </c>
      <c r="G23" s="16"/>
      <c r="H23" s="18">
        <v>22</v>
      </c>
      <c r="I23" s="18" t="s">
        <v>613</v>
      </c>
      <c r="J23" s="18">
        <v>101</v>
      </c>
      <c r="K23" s="16">
        <v>850</v>
      </c>
      <c r="L23" s="16"/>
      <c r="M23" s="16" t="s">
        <v>618</v>
      </c>
      <c r="N23" s="16" t="b">
        <v>1</v>
      </c>
      <c r="O23" s="16" t="str">
        <f t="shared" si="3"/>
        <v>1종 금속제 가요전선관-노출</v>
      </c>
      <c r="P23" s="16" t="str">
        <f t="shared" si="5"/>
        <v>비닐피복, 22mm 방수</v>
      </c>
      <c r="R23" s="16"/>
      <c r="V23" s="16"/>
    </row>
    <row r="24" spans="2:22">
      <c r="B24" s="9" t="str">
        <f t="shared" si="2"/>
        <v>E_CON0201_VM_0000_28</v>
      </c>
      <c r="C24" s="16" t="s">
        <v>139</v>
      </c>
      <c r="D24" s="16" t="s">
        <v>138</v>
      </c>
      <c r="E24" s="16" t="s">
        <v>391</v>
      </c>
      <c r="F24" s="16" t="s">
        <v>612</v>
      </c>
      <c r="G24" s="16"/>
      <c r="H24" s="18">
        <v>28</v>
      </c>
      <c r="I24" s="18" t="s">
        <v>613</v>
      </c>
      <c r="J24" s="18">
        <v>102</v>
      </c>
      <c r="K24" s="16">
        <v>1100</v>
      </c>
      <c r="L24" s="16"/>
      <c r="M24" s="16" t="s">
        <v>618</v>
      </c>
      <c r="N24" s="16" t="b">
        <v>1</v>
      </c>
      <c r="O24" s="16" t="str">
        <f t="shared" si="3"/>
        <v>1종 금속제 가요전선관-노출</v>
      </c>
      <c r="P24" s="16" t="str">
        <f t="shared" si="5"/>
        <v>비닐피복, 28mm 방수</v>
      </c>
      <c r="R24" s="16"/>
      <c r="V24" s="16"/>
    </row>
    <row r="25" spans="2:22">
      <c r="B25" s="9" t="str">
        <f t="shared" si="2"/>
        <v>E_CON0201_VM_0000_36</v>
      </c>
      <c r="C25" s="16" t="s">
        <v>139</v>
      </c>
      <c r="D25" s="16" t="s">
        <v>138</v>
      </c>
      <c r="E25" s="16" t="s">
        <v>391</v>
      </c>
      <c r="F25" s="16" t="s">
        <v>612</v>
      </c>
      <c r="G25" s="16"/>
      <c r="H25" s="18">
        <v>36</v>
      </c>
      <c r="I25" s="18" t="s">
        <v>613</v>
      </c>
      <c r="J25" s="18">
        <v>103</v>
      </c>
      <c r="K25" s="16">
        <v>2200</v>
      </c>
      <c r="L25" s="16"/>
      <c r="M25" s="16" t="s">
        <v>618</v>
      </c>
      <c r="N25" s="16" t="b">
        <v>1</v>
      </c>
      <c r="O25" s="16" t="str">
        <f t="shared" si="3"/>
        <v>1종 금속제 가요전선관-노출</v>
      </c>
      <c r="P25" s="16" t="str">
        <f t="shared" si="5"/>
        <v>비닐피복, 36mm 방수</v>
      </c>
      <c r="R25" s="16"/>
      <c r="V25" s="16"/>
    </row>
    <row r="26" spans="2:22">
      <c r="B26" s="9" t="str">
        <f t="shared" si="2"/>
        <v>E_CON0201_VM_0000_42</v>
      </c>
      <c r="C26" s="16" t="s">
        <v>139</v>
      </c>
      <c r="D26" s="16" t="s">
        <v>138</v>
      </c>
      <c r="E26" s="16" t="s">
        <v>391</v>
      </c>
      <c r="F26" s="16" t="s">
        <v>612</v>
      </c>
      <c r="G26" s="16"/>
      <c r="H26" s="18">
        <v>42</v>
      </c>
      <c r="I26" s="18" t="s">
        <v>613</v>
      </c>
      <c r="J26" s="18">
        <v>104</v>
      </c>
      <c r="K26" s="16">
        <v>2800</v>
      </c>
      <c r="L26" s="16"/>
      <c r="M26" s="16" t="s">
        <v>618</v>
      </c>
      <c r="N26" s="16" t="b">
        <v>1</v>
      </c>
      <c r="O26" s="16" t="str">
        <f t="shared" si="3"/>
        <v>1종 금속제 가요전선관-노출</v>
      </c>
      <c r="P26" s="16" t="str">
        <f t="shared" si="5"/>
        <v>비닐피복, 42mm 방수</v>
      </c>
      <c r="R26" s="16"/>
      <c r="V26" s="16"/>
    </row>
    <row r="27" spans="2:22">
      <c r="B27" s="9" t="str">
        <f t="shared" si="2"/>
        <v>E_CON0201_VM_0000_54</v>
      </c>
      <c r="C27" s="16" t="s">
        <v>139</v>
      </c>
      <c r="D27" s="16" t="s">
        <v>138</v>
      </c>
      <c r="E27" s="16" t="s">
        <v>391</v>
      </c>
      <c r="F27" s="16" t="s">
        <v>612</v>
      </c>
      <c r="G27" s="16"/>
      <c r="H27" s="18">
        <v>54</v>
      </c>
      <c r="I27" s="18" t="s">
        <v>613</v>
      </c>
      <c r="J27" s="18">
        <v>105</v>
      </c>
      <c r="K27" s="16">
        <v>3800</v>
      </c>
      <c r="L27" s="16"/>
      <c r="M27" s="16" t="s">
        <v>618</v>
      </c>
      <c r="N27" s="16" t="b">
        <v>1</v>
      </c>
      <c r="O27" s="16" t="str">
        <f t="shared" si="3"/>
        <v>1종 금속제 가요전선관-노출</v>
      </c>
      <c r="P27" s="16" t="str">
        <f t="shared" si="5"/>
        <v>비닐피복, 54mm 방수</v>
      </c>
      <c r="R27" s="16"/>
      <c r="V27" s="16"/>
    </row>
    <row r="28" spans="2:22">
      <c r="B28" s="9" t="str">
        <f t="shared" si="2"/>
        <v>E_CON0201_VM_0000_70</v>
      </c>
      <c r="C28" s="16" t="s">
        <v>139</v>
      </c>
      <c r="D28" s="16" t="s">
        <v>138</v>
      </c>
      <c r="E28" s="16" t="s">
        <v>391</v>
      </c>
      <c r="F28" s="16" t="s">
        <v>612</v>
      </c>
      <c r="G28" s="16"/>
      <c r="H28" s="18">
        <v>70</v>
      </c>
      <c r="I28" s="18" t="s">
        <v>613</v>
      </c>
      <c r="J28" s="18">
        <v>106</v>
      </c>
      <c r="K28" s="16">
        <v>4950</v>
      </c>
      <c r="L28" s="16"/>
      <c r="M28" s="16" t="s">
        <v>618</v>
      </c>
      <c r="N28" s="16" t="b">
        <v>1</v>
      </c>
      <c r="O28" s="16" t="str">
        <f t="shared" si="3"/>
        <v>1종 금속제 가요전선관-노출</v>
      </c>
      <c r="P28" s="16" t="str">
        <f t="shared" si="5"/>
        <v>비닐피복, 70mm 방수</v>
      </c>
      <c r="R28" s="16"/>
      <c r="V28" s="16"/>
    </row>
    <row r="29" spans="2:22">
      <c r="B29" s="9" t="str">
        <f t="shared" si="2"/>
        <v>E_CON0201_VM_0000_82</v>
      </c>
      <c r="C29" s="16" t="s">
        <v>139</v>
      </c>
      <c r="D29" s="16" t="s">
        <v>138</v>
      </c>
      <c r="E29" s="16" t="s">
        <v>391</v>
      </c>
      <c r="F29" s="16" t="s">
        <v>612</v>
      </c>
      <c r="G29" s="16"/>
      <c r="H29" s="18">
        <v>82</v>
      </c>
      <c r="I29" s="18" t="s">
        <v>613</v>
      </c>
      <c r="J29" s="18">
        <v>107</v>
      </c>
      <c r="K29" s="16">
        <v>6000</v>
      </c>
      <c r="L29" s="16"/>
      <c r="M29" s="16" t="s">
        <v>618</v>
      </c>
      <c r="N29" s="16" t="b">
        <v>1</v>
      </c>
      <c r="O29" s="16" t="str">
        <f t="shared" si="3"/>
        <v>1종 금속제 가요전선관-노출</v>
      </c>
      <c r="P29" s="16" t="str">
        <f t="shared" si="5"/>
        <v>비닐피복, 82mm 방수</v>
      </c>
      <c r="R29" s="16"/>
      <c r="V29" s="16"/>
    </row>
    <row r="30" spans="2:22">
      <c r="B30" s="9" t="str">
        <f t="shared" si="2"/>
        <v>E_CON0201_VM_0000_104</v>
      </c>
      <c r="C30" s="16" t="s">
        <v>139</v>
      </c>
      <c r="D30" s="16" t="s">
        <v>138</v>
      </c>
      <c r="E30" s="16" t="s">
        <v>391</v>
      </c>
      <c r="F30" s="16" t="s">
        <v>612</v>
      </c>
      <c r="G30" s="16"/>
      <c r="H30" s="18">
        <v>104</v>
      </c>
      <c r="I30" s="18" t="s">
        <v>613</v>
      </c>
      <c r="J30" s="18">
        <v>108</v>
      </c>
      <c r="K30" s="16">
        <v>9000</v>
      </c>
      <c r="L30" s="16"/>
      <c r="M30" s="16" t="s">
        <v>618</v>
      </c>
      <c r="N30" s="16" t="b">
        <v>1</v>
      </c>
      <c r="O30" s="16" t="str">
        <f t="shared" si="3"/>
        <v>1종 금속제 가요전선관-노출</v>
      </c>
      <c r="P30" s="16" t="str">
        <f t="shared" si="5"/>
        <v>비닐피복, 104mm 방수</v>
      </c>
      <c r="R30" s="16"/>
      <c r="V30" s="16"/>
    </row>
    <row r="31" spans="2:22">
      <c r="B31" s="9" t="str">
        <f t="shared" si="2"/>
        <v>E_CON0202_VM_0000_16</v>
      </c>
      <c r="C31" s="16" t="s">
        <v>137</v>
      </c>
      <c r="D31" s="16" t="s">
        <v>140</v>
      </c>
      <c r="E31" s="16" t="s">
        <v>391</v>
      </c>
      <c r="F31" s="16" t="s">
        <v>612</v>
      </c>
      <c r="G31" s="16"/>
      <c r="H31" s="18">
        <v>16</v>
      </c>
      <c r="I31" s="18" t="s">
        <v>613</v>
      </c>
      <c r="J31" s="18">
        <v>109</v>
      </c>
      <c r="K31" s="16">
        <v>770</v>
      </c>
      <c r="L31" s="16"/>
      <c r="M31" s="16" t="s">
        <v>618</v>
      </c>
      <c r="N31" s="16" t="b">
        <v>1</v>
      </c>
      <c r="O31" s="16" t="str">
        <f t="shared" si="3"/>
        <v>1종 금속제 가요전선관</v>
      </c>
      <c r="P31" s="16" t="str">
        <f t="shared" ref="P31:P39" si="6">"박스커넥터-비닐, "&amp;H31&amp;"mm 방수"</f>
        <v>박스커넥터-비닐, 16mm 방수</v>
      </c>
      <c r="R31" s="16"/>
      <c r="V31" s="16"/>
    </row>
    <row r="32" spans="2:22">
      <c r="B32" s="9" t="str">
        <f t="shared" si="2"/>
        <v>E_CON0202_VM_0000_22</v>
      </c>
      <c r="C32" s="16" t="s">
        <v>137</v>
      </c>
      <c r="D32" s="16" t="s">
        <v>140</v>
      </c>
      <c r="E32" s="16" t="s">
        <v>391</v>
      </c>
      <c r="F32" s="16" t="s">
        <v>612</v>
      </c>
      <c r="G32" s="16"/>
      <c r="H32" s="18">
        <v>22</v>
      </c>
      <c r="I32" s="18" t="s">
        <v>613</v>
      </c>
      <c r="J32" s="18">
        <v>110</v>
      </c>
      <c r="K32" s="16">
        <v>1000</v>
      </c>
      <c r="L32" s="16"/>
      <c r="M32" s="16" t="s">
        <v>618</v>
      </c>
      <c r="N32" s="16" t="b">
        <v>1</v>
      </c>
      <c r="O32" s="16" t="str">
        <f t="shared" si="3"/>
        <v>1종 금속제 가요전선관</v>
      </c>
      <c r="P32" s="16" t="str">
        <f t="shared" si="6"/>
        <v>박스커넥터-비닐, 22mm 방수</v>
      </c>
      <c r="R32" s="16"/>
      <c r="V32" s="16"/>
    </row>
    <row r="33" spans="2:22">
      <c r="B33" s="9" t="str">
        <f t="shared" si="2"/>
        <v>E_CON0202_VM_0000_28</v>
      </c>
      <c r="C33" s="16" t="s">
        <v>137</v>
      </c>
      <c r="D33" s="16" t="s">
        <v>140</v>
      </c>
      <c r="E33" s="16" t="s">
        <v>391</v>
      </c>
      <c r="F33" s="16" t="s">
        <v>612</v>
      </c>
      <c r="G33" s="16"/>
      <c r="H33" s="18">
        <v>28</v>
      </c>
      <c r="I33" s="18" t="s">
        <v>613</v>
      </c>
      <c r="J33" s="18">
        <v>111</v>
      </c>
      <c r="K33" s="16">
        <v>1500</v>
      </c>
      <c r="L33" s="16"/>
      <c r="M33" s="16" t="s">
        <v>618</v>
      </c>
      <c r="N33" s="16" t="b">
        <v>1</v>
      </c>
      <c r="O33" s="16" t="str">
        <f t="shared" si="3"/>
        <v>1종 금속제 가요전선관</v>
      </c>
      <c r="P33" s="16" t="str">
        <f t="shared" si="6"/>
        <v>박스커넥터-비닐, 28mm 방수</v>
      </c>
      <c r="R33" s="16"/>
      <c r="V33" s="16"/>
    </row>
    <row r="34" spans="2:22">
      <c r="B34" s="9" t="str">
        <f t="shared" si="2"/>
        <v>E_CON0202_VM_0000_36</v>
      </c>
      <c r="C34" s="16" t="s">
        <v>137</v>
      </c>
      <c r="D34" s="16" t="s">
        <v>140</v>
      </c>
      <c r="E34" s="16" t="s">
        <v>391</v>
      </c>
      <c r="F34" s="16" t="s">
        <v>612</v>
      </c>
      <c r="G34" s="16"/>
      <c r="H34" s="18">
        <v>36</v>
      </c>
      <c r="I34" s="18" t="s">
        <v>613</v>
      </c>
      <c r="J34" s="18">
        <v>112</v>
      </c>
      <c r="K34" s="16">
        <v>1980</v>
      </c>
      <c r="L34" s="16"/>
      <c r="M34" s="16" t="s">
        <v>618</v>
      </c>
      <c r="N34" s="16" t="b">
        <v>1</v>
      </c>
      <c r="O34" s="16" t="str">
        <f t="shared" si="3"/>
        <v>1종 금속제 가요전선관</v>
      </c>
      <c r="P34" s="16" t="str">
        <f t="shared" si="6"/>
        <v>박스커넥터-비닐, 36mm 방수</v>
      </c>
      <c r="R34" s="16"/>
      <c r="V34" s="16"/>
    </row>
    <row r="35" spans="2:22">
      <c r="B35" s="9" t="str">
        <f t="shared" si="2"/>
        <v>E_CON0202_VM_0000_42</v>
      </c>
      <c r="C35" s="16" t="s">
        <v>137</v>
      </c>
      <c r="D35" s="16" t="s">
        <v>140</v>
      </c>
      <c r="E35" s="16" t="s">
        <v>391</v>
      </c>
      <c r="F35" s="16" t="s">
        <v>612</v>
      </c>
      <c r="G35" s="16"/>
      <c r="H35" s="18">
        <v>42</v>
      </c>
      <c r="I35" s="18" t="s">
        <v>613</v>
      </c>
      <c r="J35" s="18">
        <v>113</v>
      </c>
      <c r="K35" s="16">
        <v>2750</v>
      </c>
      <c r="L35" s="16"/>
      <c r="M35" s="16" t="s">
        <v>618</v>
      </c>
      <c r="N35" s="16" t="b">
        <v>1</v>
      </c>
      <c r="O35" s="16" t="str">
        <f t="shared" si="3"/>
        <v>1종 금속제 가요전선관</v>
      </c>
      <c r="P35" s="16" t="str">
        <f t="shared" si="6"/>
        <v>박스커넥터-비닐, 42mm 방수</v>
      </c>
      <c r="R35" s="16"/>
      <c r="V35" s="16"/>
    </row>
    <row r="36" spans="2:22">
      <c r="B36" s="9" t="str">
        <f t="shared" si="2"/>
        <v>E_CON0202_VM_0000_54</v>
      </c>
      <c r="C36" s="16" t="s">
        <v>137</v>
      </c>
      <c r="D36" s="16" t="s">
        <v>140</v>
      </c>
      <c r="E36" s="16" t="s">
        <v>391</v>
      </c>
      <c r="F36" s="16" t="s">
        <v>612</v>
      </c>
      <c r="G36" s="16"/>
      <c r="H36" s="18">
        <v>54</v>
      </c>
      <c r="I36" s="18" t="s">
        <v>613</v>
      </c>
      <c r="J36" s="18">
        <v>114</v>
      </c>
      <c r="K36" s="16">
        <v>3740</v>
      </c>
      <c r="L36" s="16"/>
      <c r="M36" s="16" t="s">
        <v>618</v>
      </c>
      <c r="N36" s="16" t="b">
        <v>1</v>
      </c>
      <c r="O36" s="16" t="str">
        <f t="shared" si="3"/>
        <v>1종 금속제 가요전선관</v>
      </c>
      <c r="P36" s="16" t="str">
        <f t="shared" si="6"/>
        <v>박스커넥터-비닐, 54mm 방수</v>
      </c>
      <c r="R36" s="16"/>
      <c r="V36" s="16"/>
    </row>
    <row r="37" spans="2:22">
      <c r="B37" s="9" t="str">
        <f t="shared" si="2"/>
        <v>E_CON0202_VM_0000_70</v>
      </c>
      <c r="C37" s="16" t="s">
        <v>137</v>
      </c>
      <c r="D37" s="16" t="s">
        <v>140</v>
      </c>
      <c r="E37" s="16" t="s">
        <v>391</v>
      </c>
      <c r="F37" s="16" t="s">
        <v>612</v>
      </c>
      <c r="G37" s="16"/>
      <c r="H37" s="18">
        <v>70</v>
      </c>
      <c r="I37" s="18" t="s">
        <v>613</v>
      </c>
      <c r="J37" s="18">
        <v>115</v>
      </c>
      <c r="K37" s="16">
        <v>7980</v>
      </c>
      <c r="L37" s="16"/>
      <c r="M37" s="16" t="s">
        <v>618</v>
      </c>
      <c r="N37" s="16" t="b">
        <v>1</v>
      </c>
      <c r="O37" s="16" t="str">
        <f t="shared" si="3"/>
        <v>1종 금속제 가요전선관</v>
      </c>
      <c r="P37" s="16" t="str">
        <f t="shared" si="6"/>
        <v>박스커넥터-비닐, 70mm 방수</v>
      </c>
      <c r="R37" s="16"/>
      <c r="V37" s="16"/>
    </row>
    <row r="38" spans="2:22">
      <c r="B38" s="9" t="str">
        <f t="shared" si="2"/>
        <v>E_CON0202_VM_0000_82</v>
      </c>
      <c r="C38" s="16" t="s">
        <v>137</v>
      </c>
      <c r="D38" s="16" t="s">
        <v>140</v>
      </c>
      <c r="E38" s="16" t="s">
        <v>391</v>
      </c>
      <c r="F38" s="16" t="s">
        <v>612</v>
      </c>
      <c r="G38" s="16"/>
      <c r="H38" s="18">
        <v>82</v>
      </c>
      <c r="I38" s="18" t="s">
        <v>613</v>
      </c>
      <c r="J38" s="18">
        <v>116</v>
      </c>
      <c r="K38" s="16">
        <v>13600</v>
      </c>
      <c r="L38" s="16"/>
      <c r="M38" s="16" t="s">
        <v>618</v>
      </c>
      <c r="N38" s="16" t="b">
        <v>1</v>
      </c>
      <c r="O38" s="16" t="str">
        <f t="shared" si="3"/>
        <v>1종 금속제 가요전선관</v>
      </c>
      <c r="P38" s="16" t="str">
        <f t="shared" si="6"/>
        <v>박스커넥터-비닐, 82mm 방수</v>
      </c>
      <c r="R38" s="16"/>
      <c r="V38" s="16"/>
    </row>
    <row r="39" spans="2:22">
      <c r="B39" s="9" t="str">
        <f t="shared" si="2"/>
        <v>E_CON0202_VM_0000_104</v>
      </c>
      <c r="C39" s="16" t="s">
        <v>137</v>
      </c>
      <c r="D39" s="16" t="s">
        <v>140</v>
      </c>
      <c r="E39" s="16" t="s">
        <v>391</v>
      </c>
      <c r="F39" s="16" t="s">
        <v>612</v>
      </c>
      <c r="G39" s="16"/>
      <c r="H39" s="18">
        <v>104</v>
      </c>
      <c r="I39" s="18" t="s">
        <v>613</v>
      </c>
      <c r="J39" s="18">
        <v>117</v>
      </c>
      <c r="K39" s="16">
        <v>19100</v>
      </c>
      <c r="L39" s="16"/>
      <c r="M39" s="16" t="s">
        <v>618</v>
      </c>
      <c r="N39" s="16" t="b">
        <v>1</v>
      </c>
      <c r="O39" s="16" t="str">
        <f t="shared" si="3"/>
        <v>1종 금속제 가요전선관</v>
      </c>
      <c r="P39" s="16" t="str">
        <f t="shared" si="6"/>
        <v>박스커넥터-비닐, 104mm 방수</v>
      </c>
      <c r="R39" s="16"/>
      <c r="V39" s="16"/>
    </row>
    <row r="40" spans="2:22">
      <c r="B40" s="9"/>
      <c r="E40" s="1"/>
      <c r="F40" s="1"/>
      <c r="N40" s="9"/>
      <c r="O40" s="16"/>
      <c r="P40" s="16"/>
    </row>
    <row r="41" spans="2:22">
      <c r="B41" s="9"/>
      <c r="E41" s="1"/>
      <c r="F41" s="1"/>
      <c r="N41" s="9"/>
      <c r="O41" s="16"/>
      <c r="P41" s="16"/>
    </row>
    <row r="42" spans="2:22">
      <c r="B42" s="9"/>
      <c r="E42" s="1"/>
      <c r="F42" s="1"/>
      <c r="N42" s="9"/>
      <c r="O42" s="16"/>
      <c r="P42" s="16"/>
    </row>
    <row r="43" spans="2:22">
      <c r="B43" s="9"/>
      <c r="E43" s="1"/>
      <c r="F43" s="1"/>
      <c r="N43" s="9"/>
      <c r="O43" s="16"/>
      <c r="P43" s="16"/>
    </row>
    <row r="44" spans="2:22">
      <c r="B44" s="9"/>
      <c r="E44" s="1"/>
      <c r="F44" s="1"/>
      <c r="N44" s="9"/>
      <c r="O44" s="16"/>
      <c r="P44" s="16"/>
    </row>
    <row r="45" spans="2:22">
      <c r="B45" s="9"/>
      <c r="E45" s="1"/>
      <c r="F45" s="1"/>
      <c r="N45" s="9"/>
      <c r="O45" s="16"/>
      <c r="P45" s="16"/>
    </row>
    <row r="46" spans="2:22">
      <c r="B46" s="9"/>
      <c r="E46" s="1"/>
      <c r="F46" s="1"/>
      <c r="N46" s="9"/>
      <c r="O46" s="16"/>
      <c r="P46" s="16"/>
    </row>
    <row r="47" spans="2:22">
      <c r="B47" s="9"/>
      <c r="E47" s="1"/>
      <c r="F47" s="1"/>
      <c r="N47" s="9"/>
      <c r="O47" s="16"/>
      <c r="P47" s="16"/>
    </row>
    <row r="48" spans="2:22">
      <c r="B48" s="9"/>
      <c r="E48" s="1"/>
      <c r="F48" s="1"/>
      <c r="N48" s="9"/>
      <c r="O48" s="16"/>
      <c r="P48" s="16"/>
    </row>
    <row r="49" spans="2:16">
      <c r="B49" s="9"/>
      <c r="E49" s="1"/>
      <c r="F49" s="1"/>
      <c r="N49" s="9"/>
      <c r="O49" s="16"/>
      <c r="P49" s="16"/>
    </row>
    <row r="50" spans="2:16" ht="16.5" customHeight="1">
      <c r="O50" s="16"/>
      <c r="P50" s="16"/>
    </row>
    <row r="51" spans="2:16" ht="16.5" customHeight="1">
      <c r="O51" s="16"/>
      <c r="P51" s="16"/>
    </row>
    <row r="52" spans="2:16" ht="16.5" customHeight="1">
      <c r="O52" s="16"/>
      <c r="P52" s="16"/>
    </row>
    <row r="53" spans="2:16" ht="16.5" customHeight="1">
      <c r="O53" s="16"/>
      <c r="P53" s="16"/>
    </row>
    <row r="54" spans="2:16" ht="16.5" customHeight="1">
      <c r="O54" s="16"/>
      <c r="P54" s="16"/>
    </row>
    <row r="55" spans="2:16" ht="16.5" customHeight="1">
      <c r="O55" s="16"/>
      <c r="P55" s="16"/>
    </row>
    <row r="56" spans="2:16" ht="16.5" customHeight="1">
      <c r="O56" s="16"/>
      <c r="P56" s="16"/>
    </row>
    <row r="57" spans="2:16" ht="16.5" customHeight="1">
      <c r="O57" s="16"/>
      <c r="P57" s="16"/>
    </row>
    <row r="58" spans="2:16" ht="16.5" customHeight="1">
      <c r="O58" s="16"/>
      <c r="P58" s="16"/>
    </row>
    <row r="59" spans="2:16" ht="16.5" customHeight="1">
      <c r="O59" s="16"/>
      <c r="P59" s="16"/>
    </row>
    <row r="60" spans="2:16" ht="16.5" customHeight="1">
      <c r="O60" s="16"/>
      <c r="P60" s="16"/>
    </row>
    <row r="61" spans="2:16" ht="16.5" customHeight="1">
      <c r="O61" s="16"/>
      <c r="P61" s="16"/>
    </row>
    <row r="62" spans="2:16" ht="16.5" customHeight="1">
      <c r="O62" s="16"/>
      <c r="P62" s="16"/>
    </row>
    <row r="63" spans="2:16" ht="16.5" customHeight="1">
      <c r="O63" s="16"/>
      <c r="P63" s="16"/>
    </row>
    <row r="64" spans="2:16" ht="16.5" customHeight="1">
      <c r="O64" s="16"/>
      <c r="P64" s="16"/>
    </row>
    <row r="65" spans="15:16" ht="16.5" customHeight="1">
      <c r="O65" s="16"/>
      <c r="P65" s="16"/>
    </row>
    <row r="66" spans="15:16" ht="16.5" customHeight="1">
      <c r="O66" s="16"/>
      <c r="P66" s="16"/>
    </row>
    <row r="67" spans="15:16" ht="16.5" customHeight="1">
      <c r="O67" s="16"/>
      <c r="P67" s="16"/>
    </row>
    <row r="68" spans="15:16" ht="16.5" customHeight="1">
      <c r="O68" s="16"/>
      <c r="P68" s="16"/>
    </row>
    <row r="69" spans="15:16" ht="16.5" customHeight="1">
      <c r="O69" s="16"/>
      <c r="P69" s="16"/>
    </row>
    <row r="70" spans="15:16" ht="16.5" customHeight="1">
      <c r="O70" s="16"/>
      <c r="P70" s="16"/>
    </row>
    <row r="71" spans="15:16" ht="16.5" customHeight="1">
      <c r="O71" s="16"/>
      <c r="P71" s="16"/>
    </row>
    <row r="72" spans="15:16" ht="16.5" customHeight="1">
      <c r="O72" s="16"/>
      <c r="P72" s="16"/>
    </row>
    <row r="73" spans="15:16" ht="16.5" customHeight="1">
      <c r="O73" s="16"/>
      <c r="P73" s="16"/>
    </row>
    <row r="74" spans="15:16" ht="16.5" customHeight="1">
      <c r="O74" s="16"/>
      <c r="P74" s="16"/>
    </row>
    <row r="75" spans="15:16" ht="16.5" customHeight="1">
      <c r="O75" s="16"/>
      <c r="P75" s="16"/>
    </row>
    <row r="76" spans="15:16" ht="16.5" customHeight="1">
      <c r="O76" s="16"/>
      <c r="P76" s="16"/>
    </row>
    <row r="77" spans="15:16" ht="16.5" customHeight="1">
      <c r="O77" s="16"/>
      <c r="P77" s="16"/>
    </row>
    <row r="78" spans="15:16" ht="16.5" customHeight="1">
      <c r="O78" s="16"/>
      <c r="P78" s="16"/>
    </row>
    <row r="79" spans="15:16" ht="16.5" customHeight="1">
      <c r="O79" s="16"/>
      <c r="P79" s="16"/>
    </row>
    <row r="80" spans="15:16" ht="16.5" customHeight="1">
      <c r="O80" s="16"/>
      <c r="P80" s="16"/>
    </row>
    <row r="81" spans="15:16" ht="16.5" customHeight="1">
      <c r="O81" s="16"/>
      <c r="P81" s="16"/>
    </row>
    <row r="82" spans="15:16" ht="16.5" customHeight="1">
      <c r="O82" s="16"/>
      <c r="P82" s="16"/>
    </row>
    <row r="83" spans="15:16" ht="16.5" customHeight="1">
      <c r="O83" s="16"/>
      <c r="P83" s="16"/>
    </row>
    <row r="84" spans="15:16" ht="16.5" customHeight="1">
      <c r="O84" s="16"/>
      <c r="P84" s="16"/>
    </row>
    <row r="85" spans="15:16" ht="16.5" customHeight="1">
      <c r="O85" s="16"/>
      <c r="P85" s="16"/>
    </row>
    <row r="86" spans="15:16" ht="16.5" customHeight="1">
      <c r="O86" s="16"/>
      <c r="P86" s="16"/>
    </row>
    <row r="87" spans="15:16" ht="16.5" customHeight="1">
      <c r="O87" s="16"/>
      <c r="P87" s="16"/>
    </row>
    <row r="88" spans="15:16" ht="16.5" customHeight="1">
      <c r="O88" s="16"/>
      <c r="P88" s="16"/>
    </row>
    <row r="89" spans="15:16" ht="16.5" customHeight="1">
      <c r="O89" s="16"/>
      <c r="P89" s="16"/>
    </row>
    <row r="90" spans="15:16" ht="16.5" customHeight="1">
      <c r="O90" s="16"/>
      <c r="P90" s="16"/>
    </row>
    <row r="91" spans="15:16" ht="16.5" customHeight="1">
      <c r="O91" s="16"/>
      <c r="P91" s="16"/>
    </row>
    <row r="92" spans="15:16" ht="16.5" customHeight="1">
      <c r="O92" s="16"/>
      <c r="P92" s="16"/>
    </row>
    <row r="93" spans="15:16" ht="16.5" customHeight="1">
      <c r="O93" s="16"/>
      <c r="P93" s="16"/>
    </row>
    <row r="94" spans="15:16" ht="16.5" customHeight="1">
      <c r="O94" s="16"/>
      <c r="P94" s="16"/>
    </row>
    <row r="95" spans="15:16" ht="16.5" customHeight="1">
      <c r="O95" s="16"/>
      <c r="P95" s="16"/>
    </row>
    <row r="96" spans="15:16" ht="16.5" customHeight="1">
      <c r="O96" s="16"/>
      <c r="P96" s="16"/>
    </row>
    <row r="97" spans="15:16" ht="16.5" customHeight="1">
      <c r="O97" s="16"/>
      <c r="P97" s="16"/>
    </row>
    <row r="98" spans="15:16" ht="16.5" customHeight="1">
      <c r="O98" s="16"/>
      <c r="P98" s="16"/>
    </row>
    <row r="99" spans="15:16" ht="16.5" customHeight="1">
      <c r="O99" s="16"/>
      <c r="P99" s="16"/>
    </row>
    <row r="100" spans="15:16" ht="16.5" customHeight="1">
      <c r="O100" s="16"/>
      <c r="P100" s="16"/>
    </row>
    <row r="101" spans="15:16" ht="16.5" customHeight="1">
      <c r="O101" s="16"/>
      <c r="P101" s="16"/>
    </row>
    <row r="102" spans="15:16" ht="16.5" customHeight="1">
      <c r="O102" s="16"/>
      <c r="P102" s="16"/>
    </row>
    <row r="103" spans="15:16" ht="16.5" customHeight="1">
      <c r="O103" s="16"/>
      <c r="P103" s="16"/>
    </row>
    <row r="104" spans="15:16" ht="16.5" customHeight="1">
      <c r="O104" s="16"/>
      <c r="P104" s="16"/>
    </row>
    <row r="105" spans="15:16" ht="16.5" customHeight="1">
      <c r="O105" s="16"/>
      <c r="P105" s="16"/>
    </row>
    <row r="106" spans="15:16" ht="16.5" customHeight="1">
      <c r="O106" s="16"/>
      <c r="P106" s="16"/>
    </row>
    <row r="107" spans="15:16" ht="16.5" customHeight="1">
      <c r="O107" s="16"/>
      <c r="P107" s="16"/>
    </row>
    <row r="108" spans="15:16" ht="16.5" customHeight="1">
      <c r="O108" s="16"/>
      <c r="P108" s="16"/>
    </row>
    <row r="109" spans="15:16" ht="16.5" customHeight="1">
      <c r="O109" s="16"/>
      <c r="P109" s="16"/>
    </row>
    <row r="110" spans="15:16" ht="16.5" customHeight="1">
      <c r="O110" s="16"/>
      <c r="P110" s="16"/>
    </row>
    <row r="111" spans="15:16" ht="16.5" customHeight="1">
      <c r="O111" s="16"/>
      <c r="P111" s="16"/>
    </row>
    <row r="112" spans="15:16" ht="16.5" customHeight="1">
      <c r="O112" s="16"/>
      <c r="P112" s="16"/>
    </row>
    <row r="113" spans="15:16" ht="16.5" customHeight="1">
      <c r="O113" s="16"/>
      <c r="P113" s="16"/>
    </row>
    <row r="114" spans="15:16" ht="16.5" customHeight="1">
      <c r="O114" s="16"/>
      <c r="P114" s="16"/>
    </row>
    <row r="115" spans="15:16" ht="16.5" customHeight="1">
      <c r="O115" s="16"/>
      <c r="P115" s="16"/>
    </row>
    <row r="116" spans="15:16" ht="16.5" customHeight="1">
      <c r="O116" s="16"/>
      <c r="P116" s="16"/>
    </row>
    <row r="117" spans="15:16" ht="16.5" customHeight="1">
      <c r="O117" s="16"/>
      <c r="P117" s="16"/>
    </row>
    <row r="118" spans="15:16" ht="16.5" customHeight="1">
      <c r="O118" s="16"/>
      <c r="P118" s="16"/>
    </row>
    <row r="119" spans="15:16" ht="16.5" customHeight="1">
      <c r="O119" s="16"/>
      <c r="P119" s="16"/>
    </row>
    <row r="120" spans="15:16" ht="16.5" customHeight="1">
      <c r="O120" s="16"/>
      <c r="P120" s="16"/>
    </row>
    <row r="121" spans="15:16" ht="16.5" customHeight="1">
      <c r="O121" s="16"/>
      <c r="P121" s="16"/>
    </row>
    <row r="122" spans="15:16" ht="16.5" customHeight="1">
      <c r="O122" s="16"/>
      <c r="P122" s="16"/>
    </row>
    <row r="123" spans="15:16" ht="16.5" customHeight="1">
      <c r="O123" s="16"/>
      <c r="P123" s="16"/>
    </row>
    <row r="124" spans="15:16" ht="16.5" customHeight="1">
      <c r="O124" s="16"/>
      <c r="P124" s="16"/>
    </row>
    <row r="125" spans="15:16" ht="16.5" customHeight="1">
      <c r="O125" s="16"/>
      <c r="P125" s="16"/>
    </row>
    <row r="126" spans="15:16" ht="16.5" customHeight="1">
      <c r="O126" s="16"/>
      <c r="P126" s="16"/>
    </row>
    <row r="127" spans="15:16" ht="16.5" customHeight="1">
      <c r="O127" s="16"/>
      <c r="P127" s="16"/>
    </row>
    <row r="128" spans="15:16" ht="16.5" customHeight="1">
      <c r="O128" s="16"/>
      <c r="P128" s="16"/>
    </row>
    <row r="129" spans="15:16" ht="16.5" customHeight="1">
      <c r="O129" s="16"/>
      <c r="P129" s="16"/>
    </row>
    <row r="130" spans="15:16" ht="16.5" customHeight="1">
      <c r="O130" s="16"/>
      <c r="P130" s="16"/>
    </row>
    <row r="131" spans="15:16" ht="16.5" customHeight="1">
      <c r="O131" s="16"/>
      <c r="P131" s="16"/>
    </row>
    <row r="132" spans="15:16" ht="16.5" customHeight="1">
      <c r="O132" s="16"/>
      <c r="P132" s="16"/>
    </row>
    <row r="133" spans="15:16" ht="16.5" customHeight="1">
      <c r="O133" s="16"/>
      <c r="P133" s="16"/>
    </row>
    <row r="134" spans="15:16" ht="16.5" customHeight="1">
      <c r="O134" s="16"/>
      <c r="P134" s="16"/>
    </row>
    <row r="135" spans="15:16" ht="16.5" customHeight="1">
      <c r="O135" s="16"/>
      <c r="P135" s="16"/>
    </row>
    <row r="136" spans="15:16" ht="16.5" customHeight="1">
      <c r="O136" s="16"/>
      <c r="P136" s="16"/>
    </row>
    <row r="137" spans="15:16" ht="16.5" customHeight="1">
      <c r="O137" s="16"/>
      <c r="P137" s="16"/>
    </row>
    <row r="138" spans="15:16" ht="16.5" customHeight="1">
      <c r="O138" s="16"/>
      <c r="P138" s="16"/>
    </row>
    <row r="139" spans="15:16" ht="16.5" customHeight="1">
      <c r="O139" s="16"/>
      <c r="P139" s="16"/>
    </row>
    <row r="140" spans="15:16" ht="16.5" customHeight="1">
      <c r="O140" s="16"/>
      <c r="P140" s="16"/>
    </row>
    <row r="141" spans="15:16" ht="16.5" customHeight="1">
      <c r="O141" s="16"/>
      <c r="P141" s="16"/>
    </row>
    <row r="142" spans="15:16" ht="16.5" customHeight="1">
      <c r="O142" s="16"/>
      <c r="P142" s="16"/>
    </row>
    <row r="143" spans="15:16" ht="16.5" customHeight="1">
      <c r="O143" s="16"/>
      <c r="P143" s="16"/>
    </row>
    <row r="144" spans="15:16" ht="16.5" customHeight="1">
      <c r="O144" s="16"/>
      <c r="P144" s="16"/>
    </row>
    <row r="145" spans="15:16" ht="16.5" customHeight="1">
      <c r="O145" s="16"/>
      <c r="P145" s="16"/>
    </row>
    <row r="146" spans="15:16" ht="16.5" customHeight="1">
      <c r="O146" s="16"/>
      <c r="P146" s="16"/>
    </row>
    <row r="147" spans="15:16" ht="16.5" customHeight="1">
      <c r="O147" s="16"/>
      <c r="P147" s="16"/>
    </row>
    <row r="148" spans="15:16" ht="16.5" customHeight="1">
      <c r="O148" s="16"/>
      <c r="P148" s="16"/>
    </row>
    <row r="149" spans="15:16" ht="16.5" customHeight="1">
      <c r="O149" s="16"/>
      <c r="P149" s="16"/>
    </row>
    <row r="150" spans="15:16" ht="16.5" customHeight="1">
      <c r="O150" s="16"/>
      <c r="P150" s="16"/>
    </row>
    <row r="151" spans="15:16" ht="16.5" customHeight="1">
      <c r="O151" s="16"/>
      <c r="P151" s="16"/>
    </row>
    <row r="152" spans="15:16" ht="16.5" customHeight="1">
      <c r="O152" s="16"/>
      <c r="P152" s="16"/>
    </row>
    <row r="153" spans="15:16" ht="16.5" customHeight="1">
      <c r="O153" s="16"/>
      <c r="P153" s="16"/>
    </row>
    <row r="154" spans="15:16" ht="16.5" customHeight="1">
      <c r="O154" s="16"/>
      <c r="P154" s="16"/>
    </row>
    <row r="155" spans="15:16" ht="16.5" customHeight="1">
      <c r="O155" s="16"/>
      <c r="P155" s="16"/>
    </row>
    <row r="156" spans="15:16" ht="16.5" customHeight="1">
      <c r="O156" s="16"/>
      <c r="P156" s="16"/>
    </row>
    <row r="157" spans="15:16" ht="16.5" customHeight="1">
      <c r="O157" s="16"/>
      <c r="P157" s="16"/>
    </row>
    <row r="158" spans="15:16" ht="16.5" customHeight="1">
      <c r="O158" s="16"/>
      <c r="P158" s="16"/>
    </row>
    <row r="159" spans="15:16" ht="16.5" customHeight="1">
      <c r="O159" s="16"/>
      <c r="P159" s="16"/>
    </row>
    <row r="160" spans="15:16" ht="16.5" customHeight="1">
      <c r="O160" s="16"/>
      <c r="P160" s="16"/>
    </row>
    <row r="161" spans="15:16" ht="16.5" customHeight="1">
      <c r="O161" s="16"/>
      <c r="P161" s="16"/>
    </row>
    <row r="162" spans="15:16" ht="16.5" customHeight="1">
      <c r="O162" s="16"/>
      <c r="P162" s="16"/>
    </row>
    <row r="163" spans="15:16" ht="16.5" customHeight="1">
      <c r="O163" s="16"/>
      <c r="P163" s="16"/>
    </row>
    <row r="164" spans="15:16" ht="16.5" customHeight="1">
      <c r="O164" s="16"/>
      <c r="P164" s="16"/>
    </row>
    <row r="165" spans="15:16" ht="16.5" customHeight="1">
      <c r="O165" s="16"/>
      <c r="P165" s="16"/>
    </row>
    <row r="166" spans="15:16" ht="16.5" customHeight="1">
      <c r="O166" s="16"/>
      <c r="P166" s="16"/>
    </row>
    <row r="167" spans="15:16" ht="16.5" customHeight="1">
      <c r="O167" s="16"/>
      <c r="P167" s="16"/>
    </row>
    <row r="168" spans="15:16" ht="16.5" customHeight="1">
      <c r="O168" s="16"/>
      <c r="P168" s="16"/>
    </row>
    <row r="169" spans="15:16" ht="16.5" customHeight="1">
      <c r="O169" s="16"/>
      <c r="P169" s="16"/>
    </row>
    <row r="170" spans="15:16" ht="16.5" customHeight="1">
      <c r="O170" s="16"/>
      <c r="P170" s="16"/>
    </row>
    <row r="171" spans="15:16" ht="16.5" customHeight="1">
      <c r="O171" s="16"/>
      <c r="P171" s="16"/>
    </row>
    <row r="172" spans="15:16" ht="16.5" customHeight="1">
      <c r="O172" s="16"/>
      <c r="P172" s="16"/>
    </row>
    <row r="173" spans="15:16" ht="16.5" customHeight="1">
      <c r="O173" s="16"/>
      <c r="P173" s="16"/>
    </row>
    <row r="174" spans="15:16" ht="16.5" customHeight="1">
      <c r="O174" s="16"/>
      <c r="P174" s="16"/>
    </row>
    <row r="175" spans="15:16" ht="16.5" customHeight="1">
      <c r="O175" s="16"/>
      <c r="P175" s="16"/>
    </row>
    <row r="176" spans="15:16" ht="16.5" customHeight="1">
      <c r="O176" s="16"/>
      <c r="P176" s="16"/>
    </row>
    <row r="177" spans="15:16" ht="16.5" customHeight="1">
      <c r="O177" s="16"/>
      <c r="P177" s="16"/>
    </row>
    <row r="178" spans="15:16" ht="16.5" customHeight="1">
      <c r="O178" s="16"/>
      <c r="P178" s="16"/>
    </row>
    <row r="179" spans="15:16" ht="16.5" customHeight="1">
      <c r="O179" s="16"/>
      <c r="P179" s="16"/>
    </row>
    <row r="180" spans="15:16" ht="16.5" customHeight="1">
      <c r="O180" s="16"/>
      <c r="P180" s="16"/>
    </row>
    <row r="181" spans="15:16" ht="16.5" customHeight="1">
      <c r="O181" s="16"/>
      <c r="P181" s="16"/>
    </row>
    <row r="182" spans="15:16" ht="16.5" customHeight="1">
      <c r="O182" s="16"/>
      <c r="P182" s="16"/>
    </row>
    <row r="183" spans="15:16" ht="16.5" customHeight="1">
      <c r="O183" s="16"/>
      <c r="P183" s="16"/>
    </row>
    <row r="184" spans="15:16" ht="16.5" customHeight="1">
      <c r="O184" s="16"/>
      <c r="P184" s="16"/>
    </row>
    <row r="185" spans="15:16" ht="16.5" customHeight="1">
      <c r="O185" s="16"/>
      <c r="P185" s="16"/>
    </row>
    <row r="186" spans="15:16" ht="16.5" customHeight="1">
      <c r="O186" s="16"/>
      <c r="P186" s="16"/>
    </row>
    <row r="187" spans="15:16" ht="16.5" customHeight="1">
      <c r="O187" s="16"/>
      <c r="P187" s="16"/>
    </row>
    <row r="188" spans="15:16" ht="16.5" customHeight="1">
      <c r="O188" s="16"/>
      <c r="P188" s="16"/>
    </row>
    <row r="189" spans="15:16" ht="16.5" customHeight="1">
      <c r="O189" s="16"/>
      <c r="P189" s="16"/>
    </row>
    <row r="190" spans="15:16" ht="16.5" customHeight="1">
      <c r="O190" s="16"/>
      <c r="P190" s="16"/>
    </row>
    <row r="191" spans="15:16" ht="16.5" customHeight="1">
      <c r="O191" s="16"/>
      <c r="P191" s="16"/>
    </row>
    <row r="192" spans="15:16" ht="16.5" customHeight="1">
      <c r="O192" s="16"/>
      <c r="P192" s="16"/>
    </row>
    <row r="193" spans="15:16" ht="16.5" customHeight="1">
      <c r="O193" s="16"/>
      <c r="P193" s="16"/>
    </row>
    <row r="194" spans="15:16" ht="16.5" customHeight="1">
      <c r="O194" s="16"/>
      <c r="P194" s="16"/>
    </row>
    <row r="195" spans="15:16" ht="16.5" customHeight="1">
      <c r="O195" s="16"/>
      <c r="P195" s="16"/>
    </row>
    <row r="196" spans="15:16" ht="16.5" customHeight="1">
      <c r="O196" s="16"/>
      <c r="P196" s="16"/>
    </row>
    <row r="197" spans="15:16" ht="16.5" customHeight="1">
      <c r="O197" s="16"/>
      <c r="P197" s="16"/>
    </row>
    <row r="198" spans="15:16" ht="16.5" customHeight="1">
      <c r="O198" s="16"/>
      <c r="P198" s="16"/>
    </row>
    <row r="199" spans="15:16" ht="16.5" customHeight="1">
      <c r="O199" s="16"/>
      <c r="P199" s="16"/>
    </row>
    <row r="200" spans="15:16" ht="16.5" customHeight="1">
      <c r="O200" s="16"/>
      <c r="P200" s="16"/>
    </row>
    <row r="201" spans="15:16" ht="16.5" customHeight="1">
      <c r="O201" s="16"/>
      <c r="P201" s="16"/>
    </row>
    <row r="202" spans="15:16" ht="16.5" customHeight="1">
      <c r="O202" s="16"/>
      <c r="P202" s="16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F7C9-EACA-4F35-A2C8-F950F5E23341}">
  <dimension ref="B1:R185"/>
  <sheetViews>
    <sheetView zoomScale="55" zoomScaleNormal="55" workbookViewId="0">
      <selection activeCell="F3" sqref="E3:F3"/>
    </sheetView>
  </sheetViews>
  <sheetFormatPr defaultRowHeight="16.5" customHeight="1"/>
  <cols>
    <col min="2" max="2" width="38.5" bestFit="1" customWidth="1"/>
    <col min="3" max="3" width="32.375" customWidth="1"/>
    <col min="4" max="4" width="16.5" customWidth="1"/>
    <col min="5" max="5" width="11.875" customWidth="1"/>
    <col min="6" max="6" width="11.25" bestFit="1" customWidth="1"/>
    <col min="7" max="7" width="15.375" bestFit="1" customWidth="1"/>
    <col min="8" max="8" width="19.5" bestFit="1" customWidth="1"/>
    <col min="9" max="9" width="19.5" customWidth="1"/>
    <col min="10" max="10" width="25.875" bestFit="1" customWidth="1"/>
    <col min="11" max="11" width="15.75" bestFit="1" customWidth="1"/>
    <col min="12" max="12" width="19" bestFit="1" customWidth="1"/>
    <col min="13" max="13" width="19" customWidth="1"/>
    <col min="14" max="14" width="9.5" bestFit="1" customWidth="1"/>
    <col min="15" max="15" width="19.375" customWidth="1"/>
    <col min="16" max="16" width="18.25" customWidth="1"/>
    <col min="17" max="17" width="26.25" customWidth="1"/>
    <col min="18" max="18" width="18.125" bestFit="1" customWidth="1"/>
    <col min="23" max="23" width="11.5" bestFit="1" customWidth="1"/>
  </cols>
  <sheetData>
    <row r="1" spans="2:18" s="35" customFormat="1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620</v>
      </c>
      <c r="I1" s="47" t="s">
        <v>586</v>
      </c>
      <c r="J1" s="48" t="s">
        <v>587</v>
      </c>
      <c r="K1" s="2" t="s">
        <v>588</v>
      </c>
      <c r="L1" s="3" t="s">
        <v>589</v>
      </c>
      <c r="M1" s="2" t="s">
        <v>590</v>
      </c>
      <c r="N1" s="2" t="s">
        <v>591</v>
      </c>
      <c r="O1" s="2" t="s">
        <v>592</v>
      </c>
      <c r="P1" s="2" t="s">
        <v>593</v>
      </c>
      <c r="Q1" s="2" t="s">
        <v>594</v>
      </c>
      <c r="R1" s="54" t="s">
        <v>595</v>
      </c>
    </row>
    <row r="2" spans="2:18" s="35" customFormat="1">
      <c r="B2" s="38" t="s">
        <v>596</v>
      </c>
      <c r="C2" s="39" t="s">
        <v>597</v>
      </c>
      <c r="D2" s="40" t="s">
        <v>598</v>
      </c>
      <c r="E2" s="39" t="s">
        <v>597</v>
      </c>
      <c r="F2" s="41" t="s">
        <v>386</v>
      </c>
      <c r="G2" s="41" t="s">
        <v>599</v>
      </c>
      <c r="H2" s="42" t="s">
        <v>600</v>
      </c>
      <c r="I2" s="43" t="s">
        <v>602</v>
      </c>
      <c r="J2" s="43" t="s">
        <v>603</v>
      </c>
      <c r="K2" s="44" t="s">
        <v>604</v>
      </c>
      <c r="L2" s="45" t="s">
        <v>605</v>
      </c>
      <c r="M2" s="56" t="s">
        <v>606</v>
      </c>
      <c r="N2" s="46" t="s">
        <v>607</v>
      </c>
      <c r="O2" s="43" t="s">
        <v>608</v>
      </c>
      <c r="P2" s="43" t="s">
        <v>609</v>
      </c>
      <c r="Q2" s="41" t="s">
        <v>610</v>
      </c>
      <c r="R2" s="57" t="s">
        <v>611</v>
      </c>
    </row>
    <row r="3" spans="2:18">
      <c r="B3" s="1" t="str">
        <f t="shared" ref="B3:B31" si="0">D3&amp;"_"&amp;F3&amp;"_"&amp;H3</f>
        <v>E_TRM0101_VM_0000_16</v>
      </c>
      <c r="C3" s="16" t="s">
        <v>151</v>
      </c>
      <c r="D3" s="16" t="s">
        <v>150</v>
      </c>
      <c r="E3" s="16" t="s">
        <v>391</v>
      </c>
      <c r="F3" s="16" t="s">
        <v>612</v>
      </c>
      <c r="G3" s="16"/>
      <c r="H3" s="16">
        <v>16</v>
      </c>
      <c r="I3" s="16" t="s">
        <v>621</v>
      </c>
      <c r="J3" s="16">
        <v>118</v>
      </c>
      <c r="K3" s="16">
        <v>270</v>
      </c>
      <c r="L3" s="16"/>
      <c r="M3" s="16" t="s">
        <v>622</v>
      </c>
      <c r="N3" s="16" t="b">
        <v>1</v>
      </c>
      <c r="O3" s="16" t="s">
        <v>149</v>
      </c>
      <c r="P3" s="16" t="str">
        <f t="shared" ref="P3:P14" si="1">"1 HOLE, "&amp;H3&amp;"㎟"</f>
        <v>1 HOLE, 16㎟</v>
      </c>
      <c r="R3" s="16"/>
    </row>
    <row r="4" spans="2:18">
      <c r="B4" s="1" t="str">
        <f t="shared" si="0"/>
        <v>E_TRM0101_VM_0000_25</v>
      </c>
      <c r="C4" s="16" t="s">
        <v>151</v>
      </c>
      <c r="D4" s="16" t="s">
        <v>150</v>
      </c>
      <c r="E4" s="16" t="s">
        <v>391</v>
      </c>
      <c r="F4" s="16" t="s">
        <v>612</v>
      </c>
      <c r="G4" s="16"/>
      <c r="H4" s="16">
        <v>25</v>
      </c>
      <c r="I4" s="16" t="s">
        <v>621</v>
      </c>
      <c r="J4" s="16">
        <v>119</v>
      </c>
      <c r="K4" s="16">
        <v>400</v>
      </c>
      <c r="L4" s="16"/>
      <c r="M4" s="16" t="s">
        <v>622</v>
      </c>
      <c r="N4" s="16" t="b">
        <v>1</v>
      </c>
      <c r="O4" s="16" t="s">
        <v>149</v>
      </c>
      <c r="P4" s="16" t="str">
        <f t="shared" si="1"/>
        <v>1 HOLE, 25㎟</v>
      </c>
      <c r="R4" s="16"/>
    </row>
    <row r="5" spans="2:18">
      <c r="B5" s="1" t="str">
        <f t="shared" si="0"/>
        <v>E_TRM0101_VM_0000_35</v>
      </c>
      <c r="C5" s="16" t="s">
        <v>151</v>
      </c>
      <c r="D5" s="16" t="s">
        <v>150</v>
      </c>
      <c r="E5" s="16" t="s">
        <v>391</v>
      </c>
      <c r="F5" s="16" t="s">
        <v>612</v>
      </c>
      <c r="G5" s="16"/>
      <c r="H5" s="16">
        <v>35</v>
      </c>
      <c r="I5" s="16" t="s">
        <v>621</v>
      </c>
      <c r="J5" s="16">
        <v>120</v>
      </c>
      <c r="K5" s="16">
        <v>570</v>
      </c>
      <c r="L5" s="16"/>
      <c r="M5" s="16" t="s">
        <v>622</v>
      </c>
      <c r="N5" s="16" t="b">
        <v>1</v>
      </c>
      <c r="O5" s="16" t="s">
        <v>149</v>
      </c>
      <c r="P5" s="16" t="str">
        <f t="shared" si="1"/>
        <v>1 HOLE, 35㎟</v>
      </c>
      <c r="R5" s="16"/>
    </row>
    <row r="6" spans="2:18">
      <c r="B6" s="1" t="str">
        <f t="shared" si="0"/>
        <v>E_TRM0101_VM_0000_50</v>
      </c>
      <c r="C6" s="16" t="s">
        <v>151</v>
      </c>
      <c r="D6" s="16" t="s">
        <v>150</v>
      </c>
      <c r="E6" s="16" t="s">
        <v>391</v>
      </c>
      <c r="F6" s="16" t="s">
        <v>612</v>
      </c>
      <c r="G6" s="16"/>
      <c r="H6" s="16">
        <v>50</v>
      </c>
      <c r="I6" s="16" t="s">
        <v>621</v>
      </c>
      <c r="J6" s="16">
        <v>121</v>
      </c>
      <c r="K6" s="16">
        <v>810</v>
      </c>
      <c r="L6" s="16"/>
      <c r="M6" s="16" t="s">
        <v>622</v>
      </c>
      <c r="N6" s="16" t="b">
        <v>1</v>
      </c>
      <c r="O6" s="16" t="s">
        <v>149</v>
      </c>
      <c r="P6" s="16" t="str">
        <f t="shared" si="1"/>
        <v>1 HOLE, 50㎟</v>
      </c>
      <c r="R6" s="16"/>
    </row>
    <row r="7" spans="2:18">
      <c r="B7" s="1" t="str">
        <f t="shared" si="0"/>
        <v>E_TRM0101_VM_0000_70</v>
      </c>
      <c r="C7" s="16" t="s">
        <v>151</v>
      </c>
      <c r="D7" s="16" t="s">
        <v>150</v>
      </c>
      <c r="E7" s="16" t="s">
        <v>391</v>
      </c>
      <c r="F7" s="16" t="s">
        <v>612</v>
      </c>
      <c r="G7" s="16"/>
      <c r="H7" s="16">
        <v>70</v>
      </c>
      <c r="I7" s="16" t="s">
        <v>621</v>
      </c>
      <c r="J7" s="16">
        <v>122</v>
      </c>
      <c r="K7" s="16">
        <v>1230</v>
      </c>
      <c r="L7" s="16"/>
      <c r="M7" s="16" t="s">
        <v>622</v>
      </c>
      <c r="N7" s="16" t="b">
        <v>1</v>
      </c>
      <c r="O7" s="16" t="s">
        <v>149</v>
      </c>
      <c r="P7" s="16" t="str">
        <f t="shared" si="1"/>
        <v>1 HOLE, 70㎟</v>
      </c>
      <c r="R7" s="16"/>
    </row>
    <row r="8" spans="2:18">
      <c r="B8" s="1" t="str">
        <f t="shared" si="0"/>
        <v>E_TRM0101_VM_0000_95</v>
      </c>
      <c r="C8" s="16" t="s">
        <v>151</v>
      </c>
      <c r="D8" s="16" t="s">
        <v>150</v>
      </c>
      <c r="E8" s="16" t="s">
        <v>391</v>
      </c>
      <c r="F8" s="16" t="s">
        <v>612</v>
      </c>
      <c r="G8" s="16"/>
      <c r="H8" s="16">
        <v>95</v>
      </c>
      <c r="I8" s="16" t="s">
        <v>621</v>
      </c>
      <c r="J8" s="16">
        <v>123</v>
      </c>
      <c r="K8" s="16">
        <v>1810</v>
      </c>
      <c r="L8" s="16"/>
      <c r="M8" s="16" t="s">
        <v>622</v>
      </c>
      <c r="N8" s="16" t="b">
        <v>1</v>
      </c>
      <c r="O8" s="16" t="s">
        <v>149</v>
      </c>
      <c r="P8" s="16" t="str">
        <f t="shared" si="1"/>
        <v>1 HOLE, 95㎟</v>
      </c>
      <c r="R8" s="16"/>
    </row>
    <row r="9" spans="2:18">
      <c r="B9" s="1" t="str">
        <f t="shared" si="0"/>
        <v>E_TRM0101_VM_0000_120</v>
      </c>
      <c r="C9" s="16" t="s">
        <v>151</v>
      </c>
      <c r="D9" s="16" t="s">
        <v>150</v>
      </c>
      <c r="E9" s="16" t="s">
        <v>391</v>
      </c>
      <c r="F9" s="16" t="s">
        <v>612</v>
      </c>
      <c r="G9" s="16"/>
      <c r="H9" s="16">
        <v>120</v>
      </c>
      <c r="I9" s="16" t="s">
        <v>621</v>
      </c>
      <c r="J9" s="16">
        <v>124</v>
      </c>
      <c r="K9" s="16">
        <v>2300</v>
      </c>
      <c r="L9" s="16"/>
      <c r="M9" s="16" t="s">
        <v>622</v>
      </c>
      <c r="N9" s="16" t="b">
        <v>1</v>
      </c>
      <c r="O9" s="16" t="s">
        <v>149</v>
      </c>
      <c r="P9" s="16" t="str">
        <f t="shared" si="1"/>
        <v>1 HOLE, 120㎟</v>
      </c>
      <c r="R9" s="16"/>
    </row>
    <row r="10" spans="2:18">
      <c r="B10" s="1" t="str">
        <f t="shared" si="0"/>
        <v>E_TRM0101_VM_0000_150</v>
      </c>
      <c r="C10" s="16" t="s">
        <v>151</v>
      </c>
      <c r="D10" s="16" t="s">
        <v>150</v>
      </c>
      <c r="E10" s="16" t="s">
        <v>391</v>
      </c>
      <c r="F10" s="16" t="s">
        <v>612</v>
      </c>
      <c r="G10" s="16"/>
      <c r="H10" s="16">
        <v>150</v>
      </c>
      <c r="I10" s="16" t="s">
        <v>621</v>
      </c>
      <c r="J10" s="16">
        <v>125</v>
      </c>
      <c r="K10" s="16">
        <v>3160</v>
      </c>
      <c r="L10" s="16"/>
      <c r="M10" s="16" t="s">
        <v>622</v>
      </c>
      <c r="N10" s="16" t="b">
        <v>1</v>
      </c>
      <c r="O10" s="16" t="s">
        <v>149</v>
      </c>
      <c r="P10" s="16" t="str">
        <f t="shared" si="1"/>
        <v>1 HOLE, 150㎟</v>
      </c>
      <c r="R10" s="16"/>
    </row>
    <row r="11" spans="2:18">
      <c r="B11" s="1" t="str">
        <f t="shared" si="0"/>
        <v>E_TRM0101_VM_0000_185</v>
      </c>
      <c r="C11" s="16" t="s">
        <v>151</v>
      </c>
      <c r="D11" s="16" t="s">
        <v>150</v>
      </c>
      <c r="E11" s="16" t="s">
        <v>391</v>
      </c>
      <c r="F11" s="16" t="s">
        <v>612</v>
      </c>
      <c r="G11" s="16"/>
      <c r="H11" s="16">
        <v>185</v>
      </c>
      <c r="I11" s="16" t="s">
        <v>621</v>
      </c>
      <c r="J11" s="16">
        <v>126</v>
      </c>
      <c r="K11" s="16">
        <v>3780</v>
      </c>
      <c r="L11" s="16"/>
      <c r="M11" s="16" t="s">
        <v>622</v>
      </c>
      <c r="N11" s="16" t="b">
        <v>1</v>
      </c>
      <c r="O11" s="16" t="s">
        <v>149</v>
      </c>
      <c r="P11" s="16" t="str">
        <f t="shared" si="1"/>
        <v>1 HOLE, 185㎟</v>
      </c>
      <c r="R11" s="16"/>
    </row>
    <row r="12" spans="2:18">
      <c r="B12" s="1" t="str">
        <f t="shared" si="0"/>
        <v>E_TRM0101_VM_0000_240</v>
      </c>
      <c r="C12" s="16" t="s">
        <v>151</v>
      </c>
      <c r="D12" s="16" t="s">
        <v>150</v>
      </c>
      <c r="E12" s="16" t="s">
        <v>391</v>
      </c>
      <c r="F12" s="16" t="s">
        <v>612</v>
      </c>
      <c r="G12" s="16"/>
      <c r="H12" s="16">
        <v>240</v>
      </c>
      <c r="I12" s="16" t="s">
        <v>621</v>
      </c>
      <c r="J12" s="16">
        <v>127</v>
      </c>
      <c r="K12" s="16">
        <v>6420</v>
      </c>
      <c r="L12" s="16"/>
      <c r="M12" s="16" t="s">
        <v>622</v>
      </c>
      <c r="N12" s="16" t="b">
        <v>1</v>
      </c>
      <c r="O12" s="16" t="s">
        <v>149</v>
      </c>
      <c r="P12" s="16" t="str">
        <f t="shared" si="1"/>
        <v>1 HOLE, 240㎟</v>
      </c>
      <c r="R12" s="16"/>
    </row>
    <row r="13" spans="2:18">
      <c r="B13" s="1" t="str">
        <f t="shared" si="0"/>
        <v>E_TRM0101_VM_0000_300</v>
      </c>
      <c r="C13" s="16" t="s">
        <v>151</v>
      </c>
      <c r="D13" s="16" t="s">
        <v>150</v>
      </c>
      <c r="E13" s="16" t="s">
        <v>391</v>
      </c>
      <c r="F13" s="16" t="s">
        <v>612</v>
      </c>
      <c r="G13" s="16"/>
      <c r="H13" s="16">
        <v>300</v>
      </c>
      <c r="I13" s="16" t="s">
        <v>621</v>
      </c>
      <c r="J13" s="16">
        <v>128</v>
      </c>
      <c r="K13" s="16">
        <v>8760</v>
      </c>
      <c r="L13" s="16"/>
      <c r="M13" s="16" t="s">
        <v>622</v>
      </c>
      <c r="N13" s="16" t="b">
        <v>1</v>
      </c>
      <c r="O13" s="16" t="s">
        <v>149</v>
      </c>
      <c r="P13" s="16" t="str">
        <f t="shared" si="1"/>
        <v>1 HOLE, 300㎟</v>
      </c>
      <c r="R13" s="16"/>
    </row>
    <row r="14" spans="2:18">
      <c r="B14" s="1" t="str">
        <f t="shared" si="0"/>
        <v>E_TRM0101_VM_0000_400</v>
      </c>
      <c r="C14" s="16" t="s">
        <v>151</v>
      </c>
      <c r="D14" s="16" t="s">
        <v>150</v>
      </c>
      <c r="E14" s="16" t="s">
        <v>391</v>
      </c>
      <c r="F14" s="16" t="s">
        <v>612</v>
      </c>
      <c r="G14" s="16"/>
      <c r="H14" s="16">
        <v>400</v>
      </c>
      <c r="I14" s="16" t="s">
        <v>621</v>
      </c>
      <c r="J14" s="16">
        <v>129</v>
      </c>
      <c r="K14" s="16">
        <v>13480</v>
      </c>
      <c r="L14" s="16"/>
      <c r="M14" s="16" t="s">
        <v>622</v>
      </c>
      <c r="N14" s="16" t="b">
        <v>1</v>
      </c>
      <c r="O14" s="16" t="s">
        <v>149</v>
      </c>
      <c r="P14" s="16" t="str">
        <f t="shared" si="1"/>
        <v>1 HOLE, 400㎟</v>
      </c>
      <c r="R14" s="16"/>
    </row>
    <row r="15" spans="2:18">
      <c r="B15" s="1" t="str">
        <f t="shared" si="0"/>
        <v>E_TRM0201_VM_0000_1.5</v>
      </c>
      <c r="C15" s="16" t="s">
        <v>157</v>
      </c>
      <c r="D15" s="16" t="s">
        <v>156</v>
      </c>
      <c r="E15" s="16" t="s">
        <v>391</v>
      </c>
      <c r="F15" s="16" t="s">
        <v>612</v>
      </c>
      <c r="G15" s="16"/>
      <c r="H15" s="16">
        <v>1.5</v>
      </c>
      <c r="I15" s="16" t="s">
        <v>621</v>
      </c>
      <c r="J15" s="16"/>
      <c r="K15" s="16">
        <v>14.11</v>
      </c>
      <c r="L15" s="16"/>
      <c r="M15" s="16" t="s">
        <v>622</v>
      </c>
      <c r="N15" s="16" t="b">
        <v>1</v>
      </c>
      <c r="O15" s="16" t="s">
        <v>155</v>
      </c>
      <c r="P15" s="16" t="str">
        <f t="shared" ref="P15:P31" si="2">"R형동선 나압착 "&amp;H15&amp;"㎟"</f>
        <v>R형동선 나압착 1.5㎟</v>
      </c>
      <c r="R15" s="16"/>
    </row>
    <row r="16" spans="2:18">
      <c r="B16" s="1" t="str">
        <f t="shared" si="0"/>
        <v>E_TRM0201_VM_0000_2.5</v>
      </c>
      <c r="C16" s="16" t="s">
        <v>157</v>
      </c>
      <c r="D16" s="16" t="s">
        <v>156</v>
      </c>
      <c r="E16" s="16" t="s">
        <v>391</v>
      </c>
      <c r="F16" s="16" t="s">
        <v>612</v>
      </c>
      <c r="G16" s="16"/>
      <c r="H16" s="16">
        <v>2.5</v>
      </c>
      <c r="I16" s="16" t="s">
        <v>621</v>
      </c>
      <c r="J16" s="16"/>
      <c r="K16" s="16">
        <v>56.45</v>
      </c>
      <c r="L16" s="16"/>
      <c r="M16" s="16" t="s">
        <v>622</v>
      </c>
      <c r="N16" s="16" t="b">
        <v>1</v>
      </c>
      <c r="O16" s="16" t="s">
        <v>155</v>
      </c>
      <c r="P16" s="16" t="str">
        <f t="shared" si="2"/>
        <v>R형동선 나압착 2.5㎟</v>
      </c>
      <c r="R16" s="16"/>
    </row>
    <row r="17" spans="2:18">
      <c r="B17" s="1" t="str">
        <f t="shared" si="0"/>
        <v>E_TRM0201_VM_0000_4</v>
      </c>
      <c r="C17" s="16" t="s">
        <v>157</v>
      </c>
      <c r="D17" s="16" t="s">
        <v>156</v>
      </c>
      <c r="E17" s="16" t="s">
        <v>391</v>
      </c>
      <c r="F17" s="16" t="s">
        <v>612</v>
      </c>
      <c r="G17" s="16"/>
      <c r="H17" s="16">
        <v>4</v>
      </c>
      <c r="I17" s="16" t="s">
        <v>621</v>
      </c>
      <c r="J17" s="16"/>
      <c r="K17" s="16">
        <v>70.56</v>
      </c>
      <c r="L17" s="16"/>
      <c r="M17" s="16" t="s">
        <v>622</v>
      </c>
      <c r="N17" s="16" t="b">
        <v>1</v>
      </c>
      <c r="O17" s="16" t="s">
        <v>155</v>
      </c>
      <c r="P17" s="16" t="str">
        <f t="shared" si="2"/>
        <v>R형동선 나압착 4㎟</v>
      </c>
      <c r="R17" s="16"/>
    </row>
    <row r="18" spans="2:18">
      <c r="B18" s="1" t="str">
        <f t="shared" si="0"/>
        <v>E_TRM0201_VM_0000_6</v>
      </c>
      <c r="C18" s="16" t="s">
        <v>157</v>
      </c>
      <c r="D18" s="16" t="s">
        <v>156</v>
      </c>
      <c r="E18" s="16" t="s">
        <v>391</v>
      </c>
      <c r="F18" s="16" t="s">
        <v>612</v>
      </c>
      <c r="G18" s="16"/>
      <c r="H18" s="16">
        <v>6</v>
      </c>
      <c r="I18" s="16" t="s">
        <v>621</v>
      </c>
      <c r="J18" s="16"/>
      <c r="K18" s="16">
        <v>82.32</v>
      </c>
      <c r="L18" s="16"/>
      <c r="M18" s="16" t="s">
        <v>622</v>
      </c>
      <c r="N18" s="16" t="b">
        <v>1</v>
      </c>
      <c r="O18" s="16" t="s">
        <v>155</v>
      </c>
      <c r="P18" s="16" t="str">
        <f t="shared" si="2"/>
        <v>R형동선 나압착 6㎟</v>
      </c>
      <c r="R18" s="16"/>
    </row>
    <row r="19" spans="2:18">
      <c r="B19" s="1" t="str">
        <f t="shared" si="0"/>
        <v>E_TRM0201_VM_0000_10</v>
      </c>
      <c r="C19" s="16" t="s">
        <v>157</v>
      </c>
      <c r="D19" s="16" t="s">
        <v>156</v>
      </c>
      <c r="E19" s="16" t="s">
        <v>391</v>
      </c>
      <c r="F19" s="16" t="s">
        <v>612</v>
      </c>
      <c r="G19" s="16"/>
      <c r="H19" s="16">
        <v>10</v>
      </c>
      <c r="I19" s="16" t="s">
        <v>621</v>
      </c>
      <c r="J19" s="16"/>
      <c r="K19" s="16">
        <v>185.25</v>
      </c>
      <c r="L19" s="16"/>
      <c r="M19" s="16" t="s">
        <v>622</v>
      </c>
      <c r="N19" s="16" t="b">
        <v>1</v>
      </c>
      <c r="O19" s="16" t="s">
        <v>155</v>
      </c>
      <c r="P19" s="16" t="str">
        <f t="shared" si="2"/>
        <v>R형동선 나압착 10㎟</v>
      </c>
      <c r="R19" s="16"/>
    </row>
    <row r="20" spans="2:18">
      <c r="B20" s="1" t="str">
        <f t="shared" si="0"/>
        <v>E_TRM0201_VM_0000_16</v>
      </c>
      <c r="C20" s="16" t="s">
        <v>157</v>
      </c>
      <c r="D20" s="16" t="s">
        <v>156</v>
      </c>
      <c r="E20" s="16" t="s">
        <v>391</v>
      </c>
      <c r="F20" s="16" t="s">
        <v>612</v>
      </c>
      <c r="G20" s="16"/>
      <c r="H20" s="16">
        <v>16</v>
      </c>
      <c r="I20" s="16" t="s">
        <v>621</v>
      </c>
      <c r="J20" s="16">
        <v>130</v>
      </c>
      <c r="K20" s="16">
        <v>258.7</v>
      </c>
      <c r="L20" s="16"/>
      <c r="M20" s="16" t="s">
        <v>622</v>
      </c>
      <c r="N20" s="16" t="b">
        <v>1</v>
      </c>
      <c r="O20" s="16" t="s">
        <v>155</v>
      </c>
      <c r="P20" s="16" t="str">
        <f t="shared" si="2"/>
        <v>R형동선 나압착 16㎟</v>
      </c>
      <c r="R20" s="16"/>
    </row>
    <row r="21" spans="2:18">
      <c r="B21" s="1" t="str">
        <f t="shared" si="0"/>
        <v>E_TRM0201_VM_0000_25</v>
      </c>
      <c r="C21" s="16" t="s">
        <v>157</v>
      </c>
      <c r="D21" s="16" t="s">
        <v>156</v>
      </c>
      <c r="E21" s="16" t="s">
        <v>391</v>
      </c>
      <c r="F21" s="16" t="s">
        <v>612</v>
      </c>
      <c r="G21" s="16"/>
      <c r="H21" s="16">
        <v>25</v>
      </c>
      <c r="I21" s="16" t="s">
        <v>621</v>
      </c>
      <c r="J21" s="16">
        <v>131</v>
      </c>
      <c r="K21" s="16">
        <v>329.2</v>
      </c>
      <c r="L21" s="16"/>
      <c r="M21" s="16" t="s">
        <v>622</v>
      </c>
      <c r="N21" s="16" t="b">
        <v>1</v>
      </c>
      <c r="O21" s="16" t="s">
        <v>155</v>
      </c>
      <c r="P21" s="16" t="str">
        <f t="shared" si="2"/>
        <v>R형동선 나압착 25㎟</v>
      </c>
      <c r="R21" s="16"/>
    </row>
    <row r="22" spans="2:18">
      <c r="B22" s="1" t="str">
        <f t="shared" si="0"/>
        <v>E_TRM0201_VM_0000_35</v>
      </c>
      <c r="C22" s="16" t="s">
        <v>157</v>
      </c>
      <c r="D22" s="16" t="s">
        <v>156</v>
      </c>
      <c r="E22" s="16" t="s">
        <v>391</v>
      </c>
      <c r="F22" s="16" t="s">
        <v>612</v>
      </c>
      <c r="G22" s="16"/>
      <c r="H22" s="16">
        <v>35</v>
      </c>
      <c r="I22" s="16" t="s">
        <v>621</v>
      </c>
      <c r="J22" s="16">
        <v>132</v>
      </c>
      <c r="K22" s="16">
        <v>364.6</v>
      </c>
      <c r="L22" s="16"/>
      <c r="M22" s="16" t="s">
        <v>622</v>
      </c>
      <c r="N22" s="16" t="b">
        <v>1</v>
      </c>
      <c r="O22" s="16" t="s">
        <v>155</v>
      </c>
      <c r="P22" s="16" t="str">
        <f t="shared" si="2"/>
        <v>R형동선 나압착 35㎟</v>
      </c>
      <c r="R22" s="16"/>
    </row>
    <row r="23" spans="2:18">
      <c r="B23" s="1" t="str">
        <f t="shared" si="0"/>
        <v>E_TRM0201_VM_0000_50</v>
      </c>
      <c r="C23" s="16" t="s">
        <v>157</v>
      </c>
      <c r="D23" s="16" t="s">
        <v>156</v>
      </c>
      <c r="E23" s="16" t="s">
        <v>391</v>
      </c>
      <c r="F23" s="16" t="s">
        <v>612</v>
      </c>
      <c r="G23" s="16"/>
      <c r="H23" s="16">
        <v>50</v>
      </c>
      <c r="I23" s="16" t="s">
        <v>621</v>
      </c>
      <c r="J23" s="16">
        <v>133</v>
      </c>
      <c r="K23" s="16">
        <v>803.67</v>
      </c>
      <c r="L23" s="16"/>
      <c r="M23" s="16" t="s">
        <v>622</v>
      </c>
      <c r="N23" s="16" t="b">
        <v>1</v>
      </c>
      <c r="O23" s="16" t="s">
        <v>155</v>
      </c>
      <c r="P23" s="16" t="str">
        <f t="shared" si="2"/>
        <v>R형동선 나압착 50㎟</v>
      </c>
      <c r="R23" s="16"/>
    </row>
    <row r="24" spans="2:18">
      <c r="B24" s="1" t="str">
        <f t="shared" si="0"/>
        <v>E_TRM0201_VM_0000_70</v>
      </c>
      <c r="C24" s="16" t="s">
        <v>157</v>
      </c>
      <c r="D24" s="16" t="s">
        <v>156</v>
      </c>
      <c r="E24" s="16" t="s">
        <v>391</v>
      </c>
      <c r="F24" s="16" t="s">
        <v>612</v>
      </c>
      <c r="G24" s="16"/>
      <c r="H24" s="16">
        <v>70</v>
      </c>
      <c r="I24" s="16" t="s">
        <v>621</v>
      </c>
      <c r="J24" s="16">
        <v>134</v>
      </c>
      <c r="K24" s="16">
        <v>1176</v>
      </c>
      <c r="L24" s="16"/>
      <c r="M24" s="16" t="s">
        <v>622</v>
      </c>
      <c r="N24" s="16" t="b">
        <v>1</v>
      </c>
      <c r="O24" s="16" t="s">
        <v>155</v>
      </c>
      <c r="P24" s="16" t="str">
        <f t="shared" si="2"/>
        <v>R형동선 나압착 70㎟</v>
      </c>
      <c r="R24" s="16"/>
    </row>
    <row r="25" spans="2:18">
      <c r="B25" s="1" t="str">
        <f t="shared" si="0"/>
        <v>E_TRM0201_VM_0000_95</v>
      </c>
      <c r="C25" s="16" t="s">
        <v>157</v>
      </c>
      <c r="D25" s="16" t="s">
        <v>156</v>
      </c>
      <c r="E25" s="16" t="s">
        <v>391</v>
      </c>
      <c r="F25" s="16" t="s">
        <v>612</v>
      </c>
      <c r="G25" s="16"/>
      <c r="H25" s="16">
        <v>95</v>
      </c>
      <c r="I25" s="16" t="s">
        <v>621</v>
      </c>
      <c r="J25" s="16">
        <v>135</v>
      </c>
      <c r="K25" s="16">
        <v>1294</v>
      </c>
      <c r="L25" s="16"/>
      <c r="M25" s="16" t="s">
        <v>622</v>
      </c>
      <c r="N25" s="16" t="b">
        <v>1</v>
      </c>
      <c r="O25" s="16" t="s">
        <v>155</v>
      </c>
      <c r="P25" s="16" t="str">
        <f t="shared" si="2"/>
        <v>R형동선 나압착 95㎟</v>
      </c>
      <c r="R25" s="16"/>
    </row>
    <row r="26" spans="2:18">
      <c r="B26" s="1" t="str">
        <f t="shared" si="0"/>
        <v>E_TRM0201_VM_0000_120</v>
      </c>
      <c r="C26" s="16" t="s">
        <v>157</v>
      </c>
      <c r="D26" s="16" t="s">
        <v>156</v>
      </c>
      <c r="E26" s="16" t="s">
        <v>391</v>
      </c>
      <c r="F26" s="16" t="s">
        <v>612</v>
      </c>
      <c r="G26" s="16"/>
      <c r="H26" s="16">
        <v>120</v>
      </c>
      <c r="I26" s="16" t="s">
        <v>621</v>
      </c>
      <c r="J26" s="16">
        <v>136</v>
      </c>
      <c r="K26" s="16">
        <v>1294</v>
      </c>
      <c r="L26" s="16"/>
      <c r="M26" s="16" t="s">
        <v>622</v>
      </c>
      <c r="N26" s="16" t="b">
        <v>1</v>
      </c>
      <c r="O26" s="16" t="s">
        <v>155</v>
      </c>
      <c r="P26" s="16" t="str">
        <f t="shared" si="2"/>
        <v>R형동선 나압착 120㎟</v>
      </c>
      <c r="R26" s="16"/>
    </row>
    <row r="27" spans="2:18">
      <c r="B27" s="1" t="str">
        <f t="shared" si="0"/>
        <v>E_TRM0201_VM_0000_150</v>
      </c>
      <c r="C27" s="16" t="s">
        <v>157</v>
      </c>
      <c r="D27" s="16" t="s">
        <v>156</v>
      </c>
      <c r="E27" s="16" t="s">
        <v>391</v>
      </c>
      <c r="F27" s="16" t="s">
        <v>612</v>
      </c>
      <c r="G27" s="16"/>
      <c r="H27" s="16">
        <v>150</v>
      </c>
      <c r="I27" s="16" t="s">
        <v>621</v>
      </c>
      <c r="J27" s="16">
        <v>137</v>
      </c>
      <c r="K27" s="16">
        <v>1823</v>
      </c>
      <c r="L27" s="16"/>
      <c r="M27" s="16" t="s">
        <v>622</v>
      </c>
      <c r="N27" s="16" t="b">
        <v>1</v>
      </c>
      <c r="O27" s="16" t="s">
        <v>155</v>
      </c>
      <c r="P27" s="16" t="str">
        <f t="shared" si="2"/>
        <v>R형동선 나압착 150㎟</v>
      </c>
      <c r="R27" s="16"/>
    </row>
    <row r="28" spans="2:18">
      <c r="B28" s="1" t="str">
        <f t="shared" si="0"/>
        <v>E_TRM0201_VM_0000_185</v>
      </c>
      <c r="C28" s="16" t="s">
        <v>157</v>
      </c>
      <c r="D28" s="16" t="s">
        <v>156</v>
      </c>
      <c r="E28" s="16" t="s">
        <v>391</v>
      </c>
      <c r="F28" s="16" t="s">
        <v>612</v>
      </c>
      <c r="G28" s="16"/>
      <c r="H28" s="16">
        <v>185</v>
      </c>
      <c r="I28" s="16" t="s">
        <v>621</v>
      </c>
      <c r="J28" s="16">
        <v>138</v>
      </c>
      <c r="K28" s="16">
        <v>2822</v>
      </c>
      <c r="L28" s="16"/>
      <c r="M28" s="16" t="s">
        <v>622</v>
      </c>
      <c r="N28" s="16" t="b">
        <v>1</v>
      </c>
      <c r="O28" s="16" t="s">
        <v>155</v>
      </c>
      <c r="P28" s="16" t="str">
        <f t="shared" si="2"/>
        <v>R형동선 나압착 185㎟</v>
      </c>
      <c r="R28" s="16"/>
    </row>
    <row r="29" spans="2:18">
      <c r="B29" s="1" t="str">
        <f t="shared" si="0"/>
        <v>E_TRM0201_VM_0000_240</v>
      </c>
      <c r="C29" s="16" t="s">
        <v>157</v>
      </c>
      <c r="D29" s="16" t="s">
        <v>156</v>
      </c>
      <c r="E29" s="16" t="s">
        <v>391</v>
      </c>
      <c r="F29" s="16" t="s">
        <v>612</v>
      </c>
      <c r="G29" s="16"/>
      <c r="H29" s="16">
        <v>240</v>
      </c>
      <c r="I29" s="16" t="s">
        <v>621</v>
      </c>
      <c r="J29" s="16">
        <v>139</v>
      </c>
      <c r="K29" s="16">
        <v>3293</v>
      </c>
      <c r="L29" s="16"/>
      <c r="M29" s="16" t="s">
        <v>622</v>
      </c>
      <c r="N29" s="16" t="b">
        <v>1</v>
      </c>
      <c r="O29" s="16" t="s">
        <v>155</v>
      </c>
      <c r="P29" s="16" t="str">
        <f t="shared" si="2"/>
        <v>R형동선 나압착 240㎟</v>
      </c>
      <c r="R29" s="16"/>
    </row>
    <row r="30" spans="2:18">
      <c r="B30" s="1" t="str">
        <f t="shared" si="0"/>
        <v>E_TRM0201_VM_0000_300</v>
      </c>
      <c r="C30" s="16" t="s">
        <v>157</v>
      </c>
      <c r="D30" s="16" t="s">
        <v>156</v>
      </c>
      <c r="E30" s="16" t="s">
        <v>391</v>
      </c>
      <c r="F30" s="16" t="s">
        <v>612</v>
      </c>
      <c r="G30" s="16"/>
      <c r="H30" s="16">
        <v>300</v>
      </c>
      <c r="I30" s="16" t="s">
        <v>621</v>
      </c>
      <c r="J30" s="16">
        <v>140</v>
      </c>
      <c r="K30" s="16">
        <v>4822</v>
      </c>
      <c r="L30" s="16"/>
      <c r="M30" s="16" t="s">
        <v>622</v>
      </c>
      <c r="N30" s="16" t="b">
        <v>1</v>
      </c>
      <c r="O30" s="16" t="s">
        <v>155</v>
      </c>
      <c r="P30" s="16" t="str">
        <f t="shared" si="2"/>
        <v>R형동선 나압착 300㎟</v>
      </c>
      <c r="R30" s="16"/>
    </row>
    <row r="31" spans="2:18">
      <c r="B31" s="1" t="str">
        <f t="shared" si="0"/>
        <v>E_TRM0201_VM_0000_400</v>
      </c>
      <c r="C31" s="16" t="s">
        <v>157</v>
      </c>
      <c r="D31" s="16" t="s">
        <v>156</v>
      </c>
      <c r="E31" s="16" t="s">
        <v>391</v>
      </c>
      <c r="F31" s="16" t="s">
        <v>612</v>
      </c>
      <c r="G31" s="16"/>
      <c r="H31" s="16">
        <v>400</v>
      </c>
      <c r="I31" s="16" t="s">
        <v>621</v>
      </c>
      <c r="J31" s="16">
        <v>141</v>
      </c>
      <c r="K31" s="16">
        <v>9644</v>
      </c>
      <c r="L31" s="16"/>
      <c r="M31" s="16" t="s">
        <v>622</v>
      </c>
      <c r="N31" s="16" t="b">
        <v>1</v>
      </c>
      <c r="O31" s="16" t="s">
        <v>155</v>
      </c>
      <c r="P31" s="16" t="str">
        <f t="shared" si="2"/>
        <v>R형동선 나압착 400㎟</v>
      </c>
      <c r="R31" s="16"/>
    </row>
    <row r="32" spans="2:18">
      <c r="B32" s="1"/>
      <c r="E32" s="1"/>
      <c r="F32" s="1"/>
      <c r="N32" s="1"/>
      <c r="O32" s="16"/>
      <c r="P32" s="16"/>
    </row>
    <row r="33" spans="15:16" ht="16.5" customHeight="1">
      <c r="O33" s="16"/>
      <c r="P33" s="16"/>
    </row>
    <row r="34" spans="15:16" ht="16.5" customHeight="1">
      <c r="O34" s="16"/>
      <c r="P34" s="16"/>
    </row>
    <row r="35" spans="15:16" ht="16.5" customHeight="1">
      <c r="O35" s="16"/>
      <c r="P35" s="16"/>
    </row>
    <row r="36" spans="15:16" ht="16.5" customHeight="1">
      <c r="O36" s="16"/>
      <c r="P36" s="16"/>
    </row>
    <row r="37" spans="15:16" ht="16.5" customHeight="1">
      <c r="O37" s="16"/>
      <c r="P37" s="16"/>
    </row>
    <row r="38" spans="15:16" ht="16.5" customHeight="1">
      <c r="O38" s="16"/>
      <c r="P38" s="16"/>
    </row>
    <row r="39" spans="15:16" ht="16.5" customHeight="1">
      <c r="O39" s="16"/>
      <c r="P39" s="16"/>
    </row>
    <row r="40" spans="15:16" ht="16.5" customHeight="1">
      <c r="O40" s="16"/>
      <c r="P40" s="16"/>
    </row>
    <row r="41" spans="15:16" ht="16.5" customHeight="1">
      <c r="O41" s="16"/>
      <c r="P41" s="16"/>
    </row>
    <row r="42" spans="15:16" ht="16.5" customHeight="1">
      <c r="O42" s="16"/>
      <c r="P42" s="16"/>
    </row>
    <row r="43" spans="15:16" ht="16.5" customHeight="1">
      <c r="O43" s="16"/>
      <c r="P43" s="16"/>
    </row>
    <row r="44" spans="15:16" ht="16.5" customHeight="1">
      <c r="O44" s="16"/>
      <c r="P44" s="16"/>
    </row>
    <row r="45" spans="15:16" ht="16.5" customHeight="1">
      <c r="O45" s="16"/>
      <c r="P45" s="16"/>
    </row>
    <row r="46" spans="15:16" ht="16.5" customHeight="1">
      <c r="O46" s="16"/>
      <c r="P46" s="16"/>
    </row>
    <row r="47" spans="15:16" ht="16.5" customHeight="1">
      <c r="O47" s="16"/>
      <c r="P47" s="16"/>
    </row>
    <row r="48" spans="15:16" ht="16.5" customHeight="1">
      <c r="O48" s="16"/>
      <c r="P48" s="16"/>
    </row>
    <row r="49" spans="15:16" ht="16.5" customHeight="1">
      <c r="O49" s="16"/>
      <c r="P49" s="16"/>
    </row>
    <row r="50" spans="15:16" ht="16.5" customHeight="1">
      <c r="O50" s="16"/>
      <c r="P50" s="16"/>
    </row>
    <row r="51" spans="15:16" ht="16.5" customHeight="1">
      <c r="O51" s="16"/>
      <c r="P51" s="16"/>
    </row>
    <row r="52" spans="15:16" ht="16.5" customHeight="1">
      <c r="O52" s="16"/>
      <c r="P52" s="16"/>
    </row>
    <row r="53" spans="15:16" ht="16.5" customHeight="1">
      <c r="O53" s="16"/>
      <c r="P53" s="16"/>
    </row>
    <row r="54" spans="15:16" ht="16.5" customHeight="1">
      <c r="O54" s="16"/>
      <c r="P54" s="16"/>
    </row>
    <row r="55" spans="15:16" ht="16.5" customHeight="1">
      <c r="O55" s="16"/>
      <c r="P55" s="16"/>
    </row>
    <row r="56" spans="15:16" ht="16.5" customHeight="1">
      <c r="O56" s="16"/>
      <c r="P56" s="16"/>
    </row>
    <row r="57" spans="15:16" ht="16.5" customHeight="1">
      <c r="O57" s="16"/>
      <c r="P57" s="16"/>
    </row>
    <row r="58" spans="15:16" ht="16.5" customHeight="1">
      <c r="O58" s="16"/>
      <c r="P58" s="16"/>
    </row>
    <row r="59" spans="15:16" ht="16.5" customHeight="1">
      <c r="O59" s="16"/>
      <c r="P59" s="16"/>
    </row>
    <row r="60" spans="15:16" ht="16.5" customHeight="1">
      <c r="O60" s="16"/>
      <c r="P60" s="16"/>
    </row>
    <row r="61" spans="15:16" ht="16.5" customHeight="1">
      <c r="O61" s="16"/>
      <c r="P61" s="16"/>
    </row>
    <row r="62" spans="15:16" ht="16.5" customHeight="1">
      <c r="O62" s="16"/>
      <c r="P62" s="16"/>
    </row>
    <row r="63" spans="15:16" ht="16.5" customHeight="1">
      <c r="O63" s="16"/>
      <c r="P63" s="16"/>
    </row>
    <row r="64" spans="15:16" ht="16.5" customHeight="1">
      <c r="O64" s="16"/>
      <c r="P64" s="16"/>
    </row>
    <row r="65" spans="15:16" ht="16.5" customHeight="1">
      <c r="O65" s="16"/>
      <c r="P65" s="16"/>
    </row>
    <row r="66" spans="15:16" ht="16.5" customHeight="1">
      <c r="O66" s="16"/>
      <c r="P66" s="16"/>
    </row>
    <row r="67" spans="15:16" ht="16.5" customHeight="1">
      <c r="O67" s="16"/>
      <c r="P67" s="16"/>
    </row>
    <row r="68" spans="15:16" ht="16.5" customHeight="1">
      <c r="O68" s="16"/>
      <c r="P68" s="16"/>
    </row>
    <row r="69" spans="15:16" ht="16.5" customHeight="1">
      <c r="O69" s="16"/>
      <c r="P69" s="16"/>
    </row>
    <row r="70" spans="15:16" ht="16.5" customHeight="1">
      <c r="O70" s="16"/>
      <c r="P70" s="16"/>
    </row>
    <row r="71" spans="15:16" ht="16.5" customHeight="1">
      <c r="O71" s="16"/>
      <c r="P71" s="16"/>
    </row>
    <row r="72" spans="15:16" ht="16.5" customHeight="1">
      <c r="O72" s="16"/>
      <c r="P72" s="16"/>
    </row>
    <row r="73" spans="15:16" ht="16.5" customHeight="1">
      <c r="O73" s="16"/>
      <c r="P73" s="16"/>
    </row>
    <row r="74" spans="15:16" ht="16.5" customHeight="1">
      <c r="O74" s="16"/>
      <c r="P74" s="16"/>
    </row>
    <row r="75" spans="15:16" ht="16.5" customHeight="1">
      <c r="O75" s="16"/>
      <c r="P75" s="16"/>
    </row>
    <row r="76" spans="15:16" ht="16.5" customHeight="1">
      <c r="O76" s="16"/>
      <c r="P76" s="16"/>
    </row>
    <row r="77" spans="15:16" ht="16.5" customHeight="1">
      <c r="O77" s="16"/>
      <c r="P77" s="16"/>
    </row>
    <row r="78" spans="15:16" ht="16.5" customHeight="1">
      <c r="O78" s="16"/>
      <c r="P78" s="16"/>
    </row>
    <row r="79" spans="15:16" ht="16.5" customHeight="1">
      <c r="O79" s="16"/>
      <c r="P79" s="16"/>
    </row>
    <row r="80" spans="15:16" ht="16.5" customHeight="1">
      <c r="O80" s="16"/>
      <c r="P80" s="16"/>
    </row>
    <row r="81" spans="15:16" ht="16.5" customHeight="1">
      <c r="O81" s="16"/>
      <c r="P81" s="16"/>
    </row>
    <row r="82" spans="15:16" ht="16.5" customHeight="1">
      <c r="O82" s="16"/>
      <c r="P82" s="16"/>
    </row>
    <row r="83" spans="15:16" ht="16.5" customHeight="1">
      <c r="O83" s="16"/>
      <c r="P83" s="16"/>
    </row>
    <row r="84" spans="15:16" ht="16.5" customHeight="1">
      <c r="O84" s="16"/>
      <c r="P84" s="16"/>
    </row>
    <row r="85" spans="15:16" ht="16.5" customHeight="1">
      <c r="O85" s="16"/>
      <c r="P85" s="16"/>
    </row>
    <row r="86" spans="15:16" ht="16.5" customHeight="1">
      <c r="O86" s="16"/>
      <c r="P86" s="16"/>
    </row>
    <row r="87" spans="15:16" ht="16.5" customHeight="1">
      <c r="O87" s="16"/>
      <c r="P87" s="16"/>
    </row>
    <row r="88" spans="15:16" ht="16.5" customHeight="1">
      <c r="O88" s="16"/>
      <c r="P88" s="16"/>
    </row>
    <row r="89" spans="15:16" ht="16.5" customHeight="1">
      <c r="O89" s="16"/>
      <c r="P89" s="16"/>
    </row>
    <row r="90" spans="15:16" ht="16.5" customHeight="1">
      <c r="O90" s="16"/>
      <c r="P90" s="16"/>
    </row>
    <row r="91" spans="15:16" ht="16.5" customHeight="1">
      <c r="O91" s="16"/>
      <c r="P91" s="16"/>
    </row>
    <row r="92" spans="15:16" ht="16.5" customHeight="1">
      <c r="O92" s="16"/>
      <c r="P92" s="16"/>
    </row>
    <row r="93" spans="15:16" ht="16.5" customHeight="1">
      <c r="O93" s="16"/>
      <c r="P93" s="16"/>
    </row>
    <row r="94" spans="15:16" ht="16.5" customHeight="1">
      <c r="O94" s="16"/>
      <c r="P94" s="16"/>
    </row>
    <row r="95" spans="15:16" ht="16.5" customHeight="1">
      <c r="O95" s="16"/>
      <c r="P95" s="16"/>
    </row>
    <row r="96" spans="15:16" ht="16.5" customHeight="1">
      <c r="O96" s="16"/>
      <c r="P96" s="16"/>
    </row>
    <row r="97" spans="15:16" ht="16.5" customHeight="1">
      <c r="O97" s="16"/>
      <c r="P97" s="16"/>
    </row>
    <row r="98" spans="15:16" ht="16.5" customHeight="1">
      <c r="O98" s="16"/>
      <c r="P98" s="16"/>
    </row>
    <row r="99" spans="15:16" ht="16.5" customHeight="1">
      <c r="O99" s="16"/>
      <c r="P99" s="16"/>
    </row>
    <row r="100" spans="15:16" ht="16.5" customHeight="1">
      <c r="O100" s="16"/>
      <c r="P100" s="16"/>
    </row>
    <row r="101" spans="15:16" ht="16.5" customHeight="1">
      <c r="O101" s="16"/>
      <c r="P101" s="16"/>
    </row>
    <row r="102" spans="15:16" ht="16.5" customHeight="1">
      <c r="O102" s="16"/>
      <c r="P102" s="16"/>
    </row>
    <row r="103" spans="15:16" ht="16.5" customHeight="1">
      <c r="O103" s="16"/>
      <c r="P103" s="16"/>
    </row>
    <row r="104" spans="15:16" ht="16.5" customHeight="1">
      <c r="O104" s="16"/>
      <c r="P104" s="16"/>
    </row>
    <row r="105" spans="15:16" ht="16.5" customHeight="1">
      <c r="O105" s="16"/>
      <c r="P105" s="16"/>
    </row>
    <row r="106" spans="15:16" ht="16.5" customHeight="1">
      <c r="O106" s="16"/>
      <c r="P106" s="16"/>
    </row>
    <row r="107" spans="15:16" ht="16.5" customHeight="1">
      <c r="O107" s="16"/>
      <c r="P107" s="16"/>
    </row>
    <row r="108" spans="15:16" ht="16.5" customHeight="1">
      <c r="O108" s="16"/>
      <c r="P108" s="16"/>
    </row>
    <row r="109" spans="15:16" ht="16.5" customHeight="1">
      <c r="O109" s="16"/>
      <c r="P109" s="16"/>
    </row>
    <row r="110" spans="15:16" ht="16.5" customHeight="1">
      <c r="O110" s="16"/>
      <c r="P110" s="16"/>
    </row>
    <row r="111" spans="15:16" ht="16.5" customHeight="1">
      <c r="O111" s="16"/>
      <c r="P111" s="16"/>
    </row>
    <row r="112" spans="15:16" ht="16.5" customHeight="1">
      <c r="O112" s="16"/>
      <c r="P112" s="16"/>
    </row>
    <row r="113" spans="15:16" ht="16.5" customHeight="1">
      <c r="O113" s="16"/>
      <c r="P113" s="16"/>
    </row>
    <row r="114" spans="15:16" ht="16.5" customHeight="1">
      <c r="O114" s="16"/>
      <c r="P114" s="16"/>
    </row>
    <row r="115" spans="15:16" ht="16.5" customHeight="1">
      <c r="O115" s="16"/>
      <c r="P115" s="16"/>
    </row>
    <row r="116" spans="15:16" ht="16.5" customHeight="1">
      <c r="O116" s="16"/>
      <c r="P116" s="16"/>
    </row>
    <row r="117" spans="15:16" ht="16.5" customHeight="1">
      <c r="O117" s="16"/>
      <c r="P117" s="16"/>
    </row>
    <row r="118" spans="15:16" ht="16.5" customHeight="1">
      <c r="O118" s="16"/>
      <c r="P118" s="16"/>
    </row>
    <row r="119" spans="15:16" ht="16.5" customHeight="1">
      <c r="O119" s="16"/>
      <c r="P119" s="16"/>
    </row>
    <row r="120" spans="15:16" ht="16.5" customHeight="1">
      <c r="O120" s="16"/>
      <c r="P120" s="16"/>
    </row>
    <row r="121" spans="15:16" ht="16.5" customHeight="1">
      <c r="O121" s="16"/>
      <c r="P121" s="16"/>
    </row>
    <row r="122" spans="15:16" ht="16.5" customHeight="1">
      <c r="O122" s="16"/>
      <c r="P122" s="16"/>
    </row>
    <row r="123" spans="15:16" ht="16.5" customHeight="1">
      <c r="O123" s="16"/>
      <c r="P123" s="16"/>
    </row>
    <row r="124" spans="15:16" ht="16.5" customHeight="1">
      <c r="O124" s="16"/>
      <c r="P124" s="16"/>
    </row>
    <row r="125" spans="15:16" ht="16.5" customHeight="1">
      <c r="O125" s="16"/>
      <c r="P125" s="16"/>
    </row>
    <row r="126" spans="15:16" ht="16.5" customHeight="1">
      <c r="O126" s="16"/>
      <c r="P126" s="16"/>
    </row>
    <row r="127" spans="15:16" ht="16.5" customHeight="1">
      <c r="O127" s="16"/>
      <c r="P127" s="16"/>
    </row>
    <row r="128" spans="15:16" ht="16.5" customHeight="1">
      <c r="O128" s="16"/>
      <c r="P128" s="16"/>
    </row>
    <row r="129" spans="15:16" ht="16.5" customHeight="1">
      <c r="O129" s="16"/>
      <c r="P129" s="16"/>
    </row>
    <row r="130" spans="15:16" ht="16.5" customHeight="1">
      <c r="O130" s="16"/>
      <c r="P130" s="16"/>
    </row>
    <row r="131" spans="15:16" ht="16.5" customHeight="1">
      <c r="O131" s="16"/>
      <c r="P131" s="16"/>
    </row>
    <row r="132" spans="15:16" ht="16.5" customHeight="1">
      <c r="O132" s="16"/>
      <c r="P132" s="16"/>
    </row>
    <row r="133" spans="15:16" ht="16.5" customHeight="1">
      <c r="O133" s="16"/>
      <c r="P133" s="16"/>
    </row>
    <row r="134" spans="15:16" ht="16.5" customHeight="1">
      <c r="O134" s="16"/>
      <c r="P134" s="16"/>
    </row>
    <row r="135" spans="15:16" ht="16.5" customHeight="1">
      <c r="O135" s="16"/>
      <c r="P135" s="16"/>
    </row>
    <row r="136" spans="15:16" ht="16.5" customHeight="1">
      <c r="O136" s="16"/>
      <c r="P136" s="16"/>
    </row>
    <row r="137" spans="15:16" ht="16.5" customHeight="1">
      <c r="O137" s="16"/>
      <c r="P137" s="16"/>
    </row>
    <row r="138" spans="15:16" ht="16.5" customHeight="1">
      <c r="O138" s="16"/>
      <c r="P138" s="16"/>
    </row>
    <row r="139" spans="15:16" ht="16.5" customHeight="1">
      <c r="O139" s="16"/>
      <c r="P139" s="16"/>
    </row>
    <row r="140" spans="15:16" ht="16.5" customHeight="1">
      <c r="O140" s="16"/>
      <c r="P140" s="16"/>
    </row>
    <row r="141" spans="15:16" ht="16.5" customHeight="1">
      <c r="O141" s="16"/>
      <c r="P141" s="16"/>
    </row>
    <row r="142" spans="15:16" ht="16.5" customHeight="1">
      <c r="O142" s="16"/>
      <c r="P142" s="16"/>
    </row>
    <row r="143" spans="15:16" ht="16.5" customHeight="1">
      <c r="O143" s="16"/>
      <c r="P143" s="16"/>
    </row>
    <row r="144" spans="15:16" ht="16.5" customHeight="1">
      <c r="O144" s="16"/>
      <c r="P144" s="16"/>
    </row>
    <row r="145" spans="15:16" ht="16.5" customHeight="1">
      <c r="O145" s="16"/>
      <c r="P145" s="16"/>
    </row>
    <row r="146" spans="15:16" ht="16.5" customHeight="1">
      <c r="O146" s="16"/>
      <c r="P146" s="16"/>
    </row>
    <row r="147" spans="15:16" ht="16.5" customHeight="1">
      <c r="O147" s="16"/>
      <c r="P147" s="16"/>
    </row>
    <row r="148" spans="15:16" ht="16.5" customHeight="1">
      <c r="O148" s="16"/>
      <c r="P148" s="16"/>
    </row>
    <row r="149" spans="15:16" ht="16.5" customHeight="1">
      <c r="O149" s="16"/>
      <c r="P149" s="16"/>
    </row>
    <row r="150" spans="15:16" ht="16.5" customHeight="1">
      <c r="O150" s="16"/>
      <c r="P150" s="16"/>
    </row>
    <row r="151" spans="15:16" ht="16.5" customHeight="1">
      <c r="O151" s="16"/>
      <c r="P151" s="16"/>
    </row>
    <row r="152" spans="15:16" ht="16.5" customHeight="1">
      <c r="O152" s="16"/>
      <c r="P152" s="16"/>
    </row>
    <row r="153" spans="15:16" ht="16.5" customHeight="1">
      <c r="O153" s="16"/>
      <c r="P153" s="16"/>
    </row>
    <row r="154" spans="15:16" ht="16.5" customHeight="1">
      <c r="O154" s="16"/>
      <c r="P154" s="16"/>
    </row>
    <row r="155" spans="15:16" ht="16.5" customHeight="1">
      <c r="O155" s="16"/>
      <c r="P155" s="16"/>
    </row>
    <row r="156" spans="15:16" ht="16.5" customHeight="1">
      <c r="O156" s="16"/>
      <c r="P156" s="16"/>
    </row>
    <row r="157" spans="15:16" ht="16.5" customHeight="1">
      <c r="O157" s="16"/>
      <c r="P157" s="16"/>
    </row>
    <row r="158" spans="15:16" ht="16.5" customHeight="1">
      <c r="O158" s="16"/>
      <c r="P158" s="16"/>
    </row>
    <row r="159" spans="15:16" ht="16.5" customHeight="1">
      <c r="O159" s="16"/>
      <c r="P159" s="16"/>
    </row>
    <row r="160" spans="15:16" ht="16.5" customHeight="1">
      <c r="O160" s="16"/>
      <c r="P160" s="16"/>
    </row>
    <row r="161" spans="15:16" ht="16.5" customHeight="1">
      <c r="O161" s="16"/>
      <c r="P161" s="16"/>
    </row>
    <row r="162" spans="15:16" ht="16.5" customHeight="1">
      <c r="O162" s="16"/>
      <c r="P162" s="16"/>
    </row>
    <row r="163" spans="15:16" ht="16.5" customHeight="1">
      <c r="O163" s="16"/>
      <c r="P163" s="16"/>
    </row>
    <row r="164" spans="15:16" ht="16.5" customHeight="1">
      <c r="O164" s="16"/>
      <c r="P164" s="16"/>
    </row>
    <row r="165" spans="15:16" ht="16.5" customHeight="1">
      <c r="O165" s="16"/>
      <c r="P165" s="16"/>
    </row>
    <row r="166" spans="15:16" ht="16.5" customHeight="1">
      <c r="O166" s="16"/>
      <c r="P166" s="16"/>
    </row>
    <row r="167" spans="15:16" ht="16.5" customHeight="1">
      <c r="O167" s="16"/>
      <c r="P167" s="16"/>
    </row>
    <row r="168" spans="15:16" ht="16.5" customHeight="1">
      <c r="O168" s="16"/>
      <c r="P168" s="16"/>
    </row>
    <row r="169" spans="15:16" ht="16.5" customHeight="1">
      <c r="O169" s="16"/>
      <c r="P169" s="16"/>
    </row>
    <row r="170" spans="15:16" ht="16.5" customHeight="1">
      <c r="O170" s="16"/>
      <c r="P170" s="16"/>
    </row>
    <row r="171" spans="15:16" ht="16.5" customHeight="1">
      <c r="O171" s="16"/>
      <c r="P171" s="16"/>
    </row>
    <row r="172" spans="15:16" ht="16.5" customHeight="1">
      <c r="O172" s="16"/>
      <c r="P172" s="16"/>
    </row>
    <row r="173" spans="15:16" ht="16.5" customHeight="1">
      <c r="O173" s="16"/>
      <c r="P173" s="16"/>
    </row>
    <row r="174" spans="15:16" ht="16.5" customHeight="1">
      <c r="O174" s="16"/>
      <c r="P174" s="16"/>
    </row>
    <row r="175" spans="15:16" ht="16.5" customHeight="1">
      <c r="O175" s="16"/>
      <c r="P175" s="16"/>
    </row>
    <row r="176" spans="15:16" ht="16.5" customHeight="1">
      <c r="O176" s="16"/>
      <c r="P176" s="16"/>
    </row>
    <row r="177" spans="15:16" ht="16.5" customHeight="1">
      <c r="O177" s="16"/>
      <c r="P177" s="16"/>
    </row>
    <row r="178" spans="15:16" ht="16.5" customHeight="1">
      <c r="O178" s="16"/>
      <c r="P178" s="16"/>
    </row>
    <row r="179" spans="15:16" ht="16.5" customHeight="1">
      <c r="O179" s="16"/>
      <c r="P179" s="16"/>
    </row>
    <row r="180" spans="15:16" ht="16.5" customHeight="1">
      <c r="O180" s="16"/>
      <c r="P180" s="16"/>
    </row>
    <row r="181" spans="15:16" ht="16.5" customHeight="1">
      <c r="O181" s="16"/>
      <c r="P181" s="16"/>
    </row>
    <row r="182" spans="15:16" ht="16.5" customHeight="1">
      <c r="O182" s="16"/>
      <c r="P182" s="16"/>
    </row>
    <row r="183" spans="15:16" ht="16.5" customHeight="1">
      <c r="O183" s="16"/>
      <c r="P183" s="16"/>
    </row>
    <row r="184" spans="15:16" ht="16.5" customHeight="1">
      <c r="O184" s="16"/>
      <c r="P184" s="16"/>
    </row>
    <row r="185" spans="15:16" ht="16.5" customHeight="1">
      <c r="O185" s="16"/>
      <c r="P185" s="16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7678-4587-4F2F-A763-0E819A9DBA65}">
  <dimension ref="B1:AE142"/>
  <sheetViews>
    <sheetView topLeftCell="A41" zoomScale="70" zoomScaleNormal="70" workbookViewId="0">
      <selection activeCell="H12" sqref="H12"/>
    </sheetView>
  </sheetViews>
  <sheetFormatPr defaultRowHeight="16.5" customHeight="1"/>
  <cols>
    <col min="2" max="2" width="38.5" bestFit="1" customWidth="1"/>
    <col min="3" max="3" width="46.125" bestFit="1" customWidth="1"/>
    <col min="4" max="4" width="16.5" customWidth="1"/>
    <col min="5" max="5" width="11.875" customWidth="1"/>
    <col min="6" max="6" width="16" customWidth="1"/>
    <col min="7" max="7" width="15.375" bestFit="1" customWidth="1"/>
    <col min="8" max="9" width="17" customWidth="1"/>
    <col min="10" max="10" width="27.875" bestFit="1" customWidth="1"/>
    <col min="11" max="11" width="15.75" bestFit="1" customWidth="1"/>
    <col min="12" max="12" width="19" bestFit="1" customWidth="1"/>
    <col min="13" max="13" width="27.875" bestFit="1" customWidth="1"/>
    <col min="14" max="14" width="9.5" bestFit="1" customWidth="1"/>
    <col min="15" max="15" width="20.5" bestFit="1" customWidth="1"/>
    <col min="16" max="16" width="33.75" bestFit="1" customWidth="1"/>
    <col min="17" max="17" width="33.625" customWidth="1"/>
    <col min="18" max="18" width="20.125" bestFit="1" customWidth="1"/>
    <col min="23" max="23" width="11.5" bestFit="1" customWidth="1"/>
  </cols>
  <sheetData>
    <row r="1" spans="2:31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623</v>
      </c>
      <c r="I1" s="47" t="s">
        <v>586</v>
      </c>
      <c r="J1" s="48" t="s">
        <v>587</v>
      </c>
      <c r="K1" s="2" t="s">
        <v>588</v>
      </c>
      <c r="L1" s="3" t="s">
        <v>589</v>
      </c>
      <c r="M1" s="2" t="s">
        <v>590</v>
      </c>
      <c r="N1" s="2" t="s">
        <v>591</v>
      </c>
      <c r="O1" s="2" t="s">
        <v>592</v>
      </c>
      <c r="P1" s="2" t="s">
        <v>593</v>
      </c>
      <c r="Q1" s="2" t="s">
        <v>594</v>
      </c>
      <c r="R1" s="54" t="s">
        <v>595</v>
      </c>
    </row>
    <row r="2" spans="2:31">
      <c r="B2" s="38" t="s">
        <v>596</v>
      </c>
      <c r="C2" s="39" t="s">
        <v>597</v>
      </c>
      <c r="D2" s="40" t="s">
        <v>598</v>
      </c>
      <c r="E2" s="39" t="s">
        <v>597</v>
      </c>
      <c r="F2" s="41" t="s">
        <v>386</v>
      </c>
      <c r="G2" s="41" t="s">
        <v>599</v>
      </c>
      <c r="H2" s="10" t="s">
        <v>624</v>
      </c>
      <c r="I2" s="43" t="s">
        <v>602</v>
      </c>
      <c r="J2" s="43" t="s">
        <v>603</v>
      </c>
      <c r="K2" s="44" t="s">
        <v>604</v>
      </c>
      <c r="L2" s="45" t="s">
        <v>605</v>
      </c>
      <c r="M2" s="51" t="s">
        <v>606</v>
      </c>
      <c r="N2" s="46" t="s">
        <v>607</v>
      </c>
      <c r="O2" s="43" t="s">
        <v>608</v>
      </c>
      <c r="P2" s="43" t="s">
        <v>609</v>
      </c>
      <c r="Q2" s="41" t="s">
        <v>610</v>
      </c>
      <c r="R2" s="55" t="s">
        <v>611</v>
      </c>
    </row>
    <row r="3" spans="2:31" ht="16.5" customHeight="1">
      <c r="B3" s="9" t="str">
        <f t="shared" ref="B3:B6" si="0">D3&amp;"_"&amp;F3&amp;"_"&amp;H3</f>
        <v>E_TRA0101_VM_SEOYOUNG_150</v>
      </c>
      <c r="C3" s="16" t="s">
        <v>168</v>
      </c>
      <c r="D3" s="16" t="s">
        <v>167</v>
      </c>
      <c r="E3" s="16" t="s">
        <v>625</v>
      </c>
      <c r="F3" s="16" t="s">
        <v>626</v>
      </c>
      <c r="G3" s="16"/>
      <c r="H3" s="16">
        <v>150</v>
      </c>
      <c r="I3" s="16" t="s">
        <v>621</v>
      </c>
      <c r="J3" s="16">
        <v>190</v>
      </c>
      <c r="K3" s="16">
        <v>16510</v>
      </c>
      <c r="L3" s="16"/>
      <c r="M3" s="16" t="s">
        <v>627</v>
      </c>
      <c r="N3" s="16" t="b">
        <v>1</v>
      </c>
      <c r="O3" s="16" t="str">
        <f>C3</f>
        <v>용융 케이블 트레이</v>
      </c>
      <c r="P3" s="16" t="str">
        <f t="shared" ref="P3:P12" si="1">"W"&amp;H3&amp;" × H100 × 2.3t"</f>
        <v>W150 × H100 × 2.3t</v>
      </c>
      <c r="R3" s="16"/>
      <c r="S3" s="16"/>
      <c r="T3" s="16"/>
      <c r="U3" s="16"/>
      <c r="V3" s="16"/>
      <c r="AB3" s="16"/>
      <c r="AC3" s="16"/>
      <c r="AD3" s="16"/>
      <c r="AE3" s="16"/>
    </row>
    <row r="4" spans="2:31" ht="16.5" customHeight="1">
      <c r="B4" s="9" t="str">
        <f t="shared" si="0"/>
        <v>E_TRA0101_VM_SEOYOUNG_200</v>
      </c>
      <c r="C4" s="16" t="s">
        <v>168</v>
      </c>
      <c r="D4" s="16" t="s">
        <v>167</v>
      </c>
      <c r="E4" s="16" t="s">
        <v>625</v>
      </c>
      <c r="F4" s="16" t="s">
        <v>626</v>
      </c>
      <c r="G4" s="16"/>
      <c r="H4" s="16">
        <v>200</v>
      </c>
      <c r="I4" s="16" t="s">
        <v>621</v>
      </c>
      <c r="J4" s="16">
        <v>191</v>
      </c>
      <c r="K4" s="16">
        <v>18250</v>
      </c>
      <c r="L4" s="16"/>
      <c r="M4" s="16" t="s">
        <v>627</v>
      </c>
      <c r="N4" s="16" t="b">
        <v>1</v>
      </c>
      <c r="O4" s="16" t="str">
        <f t="shared" ref="O4:O12" si="2">C4</f>
        <v>용융 케이블 트레이</v>
      </c>
      <c r="P4" s="16" t="str">
        <f t="shared" si="1"/>
        <v>W200 × H100 × 2.3t</v>
      </c>
      <c r="R4" s="16"/>
      <c r="S4" s="16"/>
      <c r="T4" s="16"/>
      <c r="U4" s="16"/>
      <c r="V4" s="16"/>
      <c r="AB4" s="16"/>
      <c r="AC4" s="16"/>
      <c r="AD4" s="16"/>
      <c r="AE4" s="16"/>
    </row>
    <row r="5" spans="2:31" ht="16.5" customHeight="1">
      <c r="B5" s="9" t="str">
        <f t="shared" si="0"/>
        <v>E_TRA0101_VM_SEOYOUNG_300</v>
      </c>
      <c r="C5" s="16" t="s">
        <v>168</v>
      </c>
      <c r="D5" s="16" t="s">
        <v>167</v>
      </c>
      <c r="E5" s="16" t="s">
        <v>625</v>
      </c>
      <c r="F5" s="16" t="s">
        <v>626</v>
      </c>
      <c r="G5" s="16"/>
      <c r="H5" s="16">
        <v>300</v>
      </c>
      <c r="I5" s="16" t="s">
        <v>621</v>
      </c>
      <c r="J5" s="16">
        <v>192</v>
      </c>
      <c r="K5" s="16">
        <v>20100</v>
      </c>
      <c r="L5" s="16"/>
      <c r="M5" s="16" t="s">
        <v>627</v>
      </c>
      <c r="N5" s="16" t="b">
        <v>1</v>
      </c>
      <c r="O5" s="16" t="str">
        <f t="shared" si="2"/>
        <v>용융 케이블 트레이</v>
      </c>
      <c r="P5" s="16" t="str">
        <f t="shared" si="1"/>
        <v>W300 × H100 × 2.3t</v>
      </c>
      <c r="R5" s="16"/>
      <c r="S5" s="16"/>
      <c r="T5" s="16"/>
      <c r="U5" s="16"/>
      <c r="V5" s="16"/>
      <c r="AB5" s="16"/>
      <c r="AC5" s="16"/>
      <c r="AD5" s="16"/>
      <c r="AE5" s="16"/>
    </row>
    <row r="6" spans="2:31" ht="16.5" customHeight="1">
      <c r="B6" s="9" t="str">
        <f t="shared" si="0"/>
        <v>E_TRA0101_VM_SEOYOUNG_400</v>
      </c>
      <c r="C6" s="16" t="s">
        <v>168</v>
      </c>
      <c r="D6" s="16" t="s">
        <v>167</v>
      </c>
      <c r="E6" s="16" t="s">
        <v>625</v>
      </c>
      <c r="F6" s="16" t="s">
        <v>626</v>
      </c>
      <c r="G6" s="16"/>
      <c r="H6" s="16">
        <v>400</v>
      </c>
      <c r="I6" s="16" t="s">
        <v>621</v>
      </c>
      <c r="J6" s="16">
        <v>193</v>
      </c>
      <c r="K6" s="16">
        <v>22340</v>
      </c>
      <c r="L6" s="16"/>
      <c r="M6" s="16" t="s">
        <v>627</v>
      </c>
      <c r="N6" s="16" t="b">
        <v>1</v>
      </c>
      <c r="O6" s="16" t="str">
        <f t="shared" si="2"/>
        <v>용융 케이블 트레이</v>
      </c>
      <c r="P6" s="16" t="str">
        <f t="shared" si="1"/>
        <v>W400 × H100 × 2.3t</v>
      </c>
      <c r="R6" s="16"/>
      <c r="S6" s="16"/>
      <c r="T6" s="16"/>
      <c r="U6" s="16"/>
      <c r="V6" s="16"/>
      <c r="AB6" s="16"/>
      <c r="AC6" s="16"/>
      <c r="AD6" s="16"/>
      <c r="AE6" s="16"/>
    </row>
    <row r="7" spans="2:31" ht="16.5" customHeight="1">
      <c r="B7" s="9" t="str">
        <f t="shared" ref="B7:B38" si="3">D7&amp;"_"&amp;F7&amp;"_"&amp;H7</f>
        <v>E_TRA0101_VM_SEOYOUNG_500</v>
      </c>
      <c r="C7" s="16" t="s">
        <v>168</v>
      </c>
      <c r="D7" s="16" t="s">
        <v>167</v>
      </c>
      <c r="E7" s="16" t="s">
        <v>625</v>
      </c>
      <c r="F7" s="16" t="s">
        <v>626</v>
      </c>
      <c r="G7" s="16"/>
      <c r="H7" s="16">
        <v>500</v>
      </c>
      <c r="I7" s="16" t="s">
        <v>621</v>
      </c>
      <c r="J7" s="16">
        <v>194</v>
      </c>
      <c r="K7" s="16">
        <v>23980</v>
      </c>
      <c r="L7" s="16"/>
      <c r="M7" s="16" t="s">
        <v>627</v>
      </c>
      <c r="N7" s="16" t="b">
        <v>1</v>
      </c>
      <c r="O7" s="16" t="str">
        <f t="shared" si="2"/>
        <v>용융 케이블 트레이</v>
      </c>
      <c r="P7" s="16" t="str">
        <f t="shared" si="1"/>
        <v>W500 × H100 × 2.3t</v>
      </c>
      <c r="R7" s="16"/>
      <c r="S7" s="16"/>
      <c r="T7" s="16"/>
      <c r="U7" s="16"/>
      <c r="V7" s="16"/>
      <c r="AB7" s="16"/>
      <c r="AC7" s="16"/>
      <c r="AD7" s="16"/>
      <c r="AE7" s="16"/>
    </row>
    <row r="8" spans="2:31" ht="16.5" customHeight="1">
      <c r="B8" s="9" t="str">
        <f t="shared" si="3"/>
        <v>E_TRA0101_VM_SEOYOUNG_600</v>
      </c>
      <c r="C8" s="16" t="s">
        <v>168</v>
      </c>
      <c r="D8" s="16" t="s">
        <v>167</v>
      </c>
      <c r="E8" s="16" t="s">
        <v>625</v>
      </c>
      <c r="F8" s="16" t="s">
        <v>626</v>
      </c>
      <c r="G8" s="16"/>
      <c r="H8" s="16">
        <v>600</v>
      </c>
      <c r="I8" s="16" t="s">
        <v>621</v>
      </c>
      <c r="J8" s="16">
        <v>195</v>
      </c>
      <c r="K8" s="16">
        <v>25220</v>
      </c>
      <c r="L8" s="16"/>
      <c r="M8" s="16" t="s">
        <v>627</v>
      </c>
      <c r="N8" s="16" t="b">
        <v>1</v>
      </c>
      <c r="O8" s="16" t="str">
        <f t="shared" si="2"/>
        <v>용융 케이블 트레이</v>
      </c>
      <c r="P8" s="16" t="str">
        <f t="shared" si="1"/>
        <v>W600 × H100 × 2.3t</v>
      </c>
      <c r="R8" s="16"/>
      <c r="S8" s="16"/>
      <c r="T8" s="16"/>
      <c r="U8" s="16"/>
      <c r="V8" s="16"/>
      <c r="AB8" s="16"/>
      <c r="AC8" s="16"/>
      <c r="AD8" s="16"/>
      <c r="AE8" s="16"/>
    </row>
    <row r="9" spans="2:31" ht="16.5" customHeight="1">
      <c r="B9" s="9" t="str">
        <f t="shared" si="3"/>
        <v>E_TRA0101_VM_SEOYOUNG_700</v>
      </c>
      <c r="C9" s="16" t="s">
        <v>168</v>
      </c>
      <c r="D9" s="16" t="s">
        <v>167</v>
      </c>
      <c r="E9" s="16" t="s">
        <v>625</v>
      </c>
      <c r="F9" s="16" t="s">
        <v>626</v>
      </c>
      <c r="G9" s="16"/>
      <c r="H9" s="16">
        <v>700</v>
      </c>
      <c r="I9" s="16" t="s">
        <v>621</v>
      </c>
      <c r="J9" s="16">
        <v>196</v>
      </c>
      <c r="K9" s="16">
        <v>27380</v>
      </c>
      <c r="L9" s="16"/>
      <c r="M9" s="16" t="s">
        <v>627</v>
      </c>
      <c r="N9" s="16" t="b">
        <v>1</v>
      </c>
      <c r="O9" s="16" t="str">
        <f t="shared" si="2"/>
        <v>용융 케이블 트레이</v>
      </c>
      <c r="P9" s="16" t="str">
        <f t="shared" si="1"/>
        <v>W700 × H100 × 2.3t</v>
      </c>
      <c r="R9" s="16"/>
      <c r="S9" s="16"/>
      <c r="T9" s="16"/>
      <c r="U9" s="16"/>
      <c r="V9" s="16"/>
      <c r="AB9" s="16"/>
      <c r="AC9" s="16"/>
      <c r="AD9" s="16"/>
      <c r="AE9" s="16"/>
    </row>
    <row r="10" spans="2:31" ht="16.5" customHeight="1">
      <c r="B10" s="9" t="str">
        <f t="shared" si="3"/>
        <v>E_TRA0101_VM_SEOYOUNG_800</v>
      </c>
      <c r="C10" s="16" t="s">
        <v>168</v>
      </c>
      <c r="D10" s="16" t="s">
        <v>167</v>
      </c>
      <c r="E10" s="16" t="s">
        <v>625</v>
      </c>
      <c r="F10" s="16" t="s">
        <v>626</v>
      </c>
      <c r="G10" s="16"/>
      <c r="H10" s="16">
        <v>800</v>
      </c>
      <c r="I10" s="16" t="s">
        <v>621</v>
      </c>
      <c r="J10" s="16">
        <v>197</v>
      </c>
      <c r="K10" s="16">
        <v>29650</v>
      </c>
      <c r="L10" s="16"/>
      <c r="M10" s="16" t="s">
        <v>627</v>
      </c>
      <c r="N10" s="16" t="b">
        <v>1</v>
      </c>
      <c r="O10" s="16" t="str">
        <f t="shared" si="2"/>
        <v>용융 케이블 트레이</v>
      </c>
      <c r="P10" s="16" t="str">
        <f t="shared" si="1"/>
        <v>W800 × H100 × 2.3t</v>
      </c>
      <c r="R10" s="16"/>
      <c r="S10" s="16"/>
      <c r="T10" s="16"/>
      <c r="U10" s="16"/>
      <c r="V10" s="16"/>
      <c r="AB10" s="16"/>
      <c r="AC10" s="16"/>
      <c r="AD10" s="16"/>
      <c r="AE10" s="16"/>
    </row>
    <row r="11" spans="2:31" ht="16.5" customHeight="1">
      <c r="B11" s="9" t="str">
        <f t="shared" si="3"/>
        <v>E_TRA0101_VM_SEOYOUNG_900</v>
      </c>
      <c r="C11" s="16" t="s">
        <v>168</v>
      </c>
      <c r="D11" s="16" t="s">
        <v>167</v>
      </c>
      <c r="E11" s="16" t="s">
        <v>625</v>
      </c>
      <c r="F11" s="16" t="s">
        <v>626</v>
      </c>
      <c r="G11" s="16"/>
      <c r="H11" s="16">
        <v>900</v>
      </c>
      <c r="I11" s="16" t="s">
        <v>621</v>
      </c>
      <c r="J11" s="16">
        <v>198</v>
      </c>
      <c r="K11" s="16">
        <v>30270</v>
      </c>
      <c r="L11" s="16"/>
      <c r="M11" s="16" t="s">
        <v>627</v>
      </c>
      <c r="N11" s="16" t="b">
        <v>1</v>
      </c>
      <c r="O11" s="16" t="str">
        <f t="shared" si="2"/>
        <v>용융 케이블 트레이</v>
      </c>
      <c r="P11" s="16" t="str">
        <f t="shared" si="1"/>
        <v>W900 × H100 × 2.3t</v>
      </c>
      <c r="R11" s="16"/>
      <c r="S11" s="16"/>
      <c r="T11" s="16"/>
      <c r="U11" s="16"/>
      <c r="V11" s="16"/>
      <c r="AB11" s="16"/>
      <c r="AC11" s="16"/>
      <c r="AD11" s="16"/>
      <c r="AE11" s="16"/>
    </row>
    <row r="12" spans="2:31" ht="16.5" customHeight="1">
      <c r="B12" s="9" t="str">
        <f t="shared" si="3"/>
        <v>E_TRA0101_VM_SEOYOUNG_1000</v>
      </c>
      <c r="C12" s="16" t="s">
        <v>168</v>
      </c>
      <c r="D12" s="16" t="s">
        <v>167</v>
      </c>
      <c r="E12" s="16" t="s">
        <v>625</v>
      </c>
      <c r="F12" s="16" t="s">
        <v>626</v>
      </c>
      <c r="G12" s="16"/>
      <c r="H12" s="16">
        <v>1000</v>
      </c>
      <c r="I12" s="16" t="s">
        <v>621</v>
      </c>
      <c r="J12" s="16">
        <v>199</v>
      </c>
      <c r="K12" s="16">
        <v>33100</v>
      </c>
      <c r="L12" s="16"/>
      <c r="M12" s="16" t="s">
        <v>627</v>
      </c>
      <c r="N12" s="16" t="b">
        <v>1</v>
      </c>
      <c r="O12" s="16" t="str">
        <f t="shared" si="2"/>
        <v>용융 케이블 트레이</v>
      </c>
      <c r="P12" s="16" t="str">
        <f t="shared" si="1"/>
        <v>W1000 × H100 × 2.3t</v>
      </c>
      <c r="R12" s="16"/>
      <c r="S12" s="16"/>
      <c r="T12" s="16"/>
      <c r="U12" s="16"/>
      <c r="V12" s="16"/>
      <c r="AB12" s="16"/>
      <c r="AC12" s="16"/>
      <c r="AD12" s="16"/>
      <c r="AE12" s="16"/>
    </row>
    <row r="13" spans="2:31" ht="16.5" customHeight="1">
      <c r="B13" s="9" t="str">
        <f t="shared" si="3"/>
        <v>E_TRA0201_VM_SEOYOUNG_150</v>
      </c>
      <c r="C13" s="16" t="s">
        <v>172</v>
      </c>
      <c r="D13" s="16" t="s">
        <v>171</v>
      </c>
      <c r="E13" s="16" t="s">
        <v>625</v>
      </c>
      <c r="F13" s="16" t="s">
        <v>626</v>
      </c>
      <c r="G13" s="16"/>
      <c r="H13" s="16">
        <v>150</v>
      </c>
      <c r="I13" s="16" t="s">
        <v>621</v>
      </c>
      <c r="J13" s="16">
        <v>142</v>
      </c>
      <c r="K13" s="16">
        <v>12690</v>
      </c>
      <c r="L13" s="16"/>
      <c r="M13" s="16" t="s">
        <v>627</v>
      </c>
      <c r="N13" s="16" t="b">
        <v>1</v>
      </c>
      <c r="O13" s="16" t="s">
        <v>172</v>
      </c>
      <c r="P13" s="16" t="str">
        <f t="shared" ref="P13:P22" si="4">"S/T, W"&amp;H13</f>
        <v>S/T, W150</v>
      </c>
      <c r="R13" s="16"/>
      <c r="S13" s="16"/>
      <c r="T13" s="16"/>
      <c r="U13" s="16"/>
      <c r="V13" s="16"/>
      <c r="AB13" s="16"/>
      <c r="AC13" s="16"/>
      <c r="AD13" s="16"/>
      <c r="AE13" s="16"/>
    </row>
    <row r="14" spans="2:31" ht="16.5" customHeight="1">
      <c r="B14" s="9" t="str">
        <f t="shared" si="3"/>
        <v>E_TRA0201_VM_SEOYOUNG_200</v>
      </c>
      <c r="C14" s="16" t="s">
        <v>172</v>
      </c>
      <c r="D14" s="16" t="s">
        <v>171</v>
      </c>
      <c r="E14" s="16" t="s">
        <v>625</v>
      </c>
      <c r="F14" s="16" t="s">
        <v>626</v>
      </c>
      <c r="G14" s="16"/>
      <c r="H14" s="16">
        <v>200</v>
      </c>
      <c r="I14" s="16" t="s">
        <v>621</v>
      </c>
      <c r="J14" s="16">
        <v>143</v>
      </c>
      <c r="K14" s="16">
        <v>14580</v>
      </c>
      <c r="L14" s="16"/>
      <c r="M14" s="16" t="s">
        <v>627</v>
      </c>
      <c r="N14" s="16" t="b">
        <v>1</v>
      </c>
      <c r="O14" s="16" t="s">
        <v>172</v>
      </c>
      <c r="P14" s="16" t="str">
        <f t="shared" si="4"/>
        <v>S/T, W200</v>
      </c>
      <c r="R14" s="16"/>
      <c r="S14" s="16"/>
      <c r="T14" s="16"/>
      <c r="U14" s="16"/>
      <c r="V14" s="16"/>
      <c r="AB14" s="16"/>
      <c r="AC14" s="16"/>
      <c r="AD14" s="16"/>
      <c r="AE14" s="16"/>
    </row>
    <row r="15" spans="2:31" ht="16.5" customHeight="1">
      <c r="B15" s="9" t="str">
        <f t="shared" si="3"/>
        <v>E_TRA0201_VM_SEOYOUNG_300</v>
      </c>
      <c r="C15" s="16" t="s">
        <v>172</v>
      </c>
      <c r="D15" s="16" t="s">
        <v>171</v>
      </c>
      <c r="E15" s="16" t="s">
        <v>625</v>
      </c>
      <c r="F15" s="16" t="s">
        <v>626</v>
      </c>
      <c r="G15" s="16"/>
      <c r="H15" s="16">
        <v>300</v>
      </c>
      <c r="I15" s="16" t="s">
        <v>621</v>
      </c>
      <c r="J15" s="16">
        <v>144</v>
      </c>
      <c r="K15" s="16">
        <v>22680</v>
      </c>
      <c r="L15" s="16"/>
      <c r="M15" s="16" t="s">
        <v>627</v>
      </c>
      <c r="N15" s="16" t="b">
        <v>1</v>
      </c>
      <c r="O15" s="16" t="s">
        <v>172</v>
      </c>
      <c r="P15" s="16" t="str">
        <f t="shared" si="4"/>
        <v>S/T, W300</v>
      </c>
      <c r="R15" s="16"/>
      <c r="S15" s="16"/>
      <c r="T15" s="16"/>
      <c r="U15" s="16"/>
      <c r="V15" s="16"/>
      <c r="AB15" s="16"/>
      <c r="AC15" s="16"/>
      <c r="AD15" s="16"/>
      <c r="AE15" s="16"/>
    </row>
    <row r="16" spans="2:31" ht="16.5" customHeight="1">
      <c r="B16" s="9" t="str">
        <f t="shared" si="3"/>
        <v>E_TRA0201_VM_SEOYOUNG_400</v>
      </c>
      <c r="C16" s="16" t="s">
        <v>172</v>
      </c>
      <c r="D16" s="16" t="s">
        <v>171</v>
      </c>
      <c r="E16" s="16" t="s">
        <v>625</v>
      </c>
      <c r="F16" s="16" t="s">
        <v>626</v>
      </c>
      <c r="G16" s="16"/>
      <c r="H16" s="16">
        <v>400</v>
      </c>
      <c r="I16" s="16" t="s">
        <v>621</v>
      </c>
      <c r="J16" s="16">
        <v>145</v>
      </c>
      <c r="K16" s="16">
        <v>26810</v>
      </c>
      <c r="L16" s="16"/>
      <c r="M16" s="16" t="s">
        <v>627</v>
      </c>
      <c r="N16" s="16" t="b">
        <v>1</v>
      </c>
      <c r="O16" s="16" t="s">
        <v>172</v>
      </c>
      <c r="P16" s="16" t="str">
        <f t="shared" si="4"/>
        <v>S/T, W400</v>
      </c>
      <c r="R16" s="16"/>
      <c r="S16" s="16"/>
      <c r="T16" s="16"/>
      <c r="U16" s="16"/>
      <c r="V16" s="16"/>
      <c r="AB16" s="16"/>
      <c r="AC16" s="16"/>
      <c r="AD16" s="16"/>
      <c r="AE16" s="16"/>
    </row>
    <row r="17" spans="2:31" ht="16.5" customHeight="1">
      <c r="B17" s="9" t="str">
        <f t="shared" si="3"/>
        <v>E_TRA0201_VM_SEOYOUNG_500</v>
      </c>
      <c r="C17" s="16" t="s">
        <v>172</v>
      </c>
      <c r="D17" s="16" t="s">
        <v>171</v>
      </c>
      <c r="E17" s="16" t="s">
        <v>625</v>
      </c>
      <c r="F17" s="16" t="s">
        <v>626</v>
      </c>
      <c r="G17" s="16"/>
      <c r="H17" s="16">
        <v>500</v>
      </c>
      <c r="I17" s="16" t="s">
        <v>621</v>
      </c>
      <c r="J17" s="16">
        <v>147</v>
      </c>
      <c r="K17" s="16">
        <v>42040</v>
      </c>
      <c r="L17" s="16"/>
      <c r="M17" s="16" t="s">
        <v>627</v>
      </c>
      <c r="N17" s="16" t="b">
        <v>1</v>
      </c>
      <c r="O17" s="16" t="s">
        <v>172</v>
      </c>
      <c r="P17" s="16" t="str">
        <f t="shared" si="4"/>
        <v>S/T, W500</v>
      </c>
      <c r="R17" s="16"/>
      <c r="S17" s="16"/>
      <c r="T17" s="16"/>
      <c r="U17" s="16"/>
      <c r="V17" s="16"/>
      <c r="AB17" s="16"/>
      <c r="AC17" s="16"/>
      <c r="AD17" s="16"/>
      <c r="AE17" s="16"/>
    </row>
    <row r="18" spans="2:31" ht="16.5" customHeight="1">
      <c r="B18" s="9" t="str">
        <f t="shared" si="3"/>
        <v>E_TRA0201_VM_SEOYOUNG_600</v>
      </c>
      <c r="C18" s="16" t="s">
        <v>172</v>
      </c>
      <c r="D18" s="16" t="s">
        <v>171</v>
      </c>
      <c r="E18" s="16" t="s">
        <v>625</v>
      </c>
      <c r="F18" s="16" t="s">
        <v>626</v>
      </c>
      <c r="G18" s="16"/>
      <c r="H18" s="16">
        <v>600</v>
      </c>
      <c r="I18" s="16" t="s">
        <v>621</v>
      </c>
      <c r="J18" s="16">
        <v>148</v>
      </c>
      <c r="K18" s="16">
        <v>48580</v>
      </c>
      <c r="L18" s="16"/>
      <c r="M18" s="16" t="s">
        <v>627</v>
      </c>
      <c r="N18" s="16" t="b">
        <v>1</v>
      </c>
      <c r="O18" s="16" t="s">
        <v>172</v>
      </c>
      <c r="P18" s="16" t="str">
        <f t="shared" si="4"/>
        <v>S/T, W600</v>
      </c>
      <c r="R18" s="16"/>
      <c r="S18" s="16"/>
      <c r="T18" s="16"/>
      <c r="U18" s="16"/>
      <c r="V18" s="16"/>
      <c r="AB18" s="16"/>
      <c r="AC18" s="16"/>
      <c r="AD18" s="16"/>
      <c r="AE18" s="16"/>
    </row>
    <row r="19" spans="2:31" ht="16.5" customHeight="1">
      <c r="B19" s="9" t="str">
        <f t="shared" si="3"/>
        <v>E_TRA0201_VM_SEOYOUNG_700</v>
      </c>
      <c r="C19" s="16" t="s">
        <v>172</v>
      </c>
      <c r="D19" s="16" t="s">
        <v>171</v>
      </c>
      <c r="E19" s="16" t="s">
        <v>625</v>
      </c>
      <c r="F19" s="16" t="s">
        <v>626</v>
      </c>
      <c r="G19" s="16"/>
      <c r="H19" s="16">
        <v>700</v>
      </c>
      <c r="I19" s="16" t="s">
        <v>621</v>
      </c>
      <c r="J19" s="16">
        <v>149</v>
      </c>
      <c r="K19" s="16">
        <v>59150</v>
      </c>
      <c r="L19" s="16"/>
      <c r="M19" s="16" t="s">
        <v>627</v>
      </c>
      <c r="N19" s="16" t="b">
        <v>1</v>
      </c>
      <c r="O19" s="16" t="s">
        <v>172</v>
      </c>
      <c r="P19" s="16" t="str">
        <f t="shared" si="4"/>
        <v>S/T, W700</v>
      </c>
      <c r="R19" s="16"/>
      <c r="S19" s="16"/>
      <c r="T19" s="16"/>
      <c r="U19" s="16"/>
      <c r="V19" s="16"/>
      <c r="AB19" s="16"/>
      <c r="AC19" s="16"/>
      <c r="AD19" s="16"/>
      <c r="AE19" s="16"/>
    </row>
    <row r="20" spans="2:31" ht="16.5" customHeight="1">
      <c r="B20" s="9" t="str">
        <f t="shared" si="3"/>
        <v>E_TRA0201_VM_SEOYOUNG_800</v>
      </c>
      <c r="C20" s="16" t="s">
        <v>172</v>
      </c>
      <c r="D20" s="16" t="s">
        <v>171</v>
      </c>
      <c r="E20" s="16" t="s">
        <v>625</v>
      </c>
      <c r="F20" s="16" t="s">
        <v>626</v>
      </c>
      <c r="G20" s="16"/>
      <c r="H20" s="16">
        <v>800</v>
      </c>
      <c r="I20" s="16" t="s">
        <v>621</v>
      </c>
      <c r="J20" s="16">
        <v>151</v>
      </c>
      <c r="K20" s="16">
        <v>69610</v>
      </c>
      <c r="L20" s="16"/>
      <c r="M20" s="16" t="s">
        <v>627</v>
      </c>
      <c r="N20" s="16" t="b">
        <v>1</v>
      </c>
      <c r="O20" s="16" t="s">
        <v>172</v>
      </c>
      <c r="P20" s="16" t="str">
        <f t="shared" si="4"/>
        <v>S/T, W800</v>
      </c>
      <c r="R20" s="16"/>
      <c r="S20" s="16"/>
      <c r="T20" s="16"/>
      <c r="U20" s="16"/>
      <c r="V20" s="16"/>
      <c r="AB20" s="16"/>
      <c r="AC20" s="16"/>
      <c r="AD20" s="16"/>
      <c r="AE20" s="16"/>
    </row>
    <row r="21" spans="2:31" ht="16.5" customHeight="1">
      <c r="B21" s="9" t="str">
        <f t="shared" si="3"/>
        <v>E_TRA0201_VM_SEOYOUNG_900</v>
      </c>
      <c r="C21" s="16" t="s">
        <v>172</v>
      </c>
      <c r="D21" s="16" t="s">
        <v>171</v>
      </c>
      <c r="E21" s="16" t="s">
        <v>625</v>
      </c>
      <c r="F21" s="16" t="s">
        <v>626</v>
      </c>
      <c r="G21" s="16"/>
      <c r="H21" s="16">
        <v>900</v>
      </c>
      <c r="I21" s="16" t="s">
        <v>621</v>
      </c>
      <c r="J21" s="16">
        <v>152</v>
      </c>
      <c r="K21" s="16">
        <v>74510</v>
      </c>
      <c r="L21" s="16"/>
      <c r="M21" s="16" t="s">
        <v>627</v>
      </c>
      <c r="N21" s="16" t="b">
        <v>1</v>
      </c>
      <c r="O21" s="16" t="s">
        <v>172</v>
      </c>
      <c r="P21" s="16" t="str">
        <f t="shared" si="4"/>
        <v>S/T, W900</v>
      </c>
      <c r="R21" s="16"/>
      <c r="S21" s="16"/>
      <c r="T21" s="16"/>
      <c r="U21" s="16"/>
      <c r="V21" s="16"/>
      <c r="AB21" s="16"/>
      <c r="AC21" s="16"/>
      <c r="AD21" s="16"/>
      <c r="AE21" s="16"/>
    </row>
    <row r="22" spans="2:31" ht="16.5" customHeight="1">
      <c r="B22" s="9" t="str">
        <f t="shared" si="3"/>
        <v>E_TRA0201_VM_SEOYOUNG_1000</v>
      </c>
      <c r="C22" s="16" t="s">
        <v>172</v>
      </c>
      <c r="D22" s="16" t="s">
        <v>171</v>
      </c>
      <c r="E22" s="16" t="s">
        <v>625</v>
      </c>
      <c r="F22" s="16" t="s">
        <v>626</v>
      </c>
      <c r="G22" s="16"/>
      <c r="H22" s="16">
        <v>1000</v>
      </c>
      <c r="I22" s="16" t="s">
        <v>621</v>
      </c>
      <c r="J22" s="16">
        <v>153</v>
      </c>
      <c r="K22" s="16">
        <v>90530</v>
      </c>
      <c r="L22" s="16"/>
      <c r="M22" s="16" t="s">
        <v>627</v>
      </c>
      <c r="N22" s="16" t="b">
        <v>1</v>
      </c>
      <c r="O22" s="16" t="s">
        <v>172</v>
      </c>
      <c r="P22" s="16" t="str">
        <f t="shared" si="4"/>
        <v>S/T, W1000</v>
      </c>
      <c r="R22" s="16"/>
      <c r="S22" s="16"/>
      <c r="T22" s="16"/>
      <c r="U22" s="16"/>
      <c r="V22" s="16"/>
      <c r="AB22" s="16"/>
      <c r="AC22" s="16"/>
      <c r="AD22" s="16"/>
      <c r="AE22" s="16"/>
    </row>
    <row r="23" spans="2:31" ht="16.5" customHeight="1">
      <c r="B23" s="9" t="str">
        <f t="shared" si="3"/>
        <v>E_TRA0202_VM_SEOYOUNG_150</v>
      </c>
      <c r="C23" s="16" t="s">
        <v>174</v>
      </c>
      <c r="D23" s="16" t="s">
        <v>173</v>
      </c>
      <c r="E23" s="16" t="s">
        <v>625</v>
      </c>
      <c r="F23" s="16" t="s">
        <v>626</v>
      </c>
      <c r="G23" s="16"/>
      <c r="H23" s="16">
        <v>150</v>
      </c>
      <c r="I23" s="16" t="s">
        <v>621</v>
      </c>
      <c r="J23" s="16">
        <v>154</v>
      </c>
      <c r="K23" s="16">
        <v>16500</v>
      </c>
      <c r="L23" s="16"/>
      <c r="M23" s="16" t="s">
        <v>627</v>
      </c>
      <c r="N23" s="16" t="b">
        <v>1</v>
      </c>
      <c r="O23" s="16" t="s">
        <v>172</v>
      </c>
      <c r="P23" s="16" t="str">
        <f t="shared" ref="P23:P32" si="5">"VER ELBOW, W"&amp;H23</f>
        <v>VER ELBOW, W150</v>
      </c>
      <c r="R23" s="16"/>
      <c r="S23" s="16"/>
      <c r="T23" s="16"/>
      <c r="U23" s="16"/>
      <c r="V23" s="16"/>
      <c r="AB23" s="16"/>
      <c r="AC23" s="16"/>
      <c r="AD23" s="16"/>
      <c r="AE23" s="16"/>
    </row>
    <row r="24" spans="2:31" ht="16.5" customHeight="1">
      <c r="B24" s="9" t="str">
        <f t="shared" si="3"/>
        <v>E_TRA0202_VM_SEOYOUNG_200</v>
      </c>
      <c r="C24" s="16" t="s">
        <v>174</v>
      </c>
      <c r="D24" s="16" t="s">
        <v>173</v>
      </c>
      <c r="E24" s="16" t="s">
        <v>625</v>
      </c>
      <c r="F24" s="16" t="s">
        <v>626</v>
      </c>
      <c r="G24" s="16"/>
      <c r="H24" s="16">
        <v>200</v>
      </c>
      <c r="I24" s="16" t="s">
        <v>621</v>
      </c>
      <c r="J24" s="16">
        <v>155</v>
      </c>
      <c r="K24" s="16">
        <v>18950</v>
      </c>
      <c r="L24" s="16"/>
      <c r="M24" s="16" t="s">
        <v>627</v>
      </c>
      <c r="N24" s="16" t="b">
        <v>1</v>
      </c>
      <c r="O24" s="16" t="s">
        <v>172</v>
      </c>
      <c r="P24" s="16" t="str">
        <f t="shared" si="5"/>
        <v>VER ELBOW, W200</v>
      </c>
      <c r="R24" s="16"/>
      <c r="S24" s="16"/>
      <c r="T24" s="16"/>
      <c r="U24" s="16"/>
      <c r="V24" s="16"/>
      <c r="AB24" s="16"/>
      <c r="AC24" s="16"/>
      <c r="AD24" s="16"/>
      <c r="AE24" s="16"/>
    </row>
    <row r="25" spans="2:31" ht="16.5" customHeight="1">
      <c r="B25" s="9" t="str">
        <f t="shared" si="3"/>
        <v>E_TRA0202_VM_SEOYOUNG_300</v>
      </c>
      <c r="C25" s="16" t="s">
        <v>174</v>
      </c>
      <c r="D25" s="16" t="s">
        <v>173</v>
      </c>
      <c r="E25" s="16" t="s">
        <v>625</v>
      </c>
      <c r="F25" s="16" t="s">
        <v>626</v>
      </c>
      <c r="G25" s="16"/>
      <c r="H25" s="16">
        <v>300</v>
      </c>
      <c r="I25" s="16" t="s">
        <v>621</v>
      </c>
      <c r="J25" s="16">
        <v>156</v>
      </c>
      <c r="K25" s="16">
        <v>27480</v>
      </c>
      <c r="L25" s="16"/>
      <c r="M25" s="16" t="s">
        <v>627</v>
      </c>
      <c r="N25" s="16" t="b">
        <v>1</v>
      </c>
      <c r="O25" s="16" t="s">
        <v>172</v>
      </c>
      <c r="P25" s="16" t="str">
        <f t="shared" si="5"/>
        <v>VER ELBOW, W300</v>
      </c>
      <c r="R25" s="16"/>
      <c r="S25" s="16"/>
      <c r="T25" s="16"/>
      <c r="U25" s="16"/>
      <c r="V25" s="16"/>
      <c r="AB25" s="16"/>
      <c r="AC25" s="16"/>
      <c r="AD25" s="16"/>
      <c r="AE25" s="16"/>
    </row>
    <row r="26" spans="2:31" ht="16.5" customHeight="1">
      <c r="B26" s="9" t="str">
        <f t="shared" si="3"/>
        <v>E_TRA0202_VM_SEOYOUNG_400</v>
      </c>
      <c r="C26" s="16" t="s">
        <v>174</v>
      </c>
      <c r="D26" s="16" t="s">
        <v>173</v>
      </c>
      <c r="E26" s="16" t="s">
        <v>625</v>
      </c>
      <c r="F26" s="16" t="s">
        <v>626</v>
      </c>
      <c r="G26" s="16"/>
      <c r="H26" s="16">
        <v>400</v>
      </c>
      <c r="I26" s="16" t="s">
        <v>621</v>
      </c>
      <c r="J26" s="16">
        <v>157</v>
      </c>
      <c r="K26" s="16">
        <v>32170</v>
      </c>
      <c r="L26" s="16"/>
      <c r="M26" s="16" t="s">
        <v>627</v>
      </c>
      <c r="N26" s="16" t="b">
        <v>1</v>
      </c>
      <c r="O26" s="16" t="s">
        <v>172</v>
      </c>
      <c r="P26" s="16" t="str">
        <f t="shared" si="5"/>
        <v>VER ELBOW, W400</v>
      </c>
      <c r="R26" s="16"/>
      <c r="S26" s="16"/>
      <c r="T26" s="16"/>
      <c r="U26" s="16"/>
      <c r="V26" s="16"/>
      <c r="AB26" s="16"/>
      <c r="AC26" s="16"/>
      <c r="AD26" s="16"/>
      <c r="AE26" s="16"/>
    </row>
    <row r="27" spans="2:31" ht="16.5" customHeight="1">
      <c r="B27" s="9" t="str">
        <f t="shared" si="3"/>
        <v>E_TRA0202_VM_SEOYOUNG_500</v>
      </c>
      <c r="C27" s="16" t="s">
        <v>174</v>
      </c>
      <c r="D27" s="16" t="s">
        <v>173</v>
      </c>
      <c r="E27" s="16" t="s">
        <v>625</v>
      </c>
      <c r="F27" s="16" t="s">
        <v>626</v>
      </c>
      <c r="G27" s="16"/>
      <c r="H27" s="16">
        <v>500</v>
      </c>
      <c r="I27" s="16" t="s">
        <v>621</v>
      </c>
      <c r="J27" s="16">
        <v>159</v>
      </c>
      <c r="K27" s="16">
        <v>50450</v>
      </c>
      <c r="L27" s="16"/>
      <c r="M27" s="16" t="s">
        <v>627</v>
      </c>
      <c r="N27" s="16" t="b">
        <v>1</v>
      </c>
      <c r="O27" s="16" t="s">
        <v>172</v>
      </c>
      <c r="P27" s="16" t="str">
        <f t="shared" si="5"/>
        <v>VER ELBOW, W500</v>
      </c>
      <c r="R27" s="16"/>
      <c r="S27" s="16"/>
      <c r="T27" s="16"/>
      <c r="U27" s="16"/>
      <c r="V27" s="16"/>
      <c r="AB27" s="16"/>
      <c r="AC27" s="16"/>
      <c r="AD27" s="16"/>
      <c r="AE27" s="16"/>
    </row>
    <row r="28" spans="2:31" ht="16.5" customHeight="1">
      <c r="B28" s="9" t="str">
        <f t="shared" si="3"/>
        <v>E_TRA0202_VM_SEOYOUNG_600</v>
      </c>
      <c r="C28" s="16" t="s">
        <v>174</v>
      </c>
      <c r="D28" s="16" t="s">
        <v>173</v>
      </c>
      <c r="E28" s="16" t="s">
        <v>625</v>
      </c>
      <c r="F28" s="16" t="s">
        <v>626</v>
      </c>
      <c r="G28" s="16"/>
      <c r="H28" s="16">
        <v>600</v>
      </c>
      <c r="I28" s="16" t="s">
        <v>621</v>
      </c>
      <c r="J28" s="16">
        <v>160</v>
      </c>
      <c r="K28" s="16">
        <v>58300</v>
      </c>
      <c r="L28" s="16"/>
      <c r="M28" s="16" t="s">
        <v>627</v>
      </c>
      <c r="N28" s="16" t="b">
        <v>1</v>
      </c>
      <c r="O28" s="16" t="s">
        <v>172</v>
      </c>
      <c r="P28" s="16" t="str">
        <f t="shared" si="5"/>
        <v>VER ELBOW, W600</v>
      </c>
      <c r="R28" s="16"/>
      <c r="S28" s="16"/>
      <c r="T28" s="16"/>
      <c r="U28" s="16"/>
      <c r="V28" s="16"/>
      <c r="AB28" s="16"/>
      <c r="AC28" s="16"/>
      <c r="AD28" s="16"/>
      <c r="AE28" s="16"/>
    </row>
    <row r="29" spans="2:31" ht="16.5" customHeight="1">
      <c r="B29" s="9" t="str">
        <f t="shared" si="3"/>
        <v>E_TRA0202_VM_SEOYOUNG_700</v>
      </c>
      <c r="C29" s="16" t="s">
        <v>174</v>
      </c>
      <c r="D29" s="16" t="s">
        <v>173</v>
      </c>
      <c r="E29" s="16" t="s">
        <v>625</v>
      </c>
      <c r="F29" s="16" t="s">
        <v>626</v>
      </c>
      <c r="G29" s="16"/>
      <c r="H29" s="16">
        <v>700</v>
      </c>
      <c r="I29" s="16" t="s">
        <v>621</v>
      </c>
      <c r="J29" s="16">
        <v>161</v>
      </c>
      <c r="K29" s="16">
        <v>70980</v>
      </c>
      <c r="L29" s="16"/>
      <c r="M29" s="16" t="s">
        <v>627</v>
      </c>
      <c r="N29" s="16" t="b">
        <v>1</v>
      </c>
      <c r="O29" s="16" t="s">
        <v>172</v>
      </c>
      <c r="P29" s="16" t="str">
        <f t="shared" si="5"/>
        <v>VER ELBOW, W700</v>
      </c>
      <c r="R29" s="16"/>
      <c r="S29" s="16"/>
      <c r="T29" s="16"/>
      <c r="U29" s="16"/>
      <c r="V29" s="16"/>
      <c r="AB29" s="16"/>
      <c r="AC29" s="16"/>
      <c r="AD29" s="16"/>
      <c r="AE29" s="16"/>
    </row>
    <row r="30" spans="2:31" ht="16.5" customHeight="1">
      <c r="B30" s="9" t="str">
        <f t="shared" si="3"/>
        <v>E_TRA0202_VM_SEOYOUNG_800</v>
      </c>
      <c r="C30" s="16" t="s">
        <v>174</v>
      </c>
      <c r="D30" s="16" t="s">
        <v>173</v>
      </c>
      <c r="E30" s="16" t="s">
        <v>625</v>
      </c>
      <c r="F30" s="16" t="s">
        <v>626</v>
      </c>
      <c r="G30" s="16"/>
      <c r="H30" s="16">
        <v>800</v>
      </c>
      <c r="I30" s="16" t="s">
        <v>621</v>
      </c>
      <c r="J30" s="16">
        <v>163</v>
      </c>
      <c r="K30" s="16">
        <v>83530</v>
      </c>
      <c r="L30" s="16"/>
      <c r="M30" s="16" t="s">
        <v>627</v>
      </c>
      <c r="N30" s="16" t="b">
        <v>1</v>
      </c>
      <c r="O30" s="16" t="s">
        <v>172</v>
      </c>
      <c r="P30" s="16" t="str">
        <f t="shared" si="5"/>
        <v>VER ELBOW, W800</v>
      </c>
      <c r="R30" s="16"/>
      <c r="S30" s="16"/>
      <c r="T30" s="16"/>
      <c r="U30" s="16"/>
      <c r="V30" s="16"/>
      <c r="AB30" s="16"/>
      <c r="AC30" s="16"/>
      <c r="AD30" s="16"/>
      <c r="AE30" s="16"/>
    </row>
    <row r="31" spans="2:31" ht="16.5" customHeight="1">
      <c r="B31" s="9" t="str">
        <f t="shared" si="3"/>
        <v>E_TRA0202_VM_SEOYOUNG_900</v>
      </c>
      <c r="C31" s="16" t="s">
        <v>174</v>
      </c>
      <c r="D31" s="16" t="s">
        <v>173</v>
      </c>
      <c r="E31" s="16" t="s">
        <v>625</v>
      </c>
      <c r="F31" s="16" t="s">
        <v>626</v>
      </c>
      <c r="G31" s="16"/>
      <c r="H31" s="16">
        <v>900</v>
      </c>
      <c r="I31" s="16" t="s">
        <v>621</v>
      </c>
      <c r="J31" s="16">
        <v>164</v>
      </c>
      <c r="K31" s="16">
        <v>89410</v>
      </c>
      <c r="L31" s="16"/>
      <c r="M31" s="16" t="s">
        <v>627</v>
      </c>
      <c r="N31" s="16" t="b">
        <v>1</v>
      </c>
      <c r="O31" s="16" t="s">
        <v>172</v>
      </c>
      <c r="P31" s="16" t="str">
        <f t="shared" si="5"/>
        <v>VER ELBOW, W900</v>
      </c>
      <c r="R31" s="16"/>
      <c r="S31" s="16"/>
      <c r="T31" s="16"/>
      <c r="U31" s="16"/>
      <c r="V31" s="16"/>
      <c r="AB31" s="16"/>
      <c r="AC31" s="16"/>
      <c r="AD31" s="16"/>
      <c r="AE31" s="16"/>
    </row>
    <row r="32" spans="2:31" ht="16.5" customHeight="1">
      <c r="B32" s="9" t="str">
        <f t="shared" si="3"/>
        <v>E_TRA0202_VM_SEOYOUNG_1000</v>
      </c>
      <c r="C32" s="16" t="s">
        <v>174</v>
      </c>
      <c r="D32" s="16" t="s">
        <v>173</v>
      </c>
      <c r="E32" s="16" t="s">
        <v>625</v>
      </c>
      <c r="F32" s="16" t="s">
        <v>626</v>
      </c>
      <c r="G32" s="16"/>
      <c r="H32" s="16">
        <v>1000</v>
      </c>
      <c r="I32" s="16" t="s">
        <v>621</v>
      </c>
      <c r="J32" s="16">
        <v>165</v>
      </c>
      <c r="K32" s="16">
        <v>108640</v>
      </c>
      <c r="L32" s="16"/>
      <c r="M32" s="16" t="s">
        <v>627</v>
      </c>
      <c r="N32" s="16" t="b">
        <v>1</v>
      </c>
      <c r="O32" s="16" t="s">
        <v>172</v>
      </c>
      <c r="P32" s="16" t="str">
        <f t="shared" si="5"/>
        <v>VER ELBOW, W1000</v>
      </c>
      <c r="R32" s="16"/>
      <c r="S32" s="16"/>
      <c r="T32" s="16"/>
      <c r="U32" s="16"/>
      <c r="V32" s="16"/>
      <c r="AB32" s="16"/>
      <c r="AC32" s="16"/>
      <c r="AD32" s="16"/>
      <c r="AE32" s="16"/>
    </row>
    <row r="33" spans="2:31" ht="16.5" customHeight="1">
      <c r="B33" s="9" t="str">
        <f t="shared" si="3"/>
        <v>E_TRA0203_VM_SEOYOUNG_150</v>
      </c>
      <c r="C33" s="16" t="s">
        <v>176</v>
      </c>
      <c r="D33" s="16" t="s">
        <v>175</v>
      </c>
      <c r="E33" s="16" t="s">
        <v>625</v>
      </c>
      <c r="F33" s="16" t="s">
        <v>626</v>
      </c>
      <c r="G33" s="16"/>
      <c r="H33" s="16">
        <v>150</v>
      </c>
      <c r="I33" s="16" t="s">
        <v>621</v>
      </c>
      <c r="J33" s="16">
        <v>166</v>
      </c>
      <c r="K33" s="16">
        <v>15260</v>
      </c>
      <c r="L33" s="16"/>
      <c r="M33" s="16" t="s">
        <v>627</v>
      </c>
      <c r="N33" s="16" t="b">
        <v>1</v>
      </c>
      <c r="O33" s="16" t="s">
        <v>628</v>
      </c>
      <c r="P33" s="16" t="str">
        <f t="shared" ref="P33:P42" si="6">"용융 HOR. ELBOW, W"&amp;H33&amp;" × H100"</f>
        <v>용융 HOR. ELBOW, W150 × H100</v>
      </c>
      <c r="R33" s="16"/>
      <c r="S33" s="16"/>
      <c r="T33" s="16"/>
      <c r="U33" s="16"/>
      <c r="V33" s="16"/>
      <c r="AB33" s="16"/>
      <c r="AC33" s="16"/>
      <c r="AD33" s="16"/>
      <c r="AE33" s="16"/>
    </row>
    <row r="34" spans="2:31" ht="16.5" customHeight="1">
      <c r="B34" s="9" t="str">
        <f t="shared" si="3"/>
        <v>E_TRA0203_VM_SEOYOUNG_200</v>
      </c>
      <c r="C34" s="16" t="s">
        <v>176</v>
      </c>
      <c r="D34" s="16" t="s">
        <v>175</v>
      </c>
      <c r="E34" s="16" t="s">
        <v>625</v>
      </c>
      <c r="F34" s="16" t="s">
        <v>626</v>
      </c>
      <c r="G34" s="16"/>
      <c r="H34" s="16">
        <v>200</v>
      </c>
      <c r="I34" s="16" t="s">
        <v>621</v>
      </c>
      <c r="J34" s="16">
        <v>167</v>
      </c>
      <c r="K34" s="16">
        <v>17030</v>
      </c>
      <c r="L34" s="16"/>
      <c r="M34" s="16" t="s">
        <v>627</v>
      </c>
      <c r="N34" s="16" t="b">
        <v>1</v>
      </c>
      <c r="O34" s="16" t="s">
        <v>628</v>
      </c>
      <c r="P34" s="16" t="str">
        <f t="shared" si="6"/>
        <v>용융 HOR. ELBOW, W200 × H100</v>
      </c>
      <c r="R34" s="16"/>
      <c r="S34" s="16"/>
      <c r="T34" s="16"/>
      <c r="U34" s="16"/>
      <c r="V34" s="16"/>
      <c r="AB34" s="16"/>
      <c r="AC34" s="16"/>
      <c r="AD34" s="16"/>
      <c r="AE34" s="16"/>
    </row>
    <row r="35" spans="2:31" ht="16.5" customHeight="1">
      <c r="B35" s="9" t="str">
        <f t="shared" si="3"/>
        <v>E_TRA0203_VM_SEOYOUNG_300</v>
      </c>
      <c r="C35" s="16" t="s">
        <v>176</v>
      </c>
      <c r="D35" s="16" t="s">
        <v>175</v>
      </c>
      <c r="E35" s="16" t="s">
        <v>625</v>
      </c>
      <c r="F35" s="16" t="s">
        <v>626</v>
      </c>
      <c r="G35" s="16"/>
      <c r="H35" s="16">
        <v>300</v>
      </c>
      <c r="I35" s="16" t="s">
        <v>621</v>
      </c>
      <c r="J35" s="16">
        <v>168</v>
      </c>
      <c r="K35" s="16">
        <v>23120</v>
      </c>
      <c r="L35" s="16"/>
      <c r="M35" s="16" t="s">
        <v>627</v>
      </c>
      <c r="N35" s="16" t="b">
        <v>1</v>
      </c>
      <c r="O35" s="16" t="s">
        <v>628</v>
      </c>
      <c r="P35" s="16" t="str">
        <f t="shared" si="6"/>
        <v>용융 HOR. ELBOW, W300 × H100</v>
      </c>
      <c r="R35" s="16"/>
      <c r="S35" s="16"/>
      <c r="T35" s="16"/>
      <c r="U35" s="16"/>
      <c r="V35" s="16"/>
      <c r="AB35" s="16"/>
      <c r="AC35" s="16"/>
      <c r="AD35" s="16"/>
      <c r="AE35" s="16"/>
    </row>
    <row r="36" spans="2:31" ht="16.5" customHeight="1">
      <c r="B36" s="9" t="str">
        <f t="shared" si="3"/>
        <v>E_TRA0203_VM_SEOYOUNG_400</v>
      </c>
      <c r="C36" s="16" t="s">
        <v>176</v>
      </c>
      <c r="D36" s="16" t="s">
        <v>175</v>
      </c>
      <c r="E36" s="16" t="s">
        <v>625</v>
      </c>
      <c r="F36" s="16" t="s">
        <v>626</v>
      </c>
      <c r="G36" s="16"/>
      <c r="H36" s="16">
        <v>400</v>
      </c>
      <c r="I36" s="16" t="s">
        <v>621</v>
      </c>
      <c r="J36" s="16">
        <v>169</v>
      </c>
      <c r="K36" s="16">
        <v>27120</v>
      </c>
      <c r="L36" s="16"/>
      <c r="M36" s="16" t="s">
        <v>627</v>
      </c>
      <c r="N36" s="16" t="b">
        <v>1</v>
      </c>
      <c r="O36" s="16" t="s">
        <v>628</v>
      </c>
      <c r="P36" s="16" t="str">
        <f t="shared" si="6"/>
        <v>용융 HOR. ELBOW, W400 × H100</v>
      </c>
      <c r="R36" s="16"/>
      <c r="S36" s="16"/>
      <c r="T36" s="16"/>
      <c r="U36" s="16"/>
      <c r="V36" s="16"/>
      <c r="AB36" s="16"/>
      <c r="AC36" s="16"/>
      <c r="AD36" s="16"/>
      <c r="AE36" s="16"/>
    </row>
    <row r="37" spans="2:31" ht="16.5" customHeight="1">
      <c r="B37" s="9" t="str">
        <f t="shared" si="3"/>
        <v>E_TRA0203_VM_SEOYOUNG_500</v>
      </c>
      <c r="C37" s="16" t="s">
        <v>176</v>
      </c>
      <c r="D37" s="16" t="s">
        <v>175</v>
      </c>
      <c r="E37" s="16" t="s">
        <v>625</v>
      </c>
      <c r="F37" s="16" t="s">
        <v>626</v>
      </c>
      <c r="G37" s="16"/>
      <c r="H37" s="16">
        <v>500</v>
      </c>
      <c r="I37" s="16" t="s">
        <v>621</v>
      </c>
      <c r="J37" s="16">
        <v>171</v>
      </c>
      <c r="K37" s="16">
        <v>31620</v>
      </c>
      <c r="L37" s="16"/>
      <c r="M37" s="16" t="s">
        <v>627</v>
      </c>
      <c r="N37" s="16" t="b">
        <v>1</v>
      </c>
      <c r="O37" s="16" t="s">
        <v>628</v>
      </c>
      <c r="P37" s="16" t="str">
        <f t="shared" si="6"/>
        <v>용융 HOR. ELBOW, W500 × H100</v>
      </c>
      <c r="R37" s="16"/>
      <c r="S37" s="16"/>
      <c r="T37" s="16"/>
      <c r="U37" s="16"/>
      <c r="V37" s="16"/>
      <c r="AB37" s="16"/>
      <c r="AC37" s="16"/>
      <c r="AD37" s="16"/>
      <c r="AE37" s="16"/>
    </row>
    <row r="38" spans="2:31" ht="16.5" customHeight="1">
      <c r="B38" s="9" t="str">
        <f t="shared" si="3"/>
        <v>E_TRA0203_VM_SEOYOUNG_600</v>
      </c>
      <c r="C38" s="16" t="s">
        <v>176</v>
      </c>
      <c r="D38" s="16" t="s">
        <v>175</v>
      </c>
      <c r="E38" s="16" t="s">
        <v>625</v>
      </c>
      <c r="F38" s="16" t="s">
        <v>626</v>
      </c>
      <c r="G38" s="16"/>
      <c r="H38" s="16">
        <v>600</v>
      </c>
      <c r="I38" s="16" t="s">
        <v>621</v>
      </c>
      <c r="J38" s="16">
        <v>172</v>
      </c>
      <c r="K38" s="16">
        <v>36290</v>
      </c>
      <c r="L38" s="16"/>
      <c r="M38" s="16" t="s">
        <v>627</v>
      </c>
      <c r="N38" s="16" t="b">
        <v>1</v>
      </c>
      <c r="O38" s="16" t="s">
        <v>628</v>
      </c>
      <c r="P38" s="16" t="str">
        <f t="shared" si="6"/>
        <v>용융 HOR. ELBOW, W600 × H100</v>
      </c>
      <c r="R38" s="16"/>
      <c r="S38" s="16"/>
      <c r="T38" s="16"/>
      <c r="U38" s="16"/>
      <c r="V38" s="16"/>
      <c r="AB38" s="16"/>
      <c r="AC38" s="16"/>
      <c r="AD38" s="16"/>
      <c r="AE38" s="16"/>
    </row>
    <row r="39" spans="2:31" ht="16.5" customHeight="1">
      <c r="B39" s="9" t="str">
        <f t="shared" ref="B39:B62" si="7">D39&amp;"_"&amp;F39&amp;"_"&amp;H39</f>
        <v>E_TRA0203_VM_SEOYOUNG_700</v>
      </c>
      <c r="C39" s="16" t="s">
        <v>176</v>
      </c>
      <c r="D39" s="16" t="s">
        <v>175</v>
      </c>
      <c r="E39" s="16" t="s">
        <v>625</v>
      </c>
      <c r="F39" s="16" t="s">
        <v>626</v>
      </c>
      <c r="G39" s="16"/>
      <c r="H39" s="16">
        <v>700</v>
      </c>
      <c r="I39" s="16" t="s">
        <v>621</v>
      </c>
      <c r="J39" s="16">
        <v>173</v>
      </c>
      <c r="K39" s="16">
        <v>42930</v>
      </c>
      <c r="L39" s="16"/>
      <c r="M39" s="16" t="s">
        <v>627</v>
      </c>
      <c r="N39" s="16" t="b">
        <v>1</v>
      </c>
      <c r="O39" s="16" t="s">
        <v>628</v>
      </c>
      <c r="P39" s="16" t="str">
        <f t="shared" si="6"/>
        <v>용융 HOR. ELBOW, W700 × H100</v>
      </c>
      <c r="R39" s="16"/>
      <c r="S39" s="16"/>
      <c r="T39" s="16"/>
      <c r="U39" s="16"/>
      <c r="V39" s="16"/>
      <c r="AB39" s="16"/>
      <c r="AC39" s="16"/>
      <c r="AD39" s="16"/>
      <c r="AE39" s="16"/>
    </row>
    <row r="40" spans="2:31" ht="16.5" customHeight="1">
      <c r="B40" s="9" t="str">
        <f t="shared" si="7"/>
        <v>E_TRA0203_VM_SEOYOUNG_800</v>
      </c>
      <c r="C40" s="16" t="s">
        <v>176</v>
      </c>
      <c r="D40" s="16" t="s">
        <v>175</v>
      </c>
      <c r="E40" s="16" t="s">
        <v>625</v>
      </c>
      <c r="F40" s="16" t="s">
        <v>626</v>
      </c>
      <c r="G40" s="16"/>
      <c r="H40" s="16">
        <v>800</v>
      </c>
      <c r="I40" s="16" t="s">
        <v>621</v>
      </c>
      <c r="J40" s="16">
        <v>175</v>
      </c>
      <c r="K40" s="16">
        <v>47550</v>
      </c>
      <c r="L40" s="16"/>
      <c r="M40" s="16" t="s">
        <v>627</v>
      </c>
      <c r="N40" s="16" t="b">
        <v>1</v>
      </c>
      <c r="O40" s="16" t="s">
        <v>628</v>
      </c>
      <c r="P40" s="16" t="str">
        <f t="shared" si="6"/>
        <v>용융 HOR. ELBOW, W800 × H100</v>
      </c>
      <c r="R40" s="16"/>
      <c r="S40" s="16"/>
      <c r="T40" s="16"/>
      <c r="U40" s="16"/>
      <c r="V40" s="16"/>
      <c r="AB40" s="16"/>
      <c r="AC40" s="16"/>
      <c r="AD40" s="16"/>
      <c r="AE40" s="16"/>
    </row>
    <row r="41" spans="2:31" ht="16.5" customHeight="1">
      <c r="B41" s="9" t="str">
        <f t="shared" si="7"/>
        <v>E_TRA0203_VM_SEOYOUNG_900</v>
      </c>
      <c r="C41" s="16" t="s">
        <v>176</v>
      </c>
      <c r="D41" s="16" t="s">
        <v>175</v>
      </c>
      <c r="E41" s="16" t="s">
        <v>625</v>
      </c>
      <c r="F41" s="16" t="s">
        <v>626</v>
      </c>
      <c r="G41" s="16"/>
      <c r="H41" s="16">
        <v>900</v>
      </c>
      <c r="I41" s="16" t="s">
        <v>621</v>
      </c>
      <c r="J41" s="16">
        <v>176</v>
      </c>
      <c r="K41" s="16">
        <v>52340</v>
      </c>
      <c r="L41" s="16"/>
      <c r="M41" s="16" t="s">
        <v>627</v>
      </c>
      <c r="N41" s="16" t="b">
        <v>1</v>
      </c>
      <c r="O41" s="16" t="s">
        <v>628</v>
      </c>
      <c r="P41" s="16" t="str">
        <f t="shared" si="6"/>
        <v>용융 HOR. ELBOW, W900 × H100</v>
      </c>
      <c r="R41" s="16"/>
      <c r="S41" s="16"/>
      <c r="T41" s="16"/>
      <c r="U41" s="16"/>
      <c r="V41" s="16"/>
      <c r="AB41" s="16"/>
      <c r="AC41" s="16"/>
      <c r="AD41" s="16"/>
      <c r="AE41" s="16"/>
    </row>
    <row r="42" spans="2:31" ht="16.5" customHeight="1">
      <c r="B42" s="9" t="str">
        <f t="shared" si="7"/>
        <v>E_TRA0203_VM_SEOYOUNG_1000</v>
      </c>
      <c r="C42" s="16" t="s">
        <v>176</v>
      </c>
      <c r="D42" s="16" t="s">
        <v>175</v>
      </c>
      <c r="E42" s="16" t="s">
        <v>625</v>
      </c>
      <c r="F42" s="16" t="s">
        <v>626</v>
      </c>
      <c r="G42" s="16"/>
      <c r="H42" s="16">
        <v>1000</v>
      </c>
      <c r="I42" s="16" t="s">
        <v>621</v>
      </c>
      <c r="J42" s="16">
        <v>177</v>
      </c>
      <c r="K42" s="16">
        <v>62130</v>
      </c>
      <c r="L42" s="16"/>
      <c r="M42" s="16" t="s">
        <v>627</v>
      </c>
      <c r="N42" s="16" t="b">
        <v>1</v>
      </c>
      <c r="O42" s="16" t="s">
        <v>628</v>
      </c>
      <c r="P42" s="16" t="str">
        <f t="shared" si="6"/>
        <v>용융 HOR. ELBOW, W1000 × H100</v>
      </c>
      <c r="R42" s="16"/>
      <c r="S42" s="16"/>
      <c r="T42" s="16"/>
      <c r="U42" s="16"/>
      <c r="V42" s="16"/>
      <c r="AB42" s="16"/>
      <c r="AC42" s="16"/>
      <c r="AD42" s="16"/>
      <c r="AE42" s="16"/>
    </row>
    <row r="43" spans="2:31" ht="16.5" customHeight="1">
      <c r="B43" s="9" t="str">
        <f t="shared" si="7"/>
        <v>E_TRA0204_VM_SEOYOUNG_150</v>
      </c>
      <c r="C43" s="16" t="s">
        <v>178</v>
      </c>
      <c r="D43" s="16" t="s">
        <v>177</v>
      </c>
      <c r="E43" s="16" t="s">
        <v>625</v>
      </c>
      <c r="F43" s="16" t="s">
        <v>626</v>
      </c>
      <c r="G43" s="16"/>
      <c r="H43" s="16">
        <v>150</v>
      </c>
      <c r="I43" s="16" t="s">
        <v>621</v>
      </c>
      <c r="J43" s="16">
        <v>166</v>
      </c>
      <c r="K43" s="16">
        <v>15260</v>
      </c>
      <c r="L43" s="16"/>
      <c r="M43" s="16" t="s">
        <v>627</v>
      </c>
      <c r="N43" s="16" t="b">
        <v>1</v>
      </c>
      <c r="O43" s="16" t="s">
        <v>628</v>
      </c>
      <c r="P43" s="16" t="str">
        <f t="shared" ref="P43:P52" si="8">"용융 VER. ELBOW, W"&amp;H43&amp;" × H100"</f>
        <v>용융 VER. ELBOW, W150 × H100</v>
      </c>
      <c r="R43" s="16"/>
      <c r="S43" s="16"/>
      <c r="T43" s="16"/>
      <c r="U43" s="16"/>
      <c r="V43" s="16"/>
      <c r="AB43" s="16"/>
      <c r="AC43" s="16"/>
      <c r="AD43" s="16"/>
      <c r="AE43" s="16"/>
    </row>
    <row r="44" spans="2:31" ht="16.5" customHeight="1">
      <c r="B44" s="9" t="str">
        <f t="shared" si="7"/>
        <v>E_TRA0204_VM_SEOYOUNG_200</v>
      </c>
      <c r="C44" s="16" t="s">
        <v>178</v>
      </c>
      <c r="D44" s="16" t="s">
        <v>177</v>
      </c>
      <c r="E44" s="16" t="s">
        <v>625</v>
      </c>
      <c r="F44" s="16" t="s">
        <v>626</v>
      </c>
      <c r="G44" s="16"/>
      <c r="H44" s="16">
        <v>200</v>
      </c>
      <c r="I44" s="16" t="s">
        <v>621</v>
      </c>
      <c r="J44" s="16">
        <v>167</v>
      </c>
      <c r="K44" s="16">
        <v>17030</v>
      </c>
      <c r="L44" s="16"/>
      <c r="M44" s="16" t="s">
        <v>627</v>
      </c>
      <c r="N44" s="16" t="b">
        <v>1</v>
      </c>
      <c r="O44" s="16" t="s">
        <v>628</v>
      </c>
      <c r="P44" s="16" t="str">
        <f t="shared" si="8"/>
        <v>용융 VER. ELBOW, W200 × H100</v>
      </c>
      <c r="R44" s="16"/>
      <c r="S44" s="16"/>
      <c r="T44" s="16"/>
      <c r="U44" s="16"/>
      <c r="V44" s="16"/>
      <c r="AB44" s="16"/>
      <c r="AC44" s="16"/>
      <c r="AD44" s="16"/>
      <c r="AE44" s="16"/>
    </row>
    <row r="45" spans="2:31" ht="16.5" customHeight="1">
      <c r="B45" s="9" t="str">
        <f t="shared" si="7"/>
        <v>E_TRA0204_VM_SEOYOUNG_300</v>
      </c>
      <c r="C45" s="16" t="s">
        <v>178</v>
      </c>
      <c r="D45" s="16" t="s">
        <v>177</v>
      </c>
      <c r="E45" s="16" t="s">
        <v>625</v>
      </c>
      <c r="F45" s="16" t="s">
        <v>626</v>
      </c>
      <c r="G45" s="16"/>
      <c r="H45" s="16">
        <v>300</v>
      </c>
      <c r="I45" s="16" t="s">
        <v>621</v>
      </c>
      <c r="J45" s="16">
        <v>168</v>
      </c>
      <c r="K45" s="16">
        <v>23120</v>
      </c>
      <c r="L45" s="16"/>
      <c r="M45" s="16" t="s">
        <v>627</v>
      </c>
      <c r="N45" s="16" t="b">
        <v>1</v>
      </c>
      <c r="O45" s="16" t="s">
        <v>628</v>
      </c>
      <c r="P45" s="16" t="str">
        <f t="shared" si="8"/>
        <v>용융 VER. ELBOW, W300 × H100</v>
      </c>
      <c r="R45" s="16"/>
      <c r="S45" s="16"/>
      <c r="T45" s="16"/>
      <c r="U45" s="16"/>
      <c r="V45" s="16"/>
      <c r="AB45" s="16"/>
      <c r="AC45" s="16"/>
      <c r="AD45" s="16"/>
      <c r="AE45" s="16"/>
    </row>
    <row r="46" spans="2:31" ht="16.5" customHeight="1">
      <c r="B46" s="9" t="str">
        <f t="shared" si="7"/>
        <v>E_TRA0204_VM_SEOYOUNG_400</v>
      </c>
      <c r="C46" s="16" t="s">
        <v>178</v>
      </c>
      <c r="D46" s="16" t="s">
        <v>177</v>
      </c>
      <c r="E46" s="16" t="s">
        <v>625</v>
      </c>
      <c r="F46" s="16" t="s">
        <v>626</v>
      </c>
      <c r="G46" s="16"/>
      <c r="H46" s="16">
        <v>400</v>
      </c>
      <c r="I46" s="16" t="s">
        <v>621</v>
      </c>
      <c r="J46" s="16">
        <v>169</v>
      </c>
      <c r="K46" s="16">
        <v>27120</v>
      </c>
      <c r="L46" s="16"/>
      <c r="M46" s="16" t="s">
        <v>627</v>
      </c>
      <c r="N46" s="16" t="b">
        <v>1</v>
      </c>
      <c r="O46" s="16" t="s">
        <v>628</v>
      </c>
      <c r="P46" s="16" t="str">
        <f t="shared" si="8"/>
        <v>용융 VER. ELBOW, W400 × H100</v>
      </c>
      <c r="R46" s="16"/>
      <c r="S46" s="16"/>
      <c r="T46" s="16"/>
      <c r="U46" s="16"/>
      <c r="V46" s="16"/>
      <c r="AB46" s="16"/>
      <c r="AC46" s="16"/>
      <c r="AD46" s="16"/>
      <c r="AE46" s="16"/>
    </row>
    <row r="47" spans="2:31" ht="16.5" customHeight="1">
      <c r="B47" s="9" t="str">
        <f t="shared" si="7"/>
        <v>E_TRA0204_VM_SEOYOUNG_500</v>
      </c>
      <c r="C47" s="16" t="s">
        <v>178</v>
      </c>
      <c r="D47" s="16" t="s">
        <v>177</v>
      </c>
      <c r="E47" s="16" t="s">
        <v>625</v>
      </c>
      <c r="F47" s="16" t="s">
        <v>626</v>
      </c>
      <c r="G47" s="16"/>
      <c r="H47" s="16">
        <v>500</v>
      </c>
      <c r="I47" s="16" t="s">
        <v>621</v>
      </c>
      <c r="J47" s="16">
        <v>171</v>
      </c>
      <c r="K47" s="16">
        <v>31620</v>
      </c>
      <c r="L47" s="16"/>
      <c r="M47" s="16" t="s">
        <v>627</v>
      </c>
      <c r="N47" s="16" t="b">
        <v>1</v>
      </c>
      <c r="O47" s="16" t="s">
        <v>628</v>
      </c>
      <c r="P47" s="16" t="str">
        <f t="shared" si="8"/>
        <v>용융 VER. ELBOW, W500 × H100</v>
      </c>
      <c r="R47" s="16"/>
      <c r="S47" s="16"/>
      <c r="T47" s="16"/>
      <c r="U47" s="16"/>
      <c r="V47" s="16"/>
      <c r="AB47" s="16"/>
      <c r="AC47" s="16"/>
      <c r="AD47" s="16"/>
      <c r="AE47" s="16"/>
    </row>
    <row r="48" spans="2:31" ht="16.5" customHeight="1">
      <c r="B48" s="9" t="str">
        <f t="shared" si="7"/>
        <v>E_TRA0204_VM_SEOYOUNG_600</v>
      </c>
      <c r="C48" s="16" t="s">
        <v>178</v>
      </c>
      <c r="D48" s="16" t="s">
        <v>177</v>
      </c>
      <c r="E48" s="16" t="s">
        <v>625</v>
      </c>
      <c r="F48" s="16" t="s">
        <v>626</v>
      </c>
      <c r="G48" s="16"/>
      <c r="H48" s="16">
        <v>600</v>
      </c>
      <c r="I48" s="16" t="s">
        <v>621</v>
      </c>
      <c r="J48" s="16">
        <v>172</v>
      </c>
      <c r="K48" s="16">
        <v>36290</v>
      </c>
      <c r="L48" s="16"/>
      <c r="M48" s="16" t="s">
        <v>627</v>
      </c>
      <c r="N48" s="16" t="b">
        <v>1</v>
      </c>
      <c r="O48" s="16" t="s">
        <v>628</v>
      </c>
      <c r="P48" s="16" t="str">
        <f t="shared" si="8"/>
        <v>용융 VER. ELBOW, W600 × H100</v>
      </c>
      <c r="R48" s="16"/>
      <c r="S48" s="16"/>
      <c r="T48" s="16"/>
      <c r="U48" s="16"/>
      <c r="V48" s="16"/>
      <c r="AB48" s="16"/>
      <c r="AC48" s="16"/>
      <c r="AD48" s="16"/>
      <c r="AE48" s="16"/>
    </row>
    <row r="49" spans="2:31" ht="16.5" customHeight="1">
      <c r="B49" s="9" t="str">
        <f t="shared" si="7"/>
        <v>E_TRA0204_VM_SEOYOUNG_700</v>
      </c>
      <c r="C49" s="16" t="s">
        <v>178</v>
      </c>
      <c r="D49" s="16" t="s">
        <v>177</v>
      </c>
      <c r="E49" s="16" t="s">
        <v>625</v>
      </c>
      <c r="F49" s="16" t="s">
        <v>626</v>
      </c>
      <c r="G49" s="16"/>
      <c r="H49" s="16">
        <v>700</v>
      </c>
      <c r="I49" s="16" t="s">
        <v>621</v>
      </c>
      <c r="J49" s="16">
        <v>173</v>
      </c>
      <c r="K49" s="16">
        <v>42930</v>
      </c>
      <c r="L49" s="16"/>
      <c r="M49" s="16" t="s">
        <v>627</v>
      </c>
      <c r="N49" s="16" t="b">
        <v>1</v>
      </c>
      <c r="O49" s="16" t="s">
        <v>628</v>
      </c>
      <c r="P49" s="16" t="str">
        <f t="shared" si="8"/>
        <v>용융 VER. ELBOW, W700 × H100</v>
      </c>
      <c r="R49" s="16"/>
      <c r="S49" s="16"/>
      <c r="T49" s="16"/>
      <c r="U49" s="16"/>
      <c r="V49" s="16"/>
      <c r="AB49" s="16"/>
      <c r="AC49" s="16"/>
      <c r="AD49" s="16"/>
      <c r="AE49" s="16"/>
    </row>
    <row r="50" spans="2:31" ht="16.5" customHeight="1">
      <c r="B50" s="9" t="str">
        <f t="shared" si="7"/>
        <v>E_TRA0204_VM_SEOYOUNG_800</v>
      </c>
      <c r="C50" s="16" t="s">
        <v>178</v>
      </c>
      <c r="D50" s="16" t="s">
        <v>177</v>
      </c>
      <c r="E50" s="16" t="s">
        <v>625</v>
      </c>
      <c r="F50" s="16" t="s">
        <v>626</v>
      </c>
      <c r="G50" s="16"/>
      <c r="H50" s="16">
        <v>800</v>
      </c>
      <c r="I50" s="16" t="s">
        <v>621</v>
      </c>
      <c r="J50" s="16">
        <v>175</v>
      </c>
      <c r="K50" s="16">
        <v>47550</v>
      </c>
      <c r="L50" s="16"/>
      <c r="M50" s="16" t="s">
        <v>627</v>
      </c>
      <c r="N50" s="16" t="b">
        <v>1</v>
      </c>
      <c r="O50" s="16" t="s">
        <v>628</v>
      </c>
      <c r="P50" s="16" t="str">
        <f t="shared" si="8"/>
        <v>용융 VER. ELBOW, W800 × H100</v>
      </c>
      <c r="R50" s="16"/>
      <c r="S50" s="16"/>
      <c r="T50" s="16"/>
      <c r="U50" s="16"/>
      <c r="V50" s="16"/>
      <c r="AB50" s="16"/>
      <c r="AC50" s="16"/>
      <c r="AD50" s="16"/>
      <c r="AE50" s="16"/>
    </row>
    <row r="51" spans="2:31" ht="16.5" customHeight="1">
      <c r="B51" s="9" t="str">
        <f t="shared" si="7"/>
        <v>E_TRA0204_VM_SEOYOUNG_900</v>
      </c>
      <c r="C51" s="16" t="s">
        <v>178</v>
      </c>
      <c r="D51" s="16" t="s">
        <v>177</v>
      </c>
      <c r="E51" s="16" t="s">
        <v>625</v>
      </c>
      <c r="F51" s="16" t="s">
        <v>626</v>
      </c>
      <c r="G51" s="16"/>
      <c r="H51" s="16">
        <v>900</v>
      </c>
      <c r="I51" s="16" t="s">
        <v>621</v>
      </c>
      <c r="J51" s="16">
        <v>176</v>
      </c>
      <c r="K51" s="16">
        <v>52340</v>
      </c>
      <c r="L51" s="16"/>
      <c r="M51" s="16" t="s">
        <v>627</v>
      </c>
      <c r="N51" s="16" t="b">
        <v>1</v>
      </c>
      <c r="O51" s="16" t="s">
        <v>628</v>
      </c>
      <c r="P51" s="16" t="str">
        <f t="shared" si="8"/>
        <v>용융 VER. ELBOW, W900 × H100</v>
      </c>
      <c r="R51" s="16"/>
      <c r="S51" s="16"/>
      <c r="T51" s="16"/>
      <c r="U51" s="16"/>
      <c r="V51" s="16"/>
      <c r="AB51" s="16"/>
      <c r="AC51" s="16"/>
      <c r="AD51" s="16"/>
      <c r="AE51" s="16"/>
    </row>
    <row r="52" spans="2:31" ht="16.5" customHeight="1">
      <c r="B52" s="9" t="str">
        <f t="shared" si="7"/>
        <v>E_TRA0204_VM_SEOYOUNG_1000</v>
      </c>
      <c r="C52" s="16" t="s">
        <v>178</v>
      </c>
      <c r="D52" s="16" t="s">
        <v>177</v>
      </c>
      <c r="E52" s="16" t="s">
        <v>625</v>
      </c>
      <c r="F52" s="16" t="s">
        <v>626</v>
      </c>
      <c r="G52" s="16"/>
      <c r="H52" s="16">
        <v>1000</v>
      </c>
      <c r="I52" s="16" t="s">
        <v>621</v>
      </c>
      <c r="J52" s="16">
        <v>177</v>
      </c>
      <c r="K52" s="16">
        <v>62130</v>
      </c>
      <c r="L52" s="16"/>
      <c r="M52" s="16" t="s">
        <v>627</v>
      </c>
      <c r="N52" s="16" t="b">
        <v>1</v>
      </c>
      <c r="O52" s="16" t="s">
        <v>628</v>
      </c>
      <c r="P52" s="16" t="str">
        <f t="shared" si="8"/>
        <v>용융 VER. ELBOW, W1000 × H100</v>
      </c>
      <c r="R52" s="16"/>
      <c r="S52" s="16"/>
      <c r="T52" s="16"/>
      <c r="U52" s="16"/>
      <c r="V52" s="16"/>
      <c r="AB52" s="16"/>
      <c r="AC52" s="16"/>
      <c r="AD52" s="16"/>
      <c r="AE52" s="16"/>
    </row>
    <row r="53" spans="2:31" ht="16.5" customHeight="1">
      <c r="B53" s="9" t="str">
        <f t="shared" si="7"/>
        <v>E_TRA0205_VM_SEOYOUNG_150</v>
      </c>
      <c r="C53" s="16" t="s">
        <v>180</v>
      </c>
      <c r="D53" s="16" t="s">
        <v>179</v>
      </c>
      <c r="E53" s="16" t="s">
        <v>625</v>
      </c>
      <c r="F53" s="16" t="s">
        <v>626</v>
      </c>
      <c r="G53" s="16"/>
      <c r="H53" s="16">
        <v>150</v>
      </c>
      <c r="I53" s="16" t="s">
        <v>621</v>
      </c>
      <c r="J53" s="16">
        <v>178</v>
      </c>
      <c r="K53" s="16">
        <v>24210</v>
      </c>
      <c r="L53" s="16"/>
      <c r="M53" s="16" t="s">
        <v>627</v>
      </c>
      <c r="N53" s="16" t="b">
        <v>1</v>
      </c>
      <c r="O53" s="16" t="s">
        <v>628</v>
      </c>
      <c r="P53" s="16" t="str">
        <f t="shared" ref="P53:P62" si="9">"용융 HOR. TEE, W"&amp;H53&amp;" × H100"</f>
        <v>용융 HOR. TEE, W150 × H100</v>
      </c>
      <c r="R53" s="16"/>
      <c r="S53" s="16"/>
      <c r="T53" s="16"/>
      <c r="U53" s="16"/>
      <c r="V53" s="16"/>
      <c r="AB53" s="16"/>
      <c r="AC53" s="16"/>
      <c r="AD53" s="16"/>
      <c r="AE53" s="16"/>
    </row>
    <row r="54" spans="2:31" ht="16.5" customHeight="1">
      <c r="B54" s="9" t="str">
        <f t="shared" si="7"/>
        <v>E_TRA0205_VM_SEOYOUNG_200</v>
      </c>
      <c r="C54" s="16" t="s">
        <v>180</v>
      </c>
      <c r="D54" s="16" t="s">
        <v>179</v>
      </c>
      <c r="E54" s="16" t="s">
        <v>625</v>
      </c>
      <c r="F54" s="16" t="s">
        <v>626</v>
      </c>
      <c r="G54" s="16"/>
      <c r="H54" s="16">
        <v>200</v>
      </c>
      <c r="I54" s="16" t="s">
        <v>621</v>
      </c>
      <c r="J54" s="16">
        <v>179</v>
      </c>
      <c r="K54" s="16">
        <v>32940</v>
      </c>
      <c r="L54" s="16"/>
      <c r="M54" s="16" t="s">
        <v>627</v>
      </c>
      <c r="N54" s="16" t="b">
        <v>1</v>
      </c>
      <c r="O54" s="16" t="s">
        <v>628</v>
      </c>
      <c r="P54" s="16" t="str">
        <f t="shared" si="9"/>
        <v>용융 HOR. TEE, W200 × H100</v>
      </c>
      <c r="R54" s="16"/>
      <c r="S54" s="16"/>
      <c r="T54" s="16"/>
      <c r="U54" s="16"/>
      <c r="V54" s="16"/>
      <c r="AB54" s="16"/>
      <c r="AC54" s="16"/>
      <c r="AD54" s="16"/>
      <c r="AE54" s="16"/>
    </row>
    <row r="55" spans="2:31" ht="16.5" customHeight="1">
      <c r="B55" s="9" t="str">
        <f t="shared" si="7"/>
        <v>E_TRA0205_VM_SEOYOUNG_300</v>
      </c>
      <c r="C55" s="16" t="s">
        <v>180</v>
      </c>
      <c r="D55" s="16" t="s">
        <v>179</v>
      </c>
      <c r="E55" s="16" t="s">
        <v>625</v>
      </c>
      <c r="F55" s="16" t="s">
        <v>626</v>
      </c>
      <c r="G55" s="16"/>
      <c r="H55" s="16">
        <v>300</v>
      </c>
      <c r="I55" s="16" t="s">
        <v>621</v>
      </c>
      <c r="J55" s="16">
        <v>180</v>
      </c>
      <c r="K55" s="16">
        <v>34800</v>
      </c>
      <c r="L55" s="16"/>
      <c r="M55" s="16" t="s">
        <v>627</v>
      </c>
      <c r="N55" s="16" t="b">
        <v>1</v>
      </c>
      <c r="O55" s="16" t="s">
        <v>628</v>
      </c>
      <c r="P55" s="16" t="str">
        <f t="shared" si="9"/>
        <v>용융 HOR. TEE, W300 × H100</v>
      </c>
      <c r="R55" s="16"/>
      <c r="S55" s="16"/>
      <c r="T55" s="16"/>
      <c r="U55" s="16"/>
      <c r="V55" s="16"/>
      <c r="AB55" s="16"/>
      <c r="AC55" s="16"/>
      <c r="AD55" s="16"/>
      <c r="AE55" s="16"/>
    </row>
    <row r="56" spans="2:31" ht="16.5" customHeight="1">
      <c r="B56" s="9" t="str">
        <f t="shared" si="7"/>
        <v>E_TRA0205_VM_SEOYOUNG_400</v>
      </c>
      <c r="C56" s="16" t="s">
        <v>180</v>
      </c>
      <c r="D56" s="16" t="s">
        <v>179</v>
      </c>
      <c r="E56" s="16" t="s">
        <v>625</v>
      </c>
      <c r="F56" s="16" t="s">
        <v>626</v>
      </c>
      <c r="G56" s="16"/>
      <c r="H56" s="16">
        <v>400</v>
      </c>
      <c r="I56" s="16" t="s">
        <v>621</v>
      </c>
      <c r="J56" s="16">
        <v>181</v>
      </c>
      <c r="K56" s="16">
        <v>41810</v>
      </c>
      <c r="L56" s="16"/>
      <c r="M56" s="16" t="s">
        <v>627</v>
      </c>
      <c r="N56" s="16" t="b">
        <v>1</v>
      </c>
      <c r="O56" s="16" t="s">
        <v>628</v>
      </c>
      <c r="P56" s="16" t="str">
        <f t="shared" si="9"/>
        <v>용융 HOR. TEE, W400 × H100</v>
      </c>
      <c r="R56" s="16"/>
      <c r="S56" s="16"/>
      <c r="T56" s="16"/>
      <c r="U56" s="16"/>
      <c r="V56" s="16"/>
      <c r="AB56" s="16"/>
      <c r="AC56" s="16"/>
      <c r="AD56" s="16"/>
      <c r="AE56" s="16"/>
    </row>
    <row r="57" spans="2:31" ht="16.5" customHeight="1">
      <c r="B57" s="9" t="str">
        <f t="shared" si="7"/>
        <v>E_TRA0205_VM_SEOYOUNG_500</v>
      </c>
      <c r="C57" s="16" t="s">
        <v>180</v>
      </c>
      <c r="D57" s="16" t="s">
        <v>179</v>
      </c>
      <c r="E57" s="16" t="s">
        <v>625</v>
      </c>
      <c r="F57" s="16" t="s">
        <v>626</v>
      </c>
      <c r="G57" s="16"/>
      <c r="H57" s="16">
        <v>500</v>
      </c>
      <c r="I57" s="16" t="s">
        <v>621</v>
      </c>
      <c r="J57" s="16">
        <v>183</v>
      </c>
      <c r="K57" s="16">
        <v>45730</v>
      </c>
      <c r="L57" s="16"/>
      <c r="M57" s="16" t="s">
        <v>627</v>
      </c>
      <c r="N57" s="16" t="b">
        <v>1</v>
      </c>
      <c r="O57" s="16" t="s">
        <v>628</v>
      </c>
      <c r="P57" s="16" t="str">
        <f t="shared" si="9"/>
        <v>용융 HOR. TEE, W500 × H100</v>
      </c>
      <c r="R57" s="16"/>
      <c r="S57" s="16"/>
      <c r="T57" s="16"/>
      <c r="U57" s="16"/>
      <c r="V57" s="16"/>
      <c r="AB57" s="16"/>
      <c r="AC57" s="16"/>
      <c r="AD57" s="16"/>
      <c r="AE57" s="16"/>
    </row>
    <row r="58" spans="2:31" ht="16.5" customHeight="1">
      <c r="B58" s="9" t="str">
        <f t="shared" si="7"/>
        <v>E_TRA0205_VM_SEOYOUNG_600</v>
      </c>
      <c r="C58" s="16" t="s">
        <v>180</v>
      </c>
      <c r="D58" s="16" t="s">
        <v>179</v>
      </c>
      <c r="E58" s="16" t="s">
        <v>625</v>
      </c>
      <c r="F58" s="16" t="s">
        <v>626</v>
      </c>
      <c r="G58" s="16"/>
      <c r="H58" s="16">
        <v>600</v>
      </c>
      <c r="I58" s="16" t="s">
        <v>621</v>
      </c>
      <c r="J58" s="16">
        <v>184</v>
      </c>
      <c r="K58" s="16">
        <v>52580</v>
      </c>
      <c r="L58" s="16"/>
      <c r="M58" s="16" t="s">
        <v>627</v>
      </c>
      <c r="N58" s="16" t="b">
        <v>1</v>
      </c>
      <c r="O58" s="16" t="s">
        <v>628</v>
      </c>
      <c r="P58" s="16" t="str">
        <f t="shared" si="9"/>
        <v>용융 HOR. TEE, W600 × H100</v>
      </c>
      <c r="R58" s="16"/>
      <c r="S58" s="16"/>
      <c r="T58" s="16"/>
      <c r="U58" s="16"/>
      <c r="V58" s="16"/>
      <c r="AB58" s="16"/>
      <c r="AC58" s="16"/>
      <c r="AD58" s="16"/>
      <c r="AE58" s="16"/>
    </row>
    <row r="59" spans="2:31" ht="16.5" customHeight="1">
      <c r="B59" s="9" t="str">
        <f t="shared" si="7"/>
        <v>E_TRA0205_VM_SEOYOUNG_700</v>
      </c>
      <c r="C59" s="16" t="s">
        <v>180</v>
      </c>
      <c r="D59" s="16" t="s">
        <v>179</v>
      </c>
      <c r="E59" s="16" t="s">
        <v>625</v>
      </c>
      <c r="F59" s="16" t="s">
        <v>626</v>
      </c>
      <c r="G59" s="16"/>
      <c r="H59" s="16">
        <v>700</v>
      </c>
      <c r="I59" s="16" t="s">
        <v>621</v>
      </c>
      <c r="J59" s="16">
        <v>185</v>
      </c>
      <c r="K59" s="16">
        <v>60490</v>
      </c>
      <c r="L59" s="16"/>
      <c r="M59" s="16" t="s">
        <v>627</v>
      </c>
      <c r="N59" s="16" t="b">
        <v>1</v>
      </c>
      <c r="O59" s="16" t="s">
        <v>628</v>
      </c>
      <c r="P59" s="16" t="str">
        <f t="shared" si="9"/>
        <v>용융 HOR. TEE, W700 × H100</v>
      </c>
      <c r="R59" s="16"/>
      <c r="S59" s="16"/>
      <c r="T59" s="16"/>
      <c r="U59" s="16"/>
      <c r="V59" s="16"/>
      <c r="AB59" s="16"/>
      <c r="AC59" s="16"/>
      <c r="AD59" s="16"/>
      <c r="AE59" s="16"/>
    </row>
    <row r="60" spans="2:31" ht="16.5" customHeight="1">
      <c r="B60" s="9" t="str">
        <f t="shared" si="7"/>
        <v>E_TRA0205_VM_SEOYOUNG_800</v>
      </c>
      <c r="C60" s="16" t="s">
        <v>180</v>
      </c>
      <c r="D60" s="16" t="s">
        <v>179</v>
      </c>
      <c r="E60" s="16" t="s">
        <v>625</v>
      </c>
      <c r="F60" s="16" t="s">
        <v>626</v>
      </c>
      <c r="G60" s="16"/>
      <c r="H60" s="16">
        <v>800</v>
      </c>
      <c r="I60" s="16" t="s">
        <v>621</v>
      </c>
      <c r="J60" s="16">
        <v>187</v>
      </c>
      <c r="K60" s="16">
        <v>66600</v>
      </c>
      <c r="L60" s="16"/>
      <c r="M60" s="16" t="s">
        <v>627</v>
      </c>
      <c r="N60" s="16" t="b">
        <v>1</v>
      </c>
      <c r="O60" s="16" t="s">
        <v>628</v>
      </c>
      <c r="P60" s="16" t="str">
        <f t="shared" si="9"/>
        <v>용융 HOR. TEE, W800 × H100</v>
      </c>
      <c r="R60" s="16"/>
      <c r="S60" s="16"/>
      <c r="T60" s="16"/>
      <c r="U60" s="16"/>
      <c r="V60" s="16"/>
      <c r="AB60" s="16"/>
      <c r="AC60" s="16"/>
      <c r="AD60" s="16"/>
      <c r="AE60" s="16"/>
    </row>
    <row r="61" spans="2:31" ht="16.5" customHeight="1">
      <c r="B61" s="9" t="str">
        <f t="shared" si="7"/>
        <v>E_TRA0205_VM_SEOYOUNG_900</v>
      </c>
      <c r="C61" s="16" t="s">
        <v>180</v>
      </c>
      <c r="D61" s="16" t="s">
        <v>179</v>
      </c>
      <c r="E61" s="16" t="s">
        <v>625</v>
      </c>
      <c r="F61" s="16" t="s">
        <v>626</v>
      </c>
      <c r="G61" s="16"/>
      <c r="H61" s="16">
        <v>900</v>
      </c>
      <c r="I61" s="16" t="s">
        <v>621</v>
      </c>
      <c r="J61" s="16">
        <v>188</v>
      </c>
      <c r="K61" s="16">
        <v>70820</v>
      </c>
      <c r="L61" s="16"/>
      <c r="M61" s="16" t="s">
        <v>627</v>
      </c>
      <c r="N61" s="16" t="b">
        <v>1</v>
      </c>
      <c r="O61" s="16" t="s">
        <v>628</v>
      </c>
      <c r="P61" s="16" t="str">
        <f t="shared" si="9"/>
        <v>용융 HOR. TEE, W900 × H100</v>
      </c>
      <c r="R61" s="16"/>
      <c r="S61" s="16"/>
      <c r="T61" s="16"/>
      <c r="U61" s="16"/>
      <c r="V61" s="16"/>
      <c r="AB61" s="16"/>
      <c r="AC61" s="16"/>
      <c r="AD61" s="16"/>
      <c r="AE61" s="16"/>
    </row>
    <row r="62" spans="2:31" ht="16.5" customHeight="1">
      <c r="B62" s="9" t="str">
        <f t="shared" si="7"/>
        <v>E_TRA0205_VM_SEOYOUNG_1000</v>
      </c>
      <c r="C62" s="16" t="s">
        <v>180</v>
      </c>
      <c r="D62" s="16" t="s">
        <v>179</v>
      </c>
      <c r="E62" s="16" t="s">
        <v>625</v>
      </c>
      <c r="F62" s="16" t="s">
        <v>626</v>
      </c>
      <c r="G62" s="16"/>
      <c r="H62" s="16">
        <v>1000</v>
      </c>
      <c r="I62" s="16" t="s">
        <v>621</v>
      </c>
      <c r="J62" s="16">
        <v>189</v>
      </c>
      <c r="K62" s="16">
        <v>83430</v>
      </c>
      <c r="L62" s="16"/>
      <c r="M62" s="16" t="s">
        <v>627</v>
      </c>
      <c r="N62" s="16" t="b">
        <v>1</v>
      </c>
      <c r="O62" s="16" t="s">
        <v>628</v>
      </c>
      <c r="P62" s="16" t="str">
        <f t="shared" si="9"/>
        <v>용융 HOR. TEE, W1000 × H100</v>
      </c>
      <c r="R62" s="16"/>
      <c r="S62" s="16"/>
      <c r="T62" s="16"/>
      <c r="U62" s="16"/>
      <c r="V62" s="16"/>
      <c r="AB62" s="16"/>
      <c r="AC62" s="16"/>
      <c r="AD62" s="16"/>
      <c r="AE62" s="16"/>
    </row>
    <row r="63" spans="2:31" ht="16.5" customHeight="1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R63" s="16"/>
      <c r="S63" s="16"/>
      <c r="T63" s="16"/>
      <c r="U63" s="16"/>
      <c r="V63" s="16"/>
      <c r="AB63" s="16"/>
      <c r="AC63" s="16"/>
      <c r="AD63" s="16"/>
      <c r="AE63" s="16"/>
    </row>
    <row r="64" spans="2:31" ht="16.5" customHeight="1"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R64" s="16"/>
      <c r="S64" s="16"/>
      <c r="T64" s="16"/>
      <c r="U64" s="16"/>
      <c r="V64" s="16"/>
      <c r="AB64" s="16"/>
      <c r="AC64" s="16"/>
      <c r="AD64" s="16"/>
      <c r="AE64" s="16"/>
    </row>
    <row r="65" spans="3:31" ht="16.5" customHeight="1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R65" s="16"/>
      <c r="S65" s="16"/>
      <c r="T65" s="16"/>
      <c r="U65" s="16"/>
      <c r="V65" s="16"/>
      <c r="AB65" s="16"/>
      <c r="AC65" s="16"/>
      <c r="AD65" s="16"/>
      <c r="AE65" s="16"/>
    </row>
    <row r="66" spans="3:31" ht="16.5" customHeight="1"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R66" s="16"/>
      <c r="S66" s="16"/>
      <c r="T66" s="16"/>
      <c r="U66" s="16"/>
      <c r="V66" s="16"/>
      <c r="AB66" s="16"/>
      <c r="AC66" s="16"/>
      <c r="AD66" s="16"/>
      <c r="AE66" s="16"/>
    </row>
    <row r="67" spans="3:31" ht="16.5" customHeight="1"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R67" s="16"/>
      <c r="S67" s="16"/>
      <c r="T67" s="16"/>
      <c r="U67" s="16"/>
      <c r="V67" s="16"/>
      <c r="AB67" s="16"/>
      <c r="AC67" s="16"/>
      <c r="AD67" s="16"/>
      <c r="AE67" s="16"/>
    </row>
    <row r="68" spans="3:31" ht="16.5" customHeight="1"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R68" s="16"/>
      <c r="S68" s="16"/>
      <c r="T68" s="16"/>
      <c r="U68" s="16"/>
      <c r="V68" s="16"/>
      <c r="AB68" s="16"/>
      <c r="AC68" s="16"/>
      <c r="AD68" s="16"/>
      <c r="AE68" s="16"/>
    </row>
    <row r="69" spans="3:31" ht="16.5" customHeight="1"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R69" s="16"/>
      <c r="S69" s="16"/>
      <c r="T69" s="16"/>
      <c r="U69" s="16"/>
      <c r="V69" s="16"/>
      <c r="AB69" s="16"/>
      <c r="AC69" s="16"/>
      <c r="AD69" s="16"/>
      <c r="AE69" s="16"/>
    </row>
    <row r="70" spans="3:31" ht="16.5" customHeight="1"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R70" s="16"/>
      <c r="S70" s="16"/>
      <c r="T70" s="16"/>
      <c r="U70" s="16"/>
      <c r="V70" s="16"/>
      <c r="AB70" s="16"/>
      <c r="AC70" s="16"/>
      <c r="AD70" s="16"/>
      <c r="AE70" s="16"/>
    </row>
    <row r="71" spans="3:31" ht="16.5" customHeight="1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R71" s="16"/>
      <c r="S71" s="16"/>
      <c r="T71" s="16"/>
      <c r="U71" s="16"/>
      <c r="V71" s="16"/>
      <c r="AB71" s="16"/>
      <c r="AC71" s="16"/>
      <c r="AD71" s="16"/>
      <c r="AE71" s="16"/>
    </row>
    <row r="72" spans="3:31" ht="16.5" customHeight="1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R72" s="16"/>
      <c r="S72" s="16"/>
      <c r="T72" s="16"/>
      <c r="U72" s="16"/>
      <c r="V72" s="16"/>
      <c r="AB72" s="16"/>
      <c r="AC72" s="16"/>
      <c r="AD72" s="16"/>
      <c r="AE72" s="16"/>
    </row>
    <row r="73" spans="3:31" ht="16.5" customHeight="1">
      <c r="O73" s="16"/>
      <c r="P73" s="16"/>
    </row>
    <row r="74" spans="3:31" ht="16.5" customHeight="1">
      <c r="O74" s="16"/>
      <c r="P74" s="16"/>
    </row>
    <row r="75" spans="3:31" ht="16.5" customHeight="1">
      <c r="O75" s="16"/>
      <c r="P75" s="16"/>
    </row>
    <row r="76" spans="3:31" ht="16.5" customHeight="1">
      <c r="O76" s="16"/>
      <c r="P76" s="16"/>
    </row>
    <row r="77" spans="3:31" ht="16.5" customHeight="1">
      <c r="O77" s="16"/>
      <c r="P77" s="16"/>
    </row>
    <row r="78" spans="3:31" ht="16.5" customHeight="1">
      <c r="O78" s="16"/>
      <c r="P78" s="16"/>
    </row>
    <row r="79" spans="3:31" ht="16.5" customHeight="1">
      <c r="O79" s="16"/>
      <c r="P79" s="16"/>
    </row>
    <row r="80" spans="3:31" ht="16.5" customHeight="1">
      <c r="O80" s="16"/>
      <c r="P80" s="16"/>
    </row>
    <row r="81" spans="15:16" ht="16.5" customHeight="1">
      <c r="O81" s="16"/>
      <c r="P81" s="16"/>
    </row>
    <row r="82" spans="15:16" ht="16.5" customHeight="1">
      <c r="O82" s="16"/>
      <c r="P82" s="16"/>
    </row>
    <row r="83" spans="15:16" ht="16.5" customHeight="1">
      <c r="O83" s="16"/>
      <c r="P83" s="16"/>
    </row>
    <row r="84" spans="15:16" ht="16.5" customHeight="1">
      <c r="O84" s="16"/>
      <c r="P84" s="16"/>
    </row>
    <row r="85" spans="15:16" ht="16.5" customHeight="1">
      <c r="O85" s="16"/>
      <c r="P85" s="16"/>
    </row>
    <row r="86" spans="15:16" ht="16.5" customHeight="1">
      <c r="O86" s="16"/>
      <c r="P86" s="16"/>
    </row>
    <row r="87" spans="15:16" ht="16.5" customHeight="1">
      <c r="O87" s="16"/>
      <c r="P87" s="16"/>
    </row>
    <row r="88" spans="15:16" ht="16.5" customHeight="1">
      <c r="O88" s="16"/>
      <c r="P88" s="16"/>
    </row>
    <row r="89" spans="15:16" ht="16.5" customHeight="1">
      <c r="O89" s="16"/>
      <c r="P89" s="16"/>
    </row>
    <row r="90" spans="15:16" ht="16.5" customHeight="1">
      <c r="O90" s="16"/>
      <c r="P90" s="16"/>
    </row>
    <row r="91" spans="15:16" ht="16.5" customHeight="1">
      <c r="O91" s="16"/>
      <c r="P91" s="16"/>
    </row>
    <row r="92" spans="15:16" ht="16.5" customHeight="1">
      <c r="O92" s="16"/>
      <c r="P92" s="16"/>
    </row>
    <row r="93" spans="15:16" ht="16.5" customHeight="1">
      <c r="O93" s="16"/>
      <c r="P93" s="16"/>
    </row>
    <row r="94" spans="15:16" ht="16.5" customHeight="1">
      <c r="O94" s="16"/>
      <c r="P94" s="16"/>
    </row>
    <row r="95" spans="15:16" ht="16.5" customHeight="1">
      <c r="O95" s="16"/>
      <c r="P95" s="16"/>
    </row>
    <row r="96" spans="15:16" ht="16.5" customHeight="1">
      <c r="O96" s="16"/>
      <c r="P96" s="16"/>
    </row>
    <row r="97" spans="15:16" ht="16.5" customHeight="1">
      <c r="O97" s="16"/>
      <c r="P97" s="16"/>
    </row>
    <row r="98" spans="15:16" ht="16.5" customHeight="1">
      <c r="O98" s="16"/>
      <c r="P98" s="16"/>
    </row>
    <row r="99" spans="15:16" ht="16.5" customHeight="1">
      <c r="O99" s="16"/>
      <c r="P99" s="16"/>
    </row>
    <row r="100" spans="15:16" ht="16.5" customHeight="1">
      <c r="O100" s="16"/>
      <c r="P100" s="16"/>
    </row>
    <row r="101" spans="15:16" ht="16.5" customHeight="1">
      <c r="O101" s="16"/>
      <c r="P101" s="16"/>
    </row>
    <row r="102" spans="15:16" ht="16.5" customHeight="1">
      <c r="O102" s="16"/>
      <c r="P102" s="16"/>
    </row>
    <row r="103" spans="15:16" ht="16.5" customHeight="1">
      <c r="O103" s="16"/>
      <c r="P103" s="16"/>
    </row>
    <row r="104" spans="15:16" ht="16.5" customHeight="1">
      <c r="O104" s="16"/>
      <c r="P104" s="16"/>
    </row>
    <row r="105" spans="15:16" ht="16.5" customHeight="1">
      <c r="O105" s="16"/>
      <c r="P105" s="16"/>
    </row>
    <row r="106" spans="15:16" ht="16.5" customHeight="1">
      <c r="O106" s="16"/>
      <c r="P106" s="16"/>
    </row>
    <row r="107" spans="15:16" ht="16.5" customHeight="1">
      <c r="O107" s="16"/>
      <c r="P107" s="16"/>
    </row>
    <row r="108" spans="15:16" ht="16.5" customHeight="1">
      <c r="O108" s="16"/>
      <c r="P108" s="16"/>
    </row>
    <row r="109" spans="15:16" ht="16.5" customHeight="1">
      <c r="O109" s="16"/>
      <c r="P109" s="16"/>
    </row>
    <row r="110" spans="15:16" ht="16.5" customHeight="1">
      <c r="O110" s="16"/>
      <c r="P110" s="16"/>
    </row>
    <row r="111" spans="15:16" ht="16.5" customHeight="1">
      <c r="O111" s="16"/>
      <c r="P111" s="16"/>
    </row>
    <row r="112" spans="15:16" ht="16.5" customHeight="1">
      <c r="O112" s="16"/>
      <c r="P112" s="16"/>
    </row>
    <row r="113" spans="15:16" ht="16.5" customHeight="1">
      <c r="O113" s="16"/>
      <c r="P113" s="16"/>
    </row>
    <row r="114" spans="15:16" ht="16.5" customHeight="1">
      <c r="O114" s="16"/>
      <c r="P114" s="16"/>
    </row>
    <row r="115" spans="15:16" ht="16.5" customHeight="1">
      <c r="O115" s="16"/>
      <c r="P115" s="16"/>
    </row>
    <row r="116" spans="15:16" ht="16.5" customHeight="1">
      <c r="O116" s="16"/>
      <c r="P116" s="16"/>
    </row>
    <row r="117" spans="15:16" ht="16.5" customHeight="1">
      <c r="O117" s="16"/>
      <c r="P117" s="16"/>
    </row>
    <row r="118" spans="15:16" ht="16.5" customHeight="1">
      <c r="O118" s="16"/>
      <c r="P118" s="16"/>
    </row>
    <row r="119" spans="15:16" ht="16.5" customHeight="1">
      <c r="O119" s="16"/>
      <c r="P119" s="16"/>
    </row>
    <row r="120" spans="15:16" ht="16.5" customHeight="1">
      <c r="O120" s="16"/>
      <c r="P120" s="16"/>
    </row>
    <row r="121" spans="15:16" ht="16.5" customHeight="1">
      <c r="O121" s="16"/>
      <c r="P121" s="16"/>
    </row>
    <row r="122" spans="15:16" ht="16.5" customHeight="1">
      <c r="O122" s="16"/>
      <c r="P122" s="16"/>
    </row>
    <row r="123" spans="15:16" ht="16.5" customHeight="1">
      <c r="O123" s="16"/>
      <c r="P123" s="16"/>
    </row>
    <row r="124" spans="15:16" ht="16.5" customHeight="1">
      <c r="O124" s="16"/>
      <c r="P124" s="16"/>
    </row>
    <row r="125" spans="15:16" ht="16.5" customHeight="1">
      <c r="O125" s="16"/>
      <c r="P125" s="16"/>
    </row>
    <row r="126" spans="15:16" ht="16.5" customHeight="1">
      <c r="O126" s="16"/>
      <c r="P126" s="16"/>
    </row>
    <row r="127" spans="15:16" ht="16.5" customHeight="1">
      <c r="O127" s="16"/>
      <c r="P127" s="16"/>
    </row>
    <row r="128" spans="15:16" ht="16.5" customHeight="1">
      <c r="O128" s="16"/>
      <c r="P128" s="16"/>
    </row>
    <row r="129" spans="15:16" ht="16.5" customHeight="1">
      <c r="O129" s="16"/>
      <c r="P129" s="16"/>
    </row>
    <row r="130" spans="15:16" ht="16.5" customHeight="1">
      <c r="O130" s="16"/>
      <c r="P130" s="16"/>
    </row>
    <row r="131" spans="15:16" ht="16.5" customHeight="1">
      <c r="O131" s="16"/>
      <c r="P131" s="16"/>
    </row>
    <row r="132" spans="15:16" ht="16.5" customHeight="1">
      <c r="O132" s="16"/>
      <c r="P132" s="16"/>
    </row>
    <row r="133" spans="15:16" ht="16.5" customHeight="1">
      <c r="O133" s="16"/>
      <c r="P133" s="16"/>
    </row>
    <row r="134" spans="15:16" ht="16.5" customHeight="1">
      <c r="O134" s="16"/>
      <c r="P134" s="16"/>
    </row>
    <row r="135" spans="15:16" ht="16.5" customHeight="1">
      <c r="O135" s="16"/>
      <c r="P135" s="16"/>
    </row>
    <row r="136" spans="15:16" ht="16.5" customHeight="1">
      <c r="O136" s="16"/>
      <c r="P136" s="16"/>
    </row>
    <row r="137" spans="15:16" ht="16.5" customHeight="1">
      <c r="O137" s="16"/>
      <c r="P137" s="16"/>
    </row>
    <row r="138" spans="15:16" ht="16.5" customHeight="1">
      <c r="O138" s="16"/>
      <c r="P138" s="16"/>
    </row>
    <row r="139" spans="15:16" ht="16.5" customHeight="1">
      <c r="O139" s="16"/>
      <c r="P139" s="16"/>
    </row>
    <row r="140" spans="15:16" ht="16.5" customHeight="1">
      <c r="O140" s="16"/>
      <c r="P140" s="16"/>
    </row>
    <row r="141" spans="15:16" ht="16.5" customHeight="1">
      <c r="O141" s="16"/>
      <c r="P141" s="16"/>
    </row>
    <row r="142" spans="15:16" ht="16.5" customHeight="1">
      <c r="O142" s="16"/>
      <c r="P142" s="16"/>
    </row>
  </sheetData>
  <autoFilter ref="B2:R62" xr:uid="{8E0F7678-4587-4F2F-A763-0E819A9DBA65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985D-2738-4C7E-8E2B-7BDD43B883C6}">
  <dimension ref="B1:T18"/>
  <sheetViews>
    <sheetView topLeftCell="E1" zoomScale="70" zoomScaleNormal="70" workbookViewId="0">
      <selection activeCell="W20" sqref="E20:W20"/>
    </sheetView>
  </sheetViews>
  <sheetFormatPr defaultRowHeight="16.5" customHeight="1"/>
  <cols>
    <col min="2" max="2" width="38.5" bestFit="1" customWidth="1"/>
    <col min="3" max="3" width="46.125" bestFit="1" customWidth="1"/>
    <col min="4" max="4" width="16.5" customWidth="1"/>
    <col min="5" max="5" width="18.375" bestFit="1" customWidth="1"/>
    <col min="6" max="6" width="12.25" customWidth="1"/>
    <col min="7" max="7" width="15.375" bestFit="1" customWidth="1"/>
    <col min="8" max="9" width="19.5" bestFit="1" customWidth="1"/>
    <col min="10" max="10" width="22" bestFit="1" customWidth="1"/>
    <col min="11" max="11" width="22" customWidth="1"/>
    <col min="12" max="12" width="25.875" bestFit="1" customWidth="1"/>
    <col min="13" max="13" width="15.75" bestFit="1" customWidth="1"/>
    <col min="14" max="14" width="19" bestFit="1" customWidth="1"/>
    <col min="15" max="15" width="19" customWidth="1"/>
    <col min="16" max="16" width="9.5" bestFit="1" customWidth="1"/>
    <col min="17" max="17" width="34" bestFit="1" customWidth="1"/>
    <col min="18" max="18" width="29" bestFit="1" customWidth="1"/>
    <col min="19" max="19" width="26.625" customWidth="1"/>
    <col min="20" max="20" width="18.125" bestFit="1" customWidth="1"/>
    <col min="25" max="25" width="11.5" bestFit="1" customWidth="1"/>
  </cols>
  <sheetData>
    <row r="1" spans="2:20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629</v>
      </c>
      <c r="I1" s="2" t="s">
        <v>630</v>
      </c>
      <c r="J1" s="2" t="s">
        <v>631</v>
      </c>
      <c r="K1" s="47" t="s">
        <v>586</v>
      </c>
      <c r="L1" s="48" t="s">
        <v>587</v>
      </c>
      <c r="M1" s="2" t="s">
        <v>588</v>
      </c>
      <c r="N1" s="3" t="s">
        <v>589</v>
      </c>
      <c r="O1" s="2" t="s">
        <v>590</v>
      </c>
      <c r="P1" s="2" t="s">
        <v>591</v>
      </c>
      <c r="Q1" s="2" t="s">
        <v>592</v>
      </c>
      <c r="R1" s="2" t="s">
        <v>593</v>
      </c>
      <c r="S1" s="2" t="s">
        <v>594</v>
      </c>
      <c r="T1" s="54" t="s">
        <v>595</v>
      </c>
    </row>
    <row r="2" spans="2:20">
      <c r="B2" s="4" t="s">
        <v>596</v>
      </c>
      <c r="C2" s="5" t="s">
        <v>597</v>
      </c>
      <c r="D2" s="6" t="s">
        <v>598</v>
      </c>
      <c r="E2" s="5" t="s">
        <v>597</v>
      </c>
      <c r="F2" s="7" t="s">
        <v>386</v>
      </c>
      <c r="G2" s="7" t="s">
        <v>599</v>
      </c>
      <c r="H2" s="10" t="s">
        <v>632</v>
      </c>
      <c r="I2" s="6" t="s">
        <v>633</v>
      </c>
      <c r="J2" s="6" t="s">
        <v>634</v>
      </c>
      <c r="K2" s="43" t="s">
        <v>602</v>
      </c>
      <c r="L2" s="43" t="s">
        <v>603</v>
      </c>
      <c r="M2" s="11" t="s">
        <v>604</v>
      </c>
      <c r="N2" s="12" t="s">
        <v>605</v>
      </c>
      <c r="O2" s="59" t="s">
        <v>606</v>
      </c>
      <c r="P2" s="13" t="s">
        <v>607</v>
      </c>
      <c r="Q2" s="33" t="s">
        <v>608</v>
      </c>
      <c r="R2" s="33" t="s">
        <v>609</v>
      </c>
      <c r="S2" s="7" t="s">
        <v>610</v>
      </c>
      <c r="T2" s="55" t="s">
        <v>611</v>
      </c>
    </row>
    <row r="3" spans="2:20">
      <c r="B3" s="31" t="str">
        <f t="shared" ref="B3:B17" si="0">D3&amp;"_"&amp;F3&amp;"_"&amp;H3&amp;"_"&amp;I3&amp;"_"&amp;J3</f>
        <v>E_TRN0101_VM_KP_ELC_22900_480_75</v>
      </c>
      <c r="C3" s="16" t="s">
        <v>40</v>
      </c>
      <c r="D3" s="16" t="s">
        <v>39</v>
      </c>
      <c r="E3" s="16" t="s">
        <v>635</v>
      </c>
      <c r="F3" s="16" t="s">
        <v>636</v>
      </c>
      <c r="G3" s="16"/>
      <c r="H3" s="18">
        <v>22900</v>
      </c>
      <c r="I3" s="18">
        <v>480</v>
      </c>
      <c r="J3" s="18">
        <v>75</v>
      </c>
      <c r="K3" s="18" t="s">
        <v>621</v>
      </c>
      <c r="L3" s="18"/>
      <c r="M3" s="18">
        <v>10900000</v>
      </c>
      <c r="N3" s="16"/>
      <c r="O3" s="16" t="s">
        <v>637</v>
      </c>
      <c r="P3" s="16" t="b">
        <v>1</v>
      </c>
      <c r="Q3" s="16" t="str">
        <f>C3</f>
        <v>최저소비효율몰드변압기(MOLD TR)</v>
      </c>
      <c r="R3" s="16" t="str">
        <f t="shared" ref="R3:R17" si="1">H3/1000&amp;"kV/"&amp;I3&amp;"-100V 3P "&amp;J3&amp;"kVA"</f>
        <v>22.9kV/480-100V 3P 75kVA</v>
      </c>
      <c r="T3" s="16"/>
    </row>
    <row r="4" spans="2:20">
      <c r="B4" s="31" t="str">
        <f t="shared" si="0"/>
        <v>E_TRN0101_VM_KP_ELC_22900_480_100</v>
      </c>
      <c r="C4" s="16" t="s">
        <v>40</v>
      </c>
      <c r="D4" s="16" t="s">
        <v>39</v>
      </c>
      <c r="E4" s="16" t="s">
        <v>635</v>
      </c>
      <c r="F4" s="16" t="s">
        <v>636</v>
      </c>
      <c r="G4" s="16"/>
      <c r="H4" s="18">
        <v>22900</v>
      </c>
      <c r="I4" s="18">
        <v>480</v>
      </c>
      <c r="J4" s="18">
        <v>100</v>
      </c>
      <c r="K4" s="18" t="s">
        <v>621</v>
      </c>
      <c r="L4" s="18"/>
      <c r="M4" s="18">
        <v>12000000</v>
      </c>
      <c r="N4" s="16"/>
      <c r="O4" s="16" t="s">
        <v>637</v>
      </c>
      <c r="P4" s="16" t="b">
        <v>1</v>
      </c>
      <c r="Q4" s="16" t="str">
        <f t="shared" ref="Q4:Q17" si="2">C4</f>
        <v>최저소비효율몰드변압기(MOLD TR)</v>
      </c>
      <c r="R4" s="16" t="str">
        <f t="shared" si="1"/>
        <v>22.9kV/480-100V 3P 100kVA</v>
      </c>
      <c r="T4" s="16"/>
    </row>
    <row r="5" spans="2:20">
      <c r="B5" s="31" t="str">
        <f t="shared" si="0"/>
        <v>E_TRN0101_VM_KP_ELC_22900_480_200</v>
      </c>
      <c r="C5" s="16" t="s">
        <v>40</v>
      </c>
      <c r="D5" s="16" t="s">
        <v>39</v>
      </c>
      <c r="E5" s="16" t="s">
        <v>635</v>
      </c>
      <c r="F5" s="16" t="s">
        <v>636</v>
      </c>
      <c r="G5" s="16"/>
      <c r="H5" s="18">
        <v>22900</v>
      </c>
      <c r="I5" s="18">
        <v>480</v>
      </c>
      <c r="J5" s="18">
        <v>200</v>
      </c>
      <c r="K5" s="18" t="s">
        <v>621</v>
      </c>
      <c r="L5" s="18"/>
      <c r="M5" s="18">
        <v>15000000</v>
      </c>
      <c r="N5" s="16"/>
      <c r="O5" s="16" t="s">
        <v>637</v>
      </c>
      <c r="P5" s="16" t="b">
        <v>1</v>
      </c>
      <c r="Q5" s="16" t="str">
        <f t="shared" si="2"/>
        <v>최저소비효율몰드변압기(MOLD TR)</v>
      </c>
      <c r="R5" s="16" t="str">
        <f t="shared" si="1"/>
        <v>22.9kV/480-100V 3P 200kVA</v>
      </c>
      <c r="T5" s="16"/>
    </row>
    <row r="6" spans="2:20">
      <c r="B6" s="31" t="str">
        <f t="shared" si="0"/>
        <v>E_TRN0101_VM_KP_ELC_22900_480_300</v>
      </c>
      <c r="C6" s="16" t="s">
        <v>40</v>
      </c>
      <c r="D6" s="16" t="s">
        <v>39</v>
      </c>
      <c r="E6" s="16" t="s">
        <v>635</v>
      </c>
      <c r="F6" s="16" t="s">
        <v>636</v>
      </c>
      <c r="G6" s="16"/>
      <c r="H6" s="18">
        <v>22900</v>
      </c>
      <c r="I6" s="18">
        <v>480</v>
      </c>
      <c r="J6" s="18">
        <v>300</v>
      </c>
      <c r="K6" s="18" t="s">
        <v>621</v>
      </c>
      <c r="L6" s="18"/>
      <c r="M6" s="18">
        <v>17300000</v>
      </c>
      <c r="N6" s="16"/>
      <c r="O6" s="16" t="s">
        <v>637</v>
      </c>
      <c r="P6" s="16" t="b">
        <v>1</v>
      </c>
      <c r="Q6" s="16" t="str">
        <f t="shared" si="2"/>
        <v>최저소비효율몰드변압기(MOLD TR)</v>
      </c>
      <c r="R6" s="16" t="str">
        <f t="shared" si="1"/>
        <v>22.9kV/480-100V 3P 300kVA</v>
      </c>
      <c r="T6" s="16"/>
    </row>
    <row r="7" spans="2:20">
      <c r="B7" s="31" t="str">
        <f t="shared" si="0"/>
        <v>E_TRN0101_VM_KP_ELC_22900_480_400</v>
      </c>
      <c r="C7" s="16" t="s">
        <v>40</v>
      </c>
      <c r="D7" s="16" t="s">
        <v>39</v>
      </c>
      <c r="E7" s="16" t="s">
        <v>635</v>
      </c>
      <c r="F7" s="16" t="s">
        <v>636</v>
      </c>
      <c r="G7" s="16"/>
      <c r="H7" s="18">
        <v>22900</v>
      </c>
      <c r="I7" s="18">
        <v>480</v>
      </c>
      <c r="J7" s="18">
        <v>400</v>
      </c>
      <c r="K7" s="18" t="s">
        <v>621</v>
      </c>
      <c r="L7" s="18"/>
      <c r="M7" s="18">
        <v>18900000</v>
      </c>
      <c r="N7" s="16"/>
      <c r="O7" s="16" t="s">
        <v>637</v>
      </c>
      <c r="P7" s="16" t="b">
        <v>1</v>
      </c>
      <c r="Q7" s="16" t="str">
        <f t="shared" si="2"/>
        <v>최저소비효율몰드변압기(MOLD TR)</v>
      </c>
      <c r="R7" s="16" t="str">
        <f t="shared" si="1"/>
        <v>22.9kV/480-100V 3P 400kVA</v>
      </c>
      <c r="T7" s="16"/>
    </row>
    <row r="8" spans="2:20">
      <c r="B8" s="31" t="str">
        <f t="shared" si="0"/>
        <v>E_TRN0101_VM_KP_ELC_22900_480_500</v>
      </c>
      <c r="C8" s="16" t="s">
        <v>40</v>
      </c>
      <c r="D8" s="16" t="s">
        <v>39</v>
      </c>
      <c r="E8" s="16" t="s">
        <v>635</v>
      </c>
      <c r="F8" s="16" t="s">
        <v>636</v>
      </c>
      <c r="G8" s="16"/>
      <c r="H8" s="18">
        <v>22900</v>
      </c>
      <c r="I8" s="18">
        <v>480</v>
      </c>
      <c r="J8" s="18">
        <v>500</v>
      </c>
      <c r="K8" s="18" t="s">
        <v>621</v>
      </c>
      <c r="L8" s="18"/>
      <c r="M8" s="18">
        <v>21600000</v>
      </c>
      <c r="N8" s="16"/>
      <c r="O8" s="16" t="s">
        <v>637</v>
      </c>
      <c r="P8" s="16" t="b">
        <v>1</v>
      </c>
      <c r="Q8" s="16" t="str">
        <f t="shared" si="2"/>
        <v>최저소비효율몰드변압기(MOLD TR)</v>
      </c>
      <c r="R8" s="16" t="str">
        <f t="shared" si="1"/>
        <v>22.9kV/480-100V 3P 500kVA</v>
      </c>
      <c r="T8" s="16"/>
    </row>
    <row r="9" spans="2:20">
      <c r="B9" s="31" t="str">
        <f t="shared" si="0"/>
        <v>E_TRN0101_VM_KP_ELC_22900_480_600</v>
      </c>
      <c r="C9" s="16" t="s">
        <v>40</v>
      </c>
      <c r="D9" s="16" t="s">
        <v>39</v>
      </c>
      <c r="E9" s="16" t="s">
        <v>635</v>
      </c>
      <c r="F9" s="16" t="s">
        <v>636</v>
      </c>
      <c r="G9" s="16"/>
      <c r="H9" s="18">
        <v>22900</v>
      </c>
      <c r="I9" s="18">
        <v>480</v>
      </c>
      <c r="J9" s="18">
        <v>600</v>
      </c>
      <c r="K9" s="18" t="s">
        <v>621</v>
      </c>
      <c r="L9" s="18"/>
      <c r="M9" s="18">
        <v>25200000</v>
      </c>
      <c r="N9" s="16"/>
      <c r="O9" s="16" t="s">
        <v>637</v>
      </c>
      <c r="P9" s="16" t="b">
        <v>1</v>
      </c>
      <c r="Q9" s="16" t="str">
        <f t="shared" si="2"/>
        <v>최저소비효율몰드변압기(MOLD TR)</v>
      </c>
      <c r="R9" s="16" t="str">
        <f t="shared" si="1"/>
        <v>22.9kV/480-100V 3P 600kVA</v>
      </c>
      <c r="T9" s="16"/>
    </row>
    <row r="10" spans="2:20">
      <c r="B10" s="31" t="str">
        <f t="shared" si="0"/>
        <v>E_TRN0101_VM_KP_ELC_22900_480_750</v>
      </c>
      <c r="C10" s="16" t="s">
        <v>40</v>
      </c>
      <c r="D10" s="16" t="s">
        <v>39</v>
      </c>
      <c r="E10" s="16" t="s">
        <v>635</v>
      </c>
      <c r="F10" s="16" t="s">
        <v>636</v>
      </c>
      <c r="G10" s="16"/>
      <c r="H10" s="18">
        <v>22900</v>
      </c>
      <c r="I10" s="18">
        <v>480</v>
      </c>
      <c r="J10" s="18">
        <v>750</v>
      </c>
      <c r="K10" s="18" t="s">
        <v>621</v>
      </c>
      <c r="L10" s="18"/>
      <c r="M10" s="18">
        <v>28500000</v>
      </c>
      <c r="N10" s="16"/>
      <c r="O10" s="16" t="s">
        <v>637</v>
      </c>
      <c r="P10" s="16" t="b">
        <v>1</v>
      </c>
      <c r="Q10" s="16" t="str">
        <f t="shared" si="2"/>
        <v>최저소비효율몰드변압기(MOLD TR)</v>
      </c>
      <c r="R10" s="16" t="str">
        <f t="shared" si="1"/>
        <v>22.9kV/480-100V 3P 750kVA</v>
      </c>
      <c r="T10" s="16"/>
    </row>
    <row r="11" spans="2:20">
      <c r="B11" s="31" t="str">
        <f t="shared" si="0"/>
        <v>E_TRN0101_VM_KP_ELC_22900_480_1000</v>
      </c>
      <c r="C11" s="16" t="s">
        <v>40</v>
      </c>
      <c r="D11" s="16" t="s">
        <v>39</v>
      </c>
      <c r="E11" s="16" t="s">
        <v>635</v>
      </c>
      <c r="F11" s="16" t="s">
        <v>636</v>
      </c>
      <c r="G11" s="16"/>
      <c r="H11" s="18">
        <v>22900</v>
      </c>
      <c r="I11" s="18">
        <v>480</v>
      </c>
      <c r="J11" s="18">
        <v>1000</v>
      </c>
      <c r="K11" s="18" t="s">
        <v>621</v>
      </c>
      <c r="L11" s="18"/>
      <c r="M11" s="18">
        <v>35800000</v>
      </c>
      <c r="N11" s="16"/>
      <c r="O11" s="16" t="s">
        <v>637</v>
      </c>
      <c r="P11" s="16" t="b">
        <v>1</v>
      </c>
      <c r="Q11" s="16" t="str">
        <f t="shared" si="2"/>
        <v>최저소비효율몰드변압기(MOLD TR)</v>
      </c>
      <c r="R11" s="16" t="str">
        <f t="shared" si="1"/>
        <v>22.9kV/480-100V 3P 1000kVA</v>
      </c>
      <c r="T11" s="16"/>
    </row>
    <row r="12" spans="2:20">
      <c r="B12" s="31" t="str">
        <f t="shared" si="0"/>
        <v>E_TRN0101_VM_KP_ELC_22900_480_1250</v>
      </c>
      <c r="C12" s="16" t="s">
        <v>40</v>
      </c>
      <c r="D12" s="16" t="s">
        <v>39</v>
      </c>
      <c r="E12" s="16" t="s">
        <v>635</v>
      </c>
      <c r="F12" s="16" t="s">
        <v>636</v>
      </c>
      <c r="G12" s="16"/>
      <c r="H12" s="18">
        <v>22900</v>
      </c>
      <c r="I12" s="18">
        <v>480</v>
      </c>
      <c r="J12" s="18">
        <v>1250</v>
      </c>
      <c r="K12" s="18" t="s">
        <v>621</v>
      </c>
      <c r="L12" s="18"/>
      <c r="M12" s="18">
        <v>42900000</v>
      </c>
      <c r="N12" s="16"/>
      <c r="O12" s="16" t="s">
        <v>637</v>
      </c>
      <c r="P12" s="16" t="b">
        <v>1</v>
      </c>
      <c r="Q12" s="16" t="str">
        <f t="shared" si="2"/>
        <v>최저소비효율몰드변압기(MOLD TR)</v>
      </c>
      <c r="R12" s="16" t="str">
        <f t="shared" si="1"/>
        <v>22.9kV/480-100V 3P 1250kVA</v>
      </c>
      <c r="T12" s="16"/>
    </row>
    <row r="13" spans="2:20">
      <c r="B13" s="31" t="str">
        <f t="shared" si="0"/>
        <v>E_TRN0101_VM_KP_ELC_22900_480_1500</v>
      </c>
      <c r="C13" s="16" t="s">
        <v>40</v>
      </c>
      <c r="D13" s="16" t="s">
        <v>39</v>
      </c>
      <c r="E13" s="16" t="s">
        <v>635</v>
      </c>
      <c r="F13" s="16" t="s">
        <v>636</v>
      </c>
      <c r="G13" s="16"/>
      <c r="H13" s="18">
        <v>22900</v>
      </c>
      <c r="I13" s="18">
        <v>480</v>
      </c>
      <c r="J13" s="18">
        <v>1500</v>
      </c>
      <c r="K13" s="18" t="s">
        <v>621</v>
      </c>
      <c r="L13" s="18"/>
      <c r="M13" s="18">
        <v>46900000</v>
      </c>
      <c r="N13" s="16"/>
      <c r="O13" s="16" t="s">
        <v>637</v>
      </c>
      <c r="P13" s="16" t="b">
        <v>1</v>
      </c>
      <c r="Q13" s="16" t="str">
        <f t="shared" si="2"/>
        <v>최저소비효율몰드변압기(MOLD TR)</v>
      </c>
      <c r="R13" s="16" t="str">
        <f t="shared" si="1"/>
        <v>22.9kV/480-100V 3P 1500kVA</v>
      </c>
      <c r="T13" s="16"/>
    </row>
    <row r="14" spans="2:20">
      <c r="B14" s="31" t="str">
        <f t="shared" si="0"/>
        <v>E_TRN0101_VM_KP_ELC_22900_480_1750</v>
      </c>
      <c r="C14" s="16" t="s">
        <v>40</v>
      </c>
      <c r="D14" s="16" t="s">
        <v>39</v>
      </c>
      <c r="E14" s="16" t="s">
        <v>635</v>
      </c>
      <c r="F14" s="16" t="s">
        <v>636</v>
      </c>
      <c r="G14" s="16"/>
      <c r="H14" s="18">
        <v>22900</v>
      </c>
      <c r="I14" s="18">
        <v>480</v>
      </c>
      <c r="J14" s="18">
        <v>1750</v>
      </c>
      <c r="K14" s="18" t="s">
        <v>621</v>
      </c>
      <c r="L14" s="18"/>
      <c r="M14" s="18">
        <v>51900000</v>
      </c>
      <c r="N14" s="16"/>
      <c r="O14" s="16" t="s">
        <v>637</v>
      </c>
      <c r="P14" s="16" t="b">
        <v>1</v>
      </c>
      <c r="Q14" s="16" t="str">
        <f t="shared" si="2"/>
        <v>최저소비효율몰드변압기(MOLD TR)</v>
      </c>
      <c r="R14" s="16" t="str">
        <f t="shared" si="1"/>
        <v>22.9kV/480-100V 3P 1750kVA</v>
      </c>
      <c r="T14" s="16"/>
    </row>
    <row r="15" spans="2:20">
      <c r="B15" s="31" t="str">
        <f t="shared" si="0"/>
        <v>E_TRN0101_VM_KP_ELC_22900_480_2000</v>
      </c>
      <c r="C15" s="16" t="s">
        <v>40</v>
      </c>
      <c r="D15" s="16" t="s">
        <v>39</v>
      </c>
      <c r="E15" s="16" t="s">
        <v>635</v>
      </c>
      <c r="F15" s="16" t="s">
        <v>636</v>
      </c>
      <c r="G15" s="16"/>
      <c r="H15" s="18">
        <v>22900</v>
      </c>
      <c r="I15" s="18">
        <v>480</v>
      </c>
      <c r="J15" s="18">
        <v>2000</v>
      </c>
      <c r="K15" s="18" t="s">
        <v>621</v>
      </c>
      <c r="L15" s="18"/>
      <c r="M15" s="18">
        <v>56800000</v>
      </c>
      <c r="N15" s="16"/>
      <c r="O15" s="16" t="s">
        <v>637</v>
      </c>
      <c r="P15" s="16" t="b">
        <v>1</v>
      </c>
      <c r="Q15" s="16" t="str">
        <f t="shared" si="2"/>
        <v>최저소비효율몰드변압기(MOLD TR)</v>
      </c>
      <c r="R15" s="16" t="str">
        <f t="shared" si="1"/>
        <v>22.9kV/480-100V 3P 2000kVA</v>
      </c>
      <c r="T15" s="16"/>
    </row>
    <row r="16" spans="2:20">
      <c r="B16" s="31" t="str">
        <f t="shared" si="0"/>
        <v>E_TRN0101_VM_KP_ELC_22900_480_2500</v>
      </c>
      <c r="C16" s="16" t="s">
        <v>40</v>
      </c>
      <c r="D16" s="16" t="s">
        <v>39</v>
      </c>
      <c r="E16" s="16" t="s">
        <v>635</v>
      </c>
      <c r="F16" s="16" t="s">
        <v>636</v>
      </c>
      <c r="G16" s="16"/>
      <c r="H16" s="18">
        <v>22900</v>
      </c>
      <c r="I16" s="18">
        <v>480</v>
      </c>
      <c r="J16" s="18">
        <v>2500</v>
      </c>
      <c r="K16" s="18" t="s">
        <v>621</v>
      </c>
      <c r="L16" s="18"/>
      <c r="M16" s="18">
        <v>80500000</v>
      </c>
      <c r="N16" s="16"/>
      <c r="O16" s="16" t="s">
        <v>637</v>
      </c>
      <c r="P16" s="16" t="b">
        <v>1</v>
      </c>
      <c r="Q16" s="16" t="str">
        <f t="shared" si="2"/>
        <v>최저소비효율몰드변압기(MOLD TR)</v>
      </c>
      <c r="R16" s="16" t="str">
        <f t="shared" si="1"/>
        <v>22.9kV/480-100V 3P 2500kVA</v>
      </c>
      <c r="T16" s="16"/>
    </row>
    <row r="17" spans="2:20">
      <c r="B17" s="31" t="str">
        <f t="shared" si="0"/>
        <v>E_TRN0101_VM_KP_ELC_22900_480_3000</v>
      </c>
      <c r="C17" s="16" t="s">
        <v>40</v>
      </c>
      <c r="D17" s="16" t="s">
        <v>39</v>
      </c>
      <c r="E17" s="16" t="s">
        <v>635</v>
      </c>
      <c r="F17" s="16" t="s">
        <v>636</v>
      </c>
      <c r="G17" s="16"/>
      <c r="H17" s="18">
        <v>22900</v>
      </c>
      <c r="I17" s="18">
        <v>480</v>
      </c>
      <c r="J17" s="18">
        <v>3000</v>
      </c>
      <c r="K17" s="18" t="s">
        <v>621</v>
      </c>
      <c r="L17" s="18"/>
      <c r="M17" s="18">
        <v>90200000</v>
      </c>
      <c r="N17" s="16"/>
      <c r="O17" s="16" t="s">
        <v>637</v>
      </c>
      <c r="P17" s="16" t="b">
        <v>1</v>
      </c>
      <c r="Q17" s="16" t="str">
        <f t="shared" si="2"/>
        <v>최저소비효율몰드변압기(MOLD TR)</v>
      </c>
      <c r="R17" s="16" t="str">
        <f t="shared" si="1"/>
        <v>22.9kV/480-100V 3P 3000kVA</v>
      </c>
      <c r="T17" s="16"/>
    </row>
    <row r="18" spans="2:20" ht="16.5" customHeight="1"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S18" s="16"/>
      <c r="T18" s="16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3CE8-6009-487B-8ED9-BD2A5B4F7F82}">
  <dimension ref="B1:X174"/>
  <sheetViews>
    <sheetView zoomScale="70" zoomScaleNormal="70" workbookViewId="0">
      <selection activeCell="J46" sqref="J46"/>
    </sheetView>
  </sheetViews>
  <sheetFormatPr defaultRowHeight="16.5" customHeight="1"/>
  <cols>
    <col min="2" max="2" width="38.5" bestFit="1" customWidth="1"/>
    <col min="3" max="3" width="46.125" bestFit="1" customWidth="1"/>
    <col min="4" max="4" width="16.5" customWidth="1"/>
    <col min="5" max="5" width="11.875" customWidth="1"/>
    <col min="6" max="6" width="11.25" bestFit="1" customWidth="1"/>
    <col min="7" max="7" width="15.375" bestFit="1" customWidth="1"/>
    <col min="8" max="9" width="19.5" bestFit="1" customWidth="1"/>
    <col min="10" max="10" width="22" bestFit="1" customWidth="1"/>
    <col min="11" max="11" width="22" customWidth="1"/>
    <col min="12" max="12" width="25.875" bestFit="1" customWidth="1"/>
    <col min="13" max="13" width="15.75" bestFit="1" customWidth="1"/>
    <col min="14" max="14" width="19" bestFit="1" customWidth="1"/>
    <col min="15" max="15" width="27.875" bestFit="1" customWidth="1"/>
    <col min="16" max="16" width="9.5" bestFit="1" customWidth="1"/>
    <col min="17" max="17" width="19.375" customWidth="1"/>
    <col min="18" max="18" width="18.25" customWidth="1"/>
    <col min="19" max="19" width="19.875" customWidth="1"/>
    <col min="20" max="20" width="18.125" bestFit="1" customWidth="1"/>
    <col min="25" max="25" width="11.5" bestFit="1" customWidth="1"/>
  </cols>
  <sheetData>
    <row r="1" spans="2:24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638</v>
      </c>
      <c r="I1" s="2" t="s">
        <v>631</v>
      </c>
      <c r="J1" s="2" t="s">
        <v>639</v>
      </c>
      <c r="K1" s="47" t="s">
        <v>586</v>
      </c>
      <c r="L1" s="48" t="s">
        <v>587</v>
      </c>
      <c r="M1" s="2" t="s">
        <v>588</v>
      </c>
      <c r="N1" s="3" t="s">
        <v>589</v>
      </c>
      <c r="O1" s="2" t="s">
        <v>590</v>
      </c>
      <c r="P1" s="2" t="s">
        <v>591</v>
      </c>
      <c r="Q1" s="2" t="s">
        <v>592</v>
      </c>
      <c r="R1" s="2" t="s">
        <v>593</v>
      </c>
      <c r="S1" s="2" t="s">
        <v>594</v>
      </c>
      <c r="T1" s="54" t="s">
        <v>595</v>
      </c>
    </row>
    <row r="2" spans="2:24">
      <c r="B2" s="4" t="s">
        <v>596</v>
      </c>
      <c r="C2" s="5" t="s">
        <v>597</v>
      </c>
      <c r="D2" s="6" t="s">
        <v>598</v>
      </c>
      <c r="E2" s="5" t="s">
        <v>597</v>
      </c>
      <c r="F2" s="7" t="s">
        <v>386</v>
      </c>
      <c r="G2" s="7" t="s">
        <v>599</v>
      </c>
      <c r="H2" s="10" t="s">
        <v>640</v>
      </c>
      <c r="I2" s="6" t="s">
        <v>634</v>
      </c>
      <c r="J2" s="6" t="s">
        <v>641</v>
      </c>
      <c r="K2" s="43" t="s">
        <v>602</v>
      </c>
      <c r="L2" s="43" t="s">
        <v>603</v>
      </c>
      <c r="M2" s="11" t="s">
        <v>604</v>
      </c>
      <c r="N2" s="12" t="s">
        <v>605</v>
      </c>
      <c r="O2" s="51" t="s">
        <v>606</v>
      </c>
      <c r="P2" s="13" t="s">
        <v>607</v>
      </c>
      <c r="Q2" s="33" t="s">
        <v>608</v>
      </c>
      <c r="R2" s="33" t="s">
        <v>609</v>
      </c>
      <c r="S2" s="7" t="s">
        <v>610</v>
      </c>
      <c r="T2" s="55" t="s">
        <v>611</v>
      </c>
    </row>
    <row r="3" spans="2:24">
      <c r="B3" s="9" t="str">
        <f t="shared" ref="B3:B17" si="0">D3&amp;"_"&amp;F3&amp;"_"&amp;H3&amp;"_"&amp;J3</f>
        <v>E_CPC0201_VM_0000_10_440</v>
      </c>
      <c r="C3" s="16" t="s">
        <v>63</v>
      </c>
      <c r="D3" s="16" t="s">
        <v>62</v>
      </c>
      <c r="E3" s="16" t="s">
        <v>391</v>
      </c>
      <c r="F3" s="16" t="s">
        <v>612</v>
      </c>
      <c r="G3" s="16"/>
      <c r="H3" s="16">
        <v>10</v>
      </c>
      <c r="I3" s="16"/>
      <c r="J3" s="16">
        <v>440</v>
      </c>
      <c r="K3" s="16" t="s">
        <v>621</v>
      </c>
      <c r="L3" s="16"/>
      <c r="M3" s="16">
        <v>8600</v>
      </c>
      <c r="N3" s="16"/>
      <c r="O3" s="16" t="s">
        <v>642</v>
      </c>
      <c r="P3" s="16" t="b">
        <v>1</v>
      </c>
      <c r="Q3" s="16" t="s">
        <v>643</v>
      </c>
      <c r="R3" s="16" t="str">
        <f t="shared" ref="R3:R17" si="1">H3&amp;"μF"</f>
        <v>10μF</v>
      </c>
      <c r="T3" s="16"/>
      <c r="W3" s="16"/>
      <c r="X3" s="16"/>
    </row>
    <row r="4" spans="2:24">
      <c r="B4" s="9" t="str">
        <f t="shared" si="0"/>
        <v>E_CPC0201_VM_0000_15_440</v>
      </c>
      <c r="C4" s="16" t="s">
        <v>63</v>
      </c>
      <c r="D4" s="16" t="s">
        <v>62</v>
      </c>
      <c r="E4" s="16" t="s">
        <v>391</v>
      </c>
      <c r="F4" s="16" t="s">
        <v>612</v>
      </c>
      <c r="G4" s="16"/>
      <c r="H4" s="16">
        <v>15</v>
      </c>
      <c r="I4" s="16"/>
      <c r="J4" s="16">
        <v>440</v>
      </c>
      <c r="K4" s="16" t="s">
        <v>621</v>
      </c>
      <c r="L4" s="16"/>
      <c r="M4" s="16">
        <v>12000</v>
      </c>
      <c r="N4" s="16"/>
      <c r="O4" s="16" t="s">
        <v>642</v>
      </c>
      <c r="P4" s="16" t="b">
        <v>1</v>
      </c>
      <c r="Q4" s="16" t="s">
        <v>643</v>
      </c>
      <c r="R4" s="16" t="str">
        <f t="shared" si="1"/>
        <v>15μF</v>
      </c>
      <c r="T4" s="16"/>
      <c r="W4" s="16"/>
      <c r="X4" s="16"/>
    </row>
    <row r="5" spans="2:24">
      <c r="B5" s="9" t="str">
        <f t="shared" si="0"/>
        <v>E_CPC0201_VM_0000_20_440</v>
      </c>
      <c r="C5" s="16" t="s">
        <v>63</v>
      </c>
      <c r="D5" s="16" t="s">
        <v>62</v>
      </c>
      <c r="E5" s="16" t="s">
        <v>391</v>
      </c>
      <c r="F5" s="16" t="s">
        <v>612</v>
      </c>
      <c r="G5" s="16"/>
      <c r="H5" s="16">
        <v>20</v>
      </c>
      <c r="I5" s="16"/>
      <c r="J5" s="16">
        <v>440</v>
      </c>
      <c r="K5" s="16" t="s">
        <v>621</v>
      </c>
      <c r="L5" s="16"/>
      <c r="M5" s="16">
        <v>16100</v>
      </c>
      <c r="N5" s="16"/>
      <c r="O5" s="16" t="s">
        <v>642</v>
      </c>
      <c r="P5" s="16" t="b">
        <v>1</v>
      </c>
      <c r="Q5" s="16" t="s">
        <v>643</v>
      </c>
      <c r="R5" s="16" t="str">
        <f t="shared" si="1"/>
        <v>20μF</v>
      </c>
      <c r="T5" s="16"/>
      <c r="W5" s="16"/>
      <c r="X5" s="16"/>
    </row>
    <row r="6" spans="2:24">
      <c r="B6" s="9" t="str">
        <f t="shared" si="0"/>
        <v>E_CPC0201_VM_0000_25_440</v>
      </c>
      <c r="C6" s="16" t="s">
        <v>63</v>
      </c>
      <c r="D6" s="16" t="s">
        <v>62</v>
      </c>
      <c r="E6" s="16" t="s">
        <v>391</v>
      </c>
      <c r="F6" s="16" t="s">
        <v>612</v>
      </c>
      <c r="G6" s="16"/>
      <c r="H6" s="16">
        <v>25</v>
      </c>
      <c r="I6" s="16"/>
      <c r="J6" s="16">
        <v>440</v>
      </c>
      <c r="K6" s="16" t="s">
        <v>621</v>
      </c>
      <c r="L6" s="16"/>
      <c r="M6" s="16">
        <v>18900</v>
      </c>
      <c r="N6" s="16"/>
      <c r="O6" s="16" t="s">
        <v>642</v>
      </c>
      <c r="P6" s="16" t="b">
        <v>1</v>
      </c>
      <c r="Q6" s="16" t="s">
        <v>643</v>
      </c>
      <c r="R6" s="16" t="str">
        <f t="shared" si="1"/>
        <v>25μF</v>
      </c>
      <c r="T6" s="16"/>
      <c r="W6" s="16"/>
      <c r="X6" s="16"/>
    </row>
    <row r="7" spans="2:24">
      <c r="B7" s="9" t="str">
        <f t="shared" si="0"/>
        <v>E_CPC0201_VM_0000_30_440</v>
      </c>
      <c r="C7" s="16" t="s">
        <v>63</v>
      </c>
      <c r="D7" s="16" t="s">
        <v>62</v>
      </c>
      <c r="E7" s="16" t="s">
        <v>391</v>
      </c>
      <c r="F7" s="16" t="s">
        <v>612</v>
      </c>
      <c r="G7" s="16"/>
      <c r="H7" s="16">
        <v>30</v>
      </c>
      <c r="I7" s="16"/>
      <c r="J7" s="16">
        <v>440</v>
      </c>
      <c r="K7" s="16" t="s">
        <v>621</v>
      </c>
      <c r="L7" s="16"/>
      <c r="M7" s="16">
        <v>23000</v>
      </c>
      <c r="N7" s="16"/>
      <c r="O7" s="16" t="s">
        <v>642</v>
      </c>
      <c r="P7" s="16" t="b">
        <v>1</v>
      </c>
      <c r="Q7" s="16" t="s">
        <v>643</v>
      </c>
      <c r="R7" s="16" t="str">
        <f t="shared" si="1"/>
        <v>30μF</v>
      </c>
      <c r="T7" s="16"/>
      <c r="W7" s="16"/>
      <c r="X7" s="16"/>
    </row>
    <row r="8" spans="2:24">
      <c r="B8" s="9" t="str">
        <f t="shared" si="0"/>
        <v>E_CPC0201_VM_0000_40_440</v>
      </c>
      <c r="C8" s="16" t="s">
        <v>63</v>
      </c>
      <c r="D8" s="16" t="s">
        <v>62</v>
      </c>
      <c r="E8" s="16" t="s">
        <v>391</v>
      </c>
      <c r="F8" s="16" t="s">
        <v>612</v>
      </c>
      <c r="G8" s="16"/>
      <c r="H8" s="16">
        <v>40</v>
      </c>
      <c r="I8" s="16"/>
      <c r="J8" s="16">
        <v>440</v>
      </c>
      <c r="K8" s="16" t="s">
        <v>621</v>
      </c>
      <c r="L8" s="16"/>
      <c r="M8" s="16">
        <v>31000</v>
      </c>
      <c r="N8" s="16"/>
      <c r="O8" s="16" t="s">
        <v>642</v>
      </c>
      <c r="P8" s="16" t="b">
        <v>1</v>
      </c>
      <c r="Q8" s="16" t="s">
        <v>643</v>
      </c>
      <c r="R8" s="16" t="str">
        <f t="shared" si="1"/>
        <v>40μF</v>
      </c>
      <c r="T8" s="16"/>
      <c r="W8" s="16"/>
      <c r="X8" s="16"/>
    </row>
    <row r="9" spans="2:24">
      <c r="B9" s="9" t="str">
        <f t="shared" si="0"/>
        <v>E_CPC0201_VM_0000_50_440</v>
      </c>
      <c r="C9" s="16" t="s">
        <v>63</v>
      </c>
      <c r="D9" s="16" t="s">
        <v>62</v>
      </c>
      <c r="E9" s="16" t="s">
        <v>391</v>
      </c>
      <c r="F9" s="16" t="s">
        <v>612</v>
      </c>
      <c r="G9" s="16"/>
      <c r="H9" s="16">
        <v>50</v>
      </c>
      <c r="I9" s="16"/>
      <c r="J9" s="16">
        <v>440</v>
      </c>
      <c r="K9" s="16" t="s">
        <v>621</v>
      </c>
      <c r="L9" s="16"/>
      <c r="M9" s="16">
        <v>33300</v>
      </c>
      <c r="N9" s="16"/>
      <c r="O9" s="16" t="s">
        <v>642</v>
      </c>
      <c r="P9" s="16" t="b">
        <v>1</v>
      </c>
      <c r="Q9" s="16" t="s">
        <v>643</v>
      </c>
      <c r="R9" s="16" t="str">
        <f t="shared" si="1"/>
        <v>50μF</v>
      </c>
      <c r="T9" s="16"/>
      <c r="W9" s="16"/>
      <c r="X9" s="16"/>
    </row>
    <row r="10" spans="2:24">
      <c r="B10" s="9" t="str">
        <f t="shared" si="0"/>
        <v>E_CPC0201_VM_0000_75_440</v>
      </c>
      <c r="C10" s="16" t="s">
        <v>63</v>
      </c>
      <c r="D10" s="16" t="s">
        <v>62</v>
      </c>
      <c r="E10" s="16" t="s">
        <v>391</v>
      </c>
      <c r="F10" s="16" t="s">
        <v>612</v>
      </c>
      <c r="G10" s="16"/>
      <c r="H10" s="16">
        <v>75</v>
      </c>
      <c r="I10" s="16"/>
      <c r="J10" s="16">
        <v>440</v>
      </c>
      <c r="K10" s="16" t="s">
        <v>621</v>
      </c>
      <c r="L10" s="16"/>
      <c r="M10" s="16">
        <v>45400</v>
      </c>
      <c r="N10" s="16"/>
      <c r="O10" s="16" t="s">
        <v>642</v>
      </c>
      <c r="P10" s="16" t="b">
        <v>1</v>
      </c>
      <c r="Q10" s="16" t="s">
        <v>643</v>
      </c>
      <c r="R10" s="16" t="str">
        <f t="shared" si="1"/>
        <v>75μF</v>
      </c>
      <c r="T10" s="16"/>
      <c r="W10" s="16"/>
      <c r="X10" s="16"/>
    </row>
    <row r="11" spans="2:24">
      <c r="B11" s="9" t="str">
        <f t="shared" si="0"/>
        <v>E_CPC0201_VM_0000_100_440</v>
      </c>
      <c r="C11" s="16" t="s">
        <v>63</v>
      </c>
      <c r="D11" s="16" t="s">
        <v>62</v>
      </c>
      <c r="E11" s="16" t="s">
        <v>391</v>
      </c>
      <c r="F11" s="16" t="s">
        <v>612</v>
      </c>
      <c r="G11" s="16"/>
      <c r="H11" s="16">
        <v>100</v>
      </c>
      <c r="I11" s="16"/>
      <c r="J11" s="16">
        <v>440</v>
      </c>
      <c r="K11" s="16" t="s">
        <v>621</v>
      </c>
      <c r="L11" s="16"/>
      <c r="M11" s="16">
        <v>57500</v>
      </c>
      <c r="N11" s="16"/>
      <c r="O11" s="16" t="s">
        <v>642</v>
      </c>
      <c r="P11" s="16" t="b">
        <v>1</v>
      </c>
      <c r="Q11" s="16" t="s">
        <v>643</v>
      </c>
      <c r="R11" s="16" t="str">
        <f t="shared" si="1"/>
        <v>100μF</v>
      </c>
      <c r="T11" s="16"/>
      <c r="W11" s="16"/>
      <c r="X11" s="16"/>
    </row>
    <row r="12" spans="2:24">
      <c r="B12" s="9" t="str">
        <f t="shared" si="0"/>
        <v>E_CPC0201_VM_0000_150_440</v>
      </c>
      <c r="C12" s="16" t="s">
        <v>63</v>
      </c>
      <c r="D12" s="16" t="s">
        <v>62</v>
      </c>
      <c r="E12" s="16" t="s">
        <v>391</v>
      </c>
      <c r="F12" s="16" t="s">
        <v>612</v>
      </c>
      <c r="G12" s="16"/>
      <c r="H12" s="16">
        <v>150</v>
      </c>
      <c r="I12" s="16"/>
      <c r="J12" s="16">
        <v>440</v>
      </c>
      <c r="K12" s="16" t="s">
        <v>621</v>
      </c>
      <c r="L12" s="16"/>
      <c r="M12" s="16">
        <v>87400</v>
      </c>
      <c r="N12" s="16"/>
      <c r="O12" s="16" t="s">
        <v>642</v>
      </c>
      <c r="P12" s="16" t="b">
        <v>1</v>
      </c>
      <c r="Q12" s="16" t="s">
        <v>643</v>
      </c>
      <c r="R12" s="16" t="str">
        <f t="shared" si="1"/>
        <v>150μF</v>
      </c>
      <c r="T12" s="16"/>
      <c r="W12" s="16"/>
      <c r="X12" s="16"/>
    </row>
    <row r="13" spans="2:24">
      <c r="B13" s="9" t="str">
        <f t="shared" si="0"/>
        <v>E_CPC0201_VM_0000_200_440</v>
      </c>
      <c r="C13" s="16" t="s">
        <v>63</v>
      </c>
      <c r="D13" s="16" t="s">
        <v>62</v>
      </c>
      <c r="E13" s="16" t="s">
        <v>391</v>
      </c>
      <c r="F13" s="16" t="s">
        <v>612</v>
      </c>
      <c r="G13" s="16"/>
      <c r="H13" s="16">
        <v>200</v>
      </c>
      <c r="I13" s="16"/>
      <c r="J13" s="16">
        <v>440</v>
      </c>
      <c r="K13" s="16" t="s">
        <v>621</v>
      </c>
      <c r="L13" s="16"/>
      <c r="M13" s="16">
        <v>115000</v>
      </c>
      <c r="N13" s="16"/>
      <c r="O13" s="16" t="s">
        <v>642</v>
      </c>
      <c r="P13" s="16" t="b">
        <v>1</v>
      </c>
      <c r="Q13" s="16" t="s">
        <v>643</v>
      </c>
      <c r="R13" s="16" t="str">
        <f t="shared" si="1"/>
        <v>200μF</v>
      </c>
      <c r="T13" s="16"/>
      <c r="W13" s="16"/>
      <c r="X13" s="16"/>
    </row>
    <row r="14" spans="2:24">
      <c r="B14" s="9" t="str">
        <f t="shared" si="0"/>
        <v>E_CPC0201_VM_0000_250_440</v>
      </c>
      <c r="C14" s="16" t="s">
        <v>63</v>
      </c>
      <c r="D14" s="16" t="s">
        <v>62</v>
      </c>
      <c r="E14" s="16" t="s">
        <v>391</v>
      </c>
      <c r="F14" s="16" t="s">
        <v>612</v>
      </c>
      <c r="G14" s="16"/>
      <c r="H14" s="16">
        <v>250</v>
      </c>
      <c r="I14" s="16"/>
      <c r="J14" s="16">
        <v>440</v>
      </c>
      <c r="K14" s="16" t="s">
        <v>621</v>
      </c>
      <c r="L14" s="16"/>
      <c r="M14" s="16">
        <v>146000</v>
      </c>
      <c r="N14" s="16"/>
      <c r="O14" s="16" t="s">
        <v>642</v>
      </c>
      <c r="P14" s="16" t="b">
        <v>1</v>
      </c>
      <c r="Q14" s="16" t="s">
        <v>643</v>
      </c>
      <c r="R14" s="16" t="str">
        <f t="shared" si="1"/>
        <v>250μF</v>
      </c>
      <c r="T14" s="16"/>
      <c r="W14" s="16"/>
      <c r="X14" s="16"/>
    </row>
    <row r="15" spans="2:24">
      <c r="B15" s="9" t="str">
        <f t="shared" si="0"/>
        <v>E_CPC0201_VM_0000_300_440</v>
      </c>
      <c r="C15" s="16" t="s">
        <v>63</v>
      </c>
      <c r="D15" s="16" t="s">
        <v>62</v>
      </c>
      <c r="E15" s="16" t="s">
        <v>391</v>
      </c>
      <c r="F15" s="16" t="s">
        <v>612</v>
      </c>
      <c r="G15" s="16"/>
      <c r="H15" s="16">
        <v>300</v>
      </c>
      <c r="I15" s="16"/>
      <c r="J15" s="16">
        <v>440</v>
      </c>
      <c r="K15" s="16" t="s">
        <v>621</v>
      </c>
      <c r="L15" s="16"/>
      <c r="M15" s="16">
        <v>167900</v>
      </c>
      <c r="N15" s="16"/>
      <c r="O15" s="16" t="s">
        <v>642</v>
      </c>
      <c r="P15" s="16" t="b">
        <v>1</v>
      </c>
      <c r="Q15" s="16" t="s">
        <v>643</v>
      </c>
      <c r="R15" s="16" t="str">
        <f t="shared" si="1"/>
        <v>300μF</v>
      </c>
      <c r="T15" s="16"/>
      <c r="W15" s="16"/>
      <c r="X15" s="16"/>
    </row>
    <row r="16" spans="2:24">
      <c r="B16" s="9" t="str">
        <f t="shared" si="0"/>
        <v>E_CPC0201_VM_0000_400_440</v>
      </c>
      <c r="C16" s="16" t="s">
        <v>63</v>
      </c>
      <c r="D16" s="16" t="s">
        <v>62</v>
      </c>
      <c r="E16" s="16" t="s">
        <v>391</v>
      </c>
      <c r="F16" s="16" t="s">
        <v>612</v>
      </c>
      <c r="G16" s="16"/>
      <c r="H16" s="16">
        <v>400</v>
      </c>
      <c r="I16" s="16"/>
      <c r="J16" s="16">
        <v>440</v>
      </c>
      <c r="K16" s="16" t="s">
        <v>621</v>
      </c>
      <c r="L16" s="16"/>
      <c r="M16" s="16">
        <v>224200</v>
      </c>
      <c r="N16" s="16"/>
      <c r="O16" s="16" t="s">
        <v>642</v>
      </c>
      <c r="P16" s="16" t="b">
        <v>1</v>
      </c>
      <c r="Q16" s="16" t="s">
        <v>643</v>
      </c>
      <c r="R16" s="16" t="str">
        <f t="shared" si="1"/>
        <v>400μF</v>
      </c>
      <c r="T16" s="16"/>
      <c r="W16" s="16"/>
      <c r="X16" s="16"/>
    </row>
    <row r="17" spans="2:24">
      <c r="B17" s="9" t="str">
        <f t="shared" si="0"/>
        <v>E_CPC0201_VM_0000_500_440</v>
      </c>
      <c r="C17" s="16" t="s">
        <v>63</v>
      </c>
      <c r="D17" s="16" t="s">
        <v>62</v>
      </c>
      <c r="E17" s="16" t="s">
        <v>391</v>
      </c>
      <c r="F17" s="16" t="s">
        <v>612</v>
      </c>
      <c r="G17" s="16"/>
      <c r="H17" s="16">
        <v>500</v>
      </c>
      <c r="I17" s="16"/>
      <c r="J17" s="16">
        <v>440</v>
      </c>
      <c r="K17" s="16" t="s">
        <v>621</v>
      </c>
      <c r="L17" s="16"/>
      <c r="M17" s="16">
        <v>267900</v>
      </c>
      <c r="N17" s="16"/>
      <c r="O17" s="16" t="s">
        <v>642</v>
      </c>
      <c r="P17" s="16" t="b">
        <v>1</v>
      </c>
      <c r="Q17" s="16" t="s">
        <v>643</v>
      </c>
      <c r="R17" s="16" t="str">
        <f t="shared" si="1"/>
        <v>500μF</v>
      </c>
      <c r="T17" s="16"/>
      <c r="W17" s="16"/>
      <c r="X17" s="16"/>
    </row>
    <row r="18" spans="2:24">
      <c r="B18" s="9" t="str">
        <f t="shared" ref="B18:B27" si="2">D18&amp;"_"&amp;F18&amp;"_"&amp;I18&amp;"_"&amp;J18</f>
        <v>E_CPC0202_VM_0000_10_440</v>
      </c>
      <c r="C18" s="16" t="s">
        <v>65</v>
      </c>
      <c r="D18" s="16" t="s">
        <v>64</v>
      </c>
      <c r="E18" s="16" t="s">
        <v>391</v>
      </c>
      <c r="F18" s="16" t="s">
        <v>612</v>
      </c>
      <c r="G18" s="16"/>
      <c r="H18" s="16"/>
      <c r="I18" s="16">
        <v>10</v>
      </c>
      <c r="J18" s="16">
        <v>440</v>
      </c>
      <c r="K18" s="16" t="s">
        <v>621</v>
      </c>
      <c r="L18" s="16"/>
      <c r="M18" s="16">
        <v>86900</v>
      </c>
      <c r="N18" s="16"/>
      <c r="O18" s="16" t="s">
        <v>642</v>
      </c>
      <c r="P18" s="16" t="b">
        <v>1</v>
      </c>
      <c r="Q18" s="16" t="s">
        <v>643</v>
      </c>
      <c r="R18" s="16" t="str">
        <f t="shared" ref="R18:R27" si="3">"(380/"&amp;J18&amp;"V) 3P "&amp;I18&amp;"kVA"</f>
        <v>(380/440V) 3P 10kVA</v>
      </c>
      <c r="T18" s="16"/>
      <c r="W18" s="16"/>
      <c r="X18" s="16"/>
    </row>
    <row r="19" spans="2:24">
      <c r="B19" s="9" t="str">
        <f t="shared" si="2"/>
        <v>E_CPC0202_VM_0000_15_440</v>
      </c>
      <c r="C19" s="16" t="s">
        <v>65</v>
      </c>
      <c r="D19" s="16" t="s">
        <v>64</v>
      </c>
      <c r="E19" s="16" t="s">
        <v>391</v>
      </c>
      <c r="F19" s="16" t="s">
        <v>612</v>
      </c>
      <c r="G19" s="16"/>
      <c r="H19" s="16"/>
      <c r="I19" s="16">
        <v>15</v>
      </c>
      <c r="J19" s="16">
        <v>440</v>
      </c>
      <c r="K19" s="16" t="s">
        <v>621</v>
      </c>
      <c r="L19" s="16"/>
      <c r="M19" s="16">
        <v>132200</v>
      </c>
      <c r="N19" s="16"/>
      <c r="O19" s="16" t="s">
        <v>642</v>
      </c>
      <c r="P19" s="16" t="b">
        <v>1</v>
      </c>
      <c r="Q19" s="16" t="s">
        <v>643</v>
      </c>
      <c r="R19" s="16" t="str">
        <f t="shared" si="3"/>
        <v>(380/440V) 3P 15kVA</v>
      </c>
      <c r="T19" s="16"/>
      <c r="W19" s="16"/>
      <c r="X19" s="16"/>
    </row>
    <row r="20" spans="2:24">
      <c r="B20" s="9" t="str">
        <f t="shared" si="2"/>
        <v>E_CPC0202_VM_0000_20_440</v>
      </c>
      <c r="C20" s="16" t="s">
        <v>65</v>
      </c>
      <c r="D20" s="16" t="s">
        <v>64</v>
      </c>
      <c r="E20" s="16" t="s">
        <v>391</v>
      </c>
      <c r="F20" s="16" t="s">
        <v>612</v>
      </c>
      <c r="G20" s="16"/>
      <c r="H20" s="16"/>
      <c r="I20" s="16">
        <v>20</v>
      </c>
      <c r="J20" s="16">
        <v>440</v>
      </c>
      <c r="K20" s="16" t="s">
        <v>621</v>
      </c>
      <c r="L20" s="16"/>
      <c r="M20" s="16">
        <v>177100</v>
      </c>
      <c r="N20" s="16"/>
      <c r="O20" s="16" t="s">
        <v>642</v>
      </c>
      <c r="P20" s="16" t="b">
        <v>1</v>
      </c>
      <c r="Q20" s="16" t="s">
        <v>643</v>
      </c>
      <c r="R20" s="16" t="str">
        <f t="shared" si="3"/>
        <v>(380/440V) 3P 20kVA</v>
      </c>
      <c r="T20" s="16"/>
      <c r="W20" s="16"/>
      <c r="X20" s="16"/>
    </row>
    <row r="21" spans="2:24">
      <c r="B21" s="9" t="str">
        <f t="shared" si="2"/>
        <v>E_CPC0202_VM_0000_25_440</v>
      </c>
      <c r="C21" s="16" t="s">
        <v>65</v>
      </c>
      <c r="D21" s="16" t="s">
        <v>64</v>
      </c>
      <c r="E21" s="16" t="s">
        <v>391</v>
      </c>
      <c r="F21" s="16" t="s">
        <v>612</v>
      </c>
      <c r="G21" s="16"/>
      <c r="H21" s="16"/>
      <c r="I21" s="16">
        <v>25</v>
      </c>
      <c r="J21" s="16">
        <v>440</v>
      </c>
      <c r="K21" s="16" t="s">
        <v>621</v>
      </c>
      <c r="L21" s="16"/>
      <c r="M21" s="16">
        <v>202400</v>
      </c>
      <c r="N21" s="16"/>
      <c r="O21" s="16" t="s">
        <v>642</v>
      </c>
      <c r="P21" s="16" t="b">
        <v>1</v>
      </c>
      <c r="Q21" s="16" t="s">
        <v>643</v>
      </c>
      <c r="R21" s="16" t="str">
        <f t="shared" si="3"/>
        <v>(380/440V) 3P 25kVA</v>
      </c>
      <c r="T21" s="16"/>
      <c r="W21" s="16"/>
      <c r="X21" s="16"/>
    </row>
    <row r="22" spans="2:24" ht="16.5" customHeight="1">
      <c r="B22" s="9" t="str">
        <f t="shared" si="2"/>
        <v>E_CPC0202_VM_0000_30_440</v>
      </c>
      <c r="C22" s="16" t="s">
        <v>65</v>
      </c>
      <c r="D22" s="16" t="s">
        <v>64</v>
      </c>
      <c r="E22" s="16" t="s">
        <v>391</v>
      </c>
      <c r="F22" s="16" t="s">
        <v>612</v>
      </c>
      <c r="G22" s="16"/>
      <c r="H22" s="16"/>
      <c r="I22" s="16">
        <v>30</v>
      </c>
      <c r="J22" s="16">
        <v>440</v>
      </c>
      <c r="K22" s="16" t="s">
        <v>621</v>
      </c>
      <c r="L22" s="16"/>
      <c r="M22" s="16">
        <v>246100</v>
      </c>
      <c r="N22" s="16"/>
      <c r="O22" s="16" t="s">
        <v>642</v>
      </c>
      <c r="P22" s="16" t="b">
        <v>1</v>
      </c>
      <c r="Q22" s="16" t="s">
        <v>643</v>
      </c>
      <c r="R22" s="16" t="str">
        <f t="shared" si="3"/>
        <v>(380/440V) 3P 30kVA</v>
      </c>
      <c r="T22" s="16"/>
      <c r="W22" s="16"/>
      <c r="X22" s="16"/>
    </row>
    <row r="23" spans="2:24" ht="16.5" customHeight="1">
      <c r="B23" s="9" t="str">
        <f t="shared" si="2"/>
        <v>E_CPC0202_VM_0000_40_440</v>
      </c>
      <c r="C23" s="16" t="s">
        <v>65</v>
      </c>
      <c r="D23" s="16" t="s">
        <v>64</v>
      </c>
      <c r="E23" s="16" t="s">
        <v>391</v>
      </c>
      <c r="F23" s="16" t="s">
        <v>612</v>
      </c>
      <c r="G23" s="16"/>
      <c r="H23" s="16"/>
      <c r="I23" s="16">
        <v>40</v>
      </c>
      <c r="J23" s="16">
        <v>440</v>
      </c>
      <c r="K23" s="16" t="s">
        <v>621</v>
      </c>
      <c r="L23" s="16"/>
      <c r="M23" s="16">
        <v>324300</v>
      </c>
      <c r="N23" s="16"/>
      <c r="O23" s="16" t="s">
        <v>642</v>
      </c>
      <c r="P23" s="16" t="b">
        <v>1</v>
      </c>
      <c r="Q23" s="16" t="s">
        <v>643</v>
      </c>
      <c r="R23" s="16" t="str">
        <f t="shared" si="3"/>
        <v>(380/440V) 3P 40kVA</v>
      </c>
      <c r="T23" s="16"/>
      <c r="W23" s="16"/>
      <c r="X23" s="16"/>
    </row>
    <row r="24" spans="2:24" ht="16.5" customHeight="1">
      <c r="B24" s="9" t="str">
        <f t="shared" si="2"/>
        <v>E_CPC0202_VM_0000_50_440</v>
      </c>
      <c r="C24" s="16" t="s">
        <v>65</v>
      </c>
      <c r="D24" s="16" t="s">
        <v>64</v>
      </c>
      <c r="E24" s="16" t="s">
        <v>391</v>
      </c>
      <c r="F24" s="16" t="s">
        <v>612</v>
      </c>
      <c r="G24" s="16"/>
      <c r="H24" s="16"/>
      <c r="I24" s="16">
        <v>50</v>
      </c>
      <c r="J24" s="16">
        <v>440</v>
      </c>
      <c r="K24" s="16" t="s">
        <v>621</v>
      </c>
      <c r="L24" s="16"/>
      <c r="M24" s="16">
        <v>370300</v>
      </c>
      <c r="N24" s="16"/>
      <c r="O24" s="16" t="s">
        <v>642</v>
      </c>
      <c r="P24" s="16" t="b">
        <v>1</v>
      </c>
      <c r="Q24" s="16" t="s">
        <v>643</v>
      </c>
      <c r="R24" s="16" t="str">
        <f t="shared" si="3"/>
        <v>(380/440V) 3P 50kVA</v>
      </c>
      <c r="T24" s="16"/>
      <c r="W24" s="16"/>
      <c r="X24" s="16"/>
    </row>
    <row r="25" spans="2:24" ht="16.5" customHeight="1">
      <c r="B25" s="9" t="str">
        <f t="shared" si="2"/>
        <v>E_CPC0202_VM_0000_75_440</v>
      </c>
      <c r="C25" s="16" t="s">
        <v>65</v>
      </c>
      <c r="D25" s="16" t="s">
        <v>64</v>
      </c>
      <c r="E25" s="16" t="s">
        <v>391</v>
      </c>
      <c r="F25" s="16" t="s">
        <v>612</v>
      </c>
      <c r="G25" s="16"/>
      <c r="H25" s="16"/>
      <c r="I25" s="16">
        <v>75</v>
      </c>
      <c r="J25" s="16">
        <v>440</v>
      </c>
      <c r="K25" s="16" t="s">
        <v>621</v>
      </c>
      <c r="L25" s="16"/>
      <c r="M25" s="16">
        <v>566900</v>
      </c>
      <c r="N25" s="16"/>
      <c r="O25" s="16" t="s">
        <v>642</v>
      </c>
      <c r="P25" s="16" t="b">
        <v>1</v>
      </c>
      <c r="Q25" s="16" t="s">
        <v>643</v>
      </c>
      <c r="R25" s="16" t="str">
        <f t="shared" si="3"/>
        <v>(380/440V) 3P 75kVA</v>
      </c>
      <c r="T25" s="16"/>
      <c r="W25" s="16"/>
      <c r="X25" s="16"/>
    </row>
    <row r="26" spans="2:24" ht="16.5" customHeight="1">
      <c r="B26" s="9" t="str">
        <f t="shared" si="2"/>
        <v>E_CPC0202_VM_0000_100_440</v>
      </c>
      <c r="C26" s="16" t="s">
        <v>65</v>
      </c>
      <c r="D26" s="16" t="s">
        <v>64</v>
      </c>
      <c r="E26" s="16" t="s">
        <v>391</v>
      </c>
      <c r="F26" s="16" t="s">
        <v>612</v>
      </c>
      <c r="G26" s="16"/>
      <c r="H26" s="16"/>
      <c r="I26" s="16">
        <v>100</v>
      </c>
      <c r="J26" s="16">
        <v>440</v>
      </c>
      <c r="K26" s="16" t="s">
        <v>621</v>
      </c>
      <c r="L26" s="16"/>
      <c r="M26" s="16">
        <v>711800</v>
      </c>
      <c r="N26" s="16"/>
      <c r="O26" s="16" t="s">
        <v>642</v>
      </c>
      <c r="P26" s="16" t="b">
        <v>1</v>
      </c>
      <c r="Q26" s="16" t="s">
        <v>643</v>
      </c>
      <c r="R26" s="16" t="str">
        <f t="shared" si="3"/>
        <v>(380/440V) 3P 100kVA</v>
      </c>
      <c r="T26" s="16"/>
      <c r="W26" s="16"/>
      <c r="X26" s="16"/>
    </row>
    <row r="27" spans="2:24" ht="16.5" customHeight="1">
      <c r="B27" s="9" t="str">
        <f t="shared" si="2"/>
        <v>E_CPC0202_VM_0000_150_440</v>
      </c>
      <c r="C27" s="16" t="s">
        <v>65</v>
      </c>
      <c r="D27" s="16" t="s">
        <v>64</v>
      </c>
      <c r="E27" s="16" t="s">
        <v>391</v>
      </c>
      <c r="F27" s="16" t="s">
        <v>612</v>
      </c>
      <c r="G27" s="16"/>
      <c r="H27" s="16"/>
      <c r="I27" s="16">
        <v>150</v>
      </c>
      <c r="J27" s="16">
        <v>440</v>
      </c>
      <c r="K27" s="16" t="s">
        <v>621</v>
      </c>
      <c r="L27" s="16"/>
      <c r="M27" s="16">
        <v>1037300</v>
      </c>
      <c r="N27" s="16"/>
      <c r="O27" s="16" t="s">
        <v>642</v>
      </c>
      <c r="P27" s="16" t="b">
        <v>1</v>
      </c>
      <c r="Q27" s="16" t="s">
        <v>643</v>
      </c>
      <c r="R27" s="16" t="str">
        <f t="shared" si="3"/>
        <v>(380/440V) 3P 150kVA</v>
      </c>
      <c r="T27" s="16"/>
      <c r="W27" s="16"/>
      <c r="X27" s="16"/>
    </row>
    <row r="28" spans="2:24" ht="16.5" customHeight="1">
      <c r="B28" s="9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T28" s="16"/>
      <c r="W28" s="16"/>
      <c r="X28" s="16"/>
    </row>
    <row r="29" spans="2:24" ht="16.5" customHeight="1">
      <c r="B29" s="9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T29" s="16"/>
      <c r="W29" s="16"/>
      <c r="X29" s="16"/>
    </row>
    <row r="30" spans="2:24" ht="16.5" customHeight="1">
      <c r="B30" s="9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T30" s="16"/>
      <c r="W30" s="16"/>
      <c r="X30" s="16"/>
    </row>
    <row r="31" spans="2:24" ht="16.5" customHeight="1">
      <c r="B31" s="9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T31" s="16"/>
      <c r="W31" s="16"/>
      <c r="X31" s="16"/>
    </row>
    <row r="32" spans="2:24" ht="16.5" customHeight="1">
      <c r="B32" s="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T32" s="16"/>
      <c r="W32" s="16"/>
      <c r="X32" s="16"/>
    </row>
    <row r="33" spans="2:24" ht="16.5" customHeight="1">
      <c r="B33" s="9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T33" s="16"/>
      <c r="W33" s="16"/>
      <c r="X33" s="16"/>
    </row>
    <row r="34" spans="2:24" ht="16.5" customHeight="1">
      <c r="B34" s="9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T34" s="16"/>
      <c r="W34" s="16"/>
      <c r="X34" s="16"/>
    </row>
    <row r="35" spans="2:24" ht="16.5" customHeight="1">
      <c r="B35" s="9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T35" s="16"/>
      <c r="W35" s="16"/>
      <c r="X35" s="16"/>
    </row>
    <row r="36" spans="2:24" ht="16.5" customHeight="1">
      <c r="B36" s="9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T36" s="16"/>
      <c r="W36" s="16"/>
      <c r="X36" s="16"/>
    </row>
    <row r="37" spans="2:24" ht="16.5" customHeight="1">
      <c r="B37" s="9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T37" s="16"/>
      <c r="W37" s="16"/>
      <c r="X37" s="16"/>
    </row>
    <row r="38" spans="2:24" ht="16.5" customHeight="1">
      <c r="B38" s="9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T38" s="16"/>
      <c r="W38" s="16"/>
      <c r="X38" s="16"/>
    </row>
    <row r="39" spans="2:24" ht="16.5" customHeight="1">
      <c r="B39" s="9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T39" s="16"/>
      <c r="W39" s="16"/>
      <c r="X39" s="16"/>
    </row>
    <row r="40" spans="2:24" ht="16.5" customHeight="1">
      <c r="B40" s="9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T40" s="16"/>
      <c r="W40" s="16"/>
      <c r="X40" s="16"/>
    </row>
    <row r="41" spans="2:24" ht="16.5" customHeight="1">
      <c r="B41" s="9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T41" s="16"/>
      <c r="W41" s="16"/>
      <c r="X41" s="16"/>
    </row>
    <row r="42" spans="2:24" ht="16.5" customHeight="1">
      <c r="B42" s="9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T42" s="16"/>
      <c r="W42" s="16"/>
      <c r="X42" s="16"/>
    </row>
    <row r="43" spans="2:24" ht="16.5" customHeight="1">
      <c r="B43" s="9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T43" s="16"/>
      <c r="W43" s="16"/>
      <c r="X43" s="16"/>
    </row>
    <row r="44" spans="2:24" ht="16.5" customHeight="1">
      <c r="B44" s="9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T44" s="16"/>
      <c r="W44" s="16"/>
      <c r="X44" s="16"/>
    </row>
    <row r="45" spans="2:24" ht="16.5" customHeight="1">
      <c r="B45" s="9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T45" s="16"/>
      <c r="W45" s="16"/>
      <c r="X45" s="16"/>
    </row>
    <row r="46" spans="2:24" ht="16.5" customHeight="1">
      <c r="B46" s="9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T46" s="16"/>
      <c r="W46" s="16"/>
      <c r="X46" s="16"/>
    </row>
    <row r="47" spans="2:24" ht="16.5" customHeight="1">
      <c r="B47" s="9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T47" s="16"/>
      <c r="W47" s="16"/>
      <c r="X47" s="16"/>
    </row>
    <row r="48" spans="2:24" ht="16.5" customHeight="1">
      <c r="B48" s="9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T48" s="16"/>
      <c r="W48" s="16"/>
      <c r="X48" s="16"/>
    </row>
    <row r="49" spans="2:24" ht="16.5" customHeight="1">
      <c r="B49" s="9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T49" s="16"/>
      <c r="W49" s="16"/>
      <c r="X49" s="16"/>
    </row>
    <row r="50" spans="2:24" ht="16.5" customHeight="1">
      <c r="B50" s="9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T50" s="16"/>
      <c r="W50" s="16"/>
      <c r="X50" s="16"/>
    </row>
    <row r="51" spans="2:24" ht="16.5" customHeight="1">
      <c r="B51" s="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T51" s="16"/>
      <c r="W51" s="16"/>
      <c r="X51" s="16"/>
    </row>
    <row r="52" spans="2:24" ht="16.5" customHeight="1">
      <c r="B52" s="9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T52" s="16"/>
      <c r="W52" s="16"/>
      <c r="X52" s="16"/>
    </row>
    <row r="53" spans="2:24" ht="16.5" customHeight="1">
      <c r="B53" s="9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T53" s="16"/>
      <c r="W53" s="16"/>
      <c r="X53" s="16"/>
    </row>
    <row r="54" spans="2:24" ht="16.5" customHeight="1">
      <c r="B54" s="9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T54" s="16"/>
      <c r="W54" s="16"/>
      <c r="X54" s="16"/>
    </row>
    <row r="55" spans="2:24" ht="16.5" customHeight="1">
      <c r="B55" s="9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T55" s="16"/>
      <c r="W55" s="16"/>
      <c r="X55" s="16"/>
    </row>
    <row r="56" spans="2:24" ht="16.5" customHeight="1">
      <c r="B56" s="9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T56" s="16"/>
      <c r="W56" s="16"/>
      <c r="X56" s="16"/>
    </row>
    <row r="57" spans="2:24" ht="16.5" customHeight="1">
      <c r="B57" s="9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T57" s="16"/>
      <c r="W57" s="16"/>
      <c r="X57" s="16"/>
    </row>
    <row r="58" spans="2:24" ht="16.5" customHeight="1"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W58" s="16"/>
      <c r="X58" s="16"/>
    </row>
    <row r="59" spans="2:24" ht="16.5" customHeight="1">
      <c r="Q59" s="16"/>
      <c r="R59" s="16"/>
    </row>
    <row r="60" spans="2:24" ht="16.5" customHeight="1">
      <c r="Q60" s="16"/>
      <c r="R60" s="16"/>
    </row>
    <row r="61" spans="2:24" ht="16.5" customHeight="1">
      <c r="Q61" s="16"/>
      <c r="R61" s="16"/>
    </row>
    <row r="62" spans="2:24" ht="16.5" customHeight="1">
      <c r="Q62" s="16"/>
      <c r="R62" s="16"/>
    </row>
    <row r="63" spans="2:24" ht="16.5" customHeight="1">
      <c r="Q63" s="16"/>
      <c r="R63" s="16"/>
    </row>
    <row r="64" spans="2:24" ht="16.5" customHeight="1">
      <c r="Q64" s="16"/>
      <c r="R64" s="16"/>
    </row>
    <row r="65" spans="17:18" ht="16.5" customHeight="1">
      <c r="Q65" s="16"/>
      <c r="R65" s="16"/>
    </row>
    <row r="66" spans="17:18" ht="16.5" customHeight="1">
      <c r="Q66" s="16"/>
      <c r="R66" s="16"/>
    </row>
    <row r="67" spans="17:18" ht="16.5" customHeight="1">
      <c r="Q67" s="16"/>
      <c r="R67" s="16"/>
    </row>
    <row r="68" spans="17:18" ht="16.5" customHeight="1">
      <c r="Q68" s="16"/>
      <c r="R68" s="16"/>
    </row>
    <row r="69" spans="17:18" ht="16.5" customHeight="1">
      <c r="Q69" s="16"/>
      <c r="R69" s="16"/>
    </row>
    <row r="70" spans="17:18" ht="16.5" customHeight="1">
      <c r="Q70" s="16"/>
      <c r="R70" s="16"/>
    </row>
    <row r="71" spans="17:18" ht="16.5" customHeight="1">
      <c r="Q71" s="16"/>
      <c r="R71" s="16"/>
    </row>
    <row r="72" spans="17:18" ht="16.5" customHeight="1">
      <c r="Q72" s="16"/>
      <c r="R72" s="16"/>
    </row>
    <row r="73" spans="17:18" ht="16.5" customHeight="1">
      <c r="Q73" s="16"/>
      <c r="R73" s="16"/>
    </row>
    <row r="74" spans="17:18" ht="16.5" customHeight="1">
      <c r="Q74" s="16"/>
      <c r="R74" s="16"/>
    </row>
    <row r="75" spans="17:18" ht="16.5" customHeight="1">
      <c r="Q75" s="16"/>
      <c r="R75" s="16"/>
    </row>
    <row r="76" spans="17:18" ht="16.5" customHeight="1">
      <c r="Q76" s="16"/>
      <c r="R76" s="16"/>
    </row>
    <row r="77" spans="17:18" ht="16.5" customHeight="1">
      <c r="Q77" s="16"/>
      <c r="R77" s="16"/>
    </row>
    <row r="78" spans="17:18" ht="16.5" customHeight="1">
      <c r="Q78" s="16"/>
      <c r="R78" s="16"/>
    </row>
    <row r="79" spans="17:18" ht="16.5" customHeight="1">
      <c r="Q79" s="16"/>
      <c r="R79" s="16"/>
    </row>
    <row r="80" spans="17:18" ht="16.5" customHeight="1">
      <c r="Q80" s="16"/>
      <c r="R80" s="16"/>
    </row>
    <row r="81" spans="17:18" ht="16.5" customHeight="1">
      <c r="Q81" s="16"/>
      <c r="R81" s="16"/>
    </row>
    <row r="82" spans="17:18" ht="16.5" customHeight="1">
      <c r="Q82" s="16"/>
      <c r="R82" s="16"/>
    </row>
    <row r="83" spans="17:18" ht="16.5" customHeight="1">
      <c r="Q83" s="16"/>
      <c r="R83" s="16"/>
    </row>
    <row r="84" spans="17:18" ht="16.5" customHeight="1">
      <c r="Q84" s="16"/>
      <c r="R84" s="16"/>
    </row>
    <row r="85" spans="17:18" ht="16.5" customHeight="1">
      <c r="Q85" s="16"/>
      <c r="R85" s="16"/>
    </row>
    <row r="86" spans="17:18" ht="16.5" customHeight="1">
      <c r="Q86" s="16"/>
      <c r="R86" s="16"/>
    </row>
    <row r="87" spans="17:18" ht="16.5" customHeight="1">
      <c r="Q87" s="16"/>
      <c r="R87" s="16"/>
    </row>
    <row r="88" spans="17:18" ht="16.5" customHeight="1">
      <c r="Q88" s="16"/>
      <c r="R88" s="16"/>
    </row>
    <row r="89" spans="17:18" ht="16.5" customHeight="1">
      <c r="Q89" s="16"/>
      <c r="R89" s="16"/>
    </row>
    <row r="90" spans="17:18" ht="16.5" customHeight="1">
      <c r="Q90" s="16"/>
      <c r="R90" s="16"/>
    </row>
    <row r="91" spans="17:18" ht="16.5" customHeight="1">
      <c r="Q91" s="16"/>
      <c r="R91" s="16"/>
    </row>
    <row r="92" spans="17:18" ht="16.5" customHeight="1">
      <c r="Q92" s="16"/>
      <c r="R92" s="16"/>
    </row>
    <row r="93" spans="17:18" ht="16.5" customHeight="1">
      <c r="Q93" s="16"/>
      <c r="R93" s="16"/>
    </row>
    <row r="94" spans="17:18" ht="16.5" customHeight="1">
      <c r="Q94" s="16"/>
      <c r="R94" s="16"/>
    </row>
    <row r="95" spans="17:18" ht="16.5" customHeight="1">
      <c r="Q95" s="16"/>
      <c r="R95" s="16"/>
    </row>
    <row r="96" spans="17:18" ht="16.5" customHeight="1">
      <c r="Q96" s="16"/>
      <c r="R96" s="16"/>
    </row>
    <row r="97" spans="17:18" ht="16.5" customHeight="1">
      <c r="Q97" s="16"/>
      <c r="R97" s="16"/>
    </row>
    <row r="98" spans="17:18" ht="16.5" customHeight="1">
      <c r="Q98" s="16"/>
      <c r="R98" s="16"/>
    </row>
    <row r="99" spans="17:18" ht="16.5" customHeight="1">
      <c r="Q99" s="16"/>
      <c r="R99" s="16"/>
    </row>
    <row r="100" spans="17:18" ht="16.5" customHeight="1">
      <c r="Q100" s="16"/>
      <c r="R100" s="16"/>
    </row>
    <row r="101" spans="17:18" ht="16.5" customHeight="1">
      <c r="Q101" s="16"/>
      <c r="R101" s="16"/>
    </row>
    <row r="102" spans="17:18" ht="16.5" customHeight="1">
      <c r="Q102" s="16"/>
      <c r="R102" s="16"/>
    </row>
    <row r="103" spans="17:18" ht="16.5" customHeight="1">
      <c r="Q103" s="16"/>
      <c r="R103" s="16"/>
    </row>
    <row r="104" spans="17:18" ht="16.5" customHeight="1">
      <c r="Q104" s="16"/>
      <c r="R104" s="16"/>
    </row>
    <row r="105" spans="17:18" ht="16.5" customHeight="1">
      <c r="Q105" s="16"/>
      <c r="R105" s="16"/>
    </row>
    <row r="106" spans="17:18" ht="16.5" customHeight="1">
      <c r="Q106" s="16"/>
      <c r="R106" s="16"/>
    </row>
    <row r="107" spans="17:18" ht="16.5" customHeight="1">
      <c r="Q107" s="16"/>
      <c r="R107" s="16"/>
    </row>
    <row r="108" spans="17:18" ht="16.5" customHeight="1">
      <c r="Q108" s="16"/>
      <c r="R108" s="16"/>
    </row>
    <row r="109" spans="17:18" ht="16.5" customHeight="1">
      <c r="Q109" s="16"/>
      <c r="R109" s="16"/>
    </row>
    <row r="110" spans="17:18" ht="16.5" customHeight="1">
      <c r="Q110" s="16"/>
      <c r="R110" s="16"/>
    </row>
    <row r="111" spans="17:18" ht="16.5" customHeight="1">
      <c r="Q111" s="16"/>
      <c r="R111" s="16"/>
    </row>
    <row r="112" spans="17:18" ht="16.5" customHeight="1">
      <c r="Q112" s="16"/>
      <c r="R112" s="16"/>
    </row>
    <row r="113" spans="17:18" ht="16.5" customHeight="1">
      <c r="Q113" s="16"/>
      <c r="R113" s="16"/>
    </row>
    <row r="114" spans="17:18" ht="16.5" customHeight="1">
      <c r="Q114" s="16"/>
      <c r="R114" s="16"/>
    </row>
    <row r="115" spans="17:18" ht="16.5" customHeight="1">
      <c r="Q115" s="16"/>
      <c r="R115" s="16"/>
    </row>
    <row r="116" spans="17:18" ht="16.5" customHeight="1">
      <c r="Q116" s="16"/>
      <c r="R116" s="16"/>
    </row>
    <row r="117" spans="17:18" ht="16.5" customHeight="1">
      <c r="Q117" s="16"/>
      <c r="R117" s="16"/>
    </row>
    <row r="118" spans="17:18" ht="16.5" customHeight="1">
      <c r="Q118" s="16"/>
      <c r="R118" s="16"/>
    </row>
    <row r="119" spans="17:18" ht="16.5" customHeight="1">
      <c r="Q119" s="16"/>
      <c r="R119" s="16"/>
    </row>
    <row r="120" spans="17:18" ht="16.5" customHeight="1">
      <c r="Q120" s="16"/>
      <c r="R120" s="16"/>
    </row>
    <row r="121" spans="17:18" ht="16.5" customHeight="1">
      <c r="Q121" s="16"/>
      <c r="R121" s="16"/>
    </row>
    <row r="122" spans="17:18" ht="16.5" customHeight="1">
      <c r="Q122" s="16"/>
      <c r="R122" s="16"/>
    </row>
    <row r="123" spans="17:18" ht="16.5" customHeight="1">
      <c r="Q123" s="16"/>
      <c r="R123" s="16"/>
    </row>
    <row r="124" spans="17:18" ht="16.5" customHeight="1">
      <c r="Q124" s="16"/>
      <c r="R124" s="16"/>
    </row>
    <row r="125" spans="17:18" ht="16.5" customHeight="1">
      <c r="Q125" s="16"/>
      <c r="R125" s="16"/>
    </row>
    <row r="126" spans="17:18" ht="16.5" customHeight="1">
      <c r="Q126" s="16"/>
      <c r="R126" s="16"/>
    </row>
    <row r="127" spans="17:18" ht="16.5" customHeight="1">
      <c r="Q127" s="16"/>
      <c r="R127" s="16"/>
    </row>
    <row r="128" spans="17:18" ht="16.5" customHeight="1">
      <c r="Q128" s="16"/>
      <c r="R128" s="16"/>
    </row>
    <row r="129" spans="17:18" ht="16.5" customHeight="1">
      <c r="Q129" s="16"/>
      <c r="R129" s="16"/>
    </row>
    <row r="130" spans="17:18" ht="16.5" customHeight="1">
      <c r="Q130" s="16"/>
      <c r="R130" s="16"/>
    </row>
    <row r="131" spans="17:18" ht="16.5" customHeight="1">
      <c r="Q131" s="16"/>
      <c r="R131" s="16"/>
    </row>
    <row r="132" spans="17:18" ht="16.5" customHeight="1">
      <c r="Q132" s="16"/>
      <c r="R132" s="16"/>
    </row>
    <row r="133" spans="17:18" ht="16.5" customHeight="1">
      <c r="Q133" s="16"/>
      <c r="R133" s="16"/>
    </row>
    <row r="134" spans="17:18" ht="16.5" customHeight="1">
      <c r="Q134" s="16"/>
      <c r="R134" s="16"/>
    </row>
    <row r="135" spans="17:18" ht="16.5" customHeight="1">
      <c r="Q135" s="16"/>
      <c r="R135" s="16"/>
    </row>
    <row r="136" spans="17:18" ht="16.5" customHeight="1">
      <c r="Q136" s="16"/>
      <c r="R136" s="16"/>
    </row>
    <row r="137" spans="17:18" ht="16.5" customHeight="1">
      <c r="Q137" s="16"/>
      <c r="R137" s="16"/>
    </row>
    <row r="138" spans="17:18" ht="16.5" customHeight="1">
      <c r="Q138" s="16"/>
      <c r="R138" s="16"/>
    </row>
    <row r="139" spans="17:18" ht="16.5" customHeight="1">
      <c r="Q139" s="16"/>
      <c r="R139" s="16"/>
    </row>
    <row r="140" spans="17:18" ht="16.5" customHeight="1">
      <c r="Q140" s="16"/>
      <c r="R140" s="16"/>
    </row>
    <row r="141" spans="17:18" ht="16.5" customHeight="1">
      <c r="Q141" s="16"/>
      <c r="R141" s="16"/>
    </row>
    <row r="142" spans="17:18" ht="16.5" customHeight="1">
      <c r="Q142" s="16"/>
      <c r="R142" s="16"/>
    </row>
    <row r="143" spans="17:18" ht="16.5" customHeight="1">
      <c r="Q143" s="16"/>
      <c r="R143" s="16"/>
    </row>
    <row r="144" spans="17:18" ht="16.5" customHeight="1">
      <c r="Q144" s="16"/>
      <c r="R144" s="16"/>
    </row>
    <row r="145" spans="17:18" ht="16.5" customHeight="1">
      <c r="Q145" s="16"/>
      <c r="R145" s="16"/>
    </row>
    <row r="146" spans="17:18" ht="16.5" customHeight="1">
      <c r="Q146" s="16"/>
      <c r="R146" s="16"/>
    </row>
    <row r="147" spans="17:18" ht="16.5" customHeight="1">
      <c r="Q147" s="16"/>
      <c r="R147" s="16"/>
    </row>
    <row r="148" spans="17:18" ht="16.5" customHeight="1">
      <c r="Q148" s="16"/>
      <c r="R148" s="16"/>
    </row>
    <row r="149" spans="17:18" ht="16.5" customHeight="1">
      <c r="Q149" s="16"/>
      <c r="R149" s="16"/>
    </row>
    <row r="150" spans="17:18" ht="16.5" customHeight="1">
      <c r="Q150" s="16"/>
      <c r="R150" s="16"/>
    </row>
    <row r="151" spans="17:18" ht="16.5" customHeight="1">
      <c r="Q151" s="16"/>
      <c r="R151" s="16"/>
    </row>
    <row r="152" spans="17:18" ht="16.5" customHeight="1">
      <c r="Q152" s="16"/>
      <c r="R152" s="16"/>
    </row>
    <row r="153" spans="17:18" ht="16.5" customHeight="1">
      <c r="Q153" s="16"/>
      <c r="R153" s="16"/>
    </row>
    <row r="154" spans="17:18" ht="16.5" customHeight="1">
      <c r="Q154" s="16"/>
      <c r="R154" s="16"/>
    </row>
    <row r="155" spans="17:18" ht="16.5" customHeight="1">
      <c r="Q155" s="16"/>
      <c r="R155" s="16"/>
    </row>
    <row r="156" spans="17:18" ht="16.5" customHeight="1">
      <c r="Q156" s="16"/>
      <c r="R156" s="16"/>
    </row>
    <row r="157" spans="17:18" ht="16.5" customHeight="1">
      <c r="Q157" s="16"/>
      <c r="R157" s="16"/>
    </row>
    <row r="158" spans="17:18" ht="16.5" customHeight="1">
      <c r="Q158" s="16"/>
      <c r="R158" s="16"/>
    </row>
    <row r="159" spans="17:18" ht="16.5" customHeight="1">
      <c r="Q159" s="16"/>
      <c r="R159" s="16"/>
    </row>
    <row r="160" spans="17:18" ht="16.5" customHeight="1">
      <c r="Q160" s="16"/>
      <c r="R160" s="16"/>
    </row>
    <row r="161" spans="17:18" ht="16.5" customHeight="1">
      <c r="Q161" s="16"/>
      <c r="R161" s="16"/>
    </row>
    <row r="162" spans="17:18" ht="16.5" customHeight="1">
      <c r="Q162" s="16"/>
      <c r="R162" s="16"/>
    </row>
    <row r="163" spans="17:18" ht="16.5" customHeight="1">
      <c r="Q163" s="16"/>
      <c r="R163" s="16"/>
    </row>
    <row r="164" spans="17:18" ht="16.5" customHeight="1">
      <c r="Q164" s="16"/>
      <c r="R164" s="16"/>
    </row>
    <row r="165" spans="17:18" ht="16.5" customHeight="1">
      <c r="Q165" s="16"/>
      <c r="R165" s="16"/>
    </row>
    <row r="166" spans="17:18" ht="16.5" customHeight="1">
      <c r="Q166" s="16"/>
      <c r="R166" s="16"/>
    </row>
    <row r="167" spans="17:18" ht="16.5" customHeight="1">
      <c r="Q167" s="16"/>
      <c r="R167" s="16"/>
    </row>
    <row r="168" spans="17:18" ht="16.5" customHeight="1">
      <c r="Q168" s="16"/>
      <c r="R168" s="16"/>
    </row>
    <row r="169" spans="17:18" ht="16.5" customHeight="1">
      <c r="Q169" s="16"/>
      <c r="R169" s="16"/>
    </row>
    <row r="170" spans="17:18" ht="16.5" customHeight="1">
      <c r="Q170" s="16"/>
      <c r="R170" s="16"/>
    </row>
    <row r="171" spans="17:18" ht="16.5" customHeight="1">
      <c r="Q171" s="16"/>
      <c r="R171" s="16"/>
    </row>
    <row r="172" spans="17:18" ht="16.5" customHeight="1">
      <c r="Q172" s="16"/>
      <c r="R172" s="16"/>
    </row>
    <row r="173" spans="17:18" ht="16.5" customHeight="1">
      <c r="Q173" s="16"/>
      <c r="R173" s="16"/>
    </row>
    <row r="174" spans="17:18" ht="16.5" customHeight="1">
      <c r="Q174" s="16"/>
      <c r="R174" s="16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6B1F-D383-40DC-97B4-5CDC1E812CAC}">
  <dimension ref="B1:S187"/>
  <sheetViews>
    <sheetView tabSelected="1" topLeftCell="C1" zoomScale="70" zoomScaleNormal="70" workbookViewId="0">
      <selection activeCell="R16" sqref="R16"/>
    </sheetView>
  </sheetViews>
  <sheetFormatPr defaultRowHeight="16.5" customHeight="1"/>
  <cols>
    <col min="2" max="2" width="38.5" bestFit="1" customWidth="1"/>
    <col min="3" max="3" width="46.125" bestFit="1" customWidth="1"/>
    <col min="4" max="4" width="16.5" customWidth="1"/>
    <col min="5" max="5" width="11.875" customWidth="1"/>
    <col min="6" max="6" width="11.25" bestFit="1" customWidth="1"/>
    <col min="7" max="7" width="24.25" bestFit="1" customWidth="1"/>
    <col min="8" max="8" width="19.5" bestFit="1" customWidth="1"/>
    <col min="9" max="10" width="19.5" customWidth="1"/>
    <col min="11" max="11" width="25.875" bestFit="1" customWidth="1"/>
    <col min="12" max="12" width="15.75" bestFit="1" customWidth="1"/>
    <col min="13" max="13" width="19" bestFit="1" customWidth="1"/>
    <col min="14" max="14" width="29.125" bestFit="1" customWidth="1"/>
    <col min="15" max="15" width="9.5" bestFit="1" customWidth="1"/>
    <col min="16" max="16" width="19.375" customWidth="1"/>
    <col min="17" max="18" width="23.375" bestFit="1" customWidth="1"/>
    <col min="19" max="19" width="18.125" bestFit="1" customWidth="1"/>
  </cols>
  <sheetData>
    <row r="1" spans="2:19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644</v>
      </c>
      <c r="I1" s="2" t="s">
        <v>639</v>
      </c>
      <c r="J1" s="47" t="s">
        <v>586</v>
      </c>
      <c r="K1" s="48" t="s">
        <v>587</v>
      </c>
      <c r="L1" s="2" t="s">
        <v>588</v>
      </c>
      <c r="M1" s="3" t="s">
        <v>589</v>
      </c>
      <c r="N1" s="2" t="s">
        <v>590</v>
      </c>
      <c r="O1" s="2" t="s">
        <v>591</v>
      </c>
      <c r="P1" s="2" t="s">
        <v>592</v>
      </c>
      <c r="Q1" s="2" t="s">
        <v>593</v>
      </c>
      <c r="R1" s="2" t="s">
        <v>594</v>
      </c>
      <c r="S1" s="54" t="s">
        <v>595</v>
      </c>
    </row>
    <row r="2" spans="2:19">
      <c r="B2" s="4" t="s">
        <v>596</v>
      </c>
      <c r="C2" s="5" t="s">
        <v>597</v>
      </c>
      <c r="D2" s="6" t="s">
        <v>598</v>
      </c>
      <c r="E2" s="5" t="s">
        <v>597</v>
      </c>
      <c r="F2" s="7" t="s">
        <v>386</v>
      </c>
      <c r="G2" s="7" t="s">
        <v>599</v>
      </c>
      <c r="H2" s="10" t="s">
        <v>645</v>
      </c>
      <c r="I2" s="6" t="s">
        <v>641</v>
      </c>
      <c r="J2" s="43" t="s">
        <v>602</v>
      </c>
      <c r="K2" s="43" t="s">
        <v>603</v>
      </c>
      <c r="L2" s="11" t="s">
        <v>604</v>
      </c>
      <c r="M2" s="12" t="s">
        <v>605</v>
      </c>
      <c r="N2" s="59" t="s">
        <v>606</v>
      </c>
      <c r="O2" s="13" t="s">
        <v>607</v>
      </c>
      <c r="P2" s="33" t="s">
        <v>608</v>
      </c>
      <c r="Q2" s="33" t="s">
        <v>609</v>
      </c>
      <c r="R2" s="7" t="s">
        <v>610</v>
      </c>
      <c r="S2" s="55" t="s">
        <v>611</v>
      </c>
    </row>
    <row r="3" spans="2:19">
      <c r="B3" s="9" t="str">
        <f t="shared" ref="B3:B31" si="0">D3&amp;"_"&amp;F3&amp;"_"&amp;H3</f>
        <v>E_POW0102_VM_LS_ELC_0.4</v>
      </c>
      <c r="C3" s="1" t="s">
        <v>77</v>
      </c>
      <c r="D3" t="s">
        <v>76</v>
      </c>
      <c r="E3" s="1" t="s">
        <v>646</v>
      </c>
      <c r="F3" s="1" t="s">
        <v>647</v>
      </c>
      <c r="G3" t="s">
        <v>648</v>
      </c>
      <c r="H3" s="1">
        <v>0.4</v>
      </c>
      <c r="I3" s="1">
        <v>480</v>
      </c>
      <c r="J3" s="1" t="s">
        <v>621</v>
      </c>
      <c r="K3" s="1"/>
      <c r="L3">
        <v>465000</v>
      </c>
      <c r="N3" t="s">
        <v>649</v>
      </c>
      <c r="O3" s="9" t="b">
        <v>1</v>
      </c>
      <c r="P3" s="16" t="s">
        <v>650</v>
      </c>
      <c r="Q3" s="1" t="str">
        <f t="shared" ref="Q3:Q31" si="1">G3</f>
        <v>G100 0.4</v>
      </c>
    </row>
    <row r="4" spans="2:19">
      <c r="B4" s="9" t="str">
        <f t="shared" si="0"/>
        <v>E_POW0102_VM_LS_ELC_0.75</v>
      </c>
      <c r="C4" s="1" t="s">
        <v>77</v>
      </c>
      <c r="D4" t="s">
        <v>76</v>
      </c>
      <c r="E4" s="1" t="s">
        <v>646</v>
      </c>
      <c r="F4" s="1" t="s">
        <v>647</v>
      </c>
      <c r="G4" t="s">
        <v>651</v>
      </c>
      <c r="H4">
        <v>0.75</v>
      </c>
      <c r="I4" s="1">
        <v>480</v>
      </c>
      <c r="J4" s="1" t="s">
        <v>621</v>
      </c>
      <c r="K4" s="1"/>
      <c r="L4">
        <v>565000</v>
      </c>
      <c r="N4" t="s">
        <v>649</v>
      </c>
      <c r="O4" s="9" t="b">
        <v>1</v>
      </c>
      <c r="P4" s="16" t="s">
        <v>650</v>
      </c>
      <c r="Q4" s="1" t="str">
        <f t="shared" si="1"/>
        <v>G100 0.75</v>
      </c>
    </row>
    <row r="5" spans="2:19">
      <c r="B5" s="9" t="str">
        <f t="shared" si="0"/>
        <v>E_POW0102_VM_LS_ELC_1.5</v>
      </c>
      <c r="C5" s="1" t="s">
        <v>77</v>
      </c>
      <c r="D5" t="s">
        <v>76</v>
      </c>
      <c r="E5" s="1" t="s">
        <v>646</v>
      </c>
      <c r="F5" s="1" t="s">
        <v>647</v>
      </c>
      <c r="G5" t="s">
        <v>652</v>
      </c>
      <c r="H5">
        <v>1.5</v>
      </c>
      <c r="I5" s="1">
        <v>480</v>
      </c>
      <c r="J5" s="1" t="s">
        <v>621</v>
      </c>
      <c r="K5" s="1"/>
      <c r="L5">
        <v>704000</v>
      </c>
      <c r="N5" t="s">
        <v>649</v>
      </c>
      <c r="O5" s="9" t="b">
        <v>1</v>
      </c>
      <c r="P5" s="16" t="s">
        <v>650</v>
      </c>
      <c r="Q5" s="1" t="str">
        <f t="shared" si="1"/>
        <v>G100 1.5</v>
      </c>
    </row>
    <row r="6" spans="2:19">
      <c r="B6" s="9" t="str">
        <f t="shared" si="0"/>
        <v>E_POW0102_VM_LS_ELC_2.2</v>
      </c>
      <c r="C6" s="1" t="s">
        <v>77</v>
      </c>
      <c r="D6" t="s">
        <v>76</v>
      </c>
      <c r="E6" s="1" t="s">
        <v>646</v>
      </c>
      <c r="F6" s="1" t="s">
        <v>647</v>
      </c>
      <c r="G6" t="s">
        <v>653</v>
      </c>
      <c r="H6">
        <v>2.2000000000000002</v>
      </c>
      <c r="I6" s="1">
        <v>480</v>
      </c>
      <c r="J6" s="1" t="s">
        <v>621</v>
      </c>
      <c r="K6" s="1"/>
      <c r="L6">
        <v>775000</v>
      </c>
      <c r="N6" t="s">
        <v>649</v>
      </c>
      <c r="O6" s="9" t="b">
        <v>1</v>
      </c>
      <c r="P6" s="16" t="s">
        <v>650</v>
      </c>
      <c r="Q6" s="1" t="str">
        <f t="shared" si="1"/>
        <v>G100 2.2</v>
      </c>
    </row>
    <row r="7" spans="2:19">
      <c r="B7" s="9" t="str">
        <f t="shared" si="0"/>
        <v>E_POW0102_VM_LS_ELC_4</v>
      </c>
      <c r="C7" s="1" t="s">
        <v>77</v>
      </c>
      <c r="D7" t="s">
        <v>76</v>
      </c>
      <c r="E7" s="1" t="s">
        <v>646</v>
      </c>
      <c r="F7" s="1" t="s">
        <v>647</v>
      </c>
      <c r="G7" t="s">
        <v>654</v>
      </c>
      <c r="H7">
        <v>4</v>
      </c>
      <c r="I7" s="1">
        <v>480</v>
      </c>
      <c r="J7" s="1" t="s">
        <v>621</v>
      </c>
      <c r="K7" s="1"/>
      <c r="L7">
        <v>853000</v>
      </c>
      <c r="N7" t="s">
        <v>649</v>
      </c>
      <c r="O7" s="9" t="b">
        <v>1</v>
      </c>
      <c r="P7" s="16" t="s">
        <v>650</v>
      </c>
      <c r="Q7" s="1" t="str">
        <f t="shared" si="1"/>
        <v>G100 4</v>
      </c>
    </row>
    <row r="8" spans="2:19">
      <c r="B8" s="9" t="str">
        <f t="shared" si="0"/>
        <v>E_POW0102_VM_LS_ELC_5.5</v>
      </c>
      <c r="C8" s="1" t="s">
        <v>77</v>
      </c>
      <c r="D8" t="s">
        <v>76</v>
      </c>
      <c r="E8" s="1" t="s">
        <v>646</v>
      </c>
      <c r="F8" s="1" t="s">
        <v>647</v>
      </c>
      <c r="G8" t="s">
        <v>655</v>
      </c>
      <c r="H8">
        <v>5.5</v>
      </c>
      <c r="I8" s="1">
        <v>480</v>
      </c>
      <c r="J8" s="1" t="s">
        <v>621</v>
      </c>
      <c r="K8" s="1"/>
      <c r="L8">
        <v>1194000</v>
      </c>
      <c r="N8" t="s">
        <v>649</v>
      </c>
      <c r="O8" s="9" t="b">
        <v>1</v>
      </c>
      <c r="P8" s="16" t="s">
        <v>650</v>
      </c>
      <c r="Q8" s="1" t="str">
        <f t="shared" si="1"/>
        <v>G100 5.5</v>
      </c>
    </row>
    <row r="9" spans="2:19">
      <c r="B9" s="9" t="str">
        <f t="shared" si="0"/>
        <v>E_POW0102_VM_LS_ELC_7.5</v>
      </c>
      <c r="C9" s="1" t="s">
        <v>77</v>
      </c>
      <c r="D9" t="s">
        <v>76</v>
      </c>
      <c r="E9" s="1" t="s">
        <v>646</v>
      </c>
      <c r="F9" s="1" t="s">
        <v>647</v>
      </c>
      <c r="G9" t="s">
        <v>656</v>
      </c>
      <c r="H9">
        <v>7.5</v>
      </c>
      <c r="I9" s="1">
        <v>480</v>
      </c>
      <c r="J9" s="1" t="s">
        <v>621</v>
      </c>
      <c r="K9" s="1"/>
      <c r="L9">
        <v>1485000</v>
      </c>
      <c r="N9" t="s">
        <v>649</v>
      </c>
      <c r="O9" s="9" t="b">
        <v>1</v>
      </c>
      <c r="P9" s="16" t="s">
        <v>650</v>
      </c>
      <c r="Q9" s="1" t="str">
        <f t="shared" si="1"/>
        <v>G100 7.5</v>
      </c>
    </row>
    <row r="10" spans="2:19">
      <c r="B10" s="9" t="str">
        <f t="shared" si="0"/>
        <v>E_POW0102_VM_LS_ELC_11</v>
      </c>
      <c r="C10" s="1" t="s">
        <v>77</v>
      </c>
      <c r="D10" t="s">
        <v>76</v>
      </c>
      <c r="E10" s="1" t="s">
        <v>646</v>
      </c>
      <c r="F10" s="1" t="s">
        <v>647</v>
      </c>
      <c r="G10" t="s">
        <v>657</v>
      </c>
      <c r="H10">
        <v>11</v>
      </c>
      <c r="I10" s="1">
        <v>480</v>
      </c>
      <c r="J10" s="1" t="s">
        <v>621</v>
      </c>
      <c r="K10" s="1"/>
      <c r="L10">
        <v>1983000</v>
      </c>
      <c r="N10" t="s">
        <v>649</v>
      </c>
      <c r="O10" s="9" t="b">
        <v>1</v>
      </c>
      <c r="P10" s="16" t="s">
        <v>650</v>
      </c>
      <c r="Q10" s="1" t="str">
        <f t="shared" si="1"/>
        <v>G100 11</v>
      </c>
    </row>
    <row r="11" spans="2:19">
      <c r="B11" s="9" t="str">
        <f t="shared" si="0"/>
        <v>E_POW0102_VM_LS_ELC_15</v>
      </c>
      <c r="C11" s="1" t="s">
        <v>77</v>
      </c>
      <c r="D11" t="s">
        <v>76</v>
      </c>
      <c r="E11" s="1" t="s">
        <v>646</v>
      </c>
      <c r="F11" s="1" t="s">
        <v>647</v>
      </c>
      <c r="G11" t="s">
        <v>658</v>
      </c>
      <c r="H11">
        <v>15</v>
      </c>
      <c r="I11" s="1">
        <v>480</v>
      </c>
      <c r="J11" s="1" t="s">
        <v>621</v>
      </c>
      <c r="K11" s="1"/>
      <c r="L11">
        <v>2203000</v>
      </c>
      <c r="N11" t="s">
        <v>649</v>
      </c>
      <c r="O11" s="9" t="b">
        <v>1</v>
      </c>
      <c r="P11" s="16" t="s">
        <v>650</v>
      </c>
      <c r="Q11" s="1" t="str">
        <f t="shared" si="1"/>
        <v>G100 15</v>
      </c>
    </row>
    <row r="12" spans="2:19">
      <c r="B12" s="9" t="str">
        <f t="shared" si="0"/>
        <v>E_POW0102_VM_LS_ELC_18.5</v>
      </c>
      <c r="C12" s="1" t="s">
        <v>77</v>
      </c>
      <c r="D12" t="s">
        <v>76</v>
      </c>
      <c r="E12" s="1" t="s">
        <v>646</v>
      </c>
      <c r="F12" s="1" t="s">
        <v>647</v>
      </c>
      <c r="G12" t="s">
        <v>659</v>
      </c>
      <c r="H12">
        <v>18.5</v>
      </c>
      <c r="I12" s="1">
        <v>480</v>
      </c>
      <c r="J12" s="1" t="s">
        <v>621</v>
      </c>
      <c r="K12" s="1"/>
      <c r="L12">
        <v>2495000</v>
      </c>
      <c r="N12" t="s">
        <v>649</v>
      </c>
      <c r="O12" s="9" t="b">
        <v>1</v>
      </c>
      <c r="P12" s="16" t="s">
        <v>650</v>
      </c>
      <c r="Q12" s="1" t="str">
        <f t="shared" si="1"/>
        <v>G100 18.5</v>
      </c>
    </row>
    <row r="13" spans="2:19">
      <c r="B13" s="9" t="str">
        <f t="shared" si="0"/>
        <v>E_POW0102_VM_LS_ELC_22</v>
      </c>
      <c r="C13" s="1" t="s">
        <v>77</v>
      </c>
      <c r="D13" t="s">
        <v>76</v>
      </c>
      <c r="E13" s="1" t="s">
        <v>646</v>
      </c>
      <c r="F13" s="1" t="s">
        <v>647</v>
      </c>
      <c r="G13" t="s">
        <v>660</v>
      </c>
      <c r="H13">
        <v>22</v>
      </c>
      <c r="I13" s="1">
        <v>480</v>
      </c>
      <c r="J13" s="1" t="s">
        <v>621</v>
      </c>
      <c r="K13" s="1"/>
      <c r="L13">
        <v>2789000</v>
      </c>
      <c r="N13" t="s">
        <v>649</v>
      </c>
      <c r="O13" s="9" t="b">
        <v>1</v>
      </c>
      <c r="P13" s="16" t="s">
        <v>650</v>
      </c>
      <c r="Q13" s="1" t="str">
        <f t="shared" si="1"/>
        <v>G100 22</v>
      </c>
    </row>
    <row r="14" spans="2:19">
      <c r="B14" s="9" t="str">
        <f t="shared" si="0"/>
        <v>E_POW0102_VM_LS_ELC_30</v>
      </c>
      <c r="C14" s="1" t="s">
        <v>77</v>
      </c>
      <c r="D14" t="s">
        <v>76</v>
      </c>
      <c r="E14" s="1" t="s">
        <v>646</v>
      </c>
      <c r="F14" s="1" t="s">
        <v>647</v>
      </c>
      <c r="G14" t="s">
        <v>661</v>
      </c>
      <c r="H14">
        <v>30</v>
      </c>
      <c r="I14" s="1">
        <v>480</v>
      </c>
      <c r="J14" s="1" t="s">
        <v>621</v>
      </c>
      <c r="K14" s="1"/>
      <c r="L14">
        <v>3537000</v>
      </c>
      <c r="N14" t="s">
        <v>649</v>
      </c>
      <c r="O14" s="9" t="b">
        <v>1</v>
      </c>
      <c r="P14" s="16" t="s">
        <v>650</v>
      </c>
      <c r="Q14" s="1" t="str">
        <f t="shared" si="1"/>
        <v>S100 30</v>
      </c>
      <c r="R14" t="s">
        <v>662</v>
      </c>
    </row>
    <row r="15" spans="2:19">
      <c r="B15" s="9" t="str">
        <f t="shared" si="0"/>
        <v>E_POW0102_VM_LS_ELC_50</v>
      </c>
      <c r="C15" s="1" t="s">
        <v>77</v>
      </c>
      <c r="D15" t="s">
        <v>76</v>
      </c>
      <c r="E15" s="1" t="s">
        <v>646</v>
      </c>
      <c r="F15" s="1" t="s">
        <v>647</v>
      </c>
      <c r="G15" t="s">
        <v>663</v>
      </c>
      <c r="H15">
        <v>50</v>
      </c>
      <c r="I15" s="1">
        <v>480</v>
      </c>
      <c r="J15" s="1" t="s">
        <v>621</v>
      </c>
      <c r="K15" s="1"/>
      <c r="L15">
        <v>6844000</v>
      </c>
      <c r="N15" t="s">
        <v>649</v>
      </c>
      <c r="O15" s="9" t="b">
        <v>1</v>
      </c>
      <c r="P15" s="16" t="s">
        <v>650</v>
      </c>
      <c r="Q15" s="1" t="str">
        <f t="shared" ref="Q15:Q16" si="2">G15</f>
        <v>S100 50</v>
      </c>
      <c r="R15" t="s">
        <v>664</v>
      </c>
    </row>
    <row r="16" spans="2:19">
      <c r="B16" s="9" t="str">
        <f t="shared" si="0"/>
        <v>E_POW0102_VM_LS_ELC_60</v>
      </c>
      <c r="C16" s="1" t="s">
        <v>77</v>
      </c>
      <c r="D16" t="s">
        <v>76</v>
      </c>
      <c r="E16" s="1" t="s">
        <v>646</v>
      </c>
      <c r="F16" s="1" t="s">
        <v>647</v>
      </c>
      <c r="G16" t="s">
        <v>665</v>
      </c>
      <c r="H16">
        <v>60</v>
      </c>
      <c r="I16" s="1">
        <v>480</v>
      </c>
      <c r="J16" s="1" t="s">
        <v>621</v>
      </c>
      <c r="K16" s="1"/>
      <c r="L16">
        <v>8166000</v>
      </c>
      <c r="N16" t="s">
        <v>649</v>
      </c>
      <c r="O16" s="9" t="b">
        <v>1</v>
      </c>
      <c r="P16" s="16" t="s">
        <v>650</v>
      </c>
      <c r="Q16" s="1" t="str">
        <f t="shared" si="2"/>
        <v>S100 60</v>
      </c>
      <c r="R16" t="s">
        <v>666</v>
      </c>
    </row>
    <row r="17" spans="2:18">
      <c r="B17" s="9" t="str">
        <f t="shared" si="0"/>
        <v>E_POW0102_VM_LS_ELC_75</v>
      </c>
      <c r="C17" s="1" t="s">
        <v>77</v>
      </c>
      <c r="D17" t="s">
        <v>76</v>
      </c>
      <c r="E17" s="1" t="s">
        <v>646</v>
      </c>
      <c r="F17" s="1" t="s">
        <v>647</v>
      </c>
      <c r="G17" t="s">
        <v>667</v>
      </c>
      <c r="H17">
        <v>75</v>
      </c>
      <c r="I17" s="1">
        <v>480</v>
      </c>
      <c r="J17" s="1" t="s">
        <v>621</v>
      </c>
      <c r="K17" s="1"/>
      <c r="L17">
        <v>8166000</v>
      </c>
      <c r="N17" t="s">
        <v>649</v>
      </c>
      <c r="O17" s="9" t="b">
        <v>1</v>
      </c>
      <c r="P17" s="16" t="s">
        <v>650</v>
      </c>
      <c r="Q17" s="1" t="str">
        <f t="shared" ref="Q17" si="3">G17</f>
        <v>S100 75</v>
      </c>
    </row>
    <row r="18" spans="2:18">
      <c r="B18" s="9" t="str">
        <f t="shared" ref="B18" si="4">D18&amp;"_"&amp;F18&amp;"_"&amp;H18</f>
        <v>E_POW03_VM_SA_ELC_2.2</v>
      </c>
      <c r="C18" s="1" t="s">
        <v>81</v>
      </c>
      <c r="D18" s="1" t="s">
        <v>80</v>
      </c>
      <c r="E18" s="1" t="s">
        <v>668</v>
      </c>
      <c r="F18" s="1" t="s">
        <v>669</v>
      </c>
      <c r="G18" t="s">
        <v>670</v>
      </c>
      <c r="H18">
        <v>2.2000000000000002</v>
      </c>
      <c r="I18" s="1"/>
      <c r="J18" s="1" t="s">
        <v>621</v>
      </c>
      <c r="K18" s="1"/>
      <c r="L18">
        <v>920000</v>
      </c>
      <c r="N18" t="s">
        <v>671</v>
      </c>
      <c r="O18" s="9" t="b">
        <v>1</v>
      </c>
      <c r="P18" s="16" t="s">
        <v>672</v>
      </c>
      <c r="Q18" s="1" t="str">
        <f t="shared" ref="Q18" si="5">G18</f>
        <v>SS 2.2</v>
      </c>
    </row>
    <row r="19" spans="2:18">
      <c r="B19" s="9" t="str">
        <f t="shared" si="0"/>
        <v>E_POW03_VM_SA_ELC_3.7</v>
      </c>
      <c r="C19" s="1" t="s">
        <v>81</v>
      </c>
      <c r="D19" s="1" t="s">
        <v>80</v>
      </c>
      <c r="E19" s="1" t="s">
        <v>668</v>
      </c>
      <c r="F19" s="1" t="s">
        <v>669</v>
      </c>
      <c r="G19" t="s">
        <v>673</v>
      </c>
      <c r="H19">
        <v>3.7</v>
      </c>
      <c r="I19" s="1"/>
      <c r="J19" s="1" t="s">
        <v>621</v>
      </c>
      <c r="K19" s="1"/>
      <c r="L19">
        <v>920000</v>
      </c>
      <c r="N19" t="s">
        <v>671</v>
      </c>
      <c r="O19" s="9" t="b">
        <v>1</v>
      </c>
      <c r="P19" s="16" t="s">
        <v>672</v>
      </c>
      <c r="Q19" s="1" t="str">
        <f t="shared" si="1"/>
        <v>SS 3.7</v>
      </c>
    </row>
    <row r="20" spans="2:18">
      <c r="B20" s="9" t="str">
        <f t="shared" si="0"/>
        <v>E_POW03_VM_SA_ELC_5.5</v>
      </c>
      <c r="C20" s="1" t="s">
        <v>81</v>
      </c>
      <c r="D20" s="1" t="s">
        <v>80</v>
      </c>
      <c r="E20" s="1" t="s">
        <v>668</v>
      </c>
      <c r="F20" s="1" t="s">
        <v>669</v>
      </c>
      <c r="G20" t="s">
        <v>674</v>
      </c>
      <c r="H20">
        <v>5.5</v>
      </c>
      <c r="I20" s="1"/>
      <c r="J20" s="1" t="s">
        <v>621</v>
      </c>
      <c r="K20" s="1"/>
      <c r="L20">
        <v>966000</v>
      </c>
      <c r="N20" t="s">
        <v>671</v>
      </c>
      <c r="O20" s="9" t="b">
        <v>1</v>
      </c>
      <c r="P20" s="16" t="s">
        <v>672</v>
      </c>
      <c r="Q20" s="1" t="str">
        <f t="shared" si="1"/>
        <v>SS 5.5</v>
      </c>
    </row>
    <row r="21" spans="2:18">
      <c r="B21" s="9" t="str">
        <f t="shared" si="0"/>
        <v>E_POW03_VM_SA_ELC_7.5</v>
      </c>
      <c r="C21" s="1" t="s">
        <v>81</v>
      </c>
      <c r="D21" s="1" t="s">
        <v>80</v>
      </c>
      <c r="E21" s="1" t="s">
        <v>668</v>
      </c>
      <c r="F21" s="1" t="s">
        <v>669</v>
      </c>
      <c r="G21" t="s">
        <v>675</v>
      </c>
      <c r="H21">
        <v>7.5</v>
      </c>
      <c r="I21" s="1"/>
      <c r="J21" s="1" t="s">
        <v>621</v>
      </c>
      <c r="K21" s="1"/>
      <c r="L21">
        <v>1020000</v>
      </c>
      <c r="N21" t="s">
        <v>671</v>
      </c>
      <c r="O21" s="9" t="b">
        <v>1</v>
      </c>
      <c r="P21" s="16" t="s">
        <v>672</v>
      </c>
      <c r="Q21" s="1" t="str">
        <f t="shared" si="1"/>
        <v>SS 7.5</v>
      </c>
    </row>
    <row r="22" spans="2:18">
      <c r="B22" s="9" t="str">
        <f t="shared" si="0"/>
        <v>E_POW03_VM_SA_ELC_11</v>
      </c>
      <c r="C22" s="1" t="s">
        <v>81</v>
      </c>
      <c r="D22" s="1" t="s">
        <v>80</v>
      </c>
      <c r="E22" s="1" t="s">
        <v>668</v>
      </c>
      <c r="F22" s="1" t="s">
        <v>669</v>
      </c>
      <c r="G22" t="s">
        <v>676</v>
      </c>
      <c r="H22">
        <v>11</v>
      </c>
      <c r="I22" s="1"/>
      <c r="J22" s="1" t="s">
        <v>621</v>
      </c>
      <c r="K22" s="1"/>
      <c r="L22">
        <v>1270000</v>
      </c>
      <c r="N22" t="s">
        <v>671</v>
      </c>
      <c r="O22" s="9" t="b">
        <v>1</v>
      </c>
      <c r="P22" s="16" t="s">
        <v>672</v>
      </c>
      <c r="Q22" s="1" t="str">
        <f t="shared" si="1"/>
        <v>SS 11</v>
      </c>
    </row>
    <row r="23" spans="2:18">
      <c r="B23" s="9" t="str">
        <f t="shared" si="0"/>
        <v>E_POW03_VM_SA_ELC_15</v>
      </c>
      <c r="C23" s="1" t="s">
        <v>81</v>
      </c>
      <c r="D23" s="1" t="s">
        <v>80</v>
      </c>
      <c r="E23" s="1" t="s">
        <v>668</v>
      </c>
      <c r="F23" s="1" t="s">
        <v>669</v>
      </c>
      <c r="G23" t="s">
        <v>677</v>
      </c>
      <c r="H23">
        <v>15</v>
      </c>
      <c r="I23" s="1"/>
      <c r="J23" s="1" t="s">
        <v>621</v>
      </c>
      <c r="K23" s="1"/>
      <c r="L23">
        <v>1330000</v>
      </c>
      <c r="N23" t="s">
        <v>671</v>
      </c>
      <c r="O23" s="9" t="b">
        <v>1</v>
      </c>
      <c r="P23" s="16" t="s">
        <v>672</v>
      </c>
      <c r="Q23" s="1" t="str">
        <f t="shared" si="1"/>
        <v>SS 15</v>
      </c>
    </row>
    <row r="24" spans="2:18">
      <c r="B24" s="9" t="str">
        <f t="shared" si="0"/>
        <v>E_POW03_VM_SA_ELC_22</v>
      </c>
      <c r="C24" s="1" t="s">
        <v>81</v>
      </c>
      <c r="D24" s="1" t="s">
        <v>80</v>
      </c>
      <c r="E24" s="1" t="s">
        <v>668</v>
      </c>
      <c r="F24" s="1" t="s">
        <v>669</v>
      </c>
      <c r="G24" t="s">
        <v>678</v>
      </c>
      <c r="H24">
        <v>22</v>
      </c>
      <c r="I24" s="1"/>
      <c r="J24" s="1" t="s">
        <v>621</v>
      </c>
      <c r="K24" s="1"/>
      <c r="L24">
        <v>1560000</v>
      </c>
      <c r="N24" t="s">
        <v>671</v>
      </c>
      <c r="O24" s="9" t="b">
        <v>1</v>
      </c>
      <c r="P24" s="16" t="s">
        <v>672</v>
      </c>
      <c r="Q24" s="1" t="str">
        <f t="shared" si="1"/>
        <v>SS 22</v>
      </c>
    </row>
    <row r="25" spans="2:18">
      <c r="B25" s="9" t="str">
        <f t="shared" si="0"/>
        <v>E_POW03_VM_SA_ELC_30</v>
      </c>
      <c r="C25" s="1" t="s">
        <v>81</v>
      </c>
      <c r="D25" s="1" t="s">
        <v>80</v>
      </c>
      <c r="E25" s="1" t="s">
        <v>668</v>
      </c>
      <c r="F25" s="1" t="s">
        <v>669</v>
      </c>
      <c r="G25" t="s">
        <v>679</v>
      </c>
      <c r="H25">
        <v>30</v>
      </c>
      <c r="I25" s="1"/>
      <c r="J25" s="1" t="s">
        <v>621</v>
      </c>
      <c r="K25" s="1"/>
      <c r="L25">
        <v>1790000</v>
      </c>
      <c r="N25" t="s">
        <v>671</v>
      </c>
      <c r="O25" s="9" t="b">
        <v>1</v>
      </c>
      <c r="P25" s="16" t="s">
        <v>672</v>
      </c>
      <c r="Q25" s="1" t="str">
        <f t="shared" si="1"/>
        <v>SS 30</v>
      </c>
    </row>
    <row r="26" spans="2:18">
      <c r="B26" s="9" t="str">
        <f t="shared" si="0"/>
        <v>E_POW03_VM_SA_ELC_37</v>
      </c>
      <c r="C26" s="1" t="s">
        <v>81</v>
      </c>
      <c r="D26" s="1" t="s">
        <v>80</v>
      </c>
      <c r="E26" s="1" t="s">
        <v>668</v>
      </c>
      <c r="F26" s="1" t="s">
        <v>669</v>
      </c>
      <c r="G26" t="s">
        <v>680</v>
      </c>
      <c r="H26">
        <v>37</v>
      </c>
      <c r="I26" s="1"/>
      <c r="J26" s="1" t="s">
        <v>621</v>
      </c>
      <c r="K26" s="1"/>
      <c r="L26">
        <v>2030000</v>
      </c>
      <c r="N26" t="s">
        <v>671</v>
      </c>
      <c r="O26" s="9" t="b">
        <v>1</v>
      </c>
      <c r="P26" s="16" t="s">
        <v>672</v>
      </c>
      <c r="Q26" s="1" t="str">
        <f t="shared" si="1"/>
        <v>SS 37</v>
      </c>
    </row>
    <row r="27" spans="2:18">
      <c r="B27" s="9" t="str">
        <f t="shared" si="0"/>
        <v>E_POW03_VM_SA_ELC_45</v>
      </c>
      <c r="C27" s="1" t="s">
        <v>81</v>
      </c>
      <c r="D27" s="1" t="s">
        <v>80</v>
      </c>
      <c r="E27" s="1" t="s">
        <v>668</v>
      </c>
      <c r="F27" s="1" t="s">
        <v>669</v>
      </c>
      <c r="G27" t="s">
        <v>681</v>
      </c>
      <c r="H27">
        <v>45</v>
      </c>
      <c r="I27" s="1"/>
      <c r="J27" s="1" t="s">
        <v>621</v>
      </c>
      <c r="K27" s="1"/>
      <c r="L27">
        <v>2400000</v>
      </c>
      <c r="N27" t="s">
        <v>671</v>
      </c>
      <c r="O27" s="9" t="b">
        <v>1</v>
      </c>
      <c r="P27" s="16" t="s">
        <v>672</v>
      </c>
      <c r="Q27" s="1" t="str">
        <f t="shared" si="1"/>
        <v>SS 45</v>
      </c>
    </row>
    <row r="28" spans="2:18">
      <c r="B28" s="9" t="str">
        <f t="shared" si="0"/>
        <v>E_POW03_VM_SA_ELC_55</v>
      </c>
      <c r="C28" s="1" t="s">
        <v>81</v>
      </c>
      <c r="D28" s="1" t="s">
        <v>80</v>
      </c>
      <c r="E28" s="1" t="s">
        <v>668</v>
      </c>
      <c r="F28" s="1" t="s">
        <v>669</v>
      </c>
      <c r="G28" t="s">
        <v>682</v>
      </c>
      <c r="H28">
        <v>55</v>
      </c>
      <c r="I28" s="1"/>
      <c r="J28" s="1" t="s">
        <v>621</v>
      </c>
      <c r="K28" s="1"/>
      <c r="L28">
        <v>2600000</v>
      </c>
      <c r="N28" t="s">
        <v>671</v>
      </c>
      <c r="O28" s="9" t="b">
        <v>1</v>
      </c>
      <c r="P28" s="16" t="s">
        <v>672</v>
      </c>
      <c r="Q28" s="1" t="str">
        <f t="shared" si="1"/>
        <v>SS 56</v>
      </c>
    </row>
    <row r="29" spans="2:18">
      <c r="B29" s="9" t="str">
        <f t="shared" si="0"/>
        <v>E_POW03_VM_SA_ELC_75</v>
      </c>
      <c r="C29" s="1" t="s">
        <v>81</v>
      </c>
      <c r="D29" s="1" t="s">
        <v>80</v>
      </c>
      <c r="E29" s="1" t="s">
        <v>668</v>
      </c>
      <c r="F29" s="1" t="s">
        <v>669</v>
      </c>
      <c r="G29" t="s">
        <v>683</v>
      </c>
      <c r="H29">
        <v>75</v>
      </c>
      <c r="I29" s="1"/>
      <c r="J29" s="1" t="s">
        <v>621</v>
      </c>
      <c r="K29" s="1"/>
      <c r="L29">
        <v>2800000</v>
      </c>
      <c r="N29" t="s">
        <v>671</v>
      </c>
      <c r="O29" s="9" t="b">
        <v>1</v>
      </c>
      <c r="P29" s="16" t="s">
        <v>672</v>
      </c>
      <c r="Q29" s="1" t="str">
        <f t="shared" si="1"/>
        <v>SS 75</v>
      </c>
    </row>
    <row r="30" spans="2:18">
      <c r="B30" s="9" t="str">
        <f t="shared" si="0"/>
        <v>E_POW03_VM_SA_ELC_110</v>
      </c>
      <c r="C30" s="1" t="s">
        <v>81</v>
      </c>
      <c r="D30" s="1" t="s">
        <v>80</v>
      </c>
      <c r="E30" s="1" t="s">
        <v>668</v>
      </c>
      <c r="F30" s="1" t="s">
        <v>669</v>
      </c>
      <c r="G30" t="s">
        <v>684</v>
      </c>
      <c r="H30">
        <v>110</v>
      </c>
      <c r="I30" s="1"/>
      <c r="J30" s="1" t="s">
        <v>621</v>
      </c>
      <c r="K30" s="1"/>
      <c r="L30">
        <v>3900000</v>
      </c>
      <c r="N30" t="s">
        <v>671</v>
      </c>
      <c r="O30" s="9" t="b">
        <v>1</v>
      </c>
      <c r="P30" s="16" t="s">
        <v>672</v>
      </c>
      <c r="Q30" s="1" t="str">
        <f t="shared" si="1"/>
        <v>SS 98</v>
      </c>
    </row>
    <row r="31" spans="2:18">
      <c r="B31" s="9" t="str">
        <f t="shared" si="0"/>
        <v>E_POW03_VM_SA_ELC_150</v>
      </c>
      <c r="C31" s="1" t="s">
        <v>81</v>
      </c>
      <c r="D31" s="1" t="s">
        <v>80</v>
      </c>
      <c r="E31" s="1" t="s">
        <v>668</v>
      </c>
      <c r="F31" s="1" t="s">
        <v>669</v>
      </c>
      <c r="G31" t="s">
        <v>685</v>
      </c>
      <c r="H31">
        <v>150</v>
      </c>
      <c r="I31" s="1"/>
      <c r="J31" s="1" t="s">
        <v>621</v>
      </c>
      <c r="K31" s="1"/>
      <c r="L31">
        <v>4300000</v>
      </c>
      <c r="N31" t="s">
        <v>671</v>
      </c>
      <c r="O31" s="9" t="b">
        <v>1</v>
      </c>
      <c r="P31" s="16" t="s">
        <v>672</v>
      </c>
      <c r="Q31" s="1" t="str">
        <f t="shared" si="1"/>
        <v>SS 150</v>
      </c>
    </row>
    <row r="32" spans="2:18">
      <c r="B32" s="9"/>
      <c r="C32" s="1"/>
      <c r="D32" s="1"/>
      <c r="E32" s="1"/>
      <c r="F32" s="1"/>
      <c r="O32" s="9"/>
      <c r="P32" s="16"/>
      <c r="Q32" s="16"/>
      <c r="R32" s="1"/>
    </row>
    <row r="33" spans="2:17">
      <c r="B33" s="9"/>
      <c r="E33" s="1"/>
      <c r="F33" s="1"/>
      <c r="O33" s="9"/>
      <c r="P33" s="16"/>
      <c r="Q33" s="16"/>
    </row>
    <row r="34" spans="2:17">
      <c r="B34" s="9"/>
      <c r="E34" s="1"/>
      <c r="F34" s="1"/>
      <c r="O34" s="9"/>
      <c r="P34" s="16"/>
      <c r="Q34" s="16"/>
    </row>
    <row r="35" spans="2:17" ht="16.5" customHeight="1">
      <c r="P35" s="16"/>
      <c r="Q35" s="16"/>
    </row>
    <row r="36" spans="2:17" ht="16.5" customHeight="1">
      <c r="P36" s="16"/>
      <c r="Q36" s="16"/>
    </row>
    <row r="37" spans="2:17" ht="16.5" customHeight="1">
      <c r="P37" s="16"/>
      <c r="Q37" s="16"/>
    </row>
    <row r="38" spans="2:17" ht="16.5" customHeight="1">
      <c r="P38" s="16"/>
      <c r="Q38" s="16"/>
    </row>
    <row r="39" spans="2:17" ht="16.5" customHeight="1">
      <c r="P39" s="16"/>
      <c r="Q39" s="16"/>
    </row>
    <row r="40" spans="2:17" ht="16.5" customHeight="1">
      <c r="P40" s="16"/>
      <c r="Q40" s="16"/>
    </row>
    <row r="41" spans="2:17" ht="16.5" customHeight="1">
      <c r="P41" s="16"/>
      <c r="Q41" s="16"/>
    </row>
    <row r="42" spans="2:17" ht="16.5" customHeight="1">
      <c r="P42" s="16"/>
      <c r="Q42" s="16"/>
    </row>
    <row r="43" spans="2:17" ht="16.5" customHeight="1">
      <c r="P43" s="16"/>
      <c r="Q43" s="16"/>
    </row>
    <row r="44" spans="2:17" ht="16.5" customHeight="1">
      <c r="P44" s="16"/>
      <c r="Q44" s="16"/>
    </row>
    <row r="45" spans="2:17" ht="16.5" customHeight="1">
      <c r="P45" s="16"/>
      <c r="Q45" s="16"/>
    </row>
    <row r="46" spans="2:17" ht="16.5" customHeight="1">
      <c r="P46" s="16"/>
      <c r="Q46" s="16"/>
    </row>
    <row r="47" spans="2:17" ht="16.5" customHeight="1">
      <c r="P47" s="16"/>
      <c r="Q47" s="16"/>
    </row>
    <row r="48" spans="2:17" ht="16.5" customHeight="1">
      <c r="P48" s="16"/>
      <c r="Q48" s="16"/>
    </row>
    <row r="49" spans="16:17" ht="16.5" customHeight="1">
      <c r="P49" s="16"/>
      <c r="Q49" s="16"/>
    </row>
    <row r="50" spans="16:17" ht="16.5" customHeight="1">
      <c r="P50" s="16"/>
      <c r="Q50" s="16"/>
    </row>
    <row r="51" spans="16:17" ht="16.5" customHeight="1">
      <c r="P51" s="16"/>
      <c r="Q51" s="16"/>
    </row>
    <row r="52" spans="16:17" ht="16.5" customHeight="1">
      <c r="P52" s="16"/>
      <c r="Q52" s="16"/>
    </row>
    <row r="53" spans="16:17" ht="16.5" customHeight="1">
      <c r="P53" s="16"/>
      <c r="Q53" s="16"/>
    </row>
    <row r="54" spans="16:17" ht="16.5" customHeight="1">
      <c r="P54" s="16"/>
      <c r="Q54" s="16"/>
    </row>
    <row r="55" spans="16:17" ht="16.5" customHeight="1">
      <c r="P55" s="16"/>
      <c r="Q55" s="16"/>
    </row>
    <row r="56" spans="16:17" ht="16.5" customHeight="1">
      <c r="P56" s="16"/>
      <c r="Q56" s="16"/>
    </row>
    <row r="57" spans="16:17" ht="16.5" customHeight="1">
      <c r="P57" s="16"/>
      <c r="Q57" s="16"/>
    </row>
    <row r="58" spans="16:17" ht="16.5" customHeight="1">
      <c r="P58" s="16"/>
      <c r="Q58" s="16"/>
    </row>
    <row r="59" spans="16:17" ht="16.5" customHeight="1">
      <c r="P59" s="16"/>
      <c r="Q59" s="16"/>
    </row>
    <row r="60" spans="16:17" ht="16.5" customHeight="1">
      <c r="P60" s="16"/>
      <c r="Q60" s="16"/>
    </row>
    <row r="61" spans="16:17" ht="16.5" customHeight="1">
      <c r="P61" s="16"/>
      <c r="Q61" s="16"/>
    </row>
    <row r="62" spans="16:17" ht="16.5" customHeight="1">
      <c r="P62" s="16"/>
      <c r="Q62" s="16"/>
    </row>
    <row r="63" spans="16:17" ht="16.5" customHeight="1">
      <c r="P63" s="16"/>
      <c r="Q63" s="16"/>
    </row>
    <row r="64" spans="16:17" ht="16.5" customHeight="1">
      <c r="P64" s="16"/>
      <c r="Q64" s="16"/>
    </row>
    <row r="65" spans="16:17" ht="16.5" customHeight="1">
      <c r="P65" s="16"/>
      <c r="Q65" s="16"/>
    </row>
    <row r="66" spans="16:17" ht="16.5" customHeight="1">
      <c r="P66" s="16"/>
      <c r="Q66" s="16"/>
    </row>
    <row r="67" spans="16:17" ht="16.5" customHeight="1">
      <c r="P67" s="16"/>
      <c r="Q67" s="16"/>
    </row>
    <row r="68" spans="16:17" ht="16.5" customHeight="1">
      <c r="P68" s="16"/>
      <c r="Q68" s="16"/>
    </row>
    <row r="69" spans="16:17" ht="16.5" customHeight="1">
      <c r="P69" s="16"/>
      <c r="Q69" s="16"/>
    </row>
    <row r="70" spans="16:17" ht="16.5" customHeight="1">
      <c r="P70" s="16"/>
      <c r="Q70" s="16"/>
    </row>
    <row r="71" spans="16:17" ht="16.5" customHeight="1">
      <c r="P71" s="16"/>
      <c r="Q71" s="16"/>
    </row>
    <row r="72" spans="16:17" ht="16.5" customHeight="1">
      <c r="P72" s="16"/>
      <c r="Q72" s="16"/>
    </row>
    <row r="73" spans="16:17" ht="16.5" customHeight="1">
      <c r="P73" s="16"/>
      <c r="Q73" s="16"/>
    </row>
    <row r="74" spans="16:17" ht="16.5" customHeight="1">
      <c r="P74" s="16"/>
      <c r="Q74" s="16"/>
    </row>
    <row r="75" spans="16:17" ht="16.5" customHeight="1">
      <c r="P75" s="16"/>
      <c r="Q75" s="16"/>
    </row>
    <row r="76" spans="16:17" ht="16.5" customHeight="1">
      <c r="P76" s="16"/>
      <c r="Q76" s="16"/>
    </row>
    <row r="77" spans="16:17" ht="16.5" customHeight="1">
      <c r="P77" s="16"/>
      <c r="Q77" s="16"/>
    </row>
    <row r="78" spans="16:17" ht="16.5" customHeight="1">
      <c r="P78" s="16"/>
      <c r="Q78" s="16"/>
    </row>
    <row r="79" spans="16:17" ht="16.5" customHeight="1">
      <c r="P79" s="16"/>
      <c r="Q79" s="16"/>
    </row>
    <row r="80" spans="16:17" ht="16.5" customHeight="1">
      <c r="P80" s="16"/>
      <c r="Q80" s="16"/>
    </row>
    <row r="81" spans="16:17" ht="16.5" customHeight="1">
      <c r="P81" s="16"/>
      <c r="Q81" s="16"/>
    </row>
    <row r="82" spans="16:17" ht="16.5" customHeight="1">
      <c r="P82" s="16"/>
      <c r="Q82" s="16"/>
    </row>
    <row r="83" spans="16:17" ht="16.5" customHeight="1">
      <c r="P83" s="16"/>
      <c r="Q83" s="16"/>
    </row>
    <row r="84" spans="16:17" ht="16.5" customHeight="1">
      <c r="P84" s="16"/>
      <c r="Q84" s="16"/>
    </row>
    <row r="85" spans="16:17" ht="16.5" customHeight="1">
      <c r="P85" s="16"/>
      <c r="Q85" s="16"/>
    </row>
    <row r="86" spans="16:17" ht="16.5" customHeight="1">
      <c r="P86" s="16"/>
      <c r="Q86" s="16"/>
    </row>
    <row r="87" spans="16:17" ht="16.5" customHeight="1">
      <c r="P87" s="16"/>
      <c r="Q87" s="16"/>
    </row>
    <row r="88" spans="16:17" ht="16.5" customHeight="1">
      <c r="P88" s="16"/>
      <c r="Q88" s="16"/>
    </row>
    <row r="89" spans="16:17" ht="16.5" customHeight="1">
      <c r="P89" s="16"/>
      <c r="Q89" s="16"/>
    </row>
    <row r="90" spans="16:17" ht="16.5" customHeight="1">
      <c r="P90" s="16"/>
      <c r="Q90" s="16"/>
    </row>
    <row r="91" spans="16:17" ht="16.5" customHeight="1">
      <c r="P91" s="16"/>
      <c r="Q91" s="16"/>
    </row>
    <row r="92" spans="16:17" ht="16.5" customHeight="1">
      <c r="P92" s="16"/>
      <c r="Q92" s="16"/>
    </row>
    <row r="93" spans="16:17" ht="16.5" customHeight="1">
      <c r="P93" s="16"/>
      <c r="Q93" s="16"/>
    </row>
    <row r="94" spans="16:17" ht="16.5" customHeight="1">
      <c r="P94" s="16"/>
      <c r="Q94" s="16"/>
    </row>
    <row r="95" spans="16:17" ht="16.5" customHeight="1">
      <c r="P95" s="16"/>
      <c r="Q95" s="16"/>
    </row>
    <row r="96" spans="16:17" ht="16.5" customHeight="1">
      <c r="P96" s="16"/>
      <c r="Q96" s="16"/>
    </row>
    <row r="97" spans="16:17" ht="16.5" customHeight="1">
      <c r="P97" s="16"/>
      <c r="Q97" s="16"/>
    </row>
    <row r="98" spans="16:17" ht="16.5" customHeight="1">
      <c r="P98" s="16"/>
      <c r="Q98" s="16"/>
    </row>
    <row r="99" spans="16:17" ht="16.5" customHeight="1">
      <c r="P99" s="16"/>
      <c r="Q99" s="16"/>
    </row>
    <row r="100" spans="16:17" ht="16.5" customHeight="1">
      <c r="P100" s="16"/>
      <c r="Q100" s="16"/>
    </row>
    <row r="101" spans="16:17" ht="16.5" customHeight="1">
      <c r="P101" s="16"/>
      <c r="Q101" s="16"/>
    </row>
    <row r="102" spans="16:17" ht="16.5" customHeight="1">
      <c r="P102" s="16"/>
      <c r="Q102" s="16"/>
    </row>
    <row r="103" spans="16:17" ht="16.5" customHeight="1">
      <c r="P103" s="16"/>
      <c r="Q103" s="16"/>
    </row>
    <row r="104" spans="16:17" ht="16.5" customHeight="1">
      <c r="P104" s="16"/>
      <c r="Q104" s="16"/>
    </row>
    <row r="105" spans="16:17" ht="16.5" customHeight="1">
      <c r="P105" s="16"/>
      <c r="Q105" s="16"/>
    </row>
    <row r="106" spans="16:17" ht="16.5" customHeight="1">
      <c r="P106" s="16"/>
      <c r="Q106" s="16"/>
    </row>
    <row r="107" spans="16:17" ht="16.5" customHeight="1">
      <c r="P107" s="16"/>
      <c r="Q107" s="16"/>
    </row>
    <row r="108" spans="16:17" ht="16.5" customHeight="1">
      <c r="P108" s="16"/>
      <c r="Q108" s="16"/>
    </row>
    <row r="109" spans="16:17" ht="16.5" customHeight="1">
      <c r="P109" s="16"/>
      <c r="Q109" s="16"/>
    </row>
    <row r="110" spans="16:17" ht="16.5" customHeight="1">
      <c r="P110" s="16"/>
      <c r="Q110" s="16"/>
    </row>
    <row r="111" spans="16:17" ht="16.5" customHeight="1">
      <c r="P111" s="16"/>
      <c r="Q111" s="16"/>
    </row>
    <row r="112" spans="16:17" ht="16.5" customHeight="1">
      <c r="P112" s="16"/>
      <c r="Q112" s="16"/>
    </row>
    <row r="113" spans="16:17" ht="16.5" customHeight="1">
      <c r="P113" s="16"/>
      <c r="Q113" s="16"/>
    </row>
    <row r="114" spans="16:17" ht="16.5" customHeight="1">
      <c r="P114" s="16"/>
      <c r="Q114" s="16"/>
    </row>
    <row r="115" spans="16:17" ht="16.5" customHeight="1">
      <c r="P115" s="16"/>
      <c r="Q115" s="16"/>
    </row>
    <row r="116" spans="16:17" ht="16.5" customHeight="1">
      <c r="P116" s="16"/>
      <c r="Q116" s="16"/>
    </row>
    <row r="117" spans="16:17" ht="16.5" customHeight="1">
      <c r="P117" s="16"/>
      <c r="Q117" s="16"/>
    </row>
    <row r="118" spans="16:17" ht="16.5" customHeight="1">
      <c r="P118" s="16"/>
      <c r="Q118" s="16"/>
    </row>
    <row r="119" spans="16:17" ht="16.5" customHeight="1">
      <c r="P119" s="16"/>
      <c r="Q119" s="16"/>
    </row>
    <row r="120" spans="16:17" ht="16.5" customHeight="1">
      <c r="P120" s="16"/>
      <c r="Q120" s="16"/>
    </row>
    <row r="121" spans="16:17" ht="16.5" customHeight="1">
      <c r="P121" s="16"/>
      <c r="Q121" s="16"/>
    </row>
    <row r="122" spans="16:17" ht="16.5" customHeight="1">
      <c r="P122" s="16"/>
      <c r="Q122" s="16"/>
    </row>
    <row r="123" spans="16:17" ht="16.5" customHeight="1">
      <c r="P123" s="16"/>
      <c r="Q123" s="16"/>
    </row>
    <row r="124" spans="16:17" ht="16.5" customHeight="1">
      <c r="P124" s="16"/>
      <c r="Q124" s="16"/>
    </row>
    <row r="125" spans="16:17" ht="16.5" customHeight="1">
      <c r="P125" s="16"/>
      <c r="Q125" s="16"/>
    </row>
    <row r="126" spans="16:17" ht="16.5" customHeight="1">
      <c r="P126" s="16"/>
      <c r="Q126" s="16"/>
    </row>
    <row r="127" spans="16:17" ht="16.5" customHeight="1">
      <c r="P127" s="16"/>
      <c r="Q127" s="16"/>
    </row>
    <row r="128" spans="16:17" ht="16.5" customHeight="1">
      <c r="P128" s="16"/>
      <c r="Q128" s="16"/>
    </row>
    <row r="129" spans="16:17" ht="16.5" customHeight="1">
      <c r="P129" s="16"/>
      <c r="Q129" s="16"/>
    </row>
    <row r="130" spans="16:17" ht="16.5" customHeight="1">
      <c r="P130" s="16"/>
      <c r="Q130" s="16"/>
    </row>
    <row r="131" spans="16:17" ht="16.5" customHeight="1">
      <c r="P131" s="16"/>
      <c r="Q131" s="16"/>
    </row>
    <row r="132" spans="16:17" ht="16.5" customHeight="1">
      <c r="P132" s="16"/>
      <c r="Q132" s="16"/>
    </row>
    <row r="133" spans="16:17" ht="16.5" customHeight="1">
      <c r="P133" s="16"/>
      <c r="Q133" s="16"/>
    </row>
    <row r="134" spans="16:17" ht="16.5" customHeight="1">
      <c r="P134" s="16"/>
      <c r="Q134" s="16"/>
    </row>
    <row r="135" spans="16:17" ht="16.5" customHeight="1">
      <c r="P135" s="16"/>
      <c r="Q135" s="16"/>
    </row>
    <row r="136" spans="16:17" ht="16.5" customHeight="1">
      <c r="P136" s="16"/>
      <c r="Q136" s="16"/>
    </row>
    <row r="137" spans="16:17" ht="16.5" customHeight="1">
      <c r="P137" s="16"/>
      <c r="Q137" s="16"/>
    </row>
    <row r="138" spans="16:17" ht="16.5" customHeight="1">
      <c r="P138" s="16"/>
      <c r="Q138" s="16"/>
    </row>
    <row r="139" spans="16:17" ht="16.5" customHeight="1">
      <c r="P139" s="16"/>
      <c r="Q139" s="16"/>
    </row>
    <row r="140" spans="16:17" ht="16.5" customHeight="1">
      <c r="P140" s="16"/>
      <c r="Q140" s="16"/>
    </row>
    <row r="141" spans="16:17" ht="16.5" customHeight="1">
      <c r="P141" s="16"/>
      <c r="Q141" s="16"/>
    </row>
    <row r="142" spans="16:17" ht="16.5" customHeight="1">
      <c r="P142" s="16"/>
      <c r="Q142" s="16"/>
    </row>
    <row r="143" spans="16:17" ht="16.5" customHeight="1">
      <c r="P143" s="16"/>
      <c r="Q143" s="16"/>
    </row>
    <row r="144" spans="16:17" ht="16.5" customHeight="1">
      <c r="P144" s="16"/>
      <c r="Q144" s="16"/>
    </row>
    <row r="145" spans="16:17" ht="16.5" customHeight="1">
      <c r="P145" s="16"/>
      <c r="Q145" s="16"/>
    </row>
    <row r="146" spans="16:17" ht="16.5" customHeight="1">
      <c r="P146" s="16"/>
      <c r="Q146" s="16"/>
    </row>
    <row r="147" spans="16:17" ht="16.5" customHeight="1">
      <c r="P147" s="16"/>
      <c r="Q147" s="16"/>
    </row>
    <row r="148" spans="16:17" ht="16.5" customHeight="1">
      <c r="P148" s="16"/>
      <c r="Q148" s="16"/>
    </row>
    <row r="149" spans="16:17" ht="16.5" customHeight="1">
      <c r="P149" s="16"/>
      <c r="Q149" s="16"/>
    </row>
    <row r="150" spans="16:17" ht="16.5" customHeight="1">
      <c r="P150" s="16"/>
      <c r="Q150" s="16"/>
    </row>
    <row r="151" spans="16:17" ht="16.5" customHeight="1">
      <c r="P151" s="16"/>
      <c r="Q151" s="16"/>
    </row>
    <row r="152" spans="16:17" ht="16.5" customHeight="1">
      <c r="P152" s="16"/>
      <c r="Q152" s="16"/>
    </row>
    <row r="153" spans="16:17" ht="16.5" customHeight="1">
      <c r="P153" s="16"/>
      <c r="Q153" s="16"/>
    </row>
    <row r="154" spans="16:17" ht="16.5" customHeight="1">
      <c r="P154" s="16"/>
      <c r="Q154" s="16"/>
    </row>
    <row r="155" spans="16:17" ht="16.5" customHeight="1">
      <c r="P155" s="16"/>
      <c r="Q155" s="16"/>
    </row>
    <row r="156" spans="16:17" ht="16.5" customHeight="1">
      <c r="P156" s="16"/>
      <c r="Q156" s="16"/>
    </row>
    <row r="157" spans="16:17" ht="16.5" customHeight="1">
      <c r="P157" s="16"/>
      <c r="Q157" s="16"/>
    </row>
    <row r="158" spans="16:17" ht="16.5" customHeight="1">
      <c r="P158" s="16"/>
      <c r="Q158" s="16"/>
    </row>
    <row r="159" spans="16:17" ht="16.5" customHeight="1">
      <c r="P159" s="16"/>
      <c r="Q159" s="16"/>
    </row>
    <row r="160" spans="16:17" ht="16.5" customHeight="1">
      <c r="P160" s="16"/>
      <c r="Q160" s="16"/>
    </row>
    <row r="161" spans="16:17" ht="16.5" customHeight="1">
      <c r="P161" s="16"/>
      <c r="Q161" s="16"/>
    </row>
    <row r="162" spans="16:17" ht="16.5" customHeight="1">
      <c r="P162" s="16"/>
      <c r="Q162" s="16"/>
    </row>
    <row r="163" spans="16:17" ht="16.5" customHeight="1">
      <c r="P163" s="16"/>
      <c r="Q163" s="16"/>
    </row>
    <row r="164" spans="16:17" ht="16.5" customHeight="1">
      <c r="P164" s="16"/>
      <c r="Q164" s="16"/>
    </row>
    <row r="165" spans="16:17" ht="16.5" customHeight="1">
      <c r="P165" s="16"/>
      <c r="Q165" s="16"/>
    </row>
    <row r="166" spans="16:17" ht="16.5" customHeight="1">
      <c r="P166" s="16"/>
      <c r="Q166" s="16"/>
    </row>
    <row r="167" spans="16:17" ht="16.5" customHeight="1">
      <c r="P167" s="16"/>
      <c r="Q167" s="16"/>
    </row>
    <row r="168" spans="16:17" ht="16.5" customHeight="1">
      <c r="P168" s="16"/>
      <c r="Q168" s="16"/>
    </row>
    <row r="169" spans="16:17" ht="16.5" customHeight="1">
      <c r="P169" s="16"/>
      <c r="Q169" s="16"/>
    </row>
    <row r="170" spans="16:17" ht="16.5" customHeight="1">
      <c r="P170" s="16"/>
      <c r="Q170" s="16"/>
    </row>
    <row r="171" spans="16:17" ht="16.5" customHeight="1">
      <c r="P171" s="16"/>
      <c r="Q171" s="16"/>
    </row>
    <row r="172" spans="16:17" ht="16.5" customHeight="1">
      <c r="P172" s="16"/>
      <c r="Q172" s="16"/>
    </row>
    <row r="173" spans="16:17" ht="16.5" customHeight="1">
      <c r="P173" s="16"/>
      <c r="Q173" s="16"/>
    </row>
    <row r="174" spans="16:17" ht="16.5" customHeight="1">
      <c r="P174" s="16"/>
      <c r="Q174" s="16"/>
    </row>
    <row r="175" spans="16:17" ht="16.5" customHeight="1">
      <c r="P175" s="16"/>
      <c r="Q175" s="16"/>
    </row>
    <row r="176" spans="16:17" ht="16.5" customHeight="1">
      <c r="P176" s="16"/>
      <c r="Q176" s="16"/>
    </row>
    <row r="177" spans="16:17" ht="16.5" customHeight="1">
      <c r="P177" s="16"/>
      <c r="Q177" s="16"/>
    </row>
    <row r="178" spans="16:17" ht="16.5" customHeight="1">
      <c r="P178" s="16"/>
      <c r="Q178" s="16"/>
    </row>
    <row r="179" spans="16:17" ht="16.5" customHeight="1">
      <c r="P179" s="16"/>
      <c r="Q179" s="16"/>
    </row>
    <row r="180" spans="16:17" ht="16.5" customHeight="1">
      <c r="P180" s="16"/>
      <c r="Q180" s="16"/>
    </row>
    <row r="181" spans="16:17" ht="16.5" customHeight="1">
      <c r="P181" s="16"/>
      <c r="Q181" s="16"/>
    </row>
    <row r="182" spans="16:17" ht="16.5" customHeight="1">
      <c r="P182" s="16"/>
      <c r="Q182" s="16"/>
    </row>
    <row r="183" spans="16:17" ht="16.5" customHeight="1">
      <c r="P183" s="16"/>
      <c r="Q183" s="16"/>
    </row>
    <row r="184" spans="16:17" ht="16.5" customHeight="1">
      <c r="P184" s="16"/>
      <c r="Q184" s="16"/>
    </row>
    <row r="185" spans="16:17" ht="16.5" customHeight="1">
      <c r="P185" s="16"/>
      <c r="Q185" s="16"/>
    </row>
    <row r="186" spans="16:17" ht="16.5" customHeight="1">
      <c r="P186" s="16"/>
      <c r="Q186" s="16"/>
    </row>
    <row r="187" spans="16:17" ht="16.5" customHeight="1">
      <c r="P187" s="16"/>
      <c r="Q187" s="16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6D22-4E84-4034-BFB1-5751FF2C1478}">
  <dimension ref="B1:W140"/>
  <sheetViews>
    <sheetView zoomScale="70" zoomScaleNormal="70" workbookViewId="0">
      <selection activeCell="E20" sqref="E20"/>
    </sheetView>
  </sheetViews>
  <sheetFormatPr defaultRowHeight="16.5" customHeight="1"/>
  <cols>
    <col min="2" max="2" width="38.5" bestFit="1" customWidth="1"/>
    <col min="3" max="3" width="46.125" bestFit="1" customWidth="1"/>
    <col min="4" max="4" width="16.5" customWidth="1"/>
    <col min="5" max="5" width="11.875" customWidth="1"/>
    <col min="6" max="6" width="11.25" bestFit="1" customWidth="1"/>
    <col min="7" max="7" width="15.375" bestFit="1" customWidth="1"/>
    <col min="8" max="9" width="19.5" bestFit="1" customWidth="1"/>
    <col min="10" max="10" width="19.5" customWidth="1"/>
    <col min="11" max="11" width="25.875" bestFit="1" customWidth="1"/>
    <col min="12" max="12" width="15.75" bestFit="1" customWidth="1"/>
    <col min="13" max="13" width="19" bestFit="1" customWidth="1"/>
    <col min="14" max="14" width="27.875" bestFit="1" customWidth="1"/>
    <col min="15" max="15" width="9.5" bestFit="1" customWidth="1"/>
    <col min="16" max="16" width="19.375" customWidth="1"/>
    <col min="17" max="17" width="18.25" customWidth="1"/>
    <col min="18" max="18" width="21.125" customWidth="1"/>
    <col min="19" max="19" width="18.125" bestFit="1" customWidth="1"/>
    <col min="24" max="24" width="11.5" bestFit="1" customWidth="1"/>
  </cols>
  <sheetData>
    <row r="1" spans="2:23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639</v>
      </c>
      <c r="I1" s="2" t="s">
        <v>686</v>
      </c>
      <c r="J1" s="47" t="s">
        <v>586</v>
      </c>
      <c r="K1" s="48" t="s">
        <v>587</v>
      </c>
      <c r="L1" s="2" t="s">
        <v>588</v>
      </c>
      <c r="M1" s="3" t="s">
        <v>589</v>
      </c>
      <c r="N1" s="54" t="s">
        <v>687</v>
      </c>
      <c r="O1" s="2" t="s">
        <v>591</v>
      </c>
      <c r="P1" s="2" t="s">
        <v>592</v>
      </c>
      <c r="Q1" s="2" t="s">
        <v>593</v>
      </c>
      <c r="R1" s="2" t="s">
        <v>594</v>
      </c>
      <c r="S1" s="54" t="s">
        <v>688</v>
      </c>
    </row>
    <row r="2" spans="2:23">
      <c r="B2" s="4" t="s">
        <v>596</v>
      </c>
      <c r="C2" s="5" t="s">
        <v>597</v>
      </c>
      <c r="D2" s="6" t="s">
        <v>598</v>
      </c>
      <c r="E2" s="5" t="s">
        <v>597</v>
      </c>
      <c r="F2" s="7" t="s">
        <v>386</v>
      </c>
      <c r="G2" s="7" t="s">
        <v>599</v>
      </c>
      <c r="H2" s="6" t="s">
        <v>641</v>
      </c>
      <c r="I2" s="10" t="s">
        <v>689</v>
      </c>
      <c r="J2" s="43" t="s">
        <v>602</v>
      </c>
      <c r="K2" s="43" t="s">
        <v>603</v>
      </c>
      <c r="L2" s="11" t="s">
        <v>604</v>
      </c>
      <c r="M2" s="12" t="s">
        <v>605</v>
      </c>
      <c r="N2" s="51" t="s">
        <v>690</v>
      </c>
      <c r="O2" s="13" t="s">
        <v>607</v>
      </c>
      <c r="P2" s="33" t="s">
        <v>608</v>
      </c>
      <c r="Q2" s="33" t="s">
        <v>609</v>
      </c>
      <c r="R2" s="7" t="s">
        <v>610</v>
      </c>
      <c r="S2" s="60" t="s">
        <v>691</v>
      </c>
    </row>
    <row r="3" spans="2:23">
      <c r="B3" s="9" t="str">
        <f t="shared" ref="B3" si="0">D3&amp;"_"&amp;F3&amp;"_"&amp;H3&amp;"_"&amp;I3</f>
        <v>E_DST0101_VM_LS_ELC_24000_200</v>
      </c>
      <c r="C3" s="16" t="s">
        <v>91</v>
      </c>
      <c r="D3" s="16" t="s">
        <v>90</v>
      </c>
      <c r="E3" s="16" t="s">
        <v>692</v>
      </c>
      <c r="F3" s="16" t="s">
        <v>693</v>
      </c>
      <c r="G3" s="16" t="s">
        <v>694</v>
      </c>
      <c r="H3" s="16">
        <v>24000</v>
      </c>
      <c r="I3" s="16">
        <v>200</v>
      </c>
      <c r="J3" s="16" t="s">
        <v>621</v>
      </c>
      <c r="K3" s="16"/>
      <c r="L3" s="16">
        <v>187500</v>
      </c>
      <c r="M3" s="16"/>
      <c r="N3" s="16" t="s">
        <v>695</v>
      </c>
      <c r="O3" s="16" t="b">
        <v>1</v>
      </c>
      <c r="P3" s="16" t="s">
        <v>306</v>
      </c>
      <c r="Q3" s="16" t="str">
        <f>H3/1000&amp;"kV "&amp;I3&amp;"A 이하"</f>
        <v>24kV 200A 이하</v>
      </c>
      <c r="S3" s="16"/>
      <c r="W3" s="16"/>
    </row>
    <row r="4" spans="2:23">
      <c r="B4" s="9" t="str">
        <f t="shared" ref="B4:B17" si="1">D4&amp;"_"&amp;F4&amp;"_"&amp;H4&amp;"_"&amp;I4</f>
        <v>E_DST0201_VM_LS_ELC_24000_5</v>
      </c>
      <c r="C4" s="16" t="s">
        <v>97</v>
      </c>
      <c r="D4" s="16" t="s">
        <v>96</v>
      </c>
      <c r="E4" s="16" t="s">
        <v>692</v>
      </c>
      <c r="F4" s="16" t="s">
        <v>693</v>
      </c>
      <c r="G4" s="16" t="s">
        <v>696</v>
      </c>
      <c r="H4" s="16">
        <v>24000</v>
      </c>
      <c r="I4" s="16">
        <v>5</v>
      </c>
      <c r="J4" s="16" t="s">
        <v>621</v>
      </c>
      <c r="K4" s="16"/>
      <c r="L4" s="16">
        <v>118900</v>
      </c>
      <c r="M4" s="16"/>
      <c r="N4" s="16" t="s">
        <v>695</v>
      </c>
      <c r="O4" s="16" t="b">
        <v>1</v>
      </c>
      <c r="P4" s="16" t="s">
        <v>697</v>
      </c>
      <c r="Q4" s="16" t="str">
        <f t="shared" ref="Q4:Q12" si="2">H4/1000&amp;"kV 40kA "&amp;I4&amp;"A"</f>
        <v>24kV 40kA 5A</v>
      </c>
      <c r="S4" s="16"/>
      <c r="W4" s="16"/>
    </row>
    <row r="5" spans="2:23">
      <c r="B5" s="9" t="str">
        <f t="shared" si="1"/>
        <v>E_DST0201_VM_LS_ELC_24000_10</v>
      </c>
      <c r="C5" s="16" t="s">
        <v>97</v>
      </c>
      <c r="D5" s="16" t="s">
        <v>96</v>
      </c>
      <c r="E5" s="16" t="s">
        <v>692</v>
      </c>
      <c r="F5" s="16" t="s">
        <v>693</v>
      </c>
      <c r="G5" s="16" t="s">
        <v>698</v>
      </c>
      <c r="H5" s="16">
        <v>24000</v>
      </c>
      <c r="I5" s="16">
        <v>10</v>
      </c>
      <c r="J5" s="16" t="s">
        <v>621</v>
      </c>
      <c r="K5" s="16"/>
      <c r="L5" s="16">
        <v>131200</v>
      </c>
      <c r="M5" s="16"/>
      <c r="N5" s="16" t="s">
        <v>695</v>
      </c>
      <c r="O5" s="16" t="b">
        <v>1</v>
      </c>
      <c r="P5" s="16" t="s">
        <v>697</v>
      </c>
      <c r="Q5" s="16" t="str">
        <f t="shared" si="2"/>
        <v>24kV 40kA 10A</v>
      </c>
      <c r="S5" s="16"/>
      <c r="W5" s="16"/>
    </row>
    <row r="6" spans="2:23">
      <c r="B6" s="9" t="str">
        <f t="shared" si="1"/>
        <v>E_DST0201_VM_LS_ELC_24000_16</v>
      </c>
      <c r="C6" s="16" t="s">
        <v>97</v>
      </c>
      <c r="D6" s="16" t="s">
        <v>96</v>
      </c>
      <c r="E6" s="16" t="s">
        <v>692</v>
      </c>
      <c r="F6" s="16" t="s">
        <v>693</v>
      </c>
      <c r="G6" s="16" t="s">
        <v>699</v>
      </c>
      <c r="H6" s="16">
        <v>24000</v>
      </c>
      <c r="I6" s="16">
        <v>16</v>
      </c>
      <c r="J6" s="16" t="s">
        <v>621</v>
      </c>
      <c r="K6" s="16"/>
      <c r="L6" s="16">
        <v>137300</v>
      </c>
      <c r="M6" s="16"/>
      <c r="N6" s="16" t="s">
        <v>695</v>
      </c>
      <c r="O6" s="16" t="b">
        <v>1</v>
      </c>
      <c r="P6" s="16" t="s">
        <v>697</v>
      </c>
      <c r="Q6" s="16" t="str">
        <f t="shared" si="2"/>
        <v>24kV 40kA 16A</v>
      </c>
      <c r="S6" s="16"/>
      <c r="W6" s="16"/>
    </row>
    <row r="7" spans="2:23">
      <c r="B7" s="9" t="str">
        <f t="shared" si="1"/>
        <v>E_DST0201_VM_LS_ELC_24000_20</v>
      </c>
      <c r="C7" s="16" t="s">
        <v>97</v>
      </c>
      <c r="D7" s="16" t="s">
        <v>96</v>
      </c>
      <c r="E7" s="16" t="s">
        <v>692</v>
      </c>
      <c r="F7" s="16" t="s">
        <v>693</v>
      </c>
      <c r="G7" s="16" t="s">
        <v>700</v>
      </c>
      <c r="H7" s="16">
        <v>24000</v>
      </c>
      <c r="I7" s="16">
        <v>20</v>
      </c>
      <c r="J7" s="16" t="s">
        <v>621</v>
      </c>
      <c r="K7" s="16"/>
      <c r="L7" s="16">
        <v>137300</v>
      </c>
      <c r="M7" s="16"/>
      <c r="N7" s="16" t="s">
        <v>695</v>
      </c>
      <c r="O7" s="16" t="b">
        <v>1</v>
      </c>
      <c r="P7" s="16" t="s">
        <v>697</v>
      </c>
      <c r="Q7" s="16" t="str">
        <f t="shared" si="2"/>
        <v>24kV 40kA 20A</v>
      </c>
      <c r="S7" s="16"/>
      <c r="W7" s="16"/>
    </row>
    <row r="8" spans="2:23">
      <c r="B8" s="9" t="str">
        <f t="shared" si="1"/>
        <v>E_DST0201_VM_LS_ELC_24000_25</v>
      </c>
      <c r="C8" s="16" t="s">
        <v>97</v>
      </c>
      <c r="D8" s="16" t="s">
        <v>96</v>
      </c>
      <c r="E8" s="16" t="s">
        <v>692</v>
      </c>
      <c r="F8" s="16" t="s">
        <v>693</v>
      </c>
      <c r="G8" s="16" t="s">
        <v>701</v>
      </c>
      <c r="H8" s="16">
        <v>24000</v>
      </c>
      <c r="I8" s="16">
        <v>25</v>
      </c>
      <c r="J8" s="16" t="s">
        <v>621</v>
      </c>
      <c r="K8" s="16"/>
      <c r="L8" s="16">
        <v>148700</v>
      </c>
      <c r="M8" s="16"/>
      <c r="N8" s="16" t="s">
        <v>695</v>
      </c>
      <c r="O8" s="16" t="b">
        <v>1</v>
      </c>
      <c r="P8" s="16" t="s">
        <v>697</v>
      </c>
      <c r="Q8" s="16" t="str">
        <f t="shared" si="2"/>
        <v>24kV 40kA 25A</v>
      </c>
      <c r="S8" s="16"/>
      <c r="W8" s="16"/>
    </row>
    <row r="9" spans="2:23">
      <c r="B9" s="9" t="str">
        <f t="shared" si="1"/>
        <v>E_DST0201_VM_LS_ELC_24000_30</v>
      </c>
      <c r="C9" s="16" t="s">
        <v>97</v>
      </c>
      <c r="D9" s="16" t="s">
        <v>96</v>
      </c>
      <c r="E9" s="16" t="s">
        <v>692</v>
      </c>
      <c r="F9" s="16" t="s">
        <v>693</v>
      </c>
      <c r="G9" s="16" t="s">
        <v>702</v>
      </c>
      <c r="H9" s="16">
        <v>24000</v>
      </c>
      <c r="I9" s="16">
        <v>30</v>
      </c>
      <c r="J9" s="16" t="s">
        <v>621</v>
      </c>
      <c r="K9" s="16"/>
      <c r="L9" s="16">
        <v>156300</v>
      </c>
      <c r="M9" s="16"/>
      <c r="N9" s="16" t="s">
        <v>695</v>
      </c>
      <c r="O9" s="16" t="b">
        <v>1</v>
      </c>
      <c r="P9" s="16" t="s">
        <v>697</v>
      </c>
      <c r="Q9" s="16" t="str">
        <f t="shared" si="2"/>
        <v>24kV 40kA 30A</v>
      </c>
      <c r="S9" s="16"/>
      <c r="W9" s="16"/>
    </row>
    <row r="10" spans="2:23">
      <c r="B10" s="9" t="str">
        <f t="shared" si="1"/>
        <v>E_DST0201_VM_LS_ELC_24000_40</v>
      </c>
      <c r="C10" s="16" t="s">
        <v>97</v>
      </c>
      <c r="D10" s="16" t="s">
        <v>96</v>
      </c>
      <c r="E10" s="16" t="s">
        <v>692</v>
      </c>
      <c r="F10" s="16" t="s">
        <v>693</v>
      </c>
      <c r="G10" s="16" t="s">
        <v>703</v>
      </c>
      <c r="H10" s="16">
        <v>24000</v>
      </c>
      <c r="I10" s="16">
        <v>40</v>
      </c>
      <c r="J10" s="16" t="s">
        <v>621</v>
      </c>
      <c r="K10" s="16"/>
      <c r="L10" s="16">
        <v>162500</v>
      </c>
      <c r="M10" s="16"/>
      <c r="N10" s="16" t="s">
        <v>695</v>
      </c>
      <c r="O10" s="16" t="b">
        <v>1</v>
      </c>
      <c r="P10" s="16" t="s">
        <v>697</v>
      </c>
      <c r="Q10" s="16" t="str">
        <f t="shared" si="2"/>
        <v>24kV 40kA 40A</v>
      </c>
      <c r="S10" s="16"/>
      <c r="W10" s="16"/>
    </row>
    <row r="11" spans="2:23">
      <c r="B11" s="9" t="str">
        <f t="shared" si="1"/>
        <v>E_DST0201_VM_LS_ELC_24000_50</v>
      </c>
      <c r="C11" s="16" t="s">
        <v>97</v>
      </c>
      <c r="D11" s="16" t="s">
        <v>96</v>
      </c>
      <c r="E11" s="16" t="s">
        <v>692</v>
      </c>
      <c r="F11" s="16" t="s">
        <v>693</v>
      </c>
      <c r="G11" s="16" t="s">
        <v>704</v>
      </c>
      <c r="H11" s="16">
        <v>24000</v>
      </c>
      <c r="I11" s="16">
        <v>50</v>
      </c>
      <c r="J11" s="16" t="s">
        <v>621</v>
      </c>
      <c r="K11" s="16"/>
      <c r="L11" s="16">
        <v>164600</v>
      </c>
      <c r="M11" s="16"/>
      <c r="N11" s="16" t="s">
        <v>695</v>
      </c>
      <c r="O11" s="16" t="b">
        <v>1</v>
      </c>
      <c r="P11" s="16" t="s">
        <v>697</v>
      </c>
      <c r="Q11" s="16" t="str">
        <f t="shared" si="2"/>
        <v>24kV 40kA 50A</v>
      </c>
      <c r="S11" s="16"/>
      <c r="W11" s="16"/>
    </row>
    <row r="12" spans="2:23">
      <c r="B12" s="9" t="str">
        <f t="shared" si="1"/>
        <v>E_DST0201_VM_LS_ELC_24000_60</v>
      </c>
      <c r="C12" s="16" t="s">
        <v>97</v>
      </c>
      <c r="D12" s="16" t="s">
        <v>96</v>
      </c>
      <c r="E12" s="16" t="s">
        <v>692</v>
      </c>
      <c r="F12" s="16" t="s">
        <v>693</v>
      </c>
      <c r="G12" s="16" t="s">
        <v>705</v>
      </c>
      <c r="H12" s="16">
        <v>24000</v>
      </c>
      <c r="I12" s="16">
        <v>60</v>
      </c>
      <c r="J12" s="16" t="s">
        <v>621</v>
      </c>
      <c r="K12" s="16"/>
      <c r="L12" s="16">
        <v>178800</v>
      </c>
      <c r="M12" s="16"/>
      <c r="N12" s="16" t="s">
        <v>695</v>
      </c>
      <c r="O12" s="16" t="b">
        <v>1</v>
      </c>
      <c r="P12" s="16" t="s">
        <v>697</v>
      </c>
      <c r="Q12" s="16" t="str">
        <f t="shared" si="2"/>
        <v>24kV 40kA 60A</v>
      </c>
      <c r="S12" s="16"/>
      <c r="W12" s="16"/>
    </row>
    <row r="13" spans="2:23" ht="16.5" customHeight="1">
      <c r="B13" s="9" t="str">
        <f t="shared" si="1"/>
        <v>E_DST0201_VM_LS_ELC_24000_75</v>
      </c>
      <c r="C13" s="16" t="s">
        <v>97</v>
      </c>
      <c r="D13" s="16" t="s">
        <v>96</v>
      </c>
      <c r="E13" s="16" t="s">
        <v>692</v>
      </c>
      <c r="F13" s="16" t="s">
        <v>693</v>
      </c>
      <c r="G13" s="16" t="s">
        <v>706</v>
      </c>
      <c r="H13" s="16">
        <v>24000</v>
      </c>
      <c r="I13" s="16">
        <v>75</v>
      </c>
      <c r="J13" s="16" t="s">
        <v>621</v>
      </c>
      <c r="K13" s="16"/>
      <c r="L13" s="16">
        <v>211900</v>
      </c>
      <c r="M13" s="16"/>
      <c r="N13" s="16" t="s">
        <v>695</v>
      </c>
      <c r="O13" s="16" t="b">
        <v>1</v>
      </c>
      <c r="P13" s="16" t="s">
        <v>697</v>
      </c>
      <c r="Q13" s="16" t="str">
        <f>H13/1000&amp;"kV 25kA "&amp;I13&amp;"A"</f>
        <v>24kV 25kA 75A</v>
      </c>
      <c r="S13" s="16"/>
      <c r="W13" s="16"/>
    </row>
    <row r="14" spans="2:23" ht="16.5" customHeight="1">
      <c r="B14" s="9" t="str">
        <f t="shared" si="1"/>
        <v>E_DST0201_VM_LS_ELC_24000_100</v>
      </c>
      <c r="C14" s="16" t="s">
        <v>97</v>
      </c>
      <c r="D14" s="16" t="s">
        <v>96</v>
      </c>
      <c r="E14" s="16" t="s">
        <v>692</v>
      </c>
      <c r="F14" s="16" t="s">
        <v>693</v>
      </c>
      <c r="G14" s="16" t="s">
        <v>707</v>
      </c>
      <c r="H14" s="16">
        <v>24000</v>
      </c>
      <c r="I14" s="16">
        <v>100</v>
      </c>
      <c r="J14" s="16" t="s">
        <v>621</v>
      </c>
      <c r="K14" s="16"/>
      <c r="L14" s="16">
        <v>225200</v>
      </c>
      <c r="M14" s="16"/>
      <c r="N14" s="16" t="s">
        <v>695</v>
      </c>
      <c r="O14" s="16" t="b">
        <v>1</v>
      </c>
      <c r="P14" s="16" t="s">
        <v>697</v>
      </c>
      <c r="Q14" s="16" t="str">
        <f>H14/1000&amp;"kV 25kA "&amp;I14&amp;"A"</f>
        <v>24kV 25kA 100A</v>
      </c>
      <c r="S14" s="16"/>
      <c r="W14" s="16"/>
    </row>
    <row r="15" spans="2:23" ht="16.5" customHeight="1">
      <c r="B15" s="9" t="str">
        <f t="shared" si="1"/>
        <v>E_DST0201_VM_LS_ELC_24000_125</v>
      </c>
      <c r="C15" s="16" t="s">
        <v>97</v>
      </c>
      <c r="D15" s="16" t="s">
        <v>96</v>
      </c>
      <c r="E15" s="16" t="s">
        <v>692</v>
      </c>
      <c r="F15" s="16" t="s">
        <v>693</v>
      </c>
      <c r="G15" s="16" t="s">
        <v>708</v>
      </c>
      <c r="H15" s="16">
        <v>24000</v>
      </c>
      <c r="I15" s="16">
        <v>125</v>
      </c>
      <c r="J15" s="16" t="s">
        <v>621</v>
      </c>
      <c r="K15" s="16"/>
      <c r="L15" s="16">
        <v>245000</v>
      </c>
      <c r="M15" s="16"/>
      <c r="N15" s="16" t="s">
        <v>695</v>
      </c>
      <c r="O15" s="16" t="b">
        <v>1</v>
      </c>
      <c r="P15" s="16" t="s">
        <v>697</v>
      </c>
      <c r="Q15" s="16" t="str">
        <f>H15/1000&amp;"kV 25kA "&amp;I15&amp;"A"</f>
        <v>24kV 25kA 125A</v>
      </c>
      <c r="S15" s="16"/>
      <c r="W15" s="16"/>
    </row>
    <row r="16" spans="2:23" ht="16.5" customHeight="1">
      <c r="B16" s="9" t="str">
        <f t="shared" si="1"/>
        <v>E_DST0201_VM_LS_ELC_24000_160</v>
      </c>
      <c r="C16" s="16" t="s">
        <v>97</v>
      </c>
      <c r="D16" s="16" t="s">
        <v>96</v>
      </c>
      <c r="E16" s="16" t="s">
        <v>692</v>
      </c>
      <c r="F16" s="16" t="s">
        <v>693</v>
      </c>
      <c r="G16" s="16" t="s">
        <v>709</v>
      </c>
      <c r="H16" s="16">
        <v>24000</v>
      </c>
      <c r="I16" s="16">
        <v>160</v>
      </c>
      <c r="J16" s="16" t="s">
        <v>621</v>
      </c>
      <c r="K16" s="16"/>
      <c r="L16" s="16">
        <v>333700</v>
      </c>
      <c r="M16" s="16"/>
      <c r="N16" s="16" t="s">
        <v>695</v>
      </c>
      <c r="O16" s="16" t="b">
        <v>1</v>
      </c>
      <c r="P16" s="16" t="s">
        <v>697</v>
      </c>
      <c r="Q16" s="16" t="str">
        <f>H16/1000&amp;"kV 25kA "&amp;I16&amp;"A"</f>
        <v>24kV 25kA 160A</v>
      </c>
      <c r="S16" s="16"/>
      <c r="W16" s="16"/>
    </row>
    <row r="17" spans="2:23" ht="16.5" customHeight="1">
      <c r="B17" s="9" t="str">
        <f t="shared" si="1"/>
        <v>E_DST0201_VM_LS_ELC_24000_200</v>
      </c>
      <c r="C17" s="16" t="s">
        <v>97</v>
      </c>
      <c r="D17" s="16" t="s">
        <v>96</v>
      </c>
      <c r="E17" s="16" t="s">
        <v>692</v>
      </c>
      <c r="F17" s="16" t="s">
        <v>693</v>
      </c>
      <c r="G17" s="16" t="s">
        <v>710</v>
      </c>
      <c r="H17" s="16">
        <v>24000</v>
      </c>
      <c r="I17" s="16">
        <v>200</v>
      </c>
      <c r="J17" s="16" t="s">
        <v>621</v>
      </c>
      <c r="K17" s="16"/>
      <c r="L17" s="16">
        <v>380000</v>
      </c>
      <c r="M17" s="16"/>
      <c r="N17" s="16" t="s">
        <v>695</v>
      </c>
      <c r="O17" s="16" t="b">
        <v>1</v>
      </c>
      <c r="P17" s="16" t="s">
        <v>697</v>
      </c>
      <c r="Q17" s="16" t="str">
        <f>H17/1000&amp;"kV 25kA "&amp;I17&amp;"A"</f>
        <v>24kV 25kA 200A</v>
      </c>
      <c r="S17" s="16"/>
      <c r="W17" s="16"/>
    </row>
    <row r="18" spans="2:23" ht="16.5" customHeight="1">
      <c r="P18" s="16"/>
      <c r="Q18" s="16"/>
    </row>
    <row r="19" spans="2:23" ht="16.5" customHeight="1">
      <c r="P19" s="16"/>
      <c r="Q19" s="16"/>
    </row>
    <row r="20" spans="2:23" ht="16.5" customHeight="1">
      <c r="P20" s="16"/>
      <c r="Q20" s="16"/>
    </row>
    <row r="21" spans="2:23" ht="16.5" customHeight="1">
      <c r="P21" s="16"/>
      <c r="Q21" s="16"/>
    </row>
    <row r="22" spans="2:23" ht="16.5" customHeight="1">
      <c r="P22" s="16"/>
      <c r="Q22" s="16"/>
    </row>
    <row r="23" spans="2:23" ht="16.5" customHeight="1">
      <c r="P23" s="16"/>
      <c r="Q23" s="16"/>
    </row>
    <row r="24" spans="2:23" ht="16.5" customHeight="1">
      <c r="P24" s="16"/>
      <c r="Q24" s="16"/>
    </row>
    <row r="25" spans="2:23" ht="16.5" customHeight="1">
      <c r="P25" s="16"/>
      <c r="Q25" s="16"/>
    </row>
    <row r="26" spans="2:23" ht="16.5" customHeight="1">
      <c r="P26" s="16"/>
      <c r="Q26" s="16"/>
    </row>
    <row r="27" spans="2:23" ht="16.5" customHeight="1">
      <c r="P27" s="16"/>
      <c r="Q27" s="16"/>
    </row>
    <row r="28" spans="2:23" ht="16.5" customHeight="1">
      <c r="P28" s="16"/>
      <c r="Q28" s="16"/>
    </row>
    <row r="29" spans="2:23" ht="16.5" customHeight="1">
      <c r="P29" s="16"/>
      <c r="Q29" s="16"/>
    </row>
    <row r="30" spans="2:23" ht="16.5" customHeight="1">
      <c r="P30" s="16"/>
      <c r="Q30" s="16"/>
    </row>
    <row r="31" spans="2:23" ht="16.5" customHeight="1">
      <c r="P31" s="16"/>
      <c r="Q31" s="16"/>
    </row>
    <row r="32" spans="2:23" ht="16.5" customHeight="1">
      <c r="P32" s="16"/>
      <c r="Q32" s="16"/>
    </row>
    <row r="33" spans="16:17" ht="16.5" customHeight="1">
      <c r="P33" s="16"/>
      <c r="Q33" s="16"/>
    </row>
    <row r="34" spans="16:17" ht="16.5" customHeight="1">
      <c r="P34" s="16"/>
      <c r="Q34" s="16"/>
    </row>
    <row r="35" spans="16:17" ht="16.5" customHeight="1">
      <c r="P35" s="16"/>
      <c r="Q35" s="16"/>
    </row>
    <row r="36" spans="16:17" ht="16.5" customHeight="1">
      <c r="P36" s="16"/>
      <c r="Q36" s="16"/>
    </row>
    <row r="37" spans="16:17" ht="16.5" customHeight="1">
      <c r="P37" s="16"/>
      <c r="Q37" s="16"/>
    </row>
    <row r="38" spans="16:17" ht="16.5" customHeight="1">
      <c r="P38" s="16"/>
      <c r="Q38" s="16"/>
    </row>
    <row r="39" spans="16:17" ht="16.5" customHeight="1">
      <c r="P39" s="16"/>
      <c r="Q39" s="16"/>
    </row>
    <row r="40" spans="16:17" ht="16.5" customHeight="1">
      <c r="P40" s="16"/>
      <c r="Q40" s="16"/>
    </row>
    <row r="41" spans="16:17" ht="16.5" customHeight="1">
      <c r="P41" s="16"/>
      <c r="Q41" s="16"/>
    </row>
    <row r="42" spans="16:17" ht="16.5" customHeight="1">
      <c r="P42" s="16"/>
      <c r="Q42" s="16"/>
    </row>
    <row r="43" spans="16:17" ht="16.5" customHeight="1">
      <c r="P43" s="16"/>
      <c r="Q43" s="16"/>
    </row>
    <row r="44" spans="16:17" ht="16.5" customHeight="1">
      <c r="P44" s="16"/>
      <c r="Q44" s="16"/>
    </row>
    <row r="45" spans="16:17" ht="16.5" customHeight="1">
      <c r="P45" s="16"/>
      <c r="Q45" s="16"/>
    </row>
    <row r="46" spans="16:17" ht="16.5" customHeight="1">
      <c r="P46" s="16"/>
      <c r="Q46" s="16"/>
    </row>
    <row r="47" spans="16:17" ht="16.5" customHeight="1">
      <c r="P47" s="16"/>
      <c r="Q47" s="16"/>
    </row>
    <row r="48" spans="16:17" ht="16.5" customHeight="1">
      <c r="P48" s="16"/>
      <c r="Q48" s="16"/>
    </row>
    <row r="49" spans="16:17" ht="16.5" customHeight="1">
      <c r="P49" s="16"/>
      <c r="Q49" s="16"/>
    </row>
    <row r="50" spans="16:17" ht="16.5" customHeight="1">
      <c r="P50" s="16"/>
      <c r="Q50" s="16"/>
    </row>
    <row r="51" spans="16:17" ht="16.5" customHeight="1">
      <c r="P51" s="16"/>
      <c r="Q51" s="16"/>
    </row>
    <row r="52" spans="16:17" ht="16.5" customHeight="1">
      <c r="P52" s="16"/>
      <c r="Q52" s="16"/>
    </row>
    <row r="53" spans="16:17" ht="16.5" customHeight="1">
      <c r="P53" s="16"/>
      <c r="Q53" s="16"/>
    </row>
    <row r="54" spans="16:17" ht="16.5" customHeight="1">
      <c r="P54" s="16"/>
      <c r="Q54" s="16"/>
    </row>
    <row r="55" spans="16:17" ht="16.5" customHeight="1">
      <c r="P55" s="16"/>
      <c r="Q55" s="16"/>
    </row>
    <row r="56" spans="16:17" ht="16.5" customHeight="1">
      <c r="P56" s="16"/>
      <c r="Q56" s="16"/>
    </row>
    <row r="57" spans="16:17" ht="16.5" customHeight="1">
      <c r="P57" s="16"/>
      <c r="Q57" s="16"/>
    </row>
    <row r="58" spans="16:17" ht="16.5" customHeight="1">
      <c r="P58" s="16"/>
      <c r="Q58" s="16"/>
    </row>
    <row r="59" spans="16:17" ht="16.5" customHeight="1">
      <c r="P59" s="16"/>
      <c r="Q59" s="16"/>
    </row>
    <row r="60" spans="16:17" ht="16.5" customHeight="1">
      <c r="P60" s="16"/>
      <c r="Q60" s="16"/>
    </row>
    <row r="61" spans="16:17" ht="16.5" customHeight="1">
      <c r="P61" s="16"/>
      <c r="Q61" s="16"/>
    </row>
    <row r="62" spans="16:17" ht="16.5" customHeight="1">
      <c r="P62" s="16"/>
      <c r="Q62" s="16"/>
    </row>
    <row r="63" spans="16:17" ht="16.5" customHeight="1">
      <c r="P63" s="16"/>
      <c r="Q63" s="16"/>
    </row>
    <row r="64" spans="16:17" ht="16.5" customHeight="1">
      <c r="P64" s="16"/>
      <c r="Q64" s="16"/>
    </row>
    <row r="65" spans="16:17" ht="16.5" customHeight="1">
      <c r="P65" s="16"/>
      <c r="Q65" s="16"/>
    </row>
    <row r="66" spans="16:17" ht="16.5" customHeight="1">
      <c r="P66" s="16"/>
      <c r="Q66" s="16"/>
    </row>
    <row r="67" spans="16:17" ht="16.5" customHeight="1">
      <c r="P67" s="16"/>
      <c r="Q67" s="16"/>
    </row>
    <row r="68" spans="16:17" ht="16.5" customHeight="1">
      <c r="P68" s="16"/>
      <c r="Q68" s="16"/>
    </row>
    <row r="69" spans="16:17" ht="16.5" customHeight="1">
      <c r="P69" s="16"/>
      <c r="Q69" s="16"/>
    </row>
    <row r="70" spans="16:17" ht="16.5" customHeight="1">
      <c r="P70" s="16"/>
      <c r="Q70" s="16"/>
    </row>
    <row r="71" spans="16:17" ht="16.5" customHeight="1">
      <c r="P71" s="16"/>
      <c r="Q71" s="16"/>
    </row>
    <row r="72" spans="16:17" ht="16.5" customHeight="1">
      <c r="P72" s="16"/>
      <c r="Q72" s="16"/>
    </row>
    <row r="73" spans="16:17" ht="16.5" customHeight="1">
      <c r="P73" s="16"/>
      <c r="Q73" s="16"/>
    </row>
    <row r="74" spans="16:17" ht="16.5" customHeight="1">
      <c r="P74" s="16"/>
      <c r="Q74" s="16"/>
    </row>
    <row r="75" spans="16:17" ht="16.5" customHeight="1">
      <c r="P75" s="16"/>
      <c r="Q75" s="16"/>
    </row>
    <row r="76" spans="16:17" ht="16.5" customHeight="1">
      <c r="P76" s="16"/>
      <c r="Q76" s="16"/>
    </row>
    <row r="77" spans="16:17" ht="16.5" customHeight="1">
      <c r="P77" s="16"/>
      <c r="Q77" s="16"/>
    </row>
    <row r="78" spans="16:17" ht="16.5" customHeight="1">
      <c r="P78" s="16"/>
      <c r="Q78" s="16"/>
    </row>
    <row r="79" spans="16:17" ht="16.5" customHeight="1">
      <c r="P79" s="16"/>
      <c r="Q79" s="16"/>
    </row>
    <row r="80" spans="16:17" ht="16.5" customHeight="1">
      <c r="P80" s="16"/>
      <c r="Q80" s="16"/>
    </row>
    <row r="81" spans="16:17" ht="16.5" customHeight="1">
      <c r="P81" s="16"/>
      <c r="Q81" s="16"/>
    </row>
    <row r="82" spans="16:17" ht="16.5" customHeight="1">
      <c r="P82" s="16"/>
      <c r="Q82" s="16"/>
    </row>
    <row r="83" spans="16:17" ht="16.5" customHeight="1">
      <c r="P83" s="16"/>
      <c r="Q83" s="16"/>
    </row>
    <row r="84" spans="16:17" ht="16.5" customHeight="1">
      <c r="P84" s="16"/>
      <c r="Q84" s="16"/>
    </row>
    <row r="85" spans="16:17" ht="16.5" customHeight="1">
      <c r="P85" s="16"/>
      <c r="Q85" s="16"/>
    </row>
    <row r="86" spans="16:17" ht="16.5" customHeight="1">
      <c r="P86" s="16"/>
      <c r="Q86" s="16"/>
    </row>
    <row r="87" spans="16:17" ht="16.5" customHeight="1">
      <c r="P87" s="16"/>
      <c r="Q87" s="16"/>
    </row>
    <row r="88" spans="16:17" ht="16.5" customHeight="1">
      <c r="P88" s="16"/>
      <c r="Q88" s="16"/>
    </row>
    <row r="89" spans="16:17" ht="16.5" customHeight="1">
      <c r="P89" s="16"/>
      <c r="Q89" s="16"/>
    </row>
    <row r="90" spans="16:17" ht="16.5" customHeight="1">
      <c r="P90" s="16"/>
      <c r="Q90" s="16"/>
    </row>
    <row r="91" spans="16:17" ht="16.5" customHeight="1">
      <c r="P91" s="16"/>
      <c r="Q91" s="16"/>
    </row>
    <row r="92" spans="16:17" ht="16.5" customHeight="1">
      <c r="P92" s="16"/>
      <c r="Q92" s="16"/>
    </row>
    <row r="93" spans="16:17" ht="16.5" customHeight="1">
      <c r="P93" s="16"/>
      <c r="Q93" s="16"/>
    </row>
    <row r="94" spans="16:17" ht="16.5" customHeight="1">
      <c r="P94" s="16"/>
      <c r="Q94" s="16"/>
    </row>
    <row r="95" spans="16:17" ht="16.5" customHeight="1">
      <c r="P95" s="16"/>
      <c r="Q95" s="16"/>
    </row>
    <row r="96" spans="16:17" ht="16.5" customHeight="1">
      <c r="P96" s="16"/>
      <c r="Q96" s="16"/>
    </row>
    <row r="97" spans="16:17" ht="16.5" customHeight="1">
      <c r="P97" s="16"/>
      <c r="Q97" s="16"/>
    </row>
    <row r="98" spans="16:17" ht="16.5" customHeight="1">
      <c r="P98" s="16"/>
      <c r="Q98" s="16"/>
    </row>
    <row r="99" spans="16:17" ht="16.5" customHeight="1">
      <c r="P99" s="16"/>
      <c r="Q99" s="16"/>
    </row>
    <row r="100" spans="16:17" ht="16.5" customHeight="1">
      <c r="P100" s="16"/>
      <c r="Q100" s="16"/>
    </row>
    <row r="101" spans="16:17" ht="16.5" customHeight="1">
      <c r="P101" s="16"/>
      <c r="Q101" s="16"/>
    </row>
    <row r="102" spans="16:17" ht="16.5" customHeight="1">
      <c r="P102" s="16"/>
      <c r="Q102" s="16"/>
    </row>
    <row r="103" spans="16:17" ht="16.5" customHeight="1">
      <c r="P103" s="16"/>
      <c r="Q103" s="16"/>
    </row>
    <row r="104" spans="16:17" ht="16.5" customHeight="1">
      <c r="P104" s="16"/>
      <c r="Q104" s="16"/>
    </row>
    <row r="105" spans="16:17" ht="16.5" customHeight="1">
      <c r="P105" s="16"/>
      <c r="Q105" s="16"/>
    </row>
    <row r="106" spans="16:17" ht="16.5" customHeight="1">
      <c r="P106" s="16"/>
      <c r="Q106" s="16"/>
    </row>
    <row r="107" spans="16:17" ht="16.5" customHeight="1">
      <c r="P107" s="16"/>
      <c r="Q107" s="16"/>
    </row>
    <row r="108" spans="16:17" ht="16.5" customHeight="1">
      <c r="P108" s="16"/>
      <c r="Q108" s="16"/>
    </row>
    <row r="109" spans="16:17" ht="16.5" customHeight="1">
      <c r="P109" s="16"/>
      <c r="Q109" s="16"/>
    </row>
    <row r="110" spans="16:17" ht="16.5" customHeight="1">
      <c r="P110" s="16"/>
      <c r="Q110" s="16"/>
    </row>
    <row r="111" spans="16:17" ht="16.5" customHeight="1">
      <c r="P111" s="16"/>
      <c r="Q111" s="16"/>
    </row>
    <row r="112" spans="16:17" ht="16.5" customHeight="1">
      <c r="P112" s="16"/>
      <c r="Q112" s="16"/>
    </row>
    <row r="113" spans="16:17" ht="16.5" customHeight="1">
      <c r="P113" s="16"/>
      <c r="Q113" s="16"/>
    </row>
    <row r="114" spans="16:17" ht="16.5" customHeight="1">
      <c r="P114" s="16"/>
      <c r="Q114" s="16"/>
    </row>
    <row r="115" spans="16:17" ht="16.5" customHeight="1">
      <c r="P115" s="16"/>
      <c r="Q115" s="16"/>
    </row>
    <row r="116" spans="16:17" ht="16.5" customHeight="1">
      <c r="P116" s="16"/>
      <c r="Q116" s="16"/>
    </row>
    <row r="117" spans="16:17" ht="16.5" customHeight="1">
      <c r="P117" s="16"/>
      <c r="Q117" s="16"/>
    </row>
    <row r="118" spans="16:17" ht="16.5" customHeight="1">
      <c r="P118" s="16"/>
      <c r="Q118" s="16"/>
    </row>
    <row r="119" spans="16:17" ht="16.5" customHeight="1">
      <c r="P119" s="16"/>
      <c r="Q119" s="16"/>
    </row>
    <row r="120" spans="16:17" ht="16.5" customHeight="1">
      <c r="P120" s="16"/>
      <c r="Q120" s="16"/>
    </row>
    <row r="121" spans="16:17" ht="16.5" customHeight="1">
      <c r="P121" s="16"/>
      <c r="Q121" s="16"/>
    </row>
    <row r="122" spans="16:17" ht="16.5" customHeight="1">
      <c r="P122" s="16"/>
      <c r="Q122" s="16"/>
    </row>
    <row r="123" spans="16:17" ht="16.5" customHeight="1">
      <c r="P123" s="16"/>
      <c r="Q123" s="16"/>
    </row>
    <row r="124" spans="16:17" ht="16.5" customHeight="1">
      <c r="P124" s="16"/>
      <c r="Q124" s="16"/>
    </row>
    <row r="125" spans="16:17" ht="16.5" customHeight="1">
      <c r="P125" s="16"/>
      <c r="Q125" s="16"/>
    </row>
    <row r="126" spans="16:17" ht="16.5" customHeight="1">
      <c r="P126" s="16"/>
      <c r="Q126" s="16"/>
    </row>
    <row r="127" spans="16:17" ht="16.5" customHeight="1">
      <c r="P127" s="16"/>
      <c r="Q127" s="16"/>
    </row>
    <row r="128" spans="16:17" ht="16.5" customHeight="1">
      <c r="P128" s="16"/>
      <c r="Q128" s="16"/>
    </row>
    <row r="129" spans="16:17" ht="16.5" customHeight="1">
      <c r="P129" s="16"/>
      <c r="Q129" s="16"/>
    </row>
    <row r="130" spans="16:17" ht="16.5" customHeight="1">
      <c r="P130" s="16"/>
      <c r="Q130" s="16"/>
    </row>
    <row r="131" spans="16:17" ht="16.5" customHeight="1">
      <c r="P131" s="16"/>
      <c r="Q131" s="16"/>
    </row>
    <row r="132" spans="16:17" ht="16.5" customHeight="1">
      <c r="P132" s="16"/>
      <c r="Q132" s="16"/>
    </row>
    <row r="133" spans="16:17" ht="16.5" customHeight="1">
      <c r="P133" s="16"/>
      <c r="Q133" s="16"/>
    </row>
    <row r="134" spans="16:17" ht="16.5" customHeight="1">
      <c r="P134" s="16"/>
      <c r="Q134" s="16"/>
    </row>
    <row r="135" spans="16:17" ht="16.5" customHeight="1">
      <c r="P135" s="16"/>
      <c r="Q135" s="16"/>
    </row>
    <row r="136" spans="16:17" ht="16.5" customHeight="1">
      <c r="P136" s="16"/>
      <c r="Q136" s="16"/>
    </row>
    <row r="137" spans="16:17" ht="16.5" customHeight="1">
      <c r="P137" s="16"/>
      <c r="Q137" s="16"/>
    </row>
    <row r="138" spans="16:17" ht="16.5" customHeight="1">
      <c r="P138" s="16"/>
      <c r="Q138" s="16"/>
    </row>
    <row r="139" spans="16:17" ht="16.5" customHeight="1">
      <c r="P139" s="16"/>
      <c r="Q139" s="16"/>
    </row>
    <row r="140" spans="16:17" ht="16.5" customHeight="1">
      <c r="P140" s="16"/>
      <c r="Q140" s="16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66F3-363A-4A45-96EE-3E48F085FB24}">
  <dimension ref="A1:T156"/>
  <sheetViews>
    <sheetView topLeftCell="A33" zoomScale="70" zoomScaleNormal="70" workbookViewId="0">
      <selection activeCell="D48" sqref="D48"/>
    </sheetView>
  </sheetViews>
  <sheetFormatPr defaultRowHeight="16.5" customHeight="1"/>
  <cols>
    <col min="2" max="2" width="38.5" customWidth="1"/>
    <col min="3" max="3" width="46.125" bestFit="1" customWidth="1"/>
    <col min="4" max="4" width="16.5" customWidth="1"/>
    <col min="5" max="5" width="15.25" customWidth="1"/>
    <col min="6" max="6" width="16.25" customWidth="1"/>
    <col min="7" max="7" width="15.25" customWidth="1"/>
    <col min="8" max="8" width="22.875" customWidth="1"/>
    <col min="9" max="9" width="21.625" customWidth="1"/>
    <col min="10" max="10" width="22" bestFit="1" customWidth="1"/>
    <col min="11" max="11" width="22" customWidth="1"/>
    <col min="12" max="12" width="25.875" bestFit="1" customWidth="1"/>
    <col min="13" max="13" width="15.75" bestFit="1" customWidth="1"/>
    <col min="14" max="14" width="19" bestFit="1" customWidth="1"/>
    <col min="15" max="15" width="29.125" bestFit="1" customWidth="1"/>
    <col min="16" max="16" width="9.5" bestFit="1" customWidth="1"/>
    <col min="17" max="17" width="19.375" customWidth="1"/>
    <col min="18" max="18" width="18.25" customWidth="1"/>
    <col min="19" max="19" width="29.25" customWidth="1"/>
    <col min="20" max="20" width="18.125" bestFit="1" customWidth="1"/>
    <col min="25" max="25" width="11.5" bestFit="1" customWidth="1"/>
  </cols>
  <sheetData>
    <row r="1" spans="2:20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686</v>
      </c>
      <c r="I1" s="2" t="s">
        <v>711</v>
      </c>
      <c r="J1" s="2" t="s">
        <v>712</v>
      </c>
      <c r="K1" s="47" t="s">
        <v>586</v>
      </c>
      <c r="L1" s="48" t="s">
        <v>587</v>
      </c>
      <c r="M1" s="2" t="s">
        <v>588</v>
      </c>
      <c r="N1" s="3" t="s">
        <v>589</v>
      </c>
      <c r="O1" s="54" t="s">
        <v>687</v>
      </c>
      <c r="P1" s="2" t="s">
        <v>591</v>
      </c>
      <c r="Q1" s="2" t="s">
        <v>592</v>
      </c>
      <c r="R1" s="2" t="s">
        <v>593</v>
      </c>
      <c r="S1" s="2" t="s">
        <v>594</v>
      </c>
      <c r="T1" s="54" t="s">
        <v>595</v>
      </c>
    </row>
    <row r="2" spans="2:20">
      <c r="B2" s="4" t="s">
        <v>596</v>
      </c>
      <c r="C2" s="5" t="s">
        <v>597</v>
      </c>
      <c r="D2" s="6" t="s">
        <v>598</v>
      </c>
      <c r="E2" s="5" t="s">
        <v>597</v>
      </c>
      <c r="F2" s="7" t="s">
        <v>386</v>
      </c>
      <c r="G2" s="7" t="s">
        <v>599</v>
      </c>
      <c r="H2" s="10" t="s">
        <v>689</v>
      </c>
      <c r="I2" s="32" t="s">
        <v>713</v>
      </c>
      <c r="J2" s="40" t="s">
        <v>601</v>
      </c>
      <c r="K2" s="43" t="s">
        <v>602</v>
      </c>
      <c r="L2" s="43" t="s">
        <v>603</v>
      </c>
      <c r="M2" s="11" t="s">
        <v>604</v>
      </c>
      <c r="N2" s="12" t="s">
        <v>605</v>
      </c>
      <c r="O2" s="51" t="s">
        <v>690</v>
      </c>
      <c r="P2" s="13" t="s">
        <v>607</v>
      </c>
      <c r="Q2" s="33" t="s">
        <v>608</v>
      </c>
      <c r="R2" s="33" t="s">
        <v>609</v>
      </c>
      <c r="S2" s="7" t="s">
        <v>610</v>
      </c>
      <c r="T2" s="55" t="s">
        <v>611</v>
      </c>
    </row>
    <row r="3" spans="2:20" hidden="1">
      <c r="B3" s="9" t="str">
        <f t="shared" ref="B3:B24" si="0">D3&amp;"_"&amp;F3&amp;"_"&amp;H3&amp;"_"&amp;J3</f>
        <v>E_VCB0101_VM_LS_ELC_630_3</v>
      </c>
      <c r="C3" s="16" t="s">
        <v>111</v>
      </c>
      <c r="D3" s="16" t="s">
        <v>110</v>
      </c>
      <c r="E3" s="16" t="s">
        <v>692</v>
      </c>
      <c r="F3" s="16" t="s">
        <v>693</v>
      </c>
      <c r="G3" s="16" t="s">
        <v>714</v>
      </c>
      <c r="H3" s="16">
        <v>630</v>
      </c>
      <c r="J3" s="16">
        <v>3</v>
      </c>
      <c r="K3" s="16" t="s">
        <v>621</v>
      </c>
      <c r="L3" s="16"/>
      <c r="M3" s="16">
        <v>3202000</v>
      </c>
      <c r="N3" s="16"/>
      <c r="O3" s="16" t="s">
        <v>715</v>
      </c>
      <c r="P3" s="16" t="b">
        <v>0</v>
      </c>
      <c r="Q3" s="16"/>
      <c r="R3" s="16"/>
      <c r="T3" s="16"/>
    </row>
    <row r="4" spans="2:20" hidden="1">
      <c r="B4" s="9" t="str">
        <f t="shared" si="0"/>
        <v>E_VCB0101_VM_LS_ELC_800_3</v>
      </c>
      <c r="C4" s="16" t="s">
        <v>111</v>
      </c>
      <c r="D4" s="16" t="s">
        <v>110</v>
      </c>
      <c r="E4" s="16" t="s">
        <v>692</v>
      </c>
      <c r="F4" s="16" t="s">
        <v>693</v>
      </c>
      <c r="G4" s="16" t="s">
        <v>716</v>
      </c>
      <c r="H4" s="16">
        <v>800</v>
      </c>
      <c r="J4" s="16">
        <v>3</v>
      </c>
      <c r="K4" s="16" t="s">
        <v>621</v>
      </c>
      <c r="L4" s="16"/>
      <c r="M4" s="16">
        <v>3401000</v>
      </c>
      <c r="N4" s="16"/>
      <c r="O4" s="16" t="s">
        <v>715</v>
      </c>
      <c r="P4" s="16" t="b">
        <v>0</v>
      </c>
      <c r="Q4" s="16"/>
      <c r="R4" s="16"/>
      <c r="T4" s="16"/>
    </row>
    <row r="5" spans="2:20" hidden="1">
      <c r="B5" s="9" t="str">
        <f t="shared" si="0"/>
        <v>E_VCB0101_VM_LS_ELC_1000_3</v>
      </c>
      <c r="C5" s="16" t="s">
        <v>111</v>
      </c>
      <c r="D5" s="16" t="s">
        <v>110</v>
      </c>
      <c r="E5" s="16" t="s">
        <v>692</v>
      </c>
      <c r="F5" s="16" t="s">
        <v>693</v>
      </c>
      <c r="G5" s="16" t="s">
        <v>717</v>
      </c>
      <c r="H5" s="16">
        <v>1000</v>
      </c>
      <c r="J5" s="16">
        <v>3</v>
      </c>
      <c r="K5" s="16" t="s">
        <v>621</v>
      </c>
      <c r="L5" s="16"/>
      <c r="M5" s="16">
        <v>3452000</v>
      </c>
      <c r="N5" s="16"/>
      <c r="O5" s="16" t="s">
        <v>715</v>
      </c>
      <c r="P5" s="16" t="b">
        <v>0</v>
      </c>
      <c r="Q5" s="16"/>
      <c r="R5" s="16"/>
      <c r="T5" s="16"/>
    </row>
    <row r="6" spans="2:20" hidden="1">
      <c r="B6" s="9" t="str">
        <f t="shared" si="0"/>
        <v>E_VCB0101_VM_LS_ELC_1250_3</v>
      </c>
      <c r="C6" s="16" t="s">
        <v>111</v>
      </c>
      <c r="D6" s="16" t="s">
        <v>110</v>
      </c>
      <c r="E6" s="16" t="s">
        <v>692</v>
      </c>
      <c r="F6" s="16" t="s">
        <v>693</v>
      </c>
      <c r="G6" s="16" t="s">
        <v>718</v>
      </c>
      <c r="H6" s="16">
        <v>1250</v>
      </c>
      <c r="J6" s="16">
        <v>3</v>
      </c>
      <c r="K6" s="16" t="s">
        <v>621</v>
      </c>
      <c r="L6" s="16"/>
      <c r="M6" s="16">
        <v>3705000</v>
      </c>
      <c r="N6" s="16"/>
      <c r="O6" s="16" t="s">
        <v>715</v>
      </c>
      <c r="P6" s="16" t="b">
        <v>0</v>
      </c>
      <c r="Q6" s="16"/>
      <c r="R6" s="16"/>
      <c r="T6" s="16"/>
    </row>
    <row r="7" spans="2:20" hidden="1">
      <c r="B7" s="9" t="str">
        <f t="shared" si="0"/>
        <v>E_VCB0101_VM_LS_ELC_1600_3</v>
      </c>
      <c r="C7" s="16" t="s">
        <v>111</v>
      </c>
      <c r="D7" s="16" t="s">
        <v>110</v>
      </c>
      <c r="E7" s="16" t="s">
        <v>692</v>
      </c>
      <c r="F7" s="16" t="s">
        <v>693</v>
      </c>
      <c r="G7" s="16" t="s">
        <v>719</v>
      </c>
      <c r="H7" s="16">
        <v>1600</v>
      </c>
      <c r="J7" s="16">
        <v>3</v>
      </c>
      <c r="K7" s="16" t="s">
        <v>621</v>
      </c>
      <c r="L7" s="16"/>
      <c r="M7" s="16">
        <v>4228000</v>
      </c>
      <c r="N7" s="16"/>
      <c r="O7" s="16" t="s">
        <v>715</v>
      </c>
      <c r="P7" s="16" t="b">
        <v>0</v>
      </c>
      <c r="Q7" s="16"/>
      <c r="R7" s="16"/>
      <c r="T7" s="16"/>
    </row>
    <row r="8" spans="2:20" hidden="1">
      <c r="B8" s="9" t="str">
        <f t="shared" si="0"/>
        <v>E_VCB0101_VM_LS_ELC_2000_3</v>
      </c>
      <c r="C8" s="16" t="s">
        <v>111</v>
      </c>
      <c r="D8" s="16" t="s">
        <v>110</v>
      </c>
      <c r="E8" s="16" t="s">
        <v>692</v>
      </c>
      <c r="F8" s="16" t="s">
        <v>693</v>
      </c>
      <c r="G8" s="16" t="s">
        <v>720</v>
      </c>
      <c r="H8" s="16">
        <v>2000</v>
      </c>
      <c r="J8" s="16">
        <v>3</v>
      </c>
      <c r="K8" s="16" t="s">
        <v>621</v>
      </c>
      <c r="L8" s="16"/>
      <c r="M8" s="16">
        <v>4575000</v>
      </c>
      <c r="N8" s="16"/>
      <c r="O8" s="16" t="s">
        <v>715</v>
      </c>
      <c r="P8" s="16" t="b">
        <v>0</v>
      </c>
      <c r="Q8" s="16"/>
      <c r="R8" s="16"/>
      <c r="T8" s="16"/>
    </row>
    <row r="9" spans="2:20" hidden="1">
      <c r="B9" s="9" t="str">
        <f t="shared" si="0"/>
        <v>E_VCB0101_VM_LS_ELC_2500_3</v>
      </c>
      <c r="C9" s="16" t="s">
        <v>111</v>
      </c>
      <c r="D9" s="16" t="s">
        <v>110</v>
      </c>
      <c r="E9" s="16" t="s">
        <v>692</v>
      </c>
      <c r="F9" s="16" t="s">
        <v>693</v>
      </c>
      <c r="G9" s="16" t="s">
        <v>721</v>
      </c>
      <c r="H9" s="16">
        <v>2500</v>
      </c>
      <c r="J9" s="16">
        <v>3</v>
      </c>
      <c r="K9" s="16" t="s">
        <v>621</v>
      </c>
      <c r="L9" s="16"/>
      <c r="M9" s="16">
        <v>6342000</v>
      </c>
      <c r="N9" s="16"/>
      <c r="O9" s="16" t="s">
        <v>715</v>
      </c>
      <c r="P9" s="16" t="b">
        <v>0</v>
      </c>
      <c r="Q9" s="16"/>
      <c r="R9" s="16"/>
      <c r="T9" s="16"/>
    </row>
    <row r="10" spans="2:20" hidden="1">
      <c r="B10" s="9" t="str">
        <f t="shared" si="0"/>
        <v>E_VCB0101_VM_LS_ELC_3200_3</v>
      </c>
      <c r="C10" s="16" t="s">
        <v>111</v>
      </c>
      <c r="D10" s="16" t="s">
        <v>110</v>
      </c>
      <c r="E10" s="16" t="s">
        <v>692</v>
      </c>
      <c r="F10" s="16" t="s">
        <v>693</v>
      </c>
      <c r="G10" s="16" t="s">
        <v>722</v>
      </c>
      <c r="H10" s="16">
        <v>3200</v>
      </c>
      <c r="J10" s="16">
        <v>3</v>
      </c>
      <c r="K10" s="16" t="s">
        <v>621</v>
      </c>
      <c r="L10" s="16"/>
      <c r="M10" s="16">
        <v>7738000</v>
      </c>
      <c r="N10" s="16"/>
      <c r="O10" s="16" t="s">
        <v>715</v>
      </c>
      <c r="P10" s="16" t="b">
        <v>0</v>
      </c>
      <c r="Q10" s="16"/>
      <c r="R10" s="16"/>
      <c r="T10" s="16"/>
    </row>
    <row r="11" spans="2:20" hidden="1">
      <c r="B11" s="9" t="str">
        <f t="shared" si="0"/>
        <v>E_VCB0101_VM_LS_ELC_4000_3</v>
      </c>
      <c r="C11" s="16" t="s">
        <v>111</v>
      </c>
      <c r="D11" s="16" t="s">
        <v>110</v>
      </c>
      <c r="E11" s="16" t="s">
        <v>692</v>
      </c>
      <c r="F11" s="16" t="s">
        <v>693</v>
      </c>
      <c r="G11" s="16" t="s">
        <v>723</v>
      </c>
      <c r="H11" s="16">
        <v>4000</v>
      </c>
      <c r="J11" s="16">
        <v>3</v>
      </c>
      <c r="K11" s="16" t="s">
        <v>621</v>
      </c>
      <c r="L11" s="16"/>
      <c r="M11" s="16">
        <v>12185000</v>
      </c>
      <c r="N11" s="16"/>
      <c r="O11" s="16" t="s">
        <v>715</v>
      </c>
      <c r="P11" s="16" t="b">
        <v>0</v>
      </c>
      <c r="Q11" s="16"/>
      <c r="R11" s="16"/>
      <c r="T11" s="16"/>
    </row>
    <row r="12" spans="2:20" hidden="1">
      <c r="B12" s="9" t="str">
        <f t="shared" si="0"/>
        <v>E_VCB0101_VM_LS_ELC_5000_3</v>
      </c>
      <c r="C12" s="16" t="s">
        <v>111</v>
      </c>
      <c r="D12" s="16" t="s">
        <v>110</v>
      </c>
      <c r="E12" s="16" t="s">
        <v>692</v>
      </c>
      <c r="F12" s="16" t="s">
        <v>693</v>
      </c>
      <c r="G12" s="16" t="s">
        <v>724</v>
      </c>
      <c r="H12" s="16">
        <v>5000</v>
      </c>
      <c r="J12" s="16">
        <v>3</v>
      </c>
      <c r="K12" s="16" t="s">
        <v>621</v>
      </c>
      <c r="L12" s="16"/>
      <c r="M12" s="16">
        <v>13147000</v>
      </c>
      <c r="N12" s="16"/>
      <c r="O12" s="16" t="s">
        <v>715</v>
      </c>
      <c r="P12" s="16" t="b">
        <v>0</v>
      </c>
      <c r="Q12" s="16"/>
      <c r="R12" s="16"/>
      <c r="T12" s="16"/>
    </row>
    <row r="13" spans="2:20" hidden="1">
      <c r="B13" s="9" t="str">
        <f t="shared" si="0"/>
        <v>E_VCB0101_VM_LS_ELC_6300_3</v>
      </c>
      <c r="C13" s="16" t="s">
        <v>111</v>
      </c>
      <c r="D13" s="16" t="s">
        <v>110</v>
      </c>
      <c r="E13" s="16" t="s">
        <v>692</v>
      </c>
      <c r="F13" s="16" t="s">
        <v>693</v>
      </c>
      <c r="G13" s="16" t="s">
        <v>725</v>
      </c>
      <c r="H13" s="16">
        <v>6300</v>
      </c>
      <c r="J13" s="16">
        <v>3</v>
      </c>
      <c r="K13" s="16" t="s">
        <v>621</v>
      </c>
      <c r="L13" s="16"/>
      <c r="M13" s="16">
        <v>20883000</v>
      </c>
      <c r="N13" s="16"/>
      <c r="O13" s="16" t="s">
        <v>715</v>
      </c>
      <c r="P13" s="16" t="b">
        <v>0</v>
      </c>
      <c r="Q13" s="16"/>
      <c r="R13" s="16"/>
      <c r="T13" s="16"/>
    </row>
    <row r="14" spans="2:20" hidden="1">
      <c r="B14" s="9" t="str">
        <f t="shared" si="0"/>
        <v>E_VCB0101_VM_LS_ELC_630_4</v>
      </c>
      <c r="C14" s="16" t="s">
        <v>111</v>
      </c>
      <c r="D14" s="16" t="s">
        <v>110</v>
      </c>
      <c r="E14" s="16" t="s">
        <v>692</v>
      </c>
      <c r="F14" s="16" t="s">
        <v>693</v>
      </c>
      <c r="G14" s="16" t="s">
        <v>714</v>
      </c>
      <c r="H14" s="16">
        <v>630</v>
      </c>
      <c r="J14" s="16">
        <v>4</v>
      </c>
      <c r="K14" s="16" t="s">
        <v>621</v>
      </c>
      <c r="L14" s="16"/>
      <c r="M14" s="16">
        <v>3785000</v>
      </c>
      <c r="N14" s="16"/>
      <c r="O14" s="16" t="s">
        <v>715</v>
      </c>
      <c r="P14" s="16" t="b">
        <v>1</v>
      </c>
      <c r="Q14" s="16" t="s">
        <v>726</v>
      </c>
      <c r="R14" s="16" t="str">
        <f t="shared" ref="R14:R24" si="1">J14&amp;"P "&amp;H14&amp;"AF D/O"</f>
        <v>4P 630AF D/O</v>
      </c>
      <c r="T14" s="16"/>
    </row>
    <row r="15" spans="2:20" hidden="1">
      <c r="B15" s="9" t="str">
        <f t="shared" si="0"/>
        <v>E_VCB0101_VM_LS_ELC_800_4</v>
      </c>
      <c r="C15" s="16" t="s">
        <v>111</v>
      </c>
      <c r="D15" s="16" t="s">
        <v>110</v>
      </c>
      <c r="E15" s="16" t="s">
        <v>692</v>
      </c>
      <c r="F15" s="16" t="s">
        <v>693</v>
      </c>
      <c r="G15" s="16" t="s">
        <v>716</v>
      </c>
      <c r="H15" s="16">
        <v>800</v>
      </c>
      <c r="J15" s="16">
        <v>4</v>
      </c>
      <c r="K15" s="16" t="s">
        <v>621</v>
      </c>
      <c r="L15" s="16"/>
      <c r="M15" s="16">
        <v>4089000</v>
      </c>
      <c r="N15" s="16"/>
      <c r="O15" s="16" t="s">
        <v>715</v>
      </c>
      <c r="P15" s="16" t="b">
        <v>1</v>
      </c>
      <c r="Q15" s="16" t="s">
        <v>726</v>
      </c>
      <c r="R15" s="16" t="str">
        <f t="shared" si="1"/>
        <v>4P 800AF D/O</v>
      </c>
      <c r="T15" s="16"/>
    </row>
    <row r="16" spans="2:20" hidden="1">
      <c r="B16" s="9" t="str">
        <f t="shared" si="0"/>
        <v>E_VCB0101_VM_LS_ELC_1000_4</v>
      </c>
      <c r="C16" s="16" t="s">
        <v>111</v>
      </c>
      <c r="D16" s="16" t="s">
        <v>110</v>
      </c>
      <c r="E16" s="16" t="s">
        <v>692</v>
      </c>
      <c r="F16" s="16" t="s">
        <v>693</v>
      </c>
      <c r="G16" s="16" t="s">
        <v>717</v>
      </c>
      <c r="H16" s="16">
        <v>1000</v>
      </c>
      <c r="J16" s="16">
        <v>4</v>
      </c>
      <c r="K16" s="16" t="s">
        <v>621</v>
      </c>
      <c r="L16" s="16"/>
      <c r="M16" s="16">
        <v>4143000</v>
      </c>
      <c r="N16" s="16"/>
      <c r="O16" s="16" t="s">
        <v>715</v>
      </c>
      <c r="P16" s="16" t="b">
        <v>1</v>
      </c>
      <c r="Q16" s="16" t="s">
        <v>726</v>
      </c>
      <c r="R16" s="16" t="str">
        <f t="shared" si="1"/>
        <v>4P 1000AF D/O</v>
      </c>
      <c r="T16" s="16"/>
    </row>
    <row r="17" spans="2:20" hidden="1">
      <c r="B17" s="9" t="str">
        <f t="shared" si="0"/>
        <v>E_VCB0101_VM_LS_ELC_1250_4</v>
      </c>
      <c r="C17" s="16" t="s">
        <v>111</v>
      </c>
      <c r="D17" s="16" t="s">
        <v>110</v>
      </c>
      <c r="E17" s="16" t="s">
        <v>692</v>
      </c>
      <c r="F17" s="16" t="s">
        <v>693</v>
      </c>
      <c r="G17" s="16" t="s">
        <v>718</v>
      </c>
      <c r="H17" s="16">
        <v>1250</v>
      </c>
      <c r="J17" s="16">
        <v>4</v>
      </c>
      <c r="K17" s="16" t="s">
        <v>621</v>
      </c>
      <c r="L17" s="16"/>
      <c r="M17" s="16">
        <v>4528000</v>
      </c>
      <c r="N17" s="16"/>
      <c r="O17" s="16" t="s">
        <v>715</v>
      </c>
      <c r="P17" s="16" t="b">
        <v>1</v>
      </c>
      <c r="Q17" s="16" t="s">
        <v>726</v>
      </c>
      <c r="R17" s="16" t="str">
        <f t="shared" si="1"/>
        <v>4P 1250AF D/O</v>
      </c>
      <c r="T17" s="16"/>
    </row>
    <row r="18" spans="2:20" hidden="1">
      <c r="B18" s="9" t="str">
        <f t="shared" si="0"/>
        <v>E_VCB0101_VM_LS_ELC_1600_4</v>
      </c>
      <c r="C18" s="16" t="s">
        <v>111</v>
      </c>
      <c r="D18" s="16" t="s">
        <v>110</v>
      </c>
      <c r="E18" s="16" t="s">
        <v>692</v>
      </c>
      <c r="F18" s="16" t="s">
        <v>693</v>
      </c>
      <c r="G18" s="16" t="s">
        <v>719</v>
      </c>
      <c r="H18" s="16">
        <v>1600</v>
      </c>
      <c r="J18" s="16">
        <v>4</v>
      </c>
      <c r="K18" s="16" t="s">
        <v>621</v>
      </c>
      <c r="L18" s="16"/>
      <c r="M18" s="16">
        <v>5040000</v>
      </c>
      <c r="N18" s="16"/>
      <c r="O18" s="16" t="s">
        <v>715</v>
      </c>
      <c r="P18" s="16" t="b">
        <v>1</v>
      </c>
      <c r="Q18" s="16" t="s">
        <v>726</v>
      </c>
      <c r="R18" s="16" t="str">
        <f t="shared" si="1"/>
        <v>4P 1600AF D/O</v>
      </c>
      <c r="T18" s="16"/>
    </row>
    <row r="19" spans="2:20" hidden="1">
      <c r="B19" s="9" t="str">
        <f t="shared" si="0"/>
        <v>E_VCB0101_VM_LS_ELC_2000_4</v>
      </c>
      <c r="C19" s="16" t="s">
        <v>111</v>
      </c>
      <c r="D19" s="16" t="s">
        <v>110</v>
      </c>
      <c r="E19" s="16" t="s">
        <v>692</v>
      </c>
      <c r="F19" s="16" t="s">
        <v>693</v>
      </c>
      <c r="G19" s="16" t="s">
        <v>720</v>
      </c>
      <c r="H19" s="16">
        <v>2000</v>
      </c>
      <c r="J19" s="16">
        <v>4</v>
      </c>
      <c r="K19" s="16" t="s">
        <v>621</v>
      </c>
      <c r="L19" s="16"/>
      <c r="M19" s="16">
        <v>5446000</v>
      </c>
      <c r="N19" s="16"/>
      <c r="O19" s="16" t="s">
        <v>715</v>
      </c>
      <c r="P19" s="16" t="b">
        <v>1</v>
      </c>
      <c r="Q19" s="16" t="s">
        <v>726</v>
      </c>
      <c r="R19" s="16" t="str">
        <f t="shared" si="1"/>
        <v>4P 2000AF D/O</v>
      </c>
      <c r="T19" s="16"/>
    </row>
    <row r="20" spans="2:20" hidden="1">
      <c r="B20" s="9" t="str">
        <f t="shared" si="0"/>
        <v>E_VCB0101_VM_LS_ELC_2500_4</v>
      </c>
      <c r="C20" s="16" t="s">
        <v>111</v>
      </c>
      <c r="D20" s="16" t="s">
        <v>110</v>
      </c>
      <c r="E20" s="16" t="s">
        <v>692</v>
      </c>
      <c r="F20" s="16" t="s">
        <v>693</v>
      </c>
      <c r="G20" s="16" t="s">
        <v>721</v>
      </c>
      <c r="H20" s="16">
        <v>2500</v>
      </c>
      <c r="J20" s="16">
        <v>4</v>
      </c>
      <c r="K20" s="16" t="s">
        <v>621</v>
      </c>
      <c r="L20" s="16"/>
      <c r="M20" s="16">
        <v>7538000</v>
      </c>
      <c r="N20" s="16"/>
      <c r="O20" s="16" t="s">
        <v>715</v>
      </c>
      <c r="P20" s="16" t="b">
        <v>1</v>
      </c>
      <c r="Q20" s="16" t="s">
        <v>726</v>
      </c>
      <c r="R20" s="16" t="str">
        <f t="shared" si="1"/>
        <v>4P 2500AF D/O</v>
      </c>
      <c r="T20" s="16"/>
    </row>
    <row r="21" spans="2:20" hidden="1">
      <c r="B21" s="9" t="str">
        <f t="shared" si="0"/>
        <v>E_VCB0101_VM_LS_ELC_3200_4</v>
      </c>
      <c r="C21" s="16" t="s">
        <v>111</v>
      </c>
      <c r="D21" s="16" t="s">
        <v>110</v>
      </c>
      <c r="E21" s="16" t="s">
        <v>692</v>
      </c>
      <c r="F21" s="16" t="s">
        <v>693</v>
      </c>
      <c r="G21" s="16" t="s">
        <v>722</v>
      </c>
      <c r="H21" s="16">
        <v>3200</v>
      </c>
      <c r="J21" s="16">
        <v>4</v>
      </c>
      <c r="K21" s="16" t="s">
        <v>621</v>
      </c>
      <c r="L21" s="16"/>
      <c r="M21" s="16">
        <v>9436000</v>
      </c>
      <c r="N21" s="16"/>
      <c r="O21" s="16" t="s">
        <v>715</v>
      </c>
      <c r="P21" s="16" t="b">
        <v>1</v>
      </c>
      <c r="Q21" s="16" t="s">
        <v>726</v>
      </c>
      <c r="R21" s="16" t="str">
        <f t="shared" si="1"/>
        <v>4P 3200AF D/O</v>
      </c>
      <c r="T21" s="16"/>
    </row>
    <row r="22" spans="2:20" hidden="1">
      <c r="B22" s="9" t="str">
        <f t="shared" si="0"/>
        <v>E_VCB0101_VM_LS_ELC_4000_4</v>
      </c>
      <c r="C22" s="16" t="s">
        <v>111</v>
      </c>
      <c r="D22" s="16" t="s">
        <v>110</v>
      </c>
      <c r="E22" s="16" t="s">
        <v>692</v>
      </c>
      <c r="F22" s="16" t="s">
        <v>693</v>
      </c>
      <c r="G22" s="16" t="s">
        <v>723</v>
      </c>
      <c r="H22" s="16">
        <v>4000</v>
      </c>
      <c r="J22" s="16">
        <v>4</v>
      </c>
      <c r="K22" s="16" t="s">
        <v>621</v>
      </c>
      <c r="L22" s="16"/>
      <c r="M22" s="16">
        <v>14521000</v>
      </c>
      <c r="N22" s="16"/>
      <c r="O22" s="16" t="s">
        <v>715</v>
      </c>
      <c r="P22" s="16" t="b">
        <v>1</v>
      </c>
      <c r="Q22" s="16" t="s">
        <v>726</v>
      </c>
      <c r="R22" s="16" t="str">
        <f t="shared" si="1"/>
        <v>4P 4000AF D/O</v>
      </c>
      <c r="T22" s="16"/>
    </row>
    <row r="23" spans="2:20" hidden="1">
      <c r="B23" s="9" t="str">
        <f t="shared" si="0"/>
        <v>E_VCB0101_VM_LS_ELC_5000_4</v>
      </c>
      <c r="C23" s="16" t="s">
        <v>111</v>
      </c>
      <c r="D23" s="16" t="s">
        <v>110</v>
      </c>
      <c r="E23" s="16" t="s">
        <v>692</v>
      </c>
      <c r="F23" s="16" t="s">
        <v>693</v>
      </c>
      <c r="G23" s="16" t="s">
        <v>724</v>
      </c>
      <c r="H23" s="16">
        <v>5000</v>
      </c>
      <c r="J23" s="16">
        <v>4</v>
      </c>
      <c r="K23" s="16" t="s">
        <v>621</v>
      </c>
      <c r="L23" s="16"/>
      <c r="M23" s="16">
        <v>15678000</v>
      </c>
      <c r="N23" s="16"/>
      <c r="O23" s="16" t="s">
        <v>715</v>
      </c>
      <c r="P23" s="16" t="b">
        <v>1</v>
      </c>
      <c r="Q23" s="16" t="s">
        <v>726</v>
      </c>
      <c r="R23" s="16" t="str">
        <f t="shared" si="1"/>
        <v>4P 5000AF D/O</v>
      </c>
      <c r="T23" s="16"/>
    </row>
    <row r="24" spans="2:20" hidden="1">
      <c r="B24" s="9" t="str">
        <f t="shared" si="0"/>
        <v>E_VCB0101_VM_LS_ELC_6300_4</v>
      </c>
      <c r="C24" s="16" t="s">
        <v>111</v>
      </c>
      <c r="D24" s="16" t="s">
        <v>110</v>
      </c>
      <c r="E24" s="16" t="s">
        <v>692</v>
      </c>
      <c r="F24" s="16" t="s">
        <v>693</v>
      </c>
      <c r="G24" s="16" t="s">
        <v>725</v>
      </c>
      <c r="H24" s="16">
        <v>6300</v>
      </c>
      <c r="J24" s="16">
        <v>4</v>
      </c>
      <c r="K24" s="16" t="s">
        <v>621</v>
      </c>
      <c r="L24" s="16"/>
      <c r="M24" s="16">
        <v>26741000</v>
      </c>
      <c r="N24" s="16"/>
      <c r="O24" s="16" t="s">
        <v>715</v>
      </c>
      <c r="P24" s="16" t="b">
        <v>1</v>
      </c>
      <c r="Q24" s="16" t="s">
        <v>726</v>
      </c>
      <c r="R24" s="16" t="str">
        <f t="shared" si="1"/>
        <v>4P 6300AF D/O</v>
      </c>
      <c r="T24" s="16"/>
    </row>
    <row r="25" spans="2:20">
      <c r="B25" s="9" t="str">
        <f t="shared" ref="B25" si="2">D25&amp;"_"&amp;F25&amp;"_"&amp;H25&amp;"_"&amp;I25&amp;"_"&amp;J25</f>
        <v>E_VCB0201_VM_LS_ELC_3_30_3</v>
      </c>
      <c r="C25" s="16" t="s">
        <v>117</v>
      </c>
      <c r="D25" s="16" t="s">
        <v>116</v>
      </c>
      <c r="E25" s="16" t="s">
        <v>692</v>
      </c>
      <c r="F25" s="16" t="s">
        <v>693</v>
      </c>
      <c r="G25" s="16" t="s">
        <v>727</v>
      </c>
      <c r="H25" s="16">
        <v>3</v>
      </c>
      <c r="I25" s="16">
        <v>30</v>
      </c>
      <c r="J25" s="16">
        <v>3</v>
      </c>
      <c r="K25" s="16" t="s">
        <v>621</v>
      </c>
      <c r="L25" s="16">
        <v>200</v>
      </c>
      <c r="M25" s="16">
        <v>49300</v>
      </c>
      <c r="N25" s="16"/>
      <c r="O25" s="16" t="s">
        <v>728</v>
      </c>
      <c r="P25" s="16" t="b">
        <v>1</v>
      </c>
      <c r="Q25" s="16" t="s">
        <v>729</v>
      </c>
      <c r="R25" s="16" t="str">
        <f t="shared" ref="R25" si="3">"ABS "&amp;I25&amp;"AF/"&amp;H25&amp;"AT "&amp;J25&amp;"P"</f>
        <v>ABS 30AF/3AT 3P</v>
      </c>
      <c r="T25" s="16"/>
    </row>
    <row r="26" spans="2:20">
      <c r="B26" s="9" t="str">
        <f t="shared" ref="B26:B32" si="4">D26&amp;"_"&amp;F26&amp;"_"&amp;H26&amp;"_"&amp;I26&amp;"_"&amp;J26</f>
        <v>E_VCB0201_VM_LS_ELC_5_30_3</v>
      </c>
      <c r="C26" s="16" t="s">
        <v>117</v>
      </c>
      <c r="D26" s="16" t="s">
        <v>116</v>
      </c>
      <c r="E26" s="16" t="s">
        <v>692</v>
      </c>
      <c r="F26" s="16" t="s">
        <v>693</v>
      </c>
      <c r="G26" s="16" t="s">
        <v>727</v>
      </c>
      <c r="H26" s="16">
        <v>5</v>
      </c>
      <c r="I26" s="16">
        <v>30</v>
      </c>
      <c r="J26" s="16">
        <v>3</v>
      </c>
      <c r="K26" s="16" t="s">
        <v>621</v>
      </c>
      <c r="L26" s="16">
        <v>200</v>
      </c>
      <c r="M26" s="16">
        <v>49300</v>
      </c>
      <c r="N26" s="16"/>
      <c r="O26" s="16" t="s">
        <v>728</v>
      </c>
      <c r="P26" s="16" t="b">
        <v>1</v>
      </c>
      <c r="Q26" s="16" t="s">
        <v>729</v>
      </c>
      <c r="R26" s="16" t="str">
        <f t="shared" ref="R26:R40" si="5">"ABS "&amp;I26&amp;"AF/"&amp;H26&amp;"AT "&amp;J26&amp;"P"</f>
        <v>ABS 30AF/5AT 3P</v>
      </c>
      <c r="T26" s="16"/>
    </row>
    <row r="27" spans="2:20">
      <c r="B27" s="9" t="str">
        <f t="shared" si="4"/>
        <v>E_VCB0201_VM_LS_ELC_10_30_3</v>
      </c>
      <c r="C27" s="16" t="s">
        <v>117</v>
      </c>
      <c r="D27" s="16" t="s">
        <v>116</v>
      </c>
      <c r="E27" s="16" t="s">
        <v>692</v>
      </c>
      <c r="F27" s="16" t="s">
        <v>693</v>
      </c>
      <c r="G27" s="16" t="s">
        <v>727</v>
      </c>
      <c r="H27" s="16">
        <v>10</v>
      </c>
      <c r="I27" s="16">
        <v>30</v>
      </c>
      <c r="J27" s="16">
        <v>3</v>
      </c>
      <c r="K27" s="16" t="s">
        <v>621</v>
      </c>
      <c r="L27" s="16">
        <v>200</v>
      </c>
      <c r="M27" s="16">
        <v>49300</v>
      </c>
      <c r="N27" s="16"/>
      <c r="O27" s="16" t="s">
        <v>728</v>
      </c>
      <c r="P27" s="16" t="b">
        <v>1</v>
      </c>
      <c r="Q27" s="16" t="s">
        <v>729</v>
      </c>
      <c r="R27" s="16" t="str">
        <f t="shared" si="5"/>
        <v>ABS 30AF/10AT 3P</v>
      </c>
      <c r="T27" s="16"/>
    </row>
    <row r="28" spans="2:20">
      <c r="B28" s="9" t="str">
        <f t="shared" si="4"/>
        <v>E_VCB0201_VM_LS_ELC_15_30_3</v>
      </c>
      <c r="C28" s="16" t="s">
        <v>117</v>
      </c>
      <c r="D28" s="16" t="s">
        <v>116</v>
      </c>
      <c r="E28" s="16" t="s">
        <v>692</v>
      </c>
      <c r="F28" s="16" t="s">
        <v>693</v>
      </c>
      <c r="G28" s="16" t="s">
        <v>727</v>
      </c>
      <c r="H28" s="16">
        <v>15</v>
      </c>
      <c r="I28" s="16">
        <v>30</v>
      </c>
      <c r="J28" s="16">
        <v>3</v>
      </c>
      <c r="K28" s="16" t="s">
        <v>621</v>
      </c>
      <c r="L28" s="16">
        <v>200</v>
      </c>
      <c r="M28" s="16">
        <v>49300</v>
      </c>
      <c r="N28" s="16"/>
      <c r="O28" s="16" t="s">
        <v>728</v>
      </c>
      <c r="P28" s="16" t="b">
        <v>1</v>
      </c>
      <c r="Q28" s="16" t="s">
        <v>729</v>
      </c>
      <c r="R28" s="16" t="str">
        <f t="shared" si="5"/>
        <v>ABS 30AF/15AT 3P</v>
      </c>
      <c r="T28" s="16"/>
    </row>
    <row r="29" spans="2:20">
      <c r="B29" s="9" t="str">
        <f t="shared" si="4"/>
        <v>E_VCB0201_VM_LS_ELC_16_30_3</v>
      </c>
      <c r="C29" s="16" t="s">
        <v>117</v>
      </c>
      <c r="D29" s="16" t="s">
        <v>116</v>
      </c>
      <c r="E29" s="16" t="s">
        <v>692</v>
      </c>
      <c r="F29" s="16" t="s">
        <v>693</v>
      </c>
      <c r="G29" s="16" t="s">
        <v>727</v>
      </c>
      <c r="H29" s="16">
        <v>16</v>
      </c>
      <c r="I29" s="16">
        <v>30</v>
      </c>
      <c r="J29" s="16">
        <v>3</v>
      </c>
      <c r="K29" s="16" t="s">
        <v>621</v>
      </c>
      <c r="L29" s="16">
        <v>200</v>
      </c>
      <c r="M29" s="16">
        <v>49300</v>
      </c>
      <c r="N29" s="16"/>
      <c r="O29" s="16" t="s">
        <v>728</v>
      </c>
      <c r="P29" s="16" t="b">
        <v>1</v>
      </c>
      <c r="Q29" s="16" t="s">
        <v>729</v>
      </c>
      <c r="R29" s="16" t="str">
        <f t="shared" si="5"/>
        <v>ABS 30AF/16AT 3P</v>
      </c>
      <c r="T29" s="16"/>
    </row>
    <row r="30" spans="2:20">
      <c r="B30" s="9" t="str">
        <f t="shared" si="4"/>
        <v>E_VCB0201_VM_LS_ELC_20_30_3</v>
      </c>
      <c r="C30" s="16" t="s">
        <v>117</v>
      </c>
      <c r="D30" s="16" t="s">
        <v>116</v>
      </c>
      <c r="E30" s="16" t="s">
        <v>692</v>
      </c>
      <c r="F30" s="16" t="s">
        <v>693</v>
      </c>
      <c r="G30" s="16" t="s">
        <v>727</v>
      </c>
      <c r="H30" s="16">
        <v>20</v>
      </c>
      <c r="I30" s="16">
        <v>30</v>
      </c>
      <c r="J30" s="16">
        <v>3</v>
      </c>
      <c r="K30" s="16" t="s">
        <v>621</v>
      </c>
      <c r="L30" s="16">
        <v>200</v>
      </c>
      <c r="M30" s="16">
        <v>49300</v>
      </c>
      <c r="N30" s="16"/>
      <c r="O30" s="16" t="s">
        <v>728</v>
      </c>
      <c r="P30" s="16" t="b">
        <v>1</v>
      </c>
      <c r="Q30" s="16" t="s">
        <v>729</v>
      </c>
      <c r="R30" s="16" t="str">
        <f t="shared" si="5"/>
        <v>ABS 30AF/20AT 3P</v>
      </c>
      <c r="T30" s="16"/>
    </row>
    <row r="31" spans="2:20">
      <c r="B31" s="9" t="str">
        <f t="shared" si="4"/>
        <v>E_VCB0201_VM_LS_ELC_25_30_3</v>
      </c>
      <c r="C31" s="16" t="s">
        <v>117</v>
      </c>
      <c r="D31" s="16" t="s">
        <v>116</v>
      </c>
      <c r="E31" s="16" t="s">
        <v>692</v>
      </c>
      <c r="F31" s="16" t="s">
        <v>693</v>
      </c>
      <c r="G31" s="16" t="s">
        <v>727</v>
      </c>
      <c r="H31" s="16">
        <v>25</v>
      </c>
      <c r="I31" s="16">
        <v>30</v>
      </c>
      <c r="J31" s="16">
        <v>3</v>
      </c>
      <c r="K31" s="16" t="s">
        <v>621</v>
      </c>
      <c r="L31" s="16">
        <v>200</v>
      </c>
      <c r="M31" s="16">
        <v>49300</v>
      </c>
      <c r="N31" s="16"/>
      <c r="O31" s="16" t="s">
        <v>728</v>
      </c>
      <c r="P31" s="16" t="b">
        <v>1</v>
      </c>
      <c r="Q31" s="16" t="s">
        <v>729</v>
      </c>
      <c r="R31" s="16" t="str">
        <f t="shared" si="5"/>
        <v>ABS 30AF/25AT 3P</v>
      </c>
      <c r="T31" s="16"/>
    </row>
    <row r="32" spans="2:20">
      <c r="B32" s="9" t="str">
        <f t="shared" si="4"/>
        <v>E_VCB0201_VM_LS_ELC_30_30_3</v>
      </c>
      <c r="C32" s="16" t="s">
        <v>117</v>
      </c>
      <c r="D32" s="16" t="s">
        <v>116</v>
      </c>
      <c r="E32" s="16" t="s">
        <v>692</v>
      </c>
      <c r="F32" s="16" t="s">
        <v>693</v>
      </c>
      <c r="G32" s="16" t="s">
        <v>727</v>
      </c>
      <c r="H32" s="16">
        <v>30</v>
      </c>
      <c r="I32" s="16">
        <v>30</v>
      </c>
      <c r="J32" s="16">
        <v>3</v>
      </c>
      <c r="K32" s="16" t="s">
        <v>621</v>
      </c>
      <c r="L32" s="16">
        <v>200</v>
      </c>
      <c r="M32" s="16">
        <v>49300</v>
      </c>
      <c r="N32" s="16"/>
      <c r="O32" s="16" t="s">
        <v>728</v>
      </c>
      <c r="P32" s="16" t="b">
        <v>1</v>
      </c>
      <c r="Q32" s="16" t="s">
        <v>729</v>
      </c>
      <c r="R32" s="16" t="str">
        <f t="shared" si="5"/>
        <v>ABS 30AF/30AT 3P</v>
      </c>
      <c r="T32" s="16"/>
    </row>
    <row r="33" spans="2:20">
      <c r="B33" s="9" t="str">
        <f>D33&amp;"_"&amp;F33&amp;"_"&amp;H33&amp;"_"&amp;I33&amp;"_"&amp;J33</f>
        <v>E_VCB0201_VM_LS_ELC_3_30_4</v>
      </c>
      <c r="C33" s="16" t="s">
        <v>117</v>
      </c>
      <c r="D33" s="16" t="s">
        <v>116</v>
      </c>
      <c r="E33" s="16" t="s">
        <v>692</v>
      </c>
      <c r="F33" s="16" t="s">
        <v>693</v>
      </c>
      <c r="G33" s="16" t="s">
        <v>730</v>
      </c>
      <c r="H33" s="16">
        <v>3</v>
      </c>
      <c r="I33" s="16">
        <v>30</v>
      </c>
      <c r="J33" s="16">
        <v>4</v>
      </c>
      <c r="K33" s="16" t="s">
        <v>621</v>
      </c>
      <c r="L33" s="16">
        <v>201</v>
      </c>
      <c r="M33" s="16">
        <v>58600</v>
      </c>
      <c r="N33" s="16"/>
      <c r="O33" s="16" t="s">
        <v>728</v>
      </c>
      <c r="P33" s="16" t="b">
        <v>1</v>
      </c>
      <c r="Q33" s="16" t="s">
        <v>729</v>
      </c>
      <c r="R33" s="16" t="str">
        <f t="shared" si="5"/>
        <v>ABS 30AF/3AT 4P</v>
      </c>
      <c r="T33" s="16"/>
    </row>
    <row r="34" spans="2:20">
      <c r="B34" s="9" t="str">
        <f t="shared" ref="B34:B40" si="6">D34&amp;"_"&amp;F34&amp;"_"&amp;H34&amp;"_"&amp;I34&amp;"_"&amp;J34</f>
        <v>E_VCB0201_VM_LS_ELC_5_30_4</v>
      </c>
      <c r="C34" s="16" t="s">
        <v>117</v>
      </c>
      <c r="D34" s="16" t="s">
        <v>116</v>
      </c>
      <c r="E34" s="16" t="s">
        <v>692</v>
      </c>
      <c r="F34" s="16" t="s">
        <v>693</v>
      </c>
      <c r="G34" s="16" t="s">
        <v>730</v>
      </c>
      <c r="H34" s="16">
        <v>5</v>
      </c>
      <c r="I34" s="16">
        <v>30</v>
      </c>
      <c r="J34" s="16">
        <v>4</v>
      </c>
      <c r="K34" s="16" t="s">
        <v>621</v>
      </c>
      <c r="L34" s="16">
        <v>201</v>
      </c>
      <c r="M34" s="16">
        <v>58600</v>
      </c>
      <c r="N34" s="16"/>
      <c r="O34" s="16" t="s">
        <v>728</v>
      </c>
      <c r="P34" s="16" t="b">
        <v>1</v>
      </c>
      <c r="Q34" s="16" t="s">
        <v>729</v>
      </c>
      <c r="R34" s="16" t="str">
        <f t="shared" si="5"/>
        <v>ABS 30AF/5AT 4P</v>
      </c>
      <c r="T34" s="16"/>
    </row>
    <row r="35" spans="2:20">
      <c r="B35" s="9" t="str">
        <f t="shared" si="6"/>
        <v>E_VCB0201_VM_LS_ELC_10_30_4</v>
      </c>
      <c r="C35" s="16" t="s">
        <v>117</v>
      </c>
      <c r="D35" s="16" t="s">
        <v>116</v>
      </c>
      <c r="E35" s="16" t="s">
        <v>692</v>
      </c>
      <c r="F35" s="16" t="s">
        <v>693</v>
      </c>
      <c r="G35" s="16" t="s">
        <v>730</v>
      </c>
      <c r="H35" s="16">
        <v>10</v>
      </c>
      <c r="I35" s="16">
        <v>30</v>
      </c>
      <c r="J35" s="16">
        <v>4</v>
      </c>
      <c r="K35" s="16" t="s">
        <v>621</v>
      </c>
      <c r="L35" s="16">
        <v>201</v>
      </c>
      <c r="M35" s="16">
        <v>58600</v>
      </c>
      <c r="N35" s="16"/>
      <c r="O35" s="16" t="s">
        <v>728</v>
      </c>
      <c r="P35" s="16" t="b">
        <v>1</v>
      </c>
      <c r="Q35" s="16" t="s">
        <v>729</v>
      </c>
      <c r="R35" s="16" t="str">
        <f t="shared" si="5"/>
        <v>ABS 30AF/10AT 4P</v>
      </c>
      <c r="T35" s="16"/>
    </row>
    <row r="36" spans="2:20">
      <c r="B36" s="9" t="str">
        <f t="shared" si="6"/>
        <v>E_VCB0201_VM_LS_ELC_15_30_4</v>
      </c>
      <c r="C36" s="16" t="s">
        <v>117</v>
      </c>
      <c r="D36" s="16" t="s">
        <v>116</v>
      </c>
      <c r="E36" s="16" t="s">
        <v>692</v>
      </c>
      <c r="F36" s="16" t="s">
        <v>693</v>
      </c>
      <c r="G36" s="16" t="s">
        <v>730</v>
      </c>
      <c r="H36" s="16">
        <v>15</v>
      </c>
      <c r="I36" s="16">
        <v>30</v>
      </c>
      <c r="J36" s="16">
        <v>4</v>
      </c>
      <c r="K36" s="16" t="s">
        <v>621</v>
      </c>
      <c r="L36" s="16">
        <v>201</v>
      </c>
      <c r="M36" s="16">
        <v>58600</v>
      </c>
      <c r="N36" s="16"/>
      <c r="O36" s="16" t="s">
        <v>728</v>
      </c>
      <c r="P36" s="16" t="b">
        <v>1</v>
      </c>
      <c r="Q36" s="16" t="s">
        <v>729</v>
      </c>
      <c r="R36" s="16" t="str">
        <f t="shared" si="5"/>
        <v>ABS 30AF/15AT 4P</v>
      </c>
      <c r="T36" s="16"/>
    </row>
    <row r="37" spans="2:20">
      <c r="B37" s="9" t="str">
        <f t="shared" si="6"/>
        <v>E_VCB0201_VM_LS_ELC_16_30_4</v>
      </c>
      <c r="C37" s="16" t="s">
        <v>117</v>
      </c>
      <c r="D37" s="16" t="s">
        <v>116</v>
      </c>
      <c r="E37" s="16" t="s">
        <v>692</v>
      </c>
      <c r="F37" s="16" t="s">
        <v>693</v>
      </c>
      <c r="G37" s="16" t="s">
        <v>730</v>
      </c>
      <c r="H37" s="16">
        <v>16</v>
      </c>
      <c r="I37" s="16">
        <v>30</v>
      </c>
      <c r="J37" s="16">
        <v>4</v>
      </c>
      <c r="K37" s="16" t="s">
        <v>621</v>
      </c>
      <c r="L37" s="16">
        <v>201</v>
      </c>
      <c r="M37" s="16">
        <v>58600</v>
      </c>
      <c r="N37" s="16"/>
      <c r="O37" s="16" t="s">
        <v>728</v>
      </c>
      <c r="P37" s="16" t="b">
        <v>1</v>
      </c>
      <c r="Q37" s="16" t="s">
        <v>729</v>
      </c>
      <c r="R37" s="16" t="str">
        <f t="shared" si="5"/>
        <v>ABS 30AF/16AT 4P</v>
      </c>
      <c r="T37" s="16"/>
    </row>
    <row r="38" spans="2:20">
      <c r="B38" s="9" t="str">
        <f t="shared" si="6"/>
        <v>E_VCB0201_VM_LS_ELC_20_30_4</v>
      </c>
      <c r="C38" s="16" t="s">
        <v>117</v>
      </c>
      <c r="D38" s="16" t="s">
        <v>116</v>
      </c>
      <c r="E38" s="16" t="s">
        <v>692</v>
      </c>
      <c r="F38" s="16" t="s">
        <v>693</v>
      </c>
      <c r="G38" s="16" t="s">
        <v>730</v>
      </c>
      <c r="H38" s="16">
        <v>20</v>
      </c>
      <c r="I38" s="16">
        <v>30</v>
      </c>
      <c r="J38" s="16">
        <v>4</v>
      </c>
      <c r="K38" s="16" t="s">
        <v>621</v>
      </c>
      <c r="L38" s="16">
        <v>201</v>
      </c>
      <c r="M38" s="16">
        <v>58600</v>
      </c>
      <c r="N38" s="16"/>
      <c r="O38" s="16" t="s">
        <v>728</v>
      </c>
      <c r="P38" s="16" t="b">
        <v>1</v>
      </c>
      <c r="Q38" s="16" t="s">
        <v>729</v>
      </c>
      <c r="R38" s="16" t="str">
        <f t="shared" si="5"/>
        <v>ABS 30AF/20AT 4P</v>
      </c>
      <c r="T38" s="16"/>
    </row>
    <row r="39" spans="2:20">
      <c r="B39" s="9" t="str">
        <f t="shared" si="6"/>
        <v>E_VCB0201_VM_LS_ELC_25_30_4</v>
      </c>
      <c r="C39" s="16" t="s">
        <v>117</v>
      </c>
      <c r="D39" s="16" t="s">
        <v>116</v>
      </c>
      <c r="E39" s="16" t="s">
        <v>692</v>
      </c>
      <c r="F39" s="16" t="s">
        <v>693</v>
      </c>
      <c r="G39" s="16" t="s">
        <v>730</v>
      </c>
      <c r="H39" s="16">
        <v>25</v>
      </c>
      <c r="I39" s="16">
        <v>30</v>
      </c>
      <c r="J39" s="16">
        <v>4</v>
      </c>
      <c r="K39" s="16" t="s">
        <v>621</v>
      </c>
      <c r="L39" s="16">
        <v>201</v>
      </c>
      <c r="M39" s="16">
        <v>58600</v>
      </c>
      <c r="N39" s="16"/>
      <c r="O39" s="16" t="s">
        <v>728</v>
      </c>
      <c r="P39" s="16" t="b">
        <v>1</v>
      </c>
      <c r="Q39" s="16" t="s">
        <v>729</v>
      </c>
      <c r="R39" s="16" t="str">
        <f t="shared" si="5"/>
        <v>ABS 30AF/25AT 4P</v>
      </c>
      <c r="T39" s="16"/>
    </row>
    <row r="40" spans="2:20">
      <c r="B40" s="9" t="str">
        <f t="shared" si="6"/>
        <v>E_VCB0201_VM_LS_ELC_30_30_4</v>
      </c>
      <c r="C40" s="16" t="s">
        <v>117</v>
      </c>
      <c r="D40" s="16" t="s">
        <v>116</v>
      </c>
      <c r="E40" s="16" t="s">
        <v>692</v>
      </c>
      <c r="F40" s="16" t="s">
        <v>693</v>
      </c>
      <c r="G40" s="16" t="s">
        <v>730</v>
      </c>
      <c r="H40" s="16">
        <v>30</v>
      </c>
      <c r="I40" s="16">
        <v>30</v>
      </c>
      <c r="J40" s="16">
        <v>4</v>
      </c>
      <c r="K40" s="16" t="s">
        <v>621</v>
      </c>
      <c r="L40" s="16">
        <v>201</v>
      </c>
      <c r="M40" s="16">
        <v>58600</v>
      </c>
      <c r="N40" s="16"/>
      <c r="O40" s="16" t="s">
        <v>728</v>
      </c>
      <c r="P40" s="16" t="b">
        <v>1</v>
      </c>
      <c r="Q40" s="16" t="s">
        <v>729</v>
      </c>
      <c r="R40" s="16" t="str">
        <f t="shared" si="5"/>
        <v>ABS 30AF/30AT 4P</v>
      </c>
      <c r="T40" s="16"/>
    </row>
    <row r="41" spans="2:20">
      <c r="B41" s="9" t="str">
        <f t="shared" ref="B41:B43" si="7">D41&amp;"_"&amp;F41&amp;"_"&amp;H41&amp;"_"&amp;I41&amp;"_"&amp;J41</f>
        <v>E_VCB0201_VM_LS_ELC_32_50_3</v>
      </c>
      <c r="C41" s="16" t="s">
        <v>117</v>
      </c>
      <c r="D41" s="16" t="s">
        <v>116</v>
      </c>
      <c r="E41" s="16" t="s">
        <v>692</v>
      </c>
      <c r="F41" s="16" t="s">
        <v>693</v>
      </c>
      <c r="G41" s="16" t="s">
        <v>731</v>
      </c>
      <c r="H41" s="16">
        <v>32</v>
      </c>
      <c r="I41" s="16">
        <v>50</v>
      </c>
      <c r="J41" s="16">
        <v>3</v>
      </c>
      <c r="K41" s="16" t="s">
        <v>621</v>
      </c>
      <c r="L41" s="16">
        <v>202</v>
      </c>
      <c r="M41" s="16">
        <v>53600</v>
      </c>
      <c r="N41" s="16"/>
      <c r="O41" s="16" t="s">
        <v>728</v>
      </c>
      <c r="P41" s="16" t="b">
        <v>1</v>
      </c>
      <c r="Q41" s="16" t="s">
        <v>729</v>
      </c>
      <c r="R41" s="16" t="str">
        <f t="shared" ref="R41:R46" si="8">"ABS "&amp;I41&amp;"AF/"&amp;H41&amp;"AT "&amp;J41&amp;"P"</f>
        <v>ABS 50AF/32AT 3P</v>
      </c>
      <c r="T41" s="16"/>
    </row>
    <row r="42" spans="2:20">
      <c r="B42" s="9" t="str">
        <f t="shared" si="7"/>
        <v>E_VCB0201_VM_LS_ELC_40_50_3</v>
      </c>
      <c r="C42" s="16" t="s">
        <v>117</v>
      </c>
      <c r="D42" s="16" t="s">
        <v>116</v>
      </c>
      <c r="E42" s="16" t="s">
        <v>692</v>
      </c>
      <c r="F42" s="16" t="s">
        <v>693</v>
      </c>
      <c r="G42" s="16" t="s">
        <v>731</v>
      </c>
      <c r="H42" s="16">
        <v>40</v>
      </c>
      <c r="I42" s="16">
        <v>50</v>
      </c>
      <c r="J42" s="16">
        <v>3</v>
      </c>
      <c r="K42" s="16" t="s">
        <v>621</v>
      </c>
      <c r="L42" s="16">
        <v>202</v>
      </c>
      <c r="M42" s="16">
        <v>53600</v>
      </c>
      <c r="N42" s="16"/>
      <c r="O42" s="16" t="s">
        <v>728</v>
      </c>
      <c r="P42" s="16" t="b">
        <v>1</v>
      </c>
      <c r="Q42" s="16" t="s">
        <v>729</v>
      </c>
      <c r="R42" s="16" t="str">
        <f t="shared" si="8"/>
        <v>ABS 50AF/40AT 3P</v>
      </c>
      <c r="T42" s="16"/>
    </row>
    <row r="43" spans="2:20">
      <c r="B43" s="9" t="str">
        <f t="shared" si="7"/>
        <v>E_VCB0201_VM_LS_ELC_50_50_3</v>
      </c>
      <c r="C43" s="16" t="s">
        <v>117</v>
      </c>
      <c r="D43" s="16" t="s">
        <v>116</v>
      </c>
      <c r="E43" s="16" t="s">
        <v>692</v>
      </c>
      <c r="F43" s="16" t="s">
        <v>693</v>
      </c>
      <c r="G43" s="16" t="s">
        <v>731</v>
      </c>
      <c r="H43" s="16">
        <v>50</v>
      </c>
      <c r="I43" s="16">
        <v>50</v>
      </c>
      <c r="J43" s="16">
        <v>3</v>
      </c>
      <c r="K43" s="16" t="s">
        <v>621</v>
      </c>
      <c r="L43" s="16">
        <v>202</v>
      </c>
      <c r="M43" s="16">
        <v>53600</v>
      </c>
      <c r="N43" s="16"/>
      <c r="O43" s="16" t="s">
        <v>728</v>
      </c>
      <c r="P43" s="16" t="b">
        <v>1</v>
      </c>
      <c r="Q43" s="16" t="s">
        <v>729</v>
      </c>
      <c r="R43" s="16" t="str">
        <f t="shared" si="8"/>
        <v>ABS 50AF/50AT 3P</v>
      </c>
      <c r="T43" s="16"/>
    </row>
    <row r="44" spans="2:20">
      <c r="B44" s="9" t="str">
        <f t="shared" ref="B44:B46" si="9">D44&amp;"_"&amp;F44&amp;"_"&amp;H44&amp;"_"&amp;I44&amp;"_"&amp;J44</f>
        <v>E_VCB0201_VM_LS_ELC_32_50_4</v>
      </c>
      <c r="C44" s="16" t="s">
        <v>117</v>
      </c>
      <c r="D44" s="16" t="s">
        <v>116</v>
      </c>
      <c r="E44" s="16" t="s">
        <v>692</v>
      </c>
      <c r="F44" s="16" t="s">
        <v>693</v>
      </c>
      <c r="G44" s="16" t="s">
        <v>732</v>
      </c>
      <c r="H44" s="16">
        <v>32</v>
      </c>
      <c r="I44" s="16">
        <v>50</v>
      </c>
      <c r="J44" s="16">
        <v>4</v>
      </c>
      <c r="K44" s="16" t="s">
        <v>621</v>
      </c>
      <c r="L44" s="16">
        <v>203</v>
      </c>
      <c r="M44" s="16">
        <v>66900</v>
      </c>
      <c r="N44" s="16"/>
      <c r="O44" s="16" t="s">
        <v>728</v>
      </c>
      <c r="P44" s="16" t="b">
        <v>1</v>
      </c>
      <c r="Q44" s="16" t="s">
        <v>729</v>
      </c>
      <c r="R44" s="16" t="str">
        <f t="shared" si="8"/>
        <v>ABS 50AF/32AT 4P</v>
      </c>
      <c r="T44" s="16"/>
    </row>
    <row r="45" spans="2:20">
      <c r="B45" s="9" t="str">
        <f t="shared" si="9"/>
        <v>E_VCB0201_VM_LS_ELC_40_50_4</v>
      </c>
      <c r="C45" s="16" t="s">
        <v>117</v>
      </c>
      <c r="D45" s="16" t="s">
        <v>116</v>
      </c>
      <c r="E45" s="16" t="s">
        <v>692</v>
      </c>
      <c r="F45" s="16" t="s">
        <v>693</v>
      </c>
      <c r="G45" s="16" t="s">
        <v>732</v>
      </c>
      <c r="H45" s="16">
        <v>40</v>
      </c>
      <c r="I45" s="16">
        <v>50</v>
      </c>
      <c r="J45" s="16">
        <v>4</v>
      </c>
      <c r="K45" s="16" t="s">
        <v>621</v>
      </c>
      <c r="L45" s="16">
        <v>203</v>
      </c>
      <c r="M45" s="16">
        <v>66900</v>
      </c>
      <c r="N45" s="16"/>
      <c r="O45" s="16" t="s">
        <v>728</v>
      </c>
      <c r="P45" s="16" t="b">
        <v>1</v>
      </c>
      <c r="Q45" s="16" t="s">
        <v>729</v>
      </c>
      <c r="R45" s="16" t="str">
        <f t="shared" si="8"/>
        <v>ABS 50AF/40AT 4P</v>
      </c>
      <c r="T45" s="16"/>
    </row>
    <row r="46" spans="2:20">
      <c r="B46" s="9" t="str">
        <f t="shared" si="9"/>
        <v>E_VCB0201_VM_LS_ELC_50_50_4</v>
      </c>
      <c r="C46" s="16" t="s">
        <v>117</v>
      </c>
      <c r="D46" s="16" t="s">
        <v>116</v>
      </c>
      <c r="E46" s="16" t="s">
        <v>692</v>
      </c>
      <c r="F46" s="16" t="s">
        <v>693</v>
      </c>
      <c r="G46" s="16" t="s">
        <v>732</v>
      </c>
      <c r="H46" s="16">
        <v>50</v>
      </c>
      <c r="I46" s="16">
        <v>50</v>
      </c>
      <c r="J46" s="16">
        <v>4</v>
      </c>
      <c r="K46" s="16" t="s">
        <v>621</v>
      </c>
      <c r="L46" s="16">
        <v>203</v>
      </c>
      <c r="M46" s="16">
        <v>66900</v>
      </c>
      <c r="N46" s="16"/>
      <c r="O46" s="16" t="s">
        <v>728</v>
      </c>
      <c r="P46" s="16" t="b">
        <v>1</v>
      </c>
      <c r="Q46" s="16" t="s">
        <v>729</v>
      </c>
      <c r="R46" s="16" t="str">
        <f t="shared" si="8"/>
        <v>ABS 50AF/50AT 4P</v>
      </c>
      <c r="T46" s="16"/>
    </row>
    <row r="47" spans="2:20">
      <c r="B47" s="9" t="str">
        <f t="shared" ref="B47" si="10">D47&amp;"_"&amp;F47&amp;"_"&amp;H47&amp;"_"&amp;I47&amp;"_"&amp;J47</f>
        <v>E_VCB0201_VM_LS_ELC_60_60_3</v>
      </c>
      <c r="C47" s="16" t="s">
        <v>117</v>
      </c>
      <c r="D47" s="16" t="s">
        <v>116</v>
      </c>
      <c r="E47" s="16" t="s">
        <v>692</v>
      </c>
      <c r="F47" s="16" t="s">
        <v>693</v>
      </c>
      <c r="G47" s="16" t="s">
        <v>733</v>
      </c>
      <c r="H47" s="16">
        <v>60</v>
      </c>
      <c r="I47" s="16">
        <v>60</v>
      </c>
      <c r="J47" s="16">
        <v>3</v>
      </c>
      <c r="K47" s="16" t="s">
        <v>621</v>
      </c>
      <c r="L47" s="16">
        <v>204</v>
      </c>
      <c r="M47" s="16">
        <v>55900</v>
      </c>
      <c r="N47" s="16"/>
      <c r="O47" s="16" t="s">
        <v>728</v>
      </c>
      <c r="P47" s="16" t="b">
        <v>1</v>
      </c>
      <c r="Q47" s="16" t="s">
        <v>729</v>
      </c>
      <c r="R47" s="16" t="str">
        <f t="shared" ref="R47:R48" si="11">"ABS "&amp;I47&amp;"AF/"&amp;H47&amp;"AT "&amp;J47&amp;"P"</f>
        <v>ABS 60AF/60AT 3P</v>
      </c>
      <c r="T47" s="16"/>
    </row>
    <row r="48" spans="2:20">
      <c r="B48" s="9" t="str">
        <f t="shared" ref="B48" si="12">D48&amp;"_"&amp;F48&amp;"_"&amp;H48&amp;"_"&amp;I48&amp;"_"&amp;J48</f>
        <v>E_VCB0201_VM_LS_ELC_60_60_4</v>
      </c>
      <c r="C48" s="16" t="s">
        <v>117</v>
      </c>
      <c r="D48" s="16" t="s">
        <v>116</v>
      </c>
      <c r="E48" s="16" t="s">
        <v>692</v>
      </c>
      <c r="F48" s="16" t="s">
        <v>693</v>
      </c>
      <c r="G48" s="16" t="s">
        <v>734</v>
      </c>
      <c r="H48" s="16">
        <v>60</v>
      </c>
      <c r="I48" s="16">
        <v>60</v>
      </c>
      <c r="J48" s="16">
        <v>4</v>
      </c>
      <c r="K48" s="16" t="s">
        <v>621</v>
      </c>
      <c r="L48" s="16">
        <v>205</v>
      </c>
      <c r="M48" s="16">
        <v>70600</v>
      </c>
      <c r="N48" s="16"/>
      <c r="O48" s="16" t="s">
        <v>728</v>
      </c>
      <c r="P48" s="16" t="b">
        <v>1</v>
      </c>
      <c r="Q48" s="16" t="s">
        <v>729</v>
      </c>
      <c r="R48" s="16" t="str">
        <f t="shared" si="11"/>
        <v>ABS 60AF/60AT 4P</v>
      </c>
      <c r="T48" s="16"/>
    </row>
    <row r="49" spans="2:20">
      <c r="B49" s="9" t="str">
        <f t="shared" ref="B49:B53" si="13">D49&amp;"_"&amp;F49&amp;"_"&amp;H49&amp;"_"&amp;I49&amp;"_"&amp;J49</f>
        <v>E_VCB0201_VM_LS_ELC_63_125_3</v>
      </c>
      <c r="C49" s="16" t="s">
        <v>117</v>
      </c>
      <c r="D49" s="16" t="s">
        <v>116</v>
      </c>
      <c r="E49" s="16" t="s">
        <v>692</v>
      </c>
      <c r="F49" s="16" t="s">
        <v>693</v>
      </c>
      <c r="G49" s="16" t="s">
        <v>735</v>
      </c>
      <c r="H49" s="16">
        <v>63</v>
      </c>
      <c r="I49" s="16">
        <v>125</v>
      </c>
      <c r="J49" s="16">
        <v>3</v>
      </c>
      <c r="K49" s="16" t="s">
        <v>621</v>
      </c>
      <c r="L49" s="16">
        <v>206</v>
      </c>
      <c r="M49" s="16">
        <v>104400</v>
      </c>
      <c r="N49" s="16"/>
      <c r="O49" s="16" t="s">
        <v>728</v>
      </c>
      <c r="P49" s="16" t="b">
        <v>1</v>
      </c>
      <c r="Q49" s="16" t="s">
        <v>729</v>
      </c>
      <c r="R49" s="16" t="str">
        <f t="shared" ref="R49:R58" si="14">"ABS "&amp;I49&amp;"AF/"&amp;H49&amp;"AT "&amp;J49&amp;"P"</f>
        <v>ABS 125AF/63AT 3P</v>
      </c>
      <c r="T49" s="16"/>
    </row>
    <row r="50" spans="2:20">
      <c r="B50" s="9" t="str">
        <f t="shared" si="13"/>
        <v>E_VCB0201_VM_LS_ELC_75_125_3</v>
      </c>
      <c r="C50" s="16" t="s">
        <v>117</v>
      </c>
      <c r="D50" s="16" t="s">
        <v>116</v>
      </c>
      <c r="E50" s="16" t="s">
        <v>692</v>
      </c>
      <c r="F50" s="16" t="s">
        <v>693</v>
      </c>
      <c r="G50" s="16" t="s">
        <v>735</v>
      </c>
      <c r="H50" s="16">
        <v>75</v>
      </c>
      <c r="I50" s="16">
        <v>125</v>
      </c>
      <c r="J50" s="16">
        <v>3</v>
      </c>
      <c r="K50" s="16" t="s">
        <v>621</v>
      </c>
      <c r="L50" s="16">
        <v>206</v>
      </c>
      <c r="M50" s="16">
        <v>104400</v>
      </c>
      <c r="N50" s="16"/>
      <c r="O50" s="16" t="s">
        <v>728</v>
      </c>
      <c r="P50" s="16" t="b">
        <v>1</v>
      </c>
      <c r="Q50" s="16" t="s">
        <v>729</v>
      </c>
      <c r="R50" s="16" t="str">
        <f t="shared" si="14"/>
        <v>ABS 125AF/75AT 3P</v>
      </c>
      <c r="T50" s="16"/>
    </row>
    <row r="51" spans="2:20">
      <c r="B51" s="9" t="str">
        <f t="shared" si="13"/>
        <v>E_VCB0201_VM_LS_ELC_80_125_3</v>
      </c>
      <c r="C51" s="16" t="s">
        <v>117</v>
      </c>
      <c r="D51" s="16" t="s">
        <v>116</v>
      </c>
      <c r="E51" s="16" t="s">
        <v>692</v>
      </c>
      <c r="F51" s="16" t="s">
        <v>693</v>
      </c>
      <c r="G51" s="16" t="s">
        <v>735</v>
      </c>
      <c r="H51" s="16">
        <v>80</v>
      </c>
      <c r="I51" s="16">
        <v>125</v>
      </c>
      <c r="J51" s="16">
        <v>3</v>
      </c>
      <c r="K51" s="16" t="s">
        <v>621</v>
      </c>
      <c r="L51" s="16">
        <v>206</v>
      </c>
      <c r="M51" s="16">
        <v>104400</v>
      </c>
      <c r="N51" s="16"/>
      <c r="O51" s="16" t="s">
        <v>728</v>
      </c>
      <c r="P51" s="16" t="b">
        <v>1</v>
      </c>
      <c r="Q51" s="16" t="s">
        <v>729</v>
      </c>
      <c r="R51" s="16" t="str">
        <f t="shared" si="14"/>
        <v>ABS 125AF/80AT 3P</v>
      </c>
      <c r="T51" s="16"/>
    </row>
    <row r="52" spans="2:20">
      <c r="B52" s="9" t="str">
        <f t="shared" si="13"/>
        <v>E_VCB0201_VM_LS_ELC_100_125_3</v>
      </c>
      <c r="C52" s="16" t="s">
        <v>117</v>
      </c>
      <c r="D52" s="16" t="s">
        <v>116</v>
      </c>
      <c r="E52" s="16" t="s">
        <v>692</v>
      </c>
      <c r="F52" s="16" t="s">
        <v>693</v>
      </c>
      <c r="G52" s="16" t="s">
        <v>735</v>
      </c>
      <c r="H52" s="16">
        <v>100</v>
      </c>
      <c r="I52" s="16">
        <v>125</v>
      </c>
      <c r="J52" s="16">
        <v>3</v>
      </c>
      <c r="K52" s="16" t="s">
        <v>621</v>
      </c>
      <c r="L52" s="16">
        <v>206</v>
      </c>
      <c r="M52" s="16">
        <v>104400</v>
      </c>
      <c r="N52" s="16"/>
      <c r="O52" s="16" t="s">
        <v>728</v>
      </c>
      <c r="P52" s="16" t="b">
        <v>1</v>
      </c>
      <c r="Q52" s="16" t="s">
        <v>729</v>
      </c>
      <c r="R52" s="16" t="str">
        <f t="shared" si="14"/>
        <v>ABS 125AF/100AT 3P</v>
      </c>
      <c r="T52" s="16"/>
    </row>
    <row r="53" spans="2:20">
      <c r="B53" s="9" t="str">
        <f t="shared" si="13"/>
        <v>E_VCB0201_VM_LS_ELC_125_125_3</v>
      </c>
      <c r="C53" s="16" t="s">
        <v>117</v>
      </c>
      <c r="D53" s="16" t="s">
        <v>116</v>
      </c>
      <c r="E53" s="16" t="s">
        <v>692</v>
      </c>
      <c r="F53" s="16" t="s">
        <v>693</v>
      </c>
      <c r="G53" s="16" t="s">
        <v>735</v>
      </c>
      <c r="H53" s="16">
        <v>125</v>
      </c>
      <c r="I53" s="16">
        <v>125</v>
      </c>
      <c r="J53" s="16">
        <v>3</v>
      </c>
      <c r="K53" s="16" t="s">
        <v>621</v>
      </c>
      <c r="L53" s="16">
        <v>206</v>
      </c>
      <c r="M53" s="16">
        <v>104400</v>
      </c>
      <c r="N53" s="16"/>
      <c r="O53" s="16" t="s">
        <v>728</v>
      </c>
      <c r="P53" s="16" t="b">
        <v>1</v>
      </c>
      <c r="Q53" s="16" t="s">
        <v>729</v>
      </c>
      <c r="R53" s="16" t="str">
        <f t="shared" si="14"/>
        <v>ABS 125AF/125AT 3P</v>
      </c>
      <c r="T53" s="16"/>
    </row>
    <row r="54" spans="2:20">
      <c r="B54" s="9" t="str">
        <f t="shared" ref="B54:B58" si="15">D54&amp;"_"&amp;F54&amp;"_"&amp;H54&amp;"_"&amp;I54&amp;"_"&amp;J54</f>
        <v>E_VCB0201_VM_LS_ELC_63_125_4</v>
      </c>
      <c r="C54" s="16" t="s">
        <v>117</v>
      </c>
      <c r="D54" s="16" t="s">
        <v>116</v>
      </c>
      <c r="E54" s="16" t="s">
        <v>692</v>
      </c>
      <c r="F54" s="16" t="s">
        <v>693</v>
      </c>
      <c r="G54" s="16" t="s">
        <v>736</v>
      </c>
      <c r="H54" s="16">
        <v>63</v>
      </c>
      <c r="I54" s="16">
        <v>125</v>
      </c>
      <c r="J54" s="16">
        <v>4</v>
      </c>
      <c r="K54" s="16" t="s">
        <v>621</v>
      </c>
      <c r="L54" s="16">
        <v>207</v>
      </c>
      <c r="M54" s="16">
        <v>129300</v>
      </c>
      <c r="N54" s="16"/>
      <c r="O54" s="16" t="s">
        <v>728</v>
      </c>
      <c r="P54" s="16" t="b">
        <v>1</v>
      </c>
      <c r="Q54" s="16" t="s">
        <v>729</v>
      </c>
      <c r="R54" s="16" t="str">
        <f t="shared" si="14"/>
        <v>ABS 125AF/63AT 4P</v>
      </c>
      <c r="T54" s="16"/>
    </row>
    <row r="55" spans="2:20">
      <c r="B55" s="9" t="str">
        <f t="shared" si="15"/>
        <v>E_VCB0201_VM_LS_ELC_75_125_4</v>
      </c>
      <c r="C55" s="16" t="s">
        <v>117</v>
      </c>
      <c r="D55" s="16" t="s">
        <v>116</v>
      </c>
      <c r="E55" s="16" t="s">
        <v>692</v>
      </c>
      <c r="F55" s="16" t="s">
        <v>693</v>
      </c>
      <c r="G55" s="16" t="s">
        <v>736</v>
      </c>
      <c r="H55" s="16">
        <v>75</v>
      </c>
      <c r="I55" s="16">
        <v>125</v>
      </c>
      <c r="J55" s="16">
        <v>4</v>
      </c>
      <c r="K55" s="16" t="s">
        <v>621</v>
      </c>
      <c r="L55" s="16">
        <v>207</v>
      </c>
      <c r="M55" s="16">
        <v>129300</v>
      </c>
      <c r="N55" s="16"/>
      <c r="O55" s="16" t="s">
        <v>728</v>
      </c>
      <c r="P55" s="16" t="b">
        <v>1</v>
      </c>
      <c r="Q55" s="16" t="s">
        <v>729</v>
      </c>
      <c r="R55" s="16" t="str">
        <f t="shared" si="14"/>
        <v>ABS 125AF/75AT 4P</v>
      </c>
      <c r="T55" s="16"/>
    </row>
    <row r="56" spans="2:20">
      <c r="B56" s="9" t="str">
        <f t="shared" si="15"/>
        <v>E_VCB0201_VM_LS_ELC_80_125_4</v>
      </c>
      <c r="C56" s="16" t="s">
        <v>117</v>
      </c>
      <c r="D56" s="16" t="s">
        <v>116</v>
      </c>
      <c r="E56" s="16" t="s">
        <v>692</v>
      </c>
      <c r="F56" s="16" t="s">
        <v>693</v>
      </c>
      <c r="G56" s="16" t="s">
        <v>736</v>
      </c>
      <c r="H56" s="16">
        <v>80</v>
      </c>
      <c r="I56" s="16">
        <v>125</v>
      </c>
      <c r="J56" s="16">
        <v>4</v>
      </c>
      <c r="K56" s="16" t="s">
        <v>621</v>
      </c>
      <c r="L56" s="16">
        <v>207</v>
      </c>
      <c r="M56" s="16">
        <v>129300</v>
      </c>
      <c r="N56" s="16"/>
      <c r="O56" s="16" t="s">
        <v>728</v>
      </c>
      <c r="P56" s="16" t="b">
        <v>1</v>
      </c>
      <c r="Q56" s="16" t="s">
        <v>729</v>
      </c>
      <c r="R56" s="16" t="str">
        <f t="shared" si="14"/>
        <v>ABS 125AF/80AT 4P</v>
      </c>
      <c r="T56" s="16"/>
    </row>
    <row r="57" spans="2:20">
      <c r="B57" s="9" t="str">
        <f t="shared" si="15"/>
        <v>E_VCB0201_VM_LS_ELC_100_125_4</v>
      </c>
      <c r="C57" s="16" t="s">
        <v>117</v>
      </c>
      <c r="D57" s="16" t="s">
        <v>116</v>
      </c>
      <c r="E57" s="16" t="s">
        <v>692</v>
      </c>
      <c r="F57" s="16" t="s">
        <v>693</v>
      </c>
      <c r="G57" s="16" t="s">
        <v>736</v>
      </c>
      <c r="H57" s="16">
        <v>100</v>
      </c>
      <c r="I57" s="16">
        <v>125</v>
      </c>
      <c r="J57" s="16">
        <v>4</v>
      </c>
      <c r="K57" s="16" t="s">
        <v>621</v>
      </c>
      <c r="L57" s="16">
        <v>207</v>
      </c>
      <c r="M57" s="16">
        <v>129300</v>
      </c>
      <c r="N57" s="16"/>
      <c r="O57" s="16" t="s">
        <v>728</v>
      </c>
      <c r="P57" s="16" t="b">
        <v>1</v>
      </c>
      <c r="Q57" s="16" t="s">
        <v>729</v>
      </c>
      <c r="R57" s="16" t="str">
        <f t="shared" si="14"/>
        <v>ABS 125AF/100AT 4P</v>
      </c>
      <c r="T57" s="16"/>
    </row>
    <row r="58" spans="2:20">
      <c r="B58" s="9" t="str">
        <f t="shared" si="15"/>
        <v>E_VCB0201_VM_LS_ELC_125_125_4</v>
      </c>
      <c r="C58" s="16" t="s">
        <v>117</v>
      </c>
      <c r="D58" s="16" t="s">
        <v>116</v>
      </c>
      <c r="E58" s="16" t="s">
        <v>692</v>
      </c>
      <c r="F58" s="16" t="s">
        <v>693</v>
      </c>
      <c r="G58" s="16" t="s">
        <v>736</v>
      </c>
      <c r="H58" s="16">
        <v>125</v>
      </c>
      <c r="I58" s="16">
        <v>125</v>
      </c>
      <c r="J58" s="16">
        <v>4</v>
      </c>
      <c r="K58" s="16" t="s">
        <v>621</v>
      </c>
      <c r="L58" s="16">
        <v>207</v>
      </c>
      <c r="M58" s="16">
        <v>129300</v>
      </c>
      <c r="N58" s="16"/>
      <c r="O58" s="16" t="s">
        <v>728</v>
      </c>
      <c r="P58" s="16" t="b">
        <v>1</v>
      </c>
      <c r="Q58" s="16" t="s">
        <v>729</v>
      </c>
      <c r="R58" s="16" t="str">
        <f t="shared" si="14"/>
        <v>ABS 125AF/125AT 4P</v>
      </c>
      <c r="T58" s="16"/>
    </row>
    <row r="59" spans="2:20">
      <c r="B59" s="9" t="str">
        <f t="shared" ref="B59:B64" si="16">D59&amp;"_"&amp;F59&amp;"_"&amp;H59&amp;"_"&amp;I59&amp;"_"&amp;J59</f>
        <v>E_VCB0201_VM_LS_ELC_150_250_3</v>
      </c>
      <c r="C59" s="16" t="s">
        <v>117</v>
      </c>
      <c r="D59" s="16" t="s">
        <v>116</v>
      </c>
      <c r="E59" s="16" t="s">
        <v>692</v>
      </c>
      <c r="F59" s="16" t="s">
        <v>693</v>
      </c>
      <c r="G59" s="16" t="s">
        <v>737</v>
      </c>
      <c r="H59" s="16">
        <v>150</v>
      </c>
      <c r="I59" s="16">
        <v>250</v>
      </c>
      <c r="J59" s="16">
        <v>3</v>
      </c>
      <c r="K59" s="16" t="s">
        <v>621</v>
      </c>
      <c r="L59" s="16">
        <v>208</v>
      </c>
      <c r="M59" s="16">
        <v>251000</v>
      </c>
      <c r="N59" s="16"/>
      <c r="O59" s="16" t="s">
        <v>728</v>
      </c>
      <c r="P59" s="16" t="b">
        <v>1</v>
      </c>
      <c r="Q59" s="16" t="s">
        <v>729</v>
      </c>
      <c r="R59" s="16" t="str">
        <f t="shared" ref="R59:R70" si="17">"ABS "&amp;I59&amp;"AF/"&amp;H59&amp;"AT "&amp;J59&amp;"P"</f>
        <v>ABS 250AF/150AT 3P</v>
      </c>
      <c r="T59" s="16"/>
    </row>
    <row r="60" spans="2:20">
      <c r="B60" s="9" t="str">
        <f t="shared" si="16"/>
        <v>E_VCB0201_VM_LS_ELC_160_250_3</v>
      </c>
      <c r="C60" s="16" t="s">
        <v>117</v>
      </c>
      <c r="D60" s="16" t="s">
        <v>116</v>
      </c>
      <c r="E60" s="16" t="s">
        <v>692</v>
      </c>
      <c r="F60" s="16" t="s">
        <v>693</v>
      </c>
      <c r="G60" s="16" t="s">
        <v>737</v>
      </c>
      <c r="H60" s="16">
        <v>160</v>
      </c>
      <c r="I60" s="16">
        <v>250</v>
      </c>
      <c r="J60" s="16">
        <v>3</v>
      </c>
      <c r="K60" s="16" t="s">
        <v>621</v>
      </c>
      <c r="L60" s="16">
        <v>208</v>
      </c>
      <c r="M60" s="16">
        <v>251000</v>
      </c>
      <c r="N60" s="16"/>
      <c r="O60" s="16" t="s">
        <v>728</v>
      </c>
      <c r="P60" s="16" t="b">
        <v>1</v>
      </c>
      <c r="Q60" s="16" t="s">
        <v>729</v>
      </c>
      <c r="R60" s="16" t="str">
        <f t="shared" si="17"/>
        <v>ABS 250AF/160AT 3P</v>
      </c>
      <c r="T60" s="16"/>
    </row>
    <row r="61" spans="2:20">
      <c r="B61" s="9" t="str">
        <f t="shared" si="16"/>
        <v>E_VCB0201_VM_LS_ELC_175_250_3</v>
      </c>
      <c r="C61" s="16" t="s">
        <v>117</v>
      </c>
      <c r="D61" s="16" t="s">
        <v>116</v>
      </c>
      <c r="E61" s="16" t="s">
        <v>692</v>
      </c>
      <c r="F61" s="16" t="s">
        <v>693</v>
      </c>
      <c r="G61" s="16" t="s">
        <v>737</v>
      </c>
      <c r="H61" s="16">
        <v>175</v>
      </c>
      <c r="I61" s="16">
        <v>250</v>
      </c>
      <c r="J61" s="16">
        <v>3</v>
      </c>
      <c r="K61" s="16" t="s">
        <v>621</v>
      </c>
      <c r="L61" s="16">
        <v>208</v>
      </c>
      <c r="M61" s="16">
        <v>251000</v>
      </c>
      <c r="N61" s="16"/>
      <c r="O61" s="16" t="s">
        <v>728</v>
      </c>
      <c r="P61" s="16" t="b">
        <v>1</v>
      </c>
      <c r="Q61" s="16" t="s">
        <v>729</v>
      </c>
      <c r="R61" s="16" t="str">
        <f t="shared" si="17"/>
        <v>ABS 250AF/175AT 3P</v>
      </c>
      <c r="T61" s="16"/>
    </row>
    <row r="62" spans="2:20">
      <c r="B62" s="9" t="str">
        <f t="shared" si="16"/>
        <v>E_VCB0201_VM_LS_ELC_200_250_3</v>
      </c>
      <c r="C62" s="16" t="s">
        <v>117</v>
      </c>
      <c r="D62" s="16" t="s">
        <v>116</v>
      </c>
      <c r="E62" s="16" t="s">
        <v>692</v>
      </c>
      <c r="F62" s="16" t="s">
        <v>693</v>
      </c>
      <c r="G62" s="16" t="s">
        <v>737</v>
      </c>
      <c r="H62" s="16">
        <v>200</v>
      </c>
      <c r="I62" s="16">
        <v>250</v>
      </c>
      <c r="J62" s="16">
        <v>3</v>
      </c>
      <c r="K62" s="16" t="s">
        <v>621</v>
      </c>
      <c r="L62" s="16">
        <v>208</v>
      </c>
      <c r="M62" s="16">
        <v>251000</v>
      </c>
      <c r="N62" s="16"/>
      <c r="O62" s="16" t="s">
        <v>728</v>
      </c>
      <c r="P62" s="16" t="b">
        <v>1</v>
      </c>
      <c r="Q62" s="16" t="s">
        <v>729</v>
      </c>
      <c r="R62" s="16" t="str">
        <f t="shared" si="17"/>
        <v>ABS 250AF/200AT 3P</v>
      </c>
      <c r="T62" s="16"/>
    </row>
    <row r="63" spans="2:20">
      <c r="B63" s="9" t="str">
        <f t="shared" si="16"/>
        <v>E_VCB0201_VM_LS_ELC_225_250_3</v>
      </c>
      <c r="C63" s="16" t="s">
        <v>117</v>
      </c>
      <c r="D63" s="16" t="s">
        <v>116</v>
      </c>
      <c r="E63" s="16" t="s">
        <v>692</v>
      </c>
      <c r="F63" s="16" t="s">
        <v>693</v>
      </c>
      <c r="G63" s="16" t="s">
        <v>737</v>
      </c>
      <c r="H63" s="16">
        <v>225</v>
      </c>
      <c r="I63" s="16">
        <v>250</v>
      </c>
      <c r="J63" s="16">
        <v>3</v>
      </c>
      <c r="K63" s="16" t="s">
        <v>621</v>
      </c>
      <c r="L63" s="16">
        <v>208</v>
      </c>
      <c r="M63" s="16">
        <v>251000</v>
      </c>
      <c r="N63" s="16"/>
      <c r="O63" s="16" t="s">
        <v>728</v>
      </c>
      <c r="P63" s="16" t="b">
        <v>1</v>
      </c>
      <c r="Q63" s="16" t="s">
        <v>729</v>
      </c>
      <c r="R63" s="16" t="str">
        <f t="shared" si="17"/>
        <v>ABS 250AF/225AT 3P</v>
      </c>
      <c r="T63" s="16"/>
    </row>
    <row r="64" spans="2:20">
      <c r="B64" s="9" t="str">
        <f t="shared" si="16"/>
        <v>E_VCB0201_VM_LS_ELC_250_250_3</v>
      </c>
      <c r="C64" s="16" t="s">
        <v>117</v>
      </c>
      <c r="D64" s="16" t="s">
        <v>116</v>
      </c>
      <c r="E64" s="16" t="s">
        <v>692</v>
      </c>
      <c r="F64" s="16" t="s">
        <v>693</v>
      </c>
      <c r="G64" s="16" t="s">
        <v>737</v>
      </c>
      <c r="H64" s="16">
        <v>250</v>
      </c>
      <c r="I64" s="16">
        <v>250</v>
      </c>
      <c r="J64" s="16">
        <v>3</v>
      </c>
      <c r="K64" s="16" t="s">
        <v>621</v>
      </c>
      <c r="L64" s="16">
        <v>208</v>
      </c>
      <c r="M64" s="16">
        <v>251000</v>
      </c>
      <c r="N64" s="16"/>
      <c r="O64" s="16" t="s">
        <v>728</v>
      </c>
      <c r="P64" s="16" t="b">
        <v>1</v>
      </c>
      <c r="Q64" s="16" t="s">
        <v>729</v>
      </c>
      <c r="R64" s="16" t="str">
        <f t="shared" si="17"/>
        <v>ABS 250AF/250AT 3P</v>
      </c>
      <c r="T64" s="16"/>
    </row>
    <row r="65" spans="2:20">
      <c r="B65" s="9" t="str">
        <f t="shared" ref="B65:B70" si="18">D65&amp;"_"&amp;F65&amp;"_"&amp;H65&amp;"_"&amp;I65&amp;"_"&amp;J65</f>
        <v>E_VCB0201_VM_LS_ELC_150_250_4</v>
      </c>
      <c r="C65" s="16" t="s">
        <v>117</v>
      </c>
      <c r="D65" s="16" t="s">
        <v>116</v>
      </c>
      <c r="E65" s="16" t="s">
        <v>692</v>
      </c>
      <c r="F65" s="16" t="s">
        <v>693</v>
      </c>
      <c r="G65" s="16" t="s">
        <v>738</v>
      </c>
      <c r="H65" s="16">
        <v>150</v>
      </c>
      <c r="I65" s="16">
        <v>250</v>
      </c>
      <c r="J65" s="16">
        <v>4</v>
      </c>
      <c r="K65" s="16" t="s">
        <v>621</v>
      </c>
      <c r="L65" s="16">
        <v>209</v>
      </c>
      <c r="M65" s="16">
        <v>287900</v>
      </c>
      <c r="N65" s="16"/>
      <c r="O65" s="16" t="s">
        <v>728</v>
      </c>
      <c r="P65" s="16" t="b">
        <v>1</v>
      </c>
      <c r="Q65" s="16" t="s">
        <v>729</v>
      </c>
      <c r="R65" s="16" t="str">
        <f t="shared" si="17"/>
        <v>ABS 250AF/150AT 4P</v>
      </c>
      <c r="T65" s="16"/>
    </row>
    <row r="66" spans="2:20">
      <c r="B66" s="9" t="str">
        <f t="shared" si="18"/>
        <v>E_VCB0201_VM_LS_ELC_160_250_4</v>
      </c>
      <c r="C66" s="16" t="s">
        <v>117</v>
      </c>
      <c r="D66" s="16" t="s">
        <v>116</v>
      </c>
      <c r="E66" s="16" t="s">
        <v>692</v>
      </c>
      <c r="F66" s="16" t="s">
        <v>693</v>
      </c>
      <c r="G66" s="16" t="s">
        <v>738</v>
      </c>
      <c r="H66" s="16">
        <v>160</v>
      </c>
      <c r="I66" s="16">
        <v>250</v>
      </c>
      <c r="J66" s="16">
        <v>4</v>
      </c>
      <c r="K66" s="16" t="s">
        <v>621</v>
      </c>
      <c r="L66" s="16">
        <v>209</v>
      </c>
      <c r="M66" s="16">
        <v>287900</v>
      </c>
      <c r="N66" s="16"/>
      <c r="O66" s="16" t="s">
        <v>728</v>
      </c>
      <c r="P66" s="16" t="b">
        <v>1</v>
      </c>
      <c r="Q66" s="16" t="s">
        <v>729</v>
      </c>
      <c r="R66" s="16" t="str">
        <f t="shared" si="17"/>
        <v>ABS 250AF/160AT 4P</v>
      </c>
      <c r="T66" s="16"/>
    </row>
    <row r="67" spans="2:20">
      <c r="B67" s="9" t="str">
        <f t="shared" si="18"/>
        <v>E_VCB0201_VM_LS_ELC_175_250_4</v>
      </c>
      <c r="C67" s="16" t="s">
        <v>117</v>
      </c>
      <c r="D67" s="16" t="s">
        <v>116</v>
      </c>
      <c r="E67" s="16" t="s">
        <v>692</v>
      </c>
      <c r="F67" s="16" t="s">
        <v>693</v>
      </c>
      <c r="G67" s="16" t="s">
        <v>738</v>
      </c>
      <c r="H67" s="16">
        <v>175</v>
      </c>
      <c r="I67" s="16">
        <v>250</v>
      </c>
      <c r="J67" s="16">
        <v>4</v>
      </c>
      <c r="K67" s="16" t="s">
        <v>621</v>
      </c>
      <c r="L67" s="16">
        <v>209</v>
      </c>
      <c r="M67" s="16">
        <v>287900</v>
      </c>
      <c r="N67" s="16"/>
      <c r="O67" s="16" t="s">
        <v>728</v>
      </c>
      <c r="P67" s="16" t="b">
        <v>1</v>
      </c>
      <c r="Q67" s="16" t="s">
        <v>729</v>
      </c>
      <c r="R67" s="16" t="str">
        <f t="shared" si="17"/>
        <v>ABS 250AF/175AT 4P</v>
      </c>
      <c r="T67" s="16"/>
    </row>
    <row r="68" spans="2:20">
      <c r="B68" s="9" t="str">
        <f t="shared" si="18"/>
        <v>E_VCB0201_VM_LS_ELC_200_250_4</v>
      </c>
      <c r="C68" s="16" t="s">
        <v>117</v>
      </c>
      <c r="D68" s="16" t="s">
        <v>116</v>
      </c>
      <c r="E68" s="16" t="s">
        <v>692</v>
      </c>
      <c r="F68" s="16" t="s">
        <v>693</v>
      </c>
      <c r="G68" s="16" t="s">
        <v>738</v>
      </c>
      <c r="H68" s="16">
        <v>200</v>
      </c>
      <c r="I68" s="16">
        <v>250</v>
      </c>
      <c r="J68" s="16">
        <v>4</v>
      </c>
      <c r="K68" s="16" t="s">
        <v>621</v>
      </c>
      <c r="L68" s="16">
        <v>209</v>
      </c>
      <c r="M68" s="16">
        <v>287900</v>
      </c>
      <c r="N68" s="16"/>
      <c r="O68" s="16" t="s">
        <v>728</v>
      </c>
      <c r="P68" s="16" t="b">
        <v>1</v>
      </c>
      <c r="Q68" s="16" t="s">
        <v>729</v>
      </c>
      <c r="R68" s="16" t="str">
        <f t="shared" si="17"/>
        <v>ABS 250AF/200AT 4P</v>
      </c>
      <c r="T68" s="16"/>
    </row>
    <row r="69" spans="2:20">
      <c r="B69" s="9" t="str">
        <f t="shared" si="18"/>
        <v>E_VCB0201_VM_LS_ELC_225_250_4</v>
      </c>
      <c r="C69" s="16" t="s">
        <v>117</v>
      </c>
      <c r="D69" s="16" t="s">
        <v>116</v>
      </c>
      <c r="E69" s="16" t="s">
        <v>692</v>
      </c>
      <c r="F69" s="16" t="s">
        <v>693</v>
      </c>
      <c r="G69" s="16" t="s">
        <v>738</v>
      </c>
      <c r="H69" s="16">
        <v>225</v>
      </c>
      <c r="I69" s="16">
        <v>250</v>
      </c>
      <c r="J69" s="16">
        <v>4</v>
      </c>
      <c r="K69" s="16" t="s">
        <v>621</v>
      </c>
      <c r="L69" s="16">
        <v>209</v>
      </c>
      <c r="M69" s="16">
        <v>287900</v>
      </c>
      <c r="N69" s="16"/>
      <c r="O69" s="16" t="s">
        <v>728</v>
      </c>
      <c r="P69" s="16" t="b">
        <v>1</v>
      </c>
      <c r="Q69" s="16" t="s">
        <v>729</v>
      </c>
      <c r="R69" s="16" t="str">
        <f t="shared" si="17"/>
        <v>ABS 250AF/225AT 4P</v>
      </c>
      <c r="T69" s="16"/>
    </row>
    <row r="70" spans="2:20">
      <c r="B70" s="9" t="str">
        <f t="shared" si="18"/>
        <v>E_VCB0201_VM_LS_ELC_250_250_4</v>
      </c>
      <c r="C70" s="16" t="s">
        <v>117</v>
      </c>
      <c r="D70" s="16" t="s">
        <v>116</v>
      </c>
      <c r="E70" s="16" t="s">
        <v>692</v>
      </c>
      <c r="F70" s="16" t="s">
        <v>693</v>
      </c>
      <c r="G70" s="16" t="s">
        <v>738</v>
      </c>
      <c r="H70" s="16">
        <v>250</v>
      </c>
      <c r="I70" s="16">
        <v>250</v>
      </c>
      <c r="J70" s="16">
        <v>4</v>
      </c>
      <c r="K70" s="16" t="s">
        <v>621</v>
      </c>
      <c r="L70" s="16">
        <v>209</v>
      </c>
      <c r="M70" s="16">
        <v>287900</v>
      </c>
      <c r="N70" s="16"/>
      <c r="O70" s="16" t="s">
        <v>728</v>
      </c>
      <c r="P70" s="16" t="b">
        <v>1</v>
      </c>
      <c r="Q70" s="16" t="s">
        <v>729</v>
      </c>
      <c r="R70" s="16" t="str">
        <f t="shared" si="17"/>
        <v>ABS 250AF/250AT 4P</v>
      </c>
      <c r="T70" s="16"/>
    </row>
    <row r="71" spans="2:20">
      <c r="B71" s="9" t="str">
        <f>D71&amp;"_"&amp;F71&amp;"_"&amp;H71&amp;"_"&amp;I71&amp;"_"&amp;J71</f>
        <v>E_VCB0201_VM_LS_ELC_300_400_3</v>
      </c>
      <c r="C71" s="16" t="s">
        <v>117</v>
      </c>
      <c r="D71" s="16" t="s">
        <v>116</v>
      </c>
      <c r="E71" s="16" t="s">
        <v>692</v>
      </c>
      <c r="F71" s="16" t="s">
        <v>693</v>
      </c>
      <c r="G71" s="16" t="s">
        <v>739</v>
      </c>
      <c r="H71" s="16">
        <v>300</v>
      </c>
      <c r="I71" s="16">
        <v>400</v>
      </c>
      <c r="J71" s="16">
        <v>3</v>
      </c>
      <c r="K71" s="16" t="s">
        <v>621</v>
      </c>
      <c r="L71" s="16">
        <v>210</v>
      </c>
      <c r="M71" s="16">
        <v>417300</v>
      </c>
      <c r="N71" s="16"/>
      <c r="O71" s="16" t="s">
        <v>728</v>
      </c>
      <c r="P71" s="16" t="b">
        <v>1</v>
      </c>
      <c r="Q71" s="16" t="s">
        <v>729</v>
      </c>
      <c r="R71" s="16" t="str">
        <f t="shared" ref="R71:R76" si="19">"ABS "&amp;I71&amp;"AF/"&amp;H71&amp;"AT "&amp;J71&amp;"P"</f>
        <v>ABS 400AF/300AT 3P</v>
      </c>
      <c r="T71" s="16"/>
    </row>
    <row r="72" spans="2:20">
      <c r="B72" s="9" t="str">
        <f t="shared" ref="B72:B79" si="20">D72&amp;"_"&amp;F72&amp;"_"&amp;H72&amp;"_"&amp;I72&amp;"_"&amp;J72</f>
        <v>E_VCB0201_VM_LS_ELC_350_400_3</v>
      </c>
      <c r="C72" s="16" t="s">
        <v>117</v>
      </c>
      <c r="D72" s="16" t="s">
        <v>116</v>
      </c>
      <c r="E72" s="16" t="s">
        <v>692</v>
      </c>
      <c r="F72" s="16" t="s">
        <v>693</v>
      </c>
      <c r="G72" s="16" t="s">
        <v>739</v>
      </c>
      <c r="H72" s="16">
        <v>350</v>
      </c>
      <c r="I72" s="16">
        <v>400</v>
      </c>
      <c r="J72" s="16">
        <v>3</v>
      </c>
      <c r="K72" s="16" t="s">
        <v>621</v>
      </c>
      <c r="L72" s="16">
        <v>210</v>
      </c>
      <c r="M72" s="16">
        <v>417300</v>
      </c>
      <c r="N72" s="16"/>
      <c r="O72" s="16" t="s">
        <v>728</v>
      </c>
      <c r="P72" s="16" t="b">
        <v>1</v>
      </c>
      <c r="Q72" s="16" t="s">
        <v>729</v>
      </c>
      <c r="R72" s="16" t="str">
        <f t="shared" si="19"/>
        <v>ABS 400AF/350AT 3P</v>
      </c>
      <c r="T72" s="16"/>
    </row>
    <row r="73" spans="2:20">
      <c r="B73" s="9" t="str">
        <f t="shared" si="20"/>
        <v>E_VCB0201_VM_LS_ELC_400_400_3</v>
      </c>
      <c r="C73" s="16" t="s">
        <v>117</v>
      </c>
      <c r="D73" s="16" t="s">
        <v>116</v>
      </c>
      <c r="E73" s="16" t="s">
        <v>692</v>
      </c>
      <c r="F73" s="16" t="s">
        <v>693</v>
      </c>
      <c r="G73" s="16" t="s">
        <v>739</v>
      </c>
      <c r="H73" s="16">
        <v>400</v>
      </c>
      <c r="I73" s="16">
        <v>400</v>
      </c>
      <c r="J73" s="16">
        <v>3</v>
      </c>
      <c r="K73" s="16" t="s">
        <v>621</v>
      </c>
      <c r="L73" s="16">
        <v>210</v>
      </c>
      <c r="M73" s="16">
        <v>417300</v>
      </c>
      <c r="N73" s="16"/>
      <c r="O73" s="16" t="s">
        <v>728</v>
      </c>
      <c r="P73" s="16" t="b">
        <v>1</v>
      </c>
      <c r="Q73" s="16" t="s">
        <v>729</v>
      </c>
      <c r="R73" s="16" t="str">
        <f t="shared" si="19"/>
        <v>ABS 400AF/400AT 3P</v>
      </c>
      <c r="T73" s="16"/>
    </row>
    <row r="74" spans="2:20">
      <c r="B74" s="9" t="str">
        <f t="shared" si="20"/>
        <v>E_VCB0201_VM_LS_ELC_300_400_4</v>
      </c>
      <c r="C74" s="16" t="s">
        <v>117</v>
      </c>
      <c r="D74" s="16" t="s">
        <v>116</v>
      </c>
      <c r="E74" s="16" t="s">
        <v>692</v>
      </c>
      <c r="F74" s="16" t="s">
        <v>693</v>
      </c>
      <c r="G74" s="16" t="s">
        <v>740</v>
      </c>
      <c r="H74" s="16">
        <v>300</v>
      </c>
      <c r="I74" s="16">
        <v>400</v>
      </c>
      <c r="J74" s="16">
        <v>4</v>
      </c>
      <c r="K74" s="16" t="s">
        <v>621</v>
      </c>
      <c r="L74" s="16">
        <v>211</v>
      </c>
      <c r="M74" s="16">
        <v>508600</v>
      </c>
      <c r="N74" s="16"/>
      <c r="O74" s="16" t="s">
        <v>728</v>
      </c>
      <c r="P74" s="16" t="b">
        <v>1</v>
      </c>
      <c r="Q74" s="16" t="s">
        <v>729</v>
      </c>
      <c r="R74" s="16" t="str">
        <f t="shared" si="19"/>
        <v>ABS 400AF/300AT 4P</v>
      </c>
      <c r="T74" s="16"/>
    </row>
    <row r="75" spans="2:20">
      <c r="B75" s="9" t="str">
        <f t="shared" si="20"/>
        <v>E_VCB0201_VM_LS_ELC_350_400_4</v>
      </c>
      <c r="C75" s="16" t="s">
        <v>117</v>
      </c>
      <c r="D75" s="16" t="s">
        <v>116</v>
      </c>
      <c r="E75" s="16" t="s">
        <v>692</v>
      </c>
      <c r="F75" s="16" t="s">
        <v>693</v>
      </c>
      <c r="G75" s="16" t="s">
        <v>740</v>
      </c>
      <c r="H75" s="16">
        <v>350</v>
      </c>
      <c r="I75" s="16">
        <v>400</v>
      </c>
      <c r="J75" s="16">
        <v>4</v>
      </c>
      <c r="K75" s="16" t="s">
        <v>621</v>
      </c>
      <c r="L75" s="16">
        <v>211</v>
      </c>
      <c r="M75" s="16">
        <v>508600</v>
      </c>
      <c r="N75" s="16"/>
      <c r="O75" s="16" t="s">
        <v>728</v>
      </c>
      <c r="P75" s="16" t="b">
        <v>1</v>
      </c>
      <c r="Q75" s="16" t="s">
        <v>729</v>
      </c>
      <c r="R75" s="16" t="str">
        <f t="shared" si="19"/>
        <v>ABS 400AF/350AT 4P</v>
      </c>
      <c r="T75" s="16"/>
    </row>
    <row r="76" spans="2:20">
      <c r="B76" s="9" t="str">
        <f t="shared" si="20"/>
        <v>E_VCB0201_VM_LS_ELC_400_400_4</v>
      </c>
      <c r="C76" s="16" t="s">
        <v>117</v>
      </c>
      <c r="D76" s="16" t="s">
        <v>116</v>
      </c>
      <c r="E76" s="16" t="s">
        <v>692</v>
      </c>
      <c r="F76" s="16" t="s">
        <v>693</v>
      </c>
      <c r="G76" s="16" t="s">
        <v>740</v>
      </c>
      <c r="H76" s="16">
        <v>400</v>
      </c>
      <c r="I76" s="16">
        <v>400</v>
      </c>
      <c r="J76" s="16">
        <v>4</v>
      </c>
      <c r="K76" s="16" t="s">
        <v>621</v>
      </c>
      <c r="L76" s="16">
        <v>211</v>
      </c>
      <c r="M76" s="16">
        <v>508600</v>
      </c>
      <c r="N76" s="16"/>
      <c r="O76" s="16" t="s">
        <v>728</v>
      </c>
      <c r="P76" s="16" t="b">
        <v>1</v>
      </c>
      <c r="Q76" s="16" t="s">
        <v>729</v>
      </c>
      <c r="R76" s="16" t="str">
        <f t="shared" si="19"/>
        <v>ABS 400AF/400AT 4P</v>
      </c>
      <c r="T76" s="16"/>
    </row>
    <row r="77" spans="2:20">
      <c r="B77" s="9" t="str">
        <f t="shared" si="20"/>
        <v>E_VCB0201_VM_LS_ELC_500_630_3</v>
      </c>
      <c r="C77" s="16" t="s">
        <v>117</v>
      </c>
      <c r="D77" s="16" t="s">
        <v>116</v>
      </c>
      <c r="E77" s="16" t="s">
        <v>692</v>
      </c>
      <c r="F77" s="16" t="s">
        <v>693</v>
      </c>
      <c r="G77" s="16" t="s">
        <v>741</v>
      </c>
      <c r="H77" s="16">
        <v>500</v>
      </c>
      <c r="I77" s="16">
        <v>630</v>
      </c>
      <c r="J77" s="16">
        <v>3</v>
      </c>
      <c r="K77" s="16" t="s">
        <v>621</v>
      </c>
      <c r="L77" s="16">
        <v>212</v>
      </c>
      <c r="M77" s="16">
        <v>983800</v>
      </c>
      <c r="N77" s="16"/>
      <c r="O77" s="16" t="s">
        <v>728</v>
      </c>
      <c r="P77" s="16" t="b">
        <v>1</v>
      </c>
      <c r="Q77" s="16" t="s">
        <v>729</v>
      </c>
      <c r="R77" s="16" t="str">
        <f t="shared" ref="R77:R82" si="21">"ABS "&amp;I77&amp;"AF/"&amp;H77&amp;"AT "&amp;J77&amp;"P"</f>
        <v>ABS 630AF/500AT 3P</v>
      </c>
      <c r="T77" s="16"/>
    </row>
    <row r="78" spans="2:20">
      <c r="B78" s="9" t="str">
        <f t="shared" si="20"/>
        <v>E_VCB0201_VM_LS_ELC_600_630_3</v>
      </c>
      <c r="C78" s="16" t="s">
        <v>117</v>
      </c>
      <c r="D78" s="16" t="s">
        <v>116</v>
      </c>
      <c r="E78" s="16" t="s">
        <v>692</v>
      </c>
      <c r="F78" s="16" t="s">
        <v>693</v>
      </c>
      <c r="G78" s="16" t="s">
        <v>741</v>
      </c>
      <c r="H78" s="16">
        <v>600</v>
      </c>
      <c r="I78" s="16">
        <v>630</v>
      </c>
      <c r="J78" s="16">
        <v>3</v>
      </c>
      <c r="K78" s="16" t="s">
        <v>621</v>
      </c>
      <c r="L78" s="16">
        <v>212</v>
      </c>
      <c r="M78" s="16">
        <v>983800</v>
      </c>
      <c r="N78" s="16"/>
      <c r="O78" s="16" t="s">
        <v>728</v>
      </c>
      <c r="P78" s="16" t="b">
        <v>1</v>
      </c>
      <c r="Q78" s="16" t="s">
        <v>729</v>
      </c>
      <c r="R78" s="16" t="str">
        <f t="shared" si="21"/>
        <v>ABS 630AF/600AT 3P</v>
      </c>
      <c r="T78" s="16"/>
    </row>
    <row r="79" spans="2:20">
      <c r="B79" s="9" t="str">
        <f t="shared" si="20"/>
        <v>E_VCB0201_VM_LS_ELC_630_630_3</v>
      </c>
      <c r="C79" s="16" t="s">
        <v>117</v>
      </c>
      <c r="D79" s="16" t="s">
        <v>116</v>
      </c>
      <c r="E79" s="16" t="s">
        <v>692</v>
      </c>
      <c r="F79" s="16" t="s">
        <v>693</v>
      </c>
      <c r="G79" s="16" t="s">
        <v>741</v>
      </c>
      <c r="H79" s="16">
        <v>630</v>
      </c>
      <c r="I79" s="16">
        <v>630</v>
      </c>
      <c r="J79" s="16">
        <v>3</v>
      </c>
      <c r="K79" s="16" t="s">
        <v>621</v>
      </c>
      <c r="L79" s="16">
        <v>212</v>
      </c>
      <c r="M79" s="16">
        <v>983800</v>
      </c>
      <c r="N79" s="16"/>
      <c r="O79" s="16" t="s">
        <v>728</v>
      </c>
      <c r="P79" s="16" t="b">
        <v>1</v>
      </c>
      <c r="Q79" s="16" t="s">
        <v>729</v>
      </c>
      <c r="R79" s="16" t="str">
        <f t="shared" si="21"/>
        <v>ABS 630AF/630AT 3P</v>
      </c>
      <c r="T79" s="16"/>
    </row>
    <row r="80" spans="2:20">
      <c r="B80" s="9" t="str">
        <f>D80&amp;"_"&amp;F80&amp;"_"&amp;H80&amp;"_"&amp;I80&amp;"_"&amp;J80</f>
        <v>E_VCB0201_VM_LS_ELC_500_630_4</v>
      </c>
      <c r="C80" s="16" t="s">
        <v>117</v>
      </c>
      <c r="D80" s="16" t="s">
        <v>116</v>
      </c>
      <c r="E80" s="16" t="s">
        <v>692</v>
      </c>
      <c r="F80" s="16" t="s">
        <v>693</v>
      </c>
      <c r="G80" s="16" t="s">
        <v>742</v>
      </c>
      <c r="H80" s="16">
        <v>500</v>
      </c>
      <c r="I80" s="16">
        <v>630</v>
      </c>
      <c r="J80" s="16">
        <v>4</v>
      </c>
      <c r="K80" s="16" t="s">
        <v>621</v>
      </c>
      <c r="L80" s="16">
        <v>213</v>
      </c>
      <c r="M80" s="16">
        <v>1108200</v>
      </c>
      <c r="N80" s="16"/>
      <c r="O80" s="16" t="s">
        <v>728</v>
      </c>
      <c r="P80" s="16" t="b">
        <v>1</v>
      </c>
      <c r="Q80" s="16" t="s">
        <v>729</v>
      </c>
      <c r="R80" s="16" t="str">
        <f t="shared" si="21"/>
        <v>ABS 630AF/500AT 4P</v>
      </c>
      <c r="T80" s="16"/>
    </row>
    <row r="81" spans="1:20">
      <c r="B81" s="9" t="str">
        <f>D81&amp;"_"&amp;F81&amp;"_"&amp;H81&amp;"_"&amp;I81&amp;"_"&amp;J81</f>
        <v>E_VCB0201_VM_LS_ELC_600_630_4</v>
      </c>
      <c r="C81" s="16" t="s">
        <v>117</v>
      </c>
      <c r="D81" s="16" t="s">
        <v>116</v>
      </c>
      <c r="E81" s="16" t="s">
        <v>692</v>
      </c>
      <c r="F81" s="16" t="s">
        <v>693</v>
      </c>
      <c r="G81" s="16" t="s">
        <v>742</v>
      </c>
      <c r="H81" s="16">
        <v>600</v>
      </c>
      <c r="I81" s="16">
        <v>630</v>
      </c>
      <c r="J81" s="16">
        <v>4</v>
      </c>
      <c r="K81" s="16" t="s">
        <v>621</v>
      </c>
      <c r="L81" s="16">
        <v>213</v>
      </c>
      <c r="M81" s="16">
        <v>1108200</v>
      </c>
      <c r="N81" s="16"/>
      <c r="O81" s="16" t="s">
        <v>728</v>
      </c>
      <c r="P81" s="16" t="b">
        <v>1</v>
      </c>
      <c r="Q81" s="16" t="s">
        <v>729</v>
      </c>
      <c r="R81" s="16" t="str">
        <f t="shared" si="21"/>
        <v>ABS 630AF/600AT 4P</v>
      </c>
      <c r="T81" s="16"/>
    </row>
    <row r="82" spans="1:20">
      <c r="B82" s="9" t="str">
        <f>D82&amp;"_"&amp;F82&amp;"_"&amp;H82&amp;"_"&amp;I82&amp;"_"&amp;J82</f>
        <v>E_VCB0201_VM_LS_ELC_630_630_4</v>
      </c>
      <c r="C82" s="16" t="s">
        <v>117</v>
      </c>
      <c r="D82" s="16" t="s">
        <v>116</v>
      </c>
      <c r="E82" s="16" t="s">
        <v>692</v>
      </c>
      <c r="F82" s="16" t="s">
        <v>693</v>
      </c>
      <c r="G82" s="16" t="s">
        <v>742</v>
      </c>
      <c r="H82" s="16">
        <v>630</v>
      </c>
      <c r="I82" s="16">
        <v>630</v>
      </c>
      <c r="J82" s="16">
        <v>4</v>
      </c>
      <c r="K82" s="16" t="s">
        <v>621</v>
      </c>
      <c r="L82" s="16">
        <v>213</v>
      </c>
      <c r="M82" s="16">
        <v>1108200</v>
      </c>
      <c r="N82" s="16"/>
      <c r="O82" s="16" t="s">
        <v>728</v>
      </c>
      <c r="P82" s="16" t="b">
        <v>1</v>
      </c>
      <c r="Q82" s="16" t="s">
        <v>729</v>
      </c>
      <c r="R82" s="16" t="str">
        <f t="shared" si="21"/>
        <v>ABS 630AF/630AT 4P</v>
      </c>
      <c r="T82" s="16"/>
    </row>
    <row r="83" spans="1:20">
      <c r="B83" s="9" t="str">
        <f>D83&amp;"_"&amp;F83&amp;"_"&amp;H83&amp;"_"&amp;I83&amp;"_"&amp;J83</f>
        <v>E_VCB0201_VM_LS_ELC_700_800_3</v>
      </c>
      <c r="C83" s="16" t="s">
        <v>117</v>
      </c>
      <c r="D83" s="16" t="s">
        <v>116</v>
      </c>
      <c r="E83" s="16" t="s">
        <v>692</v>
      </c>
      <c r="F83" s="16" t="s">
        <v>693</v>
      </c>
      <c r="G83" s="16" t="s">
        <v>743</v>
      </c>
      <c r="H83" s="16">
        <v>700</v>
      </c>
      <c r="I83" s="16">
        <v>800</v>
      </c>
      <c r="J83" s="16">
        <v>3</v>
      </c>
      <c r="K83" s="16" t="s">
        <v>621</v>
      </c>
      <c r="L83" s="16">
        <v>214</v>
      </c>
      <c r="M83" s="16">
        <v>1182600</v>
      </c>
      <c r="N83" s="16"/>
      <c r="O83" s="16" t="s">
        <v>728</v>
      </c>
      <c r="P83" s="16" t="b">
        <v>1</v>
      </c>
      <c r="Q83" s="16" t="s">
        <v>729</v>
      </c>
      <c r="R83" s="16" t="str">
        <f t="shared" ref="R83:R90" si="22">"ABS "&amp;I83&amp;"AF/"&amp;H83&amp;"AT "&amp;J83&amp;"P"</f>
        <v>ABS 800AF/700AT 3P</v>
      </c>
      <c r="T83" s="16"/>
    </row>
    <row r="84" spans="1:20">
      <c r="B84" s="9" t="str">
        <f t="shared" ref="B84:B98" si="23">D84&amp;"_"&amp;F84&amp;"_"&amp;H84&amp;"_"&amp;I84&amp;"_"&amp;J84</f>
        <v>E_VCB0201_VM_LS_ELC_800_800_3</v>
      </c>
      <c r="C84" s="16" t="s">
        <v>117</v>
      </c>
      <c r="D84" s="16" t="s">
        <v>116</v>
      </c>
      <c r="E84" s="16" t="s">
        <v>692</v>
      </c>
      <c r="F84" s="16" t="s">
        <v>693</v>
      </c>
      <c r="G84" s="16" t="s">
        <v>743</v>
      </c>
      <c r="H84" s="16">
        <v>800</v>
      </c>
      <c r="I84" s="16">
        <v>800</v>
      </c>
      <c r="J84" s="16">
        <v>3</v>
      </c>
      <c r="K84" s="16" t="s">
        <v>621</v>
      </c>
      <c r="L84" s="16">
        <v>214</v>
      </c>
      <c r="M84" s="16">
        <v>1182600</v>
      </c>
      <c r="N84" s="16"/>
      <c r="O84" s="16" t="s">
        <v>728</v>
      </c>
      <c r="P84" s="16" t="b">
        <v>1</v>
      </c>
      <c r="Q84" s="16" t="s">
        <v>729</v>
      </c>
      <c r="R84" s="16" t="str">
        <f t="shared" si="22"/>
        <v>ABS 800AF/800AT 3P</v>
      </c>
      <c r="T84" s="16"/>
    </row>
    <row r="85" spans="1:20">
      <c r="B85" s="9" t="str">
        <f t="shared" si="23"/>
        <v>E_VCB0201_VM_LS_ELC_700_800_4</v>
      </c>
      <c r="C85" s="16" t="s">
        <v>117</v>
      </c>
      <c r="D85" s="16" t="s">
        <v>116</v>
      </c>
      <c r="E85" s="16" t="s">
        <v>692</v>
      </c>
      <c r="F85" s="16" t="s">
        <v>693</v>
      </c>
      <c r="G85" s="16" t="s">
        <v>744</v>
      </c>
      <c r="H85" s="16">
        <v>700</v>
      </c>
      <c r="I85" s="16">
        <v>800</v>
      </c>
      <c r="J85" s="16">
        <v>4</v>
      </c>
      <c r="K85" s="16" t="s">
        <v>621</v>
      </c>
      <c r="L85" s="16">
        <v>215</v>
      </c>
      <c r="M85" s="16">
        <v>1377800</v>
      </c>
      <c r="N85" s="16"/>
      <c r="O85" s="16" t="s">
        <v>728</v>
      </c>
      <c r="P85" s="16" t="b">
        <v>1</v>
      </c>
      <c r="Q85" s="16" t="s">
        <v>729</v>
      </c>
      <c r="R85" s="16" t="str">
        <f t="shared" si="22"/>
        <v>ABS 800AF/700AT 4P</v>
      </c>
      <c r="T85" s="16"/>
    </row>
    <row r="86" spans="1:20">
      <c r="B86" s="9" t="str">
        <f t="shared" si="23"/>
        <v>E_VCB0201_VM_LS_ELC_800_800_4</v>
      </c>
      <c r="C86" s="16" t="s">
        <v>117</v>
      </c>
      <c r="D86" s="16" t="s">
        <v>116</v>
      </c>
      <c r="E86" s="16" t="s">
        <v>692</v>
      </c>
      <c r="F86" s="16" t="s">
        <v>693</v>
      </c>
      <c r="G86" s="16" t="s">
        <v>744</v>
      </c>
      <c r="H86" s="16">
        <v>800</v>
      </c>
      <c r="I86" s="16">
        <v>800</v>
      </c>
      <c r="J86" s="16">
        <v>4</v>
      </c>
      <c r="K86" s="16" t="s">
        <v>621</v>
      </c>
      <c r="L86" s="16">
        <v>215</v>
      </c>
      <c r="M86" s="16">
        <v>1377800</v>
      </c>
      <c r="N86" s="16"/>
      <c r="O86" s="16" t="s">
        <v>728</v>
      </c>
      <c r="P86" s="16" t="b">
        <v>1</v>
      </c>
      <c r="Q86" s="16" t="s">
        <v>729</v>
      </c>
      <c r="R86" s="16" t="str">
        <f t="shared" si="22"/>
        <v>ABS 800AF/800AT 4P</v>
      </c>
      <c r="T86" s="16"/>
    </row>
    <row r="87" spans="1:20">
      <c r="B87" s="9" t="str">
        <f t="shared" si="23"/>
        <v>E_VCB0201_VM_LS_ELC_1000_1000_3</v>
      </c>
      <c r="C87" s="16" t="s">
        <v>117</v>
      </c>
      <c r="D87" s="16" t="s">
        <v>116</v>
      </c>
      <c r="E87" s="16" t="s">
        <v>692</v>
      </c>
      <c r="F87" s="16" t="s">
        <v>693</v>
      </c>
      <c r="G87" s="16" t="s">
        <v>745</v>
      </c>
      <c r="H87" s="16">
        <v>1000</v>
      </c>
      <c r="I87" s="16">
        <v>1000</v>
      </c>
      <c r="J87" s="16">
        <v>3</v>
      </c>
      <c r="K87" s="16" t="s">
        <v>621</v>
      </c>
      <c r="L87" s="16"/>
      <c r="M87" s="16">
        <v>1449900</v>
      </c>
      <c r="N87" s="16"/>
      <c r="O87" s="16" t="s">
        <v>728</v>
      </c>
      <c r="P87" s="16" t="b">
        <v>1</v>
      </c>
      <c r="Q87" s="16" t="s">
        <v>729</v>
      </c>
      <c r="R87" s="16" t="str">
        <f t="shared" si="22"/>
        <v>ABS 1000AF/1000AT 3P</v>
      </c>
      <c r="T87" s="16"/>
    </row>
    <row r="88" spans="1:20">
      <c r="A88" s="36"/>
      <c r="B88" s="9" t="str">
        <f t="shared" si="23"/>
        <v>E_VCB0201_VM_LS_ELC_1000_1000_4</v>
      </c>
      <c r="C88" s="16" t="s">
        <v>117</v>
      </c>
      <c r="D88" s="16" t="s">
        <v>116</v>
      </c>
      <c r="E88" s="16" t="s">
        <v>692</v>
      </c>
      <c r="F88" s="16" t="s">
        <v>693</v>
      </c>
      <c r="G88" s="16" t="s">
        <v>746</v>
      </c>
      <c r="H88" s="16">
        <v>1000</v>
      </c>
      <c r="I88" s="16">
        <v>1000</v>
      </c>
      <c r="J88" s="16">
        <v>4</v>
      </c>
      <c r="K88" s="16" t="s">
        <v>621</v>
      </c>
      <c r="L88" s="16"/>
      <c r="M88" s="16">
        <v>1752800</v>
      </c>
      <c r="N88" s="16"/>
      <c r="O88" s="16" t="s">
        <v>728</v>
      </c>
      <c r="P88" s="16" t="b">
        <v>1</v>
      </c>
      <c r="Q88" s="16" t="s">
        <v>729</v>
      </c>
      <c r="R88" s="16" t="str">
        <f t="shared" si="22"/>
        <v>ABS 1000AF/1000AT 4P</v>
      </c>
      <c r="T88" s="16"/>
    </row>
    <row r="89" spans="1:20">
      <c r="A89" s="36"/>
      <c r="B89" s="9" t="str">
        <f t="shared" si="23"/>
        <v>E_VCB0201_VM_LS_ELC_1200_1200_3</v>
      </c>
      <c r="C89" s="16" t="s">
        <v>117</v>
      </c>
      <c r="D89" s="16" t="s">
        <v>116</v>
      </c>
      <c r="E89" s="16" t="s">
        <v>692</v>
      </c>
      <c r="F89" s="16" t="s">
        <v>693</v>
      </c>
      <c r="G89" s="16" t="s">
        <v>747</v>
      </c>
      <c r="H89" s="16">
        <v>1200</v>
      </c>
      <c r="I89" s="16">
        <v>1200</v>
      </c>
      <c r="J89" s="16">
        <v>3</v>
      </c>
      <c r="K89" s="16" t="s">
        <v>621</v>
      </c>
      <c r="L89" s="16"/>
      <c r="M89" s="16">
        <v>1738500</v>
      </c>
      <c r="N89" s="16"/>
      <c r="O89" s="16" t="s">
        <v>728</v>
      </c>
      <c r="P89" s="16" t="b">
        <v>1</v>
      </c>
      <c r="Q89" s="16" t="s">
        <v>729</v>
      </c>
      <c r="R89" s="16" t="str">
        <f t="shared" si="22"/>
        <v>ABS 1200AF/1200AT 3P</v>
      </c>
      <c r="T89" s="16"/>
    </row>
    <row r="90" spans="1:20">
      <c r="A90" s="36"/>
      <c r="B90" s="9" t="str">
        <f t="shared" si="23"/>
        <v>E_VCB0201_VM_LS_ELC_1200_1200_4</v>
      </c>
      <c r="C90" s="16" t="s">
        <v>117</v>
      </c>
      <c r="D90" s="16" t="s">
        <v>116</v>
      </c>
      <c r="E90" s="16" t="s">
        <v>692</v>
      </c>
      <c r="F90" s="16" t="s">
        <v>693</v>
      </c>
      <c r="G90" s="16" t="s">
        <v>748</v>
      </c>
      <c r="H90" s="16">
        <v>1200</v>
      </c>
      <c r="I90" s="16">
        <v>1200</v>
      </c>
      <c r="J90" s="16">
        <v>4</v>
      </c>
      <c r="K90" s="16" t="s">
        <v>621</v>
      </c>
      <c r="L90" s="16"/>
      <c r="M90" s="16">
        <v>2104700</v>
      </c>
      <c r="N90" s="16"/>
      <c r="O90" s="16" t="s">
        <v>728</v>
      </c>
      <c r="P90" s="16" t="b">
        <v>1</v>
      </c>
      <c r="Q90" s="16" t="s">
        <v>729</v>
      </c>
      <c r="R90" s="16" t="str">
        <f t="shared" si="22"/>
        <v>ABS 1200AF/1200AT 4P</v>
      </c>
      <c r="T90" s="16"/>
    </row>
    <row r="91" spans="1:20">
      <c r="A91" s="36"/>
      <c r="B91" s="9" t="str">
        <f t="shared" ref="B91" si="24">D91&amp;"_"&amp;F91&amp;"_"&amp;H91&amp;"_"&amp;I91&amp;"_"&amp;J91</f>
        <v>E_VCB0202_VM_LS_ELC_3_30_3</v>
      </c>
      <c r="C91" s="16" t="s">
        <v>119</v>
      </c>
      <c r="D91" s="16" t="s">
        <v>118</v>
      </c>
      <c r="E91" s="16" t="s">
        <v>692</v>
      </c>
      <c r="F91" s="16" t="s">
        <v>693</v>
      </c>
      <c r="G91" s="16" t="s">
        <v>749</v>
      </c>
      <c r="H91" s="16">
        <v>3</v>
      </c>
      <c r="I91" s="16">
        <v>30</v>
      </c>
      <c r="J91" s="16">
        <v>3</v>
      </c>
      <c r="K91" s="16" t="s">
        <v>621</v>
      </c>
      <c r="L91" s="16">
        <v>216</v>
      </c>
      <c r="M91" s="16">
        <v>80200</v>
      </c>
      <c r="N91" s="16"/>
      <c r="O91" s="16" t="s">
        <v>750</v>
      </c>
      <c r="P91" s="16" t="b">
        <v>1</v>
      </c>
      <c r="Q91" s="16" t="s">
        <v>729</v>
      </c>
      <c r="R91" s="16" t="str">
        <f t="shared" ref="R91" si="25">"EBS "&amp;I91&amp;"AF/"&amp;H91&amp;"AT "&amp;J91&amp;"P"</f>
        <v>EBS 30AF/3AT 3P</v>
      </c>
      <c r="T91" s="16"/>
    </row>
    <row r="92" spans="1:20">
      <c r="B92" s="9" t="str">
        <f t="shared" si="23"/>
        <v>E_VCB0202_VM_LS_ELC_5_30_3</v>
      </c>
      <c r="C92" s="16" t="s">
        <v>119</v>
      </c>
      <c r="D92" s="16" t="s">
        <v>118</v>
      </c>
      <c r="E92" s="16" t="s">
        <v>692</v>
      </c>
      <c r="F92" s="16" t="s">
        <v>693</v>
      </c>
      <c r="G92" s="16" t="s">
        <v>749</v>
      </c>
      <c r="H92" s="16">
        <v>5</v>
      </c>
      <c r="I92" s="16">
        <v>30</v>
      </c>
      <c r="J92" s="16">
        <v>3</v>
      </c>
      <c r="K92" s="16" t="s">
        <v>621</v>
      </c>
      <c r="L92" s="16">
        <v>216</v>
      </c>
      <c r="M92" s="16">
        <v>80200</v>
      </c>
      <c r="N92" s="16"/>
      <c r="O92" s="16" t="s">
        <v>750</v>
      </c>
      <c r="P92" s="16" t="b">
        <v>1</v>
      </c>
      <c r="Q92" s="16" t="s">
        <v>729</v>
      </c>
      <c r="R92" s="16" t="str">
        <f t="shared" ref="R92:R127" si="26">"EBS "&amp;I92&amp;"AF/"&amp;H92&amp;"AT "&amp;J92&amp;"P"</f>
        <v>EBS 30AF/5AT 3P</v>
      </c>
      <c r="T92" s="16"/>
    </row>
    <row r="93" spans="1:20">
      <c r="B93" s="9" t="str">
        <f t="shared" si="23"/>
        <v>E_VCB0202_VM_LS_ELC_10_30_3</v>
      </c>
      <c r="C93" s="16" t="s">
        <v>119</v>
      </c>
      <c r="D93" s="16" t="s">
        <v>118</v>
      </c>
      <c r="E93" s="16" t="s">
        <v>692</v>
      </c>
      <c r="F93" s="16" t="s">
        <v>693</v>
      </c>
      <c r="G93" s="16" t="s">
        <v>749</v>
      </c>
      <c r="H93" s="16">
        <v>10</v>
      </c>
      <c r="I93" s="16">
        <v>30</v>
      </c>
      <c r="J93" s="16">
        <v>3</v>
      </c>
      <c r="K93" s="16" t="s">
        <v>621</v>
      </c>
      <c r="L93" s="16">
        <v>216</v>
      </c>
      <c r="M93" s="16">
        <v>80200</v>
      </c>
      <c r="N93" s="16"/>
      <c r="O93" s="16" t="s">
        <v>750</v>
      </c>
      <c r="P93" s="16" t="b">
        <v>1</v>
      </c>
      <c r="Q93" s="16" t="s">
        <v>729</v>
      </c>
      <c r="R93" s="16" t="str">
        <f t="shared" si="26"/>
        <v>EBS 30AF/10AT 3P</v>
      </c>
      <c r="T93" s="16"/>
    </row>
    <row r="94" spans="1:20">
      <c r="B94" s="9" t="str">
        <f t="shared" si="23"/>
        <v>E_VCB0202_VM_LS_ELC_15_30_3</v>
      </c>
      <c r="C94" s="16" t="s">
        <v>119</v>
      </c>
      <c r="D94" s="16" t="s">
        <v>118</v>
      </c>
      <c r="E94" s="16" t="s">
        <v>692</v>
      </c>
      <c r="F94" s="16" t="s">
        <v>693</v>
      </c>
      <c r="G94" s="16" t="s">
        <v>749</v>
      </c>
      <c r="H94" s="16">
        <v>15</v>
      </c>
      <c r="I94" s="16">
        <v>30</v>
      </c>
      <c r="J94" s="16">
        <v>3</v>
      </c>
      <c r="K94" s="16" t="s">
        <v>621</v>
      </c>
      <c r="L94" s="16">
        <v>216</v>
      </c>
      <c r="M94" s="16">
        <v>80200</v>
      </c>
      <c r="N94" s="16"/>
      <c r="O94" s="16" t="s">
        <v>750</v>
      </c>
      <c r="P94" s="16" t="b">
        <v>1</v>
      </c>
      <c r="Q94" s="16" t="s">
        <v>729</v>
      </c>
      <c r="R94" s="16" t="str">
        <f t="shared" si="26"/>
        <v>EBS 30AF/15AT 3P</v>
      </c>
      <c r="T94" s="16"/>
    </row>
    <row r="95" spans="1:20">
      <c r="B95" s="9" t="str">
        <f t="shared" si="23"/>
        <v>E_VCB0202_VM_LS_ELC_16_30_3</v>
      </c>
      <c r="C95" s="16" t="s">
        <v>119</v>
      </c>
      <c r="D95" s="16" t="s">
        <v>118</v>
      </c>
      <c r="E95" s="16" t="s">
        <v>692</v>
      </c>
      <c r="F95" s="16" t="s">
        <v>693</v>
      </c>
      <c r="G95" s="16" t="s">
        <v>749</v>
      </c>
      <c r="H95" s="16">
        <v>16</v>
      </c>
      <c r="I95" s="16">
        <v>30</v>
      </c>
      <c r="J95" s="16">
        <v>3</v>
      </c>
      <c r="K95" s="16" t="s">
        <v>621</v>
      </c>
      <c r="L95" s="16">
        <v>216</v>
      </c>
      <c r="M95" s="16">
        <v>80200</v>
      </c>
      <c r="N95" s="16"/>
      <c r="O95" s="16" t="s">
        <v>750</v>
      </c>
      <c r="P95" s="16" t="b">
        <v>1</v>
      </c>
      <c r="Q95" s="16" t="s">
        <v>729</v>
      </c>
      <c r="R95" s="16" t="str">
        <f t="shared" si="26"/>
        <v>EBS 30AF/16AT 3P</v>
      </c>
      <c r="T95" s="16"/>
    </row>
    <row r="96" spans="1:20">
      <c r="B96" s="9" t="str">
        <f t="shared" si="23"/>
        <v>E_VCB0202_VM_LS_ELC_20_30_3</v>
      </c>
      <c r="C96" s="16" t="s">
        <v>119</v>
      </c>
      <c r="D96" s="16" t="s">
        <v>118</v>
      </c>
      <c r="E96" s="16" t="s">
        <v>692</v>
      </c>
      <c r="F96" s="16" t="s">
        <v>693</v>
      </c>
      <c r="G96" s="16" t="s">
        <v>749</v>
      </c>
      <c r="H96" s="16">
        <v>20</v>
      </c>
      <c r="I96" s="16">
        <v>30</v>
      </c>
      <c r="J96" s="16">
        <v>3</v>
      </c>
      <c r="K96" s="16" t="s">
        <v>621</v>
      </c>
      <c r="L96" s="16">
        <v>216</v>
      </c>
      <c r="M96" s="16">
        <v>80200</v>
      </c>
      <c r="N96" s="16"/>
      <c r="O96" s="16" t="s">
        <v>750</v>
      </c>
      <c r="P96" s="16" t="b">
        <v>1</v>
      </c>
      <c r="Q96" s="16" t="s">
        <v>729</v>
      </c>
      <c r="R96" s="16" t="str">
        <f t="shared" si="26"/>
        <v>EBS 30AF/20AT 3P</v>
      </c>
      <c r="T96" s="16"/>
    </row>
    <row r="97" spans="2:20">
      <c r="B97" s="9" t="str">
        <f t="shared" si="23"/>
        <v>E_VCB0202_VM_LS_ELC_25_30_3</v>
      </c>
      <c r="C97" s="16" t="s">
        <v>119</v>
      </c>
      <c r="D97" s="16" t="s">
        <v>118</v>
      </c>
      <c r="E97" s="16" t="s">
        <v>692</v>
      </c>
      <c r="F97" s="16" t="s">
        <v>693</v>
      </c>
      <c r="G97" s="16" t="s">
        <v>749</v>
      </c>
      <c r="H97" s="16">
        <v>25</v>
      </c>
      <c r="I97" s="16">
        <v>30</v>
      </c>
      <c r="J97" s="16">
        <v>3</v>
      </c>
      <c r="K97" s="16" t="s">
        <v>621</v>
      </c>
      <c r="L97" s="16">
        <v>216</v>
      </c>
      <c r="M97" s="16">
        <v>80200</v>
      </c>
      <c r="N97" s="16"/>
      <c r="O97" s="16" t="s">
        <v>750</v>
      </c>
      <c r="P97" s="16" t="b">
        <v>1</v>
      </c>
      <c r="Q97" s="16" t="s">
        <v>729</v>
      </c>
      <c r="R97" s="16" t="str">
        <f t="shared" si="26"/>
        <v>EBS 30AF/25AT 3P</v>
      </c>
      <c r="T97" s="16"/>
    </row>
    <row r="98" spans="2:20">
      <c r="B98" s="9" t="str">
        <f t="shared" si="23"/>
        <v>E_VCB0202_VM_LS_ELC_30_30_3</v>
      </c>
      <c r="C98" s="16" t="s">
        <v>119</v>
      </c>
      <c r="D98" s="16" t="s">
        <v>118</v>
      </c>
      <c r="E98" s="16" t="s">
        <v>692</v>
      </c>
      <c r="F98" s="16" t="s">
        <v>693</v>
      </c>
      <c r="G98" s="16" t="s">
        <v>749</v>
      </c>
      <c r="H98" s="16">
        <v>30</v>
      </c>
      <c r="I98" s="16">
        <v>30</v>
      </c>
      <c r="J98" s="16">
        <v>3</v>
      </c>
      <c r="K98" s="16" t="s">
        <v>621</v>
      </c>
      <c r="L98" s="16">
        <v>216</v>
      </c>
      <c r="M98" s="16">
        <v>80200</v>
      </c>
      <c r="N98" s="16"/>
      <c r="O98" s="16" t="s">
        <v>750</v>
      </c>
      <c r="P98" s="16" t="b">
        <v>1</v>
      </c>
      <c r="Q98" s="16" t="s">
        <v>729</v>
      </c>
      <c r="R98" s="16" t="str">
        <f t="shared" si="26"/>
        <v>EBS 30AF/30AT 3P</v>
      </c>
      <c r="T98" s="16"/>
    </row>
    <row r="99" spans="2:20">
      <c r="B99" s="9" t="str">
        <f>D99&amp;"_"&amp;F99&amp;"_"&amp;H99&amp;"_"&amp;I99&amp;"_"&amp;J99</f>
        <v>E_VCB0202_VM_LS_ELC_3_30_4</v>
      </c>
      <c r="C99" s="16" t="s">
        <v>119</v>
      </c>
      <c r="D99" s="16" t="s">
        <v>118</v>
      </c>
      <c r="E99" s="16" t="s">
        <v>692</v>
      </c>
      <c r="F99" s="16" t="s">
        <v>693</v>
      </c>
      <c r="G99" s="16" t="s">
        <v>751</v>
      </c>
      <c r="H99" s="16">
        <v>3</v>
      </c>
      <c r="I99" s="16">
        <v>30</v>
      </c>
      <c r="J99" s="16">
        <v>4</v>
      </c>
      <c r="K99" s="16" t="s">
        <v>621</v>
      </c>
      <c r="L99" s="16">
        <v>217</v>
      </c>
      <c r="M99" s="16">
        <v>110100</v>
      </c>
      <c r="N99" s="16"/>
      <c r="O99" s="16" t="s">
        <v>750</v>
      </c>
      <c r="P99" s="16" t="b">
        <v>1</v>
      </c>
      <c r="Q99" s="16" t="s">
        <v>729</v>
      </c>
      <c r="R99" s="16" t="str">
        <f t="shared" ref="R99" si="27">"EBS "&amp;I99&amp;"AF/"&amp;H99&amp;"AT "&amp;J99&amp;"P"</f>
        <v>EBS 30AF/3AT 4P</v>
      </c>
      <c r="T99" s="16"/>
    </row>
    <row r="100" spans="2:20">
      <c r="B100" s="9" t="str">
        <f>D100&amp;"_"&amp;F100&amp;"_"&amp;H100&amp;"_"&amp;I100&amp;"_"&amp;J100</f>
        <v>E_VCB0202_VM_LS_ELC_5_30_4</v>
      </c>
      <c r="C100" s="16" t="s">
        <v>119</v>
      </c>
      <c r="D100" s="16" t="s">
        <v>118</v>
      </c>
      <c r="E100" s="16" t="s">
        <v>692</v>
      </c>
      <c r="F100" s="16" t="s">
        <v>693</v>
      </c>
      <c r="G100" s="16" t="s">
        <v>751</v>
      </c>
      <c r="H100" s="16">
        <v>5</v>
      </c>
      <c r="I100" s="16">
        <v>30</v>
      </c>
      <c r="J100" s="16">
        <v>4</v>
      </c>
      <c r="K100" s="16" t="s">
        <v>621</v>
      </c>
      <c r="L100" s="16">
        <v>217</v>
      </c>
      <c r="M100" s="16">
        <v>110100</v>
      </c>
      <c r="N100" s="16"/>
      <c r="O100" s="16" t="s">
        <v>750</v>
      </c>
      <c r="P100" s="16" t="b">
        <v>1</v>
      </c>
      <c r="Q100" s="16" t="s">
        <v>729</v>
      </c>
      <c r="R100" s="16" t="str">
        <f t="shared" si="26"/>
        <v>EBS 30AF/5AT 4P</v>
      </c>
      <c r="T100" s="16"/>
    </row>
    <row r="101" spans="2:20">
      <c r="B101" s="9" t="str">
        <f t="shared" ref="B101:B106" si="28">D101&amp;"_"&amp;F101&amp;"_"&amp;H101&amp;"_"&amp;I101&amp;"_"&amp;J101</f>
        <v>E_VCB0202_VM_LS_ELC_10_30_4</v>
      </c>
      <c r="C101" s="16" t="s">
        <v>119</v>
      </c>
      <c r="D101" s="16" t="s">
        <v>118</v>
      </c>
      <c r="E101" s="16" t="s">
        <v>692</v>
      </c>
      <c r="F101" s="16" t="s">
        <v>693</v>
      </c>
      <c r="G101" s="16" t="s">
        <v>751</v>
      </c>
      <c r="H101" s="16">
        <v>10</v>
      </c>
      <c r="I101" s="16">
        <v>30</v>
      </c>
      <c r="J101" s="16">
        <v>4</v>
      </c>
      <c r="K101" s="16" t="s">
        <v>621</v>
      </c>
      <c r="L101" s="16">
        <v>217</v>
      </c>
      <c r="M101" s="16">
        <v>110100</v>
      </c>
      <c r="N101" s="16"/>
      <c r="O101" s="16" t="s">
        <v>750</v>
      </c>
      <c r="P101" s="16" t="b">
        <v>1</v>
      </c>
      <c r="Q101" s="16" t="s">
        <v>729</v>
      </c>
      <c r="R101" s="16" t="str">
        <f t="shared" si="26"/>
        <v>EBS 30AF/10AT 4P</v>
      </c>
      <c r="T101" s="16"/>
    </row>
    <row r="102" spans="2:20">
      <c r="B102" s="9" t="str">
        <f t="shared" si="28"/>
        <v>E_VCB0202_VM_LS_ELC_15_30_4</v>
      </c>
      <c r="C102" s="16" t="s">
        <v>119</v>
      </c>
      <c r="D102" s="16" t="s">
        <v>118</v>
      </c>
      <c r="E102" s="16" t="s">
        <v>692</v>
      </c>
      <c r="F102" s="16" t="s">
        <v>693</v>
      </c>
      <c r="G102" s="16" t="s">
        <v>751</v>
      </c>
      <c r="H102" s="16">
        <v>15</v>
      </c>
      <c r="I102" s="16">
        <v>30</v>
      </c>
      <c r="J102" s="16">
        <v>4</v>
      </c>
      <c r="K102" s="16" t="s">
        <v>621</v>
      </c>
      <c r="L102" s="16">
        <v>217</v>
      </c>
      <c r="M102" s="16">
        <v>110100</v>
      </c>
      <c r="N102" s="16"/>
      <c r="O102" s="16" t="s">
        <v>750</v>
      </c>
      <c r="P102" s="16" t="b">
        <v>1</v>
      </c>
      <c r="Q102" s="16" t="s">
        <v>729</v>
      </c>
      <c r="R102" s="16" t="str">
        <f t="shared" si="26"/>
        <v>EBS 30AF/15AT 4P</v>
      </c>
      <c r="T102" s="16"/>
    </row>
    <row r="103" spans="2:20">
      <c r="B103" s="9" t="str">
        <f t="shared" si="28"/>
        <v>E_VCB0202_VM_LS_ELC_16_30_4</v>
      </c>
      <c r="C103" s="16" t="s">
        <v>119</v>
      </c>
      <c r="D103" s="16" t="s">
        <v>118</v>
      </c>
      <c r="E103" s="16" t="s">
        <v>692</v>
      </c>
      <c r="F103" s="16" t="s">
        <v>693</v>
      </c>
      <c r="G103" s="16" t="s">
        <v>751</v>
      </c>
      <c r="H103" s="16">
        <v>16</v>
      </c>
      <c r="I103" s="16">
        <v>30</v>
      </c>
      <c r="J103" s="16">
        <v>4</v>
      </c>
      <c r="K103" s="16" t="s">
        <v>621</v>
      </c>
      <c r="L103" s="16">
        <v>217</v>
      </c>
      <c r="M103" s="16">
        <v>110100</v>
      </c>
      <c r="N103" s="16"/>
      <c r="O103" s="16" t="s">
        <v>750</v>
      </c>
      <c r="P103" s="16" t="b">
        <v>1</v>
      </c>
      <c r="Q103" s="16" t="s">
        <v>729</v>
      </c>
      <c r="R103" s="16" t="str">
        <f t="shared" si="26"/>
        <v>EBS 30AF/16AT 4P</v>
      </c>
      <c r="T103" s="16"/>
    </row>
    <row r="104" spans="2:20">
      <c r="B104" s="9" t="str">
        <f t="shared" si="28"/>
        <v>E_VCB0202_VM_LS_ELC_20_30_4</v>
      </c>
      <c r="C104" s="16" t="s">
        <v>119</v>
      </c>
      <c r="D104" s="16" t="s">
        <v>118</v>
      </c>
      <c r="E104" s="16" t="s">
        <v>692</v>
      </c>
      <c r="F104" s="16" t="s">
        <v>693</v>
      </c>
      <c r="G104" s="16" t="s">
        <v>751</v>
      </c>
      <c r="H104" s="16">
        <v>20</v>
      </c>
      <c r="I104" s="16">
        <v>30</v>
      </c>
      <c r="J104" s="16">
        <v>4</v>
      </c>
      <c r="K104" s="16" t="s">
        <v>621</v>
      </c>
      <c r="L104" s="16">
        <v>217</v>
      </c>
      <c r="M104" s="16">
        <v>110100</v>
      </c>
      <c r="N104" s="16"/>
      <c r="O104" s="16" t="s">
        <v>750</v>
      </c>
      <c r="P104" s="16" t="b">
        <v>1</v>
      </c>
      <c r="Q104" s="16" t="s">
        <v>729</v>
      </c>
      <c r="R104" s="16" t="str">
        <f t="shared" si="26"/>
        <v>EBS 30AF/20AT 4P</v>
      </c>
      <c r="T104" s="16"/>
    </row>
    <row r="105" spans="2:20">
      <c r="B105" s="9" t="str">
        <f t="shared" si="28"/>
        <v>E_VCB0202_VM_LS_ELC_25_30_4</v>
      </c>
      <c r="C105" s="16" t="s">
        <v>119</v>
      </c>
      <c r="D105" s="16" t="s">
        <v>118</v>
      </c>
      <c r="E105" s="16" t="s">
        <v>692</v>
      </c>
      <c r="F105" s="16" t="s">
        <v>693</v>
      </c>
      <c r="G105" s="16" t="s">
        <v>751</v>
      </c>
      <c r="H105" s="16">
        <v>25</v>
      </c>
      <c r="I105" s="16">
        <v>30</v>
      </c>
      <c r="J105" s="16">
        <v>4</v>
      </c>
      <c r="K105" s="16" t="s">
        <v>621</v>
      </c>
      <c r="L105" s="16">
        <v>217</v>
      </c>
      <c r="M105" s="16">
        <v>110100</v>
      </c>
      <c r="N105" s="16"/>
      <c r="O105" s="16" t="s">
        <v>750</v>
      </c>
      <c r="P105" s="16" t="b">
        <v>1</v>
      </c>
      <c r="Q105" s="16" t="s">
        <v>729</v>
      </c>
      <c r="R105" s="16" t="str">
        <f t="shared" si="26"/>
        <v>EBS 30AF/25AT 4P</v>
      </c>
      <c r="T105" s="16"/>
    </row>
    <row r="106" spans="2:20">
      <c r="B106" s="9" t="str">
        <f t="shared" si="28"/>
        <v>E_VCB0202_VM_LS_ELC_30_30_4</v>
      </c>
      <c r="C106" s="16" t="s">
        <v>119</v>
      </c>
      <c r="D106" s="16" t="s">
        <v>118</v>
      </c>
      <c r="E106" s="16" t="s">
        <v>692</v>
      </c>
      <c r="F106" s="16" t="s">
        <v>693</v>
      </c>
      <c r="G106" s="16" t="s">
        <v>751</v>
      </c>
      <c r="H106" s="16">
        <v>30</v>
      </c>
      <c r="I106" s="16">
        <v>30</v>
      </c>
      <c r="J106" s="16">
        <v>4</v>
      </c>
      <c r="K106" s="16" t="s">
        <v>621</v>
      </c>
      <c r="L106" s="16">
        <v>217</v>
      </c>
      <c r="M106" s="16">
        <v>110100</v>
      </c>
      <c r="N106" s="16"/>
      <c r="O106" s="16" t="s">
        <v>750</v>
      </c>
      <c r="P106" s="16" t="b">
        <v>1</v>
      </c>
      <c r="Q106" s="16" t="s">
        <v>729</v>
      </c>
      <c r="R106" s="16" t="str">
        <f t="shared" si="26"/>
        <v>EBS 30AF/30AT 4P</v>
      </c>
      <c r="T106" s="16"/>
    </row>
    <row r="107" spans="2:20">
      <c r="B107" s="9" t="str">
        <f t="shared" ref="B107:B109" si="29">D107&amp;"_"&amp;F107&amp;"_"&amp;H107&amp;"_"&amp;I107&amp;"_"&amp;J107</f>
        <v>E_VCB0202_VM_LS_ELC_32_50_3</v>
      </c>
      <c r="C107" s="16" t="s">
        <v>119</v>
      </c>
      <c r="D107" s="16" t="s">
        <v>118</v>
      </c>
      <c r="E107" s="16" t="s">
        <v>692</v>
      </c>
      <c r="F107" s="16" t="s">
        <v>693</v>
      </c>
      <c r="G107" s="16" t="s">
        <v>752</v>
      </c>
      <c r="H107" s="16">
        <v>32</v>
      </c>
      <c r="I107" s="16">
        <v>50</v>
      </c>
      <c r="J107" s="16">
        <v>3</v>
      </c>
      <c r="K107" s="16" t="s">
        <v>621</v>
      </c>
      <c r="L107" s="16">
        <v>218</v>
      </c>
      <c r="M107" s="16">
        <v>131400</v>
      </c>
      <c r="N107" s="16"/>
      <c r="O107" s="16" t="s">
        <v>750</v>
      </c>
      <c r="P107" s="16" t="b">
        <v>1</v>
      </c>
      <c r="Q107" s="16" t="s">
        <v>729</v>
      </c>
      <c r="R107" s="16" t="str">
        <f t="shared" si="26"/>
        <v>EBS 50AF/32AT 3P</v>
      </c>
      <c r="T107" s="16"/>
    </row>
    <row r="108" spans="2:20">
      <c r="B108" s="9" t="str">
        <f t="shared" si="29"/>
        <v>E_VCB0202_VM_LS_ELC_40_50_3</v>
      </c>
      <c r="C108" s="16" t="s">
        <v>119</v>
      </c>
      <c r="D108" s="16" t="s">
        <v>118</v>
      </c>
      <c r="E108" s="16" t="s">
        <v>692</v>
      </c>
      <c r="F108" s="16" t="s">
        <v>693</v>
      </c>
      <c r="G108" s="16" t="s">
        <v>752</v>
      </c>
      <c r="H108" s="16">
        <v>40</v>
      </c>
      <c r="I108" s="16">
        <v>50</v>
      </c>
      <c r="J108" s="16">
        <v>3</v>
      </c>
      <c r="K108" s="16" t="s">
        <v>621</v>
      </c>
      <c r="L108" s="16">
        <v>218</v>
      </c>
      <c r="M108" s="16">
        <v>131400</v>
      </c>
      <c r="N108" s="16"/>
      <c r="O108" s="16" t="s">
        <v>750</v>
      </c>
      <c r="P108" s="16" t="b">
        <v>1</v>
      </c>
      <c r="Q108" s="16" t="s">
        <v>729</v>
      </c>
      <c r="R108" s="16" t="str">
        <f t="shared" si="26"/>
        <v>EBS 50AF/40AT 3P</v>
      </c>
      <c r="T108" s="16"/>
    </row>
    <row r="109" spans="2:20">
      <c r="B109" s="9" t="str">
        <f t="shared" si="29"/>
        <v>E_VCB0202_VM_LS_ELC_50_50_3</v>
      </c>
      <c r="C109" s="16" t="s">
        <v>119</v>
      </c>
      <c r="D109" s="16" t="s">
        <v>118</v>
      </c>
      <c r="E109" s="16" t="s">
        <v>692</v>
      </c>
      <c r="F109" s="16" t="s">
        <v>693</v>
      </c>
      <c r="G109" s="16" t="s">
        <v>752</v>
      </c>
      <c r="H109" s="16">
        <v>50</v>
      </c>
      <c r="I109" s="16">
        <v>50</v>
      </c>
      <c r="J109" s="16">
        <v>3</v>
      </c>
      <c r="K109" s="16" t="s">
        <v>621</v>
      </c>
      <c r="L109" s="16">
        <v>218</v>
      </c>
      <c r="M109" s="16">
        <v>131400</v>
      </c>
      <c r="N109" s="16"/>
      <c r="O109" s="16" t="s">
        <v>750</v>
      </c>
      <c r="P109" s="16" t="b">
        <v>1</v>
      </c>
      <c r="Q109" s="16" t="s">
        <v>729</v>
      </c>
      <c r="R109" s="16" t="str">
        <f t="shared" si="26"/>
        <v>EBS 50AF/50AT 3P</v>
      </c>
      <c r="T109" s="16"/>
    </row>
    <row r="110" spans="2:20">
      <c r="B110" s="9" t="str">
        <f t="shared" ref="B110:B112" si="30">D110&amp;"_"&amp;F110&amp;"_"&amp;H110&amp;"_"&amp;I110&amp;"_"&amp;J110</f>
        <v>E_VCB0202_VM_LS_ELC_32_50_4</v>
      </c>
      <c r="C110" s="16" t="s">
        <v>119</v>
      </c>
      <c r="D110" s="16" t="s">
        <v>118</v>
      </c>
      <c r="E110" s="16" t="s">
        <v>692</v>
      </c>
      <c r="F110" s="16" t="s">
        <v>693</v>
      </c>
      <c r="G110" s="16" t="s">
        <v>753</v>
      </c>
      <c r="H110" s="16">
        <v>32</v>
      </c>
      <c r="I110" s="16">
        <v>50</v>
      </c>
      <c r="J110" s="16">
        <v>4</v>
      </c>
      <c r="K110" s="16" t="s">
        <v>621</v>
      </c>
      <c r="L110" s="16">
        <v>219</v>
      </c>
      <c r="M110" s="16">
        <v>143400</v>
      </c>
      <c r="N110" s="16"/>
      <c r="O110" s="16" t="s">
        <v>750</v>
      </c>
      <c r="P110" s="16" t="b">
        <v>1</v>
      </c>
      <c r="Q110" s="16" t="s">
        <v>729</v>
      </c>
      <c r="R110" s="16" t="str">
        <f t="shared" si="26"/>
        <v>EBS 50AF/32AT 4P</v>
      </c>
      <c r="T110" s="16"/>
    </row>
    <row r="111" spans="2:20">
      <c r="B111" s="9" t="str">
        <f t="shared" si="30"/>
        <v>E_VCB0202_VM_LS_ELC_40_50_4</v>
      </c>
      <c r="C111" s="16" t="s">
        <v>119</v>
      </c>
      <c r="D111" s="16" t="s">
        <v>118</v>
      </c>
      <c r="E111" s="16" t="s">
        <v>692</v>
      </c>
      <c r="F111" s="16" t="s">
        <v>693</v>
      </c>
      <c r="G111" s="16" t="s">
        <v>753</v>
      </c>
      <c r="H111" s="16">
        <v>40</v>
      </c>
      <c r="I111" s="16">
        <v>50</v>
      </c>
      <c r="J111" s="16">
        <v>4</v>
      </c>
      <c r="K111" s="16" t="s">
        <v>621</v>
      </c>
      <c r="L111" s="16">
        <v>219</v>
      </c>
      <c r="M111" s="16">
        <v>143400</v>
      </c>
      <c r="N111" s="16"/>
      <c r="O111" s="16" t="s">
        <v>750</v>
      </c>
      <c r="P111" s="16" t="b">
        <v>1</v>
      </c>
      <c r="Q111" s="16" t="s">
        <v>729</v>
      </c>
      <c r="R111" s="16" t="str">
        <f t="shared" si="26"/>
        <v>EBS 50AF/40AT 4P</v>
      </c>
      <c r="T111" s="16"/>
    </row>
    <row r="112" spans="2:20">
      <c r="B112" s="9" t="str">
        <f t="shared" si="30"/>
        <v>E_VCB0202_VM_LS_ELC_50_50_4</v>
      </c>
      <c r="C112" s="16" t="s">
        <v>119</v>
      </c>
      <c r="D112" s="16" t="s">
        <v>118</v>
      </c>
      <c r="E112" s="16" t="s">
        <v>692</v>
      </c>
      <c r="F112" s="16" t="s">
        <v>693</v>
      </c>
      <c r="G112" s="16" t="s">
        <v>753</v>
      </c>
      <c r="H112" s="16">
        <v>50</v>
      </c>
      <c r="I112" s="16">
        <v>50</v>
      </c>
      <c r="J112" s="16">
        <v>4</v>
      </c>
      <c r="K112" s="16" t="s">
        <v>621</v>
      </c>
      <c r="L112" s="16">
        <v>219</v>
      </c>
      <c r="M112" s="16">
        <v>143400</v>
      </c>
      <c r="N112" s="16"/>
      <c r="O112" s="16" t="s">
        <v>750</v>
      </c>
      <c r="P112" s="16" t="b">
        <v>1</v>
      </c>
      <c r="Q112" s="16" t="s">
        <v>729</v>
      </c>
      <c r="R112" s="16" t="str">
        <f t="shared" si="26"/>
        <v>EBS 50AF/50AT 4P</v>
      </c>
      <c r="T112" s="16"/>
    </row>
    <row r="113" spans="2:20">
      <c r="B113" s="9" t="str">
        <f>D113&amp;"_"&amp;F113&amp;"_"&amp;H113&amp;"_"&amp;I113&amp;"_"&amp;J113</f>
        <v>E_VCB0202_VM_LS_ELC_60_60_3</v>
      </c>
      <c r="C113" s="16" t="s">
        <v>119</v>
      </c>
      <c r="D113" s="16" t="s">
        <v>118</v>
      </c>
      <c r="E113" s="16" t="s">
        <v>692</v>
      </c>
      <c r="F113" s="16" t="s">
        <v>693</v>
      </c>
      <c r="G113" s="16" t="s">
        <v>754</v>
      </c>
      <c r="H113" s="16">
        <v>60</v>
      </c>
      <c r="I113" s="16">
        <v>60</v>
      </c>
      <c r="J113" s="16">
        <v>3</v>
      </c>
      <c r="K113" s="16" t="s">
        <v>621</v>
      </c>
      <c r="L113" s="16">
        <v>220</v>
      </c>
      <c r="M113" s="16">
        <v>133900</v>
      </c>
      <c r="N113" s="16"/>
      <c r="O113" s="16" t="s">
        <v>750</v>
      </c>
      <c r="P113" s="16" t="b">
        <v>1</v>
      </c>
      <c r="Q113" s="16" t="s">
        <v>729</v>
      </c>
      <c r="R113" s="16" t="str">
        <f t="shared" si="26"/>
        <v>EBS 60AF/60AT 3P</v>
      </c>
      <c r="T113" s="16"/>
    </row>
    <row r="114" spans="2:20">
      <c r="B114" s="9" t="str">
        <f>D114&amp;"_"&amp;F114&amp;"_"&amp;H114&amp;"_"&amp;I114&amp;"_"&amp;J114</f>
        <v>E_VCB0202_VM_LS_ELC_60_60_4</v>
      </c>
      <c r="C114" s="16" t="s">
        <v>119</v>
      </c>
      <c r="D114" s="16" t="s">
        <v>118</v>
      </c>
      <c r="E114" s="16" t="s">
        <v>692</v>
      </c>
      <c r="F114" s="16" t="s">
        <v>693</v>
      </c>
      <c r="G114" s="16" t="s">
        <v>755</v>
      </c>
      <c r="H114" s="16">
        <v>60</v>
      </c>
      <c r="I114" s="16">
        <v>60</v>
      </c>
      <c r="J114" s="16">
        <v>4</v>
      </c>
      <c r="K114" s="16" t="s">
        <v>621</v>
      </c>
      <c r="L114" s="16">
        <v>221</v>
      </c>
      <c r="M114" s="16">
        <v>170400</v>
      </c>
      <c r="N114" s="16"/>
      <c r="O114" s="16" t="s">
        <v>750</v>
      </c>
      <c r="P114" s="16" t="b">
        <v>1</v>
      </c>
      <c r="Q114" s="16" t="s">
        <v>729</v>
      </c>
      <c r="R114" s="16" t="str">
        <f t="shared" si="26"/>
        <v>EBS 60AF/60AT 4P</v>
      </c>
      <c r="T114" s="16"/>
    </row>
    <row r="115" spans="2:20">
      <c r="B115" s="9" t="str">
        <f t="shared" ref="B115:B119" si="31">D115&amp;"_"&amp;F115&amp;"_"&amp;H115&amp;"_"&amp;I115&amp;"_"&amp;J115</f>
        <v>E_VCB0202_VM_LS_ELC_63_125_3</v>
      </c>
      <c r="C115" s="16" t="s">
        <v>119</v>
      </c>
      <c r="D115" s="16" t="s">
        <v>118</v>
      </c>
      <c r="E115" s="16" t="s">
        <v>692</v>
      </c>
      <c r="F115" s="16" t="s">
        <v>693</v>
      </c>
      <c r="G115" s="16" t="s">
        <v>756</v>
      </c>
      <c r="H115" s="16">
        <v>63</v>
      </c>
      <c r="I115" s="16">
        <v>125</v>
      </c>
      <c r="J115" s="16">
        <v>3</v>
      </c>
      <c r="K115" s="16" t="s">
        <v>621</v>
      </c>
      <c r="L115" s="16">
        <v>222</v>
      </c>
      <c r="M115" s="16">
        <v>178100</v>
      </c>
      <c r="N115" s="16"/>
      <c r="O115" s="16" t="s">
        <v>750</v>
      </c>
      <c r="P115" s="16" t="b">
        <v>1</v>
      </c>
      <c r="Q115" s="16" t="s">
        <v>729</v>
      </c>
      <c r="R115" s="16" t="str">
        <f t="shared" si="26"/>
        <v>EBS 125AF/63AT 3P</v>
      </c>
      <c r="T115" s="16"/>
    </row>
    <row r="116" spans="2:20">
      <c r="B116" s="9" t="str">
        <f t="shared" si="31"/>
        <v>E_VCB0202_VM_LS_ELC_75_125_3</v>
      </c>
      <c r="C116" s="16" t="s">
        <v>119</v>
      </c>
      <c r="D116" s="16" t="s">
        <v>118</v>
      </c>
      <c r="E116" s="16" t="s">
        <v>692</v>
      </c>
      <c r="F116" s="16" t="s">
        <v>693</v>
      </c>
      <c r="G116" s="16" t="s">
        <v>756</v>
      </c>
      <c r="H116" s="16">
        <v>75</v>
      </c>
      <c r="I116" s="16">
        <v>125</v>
      </c>
      <c r="J116" s="16">
        <v>3</v>
      </c>
      <c r="K116" s="16" t="s">
        <v>621</v>
      </c>
      <c r="L116" s="16">
        <v>222</v>
      </c>
      <c r="M116" s="16">
        <v>178100</v>
      </c>
      <c r="N116" s="16"/>
      <c r="O116" s="16" t="s">
        <v>750</v>
      </c>
      <c r="P116" s="16" t="b">
        <v>1</v>
      </c>
      <c r="Q116" s="16" t="s">
        <v>729</v>
      </c>
      <c r="R116" s="16" t="str">
        <f t="shared" si="26"/>
        <v>EBS 125AF/75AT 3P</v>
      </c>
      <c r="T116" s="16"/>
    </row>
    <row r="117" spans="2:20">
      <c r="B117" s="9" t="str">
        <f t="shared" si="31"/>
        <v>E_VCB0202_VM_LS_ELC_80_125_3</v>
      </c>
      <c r="C117" s="16" t="s">
        <v>119</v>
      </c>
      <c r="D117" s="16" t="s">
        <v>118</v>
      </c>
      <c r="E117" s="16" t="s">
        <v>692</v>
      </c>
      <c r="F117" s="16" t="s">
        <v>693</v>
      </c>
      <c r="G117" s="16" t="s">
        <v>756</v>
      </c>
      <c r="H117" s="16">
        <v>80</v>
      </c>
      <c r="I117" s="16">
        <v>125</v>
      </c>
      <c r="J117" s="16">
        <v>3</v>
      </c>
      <c r="K117" s="16" t="s">
        <v>621</v>
      </c>
      <c r="L117" s="16">
        <v>222</v>
      </c>
      <c r="M117" s="16">
        <v>178100</v>
      </c>
      <c r="N117" s="16"/>
      <c r="O117" s="16" t="s">
        <v>750</v>
      </c>
      <c r="P117" s="16" t="b">
        <v>1</v>
      </c>
      <c r="Q117" s="16" t="s">
        <v>729</v>
      </c>
      <c r="R117" s="16" t="str">
        <f t="shared" si="26"/>
        <v>EBS 125AF/80AT 3P</v>
      </c>
      <c r="T117" s="16"/>
    </row>
    <row r="118" spans="2:20">
      <c r="B118" s="9" t="str">
        <f t="shared" si="31"/>
        <v>E_VCB0202_VM_LS_ELC_100_125_3</v>
      </c>
      <c r="C118" s="16" t="s">
        <v>119</v>
      </c>
      <c r="D118" s="16" t="s">
        <v>118</v>
      </c>
      <c r="E118" s="16" t="s">
        <v>692</v>
      </c>
      <c r="F118" s="16" t="s">
        <v>693</v>
      </c>
      <c r="G118" s="16" t="s">
        <v>756</v>
      </c>
      <c r="H118" s="16">
        <v>100</v>
      </c>
      <c r="I118" s="16">
        <v>125</v>
      </c>
      <c r="J118" s="16">
        <v>3</v>
      </c>
      <c r="K118" s="16" t="s">
        <v>621</v>
      </c>
      <c r="L118" s="16">
        <v>222</v>
      </c>
      <c r="M118" s="16">
        <v>178100</v>
      </c>
      <c r="N118" s="16"/>
      <c r="O118" s="16" t="s">
        <v>750</v>
      </c>
      <c r="P118" s="16" t="b">
        <v>1</v>
      </c>
      <c r="Q118" s="16" t="s">
        <v>729</v>
      </c>
      <c r="R118" s="16" t="str">
        <f t="shared" si="26"/>
        <v>EBS 125AF/100AT 3P</v>
      </c>
      <c r="T118" s="16"/>
    </row>
    <row r="119" spans="2:20">
      <c r="B119" s="9" t="str">
        <f t="shared" si="31"/>
        <v>E_VCB0202_VM_LS_ELC_125_125_3</v>
      </c>
      <c r="C119" s="16" t="s">
        <v>119</v>
      </c>
      <c r="D119" s="16" t="s">
        <v>118</v>
      </c>
      <c r="E119" s="16" t="s">
        <v>692</v>
      </c>
      <c r="F119" s="16" t="s">
        <v>693</v>
      </c>
      <c r="G119" s="16" t="s">
        <v>756</v>
      </c>
      <c r="H119" s="16">
        <v>125</v>
      </c>
      <c r="I119" s="16">
        <v>125</v>
      </c>
      <c r="J119" s="16">
        <v>3</v>
      </c>
      <c r="K119" s="16" t="s">
        <v>621</v>
      </c>
      <c r="L119" s="16">
        <v>222</v>
      </c>
      <c r="M119" s="16">
        <v>178100</v>
      </c>
      <c r="N119" s="16"/>
      <c r="O119" s="16" t="s">
        <v>750</v>
      </c>
      <c r="P119" s="16" t="b">
        <v>1</v>
      </c>
      <c r="Q119" s="16" t="s">
        <v>729</v>
      </c>
      <c r="R119" s="16" t="str">
        <f t="shared" si="26"/>
        <v>EBS 125AF/125AT 3P</v>
      </c>
      <c r="T119" s="16"/>
    </row>
    <row r="120" spans="2:20">
      <c r="B120" s="9" t="str">
        <f t="shared" ref="B120:B125" si="32">D120&amp;"_"&amp;F120&amp;"_"&amp;H120&amp;"_"&amp;I120&amp;"_"&amp;J120</f>
        <v>E_VCB0202_VM_LS_ELC_60_125_4</v>
      </c>
      <c r="C120" s="16" t="s">
        <v>119</v>
      </c>
      <c r="D120" s="16" t="s">
        <v>118</v>
      </c>
      <c r="E120" s="16" t="s">
        <v>692</v>
      </c>
      <c r="F120" s="16" t="s">
        <v>693</v>
      </c>
      <c r="G120" s="16" t="s">
        <v>757</v>
      </c>
      <c r="H120" s="16">
        <v>60</v>
      </c>
      <c r="I120" s="16">
        <v>125</v>
      </c>
      <c r="J120" s="16">
        <v>4</v>
      </c>
      <c r="K120" s="16" t="s">
        <v>621</v>
      </c>
      <c r="L120" s="16">
        <v>223</v>
      </c>
      <c r="M120" s="16">
        <v>213900</v>
      </c>
      <c r="N120" s="16"/>
      <c r="O120" s="16" t="s">
        <v>750</v>
      </c>
      <c r="P120" s="16" t="b">
        <v>1</v>
      </c>
      <c r="Q120" s="16" t="s">
        <v>729</v>
      </c>
      <c r="R120" s="16" t="str">
        <f t="shared" si="26"/>
        <v>EBS 125AF/60AT 4P</v>
      </c>
      <c r="T120" s="16"/>
    </row>
    <row r="121" spans="2:20">
      <c r="B121" s="9" t="str">
        <f t="shared" si="32"/>
        <v>E_VCB0202_VM_LS_ELC_63_125_4</v>
      </c>
      <c r="C121" s="16" t="s">
        <v>119</v>
      </c>
      <c r="D121" s="16" t="s">
        <v>118</v>
      </c>
      <c r="E121" s="16" t="s">
        <v>692</v>
      </c>
      <c r="F121" s="16" t="s">
        <v>693</v>
      </c>
      <c r="G121" s="16" t="s">
        <v>757</v>
      </c>
      <c r="H121" s="16">
        <v>63</v>
      </c>
      <c r="I121" s="16">
        <v>125</v>
      </c>
      <c r="J121" s="16">
        <v>4</v>
      </c>
      <c r="K121" s="16" t="s">
        <v>621</v>
      </c>
      <c r="L121" s="16">
        <v>223</v>
      </c>
      <c r="M121" s="16">
        <v>213900</v>
      </c>
      <c r="N121" s="16"/>
      <c r="O121" s="16" t="s">
        <v>750</v>
      </c>
      <c r="P121" s="16" t="b">
        <v>1</v>
      </c>
      <c r="Q121" s="16" t="s">
        <v>729</v>
      </c>
      <c r="R121" s="16" t="str">
        <f t="shared" si="26"/>
        <v>EBS 125AF/63AT 4P</v>
      </c>
      <c r="T121" s="16"/>
    </row>
    <row r="122" spans="2:20">
      <c r="B122" s="9" t="str">
        <f t="shared" si="32"/>
        <v>E_VCB0202_VM_LS_ELC_75_125_4</v>
      </c>
      <c r="C122" s="16" t="s">
        <v>119</v>
      </c>
      <c r="D122" s="16" t="s">
        <v>118</v>
      </c>
      <c r="E122" s="16" t="s">
        <v>692</v>
      </c>
      <c r="F122" s="16" t="s">
        <v>693</v>
      </c>
      <c r="G122" s="16" t="s">
        <v>757</v>
      </c>
      <c r="H122" s="16">
        <v>75</v>
      </c>
      <c r="I122" s="16">
        <v>125</v>
      </c>
      <c r="J122" s="16">
        <v>4</v>
      </c>
      <c r="K122" s="16" t="s">
        <v>621</v>
      </c>
      <c r="L122" s="16">
        <v>223</v>
      </c>
      <c r="M122" s="16">
        <v>213900</v>
      </c>
      <c r="N122" s="16"/>
      <c r="O122" s="16" t="s">
        <v>750</v>
      </c>
      <c r="P122" s="16" t="b">
        <v>1</v>
      </c>
      <c r="Q122" s="16" t="s">
        <v>729</v>
      </c>
      <c r="R122" s="16" t="str">
        <f t="shared" si="26"/>
        <v>EBS 125AF/75AT 4P</v>
      </c>
      <c r="T122" s="16"/>
    </row>
    <row r="123" spans="2:20">
      <c r="B123" s="9" t="str">
        <f t="shared" si="32"/>
        <v>E_VCB0202_VM_LS_ELC_80_125_4</v>
      </c>
      <c r="C123" s="16" t="s">
        <v>119</v>
      </c>
      <c r="D123" s="16" t="s">
        <v>118</v>
      </c>
      <c r="E123" s="16" t="s">
        <v>692</v>
      </c>
      <c r="F123" s="16" t="s">
        <v>693</v>
      </c>
      <c r="G123" s="16" t="s">
        <v>757</v>
      </c>
      <c r="H123" s="16">
        <v>80</v>
      </c>
      <c r="I123" s="16">
        <v>125</v>
      </c>
      <c r="J123" s="16">
        <v>4</v>
      </c>
      <c r="K123" s="16" t="s">
        <v>621</v>
      </c>
      <c r="L123" s="16">
        <v>223</v>
      </c>
      <c r="M123" s="16">
        <v>213900</v>
      </c>
      <c r="N123" s="16"/>
      <c r="O123" s="16" t="s">
        <v>750</v>
      </c>
      <c r="P123" s="16" t="b">
        <v>1</v>
      </c>
      <c r="Q123" s="16" t="s">
        <v>729</v>
      </c>
      <c r="R123" s="16" t="str">
        <f t="shared" si="26"/>
        <v>EBS 125AF/80AT 4P</v>
      </c>
      <c r="T123" s="16"/>
    </row>
    <row r="124" spans="2:20">
      <c r="B124" s="9" t="str">
        <f t="shared" si="32"/>
        <v>E_VCB0202_VM_LS_ELC_100_125_4</v>
      </c>
      <c r="C124" s="16" t="s">
        <v>119</v>
      </c>
      <c r="D124" s="16" t="s">
        <v>118</v>
      </c>
      <c r="E124" s="16" t="s">
        <v>692</v>
      </c>
      <c r="F124" s="16" t="s">
        <v>693</v>
      </c>
      <c r="G124" s="16" t="s">
        <v>757</v>
      </c>
      <c r="H124" s="16">
        <v>100</v>
      </c>
      <c r="I124" s="16">
        <v>125</v>
      </c>
      <c r="J124" s="16">
        <v>4</v>
      </c>
      <c r="K124" s="16" t="s">
        <v>621</v>
      </c>
      <c r="L124" s="16">
        <v>223</v>
      </c>
      <c r="M124" s="16">
        <v>213900</v>
      </c>
      <c r="N124" s="16"/>
      <c r="O124" s="16" t="s">
        <v>750</v>
      </c>
      <c r="P124" s="16" t="b">
        <v>1</v>
      </c>
      <c r="Q124" s="16" t="s">
        <v>729</v>
      </c>
      <c r="R124" s="16" t="str">
        <f t="shared" si="26"/>
        <v>EBS 125AF/100AT 4P</v>
      </c>
      <c r="T124" s="16"/>
    </row>
    <row r="125" spans="2:20">
      <c r="B125" s="9" t="str">
        <f t="shared" si="32"/>
        <v>E_VCB0202_VM_LS_ELC_125_125_4</v>
      </c>
      <c r="C125" s="16" t="s">
        <v>119</v>
      </c>
      <c r="D125" s="16" t="s">
        <v>118</v>
      </c>
      <c r="E125" s="16" t="s">
        <v>692</v>
      </c>
      <c r="F125" s="16" t="s">
        <v>693</v>
      </c>
      <c r="G125" s="16" t="s">
        <v>757</v>
      </c>
      <c r="H125" s="16">
        <v>125</v>
      </c>
      <c r="I125" s="16">
        <v>125</v>
      </c>
      <c r="J125" s="16">
        <v>4</v>
      </c>
      <c r="K125" s="16" t="s">
        <v>621</v>
      </c>
      <c r="L125" s="16">
        <v>223</v>
      </c>
      <c r="M125" s="16">
        <v>213900</v>
      </c>
      <c r="N125" s="16"/>
      <c r="O125" s="16" t="s">
        <v>750</v>
      </c>
      <c r="P125" s="16" t="b">
        <v>1</v>
      </c>
      <c r="Q125" s="16" t="s">
        <v>729</v>
      </c>
      <c r="R125" s="16" t="str">
        <f t="shared" si="26"/>
        <v>EBS 125AF/125AT 4P</v>
      </c>
      <c r="T125" s="16"/>
    </row>
    <row r="126" spans="2:20">
      <c r="B126" s="9" t="str">
        <f t="shared" ref="B126:B131" si="33">D126&amp;"_"&amp;F126&amp;"_"&amp;H126&amp;"_"&amp;I126&amp;"_"&amp;J126</f>
        <v>E_VCB0202_VM_LS_ELC_150_250_3</v>
      </c>
      <c r="C126" s="16" t="s">
        <v>119</v>
      </c>
      <c r="D126" s="16" t="s">
        <v>118</v>
      </c>
      <c r="E126" s="16" t="s">
        <v>692</v>
      </c>
      <c r="F126" s="16" t="s">
        <v>693</v>
      </c>
      <c r="G126" s="16" t="s">
        <v>758</v>
      </c>
      <c r="H126" s="16">
        <v>150</v>
      </c>
      <c r="I126" s="16">
        <v>250</v>
      </c>
      <c r="J126" s="16">
        <v>3</v>
      </c>
      <c r="K126" s="16" t="s">
        <v>621</v>
      </c>
      <c r="L126" s="16">
        <v>224</v>
      </c>
      <c r="M126" s="16">
        <v>376900</v>
      </c>
      <c r="N126" s="16"/>
      <c r="O126" s="16" t="s">
        <v>750</v>
      </c>
      <c r="P126" s="16" t="b">
        <v>1</v>
      </c>
      <c r="Q126" s="16" t="s">
        <v>729</v>
      </c>
      <c r="R126" s="16" t="str">
        <f t="shared" si="26"/>
        <v>EBS 250AF/150AT 3P</v>
      </c>
      <c r="T126" s="16"/>
    </row>
    <row r="127" spans="2:20">
      <c r="B127" s="9" t="str">
        <f t="shared" si="33"/>
        <v>E_VCB0202_VM_LS_ELC_160_250_3</v>
      </c>
      <c r="C127" s="16" t="s">
        <v>119</v>
      </c>
      <c r="D127" s="16" t="s">
        <v>118</v>
      </c>
      <c r="E127" s="16" t="s">
        <v>692</v>
      </c>
      <c r="F127" s="16" t="s">
        <v>693</v>
      </c>
      <c r="G127" s="16" t="s">
        <v>758</v>
      </c>
      <c r="H127" s="16">
        <v>160</v>
      </c>
      <c r="I127" s="16">
        <v>250</v>
      </c>
      <c r="J127" s="16">
        <v>3</v>
      </c>
      <c r="K127" s="16" t="s">
        <v>621</v>
      </c>
      <c r="L127" s="16">
        <v>224</v>
      </c>
      <c r="M127" s="16">
        <v>376900</v>
      </c>
      <c r="N127" s="16"/>
      <c r="O127" s="16" t="s">
        <v>750</v>
      </c>
      <c r="P127" s="16" t="b">
        <v>1</v>
      </c>
      <c r="Q127" s="16" t="s">
        <v>729</v>
      </c>
      <c r="R127" s="16" t="str">
        <f t="shared" si="26"/>
        <v>EBS 250AF/160AT 3P</v>
      </c>
      <c r="T127" s="16"/>
    </row>
    <row r="128" spans="2:20">
      <c r="B128" s="9" t="str">
        <f t="shared" si="33"/>
        <v>E_VCB0202_VM_LS_ELC_175_250_3</v>
      </c>
      <c r="C128" s="16" t="s">
        <v>119</v>
      </c>
      <c r="D128" s="16" t="s">
        <v>118</v>
      </c>
      <c r="E128" s="16" t="s">
        <v>692</v>
      </c>
      <c r="F128" s="16" t="s">
        <v>693</v>
      </c>
      <c r="G128" s="16" t="s">
        <v>758</v>
      </c>
      <c r="H128" s="16">
        <v>175</v>
      </c>
      <c r="I128" s="16">
        <v>250</v>
      </c>
      <c r="J128" s="16">
        <v>3</v>
      </c>
      <c r="K128" s="16" t="s">
        <v>621</v>
      </c>
      <c r="L128" s="16">
        <v>224</v>
      </c>
      <c r="M128" s="16">
        <v>376900</v>
      </c>
      <c r="N128" s="16"/>
      <c r="O128" s="16" t="s">
        <v>750</v>
      </c>
      <c r="P128" s="16" t="b">
        <v>1</v>
      </c>
      <c r="Q128" s="16" t="s">
        <v>729</v>
      </c>
      <c r="R128" s="16" t="str">
        <f t="shared" ref="R128:R147" si="34">"EBS "&amp;I128&amp;"AF/"&amp;H128&amp;"AT "&amp;J128&amp;"P"</f>
        <v>EBS 250AF/175AT 3P</v>
      </c>
      <c r="T128" s="16"/>
    </row>
    <row r="129" spans="2:20">
      <c r="B129" s="9" t="str">
        <f t="shared" si="33"/>
        <v>E_VCB0202_VM_LS_ELC_200_250_3</v>
      </c>
      <c r="C129" s="16" t="s">
        <v>119</v>
      </c>
      <c r="D129" s="16" t="s">
        <v>118</v>
      </c>
      <c r="E129" s="16" t="s">
        <v>692</v>
      </c>
      <c r="F129" s="16" t="s">
        <v>693</v>
      </c>
      <c r="G129" s="16" t="s">
        <v>758</v>
      </c>
      <c r="H129" s="16">
        <v>200</v>
      </c>
      <c r="I129" s="16">
        <v>250</v>
      </c>
      <c r="J129" s="16">
        <v>3</v>
      </c>
      <c r="K129" s="16" t="s">
        <v>621</v>
      </c>
      <c r="L129" s="16">
        <v>224</v>
      </c>
      <c r="M129" s="16">
        <v>376900</v>
      </c>
      <c r="N129" s="16"/>
      <c r="O129" s="16" t="s">
        <v>750</v>
      </c>
      <c r="P129" s="16" t="b">
        <v>1</v>
      </c>
      <c r="Q129" s="16" t="s">
        <v>729</v>
      </c>
      <c r="R129" s="16" t="str">
        <f t="shared" si="34"/>
        <v>EBS 250AF/200AT 3P</v>
      </c>
      <c r="T129" s="16"/>
    </row>
    <row r="130" spans="2:20">
      <c r="B130" s="9" t="str">
        <f t="shared" si="33"/>
        <v>E_VCB0202_VM_LS_ELC_225_250_3</v>
      </c>
      <c r="C130" s="16" t="s">
        <v>119</v>
      </c>
      <c r="D130" s="16" t="s">
        <v>118</v>
      </c>
      <c r="E130" s="16" t="s">
        <v>692</v>
      </c>
      <c r="F130" s="16" t="s">
        <v>693</v>
      </c>
      <c r="G130" s="16" t="s">
        <v>758</v>
      </c>
      <c r="H130" s="16">
        <v>225</v>
      </c>
      <c r="I130" s="16">
        <v>250</v>
      </c>
      <c r="J130" s="16">
        <v>3</v>
      </c>
      <c r="K130" s="16" t="s">
        <v>621</v>
      </c>
      <c r="L130" s="16">
        <v>224</v>
      </c>
      <c r="M130" s="16">
        <v>376900</v>
      </c>
      <c r="N130" s="16"/>
      <c r="O130" s="16" t="s">
        <v>750</v>
      </c>
      <c r="P130" s="16" t="b">
        <v>1</v>
      </c>
      <c r="Q130" s="16" t="s">
        <v>729</v>
      </c>
      <c r="R130" s="16" t="str">
        <f t="shared" si="34"/>
        <v>EBS 250AF/225AT 3P</v>
      </c>
      <c r="T130" s="16"/>
    </row>
    <row r="131" spans="2:20">
      <c r="B131" s="9" t="str">
        <f t="shared" si="33"/>
        <v>E_VCB0202_VM_LS_ELC_250_250_3</v>
      </c>
      <c r="C131" s="16" t="s">
        <v>119</v>
      </c>
      <c r="D131" s="16" t="s">
        <v>118</v>
      </c>
      <c r="E131" s="16" t="s">
        <v>692</v>
      </c>
      <c r="F131" s="16" t="s">
        <v>693</v>
      </c>
      <c r="G131" s="16" t="s">
        <v>758</v>
      </c>
      <c r="H131" s="16">
        <v>250</v>
      </c>
      <c r="I131" s="16">
        <v>250</v>
      </c>
      <c r="J131" s="16">
        <v>3</v>
      </c>
      <c r="K131" s="16" t="s">
        <v>621</v>
      </c>
      <c r="L131" s="16">
        <v>224</v>
      </c>
      <c r="M131" s="16">
        <v>376900</v>
      </c>
      <c r="N131" s="16"/>
      <c r="O131" s="16" t="s">
        <v>750</v>
      </c>
      <c r="P131" s="16" t="b">
        <v>1</v>
      </c>
      <c r="Q131" s="16" t="s">
        <v>729</v>
      </c>
      <c r="R131" s="16" t="str">
        <f t="shared" si="34"/>
        <v>EBS 250AF/250AT 3P</v>
      </c>
      <c r="T131" s="16"/>
    </row>
    <row r="132" spans="2:20">
      <c r="B132" s="9" t="str">
        <f t="shared" ref="B132:B137" si="35">D132&amp;"_"&amp;F132&amp;"_"&amp;H132&amp;"_"&amp;I132&amp;"_"&amp;J132</f>
        <v>E_VCB0202_VM_LS_ELC_150_250_4</v>
      </c>
      <c r="C132" s="16" t="s">
        <v>119</v>
      </c>
      <c r="D132" s="16" t="s">
        <v>118</v>
      </c>
      <c r="E132" s="16" t="s">
        <v>692</v>
      </c>
      <c r="F132" s="16" t="s">
        <v>693</v>
      </c>
      <c r="G132" s="16" t="s">
        <v>759</v>
      </c>
      <c r="H132" s="16">
        <v>150</v>
      </c>
      <c r="I132" s="16">
        <v>250</v>
      </c>
      <c r="J132" s="16">
        <v>4</v>
      </c>
      <c r="K132" s="16" t="s">
        <v>621</v>
      </c>
      <c r="L132" s="16">
        <v>224</v>
      </c>
      <c r="M132" s="16">
        <v>443500</v>
      </c>
      <c r="N132" s="16"/>
      <c r="O132" s="16" t="s">
        <v>750</v>
      </c>
      <c r="P132" s="16" t="b">
        <v>1</v>
      </c>
      <c r="Q132" s="16" t="s">
        <v>729</v>
      </c>
      <c r="R132" s="16" t="str">
        <f t="shared" si="34"/>
        <v>EBS 250AF/150AT 4P</v>
      </c>
      <c r="T132" s="16"/>
    </row>
    <row r="133" spans="2:20">
      <c r="B133" s="9" t="str">
        <f t="shared" si="35"/>
        <v>E_VCB0202_VM_LS_ELC_160_250_4</v>
      </c>
      <c r="C133" s="16" t="s">
        <v>119</v>
      </c>
      <c r="D133" s="16" t="s">
        <v>118</v>
      </c>
      <c r="E133" s="16" t="s">
        <v>692</v>
      </c>
      <c r="F133" s="16" t="s">
        <v>693</v>
      </c>
      <c r="G133" s="16" t="s">
        <v>759</v>
      </c>
      <c r="H133" s="16">
        <v>160</v>
      </c>
      <c r="I133" s="16">
        <v>250</v>
      </c>
      <c r="J133" s="16">
        <v>4</v>
      </c>
      <c r="K133" s="16" t="s">
        <v>621</v>
      </c>
      <c r="L133" s="16">
        <v>224</v>
      </c>
      <c r="M133" s="16">
        <v>443500</v>
      </c>
      <c r="N133" s="16"/>
      <c r="O133" s="16" t="s">
        <v>750</v>
      </c>
      <c r="P133" s="16" t="b">
        <v>1</v>
      </c>
      <c r="Q133" s="16" t="s">
        <v>729</v>
      </c>
      <c r="R133" s="16" t="str">
        <f t="shared" si="34"/>
        <v>EBS 250AF/160AT 4P</v>
      </c>
      <c r="T133" s="16"/>
    </row>
    <row r="134" spans="2:20">
      <c r="B134" s="9" t="str">
        <f t="shared" si="35"/>
        <v>E_VCB0202_VM_LS_ELC_175_250_4</v>
      </c>
      <c r="C134" s="16" t="s">
        <v>119</v>
      </c>
      <c r="D134" s="16" t="s">
        <v>118</v>
      </c>
      <c r="E134" s="16" t="s">
        <v>692</v>
      </c>
      <c r="F134" s="16" t="s">
        <v>693</v>
      </c>
      <c r="G134" s="16" t="s">
        <v>759</v>
      </c>
      <c r="H134" s="16">
        <v>175</v>
      </c>
      <c r="I134" s="16">
        <v>250</v>
      </c>
      <c r="J134" s="16">
        <v>4</v>
      </c>
      <c r="K134" s="16" t="s">
        <v>621</v>
      </c>
      <c r="L134" s="16">
        <v>224</v>
      </c>
      <c r="M134" s="16">
        <v>443500</v>
      </c>
      <c r="N134" s="16"/>
      <c r="O134" s="16" t="s">
        <v>750</v>
      </c>
      <c r="P134" s="16" t="b">
        <v>1</v>
      </c>
      <c r="Q134" s="16" t="s">
        <v>729</v>
      </c>
      <c r="R134" s="16" t="str">
        <f t="shared" si="34"/>
        <v>EBS 250AF/175AT 4P</v>
      </c>
      <c r="T134" s="16"/>
    </row>
    <row r="135" spans="2:20">
      <c r="B135" s="9" t="str">
        <f t="shared" si="35"/>
        <v>E_VCB0202_VM_LS_ELC_200_250_4</v>
      </c>
      <c r="C135" s="16" t="s">
        <v>119</v>
      </c>
      <c r="D135" s="16" t="s">
        <v>118</v>
      </c>
      <c r="E135" s="16" t="s">
        <v>692</v>
      </c>
      <c r="F135" s="16" t="s">
        <v>693</v>
      </c>
      <c r="G135" s="16" t="s">
        <v>759</v>
      </c>
      <c r="H135" s="16">
        <v>200</v>
      </c>
      <c r="I135" s="16">
        <v>250</v>
      </c>
      <c r="J135" s="16">
        <v>4</v>
      </c>
      <c r="K135" s="16" t="s">
        <v>621</v>
      </c>
      <c r="L135" s="16">
        <v>224</v>
      </c>
      <c r="M135" s="16">
        <v>443500</v>
      </c>
      <c r="N135" s="16"/>
      <c r="O135" s="16" t="s">
        <v>750</v>
      </c>
      <c r="P135" s="16" t="b">
        <v>1</v>
      </c>
      <c r="Q135" s="16" t="s">
        <v>729</v>
      </c>
      <c r="R135" s="16" t="str">
        <f t="shared" si="34"/>
        <v>EBS 250AF/200AT 4P</v>
      </c>
      <c r="T135" s="16"/>
    </row>
    <row r="136" spans="2:20">
      <c r="B136" s="9" t="str">
        <f t="shared" si="35"/>
        <v>E_VCB0202_VM_LS_ELC_225_250_4</v>
      </c>
      <c r="C136" s="16" t="s">
        <v>119</v>
      </c>
      <c r="D136" s="16" t="s">
        <v>118</v>
      </c>
      <c r="E136" s="16" t="s">
        <v>692</v>
      </c>
      <c r="F136" s="16" t="s">
        <v>693</v>
      </c>
      <c r="G136" s="16" t="s">
        <v>759</v>
      </c>
      <c r="H136" s="16">
        <v>225</v>
      </c>
      <c r="I136" s="16">
        <v>250</v>
      </c>
      <c r="J136" s="16">
        <v>4</v>
      </c>
      <c r="K136" s="16" t="s">
        <v>621</v>
      </c>
      <c r="L136" s="16">
        <v>224</v>
      </c>
      <c r="M136" s="16">
        <v>443500</v>
      </c>
      <c r="N136" s="16"/>
      <c r="O136" s="16" t="s">
        <v>750</v>
      </c>
      <c r="P136" s="16" t="b">
        <v>1</v>
      </c>
      <c r="Q136" s="16" t="s">
        <v>729</v>
      </c>
      <c r="R136" s="16" t="str">
        <f t="shared" si="34"/>
        <v>EBS 250AF/225AT 4P</v>
      </c>
      <c r="T136" s="16"/>
    </row>
    <row r="137" spans="2:20">
      <c r="B137" s="9" t="str">
        <f t="shared" si="35"/>
        <v>E_VCB0202_VM_LS_ELC_250_250_4</v>
      </c>
      <c r="C137" s="16" t="s">
        <v>119</v>
      </c>
      <c r="D137" s="16" t="s">
        <v>118</v>
      </c>
      <c r="E137" s="16" t="s">
        <v>692</v>
      </c>
      <c r="F137" s="16" t="s">
        <v>693</v>
      </c>
      <c r="G137" s="16" t="s">
        <v>759</v>
      </c>
      <c r="H137" s="16">
        <v>250</v>
      </c>
      <c r="I137" s="16">
        <v>250</v>
      </c>
      <c r="J137" s="16">
        <v>4</v>
      </c>
      <c r="K137" s="16" t="s">
        <v>621</v>
      </c>
      <c r="L137" s="16">
        <v>224</v>
      </c>
      <c r="M137" s="16">
        <v>443500</v>
      </c>
      <c r="N137" s="16"/>
      <c r="O137" s="16" t="s">
        <v>750</v>
      </c>
      <c r="P137" s="16" t="b">
        <v>1</v>
      </c>
      <c r="Q137" s="16" t="s">
        <v>729</v>
      </c>
      <c r="R137" s="16" t="str">
        <f t="shared" si="34"/>
        <v>EBS 250AF/250AT 4P</v>
      </c>
      <c r="T137" s="16"/>
    </row>
    <row r="138" spans="2:20">
      <c r="B138" s="9" t="str">
        <f t="shared" ref="B138:B140" si="36">D138&amp;"_"&amp;F138&amp;"_"&amp;H138&amp;"_"&amp;I138&amp;"_"&amp;J138</f>
        <v>E_VCB0202_VM_LS_ELC_300_400_3</v>
      </c>
      <c r="C138" s="16" t="s">
        <v>119</v>
      </c>
      <c r="D138" s="16" t="s">
        <v>118</v>
      </c>
      <c r="E138" s="16" t="s">
        <v>692</v>
      </c>
      <c r="F138" s="16" t="s">
        <v>693</v>
      </c>
      <c r="G138" s="16" t="s">
        <v>760</v>
      </c>
      <c r="H138" s="16">
        <v>300</v>
      </c>
      <c r="I138" s="16">
        <v>400</v>
      </c>
      <c r="J138" s="16">
        <v>3</v>
      </c>
      <c r="K138" s="16" t="s">
        <v>621</v>
      </c>
      <c r="L138" s="16">
        <v>225</v>
      </c>
      <c r="M138" s="16">
        <v>643600</v>
      </c>
      <c r="N138" s="16"/>
      <c r="O138" s="16" t="s">
        <v>750</v>
      </c>
      <c r="P138" s="16" t="b">
        <v>1</v>
      </c>
      <c r="Q138" s="16" t="s">
        <v>729</v>
      </c>
      <c r="R138" s="16" t="str">
        <f t="shared" si="34"/>
        <v>EBS 400AF/300AT 3P</v>
      </c>
      <c r="T138" s="16"/>
    </row>
    <row r="139" spans="2:20">
      <c r="B139" s="9" t="str">
        <f t="shared" si="36"/>
        <v>E_VCB0202_VM_LS_ELC_350_400_3</v>
      </c>
      <c r="C139" s="16" t="s">
        <v>119</v>
      </c>
      <c r="D139" s="16" t="s">
        <v>118</v>
      </c>
      <c r="E139" s="16" t="s">
        <v>692</v>
      </c>
      <c r="F139" s="16" t="s">
        <v>693</v>
      </c>
      <c r="G139" s="16" t="s">
        <v>760</v>
      </c>
      <c r="H139" s="16">
        <v>350</v>
      </c>
      <c r="I139" s="16">
        <v>400</v>
      </c>
      <c r="J139" s="16">
        <v>3</v>
      </c>
      <c r="K139" s="16" t="s">
        <v>621</v>
      </c>
      <c r="L139" s="16">
        <v>225</v>
      </c>
      <c r="M139" s="16">
        <v>643600</v>
      </c>
      <c r="N139" s="16"/>
      <c r="O139" s="16" t="s">
        <v>750</v>
      </c>
      <c r="P139" s="16" t="b">
        <v>1</v>
      </c>
      <c r="Q139" s="16" t="s">
        <v>729</v>
      </c>
      <c r="R139" s="16" t="str">
        <f t="shared" si="34"/>
        <v>EBS 400AF/350AT 3P</v>
      </c>
      <c r="T139" s="16"/>
    </row>
    <row r="140" spans="2:20">
      <c r="B140" s="9" t="str">
        <f t="shared" si="36"/>
        <v>E_VCB0202_VM_LS_ELC_400_400_3</v>
      </c>
      <c r="C140" s="16" t="s">
        <v>119</v>
      </c>
      <c r="D140" s="16" t="s">
        <v>118</v>
      </c>
      <c r="E140" s="16" t="s">
        <v>692</v>
      </c>
      <c r="F140" s="16" t="s">
        <v>693</v>
      </c>
      <c r="G140" s="16" t="s">
        <v>760</v>
      </c>
      <c r="H140" s="16">
        <v>400</v>
      </c>
      <c r="I140" s="16">
        <v>400</v>
      </c>
      <c r="J140" s="16">
        <v>3</v>
      </c>
      <c r="K140" s="16" t="s">
        <v>621</v>
      </c>
      <c r="L140" s="16">
        <v>225</v>
      </c>
      <c r="M140" s="16">
        <v>643600</v>
      </c>
      <c r="N140" s="16"/>
      <c r="O140" s="16" t="s">
        <v>750</v>
      </c>
      <c r="P140" s="16" t="b">
        <v>1</v>
      </c>
      <c r="Q140" s="16" t="s">
        <v>729</v>
      </c>
      <c r="R140" s="16" t="str">
        <f t="shared" si="34"/>
        <v>EBS 400AF/400AT 3P</v>
      </c>
      <c r="T140" s="16"/>
    </row>
    <row r="141" spans="2:20">
      <c r="B141" s="9" t="str">
        <f t="shared" ref="B141:B143" si="37">D141&amp;"_"&amp;F141&amp;"_"&amp;H141&amp;"_"&amp;I141&amp;"_"&amp;J141</f>
        <v>E_VCB0202_VM_LS_ELC_300_400_4</v>
      </c>
      <c r="C141" s="16" t="s">
        <v>119</v>
      </c>
      <c r="D141" s="16" t="s">
        <v>118</v>
      </c>
      <c r="E141" s="16" t="s">
        <v>692</v>
      </c>
      <c r="F141" s="16" t="s">
        <v>693</v>
      </c>
      <c r="G141" s="16" t="s">
        <v>761</v>
      </c>
      <c r="H141" s="16">
        <v>300</v>
      </c>
      <c r="I141" s="16">
        <v>400</v>
      </c>
      <c r="J141" s="16">
        <v>4</v>
      </c>
      <c r="K141" s="16" t="s">
        <v>621</v>
      </c>
      <c r="L141" s="16">
        <v>226</v>
      </c>
      <c r="M141" s="16">
        <v>856400</v>
      </c>
      <c r="N141" s="16"/>
      <c r="O141" s="16" t="s">
        <v>750</v>
      </c>
      <c r="P141" s="16" t="b">
        <v>1</v>
      </c>
      <c r="Q141" s="16" t="s">
        <v>729</v>
      </c>
      <c r="R141" s="16" t="str">
        <f t="shared" si="34"/>
        <v>EBS 400AF/300AT 4P</v>
      </c>
      <c r="T141" s="16"/>
    </row>
    <row r="142" spans="2:20">
      <c r="B142" s="9" t="str">
        <f t="shared" si="37"/>
        <v>E_VCB0202_VM_LS_ELC_350_400_4</v>
      </c>
      <c r="C142" s="16" t="s">
        <v>119</v>
      </c>
      <c r="D142" s="16" t="s">
        <v>118</v>
      </c>
      <c r="E142" s="16" t="s">
        <v>692</v>
      </c>
      <c r="F142" s="16" t="s">
        <v>693</v>
      </c>
      <c r="G142" s="16" t="s">
        <v>761</v>
      </c>
      <c r="H142" s="16">
        <v>350</v>
      </c>
      <c r="I142" s="16">
        <v>400</v>
      </c>
      <c r="J142" s="16">
        <v>4</v>
      </c>
      <c r="K142" s="16" t="s">
        <v>621</v>
      </c>
      <c r="L142" s="16">
        <v>226</v>
      </c>
      <c r="M142" s="16">
        <v>856400</v>
      </c>
      <c r="N142" s="16"/>
      <c r="O142" s="16" t="s">
        <v>750</v>
      </c>
      <c r="P142" s="16" t="b">
        <v>1</v>
      </c>
      <c r="Q142" s="16" t="s">
        <v>729</v>
      </c>
      <c r="R142" s="16" t="str">
        <f t="shared" si="34"/>
        <v>EBS 400AF/350AT 4P</v>
      </c>
      <c r="T142" s="16"/>
    </row>
    <row r="143" spans="2:20">
      <c r="B143" s="9" t="str">
        <f t="shared" si="37"/>
        <v>E_VCB0202_VM_LS_ELC_400_400_4</v>
      </c>
      <c r="C143" s="16" t="s">
        <v>119</v>
      </c>
      <c r="D143" s="16" t="s">
        <v>118</v>
      </c>
      <c r="E143" s="16" t="s">
        <v>692</v>
      </c>
      <c r="F143" s="16" t="s">
        <v>693</v>
      </c>
      <c r="G143" s="16" t="s">
        <v>761</v>
      </c>
      <c r="H143" s="16">
        <v>400</v>
      </c>
      <c r="I143" s="16">
        <v>400</v>
      </c>
      <c r="J143" s="16">
        <v>4</v>
      </c>
      <c r="K143" s="16" t="s">
        <v>621</v>
      </c>
      <c r="L143" s="16">
        <v>226</v>
      </c>
      <c r="M143" s="16">
        <v>856400</v>
      </c>
      <c r="N143" s="16"/>
      <c r="O143" s="16" t="s">
        <v>750</v>
      </c>
      <c r="P143" s="16" t="b">
        <v>1</v>
      </c>
      <c r="Q143" s="16" t="s">
        <v>729</v>
      </c>
      <c r="R143" s="16" t="str">
        <f t="shared" si="34"/>
        <v>EBS 400AF/400AT 4P</v>
      </c>
      <c r="T143" s="16"/>
    </row>
    <row r="144" spans="2:20">
      <c r="B144" s="9" t="str">
        <f>D144&amp;"_"&amp;F144&amp;"_"&amp;H144&amp;"_"&amp;I144&amp;"_"&amp;J144</f>
        <v>E_VCB0202_VM_LS_ELC_500_630_3</v>
      </c>
      <c r="C144" s="16" t="s">
        <v>119</v>
      </c>
      <c r="D144" s="16" t="s">
        <v>118</v>
      </c>
      <c r="E144" s="16" t="s">
        <v>692</v>
      </c>
      <c r="F144" s="16" t="s">
        <v>693</v>
      </c>
      <c r="G144" s="16" t="s">
        <v>762</v>
      </c>
      <c r="H144" s="16">
        <v>500</v>
      </c>
      <c r="I144" s="16">
        <v>630</v>
      </c>
      <c r="J144" s="16">
        <v>3</v>
      </c>
      <c r="K144" s="16" t="s">
        <v>621</v>
      </c>
      <c r="L144" s="16">
        <v>227</v>
      </c>
      <c r="M144" s="16">
        <v>1201800</v>
      </c>
      <c r="N144" s="16"/>
      <c r="O144" s="16" t="s">
        <v>750</v>
      </c>
      <c r="P144" s="16" t="b">
        <v>1</v>
      </c>
      <c r="Q144" s="16" t="s">
        <v>729</v>
      </c>
      <c r="R144" s="16" t="str">
        <f t="shared" si="34"/>
        <v>EBS 630AF/500AT 3P</v>
      </c>
      <c r="T144" s="16"/>
    </row>
    <row r="145" spans="2:20">
      <c r="B145" s="9" t="str">
        <f>D145&amp;"_"&amp;F145&amp;"_"&amp;H145&amp;"_"&amp;I145&amp;"_"&amp;J145</f>
        <v>E_VCB0202_VM_LS_ELC_600_630_3</v>
      </c>
      <c r="C145" s="16" t="s">
        <v>119</v>
      </c>
      <c r="D145" s="16" t="s">
        <v>118</v>
      </c>
      <c r="E145" s="16" t="s">
        <v>692</v>
      </c>
      <c r="F145" s="16" t="s">
        <v>693</v>
      </c>
      <c r="G145" s="16" t="s">
        <v>762</v>
      </c>
      <c r="H145" s="16">
        <v>600</v>
      </c>
      <c r="I145" s="16">
        <v>630</v>
      </c>
      <c r="J145" s="16">
        <v>3</v>
      </c>
      <c r="K145" s="16" t="s">
        <v>621</v>
      </c>
      <c r="L145" s="16">
        <v>227</v>
      </c>
      <c r="M145" s="16">
        <v>1201800</v>
      </c>
      <c r="N145" s="16"/>
      <c r="O145" s="16" t="s">
        <v>750</v>
      </c>
      <c r="P145" s="16" t="b">
        <v>1</v>
      </c>
      <c r="Q145" s="16" t="s">
        <v>729</v>
      </c>
      <c r="R145" s="16" t="str">
        <f t="shared" si="34"/>
        <v>EBS 630AF/600AT 3P</v>
      </c>
      <c r="T145" s="16"/>
    </row>
    <row r="146" spans="2:20">
      <c r="B146" s="9" t="str">
        <f>D146&amp;"_"&amp;F146&amp;"_"&amp;H146&amp;"_"&amp;I146&amp;"_"&amp;J146</f>
        <v>E_VCB0202_VM_LS_ELC_700_800_3</v>
      </c>
      <c r="C146" s="16" t="s">
        <v>119</v>
      </c>
      <c r="D146" s="16" t="s">
        <v>118</v>
      </c>
      <c r="E146" s="16" t="s">
        <v>692</v>
      </c>
      <c r="F146" s="16" t="s">
        <v>693</v>
      </c>
      <c r="G146" s="16" t="s">
        <v>763</v>
      </c>
      <c r="H146" s="16">
        <v>700</v>
      </c>
      <c r="I146" s="16">
        <v>800</v>
      </c>
      <c r="J146" s="16">
        <v>3</v>
      </c>
      <c r="K146" s="16" t="s">
        <v>621</v>
      </c>
      <c r="L146" s="16">
        <v>228</v>
      </c>
      <c r="M146" s="16">
        <v>1464200</v>
      </c>
      <c r="N146" s="16"/>
      <c r="O146" s="16" t="s">
        <v>750</v>
      </c>
      <c r="P146" s="16" t="b">
        <v>1</v>
      </c>
      <c r="Q146" s="16" t="s">
        <v>729</v>
      </c>
      <c r="R146" s="16" t="str">
        <f t="shared" si="34"/>
        <v>EBS 800AF/700AT 3P</v>
      </c>
      <c r="T146" s="16"/>
    </row>
    <row r="147" spans="2:20">
      <c r="B147" s="9" t="str">
        <f>D147&amp;"_"&amp;F147&amp;"_"&amp;H147&amp;"_"&amp;I147&amp;"_"&amp;J147</f>
        <v>E_VCB0202_VM_LS_ELC_800_800_3</v>
      </c>
      <c r="C147" s="16" t="s">
        <v>119</v>
      </c>
      <c r="D147" s="16" t="s">
        <v>118</v>
      </c>
      <c r="E147" s="16" t="s">
        <v>692</v>
      </c>
      <c r="F147" s="16" t="s">
        <v>693</v>
      </c>
      <c r="G147" s="16" t="s">
        <v>763</v>
      </c>
      <c r="H147" s="16">
        <v>800</v>
      </c>
      <c r="I147" s="16">
        <v>800</v>
      </c>
      <c r="J147" s="16">
        <v>3</v>
      </c>
      <c r="K147" s="16" t="s">
        <v>621</v>
      </c>
      <c r="L147" s="16">
        <v>228</v>
      </c>
      <c r="M147" s="16">
        <v>1464200</v>
      </c>
      <c r="N147" s="16"/>
      <c r="O147" s="16" t="s">
        <v>750</v>
      </c>
      <c r="P147" s="16" t="b">
        <v>1</v>
      </c>
      <c r="Q147" s="16" t="s">
        <v>729</v>
      </c>
      <c r="R147" s="16" t="str">
        <f t="shared" si="34"/>
        <v>EBS 800AF/800AT 3P</v>
      </c>
      <c r="T147" s="16"/>
    </row>
    <row r="148" spans="2:20">
      <c r="B148" s="9" t="str">
        <f>D148&amp;"_"&amp;F148&amp;"_"&amp;H148&amp;"_"&amp;J148</f>
        <v>E_VCB0203_VM_LS_ELC_10_2</v>
      </c>
      <c r="C148" t="s">
        <v>121</v>
      </c>
      <c r="D148" t="s">
        <v>120</v>
      </c>
      <c r="E148" s="16" t="s">
        <v>692</v>
      </c>
      <c r="F148" s="16" t="s">
        <v>693</v>
      </c>
      <c r="G148" t="s">
        <v>764</v>
      </c>
      <c r="H148">
        <v>10</v>
      </c>
      <c r="J148">
        <v>2</v>
      </c>
      <c r="K148" s="16" t="s">
        <v>621</v>
      </c>
      <c r="L148" s="16"/>
      <c r="M148">
        <v>10600</v>
      </c>
      <c r="O148" s="16" t="s">
        <v>765</v>
      </c>
      <c r="P148" s="16" t="b">
        <v>1</v>
      </c>
      <c r="Q148" s="16" t="s">
        <v>729</v>
      </c>
      <c r="R148" t="str">
        <f>"BK63H-"&amp;H148&amp;"A-"&amp;J148&amp;"P"</f>
        <v>BK63H-10A-2P</v>
      </c>
    </row>
    <row r="149" spans="2:20"/>
    <row r="150" spans="2:20"/>
    <row r="151" spans="2:20"/>
    <row r="152" spans="2:20"/>
    <row r="153" spans="2:20"/>
    <row r="154" spans="2:20">
      <c r="B154" s="9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S154" s="16"/>
      <c r="T154" s="16"/>
    </row>
    <row r="155" spans="2:20">
      <c r="B155" s="9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S155" s="16"/>
      <c r="T155" s="16"/>
    </row>
    <row r="156" spans="2:20">
      <c r="B156" s="9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S156" s="16"/>
      <c r="T156" s="16"/>
    </row>
  </sheetData>
  <autoFilter ref="B1:T148" xr:uid="{61F0B4F1-F825-4B28-8B8A-600C8905C650}"/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90FC-8D89-4FA7-999E-54F11384F0E7}">
  <dimension ref="B1:W202"/>
  <sheetViews>
    <sheetView zoomScale="70" zoomScaleNormal="70" workbookViewId="0">
      <selection activeCell="I15" sqref="I15"/>
    </sheetView>
  </sheetViews>
  <sheetFormatPr defaultRowHeight="16.5" customHeight="1"/>
  <cols>
    <col min="2" max="2" width="38.5" bestFit="1" customWidth="1"/>
    <col min="3" max="3" width="30.75" customWidth="1"/>
    <col min="4" max="4" width="16.5" customWidth="1"/>
    <col min="5" max="5" width="11.875" customWidth="1"/>
    <col min="6" max="6" width="11.25" bestFit="1" customWidth="1"/>
    <col min="7" max="7" width="15.375" bestFit="1" customWidth="1"/>
    <col min="8" max="8" width="24.625" customWidth="1"/>
    <col min="9" max="9" width="19.5" bestFit="1" customWidth="1"/>
    <col min="10" max="10" width="19.5" customWidth="1"/>
    <col min="11" max="11" width="25.875" bestFit="1" customWidth="1"/>
    <col min="12" max="12" width="15.75" bestFit="1" customWidth="1"/>
    <col min="13" max="13" width="19" bestFit="1" customWidth="1"/>
    <col min="14" max="14" width="29.125" bestFit="1" customWidth="1"/>
    <col min="15" max="15" width="9.5" bestFit="1" customWidth="1"/>
    <col min="16" max="16" width="19.375" customWidth="1"/>
    <col min="17" max="17" width="18.25" customWidth="1"/>
    <col min="18" max="18" width="17.75" bestFit="1" customWidth="1"/>
    <col min="19" max="19" width="18.125" bestFit="1" customWidth="1"/>
    <col min="24" max="24" width="11.5" bestFit="1" customWidth="1"/>
  </cols>
  <sheetData>
    <row r="1" spans="2:23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766</v>
      </c>
      <c r="I1" s="2" t="s">
        <v>686</v>
      </c>
      <c r="J1" s="47" t="s">
        <v>586</v>
      </c>
      <c r="K1" s="48" t="s">
        <v>587</v>
      </c>
      <c r="L1" s="2" t="s">
        <v>588</v>
      </c>
      <c r="M1" s="3" t="s">
        <v>589</v>
      </c>
      <c r="N1" s="2" t="s">
        <v>590</v>
      </c>
      <c r="O1" s="2" t="s">
        <v>591</v>
      </c>
      <c r="P1" s="2" t="s">
        <v>592</v>
      </c>
      <c r="Q1" s="2" t="s">
        <v>593</v>
      </c>
      <c r="R1" s="2" t="s">
        <v>594</v>
      </c>
      <c r="S1" s="54" t="s">
        <v>595</v>
      </c>
    </row>
    <row r="2" spans="2:23">
      <c r="B2" s="4" t="s">
        <v>596</v>
      </c>
      <c r="C2" s="5" t="s">
        <v>597</v>
      </c>
      <c r="D2" s="6" t="s">
        <v>598</v>
      </c>
      <c r="E2" s="5" t="s">
        <v>597</v>
      </c>
      <c r="F2" s="7" t="s">
        <v>386</v>
      </c>
      <c r="G2" s="7" t="s">
        <v>599</v>
      </c>
      <c r="H2" s="32" t="s">
        <v>767</v>
      </c>
      <c r="I2" s="10" t="s">
        <v>689</v>
      </c>
      <c r="J2" s="43" t="s">
        <v>602</v>
      </c>
      <c r="K2" s="43" t="s">
        <v>603</v>
      </c>
      <c r="L2" s="11" t="s">
        <v>604</v>
      </c>
      <c r="M2" s="12" t="s">
        <v>605</v>
      </c>
      <c r="N2" s="56" t="s">
        <v>606</v>
      </c>
      <c r="O2" s="13" t="s">
        <v>607</v>
      </c>
      <c r="P2" s="33" t="s">
        <v>608</v>
      </c>
      <c r="Q2" s="33" t="s">
        <v>609</v>
      </c>
      <c r="R2" s="7" t="s">
        <v>610</v>
      </c>
      <c r="S2" s="55" t="s">
        <v>611</v>
      </c>
    </row>
    <row r="3" spans="2:23">
      <c r="B3" s="9" t="str">
        <f>D3&amp;"_"&amp;F3&amp;"_"&amp;I3</f>
        <v>E_ITR0101_VM_0000_5</v>
      </c>
      <c r="C3" s="16" t="s">
        <v>191</v>
      </c>
      <c r="D3" s="16" t="s">
        <v>190</v>
      </c>
      <c r="E3" s="16" t="s">
        <v>391</v>
      </c>
      <c r="F3" s="16" t="s">
        <v>612</v>
      </c>
      <c r="G3" s="16" t="s">
        <v>768</v>
      </c>
      <c r="H3" s="16">
        <v>15</v>
      </c>
      <c r="I3" s="16">
        <v>5</v>
      </c>
      <c r="J3" s="16" t="s">
        <v>621</v>
      </c>
      <c r="K3" s="16"/>
      <c r="L3" s="16">
        <v>15750</v>
      </c>
      <c r="N3" s="16" t="s">
        <v>769</v>
      </c>
      <c r="O3" s="16" t="b">
        <v>1</v>
      </c>
      <c r="P3" s="16" t="s">
        <v>770</v>
      </c>
      <c r="Q3" s="16" t="str">
        <f t="shared" ref="Q3:Q28" si="0">I3&amp;"/5A "&amp;H3&amp;"VA 1.0"</f>
        <v>5/5A 15VA 1.0</v>
      </c>
      <c r="S3" s="16"/>
      <c r="W3" s="16"/>
    </row>
    <row r="4" spans="2:23">
      <c r="B4" s="9" t="str">
        <f t="shared" ref="B4:B28" si="1">D4&amp;"_"&amp;F4&amp;"_"&amp;I4</f>
        <v>E_ITR0101_VM_0000_10</v>
      </c>
      <c r="C4" s="16" t="s">
        <v>191</v>
      </c>
      <c r="D4" s="16" t="s">
        <v>190</v>
      </c>
      <c r="E4" s="16" t="s">
        <v>391</v>
      </c>
      <c r="F4" s="16" t="s">
        <v>612</v>
      </c>
      <c r="G4" s="16" t="s">
        <v>768</v>
      </c>
      <c r="H4" s="16">
        <v>15</v>
      </c>
      <c r="I4" s="16">
        <v>10</v>
      </c>
      <c r="J4" s="16" t="s">
        <v>621</v>
      </c>
      <c r="K4" s="16"/>
      <c r="L4" s="16">
        <v>15750</v>
      </c>
      <c r="N4" s="16" t="s">
        <v>769</v>
      </c>
      <c r="O4" s="16" t="b">
        <v>1</v>
      </c>
      <c r="P4" s="16" t="s">
        <v>770</v>
      </c>
      <c r="Q4" s="16" t="str">
        <f t="shared" si="0"/>
        <v>10/5A 15VA 1.0</v>
      </c>
      <c r="S4" s="16"/>
      <c r="W4" s="16"/>
    </row>
    <row r="5" spans="2:23">
      <c r="B5" s="9" t="str">
        <f t="shared" si="1"/>
        <v>E_ITR0101_VM_0000_15</v>
      </c>
      <c r="C5" s="16" t="s">
        <v>191</v>
      </c>
      <c r="D5" s="16" t="s">
        <v>190</v>
      </c>
      <c r="E5" s="16" t="s">
        <v>391</v>
      </c>
      <c r="F5" s="16" t="s">
        <v>612</v>
      </c>
      <c r="G5" s="16" t="s">
        <v>768</v>
      </c>
      <c r="H5" s="16">
        <v>15</v>
      </c>
      <c r="I5" s="16">
        <v>15</v>
      </c>
      <c r="J5" s="16" t="s">
        <v>621</v>
      </c>
      <c r="K5" s="16"/>
      <c r="L5" s="16">
        <v>15750</v>
      </c>
      <c r="N5" s="16" t="s">
        <v>769</v>
      </c>
      <c r="O5" s="16" t="b">
        <v>1</v>
      </c>
      <c r="P5" s="16" t="s">
        <v>770</v>
      </c>
      <c r="Q5" s="16" t="str">
        <f t="shared" si="0"/>
        <v>15/5A 15VA 1.0</v>
      </c>
      <c r="S5" s="16"/>
      <c r="W5" s="16"/>
    </row>
    <row r="6" spans="2:23">
      <c r="B6" s="9" t="str">
        <f t="shared" si="1"/>
        <v>E_ITR0101_VM_0000_20</v>
      </c>
      <c r="C6" s="16" t="s">
        <v>191</v>
      </c>
      <c r="D6" s="16" t="s">
        <v>190</v>
      </c>
      <c r="E6" s="16" t="s">
        <v>391</v>
      </c>
      <c r="F6" s="16" t="s">
        <v>612</v>
      </c>
      <c r="G6" s="16" t="s">
        <v>768</v>
      </c>
      <c r="H6" s="16">
        <v>15</v>
      </c>
      <c r="I6" s="16">
        <v>20</v>
      </c>
      <c r="J6" s="16" t="s">
        <v>621</v>
      </c>
      <c r="K6" s="16"/>
      <c r="L6" s="16">
        <v>15750</v>
      </c>
      <c r="N6" s="16" t="s">
        <v>769</v>
      </c>
      <c r="O6" s="16" t="b">
        <v>1</v>
      </c>
      <c r="P6" s="16" t="s">
        <v>770</v>
      </c>
      <c r="Q6" s="16" t="str">
        <f t="shared" si="0"/>
        <v>20/5A 15VA 1.0</v>
      </c>
      <c r="S6" s="16"/>
      <c r="W6" s="16"/>
    </row>
    <row r="7" spans="2:23">
      <c r="B7" s="9" t="str">
        <f t="shared" si="1"/>
        <v>E_ITR0101_VM_0000_30</v>
      </c>
      <c r="C7" s="16" t="s">
        <v>191</v>
      </c>
      <c r="D7" s="16" t="s">
        <v>190</v>
      </c>
      <c r="E7" s="16" t="s">
        <v>391</v>
      </c>
      <c r="F7" s="16" t="s">
        <v>612</v>
      </c>
      <c r="G7" s="16" t="s">
        <v>768</v>
      </c>
      <c r="H7" s="16">
        <v>15</v>
      </c>
      <c r="I7" s="16">
        <v>30</v>
      </c>
      <c r="J7" s="16" t="s">
        <v>621</v>
      </c>
      <c r="K7" s="16"/>
      <c r="L7" s="16">
        <v>15750</v>
      </c>
      <c r="N7" s="16" t="s">
        <v>769</v>
      </c>
      <c r="O7" s="16" t="b">
        <v>1</v>
      </c>
      <c r="P7" s="16" t="s">
        <v>770</v>
      </c>
      <c r="Q7" s="16" t="str">
        <f t="shared" si="0"/>
        <v>30/5A 15VA 1.0</v>
      </c>
      <c r="S7" s="16"/>
      <c r="W7" s="16"/>
    </row>
    <row r="8" spans="2:23">
      <c r="B8" s="9" t="str">
        <f t="shared" si="1"/>
        <v>E_ITR0101_VM_0000_40</v>
      </c>
      <c r="C8" s="16" t="s">
        <v>191</v>
      </c>
      <c r="D8" s="16" t="s">
        <v>190</v>
      </c>
      <c r="E8" s="16" t="s">
        <v>391</v>
      </c>
      <c r="F8" s="16" t="s">
        <v>612</v>
      </c>
      <c r="G8" s="16" t="s">
        <v>768</v>
      </c>
      <c r="H8" s="16">
        <v>15</v>
      </c>
      <c r="I8" s="16">
        <v>40</v>
      </c>
      <c r="J8" s="16" t="s">
        <v>621</v>
      </c>
      <c r="K8" s="16"/>
      <c r="L8" s="16">
        <v>15750</v>
      </c>
      <c r="N8" s="16" t="s">
        <v>769</v>
      </c>
      <c r="O8" s="16" t="b">
        <v>1</v>
      </c>
      <c r="P8" s="16" t="s">
        <v>770</v>
      </c>
      <c r="Q8" s="16" t="str">
        <f t="shared" si="0"/>
        <v>40/5A 15VA 1.0</v>
      </c>
      <c r="S8" s="16"/>
      <c r="W8" s="16"/>
    </row>
    <row r="9" spans="2:23">
      <c r="B9" s="9" t="str">
        <f t="shared" si="1"/>
        <v>E_ITR0101_VM_0000_50</v>
      </c>
      <c r="C9" s="16" t="s">
        <v>191</v>
      </c>
      <c r="D9" s="16" t="s">
        <v>190</v>
      </c>
      <c r="E9" s="16" t="s">
        <v>391</v>
      </c>
      <c r="F9" s="16" t="s">
        <v>612</v>
      </c>
      <c r="G9" s="16" t="s">
        <v>768</v>
      </c>
      <c r="H9" s="16">
        <v>15</v>
      </c>
      <c r="I9" s="16">
        <v>50</v>
      </c>
      <c r="J9" s="16" t="s">
        <v>621</v>
      </c>
      <c r="K9" s="16"/>
      <c r="L9" s="16">
        <v>15750</v>
      </c>
      <c r="N9" s="16" t="s">
        <v>769</v>
      </c>
      <c r="O9" s="16" t="b">
        <v>1</v>
      </c>
      <c r="P9" s="16" t="s">
        <v>770</v>
      </c>
      <c r="Q9" s="16" t="str">
        <f t="shared" si="0"/>
        <v>50/5A 15VA 1.0</v>
      </c>
      <c r="S9" s="16"/>
      <c r="W9" s="16"/>
    </row>
    <row r="10" spans="2:23">
      <c r="B10" s="9" t="str">
        <f t="shared" si="1"/>
        <v>E_ITR0101_VM_0000_75</v>
      </c>
      <c r="C10" s="16" t="s">
        <v>191</v>
      </c>
      <c r="D10" s="16" t="s">
        <v>190</v>
      </c>
      <c r="E10" s="16" t="s">
        <v>391</v>
      </c>
      <c r="F10" s="16" t="s">
        <v>612</v>
      </c>
      <c r="G10" s="16" t="s">
        <v>768</v>
      </c>
      <c r="H10" s="16">
        <v>15</v>
      </c>
      <c r="I10" s="16">
        <v>75</v>
      </c>
      <c r="J10" s="16" t="s">
        <v>621</v>
      </c>
      <c r="K10" s="16"/>
      <c r="L10" s="16">
        <v>15750</v>
      </c>
      <c r="N10" s="16" t="s">
        <v>769</v>
      </c>
      <c r="O10" s="16" t="b">
        <v>1</v>
      </c>
      <c r="P10" s="16" t="s">
        <v>770</v>
      </c>
      <c r="Q10" s="16" t="str">
        <f t="shared" si="0"/>
        <v>75/5A 15VA 1.0</v>
      </c>
      <c r="S10" s="16"/>
      <c r="W10" s="16"/>
    </row>
    <row r="11" spans="2:23">
      <c r="B11" s="9" t="str">
        <f t="shared" si="1"/>
        <v>E_ITR0101_VM_0000_100</v>
      </c>
      <c r="C11" s="16" t="s">
        <v>191</v>
      </c>
      <c r="D11" s="16" t="s">
        <v>190</v>
      </c>
      <c r="E11" s="16" t="s">
        <v>391</v>
      </c>
      <c r="F11" s="16" t="s">
        <v>612</v>
      </c>
      <c r="G11" s="16" t="s">
        <v>768</v>
      </c>
      <c r="H11" s="16">
        <v>15</v>
      </c>
      <c r="I11" s="16">
        <v>100</v>
      </c>
      <c r="J11" s="16" t="s">
        <v>621</v>
      </c>
      <c r="K11" s="16"/>
      <c r="L11" s="16">
        <v>15750</v>
      </c>
      <c r="N11" s="16" t="s">
        <v>769</v>
      </c>
      <c r="O11" s="16" t="b">
        <v>1</v>
      </c>
      <c r="P11" s="16" t="s">
        <v>770</v>
      </c>
      <c r="Q11" s="16" t="str">
        <f t="shared" si="0"/>
        <v>100/5A 15VA 1.0</v>
      </c>
      <c r="S11" s="16"/>
      <c r="W11" s="16"/>
    </row>
    <row r="12" spans="2:23">
      <c r="B12" s="9" t="str">
        <f t="shared" si="1"/>
        <v>E_ITR0101_VM_0000_150</v>
      </c>
      <c r="C12" s="16" t="s">
        <v>191</v>
      </c>
      <c r="D12" s="16" t="s">
        <v>190</v>
      </c>
      <c r="E12" s="16" t="s">
        <v>391</v>
      </c>
      <c r="F12" s="16" t="s">
        <v>612</v>
      </c>
      <c r="G12" s="16" t="s">
        <v>768</v>
      </c>
      <c r="H12" s="16">
        <v>15</v>
      </c>
      <c r="I12" s="16">
        <v>150</v>
      </c>
      <c r="J12" s="16" t="s">
        <v>621</v>
      </c>
      <c r="K12" s="16"/>
      <c r="L12" s="16">
        <v>15750</v>
      </c>
      <c r="N12" s="16" t="s">
        <v>769</v>
      </c>
      <c r="O12" s="16" t="b">
        <v>1</v>
      </c>
      <c r="P12" s="16" t="s">
        <v>770</v>
      </c>
      <c r="Q12" s="16" t="str">
        <f t="shared" si="0"/>
        <v>150/5A 15VA 1.0</v>
      </c>
      <c r="S12" s="16"/>
      <c r="W12" s="16"/>
    </row>
    <row r="13" spans="2:23">
      <c r="B13" s="9" t="str">
        <f t="shared" si="1"/>
        <v>E_ITR0101_VM_0000_200</v>
      </c>
      <c r="C13" s="16" t="s">
        <v>191</v>
      </c>
      <c r="D13" s="16" t="s">
        <v>190</v>
      </c>
      <c r="E13" s="16" t="s">
        <v>391</v>
      </c>
      <c r="F13" s="16" t="s">
        <v>612</v>
      </c>
      <c r="G13" s="16" t="s">
        <v>768</v>
      </c>
      <c r="H13" s="16">
        <v>15</v>
      </c>
      <c r="I13" s="16">
        <v>200</v>
      </c>
      <c r="J13" s="16" t="s">
        <v>621</v>
      </c>
      <c r="K13" s="16"/>
      <c r="L13" s="16">
        <v>15750</v>
      </c>
      <c r="N13" s="16" t="s">
        <v>769</v>
      </c>
      <c r="O13" s="16" t="b">
        <v>1</v>
      </c>
      <c r="P13" s="16" t="s">
        <v>770</v>
      </c>
      <c r="Q13" s="16" t="str">
        <f t="shared" si="0"/>
        <v>200/5A 15VA 1.0</v>
      </c>
      <c r="S13" s="16"/>
      <c r="W13" s="16"/>
    </row>
    <row r="14" spans="2:23">
      <c r="B14" s="9" t="str">
        <f t="shared" si="1"/>
        <v>E_ITR0101_VM_0000_250</v>
      </c>
      <c r="C14" s="16" t="s">
        <v>191</v>
      </c>
      <c r="D14" s="16" t="s">
        <v>190</v>
      </c>
      <c r="E14" s="16" t="s">
        <v>391</v>
      </c>
      <c r="F14" s="16" t="s">
        <v>612</v>
      </c>
      <c r="G14" s="16" t="s">
        <v>768</v>
      </c>
      <c r="H14" s="16">
        <v>15</v>
      </c>
      <c r="I14" s="16">
        <v>250</v>
      </c>
      <c r="J14" s="16" t="s">
        <v>621</v>
      </c>
      <c r="K14" s="16"/>
      <c r="L14" s="16">
        <v>15750</v>
      </c>
      <c r="N14" s="16" t="s">
        <v>769</v>
      </c>
      <c r="O14" s="16" t="b">
        <v>1</v>
      </c>
      <c r="P14" s="16" t="s">
        <v>770</v>
      </c>
      <c r="Q14" s="16" t="str">
        <f t="shared" si="0"/>
        <v>250/5A 15VA 1.0</v>
      </c>
      <c r="S14" s="16"/>
      <c r="W14" s="16"/>
    </row>
    <row r="15" spans="2:23">
      <c r="B15" s="9" t="str">
        <f t="shared" si="1"/>
        <v>E_ITR0101_VM_0000_300</v>
      </c>
      <c r="C15" s="16" t="s">
        <v>191</v>
      </c>
      <c r="D15" s="16" t="s">
        <v>190</v>
      </c>
      <c r="E15" s="16" t="s">
        <v>391</v>
      </c>
      <c r="F15" s="16" t="s">
        <v>612</v>
      </c>
      <c r="G15" s="16" t="s">
        <v>768</v>
      </c>
      <c r="H15" s="16">
        <v>15</v>
      </c>
      <c r="I15" s="16">
        <v>300</v>
      </c>
      <c r="J15" s="16" t="s">
        <v>621</v>
      </c>
      <c r="K15" s="16"/>
      <c r="L15" s="16">
        <v>15750</v>
      </c>
      <c r="N15" s="16" t="s">
        <v>769</v>
      </c>
      <c r="O15" s="16" t="b">
        <v>1</v>
      </c>
      <c r="P15" s="16" t="s">
        <v>770</v>
      </c>
      <c r="Q15" s="16" t="str">
        <f t="shared" si="0"/>
        <v>300/5A 15VA 1.0</v>
      </c>
      <c r="S15" s="16"/>
      <c r="W15" s="16"/>
    </row>
    <row r="16" spans="2:23">
      <c r="B16" s="9" t="str">
        <f t="shared" si="1"/>
        <v>E_ITR0101_VM_0000_400</v>
      </c>
      <c r="C16" s="16" t="s">
        <v>191</v>
      </c>
      <c r="D16" s="16" t="s">
        <v>190</v>
      </c>
      <c r="E16" s="16" t="s">
        <v>391</v>
      </c>
      <c r="F16" s="16" t="s">
        <v>612</v>
      </c>
      <c r="G16" s="16" t="s">
        <v>771</v>
      </c>
      <c r="H16" s="16">
        <v>40</v>
      </c>
      <c r="I16" s="16">
        <v>400</v>
      </c>
      <c r="J16" s="16" t="s">
        <v>621</v>
      </c>
      <c r="K16" s="16"/>
      <c r="L16" s="16">
        <v>21000</v>
      </c>
      <c r="N16" s="16" t="s">
        <v>769</v>
      </c>
      <c r="O16" s="16" t="b">
        <v>1</v>
      </c>
      <c r="P16" s="16" t="s">
        <v>770</v>
      </c>
      <c r="Q16" s="16" t="str">
        <f t="shared" si="0"/>
        <v>400/5A 40VA 1.0</v>
      </c>
      <c r="S16" s="16"/>
      <c r="W16" s="16"/>
    </row>
    <row r="17" spans="2:23">
      <c r="B17" s="9" t="str">
        <f t="shared" si="1"/>
        <v>E_ITR0101_VM_0000_500</v>
      </c>
      <c r="C17" s="16" t="s">
        <v>191</v>
      </c>
      <c r="D17" s="16" t="s">
        <v>190</v>
      </c>
      <c r="E17" s="16" t="s">
        <v>391</v>
      </c>
      <c r="F17" s="16" t="s">
        <v>612</v>
      </c>
      <c r="G17" s="16" t="s">
        <v>771</v>
      </c>
      <c r="H17" s="16">
        <v>40</v>
      </c>
      <c r="I17" s="16">
        <v>500</v>
      </c>
      <c r="J17" s="16" t="s">
        <v>621</v>
      </c>
      <c r="K17" s="16"/>
      <c r="L17" s="16">
        <v>21000</v>
      </c>
      <c r="N17" s="16" t="s">
        <v>769</v>
      </c>
      <c r="O17" s="16" t="b">
        <v>1</v>
      </c>
      <c r="P17" s="16" t="s">
        <v>770</v>
      </c>
      <c r="Q17" s="16" t="str">
        <f t="shared" si="0"/>
        <v>500/5A 40VA 1.0</v>
      </c>
      <c r="S17" s="16"/>
      <c r="W17" s="16"/>
    </row>
    <row r="18" spans="2:23">
      <c r="B18" s="9" t="str">
        <f t="shared" si="1"/>
        <v>E_ITR0101_VM_0000_600</v>
      </c>
      <c r="C18" s="16" t="s">
        <v>191</v>
      </c>
      <c r="D18" s="16" t="s">
        <v>190</v>
      </c>
      <c r="E18" s="16" t="s">
        <v>391</v>
      </c>
      <c r="F18" s="16" t="s">
        <v>612</v>
      </c>
      <c r="G18" s="16" t="s">
        <v>771</v>
      </c>
      <c r="H18" s="16">
        <v>40</v>
      </c>
      <c r="I18" s="16">
        <v>600</v>
      </c>
      <c r="J18" s="16" t="s">
        <v>621</v>
      </c>
      <c r="K18" s="16"/>
      <c r="L18" s="16">
        <v>21000</v>
      </c>
      <c r="N18" s="16" t="s">
        <v>769</v>
      </c>
      <c r="O18" s="16" t="b">
        <v>1</v>
      </c>
      <c r="P18" s="16" t="s">
        <v>770</v>
      </c>
      <c r="Q18" s="16" t="str">
        <f t="shared" si="0"/>
        <v>600/5A 40VA 1.0</v>
      </c>
      <c r="S18" s="16"/>
      <c r="W18" s="16"/>
    </row>
    <row r="19" spans="2:23">
      <c r="B19" s="9" t="str">
        <f t="shared" si="1"/>
        <v>E_ITR0101_VM_0000_750</v>
      </c>
      <c r="C19" s="16" t="s">
        <v>191</v>
      </c>
      <c r="D19" s="16" t="s">
        <v>190</v>
      </c>
      <c r="E19" s="16" t="s">
        <v>391</v>
      </c>
      <c r="F19" s="16" t="s">
        <v>612</v>
      </c>
      <c r="G19" s="16" t="s">
        <v>771</v>
      </c>
      <c r="H19" s="16">
        <v>40</v>
      </c>
      <c r="I19" s="16">
        <v>750</v>
      </c>
      <c r="J19" s="16" t="s">
        <v>621</v>
      </c>
      <c r="K19" s="16"/>
      <c r="L19" s="16">
        <v>21000</v>
      </c>
      <c r="N19" s="16" t="s">
        <v>769</v>
      </c>
      <c r="O19" s="16" t="b">
        <v>1</v>
      </c>
      <c r="P19" s="16" t="s">
        <v>770</v>
      </c>
      <c r="Q19" s="16" t="str">
        <f t="shared" si="0"/>
        <v>750/5A 40VA 1.0</v>
      </c>
      <c r="S19" s="16"/>
      <c r="W19" s="16"/>
    </row>
    <row r="20" spans="2:23">
      <c r="B20" s="9" t="str">
        <f t="shared" si="1"/>
        <v>E_ITR0101_VM_0000_800</v>
      </c>
      <c r="C20" s="16" t="s">
        <v>191</v>
      </c>
      <c r="D20" s="16" t="s">
        <v>190</v>
      </c>
      <c r="E20" s="16" t="s">
        <v>391</v>
      </c>
      <c r="F20" s="16" t="s">
        <v>612</v>
      </c>
      <c r="G20" s="16" t="s">
        <v>771</v>
      </c>
      <c r="H20" s="16">
        <v>40</v>
      </c>
      <c r="I20" s="16">
        <v>800</v>
      </c>
      <c r="J20" s="16" t="s">
        <v>621</v>
      </c>
      <c r="K20" s="16"/>
      <c r="L20" s="16">
        <v>21000</v>
      </c>
      <c r="N20" s="16" t="s">
        <v>769</v>
      </c>
      <c r="O20" s="16" t="b">
        <v>1</v>
      </c>
      <c r="P20" s="16" t="s">
        <v>770</v>
      </c>
      <c r="Q20" s="16" t="str">
        <f t="shared" si="0"/>
        <v>800/5A 40VA 1.0</v>
      </c>
      <c r="S20" s="16"/>
      <c r="W20" s="16"/>
    </row>
    <row r="21" spans="2:23">
      <c r="B21" s="9" t="str">
        <f t="shared" si="1"/>
        <v>E_ITR0101_VM_0000_1000</v>
      </c>
      <c r="C21" s="16" t="s">
        <v>191</v>
      </c>
      <c r="D21" s="16" t="s">
        <v>190</v>
      </c>
      <c r="E21" s="16" t="s">
        <v>391</v>
      </c>
      <c r="F21" s="16" t="s">
        <v>612</v>
      </c>
      <c r="G21" s="16" t="s">
        <v>772</v>
      </c>
      <c r="H21">
        <v>40</v>
      </c>
      <c r="I21" s="16">
        <v>1000</v>
      </c>
      <c r="J21" s="16" t="s">
        <v>621</v>
      </c>
      <c r="K21" s="16"/>
      <c r="L21" s="16">
        <v>34500</v>
      </c>
      <c r="N21" s="16" t="s">
        <v>769</v>
      </c>
      <c r="O21" s="16" t="b">
        <v>1</v>
      </c>
      <c r="P21" s="16" t="s">
        <v>770</v>
      </c>
      <c r="Q21" s="16" t="str">
        <f t="shared" si="0"/>
        <v>1000/5A 40VA 1.0</v>
      </c>
      <c r="S21" s="16"/>
      <c r="W21" s="16"/>
    </row>
    <row r="22" spans="2:23">
      <c r="B22" s="9" t="str">
        <f t="shared" si="1"/>
        <v>E_ITR0101_VM_0000_1500</v>
      </c>
      <c r="C22" s="16" t="s">
        <v>191</v>
      </c>
      <c r="D22" s="16" t="s">
        <v>190</v>
      </c>
      <c r="E22" s="16" t="s">
        <v>391</v>
      </c>
      <c r="F22" s="16" t="s">
        <v>612</v>
      </c>
      <c r="G22" s="16" t="s">
        <v>773</v>
      </c>
      <c r="H22">
        <v>40</v>
      </c>
      <c r="I22" s="16">
        <v>1500</v>
      </c>
      <c r="J22" s="16" t="s">
        <v>621</v>
      </c>
      <c r="K22" s="16"/>
      <c r="L22" s="16">
        <v>48000</v>
      </c>
      <c r="N22" s="16" t="s">
        <v>769</v>
      </c>
      <c r="O22" s="16" t="b">
        <v>1</v>
      </c>
      <c r="P22" s="16" t="s">
        <v>770</v>
      </c>
      <c r="Q22" s="16" t="str">
        <f t="shared" si="0"/>
        <v>1500/5A 40VA 1.0</v>
      </c>
      <c r="S22" s="16"/>
      <c r="W22" s="16"/>
    </row>
    <row r="23" spans="2:23">
      <c r="B23" s="9" t="str">
        <f t="shared" si="1"/>
        <v>E_ITR0101_VM_0000_2000</v>
      </c>
      <c r="C23" s="16" t="s">
        <v>191</v>
      </c>
      <c r="D23" s="16" t="s">
        <v>190</v>
      </c>
      <c r="E23" s="16" t="s">
        <v>391</v>
      </c>
      <c r="F23" s="16" t="s">
        <v>612</v>
      </c>
      <c r="G23" s="16" t="s">
        <v>773</v>
      </c>
      <c r="H23">
        <v>40</v>
      </c>
      <c r="I23" s="1">
        <v>2000</v>
      </c>
      <c r="J23" s="16" t="s">
        <v>621</v>
      </c>
      <c r="K23" s="16"/>
      <c r="L23" s="16">
        <v>48000</v>
      </c>
      <c r="N23" s="16" t="s">
        <v>769</v>
      </c>
      <c r="O23" s="16" t="b">
        <v>1</v>
      </c>
      <c r="P23" s="16" t="s">
        <v>770</v>
      </c>
      <c r="Q23" s="16" t="str">
        <f t="shared" si="0"/>
        <v>2000/5A 40VA 1.0</v>
      </c>
      <c r="W23" s="16"/>
    </row>
    <row r="24" spans="2:23">
      <c r="B24" s="9" t="str">
        <f t="shared" si="1"/>
        <v>E_ITR0101_VM_0000_2500</v>
      </c>
      <c r="C24" s="16" t="s">
        <v>191</v>
      </c>
      <c r="D24" s="16" t="s">
        <v>190</v>
      </c>
      <c r="E24" s="16" t="s">
        <v>391</v>
      </c>
      <c r="F24" s="16" t="s">
        <v>612</v>
      </c>
      <c r="G24" s="16" t="s">
        <v>774</v>
      </c>
      <c r="H24">
        <v>40</v>
      </c>
      <c r="I24" s="1">
        <v>2500</v>
      </c>
      <c r="J24" s="16" t="s">
        <v>621</v>
      </c>
      <c r="K24" s="16"/>
      <c r="L24" s="16">
        <v>82500</v>
      </c>
      <c r="N24" s="16" t="s">
        <v>769</v>
      </c>
      <c r="O24" s="16" t="b">
        <v>1</v>
      </c>
      <c r="P24" s="16" t="s">
        <v>770</v>
      </c>
      <c r="Q24" s="16" t="str">
        <f t="shared" si="0"/>
        <v>2500/5A 40VA 1.0</v>
      </c>
      <c r="W24" s="16"/>
    </row>
    <row r="25" spans="2:23">
      <c r="B25" s="9" t="str">
        <f t="shared" si="1"/>
        <v>E_ITR0101_VM_0000_3000</v>
      </c>
      <c r="C25" s="16" t="s">
        <v>191</v>
      </c>
      <c r="D25" s="16" t="s">
        <v>190</v>
      </c>
      <c r="E25" s="16" t="s">
        <v>391</v>
      </c>
      <c r="F25" s="16" t="s">
        <v>612</v>
      </c>
      <c r="G25" s="16" t="s">
        <v>774</v>
      </c>
      <c r="H25">
        <v>40</v>
      </c>
      <c r="I25" s="1">
        <v>3000</v>
      </c>
      <c r="J25" s="16" t="s">
        <v>621</v>
      </c>
      <c r="K25" s="16"/>
      <c r="L25" s="16">
        <v>82500</v>
      </c>
      <c r="N25" s="16" t="s">
        <v>769</v>
      </c>
      <c r="O25" s="16" t="b">
        <v>1</v>
      </c>
      <c r="P25" s="16" t="s">
        <v>770</v>
      </c>
      <c r="Q25" s="16" t="str">
        <f t="shared" si="0"/>
        <v>3000/5A 40VA 1.0</v>
      </c>
      <c r="W25" s="16"/>
    </row>
    <row r="26" spans="2:23">
      <c r="B26" s="9" t="str">
        <f t="shared" si="1"/>
        <v>E_ITR0101_VM_0000_3500</v>
      </c>
      <c r="C26" s="16" t="s">
        <v>191</v>
      </c>
      <c r="D26" s="16" t="s">
        <v>190</v>
      </c>
      <c r="E26" s="16" t="s">
        <v>391</v>
      </c>
      <c r="F26" s="16" t="s">
        <v>612</v>
      </c>
      <c r="G26" s="16" t="s">
        <v>775</v>
      </c>
      <c r="H26">
        <v>40</v>
      </c>
      <c r="I26" s="1">
        <v>3500</v>
      </c>
      <c r="J26" s="16" t="s">
        <v>621</v>
      </c>
      <c r="K26" s="16"/>
      <c r="L26" s="16">
        <v>90000</v>
      </c>
      <c r="N26" s="16" t="s">
        <v>769</v>
      </c>
      <c r="O26" s="16" t="b">
        <v>1</v>
      </c>
      <c r="P26" s="16" t="s">
        <v>770</v>
      </c>
      <c r="Q26" s="16" t="str">
        <f t="shared" si="0"/>
        <v>3500/5A 40VA 1.0</v>
      </c>
      <c r="W26" s="16"/>
    </row>
    <row r="27" spans="2:23">
      <c r="B27" s="9" t="str">
        <f t="shared" si="1"/>
        <v>E_ITR0101_VM_0000_4000</v>
      </c>
      <c r="C27" s="16" t="s">
        <v>191</v>
      </c>
      <c r="D27" s="16" t="s">
        <v>190</v>
      </c>
      <c r="E27" s="16" t="s">
        <v>391</v>
      </c>
      <c r="F27" s="16" t="s">
        <v>612</v>
      </c>
      <c r="G27" s="16" t="s">
        <v>775</v>
      </c>
      <c r="H27">
        <v>40</v>
      </c>
      <c r="I27" s="1">
        <v>4000</v>
      </c>
      <c r="J27" s="16" t="s">
        <v>621</v>
      </c>
      <c r="K27" s="16"/>
      <c r="L27" s="16">
        <v>90000</v>
      </c>
      <c r="N27" s="16" t="s">
        <v>769</v>
      </c>
      <c r="O27" s="16" t="b">
        <v>1</v>
      </c>
      <c r="P27" s="16" t="s">
        <v>770</v>
      </c>
      <c r="Q27" s="16" t="str">
        <f t="shared" si="0"/>
        <v>4000/5A 40VA 1.0</v>
      </c>
      <c r="W27" s="16"/>
    </row>
    <row r="28" spans="2:23">
      <c r="B28" s="9" t="str">
        <f t="shared" si="1"/>
        <v>E_ITR0101_VM_0000_5000</v>
      </c>
      <c r="C28" s="16" t="s">
        <v>191</v>
      </c>
      <c r="D28" s="16" t="s">
        <v>190</v>
      </c>
      <c r="E28" s="16" t="s">
        <v>391</v>
      </c>
      <c r="F28" s="16" t="s">
        <v>612</v>
      </c>
      <c r="G28" s="16" t="s">
        <v>776</v>
      </c>
      <c r="H28">
        <v>40</v>
      </c>
      <c r="I28" s="1">
        <v>5000</v>
      </c>
      <c r="J28" s="16" t="s">
        <v>621</v>
      </c>
      <c r="K28" s="16"/>
      <c r="L28" s="16">
        <v>117000</v>
      </c>
      <c r="N28" s="16" t="s">
        <v>769</v>
      </c>
      <c r="O28" s="16" t="b">
        <v>1</v>
      </c>
      <c r="P28" s="16" t="s">
        <v>770</v>
      </c>
      <c r="Q28" s="16" t="str">
        <f t="shared" si="0"/>
        <v>5000/5A 40VA 1.0</v>
      </c>
      <c r="W28" s="16"/>
    </row>
    <row r="29" spans="2:23">
      <c r="B29" s="9"/>
      <c r="C29" s="16"/>
      <c r="D29" s="16"/>
      <c r="E29" s="16"/>
      <c r="F29" s="16"/>
      <c r="G29" s="16"/>
      <c r="I29" s="1"/>
      <c r="J29" s="1"/>
      <c r="K29" s="1"/>
      <c r="L29" s="16"/>
      <c r="M29" s="16"/>
      <c r="N29" s="16"/>
      <c r="O29" s="16"/>
      <c r="P29" s="16"/>
      <c r="Q29" s="16"/>
      <c r="W29" s="16"/>
    </row>
    <row r="30" spans="2:23">
      <c r="B30" s="9"/>
      <c r="C30" s="16"/>
      <c r="D30" s="16"/>
      <c r="G30" s="16"/>
      <c r="I30" s="16"/>
      <c r="J30" s="16"/>
      <c r="K30" s="16"/>
      <c r="L30" s="16"/>
      <c r="M30" s="16"/>
      <c r="N30" s="16"/>
      <c r="O30" s="16"/>
      <c r="P30" s="16"/>
      <c r="Q30" s="16"/>
      <c r="W30" s="16"/>
    </row>
    <row r="31" spans="2:23">
      <c r="B31" s="9"/>
      <c r="C31" s="16"/>
      <c r="D31" s="16"/>
      <c r="G31" s="16"/>
      <c r="I31" s="16"/>
      <c r="J31" s="16"/>
      <c r="K31" s="16"/>
      <c r="L31" s="16"/>
      <c r="M31" s="16"/>
      <c r="N31" s="16"/>
      <c r="O31" s="16"/>
      <c r="P31" s="16"/>
      <c r="Q31" s="16"/>
      <c r="W31" s="16"/>
    </row>
    <row r="32" spans="2:23">
      <c r="B32" s="9"/>
      <c r="C32" s="16"/>
      <c r="D32" s="16"/>
      <c r="G32" s="16"/>
      <c r="I32" s="16"/>
      <c r="J32" s="16"/>
      <c r="K32" s="16"/>
      <c r="L32" s="16"/>
      <c r="M32" s="16"/>
      <c r="N32" s="16"/>
      <c r="O32" s="16"/>
      <c r="P32" s="16"/>
      <c r="Q32" s="16"/>
      <c r="W32" s="16"/>
    </row>
    <row r="33" spans="2:23">
      <c r="B33" s="9"/>
      <c r="C33" s="16"/>
      <c r="D33" s="16"/>
      <c r="G33" s="16"/>
      <c r="I33" s="16"/>
      <c r="J33" s="16"/>
      <c r="K33" s="16"/>
      <c r="L33" s="16"/>
      <c r="M33" s="16"/>
      <c r="N33" s="16"/>
      <c r="O33" s="16"/>
      <c r="P33" s="16"/>
      <c r="Q33" s="16"/>
      <c r="W33" s="16"/>
    </row>
    <row r="34" spans="2:23">
      <c r="B34" s="9"/>
      <c r="C34" s="16"/>
      <c r="D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W34" s="16"/>
    </row>
    <row r="35" spans="2:23">
      <c r="B35" s="9"/>
      <c r="C35" s="16"/>
      <c r="D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W35" s="16"/>
    </row>
    <row r="36" spans="2:23">
      <c r="B36" s="9"/>
      <c r="C36" s="16"/>
      <c r="D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W36" s="16"/>
    </row>
    <row r="37" spans="2:23">
      <c r="B37" s="9"/>
      <c r="C37" s="16"/>
      <c r="D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W37" s="16"/>
    </row>
    <row r="38" spans="2:23">
      <c r="B38" s="9"/>
      <c r="C38" s="16"/>
      <c r="D38" s="16"/>
      <c r="F38" s="16"/>
      <c r="G38" s="16"/>
      <c r="H38" s="16"/>
      <c r="I38" s="16"/>
      <c r="J38" s="16"/>
      <c r="K38" s="16"/>
      <c r="L38" s="17"/>
      <c r="M38" s="16"/>
      <c r="N38" s="16"/>
      <c r="P38" s="16"/>
      <c r="Q38" s="16"/>
      <c r="W38" s="16"/>
    </row>
    <row r="39" spans="2:23">
      <c r="B39" s="9"/>
      <c r="C39" s="16"/>
      <c r="D39" s="16"/>
      <c r="F39" s="16"/>
      <c r="G39" s="16"/>
      <c r="H39" s="16"/>
      <c r="I39" s="16"/>
      <c r="J39" s="16"/>
      <c r="K39" s="16"/>
      <c r="L39" s="16"/>
      <c r="M39" s="16"/>
      <c r="N39" s="16"/>
      <c r="P39" s="16"/>
      <c r="Q39" s="16"/>
      <c r="W39" s="16"/>
    </row>
    <row r="40" spans="2:23">
      <c r="B40" s="9"/>
      <c r="C40" s="16"/>
      <c r="D40" s="16"/>
      <c r="F40" s="16"/>
      <c r="G40" s="16"/>
      <c r="H40" s="16"/>
      <c r="I40" s="16"/>
      <c r="J40" s="16"/>
      <c r="K40" s="16"/>
      <c r="L40" s="16"/>
      <c r="M40" s="16"/>
      <c r="N40" s="16"/>
      <c r="P40" s="16"/>
      <c r="Q40" s="16"/>
      <c r="W40" s="16"/>
    </row>
    <row r="41" spans="2:23">
      <c r="B41" s="9"/>
      <c r="C41" s="16"/>
      <c r="D41" s="16"/>
      <c r="F41" s="16"/>
      <c r="G41" s="16"/>
      <c r="H41" s="16"/>
      <c r="I41" s="16"/>
      <c r="J41" s="16"/>
      <c r="K41" s="16"/>
      <c r="L41" s="16"/>
      <c r="M41" s="16"/>
      <c r="N41" s="16"/>
      <c r="P41" s="16"/>
      <c r="Q41" s="16"/>
      <c r="W41" s="16"/>
    </row>
    <row r="42" spans="2:23">
      <c r="B42" s="9"/>
      <c r="F42" s="1"/>
      <c r="G42" s="16"/>
      <c r="H42" s="16"/>
      <c r="I42" s="16"/>
      <c r="J42" s="16"/>
      <c r="K42" s="16"/>
      <c r="L42" s="16"/>
      <c r="M42" s="16"/>
      <c r="N42" s="16"/>
      <c r="P42" s="16"/>
      <c r="Q42" s="16"/>
    </row>
    <row r="43" spans="2:23">
      <c r="B43" s="9"/>
      <c r="F43" s="1"/>
      <c r="G43" s="16"/>
      <c r="H43" s="16"/>
      <c r="I43" s="16"/>
      <c r="J43" s="16"/>
      <c r="K43" s="16"/>
      <c r="L43" s="16"/>
      <c r="M43" s="16"/>
      <c r="N43" s="16"/>
      <c r="P43" s="16"/>
      <c r="Q43" s="16"/>
    </row>
    <row r="44" spans="2:23">
      <c r="B44" s="9"/>
      <c r="F44" s="1"/>
      <c r="G44" s="16"/>
      <c r="H44" s="16"/>
      <c r="I44" s="16"/>
      <c r="J44" s="16"/>
      <c r="K44" s="16"/>
      <c r="L44" s="16"/>
      <c r="M44" s="16"/>
      <c r="N44" s="16"/>
      <c r="O44" s="9"/>
      <c r="P44" s="16"/>
      <c r="Q44" s="16"/>
    </row>
    <row r="45" spans="2:23">
      <c r="B45" s="9"/>
      <c r="F45" s="1"/>
      <c r="G45" s="16"/>
      <c r="H45" s="16"/>
      <c r="I45" s="16"/>
      <c r="J45" s="16"/>
      <c r="K45" s="16"/>
      <c r="L45" s="16"/>
      <c r="M45" s="16"/>
      <c r="N45" s="16"/>
      <c r="O45" s="9"/>
      <c r="P45" s="16"/>
      <c r="Q45" s="16"/>
    </row>
    <row r="46" spans="2:23">
      <c r="B46" s="9"/>
      <c r="F46" s="1"/>
      <c r="G46" s="16"/>
      <c r="H46" s="16"/>
      <c r="I46" s="16"/>
      <c r="J46" s="16"/>
      <c r="K46" s="16"/>
      <c r="L46" s="16"/>
      <c r="M46" s="16"/>
      <c r="N46" s="16"/>
      <c r="O46" s="9"/>
      <c r="P46" s="16"/>
      <c r="Q46" s="16"/>
    </row>
    <row r="47" spans="2:23">
      <c r="B47" s="9"/>
      <c r="F47" s="1"/>
      <c r="G47" s="16"/>
      <c r="H47" s="16"/>
      <c r="I47" s="16"/>
      <c r="J47" s="16"/>
      <c r="K47" s="16"/>
      <c r="L47" s="16"/>
      <c r="M47" s="16"/>
      <c r="N47" s="16"/>
      <c r="O47" s="9"/>
      <c r="P47" s="16"/>
      <c r="Q47" s="16"/>
    </row>
    <row r="48" spans="2:23" ht="16.5" customHeight="1">
      <c r="G48" s="16"/>
      <c r="H48" s="16"/>
      <c r="I48" s="16"/>
      <c r="J48" s="16"/>
      <c r="K48" s="16"/>
      <c r="L48" s="16"/>
      <c r="M48" s="16"/>
      <c r="N48" s="16"/>
      <c r="P48" s="16"/>
      <c r="Q48" s="16"/>
    </row>
    <row r="49" spans="7:17" ht="16.5" customHeight="1">
      <c r="G49" s="16"/>
      <c r="H49" s="16"/>
      <c r="I49" s="16"/>
      <c r="J49" s="16"/>
      <c r="K49" s="16"/>
      <c r="L49" s="16"/>
      <c r="M49" s="16"/>
      <c r="N49" s="16"/>
      <c r="P49" s="16"/>
      <c r="Q49" s="16"/>
    </row>
    <row r="50" spans="7:17" ht="16.5" customHeight="1">
      <c r="G50" s="16"/>
      <c r="H50" s="16"/>
      <c r="I50" s="16"/>
      <c r="J50" s="16"/>
      <c r="K50" s="16"/>
      <c r="L50" s="16"/>
      <c r="M50" s="16"/>
      <c r="N50" s="16"/>
      <c r="P50" s="16"/>
      <c r="Q50" s="16"/>
    </row>
    <row r="51" spans="7:17" ht="16.5" customHeight="1">
      <c r="G51" s="16"/>
      <c r="H51" s="16"/>
      <c r="I51" s="16"/>
      <c r="J51" s="16"/>
      <c r="K51" s="16"/>
      <c r="L51" s="16"/>
      <c r="M51" s="16"/>
      <c r="N51" s="16"/>
      <c r="P51" s="16"/>
      <c r="Q51" s="16"/>
    </row>
    <row r="52" spans="7:17" ht="16.5" customHeight="1">
      <c r="G52" s="16"/>
      <c r="H52" s="16"/>
      <c r="I52" s="16"/>
      <c r="J52" s="16"/>
      <c r="K52" s="16"/>
      <c r="M52" s="16"/>
      <c r="N52" s="16"/>
      <c r="P52" s="16"/>
      <c r="Q52" s="16"/>
    </row>
    <row r="53" spans="7:17" ht="16.5" customHeight="1">
      <c r="G53" s="16"/>
      <c r="H53" s="16"/>
      <c r="I53" s="16"/>
      <c r="J53" s="16"/>
      <c r="K53" s="16"/>
      <c r="L53" s="16"/>
      <c r="M53" s="16"/>
      <c r="N53" s="16"/>
      <c r="P53" s="16"/>
      <c r="Q53" s="16"/>
    </row>
    <row r="54" spans="7:17" ht="16.5" customHeight="1">
      <c r="G54" s="16"/>
      <c r="I54" s="16"/>
      <c r="J54" s="16"/>
      <c r="K54" s="16"/>
      <c r="L54" s="16"/>
      <c r="M54" s="16"/>
      <c r="N54" s="16"/>
      <c r="P54" s="16"/>
      <c r="Q54" s="16"/>
    </row>
    <row r="55" spans="7:17" ht="16.5" customHeight="1">
      <c r="G55" s="16"/>
      <c r="H55" s="16"/>
      <c r="I55" s="16"/>
      <c r="J55" s="16"/>
      <c r="K55" s="16"/>
      <c r="L55" s="16"/>
      <c r="M55" s="16"/>
      <c r="N55" s="16"/>
      <c r="P55" s="16"/>
      <c r="Q55" s="16"/>
    </row>
    <row r="56" spans="7:17" ht="16.5" customHeight="1">
      <c r="G56" s="16"/>
      <c r="H56" s="16"/>
      <c r="I56" s="16"/>
      <c r="J56" s="16"/>
      <c r="K56" s="16"/>
      <c r="L56" s="16"/>
      <c r="M56" s="16"/>
      <c r="N56" s="16"/>
      <c r="P56" s="16"/>
      <c r="Q56" s="16"/>
    </row>
    <row r="57" spans="7:17" ht="16.5" customHeight="1">
      <c r="G57" s="9"/>
      <c r="P57" s="16"/>
      <c r="Q57" s="16"/>
    </row>
    <row r="58" spans="7:17" ht="16.5" customHeight="1">
      <c r="G58" s="9"/>
      <c r="P58" s="16"/>
      <c r="Q58" s="16"/>
    </row>
    <row r="59" spans="7:17" ht="16.5" customHeight="1">
      <c r="P59" s="16"/>
      <c r="Q59" s="16"/>
    </row>
    <row r="60" spans="7:17" ht="16.5" customHeight="1">
      <c r="P60" s="16"/>
      <c r="Q60" s="16"/>
    </row>
    <row r="61" spans="7:17" ht="16.5" customHeight="1">
      <c r="P61" s="16"/>
      <c r="Q61" s="16"/>
    </row>
    <row r="62" spans="7:17" ht="16.5" customHeight="1">
      <c r="P62" s="16"/>
      <c r="Q62" s="16"/>
    </row>
    <row r="63" spans="7:17" ht="16.5" customHeight="1">
      <c r="P63" s="16"/>
      <c r="Q63" s="16"/>
    </row>
    <row r="64" spans="7:17" ht="16.5" customHeight="1">
      <c r="P64" s="16"/>
      <c r="Q64" s="16"/>
    </row>
    <row r="65" spans="16:17" ht="16.5" customHeight="1">
      <c r="P65" s="16"/>
      <c r="Q65" s="16"/>
    </row>
    <row r="66" spans="16:17" ht="16.5" customHeight="1">
      <c r="P66" s="16"/>
      <c r="Q66" s="16"/>
    </row>
    <row r="67" spans="16:17" ht="16.5" customHeight="1">
      <c r="P67" s="16"/>
      <c r="Q67" s="16"/>
    </row>
    <row r="68" spans="16:17" ht="16.5" customHeight="1">
      <c r="P68" s="16"/>
      <c r="Q68" s="16"/>
    </row>
    <row r="69" spans="16:17" ht="16.5" customHeight="1">
      <c r="P69" s="16"/>
      <c r="Q69" s="16"/>
    </row>
    <row r="70" spans="16:17" ht="16.5" customHeight="1">
      <c r="P70" s="16"/>
      <c r="Q70" s="16"/>
    </row>
    <row r="71" spans="16:17" ht="16.5" customHeight="1">
      <c r="P71" s="16"/>
      <c r="Q71" s="16"/>
    </row>
    <row r="72" spans="16:17" ht="16.5" customHeight="1">
      <c r="P72" s="16"/>
      <c r="Q72" s="16"/>
    </row>
    <row r="73" spans="16:17" ht="16.5" customHeight="1">
      <c r="P73" s="16"/>
      <c r="Q73" s="16"/>
    </row>
    <row r="74" spans="16:17" ht="16.5" customHeight="1">
      <c r="P74" s="16"/>
      <c r="Q74" s="16"/>
    </row>
    <row r="75" spans="16:17" ht="16.5" customHeight="1">
      <c r="P75" s="16"/>
      <c r="Q75" s="16"/>
    </row>
    <row r="76" spans="16:17" ht="16.5" customHeight="1">
      <c r="P76" s="16"/>
      <c r="Q76" s="16"/>
    </row>
    <row r="77" spans="16:17" ht="16.5" customHeight="1">
      <c r="P77" s="16"/>
      <c r="Q77" s="16"/>
    </row>
    <row r="78" spans="16:17" ht="16.5" customHeight="1">
      <c r="P78" s="16"/>
      <c r="Q78" s="16"/>
    </row>
    <row r="79" spans="16:17" ht="16.5" customHeight="1">
      <c r="P79" s="16"/>
      <c r="Q79" s="16"/>
    </row>
    <row r="80" spans="16:17" ht="16.5" customHeight="1">
      <c r="P80" s="16"/>
      <c r="Q80" s="16"/>
    </row>
    <row r="81" spans="16:17" ht="16.5" customHeight="1">
      <c r="P81" s="16"/>
      <c r="Q81" s="16"/>
    </row>
    <row r="82" spans="16:17" ht="16.5" customHeight="1">
      <c r="P82" s="16"/>
      <c r="Q82" s="16"/>
    </row>
    <row r="83" spans="16:17" ht="16.5" customHeight="1">
      <c r="P83" s="16"/>
      <c r="Q83" s="16"/>
    </row>
    <row r="84" spans="16:17" ht="16.5" customHeight="1">
      <c r="P84" s="16"/>
      <c r="Q84" s="16"/>
    </row>
    <row r="85" spans="16:17" ht="16.5" customHeight="1">
      <c r="P85" s="16"/>
      <c r="Q85" s="16"/>
    </row>
    <row r="86" spans="16:17" ht="16.5" customHeight="1">
      <c r="P86" s="16"/>
      <c r="Q86" s="16"/>
    </row>
    <row r="87" spans="16:17" ht="16.5" customHeight="1">
      <c r="P87" s="16"/>
      <c r="Q87" s="16"/>
    </row>
    <row r="88" spans="16:17" ht="16.5" customHeight="1">
      <c r="P88" s="16"/>
      <c r="Q88" s="16"/>
    </row>
    <row r="89" spans="16:17" ht="16.5" customHeight="1">
      <c r="P89" s="16"/>
      <c r="Q89" s="16"/>
    </row>
    <row r="90" spans="16:17" ht="16.5" customHeight="1">
      <c r="P90" s="16"/>
      <c r="Q90" s="16"/>
    </row>
    <row r="91" spans="16:17" ht="16.5" customHeight="1">
      <c r="P91" s="16"/>
      <c r="Q91" s="16"/>
    </row>
    <row r="92" spans="16:17" ht="16.5" customHeight="1">
      <c r="P92" s="16"/>
      <c r="Q92" s="16"/>
    </row>
    <row r="93" spans="16:17" ht="16.5" customHeight="1">
      <c r="P93" s="16"/>
      <c r="Q93" s="16"/>
    </row>
    <row r="94" spans="16:17" ht="16.5" customHeight="1">
      <c r="P94" s="16"/>
      <c r="Q94" s="16"/>
    </row>
    <row r="95" spans="16:17" ht="16.5" customHeight="1">
      <c r="P95" s="16"/>
      <c r="Q95" s="16"/>
    </row>
    <row r="96" spans="16:17" ht="16.5" customHeight="1">
      <c r="P96" s="16"/>
      <c r="Q96" s="16"/>
    </row>
    <row r="97" spans="16:17" ht="16.5" customHeight="1">
      <c r="P97" s="16"/>
      <c r="Q97" s="16"/>
    </row>
    <row r="98" spans="16:17" ht="16.5" customHeight="1">
      <c r="P98" s="16"/>
      <c r="Q98" s="16"/>
    </row>
    <row r="99" spans="16:17" ht="16.5" customHeight="1">
      <c r="P99" s="16"/>
      <c r="Q99" s="16"/>
    </row>
    <row r="100" spans="16:17" ht="16.5" customHeight="1">
      <c r="P100" s="16"/>
      <c r="Q100" s="16"/>
    </row>
    <row r="101" spans="16:17" ht="16.5" customHeight="1">
      <c r="P101" s="16"/>
      <c r="Q101" s="16"/>
    </row>
    <row r="102" spans="16:17" ht="16.5" customHeight="1">
      <c r="P102" s="16"/>
      <c r="Q102" s="16"/>
    </row>
    <row r="103" spans="16:17" ht="16.5" customHeight="1">
      <c r="P103" s="16"/>
      <c r="Q103" s="16"/>
    </row>
    <row r="104" spans="16:17" ht="16.5" customHeight="1">
      <c r="P104" s="16"/>
      <c r="Q104" s="16"/>
    </row>
    <row r="105" spans="16:17" ht="16.5" customHeight="1">
      <c r="P105" s="16"/>
      <c r="Q105" s="16"/>
    </row>
    <row r="106" spans="16:17" ht="16.5" customHeight="1">
      <c r="P106" s="16"/>
      <c r="Q106" s="16"/>
    </row>
    <row r="107" spans="16:17" ht="16.5" customHeight="1">
      <c r="P107" s="16"/>
      <c r="Q107" s="16"/>
    </row>
    <row r="108" spans="16:17" ht="16.5" customHeight="1">
      <c r="P108" s="16"/>
      <c r="Q108" s="16"/>
    </row>
    <row r="109" spans="16:17" ht="16.5" customHeight="1">
      <c r="P109" s="16"/>
      <c r="Q109" s="16"/>
    </row>
    <row r="110" spans="16:17" ht="16.5" customHeight="1">
      <c r="P110" s="16"/>
      <c r="Q110" s="16"/>
    </row>
    <row r="111" spans="16:17" ht="16.5" customHeight="1">
      <c r="P111" s="16"/>
      <c r="Q111" s="16"/>
    </row>
    <row r="112" spans="16:17" ht="16.5" customHeight="1">
      <c r="P112" s="16"/>
      <c r="Q112" s="16"/>
    </row>
    <row r="113" spans="16:17" ht="16.5" customHeight="1">
      <c r="P113" s="16"/>
      <c r="Q113" s="16"/>
    </row>
    <row r="114" spans="16:17" ht="16.5" customHeight="1">
      <c r="P114" s="16"/>
      <c r="Q114" s="16"/>
    </row>
    <row r="115" spans="16:17" ht="16.5" customHeight="1">
      <c r="P115" s="16"/>
      <c r="Q115" s="16"/>
    </row>
    <row r="116" spans="16:17" ht="16.5" customHeight="1">
      <c r="P116" s="16"/>
      <c r="Q116" s="16"/>
    </row>
    <row r="117" spans="16:17" ht="16.5" customHeight="1">
      <c r="P117" s="16"/>
      <c r="Q117" s="16"/>
    </row>
    <row r="118" spans="16:17" ht="16.5" customHeight="1">
      <c r="P118" s="16"/>
      <c r="Q118" s="16"/>
    </row>
    <row r="119" spans="16:17" ht="16.5" customHeight="1">
      <c r="P119" s="16"/>
      <c r="Q119" s="16"/>
    </row>
    <row r="120" spans="16:17" ht="16.5" customHeight="1">
      <c r="P120" s="16"/>
      <c r="Q120" s="16"/>
    </row>
    <row r="121" spans="16:17" ht="16.5" customHeight="1">
      <c r="P121" s="16"/>
      <c r="Q121" s="16"/>
    </row>
    <row r="122" spans="16:17" ht="16.5" customHeight="1">
      <c r="P122" s="16"/>
      <c r="Q122" s="16"/>
    </row>
    <row r="123" spans="16:17" ht="16.5" customHeight="1">
      <c r="P123" s="16"/>
      <c r="Q123" s="16"/>
    </row>
    <row r="124" spans="16:17" ht="16.5" customHeight="1">
      <c r="P124" s="16"/>
      <c r="Q124" s="16"/>
    </row>
    <row r="125" spans="16:17" ht="16.5" customHeight="1">
      <c r="P125" s="16"/>
      <c r="Q125" s="16"/>
    </row>
    <row r="126" spans="16:17" ht="16.5" customHeight="1">
      <c r="P126" s="16"/>
      <c r="Q126" s="16"/>
    </row>
    <row r="127" spans="16:17" ht="16.5" customHeight="1">
      <c r="P127" s="16"/>
      <c r="Q127" s="16"/>
    </row>
    <row r="128" spans="16:17" ht="16.5" customHeight="1">
      <c r="P128" s="16"/>
      <c r="Q128" s="16"/>
    </row>
    <row r="129" spans="16:17" ht="16.5" customHeight="1">
      <c r="P129" s="16"/>
      <c r="Q129" s="16"/>
    </row>
    <row r="130" spans="16:17" ht="16.5" customHeight="1">
      <c r="P130" s="16"/>
      <c r="Q130" s="16"/>
    </row>
    <row r="131" spans="16:17" ht="16.5" customHeight="1">
      <c r="P131" s="16"/>
      <c r="Q131" s="16"/>
    </row>
    <row r="132" spans="16:17" ht="16.5" customHeight="1">
      <c r="P132" s="16"/>
      <c r="Q132" s="16"/>
    </row>
    <row r="133" spans="16:17" ht="16.5" customHeight="1">
      <c r="P133" s="16"/>
      <c r="Q133" s="16"/>
    </row>
    <row r="134" spans="16:17" ht="16.5" customHeight="1">
      <c r="P134" s="16"/>
      <c r="Q134" s="16"/>
    </row>
    <row r="135" spans="16:17" ht="16.5" customHeight="1">
      <c r="P135" s="16"/>
      <c r="Q135" s="16"/>
    </row>
    <row r="136" spans="16:17" ht="16.5" customHeight="1">
      <c r="P136" s="16"/>
      <c r="Q136" s="16"/>
    </row>
    <row r="137" spans="16:17" ht="16.5" customHeight="1">
      <c r="P137" s="16"/>
      <c r="Q137" s="16"/>
    </row>
    <row r="138" spans="16:17" ht="16.5" customHeight="1">
      <c r="P138" s="16"/>
      <c r="Q138" s="16"/>
    </row>
    <row r="139" spans="16:17" ht="16.5" customHeight="1">
      <c r="P139" s="16"/>
      <c r="Q139" s="16"/>
    </row>
    <row r="140" spans="16:17" ht="16.5" customHeight="1">
      <c r="P140" s="16"/>
      <c r="Q140" s="16"/>
    </row>
    <row r="141" spans="16:17" ht="16.5" customHeight="1">
      <c r="P141" s="16"/>
      <c r="Q141" s="16"/>
    </row>
    <row r="142" spans="16:17" ht="16.5" customHeight="1">
      <c r="P142" s="16"/>
      <c r="Q142" s="16"/>
    </row>
    <row r="143" spans="16:17" ht="16.5" customHeight="1">
      <c r="P143" s="16"/>
      <c r="Q143" s="16"/>
    </row>
    <row r="144" spans="16:17" ht="16.5" customHeight="1">
      <c r="P144" s="16"/>
      <c r="Q144" s="16"/>
    </row>
    <row r="145" spans="16:17" ht="16.5" customHeight="1">
      <c r="P145" s="16"/>
      <c r="Q145" s="16"/>
    </row>
    <row r="146" spans="16:17" ht="16.5" customHeight="1">
      <c r="P146" s="16"/>
      <c r="Q146" s="16"/>
    </row>
    <row r="147" spans="16:17" ht="16.5" customHeight="1">
      <c r="P147" s="16"/>
      <c r="Q147" s="16"/>
    </row>
    <row r="148" spans="16:17" ht="16.5" customHeight="1">
      <c r="P148" s="16"/>
      <c r="Q148" s="16"/>
    </row>
    <row r="149" spans="16:17" ht="16.5" customHeight="1">
      <c r="P149" s="16"/>
      <c r="Q149" s="16"/>
    </row>
    <row r="150" spans="16:17" ht="16.5" customHeight="1">
      <c r="P150" s="16"/>
      <c r="Q150" s="16"/>
    </row>
    <row r="151" spans="16:17" ht="16.5" customHeight="1">
      <c r="P151" s="16"/>
      <c r="Q151" s="16"/>
    </row>
    <row r="152" spans="16:17" ht="16.5" customHeight="1">
      <c r="P152" s="16"/>
      <c r="Q152" s="16"/>
    </row>
    <row r="153" spans="16:17" ht="16.5" customHeight="1">
      <c r="P153" s="16"/>
      <c r="Q153" s="16"/>
    </row>
    <row r="154" spans="16:17" ht="16.5" customHeight="1">
      <c r="P154" s="16"/>
      <c r="Q154" s="16"/>
    </row>
    <row r="155" spans="16:17" ht="16.5" customHeight="1">
      <c r="P155" s="16"/>
      <c r="Q155" s="16"/>
    </row>
    <row r="156" spans="16:17" ht="16.5" customHeight="1">
      <c r="P156" s="16"/>
      <c r="Q156" s="16"/>
    </row>
    <row r="157" spans="16:17" ht="16.5" customHeight="1">
      <c r="P157" s="16"/>
      <c r="Q157" s="16"/>
    </row>
    <row r="158" spans="16:17" ht="16.5" customHeight="1">
      <c r="P158" s="16"/>
      <c r="Q158" s="16"/>
    </row>
    <row r="159" spans="16:17" ht="16.5" customHeight="1">
      <c r="P159" s="16"/>
      <c r="Q159" s="16"/>
    </row>
    <row r="160" spans="16:17" ht="16.5" customHeight="1">
      <c r="P160" s="16"/>
      <c r="Q160" s="16"/>
    </row>
    <row r="161" spans="16:17" ht="16.5" customHeight="1">
      <c r="P161" s="16"/>
      <c r="Q161" s="16"/>
    </row>
    <row r="162" spans="16:17" ht="16.5" customHeight="1">
      <c r="P162" s="16"/>
      <c r="Q162" s="16"/>
    </row>
    <row r="163" spans="16:17" ht="16.5" customHeight="1">
      <c r="P163" s="16"/>
      <c r="Q163" s="16"/>
    </row>
    <row r="164" spans="16:17" ht="16.5" customHeight="1">
      <c r="P164" s="16"/>
      <c r="Q164" s="16"/>
    </row>
    <row r="165" spans="16:17" ht="16.5" customHeight="1">
      <c r="P165" s="16"/>
      <c r="Q165" s="16"/>
    </row>
    <row r="166" spans="16:17" ht="16.5" customHeight="1">
      <c r="P166" s="16"/>
      <c r="Q166" s="16"/>
    </row>
    <row r="167" spans="16:17" ht="16.5" customHeight="1">
      <c r="P167" s="16"/>
      <c r="Q167" s="16"/>
    </row>
    <row r="168" spans="16:17" ht="16.5" customHeight="1">
      <c r="P168" s="16"/>
      <c r="Q168" s="16"/>
    </row>
    <row r="169" spans="16:17" ht="16.5" customHeight="1">
      <c r="P169" s="16"/>
      <c r="Q169" s="16"/>
    </row>
    <row r="170" spans="16:17" ht="16.5" customHeight="1">
      <c r="P170" s="16"/>
      <c r="Q170" s="16"/>
    </row>
    <row r="171" spans="16:17" ht="16.5" customHeight="1">
      <c r="P171" s="16"/>
      <c r="Q171" s="16"/>
    </row>
    <row r="172" spans="16:17" ht="16.5" customHeight="1">
      <c r="P172" s="16"/>
      <c r="Q172" s="16"/>
    </row>
    <row r="173" spans="16:17" ht="16.5" customHeight="1">
      <c r="P173" s="16"/>
      <c r="Q173" s="16"/>
    </row>
    <row r="174" spans="16:17" ht="16.5" customHeight="1">
      <c r="P174" s="16"/>
      <c r="Q174" s="16"/>
    </row>
    <row r="175" spans="16:17" ht="16.5" customHeight="1">
      <c r="P175" s="16"/>
      <c r="Q175" s="16"/>
    </row>
    <row r="176" spans="16:17" ht="16.5" customHeight="1">
      <c r="P176" s="16"/>
      <c r="Q176" s="16"/>
    </row>
    <row r="177" spans="16:17" ht="16.5" customHeight="1">
      <c r="P177" s="16"/>
      <c r="Q177" s="16"/>
    </row>
    <row r="178" spans="16:17" ht="16.5" customHeight="1">
      <c r="P178" s="16"/>
      <c r="Q178" s="16"/>
    </row>
    <row r="179" spans="16:17" ht="16.5" customHeight="1">
      <c r="P179" s="16"/>
      <c r="Q179" s="16"/>
    </row>
    <row r="180" spans="16:17" ht="16.5" customHeight="1">
      <c r="P180" s="16"/>
      <c r="Q180" s="16"/>
    </row>
    <row r="181" spans="16:17" ht="16.5" customHeight="1">
      <c r="P181" s="16"/>
      <c r="Q181" s="16"/>
    </row>
    <row r="182" spans="16:17" ht="16.5" customHeight="1">
      <c r="P182" s="16"/>
      <c r="Q182" s="16"/>
    </row>
    <row r="183" spans="16:17" ht="16.5" customHeight="1">
      <c r="P183" s="16"/>
      <c r="Q183" s="16"/>
    </row>
    <row r="184" spans="16:17" ht="16.5" customHeight="1">
      <c r="P184" s="16"/>
      <c r="Q184" s="16"/>
    </row>
    <row r="185" spans="16:17" ht="16.5" customHeight="1">
      <c r="P185" s="16"/>
      <c r="Q185" s="16"/>
    </row>
    <row r="186" spans="16:17" ht="16.5" customHeight="1">
      <c r="P186" s="16"/>
      <c r="Q186" s="16"/>
    </row>
    <row r="187" spans="16:17" ht="16.5" customHeight="1">
      <c r="P187" s="16"/>
      <c r="Q187" s="16"/>
    </row>
    <row r="188" spans="16:17" ht="16.5" customHeight="1">
      <c r="P188" s="16"/>
      <c r="Q188" s="16"/>
    </row>
    <row r="189" spans="16:17" ht="16.5" customHeight="1">
      <c r="P189" s="16"/>
      <c r="Q189" s="16"/>
    </row>
    <row r="190" spans="16:17" ht="16.5" customHeight="1">
      <c r="P190" s="16"/>
      <c r="Q190" s="16"/>
    </row>
    <row r="191" spans="16:17" ht="16.5" customHeight="1">
      <c r="P191" s="16"/>
      <c r="Q191" s="16"/>
    </row>
    <row r="192" spans="16:17" ht="16.5" customHeight="1">
      <c r="P192" s="16"/>
      <c r="Q192" s="16"/>
    </row>
    <row r="193" spans="16:17" ht="16.5" customHeight="1">
      <c r="P193" s="16"/>
      <c r="Q193" s="16"/>
    </row>
    <row r="194" spans="16:17" ht="16.5" customHeight="1">
      <c r="P194" s="16"/>
      <c r="Q194" s="16"/>
    </row>
    <row r="195" spans="16:17" ht="16.5" customHeight="1">
      <c r="P195" s="16"/>
      <c r="Q195" s="16"/>
    </row>
    <row r="196" spans="16:17" ht="16.5" customHeight="1">
      <c r="P196" s="16"/>
      <c r="Q196" s="16"/>
    </row>
    <row r="197" spans="16:17" ht="16.5" customHeight="1">
      <c r="P197" s="16"/>
      <c r="Q197" s="16"/>
    </row>
    <row r="198" spans="16:17" ht="16.5" customHeight="1">
      <c r="P198" s="16"/>
      <c r="Q198" s="16"/>
    </row>
    <row r="199" spans="16:17" ht="16.5" customHeight="1">
      <c r="P199" s="16"/>
      <c r="Q199" s="16"/>
    </row>
    <row r="200" spans="16:17" ht="16.5" customHeight="1">
      <c r="P200" s="16"/>
      <c r="Q200" s="16"/>
    </row>
    <row r="201" spans="16:17" ht="16.5" customHeight="1">
      <c r="P201" s="16"/>
      <c r="Q201" s="16"/>
    </row>
    <row r="202" spans="16:17" ht="16.5" customHeight="1">
      <c r="P202" s="16"/>
      <c r="Q202" s="16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0C56-3B96-4A51-BAD7-E1A10C38EB21}">
  <dimension ref="A1:V198"/>
  <sheetViews>
    <sheetView topLeftCell="F1" zoomScale="70" zoomScaleNormal="70" workbookViewId="0">
      <selection activeCell="L37" sqref="L37"/>
    </sheetView>
  </sheetViews>
  <sheetFormatPr defaultRowHeight="16.5" customHeight="1"/>
  <cols>
    <col min="2" max="2" width="38.5" bestFit="1" customWidth="1"/>
    <col min="3" max="3" width="32.625" customWidth="1"/>
    <col min="4" max="4" width="16.5" customWidth="1"/>
    <col min="5" max="5" width="11.875" customWidth="1"/>
    <col min="6" max="6" width="11.25" bestFit="1" customWidth="1"/>
    <col min="7" max="7" width="15.375" bestFit="1" customWidth="1"/>
    <col min="8" max="8" width="19.5" bestFit="1" customWidth="1"/>
    <col min="9" max="9" width="19.5" customWidth="1"/>
    <col min="10" max="10" width="25.875" bestFit="1" customWidth="1"/>
    <col min="11" max="11" width="15.75" bestFit="1" customWidth="1"/>
    <col min="12" max="12" width="19" bestFit="1" customWidth="1"/>
    <col min="13" max="13" width="27.875" bestFit="1" customWidth="1"/>
    <col min="14" max="14" width="9.5" bestFit="1" customWidth="1"/>
    <col min="15" max="15" width="19.375" customWidth="1"/>
    <col min="16" max="16" width="18.25" customWidth="1"/>
    <col min="17" max="17" width="12.625" bestFit="1" customWidth="1"/>
    <col min="18" max="18" width="18.125" bestFit="1" customWidth="1"/>
    <col min="23" max="23" width="11.5" bestFit="1" customWidth="1"/>
  </cols>
  <sheetData>
    <row r="1" spans="1:22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644</v>
      </c>
      <c r="I1" s="47" t="s">
        <v>586</v>
      </c>
      <c r="J1" s="48" t="s">
        <v>587</v>
      </c>
      <c r="K1" s="2" t="s">
        <v>588</v>
      </c>
      <c r="L1" s="3" t="s">
        <v>589</v>
      </c>
      <c r="M1" s="2" t="s">
        <v>590</v>
      </c>
      <c r="N1" s="2" t="s">
        <v>591</v>
      </c>
      <c r="O1" s="2" t="s">
        <v>592</v>
      </c>
      <c r="P1" s="2" t="s">
        <v>593</v>
      </c>
      <c r="Q1" s="2" t="s">
        <v>594</v>
      </c>
      <c r="R1" s="54" t="s">
        <v>595</v>
      </c>
    </row>
    <row r="2" spans="1:22">
      <c r="B2" s="4" t="s">
        <v>596</v>
      </c>
      <c r="C2" s="5" t="s">
        <v>597</v>
      </c>
      <c r="D2" s="6" t="s">
        <v>598</v>
      </c>
      <c r="E2" s="5" t="s">
        <v>597</v>
      </c>
      <c r="F2" s="7" t="s">
        <v>386</v>
      </c>
      <c r="G2" s="7" t="s">
        <v>599</v>
      </c>
      <c r="H2" s="10" t="s">
        <v>645</v>
      </c>
      <c r="I2" s="43" t="s">
        <v>602</v>
      </c>
      <c r="J2" s="43" t="s">
        <v>603</v>
      </c>
      <c r="K2" s="11" t="s">
        <v>604</v>
      </c>
      <c r="L2" s="12" t="s">
        <v>605</v>
      </c>
      <c r="M2" s="56" t="s">
        <v>606</v>
      </c>
      <c r="N2" s="13" t="s">
        <v>607</v>
      </c>
      <c r="O2" s="33" t="s">
        <v>608</v>
      </c>
      <c r="P2" s="33" t="s">
        <v>609</v>
      </c>
      <c r="Q2" s="7" t="s">
        <v>610</v>
      </c>
      <c r="R2" s="55" t="s">
        <v>611</v>
      </c>
    </row>
    <row r="3" spans="1:22">
      <c r="A3" s="1"/>
      <c r="B3" s="9" t="str">
        <f t="shared" ref="B3:B14" si="0">D3&amp;"_"&amp;F3&amp;"_"&amp;H3</f>
        <v>E_DCN0101_VM_LS_ELC_3</v>
      </c>
      <c r="C3" s="16" t="s">
        <v>202</v>
      </c>
      <c r="D3" s="16" t="s">
        <v>201</v>
      </c>
      <c r="E3" s="16" t="s">
        <v>692</v>
      </c>
      <c r="F3" s="16" t="s">
        <v>693</v>
      </c>
      <c r="G3" s="16" t="s">
        <v>777</v>
      </c>
      <c r="H3" s="16">
        <v>3</v>
      </c>
      <c r="I3" s="16" t="s">
        <v>621</v>
      </c>
      <c r="J3" s="16"/>
      <c r="K3" s="16">
        <v>12300</v>
      </c>
      <c r="L3" s="16"/>
      <c r="M3" s="16" t="s">
        <v>778</v>
      </c>
      <c r="N3" s="16" t="b">
        <v>1</v>
      </c>
      <c r="O3" s="16" t="s">
        <v>202</v>
      </c>
      <c r="P3" s="16" t="str">
        <f t="shared" ref="P3:P14" si="1">G3</f>
        <v>MC-6a</v>
      </c>
      <c r="R3" s="16"/>
      <c r="V3" s="16"/>
    </row>
    <row r="4" spans="1:22">
      <c r="A4" s="1"/>
      <c r="B4" s="9" t="str">
        <f t="shared" si="0"/>
        <v>E_DCN0101_VM_LS_ELC_4</v>
      </c>
      <c r="C4" s="16" t="s">
        <v>202</v>
      </c>
      <c r="D4" s="16" t="s">
        <v>201</v>
      </c>
      <c r="E4" s="16" t="s">
        <v>692</v>
      </c>
      <c r="F4" s="16" t="s">
        <v>693</v>
      </c>
      <c r="G4" s="16" t="s">
        <v>779</v>
      </c>
      <c r="H4" s="16">
        <v>4</v>
      </c>
      <c r="I4" s="16" t="s">
        <v>621</v>
      </c>
      <c r="J4" s="16"/>
      <c r="K4" s="16">
        <v>12900</v>
      </c>
      <c r="L4" s="16"/>
      <c r="M4" s="16" t="s">
        <v>778</v>
      </c>
      <c r="N4" s="16" t="b">
        <v>1</v>
      </c>
      <c r="O4" s="16" t="s">
        <v>202</v>
      </c>
      <c r="P4" s="16" t="str">
        <f t="shared" si="1"/>
        <v>MC-9a</v>
      </c>
      <c r="R4" s="16"/>
      <c r="V4" s="16"/>
    </row>
    <row r="5" spans="1:22">
      <c r="A5" s="1"/>
      <c r="B5" s="9" t="str">
        <f t="shared" si="0"/>
        <v>E_DCN0101_VM_LS_ELC_5.5</v>
      </c>
      <c r="C5" s="16" t="s">
        <v>202</v>
      </c>
      <c r="D5" s="16" t="s">
        <v>201</v>
      </c>
      <c r="E5" s="16" t="s">
        <v>692</v>
      </c>
      <c r="F5" s="16" t="s">
        <v>693</v>
      </c>
      <c r="G5" s="16" t="s">
        <v>780</v>
      </c>
      <c r="H5" s="16">
        <v>5.5</v>
      </c>
      <c r="I5" s="16" t="s">
        <v>621</v>
      </c>
      <c r="J5" s="16"/>
      <c r="K5" s="16">
        <v>13600</v>
      </c>
      <c r="L5" s="16"/>
      <c r="M5" s="16" t="s">
        <v>778</v>
      </c>
      <c r="N5" s="16" t="b">
        <v>1</v>
      </c>
      <c r="O5" s="16" t="s">
        <v>202</v>
      </c>
      <c r="P5" s="16" t="str">
        <f t="shared" si="1"/>
        <v>MC-12a</v>
      </c>
      <c r="R5" s="16"/>
      <c r="V5" s="16"/>
    </row>
    <row r="6" spans="1:22">
      <c r="A6" s="1"/>
      <c r="B6" s="9" t="str">
        <f t="shared" si="0"/>
        <v>E_DCN0101_VM_LS_ELC_7.5</v>
      </c>
      <c r="C6" s="16" t="s">
        <v>202</v>
      </c>
      <c r="D6" s="16" t="s">
        <v>201</v>
      </c>
      <c r="E6" s="16" t="s">
        <v>692</v>
      </c>
      <c r="F6" s="16" t="s">
        <v>693</v>
      </c>
      <c r="G6" s="16" t="s">
        <v>781</v>
      </c>
      <c r="H6" s="16">
        <v>7.5</v>
      </c>
      <c r="I6" s="16" t="s">
        <v>621</v>
      </c>
      <c r="J6" s="16"/>
      <c r="K6" s="16">
        <v>19500</v>
      </c>
      <c r="L6" s="16"/>
      <c r="M6" s="16" t="s">
        <v>778</v>
      </c>
      <c r="N6" s="16" t="b">
        <v>1</v>
      </c>
      <c r="O6" s="16" t="s">
        <v>202</v>
      </c>
      <c r="P6" s="16" t="str">
        <f t="shared" si="1"/>
        <v>MC-18a</v>
      </c>
      <c r="R6" s="16"/>
      <c r="V6" s="16"/>
    </row>
    <row r="7" spans="1:22">
      <c r="B7" s="9" t="str">
        <f t="shared" si="0"/>
        <v>E_DCN0101_VM_LS_ELC_15</v>
      </c>
      <c r="C7" s="16" t="s">
        <v>202</v>
      </c>
      <c r="D7" s="16" t="s">
        <v>201</v>
      </c>
      <c r="E7" s="16" t="s">
        <v>692</v>
      </c>
      <c r="F7" s="16" t="s">
        <v>693</v>
      </c>
      <c r="G7" s="16" t="s">
        <v>782</v>
      </c>
      <c r="H7" s="16">
        <v>15</v>
      </c>
      <c r="I7" s="16" t="s">
        <v>621</v>
      </c>
      <c r="J7" s="16"/>
      <c r="K7" s="16">
        <v>42300</v>
      </c>
      <c r="L7" s="16"/>
      <c r="M7" s="16" t="s">
        <v>778</v>
      </c>
      <c r="N7" s="16" t="b">
        <v>1</v>
      </c>
      <c r="O7" s="16" t="s">
        <v>202</v>
      </c>
      <c r="P7" s="16" t="str">
        <f t="shared" si="1"/>
        <v>MC-32a</v>
      </c>
      <c r="R7" s="16"/>
      <c r="V7" s="16"/>
    </row>
    <row r="8" spans="1:22">
      <c r="B8" s="9" t="str">
        <f t="shared" si="0"/>
        <v>E_DCN0101_VM_LS_ELC_18.5</v>
      </c>
      <c r="C8" s="16" t="s">
        <v>202</v>
      </c>
      <c r="D8" s="16" t="s">
        <v>201</v>
      </c>
      <c r="E8" s="16" t="s">
        <v>692</v>
      </c>
      <c r="F8" s="16" t="s">
        <v>693</v>
      </c>
      <c r="G8" s="16" t="s">
        <v>783</v>
      </c>
      <c r="H8" s="16">
        <v>18.5</v>
      </c>
      <c r="I8" s="16" t="s">
        <v>621</v>
      </c>
      <c r="J8" s="16"/>
      <c r="K8" s="16">
        <v>49900</v>
      </c>
      <c r="L8" s="16"/>
      <c r="M8" s="16" t="s">
        <v>778</v>
      </c>
      <c r="N8" s="16" t="b">
        <v>1</v>
      </c>
      <c r="O8" s="16" t="s">
        <v>202</v>
      </c>
      <c r="P8" s="16" t="str">
        <f t="shared" si="1"/>
        <v>MC-40a</v>
      </c>
      <c r="R8" s="16"/>
      <c r="V8" s="16"/>
    </row>
    <row r="9" spans="1:22">
      <c r="B9" s="9" t="str">
        <f t="shared" si="0"/>
        <v>E_DCN0101_VM_LS_ELC_11</v>
      </c>
      <c r="C9" s="16" t="s">
        <v>202</v>
      </c>
      <c r="D9" s="16" t="s">
        <v>201</v>
      </c>
      <c r="E9" s="16" t="s">
        <v>692</v>
      </c>
      <c r="F9" s="16" t="s">
        <v>693</v>
      </c>
      <c r="G9" s="16" t="s">
        <v>784</v>
      </c>
      <c r="H9" s="16">
        <v>11</v>
      </c>
      <c r="I9" s="16" t="s">
        <v>621</v>
      </c>
      <c r="J9" s="16"/>
      <c r="K9" s="16">
        <v>58100</v>
      </c>
      <c r="L9" s="16"/>
      <c r="M9" s="16" t="s">
        <v>778</v>
      </c>
      <c r="N9" s="16" t="b">
        <v>1</v>
      </c>
      <c r="O9" s="16" t="s">
        <v>202</v>
      </c>
      <c r="P9" s="16" t="str">
        <f t="shared" si="1"/>
        <v>MC-48a</v>
      </c>
      <c r="R9" s="16"/>
      <c r="V9" s="16"/>
    </row>
    <row r="10" spans="1:22">
      <c r="B10" s="9" t="str">
        <f t="shared" si="0"/>
        <v>E_DCN0101_VM_LS_ELC_22</v>
      </c>
      <c r="C10" s="16" t="s">
        <v>202</v>
      </c>
      <c r="D10" s="16" t="s">
        <v>201</v>
      </c>
      <c r="E10" s="16" t="s">
        <v>692</v>
      </c>
      <c r="F10" s="16" t="s">
        <v>693</v>
      </c>
      <c r="G10" s="16" t="s">
        <v>785</v>
      </c>
      <c r="H10" s="16">
        <v>22</v>
      </c>
      <c r="I10" s="16" t="s">
        <v>621</v>
      </c>
      <c r="J10" s="16"/>
      <c r="K10" s="16">
        <v>61700</v>
      </c>
      <c r="L10" s="16"/>
      <c r="M10" s="16" t="s">
        <v>778</v>
      </c>
      <c r="N10" s="16" t="b">
        <v>1</v>
      </c>
      <c r="O10" s="16" t="s">
        <v>202</v>
      </c>
      <c r="P10" s="16" t="str">
        <f t="shared" si="1"/>
        <v>MC-50a</v>
      </c>
      <c r="R10" s="16"/>
      <c r="V10" s="16"/>
    </row>
    <row r="11" spans="1:22">
      <c r="B11" s="9" t="str">
        <f t="shared" si="0"/>
        <v>E_DCN0101_VM_LS_ELC_30</v>
      </c>
      <c r="C11" s="16" t="s">
        <v>202</v>
      </c>
      <c r="D11" s="16" t="s">
        <v>201</v>
      </c>
      <c r="E11" s="16" t="s">
        <v>692</v>
      </c>
      <c r="F11" s="16" t="s">
        <v>693</v>
      </c>
      <c r="G11" s="16" t="s">
        <v>786</v>
      </c>
      <c r="H11" s="16">
        <v>30</v>
      </c>
      <c r="I11" s="16" t="s">
        <v>621</v>
      </c>
      <c r="J11" s="16"/>
      <c r="K11" s="16">
        <v>83500</v>
      </c>
      <c r="L11" s="16"/>
      <c r="M11" s="16" t="s">
        <v>778</v>
      </c>
      <c r="N11" s="16" t="b">
        <v>1</v>
      </c>
      <c r="O11" s="16" t="s">
        <v>202</v>
      </c>
      <c r="P11" s="16" t="str">
        <f t="shared" si="1"/>
        <v>MC-65a</v>
      </c>
      <c r="R11" s="16"/>
      <c r="V11" s="16"/>
    </row>
    <row r="12" spans="1:22">
      <c r="B12" s="9" t="str">
        <f t="shared" si="0"/>
        <v>E_DCN0101_VM_LS_ELC_37</v>
      </c>
      <c r="C12" s="16" t="s">
        <v>202</v>
      </c>
      <c r="D12" s="16" t="s">
        <v>201</v>
      </c>
      <c r="E12" s="16" t="s">
        <v>692</v>
      </c>
      <c r="F12" s="16" t="s">
        <v>693</v>
      </c>
      <c r="G12" s="16" t="s">
        <v>787</v>
      </c>
      <c r="H12" s="16">
        <v>37</v>
      </c>
      <c r="I12" s="16" t="s">
        <v>621</v>
      </c>
      <c r="J12" s="16"/>
      <c r="K12" s="16">
        <v>99400</v>
      </c>
      <c r="L12" s="16"/>
      <c r="M12" s="16" t="s">
        <v>778</v>
      </c>
      <c r="N12" s="16" t="b">
        <v>1</v>
      </c>
      <c r="O12" s="16" t="s">
        <v>202</v>
      </c>
      <c r="P12" s="16" t="str">
        <f t="shared" si="1"/>
        <v>MC-75a</v>
      </c>
      <c r="R12" s="16"/>
      <c r="V12" s="16"/>
    </row>
    <row r="13" spans="1:22">
      <c r="B13" s="9" t="str">
        <f t="shared" si="0"/>
        <v>E_DCN0101_VM_LS_ELC_45</v>
      </c>
      <c r="C13" s="16" t="s">
        <v>202</v>
      </c>
      <c r="D13" s="16" t="s">
        <v>201</v>
      </c>
      <c r="E13" s="16" t="s">
        <v>692</v>
      </c>
      <c r="F13" s="16" t="s">
        <v>693</v>
      </c>
      <c r="G13" s="16" t="s">
        <v>788</v>
      </c>
      <c r="H13" s="16">
        <v>45</v>
      </c>
      <c r="I13" s="16" t="s">
        <v>621</v>
      </c>
      <c r="J13" s="16"/>
      <c r="K13" s="16">
        <v>108700</v>
      </c>
      <c r="L13" s="16"/>
      <c r="M13" s="16" t="s">
        <v>778</v>
      </c>
      <c r="N13" s="16" t="b">
        <v>1</v>
      </c>
      <c r="O13" s="16" t="s">
        <v>202</v>
      </c>
      <c r="P13" s="16" t="str">
        <f t="shared" si="1"/>
        <v>MC-85a</v>
      </c>
      <c r="R13" s="16"/>
      <c r="V13" s="16"/>
    </row>
    <row r="14" spans="1:22">
      <c r="B14" s="9" t="str">
        <f t="shared" si="0"/>
        <v>E_DCN0101_VM_LS_ELC_55</v>
      </c>
      <c r="C14" s="16" t="s">
        <v>202</v>
      </c>
      <c r="D14" s="16" t="s">
        <v>201</v>
      </c>
      <c r="E14" s="16" t="s">
        <v>692</v>
      </c>
      <c r="F14" s="16" t="s">
        <v>693</v>
      </c>
      <c r="G14" s="16" t="s">
        <v>789</v>
      </c>
      <c r="H14" s="16">
        <v>55</v>
      </c>
      <c r="I14" s="16" t="s">
        <v>621</v>
      </c>
      <c r="J14" s="16"/>
      <c r="K14" s="16">
        <v>123600</v>
      </c>
      <c r="L14" s="16"/>
      <c r="M14" s="16" t="s">
        <v>778</v>
      </c>
      <c r="N14" s="16" t="b">
        <v>1</v>
      </c>
      <c r="O14" s="16" t="s">
        <v>202</v>
      </c>
      <c r="P14" s="16" t="str">
        <f t="shared" si="1"/>
        <v>MC-100a</v>
      </c>
      <c r="R14" s="16"/>
      <c r="V14" s="16"/>
    </row>
    <row r="15" spans="1:22">
      <c r="B15" s="9"/>
      <c r="D15" s="1"/>
      <c r="E15" s="1"/>
      <c r="F15" s="1"/>
      <c r="N15" s="9"/>
      <c r="O15" s="16"/>
      <c r="P15" s="16"/>
      <c r="Q15" s="1"/>
    </row>
    <row r="16" spans="1:22">
      <c r="B16" s="9"/>
      <c r="D16" s="1"/>
      <c r="E16" s="1"/>
      <c r="F16" s="1"/>
      <c r="N16" s="9"/>
      <c r="O16" s="16"/>
      <c r="P16" s="16"/>
      <c r="Q16" s="1"/>
    </row>
    <row r="17" spans="2:17">
      <c r="B17" s="9"/>
      <c r="D17" s="1"/>
      <c r="E17" s="1"/>
      <c r="F17" s="1"/>
      <c r="N17" s="9"/>
      <c r="O17" s="16"/>
      <c r="P17" s="16"/>
      <c r="Q17" s="1"/>
    </row>
    <row r="18" spans="2:17">
      <c r="B18" s="9"/>
      <c r="C18" s="1"/>
      <c r="D18" s="1"/>
      <c r="E18" s="1"/>
      <c r="F18" s="1"/>
      <c r="N18" s="9"/>
      <c r="O18" s="16"/>
      <c r="P18" s="16"/>
      <c r="Q18" s="1"/>
    </row>
    <row r="19" spans="2:17">
      <c r="B19" s="9"/>
      <c r="C19" s="1"/>
      <c r="D19" s="1"/>
      <c r="E19" s="1"/>
      <c r="F19" s="1"/>
      <c r="N19" s="9"/>
      <c r="O19" s="16"/>
      <c r="P19" s="16"/>
      <c r="Q19" s="1"/>
    </row>
    <row r="20" spans="2:17">
      <c r="B20" s="9"/>
      <c r="C20" s="1"/>
      <c r="D20" s="1"/>
      <c r="E20" s="1"/>
      <c r="F20" s="1"/>
      <c r="N20" s="9"/>
      <c r="O20" s="16"/>
      <c r="P20" s="16"/>
      <c r="Q20" s="1"/>
    </row>
    <row r="21" spans="2:17">
      <c r="B21" s="9"/>
      <c r="C21" s="1"/>
      <c r="D21" s="1"/>
      <c r="E21" s="1"/>
      <c r="F21" s="1"/>
      <c r="N21" s="9"/>
      <c r="O21" s="16"/>
      <c r="P21" s="16"/>
      <c r="Q21" s="1"/>
    </row>
    <row r="22" spans="2:17">
      <c r="B22" s="9"/>
      <c r="C22" s="1"/>
      <c r="D22" s="1"/>
      <c r="E22" s="1"/>
      <c r="F22" s="1"/>
      <c r="N22" s="9"/>
      <c r="O22" s="16"/>
      <c r="P22" s="16"/>
      <c r="Q22" s="1"/>
    </row>
    <row r="23" spans="2:17">
      <c r="B23" s="9"/>
      <c r="C23" s="1"/>
      <c r="D23" s="1"/>
      <c r="E23" s="1"/>
      <c r="F23" s="1"/>
      <c r="N23" s="9"/>
      <c r="O23" s="16"/>
      <c r="P23" s="16"/>
      <c r="Q23" s="1"/>
    </row>
    <row r="24" spans="2:17">
      <c r="B24" s="9"/>
      <c r="C24" s="1"/>
      <c r="D24" s="1"/>
      <c r="E24" s="1"/>
      <c r="F24" s="1"/>
      <c r="N24" s="9"/>
      <c r="O24" s="16"/>
      <c r="P24" s="16"/>
      <c r="Q24" s="1"/>
    </row>
    <row r="25" spans="2:17">
      <c r="B25" s="9"/>
      <c r="C25" s="1"/>
      <c r="D25" s="1"/>
      <c r="E25" s="1"/>
      <c r="F25" s="1"/>
      <c r="N25" s="9"/>
      <c r="O25" s="16"/>
      <c r="P25" s="16"/>
      <c r="Q25" s="1"/>
    </row>
    <row r="26" spans="2:17">
      <c r="B26" s="9"/>
      <c r="C26" s="1"/>
      <c r="D26" s="1"/>
      <c r="E26" s="1"/>
      <c r="F26" s="1"/>
      <c r="N26" s="9"/>
      <c r="O26" s="16"/>
      <c r="P26" s="16"/>
      <c r="Q26" s="1"/>
    </row>
    <row r="27" spans="2:17">
      <c r="B27" s="9"/>
      <c r="C27" s="1"/>
      <c r="D27" s="1"/>
      <c r="E27" s="1"/>
      <c r="F27" s="1"/>
      <c r="N27" s="9"/>
      <c r="O27" s="16"/>
      <c r="P27" s="16"/>
      <c r="Q27" s="1"/>
    </row>
    <row r="28" spans="2:17">
      <c r="B28" s="9"/>
      <c r="C28" s="1"/>
      <c r="D28" s="1"/>
      <c r="E28" s="1"/>
      <c r="F28" s="1"/>
      <c r="N28" s="9"/>
      <c r="O28" s="16"/>
      <c r="P28" s="16"/>
      <c r="Q28" s="1"/>
    </row>
    <row r="29" spans="2:17">
      <c r="B29" s="9"/>
      <c r="C29" s="1"/>
      <c r="D29" s="1"/>
      <c r="E29" s="1"/>
      <c r="F29" s="1"/>
      <c r="N29" s="9"/>
      <c r="O29" s="16"/>
      <c r="P29" s="16"/>
      <c r="Q29" s="1"/>
    </row>
    <row r="30" spans="2:17">
      <c r="B30" s="9"/>
      <c r="C30" s="1"/>
      <c r="D30" s="1"/>
      <c r="E30" s="1"/>
      <c r="F30" s="1"/>
      <c r="N30" s="9"/>
      <c r="O30" s="16"/>
      <c r="P30" s="16"/>
      <c r="Q30" s="1"/>
    </row>
    <row r="31" spans="2:17">
      <c r="B31" s="9"/>
      <c r="C31" s="1"/>
      <c r="D31" s="1"/>
      <c r="E31" s="1"/>
      <c r="F31" s="1"/>
      <c r="N31" s="9"/>
      <c r="O31" s="16"/>
      <c r="P31" s="16"/>
      <c r="Q31" s="1"/>
    </row>
    <row r="32" spans="2:17">
      <c r="B32" s="9"/>
      <c r="C32" s="1"/>
      <c r="D32" s="1"/>
      <c r="E32" s="1"/>
      <c r="F32" s="1"/>
      <c r="N32" s="9"/>
      <c r="O32" s="16"/>
      <c r="P32" s="16"/>
      <c r="Q32" s="1"/>
    </row>
    <row r="33" spans="2:17">
      <c r="B33" s="9"/>
      <c r="E33" s="1"/>
      <c r="F33" s="1"/>
      <c r="N33" s="9"/>
      <c r="O33" s="16"/>
      <c r="P33" s="16"/>
      <c r="Q33" s="1"/>
    </row>
    <row r="34" spans="2:17">
      <c r="B34" s="9"/>
      <c r="E34" s="1"/>
      <c r="F34" s="1"/>
      <c r="N34" s="9"/>
      <c r="O34" s="16"/>
      <c r="P34" s="16"/>
      <c r="Q34" s="1"/>
    </row>
    <row r="35" spans="2:17">
      <c r="B35" s="9"/>
      <c r="E35" s="1"/>
      <c r="F35" s="1"/>
      <c r="N35" s="9"/>
      <c r="O35" s="16"/>
      <c r="P35" s="16"/>
      <c r="Q35" s="1"/>
    </row>
    <row r="36" spans="2:17">
      <c r="B36" s="9"/>
      <c r="E36" s="1"/>
      <c r="F36" s="1"/>
      <c r="N36" s="9"/>
      <c r="O36" s="16"/>
      <c r="P36" s="16"/>
      <c r="Q36" s="1"/>
    </row>
    <row r="37" spans="2:17">
      <c r="B37" s="9"/>
      <c r="E37" s="1"/>
      <c r="F37" s="1"/>
      <c r="N37" s="9"/>
      <c r="O37" s="16"/>
      <c r="P37" s="16"/>
    </row>
    <row r="38" spans="2:17">
      <c r="B38" s="9"/>
      <c r="E38" s="1"/>
      <c r="F38" s="1"/>
      <c r="N38" s="9"/>
      <c r="O38" s="16"/>
      <c r="P38" s="16"/>
    </row>
    <row r="39" spans="2:17">
      <c r="B39" s="9"/>
      <c r="E39" s="1"/>
      <c r="F39" s="1"/>
      <c r="N39" s="9"/>
      <c r="O39" s="16"/>
      <c r="P39" s="16"/>
    </row>
    <row r="40" spans="2:17">
      <c r="B40" s="9"/>
      <c r="E40" s="1"/>
      <c r="F40" s="1"/>
      <c r="N40" s="9"/>
      <c r="O40" s="16"/>
      <c r="P40" s="16"/>
    </row>
    <row r="41" spans="2:17">
      <c r="B41" s="9"/>
      <c r="E41" s="1"/>
      <c r="F41" s="1"/>
      <c r="N41" s="9"/>
      <c r="O41" s="16"/>
      <c r="P41" s="16"/>
    </row>
    <row r="42" spans="2:17">
      <c r="B42" s="9"/>
      <c r="E42" s="1"/>
      <c r="F42" s="1"/>
      <c r="N42" s="9"/>
      <c r="O42" s="16"/>
      <c r="P42" s="16"/>
    </row>
    <row r="43" spans="2:17">
      <c r="B43" s="9"/>
      <c r="E43" s="1"/>
      <c r="F43" s="1"/>
      <c r="N43" s="9"/>
      <c r="O43" s="16"/>
      <c r="P43" s="16"/>
    </row>
    <row r="44" spans="2:17">
      <c r="B44" s="9"/>
      <c r="E44" s="1"/>
      <c r="F44" s="1"/>
      <c r="N44" s="9"/>
      <c r="O44" s="16"/>
      <c r="P44" s="16"/>
    </row>
    <row r="45" spans="2:17">
      <c r="B45" s="9"/>
      <c r="E45" s="1"/>
      <c r="F45" s="1"/>
      <c r="N45" s="9"/>
      <c r="O45" s="16"/>
      <c r="P45" s="16"/>
    </row>
    <row r="46" spans="2:17" ht="16.5" customHeight="1">
      <c r="O46" s="16"/>
      <c r="P46" s="16"/>
    </row>
    <row r="47" spans="2:17" ht="16.5" customHeight="1">
      <c r="O47" s="16"/>
      <c r="P47" s="16"/>
    </row>
    <row r="48" spans="2:17" ht="16.5" customHeight="1">
      <c r="O48" s="16"/>
      <c r="P48" s="16"/>
    </row>
    <row r="49" spans="15:16" ht="16.5" customHeight="1">
      <c r="O49" s="16"/>
      <c r="P49" s="16"/>
    </row>
    <row r="50" spans="15:16" ht="16.5" customHeight="1">
      <c r="O50" s="16"/>
      <c r="P50" s="16"/>
    </row>
    <row r="51" spans="15:16" ht="16.5" customHeight="1">
      <c r="O51" s="16"/>
      <c r="P51" s="16"/>
    </row>
    <row r="52" spans="15:16" ht="16.5" customHeight="1">
      <c r="O52" s="16"/>
      <c r="P52" s="16"/>
    </row>
    <row r="53" spans="15:16" ht="16.5" customHeight="1">
      <c r="O53" s="16"/>
      <c r="P53" s="16"/>
    </row>
    <row r="54" spans="15:16" ht="16.5" customHeight="1">
      <c r="O54" s="16"/>
      <c r="P54" s="16"/>
    </row>
    <row r="55" spans="15:16" ht="16.5" customHeight="1">
      <c r="O55" s="16"/>
      <c r="P55" s="16"/>
    </row>
    <row r="56" spans="15:16" ht="16.5" customHeight="1">
      <c r="O56" s="16"/>
      <c r="P56" s="16"/>
    </row>
    <row r="57" spans="15:16" ht="16.5" customHeight="1">
      <c r="O57" s="16"/>
      <c r="P57" s="16"/>
    </row>
    <row r="58" spans="15:16" ht="16.5" customHeight="1">
      <c r="O58" s="16"/>
      <c r="P58" s="16"/>
    </row>
    <row r="59" spans="15:16" ht="16.5" customHeight="1">
      <c r="O59" s="16"/>
      <c r="P59" s="16"/>
    </row>
    <row r="60" spans="15:16" ht="16.5" customHeight="1">
      <c r="O60" s="16"/>
      <c r="P60" s="16"/>
    </row>
    <row r="61" spans="15:16" ht="16.5" customHeight="1">
      <c r="O61" s="16"/>
      <c r="P61" s="16"/>
    </row>
    <row r="62" spans="15:16" ht="16.5" customHeight="1">
      <c r="O62" s="16"/>
      <c r="P62" s="16"/>
    </row>
    <row r="63" spans="15:16" ht="16.5" customHeight="1">
      <c r="O63" s="16"/>
      <c r="P63" s="16"/>
    </row>
    <row r="64" spans="15:16" ht="16.5" customHeight="1">
      <c r="O64" s="16"/>
      <c r="P64" s="16"/>
    </row>
    <row r="65" spans="15:16" ht="16.5" customHeight="1">
      <c r="O65" s="16"/>
      <c r="P65" s="16"/>
    </row>
    <row r="66" spans="15:16" ht="16.5" customHeight="1">
      <c r="O66" s="16"/>
      <c r="P66" s="16"/>
    </row>
    <row r="67" spans="15:16" ht="16.5" customHeight="1">
      <c r="O67" s="16"/>
      <c r="P67" s="16"/>
    </row>
    <row r="68" spans="15:16" ht="16.5" customHeight="1">
      <c r="O68" s="16"/>
      <c r="P68" s="16"/>
    </row>
    <row r="69" spans="15:16" ht="16.5" customHeight="1">
      <c r="O69" s="16"/>
      <c r="P69" s="16"/>
    </row>
    <row r="70" spans="15:16" ht="16.5" customHeight="1">
      <c r="O70" s="16"/>
      <c r="P70" s="16"/>
    </row>
    <row r="71" spans="15:16" ht="16.5" customHeight="1">
      <c r="O71" s="16"/>
      <c r="P71" s="16"/>
    </row>
    <row r="72" spans="15:16" ht="16.5" customHeight="1">
      <c r="O72" s="16"/>
      <c r="P72" s="16"/>
    </row>
    <row r="73" spans="15:16" ht="16.5" customHeight="1">
      <c r="O73" s="16"/>
      <c r="P73" s="16"/>
    </row>
    <row r="74" spans="15:16" ht="16.5" customHeight="1">
      <c r="O74" s="16"/>
      <c r="P74" s="16"/>
    </row>
    <row r="75" spans="15:16" ht="16.5" customHeight="1">
      <c r="O75" s="16"/>
      <c r="P75" s="16"/>
    </row>
    <row r="76" spans="15:16" ht="16.5" customHeight="1">
      <c r="O76" s="16"/>
      <c r="P76" s="16"/>
    </row>
    <row r="77" spans="15:16" ht="16.5" customHeight="1">
      <c r="O77" s="16"/>
      <c r="P77" s="16"/>
    </row>
    <row r="78" spans="15:16" ht="16.5" customHeight="1">
      <c r="O78" s="16"/>
      <c r="P78" s="16"/>
    </row>
    <row r="79" spans="15:16" ht="16.5" customHeight="1">
      <c r="O79" s="16"/>
      <c r="P79" s="16"/>
    </row>
    <row r="80" spans="15:16" ht="16.5" customHeight="1">
      <c r="O80" s="16"/>
      <c r="P80" s="16"/>
    </row>
    <row r="81" spans="15:16" ht="16.5" customHeight="1">
      <c r="O81" s="16"/>
      <c r="P81" s="16"/>
    </row>
    <row r="82" spans="15:16" ht="16.5" customHeight="1">
      <c r="O82" s="16"/>
      <c r="P82" s="16"/>
    </row>
    <row r="83" spans="15:16" ht="16.5" customHeight="1">
      <c r="O83" s="16"/>
      <c r="P83" s="16"/>
    </row>
    <row r="84" spans="15:16" ht="16.5" customHeight="1">
      <c r="O84" s="16"/>
      <c r="P84" s="16"/>
    </row>
    <row r="85" spans="15:16" ht="16.5" customHeight="1">
      <c r="O85" s="16"/>
      <c r="P85" s="16"/>
    </row>
    <row r="86" spans="15:16" ht="16.5" customHeight="1">
      <c r="O86" s="16"/>
      <c r="P86" s="16"/>
    </row>
    <row r="87" spans="15:16" ht="16.5" customHeight="1">
      <c r="O87" s="16"/>
      <c r="P87" s="16"/>
    </row>
    <row r="88" spans="15:16" ht="16.5" customHeight="1">
      <c r="O88" s="16"/>
      <c r="P88" s="16"/>
    </row>
    <row r="89" spans="15:16" ht="16.5" customHeight="1">
      <c r="O89" s="16"/>
      <c r="P89" s="16"/>
    </row>
    <row r="90" spans="15:16" ht="16.5" customHeight="1">
      <c r="O90" s="16"/>
      <c r="P90" s="16"/>
    </row>
    <row r="91" spans="15:16" ht="16.5" customHeight="1">
      <c r="O91" s="16"/>
      <c r="P91" s="16"/>
    </row>
    <row r="92" spans="15:16" ht="16.5" customHeight="1">
      <c r="O92" s="16"/>
      <c r="P92" s="16"/>
    </row>
    <row r="93" spans="15:16" ht="16.5" customHeight="1">
      <c r="O93" s="16"/>
      <c r="P93" s="16"/>
    </row>
    <row r="94" spans="15:16" ht="16.5" customHeight="1">
      <c r="O94" s="16"/>
      <c r="P94" s="16"/>
    </row>
    <row r="95" spans="15:16" ht="16.5" customHeight="1">
      <c r="O95" s="16"/>
      <c r="P95" s="16"/>
    </row>
    <row r="96" spans="15:16" ht="16.5" customHeight="1">
      <c r="O96" s="16"/>
      <c r="P96" s="16"/>
    </row>
    <row r="97" spans="15:16" ht="16.5" customHeight="1">
      <c r="O97" s="16"/>
      <c r="P97" s="16"/>
    </row>
    <row r="98" spans="15:16" ht="16.5" customHeight="1">
      <c r="O98" s="16"/>
      <c r="P98" s="16"/>
    </row>
    <row r="99" spans="15:16" ht="16.5" customHeight="1">
      <c r="O99" s="16"/>
      <c r="P99" s="16"/>
    </row>
    <row r="100" spans="15:16" ht="16.5" customHeight="1">
      <c r="O100" s="16"/>
      <c r="P100" s="16"/>
    </row>
    <row r="101" spans="15:16" ht="16.5" customHeight="1">
      <c r="O101" s="16"/>
      <c r="P101" s="16"/>
    </row>
    <row r="102" spans="15:16" ht="16.5" customHeight="1">
      <c r="O102" s="16"/>
      <c r="P102" s="16"/>
    </row>
    <row r="103" spans="15:16" ht="16.5" customHeight="1">
      <c r="O103" s="16"/>
      <c r="P103" s="16"/>
    </row>
    <row r="104" spans="15:16" ht="16.5" customHeight="1">
      <c r="O104" s="16"/>
      <c r="P104" s="16"/>
    </row>
    <row r="105" spans="15:16" ht="16.5" customHeight="1">
      <c r="O105" s="16"/>
      <c r="P105" s="16"/>
    </row>
    <row r="106" spans="15:16" ht="16.5" customHeight="1">
      <c r="O106" s="16"/>
      <c r="P106" s="16"/>
    </row>
    <row r="107" spans="15:16" ht="16.5" customHeight="1">
      <c r="O107" s="16"/>
      <c r="P107" s="16"/>
    </row>
    <row r="108" spans="15:16" ht="16.5" customHeight="1">
      <c r="O108" s="16"/>
      <c r="P108" s="16"/>
    </row>
    <row r="109" spans="15:16" ht="16.5" customHeight="1">
      <c r="O109" s="16"/>
      <c r="P109" s="16"/>
    </row>
    <row r="110" spans="15:16" ht="16.5" customHeight="1">
      <c r="O110" s="16"/>
      <c r="P110" s="16"/>
    </row>
    <row r="111" spans="15:16" ht="16.5" customHeight="1">
      <c r="O111" s="16"/>
      <c r="P111" s="16"/>
    </row>
    <row r="112" spans="15:16" ht="16.5" customHeight="1">
      <c r="O112" s="16"/>
      <c r="P112" s="16"/>
    </row>
    <row r="113" spans="15:16" ht="16.5" customHeight="1">
      <c r="O113" s="16"/>
      <c r="P113" s="16"/>
    </row>
    <row r="114" spans="15:16" ht="16.5" customHeight="1">
      <c r="O114" s="16"/>
      <c r="P114" s="16"/>
    </row>
    <row r="115" spans="15:16" ht="16.5" customHeight="1">
      <c r="O115" s="16"/>
      <c r="P115" s="16"/>
    </row>
    <row r="116" spans="15:16" ht="16.5" customHeight="1">
      <c r="O116" s="16"/>
      <c r="P116" s="16"/>
    </row>
    <row r="117" spans="15:16" ht="16.5" customHeight="1">
      <c r="O117" s="16"/>
      <c r="P117" s="16"/>
    </row>
    <row r="118" spans="15:16" ht="16.5" customHeight="1">
      <c r="O118" s="16"/>
      <c r="P118" s="16"/>
    </row>
    <row r="119" spans="15:16" ht="16.5" customHeight="1">
      <c r="O119" s="16"/>
      <c r="P119" s="16"/>
    </row>
    <row r="120" spans="15:16" ht="16.5" customHeight="1">
      <c r="O120" s="16"/>
      <c r="P120" s="16"/>
    </row>
    <row r="121" spans="15:16" ht="16.5" customHeight="1">
      <c r="O121" s="16"/>
      <c r="P121" s="16"/>
    </row>
    <row r="122" spans="15:16" ht="16.5" customHeight="1">
      <c r="O122" s="16"/>
      <c r="P122" s="16"/>
    </row>
    <row r="123" spans="15:16" ht="16.5" customHeight="1">
      <c r="O123" s="16"/>
      <c r="P123" s="16"/>
    </row>
    <row r="124" spans="15:16" ht="16.5" customHeight="1">
      <c r="O124" s="16"/>
      <c r="P124" s="16"/>
    </row>
    <row r="125" spans="15:16" ht="16.5" customHeight="1">
      <c r="O125" s="16"/>
      <c r="P125" s="16"/>
    </row>
    <row r="126" spans="15:16" ht="16.5" customHeight="1">
      <c r="O126" s="16"/>
      <c r="P126" s="16"/>
    </row>
    <row r="127" spans="15:16" ht="16.5" customHeight="1">
      <c r="O127" s="16"/>
      <c r="P127" s="16"/>
    </row>
    <row r="128" spans="15:16" ht="16.5" customHeight="1">
      <c r="O128" s="16"/>
      <c r="P128" s="16"/>
    </row>
    <row r="129" spans="15:16" ht="16.5" customHeight="1">
      <c r="O129" s="16"/>
      <c r="P129" s="16"/>
    </row>
    <row r="130" spans="15:16" ht="16.5" customHeight="1">
      <c r="O130" s="16"/>
      <c r="P130" s="16"/>
    </row>
    <row r="131" spans="15:16" ht="16.5" customHeight="1">
      <c r="O131" s="16"/>
      <c r="P131" s="16"/>
    </row>
    <row r="132" spans="15:16" ht="16.5" customHeight="1">
      <c r="O132" s="16"/>
      <c r="P132" s="16"/>
    </row>
    <row r="133" spans="15:16" ht="16.5" customHeight="1">
      <c r="O133" s="16"/>
      <c r="P133" s="16"/>
    </row>
    <row r="134" spans="15:16" ht="16.5" customHeight="1">
      <c r="O134" s="16"/>
      <c r="P134" s="16"/>
    </row>
    <row r="135" spans="15:16" ht="16.5" customHeight="1">
      <c r="O135" s="16"/>
      <c r="P135" s="16"/>
    </row>
    <row r="136" spans="15:16" ht="16.5" customHeight="1">
      <c r="O136" s="16"/>
      <c r="P136" s="16"/>
    </row>
    <row r="137" spans="15:16" ht="16.5" customHeight="1">
      <c r="O137" s="16"/>
      <c r="P137" s="16"/>
    </row>
    <row r="138" spans="15:16" ht="16.5" customHeight="1">
      <c r="O138" s="16"/>
      <c r="P138" s="16"/>
    </row>
    <row r="139" spans="15:16" ht="16.5" customHeight="1">
      <c r="O139" s="16"/>
      <c r="P139" s="16"/>
    </row>
    <row r="140" spans="15:16" ht="16.5" customHeight="1">
      <c r="O140" s="16"/>
      <c r="P140" s="16"/>
    </row>
    <row r="141" spans="15:16" ht="16.5" customHeight="1">
      <c r="O141" s="16"/>
      <c r="P141" s="16"/>
    </row>
    <row r="142" spans="15:16" ht="16.5" customHeight="1">
      <c r="O142" s="16"/>
      <c r="P142" s="16"/>
    </row>
    <row r="143" spans="15:16" ht="16.5" customHeight="1">
      <c r="O143" s="16"/>
      <c r="P143" s="16"/>
    </row>
    <row r="144" spans="15:16" ht="16.5" customHeight="1">
      <c r="O144" s="16"/>
      <c r="P144" s="16"/>
    </row>
    <row r="145" spans="15:16" ht="16.5" customHeight="1">
      <c r="O145" s="16"/>
      <c r="P145" s="16"/>
    </row>
    <row r="146" spans="15:16" ht="16.5" customHeight="1">
      <c r="O146" s="16"/>
      <c r="P146" s="16"/>
    </row>
    <row r="147" spans="15:16" ht="16.5" customHeight="1">
      <c r="O147" s="16"/>
      <c r="P147" s="16"/>
    </row>
    <row r="148" spans="15:16" ht="16.5" customHeight="1">
      <c r="O148" s="16"/>
      <c r="P148" s="16"/>
    </row>
    <row r="149" spans="15:16" ht="16.5" customHeight="1">
      <c r="O149" s="16"/>
      <c r="P149" s="16"/>
    </row>
    <row r="150" spans="15:16" ht="16.5" customHeight="1">
      <c r="O150" s="16"/>
      <c r="P150" s="16"/>
    </row>
    <row r="151" spans="15:16" ht="16.5" customHeight="1">
      <c r="O151" s="16"/>
      <c r="P151" s="16"/>
    </row>
    <row r="152" spans="15:16" ht="16.5" customHeight="1">
      <c r="O152" s="16"/>
      <c r="P152" s="16"/>
    </row>
    <row r="153" spans="15:16" ht="16.5" customHeight="1">
      <c r="O153" s="16"/>
      <c r="P153" s="16"/>
    </row>
    <row r="154" spans="15:16" ht="16.5" customHeight="1">
      <c r="O154" s="16"/>
      <c r="P154" s="16"/>
    </row>
    <row r="155" spans="15:16" ht="16.5" customHeight="1">
      <c r="O155" s="16"/>
      <c r="P155" s="16"/>
    </row>
    <row r="156" spans="15:16" ht="16.5" customHeight="1">
      <c r="O156" s="16"/>
      <c r="P156" s="16"/>
    </row>
    <row r="157" spans="15:16" ht="16.5" customHeight="1">
      <c r="O157" s="16"/>
      <c r="P157" s="16"/>
    </row>
    <row r="158" spans="15:16" ht="16.5" customHeight="1">
      <c r="O158" s="16"/>
      <c r="P158" s="16"/>
    </row>
    <row r="159" spans="15:16" ht="16.5" customHeight="1">
      <c r="O159" s="16"/>
      <c r="P159" s="16"/>
    </row>
    <row r="160" spans="15:16" ht="16.5" customHeight="1">
      <c r="O160" s="16"/>
      <c r="P160" s="16"/>
    </row>
    <row r="161" spans="15:16" ht="16.5" customHeight="1">
      <c r="O161" s="16"/>
      <c r="P161" s="16"/>
    </row>
    <row r="162" spans="15:16" ht="16.5" customHeight="1">
      <c r="O162" s="16"/>
      <c r="P162" s="16"/>
    </row>
    <row r="163" spans="15:16" ht="16.5" customHeight="1">
      <c r="O163" s="16"/>
      <c r="P163" s="16"/>
    </row>
    <row r="164" spans="15:16" ht="16.5" customHeight="1">
      <c r="O164" s="16"/>
      <c r="P164" s="16"/>
    </row>
    <row r="165" spans="15:16" ht="16.5" customHeight="1">
      <c r="O165" s="16"/>
      <c r="P165" s="16"/>
    </row>
    <row r="166" spans="15:16" ht="16.5" customHeight="1">
      <c r="O166" s="16"/>
      <c r="P166" s="16"/>
    </row>
    <row r="167" spans="15:16" ht="16.5" customHeight="1">
      <c r="O167" s="16"/>
      <c r="P167" s="16"/>
    </row>
    <row r="168" spans="15:16" ht="16.5" customHeight="1">
      <c r="O168" s="16"/>
      <c r="P168" s="16"/>
    </row>
    <row r="169" spans="15:16" ht="16.5" customHeight="1">
      <c r="O169" s="16"/>
      <c r="P169" s="16"/>
    </row>
    <row r="170" spans="15:16" ht="16.5" customHeight="1">
      <c r="O170" s="16"/>
      <c r="P170" s="16"/>
    </row>
    <row r="171" spans="15:16" ht="16.5" customHeight="1">
      <c r="O171" s="16"/>
      <c r="P171" s="16"/>
    </row>
    <row r="172" spans="15:16" ht="16.5" customHeight="1">
      <c r="O172" s="16"/>
      <c r="P172" s="16"/>
    </row>
    <row r="173" spans="15:16" ht="16.5" customHeight="1">
      <c r="O173" s="16"/>
      <c r="P173" s="16"/>
    </row>
    <row r="174" spans="15:16" ht="16.5" customHeight="1">
      <c r="O174" s="16"/>
      <c r="P174" s="16"/>
    </row>
    <row r="175" spans="15:16" ht="16.5" customHeight="1">
      <c r="O175" s="16"/>
      <c r="P175" s="16"/>
    </row>
    <row r="176" spans="15:16" ht="16.5" customHeight="1">
      <c r="O176" s="16"/>
      <c r="P176" s="16"/>
    </row>
    <row r="177" spans="15:16" ht="16.5" customHeight="1">
      <c r="O177" s="16"/>
      <c r="P177" s="16"/>
    </row>
    <row r="178" spans="15:16" ht="16.5" customHeight="1">
      <c r="O178" s="16"/>
      <c r="P178" s="16"/>
    </row>
    <row r="179" spans="15:16" ht="16.5" customHeight="1">
      <c r="O179" s="16"/>
      <c r="P179" s="16"/>
    </row>
    <row r="180" spans="15:16" ht="16.5" customHeight="1">
      <c r="O180" s="16"/>
      <c r="P180" s="16"/>
    </row>
    <row r="181" spans="15:16" ht="16.5" customHeight="1">
      <c r="O181" s="16"/>
      <c r="P181" s="16"/>
    </row>
    <row r="182" spans="15:16" ht="16.5" customHeight="1">
      <c r="O182" s="16"/>
      <c r="P182" s="16"/>
    </row>
    <row r="183" spans="15:16" ht="16.5" customHeight="1">
      <c r="O183" s="16"/>
      <c r="P183" s="16"/>
    </row>
    <row r="184" spans="15:16" ht="16.5" customHeight="1">
      <c r="O184" s="16"/>
      <c r="P184" s="16"/>
    </row>
    <row r="185" spans="15:16" ht="16.5" customHeight="1">
      <c r="O185" s="16"/>
      <c r="P185" s="16"/>
    </row>
    <row r="186" spans="15:16" ht="16.5" customHeight="1">
      <c r="O186" s="16"/>
      <c r="P186" s="16"/>
    </row>
    <row r="187" spans="15:16" ht="16.5" customHeight="1">
      <c r="O187" s="16"/>
      <c r="P187" s="16"/>
    </row>
    <row r="188" spans="15:16" ht="16.5" customHeight="1">
      <c r="O188" s="16"/>
      <c r="P188" s="16"/>
    </row>
    <row r="189" spans="15:16" ht="16.5" customHeight="1">
      <c r="O189" s="16"/>
      <c r="P189" s="16"/>
    </row>
    <row r="190" spans="15:16" ht="16.5" customHeight="1">
      <c r="O190" s="16"/>
      <c r="P190" s="16"/>
    </row>
    <row r="191" spans="15:16" ht="16.5" customHeight="1">
      <c r="O191" s="16"/>
      <c r="P191" s="16"/>
    </row>
    <row r="192" spans="15:16" ht="16.5" customHeight="1">
      <c r="O192" s="16"/>
      <c r="P192" s="16"/>
    </row>
    <row r="193" spans="15:16" ht="16.5" customHeight="1">
      <c r="O193" s="16"/>
      <c r="P193" s="16"/>
    </row>
    <row r="194" spans="15:16" ht="16.5" customHeight="1">
      <c r="O194" s="16"/>
      <c r="P194" s="16"/>
    </row>
    <row r="195" spans="15:16" ht="16.5" customHeight="1">
      <c r="O195" s="16"/>
      <c r="P195" s="16"/>
    </row>
    <row r="196" spans="15:16" ht="16.5" customHeight="1">
      <c r="O196" s="16"/>
      <c r="P196" s="16"/>
    </row>
    <row r="197" spans="15:16" ht="16.5" customHeight="1">
      <c r="O197" s="16"/>
      <c r="P197" s="16"/>
    </row>
    <row r="198" spans="15:16" ht="16.5" customHeight="1">
      <c r="O198" s="16"/>
      <c r="P198" s="16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E5E0-4063-476D-9223-44278F2D3A6F}">
  <dimension ref="A1:W206"/>
  <sheetViews>
    <sheetView topLeftCell="B1" zoomScale="70" zoomScaleNormal="70" workbookViewId="0">
      <selection activeCell="K19" sqref="K19"/>
    </sheetView>
  </sheetViews>
  <sheetFormatPr defaultRowHeight="16.5" customHeight="1"/>
  <cols>
    <col min="2" max="2" width="38.5" bestFit="1" customWidth="1"/>
    <col min="3" max="3" width="46.125" bestFit="1" customWidth="1"/>
    <col min="4" max="4" width="16.5" customWidth="1"/>
    <col min="5" max="5" width="11.875" customWidth="1"/>
    <col min="6" max="6" width="11.25" bestFit="1" customWidth="1"/>
    <col min="7" max="7" width="23.375" bestFit="1" customWidth="1"/>
    <col min="8" max="9" width="19.5" bestFit="1" customWidth="1"/>
    <col min="10" max="11" width="19.5" customWidth="1"/>
    <col min="12" max="12" width="22" bestFit="1" customWidth="1"/>
    <col min="13" max="13" width="22" customWidth="1"/>
    <col min="14" max="14" width="25.875" bestFit="1" customWidth="1"/>
    <col min="15" max="15" width="15.75" bestFit="1" customWidth="1"/>
    <col min="16" max="16" width="19" bestFit="1" customWidth="1"/>
    <col min="17" max="17" width="27.875" bestFit="1" customWidth="1"/>
    <col min="18" max="18" width="9.5" bestFit="1" customWidth="1"/>
    <col min="19" max="19" width="42.25" bestFit="1" customWidth="1"/>
    <col min="20" max="20" width="41.375" bestFit="1" customWidth="1"/>
    <col min="21" max="21" width="30.625" bestFit="1" customWidth="1"/>
    <col min="22" max="22" width="18.125" bestFit="1" customWidth="1"/>
  </cols>
  <sheetData>
    <row r="1" spans="1:23">
      <c r="B1" s="2" t="s">
        <v>580</v>
      </c>
      <c r="C1" s="2"/>
      <c r="D1" s="2" t="s">
        <v>581</v>
      </c>
      <c r="E1" s="2"/>
      <c r="F1" s="2" t="s">
        <v>582</v>
      </c>
      <c r="G1" s="3" t="s">
        <v>583</v>
      </c>
      <c r="H1" s="2" t="s">
        <v>790</v>
      </c>
      <c r="I1" s="2" t="s">
        <v>791</v>
      </c>
      <c r="J1" s="2" t="s">
        <v>644</v>
      </c>
      <c r="K1" s="2" t="s">
        <v>686</v>
      </c>
      <c r="L1" s="34" t="s">
        <v>792</v>
      </c>
      <c r="M1" s="47" t="s">
        <v>586</v>
      </c>
      <c r="N1" s="48" t="s">
        <v>587</v>
      </c>
      <c r="O1" s="2" t="s">
        <v>588</v>
      </c>
      <c r="P1" s="3" t="s">
        <v>589</v>
      </c>
      <c r="Q1" s="2" t="s">
        <v>590</v>
      </c>
      <c r="R1" s="2" t="s">
        <v>591</v>
      </c>
      <c r="S1" s="2" t="s">
        <v>592</v>
      </c>
      <c r="T1" s="2" t="s">
        <v>593</v>
      </c>
      <c r="U1" s="2" t="s">
        <v>594</v>
      </c>
      <c r="V1" s="54" t="s">
        <v>595</v>
      </c>
    </row>
    <row r="2" spans="1:23" ht="18" customHeight="1">
      <c r="B2" s="4" t="s">
        <v>596</v>
      </c>
      <c r="C2" s="5" t="s">
        <v>597</v>
      </c>
      <c r="D2" s="6" t="s">
        <v>598</v>
      </c>
      <c r="E2" s="5" t="s">
        <v>597</v>
      </c>
      <c r="F2" s="7" t="s">
        <v>386</v>
      </c>
      <c r="G2" s="7" t="s">
        <v>599</v>
      </c>
      <c r="H2" s="10" t="s">
        <v>793</v>
      </c>
      <c r="I2" s="10" t="s">
        <v>794</v>
      </c>
      <c r="J2" s="10" t="s">
        <v>645</v>
      </c>
      <c r="K2" s="10" t="s">
        <v>689</v>
      </c>
      <c r="L2" s="6" t="s">
        <v>795</v>
      </c>
      <c r="M2" s="43" t="s">
        <v>602</v>
      </c>
      <c r="N2" s="43" t="s">
        <v>603</v>
      </c>
      <c r="O2" s="11" t="s">
        <v>604</v>
      </c>
      <c r="P2" s="12" t="s">
        <v>605</v>
      </c>
      <c r="Q2" s="56" t="s">
        <v>606</v>
      </c>
      <c r="R2" s="13" t="s">
        <v>607</v>
      </c>
      <c r="S2" s="33" t="s">
        <v>608</v>
      </c>
      <c r="T2" s="33" t="s">
        <v>609</v>
      </c>
      <c r="U2" s="7" t="s">
        <v>610</v>
      </c>
      <c r="V2" s="55" t="s">
        <v>611</v>
      </c>
    </row>
    <row r="3" spans="1:23">
      <c r="B3" s="9" t="str">
        <f>D3&amp;"_"&amp;F3</f>
        <v>E_EET0101_VM_0000</v>
      </c>
      <c r="C3" t="s">
        <v>212</v>
      </c>
      <c r="D3" t="s">
        <v>211</v>
      </c>
      <c r="E3" s="1" t="s">
        <v>796</v>
      </c>
      <c r="F3" s="1" t="s">
        <v>797</v>
      </c>
      <c r="G3" s="1"/>
      <c r="H3" s="1"/>
      <c r="I3" s="1"/>
      <c r="J3" s="1"/>
      <c r="K3" s="1"/>
      <c r="L3" s="1"/>
      <c r="M3" s="1" t="s">
        <v>621</v>
      </c>
      <c r="N3" s="1"/>
      <c r="O3" s="1"/>
      <c r="P3" s="1">
        <v>43030</v>
      </c>
      <c r="Q3" s="35" t="s">
        <v>798</v>
      </c>
      <c r="R3" s="9" t="b">
        <v>1</v>
      </c>
      <c r="S3" s="16" t="str">
        <f>C3</f>
        <v>동력배관지지가대</v>
      </c>
      <c r="T3" s="1" t="s">
        <v>799</v>
      </c>
      <c r="W3" s="35"/>
    </row>
    <row r="4" spans="1:23">
      <c r="B4" s="9" t="str">
        <f t="shared" ref="B4:B21" si="0">D4&amp;"_"&amp;F4</f>
        <v>E_EET0102_VM_0000</v>
      </c>
      <c r="C4" t="s">
        <v>214</v>
      </c>
      <c r="D4" t="s">
        <v>213</v>
      </c>
      <c r="E4" s="1" t="s">
        <v>796</v>
      </c>
      <c r="F4" s="1" t="s">
        <v>797</v>
      </c>
      <c r="M4" s="1" t="s">
        <v>621</v>
      </c>
      <c r="N4" s="1"/>
      <c r="P4">
        <v>1378</v>
      </c>
      <c r="Q4" s="35" t="s">
        <v>798</v>
      </c>
      <c r="R4" s="9" t="b">
        <v>1</v>
      </c>
      <c r="S4" s="16" t="str">
        <f t="shared" ref="S4:S5" si="1">C4</f>
        <v>셋트앵커</v>
      </c>
      <c r="T4" s="1" t="s">
        <v>800</v>
      </c>
    </row>
    <row r="5" spans="1:23">
      <c r="B5" s="9" t="str">
        <f>D5&amp;"_"&amp;F5</f>
        <v>E_EET0103_VM_0000</v>
      </c>
      <c r="C5" t="s">
        <v>216</v>
      </c>
      <c r="D5" t="s">
        <v>215</v>
      </c>
      <c r="E5" s="1" t="s">
        <v>796</v>
      </c>
      <c r="F5" s="1" t="s">
        <v>612</v>
      </c>
      <c r="M5" s="1" t="s">
        <v>801</v>
      </c>
      <c r="N5" s="1"/>
      <c r="P5">
        <v>3000000</v>
      </c>
      <c r="Q5" s="35" t="s">
        <v>798</v>
      </c>
      <c r="R5" s="9" t="b">
        <v>1</v>
      </c>
      <c r="S5" s="16" t="str">
        <f t="shared" si="1"/>
        <v>MCC</v>
      </c>
      <c r="T5" s="1" t="s">
        <v>802</v>
      </c>
    </row>
    <row r="6" spans="1:23">
      <c r="A6" s="36"/>
      <c r="B6" s="9" t="str">
        <f>D6&amp;"_"&amp;F6&amp;"_"&amp;L6</f>
        <v>E_EET0104_VM_0000_1</v>
      </c>
      <c r="C6" t="s">
        <v>218</v>
      </c>
      <c r="D6" t="s">
        <v>217</v>
      </c>
      <c r="E6" s="1" t="s">
        <v>796</v>
      </c>
      <c r="F6" s="1" t="s">
        <v>612</v>
      </c>
      <c r="L6">
        <v>1</v>
      </c>
      <c r="M6" s="1" t="s">
        <v>621</v>
      </c>
      <c r="N6" s="1"/>
      <c r="P6">
        <v>754000</v>
      </c>
      <c r="Q6" s="35" t="s">
        <v>798</v>
      </c>
      <c r="R6" s="9" t="b">
        <v>1</v>
      </c>
      <c r="S6" s="16" t="str">
        <f>C6&amp;" "&amp;L6&amp;"회로"</f>
        <v>LOP 1회로</v>
      </c>
      <c r="T6" s="1" t="s">
        <v>803</v>
      </c>
    </row>
    <row r="7" spans="1:23">
      <c r="A7" s="36"/>
      <c r="B7" s="9" t="str">
        <f>D7&amp;"_"&amp;F7&amp;"_"&amp;L7</f>
        <v>E_EET0104_VM_0000_2</v>
      </c>
      <c r="C7" t="s">
        <v>218</v>
      </c>
      <c r="D7" t="s">
        <v>217</v>
      </c>
      <c r="E7" s="1" t="s">
        <v>796</v>
      </c>
      <c r="F7" s="1" t="s">
        <v>612</v>
      </c>
      <c r="L7">
        <v>2</v>
      </c>
      <c r="M7" s="1" t="s">
        <v>621</v>
      </c>
      <c r="N7" s="1"/>
      <c r="P7">
        <v>754000</v>
      </c>
      <c r="Q7" s="35" t="s">
        <v>798</v>
      </c>
      <c r="R7" s="9" t="b">
        <v>1</v>
      </c>
      <c r="S7" s="16" t="str">
        <f t="shared" ref="S7:S8" si="2">C7&amp;" "&amp;L7&amp;"회로"</f>
        <v>LOP 2회로</v>
      </c>
      <c r="T7" s="1" t="s">
        <v>803</v>
      </c>
    </row>
    <row r="8" spans="1:23">
      <c r="A8" s="36"/>
      <c r="B8" s="9" t="str">
        <f>D8&amp;"_"&amp;F8&amp;"_"&amp;L8</f>
        <v>E_EET0104_VM_0000_3</v>
      </c>
      <c r="C8" t="s">
        <v>218</v>
      </c>
      <c r="D8" t="s">
        <v>217</v>
      </c>
      <c r="E8" s="1" t="s">
        <v>796</v>
      </c>
      <c r="F8" s="1" t="s">
        <v>612</v>
      </c>
      <c r="L8">
        <v>3</v>
      </c>
      <c r="M8" s="1" t="s">
        <v>621</v>
      </c>
      <c r="N8" s="1"/>
      <c r="P8">
        <v>754000</v>
      </c>
      <c r="Q8" s="35" t="s">
        <v>798</v>
      </c>
      <c r="R8" s="9" t="b">
        <v>1</v>
      </c>
      <c r="S8" s="16" t="str">
        <f t="shared" si="2"/>
        <v>LOP 3회로</v>
      </c>
      <c r="T8" s="1" t="s">
        <v>803</v>
      </c>
    </row>
    <row r="9" spans="1:23">
      <c r="B9" s="9" t="str">
        <f t="shared" si="0"/>
        <v>E_EET0105_VM_0000</v>
      </c>
      <c r="C9" t="s">
        <v>220</v>
      </c>
      <c r="D9" t="s">
        <v>219</v>
      </c>
      <c r="E9" s="1" t="s">
        <v>796</v>
      </c>
      <c r="F9" s="1" t="s">
        <v>612</v>
      </c>
      <c r="G9" t="s">
        <v>804</v>
      </c>
      <c r="M9" s="1" t="s">
        <v>621</v>
      </c>
      <c r="N9" s="1"/>
      <c r="P9">
        <v>396500</v>
      </c>
      <c r="Q9" s="35" t="s">
        <v>798</v>
      </c>
      <c r="R9" s="9" t="b">
        <v>1</v>
      </c>
      <c r="S9" s="16" t="str">
        <f t="shared" ref="S9:S71" si="3">C9&amp;" "&amp;L9&amp;"회로"</f>
        <v>DIGITAL MULTI METER 회로</v>
      </c>
      <c r="T9" s="1" t="s">
        <v>804</v>
      </c>
    </row>
    <row r="10" spans="1:23">
      <c r="B10" s="9" t="str">
        <f t="shared" si="0"/>
        <v>E_EET0106_VM_0000</v>
      </c>
      <c r="C10" t="s">
        <v>222</v>
      </c>
      <c r="D10" t="s">
        <v>221</v>
      </c>
      <c r="E10" s="1" t="s">
        <v>796</v>
      </c>
      <c r="F10" s="1" t="s">
        <v>612</v>
      </c>
      <c r="G10" t="s">
        <v>805</v>
      </c>
      <c r="M10" s="1" t="s">
        <v>621</v>
      </c>
      <c r="N10" s="1"/>
      <c r="P10">
        <v>22399</v>
      </c>
      <c r="Q10" s="35" t="s">
        <v>798</v>
      </c>
      <c r="R10" s="9" t="b">
        <v>1</v>
      </c>
      <c r="S10" s="16" t="str">
        <f t="shared" si="3"/>
        <v>ZCT 회로</v>
      </c>
      <c r="T10" s="1" t="s">
        <v>805</v>
      </c>
    </row>
    <row r="11" spans="1:23">
      <c r="B11" s="9" t="str">
        <f t="shared" si="0"/>
        <v>E_EET0107_VM_0000</v>
      </c>
      <c r="C11" t="s">
        <v>224</v>
      </c>
      <c r="D11" t="s">
        <v>223</v>
      </c>
      <c r="E11" s="1" t="s">
        <v>796</v>
      </c>
      <c r="F11" s="1" t="s">
        <v>612</v>
      </c>
      <c r="G11" t="s">
        <v>806</v>
      </c>
      <c r="M11" s="1" t="s">
        <v>621</v>
      </c>
      <c r="N11" s="1"/>
      <c r="P11">
        <v>141700</v>
      </c>
      <c r="Q11" s="35" t="s">
        <v>798</v>
      </c>
      <c r="R11" s="9" t="b">
        <v>1</v>
      </c>
      <c r="S11" s="16" t="str">
        <f t="shared" si="3"/>
        <v>SPD 회로</v>
      </c>
      <c r="T11" s="1" t="s">
        <v>806</v>
      </c>
    </row>
    <row r="12" spans="1:23">
      <c r="B12" s="9" t="str">
        <f t="shared" si="0"/>
        <v>E_EET0108_VM_0000</v>
      </c>
      <c r="C12" t="s">
        <v>226</v>
      </c>
      <c r="D12" t="s">
        <v>225</v>
      </c>
      <c r="E12" s="1" t="s">
        <v>796</v>
      </c>
      <c r="F12" s="1" t="s">
        <v>612</v>
      </c>
      <c r="G12" t="s">
        <v>807</v>
      </c>
      <c r="M12" s="1" t="s">
        <v>621</v>
      </c>
      <c r="N12" s="1"/>
      <c r="P12">
        <v>3510</v>
      </c>
      <c r="Q12" s="35" t="s">
        <v>798</v>
      </c>
      <c r="R12" s="9" t="b">
        <v>1</v>
      </c>
      <c r="S12" s="16" t="str">
        <f t="shared" si="3"/>
        <v>FUSE&amp;HOLD 회로</v>
      </c>
      <c r="T12" s="1" t="s">
        <v>808</v>
      </c>
    </row>
    <row r="13" spans="1:23">
      <c r="A13" s="36"/>
      <c r="B13" s="9" t="str">
        <f>D13&amp;"_"&amp;F13&amp;"_"&amp;K13</f>
        <v>E_EET0109_VM_0000_</v>
      </c>
      <c r="C13" t="s">
        <v>228</v>
      </c>
      <c r="D13" t="s">
        <v>227</v>
      </c>
      <c r="E13" s="1" t="s">
        <v>796</v>
      </c>
      <c r="F13" s="1" t="s">
        <v>612</v>
      </c>
      <c r="G13" t="s">
        <v>809</v>
      </c>
      <c r="J13" s="50">
        <v>3.55416825713134</v>
      </c>
      <c r="M13" s="1" t="s">
        <v>621</v>
      </c>
      <c r="N13" s="1"/>
      <c r="P13">
        <v>123110</v>
      </c>
      <c r="Q13" s="35" t="s">
        <v>798</v>
      </c>
      <c r="R13" s="9" t="b">
        <v>1</v>
      </c>
      <c r="S13" s="16" t="str">
        <f t="shared" si="3"/>
        <v>DMPR 회로</v>
      </c>
      <c r="T13" s="1" t="s">
        <v>809</v>
      </c>
    </row>
    <row r="14" spans="1:23">
      <c r="A14" s="36"/>
      <c r="B14" s="9" t="str">
        <f>D14&amp;"_"&amp;F14&amp;"_"&amp;K14</f>
        <v>E_EET0109_VM_0000_</v>
      </c>
      <c r="C14" t="s">
        <v>228</v>
      </c>
      <c r="D14" t="s">
        <v>227</v>
      </c>
      <c r="E14" s="1" t="s">
        <v>796</v>
      </c>
      <c r="F14" s="1" t="s">
        <v>612</v>
      </c>
      <c r="G14" t="s">
        <v>810</v>
      </c>
      <c r="J14">
        <v>55</v>
      </c>
      <c r="M14" s="1" t="s">
        <v>621</v>
      </c>
      <c r="N14" s="1"/>
      <c r="P14">
        <v>123110</v>
      </c>
      <c r="Q14" s="35" t="s">
        <v>798</v>
      </c>
      <c r="R14" s="9" t="b">
        <v>1</v>
      </c>
      <c r="S14" s="16" t="str">
        <f t="shared" si="3"/>
        <v>DMPR 회로</v>
      </c>
      <c r="T14" s="1" t="s">
        <v>810</v>
      </c>
    </row>
    <row r="15" spans="1:23">
      <c r="B15" s="9" t="str">
        <f t="shared" si="0"/>
        <v>E_EET0110_VM_0000</v>
      </c>
      <c r="C15" t="s">
        <v>230</v>
      </c>
      <c r="D15" t="s">
        <v>229</v>
      </c>
      <c r="E15" s="1" t="s">
        <v>796</v>
      </c>
      <c r="F15" s="1" t="s">
        <v>612</v>
      </c>
      <c r="M15" s="1" t="s">
        <v>621</v>
      </c>
      <c r="N15" s="1"/>
      <c r="P15">
        <v>16302</v>
      </c>
      <c r="Q15" s="35" t="s">
        <v>798</v>
      </c>
      <c r="R15" s="9" t="b">
        <v>1</v>
      </c>
      <c r="S15" s="16" t="str">
        <f t="shared" si="3"/>
        <v>DMPR CABLE 회로</v>
      </c>
      <c r="T15" s="1" t="s">
        <v>811</v>
      </c>
    </row>
    <row r="16" spans="1:23">
      <c r="B16" s="9" t="str">
        <f t="shared" si="0"/>
        <v>E_EET0111_VM_0000</v>
      </c>
      <c r="C16" t="s">
        <v>232</v>
      </c>
      <c r="D16" t="s">
        <v>231</v>
      </c>
      <c r="E16" s="1" t="s">
        <v>796</v>
      </c>
      <c r="F16" s="1" t="s">
        <v>612</v>
      </c>
      <c r="M16" s="1" t="s">
        <v>621</v>
      </c>
      <c r="N16" s="1"/>
      <c r="P16">
        <v>45500</v>
      </c>
      <c r="Q16" s="35" t="s">
        <v>798</v>
      </c>
      <c r="R16" s="9" t="b">
        <v>1</v>
      </c>
      <c r="S16" s="16" t="str">
        <f t="shared" si="3"/>
        <v>INVERTER LOADER 회로</v>
      </c>
      <c r="T16" s="1" t="s">
        <v>812</v>
      </c>
    </row>
    <row r="17" spans="2:20">
      <c r="B17" s="9" t="str">
        <f t="shared" si="0"/>
        <v>E_EET0112_VM_0000</v>
      </c>
      <c r="C17" t="s">
        <v>234</v>
      </c>
      <c r="D17" t="s">
        <v>233</v>
      </c>
      <c r="E17" s="1" t="s">
        <v>796</v>
      </c>
      <c r="F17" s="1" t="s">
        <v>612</v>
      </c>
      <c r="M17" s="1" t="s">
        <v>621</v>
      </c>
      <c r="N17" s="1"/>
      <c r="P17">
        <v>10400</v>
      </c>
      <c r="Q17" s="35" t="s">
        <v>798</v>
      </c>
      <c r="R17" s="9" t="b">
        <v>1</v>
      </c>
      <c r="S17" s="16" t="str">
        <f t="shared" si="3"/>
        <v>FAN 회로</v>
      </c>
      <c r="T17" s="1" t="s">
        <v>813</v>
      </c>
    </row>
    <row r="18" spans="2:20">
      <c r="B18" s="9" t="str">
        <f t="shared" si="0"/>
        <v>E_EET0113_VM_0000</v>
      </c>
      <c r="C18" t="s">
        <v>236</v>
      </c>
      <c r="D18" t="s">
        <v>235</v>
      </c>
      <c r="E18" s="1" t="s">
        <v>796</v>
      </c>
      <c r="F18" s="1" t="s">
        <v>612</v>
      </c>
      <c r="M18" s="1" t="s">
        <v>621</v>
      </c>
      <c r="N18" s="1"/>
      <c r="P18">
        <v>585</v>
      </c>
      <c r="Q18" s="35" t="s">
        <v>798</v>
      </c>
      <c r="R18" s="9" t="b">
        <v>1</v>
      </c>
      <c r="S18" s="16" t="str">
        <f t="shared" si="3"/>
        <v>FANCOVER 회로</v>
      </c>
      <c r="T18" s="1" t="s">
        <v>814</v>
      </c>
    </row>
    <row r="19" spans="2:20">
      <c r="B19" s="9" t="str">
        <f t="shared" si="0"/>
        <v>E_EET0114_VM_0000</v>
      </c>
      <c r="C19" t="s">
        <v>815</v>
      </c>
      <c r="D19" t="s">
        <v>237</v>
      </c>
      <c r="E19" s="1" t="s">
        <v>796</v>
      </c>
      <c r="F19" s="1" t="s">
        <v>612</v>
      </c>
      <c r="G19" t="s">
        <v>816</v>
      </c>
      <c r="M19" s="1" t="s">
        <v>621</v>
      </c>
      <c r="N19" s="1"/>
      <c r="P19">
        <v>11700</v>
      </c>
      <c r="Q19" s="35" t="s">
        <v>798</v>
      </c>
      <c r="R19" s="9" t="b">
        <v>1</v>
      </c>
      <c r="S19" s="16" t="str">
        <f t="shared" si="3"/>
        <v>FAN용 THERMOSTAT 회로</v>
      </c>
      <c r="T19" s="1" t="s">
        <v>816</v>
      </c>
    </row>
    <row r="20" spans="2:20">
      <c r="B20" s="9" t="str">
        <f t="shared" si="0"/>
        <v>E_EET0115_VM_0000</v>
      </c>
      <c r="C20" t="s">
        <v>817</v>
      </c>
      <c r="D20" t="s">
        <v>239</v>
      </c>
      <c r="E20" s="1" t="s">
        <v>796</v>
      </c>
      <c r="F20" s="1" t="s">
        <v>612</v>
      </c>
      <c r="G20" t="s">
        <v>818</v>
      </c>
      <c r="M20" s="1" t="s">
        <v>621</v>
      </c>
      <c r="N20" s="1"/>
      <c r="P20">
        <v>11700</v>
      </c>
      <c r="Q20" s="35" t="s">
        <v>798</v>
      </c>
      <c r="R20" s="9" t="b">
        <v>1</v>
      </c>
      <c r="S20" s="16" t="str">
        <f t="shared" si="3"/>
        <v>HEATER용 THERMOSTAT 회로</v>
      </c>
      <c r="T20" s="1" t="s">
        <v>818</v>
      </c>
    </row>
    <row r="21" spans="2:20">
      <c r="B21" s="9" t="str">
        <f t="shared" si="0"/>
        <v>E_EET0116_VM_0000</v>
      </c>
      <c r="C21" t="s">
        <v>242</v>
      </c>
      <c r="D21" t="s">
        <v>241</v>
      </c>
      <c r="E21" s="1" t="s">
        <v>796</v>
      </c>
      <c r="F21" s="1" t="s">
        <v>612</v>
      </c>
      <c r="G21" t="s">
        <v>819</v>
      </c>
      <c r="M21" s="1" t="s">
        <v>621</v>
      </c>
      <c r="N21" s="1"/>
      <c r="P21">
        <v>6474</v>
      </c>
      <c r="Q21" s="35" t="s">
        <v>798</v>
      </c>
      <c r="R21" s="9" t="b">
        <v>1</v>
      </c>
      <c r="S21" s="16" t="str">
        <f t="shared" si="3"/>
        <v>RELAY&amp;SOCKET 회로</v>
      </c>
      <c r="T21" s="1" t="s">
        <v>819</v>
      </c>
    </row>
    <row r="22" spans="2:20">
      <c r="B22" s="9" t="str">
        <f>D22&amp;"_"&amp;F22&amp;"_"&amp;H22</f>
        <v>E_EET0117_VM_0000_80</v>
      </c>
      <c r="C22" t="s">
        <v>244</v>
      </c>
      <c r="D22" t="s">
        <v>243</v>
      </c>
      <c r="E22" s="1" t="s">
        <v>796</v>
      </c>
      <c r="F22" s="1" t="s">
        <v>612</v>
      </c>
      <c r="H22">
        <v>80</v>
      </c>
      <c r="M22" s="1" t="s">
        <v>621</v>
      </c>
      <c r="N22" s="1"/>
      <c r="P22">
        <v>16732</v>
      </c>
      <c r="Q22" s="35" t="s">
        <v>798</v>
      </c>
      <c r="R22" s="9" t="b">
        <v>1</v>
      </c>
      <c r="S22" s="16" t="str">
        <f t="shared" si="3"/>
        <v>PVC DUCT 회로</v>
      </c>
      <c r="T22" s="1" t="s">
        <v>820</v>
      </c>
    </row>
    <row r="23" spans="2:20">
      <c r="B23" s="9" t="str">
        <f t="shared" ref="B23:B26" si="4">D23&amp;"_"&amp;F23&amp;"_"&amp;H23</f>
        <v>E_EET0117_VM_0000_40</v>
      </c>
      <c r="C23" t="s">
        <v>244</v>
      </c>
      <c r="D23" t="s">
        <v>243</v>
      </c>
      <c r="E23" s="1" t="s">
        <v>796</v>
      </c>
      <c r="F23" s="1" t="s">
        <v>612</v>
      </c>
      <c r="H23">
        <v>40</v>
      </c>
      <c r="M23" s="1" t="s">
        <v>621</v>
      </c>
      <c r="N23" s="1"/>
      <c r="P23">
        <v>14380</v>
      </c>
      <c r="Q23" s="35" t="s">
        <v>798</v>
      </c>
      <c r="R23" s="9" t="b">
        <v>1</v>
      </c>
      <c r="S23" s="16" t="str">
        <f t="shared" si="3"/>
        <v>PVC DUCT 회로</v>
      </c>
      <c r="T23" s="1" t="s">
        <v>821</v>
      </c>
    </row>
    <row r="24" spans="2:20">
      <c r="B24" s="9" t="str">
        <f t="shared" si="4"/>
        <v>E_EET0118_VM_0000_500</v>
      </c>
      <c r="C24" t="s">
        <v>246</v>
      </c>
      <c r="D24" t="s">
        <v>245</v>
      </c>
      <c r="E24" s="1" t="s">
        <v>796</v>
      </c>
      <c r="F24" s="1" t="s">
        <v>612</v>
      </c>
      <c r="H24">
        <v>500</v>
      </c>
      <c r="M24" s="1" t="s">
        <v>621</v>
      </c>
      <c r="N24" s="1"/>
      <c r="P24">
        <v>15600</v>
      </c>
      <c r="Q24" s="35" t="s">
        <v>798</v>
      </c>
      <c r="R24" s="9" t="b">
        <v>1</v>
      </c>
      <c r="S24" s="16" t="str">
        <f t="shared" si="3"/>
        <v>NAME PLATE 회로</v>
      </c>
      <c r="T24" s="1" t="s">
        <v>822</v>
      </c>
    </row>
    <row r="25" spans="2:20">
      <c r="B25" s="9" t="str">
        <f t="shared" si="4"/>
        <v>E_EET0118_VM_0000_70</v>
      </c>
      <c r="C25" t="s">
        <v>246</v>
      </c>
      <c r="D25" t="s">
        <v>245</v>
      </c>
      <c r="E25" s="1" t="s">
        <v>796</v>
      </c>
      <c r="F25" s="1" t="s">
        <v>612</v>
      </c>
      <c r="H25">
        <v>70</v>
      </c>
      <c r="M25" s="1" t="s">
        <v>621</v>
      </c>
      <c r="N25" s="1"/>
      <c r="P25">
        <v>2600</v>
      </c>
      <c r="Q25" s="35" t="s">
        <v>798</v>
      </c>
      <c r="R25" s="9" t="b">
        <v>1</v>
      </c>
      <c r="S25" s="16" t="str">
        <f t="shared" si="3"/>
        <v>NAME PLATE 회로</v>
      </c>
      <c r="T25" s="1" t="s">
        <v>823</v>
      </c>
    </row>
    <row r="26" spans="2:20">
      <c r="B26" s="9" t="str">
        <f t="shared" si="4"/>
        <v>E_EET0118_VM_0000_40</v>
      </c>
      <c r="C26" t="s">
        <v>246</v>
      </c>
      <c r="D26" t="s">
        <v>245</v>
      </c>
      <c r="E26" s="1" t="s">
        <v>796</v>
      </c>
      <c r="F26" s="1" t="s">
        <v>612</v>
      </c>
      <c r="H26">
        <v>40</v>
      </c>
      <c r="M26" s="1" t="s">
        <v>621</v>
      </c>
      <c r="N26" s="1"/>
      <c r="P26">
        <v>2600</v>
      </c>
      <c r="Q26" s="35" t="s">
        <v>798</v>
      </c>
      <c r="R26" s="9" t="b">
        <v>1</v>
      </c>
      <c r="S26" s="16" t="str">
        <f t="shared" si="3"/>
        <v>NAME PLATE 회로</v>
      </c>
      <c r="T26" s="1" t="s">
        <v>824</v>
      </c>
    </row>
    <row r="27" spans="2:20">
      <c r="B27" s="9" t="str">
        <f t="shared" ref="B27:B33" si="5">D27&amp;"_"&amp;F27</f>
        <v>E_EET0119_VM_0000</v>
      </c>
      <c r="C27" t="s">
        <v>248</v>
      </c>
      <c r="D27" t="s">
        <v>247</v>
      </c>
      <c r="E27" s="1" t="s">
        <v>796</v>
      </c>
      <c r="F27" s="1" t="s">
        <v>612</v>
      </c>
      <c r="G27" t="s">
        <v>825</v>
      </c>
      <c r="M27" s="1" t="s">
        <v>621</v>
      </c>
      <c r="N27" s="1"/>
      <c r="P27">
        <v>48750</v>
      </c>
      <c r="Q27" s="35" t="s">
        <v>798</v>
      </c>
      <c r="R27" s="9" t="b">
        <v>1</v>
      </c>
      <c r="S27" s="16" t="str">
        <f t="shared" si="3"/>
        <v>SPACE HEATER 회로</v>
      </c>
      <c r="T27" s="1" t="s">
        <v>825</v>
      </c>
    </row>
    <row r="28" spans="2:20">
      <c r="B28" s="9" t="str">
        <f t="shared" si="5"/>
        <v>E_EET0120_VM_0000</v>
      </c>
      <c r="C28" t="s">
        <v>826</v>
      </c>
      <c r="D28" t="s">
        <v>249</v>
      </c>
      <c r="E28" s="1" t="s">
        <v>796</v>
      </c>
      <c r="F28" s="1" t="s">
        <v>612</v>
      </c>
      <c r="G28" t="s">
        <v>827</v>
      </c>
      <c r="M28" s="1" t="s">
        <v>621</v>
      </c>
      <c r="N28" s="1"/>
      <c r="P28">
        <v>8190</v>
      </c>
      <c r="Q28" s="35" t="s">
        <v>798</v>
      </c>
      <c r="R28" s="9" t="b">
        <v>1</v>
      </c>
      <c r="S28" s="16" t="str">
        <f t="shared" si="3"/>
        <v>PBL(RED) 회로</v>
      </c>
      <c r="T28" s="1" t="s">
        <v>827</v>
      </c>
    </row>
    <row r="29" spans="2:20">
      <c r="B29" s="9" t="str">
        <f t="shared" si="5"/>
        <v>E_EET0121_VM_0000</v>
      </c>
      <c r="C29" t="s">
        <v>828</v>
      </c>
      <c r="D29" t="s">
        <v>251</v>
      </c>
      <c r="E29" s="1" t="s">
        <v>796</v>
      </c>
      <c r="F29" s="1" t="s">
        <v>612</v>
      </c>
      <c r="G29" t="s">
        <v>829</v>
      </c>
      <c r="M29" s="1" t="s">
        <v>621</v>
      </c>
      <c r="N29" s="1"/>
      <c r="P29">
        <v>8190</v>
      </c>
      <c r="Q29" s="35" t="s">
        <v>798</v>
      </c>
      <c r="R29" s="9" t="b">
        <v>1</v>
      </c>
      <c r="S29" s="16" t="str">
        <f t="shared" si="3"/>
        <v>PBL(GREEN) 회로</v>
      </c>
      <c r="T29" s="1" t="s">
        <v>829</v>
      </c>
    </row>
    <row r="30" spans="2:20">
      <c r="B30" s="9" t="str">
        <f t="shared" si="5"/>
        <v>E_EET0122_VM_0000</v>
      </c>
      <c r="C30" t="s">
        <v>830</v>
      </c>
      <c r="D30" t="s">
        <v>253</v>
      </c>
      <c r="E30" s="1" t="s">
        <v>796</v>
      </c>
      <c r="F30" s="1" t="s">
        <v>612</v>
      </c>
      <c r="G30" t="s">
        <v>831</v>
      </c>
      <c r="M30" s="1" t="s">
        <v>621</v>
      </c>
      <c r="N30" s="1"/>
      <c r="P30">
        <v>8190</v>
      </c>
      <c r="Q30" s="35" t="s">
        <v>798</v>
      </c>
      <c r="R30" s="9" t="b">
        <v>1</v>
      </c>
      <c r="S30" s="16" t="str">
        <f t="shared" si="3"/>
        <v>PBL(YELLOW) 회로</v>
      </c>
      <c r="T30" s="1" t="s">
        <v>831</v>
      </c>
    </row>
    <row r="31" spans="2:20">
      <c r="B31" s="9" t="str">
        <f t="shared" si="5"/>
        <v>E_EET0123_VM_0000</v>
      </c>
      <c r="C31" t="s">
        <v>256</v>
      </c>
      <c r="D31" t="s">
        <v>255</v>
      </c>
      <c r="E31" s="1" t="s">
        <v>796</v>
      </c>
      <c r="F31" s="1" t="s">
        <v>612</v>
      </c>
      <c r="G31" t="s">
        <v>832</v>
      </c>
      <c r="M31" s="1" t="s">
        <v>621</v>
      </c>
      <c r="N31" s="1"/>
      <c r="P31">
        <v>2860</v>
      </c>
      <c r="Q31" s="35" t="s">
        <v>798</v>
      </c>
      <c r="R31" s="9" t="b">
        <v>1</v>
      </c>
      <c r="S31" s="16" t="str">
        <f t="shared" si="3"/>
        <v>SELECT S/W 회로</v>
      </c>
      <c r="T31" s="1" t="s">
        <v>832</v>
      </c>
    </row>
    <row r="32" spans="2:20">
      <c r="B32" s="9" t="str">
        <f t="shared" si="5"/>
        <v>E_EET0124_VM_0000</v>
      </c>
      <c r="C32" t="s">
        <v>258</v>
      </c>
      <c r="D32" t="s">
        <v>257</v>
      </c>
      <c r="E32" s="1" t="s">
        <v>796</v>
      </c>
      <c r="F32" s="1" t="s">
        <v>612</v>
      </c>
      <c r="G32" t="s">
        <v>833</v>
      </c>
      <c r="M32" s="1" t="s">
        <v>621</v>
      </c>
      <c r="N32" s="1"/>
      <c r="P32">
        <v>3783</v>
      </c>
      <c r="Q32" s="35" t="s">
        <v>798</v>
      </c>
      <c r="R32" s="9" t="b">
        <v>1</v>
      </c>
      <c r="S32" s="16" t="str">
        <f t="shared" si="3"/>
        <v>EM S/W 회로</v>
      </c>
      <c r="T32" s="1" t="s">
        <v>833</v>
      </c>
    </row>
    <row r="33" spans="2:20">
      <c r="B33" s="9" t="str">
        <f t="shared" si="5"/>
        <v>E_EET0125_VM_0000</v>
      </c>
      <c r="C33" t="s">
        <v>260</v>
      </c>
      <c r="D33" t="s">
        <v>259</v>
      </c>
      <c r="E33" s="1" t="s">
        <v>796</v>
      </c>
      <c r="F33" s="1" t="s">
        <v>612</v>
      </c>
      <c r="M33" s="1" t="s">
        <v>621</v>
      </c>
      <c r="N33" s="1"/>
      <c r="O33">
        <v>2200</v>
      </c>
      <c r="Q33" t="s">
        <v>834</v>
      </c>
      <c r="R33" s="9" t="b">
        <v>1</v>
      </c>
      <c r="S33" s="16" t="str">
        <f t="shared" si="3"/>
        <v>노출 2구 콘센트 회로</v>
      </c>
      <c r="T33" s="1" t="s">
        <v>835</v>
      </c>
    </row>
    <row r="34" spans="2:20">
      <c r="B34" s="9" t="str">
        <f>D34&amp;"_"&amp;F34&amp;"_"&amp;K34&amp;"_"&amp;L34</f>
        <v>E_EET0126_VM_0000_10_3</v>
      </c>
      <c r="C34" t="s">
        <v>262</v>
      </c>
      <c r="D34" t="s">
        <v>261</v>
      </c>
      <c r="E34" s="1" t="s">
        <v>796</v>
      </c>
      <c r="F34" s="1" t="s">
        <v>612</v>
      </c>
      <c r="G34" t="s">
        <v>836</v>
      </c>
      <c r="K34">
        <v>10</v>
      </c>
      <c r="L34">
        <v>3</v>
      </c>
      <c r="M34" s="1" t="s">
        <v>621</v>
      </c>
      <c r="N34" s="1"/>
      <c r="O34">
        <v>600</v>
      </c>
      <c r="Q34" t="s">
        <v>837</v>
      </c>
      <c r="R34" s="9" t="b">
        <v>1</v>
      </c>
      <c r="S34" s="16" t="str">
        <f t="shared" si="3"/>
        <v>THERMINAL BLOCK 3회로</v>
      </c>
      <c r="T34" s="1" t="str">
        <f>K34&amp;"A "&amp;L34&amp;"P"</f>
        <v>10A 3P</v>
      </c>
    </row>
    <row r="35" spans="2:20">
      <c r="B35" s="9" t="str">
        <f t="shared" ref="B35:B40" si="6">D35&amp;"_"&amp;F35&amp;"_"&amp;K35&amp;"_"&amp;L35</f>
        <v>E_EET0126_VM_0000_20_10</v>
      </c>
      <c r="C35" t="s">
        <v>262</v>
      </c>
      <c r="D35" t="s">
        <v>261</v>
      </c>
      <c r="E35" s="1" t="s">
        <v>796</v>
      </c>
      <c r="F35" s="1" t="s">
        <v>612</v>
      </c>
      <c r="G35" t="s">
        <v>838</v>
      </c>
      <c r="K35">
        <v>20</v>
      </c>
      <c r="L35">
        <v>10</v>
      </c>
      <c r="M35" s="1" t="s">
        <v>621</v>
      </c>
      <c r="N35" s="1"/>
      <c r="O35">
        <v>1900</v>
      </c>
      <c r="Q35" t="s">
        <v>837</v>
      </c>
      <c r="R35" s="9" t="b">
        <v>1</v>
      </c>
      <c r="S35" s="16" t="str">
        <f t="shared" si="3"/>
        <v>THERMINAL BLOCK 10회로</v>
      </c>
      <c r="T35" s="1" t="str">
        <f t="shared" ref="T35:T40" si="7">K35&amp;"A "&amp;L35&amp;"P"</f>
        <v>20A 10P</v>
      </c>
    </row>
    <row r="36" spans="2:20">
      <c r="B36" s="9" t="str">
        <f t="shared" si="6"/>
        <v>E_EET0126_VM_0000_20_20</v>
      </c>
      <c r="C36" t="s">
        <v>262</v>
      </c>
      <c r="D36" t="s">
        <v>261</v>
      </c>
      <c r="E36" s="1" t="s">
        <v>796</v>
      </c>
      <c r="F36" s="1" t="s">
        <v>612</v>
      </c>
      <c r="G36" t="s">
        <v>839</v>
      </c>
      <c r="K36">
        <v>20</v>
      </c>
      <c r="L36">
        <v>20</v>
      </c>
      <c r="M36" s="1" t="s">
        <v>621</v>
      </c>
      <c r="N36" s="1"/>
      <c r="O36">
        <v>3770</v>
      </c>
      <c r="Q36" t="s">
        <v>837</v>
      </c>
      <c r="R36" s="9" t="b">
        <v>1</v>
      </c>
      <c r="S36" s="16" t="str">
        <f t="shared" si="3"/>
        <v>THERMINAL BLOCK 20회로</v>
      </c>
      <c r="T36" s="1" t="str">
        <f t="shared" si="7"/>
        <v>20A 20P</v>
      </c>
    </row>
    <row r="37" spans="2:20">
      <c r="B37" s="9" t="str">
        <f t="shared" si="6"/>
        <v>E_EET0126_VM_0000_30_10</v>
      </c>
      <c r="C37" t="s">
        <v>262</v>
      </c>
      <c r="D37" t="s">
        <v>261</v>
      </c>
      <c r="E37" s="1" t="s">
        <v>796</v>
      </c>
      <c r="F37" s="1" t="s">
        <v>612</v>
      </c>
      <c r="G37" t="s">
        <v>840</v>
      </c>
      <c r="K37">
        <v>30</v>
      </c>
      <c r="L37">
        <v>10</v>
      </c>
      <c r="M37" s="1" t="s">
        <v>621</v>
      </c>
      <c r="N37" s="1"/>
      <c r="O37">
        <v>3630</v>
      </c>
      <c r="Q37" t="s">
        <v>837</v>
      </c>
      <c r="R37" s="9" t="b">
        <v>1</v>
      </c>
      <c r="S37" s="16" t="str">
        <f t="shared" si="3"/>
        <v>THERMINAL BLOCK 10회로</v>
      </c>
      <c r="T37" s="1" t="str">
        <f t="shared" si="7"/>
        <v>30A 10P</v>
      </c>
    </row>
    <row r="38" spans="2:20">
      <c r="B38" s="9" t="str">
        <f t="shared" si="6"/>
        <v>E_EET0126_VM_0000_100_4</v>
      </c>
      <c r="C38" t="s">
        <v>262</v>
      </c>
      <c r="D38" t="s">
        <v>261</v>
      </c>
      <c r="E38" s="1" t="s">
        <v>796</v>
      </c>
      <c r="F38" s="1" t="s">
        <v>612</v>
      </c>
      <c r="G38" t="s">
        <v>841</v>
      </c>
      <c r="K38">
        <v>100</v>
      </c>
      <c r="L38">
        <v>4</v>
      </c>
      <c r="M38" s="1" t="s">
        <v>621</v>
      </c>
      <c r="N38" s="1"/>
      <c r="O38">
        <v>6380</v>
      </c>
      <c r="Q38" t="s">
        <v>837</v>
      </c>
      <c r="R38" s="9" t="b">
        <v>1</v>
      </c>
      <c r="S38" s="16" t="str">
        <f t="shared" si="3"/>
        <v>THERMINAL BLOCK 4회로</v>
      </c>
      <c r="T38" s="1" t="str">
        <f t="shared" si="7"/>
        <v>100A 4P</v>
      </c>
    </row>
    <row r="39" spans="2:20">
      <c r="B39" s="9" t="str">
        <f t="shared" si="6"/>
        <v>E_EET0126_VM_0000_200_4</v>
      </c>
      <c r="C39" t="s">
        <v>262</v>
      </c>
      <c r="D39" t="s">
        <v>261</v>
      </c>
      <c r="E39" s="1" t="s">
        <v>796</v>
      </c>
      <c r="F39" s="1" t="s">
        <v>612</v>
      </c>
      <c r="G39" t="s">
        <v>842</v>
      </c>
      <c r="K39">
        <v>200</v>
      </c>
      <c r="L39">
        <v>4</v>
      </c>
      <c r="M39" s="1" t="s">
        <v>621</v>
      </c>
      <c r="N39" s="1"/>
      <c r="O39">
        <v>13780</v>
      </c>
      <c r="Q39" t="s">
        <v>837</v>
      </c>
      <c r="R39" s="9" t="b">
        <v>1</v>
      </c>
      <c r="S39" s="16" t="str">
        <f t="shared" si="3"/>
        <v>THERMINAL BLOCK 4회로</v>
      </c>
      <c r="T39" s="1" t="str">
        <f t="shared" si="7"/>
        <v>200A 4P</v>
      </c>
    </row>
    <row r="40" spans="2:20">
      <c r="B40" s="9" t="str">
        <f t="shared" si="6"/>
        <v>E_EET0126_VM_0000_300_4</v>
      </c>
      <c r="C40" t="s">
        <v>262</v>
      </c>
      <c r="D40" t="s">
        <v>261</v>
      </c>
      <c r="E40" s="1" t="s">
        <v>796</v>
      </c>
      <c r="F40" s="1" t="s">
        <v>612</v>
      </c>
      <c r="G40" t="s">
        <v>843</v>
      </c>
      <c r="K40">
        <v>300</v>
      </c>
      <c r="L40">
        <v>4</v>
      </c>
      <c r="M40" s="1" t="s">
        <v>621</v>
      </c>
      <c r="N40" s="1"/>
      <c r="O40">
        <v>21750</v>
      </c>
      <c r="Q40" t="s">
        <v>837</v>
      </c>
      <c r="R40" s="9" t="b">
        <v>1</v>
      </c>
      <c r="S40" s="16" t="str">
        <f t="shared" si="3"/>
        <v>THERMINAL BLOCK 4회로</v>
      </c>
      <c r="T40" s="1" t="str">
        <f t="shared" si="7"/>
        <v>300A 4P</v>
      </c>
    </row>
    <row r="41" spans="2:20">
      <c r="B41" s="9" t="str">
        <f>D41&amp;"_"&amp;F41</f>
        <v>E_EET0127_VM_0000</v>
      </c>
      <c r="C41" t="s">
        <v>264</v>
      </c>
      <c r="D41" t="s">
        <v>263</v>
      </c>
      <c r="E41" s="1" t="s">
        <v>796</v>
      </c>
      <c r="F41" s="1" t="s">
        <v>612</v>
      </c>
      <c r="M41" s="1" t="s">
        <v>621</v>
      </c>
      <c r="N41" s="1"/>
      <c r="P41">
        <v>7616</v>
      </c>
      <c r="Q41" s="35" t="s">
        <v>798</v>
      </c>
      <c r="R41" s="9" t="b">
        <v>1</v>
      </c>
      <c r="S41" s="16" t="str">
        <f t="shared" si="3"/>
        <v>U channel 회로</v>
      </c>
      <c r="T41" s="1" t="s">
        <v>844</v>
      </c>
    </row>
    <row r="42" spans="2:20">
      <c r="B42" s="9" t="str">
        <f t="shared" ref="B42:B98" si="8">D42&amp;"_"&amp;F42</f>
        <v>E_EET0201_VM_0000</v>
      </c>
      <c r="C42" t="s">
        <v>268</v>
      </c>
      <c r="D42" t="s">
        <v>267</v>
      </c>
      <c r="E42" s="1" t="s">
        <v>796</v>
      </c>
      <c r="F42" s="1" t="s">
        <v>612</v>
      </c>
      <c r="M42" s="1" t="s">
        <v>621</v>
      </c>
      <c r="N42" s="1"/>
      <c r="P42">
        <v>4360840</v>
      </c>
      <c r="Q42" s="35" t="s">
        <v>798</v>
      </c>
      <c r="R42" s="9" t="b">
        <v>1</v>
      </c>
      <c r="S42" s="16" t="str">
        <f t="shared" si="3"/>
        <v>외함(특고압반) 회로</v>
      </c>
      <c r="T42" s="1" t="s">
        <v>845</v>
      </c>
    </row>
    <row r="43" spans="2:20">
      <c r="B43" s="9" t="str">
        <f t="shared" si="8"/>
        <v>E_EET0202_VM_0000</v>
      </c>
      <c r="C43" t="s">
        <v>846</v>
      </c>
      <c r="D43" t="s">
        <v>269</v>
      </c>
      <c r="E43" s="1" t="s">
        <v>796</v>
      </c>
      <c r="F43" s="1" t="s">
        <v>612</v>
      </c>
      <c r="M43" s="1" t="s">
        <v>621</v>
      </c>
      <c r="N43" s="1"/>
      <c r="P43">
        <v>5690</v>
      </c>
      <c r="Q43" s="35" t="s">
        <v>798</v>
      </c>
      <c r="R43" s="9" t="b">
        <v>1</v>
      </c>
      <c r="S43" s="16" t="str">
        <f t="shared" si="3"/>
        <v>DOOR HANDLE (L) 회로</v>
      </c>
      <c r="T43" s="1" t="s">
        <v>847</v>
      </c>
    </row>
    <row r="44" spans="2:20">
      <c r="B44" s="9" t="str">
        <f t="shared" si="8"/>
        <v>E_EET0203_VM_0000</v>
      </c>
      <c r="C44" t="s">
        <v>848</v>
      </c>
      <c r="D44" t="s">
        <v>271</v>
      </c>
      <c r="E44" s="1" t="s">
        <v>796</v>
      </c>
      <c r="F44" s="1" t="s">
        <v>612</v>
      </c>
      <c r="M44" s="1" t="s">
        <v>621</v>
      </c>
      <c r="N44" s="1"/>
      <c r="P44">
        <v>4170</v>
      </c>
      <c r="Q44" s="35" t="s">
        <v>798</v>
      </c>
      <c r="R44" s="9" t="b">
        <v>1</v>
      </c>
      <c r="S44" s="16" t="str">
        <f t="shared" si="3"/>
        <v>DOOR HANDLE (M) 회로</v>
      </c>
      <c r="T44" s="1" t="s">
        <v>849</v>
      </c>
    </row>
    <row r="45" spans="2:20">
      <c r="B45" s="9" t="str">
        <f t="shared" si="8"/>
        <v>E_EET0204_VM_0000</v>
      </c>
      <c r="C45" t="s">
        <v>274</v>
      </c>
      <c r="D45" t="s">
        <v>273</v>
      </c>
      <c r="E45" s="1" t="s">
        <v>796</v>
      </c>
      <c r="F45" s="1" t="s">
        <v>612</v>
      </c>
      <c r="M45" s="1" t="s">
        <v>621</v>
      </c>
      <c r="N45" s="1"/>
      <c r="P45">
        <v>34688</v>
      </c>
      <c r="Q45" s="35" t="s">
        <v>798</v>
      </c>
      <c r="R45" s="9" t="b">
        <v>1</v>
      </c>
      <c r="S45" s="16" t="str">
        <f t="shared" si="3"/>
        <v>P-Cover(BAKELITE PLATE) 회로</v>
      </c>
      <c r="T45" t="s">
        <v>850</v>
      </c>
    </row>
    <row r="46" spans="2:20">
      <c r="B46" s="9" t="str">
        <f t="shared" si="8"/>
        <v>E_EET0205_VM_0000</v>
      </c>
      <c r="C46" t="s">
        <v>276</v>
      </c>
      <c r="D46" t="s">
        <v>275</v>
      </c>
      <c r="E46" s="1" t="s">
        <v>796</v>
      </c>
      <c r="F46" s="1" t="s">
        <v>612</v>
      </c>
      <c r="M46" s="1" t="s">
        <v>621</v>
      </c>
      <c r="N46" s="1"/>
      <c r="P46">
        <v>11490</v>
      </c>
      <c r="Q46" s="35" t="s">
        <v>798</v>
      </c>
      <c r="R46" s="9" t="b">
        <v>1</v>
      </c>
      <c r="S46" s="16" t="str">
        <f t="shared" si="3"/>
        <v>DOOR STOPPER 회로</v>
      </c>
      <c r="T46" t="s">
        <v>851</v>
      </c>
    </row>
    <row r="47" spans="2:20">
      <c r="B47" s="9" t="str">
        <f t="shared" si="8"/>
        <v>E_EET0206_VM_0000</v>
      </c>
      <c r="C47" t="s">
        <v>246</v>
      </c>
      <c r="D47" t="s">
        <v>277</v>
      </c>
      <c r="E47" s="1" t="s">
        <v>796</v>
      </c>
      <c r="F47" s="1" t="s">
        <v>612</v>
      </c>
      <c r="M47" s="1" t="s">
        <v>621</v>
      </c>
      <c r="N47" s="1"/>
      <c r="P47">
        <v>5690</v>
      </c>
      <c r="Q47" s="35" t="s">
        <v>798</v>
      </c>
      <c r="R47" s="9" t="b">
        <v>1</v>
      </c>
      <c r="S47" s="16" t="str">
        <f t="shared" si="3"/>
        <v>NAME PLATE 회로</v>
      </c>
      <c r="T47" t="s">
        <v>852</v>
      </c>
    </row>
    <row r="48" spans="2:20">
      <c r="B48" s="9" t="str">
        <f t="shared" si="8"/>
        <v>E_EET0207_VM_0000</v>
      </c>
      <c r="C48" t="s">
        <v>279</v>
      </c>
      <c r="D48" t="s">
        <v>278</v>
      </c>
      <c r="E48" s="1" t="s">
        <v>796</v>
      </c>
      <c r="F48" s="1" t="s">
        <v>612</v>
      </c>
      <c r="M48" s="1" t="s">
        <v>621</v>
      </c>
      <c r="N48" s="1"/>
      <c r="P48">
        <v>1760</v>
      </c>
      <c r="Q48" s="35" t="s">
        <v>798</v>
      </c>
      <c r="R48" s="9" t="b">
        <v>1</v>
      </c>
      <c r="S48" s="16" t="str">
        <f t="shared" si="3"/>
        <v>DIAZED FUSE 회로</v>
      </c>
      <c r="T48" t="s">
        <v>853</v>
      </c>
    </row>
    <row r="49" spans="2:20">
      <c r="B49" s="9" t="str">
        <f t="shared" si="8"/>
        <v>E_EET0208_VM_0000</v>
      </c>
      <c r="C49" t="s">
        <v>281</v>
      </c>
      <c r="D49" t="s">
        <v>280</v>
      </c>
      <c r="E49" s="1" t="s">
        <v>796</v>
      </c>
      <c r="F49" s="1" t="s">
        <v>612</v>
      </c>
      <c r="M49" s="1" t="s">
        <v>621</v>
      </c>
      <c r="N49" s="1"/>
      <c r="P49">
        <v>19960</v>
      </c>
      <c r="Q49" s="35" t="s">
        <v>798</v>
      </c>
      <c r="R49" s="9" t="b">
        <v>1</v>
      </c>
      <c r="S49" s="16" t="str">
        <f t="shared" si="3"/>
        <v>FL 회로</v>
      </c>
      <c r="T49" t="s">
        <v>854</v>
      </c>
    </row>
    <row r="50" spans="2:20">
      <c r="B50" s="9" t="str">
        <f t="shared" si="8"/>
        <v>E_EET0209_VM_0000</v>
      </c>
      <c r="C50" t="s">
        <v>283</v>
      </c>
      <c r="D50" t="s">
        <v>282</v>
      </c>
      <c r="E50" s="1" t="s">
        <v>796</v>
      </c>
      <c r="F50" s="1" t="s">
        <v>612</v>
      </c>
      <c r="M50" s="1" t="s">
        <v>621</v>
      </c>
      <c r="N50" s="1"/>
      <c r="P50">
        <v>14500</v>
      </c>
      <c r="Q50" s="35" t="s">
        <v>798</v>
      </c>
      <c r="R50" s="9" t="b">
        <v>1</v>
      </c>
      <c r="S50" s="16" t="str">
        <f t="shared" si="3"/>
        <v>LIMIT S/W 회로</v>
      </c>
      <c r="T50" t="s">
        <v>855</v>
      </c>
    </row>
    <row r="51" spans="2:20">
      <c r="B51" s="9" t="str">
        <f t="shared" si="8"/>
        <v>E_EET0210_VM_0000</v>
      </c>
      <c r="C51" t="s">
        <v>248</v>
      </c>
      <c r="D51" t="s">
        <v>284</v>
      </c>
      <c r="E51" s="1" t="s">
        <v>796</v>
      </c>
      <c r="F51" s="1" t="s">
        <v>612</v>
      </c>
      <c r="M51" s="1" t="s">
        <v>621</v>
      </c>
      <c r="N51" s="1"/>
      <c r="P51">
        <v>7700</v>
      </c>
      <c r="Q51" s="35" t="s">
        <v>798</v>
      </c>
      <c r="R51" s="9" t="b">
        <v>1</v>
      </c>
      <c r="S51" s="16" t="str">
        <f t="shared" si="3"/>
        <v>SPACE HEATER 회로</v>
      </c>
      <c r="T51" t="s">
        <v>856</v>
      </c>
    </row>
    <row r="52" spans="2:20">
      <c r="B52" s="9" t="str">
        <f t="shared" si="8"/>
        <v>E_EET0211_VM_0000</v>
      </c>
      <c r="C52" t="s">
        <v>286</v>
      </c>
      <c r="D52" t="s">
        <v>285</v>
      </c>
      <c r="E52" s="1" t="s">
        <v>796</v>
      </c>
      <c r="F52" s="1" t="s">
        <v>612</v>
      </c>
      <c r="M52" s="1" t="s">
        <v>621</v>
      </c>
      <c r="N52" s="1"/>
      <c r="P52">
        <v>9500</v>
      </c>
      <c r="Q52" s="35" t="s">
        <v>798</v>
      </c>
      <c r="R52" s="9" t="b">
        <v>1</v>
      </c>
      <c r="S52" s="16" t="str">
        <f t="shared" si="3"/>
        <v>THERMOSTATE 회로</v>
      </c>
      <c r="T52" t="s">
        <v>857</v>
      </c>
    </row>
    <row r="53" spans="2:20">
      <c r="B53" s="9" t="str">
        <f t="shared" si="8"/>
        <v>E_EET0212_VM_0000</v>
      </c>
      <c r="C53" t="s">
        <v>288</v>
      </c>
      <c r="D53" t="s">
        <v>287</v>
      </c>
      <c r="E53" s="1" t="s">
        <v>796</v>
      </c>
      <c r="F53" s="1" t="s">
        <v>612</v>
      </c>
      <c r="M53" s="1" t="s">
        <v>621</v>
      </c>
      <c r="N53" s="1"/>
      <c r="P53">
        <v>2090</v>
      </c>
      <c r="Q53" s="35" t="s">
        <v>798</v>
      </c>
      <c r="R53" s="9" t="b">
        <v>1</v>
      </c>
      <c r="S53" s="16" t="str">
        <f t="shared" si="3"/>
        <v>CONSENT 회로</v>
      </c>
      <c r="T53" t="s">
        <v>858</v>
      </c>
    </row>
    <row r="54" spans="2:20">
      <c r="B54" s="9" t="str">
        <f t="shared" si="8"/>
        <v>E_EET0213_VM_0000</v>
      </c>
      <c r="C54" t="s">
        <v>290</v>
      </c>
      <c r="D54" t="s">
        <v>289</v>
      </c>
      <c r="E54" s="1" t="s">
        <v>796</v>
      </c>
      <c r="F54" s="1" t="s">
        <v>612</v>
      </c>
      <c r="M54" s="1" t="s">
        <v>621</v>
      </c>
      <c r="N54" s="1"/>
      <c r="P54">
        <v>43165</v>
      </c>
      <c r="Q54" s="35" t="s">
        <v>798</v>
      </c>
      <c r="R54" s="9" t="b">
        <v>1</v>
      </c>
      <c r="S54" s="16" t="str">
        <f t="shared" si="3"/>
        <v>MAIN BUS BAR 회로</v>
      </c>
      <c r="T54" t="s">
        <v>859</v>
      </c>
    </row>
    <row r="55" spans="2:20">
      <c r="B55" s="9" t="str">
        <f t="shared" si="8"/>
        <v>E_EET0214_VM_0000</v>
      </c>
      <c r="C55" t="s">
        <v>292</v>
      </c>
      <c r="D55" t="s">
        <v>291</v>
      </c>
      <c r="E55" s="1" t="s">
        <v>796</v>
      </c>
      <c r="F55" s="1" t="s">
        <v>612</v>
      </c>
      <c r="M55" s="1" t="s">
        <v>621</v>
      </c>
      <c r="N55" s="1"/>
      <c r="P55">
        <v>1790</v>
      </c>
      <c r="Q55" s="35" t="s">
        <v>798</v>
      </c>
      <c r="R55" s="9" t="b">
        <v>1</v>
      </c>
      <c r="S55" s="16" t="str">
        <f t="shared" si="3"/>
        <v>INSULATION TUBE 회로</v>
      </c>
      <c r="T55" t="s">
        <v>860</v>
      </c>
    </row>
    <row r="56" spans="2:20">
      <c r="B56" s="9" t="str">
        <f t="shared" si="8"/>
        <v>E_EET0215_VM_0000</v>
      </c>
      <c r="C56" t="s">
        <v>294</v>
      </c>
      <c r="D56" t="s">
        <v>293</v>
      </c>
      <c r="E56" s="1" t="s">
        <v>796</v>
      </c>
      <c r="F56" s="1" t="s">
        <v>612</v>
      </c>
      <c r="M56" s="1" t="s">
        <v>621</v>
      </c>
      <c r="N56" s="1"/>
      <c r="P56">
        <v>2390</v>
      </c>
      <c r="Q56" s="35" t="s">
        <v>798</v>
      </c>
      <c r="R56" s="9" t="b">
        <v>1</v>
      </c>
      <c r="S56" s="16" t="str">
        <f t="shared" si="3"/>
        <v>BUS BAR COATING 회로</v>
      </c>
      <c r="T56" t="s">
        <v>861</v>
      </c>
    </row>
    <row r="57" spans="2:20">
      <c r="B57" s="9" t="str">
        <f t="shared" si="8"/>
        <v>E_EET0216_VM_0000</v>
      </c>
      <c r="C57" t="s">
        <v>296</v>
      </c>
      <c r="D57" t="s">
        <v>295</v>
      </c>
      <c r="E57" s="1" t="s">
        <v>796</v>
      </c>
      <c r="F57" s="1" t="s">
        <v>612</v>
      </c>
      <c r="M57" s="1" t="s">
        <v>621</v>
      </c>
      <c r="N57" s="1"/>
      <c r="P57">
        <v>22488</v>
      </c>
      <c r="Q57" s="35" t="s">
        <v>798</v>
      </c>
      <c r="R57" s="9" t="b">
        <v>1</v>
      </c>
      <c r="S57" s="16" t="str">
        <f t="shared" si="3"/>
        <v>EARTH BAR 회로</v>
      </c>
      <c r="T57" t="s">
        <v>862</v>
      </c>
    </row>
    <row r="58" spans="2:20">
      <c r="B58" s="9" t="str">
        <f t="shared" si="8"/>
        <v>E_EET0217_VM_0000</v>
      </c>
      <c r="C58" t="s">
        <v>298</v>
      </c>
      <c r="D58" t="s">
        <v>297</v>
      </c>
      <c r="E58" s="1" t="s">
        <v>796</v>
      </c>
      <c r="F58" s="1" t="s">
        <v>612</v>
      </c>
      <c r="M58" s="1" t="s">
        <v>621</v>
      </c>
      <c r="N58" s="1"/>
      <c r="P58">
        <v>8923</v>
      </c>
      <c r="Q58" s="35" t="s">
        <v>798</v>
      </c>
      <c r="R58" s="9" t="b">
        <v>1</v>
      </c>
      <c r="S58" s="16" t="str">
        <f t="shared" si="3"/>
        <v>EARTH WIRE 회로</v>
      </c>
      <c r="T58" t="s">
        <v>863</v>
      </c>
    </row>
    <row r="59" spans="2:20">
      <c r="B59" s="9" t="str">
        <f t="shared" si="8"/>
        <v>E_EET0218_VM_0000</v>
      </c>
      <c r="C59" t="s">
        <v>300</v>
      </c>
      <c r="D59" t="s">
        <v>299</v>
      </c>
      <c r="E59" s="1" t="s">
        <v>796</v>
      </c>
      <c r="F59" s="1" t="s">
        <v>612</v>
      </c>
      <c r="M59" s="1" t="s">
        <v>621</v>
      </c>
      <c r="N59" s="1"/>
      <c r="P59">
        <v>900</v>
      </c>
      <c r="Q59" s="35" t="s">
        <v>798</v>
      </c>
      <c r="R59" s="9" t="b">
        <v>1</v>
      </c>
      <c r="S59" s="16" t="str">
        <f t="shared" si="3"/>
        <v>EARTH TERMINAL 회로</v>
      </c>
      <c r="T59" t="s">
        <v>864</v>
      </c>
    </row>
    <row r="60" spans="2:20">
      <c r="B60" s="9" t="str">
        <f t="shared" si="8"/>
        <v>E_EET0219_VM_0000</v>
      </c>
      <c r="C60" t="s">
        <v>302</v>
      </c>
      <c r="D60" t="s">
        <v>301</v>
      </c>
      <c r="E60" s="1" t="s">
        <v>796</v>
      </c>
      <c r="F60" s="1" t="s">
        <v>612</v>
      </c>
      <c r="M60" s="1" t="s">
        <v>621</v>
      </c>
      <c r="N60" s="1"/>
      <c r="P60">
        <v>2988700</v>
      </c>
      <c r="Q60" s="35" t="s">
        <v>798</v>
      </c>
      <c r="R60" s="9" t="b">
        <v>1</v>
      </c>
      <c r="S60" s="16" t="str">
        <f t="shared" si="3"/>
        <v>LBS (NO FUSE TYPE) 회로</v>
      </c>
      <c r="T60" t="s">
        <v>865</v>
      </c>
    </row>
    <row r="61" spans="2:20">
      <c r="B61" s="9" t="str">
        <f t="shared" si="8"/>
        <v>E_EET0220_VM_0000</v>
      </c>
      <c r="C61" t="s">
        <v>304</v>
      </c>
      <c r="D61" t="s">
        <v>303</v>
      </c>
      <c r="E61" s="1" t="s">
        <v>796</v>
      </c>
      <c r="F61" s="1" t="s">
        <v>612</v>
      </c>
      <c r="M61" s="1" t="s">
        <v>621</v>
      </c>
      <c r="N61" s="1"/>
      <c r="P61">
        <v>29700</v>
      </c>
      <c r="Q61" s="35" t="s">
        <v>798</v>
      </c>
      <c r="R61" s="9" t="b">
        <v>1</v>
      </c>
      <c r="S61" s="16" t="str">
        <f t="shared" si="3"/>
        <v>LA (w/DISCONN.) 회로</v>
      </c>
      <c r="T61" t="s">
        <v>866</v>
      </c>
    </row>
    <row r="62" spans="2:20">
      <c r="B62" s="9" t="str">
        <f>D62&amp;"_"&amp;F62&amp;"_"&amp;K62</f>
        <v>E_EET0221_VM_0000_100</v>
      </c>
      <c r="C62" t="s">
        <v>306</v>
      </c>
      <c r="D62" t="s">
        <v>305</v>
      </c>
      <c r="E62" s="1" t="s">
        <v>796</v>
      </c>
      <c r="F62" s="1" t="s">
        <v>612</v>
      </c>
      <c r="K62">
        <v>100</v>
      </c>
      <c r="M62" s="1" t="s">
        <v>621</v>
      </c>
      <c r="N62" s="1"/>
      <c r="P62">
        <v>187500</v>
      </c>
      <c r="Q62" s="35" t="s">
        <v>798</v>
      </c>
      <c r="R62" s="9" t="b">
        <v>1</v>
      </c>
      <c r="S62" s="16" t="str">
        <f t="shared" si="3"/>
        <v>PFH 한류형 회로</v>
      </c>
      <c r="T62" t="s">
        <v>867</v>
      </c>
    </row>
    <row r="63" spans="2:20">
      <c r="B63" s="9" t="str">
        <f>D63&amp;"_"&amp;F63&amp;"_"&amp;K63</f>
        <v>E_EET0221_VM_0000_200</v>
      </c>
      <c r="C63" t="s">
        <v>306</v>
      </c>
      <c r="D63" t="s">
        <v>305</v>
      </c>
      <c r="E63" s="1" t="s">
        <v>796</v>
      </c>
      <c r="F63" s="1" t="s">
        <v>612</v>
      </c>
      <c r="K63">
        <v>200</v>
      </c>
      <c r="M63" s="1" t="s">
        <v>621</v>
      </c>
      <c r="N63" s="1"/>
      <c r="P63">
        <v>505350</v>
      </c>
      <c r="Q63" s="35" t="s">
        <v>798</v>
      </c>
      <c r="R63" s="9" t="b">
        <v>1</v>
      </c>
      <c r="S63" s="16" t="str">
        <f t="shared" si="3"/>
        <v>PFH 한류형 회로</v>
      </c>
      <c r="T63" t="s">
        <v>868</v>
      </c>
    </row>
    <row r="64" spans="2:20">
      <c r="B64" s="9" t="str">
        <f t="shared" si="8"/>
        <v>E_EET0222_VM_0000</v>
      </c>
      <c r="C64" t="s">
        <v>308</v>
      </c>
      <c r="D64" t="s">
        <v>307</v>
      </c>
      <c r="E64" s="1" t="s">
        <v>796</v>
      </c>
      <c r="F64" s="1" t="s">
        <v>612</v>
      </c>
      <c r="M64" s="1" t="s">
        <v>621</v>
      </c>
      <c r="N64" s="1"/>
      <c r="P64">
        <v>3990</v>
      </c>
      <c r="Q64" s="35" t="s">
        <v>798</v>
      </c>
      <c r="R64" s="9" t="b">
        <v>1</v>
      </c>
      <c r="S64" s="16" t="str">
        <f t="shared" si="3"/>
        <v>FLEXIBLE TUBE 회로</v>
      </c>
      <c r="T64" t="s">
        <v>869</v>
      </c>
    </row>
    <row r="65" spans="2:20">
      <c r="B65" s="9" t="str">
        <f t="shared" si="8"/>
        <v>E_EET0223_VM_0000</v>
      </c>
      <c r="C65" t="s">
        <v>310</v>
      </c>
      <c r="D65" t="s">
        <v>309</v>
      </c>
      <c r="E65" s="1" t="s">
        <v>796</v>
      </c>
      <c r="F65" s="1" t="s">
        <v>612</v>
      </c>
      <c r="M65" s="1" t="s">
        <v>621</v>
      </c>
      <c r="N65" s="1"/>
      <c r="P65">
        <v>20570</v>
      </c>
      <c r="Q65" s="35" t="s">
        <v>798</v>
      </c>
      <c r="R65" s="9" t="b">
        <v>1</v>
      </c>
      <c r="S65" s="16" t="str">
        <f t="shared" si="3"/>
        <v>EPOXY INSULATOR 회로</v>
      </c>
      <c r="T65" t="s">
        <v>870</v>
      </c>
    </row>
    <row r="66" spans="2:20">
      <c r="B66" s="9" t="str">
        <f t="shared" si="8"/>
        <v>E_EET0224_VM_0000</v>
      </c>
      <c r="C66" t="s">
        <v>312</v>
      </c>
      <c r="D66" t="s">
        <v>311</v>
      </c>
      <c r="E66" s="1" t="s">
        <v>796</v>
      </c>
      <c r="F66" s="1" t="s">
        <v>612</v>
      </c>
      <c r="M66" s="1" t="s">
        <v>621</v>
      </c>
      <c r="N66" s="1"/>
      <c r="P66">
        <v>338800</v>
      </c>
      <c r="Q66" s="35" t="s">
        <v>798</v>
      </c>
      <c r="R66" s="9" t="b">
        <v>1</v>
      </c>
      <c r="S66" s="16" t="str">
        <f t="shared" si="3"/>
        <v>EPOXY GLASS PLATE 회로</v>
      </c>
      <c r="T66" t="s">
        <v>871</v>
      </c>
    </row>
    <row r="67" spans="2:20">
      <c r="B67" s="9" t="str">
        <f t="shared" si="8"/>
        <v>E_EET0225_VM_0000</v>
      </c>
      <c r="C67" t="s">
        <v>314</v>
      </c>
      <c r="D67" t="s">
        <v>313</v>
      </c>
      <c r="E67" s="1" t="s">
        <v>796</v>
      </c>
      <c r="F67" s="1" t="s">
        <v>612</v>
      </c>
      <c r="M67" s="1" t="s">
        <v>621</v>
      </c>
      <c r="N67" s="1"/>
      <c r="P67">
        <v>54200</v>
      </c>
      <c r="Q67" s="35" t="s">
        <v>798</v>
      </c>
      <c r="R67" s="9" t="b">
        <v>1</v>
      </c>
      <c r="S67" s="16" t="str">
        <f t="shared" si="3"/>
        <v>BAKELITE PLATE 회로</v>
      </c>
      <c r="T67" t="s">
        <v>872</v>
      </c>
    </row>
    <row r="68" spans="2:20">
      <c r="B68" s="9" t="str">
        <f>D68&amp;"_"&amp;F68&amp;"_"&amp;H68</f>
        <v>E_EET0226_VM_0000_30</v>
      </c>
      <c r="C68" t="s">
        <v>316</v>
      </c>
      <c r="D68" t="s">
        <v>315</v>
      </c>
      <c r="E68" s="1" t="s">
        <v>796</v>
      </c>
      <c r="F68" s="1" t="s">
        <v>612</v>
      </c>
      <c r="H68">
        <v>30</v>
      </c>
      <c r="M68" s="1" t="s">
        <v>621</v>
      </c>
      <c r="N68" s="1"/>
      <c r="P68">
        <v>3720</v>
      </c>
      <c r="Q68" s="35" t="s">
        <v>798</v>
      </c>
      <c r="R68" s="9" t="b">
        <v>1</v>
      </c>
      <c r="S68" s="16" t="str">
        <f t="shared" si="3"/>
        <v>PVC DUCT (난연성) 회로</v>
      </c>
      <c r="T68" t="s">
        <v>873</v>
      </c>
    </row>
    <row r="69" spans="2:20">
      <c r="B69" s="9" t="str">
        <f>D69&amp;"_"&amp;F69&amp;"_"&amp;H69</f>
        <v>E_EET0226_VM_0000_40</v>
      </c>
      <c r="C69" t="s">
        <v>316</v>
      </c>
      <c r="D69" t="s">
        <v>315</v>
      </c>
      <c r="E69" s="1" t="s">
        <v>796</v>
      </c>
      <c r="F69" s="1" t="s">
        <v>612</v>
      </c>
      <c r="H69">
        <v>40</v>
      </c>
      <c r="M69" s="1" t="s">
        <v>621</v>
      </c>
      <c r="N69" s="1"/>
      <c r="P69">
        <v>4790</v>
      </c>
      <c r="Q69" s="35" t="s">
        <v>798</v>
      </c>
      <c r="R69" s="9" t="b">
        <v>1</v>
      </c>
      <c r="S69" s="16" t="str">
        <f t="shared" si="3"/>
        <v>PVC DUCT (난연성) 회로</v>
      </c>
      <c r="T69" t="s">
        <v>874</v>
      </c>
    </row>
    <row r="70" spans="2:20">
      <c r="B70" s="9" t="str">
        <f t="shared" si="8"/>
        <v>E_EET0227_VM_0000</v>
      </c>
      <c r="C70" t="s">
        <v>318</v>
      </c>
      <c r="D70" t="s">
        <v>317</v>
      </c>
      <c r="E70" s="1" t="s">
        <v>796</v>
      </c>
      <c r="F70" s="1" t="s">
        <v>612</v>
      </c>
      <c r="M70" s="1" t="s">
        <v>621</v>
      </c>
      <c r="N70" s="1"/>
      <c r="P70">
        <v>1880</v>
      </c>
      <c r="Q70" s="35" t="s">
        <v>798</v>
      </c>
      <c r="R70" s="9" t="b">
        <v>1</v>
      </c>
      <c r="S70" s="16" t="str">
        <f t="shared" si="3"/>
        <v>단자대(TB) 회로</v>
      </c>
      <c r="T70" t="s">
        <v>875</v>
      </c>
    </row>
    <row r="71" spans="2:20">
      <c r="B71" s="9" t="str">
        <f t="shared" si="8"/>
        <v>E_EET0228_VM_0000</v>
      </c>
      <c r="C71" t="s">
        <v>320</v>
      </c>
      <c r="D71" t="s">
        <v>319</v>
      </c>
      <c r="E71" s="1" t="s">
        <v>796</v>
      </c>
      <c r="F71" s="1" t="s">
        <v>612</v>
      </c>
      <c r="G71" t="s">
        <v>876</v>
      </c>
      <c r="M71" s="1" t="s">
        <v>621</v>
      </c>
      <c r="N71" s="1"/>
      <c r="P71">
        <v>1806000</v>
      </c>
      <c r="Q71" s="35" t="s">
        <v>798</v>
      </c>
      <c r="R71" s="9" t="b">
        <v>1</v>
      </c>
      <c r="S71" s="16" t="str">
        <f t="shared" si="3"/>
        <v>전력보호감시장치(GIPAM-115FI) 회로</v>
      </c>
      <c r="T71" t="s">
        <v>877</v>
      </c>
    </row>
    <row r="72" spans="2:20">
      <c r="B72" s="9" t="str">
        <f t="shared" si="8"/>
        <v>E_EET0229_VM_0000</v>
      </c>
      <c r="C72" t="s">
        <v>322</v>
      </c>
      <c r="D72" t="s">
        <v>321</v>
      </c>
      <c r="E72" s="1" t="s">
        <v>796</v>
      </c>
      <c r="F72" s="1" t="s">
        <v>612</v>
      </c>
      <c r="M72" s="1" t="s">
        <v>621</v>
      </c>
      <c r="N72" s="1"/>
      <c r="P72">
        <v>14603160</v>
      </c>
      <c r="Q72" s="35" t="s">
        <v>798</v>
      </c>
      <c r="R72" s="9" t="b">
        <v>1</v>
      </c>
      <c r="S72" s="16" t="str">
        <f t="shared" ref="S72:S130" si="9">C72&amp;" "&amp;L72&amp;"회로"</f>
        <v>VCB 24kV (D) 회로</v>
      </c>
      <c r="T72" t="s">
        <v>878</v>
      </c>
    </row>
    <row r="73" spans="2:20">
      <c r="B73" s="9" t="str">
        <f t="shared" si="8"/>
        <v>E_EET0230_VM_0000</v>
      </c>
      <c r="C73" t="s">
        <v>324</v>
      </c>
      <c r="D73" t="s">
        <v>323</v>
      </c>
      <c r="E73" s="1" t="s">
        <v>796</v>
      </c>
      <c r="F73" s="1" t="s">
        <v>612</v>
      </c>
      <c r="M73" s="1" t="s">
        <v>621</v>
      </c>
      <c r="N73" s="1"/>
      <c r="P73">
        <v>180000</v>
      </c>
      <c r="Q73" s="35" t="s">
        <v>798</v>
      </c>
      <c r="R73" s="9" t="b">
        <v>1</v>
      </c>
      <c r="S73" s="16" t="str">
        <f t="shared" si="9"/>
        <v>CT 25.8kV 권선형 회로</v>
      </c>
      <c r="T73" t="s">
        <v>879</v>
      </c>
    </row>
    <row r="74" spans="2:20">
      <c r="B74" s="9" t="str">
        <f t="shared" si="8"/>
        <v>E_EET0231_VM_0000</v>
      </c>
      <c r="C74" t="s">
        <v>326</v>
      </c>
      <c r="D74" t="s">
        <v>325</v>
      </c>
      <c r="E74" s="1" t="s">
        <v>796</v>
      </c>
      <c r="F74" s="1" t="s">
        <v>612</v>
      </c>
      <c r="M74" s="1" t="s">
        <v>621</v>
      </c>
      <c r="N74" s="1"/>
      <c r="P74">
        <v>170000</v>
      </c>
      <c r="Q74" s="35" t="s">
        <v>798</v>
      </c>
      <c r="R74" s="9" t="b">
        <v>1</v>
      </c>
      <c r="S74" s="16" t="str">
        <f t="shared" si="9"/>
        <v>SA 회로</v>
      </c>
      <c r="T74" t="s">
        <v>880</v>
      </c>
    </row>
    <row r="75" spans="2:20">
      <c r="B75" s="9" t="str">
        <f t="shared" si="8"/>
        <v>E_EET0232_VM_0000</v>
      </c>
      <c r="C75" t="s">
        <v>328</v>
      </c>
      <c r="D75" t="s">
        <v>327</v>
      </c>
      <c r="E75" s="1" t="s">
        <v>796</v>
      </c>
      <c r="F75" s="1" t="s">
        <v>612</v>
      </c>
      <c r="M75" s="1" t="s">
        <v>621</v>
      </c>
      <c r="N75" s="1"/>
      <c r="P75">
        <v>9710</v>
      </c>
      <c r="Q75" s="35" t="s">
        <v>798</v>
      </c>
      <c r="R75" s="9" t="b">
        <v>1</v>
      </c>
      <c r="S75" s="16" t="str">
        <f t="shared" si="9"/>
        <v>CS (CAM S/W) 회로</v>
      </c>
      <c r="T75" t="s">
        <v>881</v>
      </c>
    </row>
    <row r="76" spans="2:20">
      <c r="B76" s="9" t="str">
        <f t="shared" si="8"/>
        <v>E_EET0233_VM_0000</v>
      </c>
      <c r="C76" t="s">
        <v>330</v>
      </c>
      <c r="D76" t="s">
        <v>329</v>
      </c>
      <c r="E76" s="1" t="s">
        <v>796</v>
      </c>
      <c r="F76" s="1" t="s">
        <v>612</v>
      </c>
      <c r="M76" s="1" t="s">
        <v>621</v>
      </c>
      <c r="N76" s="1"/>
      <c r="P76">
        <v>5550</v>
      </c>
      <c r="Q76" s="35" t="s">
        <v>798</v>
      </c>
      <c r="R76" s="9" t="b">
        <v>1</v>
      </c>
      <c r="S76" s="16" t="str">
        <f t="shared" si="9"/>
        <v>PL (LED) 회로</v>
      </c>
      <c r="T76" t="s">
        <v>882</v>
      </c>
    </row>
    <row r="77" spans="2:20">
      <c r="B77" s="9" t="str">
        <f t="shared" si="8"/>
        <v>E_EET0234_VM_0000</v>
      </c>
      <c r="C77" t="s">
        <v>332</v>
      </c>
      <c r="D77" t="s">
        <v>331</v>
      </c>
      <c r="E77" s="1" t="s">
        <v>796</v>
      </c>
      <c r="F77" s="1" t="s">
        <v>612</v>
      </c>
      <c r="M77" s="1" t="s">
        <v>621</v>
      </c>
      <c r="N77" s="1"/>
      <c r="P77">
        <v>2200</v>
      </c>
      <c r="Q77" s="35" t="s">
        <v>798</v>
      </c>
      <c r="R77" s="9" t="b">
        <v>1</v>
      </c>
      <c r="S77" s="16" t="str">
        <f t="shared" si="9"/>
        <v>PBS 회로</v>
      </c>
      <c r="T77" t="s">
        <v>883</v>
      </c>
    </row>
    <row r="78" spans="2:20">
      <c r="B78" s="9" t="str">
        <f t="shared" si="8"/>
        <v>E_EET0235_VM_0000</v>
      </c>
      <c r="C78" t="s">
        <v>334</v>
      </c>
      <c r="D78" t="s">
        <v>333</v>
      </c>
      <c r="E78" s="1" t="s">
        <v>796</v>
      </c>
      <c r="F78" s="1" t="s">
        <v>612</v>
      </c>
      <c r="M78" s="1" t="s">
        <v>621</v>
      </c>
      <c r="N78" s="1"/>
      <c r="P78">
        <v>8300</v>
      </c>
      <c r="Q78" s="35" t="s">
        <v>798</v>
      </c>
      <c r="R78" s="9" t="b">
        <v>1</v>
      </c>
      <c r="S78" s="16" t="str">
        <f t="shared" si="9"/>
        <v>BZ (PANEL용) 회로</v>
      </c>
      <c r="T78" t="s">
        <v>884</v>
      </c>
    </row>
    <row r="79" spans="2:20">
      <c r="B79" s="9" t="str">
        <f t="shared" si="8"/>
        <v>E_EET0236_VM_0000</v>
      </c>
      <c r="C79" t="s">
        <v>336</v>
      </c>
      <c r="D79" t="s">
        <v>335</v>
      </c>
      <c r="E79" s="1" t="s">
        <v>796</v>
      </c>
      <c r="F79" s="1" t="s">
        <v>612</v>
      </c>
      <c r="M79" s="1" t="s">
        <v>621</v>
      </c>
      <c r="N79" s="1"/>
      <c r="P79">
        <v>19030</v>
      </c>
      <c r="Q79" s="35" t="s">
        <v>798</v>
      </c>
      <c r="R79" s="9" t="b">
        <v>1</v>
      </c>
      <c r="S79" s="16" t="str">
        <f t="shared" si="9"/>
        <v>FLICKER RELAY (FCR) 회로</v>
      </c>
      <c r="T79" t="s">
        <v>885</v>
      </c>
    </row>
    <row r="80" spans="2:20">
      <c r="B80" s="9" t="str">
        <f>D80&amp;"_"&amp;F80&amp;"_"&amp;L80</f>
        <v>E_EET0237_VM_0000_2</v>
      </c>
      <c r="C80" t="s">
        <v>338</v>
      </c>
      <c r="D80" t="s">
        <v>337</v>
      </c>
      <c r="E80" s="1" t="s">
        <v>796</v>
      </c>
      <c r="F80" s="1" t="s">
        <v>612</v>
      </c>
      <c r="L80">
        <v>2</v>
      </c>
      <c r="M80" s="1" t="s">
        <v>621</v>
      </c>
      <c r="N80" s="1"/>
      <c r="P80">
        <v>8960</v>
      </c>
      <c r="Q80" s="35" t="s">
        <v>798</v>
      </c>
      <c r="R80" s="9" t="b">
        <v>1</v>
      </c>
      <c r="S80" s="16" t="str">
        <f t="shared" si="9"/>
        <v>AUX-R 2회로</v>
      </c>
      <c r="T80" t="s">
        <v>886</v>
      </c>
    </row>
    <row r="81" spans="2:20">
      <c r="B81" s="9" t="str">
        <f>D81&amp;"_"&amp;F81&amp;"_"&amp;L81</f>
        <v>E_EET0237_VM_0000_4</v>
      </c>
      <c r="C81" t="s">
        <v>338</v>
      </c>
      <c r="D81" t="s">
        <v>337</v>
      </c>
      <c r="E81" s="1" t="s">
        <v>796</v>
      </c>
      <c r="F81" s="1" t="s">
        <v>612</v>
      </c>
      <c r="L81">
        <v>4</v>
      </c>
      <c r="M81" s="1" t="s">
        <v>621</v>
      </c>
      <c r="N81" s="1"/>
      <c r="P81">
        <v>8960</v>
      </c>
      <c r="Q81" s="35" t="s">
        <v>798</v>
      </c>
      <c r="R81" s="9" t="b">
        <v>1</v>
      </c>
      <c r="S81" s="16" t="str">
        <f t="shared" si="9"/>
        <v>AUX-R 4회로</v>
      </c>
      <c r="T81" t="s">
        <v>887</v>
      </c>
    </row>
    <row r="82" spans="2:20">
      <c r="B82" s="9" t="str">
        <f t="shared" si="8"/>
        <v>E_EET0238_VM_0000</v>
      </c>
      <c r="C82" t="s">
        <v>340</v>
      </c>
      <c r="D82" t="s">
        <v>339</v>
      </c>
      <c r="E82" s="1" t="s">
        <v>796</v>
      </c>
      <c r="F82" s="1" t="s">
        <v>612</v>
      </c>
      <c r="M82" s="1" t="s">
        <v>621</v>
      </c>
      <c r="N82" s="1"/>
      <c r="P82">
        <v>5980</v>
      </c>
      <c r="Q82" s="35" t="s">
        <v>798</v>
      </c>
      <c r="R82" s="9" t="b">
        <v>1</v>
      </c>
      <c r="S82" s="16" t="str">
        <f t="shared" si="9"/>
        <v>CABLE BRACKET (CAB) 회로</v>
      </c>
      <c r="T82" t="s">
        <v>888</v>
      </c>
    </row>
    <row r="83" spans="2:20">
      <c r="B83" s="9" t="str">
        <f t="shared" si="8"/>
        <v>E_EET0239_VM_0000</v>
      </c>
      <c r="C83" t="s">
        <v>342</v>
      </c>
      <c r="D83" t="s">
        <v>341</v>
      </c>
      <c r="E83" s="1" t="s">
        <v>796</v>
      </c>
      <c r="F83" s="1" t="s">
        <v>612</v>
      </c>
      <c r="M83" s="1" t="s">
        <v>621</v>
      </c>
      <c r="N83" s="1"/>
      <c r="P83">
        <v>55530</v>
      </c>
      <c r="Q83" s="35" t="s">
        <v>798</v>
      </c>
      <c r="R83" s="9" t="b">
        <v>1</v>
      </c>
      <c r="S83" s="16" t="str">
        <f t="shared" si="9"/>
        <v>FLEXIBLE BUS BAR 회로</v>
      </c>
      <c r="T83" t="s">
        <v>889</v>
      </c>
    </row>
    <row r="84" spans="2:20">
      <c r="B84" s="9" t="str">
        <f t="shared" si="8"/>
        <v>E_EET0240_VM_0000</v>
      </c>
      <c r="C84" t="s">
        <v>344</v>
      </c>
      <c r="D84" t="s">
        <v>343</v>
      </c>
      <c r="E84" s="1" t="s">
        <v>796</v>
      </c>
      <c r="F84" s="1" t="s">
        <v>612</v>
      </c>
      <c r="M84" s="1" t="s">
        <v>621</v>
      </c>
      <c r="N84" s="1"/>
      <c r="P84">
        <v>9980</v>
      </c>
      <c r="Q84" s="35" t="s">
        <v>798</v>
      </c>
      <c r="R84" s="9" t="b">
        <v>1</v>
      </c>
      <c r="S84" s="16" t="str">
        <f t="shared" si="9"/>
        <v>변압기반 AIR FILTER 회로</v>
      </c>
      <c r="T84" t="s">
        <v>851</v>
      </c>
    </row>
    <row r="85" spans="2:20">
      <c r="B85" s="9" t="str">
        <f t="shared" si="8"/>
        <v>E_EET0241_VM_0000</v>
      </c>
      <c r="C85" t="s">
        <v>346</v>
      </c>
      <c r="D85" t="s">
        <v>345</v>
      </c>
      <c r="E85" s="1" t="s">
        <v>796</v>
      </c>
      <c r="F85" s="1" t="s">
        <v>612</v>
      </c>
      <c r="M85" s="1" t="s">
        <v>621</v>
      </c>
      <c r="N85" s="1"/>
      <c r="P85">
        <v>43165</v>
      </c>
      <c r="Q85" s="35" t="s">
        <v>798</v>
      </c>
      <c r="R85" s="9" t="b">
        <v>1</v>
      </c>
      <c r="S85" s="16" t="str">
        <f t="shared" si="9"/>
        <v>1차 BUS BAR 회로</v>
      </c>
      <c r="T85" t="s">
        <v>859</v>
      </c>
    </row>
    <row r="86" spans="2:20">
      <c r="B86" s="9" t="str">
        <f t="shared" si="8"/>
        <v>E_EET0242_VM_0000</v>
      </c>
      <c r="C86" t="s">
        <v>348</v>
      </c>
      <c r="D86" t="s">
        <v>347</v>
      </c>
      <c r="E86" s="1" t="s">
        <v>796</v>
      </c>
      <c r="F86" s="1" t="s">
        <v>612</v>
      </c>
      <c r="M86" s="1" t="s">
        <v>621</v>
      </c>
      <c r="N86" s="1"/>
      <c r="P86">
        <v>5250</v>
      </c>
      <c r="Q86" s="35" t="s">
        <v>798</v>
      </c>
      <c r="R86" s="9" t="b">
        <v>1</v>
      </c>
      <c r="S86" s="16" t="str">
        <f t="shared" si="9"/>
        <v>PBLS (LED) 회로</v>
      </c>
      <c r="T86" t="s">
        <v>890</v>
      </c>
    </row>
    <row r="87" spans="2:20">
      <c r="B87" s="9" t="str">
        <f t="shared" si="8"/>
        <v>E_EET0243_VM_0000</v>
      </c>
      <c r="C87" t="s">
        <v>234</v>
      </c>
      <c r="D87" t="s">
        <v>349</v>
      </c>
      <c r="E87" s="1" t="s">
        <v>796</v>
      </c>
      <c r="F87" s="1" t="s">
        <v>612</v>
      </c>
      <c r="M87" s="1" t="s">
        <v>621</v>
      </c>
      <c r="N87" s="1"/>
      <c r="P87">
        <v>31900</v>
      </c>
      <c r="Q87" s="35" t="s">
        <v>798</v>
      </c>
      <c r="R87" s="9" t="b">
        <v>1</v>
      </c>
      <c r="S87" s="16" t="str">
        <f t="shared" si="9"/>
        <v>FAN 회로</v>
      </c>
      <c r="T87" t="s">
        <v>891</v>
      </c>
    </row>
    <row r="88" spans="2:20">
      <c r="B88" s="9" t="str">
        <f t="shared" si="8"/>
        <v>E_EET0244_VM_0000</v>
      </c>
      <c r="C88" t="s">
        <v>351</v>
      </c>
      <c r="D88" t="s">
        <v>350</v>
      </c>
      <c r="E88" s="1" t="s">
        <v>796</v>
      </c>
      <c r="F88" s="1" t="s">
        <v>612</v>
      </c>
      <c r="M88" s="1" t="s">
        <v>621</v>
      </c>
      <c r="N88" s="1"/>
      <c r="P88">
        <v>28070</v>
      </c>
      <c r="Q88" s="35" t="s">
        <v>798</v>
      </c>
      <c r="R88" s="9" t="b">
        <v>1</v>
      </c>
      <c r="S88" s="16" t="str">
        <f t="shared" si="9"/>
        <v>MS (GMS-9) 회로</v>
      </c>
      <c r="T88" t="s">
        <v>892</v>
      </c>
    </row>
    <row r="89" spans="2:20">
      <c r="B89" s="9" t="str">
        <f t="shared" si="8"/>
        <v>E_EET0245_VM_0000</v>
      </c>
      <c r="C89" t="s">
        <v>353</v>
      </c>
      <c r="D89" t="s">
        <v>352</v>
      </c>
      <c r="E89" s="1" t="s">
        <v>796</v>
      </c>
      <c r="F89" s="1" t="s">
        <v>612</v>
      </c>
      <c r="M89" s="1" t="s">
        <v>621</v>
      </c>
      <c r="N89" s="1"/>
      <c r="P89">
        <v>123420</v>
      </c>
      <c r="Q89" s="35" t="s">
        <v>798</v>
      </c>
      <c r="R89" s="9" t="b">
        <v>1</v>
      </c>
      <c r="S89" s="16" t="str">
        <f t="shared" si="9"/>
        <v>DIAL 온도계 회로</v>
      </c>
      <c r="T89" t="s">
        <v>851</v>
      </c>
    </row>
    <row r="90" spans="2:20">
      <c r="B90" s="9" t="str">
        <f t="shared" si="8"/>
        <v>E_EET0246_VM_0000</v>
      </c>
      <c r="C90" t="s">
        <v>355</v>
      </c>
      <c r="D90" t="s">
        <v>354</v>
      </c>
      <c r="E90" s="1" t="s">
        <v>796</v>
      </c>
      <c r="F90" s="1" t="s">
        <v>612</v>
      </c>
      <c r="M90" s="1" t="s">
        <v>621</v>
      </c>
      <c r="N90" s="1"/>
      <c r="P90">
        <v>282300</v>
      </c>
      <c r="Q90" s="35" t="s">
        <v>798</v>
      </c>
      <c r="R90" s="9" t="b">
        <v>1</v>
      </c>
      <c r="S90" s="16" t="str">
        <f t="shared" si="9"/>
        <v>TMS BOX 회로</v>
      </c>
      <c r="T90" t="s">
        <v>851</v>
      </c>
    </row>
    <row r="91" spans="2:20">
      <c r="B91" s="9" t="str">
        <f t="shared" si="8"/>
        <v>E_EET0247_VM_0000</v>
      </c>
      <c r="C91" t="s">
        <v>357</v>
      </c>
      <c r="D91" t="s">
        <v>356</v>
      </c>
      <c r="E91" s="1" t="s">
        <v>796</v>
      </c>
      <c r="F91" s="1" t="s">
        <v>612</v>
      </c>
      <c r="M91" s="1" t="s">
        <v>621</v>
      </c>
      <c r="N91" s="1"/>
      <c r="P91">
        <v>67500</v>
      </c>
      <c r="Q91" s="35" t="s">
        <v>798</v>
      </c>
      <c r="R91" s="9" t="b">
        <v>1</v>
      </c>
      <c r="S91" s="16" t="str">
        <f t="shared" si="9"/>
        <v>PT 회로</v>
      </c>
      <c r="T91" t="s">
        <v>893</v>
      </c>
    </row>
    <row r="92" spans="2:20">
      <c r="B92" s="9" t="str">
        <f t="shared" si="8"/>
        <v>E_EET0248_VM_0000</v>
      </c>
      <c r="C92" t="s">
        <v>224</v>
      </c>
      <c r="D92" t="s">
        <v>358</v>
      </c>
      <c r="E92" s="1" t="s">
        <v>796</v>
      </c>
      <c r="F92" s="1" t="s">
        <v>612</v>
      </c>
      <c r="M92" s="1" t="s">
        <v>621</v>
      </c>
      <c r="N92" s="1"/>
      <c r="P92">
        <v>385000</v>
      </c>
      <c r="Q92" s="35" t="s">
        <v>798</v>
      </c>
      <c r="R92" s="9" t="b">
        <v>1</v>
      </c>
      <c r="S92" s="16" t="str">
        <f t="shared" si="9"/>
        <v>SPD 회로</v>
      </c>
      <c r="T92" t="s">
        <v>894</v>
      </c>
    </row>
    <row r="93" spans="2:20">
      <c r="B93" s="9" t="str">
        <f t="shared" si="8"/>
        <v>E_EET0249_VM_0000</v>
      </c>
      <c r="C93" t="s">
        <v>360</v>
      </c>
      <c r="D93" t="s">
        <v>359</v>
      </c>
      <c r="E93" s="1" t="s">
        <v>796</v>
      </c>
      <c r="F93" s="1" t="s">
        <v>612</v>
      </c>
      <c r="M93" s="1" t="s">
        <v>621</v>
      </c>
      <c r="N93" s="1"/>
      <c r="P93">
        <v>7900</v>
      </c>
      <c r="Q93" s="35" t="s">
        <v>798</v>
      </c>
      <c r="R93" s="9" t="b">
        <v>1</v>
      </c>
      <c r="S93" s="16" t="str">
        <f t="shared" si="9"/>
        <v>LOAD WIRE 회로</v>
      </c>
      <c r="T93" t="s">
        <v>895</v>
      </c>
    </row>
    <row r="94" spans="2:20">
      <c r="B94" s="9" t="str">
        <f>D94&amp;"_"&amp;F94&amp;"_"&amp;K94&amp;"_"&amp;L94</f>
        <v>E_EET0250_VM_0000_100_3</v>
      </c>
      <c r="C94" t="s">
        <v>362</v>
      </c>
      <c r="D94" t="s">
        <v>361</v>
      </c>
      <c r="E94" s="1" t="s">
        <v>796</v>
      </c>
      <c r="F94" s="1" t="s">
        <v>612</v>
      </c>
      <c r="K94">
        <v>100</v>
      </c>
      <c r="L94">
        <v>3</v>
      </c>
      <c r="M94" s="1" t="s">
        <v>621</v>
      </c>
      <c r="N94" s="1"/>
      <c r="P94">
        <v>2830</v>
      </c>
      <c r="Q94" s="35" t="s">
        <v>798</v>
      </c>
      <c r="R94" s="9" t="b">
        <v>1</v>
      </c>
      <c r="S94" s="16" t="str">
        <f t="shared" si="9"/>
        <v>LOAD TB 3회로</v>
      </c>
      <c r="T94" t="s">
        <v>896</v>
      </c>
    </row>
    <row r="95" spans="2:20">
      <c r="B95" s="9" t="str">
        <f>D95&amp;"_"&amp;F95&amp;"_"&amp;K95&amp;"_"&amp;L95</f>
        <v>E_EET0250_VM_0000_100_4</v>
      </c>
      <c r="C95" t="s">
        <v>362</v>
      </c>
      <c r="D95" t="s">
        <v>361</v>
      </c>
      <c r="E95" s="1" t="s">
        <v>796</v>
      </c>
      <c r="F95" s="1" t="s">
        <v>612</v>
      </c>
      <c r="K95">
        <v>100</v>
      </c>
      <c r="L95">
        <v>4</v>
      </c>
      <c r="M95" s="1" t="s">
        <v>621</v>
      </c>
      <c r="N95" s="1"/>
      <c r="P95">
        <v>3660</v>
      </c>
      <c r="Q95" s="35" t="s">
        <v>798</v>
      </c>
      <c r="R95" s="9" t="b">
        <v>1</v>
      </c>
      <c r="S95" s="16" t="str">
        <f t="shared" si="9"/>
        <v>LOAD TB 4회로</v>
      </c>
      <c r="T95" t="s">
        <v>897</v>
      </c>
    </row>
    <row r="96" spans="2:20">
      <c r="B96" s="9" t="str">
        <f t="shared" si="8"/>
        <v>E_EET0251_VM_0000</v>
      </c>
      <c r="C96" t="s">
        <v>364</v>
      </c>
      <c r="D96" t="s">
        <v>363</v>
      </c>
      <c r="E96" s="1" t="s">
        <v>796</v>
      </c>
      <c r="F96" s="1" t="s">
        <v>612</v>
      </c>
      <c r="M96" s="1" t="s">
        <v>621</v>
      </c>
      <c r="N96" s="1"/>
      <c r="P96">
        <v>450</v>
      </c>
      <c r="Q96" s="35" t="s">
        <v>798</v>
      </c>
      <c r="R96" s="9" t="b">
        <v>1</v>
      </c>
      <c r="S96" s="16" t="str">
        <f t="shared" si="9"/>
        <v>TERMINAL LUG 회로</v>
      </c>
      <c r="T96" t="s">
        <v>898</v>
      </c>
    </row>
    <row r="97" spans="2:20">
      <c r="B97" s="9" t="str">
        <f t="shared" si="8"/>
        <v>E_EET0252_VM_0000</v>
      </c>
      <c r="C97" t="s">
        <v>366</v>
      </c>
      <c r="D97" t="s">
        <v>365</v>
      </c>
      <c r="E97" s="1" t="s">
        <v>796</v>
      </c>
      <c r="F97" s="1" t="s">
        <v>612</v>
      </c>
      <c r="M97" s="1" t="s">
        <v>621</v>
      </c>
      <c r="N97" s="1"/>
      <c r="P97">
        <v>5550</v>
      </c>
      <c r="Q97" s="35" t="s">
        <v>798</v>
      </c>
      <c r="R97" s="9" t="b">
        <v>1</v>
      </c>
      <c r="S97" s="16" t="str">
        <f t="shared" si="9"/>
        <v>PBL 회로</v>
      </c>
      <c r="T97" t="s">
        <v>882</v>
      </c>
    </row>
    <row r="98" spans="2:20">
      <c r="B98" s="9" t="str">
        <f t="shared" si="8"/>
        <v>E_EET0253_VM_0000</v>
      </c>
      <c r="C98" t="s">
        <v>368</v>
      </c>
      <c r="D98" t="s">
        <v>367</v>
      </c>
      <c r="E98" s="1" t="s">
        <v>796</v>
      </c>
      <c r="F98" s="1" t="s">
        <v>612</v>
      </c>
      <c r="M98" s="1" t="s">
        <v>621</v>
      </c>
      <c r="N98" s="1"/>
      <c r="P98">
        <v>2850000</v>
      </c>
      <c r="Q98" s="35" t="s">
        <v>798</v>
      </c>
      <c r="R98" s="9" t="b">
        <v>1</v>
      </c>
      <c r="S98" s="16" t="str">
        <f t="shared" si="9"/>
        <v>MOF (22.9kV) 회로</v>
      </c>
      <c r="T98" t="s">
        <v>899</v>
      </c>
    </row>
    <row r="99" spans="2:20">
      <c r="B99" s="9" t="str">
        <f>D99&amp;"_"&amp;F99&amp;"_"&amp;H99&amp;"_"&amp;I99</f>
        <v>E_EET0301_VM_0000_1000_700</v>
      </c>
      <c r="C99" t="s">
        <v>372</v>
      </c>
      <c r="D99" t="s">
        <v>371</v>
      </c>
      <c r="E99" s="1" t="s">
        <v>796</v>
      </c>
      <c r="F99" s="1" t="s">
        <v>612</v>
      </c>
      <c r="H99">
        <v>1000</v>
      </c>
      <c r="I99">
        <v>700</v>
      </c>
      <c r="M99" s="1" t="s">
        <v>621</v>
      </c>
      <c r="N99" s="1"/>
      <c r="P99">
        <v>26325</v>
      </c>
      <c r="Q99" s="35" t="s">
        <v>798</v>
      </c>
      <c r="R99" s="9" t="b">
        <v>1</v>
      </c>
      <c r="S99" s="16" t="str">
        <f t="shared" si="9"/>
        <v>용융 케이블 트레이(REDUCER) 회로</v>
      </c>
      <c r="T99" t="s">
        <v>900</v>
      </c>
    </row>
    <row r="100" spans="2:20">
      <c r="B100" s="9" t="str">
        <f t="shared" ref="B100:B114" si="10">D100&amp;"_"&amp;F100&amp;"_"&amp;H100&amp;"_"&amp;I100</f>
        <v>E_EET0301_VM_0000_1000_500</v>
      </c>
      <c r="C100" t="s">
        <v>372</v>
      </c>
      <c r="D100" t="s">
        <v>371</v>
      </c>
      <c r="E100" s="1" t="s">
        <v>796</v>
      </c>
      <c r="F100" s="1" t="s">
        <v>612</v>
      </c>
      <c r="H100">
        <v>1000</v>
      </c>
      <c r="I100">
        <v>500</v>
      </c>
      <c r="M100" s="1" t="s">
        <v>621</v>
      </c>
      <c r="N100" s="1"/>
      <c r="P100">
        <v>26325</v>
      </c>
      <c r="Q100" s="35" t="s">
        <v>798</v>
      </c>
      <c r="R100" s="9" t="b">
        <v>1</v>
      </c>
      <c r="S100" s="16" t="str">
        <f t="shared" si="9"/>
        <v>용융 케이블 트레이(REDUCER) 회로</v>
      </c>
      <c r="T100" t="s">
        <v>901</v>
      </c>
    </row>
    <row r="101" spans="2:20">
      <c r="B101" s="9" t="str">
        <f t="shared" si="10"/>
        <v>E_EET0301_VM_0000_800_500</v>
      </c>
      <c r="C101" t="s">
        <v>372</v>
      </c>
      <c r="D101" t="s">
        <v>371</v>
      </c>
      <c r="E101" s="1" t="s">
        <v>796</v>
      </c>
      <c r="F101" s="1" t="s">
        <v>612</v>
      </c>
      <c r="H101">
        <v>800</v>
      </c>
      <c r="I101">
        <v>500</v>
      </c>
      <c r="M101" s="1" t="s">
        <v>621</v>
      </c>
      <c r="N101" s="1"/>
      <c r="P101">
        <v>24232</v>
      </c>
      <c r="Q101" s="35" t="s">
        <v>798</v>
      </c>
      <c r="R101" s="9" t="b">
        <v>1</v>
      </c>
      <c r="S101" s="16" t="str">
        <f t="shared" si="9"/>
        <v>용융 케이블 트레이(REDUCER) 회로</v>
      </c>
      <c r="T101" t="s">
        <v>902</v>
      </c>
    </row>
    <row r="102" spans="2:20">
      <c r="B102" s="9" t="str">
        <f t="shared" si="10"/>
        <v>E_EET0301_VM_0000_800_300</v>
      </c>
      <c r="C102" t="s">
        <v>372</v>
      </c>
      <c r="D102" t="s">
        <v>371</v>
      </c>
      <c r="E102" s="1" t="s">
        <v>796</v>
      </c>
      <c r="F102" s="1" t="s">
        <v>612</v>
      </c>
      <c r="H102">
        <v>800</v>
      </c>
      <c r="I102">
        <v>300</v>
      </c>
      <c r="M102" s="1" t="s">
        <v>621</v>
      </c>
      <c r="N102" s="1"/>
      <c r="P102">
        <v>24232</v>
      </c>
      <c r="Q102" s="35" t="s">
        <v>798</v>
      </c>
      <c r="R102" s="9" t="b">
        <v>1</v>
      </c>
      <c r="S102" s="16" t="str">
        <f t="shared" si="9"/>
        <v>용융 케이블 트레이(REDUCER) 회로</v>
      </c>
      <c r="T102" t="s">
        <v>903</v>
      </c>
    </row>
    <row r="103" spans="2:20">
      <c r="B103" s="9" t="str">
        <f t="shared" si="10"/>
        <v>E_EET0301_VM_0000_700_500</v>
      </c>
      <c r="C103" t="s">
        <v>372</v>
      </c>
      <c r="D103" t="s">
        <v>371</v>
      </c>
      <c r="E103" s="1" t="s">
        <v>796</v>
      </c>
      <c r="F103" s="1" t="s">
        <v>612</v>
      </c>
      <c r="H103">
        <v>700</v>
      </c>
      <c r="I103">
        <v>500</v>
      </c>
      <c r="M103" s="1" t="s">
        <v>621</v>
      </c>
      <c r="N103" s="1"/>
      <c r="P103">
        <v>23179</v>
      </c>
      <c r="Q103" s="35" t="s">
        <v>798</v>
      </c>
      <c r="R103" s="9" t="b">
        <v>1</v>
      </c>
      <c r="S103" s="16" t="str">
        <f t="shared" si="9"/>
        <v>용융 케이블 트레이(REDUCER) 회로</v>
      </c>
      <c r="T103" t="s">
        <v>904</v>
      </c>
    </row>
    <row r="104" spans="2:20">
      <c r="B104" s="9" t="str">
        <f t="shared" si="10"/>
        <v>E_EET0301_VM_0000_700_400</v>
      </c>
      <c r="C104" t="s">
        <v>372</v>
      </c>
      <c r="D104" t="s">
        <v>371</v>
      </c>
      <c r="E104" s="1" t="s">
        <v>796</v>
      </c>
      <c r="F104" s="1" t="s">
        <v>612</v>
      </c>
      <c r="H104">
        <v>700</v>
      </c>
      <c r="I104">
        <v>400</v>
      </c>
      <c r="M104" s="1" t="s">
        <v>621</v>
      </c>
      <c r="N104" s="1"/>
      <c r="P104">
        <v>23179</v>
      </c>
      <c r="Q104" s="35" t="s">
        <v>798</v>
      </c>
      <c r="R104" s="9" t="b">
        <v>1</v>
      </c>
      <c r="S104" s="16" t="str">
        <f t="shared" si="9"/>
        <v>용융 케이블 트레이(REDUCER) 회로</v>
      </c>
      <c r="T104" t="s">
        <v>905</v>
      </c>
    </row>
    <row r="105" spans="2:20">
      <c r="B105" s="9" t="str">
        <f t="shared" si="10"/>
        <v>E_EET0301_VM_0000_700_300</v>
      </c>
      <c r="C105" t="s">
        <v>372</v>
      </c>
      <c r="D105" t="s">
        <v>371</v>
      </c>
      <c r="E105" s="1" t="s">
        <v>796</v>
      </c>
      <c r="F105" s="1" t="s">
        <v>612</v>
      </c>
      <c r="H105">
        <v>700</v>
      </c>
      <c r="I105">
        <v>300</v>
      </c>
      <c r="M105" s="1" t="s">
        <v>621</v>
      </c>
      <c r="N105" s="1"/>
      <c r="P105">
        <v>23179</v>
      </c>
      <c r="Q105" s="35" t="s">
        <v>798</v>
      </c>
      <c r="R105" s="9" t="b">
        <v>1</v>
      </c>
      <c r="S105" s="16" t="str">
        <f t="shared" si="9"/>
        <v>용융 케이블 트레이(REDUCER) 회로</v>
      </c>
      <c r="T105" t="s">
        <v>906</v>
      </c>
    </row>
    <row r="106" spans="2:20">
      <c r="B106" s="9" t="str">
        <f t="shared" si="10"/>
        <v>E_EET0301_VM_0000_700_150</v>
      </c>
      <c r="C106" t="s">
        <v>372</v>
      </c>
      <c r="D106" t="s">
        <v>371</v>
      </c>
      <c r="E106" s="1" t="s">
        <v>796</v>
      </c>
      <c r="F106" s="1" t="s">
        <v>612</v>
      </c>
      <c r="H106">
        <v>700</v>
      </c>
      <c r="I106">
        <v>150</v>
      </c>
      <c r="M106" s="1" t="s">
        <v>621</v>
      </c>
      <c r="N106" s="1"/>
      <c r="P106">
        <v>23179</v>
      </c>
      <c r="Q106" s="35" t="s">
        <v>798</v>
      </c>
      <c r="R106" s="9" t="b">
        <v>1</v>
      </c>
      <c r="S106" s="16" t="str">
        <f t="shared" si="9"/>
        <v>용융 케이블 트레이(REDUCER) 회로</v>
      </c>
      <c r="T106" t="s">
        <v>907</v>
      </c>
    </row>
    <row r="107" spans="2:20">
      <c r="B107" s="9" t="str">
        <f t="shared" si="10"/>
        <v>E_EET0301_VM_0000_500_400</v>
      </c>
      <c r="C107" t="s">
        <v>372</v>
      </c>
      <c r="D107" t="s">
        <v>371</v>
      </c>
      <c r="E107" s="1" t="s">
        <v>796</v>
      </c>
      <c r="F107" s="1" t="s">
        <v>612</v>
      </c>
      <c r="H107">
        <v>500</v>
      </c>
      <c r="I107">
        <v>400</v>
      </c>
      <c r="M107" s="1" t="s">
        <v>621</v>
      </c>
      <c r="N107" s="1"/>
      <c r="P107">
        <v>20553</v>
      </c>
      <c r="Q107" s="35" t="s">
        <v>798</v>
      </c>
      <c r="R107" s="9" t="b">
        <v>1</v>
      </c>
      <c r="S107" s="16" t="str">
        <f t="shared" si="9"/>
        <v>용융 케이블 트레이(REDUCER) 회로</v>
      </c>
      <c r="T107" t="s">
        <v>908</v>
      </c>
    </row>
    <row r="108" spans="2:20">
      <c r="B108" s="9" t="str">
        <f t="shared" si="10"/>
        <v>E_EET0301_VM_0000_500_300</v>
      </c>
      <c r="C108" t="s">
        <v>372</v>
      </c>
      <c r="D108" t="s">
        <v>371</v>
      </c>
      <c r="E108" s="1" t="s">
        <v>796</v>
      </c>
      <c r="F108" s="1" t="s">
        <v>612</v>
      </c>
      <c r="H108">
        <v>500</v>
      </c>
      <c r="I108">
        <v>300</v>
      </c>
      <c r="M108" s="1" t="s">
        <v>621</v>
      </c>
      <c r="N108" s="1"/>
      <c r="P108">
        <v>20553</v>
      </c>
      <c r="Q108" s="35" t="s">
        <v>798</v>
      </c>
      <c r="R108" s="9" t="b">
        <v>1</v>
      </c>
      <c r="S108" s="16" t="str">
        <f t="shared" si="9"/>
        <v>용융 케이블 트레이(REDUCER) 회로</v>
      </c>
      <c r="T108" t="s">
        <v>909</v>
      </c>
    </row>
    <row r="109" spans="2:20">
      <c r="B109" s="9" t="str">
        <f t="shared" si="10"/>
        <v>E_EET0301_VM_0000_500_200</v>
      </c>
      <c r="C109" t="s">
        <v>372</v>
      </c>
      <c r="D109" t="s">
        <v>371</v>
      </c>
      <c r="E109" s="1" t="s">
        <v>796</v>
      </c>
      <c r="F109" s="1" t="s">
        <v>612</v>
      </c>
      <c r="H109">
        <v>500</v>
      </c>
      <c r="I109">
        <v>200</v>
      </c>
      <c r="M109" s="1" t="s">
        <v>621</v>
      </c>
      <c r="N109" s="1"/>
      <c r="P109">
        <v>20553</v>
      </c>
      <c r="Q109" s="35" t="s">
        <v>798</v>
      </c>
      <c r="R109" s="9" t="b">
        <v>1</v>
      </c>
      <c r="S109" s="16" t="str">
        <f t="shared" si="9"/>
        <v>용융 케이블 트레이(REDUCER) 회로</v>
      </c>
      <c r="T109" t="s">
        <v>910</v>
      </c>
    </row>
    <row r="110" spans="2:20">
      <c r="B110" s="9" t="str">
        <f t="shared" si="10"/>
        <v>E_EET0301_VM_0000_500_150</v>
      </c>
      <c r="C110" t="s">
        <v>372</v>
      </c>
      <c r="D110" t="s">
        <v>371</v>
      </c>
      <c r="E110" s="1" t="s">
        <v>796</v>
      </c>
      <c r="F110" s="1" t="s">
        <v>612</v>
      </c>
      <c r="H110">
        <v>500</v>
      </c>
      <c r="I110">
        <v>150</v>
      </c>
      <c r="M110" s="1" t="s">
        <v>621</v>
      </c>
      <c r="N110" s="1"/>
      <c r="P110">
        <v>20553</v>
      </c>
      <c r="Q110" s="35" t="s">
        <v>798</v>
      </c>
      <c r="R110" s="9" t="b">
        <v>1</v>
      </c>
      <c r="S110" s="16" t="str">
        <f t="shared" si="9"/>
        <v>용융 케이블 트레이(REDUCER) 회로</v>
      </c>
      <c r="T110" t="s">
        <v>911</v>
      </c>
    </row>
    <row r="111" spans="2:20">
      <c r="B111" s="9" t="str">
        <f t="shared" si="10"/>
        <v>E_EET0301_VM_0000_400_300</v>
      </c>
      <c r="C111" t="s">
        <v>372</v>
      </c>
      <c r="D111" t="s">
        <v>371</v>
      </c>
      <c r="E111" s="1" t="s">
        <v>796</v>
      </c>
      <c r="F111" s="1" t="s">
        <v>612</v>
      </c>
      <c r="H111">
        <v>400</v>
      </c>
      <c r="I111">
        <v>300</v>
      </c>
      <c r="M111" s="1" t="s">
        <v>621</v>
      </c>
      <c r="N111" s="1"/>
      <c r="P111">
        <v>20033</v>
      </c>
      <c r="Q111" s="35" t="s">
        <v>798</v>
      </c>
      <c r="R111" s="9" t="b">
        <v>1</v>
      </c>
      <c r="S111" s="16" t="str">
        <f t="shared" si="9"/>
        <v>용융 케이블 트레이(REDUCER) 회로</v>
      </c>
      <c r="T111" t="s">
        <v>912</v>
      </c>
    </row>
    <row r="112" spans="2:20">
      <c r="B112" s="9" t="str">
        <f t="shared" si="10"/>
        <v>E_EET0301_VM_0000_400_150</v>
      </c>
      <c r="C112" t="s">
        <v>372</v>
      </c>
      <c r="D112" t="s">
        <v>371</v>
      </c>
      <c r="E112" s="1" t="s">
        <v>796</v>
      </c>
      <c r="F112" s="1" t="s">
        <v>612</v>
      </c>
      <c r="H112">
        <v>400</v>
      </c>
      <c r="I112">
        <v>150</v>
      </c>
      <c r="M112" s="1" t="s">
        <v>621</v>
      </c>
      <c r="N112" s="1"/>
      <c r="P112">
        <v>20033</v>
      </c>
      <c r="Q112" s="35" t="s">
        <v>798</v>
      </c>
      <c r="R112" s="9" t="b">
        <v>1</v>
      </c>
      <c r="S112" s="16" t="str">
        <f t="shared" si="9"/>
        <v>용융 케이블 트레이(REDUCER) 회로</v>
      </c>
      <c r="T112" t="s">
        <v>913</v>
      </c>
    </row>
    <row r="113" spans="2:20">
      <c r="B113" s="9" t="str">
        <f t="shared" si="10"/>
        <v>E_EET0301_VM_0000_300_200</v>
      </c>
      <c r="C113" t="s">
        <v>372</v>
      </c>
      <c r="D113" t="s">
        <v>371</v>
      </c>
      <c r="E113" s="1" t="s">
        <v>796</v>
      </c>
      <c r="F113" s="1" t="s">
        <v>612</v>
      </c>
      <c r="H113">
        <v>300</v>
      </c>
      <c r="I113">
        <v>200</v>
      </c>
      <c r="M113" s="1" t="s">
        <v>621</v>
      </c>
      <c r="N113" s="1"/>
      <c r="P113">
        <v>18980</v>
      </c>
      <c r="Q113" s="35" t="s">
        <v>798</v>
      </c>
      <c r="R113" s="9" t="b">
        <v>1</v>
      </c>
      <c r="S113" s="16" t="str">
        <f t="shared" si="9"/>
        <v>용융 케이블 트레이(REDUCER) 회로</v>
      </c>
      <c r="T113" t="s">
        <v>914</v>
      </c>
    </row>
    <row r="114" spans="2:20">
      <c r="B114" s="9" t="str">
        <f t="shared" si="10"/>
        <v>E_EET0301_VM_0000_300_150</v>
      </c>
      <c r="C114" t="s">
        <v>372</v>
      </c>
      <c r="D114" t="s">
        <v>371</v>
      </c>
      <c r="E114" s="1" t="s">
        <v>796</v>
      </c>
      <c r="F114" s="1" t="s">
        <v>612</v>
      </c>
      <c r="H114">
        <v>300</v>
      </c>
      <c r="I114">
        <v>150</v>
      </c>
      <c r="M114" s="1" t="s">
        <v>621</v>
      </c>
      <c r="N114" s="1"/>
      <c r="P114">
        <v>18980</v>
      </c>
      <c r="Q114" s="35" t="s">
        <v>798</v>
      </c>
      <c r="R114" s="9" t="b">
        <v>1</v>
      </c>
      <c r="S114" s="16" t="str">
        <f t="shared" si="9"/>
        <v>용융 케이블 트레이(REDUCER) 회로</v>
      </c>
      <c r="T114" t="s">
        <v>915</v>
      </c>
    </row>
    <row r="115" spans="2:20">
      <c r="B115" s="9" t="str">
        <f>D115&amp;"_"&amp;F115&amp;"_"&amp;H115</f>
        <v>E_EET0302_VM_0000_800</v>
      </c>
      <c r="C115" t="s">
        <v>374</v>
      </c>
      <c r="D115" t="s">
        <v>373</v>
      </c>
      <c r="E115" s="1" t="s">
        <v>796</v>
      </c>
      <c r="F115" s="1" t="s">
        <v>612</v>
      </c>
      <c r="H115">
        <v>800</v>
      </c>
      <c r="M115" s="1" t="s">
        <v>621</v>
      </c>
      <c r="N115" s="1"/>
      <c r="P115">
        <v>7618</v>
      </c>
      <c r="Q115" s="35" t="s">
        <v>798</v>
      </c>
      <c r="R115" s="9" t="b">
        <v>1</v>
      </c>
      <c r="S115" s="16" t="str">
        <f t="shared" si="9"/>
        <v>용융 케이블 트레이(HOLE BRAKET) 회로</v>
      </c>
      <c r="T115" t="s">
        <v>916</v>
      </c>
    </row>
    <row r="116" spans="2:20">
      <c r="B116" s="9" t="str">
        <f t="shared" ref="B116:B127" si="11">D116&amp;"_"&amp;F116&amp;"_"&amp;H116</f>
        <v>E_EET0302_VM_0000_600</v>
      </c>
      <c r="C116" t="s">
        <v>374</v>
      </c>
      <c r="D116" t="s">
        <v>373</v>
      </c>
      <c r="E116" s="1" t="s">
        <v>796</v>
      </c>
      <c r="F116" s="1" t="s">
        <v>612</v>
      </c>
      <c r="H116">
        <v>600</v>
      </c>
      <c r="M116" s="1" t="s">
        <v>621</v>
      </c>
      <c r="N116" s="1"/>
      <c r="P116">
        <v>6396</v>
      </c>
      <c r="Q116" s="35" t="s">
        <v>798</v>
      </c>
      <c r="R116" s="9" t="b">
        <v>1</v>
      </c>
      <c r="S116" s="16" t="str">
        <f t="shared" si="9"/>
        <v>용융 케이블 트레이(HOLE BRAKET) 회로</v>
      </c>
      <c r="T116" t="s">
        <v>917</v>
      </c>
    </row>
    <row r="117" spans="2:20">
      <c r="B117" s="9" t="str">
        <f t="shared" si="11"/>
        <v>E_EET0302_VM_0000_500</v>
      </c>
      <c r="C117" t="s">
        <v>374</v>
      </c>
      <c r="D117" t="s">
        <v>373</v>
      </c>
      <c r="E117" s="1" t="s">
        <v>796</v>
      </c>
      <c r="F117" s="1" t="s">
        <v>612</v>
      </c>
      <c r="H117">
        <v>500</v>
      </c>
      <c r="M117" s="1" t="s">
        <v>621</v>
      </c>
      <c r="N117" s="1"/>
      <c r="P117">
        <v>5785</v>
      </c>
      <c r="Q117" s="35" t="s">
        <v>798</v>
      </c>
      <c r="R117" s="9" t="b">
        <v>1</v>
      </c>
      <c r="S117" s="16" t="str">
        <f t="shared" si="9"/>
        <v>용융 케이블 트레이(HOLE BRAKET) 회로</v>
      </c>
      <c r="T117" t="s">
        <v>918</v>
      </c>
    </row>
    <row r="118" spans="2:20">
      <c r="B118" s="9" t="str">
        <f t="shared" si="11"/>
        <v>E_EET0302_VM_0000_400</v>
      </c>
      <c r="C118" t="s">
        <v>374</v>
      </c>
      <c r="D118" t="s">
        <v>373</v>
      </c>
      <c r="E118" s="1" t="s">
        <v>796</v>
      </c>
      <c r="F118" s="1" t="s">
        <v>612</v>
      </c>
      <c r="H118">
        <v>400</v>
      </c>
      <c r="M118" s="1" t="s">
        <v>621</v>
      </c>
      <c r="N118" s="1"/>
      <c r="P118">
        <v>5174</v>
      </c>
      <c r="Q118" s="35" t="s">
        <v>798</v>
      </c>
      <c r="R118" s="9" t="b">
        <v>1</v>
      </c>
      <c r="S118" s="16" t="str">
        <f t="shared" si="9"/>
        <v>용융 케이블 트레이(HOLE BRAKET) 회로</v>
      </c>
      <c r="T118" t="s">
        <v>919</v>
      </c>
    </row>
    <row r="119" spans="2:20">
      <c r="B119" s="9" t="str">
        <f t="shared" si="11"/>
        <v>E_EET0302_VM_0000_300</v>
      </c>
      <c r="C119" t="s">
        <v>374</v>
      </c>
      <c r="D119" t="s">
        <v>373</v>
      </c>
      <c r="E119" s="1" t="s">
        <v>796</v>
      </c>
      <c r="F119" s="1" t="s">
        <v>612</v>
      </c>
      <c r="H119">
        <v>300</v>
      </c>
      <c r="M119" s="1" t="s">
        <v>621</v>
      </c>
      <c r="N119" s="1"/>
      <c r="P119">
        <v>4563</v>
      </c>
      <c r="Q119" s="35" t="s">
        <v>798</v>
      </c>
      <c r="R119" s="9" t="b">
        <v>1</v>
      </c>
      <c r="S119" s="16" t="str">
        <f t="shared" si="9"/>
        <v>용융 케이블 트레이(HOLE BRAKET) 회로</v>
      </c>
      <c r="T119" t="s">
        <v>920</v>
      </c>
    </row>
    <row r="120" spans="2:20">
      <c r="B120" s="9" t="str">
        <f t="shared" si="11"/>
        <v>E_EET0303_VM_0000_1100</v>
      </c>
      <c r="C120" t="s">
        <v>376</v>
      </c>
      <c r="D120" t="s">
        <v>375</v>
      </c>
      <c r="E120" s="1" t="s">
        <v>796</v>
      </c>
      <c r="F120" s="1" t="s">
        <v>612</v>
      </c>
      <c r="H120">
        <v>1100</v>
      </c>
      <c r="M120" s="1" t="s">
        <v>621</v>
      </c>
      <c r="N120" s="1"/>
      <c r="P120">
        <v>6721</v>
      </c>
      <c r="Q120" s="35" t="s">
        <v>798</v>
      </c>
      <c r="R120" s="9" t="b">
        <v>1</v>
      </c>
      <c r="S120" s="16" t="str">
        <f t="shared" si="9"/>
        <v>용융 케이블 트레이(지지대) 회로</v>
      </c>
      <c r="T120" t="s">
        <v>921</v>
      </c>
    </row>
    <row r="121" spans="2:20">
      <c r="B121" s="9" t="str">
        <f t="shared" si="11"/>
        <v>E_EET0303_VM_0000_900</v>
      </c>
      <c r="C121" t="s">
        <v>376</v>
      </c>
      <c r="D121" t="s">
        <v>375</v>
      </c>
      <c r="E121" s="1" t="s">
        <v>796</v>
      </c>
      <c r="F121" s="1" t="s">
        <v>612</v>
      </c>
      <c r="H121">
        <v>900</v>
      </c>
      <c r="M121" s="1" t="s">
        <v>621</v>
      </c>
      <c r="N121" s="1"/>
      <c r="P121">
        <v>5499</v>
      </c>
      <c r="Q121" s="35" t="s">
        <v>798</v>
      </c>
      <c r="R121" s="9" t="b">
        <v>1</v>
      </c>
      <c r="S121" s="16" t="str">
        <f t="shared" si="9"/>
        <v>용융 케이블 트레이(지지대) 회로</v>
      </c>
      <c r="T121" t="s">
        <v>922</v>
      </c>
    </row>
    <row r="122" spans="2:20">
      <c r="B122" s="9" t="str">
        <f t="shared" si="11"/>
        <v>E_EET0303_VM_0000_800</v>
      </c>
      <c r="C122" t="s">
        <v>376</v>
      </c>
      <c r="D122" t="s">
        <v>375</v>
      </c>
      <c r="E122" s="1" t="s">
        <v>796</v>
      </c>
      <c r="F122" s="1" t="s">
        <v>612</v>
      </c>
      <c r="H122">
        <v>800</v>
      </c>
      <c r="M122" s="1" t="s">
        <v>621</v>
      </c>
      <c r="N122" s="1"/>
      <c r="P122">
        <v>4888</v>
      </c>
      <c r="Q122" s="35" t="s">
        <v>798</v>
      </c>
      <c r="R122" s="9" t="b">
        <v>1</v>
      </c>
      <c r="S122" s="16" t="str">
        <f t="shared" si="9"/>
        <v>용융 케이블 트레이(지지대) 회로</v>
      </c>
      <c r="T122" t="s">
        <v>923</v>
      </c>
    </row>
    <row r="123" spans="2:20">
      <c r="B123" s="9" t="str">
        <f t="shared" si="11"/>
        <v>E_EET0303_VM_0000_700</v>
      </c>
      <c r="C123" t="s">
        <v>376</v>
      </c>
      <c r="D123" t="s">
        <v>375</v>
      </c>
      <c r="E123" s="1" t="s">
        <v>796</v>
      </c>
      <c r="F123" s="1" t="s">
        <v>612</v>
      </c>
      <c r="H123">
        <v>700</v>
      </c>
      <c r="M123" s="1" t="s">
        <v>621</v>
      </c>
      <c r="N123" s="1"/>
      <c r="P123">
        <v>4277</v>
      </c>
      <c r="Q123" s="35" t="s">
        <v>798</v>
      </c>
      <c r="R123" s="9" t="b">
        <v>1</v>
      </c>
      <c r="S123" s="16" t="str">
        <f t="shared" si="9"/>
        <v>용융 케이블 트레이(지지대) 회로</v>
      </c>
      <c r="T123" t="s">
        <v>924</v>
      </c>
    </row>
    <row r="124" spans="2:20">
      <c r="B124" s="9" t="str">
        <f t="shared" si="11"/>
        <v>E_EET0303_VM_0000_600</v>
      </c>
      <c r="C124" t="s">
        <v>376</v>
      </c>
      <c r="D124" t="s">
        <v>375</v>
      </c>
      <c r="E124" s="1" t="s">
        <v>796</v>
      </c>
      <c r="F124" s="1" t="s">
        <v>612</v>
      </c>
      <c r="H124">
        <v>600</v>
      </c>
      <c r="M124" s="1" t="s">
        <v>621</v>
      </c>
      <c r="N124" s="1"/>
      <c r="P124">
        <v>3666</v>
      </c>
      <c r="Q124" s="35" t="s">
        <v>798</v>
      </c>
      <c r="R124" s="9" t="b">
        <v>1</v>
      </c>
      <c r="S124" s="16" t="str">
        <f t="shared" si="9"/>
        <v>용융 케이블 트레이(지지대) 회로</v>
      </c>
      <c r="T124" t="s">
        <v>925</v>
      </c>
    </row>
    <row r="125" spans="2:20">
      <c r="B125" s="9" t="str">
        <f t="shared" si="11"/>
        <v>E_EET0303_VM_0000_500</v>
      </c>
      <c r="C125" t="s">
        <v>376</v>
      </c>
      <c r="D125" t="s">
        <v>375</v>
      </c>
      <c r="E125" s="1" t="s">
        <v>796</v>
      </c>
      <c r="F125" s="1" t="s">
        <v>612</v>
      </c>
      <c r="H125">
        <v>500</v>
      </c>
      <c r="M125" s="1" t="s">
        <v>621</v>
      </c>
      <c r="N125" s="1"/>
      <c r="P125">
        <v>3055</v>
      </c>
      <c r="Q125" s="35" t="s">
        <v>798</v>
      </c>
      <c r="R125" s="9" t="b">
        <v>1</v>
      </c>
      <c r="S125" s="16" t="str">
        <f t="shared" si="9"/>
        <v>용융 케이블 트레이(지지대) 회로</v>
      </c>
      <c r="T125" t="s">
        <v>926</v>
      </c>
    </row>
    <row r="126" spans="2:20">
      <c r="B126" s="9" t="str">
        <f t="shared" si="11"/>
        <v>E_EET0303_VM_0000_400</v>
      </c>
      <c r="C126" t="s">
        <v>376</v>
      </c>
      <c r="D126" t="s">
        <v>375</v>
      </c>
      <c r="E126" s="1" t="s">
        <v>796</v>
      </c>
      <c r="F126" s="1" t="s">
        <v>612</v>
      </c>
      <c r="H126">
        <v>400</v>
      </c>
      <c r="M126" s="1" t="s">
        <v>621</v>
      </c>
      <c r="N126" s="1"/>
      <c r="P126">
        <v>2444</v>
      </c>
      <c r="Q126" s="35" t="s">
        <v>798</v>
      </c>
      <c r="R126" s="9" t="b">
        <v>1</v>
      </c>
      <c r="S126" s="16" t="str">
        <f t="shared" si="9"/>
        <v>용융 케이블 트레이(지지대) 회로</v>
      </c>
      <c r="T126" t="s">
        <v>927</v>
      </c>
    </row>
    <row r="127" spans="2:20">
      <c r="B127" s="9" t="str">
        <f t="shared" si="11"/>
        <v>E_EET0303_VM_0000_300</v>
      </c>
      <c r="C127" t="s">
        <v>376</v>
      </c>
      <c r="D127" t="s">
        <v>375</v>
      </c>
      <c r="E127" s="1" t="s">
        <v>796</v>
      </c>
      <c r="F127" s="1" t="s">
        <v>612</v>
      </c>
      <c r="H127">
        <v>300</v>
      </c>
      <c r="M127" s="1" t="s">
        <v>621</v>
      </c>
      <c r="N127" s="1"/>
      <c r="P127">
        <v>1833</v>
      </c>
      <c r="Q127" s="35" t="s">
        <v>798</v>
      </c>
      <c r="R127" s="9" t="b">
        <v>1</v>
      </c>
      <c r="S127" s="16" t="str">
        <f t="shared" si="9"/>
        <v>용융 케이블 트레이(지지대) 회로</v>
      </c>
      <c r="T127" t="s">
        <v>928</v>
      </c>
    </row>
    <row r="128" spans="2:20">
      <c r="B128" s="9" t="str">
        <f t="shared" ref="B128:B130" si="12">D128&amp;"_"&amp;F128</f>
        <v>E_EET0304_VM_0000</v>
      </c>
      <c r="C128" t="s">
        <v>378</v>
      </c>
      <c r="D128" t="s">
        <v>377</v>
      </c>
      <c r="E128" s="1" t="s">
        <v>796</v>
      </c>
      <c r="F128" s="1" t="s">
        <v>612</v>
      </c>
      <c r="M128" s="1" t="s">
        <v>621</v>
      </c>
      <c r="N128" s="1"/>
      <c r="P128">
        <v>1170</v>
      </c>
      <c r="Q128" s="35" t="s">
        <v>798</v>
      </c>
      <c r="R128" s="9" t="b">
        <v>1</v>
      </c>
      <c r="S128" s="16" t="str">
        <f t="shared" si="9"/>
        <v>용융 케이블 트레이(JOINT CONNECTOR) 회로</v>
      </c>
      <c r="T128" t="s">
        <v>929</v>
      </c>
    </row>
    <row r="129" spans="2:20">
      <c r="B129" s="9" t="str">
        <f t="shared" si="12"/>
        <v>E_EET0305_VM_0000</v>
      </c>
      <c r="C129" t="s">
        <v>380</v>
      </c>
      <c r="D129" t="s">
        <v>379</v>
      </c>
      <c r="E129" s="1" t="s">
        <v>796</v>
      </c>
      <c r="F129" s="1" t="s">
        <v>612</v>
      </c>
      <c r="M129" s="1" t="s">
        <v>621</v>
      </c>
      <c r="N129" s="1"/>
      <c r="P129">
        <v>520</v>
      </c>
      <c r="Q129" s="35" t="s">
        <v>798</v>
      </c>
      <c r="R129" s="9" t="b">
        <v>1</v>
      </c>
      <c r="S129" s="16" t="str">
        <f t="shared" si="9"/>
        <v>용융 케이블 트레이(HOLD DOWN CLAMP) 회로</v>
      </c>
      <c r="T129" t="s">
        <v>930</v>
      </c>
    </row>
    <row r="130" spans="2:20">
      <c r="B130" s="9" t="str">
        <f t="shared" si="12"/>
        <v>E_EET0306_VM_0000</v>
      </c>
      <c r="C130" t="s">
        <v>382</v>
      </c>
      <c r="D130" t="s">
        <v>381</v>
      </c>
      <c r="E130" s="1" t="s">
        <v>796</v>
      </c>
      <c r="F130" s="1" t="s">
        <v>612</v>
      </c>
      <c r="M130" s="1" t="s">
        <v>621</v>
      </c>
      <c r="N130" s="1"/>
      <c r="P130">
        <v>1170</v>
      </c>
      <c r="Q130" s="35" t="s">
        <v>798</v>
      </c>
      <c r="R130" s="9" t="b">
        <v>1</v>
      </c>
      <c r="S130" s="16" t="str">
        <f t="shared" si="9"/>
        <v>용융 케이블 트레이(GRAOUNDING JUMPER) 회로</v>
      </c>
      <c r="T130" t="s">
        <v>931</v>
      </c>
    </row>
    <row r="131" spans="2:20">
      <c r="R131" s="9"/>
      <c r="S131" s="16"/>
      <c r="T131" s="16"/>
    </row>
    <row r="132" spans="2:20">
      <c r="R132" s="9"/>
      <c r="S132" s="16"/>
      <c r="T132" s="16"/>
    </row>
    <row r="133" spans="2:20">
      <c r="R133" s="9"/>
      <c r="S133" s="16"/>
      <c r="T133" s="16"/>
    </row>
    <row r="134" spans="2:20">
      <c r="R134" s="9"/>
      <c r="S134" s="16"/>
      <c r="T134" s="16"/>
    </row>
    <row r="135" spans="2:20" ht="16.5" customHeight="1">
      <c r="S135" s="16"/>
      <c r="T135" s="16"/>
    </row>
    <row r="136" spans="2:20" ht="16.5" customHeight="1">
      <c r="S136" s="16"/>
      <c r="T136" s="16"/>
    </row>
    <row r="137" spans="2:20" ht="16.5" customHeight="1">
      <c r="S137" s="16"/>
      <c r="T137" s="16"/>
    </row>
    <row r="138" spans="2:20" ht="16.5" customHeight="1">
      <c r="S138" s="16"/>
      <c r="T138" s="16"/>
    </row>
    <row r="139" spans="2:20" ht="16.5" customHeight="1">
      <c r="S139" s="16"/>
      <c r="T139" s="16"/>
    </row>
    <row r="140" spans="2:20" ht="16.5" customHeight="1">
      <c r="S140" s="16"/>
      <c r="T140" s="16"/>
    </row>
    <row r="141" spans="2:20" ht="16.5" customHeight="1">
      <c r="S141" s="16"/>
      <c r="T141" s="16"/>
    </row>
    <row r="142" spans="2:20" ht="16.5" customHeight="1">
      <c r="S142" s="16"/>
      <c r="T142" s="16"/>
    </row>
    <row r="143" spans="2:20" ht="16.5" customHeight="1">
      <c r="S143" s="16"/>
      <c r="T143" s="16"/>
    </row>
    <row r="144" spans="2:20" ht="16.5" customHeight="1">
      <c r="S144" s="16"/>
      <c r="T144" s="16"/>
    </row>
    <row r="145" spans="19:20" ht="16.5" customHeight="1">
      <c r="S145" s="16"/>
      <c r="T145" s="16"/>
    </row>
    <row r="146" spans="19:20" ht="16.5" customHeight="1">
      <c r="S146" s="16"/>
      <c r="T146" s="16"/>
    </row>
    <row r="147" spans="19:20" ht="16.5" customHeight="1">
      <c r="S147" s="16"/>
      <c r="T147" s="16"/>
    </row>
    <row r="148" spans="19:20" ht="16.5" customHeight="1">
      <c r="S148" s="16"/>
      <c r="T148" s="16"/>
    </row>
    <row r="149" spans="19:20" ht="16.5" customHeight="1">
      <c r="S149" s="16"/>
      <c r="T149" s="16"/>
    </row>
    <row r="150" spans="19:20" ht="16.5" customHeight="1">
      <c r="S150" s="16"/>
      <c r="T150" s="16"/>
    </row>
    <row r="151" spans="19:20" ht="16.5" customHeight="1">
      <c r="S151" s="16"/>
      <c r="T151" s="16"/>
    </row>
    <row r="152" spans="19:20" ht="16.5" customHeight="1">
      <c r="S152" s="16"/>
      <c r="T152" s="16"/>
    </row>
    <row r="153" spans="19:20" ht="16.5" customHeight="1">
      <c r="S153" s="16"/>
      <c r="T153" s="16"/>
    </row>
    <row r="154" spans="19:20" ht="16.5" customHeight="1">
      <c r="S154" s="16"/>
      <c r="T154" s="16"/>
    </row>
    <row r="155" spans="19:20" ht="16.5" customHeight="1">
      <c r="S155" s="16"/>
      <c r="T155" s="16"/>
    </row>
    <row r="156" spans="19:20" ht="16.5" customHeight="1">
      <c r="S156" s="16"/>
      <c r="T156" s="16"/>
    </row>
    <row r="157" spans="19:20" ht="16.5" customHeight="1">
      <c r="S157" s="16"/>
      <c r="T157" s="16"/>
    </row>
    <row r="158" spans="19:20" ht="16.5" customHeight="1">
      <c r="S158" s="16"/>
      <c r="T158" s="16"/>
    </row>
    <row r="159" spans="19:20" ht="16.5" customHeight="1">
      <c r="S159" s="16"/>
      <c r="T159" s="16"/>
    </row>
    <row r="160" spans="19:20" ht="16.5" customHeight="1">
      <c r="S160" s="16"/>
      <c r="T160" s="16"/>
    </row>
    <row r="161" spans="19:20" ht="16.5" customHeight="1">
      <c r="S161" s="16"/>
      <c r="T161" s="16"/>
    </row>
    <row r="162" spans="19:20" ht="16.5" customHeight="1">
      <c r="S162" s="16"/>
      <c r="T162" s="16"/>
    </row>
    <row r="163" spans="19:20" ht="16.5" customHeight="1">
      <c r="S163" s="16"/>
      <c r="T163" s="16"/>
    </row>
    <row r="164" spans="19:20" ht="16.5" customHeight="1">
      <c r="S164" s="16"/>
      <c r="T164" s="16"/>
    </row>
    <row r="165" spans="19:20" ht="16.5" customHeight="1">
      <c r="S165" s="16"/>
      <c r="T165" s="16"/>
    </row>
    <row r="166" spans="19:20" ht="16.5" customHeight="1">
      <c r="S166" s="16"/>
      <c r="T166" s="16"/>
    </row>
    <row r="167" spans="19:20" ht="16.5" customHeight="1">
      <c r="S167" s="16"/>
      <c r="T167" s="16"/>
    </row>
    <row r="168" spans="19:20" ht="16.5" customHeight="1">
      <c r="S168" s="16"/>
      <c r="T168" s="16"/>
    </row>
    <row r="169" spans="19:20" ht="16.5" customHeight="1">
      <c r="S169" s="16"/>
      <c r="T169" s="16"/>
    </row>
    <row r="170" spans="19:20" ht="16.5" customHeight="1">
      <c r="S170" s="16"/>
      <c r="T170" s="16"/>
    </row>
    <row r="171" spans="19:20" ht="16.5" customHeight="1">
      <c r="S171" s="16"/>
      <c r="T171" s="16"/>
    </row>
    <row r="172" spans="19:20" ht="16.5" customHeight="1">
      <c r="S172" s="16"/>
      <c r="T172" s="16"/>
    </row>
    <row r="173" spans="19:20" ht="16.5" customHeight="1">
      <c r="S173" s="16"/>
      <c r="T173" s="16"/>
    </row>
    <row r="174" spans="19:20" ht="16.5" customHeight="1">
      <c r="S174" s="16"/>
      <c r="T174" s="16"/>
    </row>
    <row r="175" spans="19:20" ht="16.5" customHeight="1">
      <c r="S175" s="16"/>
      <c r="T175" s="16"/>
    </row>
    <row r="176" spans="19:20" ht="16.5" customHeight="1">
      <c r="S176" s="16"/>
      <c r="T176" s="16"/>
    </row>
    <row r="177" spans="19:20" ht="16.5" customHeight="1">
      <c r="S177" s="16"/>
      <c r="T177" s="16"/>
    </row>
    <row r="178" spans="19:20" ht="16.5" customHeight="1">
      <c r="S178" s="16"/>
      <c r="T178" s="16"/>
    </row>
    <row r="179" spans="19:20" ht="16.5" customHeight="1">
      <c r="S179" s="16"/>
      <c r="T179" s="16"/>
    </row>
    <row r="180" spans="19:20" ht="16.5" customHeight="1">
      <c r="S180" s="16"/>
      <c r="T180" s="16"/>
    </row>
    <row r="181" spans="19:20" ht="16.5" customHeight="1">
      <c r="S181" s="16"/>
      <c r="T181" s="16"/>
    </row>
    <row r="182" spans="19:20" ht="16.5" customHeight="1">
      <c r="S182" s="16"/>
      <c r="T182" s="16"/>
    </row>
    <row r="183" spans="19:20" ht="16.5" customHeight="1">
      <c r="S183" s="16"/>
      <c r="T183" s="16"/>
    </row>
    <row r="184" spans="19:20" ht="16.5" customHeight="1">
      <c r="S184" s="16"/>
      <c r="T184" s="16"/>
    </row>
    <row r="185" spans="19:20" ht="16.5" customHeight="1">
      <c r="S185" s="16"/>
      <c r="T185" s="16"/>
    </row>
    <row r="186" spans="19:20" ht="16.5" customHeight="1">
      <c r="S186" s="16"/>
      <c r="T186" s="16"/>
    </row>
    <row r="187" spans="19:20" ht="16.5" customHeight="1">
      <c r="S187" s="16"/>
      <c r="T187" s="16"/>
    </row>
    <row r="188" spans="19:20" ht="16.5" customHeight="1">
      <c r="S188" s="16"/>
      <c r="T188" s="16"/>
    </row>
    <row r="189" spans="19:20" ht="16.5" customHeight="1">
      <c r="S189" s="16"/>
      <c r="T189" s="16"/>
    </row>
    <row r="190" spans="19:20" ht="16.5" customHeight="1">
      <c r="S190" s="16"/>
      <c r="T190" s="16"/>
    </row>
    <row r="191" spans="19:20" ht="16.5" customHeight="1">
      <c r="S191" s="16"/>
      <c r="T191" s="16"/>
    </row>
    <row r="192" spans="19:20" ht="16.5" customHeight="1">
      <c r="S192" s="16"/>
      <c r="T192" s="16"/>
    </row>
    <row r="193" spans="19:20" ht="16.5" customHeight="1">
      <c r="S193" s="16"/>
      <c r="T193" s="16"/>
    </row>
    <row r="194" spans="19:20" ht="16.5" customHeight="1">
      <c r="S194" s="16"/>
      <c r="T194" s="16"/>
    </row>
    <row r="195" spans="19:20" ht="16.5" customHeight="1">
      <c r="S195" s="16"/>
      <c r="T195" s="16"/>
    </row>
    <row r="196" spans="19:20" ht="16.5" customHeight="1">
      <c r="S196" s="16"/>
      <c r="T196" s="16"/>
    </row>
    <row r="197" spans="19:20" ht="16.5" customHeight="1">
      <c r="S197" s="16"/>
      <c r="T197" s="16"/>
    </row>
    <row r="198" spans="19:20" ht="16.5" customHeight="1">
      <c r="S198" s="16"/>
      <c r="T198" s="16"/>
    </row>
    <row r="199" spans="19:20" ht="16.5" customHeight="1">
      <c r="S199" s="16"/>
      <c r="T199" s="16"/>
    </row>
    <row r="200" spans="19:20" ht="16.5" customHeight="1">
      <c r="S200" s="16"/>
      <c r="T200" s="16"/>
    </row>
    <row r="201" spans="19:20" ht="16.5" customHeight="1">
      <c r="S201" s="16"/>
      <c r="T201" s="16"/>
    </row>
    <row r="202" spans="19:20" ht="16.5" customHeight="1">
      <c r="S202" s="16"/>
      <c r="T202" s="16"/>
    </row>
    <row r="203" spans="19:20" ht="16.5" customHeight="1">
      <c r="S203" s="16"/>
      <c r="T203" s="16"/>
    </row>
    <row r="204" spans="19:20" ht="16.5" customHeight="1">
      <c r="S204" s="16"/>
      <c r="T204" s="16"/>
    </row>
    <row r="205" spans="19:20" ht="16.5" customHeight="1">
      <c r="S205" s="16"/>
      <c r="T205" s="16"/>
    </row>
    <row r="206" spans="19:20" ht="16.5" customHeight="1">
      <c r="S206" s="16"/>
      <c r="T206" s="1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최윤규</dc:creator>
  <cp:keywords/>
  <dc:description/>
  <cp:lastModifiedBy/>
  <cp:revision/>
  <dcterms:created xsi:type="dcterms:W3CDTF">2025-09-23T05:21:07Z</dcterms:created>
  <dcterms:modified xsi:type="dcterms:W3CDTF">2026-05-12T05:46:10Z</dcterms:modified>
  <cp:category/>
  <cp:contentStatus/>
</cp:coreProperties>
</file>